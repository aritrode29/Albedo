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bsalifestructures.com\indy1\BSA\1583\15830011\Sustainability\_WE\p1 Outdoor Water Use Reduction\"/>
    </mc:Choice>
  </mc:AlternateContent>
  <xr:revisionPtr revIDLastSave="0" documentId="13_ncr:1_{4BBDE121-3ECF-4310-B801-9AB76D81ECE5}" xr6:coauthVersionLast="46" xr6:coauthVersionMax="46" xr10:uidLastSave="{00000000-0000-0000-0000-000000000000}"/>
  <bookViews>
    <workbookView xWindow="57480" yWindow="-120" windowWidth="29040" windowHeight="15840" activeTab="3" xr2:uid="{00000000-000D-0000-FFFF-FFFF00000000}"/>
  </bookViews>
  <sheets>
    <sheet name="Instructions" sheetId="4" r:id="rId1"/>
    <sheet name="Baseline Calculation" sheetId="2" r:id="rId2"/>
    <sheet name="Landscape Water Requirement" sheetId="1" r:id="rId3"/>
    <sheet name="Summary" sheetId="5" r:id="rId4"/>
  </sheets>
  <externalReferences>
    <externalReference r:id="rId5"/>
  </externalReferences>
  <definedNames>
    <definedName name="IrrigationType">Instructions!$C$38:$C$43</definedName>
    <definedName name="Materials">[1]Instructions!$K$20:$K$32</definedName>
    <definedName name="plantType">Instructions!$C$30:$C$33</definedName>
    <definedName name="UOM">[1]Instructions!$M$20:$M$25</definedName>
    <definedName name="Waste">[1]Instructions!$K$35:$K$40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0" i="1" l="1"/>
  <c r="E5" i="2"/>
  <c r="H10" i="1" l="1"/>
  <c r="L70" i="4" l="1"/>
  <c r="B21" i="1" s="1"/>
  <c r="E10" i="2"/>
  <c r="E11" i="2"/>
  <c r="E12" i="2"/>
  <c r="E13" i="2"/>
  <c r="E14" i="2"/>
  <c r="E15" i="2"/>
  <c r="E16" i="2"/>
  <c r="E17" i="2"/>
  <c r="E18" i="2"/>
  <c r="E19" i="2"/>
  <c r="E20" i="2"/>
  <c r="E21" i="2"/>
  <c r="A17" i="1"/>
  <c r="F17" i="1"/>
  <c r="H17" i="1"/>
  <c r="A11" i="1"/>
  <c r="A12" i="1"/>
  <c r="A13" i="1"/>
  <c r="A14" i="1"/>
  <c r="A15" i="1"/>
  <c r="A16" i="1"/>
  <c r="A18" i="1"/>
  <c r="A19" i="1"/>
  <c r="A10" i="1"/>
  <c r="H11" i="1"/>
  <c r="H12" i="1"/>
  <c r="H13" i="1"/>
  <c r="H14" i="1"/>
  <c r="H15" i="1"/>
  <c r="H16" i="1"/>
  <c r="H18" i="1"/>
  <c r="H19" i="1"/>
  <c r="F11" i="1"/>
  <c r="F12" i="1"/>
  <c r="F13" i="1"/>
  <c r="F14" i="1"/>
  <c r="F15" i="1"/>
  <c r="F16" i="1"/>
  <c r="F18" i="1"/>
  <c r="F19" i="1"/>
  <c r="F10" i="1"/>
  <c r="I20" i="1"/>
  <c r="G11" i="2" l="1"/>
  <c r="G19" i="2"/>
  <c r="G15" i="2"/>
  <c r="E9" i="2"/>
  <c r="B5" i="2"/>
  <c r="B20" i="1"/>
  <c r="B23" i="2"/>
  <c r="C9" i="2"/>
  <c r="C8" i="1"/>
  <c r="C8" i="5"/>
  <c r="D9" i="2"/>
  <c r="I9" i="1"/>
  <c r="B24" i="2"/>
  <c r="B5" i="1"/>
  <c r="C6" i="5"/>
  <c r="B26" i="2"/>
  <c r="B25" i="2"/>
  <c r="G20" i="2"/>
  <c r="G12" i="2"/>
  <c r="G13" i="2"/>
  <c r="G16" i="2"/>
  <c r="G18" i="2"/>
  <c r="G14" i="2"/>
  <c r="G10" i="2"/>
  <c r="E23" i="2"/>
  <c r="G21" i="2"/>
  <c r="G17" i="2"/>
  <c r="E24" i="2" l="1"/>
  <c r="E22" i="2"/>
  <c r="I5" i="1" s="1"/>
  <c r="I10" i="1" l="1"/>
  <c r="I19" i="1"/>
  <c r="I16" i="1"/>
  <c r="I14" i="1"/>
  <c r="I15" i="1"/>
  <c r="I12" i="1"/>
  <c r="I17" i="1"/>
  <c r="I11" i="1"/>
  <c r="I13" i="1"/>
  <c r="I18" i="1"/>
  <c r="E26" i="2"/>
  <c r="H6" i="5" s="1"/>
  <c r="E25" i="2"/>
  <c r="I21" i="1" l="1"/>
  <c r="H8" i="5" l="1"/>
  <c r="H10"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20" authorId="0" shapeId="0" xr:uid="{00000000-0006-0000-0200-000001000000}">
      <text>
        <r>
          <rPr>
            <sz val="10"/>
            <color indexed="81"/>
            <rFont val="Arial"/>
            <family val="2"/>
          </rPr>
          <t>The total landscape feature area must equal the landscape area used in the baseline calculation.</t>
        </r>
      </text>
    </comment>
  </commentList>
</comments>
</file>

<file path=xl/sharedStrings.xml><?xml version="1.0" encoding="utf-8"?>
<sst xmlns="http://schemas.openxmlformats.org/spreadsheetml/2006/main" count="139" uniqueCount="89">
  <si>
    <t>May</t>
  </si>
  <si>
    <t>January</t>
  </si>
  <si>
    <t>February</t>
  </si>
  <si>
    <t>March</t>
  </si>
  <si>
    <t>April</t>
  </si>
  <si>
    <t>June</t>
  </si>
  <si>
    <t>July</t>
  </si>
  <si>
    <t>August</t>
  </si>
  <si>
    <t>September</t>
  </si>
  <si>
    <t>October</t>
  </si>
  <si>
    <t>November</t>
  </si>
  <si>
    <t>December</t>
  </si>
  <si>
    <t>Plant Type or Landscape Feature</t>
  </si>
  <si>
    <t>Irrigation Type</t>
  </si>
  <si>
    <t>Rotor</t>
  </si>
  <si>
    <t>Low</t>
  </si>
  <si>
    <t>Medium</t>
  </si>
  <si>
    <t>High</t>
  </si>
  <si>
    <t>Trees</t>
  </si>
  <si>
    <t>Shrubs</t>
  </si>
  <si>
    <t>Groundcover</t>
  </si>
  <si>
    <t>Turfgrass</t>
  </si>
  <si>
    <t>x</t>
  </si>
  <si>
    <t>Rank Watering Demand</t>
  </si>
  <si>
    <t>Plant Type</t>
  </si>
  <si>
    <t>Baseline Calculation</t>
  </si>
  <si>
    <t>Table: Peak watering month</t>
  </si>
  <si>
    <t>Determine the peak watering month at the project location by entering the monthly rainfall and evapotranspiration rate in the table below. The month with the highest watering demand is the peak watering month.</t>
  </si>
  <si>
    <t>Peak watering month</t>
  </si>
  <si>
    <r>
      <rPr>
        <b/>
        <sz val="10"/>
        <rFont val="Arial"/>
        <family val="2"/>
      </rPr>
      <t>Step 1.</t>
    </r>
    <r>
      <rPr>
        <sz val="10"/>
        <rFont val="Arial"/>
        <family val="2"/>
      </rPr>
      <t xml:space="preserve"> </t>
    </r>
  </si>
  <si>
    <t>Enable macros.</t>
  </si>
  <si>
    <t>Note: This calculator is for use with Excel for Mac 2011 and Excel 2007 or later.</t>
  </si>
  <si>
    <t>Upload the completed spreadsheet to LEED Online.  Complete any related summary fields in the LEED credit form with the results of the calculator.</t>
  </si>
  <si>
    <t>Assumptions</t>
  </si>
  <si>
    <r>
      <t xml:space="preserve">Copyright </t>
    </r>
    <r>
      <rPr>
        <sz val="9"/>
        <color theme="0" tint="-0.499984740745262"/>
        <rFont val="Arial"/>
        <family val="2"/>
      </rPr>
      <t>©</t>
    </r>
    <r>
      <rPr>
        <sz val="8"/>
        <color theme="0" tint="-0.499984740745262"/>
        <rFont val="Arial"/>
        <family val="2"/>
      </rPr>
      <t xml:space="preserve"> 2012</t>
    </r>
  </si>
  <si>
    <t>U.S. Green Building Council</t>
  </si>
  <si>
    <t>All Rights Reserved</t>
  </si>
  <si>
    <t>Plant Type or Landscape Feature and Associated Landscape Coefficient</t>
  </si>
  <si>
    <t>Water Requirement</t>
  </si>
  <si>
    <r>
      <t>K</t>
    </r>
    <r>
      <rPr>
        <vertAlign val="subscript"/>
        <sz val="10"/>
        <color theme="1"/>
        <rFont val="Arial"/>
        <family val="2"/>
      </rPr>
      <t>L</t>
    </r>
  </si>
  <si>
    <t>Distribution Uniformity</t>
  </si>
  <si>
    <r>
      <t>DU(</t>
    </r>
    <r>
      <rPr>
        <vertAlign val="subscript"/>
        <sz val="10"/>
        <color theme="1"/>
        <rFont val="Arial"/>
        <family val="2"/>
      </rPr>
      <t>LQ</t>
    </r>
    <r>
      <rPr>
        <sz val="10"/>
        <color theme="1"/>
        <rFont val="Arial"/>
        <family val="2"/>
      </rPr>
      <t>) 
or EU*</t>
    </r>
  </si>
  <si>
    <t>Source: LEED for Homes Rating System 2008</t>
  </si>
  <si>
    <t>Source: (The Irrigation Association, October 2001) Landscape Irrigation Scheduling and Water Management, IA 2005</t>
  </si>
  <si>
    <r>
      <t>* Lower quarter distribution uniformity (DU</t>
    </r>
    <r>
      <rPr>
        <vertAlign val="subscript"/>
        <sz val="9"/>
        <color theme="1"/>
        <rFont val="Arial"/>
        <family val="2"/>
      </rPr>
      <t>LQ</t>
    </r>
    <r>
      <rPr>
        <sz val="9"/>
        <color theme="1"/>
        <rFont val="Arial"/>
        <family val="2"/>
      </rPr>
      <t xml:space="preserve">) applies to sprinkler zones and emission uniformity (EU) applies to drip/microirrigation zones. </t>
    </r>
  </si>
  <si>
    <r>
      <t xml:space="preserve">* Micro spray may only be used on vegetation other than turfgrass if it meets the definition of microirrigation system, which according to the </t>
    </r>
    <r>
      <rPr>
        <i/>
        <sz val="9"/>
        <color theme="1"/>
        <rFont val="Arial"/>
        <family val="2"/>
      </rPr>
      <t>2009 WaterSense Single-Family New Home Specification</t>
    </r>
    <r>
      <rPr>
        <sz val="9"/>
        <color theme="1"/>
        <rFont val="Arial"/>
        <family val="2"/>
      </rPr>
      <t xml:space="preserve"> is: "The frequent application of small quantities of water on or below the surgace as drops, tiny streams or miniature spray through emitters or applicators placed along a water delivery line. Microirrigation encompasses a number of methods or concepts, such as bubbler, drip, trickle, mist or spray, and subsurface irrigation. For the purposes of this specification, microirrigation includes emission devices that have flow rates less than 30 gallons per hour (114 liters per hour)."</t>
    </r>
  </si>
  <si>
    <t>Appropriate Irrigation Types - Landscaped Areas without Irrigation Systems</t>
  </si>
  <si>
    <t>Appropriate Irrigation Types - Landscaped Areas with Irrigation Systems</t>
  </si>
  <si>
    <t>Fixed 
Spray</t>
  </si>
  <si>
    <t>Landscape Water Requirement</t>
  </si>
  <si>
    <t>Table: Landscape water requirement</t>
  </si>
  <si>
    <t>Plant Type or 
Landscape Feature</t>
  </si>
  <si>
    <r>
      <t>Landscape Coefficient 
(K</t>
    </r>
    <r>
      <rPr>
        <vertAlign val="subscript"/>
        <sz val="10"/>
        <color theme="1"/>
        <rFont val="Arial"/>
        <family val="2"/>
      </rPr>
      <t>L</t>
    </r>
    <r>
      <rPr>
        <sz val="10"/>
        <color theme="1"/>
        <rFont val="Arial"/>
        <family val="2"/>
      </rPr>
      <t>)</t>
    </r>
  </si>
  <si>
    <t>Irrigation 
Type</t>
  </si>
  <si>
    <r>
      <t>Distribution Uniformity 
(DU</t>
    </r>
    <r>
      <rPr>
        <vertAlign val="subscript"/>
        <sz val="10"/>
        <color theme="1"/>
        <rFont val="Arial"/>
        <family val="2"/>
      </rPr>
      <t>LQ</t>
    </r>
    <r>
      <rPr>
        <sz val="10"/>
        <color theme="1"/>
        <rFont val="Arial"/>
        <family val="2"/>
      </rPr>
      <t>)</t>
    </r>
  </si>
  <si>
    <t>N/A</t>
  </si>
  <si>
    <r>
      <t>Trees, shrubs, or groundcover with low water requirements (K</t>
    </r>
    <r>
      <rPr>
        <vertAlign val="subscript"/>
        <sz val="9"/>
        <color theme="1"/>
        <rFont val="Arial"/>
        <family val="2"/>
      </rPr>
      <t>L</t>
    </r>
    <r>
      <rPr>
        <sz val="9"/>
        <color theme="1"/>
        <rFont val="Arial"/>
        <family val="2"/>
      </rPr>
      <t xml:space="preserve"> = 0.2)</t>
    </r>
  </si>
  <si>
    <r>
      <t>Trees, shrubs, or groundcover with medium or high water requirements (K</t>
    </r>
    <r>
      <rPr>
        <vertAlign val="subscript"/>
        <sz val="9"/>
        <color theme="1"/>
        <rFont val="Arial"/>
        <family val="2"/>
      </rPr>
      <t xml:space="preserve">L </t>
    </r>
    <r>
      <rPr>
        <sz val="9"/>
        <color theme="1"/>
        <rFont val="Arial"/>
        <family val="2"/>
      </rPr>
      <t>&gt; 0.2)</t>
    </r>
  </si>
  <si>
    <r>
      <t>Turfgrass with low, medium, or high water requirements (K</t>
    </r>
    <r>
      <rPr>
        <vertAlign val="subscript"/>
        <sz val="9"/>
        <color theme="1"/>
        <rFont val="Arial"/>
        <family val="2"/>
      </rPr>
      <t>L</t>
    </r>
    <r>
      <rPr>
        <sz val="9"/>
        <color theme="1"/>
        <rFont val="Arial"/>
        <family val="2"/>
      </rPr>
      <t xml:space="preserve"> &gt; 0.2)</t>
    </r>
  </si>
  <si>
    <t xml:space="preserve">Note: All information on this tab is READ-ONLY. To edit, see previous tabs. </t>
  </si>
  <si>
    <t>Summary</t>
  </si>
  <si>
    <t>Must be at least 30%</t>
  </si>
  <si>
    <t>Percentage reduction from baseline (%)</t>
  </si>
  <si>
    <t>Complete the Baseline Calculation tab to determine the peak watering month.</t>
  </si>
  <si>
    <t>Complete the Landscape Water Requirement tab to determine the monthly landscape water requirement.</t>
  </si>
  <si>
    <t>Fixed spray</t>
  </si>
  <si>
    <t>Micro spray</t>
  </si>
  <si>
    <t>No irrigation</t>
  </si>
  <si>
    <t>A</t>
  </si>
  <si>
    <t>Zone
ID</t>
  </si>
  <si>
    <t>Drip (standard)</t>
  </si>
  <si>
    <t>Drip (press comp)</t>
  </si>
  <si>
    <t>Drip
(standard)</t>
  </si>
  <si>
    <t>Drip
(press comp)</t>
  </si>
  <si>
    <t>x*</t>
  </si>
  <si>
    <t>Micro 
Spray</t>
  </si>
  <si>
    <t>Step 2.</t>
  </si>
  <si>
    <t>Unit of measurement</t>
  </si>
  <si>
    <t>Note: This selection must match the unit of measurement chosen during project registration.</t>
  </si>
  <si>
    <t>Step 3.</t>
  </si>
  <si>
    <t xml:space="preserve">Step 4. </t>
  </si>
  <si>
    <t xml:space="preserve">Step 5. </t>
  </si>
  <si>
    <t>UOM</t>
  </si>
  <si>
    <t>1 = IP, 2 = SI</t>
  </si>
  <si>
    <r>
      <rPr>
        <sz val="16"/>
        <rFont val="Arial Black"/>
        <family val="2"/>
      </rPr>
      <t xml:space="preserve">Outdoor Water Use Reduction Calculator
</t>
    </r>
    <r>
      <rPr>
        <sz val="9"/>
        <rFont val="Arial"/>
        <family val="2"/>
      </rPr>
      <t>LEED v4 for D+C - WE Prerequisite Outdoor Water Use Reduction and WE Credit Outdoor Water Use Reduction
LEED v4 for O+M - WE Credit Outdoor Water Use Reduction</t>
    </r>
  </si>
  <si>
    <t>IP units</t>
  </si>
  <si>
    <t>v02</t>
  </si>
  <si>
    <r>
      <t>LWR</t>
    </r>
    <r>
      <rPr>
        <vertAlign val="subscript"/>
        <sz val="10"/>
        <color theme="1"/>
        <rFont val="Arial"/>
        <family val="2"/>
      </rPr>
      <t>H</t>
    </r>
  </si>
  <si>
    <t>Last updated 8/2/2016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</si>
</sst>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6"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b/>
      <sz val="10"/>
      <color theme="0"/>
      <name val="Arial"/>
      <family val="2"/>
    </font>
    <font>
      <sz val="10"/>
      <color rgb="FFFF0000"/>
      <name val="Arial"/>
      <family val="2"/>
    </font>
    <font>
      <b/>
      <sz val="10"/>
      <color theme="1"/>
      <name val="Arial"/>
      <family val="2"/>
    </font>
    <font>
      <sz val="10"/>
      <color theme="0"/>
      <name val="Arial"/>
      <family val="2"/>
    </font>
    <font>
      <sz val="16"/>
      <color theme="0"/>
      <name val="Arial Black"/>
      <family val="2"/>
    </font>
    <font>
      <sz val="9"/>
      <color theme="1"/>
      <name val="Arial"/>
      <family val="2"/>
    </font>
    <font>
      <sz val="12"/>
      <name val="Arial"/>
      <family val="2"/>
    </font>
    <font>
      <sz val="16"/>
      <name val="Arial Black"/>
      <family val="2"/>
    </font>
    <font>
      <sz val="9"/>
      <name val="Arial"/>
      <family val="2"/>
    </font>
    <font>
      <b/>
      <sz val="9"/>
      <color theme="1"/>
      <name val="Arial"/>
      <family val="2"/>
    </font>
    <font>
      <sz val="10"/>
      <name val="Arial"/>
      <family val="2"/>
    </font>
    <font>
      <b/>
      <sz val="10"/>
      <name val="Arial"/>
      <family val="2"/>
    </font>
    <font>
      <sz val="11"/>
      <name val="Calibri"/>
      <family val="2"/>
      <scheme val="minor"/>
    </font>
    <font>
      <b/>
      <sz val="9"/>
      <name val="Arial"/>
      <family val="2"/>
    </font>
    <font>
      <sz val="9"/>
      <color theme="0" tint="-0.499984740745262"/>
      <name val="Arial"/>
      <family val="2"/>
    </font>
    <font>
      <sz val="8"/>
      <color theme="0" tint="-0.499984740745262"/>
      <name val="Arial"/>
      <family val="2"/>
    </font>
    <font>
      <b/>
      <sz val="10"/>
      <color rgb="FF000000"/>
      <name val="Arial"/>
      <family val="2"/>
    </font>
    <font>
      <vertAlign val="subscript"/>
      <sz val="9"/>
      <color theme="1"/>
      <name val="Arial"/>
      <family val="2"/>
    </font>
    <font>
      <vertAlign val="subscript"/>
      <sz val="10"/>
      <color theme="1"/>
      <name val="Arial"/>
      <family val="2"/>
    </font>
    <font>
      <b/>
      <sz val="12"/>
      <name val="Arial"/>
      <family val="2"/>
    </font>
    <font>
      <i/>
      <sz val="9"/>
      <color theme="1"/>
      <name val="Arial"/>
      <family val="2"/>
    </font>
    <font>
      <b/>
      <sz val="16"/>
      <name val="Arial"/>
      <family val="2"/>
    </font>
    <font>
      <sz val="8"/>
      <name val="Arial"/>
      <family val="2"/>
    </font>
    <font>
      <i/>
      <sz val="10"/>
      <name val="Arial"/>
      <family val="2"/>
    </font>
    <font>
      <b/>
      <sz val="10"/>
      <color rgb="FFFF0000"/>
      <name val="Arial"/>
      <family val="2"/>
    </font>
    <font>
      <sz val="10"/>
      <color rgb="FF000000"/>
      <name val="Arial"/>
      <family val="2"/>
    </font>
    <font>
      <b/>
      <sz val="14"/>
      <name val="Arial"/>
      <family val="2"/>
    </font>
    <font>
      <sz val="10"/>
      <color indexed="81"/>
      <name val="Arial"/>
      <family val="2"/>
    </font>
    <font>
      <sz val="11"/>
      <color theme="0"/>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5BBBB7"/>
        <bgColor indexed="64"/>
      </patternFill>
    </fill>
    <fill>
      <patternFill patternType="solid">
        <fgColor indexed="65"/>
        <bgColor indexed="64"/>
      </patternFill>
    </fill>
    <fill>
      <patternFill patternType="solid">
        <fgColor theme="0" tint="-0.14996795556505021"/>
        <bgColor indexed="64"/>
      </patternFill>
    </fill>
  </fills>
  <borders count="4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499984740745262"/>
      </right>
      <top style="thin">
        <color theme="0" tint="-0.24994659260841701"/>
      </top>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24994659260841701"/>
      </bottom>
      <diagonal/>
    </border>
    <border>
      <left/>
      <right/>
      <top style="thin">
        <color theme="0" tint="-0.499984740745262"/>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499984740745262"/>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style="thin">
        <color theme="0" tint="-0.24994659260841701"/>
      </left>
      <right style="thin">
        <color theme="0" tint="-0.24994659260841701"/>
      </right>
      <top/>
      <bottom style="thin">
        <color theme="0" tint="-0.499984740745262"/>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style="thin">
        <color theme="0" tint="-0.24994659260841701"/>
      </left>
      <right style="thin">
        <color theme="0" tint="-0.499984740745262"/>
      </right>
      <top/>
      <bottom/>
      <diagonal/>
    </border>
    <border>
      <left style="thin">
        <color theme="0" tint="-0.24994659260841701"/>
      </left>
      <right/>
      <top style="thin">
        <color theme="0" tint="-0.24994659260841701"/>
      </top>
      <bottom/>
      <diagonal/>
    </border>
  </borders>
  <cellStyleXfs count="9">
    <xf numFmtId="0" fontId="0" fillId="0" borderId="0"/>
    <xf numFmtId="0" fontId="6" fillId="0" borderId="0"/>
    <xf numFmtId="0" fontId="17" fillId="0" borderId="0"/>
    <xf numFmtId="0" fontId="17" fillId="0" borderId="0"/>
    <xf numFmtId="0" fontId="6" fillId="0" borderId="0"/>
    <xf numFmtId="0" fontId="17" fillId="0" borderId="0"/>
    <xf numFmtId="0" fontId="17" fillId="0" borderId="0"/>
    <xf numFmtId="0" fontId="17" fillId="0" borderId="0"/>
    <xf numFmtId="0" fontId="17" fillId="0" borderId="0"/>
  </cellStyleXfs>
  <cellXfs count="274">
    <xf numFmtId="0" fontId="0" fillId="0" borderId="0" xfId="0"/>
    <xf numFmtId="0" fontId="5" fillId="0" borderId="0" xfId="0" applyFont="1"/>
    <xf numFmtId="0" fontId="9" fillId="0" borderId="0" xfId="0" applyFont="1" applyAlignment="1"/>
    <xf numFmtId="0" fontId="6" fillId="3" borderId="0" xfId="1" applyFill="1" applyBorder="1" applyProtection="1"/>
    <xf numFmtId="0" fontId="0" fillId="3" borderId="0" xfId="0" applyFill="1" applyBorder="1" applyProtection="1"/>
    <xf numFmtId="0" fontId="0" fillId="3" borderId="0" xfId="0" applyFill="1" applyBorder="1" applyAlignment="1" applyProtection="1">
      <alignment horizontal="left"/>
    </xf>
    <xf numFmtId="0" fontId="5" fillId="4" borderId="19" xfId="0" applyFont="1" applyFill="1" applyBorder="1" applyProtection="1"/>
    <xf numFmtId="0" fontId="7" fillId="4" borderId="20" xfId="0" applyFont="1" applyFill="1" applyBorder="1" applyAlignment="1" applyProtection="1"/>
    <xf numFmtId="0" fontId="0" fillId="4" borderId="20" xfId="0" applyFill="1" applyBorder="1" applyProtection="1"/>
    <xf numFmtId="0" fontId="7" fillId="4" borderId="21" xfId="0" applyFont="1" applyFill="1" applyBorder="1" applyAlignment="1" applyProtection="1"/>
    <xf numFmtId="0" fontId="6" fillId="4" borderId="22" xfId="1" applyFill="1" applyBorder="1" applyProtection="1"/>
    <xf numFmtId="0" fontId="6" fillId="4" borderId="0" xfId="1" applyFill="1" applyBorder="1" applyProtection="1"/>
    <xf numFmtId="0" fontId="0" fillId="4" borderId="0" xfId="0" applyFill="1" applyBorder="1" applyProtection="1"/>
    <xf numFmtId="0" fontId="6" fillId="4" borderId="23" xfId="1" applyFill="1" applyBorder="1" applyProtection="1"/>
    <xf numFmtId="0" fontId="16" fillId="4" borderId="0" xfId="1" applyFont="1" applyFill="1" applyBorder="1" applyAlignment="1" applyProtection="1">
      <alignment horizontal="left" vertical="top"/>
    </xf>
    <xf numFmtId="0" fontId="15" fillId="4" borderId="0" xfId="2" applyNumberFormat="1" applyFont="1" applyFill="1" applyBorder="1" applyAlignment="1" applyProtection="1">
      <alignment vertical="top" wrapText="1"/>
    </xf>
    <xf numFmtId="0" fontId="0" fillId="4" borderId="0" xfId="0" applyFill="1" applyBorder="1" applyAlignment="1" applyProtection="1">
      <alignment horizontal="left"/>
    </xf>
    <xf numFmtId="0" fontId="17" fillId="4" borderId="0" xfId="2" applyNumberFormat="1" applyFont="1" applyFill="1" applyBorder="1" applyAlignment="1" applyProtection="1">
      <alignment horizontal="left" vertical="top"/>
    </xf>
    <xf numFmtId="0" fontId="5" fillId="4" borderId="22" xfId="3" applyFont="1" applyFill="1" applyBorder="1" applyAlignment="1" applyProtection="1">
      <alignment vertical="center"/>
    </xf>
    <xf numFmtId="0" fontId="9" fillId="4" borderId="0" xfId="3" applyFont="1" applyFill="1" applyBorder="1" applyAlignment="1" applyProtection="1">
      <alignment horizontal="left" vertical="center"/>
    </xf>
    <xf numFmtId="0" fontId="17" fillId="4" borderId="0" xfId="2" applyNumberFormat="1" applyFont="1" applyFill="1" applyBorder="1" applyAlignment="1" applyProtection="1">
      <alignment vertical="center" wrapText="1"/>
    </xf>
    <xf numFmtId="0" fontId="5" fillId="4" borderId="23" xfId="3" applyFont="1" applyFill="1" applyBorder="1" applyAlignment="1" applyProtection="1">
      <alignment vertical="center"/>
    </xf>
    <xf numFmtId="0" fontId="5" fillId="3" borderId="0" xfId="3" applyFont="1" applyFill="1" applyBorder="1" applyAlignment="1" applyProtection="1">
      <alignment vertical="center"/>
    </xf>
    <xf numFmtId="0" fontId="17" fillId="4" borderId="0" xfId="2" applyNumberFormat="1" applyFont="1" applyFill="1" applyBorder="1" applyAlignment="1" applyProtection="1">
      <alignment horizontal="left" vertical="top" wrapText="1"/>
    </xf>
    <xf numFmtId="0" fontId="6" fillId="4" borderId="0" xfId="1" applyFill="1" applyBorder="1" applyAlignment="1" applyProtection="1">
      <alignment horizontal="left"/>
    </xf>
    <xf numFmtId="0" fontId="6" fillId="4" borderId="24" xfId="1" applyFill="1" applyBorder="1" applyProtection="1"/>
    <xf numFmtId="0" fontId="12" fillId="4" borderId="14" xfId="1" applyFont="1" applyFill="1" applyBorder="1" applyProtection="1"/>
    <xf numFmtId="0" fontId="15" fillId="4" borderId="14" xfId="2" applyNumberFormat="1" applyFont="1" applyFill="1" applyBorder="1" applyAlignment="1" applyProtection="1">
      <alignment vertical="top" wrapText="1"/>
    </xf>
    <xf numFmtId="0" fontId="6" fillId="4" borderId="14" xfId="1" applyFill="1" applyBorder="1" applyProtection="1"/>
    <xf numFmtId="0" fontId="6" fillId="4" borderId="25" xfId="1" applyFill="1" applyBorder="1" applyProtection="1"/>
    <xf numFmtId="0" fontId="19" fillId="3" borderId="0" xfId="1" applyFont="1" applyFill="1" applyBorder="1" applyProtection="1"/>
    <xf numFmtId="0" fontId="19" fillId="3" borderId="18" xfId="1" applyFont="1" applyFill="1" applyBorder="1" applyProtection="1"/>
    <xf numFmtId="0" fontId="20" fillId="3" borderId="18" xfId="1" applyFont="1" applyFill="1" applyBorder="1" applyAlignment="1" applyProtection="1">
      <alignment horizontal="left" vertical="top"/>
    </xf>
    <xf numFmtId="0" fontId="17" fillId="3" borderId="18" xfId="0" applyFont="1" applyFill="1" applyBorder="1" applyProtection="1"/>
    <xf numFmtId="0" fontId="15" fillId="3" borderId="18" xfId="2" applyNumberFormat="1" applyFont="1" applyFill="1" applyBorder="1" applyAlignment="1" applyProtection="1">
      <alignment vertical="top" wrapText="1"/>
    </xf>
    <xf numFmtId="0" fontId="17" fillId="3" borderId="0" xfId="0" applyFont="1" applyFill="1" applyBorder="1" applyAlignment="1" applyProtection="1">
      <alignment horizontal="left"/>
    </xf>
    <xf numFmtId="0" fontId="19" fillId="6" borderId="19" xfId="1" applyFont="1" applyFill="1" applyBorder="1" applyProtection="1"/>
    <xf numFmtId="0" fontId="18" fillId="6" borderId="20" xfId="2" applyNumberFormat="1" applyFont="1" applyFill="1" applyBorder="1" applyAlignment="1" applyProtection="1">
      <alignment vertical="top"/>
    </xf>
    <xf numFmtId="0" fontId="17" fillId="6" borderId="20" xfId="0" applyFont="1" applyFill="1" applyBorder="1" applyProtection="1"/>
    <xf numFmtId="0" fontId="17" fillId="6" borderId="20" xfId="2" applyNumberFormat="1" applyFont="1" applyFill="1" applyBorder="1" applyAlignment="1" applyProtection="1">
      <alignment vertical="top" wrapText="1"/>
    </xf>
    <xf numFmtId="0" fontId="19" fillId="6" borderId="20" xfId="1" applyFont="1" applyFill="1" applyBorder="1" applyProtection="1"/>
    <xf numFmtId="0" fontId="19" fillId="6" borderId="21" xfId="1" applyFont="1" applyFill="1" applyBorder="1" applyProtection="1"/>
    <xf numFmtId="0" fontId="0" fillId="3" borderId="0" xfId="0" applyFont="1" applyFill="1" applyAlignment="1" applyProtection="1">
      <alignment horizontal="center"/>
    </xf>
    <xf numFmtId="0" fontId="19" fillId="6" borderId="22" xfId="1" applyFont="1" applyFill="1" applyBorder="1" applyProtection="1"/>
    <xf numFmtId="0" fontId="17" fillId="6" borderId="0" xfId="0" applyFont="1" applyFill="1" applyBorder="1" applyProtection="1"/>
    <xf numFmtId="0" fontId="17" fillId="6" borderId="0" xfId="2" applyNumberFormat="1" applyFont="1" applyFill="1" applyBorder="1" applyAlignment="1" applyProtection="1">
      <alignment vertical="top" wrapText="1"/>
    </xf>
    <xf numFmtId="0" fontId="19" fillId="6" borderId="0" xfId="1" applyFont="1" applyFill="1" applyBorder="1" applyProtection="1"/>
    <xf numFmtId="0" fontId="0" fillId="3" borderId="0" xfId="0" applyFill="1" applyProtection="1"/>
    <xf numFmtId="0" fontId="0" fillId="4" borderId="24" xfId="0" applyFill="1" applyBorder="1" applyProtection="1"/>
    <xf numFmtId="0" fontId="0" fillId="4" borderId="14" xfId="0" applyFill="1" applyBorder="1" applyProtection="1"/>
    <xf numFmtId="0" fontId="22" fillId="3" borderId="0" xfId="4" applyFont="1" applyFill="1" applyBorder="1" applyAlignment="1" applyProtection="1">
      <alignment horizontal="right" vertical="center"/>
    </xf>
    <xf numFmtId="0" fontId="0" fillId="3" borderId="0" xfId="0" applyFill="1" applyBorder="1" applyAlignment="1" applyProtection="1">
      <alignment horizontal="left" vertical="center"/>
    </xf>
    <xf numFmtId="0" fontId="22" fillId="3" borderId="0" xfId="2" applyFont="1" applyFill="1" applyBorder="1" applyAlignment="1" applyProtection="1">
      <alignment horizontal="right" vertical="center"/>
    </xf>
    <xf numFmtId="0" fontId="22" fillId="3" borderId="0" xfId="2" applyFont="1" applyFill="1" applyAlignment="1" applyProtection="1">
      <alignment horizontal="right" vertical="center"/>
    </xf>
    <xf numFmtId="0" fontId="23" fillId="3" borderId="0" xfId="0" applyFont="1" applyFill="1" applyBorder="1" applyAlignment="1" applyProtection="1"/>
    <xf numFmtId="0" fontId="5" fillId="3" borderId="0" xfId="0" applyFont="1" applyFill="1" applyAlignment="1" applyProtection="1">
      <alignment vertical="top" wrapText="1"/>
    </xf>
    <xf numFmtId="0" fontId="5" fillId="3" borderId="0" xfId="0" applyFont="1" applyFill="1" applyProtection="1"/>
    <xf numFmtId="0" fontId="5" fillId="0" borderId="0" xfId="0" applyFont="1" applyFill="1" applyBorder="1" applyAlignment="1">
      <alignment vertical="top" wrapText="1"/>
    </xf>
    <xf numFmtId="0" fontId="9" fillId="0" borderId="0" xfId="0" applyFont="1" applyAlignment="1">
      <alignment vertical="top"/>
    </xf>
    <xf numFmtId="0" fontId="5" fillId="7" borderId="9" xfId="0" applyFont="1" applyFill="1" applyBorder="1" applyAlignment="1">
      <alignment horizontal="center" vertical="center" wrapText="1"/>
    </xf>
    <xf numFmtId="0" fontId="5" fillId="7" borderId="10" xfId="0" applyFont="1" applyFill="1" applyBorder="1" applyAlignment="1">
      <alignment horizontal="center" vertical="center" wrapText="1"/>
    </xf>
    <xf numFmtId="0" fontId="19" fillId="4" borderId="23" xfId="1" applyFont="1" applyFill="1" applyBorder="1" applyProtection="1"/>
    <xf numFmtId="0" fontId="0" fillId="4" borderId="25" xfId="0" applyFill="1" applyBorder="1" applyProtection="1"/>
    <xf numFmtId="0" fontId="5" fillId="0" borderId="0" xfId="0" applyFont="1" applyFill="1" applyProtection="1"/>
    <xf numFmtId="0" fontId="26" fillId="6" borderId="0" xfId="2" applyNumberFormat="1" applyFont="1" applyFill="1" applyBorder="1" applyAlignment="1" applyProtection="1">
      <alignment vertical="top"/>
    </xf>
    <xf numFmtId="0" fontId="12" fillId="0" borderId="0" xfId="0" applyFont="1" applyAlignment="1">
      <alignment vertical="top"/>
    </xf>
    <xf numFmtId="0" fontId="9" fillId="0" borderId="0" xfId="0" applyFont="1" applyBorder="1" applyAlignment="1">
      <alignment vertical="top"/>
    </xf>
    <xf numFmtId="0" fontId="5" fillId="7" borderId="13" xfId="0" applyFont="1" applyFill="1" applyBorder="1" applyAlignment="1">
      <alignment horizontal="center" vertical="center" wrapText="1"/>
    </xf>
    <xf numFmtId="0" fontId="9" fillId="0" borderId="0" xfId="0" applyFont="1" applyFill="1" applyBorder="1" applyAlignment="1"/>
    <xf numFmtId="0" fontId="9" fillId="0" borderId="0" xfId="0" applyFont="1" applyFill="1" applyAlignment="1">
      <alignment vertical="top"/>
    </xf>
    <xf numFmtId="0" fontId="9" fillId="0" borderId="0" xfId="0" applyFont="1" applyFill="1" applyAlignment="1"/>
    <xf numFmtId="0" fontId="5" fillId="0" borderId="0" xfId="0" applyFont="1" applyFill="1"/>
    <xf numFmtId="0" fontId="5" fillId="2" borderId="9" xfId="0" applyFont="1" applyFill="1" applyBorder="1" applyAlignment="1">
      <alignment horizontal="center" vertical="center" wrapText="1"/>
    </xf>
    <xf numFmtId="0" fontId="6" fillId="0" borderId="0" xfId="1" applyFill="1" applyBorder="1" applyProtection="1"/>
    <xf numFmtId="0" fontId="12" fillId="0" borderId="3" xfId="0" applyFont="1" applyFill="1" applyBorder="1" applyAlignment="1">
      <alignment horizontal="center" vertical="center"/>
    </xf>
    <xf numFmtId="0" fontId="12" fillId="0" borderId="6" xfId="0" applyFont="1" applyFill="1" applyBorder="1" applyAlignment="1">
      <alignment horizontal="center" vertical="center"/>
    </xf>
    <xf numFmtId="0" fontId="12" fillId="0" borderId="9" xfId="0" applyFont="1" applyFill="1" applyBorder="1" applyAlignment="1">
      <alignment horizontal="center" vertical="center"/>
    </xf>
    <xf numFmtId="0" fontId="12" fillId="0" borderId="3" xfId="0" applyFont="1" applyFill="1" applyBorder="1" applyAlignment="1">
      <alignment horizontal="center"/>
    </xf>
    <xf numFmtId="0" fontId="12" fillId="0" borderId="6" xfId="0" applyFont="1" applyFill="1" applyBorder="1" applyAlignment="1">
      <alignment horizontal="center"/>
    </xf>
    <xf numFmtId="0" fontId="12" fillId="0" borderId="4" xfId="0" applyFont="1" applyFill="1" applyBorder="1" applyAlignment="1">
      <alignment horizontal="center"/>
    </xf>
    <xf numFmtId="0" fontId="12" fillId="0" borderId="7" xfId="0" applyFont="1" applyFill="1" applyBorder="1" applyAlignment="1">
      <alignment horizontal="center"/>
    </xf>
    <xf numFmtId="9" fontId="12" fillId="0" borderId="4" xfId="0" applyNumberFormat="1" applyFont="1" applyFill="1" applyBorder="1" applyAlignment="1">
      <alignment horizontal="center" vertical="center"/>
    </xf>
    <xf numFmtId="9" fontId="12" fillId="0" borderId="7" xfId="0" applyNumberFormat="1" applyFont="1" applyFill="1" applyBorder="1" applyAlignment="1">
      <alignment horizontal="center" vertical="center"/>
    </xf>
    <xf numFmtId="0" fontId="12" fillId="0" borderId="10" xfId="0" applyFont="1" applyFill="1" applyBorder="1" applyAlignment="1">
      <alignment horizontal="center" vertical="center"/>
    </xf>
    <xf numFmtId="0" fontId="17" fillId="4" borderId="22" xfId="5" applyFont="1" applyFill="1" applyBorder="1" applyAlignment="1" applyProtection="1">
      <alignment vertical="center"/>
    </xf>
    <xf numFmtId="0" fontId="17" fillId="4" borderId="0" xfId="5" applyNumberFormat="1" applyFont="1" applyFill="1" applyBorder="1" applyAlignment="1" applyProtection="1">
      <alignment vertical="center"/>
    </xf>
    <xf numFmtId="0" fontId="18" fillId="4" borderId="0" xfId="5" applyFont="1" applyFill="1" applyBorder="1" applyAlignment="1" applyProtection="1">
      <alignment vertical="center"/>
    </xf>
    <xf numFmtId="0" fontId="17" fillId="4" borderId="0" xfId="5" applyFont="1" applyFill="1" applyBorder="1" applyAlignment="1" applyProtection="1">
      <alignment vertical="center"/>
    </xf>
    <xf numFmtId="0" fontId="17" fillId="4" borderId="23" xfId="5" applyFont="1" applyFill="1" applyBorder="1" applyAlignment="1" applyProtection="1">
      <alignment horizontal="left" vertical="center" wrapText="1"/>
    </xf>
    <xf numFmtId="0" fontId="17" fillId="3" borderId="0" xfId="5" applyFont="1" applyFill="1" applyAlignment="1" applyProtection="1">
      <alignment vertical="center"/>
    </xf>
    <xf numFmtId="49" fontId="8" fillId="3" borderId="0" xfId="5" applyNumberFormat="1" applyFont="1" applyFill="1" applyAlignment="1" applyProtection="1">
      <alignment vertical="center" wrapText="1"/>
    </xf>
    <xf numFmtId="49" fontId="30" fillId="4" borderId="0" xfId="5" applyNumberFormat="1" applyFont="1" applyFill="1" applyBorder="1" applyAlignment="1" applyProtection="1">
      <alignment vertical="center" wrapText="1"/>
    </xf>
    <xf numFmtId="49" fontId="30" fillId="4" borderId="0" xfId="5" applyNumberFormat="1" applyFont="1" applyFill="1" applyBorder="1" applyAlignment="1" applyProtection="1">
      <alignment vertical="center"/>
    </xf>
    <xf numFmtId="0" fontId="17" fillId="4" borderId="23" xfId="5" applyFont="1" applyFill="1" applyBorder="1" applyAlignment="1" applyProtection="1">
      <alignment vertical="center"/>
    </xf>
    <xf numFmtId="0" fontId="31" fillId="3" borderId="0" xfId="5" applyFont="1" applyFill="1" applyAlignment="1" applyProtection="1">
      <alignment vertical="center" wrapText="1"/>
    </xf>
    <xf numFmtId="0" fontId="29" fillId="3" borderId="0" xfId="2" applyNumberFormat="1" applyFont="1" applyFill="1" applyAlignment="1" applyProtection="1">
      <alignment horizontal="left" vertical="center" wrapText="1"/>
    </xf>
    <xf numFmtId="0" fontId="5" fillId="5" borderId="0" xfId="0" applyFont="1" applyFill="1" applyAlignment="1" applyProtection="1">
      <alignment vertical="center"/>
    </xf>
    <xf numFmtId="0" fontId="5" fillId="5" borderId="0" xfId="0" applyFont="1" applyFill="1" applyAlignment="1" applyProtection="1">
      <alignment horizontal="left" vertical="center"/>
    </xf>
    <xf numFmtId="0" fontId="5" fillId="0" borderId="0" xfId="0" applyFont="1" applyAlignment="1" applyProtection="1">
      <alignment vertical="center"/>
    </xf>
    <xf numFmtId="0" fontId="10" fillId="5" borderId="0" xfId="0" applyFont="1" applyFill="1" applyBorder="1" applyAlignment="1" applyProtection="1">
      <alignment vertical="center"/>
    </xf>
    <xf numFmtId="0" fontId="11" fillId="5" borderId="0" xfId="0" applyFont="1" applyFill="1" applyAlignment="1" applyProtection="1">
      <alignment vertical="center"/>
    </xf>
    <xf numFmtId="0" fontId="10" fillId="5" borderId="0" xfId="0" applyFont="1" applyFill="1" applyAlignment="1" applyProtection="1">
      <alignment vertical="center" wrapText="1"/>
    </xf>
    <xf numFmtId="0" fontId="10" fillId="5" borderId="0" xfId="0" applyFont="1" applyFill="1" applyAlignment="1" applyProtection="1">
      <alignment horizontal="left" vertical="center" wrapText="1"/>
    </xf>
    <xf numFmtId="0" fontId="0" fillId="0" borderId="0" xfId="0" applyProtection="1"/>
    <xf numFmtId="0" fontId="5" fillId="0" borderId="0" xfId="0" applyFont="1" applyProtection="1"/>
    <xf numFmtId="0" fontId="5" fillId="0" borderId="0" xfId="0" applyFont="1" applyAlignment="1" applyProtection="1">
      <alignment horizontal="right"/>
    </xf>
    <xf numFmtId="0" fontId="5" fillId="0" borderId="0" xfId="0" applyFont="1" applyFill="1" applyBorder="1" applyProtection="1"/>
    <xf numFmtId="0" fontId="5" fillId="0" borderId="0" xfId="0" applyFont="1" applyBorder="1" applyAlignment="1" applyProtection="1">
      <alignment vertical="center"/>
    </xf>
    <xf numFmtId="0" fontId="9" fillId="0" borderId="0" xfId="0" applyFont="1" applyBorder="1" applyAlignment="1" applyProtection="1">
      <alignment vertical="center"/>
    </xf>
    <xf numFmtId="0" fontId="5" fillId="2" borderId="11" xfId="0" applyFont="1" applyFill="1" applyBorder="1" applyProtection="1"/>
    <xf numFmtId="0" fontId="5" fillId="2" borderId="12" xfId="0" applyFont="1" applyFill="1" applyBorder="1" applyAlignment="1" applyProtection="1">
      <alignment horizontal="center" vertical="center" wrapText="1"/>
    </xf>
    <xf numFmtId="0" fontId="5" fillId="2" borderId="13" xfId="0" applyFont="1" applyFill="1" applyBorder="1" applyAlignment="1" applyProtection="1">
      <alignment horizontal="center" vertical="center" wrapText="1"/>
    </xf>
    <xf numFmtId="0" fontId="5" fillId="0" borderId="6" xfId="0" applyFont="1" applyBorder="1" applyAlignment="1" applyProtection="1">
      <alignment horizontal="center" vertical="center" wrapText="1"/>
    </xf>
    <xf numFmtId="0" fontId="12" fillId="0" borderId="2" xfId="0" applyFont="1" applyBorder="1" applyAlignment="1" applyProtection="1">
      <alignment horizontal="left" vertical="center" indent="1"/>
    </xf>
    <xf numFmtId="1" fontId="12" fillId="0" borderId="4" xfId="0" applyNumberFormat="1" applyFont="1" applyFill="1" applyBorder="1" applyAlignment="1" applyProtection="1">
      <alignment horizontal="center" vertical="center"/>
    </xf>
    <xf numFmtId="0" fontId="5" fillId="0" borderId="6" xfId="0" applyFont="1" applyBorder="1" applyAlignment="1" applyProtection="1">
      <alignment horizontal="center" vertical="center"/>
    </xf>
    <xf numFmtId="0" fontId="12" fillId="0" borderId="5" xfId="0" applyFont="1" applyBorder="1" applyAlignment="1" applyProtection="1">
      <alignment horizontal="left" vertical="center" indent="1"/>
    </xf>
    <xf numFmtId="1" fontId="12" fillId="0" borderId="7" xfId="0" applyNumberFormat="1" applyFont="1" applyFill="1" applyBorder="1" applyAlignment="1" applyProtection="1">
      <alignment horizontal="center" vertical="center"/>
    </xf>
    <xf numFmtId="0" fontId="12" fillId="0" borderId="15" xfId="0" applyFont="1" applyBorder="1" applyAlignment="1" applyProtection="1">
      <alignment horizontal="left" vertical="center" indent="1"/>
    </xf>
    <xf numFmtId="1" fontId="12" fillId="0" borderId="17" xfId="0" applyNumberFormat="1" applyFont="1" applyFill="1" applyBorder="1" applyAlignment="1" applyProtection="1">
      <alignment horizontal="center" vertical="center"/>
    </xf>
    <xf numFmtId="0" fontId="12" fillId="0" borderId="4" xfId="0" applyFont="1" applyFill="1" applyBorder="1" applyAlignment="1" applyProtection="1">
      <alignment horizontal="center" vertical="center"/>
    </xf>
    <xf numFmtId="3" fontId="12" fillId="0" borderId="7" xfId="0" applyNumberFormat="1" applyFont="1" applyFill="1" applyBorder="1" applyAlignment="1" applyProtection="1">
      <alignment horizontal="right" vertical="center"/>
    </xf>
    <xf numFmtId="3" fontId="12" fillId="0" borderId="10" xfId="0" applyNumberFormat="1" applyFont="1" applyFill="1" applyBorder="1" applyAlignment="1" applyProtection="1">
      <alignment horizontal="right" vertical="center"/>
    </xf>
    <xf numFmtId="3" fontId="12" fillId="3" borderId="13" xfId="0" applyNumberFormat="1" applyFont="1" applyFill="1" applyBorder="1" applyAlignment="1" applyProtection="1">
      <alignment horizontal="right" vertical="center"/>
      <protection locked="0"/>
    </xf>
    <xf numFmtId="3" fontId="12" fillId="3" borderId="3" xfId="0" applyNumberFormat="1" applyFont="1" applyFill="1" applyBorder="1" applyAlignment="1" applyProtection="1">
      <alignment vertical="center"/>
      <protection locked="0"/>
    </xf>
    <xf numFmtId="3" fontId="12" fillId="3" borderId="6" xfId="0" applyNumberFormat="1" applyFont="1" applyFill="1" applyBorder="1" applyAlignment="1" applyProtection="1">
      <alignment vertical="center"/>
      <protection locked="0"/>
    </xf>
    <xf numFmtId="3" fontId="12" fillId="3" borderId="16" xfId="0" applyNumberFormat="1" applyFont="1" applyFill="1" applyBorder="1" applyAlignment="1" applyProtection="1">
      <alignment vertical="center"/>
      <protection locked="0"/>
    </xf>
    <xf numFmtId="0" fontId="12" fillId="0" borderId="13" xfId="0" applyFont="1" applyFill="1" applyBorder="1" applyAlignment="1" applyProtection="1">
      <alignment horizontal="right" vertical="center"/>
    </xf>
    <xf numFmtId="0" fontId="9" fillId="0" borderId="0" xfId="0" applyFont="1" applyBorder="1" applyAlignment="1" applyProtection="1">
      <alignment vertical="top"/>
    </xf>
    <xf numFmtId="0" fontId="5" fillId="0" borderId="0" xfId="0" applyFont="1" applyBorder="1" applyAlignment="1" applyProtection="1">
      <alignment vertical="top"/>
    </xf>
    <xf numFmtId="0" fontId="9" fillId="0" borderId="0" xfId="0" applyFont="1" applyAlignment="1" applyProtection="1">
      <alignment vertical="center"/>
    </xf>
    <xf numFmtId="164" fontId="5" fillId="0" borderId="0" xfId="0" applyNumberFormat="1" applyFont="1" applyAlignment="1" applyProtection="1">
      <alignment vertical="center"/>
    </xf>
    <xf numFmtId="0" fontId="12" fillId="0" borderId="3" xfId="0" applyFont="1" applyFill="1" applyBorder="1" applyAlignment="1" applyProtection="1">
      <alignment horizontal="center" vertical="center"/>
    </xf>
    <xf numFmtId="0" fontId="12" fillId="0" borderId="6" xfId="0" applyFont="1" applyFill="1" applyBorder="1" applyAlignment="1" applyProtection="1">
      <alignment horizontal="center" vertical="center"/>
    </xf>
    <xf numFmtId="0" fontId="12" fillId="0" borderId="9" xfId="0" applyFont="1" applyFill="1" applyBorder="1" applyAlignment="1" applyProtection="1">
      <alignment horizontal="center" vertical="center"/>
    </xf>
    <xf numFmtId="3" fontId="12" fillId="0" borderId="4" xfId="0" applyNumberFormat="1" applyFont="1" applyFill="1" applyBorder="1" applyAlignment="1" applyProtection="1">
      <alignment horizontal="right" vertical="center"/>
    </xf>
    <xf numFmtId="3" fontId="12" fillId="3" borderId="3" xfId="0" applyNumberFormat="1" applyFont="1" applyFill="1" applyBorder="1" applyAlignment="1" applyProtection="1">
      <alignment horizontal="right" vertical="center"/>
      <protection locked="0"/>
    </xf>
    <xf numFmtId="0" fontId="12" fillId="3" borderId="3" xfId="0" applyFont="1" applyFill="1" applyBorder="1" applyAlignment="1" applyProtection="1">
      <alignment vertical="center"/>
      <protection locked="0"/>
    </xf>
    <xf numFmtId="3" fontId="12" fillId="3" borderId="6" xfId="0" applyNumberFormat="1" applyFont="1" applyFill="1" applyBorder="1" applyAlignment="1" applyProtection="1">
      <alignment horizontal="right" vertical="center"/>
      <protection locked="0"/>
    </xf>
    <xf numFmtId="0" fontId="12" fillId="3" borderId="6" xfId="0" applyFont="1" applyFill="1" applyBorder="1" applyAlignment="1" applyProtection="1">
      <alignment vertical="center"/>
      <protection locked="0"/>
    </xf>
    <xf numFmtId="3" fontId="12" fillId="3" borderId="9" xfId="0" applyNumberFormat="1" applyFont="1" applyFill="1" applyBorder="1" applyAlignment="1" applyProtection="1">
      <alignment horizontal="right" vertical="center"/>
      <protection locked="0"/>
    </xf>
    <xf numFmtId="0" fontId="12" fillId="3" borderId="9" xfId="0" applyFont="1" applyFill="1" applyBorder="1" applyAlignment="1" applyProtection="1">
      <alignment vertical="center"/>
      <protection locked="0"/>
    </xf>
    <xf numFmtId="0" fontId="12" fillId="3" borderId="3" xfId="0" applyFont="1" applyFill="1" applyBorder="1" applyAlignment="1" applyProtection="1">
      <alignment horizontal="left" vertical="center"/>
      <protection locked="0"/>
    </xf>
    <xf numFmtId="0" fontId="12" fillId="3" borderId="6" xfId="0" applyFont="1" applyFill="1" applyBorder="1" applyAlignment="1" applyProtection="1">
      <alignment horizontal="left" vertical="center"/>
      <protection locked="0"/>
    </xf>
    <xf numFmtId="0" fontId="12" fillId="3" borderId="9" xfId="0" applyFont="1" applyFill="1" applyBorder="1" applyAlignment="1" applyProtection="1">
      <alignment horizontal="left" vertical="center"/>
      <protection locked="0"/>
    </xf>
    <xf numFmtId="0" fontId="17" fillId="4" borderId="19" xfId="5" applyFont="1" applyFill="1" applyBorder="1" applyAlignment="1" applyProtection="1">
      <alignment vertical="center"/>
    </xf>
    <xf numFmtId="0" fontId="17" fillId="4" borderId="20" xfId="5" applyFont="1" applyFill="1" applyBorder="1" applyAlignment="1" applyProtection="1">
      <alignment vertical="center"/>
    </xf>
    <xf numFmtId="0" fontId="17" fillId="4" borderId="21" xfId="5" applyFont="1" applyFill="1" applyBorder="1" applyAlignment="1" applyProtection="1">
      <alignment vertical="center"/>
    </xf>
    <xf numFmtId="0" fontId="28" fillId="4" borderId="0" xfId="5" applyFont="1" applyFill="1" applyBorder="1" applyAlignment="1" applyProtection="1">
      <alignment horizontal="left" vertical="center"/>
    </xf>
    <xf numFmtId="0" fontId="18" fillId="4" borderId="23" xfId="5" applyFont="1" applyFill="1" applyBorder="1" applyAlignment="1" applyProtection="1">
      <alignment vertical="center"/>
    </xf>
    <xf numFmtId="0" fontId="18" fillId="3" borderId="0" xfId="5" applyFont="1" applyFill="1" applyAlignment="1" applyProtection="1">
      <alignment vertical="center"/>
    </xf>
    <xf numFmtId="49" fontId="29" fillId="4" borderId="0" xfId="5" applyNumberFormat="1" applyFont="1" applyFill="1" applyBorder="1" applyAlignment="1" applyProtection="1">
      <alignment vertical="center"/>
    </xf>
    <xf numFmtId="0" fontId="17" fillId="4" borderId="0" xfId="5" applyFont="1" applyFill="1" applyAlignment="1" applyProtection="1">
      <alignment vertical="center"/>
    </xf>
    <xf numFmtId="0" fontId="5" fillId="0" borderId="0" xfId="0" applyFont="1" applyAlignment="1" applyProtection="1">
      <alignment horizontal="left" vertical="center"/>
    </xf>
    <xf numFmtId="3" fontId="12" fillId="0" borderId="1" xfId="0" applyNumberFormat="1" applyFont="1" applyFill="1" applyBorder="1" applyAlignment="1" applyProtection="1">
      <alignment horizontal="right" vertical="center"/>
    </xf>
    <xf numFmtId="9" fontId="12" fillId="0" borderId="1" xfId="0" applyNumberFormat="1" applyFont="1" applyFill="1" applyBorder="1" applyAlignment="1" applyProtection="1">
      <alignment horizontal="center" vertical="center"/>
    </xf>
    <xf numFmtId="0" fontId="17" fillId="4" borderId="24" xfId="5" applyFont="1" applyFill="1" applyBorder="1" applyAlignment="1" applyProtection="1">
      <alignment vertical="center"/>
    </xf>
    <xf numFmtId="0" fontId="17" fillId="4" borderId="14" xfId="5" applyFont="1" applyFill="1" applyBorder="1" applyAlignment="1" applyProtection="1">
      <alignment vertical="center"/>
    </xf>
    <xf numFmtId="0" fontId="17" fillId="4" borderId="25" xfId="5" applyFont="1" applyFill="1" applyBorder="1" applyAlignment="1" applyProtection="1">
      <alignment vertical="center"/>
    </xf>
    <xf numFmtId="0" fontId="29" fillId="3" borderId="0" xfId="5" applyNumberFormat="1" applyFont="1" applyFill="1" applyAlignment="1" applyProtection="1">
      <alignment vertical="top" wrapText="1"/>
    </xf>
    <xf numFmtId="0" fontId="17" fillId="3" borderId="0" xfId="5" applyFont="1" applyFill="1" applyBorder="1" applyAlignment="1" applyProtection="1">
      <alignment vertical="center"/>
    </xf>
    <xf numFmtId="0" fontId="10" fillId="0" borderId="0" xfId="0" applyFont="1" applyAlignment="1" applyProtection="1">
      <alignment vertical="center"/>
      <protection hidden="1"/>
    </xf>
    <xf numFmtId="0" fontId="12" fillId="3" borderId="2" xfId="0" applyFont="1" applyFill="1" applyBorder="1" applyAlignment="1" applyProtection="1">
      <alignment horizontal="left" vertical="center"/>
      <protection locked="0"/>
    </xf>
    <xf numFmtId="0" fontId="12" fillId="3" borderId="5" xfId="0" applyFont="1" applyFill="1" applyBorder="1" applyAlignment="1" applyProtection="1">
      <alignment horizontal="left" vertical="center"/>
      <protection locked="0"/>
    </xf>
    <xf numFmtId="0" fontId="12" fillId="3" borderId="8" xfId="0" applyFont="1" applyFill="1" applyBorder="1" applyAlignment="1" applyProtection="1">
      <alignment horizontal="left" vertical="center"/>
      <protection locked="0"/>
    </xf>
    <xf numFmtId="0" fontId="12" fillId="0" borderId="4" xfId="0" applyFont="1" applyFill="1" applyBorder="1" applyAlignment="1">
      <alignment horizontal="center" vertical="center"/>
    </xf>
    <xf numFmtId="0" fontId="12" fillId="0" borderId="7" xfId="0" applyFont="1" applyFill="1" applyBorder="1" applyAlignment="1">
      <alignment horizontal="center" vertical="center"/>
    </xf>
    <xf numFmtId="0" fontId="15" fillId="0" borderId="4" xfId="0" applyFont="1" applyFill="1" applyBorder="1" applyAlignment="1">
      <alignment horizontal="center" vertical="center"/>
    </xf>
    <xf numFmtId="0" fontId="15" fillId="0" borderId="7" xfId="0" applyFont="1" applyFill="1" applyBorder="1" applyAlignment="1">
      <alignment horizontal="center" vertical="center"/>
    </xf>
    <xf numFmtId="0" fontId="3" fillId="2" borderId="9" xfId="0" applyFont="1" applyFill="1" applyBorder="1" applyAlignment="1">
      <alignment horizontal="center" vertical="center" wrapText="1"/>
    </xf>
    <xf numFmtId="0" fontId="3" fillId="7"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29" fillId="3" borderId="0" xfId="6" applyFont="1" applyFill="1" applyProtection="1"/>
    <xf numFmtId="0" fontId="29" fillId="0" borderId="22" xfId="6" applyFont="1" applyFill="1" applyBorder="1" applyAlignment="1" applyProtection="1">
      <alignment vertical="center"/>
    </xf>
    <xf numFmtId="0" fontId="29" fillId="0" borderId="0" xfId="6" applyFont="1" applyFill="1" applyBorder="1" applyAlignment="1" applyProtection="1">
      <alignment vertical="center"/>
    </xf>
    <xf numFmtId="0" fontId="33" fillId="0" borderId="0" xfId="6" applyFont="1" applyFill="1" applyBorder="1" applyAlignment="1" applyProtection="1">
      <alignment horizontal="left" vertical="center" indent="1"/>
    </xf>
    <xf numFmtId="0" fontId="17" fillId="0" borderId="0" xfId="6" applyFont="1" applyFill="1" applyBorder="1" applyAlignment="1" applyProtection="1">
      <alignment vertical="center"/>
    </xf>
    <xf numFmtId="0" fontId="29" fillId="0" borderId="0" xfId="6" applyFont="1" applyFill="1" applyBorder="1" applyProtection="1"/>
    <xf numFmtId="0" fontId="17" fillId="0" borderId="23" xfId="6" applyFill="1" applyBorder="1" applyProtection="1"/>
    <xf numFmtId="0" fontId="6" fillId="3" borderId="0" xfId="4" applyFill="1" applyBorder="1" applyAlignment="1" applyProtection="1">
      <alignment horizontal="left"/>
    </xf>
    <xf numFmtId="0" fontId="17" fillId="3" borderId="0" xfId="6" applyFill="1" applyBorder="1" applyProtection="1"/>
    <xf numFmtId="0" fontId="17" fillId="0" borderId="22" xfId="7" applyFill="1" applyBorder="1" applyProtection="1"/>
    <xf numFmtId="0" fontId="16" fillId="0" borderId="0" xfId="7" applyFont="1" applyFill="1" applyBorder="1" applyAlignment="1" applyProtection="1">
      <alignment horizontal="left" vertical="top"/>
    </xf>
    <xf numFmtId="0" fontId="17" fillId="0" borderId="0" xfId="6" applyFill="1" applyBorder="1" applyProtection="1"/>
    <xf numFmtId="0" fontId="18" fillId="0" borderId="0" xfId="4" applyNumberFormat="1" applyFont="1" applyFill="1" applyBorder="1" applyAlignment="1" applyProtection="1">
      <alignment horizontal="left" vertical="top"/>
    </xf>
    <xf numFmtId="0" fontId="17" fillId="0" borderId="0" xfId="4" applyNumberFormat="1" applyFont="1" applyFill="1" applyBorder="1" applyAlignment="1" applyProtection="1">
      <alignment horizontal="left" vertical="top" wrapText="1"/>
    </xf>
    <xf numFmtId="0" fontId="17" fillId="0" borderId="0" xfId="7" applyFill="1" applyBorder="1" applyProtection="1"/>
    <xf numFmtId="0" fontId="17" fillId="0" borderId="23" xfId="7" applyFill="1" applyBorder="1" applyProtection="1"/>
    <xf numFmtId="0" fontId="17" fillId="3" borderId="0" xfId="6" applyFill="1" applyBorder="1" applyAlignment="1" applyProtection="1">
      <alignment horizontal="left"/>
    </xf>
    <xf numFmtId="0" fontId="17" fillId="3" borderId="0" xfId="7" applyFill="1" applyBorder="1" applyProtection="1"/>
    <xf numFmtId="0" fontId="15" fillId="0" borderId="0" xfId="4" applyNumberFormat="1" applyFont="1" applyFill="1" applyBorder="1" applyAlignment="1" applyProtection="1">
      <alignment vertical="top" wrapText="1"/>
    </xf>
    <xf numFmtId="0" fontId="17" fillId="0" borderId="0" xfId="4" applyNumberFormat="1" applyFont="1" applyFill="1" applyBorder="1" applyAlignment="1" applyProtection="1">
      <alignment vertical="top"/>
    </xf>
    <xf numFmtId="0" fontId="15" fillId="3" borderId="1" xfId="4" applyNumberFormat="1" applyFont="1" applyFill="1" applyBorder="1" applyAlignment="1" applyProtection="1">
      <alignment horizontal="left" vertical="center" indent="1"/>
      <protection locked="0"/>
    </xf>
    <xf numFmtId="0" fontId="17" fillId="3" borderId="0" xfId="7" applyFill="1" applyBorder="1" applyAlignment="1" applyProtection="1">
      <alignment horizontal="left"/>
    </xf>
    <xf numFmtId="0" fontId="2" fillId="3" borderId="0" xfId="7" applyFont="1" applyFill="1" applyBorder="1" applyAlignment="1" applyProtection="1">
      <alignment vertical="center"/>
    </xf>
    <xf numFmtId="0" fontId="2" fillId="0" borderId="22" xfId="7" applyFont="1" applyFill="1" applyBorder="1" applyAlignment="1" applyProtection="1">
      <alignment vertical="center"/>
    </xf>
    <xf numFmtId="0" fontId="9" fillId="0" borderId="0" xfId="7" applyFont="1" applyFill="1" applyBorder="1" applyAlignment="1" applyProtection="1">
      <alignment horizontal="left" vertical="center"/>
    </xf>
    <xf numFmtId="0" fontId="17" fillId="0" borderId="0" xfId="4" applyNumberFormat="1" applyFont="1" applyFill="1" applyBorder="1" applyAlignment="1" applyProtection="1">
      <alignment vertical="center" wrapText="1"/>
    </xf>
    <xf numFmtId="0" fontId="15" fillId="0" borderId="0" xfId="4" applyNumberFormat="1" applyFont="1" applyFill="1" applyBorder="1" applyAlignment="1" applyProtection="1">
      <alignment vertical="center"/>
    </xf>
    <xf numFmtId="0" fontId="2" fillId="0" borderId="0" xfId="6" applyFont="1" applyFill="1" applyBorder="1" applyAlignment="1" applyProtection="1">
      <alignment vertical="center"/>
    </xf>
    <xf numFmtId="0" fontId="6" fillId="0" borderId="23" xfId="4" applyFill="1" applyBorder="1" applyProtection="1"/>
    <xf numFmtId="0" fontId="18" fillId="4" borderId="0" xfId="2" applyNumberFormat="1" applyFont="1" applyFill="1" applyBorder="1" applyAlignment="1" applyProtection="1">
      <alignment horizontal="left" vertical="top"/>
    </xf>
    <xf numFmtId="0" fontId="2" fillId="0" borderId="6" xfId="4" applyFont="1" applyFill="1" applyBorder="1" applyAlignment="1" applyProtection="1">
      <alignment horizontal="left" vertical="center"/>
    </xf>
    <xf numFmtId="0" fontId="12" fillId="3" borderId="6" xfId="4" applyFont="1" applyFill="1" applyBorder="1" applyAlignment="1" applyProtection="1">
      <alignment horizontal="left" vertical="center"/>
    </xf>
    <xf numFmtId="0" fontId="0" fillId="3" borderId="0" xfId="4" applyFont="1" applyFill="1" applyBorder="1" applyAlignment="1" applyProtection="1">
      <alignment horizontal="left"/>
    </xf>
    <xf numFmtId="3" fontId="5" fillId="0" borderId="0" xfId="0" applyNumberFormat="1" applyFont="1" applyAlignment="1" applyProtection="1">
      <alignment vertical="center"/>
    </xf>
    <xf numFmtId="0" fontId="1" fillId="2" borderId="37" xfId="0" applyFont="1" applyFill="1" applyBorder="1" applyAlignment="1" applyProtection="1">
      <alignment horizontal="center" wrapText="1"/>
    </xf>
    <xf numFmtId="0" fontId="10" fillId="5" borderId="0" xfId="0" applyFont="1" applyFill="1" applyAlignment="1" applyProtection="1">
      <alignment vertical="center"/>
    </xf>
    <xf numFmtId="0" fontId="35" fillId="0" borderId="0" xfId="0" applyFont="1" applyProtection="1"/>
    <xf numFmtId="0" fontId="10" fillId="0" borderId="0" xfId="0" applyFont="1" applyProtection="1"/>
    <xf numFmtId="0" fontId="10" fillId="0" borderId="0" xfId="0" applyFont="1" applyBorder="1" applyAlignment="1" applyProtection="1">
      <alignment vertical="center"/>
    </xf>
    <xf numFmtId="0" fontId="7" fillId="0" borderId="0" xfId="0" applyFont="1" applyAlignment="1" applyProtection="1">
      <alignment vertical="center"/>
    </xf>
    <xf numFmtId="0" fontId="10" fillId="0" borderId="0" xfId="0" applyFont="1" applyAlignment="1" applyProtection="1">
      <alignment vertical="center"/>
    </xf>
    <xf numFmtId="9" fontId="12" fillId="0" borderId="40" xfId="0" applyNumberFormat="1" applyFont="1" applyFill="1" applyBorder="1" applyAlignment="1" applyProtection="1">
      <alignment horizontal="center" vertical="center"/>
    </xf>
    <xf numFmtId="9" fontId="12" fillId="0" borderId="41" xfId="0" applyNumberFormat="1" applyFont="1" applyFill="1" applyBorder="1" applyAlignment="1" applyProtection="1">
      <alignment horizontal="center" vertical="center"/>
    </xf>
    <xf numFmtId="0" fontId="5" fillId="2" borderId="42" xfId="0" applyFont="1" applyFill="1" applyBorder="1" applyAlignment="1" applyProtection="1">
      <alignment horizontal="center" vertical="top" wrapText="1"/>
    </xf>
    <xf numFmtId="1" fontId="12" fillId="0" borderId="4" xfId="0" applyNumberFormat="1" applyFont="1" applyFill="1" applyBorder="1" applyAlignment="1" applyProtection="1">
      <alignment horizontal="right" vertical="center"/>
    </xf>
    <xf numFmtId="1" fontId="12" fillId="0" borderId="7" xfId="0" applyNumberFormat="1" applyFont="1" applyFill="1" applyBorder="1" applyAlignment="1" applyProtection="1">
      <alignment horizontal="right" vertical="center"/>
    </xf>
    <xf numFmtId="1" fontId="12" fillId="0" borderId="40" xfId="0" applyNumberFormat="1" applyFont="1" applyFill="1" applyBorder="1" applyAlignment="1" applyProtection="1">
      <alignment horizontal="right" vertical="center"/>
    </xf>
    <xf numFmtId="164" fontId="5" fillId="0" borderId="22" xfId="0" applyNumberFormat="1" applyFont="1" applyBorder="1" applyAlignment="1" applyProtection="1">
      <alignment vertical="center"/>
    </xf>
    <xf numFmtId="1" fontId="12" fillId="0" borderId="43" xfId="0" applyNumberFormat="1" applyFont="1" applyFill="1" applyBorder="1" applyAlignment="1" applyProtection="1">
      <alignment horizontal="right" vertical="center"/>
    </xf>
    <xf numFmtId="0" fontId="5" fillId="7" borderId="2" xfId="0" applyFont="1" applyFill="1" applyBorder="1" applyAlignment="1">
      <alignment horizontal="center" vertical="center"/>
    </xf>
    <xf numFmtId="0" fontId="5" fillId="7" borderId="3" xfId="0" applyFont="1" applyFill="1" applyBorder="1" applyAlignment="1">
      <alignment horizontal="center" vertical="center"/>
    </xf>
    <xf numFmtId="0" fontId="5" fillId="7" borderId="8" xfId="0" applyFont="1" applyFill="1" applyBorder="1" applyAlignment="1">
      <alignment horizontal="center" vertical="center"/>
    </xf>
    <xf numFmtId="0" fontId="5" fillId="7" borderId="9" xfId="0" applyFont="1" applyFill="1" applyBorder="1" applyAlignment="1">
      <alignment horizontal="center" vertical="center"/>
    </xf>
    <xf numFmtId="0" fontId="12" fillId="0" borderId="2" xfId="0" applyFont="1" applyFill="1" applyBorder="1" applyAlignment="1">
      <alignment horizontal="left" vertical="center" indent="1"/>
    </xf>
    <xf numFmtId="0" fontId="12" fillId="0" borderId="3" xfId="0" applyFont="1" applyFill="1" applyBorder="1" applyAlignment="1">
      <alignment horizontal="left" vertical="center" indent="1"/>
    </xf>
    <xf numFmtId="0" fontId="12" fillId="0" borderId="5" xfId="0" applyFont="1" applyFill="1" applyBorder="1" applyAlignment="1">
      <alignment horizontal="left" vertical="center" indent="1"/>
    </xf>
    <xf numFmtId="0" fontId="12" fillId="0" borderId="6" xfId="0" applyFont="1" applyFill="1" applyBorder="1" applyAlignment="1">
      <alignment horizontal="left" vertical="center" indent="1"/>
    </xf>
    <xf numFmtId="0" fontId="12" fillId="0" borderId="20" xfId="0" applyFont="1" applyFill="1" applyBorder="1" applyAlignment="1">
      <alignment horizontal="left" vertical="center" wrapText="1"/>
    </xf>
    <xf numFmtId="0" fontId="12" fillId="0" borderId="14" xfId="0" applyFont="1" applyBorder="1" applyAlignment="1">
      <alignment horizontal="left" vertical="top" wrapText="1"/>
    </xf>
    <xf numFmtId="0" fontId="12" fillId="0" borderId="8" xfId="0" applyFont="1" applyFill="1" applyBorder="1" applyAlignment="1">
      <alignment horizontal="left" vertical="center" indent="1"/>
    </xf>
    <xf numFmtId="0" fontId="12" fillId="0" borderId="9" xfId="0" applyFont="1" applyFill="1" applyBorder="1" applyAlignment="1">
      <alignment horizontal="left" vertical="center" indent="1"/>
    </xf>
    <xf numFmtId="0" fontId="12" fillId="0" borderId="33" xfId="0" applyFont="1" applyFill="1" applyBorder="1" applyAlignment="1">
      <alignment horizontal="left" vertical="center" wrapText="1" indent="1"/>
    </xf>
    <xf numFmtId="0" fontId="12" fillId="0" borderId="34" xfId="0" applyFont="1" applyFill="1" applyBorder="1" applyAlignment="1">
      <alignment horizontal="left" vertical="center" wrapText="1" indent="1"/>
    </xf>
    <xf numFmtId="0" fontId="12" fillId="0" borderId="28" xfId="0" applyFont="1" applyFill="1" applyBorder="1" applyAlignment="1">
      <alignment horizontal="left" vertical="center" wrapText="1" indent="1"/>
    </xf>
    <xf numFmtId="0" fontId="12" fillId="0" borderId="20" xfId="0" applyFont="1" applyFill="1" applyBorder="1" applyAlignment="1">
      <alignment vertical="center" wrapText="1"/>
    </xf>
    <xf numFmtId="0" fontId="5" fillId="7" borderId="3" xfId="0" applyFont="1" applyFill="1" applyBorder="1" applyAlignment="1">
      <alignment horizontal="center"/>
    </xf>
    <xf numFmtId="0" fontId="5" fillId="7" borderId="4" xfId="0" applyFont="1" applyFill="1" applyBorder="1" applyAlignment="1">
      <alignment horizontal="center"/>
    </xf>
    <xf numFmtId="0" fontId="5" fillId="7" borderId="11" xfId="0" applyFont="1" applyFill="1" applyBorder="1" applyAlignment="1">
      <alignment horizontal="center" vertical="center"/>
    </xf>
    <xf numFmtId="0" fontId="5" fillId="7" borderId="12" xfId="0" applyFont="1" applyFill="1" applyBorder="1" applyAlignment="1">
      <alignment horizontal="center" vertical="center"/>
    </xf>
    <xf numFmtId="0" fontId="12" fillId="0" borderId="29" xfId="0" applyFont="1" applyFill="1" applyBorder="1" applyAlignment="1">
      <alignment horizontal="left" vertical="center" wrapText="1" indent="1"/>
    </xf>
    <xf numFmtId="0" fontId="12" fillId="0" borderId="30" xfId="0" applyFont="1" applyFill="1" applyBorder="1" applyAlignment="1">
      <alignment horizontal="left" vertical="center" wrapText="1" indent="1"/>
    </xf>
    <xf numFmtId="0" fontId="12" fillId="0" borderId="26" xfId="0" applyFont="1" applyFill="1" applyBorder="1" applyAlignment="1">
      <alignment horizontal="left" vertical="center" wrapText="1" indent="1"/>
    </xf>
    <xf numFmtId="0" fontId="5" fillId="7" borderId="4"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4" xfId="0" applyFont="1" applyFill="1" applyBorder="1" applyAlignment="1">
      <alignment horizontal="center" vertical="center"/>
    </xf>
    <xf numFmtId="0" fontId="17" fillId="4" borderId="0" xfId="2" applyNumberFormat="1" applyFont="1" applyFill="1" applyBorder="1" applyAlignment="1" applyProtection="1">
      <alignment horizontal="left" vertical="center" wrapText="1"/>
    </xf>
    <xf numFmtId="0" fontId="13" fillId="4" borderId="0" xfId="0" applyFont="1" applyFill="1" applyBorder="1" applyAlignment="1" applyProtection="1">
      <alignment horizontal="left" vertical="top" wrapText="1"/>
    </xf>
    <xf numFmtId="0" fontId="17" fillId="4" borderId="0" xfId="2" applyNumberFormat="1" applyFont="1" applyFill="1" applyBorder="1" applyAlignment="1" applyProtection="1">
      <alignment horizontal="left" vertical="top"/>
    </xf>
    <xf numFmtId="0" fontId="15" fillId="4" borderId="0" xfId="2" applyNumberFormat="1" applyFont="1" applyFill="1" applyBorder="1" applyAlignment="1" applyProtection="1">
      <alignment horizontal="left" vertical="center"/>
    </xf>
    <xf numFmtId="0" fontId="17" fillId="4" borderId="0" xfId="2" applyNumberFormat="1" applyFont="1" applyFill="1" applyBorder="1" applyAlignment="1" applyProtection="1">
      <alignment horizontal="left" vertical="center"/>
    </xf>
    <xf numFmtId="0" fontId="5" fillId="2" borderId="8" xfId="0" applyFont="1" applyFill="1" applyBorder="1" applyAlignment="1" applyProtection="1">
      <alignment horizontal="left" vertical="center" indent="1"/>
    </xf>
    <xf numFmtId="0" fontId="5" fillId="2" borderId="9" xfId="0" applyFont="1" applyFill="1" applyBorder="1" applyAlignment="1" applyProtection="1">
      <alignment horizontal="left" vertical="center" indent="1"/>
    </xf>
    <xf numFmtId="0" fontId="5" fillId="2" borderId="11" xfId="0" applyFont="1" applyFill="1" applyBorder="1" applyAlignment="1" applyProtection="1">
      <alignment horizontal="left" vertical="center" indent="1"/>
    </xf>
    <xf numFmtId="0" fontId="5" fillId="2" borderId="12" xfId="0" applyFont="1" applyFill="1" applyBorder="1" applyAlignment="1" applyProtection="1">
      <alignment horizontal="left" vertical="center" indent="1"/>
    </xf>
    <xf numFmtId="0" fontId="5" fillId="2" borderId="5" xfId="0" applyFont="1" applyFill="1" applyBorder="1" applyAlignment="1" applyProtection="1">
      <alignment horizontal="left" vertical="center" indent="1"/>
    </xf>
    <xf numFmtId="0" fontId="5" fillId="2" borderId="6" xfId="0" applyFont="1" applyFill="1" applyBorder="1" applyAlignment="1" applyProtection="1">
      <alignment horizontal="left" vertical="center" indent="1"/>
    </xf>
    <xf numFmtId="0" fontId="5" fillId="0" borderId="14" xfId="0" applyFont="1" applyBorder="1" applyAlignment="1" applyProtection="1">
      <alignment horizontal="left" vertical="top" wrapText="1"/>
    </xf>
    <xf numFmtId="0" fontId="5" fillId="2" borderId="2" xfId="0" applyFont="1" applyFill="1" applyBorder="1" applyAlignment="1" applyProtection="1">
      <alignment horizontal="left" vertical="center" indent="1"/>
    </xf>
    <xf numFmtId="0" fontId="5" fillId="2" borderId="3" xfId="0" applyFont="1" applyFill="1" applyBorder="1" applyAlignment="1" applyProtection="1">
      <alignment horizontal="left" vertical="center" indent="1"/>
    </xf>
    <xf numFmtId="0" fontId="5" fillId="2" borderId="29" xfId="0" applyFont="1" applyFill="1" applyBorder="1" applyAlignment="1" applyProtection="1">
      <alignment horizontal="left" vertical="center" indent="1"/>
    </xf>
    <xf numFmtId="0" fontId="5" fillId="2" borderId="30" xfId="0" applyFont="1" applyFill="1" applyBorder="1" applyAlignment="1" applyProtection="1">
      <alignment horizontal="left" vertical="center" indent="1"/>
    </xf>
    <xf numFmtId="0" fontId="5" fillId="2" borderId="26" xfId="0" applyFont="1" applyFill="1" applyBorder="1" applyAlignment="1" applyProtection="1">
      <alignment horizontal="left" vertical="center" indent="1"/>
    </xf>
    <xf numFmtId="0" fontId="3" fillId="2" borderId="31" xfId="0" applyFont="1" applyFill="1" applyBorder="1" applyAlignment="1" applyProtection="1">
      <alignment horizontal="left" vertical="center" indent="1"/>
    </xf>
    <xf numFmtId="0" fontId="5" fillId="2" borderId="32" xfId="0" applyFont="1" applyFill="1" applyBorder="1" applyAlignment="1" applyProtection="1">
      <alignment horizontal="left" vertical="center" indent="1"/>
    </xf>
    <xf numFmtId="0" fontId="5" fillId="2" borderId="27" xfId="0" applyFont="1" applyFill="1" applyBorder="1" applyAlignment="1" applyProtection="1">
      <alignment horizontal="left" vertical="center" indent="1"/>
    </xf>
    <xf numFmtId="0" fontId="5" fillId="2" borderId="36" xfId="0" applyFont="1" applyFill="1" applyBorder="1" applyAlignment="1" applyProtection="1">
      <alignment horizontal="center" vertical="center" wrapText="1"/>
    </xf>
    <xf numFmtId="0" fontId="5" fillId="2" borderId="38" xfId="0" applyFont="1" applyFill="1" applyBorder="1" applyAlignment="1" applyProtection="1">
      <alignment horizontal="center" vertical="center" wrapText="1"/>
    </xf>
    <xf numFmtId="0" fontId="4" fillId="2" borderId="35" xfId="0" applyFont="1" applyFill="1" applyBorder="1" applyAlignment="1" applyProtection="1">
      <alignment horizontal="center" vertical="center" wrapText="1"/>
    </xf>
    <xf numFmtId="0" fontId="4" fillId="2" borderId="39" xfId="0" applyFont="1" applyFill="1" applyBorder="1" applyAlignment="1" applyProtection="1">
      <alignment horizontal="center" vertical="center" wrapText="1"/>
    </xf>
  </cellXfs>
  <cellStyles count="9">
    <cellStyle name="Normal" xfId="0" builtinId="0"/>
    <cellStyle name="Normal 2" xfId="1" xr:uid="{00000000-0005-0000-0000-000001000000}"/>
    <cellStyle name="Normal 2 2" xfId="2" xr:uid="{00000000-0005-0000-0000-000002000000}"/>
    <cellStyle name="Normal 2 2 2" xfId="4" xr:uid="{00000000-0005-0000-0000-000003000000}"/>
    <cellStyle name="Normal 2 2 2 2" xfId="5" xr:uid="{00000000-0005-0000-0000-000004000000}"/>
    <cellStyle name="Normal 2 3" xfId="3" xr:uid="{00000000-0005-0000-0000-000005000000}"/>
    <cellStyle name="Normal 2 3 2" xfId="7" xr:uid="{00000000-0005-0000-0000-000006000000}"/>
    <cellStyle name="Normal 5 2" xfId="8" xr:uid="{7B1C28C7-31F9-40BE-B1D4-FC1092D877C3}"/>
    <cellStyle name="Normal 5 3" xfId="6"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15523</xdr:colOff>
      <xdr:row>1</xdr:row>
      <xdr:rowOff>17641</xdr:rowOff>
    </xdr:from>
    <xdr:to>
      <xdr:col>4</xdr:col>
      <xdr:colOff>6262</xdr:colOff>
      <xdr:row>2</xdr:row>
      <xdr:rowOff>601047</xdr:rowOff>
    </xdr:to>
    <xdr:pic>
      <xdr:nvPicPr>
        <xdr:cNvPr id="2" name="Picture 1" descr="WE_color_lg.jp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77448" y="208141"/>
          <a:ext cx="781314" cy="7781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21</xdr:row>
          <xdr:rowOff>219075</xdr:rowOff>
        </xdr:from>
        <xdr:to>
          <xdr:col>2</xdr:col>
          <xdr:colOff>657225</xdr:colOff>
          <xdr:row>21</xdr:row>
          <xdr:rowOff>485775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790575</xdr:colOff>
          <xdr:row>21</xdr:row>
          <xdr:rowOff>228600</xdr:rowOff>
        </xdr:from>
        <xdr:to>
          <xdr:col>3</xdr:col>
          <xdr:colOff>1181100</xdr:colOff>
          <xdr:row>21</xdr:row>
          <xdr:rowOff>495300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2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cwavsrvfaps\public\COMMON\LEED\LEED%202012%20Program\LEED%20v4%20Submittals\LEED%20v4%20Forms%20for%20Beta\02%20SS\ConstructionandDemolitionCalculator_20130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alculator"/>
      <sheetName val="Summary"/>
    </sheetNames>
    <sheetDataSet>
      <sheetData sheetId="0">
        <row r="20">
          <cell r="K20" t="str">
            <v>Asphalt</v>
          </cell>
          <cell r="M20" t="str">
            <v>tons</v>
          </cell>
        </row>
        <row r="21">
          <cell r="K21" t="str">
            <v>Cardboard and Papers</v>
          </cell>
          <cell r="M21" t="str">
            <v>kg</v>
          </cell>
        </row>
        <row r="22">
          <cell r="K22" t="str">
            <v>Carpet and Pad</v>
          </cell>
          <cell r="M22" t="str">
            <v>tonnes</v>
          </cell>
        </row>
        <row r="23">
          <cell r="K23" t="str">
            <v>Gypsum Board</v>
          </cell>
          <cell r="M23" t="str">
            <v>cubic meters</v>
          </cell>
        </row>
        <row r="24">
          <cell r="K24" t="str">
            <v>Wood</v>
          </cell>
          <cell r="M24" t="str">
            <v>yards</v>
          </cell>
        </row>
        <row r="25">
          <cell r="K25" t="str">
            <v>Commingled Waste</v>
          </cell>
          <cell r="M25" t="str">
            <v>Other (specify)</v>
          </cell>
        </row>
        <row r="26">
          <cell r="K26" t="str">
            <v>Metals</v>
          </cell>
        </row>
        <row r="27">
          <cell r="K27" t="str">
            <v>Glass</v>
          </cell>
        </row>
        <row r="28">
          <cell r="K28" t="str">
            <v>Masonry</v>
          </cell>
        </row>
        <row r="29">
          <cell r="K29" t="str">
            <v>Vinyl</v>
          </cell>
        </row>
        <row r="30">
          <cell r="K30" t="str">
            <v>Concrete</v>
          </cell>
        </row>
        <row r="31">
          <cell r="K31" t="str">
            <v>Plastic</v>
          </cell>
        </row>
        <row r="32">
          <cell r="K32" t="str">
            <v>Other (specify)</v>
          </cell>
        </row>
        <row r="35">
          <cell r="K35" t="str">
            <v>Donated</v>
          </cell>
        </row>
        <row r="36">
          <cell r="K36" t="str">
            <v>Landfill</v>
          </cell>
        </row>
        <row r="37">
          <cell r="K37" t="str">
            <v>Recycled</v>
          </cell>
        </row>
        <row r="38">
          <cell r="K38" t="str">
            <v>Reused</v>
          </cell>
        </row>
        <row r="39">
          <cell r="K39" t="str">
            <v>Salvaged</v>
          </cell>
        </row>
        <row r="40">
          <cell r="K40" t="str">
            <v>Other (specify)</v>
          </cell>
        </row>
      </sheetData>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73"/>
  <sheetViews>
    <sheetView showGridLines="0" topLeftCell="B1" zoomScale="90" zoomScaleNormal="90" zoomScalePageLayoutView="90" workbookViewId="0">
      <selection activeCell="C44" sqref="C44:F44"/>
    </sheetView>
  </sheetViews>
  <sheetFormatPr defaultColWidth="9.140625" defaultRowHeight="15" customHeight="1" x14ac:dyDescent="0.25"/>
  <cols>
    <col min="1" max="2" width="2.42578125" style="47" customWidth="1"/>
    <col min="3" max="3" width="7" style="47" customWidth="1"/>
    <col min="4" max="4" width="2.42578125" style="47" customWidth="1"/>
    <col min="5" max="5" width="34.7109375" style="47" customWidth="1"/>
    <col min="6" max="9" width="14.7109375" style="47" customWidth="1"/>
    <col min="10" max="10" width="2.7109375" style="47" customWidth="1"/>
    <col min="11" max="11" width="12.7109375" style="47" customWidth="1"/>
    <col min="12" max="12" width="12.7109375" style="47" hidden="1" customWidth="1"/>
    <col min="13" max="16" width="12.7109375" style="47" customWidth="1"/>
    <col min="17" max="17" width="9.140625" style="47" customWidth="1"/>
    <col min="18" max="16384" width="9.140625" style="47"/>
  </cols>
  <sheetData>
    <row r="1" spans="2:18" s="4" customFormat="1" x14ac:dyDescent="0.25">
      <c r="B1" s="3"/>
      <c r="C1" s="3"/>
      <c r="D1" s="3"/>
      <c r="F1" s="3"/>
      <c r="G1" s="3"/>
      <c r="H1" s="3"/>
      <c r="I1" s="5"/>
      <c r="J1" s="5"/>
    </row>
    <row r="2" spans="2:18" s="4" customFormat="1" x14ac:dyDescent="0.25">
      <c r="B2" s="6"/>
      <c r="C2" s="7"/>
      <c r="D2" s="8"/>
      <c r="E2" s="7"/>
      <c r="F2" s="7"/>
      <c r="G2" s="7"/>
      <c r="H2" s="7"/>
      <c r="I2" s="7"/>
      <c r="J2" s="9"/>
    </row>
    <row r="3" spans="2:18" s="4" customFormat="1" ht="51" customHeight="1" x14ac:dyDescent="0.25">
      <c r="B3" s="10"/>
      <c r="C3" s="11"/>
      <c r="D3" s="12"/>
      <c r="E3" s="251" t="s">
        <v>84</v>
      </c>
      <c r="F3" s="251"/>
      <c r="G3" s="251"/>
      <c r="H3" s="251"/>
      <c r="I3" s="251"/>
      <c r="J3" s="13"/>
    </row>
    <row r="4" spans="2:18" s="4" customFormat="1" ht="24" customHeight="1" x14ac:dyDescent="0.25">
      <c r="B4" s="10"/>
      <c r="C4" s="14"/>
      <c r="D4" s="12"/>
      <c r="E4" s="15"/>
      <c r="F4" s="11"/>
      <c r="G4" s="11"/>
      <c r="H4" s="12"/>
      <c r="I4" s="16"/>
      <c r="J4" s="13"/>
    </row>
    <row r="5" spans="2:18" s="4" customFormat="1" x14ac:dyDescent="0.25">
      <c r="B5" s="10"/>
      <c r="C5" s="14"/>
      <c r="D5" s="12"/>
      <c r="E5" s="17" t="s">
        <v>29</v>
      </c>
      <c r="F5" s="11"/>
      <c r="G5" s="11"/>
      <c r="H5" s="12"/>
      <c r="I5" s="16"/>
      <c r="J5" s="13"/>
    </row>
    <row r="6" spans="2:18" s="3" customFormat="1" ht="15" customHeight="1" x14ac:dyDescent="0.25">
      <c r="B6" s="10"/>
      <c r="C6" s="14"/>
      <c r="D6" s="15"/>
      <c r="E6" s="252" t="s">
        <v>30</v>
      </c>
      <c r="F6" s="252"/>
      <c r="G6" s="252"/>
      <c r="H6" s="252"/>
      <c r="I6" s="252"/>
      <c r="J6" s="13"/>
    </row>
    <row r="7" spans="2:18" s="22" customFormat="1" ht="21" customHeight="1" x14ac:dyDescent="0.25">
      <c r="B7" s="18"/>
      <c r="C7" s="19"/>
      <c r="D7" s="20"/>
      <c r="E7" s="253" t="s">
        <v>31</v>
      </c>
      <c r="F7" s="253"/>
      <c r="G7" s="253"/>
      <c r="H7" s="253"/>
      <c r="I7" s="253"/>
      <c r="J7" s="21"/>
    </row>
    <row r="8" spans="2:18" s="172" customFormat="1" ht="18" x14ac:dyDescent="0.25">
      <c r="B8" s="173"/>
      <c r="C8" s="174"/>
      <c r="D8" s="175"/>
      <c r="E8" s="176"/>
      <c r="F8" s="174"/>
      <c r="G8" s="174"/>
      <c r="H8" s="177"/>
      <c r="I8" s="24"/>
      <c r="J8" s="178"/>
      <c r="K8" s="179"/>
      <c r="N8" s="180"/>
      <c r="O8" s="180"/>
      <c r="P8" s="180"/>
    </row>
    <row r="9" spans="2:18" s="180" customFormat="1" x14ac:dyDescent="0.25">
      <c r="B9" s="181"/>
      <c r="C9" s="182"/>
      <c r="D9" s="183"/>
      <c r="E9" s="184" t="s">
        <v>76</v>
      </c>
      <c r="F9" s="185"/>
      <c r="G9" s="186"/>
      <c r="H9" s="183"/>
      <c r="I9" s="24"/>
      <c r="J9" s="187"/>
      <c r="K9" s="179"/>
      <c r="N9" s="188"/>
      <c r="O9" s="188"/>
      <c r="P9" s="188"/>
      <c r="Q9" s="188"/>
      <c r="R9" s="188"/>
    </row>
    <row r="10" spans="2:18" s="189" customFormat="1" ht="15" customHeight="1" x14ac:dyDescent="0.25">
      <c r="B10" s="181"/>
      <c r="C10" s="182"/>
      <c r="D10" s="190"/>
      <c r="E10" s="191" t="s">
        <v>77</v>
      </c>
      <c r="F10" s="185"/>
      <c r="G10" s="186"/>
      <c r="H10" s="186"/>
      <c r="I10" s="192" t="s">
        <v>85</v>
      </c>
      <c r="J10" s="187"/>
      <c r="K10" s="179"/>
      <c r="N10" s="193"/>
      <c r="O10" s="193"/>
      <c r="P10" s="193"/>
      <c r="Q10" s="193"/>
      <c r="R10" s="193"/>
    </row>
    <row r="11" spans="2:18" s="194" customFormat="1" ht="21" customHeight="1" x14ac:dyDescent="0.25">
      <c r="B11" s="195"/>
      <c r="C11" s="196"/>
      <c r="D11" s="197"/>
      <c r="E11" s="198" t="s">
        <v>78</v>
      </c>
      <c r="F11" s="198"/>
      <c r="G11" s="185"/>
      <c r="H11" s="199"/>
      <c r="I11" s="24"/>
      <c r="J11" s="200"/>
      <c r="K11" s="179"/>
    </row>
    <row r="12" spans="2:18" s="3" customFormat="1" ht="14.25" customHeight="1" x14ac:dyDescent="0.25">
      <c r="B12" s="10"/>
      <c r="C12" s="14"/>
      <c r="D12" s="15"/>
      <c r="E12" s="17"/>
      <c r="F12" s="23"/>
      <c r="G12" s="11"/>
      <c r="H12" s="11"/>
      <c r="I12" s="24"/>
      <c r="J12" s="13"/>
    </row>
    <row r="13" spans="2:18" s="4" customFormat="1" x14ac:dyDescent="0.25">
      <c r="B13" s="10"/>
      <c r="C13" s="14"/>
      <c r="D13" s="12"/>
      <c r="E13" s="201" t="s">
        <v>79</v>
      </c>
      <c r="F13" s="11"/>
      <c r="G13" s="11"/>
      <c r="H13" s="12"/>
      <c r="I13" s="16"/>
      <c r="J13" s="13"/>
    </row>
    <row r="14" spans="2:18" s="3" customFormat="1" ht="15" customHeight="1" x14ac:dyDescent="0.25">
      <c r="B14" s="10"/>
      <c r="C14" s="14"/>
      <c r="D14" s="15"/>
      <c r="E14" s="254" t="s">
        <v>63</v>
      </c>
      <c r="F14" s="254"/>
      <c r="G14" s="254"/>
      <c r="H14" s="254"/>
      <c r="I14" s="73"/>
      <c r="J14" s="13"/>
    </row>
    <row r="15" spans="2:18" s="3" customFormat="1" ht="18" customHeight="1" x14ac:dyDescent="0.25">
      <c r="B15" s="10"/>
      <c r="C15" s="14"/>
      <c r="D15" s="15"/>
      <c r="E15" s="17"/>
      <c r="F15" s="23"/>
      <c r="G15" s="11"/>
      <c r="H15" s="11"/>
      <c r="I15" s="24"/>
      <c r="J15" s="13"/>
    </row>
    <row r="16" spans="2:18" s="4" customFormat="1" x14ac:dyDescent="0.25">
      <c r="B16" s="10"/>
      <c r="C16" s="14"/>
      <c r="D16" s="12"/>
      <c r="E16" s="201" t="s">
        <v>80</v>
      </c>
      <c r="F16" s="11"/>
      <c r="G16" s="11"/>
      <c r="H16" s="12"/>
      <c r="I16" s="16"/>
      <c r="J16" s="13"/>
    </row>
    <row r="17" spans="1:14" s="3" customFormat="1" ht="15" customHeight="1" x14ac:dyDescent="0.25">
      <c r="B17" s="10"/>
      <c r="C17" s="14"/>
      <c r="D17" s="15"/>
      <c r="E17" s="252" t="s">
        <v>64</v>
      </c>
      <c r="F17" s="252"/>
      <c r="G17" s="252"/>
      <c r="H17" s="252"/>
      <c r="I17" s="252"/>
      <c r="J17" s="13"/>
    </row>
    <row r="18" spans="1:14" s="3" customFormat="1" ht="18" customHeight="1" x14ac:dyDescent="0.25">
      <c r="B18" s="10"/>
      <c r="C18" s="14"/>
      <c r="D18" s="15"/>
      <c r="E18" s="23"/>
      <c r="F18" s="23"/>
      <c r="G18" s="23"/>
      <c r="H18" s="11"/>
      <c r="I18" s="24"/>
      <c r="J18" s="13"/>
    </row>
    <row r="19" spans="1:14" s="4" customFormat="1" x14ac:dyDescent="0.25">
      <c r="B19" s="10"/>
      <c r="C19" s="14"/>
      <c r="D19" s="12"/>
      <c r="E19" s="201" t="s">
        <v>81</v>
      </c>
      <c r="F19" s="11"/>
      <c r="G19" s="11"/>
      <c r="H19" s="12"/>
      <c r="I19" s="16"/>
      <c r="J19" s="13"/>
    </row>
    <row r="20" spans="1:14" s="3" customFormat="1" ht="28.5" customHeight="1" x14ac:dyDescent="0.25">
      <c r="B20" s="10"/>
      <c r="C20" s="14"/>
      <c r="D20" s="15"/>
      <c r="E20" s="250" t="s">
        <v>32</v>
      </c>
      <c r="F20" s="250"/>
      <c r="G20" s="250"/>
      <c r="H20" s="250"/>
      <c r="I20" s="250"/>
      <c r="J20" s="13"/>
    </row>
    <row r="21" spans="1:14" s="3" customFormat="1" ht="24" customHeight="1" x14ac:dyDescent="0.25">
      <c r="B21" s="25"/>
      <c r="C21" s="26"/>
      <c r="D21" s="27"/>
      <c r="E21" s="27"/>
      <c r="F21" s="28"/>
      <c r="G21" s="28"/>
      <c r="H21" s="28"/>
      <c r="I21" s="28"/>
      <c r="J21" s="29"/>
    </row>
    <row r="22" spans="1:14" s="4" customFormat="1" ht="24" customHeight="1" x14ac:dyDescent="0.25">
      <c r="A22" s="30"/>
      <c r="B22" s="31"/>
      <c r="C22" s="32"/>
      <c r="D22" s="33"/>
      <c r="E22" s="34"/>
      <c r="F22" s="31"/>
      <c r="G22" s="31"/>
      <c r="H22" s="31"/>
      <c r="I22" s="35"/>
      <c r="J22" s="35"/>
    </row>
    <row r="23" spans="1:14" s="42" customFormat="1" ht="18" customHeight="1" x14ac:dyDescent="0.25">
      <c r="A23" s="30"/>
      <c r="B23" s="36"/>
      <c r="C23" s="37"/>
      <c r="D23" s="38"/>
      <c r="E23" s="39"/>
      <c r="F23" s="39"/>
      <c r="G23" s="40"/>
      <c r="H23" s="40"/>
      <c r="I23" s="40"/>
      <c r="J23" s="41"/>
    </row>
    <row r="24" spans="1:14" s="42" customFormat="1" ht="23.25" customHeight="1" x14ac:dyDescent="0.25">
      <c r="A24" s="30"/>
      <c r="B24" s="43"/>
      <c r="C24" s="64" t="s">
        <v>33</v>
      </c>
      <c r="D24" s="44"/>
      <c r="E24" s="45"/>
      <c r="F24" s="45"/>
      <c r="G24" s="46"/>
      <c r="H24" s="46"/>
      <c r="I24" s="46"/>
      <c r="J24" s="61"/>
    </row>
    <row r="25" spans="1:14" s="42" customFormat="1" ht="15" customHeight="1" x14ac:dyDescent="0.25">
      <c r="A25" s="30"/>
      <c r="B25" s="43"/>
      <c r="C25" s="64"/>
      <c r="D25" s="44"/>
      <c r="E25" s="45"/>
      <c r="F25" s="45"/>
      <c r="G25" s="46"/>
      <c r="H25" s="46"/>
      <c r="I25" s="46"/>
      <c r="J25" s="61"/>
    </row>
    <row r="26" spans="1:14" s="56" customFormat="1" ht="18" customHeight="1" x14ac:dyDescent="0.25">
      <c r="B26" s="43"/>
      <c r="C26" s="58" t="s">
        <v>37</v>
      </c>
      <c r="D26" s="63"/>
      <c r="E26" s="2"/>
      <c r="F26" s="2"/>
      <c r="G26" s="2"/>
      <c r="H26" s="1"/>
      <c r="I26" s="46"/>
      <c r="J26" s="61"/>
      <c r="M26" s="55"/>
      <c r="N26" s="55"/>
    </row>
    <row r="27" spans="1:14" s="56" customFormat="1" ht="21" customHeight="1" x14ac:dyDescent="0.25">
      <c r="B27" s="43"/>
      <c r="C27" s="65" t="s">
        <v>42</v>
      </c>
      <c r="D27" s="63"/>
      <c r="E27" s="2"/>
      <c r="F27" s="2"/>
      <c r="G27" s="2"/>
      <c r="H27" s="1"/>
      <c r="I27" s="46"/>
      <c r="J27" s="61"/>
      <c r="M27" s="55"/>
      <c r="N27" s="55"/>
    </row>
    <row r="28" spans="1:14" s="56" customFormat="1" ht="18" customHeight="1" x14ac:dyDescent="0.3">
      <c r="B28" s="43"/>
      <c r="C28" s="221" t="s">
        <v>12</v>
      </c>
      <c r="D28" s="222"/>
      <c r="E28" s="222"/>
      <c r="F28" s="222"/>
      <c r="G28" s="237" t="s">
        <v>39</v>
      </c>
      <c r="H28" s="237"/>
      <c r="I28" s="238"/>
      <c r="J28" s="61"/>
    </row>
    <row r="29" spans="1:14" s="56" customFormat="1" ht="45" customHeight="1" x14ac:dyDescent="0.25">
      <c r="B29" s="43"/>
      <c r="C29" s="223"/>
      <c r="D29" s="224"/>
      <c r="E29" s="224"/>
      <c r="F29" s="224"/>
      <c r="G29" s="59" t="s">
        <v>15</v>
      </c>
      <c r="H29" s="59" t="s">
        <v>16</v>
      </c>
      <c r="I29" s="60" t="s">
        <v>17</v>
      </c>
      <c r="J29" s="61"/>
    </row>
    <row r="30" spans="1:14" s="56" customFormat="1" ht="15" customHeight="1" x14ac:dyDescent="0.25">
      <c r="B30" s="43"/>
      <c r="C30" s="225" t="s">
        <v>18</v>
      </c>
      <c r="D30" s="226"/>
      <c r="E30" s="226"/>
      <c r="F30" s="226"/>
      <c r="G30" s="77">
        <v>0.2</v>
      </c>
      <c r="H30" s="77">
        <v>0.5</v>
      </c>
      <c r="I30" s="79">
        <v>0.9</v>
      </c>
      <c r="J30" s="61"/>
    </row>
    <row r="31" spans="1:14" s="56" customFormat="1" ht="15" customHeight="1" x14ac:dyDescent="0.25">
      <c r="B31" s="43"/>
      <c r="C31" s="227" t="s">
        <v>19</v>
      </c>
      <c r="D31" s="228"/>
      <c r="E31" s="228"/>
      <c r="F31" s="228"/>
      <c r="G31" s="78">
        <v>0.2</v>
      </c>
      <c r="H31" s="78">
        <v>0.5</v>
      </c>
      <c r="I31" s="80">
        <v>0.7</v>
      </c>
      <c r="J31" s="61"/>
    </row>
    <row r="32" spans="1:14" s="56" customFormat="1" ht="15" customHeight="1" x14ac:dyDescent="0.25">
      <c r="B32" s="43"/>
      <c r="C32" s="227" t="s">
        <v>20</v>
      </c>
      <c r="D32" s="228"/>
      <c r="E32" s="228"/>
      <c r="F32" s="228"/>
      <c r="G32" s="78">
        <v>0.2</v>
      </c>
      <c r="H32" s="78">
        <v>0.5</v>
      </c>
      <c r="I32" s="80">
        <v>0.7</v>
      </c>
      <c r="J32" s="61"/>
    </row>
    <row r="33" spans="2:10" s="56" customFormat="1" ht="15" customHeight="1" x14ac:dyDescent="0.25">
      <c r="B33" s="43"/>
      <c r="C33" s="227" t="s">
        <v>21</v>
      </c>
      <c r="D33" s="228"/>
      <c r="E33" s="228"/>
      <c r="F33" s="228"/>
      <c r="G33" s="78">
        <v>0.6</v>
      </c>
      <c r="H33" s="78">
        <v>0.7</v>
      </c>
      <c r="I33" s="80">
        <v>0.8</v>
      </c>
      <c r="J33" s="61"/>
    </row>
    <row r="34" spans="2:10" s="56" customFormat="1" ht="15" customHeight="1" x14ac:dyDescent="0.25">
      <c r="B34" s="43"/>
      <c r="C34" s="1"/>
      <c r="D34" s="63"/>
      <c r="E34" s="1"/>
      <c r="F34" s="1"/>
      <c r="G34" s="1"/>
      <c r="H34" s="1"/>
      <c r="I34" s="46"/>
      <c r="J34" s="61"/>
    </row>
    <row r="35" spans="2:10" s="56" customFormat="1" ht="21" customHeight="1" x14ac:dyDescent="0.25">
      <c r="B35" s="43"/>
      <c r="C35" s="66" t="s">
        <v>40</v>
      </c>
      <c r="D35" s="63"/>
      <c r="E35" s="68"/>
      <c r="F35" s="63"/>
      <c r="G35" s="63"/>
      <c r="H35" s="63"/>
      <c r="I35" s="63"/>
      <c r="J35" s="61"/>
    </row>
    <row r="36" spans="2:10" s="56" customFormat="1" ht="27.6" customHeight="1" x14ac:dyDescent="0.25">
      <c r="B36" s="43"/>
      <c r="C36" s="230" t="s">
        <v>43</v>
      </c>
      <c r="D36" s="230"/>
      <c r="E36" s="230"/>
      <c r="F36" s="230"/>
      <c r="G36" s="63"/>
      <c r="H36" s="63"/>
      <c r="I36" s="63"/>
      <c r="J36" s="61"/>
    </row>
    <row r="37" spans="2:10" s="56" customFormat="1" ht="33" customHeight="1" x14ac:dyDescent="0.25">
      <c r="B37" s="43"/>
      <c r="C37" s="239" t="s">
        <v>13</v>
      </c>
      <c r="D37" s="240"/>
      <c r="E37" s="240"/>
      <c r="F37" s="67" t="s">
        <v>41</v>
      </c>
      <c r="G37" s="63"/>
      <c r="H37" s="63"/>
      <c r="I37" s="63"/>
      <c r="J37" s="61"/>
    </row>
    <row r="38" spans="2:10" s="56" customFormat="1" ht="38.25" customHeight="1" x14ac:dyDescent="0.25">
      <c r="B38" s="43"/>
      <c r="C38" s="225" t="s">
        <v>70</v>
      </c>
      <c r="D38" s="226"/>
      <c r="E38" s="226"/>
      <c r="F38" s="81">
        <v>0.7</v>
      </c>
      <c r="G38" s="63"/>
      <c r="H38" s="63"/>
      <c r="I38" s="63"/>
      <c r="J38" s="61"/>
    </row>
    <row r="39" spans="2:10" s="56" customFormat="1" ht="15" customHeight="1" x14ac:dyDescent="0.25">
      <c r="B39" s="43"/>
      <c r="C39" s="227" t="s">
        <v>71</v>
      </c>
      <c r="D39" s="228"/>
      <c r="E39" s="228"/>
      <c r="F39" s="82">
        <v>0.9</v>
      </c>
      <c r="G39" s="63"/>
      <c r="H39" s="63"/>
      <c r="I39" s="63"/>
      <c r="J39" s="61"/>
    </row>
    <row r="40" spans="2:10" s="56" customFormat="1" ht="15" customHeight="1" x14ac:dyDescent="0.25">
      <c r="B40" s="43"/>
      <c r="C40" s="227" t="s">
        <v>65</v>
      </c>
      <c r="D40" s="228"/>
      <c r="E40" s="228"/>
      <c r="F40" s="82">
        <v>0.65</v>
      </c>
      <c r="G40" s="63"/>
      <c r="H40" s="63"/>
      <c r="I40" s="63"/>
      <c r="J40" s="61"/>
    </row>
    <row r="41" spans="2:10" s="56" customFormat="1" ht="15" customHeight="1" x14ac:dyDescent="0.25">
      <c r="B41" s="43"/>
      <c r="C41" s="227" t="s">
        <v>66</v>
      </c>
      <c r="D41" s="228"/>
      <c r="E41" s="228"/>
      <c r="F41" s="82">
        <v>0.7</v>
      </c>
      <c r="G41" s="63"/>
      <c r="H41" s="63"/>
      <c r="I41" s="63"/>
      <c r="J41" s="61"/>
    </row>
    <row r="42" spans="2:10" s="56" customFormat="1" ht="15" customHeight="1" x14ac:dyDescent="0.25">
      <c r="B42" s="43"/>
      <c r="C42" s="227" t="s">
        <v>14</v>
      </c>
      <c r="D42" s="228"/>
      <c r="E42" s="228"/>
      <c r="F42" s="82">
        <v>0.7</v>
      </c>
      <c r="G42" s="63"/>
      <c r="H42" s="63"/>
      <c r="I42" s="63"/>
      <c r="J42" s="61"/>
    </row>
    <row r="43" spans="2:10" s="56" customFormat="1" ht="15" customHeight="1" x14ac:dyDescent="0.25">
      <c r="B43" s="43"/>
      <c r="C43" s="231" t="s">
        <v>67</v>
      </c>
      <c r="D43" s="232"/>
      <c r="E43" s="232"/>
      <c r="F43" s="83" t="s">
        <v>55</v>
      </c>
      <c r="G43" s="63"/>
      <c r="H43" s="63"/>
      <c r="I43" s="63"/>
      <c r="J43" s="61"/>
    </row>
    <row r="44" spans="2:10" s="56" customFormat="1" ht="15" customHeight="1" x14ac:dyDescent="0.25">
      <c r="B44" s="43"/>
      <c r="C44" s="229" t="s">
        <v>44</v>
      </c>
      <c r="D44" s="229"/>
      <c r="E44" s="229"/>
      <c r="F44" s="229"/>
      <c r="G44" s="63"/>
      <c r="H44" s="63"/>
      <c r="I44" s="63"/>
      <c r="J44" s="61"/>
    </row>
    <row r="45" spans="2:10" s="56" customFormat="1" ht="42" customHeight="1" x14ac:dyDescent="0.25">
      <c r="B45" s="43"/>
      <c r="C45" s="63"/>
      <c r="D45" s="57"/>
      <c r="E45" s="57"/>
      <c r="F45" s="63"/>
      <c r="G45" s="63"/>
      <c r="H45" s="63"/>
      <c r="I45" s="63"/>
      <c r="J45" s="61"/>
    </row>
    <row r="46" spans="2:10" s="56" customFormat="1" ht="21" customHeight="1" x14ac:dyDescent="0.25">
      <c r="B46" s="43"/>
      <c r="C46" s="69" t="s">
        <v>47</v>
      </c>
      <c r="D46" s="63"/>
      <c r="E46" s="70"/>
      <c r="F46" s="70"/>
      <c r="G46" s="70"/>
      <c r="H46" s="71"/>
      <c r="I46" s="71"/>
      <c r="J46" s="61"/>
    </row>
    <row r="47" spans="2:10" s="56" customFormat="1" ht="21" customHeight="1" x14ac:dyDescent="0.25">
      <c r="B47" s="43"/>
      <c r="C47" s="245" t="s">
        <v>24</v>
      </c>
      <c r="D47" s="246"/>
      <c r="E47" s="246"/>
      <c r="F47" s="246" t="s">
        <v>13</v>
      </c>
      <c r="G47" s="246"/>
      <c r="H47" s="246"/>
      <c r="I47" s="249"/>
      <c r="J47" s="61"/>
    </row>
    <row r="48" spans="2:10" s="56" customFormat="1" ht="30.6" customHeight="1" x14ac:dyDescent="0.25">
      <c r="B48" s="43"/>
      <c r="C48" s="247"/>
      <c r="D48" s="248"/>
      <c r="E48" s="248"/>
      <c r="F48" s="169" t="s">
        <v>72</v>
      </c>
      <c r="G48" s="169" t="s">
        <v>73</v>
      </c>
      <c r="H48" s="72" t="s">
        <v>48</v>
      </c>
      <c r="I48" s="171" t="s">
        <v>75</v>
      </c>
      <c r="J48" s="61"/>
    </row>
    <row r="49" spans="2:10" s="56" customFormat="1" ht="33" customHeight="1" x14ac:dyDescent="0.25">
      <c r="B49" s="43"/>
      <c r="C49" s="225" t="s">
        <v>18</v>
      </c>
      <c r="D49" s="226"/>
      <c r="E49" s="226"/>
      <c r="F49" s="74" t="s">
        <v>22</v>
      </c>
      <c r="G49" s="74" t="s">
        <v>22</v>
      </c>
      <c r="H49" s="74"/>
      <c r="I49" s="167" t="s">
        <v>74</v>
      </c>
      <c r="J49" s="61"/>
    </row>
    <row r="50" spans="2:10" s="56" customFormat="1" ht="15" customHeight="1" x14ac:dyDescent="0.25">
      <c r="B50" s="43"/>
      <c r="C50" s="227" t="s">
        <v>19</v>
      </c>
      <c r="D50" s="228"/>
      <c r="E50" s="228"/>
      <c r="F50" s="75" t="s">
        <v>22</v>
      </c>
      <c r="G50" s="75" t="s">
        <v>22</v>
      </c>
      <c r="H50" s="75"/>
      <c r="I50" s="168" t="s">
        <v>74</v>
      </c>
      <c r="J50" s="61"/>
    </row>
    <row r="51" spans="2:10" s="56" customFormat="1" ht="15" customHeight="1" x14ac:dyDescent="0.25">
      <c r="B51" s="43"/>
      <c r="C51" s="227" t="s">
        <v>20</v>
      </c>
      <c r="D51" s="228"/>
      <c r="E51" s="228"/>
      <c r="F51" s="75" t="s">
        <v>22</v>
      </c>
      <c r="G51" s="75" t="s">
        <v>22</v>
      </c>
      <c r="H51" s="75"/>
      <c r="I51" s="168" t="s">
        <v>74</v>
      </c>
      <c r="J51" s="61"/>
    </row>
    <row r="52" spans="2:10" s="56" customFormat="1" ht="15" customHeight="1" x14ac:dyDescent="0.25">
      <c r="B52" s="43"/>
      <c r="C52" s="231" t="s">
        <v>21</v>
      </c>
      <c r="D52" s="232"/>
      <c r="E52" s="232"/>
      <c r="F52" s="76" t="s">
        <v>22</v>
      </c>
      <c r="G52" s="76" t="s">
        <v>22</v>
      </c>
      <c r="H52" s="76" t="s">
        <v>22</v>
      </c>
      <c r="I52" s="83" t="s">
        <v>22</v>
      </c>
      <c r="J52" s="61"/>
    </row>
    <row r="53" spans="2:10" s="56" customFormat="1" ht="85.9" customHeight="1" x14ac:dyDescent="0.25">
      <c r="B53" s="43"/>
      <c r="C53" s="236" t="s">
        <v>45</v>
      </c>
      <c r="D53" s="236"/>
      <c r="E53" s="236"/>
      <c r="F53" s="236"/>
      <c r="G53" s="236"/>
      <c r="H53" s="236"/>
      <c r="I53" s="236"/>
      <c r="J53" s="61"/>
    </row>
    <row r="54" spans="2:10" s="56" customFormat="1" ht="24" customHeight="1" x14ac:dyDescent="0.25">
      <c r="B54" s="43"/>
      <c r="C54" s="63"/>
      <c r="D54" s="63"/>
      <c r="E54" s="63"/>
      <c r="F54" s="63"/>
      <c r="G54" s="63"/>
      <c r="H54" s="63"/>
      <c r="I54" s="63"/>
      <c r="J54" s="61"/>
    </row>
    <row r="55" spans="2:10" s="56" customFormat="1" ht="21" customHeight="1" x14ac:dyDescent="0.25">
      <c r="B55" s="43"/>
      <c r="C55" s="69" t="s">
        <v>46</v>
      </c>
      <c r="D55" s="63"/>
      <c r="E55" s="71"/>
      <c r="F55" s="71"/>
      <c r="G55" s="71"/>
      <c r="H55" s="71"/>
      <c r="I55" s="71"/>
      <c r="J55" s="61"/>
    </row>
    <row r="56" spans="2:10" s="56" customFormat="1" ht="21" customHeight="1" x14ac:dyDescent="0.25">
      <c r="B56" s="43"/>
      <c r="C56" s="221" t="s">
        <v>12</v>
      </c>
      <c r="D56" s="222"/>
      <c r="E56" s="222"/>
      <c r="F56" s="222"/>
      <c r="G56" s="222"/>
      <c r="H56" s="222" t="s">
        <v>13</v>
      </c>
      <c r="I56" s="244"/>
      <c r="J56" s="61"/>
    </row>
    <row r="57" spans="2:10" s="56" customFormat="1" ht="31.9" customHeight="1" x14ac:dyDescent="0.25">
      <c r="B57" s="43"/>
      <c r="C57" s="223"/>
      <c r="D57" s="224"/>
      <c r="E57" s="224"/>
      <c r="F57" s="224"/>
      <c r="G57" s="224"/>
      <c r="H57" s="170" t="s">
        <v>72</v>
      </c>
      <c r="I57" s="60" t="s">
        <v>48</v>
      </c>
      <c r="J57" s="61"/>
    </row>
    <row r="58" spans="2:10" s="56" customFormat="1" ht="33" customHeight="1" x14ac:dyDescent="0.25">
      <c r="B58" s="43"/>
      <c r="C58" s="241" t="s">
        <v>56</v>
      </c>
      <c r="D58" s="242"/>
      <c r="E58" s="242"/>
      <c r="F58" s="242"/>
      <c r="G58" s="243"/>
      <c r="H58" s="74" t="s">
        <v>22</v>
      </c>
      <c r="I58" s="165"/>
      <c r="J58" s="61"/>
    </row>
    <row r="59" spans="2:10" s="56" customFormat="1" ht="15" customHeight="1" x14ac:dyDescent="0.25">
      <c r="B59" s="43"/>
      <c r="C59" s="233" t="s">
        <v>57</v>
      </c>
      <c r="D59" s="234"/>
      <c r="E59" s="234"/>
      <c r="F59" s="234"/>
      <c r="G59" s="235"/>
      <c r="H59" s="75"/>
      <c r="I59" s="166" t="s">
        <v>22</v>
      </c>
      <c r="J59" s="61"/>
    </row>
    <row r="60" spans="2:10" s="56" customFormat="1" ht="15" customHeight="1" x14ac:dyDescent="0.25">
      <c r="B60" s="43"/>
      <c r="C60" s="233" t="s">
        <v>58</v>
      </c>
      <c r="D60" s="234"/>
      <c r="E60" s="234"/>
      <c r="F60" s="234"/>
      <c r="G60" s="235"/>
      <c r="H60" s="75"/>
      <c r="I60" s="166" t="s">
        <v>22</v>
      </c>
      <c r="J60" s="61"/>
    </row>
    <row r="61" spans="2:10" s="56" customFormat="1" ht="15" customHeight="1" x14ac:dyDescent="0.25">
      <c r="B61" s="48"/>
      <c r="C61" s="49"/>
      <c r="D61" s="49"/>
      <c r="E61" s="49"/>
      <c r="F61" s="49"/>
      <c r="G61" s="49"/>
      <c r="H61" s="49"/>
      <c r="I61" s="49"/>
      <c r="J61" s="62"/>
    </row>
    <row r="62" spans="2:10" s="56" customFormat="1" ht="15" customHeight="1" x14ac:dyDescent="0.25">
      <c r="B62" s="47"/>
      <c r="C62" s="47"/>
      <c r="D62" s="47"/>
      <c r="E62" s="47"/>
      <c r="F62" s="47"/>
      <c r="G62" s="47"/>
      <c r="H62" s="47"/>
      <c r="I62" s="47"/>
      <c r="J62" s="47"/>
    </row>
    <row r="63" spans="2:10" ht="12" customHeight="1" x14ac:dyDescent="0.25">
      <c r="J63" s="50" t="s">
        <v>86</v>
      </c>
    </row>
    <row r="64" spans="2:10" ht="12" customHeight="1" x14ac:dyDescent="0.25">
      <c r="J64" s="50" t="s">
        <v>34</v>
      </c>
    </row>
    <row r="65" spans="2:15" ht="12" customHeight="1" x14ac:dyDescent="0.25">
      <c r="J65" s="52" t="s">
        <v>35</v>
      </c>
    </row>
    <row r="66" spans="2:15" ht="12" customHeight="1" x14ac:dyDescent="0.25">
      <c r="J66" s="53" t="s">
        <v>36</v>
      </c>
      <c r="M66" s="51"/>
    </row>
    <row r="67" spans="2:15" ht="12" customHeight="1" x14ac:dyDescent="0.25">
      <c r="J67" s="53" t="s">
        <v>88</v>
      </c>
    </row>
    <row r="68" spans="2:15" ht="12" customHeight="1" x14ac:dyDescent="0.25">
      <c r="B68" s="56"/>
      <c r="D68" s="56"/>
      <c r="E68" s="56"/>
      <c r="F68" s="56"/>
      <c r="G68" s="56"/>
      <c r="H68" s="56"/>
      <c r="I68" s="54"/>
      <c r="J68" s="54"/>
    </row>
    <row r="69" spans="2:15" ht="15" customHeight="1" x14ac:dyDescent="0.25">
      <c r="B69" s="56"/>
      <c r="D69" s="56"/>
      <c r="E69" s="56"/>
      <c r="F69" s="56"/>
      <c r="G69" s="56"/>
      <c r="H69" s="56"/>
      <c r="I69" s="56"/>
      <c r="J69" s="56"/>
      <c r="L69" s="202" t="s">
        <v>82</v>
      </c>
    </row>
    <row r="70" spans="2:15" s="56" customFormat="1" x14ac:dyDescent="0.25">
      <c r="C70" s="47"/>
      <c r="K70" s="55"/>
      <c r="L70" s="203">
        <f>IF(I10="IP units",1,2)</f>
        <v>1</v>
      </c>
      <c r="M70" s="55"/>
      <c r="N70" s="55"/>
      <c r="O70" s="55"/>
    </row>
    <row r="71" spans="2:15" s="56" customFormat="1" ht="15" customHeight="1" x14ac:dyDescent="0.25">
      <c r="C71" s="47"/>
      <c r="L71" s="204" t="s">
        <v>83</v>
      </c>
    </row>
    <row r="72" spans="2:15" s="56" customFormat="1" ht="15" customHeight="1" x14ac:dyDescent="0.25">
      <c r="B72" s="47"/>
      <c r="C72" s="47"/>
      <c r="D72" s="47"/>
      <c r="E72" s="47"/>
      <c r="F72" s="47"/>
      <c r="G72" s="47"/>
      <c r="H72" s="47"/>
      <c r="I72" s="47"/>
      <c r="J72" s="47"/>
    </row>
    <row r="73" spans="2:15" s="56" customFormat="1" ht="15" customHeight="1" x14ac:dyDescent="0.25">
      <c r="B73" s="47"/>
      <c r="C73" s="47"/>
      <c r="D73" s="47"/>
      <c r="E73" s="47"/>
      <c r="F73" s="47"/>
      <c r="G73" s="47"/>
      <c r="H73" s="47"/>
      <c r="I73" s="47"/>
      <c r="J73" s="47"/>
    </row>
  </sheetData>
  <sheetProtection algorithmName="SHA-512" hashValue="E0DXpb5f4ga0pzEeUXwxHnwBdnpaYyRPl06RrGMuqMJ4Jz+AnF7TWxUz8BkdwB3NxfZzejKkcFf6ZnacgrUPkg==" saltValue="0M4WtYkLTdAwRFM6mFfX9Q==" spinCount="100000" sheet="1" objects="1" scenarios="1"/>
  <mergeCells count="33">
    <mergeCell ref="E20:I20"/>
    <mergeCell ref="E3:I3"/>
    <mergeCell ref="E6:I6"/>
    <mergeCell ref="E7:I7"/>
    <mergeCell ref="E14:H14"/>
    <mergeCell ref="E17:I17"/>
    <mergeCell ref="C59:G59"/>
    <mergeCell ref="C60:G60"/>
    <mergeCell ref="C53:I53"/>
    <mergeCell ref="G28:I28"/>
    <mergeCell ref="C37:E37"/>
    <mergeCell ref="C38:E38"/>
    <mergeCell ref="C51:E51"/>
    <mergeCell ref="C52:E52"/>
    <mergeCell ref="C56:G57"/>
    <mergeCell ref="C58:G58"/>
    <mergeCell ref="H56:I56"/>
    <mergeCell ref="C47:E48"/>
    <mergeCell ref="C49:E49"/>
    <mergeCell ref="C50:E50"/>
    <mergeCell ref="C39:E39"/>
    <mergeCell ref="F47:I47"/>
    <mergeCell ref="C44:F44"/>
    <mergeCell ref="C36:F36"/>
    <mergeCell ref="C40:E40"/>
    <mergeCell ref="C41:E41"/>
    <mergeCell ref="C42:E42"/>
    <mergeCell ref="C43:E43"/>
    <mergeCell ref="C28:F29"/>
    <mergeCell ref="C30:F30"/>
    <mergeCell ref="C31:F31"/>
    <mergeCell ref="C32:F32"/>
    <mergeCell ref="C33:F33"/>
  </mergeCells>
  <dataValidations count="1">
    <dataValidation type="list" allowBlank="1" showInputMessage="1" showErrorMessage="1" sqref="I10" xr:uid="{00000000-0002-0000-0000-000000000000}">
      <formula1>"IP units, SI units"</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26"/>
  <sheetViews>
    <sheetView showGridLines="0" zoomScale="90" zoomScaleNormal="90" workbookViewId="0">
      <selection activeCell="J21" sqref="J21"/>
    </sheetView>
  </sheetViews>
  <sheetFormatPr defaultColWidth="9.140625" defaultRowHeight="12.75" x14ac:dyDescent="0.2"/>
  <cols>
    <col min="1" max="1" width="2.7109375" style="104" customWidth="1"/>
    <col min="2" max="2" width="18.7109375" style="104" customWidth="1"/>
    <col min="3" max="5" width="14.7109375" style="104" customWidth="1"/>
    <col min="6" max="6" width="2.7109375" style="104" customWidth="1"/>
    <col min="7" max="7" width="14.7109375" style="104" hidden="1" customWidth="1"/>
    <col min="8" max="9" width="14.7109375" style="104" customWidth="1"/>
    <col min="10" max="10" width="11.5703125" style="104" bestFit="1" customWidth="1"/>
    <col min="11" max="16384" width="9.140625" style="104"/>
  </cols>
  <sheetData>
    <row r="1" spans="1:7" s="98" customFormat="1" ht="15" customHeight="1" x14ac:dyDescent="0.25">
      <c r="A1" s="96"/>
      <c r="B1" s="96"/>
      <c r="C1" s="97"/>
      <c r="D1" s="96"/>
      <c r="E1" s="96"/>
    </row>
    <row r="2" spans="1:7" s="98" customFormat="1" ht="24.75" x14ac:dyDescent="0.25">
      <c r="A2" s="99"/>
      <c r="B2" s="100" t="s">
        <v>25</v>
      </c>
      <c r="C2" s="101"/>
      <c r="D2" s="101"/>
      <c r="E2" s="102"/>
    </row>
    <row r="3" spans="1:7" s="98" customFormat="1" ht="15" customHeight="1" x14ac:dyDescent="0.25">
      <c r="A3" s="96"/>
      <c r="B3" s="96"/>
      <c r="C3" s="97"/>
      <c r="D3" s="96"/>
      <c r="E3" s="96"/>
    </row>
    <row r="4" spans="1:7" s="103" customFormat="1" ht="21" customHeight="1" x14ac:dyDescent="0.25"/>
    <row r="5" spans="1:7" ht="18" customHeight="1" x14ac:dyDescent="0.2">
      <c r="B5" s="257" t="str">
        <f>CONCATENATE("Landscaped area ",IF(Instructions!$L$70=1,"(sq ft)","(sq m)"))</f>
        <v>Landscaped area (sq ft)</v>
      </c>
      <c r="C5" s="258"/>
      <c r="D5" s="258"/>
      <c r="E5" s="123">
        <f>7348-38-195+5442+115+490+250+245+1073+638</f>
        <v>15368</v>
      </c>
    </row>
    <row r="6" spans="1:7" ht="21" customHeight="1" x14ac:dyDescent="0.2">
      <c r="B6" s="105"/>
      <c r="C6" s="105"/>
      <c r="D6" s="105"/>
      <c r="E6" s="106"/>
    </row>
    <row r="7" spans="1:7" s="107" customFormat="1" ht="18" customHeight="1" x14ac:dyDescent="0.25">
      <c r="B7" s="108" t="s">
        <v>26</v>
      </c>
    </row>
    <row r="8" spans="1:7" ht="51.75" customHeight="1" x14ac:dyDescent="0.2">
      <c r="B8" s="261" t="s">
        <v>27</v>
      </c>
      <c r="C8" s="261"/>
      <c r="D8" s="261"/>
      <c r="E8" s="261"/>
    </row>
    <row r="9" spans="1:7" ht="51" customHeight="1" x14ac:dyDescent="0.2">
      <c r="B9" s="109"/>
      <c r="C9" s="110" t="str">
        <f>CONCATENATE("Monthly
Rainfall
",IF(Instructions!$L$70=1,"(in)","(mm)"))</f>
        <v>Monthly
Rainfall
(in)</v>
      </c>
      <c r="D9" s="110" t="str">
        <f>CONCATENATE("Monthly
ETo
",IF(Instructions!$L$70=1,"(in)","(mm)"))</f>
        <v>Monthly
ETo
(in)</v>
      </c>
      <c r="E9" s="111" t="str">
        <f>CONCATENATE("Watering
Demand
",IF(Instructions!$L$70=1,"(in)","(mm)"))</f>
        <v>Watering
Demand
(in)</v>
      </c>
      <c r="G9" s="112" t="s">
        <v>23</v>
      </c>
    </row>
    <row r="10" spans="1:7" ht="15" customHeight="1" x14ac:dyDescent="0.2">
      <c r="B10" s="113" t="s">
        <v>1</v>
      </c>
      <c r="C10" s="124">
        <v>1.237007874015748</v>
      </c>
      <c r="D10" s="124">
        <v>2.6606299212598423</v>
      </c>
      <c r="E10" s="114">
        <f>D10-C10</f>
        <v>1.4236220472440944</v>
      </c>
      <c r="F10" s="98"/>
      <c r="G10" s="115">
        <f t="shared" ref="G10:G21" si="0">_xlfn.RANK.EQ(E10,$E$10:$E$21)</f>
        <v>10</v>
      </c>
    </row>
    <row r="11" spans="1:7" ht="15" customHeight="1" x14ac:dyDescent="0.2">
      <c r="B11" s="116" t="s">
        <v>2</v>
      </c>
      <c r="C11" s="125">
        <v>2.0933070866141734</v>
      </c>
      <c r="D11" s="125">
        <v>3.064566929133858</v>
      </c>
      <c r="E11" s="117">
        <f t="shared" ref="E11:E21" si="1">D11-C11</f>
        <v>0.97125984251968456</v>
      </c>
      <c r="F11" s="98"/>
      <c r="G11" s="115">
        <f t="shared" si="0"/>
        <v>12</v>
      </c>
    </row>
    <row r="12" spans="1:7" ht="15" customHeight="1" x14ac:dyDescent="0.2">
      <c r="B12" s="116" t="s">
        <v>3</v>
      </c>
      <c r="C12" s="125">
        <v>1.5397637795275592</v>
      </c>
      <c r="D12" s="125">
        <v>4.8452755905511813</v>
      </c>
      <c r="E12" s="117">
        <f t="shared" si="1"/>
        <v>3.3055118110236221</v>
      </c>
      <c r="F12" s="98"/>
      <c r="G12" s="115">
        <f t="shared" si="0"/>
        <v>5</v>
      </c>
    </row>
    <row r="13" spans="1:7" ht="15" customHeight="1" x14ac:dyDescent="0.2">
      <c r="B13" s="116" t="s">
        <v>4</v>
      </c>
      <c r="C13" s="125">
        <v>2.2783464566929132</v>
      </c>
      <c r="D13" s="125">
        <v>5.7637795275590546</v>
      </c>
      <c r="E13" s="117">
        <f t="shared" si="1"/>
        <v>3.4854330708661414</v>
      </c>
      <c r="F13" s="98"/>
      <c r="G13" s="115">
        <f t="shared" si="0"/>
        <v>4</v>
      </c>
    </row>
    <row r="14" spans="1:7" ht="15" customHeight="1" x14ac:dyDescent="0.2">
      <c r="B14" s="116" t="s">
        <v>0</v>
      </c>
      <c r="C14" s="125">
        <v>3.9125984251968502</v>
      </c>
      <c r="D14" s="125">
        <v>6.3220472440944873</v>
      </c>
      <c r="E14" s="117">
        <f t="shared" si="1"/>
        <v>2.4094488188976371</v>
      </c>
      <c r="F14" s="98"/>
      <c r="G14" s="115">
        <f t="shared" si="0"/>
        <v>7</v>
      </c>
    </row>
    <row r="15" spans="1:7" ht="15" customHeight="1" x14ac:dyDescent="0.2">
      <c r="B15" s="116" t="s">
        <v>5</v>
      </c>
      <c r="C15" s="125">
        <v>2.7688976377952756</v>
      </c>
      <c r="D15" s="125">
        <v>7.3228346456692917</v>
      </c>
      <c r="E15" s="117">
        <f t="shared" si="1"/>
        <v>4.5539370078740156</v>
      </c>
      <c r="F15" s="98"/>
      <c r="G15" s="115">
        <f t="shared" si="0"/>
        <v>3</v>
      </c>
    </row>
    <row r="16" spans="1:7" ht="15" customHeight="1" x14ac:dyDescent="0.2">
      <c r="B16" s="116" t="s">
        <v>6</v>
      </c>
      <c r="C16" s="125">
        <v>1.1433070866141732</v>
      </c>
      <c r="D16" s="125">
        <v>8.4822834645669278</v>
      </c>
      <c r="E16" s="117">
        <f t="shared" si="1"/>
        <v>7.3389763779527541</v>
      </c>
      <c r="F16" s="98"/>
      <c r="G16" s="115">
        <f t="shared" si="0"/>
        <v>1</v>
      </c>
    </row>
    <row r="17" spans="2:7" ht="15" customHeight="1" x14ac:dyDescent="0.2">
      <c r="B17" s="116" t="s">
        <v>7</v>
      </c>
      <c r="C17" s="125">
        <v>1.3850393700787402</v>
      </c>
      <c r="D17" s="125">
        <v>8.0429133858267718</v>
      </c>
      <c r="E17" s="117">
        <f t="shared" si="1"/>
        <v>6.6578740157480318</v>
      </c>
      <c r="F17" s="98"/>
      <c r="G17" s="115">
        <f t="shared" si="0"/>
        <v>2</v>
      </c>
    </row>
    <row r="18" spans="2:7" ht="15" customHeight="1" x14ac:dyDescent="0.2">
      <c r="B18" s="116" t="s">
        <v>8</v>
      </c>
      <c r="C18" s="125">
        <v>3.0307086614173229</v>
      </c>
      <c r="D18" s="125">
        <v>6.0708661417322842</v>
      </c>
      <c r="E18" s="117">
        <f t="shared" si="1"/>
        <v>3.0401574803149614</v>
      </c>
      <c r="F18" s="98"/>
      <c r="G18" s="115">
        <f t="shared" si="0"/>
        <v>6</v>
      </c>
    </row>
    <row r="19" spans="2:7" ht="15" customHeight="1" x14ac:dyDescent="0.2">
      <c r="B19" s="116" t="s">
        <v>9</v>
      </c>
      <c r="C19" s="125">
        <v>2.5681102362204724</v>
      </c>
      <c r="D19" s="125">
        <v>4.8208661417322833</v>
      </c>
      <c r="E19" s="117">
        <f t="shared" si="1"/>
        <v>2.2527559055118109</v>
      </c>
      <c r="F19" s="98"/>
      <c r="G19" s="115">
        <f t="shared" si="0"/>
        <v>8</v>
      </c>
    </row>
    <row r="20" spans="2:7" ht="15" customHeight="1" x14ac:dyDescent="0.2">
      <c r="B20" s="116" t="s">
        <v>10</v>
      </c>
      <c r="C20" s="125">
        <v>1.8169291338582678</v>
      </c>
      <c r="D20" s="125">
        <v>3.3070866141732287</v>
      </c>
      <c r="E20" s="117">
        <f t="shared" si="1"/>
        <v>1.4901574803149609</v>
      </c>
      <c r="F20" s="98"/>
      <c r="G20" s="115">
        <f t="shared" si="0"/>
        <v>9</v>
      </c>
    </row>
    <row r="21" spans="2:7" ht="15" customHeight="1" x14ac:dyDescent="0.2">
      <c r="B21" s="118" t="s">
        <v>11</v>
      </c>
      <c r="C21" s="126">
        <v>1.6023622047244095</v>
      </c>
      <c r="D21" s="126">
        <v>2.6728346456692913</v>
      </c>
      <c r="E21" s="119">
        <f t="shared" si="1"/>
        <v>1.0704724409448818</v>
      </c>
      <c r="F21" s="98"/>
      <c r="G21" s="115">
        <f t="shared" si="0"/>
        <v>11</v>
      </c>
    </row>
    <row r="22" spans="2:7" s="98" customFormat="1" ht="18" customHeight="1" x14ac:dyDescent="0.25">
      <c r="B22" s="262" t="s">
        <v>28</v>
      </c>
      <c r="C22" s="263"/>
      <c r="D22" s="263"/>
      <c r="E22" s="120" t="str">
        <f>IF(SUM(E10:E21)=0,"",INDEX(B10:B21,MATCH(MIN(G10:G21),G10:G21,0)))</f>
        <v>July</v>
      </c>
    </row>
    <row r="23" spans="2:7" s="98" customFormat="1" ht="18" customHeight="1" x14ac:dyDescent="0.25">
      <c r="B23" s="259" t="str">
        <f>CONCATENATE("Peak watering demand ",IF(Instructions!$L$70=1,"(in)","(mm)"))</f>
        <v>Peak watering demand (in)</v>
      </c>
      <c r="C23" s="260"/>
      <c r="D23" s="260"/>
      <c r="E23" s="121">
        <f>MAX(E10:E21)</f>
        <v>7.3389763779527541</v>
      </c>
    </row>
    <row r="24" spans="2:7" s="98" customFormat="1" ht="18" customHeight="1" x14ac:dyDescent="0.25">
      <c r="B24" s="259" t="str">
        <f>CONCATENATE("Peak watering month ETo ",IF(Instructions!$L$70=1,"(in)","(mm)"))</f>
        <v>Peak watering month ETo (in)</v>
      </c>
      <c r="C24" s="260"/>
      <c r="D24" s="260"/>
      <c r="E24" s="121">
        <f>IF(COUNTIF($G$10:$G$21,1)&gt;1,MAX($D$10:$D$21),INDEX(D10:D21,MATCH(MIN(G10:G21),G10:G21,0)))</f>
        <v>8.4822834645669278</v>
      </c>
      <c r="G24" s="205"/>
    </row>
    <row r="25" spans="2:7" ht="18" customHeight="1" x14ac:dyDescent="0.2">
      <c r="B25" s="259" t="str">
        <f>CONCATENATE("Landscape water allowance ",IF(Instructions!$L$70=1,"(gal/month)","(l/month)"))</f>
        <v>Landscape water allowance (gal/month)</v>
      </c>
      <c r="C25" s="260"/>
      <c r="D25" s="260"/>
      <c r="E25" s="121">
        <f>IF(Instructions!$L$70=1,0.7*((E5*E24)*0.6233),0.7*(E5*E24))</f>
        <v>56875.509552598414</v>
      </c>
    </row>
    <row r="26" spans="2:7" ht="18" customHeight="1" x14ac:dyDescent="0.2">
      <c r="B26" s="255" t="str">
        <f>CONCATENATE("Landscape water baseline ",IF(Instructions!$L$70=1,"(gal/month)","(l/month)"))</f>
        <v>Landscape water baseline (gal/month)</v>
      </c>
      <c r="C26" s="256"/>
      <c r="D26" s="256"/>
      <c r="E26" s="122">
        <f>IF(Instructions!$L$70=1,(E5*E24)*0.6233,(E5*E24))</f>
        <v>81250.727932283451</v>
      </c>
    </row>
  </sheetData>
  <sheetProtection algorithmName="SHA-512" hashValue="gf9YaRy0X5yxXYzywaRGqM2EbAENpyxmK08bwMcYVLiADrxkUnTOyxzkQVJxlPVwNRWe3Mqhqz6ZuqPmAiUoZA==" saltValue="M+k58W7KI9zkLM+YPH1oxw==" spinCount="100000" sheet="1" objects="1" scenarios="1"/>
  <mergeCells count="7">
    <mergeCell ref="B26:D26"/>
    <mergeCell ref="B5:D5"/>
    <mergeCell ref="B25:D25"/>
    <mergeCell ref="B8:E8"/>
    <mergeCell ref="B23:D23"/>
    <mergeCell ref="B22:D22"/>
    <mergeCell ref="B24:D24"/>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24"/>
  <sheetViews>
    <sheetView showGridLines="0" zoomScale="90" zoomScaleNormal="90" workbookViewId="0">
      <selection activeCell="M30" sqref="M29:M30"/>
    </sheetView>
  </sheetViews>
  <sheetFormatPr defaultColWidth="9.140625" defaultRowHeight="12.75" x14ac:dyDescent="0.25"/>
  <cols>
    <col min="1" max="1" width="2.5703125" style="212" customWidth="1"/>
    <col min="2" max="2" width="11.28515625" style="98" bestFit="1" customWidth="1"/>
    <col min="3" max="3" width="14.7109375" style="98" customWidth="1"/>
    <col min="4" max="4" width="36.7109375" style="98" customWidth="1"/>
    <col min="5" max="6" width="14.7109375" style="98" customWidth="1"/>
    <col min="7" max="7" width="18.7109375" style="98" customWidth="1"/>
    <col min="8" max="9" width="14.7109375" style="98" customWidth="1"/>
    <col min="10" max="10" width="30.7109375" style="98" customWidth="1"/>
    <col min="11" max="11" width="4" style="98" customWidth="1"/>
    <col min="12" max="12" width="15.42578125" style="98" customWidth="1"/>
    <col min="13" max="13" width="8.85546875" style="98" customWidth="1"/>
    <col min="14" max="14" width="16.28515625" style="98" bestFit="1" customWidth="1"/>
    <col min="15" max="15" width="12.28515625" style="98" customWidth="1"/>
    <col min="16" max="16384" width="9.140625" style="98"/>
  </cols>
  <sheetData>
    <row r="1" spans="1:14" ht="15" customHeight="1" x14ac:dyDescent="0.25">
      <c r="A1" s="207"/>
      <c r="B1" s="96"/>
      <c r="C1" s="97"/>
      <c r="D1" s="96"/>
      <c r="E1" s="96"/>
      <c r="F1" s="96"/>
      <c r="G1" s="96"/>
      <c r="H1" s="96"/>
      <c r="I1" s="96"/>
    </row>
    <row r="2" spans="1:14" ht="24.75" x14ac:dyDescent="0.25">
      <c r="A2" s="99"/>
      <c r="B2" s="100" t="s">
        <v>49</v>
      </c>
      <c r="C2" s="101"/>
      <c r="D2" s="101"/>
      <c r="E2" s="101"/>
      <c r="F2" s="102"/>
      <c r="G2" s="102"/>
      <c r="H2" s="102"/>
      <c r="I2" s="102"/>
    </row>
    <row r="3" spans="1:14" ht="15" customHeight="1" x14ac:dyDescent="0.25">
      <c r="A3" s="207"/>
      <c r="B3" s="96"/>
      <c r="C3" s="97"/>
      <c r="D3" s="96"/>
      <c r="E3" s="96"/>
      <c r="F3" s="96"/>
      <c r="G3" s="96"/>
      <c r="H3" s="96"/>
      <c r="I3" s="96"/>
    </row>
    <row r="4" spans="1:14" s="103" customFormat="1" ht="21" customHeight="1" x14ac:dyDescent="0.25">
      <c r="A4" s="208"/>
    </row>
    <row r="5" spans="1:14" s="104" customFormat="1" ht="18" customHeight="1" x14ac:dyDescent="0.2">
      <c r="A5" s="209"/>
      <c r="B5" s="257" t="str">
        <f>CONCATENATE("Average monthly rainfall for the site's peak watering month ",IF(Instructions!$L$70=1,"(in/month)","(mm/month)"))</f>
        <v>Average monthly rainfall for the site's peak watering month (in/month)</v>
      </c>
      <c r="C5" s="258"/>
      <c r="D5" s="258"/>
      <c r="E5" s="258"/>
      <c r="F5" s="258"/>
      <c r="G5" s="258"/>
      <c r="H5" s="258"/>
      <c r="I5" s="127">
        <f>IFERROR(VLOOKUP('Baseline Calculation'!E22,'Baseline Calculation'!B10:D21,2,FALSE),"")</f>
        <v>1.1433070866141732</v>
      </c>
    </row>
    <row r="6" spans="1:14" s="104" customFormat="1" ht="21" customHeight="1" x14ac:dyDescent="0.2">
      <c r="A6" s="209"/>
      <c r="B6" s="105"/>
      <c r="C6" s="105"/>
      <c r="D6" s="105"/>
      <c r="E6" s="105"/>
      <c r="F6" s="106"/>
    </row>
    <row r="7" spans="1:14" s="107" customFormat="1" ht="21" customHeight="1" x14ac:dyDescent="0.25">
      <c r="A7" s="210"/>
      <c r="B7" s="128" t="s">
        <v>50</v>
      </c>
      <c r="C7" s="129"/>
    </row>
    <row r="8" spans="1:14" s="130" customFormat="1" ht="39" customHeight="1" x14ac:dyDescent="0.3">
      <c r="A8" s="211"/>
      <c r="B8" s="272" t="s">
        <v>69</v>
      </c>
      <c r="C8" s="270" t="str">
        <f>CONCATENATE("Hydrozone or
Landscape Feature Area
",IF(Instructions!$L$70=1,"(sq ft)","(sq m)"))</f>
        <v>Hydrozone or
Landscape Feature Area
(sq ft)</v>
      </c>
      <c r="D8" s="270" t="s">
        <v>51</v>
      </c>
      <c r="E8" s="270" t="s">
        <v>38</v>
      </c>
      <c r="F8" s="270" t="s">
        <v>52</v>
      </c>
      <c r="G8" s="270" t="s">
        <v>53</v>
      </c>
      <c r="H8" s="270" t="s">
        <v>54</v>
      </c>
      <c r="I8" s="206" t="s">
        <v>87</v>
      </c>
      <c r="J8" s="131"/>
      <c r="K8" s="98"/>
      <c r="L8" s="98"/>
      <c r="M8" s="98"/>
      <c r="N8" s="98"/>
    </row>
    <row r="9" spans="1:14" s="130" customFormat="1" ht="30" customHeight="1" x14ac:dyDescent="0.25">
      <c r="A9" s="211"/>
      <c r="B9" s="273"/>
      <c r="C9" s="271"/>
      <c r="D9" s="271"/>
      <c r="E9" s="271"/>
      <c r="F9" s="271"/>
      <c r="G9" s="271"/>
      <c r="H9" s="271"/>
      <c r="I9" s="215" t="str">
        <f>IF(Instructions!$L$70=1,"(gal/month)","(l/month)")</f>
        <v>(gal/month)</v>
      </c>
      <c r="J9" s="131"/>
      <c r="K9" s="98"/>
      <c r="L9" s="98"/>
      <c r="M9" s="98"/>
      <c r="N9" s="98"/>
    </row>
    <row r="10" spans="1:14" x14ac:dyDescent="0.25">
      <c r="A10" s="161">
        <f>IF(C10&gt;0,0,0)</f>
        <v>0</v>
      </c>
      <c r="B10" s="162">
        <v>1</v>
      </c>
      <c r="C10" s="136">
        <f>7348-38-195</f>
        <v>7115</v>
      </c>
      <c r="D10" s="137" t="s">
        <v>21</v>
      </c>
      <c r="E10" s="137" t="s">
        <v>15</v>
      </c>
      <c r="F10" s="132">
        <f>IFERROR(VLOOKUP(D10, Instructions!$C$29:$K$34, MATCH(E10, Instructions!$C$29:$K$29, 0), FALSE),"")</f>
        <v>0.6</v>
      </c>
      <c r="G10" s="142" t="s">
        <v>14</v>
      </c>
      <c r="H10" s="213">
        <f>IFERROR(VLOOKUP(G10,Instructions!$C$38:$F$43,4,FALSE),"")</f>
        <v>0.7</v>
      </c>
      <c r="I10" s="216">
        <f>IFERROR(IF(Instructions!$L$70=1,(1/H10)*(('Baseline Calculation'!$E$24*F10)-(0.25*$I$5))*C10*0.6233,(1/H10)*(('Baseline Calculation'!$E$24*F10)-(0.25*$I$5))*(C10)),0)</f>
        <v>30432.364836614172</v>
      </c>
      <c r="J10" s="131"/>
    </row>
    <row r="11" spans="1:14" x14ac:dyDescent="0.25">
      <c r="A11" s="161">
        <f t="shared" ref="A11:A19" si="0">IF(C11&gt;0,0,0)</f>
        <v>0</v>
      </c>
      <c r="B11" s="163">
        <v>2</v>
      </c>
      <c r="C11" s="138">
        <v>5442</v>
      </c>
      <c r="D11" s="139" t="s">
        <v>21</v>
      </c>
      <c r="E11" s="139" t="s">
        <v>15</v>
      </c>
      <c r="F11" s="133">
        <f>IFERROR(VLOOKUP(D11, Instructions!$C$29:$K$34, MATCH(E11, Instructions!$C$29:$K$29, 0), FALSE),"")</f>
        <v>0.6</v>
      </c>
      <c r="G11" s="143" t="s">
        <v>14</v>
      </c>
      <c r="H11" s="213">
        <f>IFERROR(VLOOKUP(G11,Instructions!$C$38:$F$43,4,FALSE),"")</f>
        <v>0.7</v>
      </c>
      <c r="I11" s="217">
        <f>IFERROR(IF(Instructions!$L$70=1,(1/H11)*(('Baseline Calculation'!$E$24*F11)-(0.25*$I$5))*C11*0.6233,(1/H11)*(('Baseline Calculation'!$E$24*F11)-(0.25*$I$5))*C11),0)</f>
        <v>23276.588818110235</v>
      </c>
      <c r="J11" s="131"/>
    </row>
    <row r="12" spans="1:14" x14ac:dyDescent="0.25">
      <c r="A12" s="161">
        <f t="shared" si="0"/>
        <v>0</v>
      </c>
      <c r="B12" s="163">
        <v>3</v>
      </c>
      <c r="C12" s="138">
        <v>115</v>
      </c>
      <c r="D12" s="139" t="s">
        <v>19</v>
      </c>
      <c r="E12" s="139" t="s">
        <v>15</v>
      </c>
      <c r="F12" s="133">
        <f>IFERROR(VLOOKUP(D12, Instructions!$C$29:$K$34, MATCH(E12, Instructions!$C$29:$K$29, 0), FALSE),"")</f>
        <v>0.2</v>
      </c>
      <c r="G12" s="143" t="s">
        <v>71</v>
      </c>
      <c r="H12" s="213">
        <f>IFERROR(VLOOKUP(G12,Instructions!$C$38:$F$43,4,FALSE),"")</f>
        <v>0.9</v>
      </c>
      <c r="I12" s="217">
        <f>IFERROR(IF(Instructions!$L$70=1,(1/H12)*(('Baseline Calculation'!$E$24*F12)-(0.25*$I$5))*C12*0.6233,(1/H12)*(('Baseline Calculation'!$E$24*F12)-(0.25*$I$5))*C12),0)</f>
        <v>112.34805271216095</v>
      </c>
      <c r="J12" s="131"/>
    </row>
    <row r="13" spans="1:14" x14ac:dyDescent="0.25">
      <c r="A13" s="161">
        <f t="shared" si="0"/>
        <v>0</v>
      </c>
      <c r="B13" s="163">
        <v>4</v>
      </c>
      <c r="C13" s="138">
        <v>490</v>
      </c>
      <c r="D13" s="139" t="s">
        <v>19</v>
      </c>
      <c r="E13" s="139" t="s">
        <v>15</v>
      </c>
      <c r="F13" s="133">
        <f>IFERROR(VLOOKUP(D13, Instructions!$C$29:$K$34, MATCH(E13, Instructions!$C$29:$K$29, 0), FALSE),"")</f>
        <v>0.2</v>
      </c>
      <c r="G13" s="143" t="s">
        <v>71</v>
      </c>
      <c r="H13" s="213">
        <f>IFERROR(VLOOKUP(G13,Instructions!$C$38:$F$43,4,FALSE),"")</f>
        <v>0.9</v>
      </c>
      <c r="I13" s="217">
        <f>IFERROR(IF(Instructions!$L$70=1,(1/H13)*(('Baseline Calculation'!$E$24*F13)-(0.25*$I$5))*C13*0.6233,(1/H13)*(('Baseline Calculation'!$E$24*F13)-(0.25*$I$5))*C13),0)</f>
        <v>478.70039851268581</v>
      </c>
      <c r="J13" s="131"/>
    </row>
    <row r="14" spans="1:14" x14ac:dyDescent="0.25">
      <c r="A14" s="161">
        <f t="shared" si="0"/>
        <v>0</v>
      </c>
      <c r="B14" s="163">
        <v>5</v>
      </c>
      <c r="C14" s="138">
        <v>250</v>
      </c>
      <c r="D14" s="139" t="s">
        <v>19</v>
      </c>
      <c r="E14" s="139" t="s">
        <v>15</v>
      </c>
      <c r="F14" s="133">
        <f>IFERROR(VLOOKUP(D14, Instructions!$C$29:$K$34, MATCH(E14, Instructions!$C$29:$K$29, 0), FALSE),"")</f>
        <v>0.2</v>
      </c>
      <c r="G14" s="143" t="s">
        <v>71</v>
      </c>
      <c r="H14" s="213">
        <f>IFERROR(VLOOKUP(G14,Instructions!$C$38:$F$43,4,FALSE),"")</f>
        <v>0.9</v>
      </c>
      <c r="I14" s="217">
        <f>IFERROR(IF(Instructions!$L$70=1,(1/H14)*(('Baseline Calculation'!$E$24*F14)-(0.25*$I$5))*C14*0.6233,(1/H14)*(('Baseline Calculation'!$E$24*F14)-(0.25*$I$5))*C14),0)</f>
        <v>244.23489720034991</v>
      </c>
      <c r="J14" s="131"/>
    </row>
    <row r="15" spans="1:14" x14ac:dyDescent="0.25">
      <c r="A15" s="161">
        <f t="shared" si="0"/>
        <v>0</v>
      </c>
      <c r="B15" s="163">
        <v>6</v>
      </c>
      <c r="C15" s="138">
        <v>245</v>
      </c>
      <c r="D15" s="139" t="s">
        <v>19</v>
      </c>
      <c r="E15" s="139" t="s">
        <v>15</v>
      </c>
      <c r="F15" s="133">
        <f>IFERROR(VLOOKUP(D15, Instructions!$C$29:$K$34, MATCH(E15, Instructions!$C$29:$K$29, 0), FALSE),"")</f>
        <v>0.2</v>
      </c>
      <c r="G15" s="143" t="s">
        <v>71</v>
      </c>
      <c r="H15" s="213">
        <f>IFERROR(VLOOKUP(G15,Instructions!$C$38:$F$43,4,FALSE),"")</f>
        <v>0.9</v>
      </c>
      <c r="I15" s="217">
        <f>IFERROR(IF(Instructions!$L$70=1,(1/H15)*(('Baseline Calculation'!$E$24*F15)-(0.25*$I$5))*C15*0.6233,(1/H15)*(('Baseline Calculation'!$E$24*F15)-(0.25*$I$5))*C15),0)</f>
        <v>239.3501992563429</v>
      </c>
      <c r="J15" s="131"/>
    </row>
    <row r="16" spans="1:14" x14ac:dyDescent="0.25">
      <c r="A16" s="161">
        <f t="shared" si="0"/>
        <v>0</v>
      </c>
      <c r="B16" s="163">
        <v>7</v>
      </c>
      <c r="C16" s="138">
        <v>1073</v>
      </c>
      <c r="D16" s="139" t="s">
        <v>19</v>
      </c>
      <c r="E16" s="139" t="s">
        <v>15</v>
      </c>
      <c r="F16" s="133">
        <f>IFERROR(VLOOKUP(D16, Instructions!$C$29:$K$34, MATCH(E16, Instructions!$C$29:$K$29, 0), FALSE),"")</f>
        <v>0.2</v>
      </c>
      <c r="G16" s="143" t="s">
        <v>71</v>
      </c>
      <c r="H16" s="213">
        <f>IFERROR(VLOOKUP(G16,Instructions!$C$38:$F$43,4,FALSE),"")</f>
        <v>0.9</v>
      </c>
      <c r="I16" s="217">
        <f>IFERROR(IF(Instructions!$L$70=1,(1/H16)*(('Baseline Calculation'!$E$24*F16)-(0.25*$I$5))*C16*0.6233,(1/H16)*(('Baseline Calculation'!$E$24*F16)-(0.25*$I$5))*C16),0)</f>
        <v>1048.2561787839018</v>
      </c>
      <c r="J16" s="131"/>
    </row>
    <row r="17" spans="1:10" x14ac:dyDescent="0.25">
      <c r="A17" s="161">
        <f t="shared" ref="A17" si="1">IF(C17&gt;0,0,0)</f>
        <v>0</v>
      </c>
      <c r="B17" s="163">
        <v>8</v>
      </c>
      <c r="C17" s="138">
        <v>638</v>
      </c>
      <c r="D17" s="139" t="s">
        <v>19</v>
      </c>
      <c r="E17" s="139" t="s">
        <v>15</v>
      </c>
      <c r="F17" s="133">
        <f>IFERROR(VLOOKUP(D17, Instructions!$C$29:$K$34, MATCH(E17, Instructions!$C$29:$K$29, 0), FALSE),"")</f>
        <v>0.2</v>
      </c>
      <c r="G17" s="143" t="s">
        <v>71</v>
      </c>
      <c r="H17" s="213">
        <f>IFERROR(VLOOKUP(G17,Instructions!$C$38:$F$43,4,FALSE),"")</f>
        <v>0.9</v>
      </c>
      <c r="I17" s="217">
        <f>IFERROR(IF(Instructions!$L$70=1,(1/H17)*(('Baseline Calculation'!$E$24*F17)-(0.25*$I$5))*C17*0.6233,(1/H17)*(('Baseline Calculation'!$E$24*F17)-(0.25*$I$5))*C17),0)</f>
        <v>623.287457655293</v>
      </c>
      <c r="J17" s="131"/>
    </row>
    <row r="18" spans="1:10" x14ac:dyDescent="0.25">
      <c r="A18" s="161">
        <f t="shared" si="0"/>
        <v>0</v>
      </c>
      <c r="B18" s="163">
        <v>9</v>
      </c>
      <c r="C18" s="138">
        <v>772</v>
      </c>
      <c r="D18" s="139" t="s">
        <v>18</v>
      </c>
      <c r="E18" s="139" t="s">
        <v>15</v>
      </c>
      <c r="F18" s="133">
        <f>IFERROR(VLOOKUP(D18, Instructions!$C$29:$K$34, MATCH(E18, Instructions!$C$29:$K$29, 0), FALSE),"")</f>
        <v>0.2</v>
      </c>
      <c r="G18" s="143" t="s">
        <v>71</v>
      </c>
      <c r="H18" s="213">
        <f>IFERROR(VLOOKUP(G18,Instructions!$C$38:$F$43,4,FALSE),"")</f>
        <v>0.9</v>
      </c>
      <c r="I18" s="218">
        <f>IFERROR(IF(Instructions!$L$70=1,(1/H18)*(('Baseline Calculation'!$E$24*F18)-(0.25*$I$5))*C18*0.6233,(1/H18)*(('Baseline Calculation'!$E$24*F18)-(0.25*$I$5))*C18),0)</f>
        <v>754.19736255468047</v>
      </c>
      <c r="J18" s="219"/>
    </row>
    <row r="19" spans="1:10" x14ac:dyDescent="0.25">
      <c r="A19" s="161">
        <f t="shared" si="0"/>
        <v>0</v>
      </c>
      <c r="B19" s="164"/>
      <c r="C19" s="140"/>
      <c r="D19" s="141"/>
      <c r="E19" s="141"/>
      <c r="F19" s="134" t="str">
        <f>IFERROR(VLOOKUP(D19, Instructions!$C$29:$K$34, MATCH(E19, Instructions!$C$29:$K$29, 0), FALSE),"")</f>
        <v/>
      </c>
      <c r="G19" s="144"/>
      <c r="H19" s="214" t="str">
        <f>IFERROR(VLOOKUP(G19,Instructions!$C$38:$F$43,4,FALSE),"")</f>
        <v/>
      </c>
      <c r="I19" s="220">
        <f>IFERROR(IF(Instructions!$L$70=1,(1/H19)*(('Baseline Calculation'!$E$24*F19)-(0.25*$I$5))*C19*0.6233,(1/H19)*(('Baseline Calculation'!$E$24*F19)-(0.25*$I$5))*C19),0)</f>
        <v>0</v>
      </c>
      <c r="J19" s="219"/>
    </row>
    <row r="20" spans="1:10" ht="21" customHeight="1" x14ac:dyDescent="0.25">
      <c r="A20" s="161" t="s">
        <v>68</v>
      </c>
      <c r="B20" s="264" t="str">
        <f>CONCATENATE("Total hydrozone or landscape feature area ",IF(Instructions!$L$70=1,"(sq ft)","(sq m)"))</f>
        <v>Total hydrozone or landscape feature area (sq ft)</v>
      </c>
      <c r="C20" s="265"/>
      <c r="D20" s="265"/>
      <c r="E20" s="265"/>
      <c r="F20" s="265"/>
      <c r="G20" s="265"/>
      <c r="H20" s="266"/>
      <c r="I20" s="135">
        <f>SUM(C10:C19)</f>
        <v>16140</v>
      </c>
      <c r="J20" s="131"/>
    </row>
    <row r="21" spans="1:10" ht="21" customHeight="1" x14ac:dyDescent="0.25">
      <c r="B21" s="267" t="str">
        <f>CONCATENATE("Landscape water requirement based on the site's peak watering month ",IF(Instructions!$L$70=1,"(gal/month)","(l/month)"))</f>
        <v>Landscape water requirement based on the site's peak watering month (gal/month)</v>
      </c>
      <c r="C21" s="268"/>
      <c r="D21" s="268"/>
      <c r="E21" s="268"/>
      <c r="F21" s="268"/>
      <c r="G21" s="268"/>
      <c r="H21" s="269"/>
      <c r="I21" s="122">
        <f>SUM(I10:I19)</f>
        <v>57209.328201399818</v>
      </c>
      <c r="J21" s="131"/>
    </row>
    <row r="22" spans="1:10" ht="39.75" customHeight="1" x14ac:dyDescent="0.25">
      <c r="J22" s="131"/>
    </row>
    <row r="23" spans="1:10" x14ac:dyDescent="0.25">
      <c r="J23" s="131"/>
    </row>
    <row r="24" spans="1:10" x14ac:dyDescent="0.25">
      <c r="J24" s="131"/>
    </row>
  </sheetData>
  <sheetProtection algorithmName="SHA-512" hashValue="3cLACz5UdaT/M9W2rrGLPU8gUgeMq0BL1QgB/fUSH5EtOIej/42dBTXXQcZWzzSmCchYo0WrdoeULIc0nkE2Wg==" saltValue="yMkz7r3POigzEAriJzq5sw==" spinCount="100000" sheet="1" objects="1" scenarios="1"/>
  <mergeCells count="10">
    <mergeCell ref="B20:H20"/>
    <mergeCell ref="B21:H21"/>
    <mergeCell ref="B5:H5"/>
    <mergeCell ref="H8:H9"/>
    <mergeCell ref="G8:G9"/>
    <mergeCell ref="F8:F9"/>
    <mergeCell ref="E8:E9"/>
    <mergeCell ref="D8:D9"/>
    <mergeCell ref="C8:C9"/>
    <mergeCell ref="B8:B9"/>
  </mergeCells>
  <dataValidations count="3">
    <dataValidation type="list" allowBlank="1" showInputMessage="1" showErrorMessage="1" sqref="G10:G19" xr:uid="{00000000-0002-0000-0200-000000000000}">
      <formula1>IrrigationType</formula1>
    </dataValidation>
    <dataValidation type="list" allowBlank="1" showInputMessage="1" showErrorMessage="1" sqref="D10:D19" xr:uid="{00000000-0002-0000-0200-000001000000}">
      <formula1>plantType</formula1>
    </dataValidation>
    <dataValidation type="list" allowBlank="1" showInputMessage="1" showErrorMessage="1" sqref="E10:E19" xr:uid="{00000000-0002-0000-0200-000002000000}">
      <formula1>"Low, Medium, High"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locked="0" defaultSize="0" print="0" autoFill="0" autoPict="0" macro="[0]!addA">
                <anchor moveWithCells="1">
                  <from>
                    <xdr:col>1</xdr:col>
                    <xdr:colOff>38100</xdr:colOff>
                    <xdr:row>21</xdr:row>
                    <xdr:rowOff>219075</xdr:rowOff>
                  </from>
                  <to>
                    <xdr:col>2</xdr:col>
                    <xdr:colOff>657225</xdr:colOff>
                    <xdr:row>21</xdr:row>
                    <xdr:rowOff>485775</xdr:rowOff>
                  </to>
                </anchor>
              </controlPr>
            </control>
          </mc:Choice>
        </mc:AlternateContent>
        <mc:AlternateContent xmlns:mc="http://schemas.openxmlformats.org/markup-compatibility/2006">
          <mc:Choice Requires="x14">
            <control shapeId="1037" r:id="rId5" name="Button 13">
              <controlPr defaultSize="0" print="0" autoFill="0" autoPict="0" macro="[0]!DeleteRow">
                <anchor moveWithCells="1">
                  <from>
                    <xdr:col>2</xdr:col>
                    <xdr:colOff>790575</xdr:colOff>
                    <xdr:row>21</xdr:row>
                    <xdr:rowOff>228600</xdr:rowOff>
                  </from>
                  <to>
                    <xdr:col>3</xdr:col>
                    <xdr:colOff>1181100</xdr:colOff>
                    <xdr:row>21</xdr:row>
                    <xdr:rowOff>495300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K31"/>
  <sheetViews>
    <sheetView showGridLines="0" tabSelected="1" zoomScale="90" zoomScaleNormal="90" zoomScalePageLayoutView="90" workbookViewId="0">
      <selection activeCell="F19" sqref="F19"/>
    </sheetView>
  </sheetViews>
  <sheetFormatPr defaultColWidth="8.85546875" defaultRowHeight="15" customHeight="1" x14ac:dyDescent="0.25"/>
  <cols>
    <col min="1" max="2" width="2.7109375" style="89" customWidth="1"/>
    <col min="3" max="3" width="7" style="89" customWidth="1"/>
    <col min="4" max="4" width="2.42578125" style="89" customWidth="1"/>
    <col min="5" max="5" width="5.7109375" style="89" customWidth="1"/>
    <col min="6" max="6" width="68.7109375" style="89" customWidth="1"/>
    <col min="7" max="7" width="2.7109375" style="89" customWidth="1"/>
    <col min="8" max="8" width="14.7109375" style="89" customWidth="1"/>
    <col min="9" max="9" width="2.7109375" style="89" customWidth="1"/>
    <col min="10" max="10" width="2.42578125" style="89" customWidth="1"/>
    <col min="11" max="11" width="28.7109375" style="89" customWidth="1"/>
    <col min="12" max="16384" width="8.85546875" style="89"/>
  </cols>
  <sheetData>
    <row r="2" spans="2:11" ht="15" customHeight="1" x14ac:dyDescent="0.25">
      <c r="B2" s="145"/>
      <c r="C2" s="146"/>
      <c r="D2" s="146"/>
      <c r="E2" s="146"/>
      <c r="F2" s="146"/>
      <c r="G2" s="146"/>
      <c r="H2" s="146"/>
      <c r="I2" s="147"/>
    </row>
    <row r="3" spans="2:11" ht="24.75" customHeight="1" x14ac:dyDescent="0.25">
      <c r="B3" s="84"/>
      <c r="C3" s="148" t="s">
        <v>60</v>
      </c>
      <c r="D3" s="87"/>
      <c r="E3" s="87"/>
      <c r="F3" s="86"/>
      <c r="G3" s="86"/>
      <c r="H3" s="86"/>
      <c r="I3" s="149"/>
      <c r="J3" s="150"/>
      <c r="K3" s="150"/>
    </row>
    <row r="4" spans="2:11" ht="15" customHeight="1" x14ac:dyDescent="0.25">
      <c r="B4" s="84"/>
      <c r="C4" s="151" t="s">
        <v>59</v>
      </c>
      <c r="D4" s="87"/>
      <c r="E4" s="152"/>
      <c r="F4" s="92"/>
      <c r="G4" s="92"/>
      <c r="H4" s="87"/>
      <c r="I4" s="93"/>
      <c r="K4" s="94"/>
    </row>
    <row r="5" spans="2:11" ht="21" customHeight="1" x14ac:dyDescent="0.25">
      <c r="B5" s="84"/>
      <c r="C5" s="87"/>
      <c r="D5" s="91"/>
      <c r="E5" s="92"/>
      <c r="F5" s="92"/>
      <c r="G5" s="92"/>
      <c r="H5" s="91"/>
      <c r="I5" s="93"/>
      <c r="K5" s="94"/>
    </row>
    <row r="6" spans="2:11" ht="15" customHeight="1" x14ac:dyDescent="0.25">
      <c r="B6" s="84"/>
      <c r="C6" s="153" t="str">
        <f>CONCATENATE("Landscape water baseline ",IF(Instructions!$L$70=1,"(gal/month)","(l/month)"))</f>
        <v>Landscape water baseline (gal/month)</v>
      </c>
      <c r="D6" s="86"/>
      <c r="E6" s="86"/>
      <c r="F6" s="86"/>
      <c r="G6" s="87"/>
      <c r="H6" s="154">
        <f>'Baseline Calculation'!E26</f>
        <v>81250.727932283451</v>
      </c>
      <c r="I6" s="88"/>
      <c r="K6" s="90"/>
    </row>
    <row r="7" spans="2:11" ht="9" customHeight="1" x14ac:dyDescent="0.25">
      <c r="B7" s="84"/>
      <c r="C7" s="87"/>
      <c r="D7" s="91"/>
      <c r="E7" s="92"/>
      <c r="F7" s="92"/>
      <c r="G7" s="92"/>
      <c r="H7" s="91"/>
      <c r="I7" s="93"/>
      <c r="K7" s="94"/>
    </row>
    <row r="8" spans="2:11" ht="15" customHeight="1" x14ac:dyDescent="0.25">
      <c r="B8" s="84"/>
      <c r="C8" s="153" t="str">
        <f>CONCATENATE("Landscape water requirement (LWR) ",IF(Instructions!$L$70=1,"(gal/month)","(l/month)"))</f>
        <v>Landscape water requirement (LWR) (gal/month)</v>
      </c>
      <c r="D8" s="86"/>
      <c r="E8" s="86"/>
      <c r="F8" s="86"/>
      <c r="G8" s="87"/>
      <c r="H8" s="154">
        <f>'Landscape Water Requirement'!I21</f>
        <v>57209.328201399818</v>
      </c>
      <c r="I8" s="88"/>
      <c r="K8" s="90"/>
    </row>
    <row r="9" spans="2:11" ht="9" customHeight="1" x14ac:dyDescent="0.25">
      <c r="B9" s="84"/>
      <c r="C9" s="87"/>
      <c r="D9" s="91"/>
      <c r="E9" s="92"/>
      <c r="F9" s="92"/>
      <c r="G9" s="92"/>
      <c r="H9" s="91"/>
      <c r="I9" s="93"/>
      <c r="K9" s="94"/>
    </row>
    <row r="10" spans="2:11" ht="15" customHeight="1" x14ac:dyDescent="0.25">
      <c r="B10" s="84"/>
      <c r="C10" s="85" t="s">
        <v>62</v>
      </c>
      <c r="D10" s="86"/>
      <c r="E10" s="86"/>
      <c r="F10" s="86"/>
      <c r="G10" s="87"/>
      <c r="H10" s="155">
        <f>IFERROR((1-'Landscape Water Requirement'!I21/'Baseline Calculation'!E26),0)</f>
        <v>0.29589149959272221</v>
      </c>
      <c r="I10" s="88"/>
      <c r="K10" s="95" t="s">
        <v>61</v>
      </c>
    </row>
    <row r="11" spans="2:11" ht="21" customHeight="1" x14ac:dyDescent="0.25">
      <c r="B11" s="156"/>
      <c r="C11" s="157"/>
      <c r="D11" s="157"/>
      <c r="E11" s="157"/>
      <c r="F11" s="157"/>
      <c r="G11" s="157"/>
      <c r="H11" s="157"/>
      <c r="I11" s="158"/>
      <c r="K11" s="159"/>
    </row>
    <row r="12" spans="2:11" s="160" customFormat="1" ht="15" customHeight="1" x14ac:dyDescent="0.25"/>
    <row r="13" spans="2:11" s="160" customFormat="1" ht="15" customHeight="1" x14ac:dyDescent="0.25"/>
    <row r="14" spans="2:11" s="160" customFormat="1" ht="15" customHeight="1" x14ac:dyDescent="0.25"/>
    <row r="15" spans="2:11" s="160" customFormat="1" ht="15" customHeight="1" x14ac:dyDescent="0.25"/>
    <row r="16" spans="2:11" s="160" customFormat="1" ht="15" customHeight="1" x14ac:dyDescent="0.25"/>
    <row r="17" spans="3:11" s="160" customFormat="1" ht="15" customHeight="1" x14ac:dyDescent="0.25"/>
    <row r="18" spans="3:11" s="160" customFormat="1" ht="15" customHeight="1" x14ac:dyDescent="0.25"/>
    <row r="19" spans="3:11" s="160" customFormat="1" ht="15" customHeight="1" x14ac:dyDescent="0.25"/>
    <row r="20" spans="3:11" s="160" customFormat="1" ht="15" customHeight="1" x14ac:dyDescent="0.25"/>
    <row r="21" spans="3:11" s="160" customFormat="1" ht="15" customHeight="1" x14ac:dyDescent="0.25"/>
    <row r="22" spans="3:11" s="160" customFormat="1" ht="15" customHeight="1" x14ac:dyDescent="0.25"/>
    <row r="23" spans="3:11" s="160" customFormat="1" ht="15" customHeight="1" x14ac:dyDescent="0.25"/>
    <row r="24" spans="3:11" s="160" customFormat="1" ht="15" customHeight="1" x14ac:dyDescent="0.25"/>
    <row r="25" spans="3:11" s="160" customFormat="1" ht="15" customHeight="1" x14ac:dyDescent="0.25"/>
    <row r="26" spans="3:11" s="160" customFormat="1" ht="15" customHeight="1" x14ac:dyDescent="0.25"/>
    <row r="27" spans="3:11" s="160" customFormat="1" ht="15" customHeight="1" x14ac:dyDescent="0.25"/>
    <row r="28" spans="3:11" s="160" customFormat="1" ht="15" customHeight="1" x14ac:dyDescent="0.25"/>
    <row r="29" spans="3:11" ht="15" customHeight="1" x14ac:dyDescent="0.25">
      <c r="C29" s="160"/>
      <c r="D29" s="160"/>
      <c r="E29" s="160"/>
      <c r="F29" s="160"/>
      <c r="G29" s="160"/>
      <c r="H29" s="160"/>
      <c r="J29" s="160"/>
      <c r="K29" s="160"/>
    </row>
    <row r="30" spans="3:11" ht="15" customHeight="1" x14ac:dyDescent="0.25">
      <c r="J30" s="160"/>
      <c r="K30" s="160"/>
    </row>
    <row r="31" spans="3:11" ht="15" customHeight="1" x14ac:dyDescent="0.25">
      <c r="J31" s="160"/>
      <c r="K31" s="160"/>
    </row>
  </sheetData>
  <sheetProtection algorithmName="SHA-512" hashValue="2/0Etbgmuu1UavQGKzRadXMVssSkRXsZ7qbLNsuEXW7N97splhZVj8YWlBpLpYep1M87h+Kq4P/Ni0eu+jsD5g==" saltValue="m2Xld0dTlH2iy58P0R3l5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Instructions</vt:lpstr>
      <vt:lpstr>Baseline Calculation</vt:lpstr>
      <vt:lpstr>Landscape Water Requirement</vt:lpstr>
      <vt:lpstr>Summary</vt:lpstr>
      <vt:lpstr>IrrigationType</vt:lpstr>
      <vt:lpstr>plantType</vt:lpstr>
    </vt:vector>
  </TitlesOfParts>
  <Company>US Green Building Council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USGBC</dc:creator>
  <cp:lastModifiedBy>Lilliestierna, Noble</cp:lastModifiedBy>
  <dcterms:created xsi:type="dcterms:W3CDTF">2013-10-17T19:46:03Z</dcterms:created>
  <dcterms:modified xsi:type="dcterms:W3CDTF">2021-07-22T23:58:37Z</dcterms:modified>
</cp:coreProperties>
</file>