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bsalifestructures.com\indy1\BSA\1583\15830011\Sustainability\_IN\c1 Innovation\Safety First\"/>
    </mc:Choice>
  </mc:AlternateContent>
  <xr:revisionPtr revIDLastSave="0" documentId="8_{EFD5AF90-7AEB-4782-A7BB-1204E33559F3}" xr6:coauthVersionLast="47" xr6:coauthVersionMax="47" xr10:uidLastSave="{00000000-0000-0000-0000-000000000000}"/>
  <bookViews>
    <workbookView xWindow="57480" yWindow="-120" windowWidth="29040" windowHeight="15840" xr2:uid="{00000000-000D-0000-FFFF-FFFF00000000}"/>
  </bookViews>
  <sheets>
    <sheet name="Instructions" sheetId="4" r:id="rId1"/>
    <sheet name="Multiple Zone" sheetId="14" state="hidden" r:id="rId2"/>
    <sheet name="100% OA" sheetId="10" state="hidden" r:id="rId3"/>
    <sheet name="Single Zone" sheetId="34" state="hidden" r:id="rId4"/>
    <sheet name="AHU-4" sheetId="35" r:id="rId5"/>
    <sheet name="Summary" sheetId="12" r:id="rId6"/>
  </sheets>
  <definedNames>
    <definedName name="Airflow" localSheetId="4">'AHU-4'!#REF!</definedName>
    <definedName name="Airflow">'Multiple Zone'!#REF!</definedName>
    <definedName name="Airflow_allz" localSheetId="4">'AHU-4'!$Y$173</definedName>
    <definedName name="Airflow_allz">'Multiple Zone'!$Y$26</definedName>
    <definedName name="Airflow_cz" localSheetId="4">'AHU-4'!$E$173</definedName>
    <definedName name="Airflow_cz">'Multiple Zone'!$E$26</definedName>
    <definedName name="Allzones" localSheetId="4">'AHU-4'!$D$8</definedName>
    <definedName name="Allzones">'Multiple Zone'!$D$8</definedName>
    <definedName name="allzones_row" localSheetId="4">'AHU-4'!$168:$169</definedName>
    <definedName name="allzones_row">'Multiple Zone'!$21:$22</definedName>
    <definedName name="Area" localSheetId="4">'AHU-4'!$E$166</definedName>
    <definedName name="Area">'Multiple Zone'!$E$19</definedName>
    <definedName name="Area_allz" localSheetId="4">'AHU-4'!$Y$166</definedName>
    <definedName name="Area_allz">'Multiple Zone'!$Y$19</definedName>
    <definedName name="Area_cz" localSheetId="4">'AHU-4'!$Z$166</definedName>
    <definedName name="Area_cz">'Multiple Zone'!$Z$19</definedName>
    <definedName name="credit">Instructions!$P$166</definedName>
    <definedName name="criticalzone_row" localSheetId="4">'AHU-4'!$170:$171</definedName>
    <definedName name="criticalzone_row">'Multiple Zone'!$23:$24</definedName>
    <definedName name="Equationshow" localSheetId="4">'AHU-4'!$179:$179</definedName>
    <definedName name="Equationshow">'Multiple Zone'!$32:$32</definedName>
    <definedName name="Ev" localSheetId="4">'AHU-4'!$E$181</definedName>
    <definedName name="Ev">'Multiple Zone'!$E$34</definedName>
    <definedName name="Ev_notother" localSheetId="4">'AHU-4'!$Y$181</definedName>
    <definedName name="Ev_notother">'Multiple Zone'!$Y$34</definedName>
    <definedName name="Ev_other" localSheetId="4">'AHU-4'!$Z$181</definedName>
    <definedName name="Ev_other">'Multiple Zone'!$Z$34</definedName>
    <definedName name="LEED">Instructions!$O$166</definedName>
    <definedName name="LEED2009list">Instructions!$N$170:$N$241</definedName>
    <definedName name="LEEDv41lIST">Instructions!$Q$170:$Q$253</definedName>
    <definedName name="LEEDv4list">Instructions!$O$170:$O$248</definedName>
    <definedName name="max_Zpz">Instructions!$N$252:$O$306</definedName>
    <definedName name="Method" localSheetId="4">'AHU-4'!$E$176</definedName>
    <definedName name="Method">'Multiple Zone'!$E$29</definedName>
    <definedName name="Occupancy">Instructions!$C$73:$C$157</definedName>
    <definedName name="Otherhide" localSheetId="4">'AHU-4'!$180:$180</definedName>
    <definedName name="Otherhide">'Multiple Zone'!$33:$33</definedName>
    <definedName name="Sheets">TRANSPOSE(GET.WORKBOOK(1))&amp;T(NOW())</definedName>
    <definedName name="simple" localSheetId="4">'AHU-4'!$177:$180</definedName>
    <definedName name="simple">'Multiple Zone'!$30:$33</definedName>
    <definedName name="SZ_Sum">Summary!$11:$14</definedName>
    <definedName name="SZcheck">Instructions!$P$170</definedName>
    <definedName name="Tablerow" localSheetId="4">'AHU-4'!$177:$178</definedName>
    <definedName name="Tablerow">'Multiple Zone'!$30:$31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81" i="35" l="1"/>
  <c r="G118" i="35"/>
  <c r="G117" i="35"/>
  <c r="G116" i="35"/>
  <c r="G89" i="35"/>
  <c r="G87" i="35"/>
  <c r="G86" i="35"/>
  <c r="G56" i="35"/>
  <c r="G55" i="35"/>
  <c r="G54" i="35"/>
  <c r="G19" i="35"/>
  <c r="G17" i="35"/>
  <c r="G15" i="35"/>
  <c r="D17" i="12"/>
  <c r="A15" i="35" l="1"/>
  <c r="H15" i="35"/>
  <c r="J15" i="35" s="1"/>
  <c r="I15" i="35"/>
  <c r="K15" i="35" s="1"/>
  <c r="S15" i="35"/>
  <c r="V15" i="35" s="1"/>
  <c r="AA15" i="35"/>
  <c r="Y15" i="35" s="1"/>
  <c r="AB15" i="35"/>
  <c r="A16" i="35"/>
  <c r="H16" i="35"/>
  <c r="I16" i="35"/>
  <c r="K16" i="35" s="1"/>
  <c r="J16" i="35"/>
  <c r="S16" i="35"/>
  <c r="V16" i="35" s="1"/>
  <c r="AA16" i="35"/>
  <c r="Y16" i="35" s="1"/>
  <c r="AB16" i="35"/>
  <c r="A17" i="35"/>
  <c r="H17" i="35"/>
  <c r="J17" i="35" s="1"/>
  <c r="I17" i="35"/>
  <c r="K17" i="35" s="1"/>
  <c r="S17" i="35"/>
  <c r="V17" i="35" s="1"/>
  <c r="T17" i="35"/>
  <c r="AA17" i="35"/>
  <c r="Y17" i="35" s="1"/>
  <c r="AB17" i="35"/>
  <c r="A18" i="35"/>
  <c r="H18" i="35"/>
  <c r="J18" i="35" s="1"/>
  <c r="I18" i="35"/>
  <c r="K18" i="35" s="1"/>
  <c r="S18" i="35"/>
  <c r="V18" i="35" s="1"/>
  <c r="AA18" i="35"/>
  <c r="Y18" i="35" s="1"/>
  <c r="AB18" i="35"/>
  <c r="A19" i="35"/>
  <c r="H19" i="35"/>
  <c r="J19" i="35" s="1"/>
  <c r="I19" i="35"/>
  <c r="K19" i="35" s="1"/>
  <c r="S19" i="35"/>
  <c r="AA19" i="35"/>
  <c r="Y19" i="35" s="1"/>
  <c r="AB19" i="35"/>
  <c r="A20" i="35"/>
  <c r="H20" i="35"/>
  <c r="J20" i="35" s="1"/>
  <c r="I20" i="35"/>
  <c r="K20" i="35" s="1"/>
  <c r="S20" i="35"/>
  <c r="V20" i="35" s="1"/>
  <c r="AA20" i="35"/>
  <c r="Y20" i="35" s="1"/>
  <c r="AB20" i="35"/>
  <c r="A21" i="35"/>
  <c r="H21" i="35"/>
  <c r="J21" i="35" s="1"/>
  <c r="I21" i="35"/>
  <c r="K21" i="35" s="1"/>
  <c r="S21" i="35"/>
  <c r="V21" i="35" s="1"/>
  <c r="AA21" i="35"/>
  <c r="Y21" i="35" s="1"/>
  <c r="AB21" i="35"/>
  <c r="A22" i="35"/>
  <c r="H22" i="35"/>
  <c r="I22" i="35"/>
  <c r="K22" i="35" s="1"/>
  <c r="J22" i="35"/>
  <c r="S22" i="35"/>
  <c r="V22" i="35" s="1"/>
  <c r="AA22" i="35"/>
  <c r="Y22" i="35" s="1"/>
  <c r="AB22" i="35"/>
  <c r="A23" i="35"/>
  <c r="H23" i="35"/>
  <c r="J23" i="35" s="1"/>
  <c r="I23" i="35"/>
  <c r="K23" i="35" s="1"/>
  <c r="S23" i="35"/>
  <c r="V23" i="35" s="1"/>
  <c r="AA23" i="35"/>
  <c r="Y23" i="35" s="1"/>
  <c r="AB23" i="35"/>
  <c r="A24" i="35"/>
  <c r="H24" i="35"/>
  <c r="J24" i="35" s="1"/>
  <c r="I24" i="35"/>
  <c r="K24" i="35" s="1"/>
  <c r="S24" i="35"/>
  <c r="V24" i="35" s="1"/>
  <c r="AA24" i="35"/>
  <c r="Y24" i="35" s="1"/>
  <c r="AB24" i="35"/>
  <c r="A25" i="35"/>
  <c r="H25" i="35"/>
  <c r="J25" i="35" s="1"/>
  <c r="I25" i="35"/>
  <c r="K25" i="35" s="1"/>
  <c r="S25" i="35"/>
  <c r="V25" i="35" s="1"/>
  <c r="AA25" i="35"/>
  <c r="Y25" i="35" s="1"/>
  <c r="AB25" i="35"/>
  <c r="A26" i="35"/>
  <c r="H26" i="35"/>
  <c r="J26" i="35" s="1"/>
  <c r="I26" i="35"/>
  <c r="K26" i="35" s="1"/>
  <c r="S26" i="35"/>
  <c r="V26" i="35" s="1"/>
  <c r="AA26" i="35"/>
  <c r="Y26" i="35" s="1"/>
  <c r="AB26" i="35"/>
  <c r="A27" i="35"/>
  <c r="H27" i="35"/>
  <c r="J27" i="35" s="1"/>
  <c r="I27" i="35"/>
  <c r="K27" i="35" s="1"/>
  <c r="S27" i="35"/>
  <c r="V27" i="35" s="1"/>
  <c r="T27" i="35"/>
  <c r="AA27" i="35"/>
  <c r="Y27" i="35" s="1"/>
  <c r="AB27" i="35"/>
  <c r="A28" i="35"/>
  <c r="H28" i="35"/>
  <c r="J28" i="35" s="1"/>
  <c r="I28" i="35"/>
  <c r="K28" i="35" s="1"/>
  <c r="S28" i="35"/>
  <c r="V28" i="35" s="1"/>
  <c r="AA28" i="35"/>
  <c r="Y28" i="35" s="1"/>
  <c r="AB28" i="35"/>
  <c r="A29" i="35"/>
  <c r="H29" i="35"/>
  <c r="J29" i="35" s="1"/>
  <c r="I29" i="35"/>
  <c r="K29" i="35" s="1"/>
  <c r="S29" i="35"/>
  <c r="V29" i="35" s="1"/>
  <c r="U29" i="35"/>
  <c r="AA29" i="35"/>
  <c r="Y29" i="35" s="1"/>
  <c r="AB29" i="35"/>
  <c r="A30" i="35"/>
  <c r="H30" i="35"/>
  <c r="J30" i="35" s="1"/>
  <c r="I30" i="35"/>
  <c r="K30" i="35" s="1"/>
  <c r="S30" i="35"/>
  <c r="V30" i="35" s="1"/>
  <c r="T30" i="35"/>
  <c r="AA30" i="35"/>
  <c r="Y30" i="35" s="1"/>
  <c r="AB30" i="35"/>
  <c r="A31" i="35"/>
  <c r="H31" i="35"/>
  <c r="J31" i="35" s="1"/>
  <c r="I31" i="35"/>
  <c r="K31" i="35" s="1"/>
  <c r="S31" i="35"/>
  <c r="V31" i="35" s="1"/>
  <c r="AA31" i="35"/>
  <c r="Y31" i="35" s="1"/>
  <c r="AB31" i="35"/>
  <c r="A32" i="35"/>
  <c r="H32" i="35"/>
  <c r="J32" i="35" s="1"/>
  <c r="I32" i="35"/>
  <c r="K32" i="35" s="1"/>
  <c r="S32" i="35"/>
  <c r="V32" i="35" s="1"/>
  <c r="AA32" i="35"/>
  <c r="Y32" i="35" s="1"/>
  <c r="AB32" i="35"/>
  <c r="A33" i="35"/>
  <c r="H33" i="35"/>
  <c r="J33" i="35" s="1"/>
  <c r="I33" i="35"/>
  <c r="K33" i="35" s="1"/>
  <c r="S33" i="35"/>
  <c r="V33" i="35" s="1"/>
  <c r="Y33" i="35"/>
  <c r="AA33" i="35"/>
  <c r="AB33" i="35"/>
  <c r="A34" i="35"/>
  <c r="H34" i="35"/>
  <c r="J34" i="35" s="1"/>
  <c r="I34" i="35"/>
  <c r="K34" i="35" s="1"/>
  <c r="S34" i="35"/>
  <c r="V34" i="35" s="1"/>
  <c r="AA34" i="35"/>
  <c r="Y34" i="35" s="1"/>
  <c r="AB34" i="35"/>
  <c r="A35" i="35"/>
  <c r="H35" i="35"/>
  <c r="J35" i="35" s="1"/>
  <c r="I35" i="35"/>
  <c r="K35" i="35" s="1"/>
  <c r="S35" i="35"/>
  <c r="AA35" i="35"/>
  <c r="Y35" i="35" s="1"/>
  <c r="AB35" i="35"/>
  <c r="A36" i="35"/>
  <c r="H36" i="35"/>
  <c r="J36" i="35" s="1"/>
  <c r="I36" i="35"/>
  <c r="K36" i="35" s="1"/>
  <c r="S36" i="35"/>
  <c r="V36" i="35" s="1"/>
  <c r="AA36" i="35"/>
  <c r="Y36" i="35" s="1"/>
  <c r="AB36" i="35"/>
  <c r="A37" i="35"/>
  <c r="H37" i="35"/>
  <c r="J37" i="35" s="1"/>
  <c r="I37" i="35"/>
  <c r="K37" i="35" s="1"/>
  <c r="S37" i="35"/>
  <c r="V37" i="35" s="1"/>
  <c r="AA37" i="35"/>
  <c r="Y37" i="35" s="1"/>
  <c r="AB37" i="35"/>
  <c r="A38" i="35"/>
  <c r="H38" i="35"/>
  <c r="J38" i="35" s="1"/>
  <c r="I38" i="35"/>
  <c r="K38" i="35" s="1"/>
  <c r="S38" i="35"/>
  <c r="V38" i="35" s="1"/>
  <c r="AA38" i="35"/>
  <c r="Y38" i="35" s="1"/>
  <c r="AB38" i="35"/>
  <c r="A39" i="35"/>
  <c r="H39" i="35"/>
  <c r="J39" i="35" s="1"/>
  <c r="I39" i="35"/>
  <c r="K39" i="35" s="1"/>
  <c r="S39" i="35"/>
  <c r="V39" i="35" s="1"/>
  <c r="U39" i="35"/>
  <c r="AA39" i="35"/>
  <c r="Y39" i="35" s="1"/>
  <c r="AB39" i="35"/>
  <c r="A40" i="35"/>
  <c r="H40" i="35"/>
  <c r="J40" i="35" s="1"/>
  <c r="I40" i="35"/>
  <c r="K40" i="35" s="1"/>
  <c r="S40" i="35"/>
  <c r="V40" i="35" s="1"/>
  <c r="AA40" i="35"/>
  <c r="Y40" i="35" s="1"/>
  <c r="AB40" i="35"/>
  <c r="A41" i="35"/>
  <c r="H41" i="35"/>
  <c r="J41" i="35" s="1"/>
  <c r="I41" i="35"/>
  <c r="K41" i="35" s="1"/>
  <c r="S41" i="35"/>
  <c r="V41" i="35" s="1"/>
  <c r="Y41" i="35"/>
  <c r="AA41" i="35"/>
  <c r="AB41" i="35"/>
  <c r="A42" i="35"/>
  <c r="H42" i="35"/>
  <c r="J42" i="35" s="1"/>
  <c r="I42" i="35"/>
  <c r="K42" i="35" s="1"/>
  <c r="S42" i="35"/>
  <c r="V42" i="35" s="1"/>
  <c r="AA42" i="35"/>
  <c r="Y42" i="35" s="1"/>
  <c r="AB42" i="35"/>
  <c r="A43" i="35"/>
  <c r="H43" i="35"/>
  <c r="J43" i="35" s="1"/>
  <c r="I43" i="35"/>
  <c r="K43" i="35" s="1"/>
  <c r="S43" i="35"/>
  <c r="V43" i="35" s="1"/>
  <c r="AA43" i="35"/>
  <c r="Y43" i="35" s="1"/>
  <c r="AB43" i="35"/>
  <c r="A44" i="35"/>
  <c r="H44" i="35"/>
  <c r="J44" i="35" s="1"/>
  <c r="I44" i="35"/>
  <c r="K44" i="35" s="1"/>
  <c r="S44" i="35"/>
  <c r="V44" i="35" s="1"/>
  <c r="AA44" i="35"/>
  <c r="Y44" i="35" s="1"/>
  <c r="AB44" i="35"/>
  <c r="A45" i="35"/>
  <c r="H45" i="35"/>
  <c r="J45" i="35" s="1"/>
  <c r="I45" i="35"/>
  <c r="K45" i="35" s="1"/>
  <c r="S45" i="35"/>
  <c r="V45" i="35" s="1"/>
  <c r="U45" i="35"/>
  <c r="Y45" i="35"/>
  <c r="AA45" i="35"/>
  <c r="AB45" i="35"/>
  <c r="A46" i="35"/>
  <c r="H46" i="35"/>
  <c r="J46" i="35" s="1"/>
  <c r="I46" i="35"/>
  <c r="K46" i="35"/>
  <c r="S46" i="35"/>
  <c r="V46" i="35" s="1"/>
  <c r="AA46" i="35"/>
  <c r="Y46" i="35" s="1"/>
  <c r="AB46" i="35"/>
  <c r="A47" i="35"/>
  <c r="H47" i="35"/>
  <c r="J47" i="35" s="1"/>
  <c r="I47" i="35"/>
  <c r="K47" i="35" s="1"/>
  <c r="S47" i="35"/>
  <c r="V47" i="35" s="1"/>
  <c r="AA47" i="35"/>
  <c r="Y47" i="35" s="1"/>
  <c r="AB47" i="35"/>
  <c r="A48" i="35"/>
  <c r="H48" i="35"/>
  <c r="J48" i="35" s="1"/>
  <c r="I48" i="35"/>
  <c r="K48" i="35" s="1"/>
  <c r="S48" i="35"/>
  <c r="V48" i="35" s="1"/>
  <c r="AA48" i="35"/>
  <c r="Y48" i="35" s="1"/>
  <c r="AB48" i="35"/>
  <c r="A49" i="35"/>
  <c r="H49" i="35"/>
  <c r="J49" i="35" s="1"/>
  <c r="I49" i="35"/>
  <c r="K49" i="35" s="1"/>
  <c r="S49" i="35"/>
  <c r="V49" i="35" s="1"/>
  <c r="T49" i="35"/>
  <c r="Y49" i="35"/>
  <c r="AA49" i="35"/>
  <c r="AB49" i="35"/>
  <c r="A50" i="35"/>
  <c r="H50" i="35"/>
  <c r="J50" i="35" s="1"/>
  <c r="I50" i="35"/>
  <c r="K50" i="35" s="1"/>
  <c r="S50" i="35"/>
  <c r="V50" i="35" s="1"/>
  <c r="AA50" i="35"/>
  <c r="Y50" i="35" s="1"/>
  <c r="AB50" i="35"/>
  <c r="A51" i="35"/>
  <c r="H51" i="35"/>
  <c r="J51" i="35" s="1"/>
  <c r="I51" i="35"/>
  <c r="K51" i="35" s="1"/>
  <c r="S51" i="35"/>
  <c r="AA51" i="35"/>
  <c r="Y51" i="35" s="1"/>
  <c r="AB51" i="35"/>
  <c r="A52" i="35"/>
  <c r="H52" i="35"/>
  <c r="J52" i="35" s="1"/>
  <c r="I52" i="35"/>
  <c r="K52" i="35" s="1"/>
  <c r="S52" i="35"/>
  <c r="V52" i="35" s="1"/>
  <c r="AA52" i="35"/>
  <c r="Y52" i="35" s="1"/>
  <c r="AB52" i="35"/>
  <c r="A53" i="35"/>
  <c r="H53" i="35"/>
  <c r="J53" i="35" s="1"/>
  <c r="I53" i="35"/>
  <c r="K53" i="35" s="1"/>
  <c r="S53" i="35"/>
  <c r="V53" i="35" s="1"/>
  <c r="U53" i="35"/>
  <c r="AA53" i="35"/>
  <c r="Y53" i="35" s="1"/>
  <c r="AB53" i="35"/>
  <c r="A54" i="35"/>
  <c r="H54" i="35"/>
  <c r="I54" i="35"/>
  <c r="J54" i="35"/>
  <c r="K54" i="35"/>
  <c r="S54" i="35"/>
  <c r="V54" i="35" s="1"/>
  <c r="AA54" i="35"/>
  <c r="Y54" i="35" s="1"/>
  <c r="AB54" i="35"/>
  <c r="A55" i="35"/>
  <c r="H55" i="35"/>
  <c r="J55" i="35" s="1"/>
  <c r="I55" i="35"/>
  <c r="K55" i="35" s="1"/>
  <c r="S55" i="35"/>
  <c r="V55" i="35" s="1"/>
  <c r="AA55" i="35"/>
  <c r="Y55" i="35" s="1"/>
  <c r="AB55" i="35"/>
  <c r="A56" i="35"/>
  <c r="H56" i="35"/>
  <c r="J56" i="35" s="1"/>
  <c r="I56" i="35"/>
  <c r="K56" i="35" s="1"/>
  <c r="S56" i="35"/>
  <c r="V56" i="35" s="1"/>
  <c r="AA56" i="35"/>
  <c r="Y56" i="35" s="1"/>
  <c r="AB56" i="35"/>
  <c r="A57" i="35"/>
  <c r="H57" i="35"/>
  <c r="J57" i="35" s="1"/>
  <c r="I57" i="35"/>
  <c r="K57" i="35" s="1"/>
  <c r="S57" i="35"/>
  <c r="V57" i="35" s="1"/>
  <c r="AA57" i="35"/>
  <c r="Y57" i="35" s="1"/>
  <c r="AB57" i="35"/>
  <c r="A58" i="35"/>
  <c r="H58" i="35"/>
  <c r="J58" i="35" s="1"/>
  <c r="I58" i="35"/>
  <c r="K58" i="35" s="1"/>
  <c r="S58" i="35"/>
  <c r="V58" i="35" s="1"/>
  <c r="AA58" i="35"/>
  <c r="Y58" i="35" s="1"/>
  <c r="AB58" i="35"/>
  <c r="A59" i="35"/>
  <c r="H59" i="35"/>
  <c r="J59" i="35" s="1"/>
  <c r="I59" i="35"/>
  <c r="K59" i="35" s="1"/>
  <c r="S59" i="35"/>
  <c r="V59" i="35" s="1"/>
  <c r="AA59" i="35"/>
  <c r="Y59" i="35" s="1"/>
  <c r="AB59" i="35"/>
  <c r="A60" i="35"/>
  <c r="H60" i="35"/>
  <c r="J60" i="35" s="1"/>
  <c r="I60" i="35"/>
  <c r="K60" i="35" s="1"/>
  <c r="S60" i="35"/>
  <c r="V60" i="35" s="1"/>
  <c r="AA60" i="35"/>
  <c r="Y60" i="35" s="1"/>
  <c r="AB60" i="35"/>
  <c r="A61" i="35"/>
  <c r="H61" i="35"/>
  <c r="J61" i="35" s="1"/>
  <c r="I61" i="35"/>
  <c r="K61" i="35" s="1"/>
  <c r="S61" i="35"/>
  <c r="V61" i="35" s="1"/>
  <c r="U61" i="35"/>
  <c r="AA61" i="35"/>
  <c r="Y61" i="35" s="1"/>
  <c r="AB61" i="35"/>
  <c r="A62" i="35"/>
  <c r="H62" i="35"/>
  <c r="I62" i="35"/>
  <c r="K62" i="35" s="1"/>
  <c r="J62" i="35"/>
  <c r="S62" i="35"/>
  <c r="V62" i="35" s="1"/>
  <c r="T62" i="35"/>
  <c r="AA62" i="35"/>
  <c r="Y62" i="35" s="1"/>
  <c r="AB62" i="35"/>
  <c r="A63" i="35"/>
  <c r="H63" i="35"/>
  <c r="J63" i="35" s="1"/>
  <c r="I63" i="35"/>
  <c r="K63" i="35" s="1"/>
  <c r="S63" i="35"/>
  <c r="V63" i="35" s="1"/>
  <c r="AA63" i="35"/>
  <c r="Y63" i="35" s="1"/>
  <c r="AB63" i="35"/>
  <c r="A64" i="35"/>
  <c r="H64" i="35"/>
  <c r="J64" i="35" s="1"/>
  <c r="I64" i="35"/>
  <c r="K64" i="35" s="1"/>
  <c r="S64" i="35"/>
  <c r="V64" i="35" s="1"/>
  <c r="AA64" i="35"/>
  <c r="Y64" i="35" s="1"/>
  <c r="AB64" i="35"/>
  <c r="A65" i="35"/>
  <c r="H65" i="35"/>
  <c r="J65" i="35" s="1"/>
  <c r="I65" i="35"/>
  <c r="K65" i="35" s="1"/>
  <c r="S65" i="35"/>
  <c r="V65" i="35" s="1"/>
  <c r="T65" i="35"/>
  <c r="AA65" i="35"/>
  <c r="Y65" i="35" s="1"/>
  <c r="AB65" i="35"/>
  <c r="A66" i="35"/>
  <c r="H66" i="35"/>
  <c r="J66" i="35" s="1"/>
  <c r="I66" i="35"/>
  <c r="K66" i="35" s="1"/>
  <c r="S66" i="35"/>
  <c r="V66" i="35" s="1"/>
  <c r="U66" i="35"/>
  <c r="AA66" i="35"/>
  <c r="Y66" i="35" s="1"/>
  <c r="AB66" i="35"/>
  <c r="A67" i="35"/>
  <c r="H67" i="35"/>
  <c r="J67" i="35" s="1"/>
  <c r="I67" i="35"/>
  <c r="K67" i="35" s="1"/>
  <c r="S67" i="35"/>
  <c r="AA67" i="35"/>
  <c r="Y67" i="35" s="1"/>
  <c r="AB67" i="35"/>
  <c r="A68" i="35"/>
  <c r="H68" i="35"/>
  <c r="J68" i="35" s="1"/>
  <c r="I68" i="35"/>
  <c r="K68" i="35" s="1"/>
  <c r="S68" i="35"/>
  <c r="V68" i="35" s="1"/>
  <c r="AA68" i="35"/>
  <c r="Y68" i="35" s="1"/>
  <c r="AB68" i="35"/>
  <c r="A69" i="35"/>
  <c r="H69" i="35"/>
  <c r="J69" i="35" s="1"/>
  <c r="I69" i="35"/>
  <c r="K69" i="35" s="1"/>
  <c r="S69" i="35"/>
  <c r="V69" i="35" s="1"/>
  <c r="U69" i="35"/>
  <c r="AA69" i="35"/>
  <c r="Y69" i="35" s="1"/>
  <c r="AB69" i="35"/>
  <c r="A70" i="35"/>
  <c r="H70" i="35"/>
  <c r="J70" i="35" s="1"/>
  <c r="I70" i="35"/>
  <c r="K70" i="35" s="1"/>
  <c r="S70" i="35"/>
  <c r="AA70" i="35"/>
  <c r="Y70" i="35" s="1"/>
  <c r="AB70" i="35"/>
  <c r="A71" i="35"/>
  <c r="H71" i="35"/>
  <c r="J71" i="35" s="1"/>
  <c r="I71" i="35"/>
  <c r="K71" i="35" s="1"/>
  <c r="S71" i="35"/>
  <c r="V71" i="35" s="1"/>
  <c r="AA71" i="35"/>
  <c r="Y71" i="35" s="1"/>
  <c r="AB71" i="35"/>
  <c r="A72" i="35"/>
  <c r="H72" i="35"/>
  <c r="J72" i="35" s="1"/>
  <c r="I72" i="35"/>
  <c r="K72" i="35" s="1"/>
  <c r="S72" i="35"/>
  <c r="V72" i="35" s="1"/>
  <c r="AA72" i="35"/>
  <c r="Y72" i="35" s="1"/>
  <c r="AB72" i="35"/>
  <c r="A73" i="35"/>
  <c r="H73" i="35"/>
  <c r="J73" i="35" s="1"/>
  <c r="I73" i="35"/>
  <c r="K73" i="35" s="1"/>
  <c r="S73" i="35"/>
  <c r="V73" i="35" s="1"/>
  <c r="AA73" i="35"/>
  <c r="Y73" i="35" s="1"/>
  <c r="AB73" i="35"/>
  <c r="A74" i="35"/>
  <c r="H74" i="35"/>
  <c r="J74" i="35" s="1"/>
  <c r="I74" i="35"/>
  <c r="K74" i="35" s="1"/>
  <c r="S74" i="35"/>
  <c r="AA74" i="35"/>
  <c r="Y74" i="35" s="1"/>
  <c r="AB74" i="35"/>
  <c r="A75" i="35"/>
  <c r="H75" i="35"/>
  <c r="J75" i="35" s="1"/>
  <c r="I75" i="35"/>
  <c r="K75" i="35" s="1"/>
  <c r="S75" i="35"/>
  <c r="T75" i="35" s="1"/>
  <c r="AA75" i="35"/>
  <c r="Y75" i="35" s="1"/>
  <c r="AB75" i="35"/>
  <c r="A76" i="35"/>
  <c r="H76" i="35"/>
  <c r="J76" i="35" s="1"/>
  <c r="I76" i="35"/>
  <c r="K76" i="35" s="1"/>
  <c r="S76" i="35"/>
  <c r="V76" i="35" s="1"/>
  <c r="AA76" i="35"/>
  <c r="Y76" i="35" s="1"/>
  <c r="AB76" i="35"/>
  <c r="A77" i="35"/>
  <c r="H77" i="35"/>
  <c r="J77" i="35" s="1"/>
  <c r="I77" i="35"/>
  <c r="K77" i="35" s="1"/>
  <c r="S77" i="35"/>
  <c r="U77" i="35" s="1"/>
  <c r="AA77" i="35"/>
  <c r="Y77" i="35" s="1"/>
  <c r="AB77" i="35"/>
  <c r="A78" i="35"/>
  <c r="H78" i="35"/>
  <c r="J78" i="35" s="1"/>
  <c r="I78" i="35"/>
  <c r="K78" i="35" s="1"/>
  <c r="S78" i="35"/>
  <c r="T78" i="35" s="1"/>
  <c r="Y78" i="35"/>
  <c r="AA78" i="35"/>
  <c r="AB78" i="35"/>
  <c r="A79" i="35"/>
  <c r="H79" i="35"/>
  <c r="J79" i="35" s="1"/>
  <c r="I79" i="35"/>
  <c r="K79" i="35" s="1"/>
  <c r="S79" i="35"/>
  <c r="V79" i="35" s="1"/>
  <c r="T79" i="35"/>
  <c r="U79" i="35"/>
  <c r="AA79" i="35"/>
  <c r="Y79" i="35" s="1"/>
  <c r="AB79" i="35"/>
  <c r="A80" i="35"/>
  <c r="H80" i="35"/>
  <c r="J80" i="35" s="1"/>
  <c r="I80" i="35"/>
  <c r="K80" i="35" s="1"/>
  <c r="S80" i="35"/>
  <c r="U80" i="35" s="1"/>
  <c r="AA80" i="35"/>
  <c r="Y80" i="35" s="1"/>
  <c r="AB80" i="35"/>
  <c r="A81" i="35"/>
  <c r="H81" i="35"/>
  <c r="J81" i="35" s="1"/>
  <c r="I81" i="35"/>
  <c r="K81" i="35" s="1"/>
  <c r="S81" i="35"/>
  <c r="T81" i="35" s="1"/>
  <c r="AA81" i="35"/>
  <c r="Y81" i="35" s="1"/>
  <c r="AB81" i="35"/>
  <c r="A82" i="35"/>
  <c r="H82" i="35"/>
  <c r="I82" i="35"/>
  <c r="K82" i="35" s="1"/>
  <c r="J82" i="35"/>
  <c r="S82" i="35"/>
  <c r="V82" i="35" s="1"/>
  <c r="U82" i="35"/>
  <c r="AA82" i="35"/>
  <c r="Y82" i="35" s="1"/>
  <c r="AB82" i="35"/>
  <c r="A83" i="35"/>
  <c r="H83" i="35"/>
  <c r="J83" i="35" s="1"/>
  <c r="I83" i="35"/>
  <c r="K83" i="35" s="1"/>
  <c r="S83" i="35"/>
  <c r="V83" i="35" s="1"/>
  <c r="AA83" i="35"/>
  <c r="Y83" i="35" s="1"/>
  <c r="AB83" i="35"/>
  <c r="A84" i="35"/>
  <c r="H84" i="35"/>
  <c r="J84" i="35" s="1"/>
  <c r="I84" i="35"/>
  <c r="K84" i="35" s="1"/>
  <c r="S84" i="35"/>
  <c r="V84" i="35" s="1"/>
  <c r="U84" i="35"/>
  <c r="AA84" i="35"/>
  <c r="Y84" i="35" s="1"/>
  <c r="AB84" i="35"/>
  <c r="A85" i="35"/>
  <c r="H85" i="35"/>
  <c r="J85" i="35" s="1"/>
  <c r="I85" i="35"/>
  <c r="K85" i="35" s="1"/>
  <c r="S85" i="35"/>
  <c r="V85" i="35" s="1"/>
  <c r="AA85" i="35"/>
  <c r="Y85" i="35" s="1"/>
  <c r="AB85" i="35"/>
  <c r="A86" i="35"/>
  <c r="H86" i="35"/>
  <c r="J86" i="35" s="1"/>
  <c r="I86" i="35"/>
  <c r="K86" i="35" s="1"/>
  <c r="S86" i="35"/>
  <c r="V86" i="35" s="1"/>
  <c r="AA86" i="35"/>
  <c r="Y86" i="35" s="1"/>
  <c r="AB86" i="35"/>
  <c r="A87" i="35"/>
  <c r="H87" i="35"/>
  <c r="J87" i="35" s="1"/>
  <c r="I87" i="35"/>
  <c r="K87" i="35" s="1"/>
  <c r="S87" i="35"/>
  <c r="V87" i="35" s="1"/>
  <c r="AA87" i="35"/>
  <c r="Y87" i="35" s="1"/>
  <c r="AB87" i="35"/>
  <c r="A88" i="35"/>
  <c r="H88" i="35"/>
  <c r="J88" i="35" s="1"/>
  <c r="I88" i="35"/>
  <c r="K88" i="35" s="1"/>
  <c r="S88" i="35"/>
  <c r="V88" i="35" s="1"/>
  <c r="AA88" i="35"/>
  <c r="Y88" i="35" s="1"/>
  <c r="AB88" i="35"/>
  <c r="A89" i="35"/>
  <c r="H89" i="35"/>
  <c r="J89" i="35" s="1"/>
  <c r="I89" i="35"/>
  <c r="K89" i="35" s="1"/>
  <c r="S89" i="35"/>
  <c r="U89" i="35" s="1"/>
  <c r="AA89" i="35"/>
  <c r="Y89" i="35" s="1"/>
  <c r="AB89" i="35"/>
  <c r="A90" i="35"/>
  <c r="H90" i="35"/>
  <c r="J90" i="35" s="1"/>
  <c r="I90" i="35"/>
  <c r="K90" i="35" s="1"/>
  <c r="S90" i="35"/>
  <c r="T90" i="35" s="1"/>
  <c r="AA90" i="35"/>
  <c r="Y90" i="35" s="1"/>
  <c r="AB90" i="35"/>
  <c r="A91" i="35"/>
  <c r="H91" i="35"/>
  <c r="J91" i="35" s="1"/>
  <c r="I91" i="35"/>
  <c r="K91" i="35" s="1"/>
  <c r="S91" i="35"/>
  <c r="V91" i="35" s="1"/>
  <c r="AA91" i="35"/>
  <c r="Y91" i="35" s="1"/>
  <c r="AB91" i="35"/>
  <c r="A92" i="35"/>
  <c r="H92" i="35"/>
  <c r="J92" i="35" s="1"/>
  <c r="I92" i="35"/>
  <c r="K92" i="35"/>
  <c r="S92" i="35"/>
  <c r="V92" i="35" s="1"/>
  <c r="U92" i="35"/>
  <c r="AA92" i="35"/>
  <c r="Y92" i="35" s="1"/>
  <c r="AB92" i="35"/>
  <c r="A93" i="35"/>
  <c r="H93" i="35"/>
  <c r="J93" i="35" s="1"/>
  <c r="I93" i="35"/>
  <c r="K93" i="35" s="1"/>
  <c r="S93" i="35"/>
  <c r="U93" i="35" s="1"/>
  <c r="AA93" i="35"/>
  <c r="Y93" i="35" s="1"/>
  <c r="AB93" i="35"/>
  <c r="A94" i="35"/>
  <c r="H94" i="35"/>
  <c r="J94" i="35" s="1"/>
  <c r="I94" i="35"/>
  <c r="K94" i="35" s="1"/>
  <c r="S94" i="35"/>
  <c r="T94" i="35" s="1"/>
  <c r="AA94" i="35"/>
  <c r="Y94" i="35" s="1"/>
  <c r="AB94" i="35"/>
  <c r="A95" i="35"/>
  <c r="H95" i="35"/>
  <c r="J95" i="35" s="1"/>
  <c r="I95" i="35"/>
  <c r="K95" i="35" s="1"/>
  <c r="S95" i="35"/>
  <c r="V95" i="35" s="1"/>
  <c r="AA95" i="35"/>
  <c r="Y95" i="35" s="1"/>
  <c r="AB95" i="35"/>
  <c r="A96" i="35"/>
  <c r="H96" i="35"/>
  <c r="J96" i="35" s="1"/>
  <c r="I96" i="35"/>
  <c r="K96" i="35" s="1"/>
  <c r="S96" i="35"/>
  <c r="V96" i="35" s="1"/>
  <c r="AA96" i="35"/>
  <c r="Y96" i="35" s="1"/>
  <c r="AB96" i="35"/>
  <c r="A97" i="35"/>
  <c r="H97" i="35"/>
  <c r="I97" i="35"/>
  <c r="K97" i="35" s="1"/>
  <c r="J97" i="35"/>
  <c r="S97" i="35"/>
  <c r="V97" i="35" s="1"/>
  <c r="AA97" i="35"/>
  <c r="Y97" i="35" s="1"/>
  <c r="AB97" i="35"/>
  <c r="A98" i="35"/>
  <c r="H98" i="35"/>
  <c r="J98" i="35" s="1"/>
  <c r="I98" i="35"/>
  <c r="K98" i="35" s="1"/>
  <c r="S98" i="35"/>
  <c r="V98" i="35" s="1"/>
  <c r="AA98" i="35"/>
  <c r="Y98" i="35" s="1"/>
  <c r="AB98" i="35"/>
  <c r="A99" i="35"/>
  <c r="H99" i="35"/>
  <c r="J99" i="35" s="1"/>
  <c r="I99" i="35"/>
  <c r="K99" i="35" s="1"/>
  <c r="S99" i="35"/>
  <c r="V99" i="35" s="1"/>
  <c r="T99" i="35"/>
  <c r="AA99" i="35"/>
  <c r="Y99" i="35" s="1"/>
  <c r="AB99" i="35"/>
  <c r="A100" i="35"/>
  <c r="H100" i="35"/>
  <c r="J100" i="35" s="1"/>
  <c r="I100" i="35"/>
  <c r="K100" i="35" s="1"/>
  <c r="S100" i="35"/>
  <c r="U100" i="35" s="1"/>
  <c r="AA100" i="35"/>
  <c r="Y100" i="35" s="1"/>
  <c r="AB100" i="35"/>
  <c r="A101" i="35"/>
  <c r="H101" i="35"/>
  <c r="J101" i="35" s="1"/>
  <c r="I101" i="35"/>
  <c r="K101" i="35" s="1"/>
  <c r="S101" i="35"/>
  <c r="V101" i="35" s="1"/>
  <c r="T101" i="35"/>
  <c r="AA101" i="35"/>
  <c r="Y101" i="35" s="1"/>
  <c r="AB101" i="35"/>
  <c r="A102" i="35"/>
  <c r="H102" i="35"/>
  <c r="J102" i="35" s="1"/>
  <c r="I102" i="35"/>
  <c r="K102" i="35" s="1"/>
  <c r="S102" i="35"/>
  <c r="T102" i="35" s="1"/>
  <c r="AA102" i="35"/>
  <c r="Y102" i="35" s="1"/>
  <c r="AB102" i="35"/>
  <c r="A103" i="35"/>
  <c r="H103" i="35"/>
  <c r="J103" i="35" s="1"/>
  <c r="I103" i="35"/>
  <c r="K103" i="35" s="1"/>
  <c r="S103" i="35"/>
  <c r="T103" i="35" s="1"/>
  <c r="AA103" i="35"/>
  <c r="Y103" i="35" s="1"/>
  <c r="AB103" i="35"/>
  <c r="A104" i="35"/>
  <c r="H104" i="35"/>
  <c r="J104" i="35" s="1"/>
  <c r="I104" i="35"/>
  <c r="K104" i="35" s="1"/>
  <c r="S104" i="35"/>
  <c r="T104" i="35" s="1"/>
  <c r="Y104" i="35"/>
  <c r="AA104" i="35"/>
  <c r="AB104" i="35"/>
  <c r="A105" i="35"/>
  <c r="H105" i="35"/>
  <c r="J105" i="35" s="1"/>
  <c r="I105" i="35"/>
  <c r="K105" i="35" s="1"/>
  <c r="S105" i="35"/>
  <c r="T105" i="35" s="1"/>
  <c r="AA105" i="35"/>
  <c r="Y105" i="35" s="1"/>
  <c r="AB105" i="35"/>
  <c r="A106" i="35"/>
  <c r="H106" i="35"/>
  <c r="J106" i="35" s="1"/>
  <c r="I106" i="35"/>
  <c r="K106" i="35" s="1"/>
  <c r="S106" i="35"/>
  <c r="U106" i="35" s="1"/>
  <c r="T106" i="35"/>
  <c r="AA106" i="35"/>
  <c r="Y106" i="35" s="1"/>
  <c r="AB106" i="35"/>
  <c r="A107" i="35"/>
  <c r="H107" i="35"/>
  <c r="J107" i="35" s="1"/>
  <c r="I107" i="35"/>
  <c r="K107" i="35" s="1"/>
  <c r="S107" i="35"/>
  <c r="T107" i="35" s="1"/>
  <c r="AA107" i="35"/>
  <c r="Y107" i="35" s="1"/>
  <c r="AB107" i="35"/>
  <c r="A108" i="35"/>
  <c r="H108" i="35"/>
  <c r="J108" i="35" s="1"/>
  <c r="L108" i="35" s="1"/>
  <c r="N108" i="35" s="1"/>
  <c r="Q108" i="35" s="1"/>
  <c r="I108" i="35"/>
  <c r="K108" i="35" s="1"/>
  <c r="S108" i="35"/>
  <c r="U108" i="35" s="1"/>
  <c r="V108" i="35"/>
  <c r="AA108" i="35"/>
  <c r="Y108" i="35" s="1"/>
  <c r="AB108" i="35"/>
  <c r="A109" i="35"/>
  <c r="H109" i="35"/>
  <c r="J109" i="35" s="1"/>
  <c r="I109" i="35"/>
  <c r="K109" i="35" s="1"/>
  <c r="S109" i="35"/>
  <c r="T109" i="35" s="1"/>
  <c r="AA109" i="35"/>
  <c r="Y109" i="35" s="1"/>
  <c r="AB109" i="35"/>
  <c r="A110" i="35"/>
  <c r="H110" i="35"/>
  <c r="J110" i="35" s="1"/>
  <c r="I110" i="35"/>
  <c r="K110" i="35" s="1"/>
  <c r="S110" i="35"/>
  <c r="T110" i="35" s="1"/>
  <c r="AA110" i="35"/>
  <c r="Y110" i="35" s="1"/>
  <c r="AB110" i="35"/>
  <c r="A111" i="35"/>
  <c r="H111" i="35"/>
  <c r="J111" i="35" s="1"/>
  <c r="I111" i="35"/>
  <c r="K111" i="35" s="1"/>
  <c r="S111" i="35"/>
  <c r="T111" i="35" s="1"/>
  <c r="AA111" i="35"/>
  <c r="Y111" i="35" s="1"/>
  <c r="AB111" i="35"/>
  <c r="A112" i="35"/>
  <c r="H112" i="35"/>
  <c r="J112" i="35" s="1"/>
  <c r="I112" i="35"/>
  <c r="K112" i="35" s="1"/>
  <c r="S112" i="35"/>
  <c r="U112" i="35" s="1"/>
  <c r="T112" i="35"/>
  <c r="AA112" i="35"/>
  <c r="Y112" i="35" s="1"/>
  <c r="AB112" i="35"/>
  <c r="A113" i="35"/>
  <c r="H113" i="35"/>
  <c r="J113" i="35" s="1"/>
  <c r="I113" i="35"/>
  <c r="K113" i="35" s="1"/>
  <c r="S113" i="35"/>
  <c r="U113" i="35" s="1"/>
  <c r="AA113" i="35"/>
  <c r="Y113" i="35" s="1"/>
  <c r="AB113" i="35"/>
  <c r="A114" i="35"/>
  <c r="H114" i="35"/>
  <c r="J114" i="35" s="1"/>
  <c r="I114" i="35"/>
  <c r="K114" i="35" s="1"/>
  <c r="S114" i="35"/>
  <c r="V114" i="35" s="1"/>
  <c r="U114" i="35"/>
  <c r="AA114" i="35"/>
  <c r="Y114" i="35" s="1"/>
  <c r="AB114" i="35"/>
  <c r="A115" i="35"/>
  <c r="H115" i="35"/>
  <c r="J115" i="35" s="1"/>
  <c r="I115" i="35"/>
  <c r="K115" i="35" s="1"/>
  <c r="S115" i="35"/>
  <c r="T115" i="35" s="1"/>
  <c r="AA115" i="35"/>
  <c r="Y115" i="35" s="1"/>
  <c r="AB115" i="35"/>
  <c r="A116" i="35"/>
  <c r="H116" i="35"/>
  <c r="J116" i="35" s="1"/>
  <c r="I116" i="35"/>
  <c r="K116" i="35" s="1"/>
  <c r="S116" i="35"/>
  <c r="U116" i="35" s="1"/>
  <c r="T116" i="35"/>
  <c r="AA116" i="35"/>
  <c r="Y116" i="35" s="1"/>
  <c r="AB116" i="35"/>
  <c r="A117" i="35"/>
  <c r="H117" i="35"/>
  <c r="J117" i="35" s="1"/>
  <c r="L117" i="35" s="1"/>
  <c r="N117" i="35" s="1"/>
  <c r="Q117" i="35" s="1"/>
  <c r="I117" i="35"/>
  <c r="K117" i="35" s="1"/>
  <c r="S117" i="35"/>
  <c r="V117" i="35" s="1"/>
  <c r="AA117" i="35"/>
  <c r="Y117" i="35" s="1"/>
  <c r="AB117" i="35"/>
  <c r="A118" i="35"/>
  <c r="H118" i="35"/>
  <c r="J118" i="35" s="1"/>
  <c r="I118" i="35"/>
  <c r="K118" i="35" s="1"/>
  <c r="S118" i="35"/>
  <c r="T118" i="35" s="1"/>
  <c r="AA118" i="35"/>
  <c r="Y118" i="35" s="1"/>
  <c r="AB118" i="35"/>
  <c r="A119" i="35"/>
  <c r="H119" i="35"/>
  <c r="J119" i="35" s="1"/>
  <c r="I119" i="35"/>
  <c r="K119" i="35" s="1"/>
  <c r="S119" i="35"/>
  <c r="T119" i="35" s="1"/>
  <c r="AA119" i="35"/>
  <c r="Y119" i="35" s="1"/>
  <c r="AB119" i="35"/>
  <c r="A120" i="35"/>
  <c r="H120" i="35"/>
  <c r="J120" i="35" s="1"/>
  <c r="I120" i="35"/>
  <c r="K120" i="35" s="1"/>
  <c r="S120" i="35"/>
  <c r="T120" i="35" s="1"/>
  <c r="AA120" i="35"/>
  <c r="Y120" i="35" s="1"/>
  <c r="AB120" i="35"/>
  <c r="A121" i="35"/>
  <c r="H121" i="35"/>
  <c r="J121" i="35" s="1"/>
  <c r="I121" i="35"/>
  <c r="K121" i="35" s="1"/>
  <c r="S121" i="35"/>
  <c r="T121" i="35" s="1"/>
  <c r="AA121" i="35"/>
  <c r="Y121" i="35" s="1"/>
  <c r="AB121" i="35"/>
  <c r="A122" i="35"/>
  <c r="H122" i="35"/>
  <c r="J122" i="35" s="1"/>
  <c r="I122" i="35"/>
  <c r="K122" i="35" s="1"/>
  <c r="S122" i="35"/>
  <c r="V122" i="35" s="1"/>
  <c r="AA122" i="35"/>
  <c r="Y122" i="35" s="1"/>
  <c r="AB122" i="35"/>
  <c r="A123" i="35"/>
  <c r="H123" i="35"/>
  <c r="J123" i="35" s="1"/>
  <c r="I123" i="35"/>
  <c r="K123" i="35" s="1"/>
  <c r="S123" i="35"/>
  <c r="T123" i="35" s="1"/>
  <c r="AA123" i="35"/>
  <c r="Y123" i="35" s="1"/>
  <c r="AB123" i="35"/>
  <c r="A124" i="35"/>
  <c r="H124" i="35"/>
  <c r="J124" i="35" s="1"/>
  <c r="I124" i="35"/>
  <c r="K124" i="35" s="1"/>
  <c r="S124" i="35"/>
  <c r="U124" i="35" s="1"/>
  <c r="Y124" i="35"/>
  <c r="AA124" i="35"/>
  <c r="AB124" i="35"/>
  <c r="A125" i="35"/>
  <c r="H125" i="35"/>
  <c r="J125" i="35" s="1"/>
  <c r="I125" i="35"/>
  <c r="K125" i="35" s="1"/>
  <c r="S125" i="35"/>
  <c r="T125" i="35" s="1"/>
  <c r="U125" i="35"/>
  <c r="V125" i="35"/>
  <c r="AA125" i="35"/>
  <c r="Y125" i="35" s="1"/>
  <c r="AB125" i="35"/>
  <c r="A126" i="35"/>
  <c r="H126" i="35"/>
  <c r="J126" i="35" s="1"/>
  <c r="I126" i="35"/>
  <c r="K126" i="35" s="1"/>
  <c r="S126" i="35"/>
  <c r="T126" i="35" s="1"/>
  <c r="AA126" i="35"/>
  <c r="Y126" i="35" s="1"/>
  <c r="AB126" i="35"/>
  <c r="A127" i="35"/>
  <c r="H127" i="35"/>
  <c r="J127" i="35" s="1"/>
  <c r="I127" i="35"/>
  <c r="K127" i="35" s="1"/>
  <c r="S127" i="35"/>
  <c r="T127" i="35" s="1"/>
  <c r="AA127" i="35"/>
  <c r="Y127" i="35" s="1"/>
  <c r="AB127" i="35"/>
  <c r="A128" i="35"/>
  <c r="H128" i="35"/>
  <c r="J128" i="35" s="1"/>
  <c r="I128" i="35"/>
  <c r="K128" i="35" s="1"/>
  <c r="S128" i="35"/>
  <c r="U128" i="35" s="1"/>
  <c r="T128" i="35"/>
  <c r="Y128" i="35"/>
  <c r="AA128" i="35"/>
  <c r="AB128" i="35"/>
  <c r="A129" i="35"/>
  <c r="H129" i="35"/>
  <c r="J129" i="35" s="1"/>
  <c r="I129" i="35"/>
  <c r="K129" i="35" s="1"/>
  <c r="S129" i="35"/>
  <c r="T129" i="35" s="1"/>
  <c r="V129" i="35"/>
  <c r="AA129" i="35"/>
  <c r="Y129" i="35" s="1"/>
  <c r="AB129" i="35"/>
  <c r="A130" i="35"/>
  <c r="H130" i="35"/>
  <c r="J130" i="35" s="1"/>
  <c r="I130" i="35"/>
  <c r="K130" i="35" s="1"/>
  <c r="S130" i="35"/>
  <c r="U130" i="35" s="1"/>
  <c r="AA130" i="35"/>
  <c r="Y130" i="35" s="1"/>
  <c r="AB130" i="35"/>
  <c r="A131" i="35"/>
  <c r="H131" i="35"/>
  <c r="J131" i="35" s="1"/>
  <c r="I131" i="35"/>
  <c r="K131" i="35" s="1"/>
  <c r="S131" i="35"/>
  <c r="T131" i="35" s="1"/>
  <c r="AA131" i="35"/>
  <c r="Y131" i="35" s="1"/>
  <c r="AB131" i="35"/>
  <c r="A132" i="35"/>
  <c r="H132" i="35"/>
  <c r="J132" i="35" s="1"/>
  <c r="I132" i="35"/>
  <c r="K132" i="35" s="1"/>
  <c r="S132" i="35"/>
  <c r="U132" i="35" s="1"/>
  <c r="AA132" i="35"/>
  <c r="Y132" i="35" s="1"/>
  <c r="AB132" i="35"/>
  <c r="A133" i="35"/>
  <c r="H133" i="35"/>
  <c r="J133" i="35" s="1"/>
  <c r="I133" i="35"/>
  <c r="K133" i="35" s="1"/>
  <c r="S133" i="35"/>
  <c r="V133" i="35" s="1"/>
  <c r="AA133" i="35"/>
  <c r="Y133" i="35" s="1"/>
  <c r="AB133" i="35"/>
  <c r="A134" i="35"/>
  <c r="H134" i="35"/>
  <c r="J134" i="35" s="1"/>
  <c r="I134" i="35"/>
  <c r="K134" i="35" s="1"/>
  <c r="S134" i="35"/>
  <c r="T134" i="35" s="1"/>
  <c r="AA134" i="35"/>
  <c r="Y134" i="35" s="1"/>
  <c r="AB134" i="35"/>
  <c r="A135" i="35"/>
  <c r="H135" i="35"/>
  <c r="J135" i="35" s="1"/>
  <c r="I135" i="35"/>
  <c r="K135" i="35" s="1"/>
  <c r="S135" i="35"/>
  <c r="T135" i="35" s="1"/>
  <c r="AA135" i="35"/>
  <c r="Y135" i="35" s="1"/>
  <c r="AB135" i="35"/>
  <c r="A136" i="35"/>
  <c r="H136" i="35"/>
  <c r="J136" i="35" s="1"/>
  <c r="I136" i="35"/>
  <c r="K136" i="35" s="1"/>
  <c r="S136" i="35"/>
  <c r="T136" i="35" s="1"/>
  <c r="AA136" i="35"/>
  <c r="Y136" i="35" s="1"/>
  <c r="AB136" i="35"/>
  <c r="A137" i="35"/>
  <c r="H137" i="35"/>
  <c r="J137" i="35" s="1"/>
  <c r="I137" i="35"/>
  <c r="K137" i="35" s="1"/>
  <c r="S137" i="35"/>
  <c r="T137" i="35" s="1"/>
  <c r="AA137" i="35"/>
  <c r="Y137" i="35" s="1"/>
  <c r="AB137" i="35"/>
  <c r="A138" i="35"/>
  <c r="H138" i="35"/>
  <c r="J138" i="35" s="1"/>
  <c r="I138" i="35"/>
  <c r="K138" i="35" s="1"/>
  <c r="S138" i="35"/>
  <c r="T138" i="35" s="1"/>
  <c r="AA138" i="35"/>
  <c r="Y138" i="35" s="1"/>
  <c r="AB138" i="35"/>
  <c r="A139" i="35"/>
  <c r="H139" i="35"/>
  <c r="J139" i="35" s="1"/>
  <c r="I139" i="35"/>
  <c r="K139" i="35" s="1"/>
  <c r="S139" i="35"/>
  <c r="T139" i="35" s="1"/>
  <c r="AA139" i="35"/>
  <c r="Y139" i="35" s="1"/>
  <c r="AB139" i="35"/>
  <c r="A140" i="35"/>
  <c r="H140" i="35"/>
  <c r="J140" i="35" s="1"/>
  <c r="I140" i="35"/>
  <c r="K140" i="35" s="1"/>
  <c r="S140" i="35"/>
  <c r="T140" i="35" s="1"/>
  <c r="AA140" i="35"/>
  <c r="Y140" i="35" s="1"/>
  <c r="AB140" i="35"/>
  <c r="A141" i="35"/>
  <c r="H141" i="35"/>
  <c r="J141" i="35" s="1"/>
  <c r="I141" i="35"/>
  <c r="K141" i="35" s="1"/>
  <c r="S141" i="35"/>
  <c r="T141" i="35" s="1"/>
  <c r="AA141" i="35"/>
  <c r="Y141" i="35" s="1"/>
  <c r="AB141" i="35"/>
  <c r="A142" i="35"/>
  <c r="H142" i="35"/>
  <c r="J142" i="35" s="1"/>
  <c r="I142" i="35"/>
  <c r="K142" i="35" s="1"/>
  <c r="S142" i="35"/>
  <c r="T142" i="35" s="1"/>
  <c r="U142" i="35"/>
  <c r="AA142" i="35"/>
  <c r="Y142" i="35" s="1"/>
  <c r="AB142" i="35"/>
  <c r="A143" i="35"/>
  <c r="H143" i="35"/>
  <c r="J143" i="35" s="1"/>
  <c r="I143" i="35"/>
  <c r="K143" i="35" s="1"/>
  <c r="S143" i="35"/>
  <c r="T143" i="35" s="1"/>
  <c r="AA143" i="35"/>
  <c r="Y143" i="35" s="1"/>
  <c r="AB143" i="35"/>
  <c r="A144" i="35"/>
  <c r="H144" i="35"/>
  <c r="J144" i="35" s="1"/>
  <c r="I144" i="35"/>
  <c r="K144" i="35" s="1"/>
  <c r="S144" i="35"/>
  <c r="U144" i="35" s="1"/>
  <c r="T144" i="35"/>
  <c r="AA144" i="35"/>
  <c r="Y144" i="35" s="1"/>
  <c r="AB144" i="35"/>
  <c r="A145" i="35"/>
  <c r="H145" i="35"/>
  <c r="J145" i="35" s="1"/>
  <c r="I145" i="35"/>
  <c r="K145" i="35" s="1"/>
  <c r="S145" i="35"/>
  <c r="T145" i="35" s="1"/>
  <c r="AA145" i="35"/>
  <c r="Y145" i="35" s="1"/>
  <c r="AB145" i="35"/>
  <c r="A146" i="35"/>
  <c r="H146" i="35"/>
  <c r="J146" i="35" s="1"/>
  <c r="I146" i="35"/>
  <c r="K146" i="35" s="1"/>
  <c r="S146" i="35"/>
  <c r="T146" i="35" s="1"/>
  <c r="AA146" i="35"/>
  <c r="Y146" i="35" s="1"/>
  <c r="AB146" i="35"/>
  <c r="A147" i="35"/>
  <c r="H147" i="35"/>
  <c r="I147" i="35"/>
  <c r="K147" i="35" s="1"/>
  <c r="J147" i="35"/>
  <c r="S147" i="35"/>
  <c r="T147" i="35"/>
  <c r="U147" i="35"/>
  <c r="V147" i="35"/>
  <c r="AA147" i="35"/>
  <c r="Y147" i="35" s="1"/>
  <c r="AB147" i="35"/>
  <c r="A148" i="35"/>
  <c r="H148" i="35"/>
  <c r="I148" i="35"/>
  <c r="K148" i="35" s="1"/>
  <c r="J148" i="35"/>
  <c r="S148" i="35"/>
  <c r="T148" i="35"/>
  <c r="U148" i="35"/>
  <c r="V148" i="35"/>
  <c r="AA148" i="35"/>
  <c r="Y148" i="35" s="1"/>
  <c r="AB148" i="35"/>
  <c r="A149" i="35"/>
  <c r="H149" i="35"/>
  <c r="I149" i="35"/>
  <c r="K149" i="35" s="1"/>
  <c r="J149" i="35"/>
  <c r="S149" i="35"/>
  <c r="T149" i="35"/>
  <c r="U149" i="35"/>
  <c r="V149" i="35"/>
  <c r="AA149" i="35"/>
  <c r="Y149" i="35" s="1"/>
  <c r="AB149" i="35"/>
  <c r="A150" i="35"/>
  <c r="H150" i="35"/>
  <c r="I150" i="35"/>
  <c r="K150" i="35" s="1"/>
  <c r="J150" i="35"/>
  <c r="S150" i="35"/>
  <c r="T150" i="35"/>
  <c r="U150" i="35"/>
  <c r="V150" i="35"/>
  <c r="AA150" i="35"/>
  <c r="Y150" i="35" s="1"/>
  <c r="AB150" i="35"/>
  <c r="A151" i="35"/>
  <c r="H151" i="35"/>
  <c r="I151" i="35"/>
  <c r="K151" i="35" s="1"/>
  <c r="J151" i="35"/>
  <c r="S151" i="35"/>
  <c r="T151" i="35"/>
  <c r="U151" i="35"/>
  <c r="V151" i="35"/>
  <c r="AA151" i="35"/>
  <c r="Y151" i="35" s="1"/>
  <c r="AB151" i="35"/>
  <c r="A152" i="35"/>
  <c r="H152" i="35"/>
  <c r="I152" i="35"/>
  <c r="K152" i="35" s="1"/>
  <c r="J152" i="35"/>
  <c r="S152" i="35"/>
  <c r="T152" i="35"/>
  <c r="U152" i="35"/>
  <c r="V152" i="35"/>
  <c r="AA152" i="35"/>
  <c r="Y152" i="35" s="1"/>
  <c r="AB152" i="35"/>
  <c r="A153" i="35"/>
  <c r="H153" i="35"/>
  <c r="I153" i="35"/>
  <c r="K153" i="35" s="1"/>
  <c r="J153" i="35"/>
  <c r="S153" i="35"/>
  <c r="T153" i="35"/>
  <c r="U153" i="35"/>
  <c r="V153" i="35"/>
  <c r="AA153" i="35"/>
  <c r="Y153" i="35" s="1"/>
  <c r="AB153" i="35"/>
  <c r="A154" i="35"/>
  <c r="H154" i="35"/>
  <c r="I154" i="35"/>
  <c r="K154" i="35" s="1"/>
  <c r="J154" i="35"/>
  <c r="S154" i="35"/>
  <c r="T154" i="35"/>
  <c r="U154" i="35"/>
  <c r="V154" i="35"/>
  <c r="AA154" i="35"/>
  <c r="Y154" i="35" s="1"/>
  <c r="AB154" i="35"/>
  <c r="A155" i="35"/>
  <c r="H155" i="35"/>
  <c r="I155" i="35"/>
  <c r="K155" i="35" s="1"/>
  <c r="J155" i="35"/>
  <c r="L155" i="35" s="1"/>
  <c r="N155" i="35" s="1"/>
  <c r="Q155" i="35" s="1"/>
  <c r="S155" i="35"/>
  <c r="T155" i="35"/>
  <c r="U155" i="35"/>
  <c r="V155" i="35"/>
  <c r="AA155" i="35"/>
  <c r="Y155" i="35" s="1"/>
  <c r="AB155" i="35"/>
  <c r="A156" i="35"/>
  <c r="H156" i="35"/>
  <c r="I156" i="35"/>
  <c r="K156" i="35" s="1"/>
  <c r="J156" i="35"/>
  <c r="L156" i="35" s="1"/>
  <c r="N156" i="35" s="1"/>
  <c r="Q156" i="35" s="1"/>
  <c r="S156" i="35"/>
  <c r="T156" i="35"/>
  <c r="U156" i="35"/>
  <c r="V156" i="35"/>
  <c r="AA156" i="35"/>
  <c r="Y156" i="35" s="1"/>
  <c r="AB156" i="35"/>
  <c r="A157" i="35"/>
  <c r="H157" i="35"/>
  <c r="I157" i="35"/>
  <c r="K157" i="35" s="1"/>
  <c r="J157" i="35"/>
  <c r="S157" i="35"/>
  <c r="T157" i="35"/>
  <c r="U157" i="35"/>
  <c r="V157" i="35"/>
  <c r="AA157" i="35"/>
  <c r="Y157" i="35" s="1"/>
  <c r="AB157" i="35"/>
  <c r="A158" i="35"/>
  <c r="H158" i="35"/>
  <c r="I158" i="35"/>
  <c r="K158" i="35" s="1"/>
  <c r="J158" i="35"/>
  <c r="S158" i="35"/>
  <c r="T158" i="35"/>
  <c r="U158" i="35"/>
  <c r="V158" i="35"/>
  <c r="AA158" i="35"/>
  <c r="Y158" i="35" s="1"/>
  <c r="AB158" i="35"/>
  <c r="A159" i="35"/>
  <c r="H159" i="35"/>
  <c r="I159" i="35"/>
  <c r="K159" i="35" s="1"/>
  <c r="J159" i="35"/>
  <c r="L159" i="35" s="1"/>
  <c r="N159" i="35" s="1"/>
  <c r="Q159" i="35" s="1"/>
  <c r="S159" i="35"/>
  <c r="T159" i="35"/>
  <c r="U159" i="35"/>
  <c r="V159" i="35"/>
  <c r="AA159" i="35"/>
  <c r="Y159" i="35" s="1"/>
  <c r="AB159" i="35"/>
  <c r="A160" i="35"/>
  <c r="H160" i="35"/>
  <c r="I160" i="35"/>
  <c r="K160" i="35" s="1"/>
  <c r="J160" i="35"/>
  <c r="L160" i="35" s="1"/>
  <c r="N160" i="35" s="1"/>
  <c r="Q160" i="35" s="1"/>
  <c r="S160" i="35"/>
  <c r="T160" i="35"/>
  <c r="U160" i="35"/>
  <c r="V160" i="35"/>
  <c r="AA160" i="35"/>
  <c r="Y160" i="35" s="1"/>
  <c r="AB160" i="35"/>
  <c r="A161" i="35"/>
  <c r="H161" i="35"/>
  <c r="I161" i="35"/>
  <c r="K161" i="35" s="1"/>
  <c r="J161" i="35"/>
  <c r="S161" i="35"/>
  <c r="T161" i="35"/>
  <c r="U161" i="35"/>
  <c r="V161" i="35"/>
  <c r="AA161" i="35"/>
  <c r="Y161" i="35" s="1"/>
  <c r="AB161" i="35"/>
  <c r="E166" i="35"/>
  <c r="Z3" i="35" s="1"/>
  <c r="D184" i="35"/>
  <c r="D182" i="35"/>
  <c r="B182" i="35"/>
  <c r="F181" i="35"/>
  <c r="D173" i="35"/>
  <c r="F172" i="35"/>
  <c r="E172" i="35"/>
  <c r="E182" i="35" s="1"/>
  <c r="AI3" i="35" s="1"/>
  <c r="D172" i="35"/>
  <c r="D171" i="35"/>
  <c r="D170" i="35"/>
  <c r="E168" i="35"/>
  <c r="E169" i="35" s="1"/>
  <c r="AD3" i="35" s="1"/>
  <c r="Y166" i="35"/>
  <c r="F166" i="35"/>
  <c r="D166" i="35"/>
  <c r="AB163" i="35"/>
  <c r="AA163" i="35"/>
  <c r="Y163" i="35" s="1"/>
  <c r="S163" i="35"/>
  <c r="V163" i="35" s="1"/>
  <c r="I163" i="35"/>
  <c r="K163" i="35" s="1"/>
  <c r="H163" i="35"/>
  <c r="J163" i="35" s="1"/>
  <c r="L163" i="35" s="1"/>
  <c r="N163" i="35" s="1"/>
  <c r="Q163" i="35" s="1"/>
  <c r="A163" i="35"/>
  <c r="AB162" i="35"/>
  <c r="AA162" i="35"/>
  <c r="Y162" i="35" s="1"/>
  <c r="S162" i="35"/>
  <c r="U162" i="35" s="1"/>
  <c r="I162" i="35"/>
  <c r="K162" i="35" s="1"/>
  <c r="H162" i="35"/>
  <c r="J162" i="35" s="1"/>
  <c r="L162" i="35" s="1"/>
  <c r="N162" i="35" s="1"/>
  <c r="Q162" i="35" s="1"/>
  <c r="A162" i="35"/>
  <c r="AB14" i="35"/>
  <c r="AA14" i="35"/>
  <c r="Y14" i="35" s="1"/>
  <c r="S14" i="35"/>
  <c r="U14" i="35" s="1"/>
  <c r="I14" i="35"/>
  <c r="K14" i="35" s="1"/>
  <c r="H14" i="35"/>
  <c r="J14" i="35" s="1"/>
  <c r="A14" i="35"/>
  <c r="L13" i="35"/>
  <c r="AA12" i="35"/>
  <c r="P12" i="35"/>
  <c r="O12" i="35"/>
  <c r="N12" i="35"/>
  <c r="L12" i="35"/>
  <c r="K12" i="35"/>
  <c r="J12" i="35"/>
  <c r="I12" i="35"/>
  <c r="H12" i="35"/>
  <c r="E12" i="35"/>
  <c r="AJ3" i="35"/>
  <c r="AG3" i="35"/>
  <c r="AF3" i="35"/>
  <c r="AE3" i="35"/>
  <c r="AA3" i="35"/>
  <c r="B3" i="35"/>
  <c r="D6" i="35" s="1"/>
  <c r="A14" i="10"/>
  <c r="M17" i="12"/>
  <c r="S17" i="12"/>
  <c r="E17" i="12"/>
  <c r="I17" i="12"/>
  <c r="H17" i="12"/>
  <c r="J17" i="12"/>
  <c r="R17" i="12"/>
  <c r="O17" i="12"/>
  <c r="G17" i="12"/>
  <c r="K17" i="12"/>
  <c r="N17" i="12"/>
  <c r="P17" i="12"/>
  <c r="Q17" i="12"/>
  <c r="L17" i="12" l="1"/>
  <c r="C17" i="12"/>
  <c r="V146" i="35"/>
  <c r="U146" i="35"/>
  <c r="V145" i="35"/>
  <c r="U145" i="35"/>
  <c r="V144" i="35"/>
  <c r="V143" i="35"/>
  <c r="U143" i="35"/>
  <c r="V142" i="35"/>
  <c r="U141" i="35"/>
  <c r="V141" i="35"/>
  <c r="U140" i="35"/>
  <c r="V140" i="35"/>
  <c r="V139" i="35"/>
  <c r="U139" i="35"/>
  <c r="V138" i="35"/>
  <c r="U138" i="35"/>
  <c r="U133" i="35"/>
  <c r="T133" i="35"/>
  <c r="V132" i="35"/>
  <c r="T132" i="35"/>
  <c r="V131" i="35"/>
  <c r="U131" i="35"/>
  <c r="L131" i="35"/>
  <c r="N131" i="35" s="1"/>
  <c r="Q131" i="35" s="1"/>
  <c r="T130" i="35"/>
  <c r="V130" i="35"/>
  <c r="U129" i="35"/>
  <c r="V126" i="35"/>
  <c r="U126" i="35"/>
  <c r="V124" i="35"/>
  <c r="T124" i="35"/>
  <c r="U123" i="35"/>
  <c r="U122" i="35"/>
  <c r="T122" i="35"/>
  <c r="L122" i="35"/>
  <c r="N122" i="35" s="1"/>
  <c r="Q122" i="35" s="1"/>
  <c r="T117" i="35"/>
  <c r="U117" i="35"/>
  <c r="V116" i="35"/>
  <c r="V115" i="35"/>
  <c r="U115" i="35"/>
  <c r="T114" i="35"/>
  <c r="L114" i="35"/>
  <c r="N114" i="35" s="1"/>
  <c r="Q114" i="35" s="1"/>
  <c r="T113" i="35"/>
  <c r="V113" i="35"/>
  <c r="L111" i="35"/>
  <c r="N111" i="35" s="1"/>
  <c r="Q111" i="35" s="1"/>
  <c r="V110" i="35"/>
  <c r="U110" i="35"/>
  <c r="V109" i="35"/>
  <c r="U109" i="35"/>
  <c r="L109" i="35"/>
  <c r="N109" i="35" s="1"/>
  <c r="Q109" i="35" s="1"/>
  <c r="T108" i="35"/>
  <c r="U107" i="35"/>
  <c r="V106" i="35"/>
  <c r="U101" i="35"/>
  <c r="V100" i="35"/>
  <c r="T100" i="35"/>
  <c r="U99" i="35"/>
  <c r="T98" i="35"/>
  <c r="U96" i="35"/>
  <c r="T96" i="35"/>
  <c r="L96" i="35"/>
  <c r="N96" i="35" s="1"/>
  <c r="Q96" i="35" s="1"/>
  <c r="U95" i="35"/>
  <c r="T92" i="35"/>
  <c r="U91" i="35"/>
  <c r="U88" i="35"/>
  <c r="T88" i="35"/>
  <c r="L87" i="35"/>
  <c r="N87" i="35" s="1"/>
  <c r="Q87" i="35" s="1"/>
  <c r="T85" i="35"/>
  <c r="T84" i="35"/>
  <c r="T82" i="35"/>
  <c r="L82" i="35"/>
  <c r="N82" i="35" s="1"/>
  <c r="Q82" i="35" s="1"/>
  <c r="T76" i="35"/>
  <c r="U76" i="35"/>
  <c r="L74" i="35"/>
  <c r="N74" i="35" s="1"/>
  <c r="Q74" i="35" s="1"/>
  <c r="T72" i="35"/>
  <c r="U72" i="35"/>
  <c r="T71" i="35"/>
  <c r="U71" i="35"/>
  <c r="U68" i="35"/>
  <c r="T68" i="35"/>
  <c r="T66" i="35"/>
  <c r="U63" i="35"/>
  <c r="T63" i="35"/>
  <c r="U60" i="35"/>
  <c r="T60" i="35"/>
  <c r="T59" i="35"/>
  <c r="U56" i="35"/>
  <c r="T56" i="35"/>
  <c r="U55" i="35"/>
  <c r="T55" i="35"/>
  <c r="L54" i="35"/>
  <c r="N54" i="35" s="1"/>
  <c r="Q54" i="35" s="1"/>
  <c r="L53" i="35"/>
  <c r="N53" i="35" s="1"/>
  <c r="Q53" i="35" s="1"/>
  <c r="U52" i="35"/>
  <c r="T52" i="35"/>
  <c r="L52" i="35"/>
  <c r="N52" i="35" s="1"/>
  <c r="Q52" i="35" s="1"/>
  <c r="U50" i="35"/>
  <c r="T50" i="35"/>
  <c r="U47" i="35"/>
  <c r="T47" i="35"/>
  <c r="T46" i="35"/>
  <c r="U44" i="35"/>
  <c r="T44" i="35"/>
  <c r="L44" i="35"/>
  <c r="N44" i="35" s="1"/>
  <c r="Q44" i="35" s="1"/>
  <c r="T43" i="35"/>
  <c r="L43" i="35"/>
  <c r="N43" i="35" s="1"/>
  <c r="Q43" i="35" s="1"/>
  <c r="U40" i="35"/>
  <c r="T40" i="35"/>
  <c r="T39" i="35"/>
  <c r="L38" i="35"/>
  <c r="N38" i="35" s="1"/>
  <c r="Q38" i="35" s="1"/>
  <c r="U37" i="35"/>
  <c r="T36" i="35"/>
  <c r="U36" i="35"/>
  <c r="U34" i="35"/>
  <c r="T34" i="35"/>
  <c r="T33" i="35"/>
  <c r="U31" i="35"/>
  <c r="T31" i="35"/>
  <c r="U28" i="35"/>
  <c r="T28" i="35"/>
  <c r="T24" i="35"/>
  <c r="U24" i="35"/>
  <c r="U23" i="35"/>
  <c r="T23" i="35"/>
  <c r="L22" i="35"/>
  <c r="N22" i="35" s="1"/>
  <c r="Q22" i="35" s="1"/>
  <c r="U21" i="35"/>
  <c r="U20" i="35"/>
  <c r="T20" i="35"/>
  <c r="U18" i="35"/>
  <c r="T18" i="35"/>
  <c r="L16" i="35"/>
  <c r="N16" i="35" s="1"/>
  <c r="Q16" i="35" s="1"/>
  <c r="U15" i="35"/>
  <c r="T15" i="35"/>
  <c r="L56" i="35"/>
  <c r="N56" i="35" s="1"/>
  <c r="Q56" i="35" s="1"/>
  <c r="L24" i="35"/>
  <c r="N24" i="35" s="1"/>
  <c r="Q24" i="35" s="1"/>
  <c r="L125" i="35"/>
  <c r="N125" i="35" s="1"/>
  <c r="Q125" i="35" s="1"/>
  <c r="L48" i="35"/>
  <c r="N48" i="35" s="1"/>
  <c r="Q48" i="35" s="1"/>
  <c r="L124" i="35"/>
  <c r="N124" i="35" s="1"/>
  <c r="Q124" i="35" s="1"/>
  <c r="L120" i="35"/>
  <c r="N120" i="35" s="1"/>
  <c r="Q120" i="35" s="1"/>
  <c r="L80" i="35"/>
  <c r="N80" i="35" s="1"/>
  <c r="Q80" i="35" s="1"/>
  <c r="L61" i="35"/>
  <c r="N61" i="35" s="1"/>
  <c r="Q61" i="35" s="1"/>
  <c r="L29" i="35"/>
  <c r="N29" i="35" s="1"/>
  <c r="Q29" i="35" s="1"/>
  <c r="L64" i="35"/>
  <c r="N64" i="35" s="1"/>
  <c r="Q64" i="35" s="1"/>
  <c r="L32" i="35"/>
  <c r="N32" i="35" s="1"/>
  <c r="Q32" i="35" s="1"/>
  <c r="L136" i="35"/>
  <c r="N136" i="35" s="1"/>
  <c r="Q136" i="35" s="1"/>
  <c r="L128" i="35"/>
  <c r="N128" i="35" s="1"/>
  <c r="Q128" i="35" s="1"/>
  <c r="L126" i="35"/>
  <c r="N126" i="35" s="1"/>
  <c r="Q126" i="35" s="1"/>
  <c r="L113" i="35"/>
  <c r="N113" i="35" s="1"/>
  <c r="Q113" i="35" s="1"/>
  <c r="L58" i="35"/>
  <c r="N58" i="35" s="1"/>
  <c r="Q58" i="35" s="1"/>
  <c r="L60" i="35"/>
  <c r="N60" i="35" s="1"/>
  <c r="Q60" i="35" s="1"/>
  <c r="L14" i="35"/>
  <c r="N14" i="35" s="1"/>
  <c r="Q14" i="35" s="1"/>
  <c r="L152" i="35"/>
  <c r="N152" i="35" s="1"/>
  <c r="Q152" i="35" s="1"/>
  <c r="L144" i="35"/>
  <c r="N144" i="35" s="1"/>
  <c r="Q144" i="35" s="1"/>
  <c r="L135" i="35"/>
  <c r="N135" i="35" s="1"/>
  <c r="Q135" i="35" s="1"/>
  <c r="L88" i="35"/>
  <c r="N88" i="35" s="1"/>
  <c r="Q88" i="35" s="1"/>
  <c r="L67" i="35"/>
  <c r="N67" i="35" s="1"/>
  <c r="Q67" i="35" s="1"/>
  <c r="L39" i="35"/>
  <c r="N39" i="35" s="1"/>
  <c r="Q39" i="35" s="1"/>
  <c r="L84" i="35"/>
  <c r="N84" i="35" s="1"/>
  <c r="Q84" i="35" s="1"/>
  <c r="L92" i="35"/>
  <c r="N92" i="35" s="1"/>
  <c r="Q92" i="35" s="1"/>
  <c r="L137" i="35"/>
  <c r="N137" i="35" s="1"/>
  <c r="Q137" i="35" s="1"/>
  <c r="L105" i="35"/>
  <c r="N105" i="35" s="1"/>
  <c r="Q105" i="35" s="1"/>
  <c r="L97" i="35"/>
  <c r="N97" i="35" s="1"/>
  <c r="Q97" i="35" s="1"/>
  <c r="L46" i="35"/>
  <c r="N46" i="35" s="1"/>
  <c r="Q46" i="35" s="1"/>
  <c r="L86" i="35"/>
  <c r="N86" i="35" s="1"/>
  <c r="Q86" i="35" s="1"/>
  <c r="L72" i="35"/>
  <c r="N72" i="35" s="1"/>
  <c r="Q72" i="35" s="1"/>
  <c r="L129" i="35"/>
  <c r="N129" i="35" s="1"/>
  <c r="Q129" i="35" s="1"/>
  <c r="L112" i="35"/>
  <c r="N112" i="35" s="1"/>
  <c r="Q112" i="35" s="1"/>
  <c r="L110" i="35"/>
  <c r="N110" i="35" s="1"/>
  <c r="Q110" i="35" s="1"/>
  <c r="L95" i="35"/>
  <c r="N95" i="35" s="1"/>
  <c r="Q95" i="35" s="1"/>
  <c r="L93" i="35"/>
  <c r="N93" i="35" s="1"/>
  <c r="Q93" i="35" s="1"/>
  <c r="L17" i="35"/>
  <c r="N17" i="35" s="1"/>
  <c r="Q17" i="35" s="1"/>
  <c r="L134" i="35"/>
  <c r="N134" i="35" s="1"/>
  <c r="Q134" i="35" s="1"/>
  <c r="L68" i="35"/>
  <c r="N68" i="35" s="1"/>
  <c r="Q68" i="35" s="1"/>
  <c r="L36" i="35"/>
  <c r="N36" i="35" s="1"/>
  <c r="Q36" i="35" s="1"/>
  <c r="L121" i="35"/>
  <c r="N121" i="35" s="1"/>
  <c r="Q121" i="35" s="1"/>
  <c r="L15" i="35"/>
  <c r="N15" i="35" s="1"/>
  <c r="Q15" i="35" s="1"/>
  <c r="L55" i="35"/>
  <c r="N55" i="35" s="1"/>
  <c r="Q55" i="35" s="1"/>
  <c r="L154" i="35"/>
  <c r="N154" i="35" s="1"/>
  <c r="Q154" i="35" s="1"/>
  <c r="L146" i="35"/>
  <c r="N146" i="35" s="1"/>
  <c r="Q146" i="35" s="1"/>
  <c r="L71" i="35"/>
  <c r="N71" i="35" s="1"/>
  <c r="Q71" i="35" s="1"/>
  <c r="L40" i="35"/>
  <c r="N40" i="35" s="1"/>
  <c r="Q40" i="35" s="1"/>
  <c r="L104" i="35"/>
  <c r="N104" i="35" s="1"/>
  <c r="Q104" i="35" s="1"/>
  <c r="L79" i="35"/>
  <c r="N79" i="35" s="1"/>
  <c r="Q79" i="35" s="1"/>
  <c r="L45" i="35"/>
  <c r="N45" i="35" s="1"/>
  <c r="Q45" i="35" s="1"/>
  <c r="L138" i="35"/>
  <c r="N138" i="35" s="1"/>
  <c r="Q138" i="35" s="1"/>
  <c r="L130" i="35"/>
  <c r="N130" i="35" s="1"/>
  <c r="Q130" i="35" s="1"/>
  <c r="L123" i="35"/>
  <c r="N123" i="35" s="1"/>
  <c r="Q123" i="35" s="1"/>
  <c r="L50" i="35"/>
  <c r="N50" i="35" s="1"/>
  <c r="Q50" i="35" s="1"/>
  <c r="L37" i="35"/>
  <c r="N37" i="35" s="1"/>
  <c r="Q37" i="35" s="1"/>
  <c r="L28" i="35"/>
  <c r="N28" i="35" s="1"/>
  <c r="Q28" i="35" s="1"/>
  <c r="L33" i="35"/>
  <c r="N33" i="35" s="1"/>
  <c r="Q33" i="35" s="1"/>
  <c r="L115" i="35"/>
  <c r="N115" i="35" s="1"/>
  <c r="Q115" i="35" s="1"/>
  <c r="L102" i="35"/>
  <c r="N102" i="35" s="1"/>
  <c r="Q102" i="35" s="1"/>
  <c r="L78" i="35"/>
  <c r="N78" i="35" s="1"/>
  <c r="Q78" i="35" s="1"/>
  <c r="L20" i="35"/>
  <c r="N20" i="35" s="1"/>
  <c r="Q20" i="35" s="1"/>
  <c r="L18" i="35"/>
  <c r="N18" i="35" s="1"/>
  <c r="Q18" i="35" s="1"/>
  <c r="L133" i="35"/>
  <c r="N133" i="35" s="1"/>
  <c r="Q133" i="35" s="1"/>
  <c r="L147" i="35"/>
  <c r="N147" i="35" s="1"/>
  <c r="Q147" i="35" s="1"/>
  <c r="L139" i="35"/>
  <c r="N139" i="35" s="1"/>
  <c r="Q139" i="35" s="1"/>
  <c r="L100" i="35"/>
  <c r="N100" i="35" s="1"/>
  <c r="Q100" i="35" s="1"/>
  <c r="L83" i="35"/>
  <c r="N83" i="35" s="1"/>
  <c r="Q83" i="35" s="1"/>
  <c r="L76" i="35"/>
  <c r="N76" i="35" s="1"/>
  <c r="Q76" i="35" s="1"/>
  <c r="L31" i="35"/>
  <c r="N31" i="35" s="1"/>
  <c r="Q31" i="35" s="1"/>
  <c r="L57" i="35"/>
  <c r="N57" i="35" s="1"/>
  <c r="Q57" i="35" s="1"/>
  <c r="L127" i="35"/>
  <c r="N127" i="35" s="1"/>
  <c r="Q127" i="35" s="1"/>
  <c r="L118" i="35"/>
  <c r="N118" i="35" s="1"/>
  <c r="Q118" i="35" s="1"/>
  <c r="L106" i="35"/>
  <c r="N106" i="35" s="1"/>
  <c r="Q106" i="35" s="1"/>
  <c r="L98" i="35"/>
  <c r="N98" i="35" s="1"/>
  <c r="Q98" i="35" s="1"/>
  <c r="L81" i="35"/>
  <c r="N81" i="35" s="1"/>
  <c r="Q81" i="35" s="1"/>
  <c r="L66" i="35"/>
  <c r="N66" i="35" s="1"/>
  <c r="Q66" i="35" s="1"/>
  <c r="L25" i="35"/>
  <c r="N25" i="35" s="1"/>
  <c r="Q25" i="35" s="1"/>
  <c r="L116" i="35"/>
  <c r="N116" i="35" s="1"/>
  <c r="Q116" i="35" s="1"/>
  <c r="L49" i="35"/>
  <c r="N49" i="35" s="1"/>
  <c r="Q49" i="35" s="1"/>
  <c r="L19" i="35"/>
  <c r="N19" i="35" s="1"/>
  <c r="Q19" i="35" s="1"/>
  <c r="L148" i="35"/>
  <c r="N148" i="35" s="1"/>
  <c r="Q148" i="35" s="1"/>
  <c r="L140" i="35"/>
  <c r="N140" i="35" s="1"/>
  <c r="Q140" i="35" s="1"/>
  <c r="L101" i="35"/>
  <c r="N101" i="35" s="1"/>
  <c r="Q101" i="35" s="1"/>
  <c r="L94" i="35"/>
  <c r="N94" i="35" s="1"/>
  <c r="Q94" i="35" s="1"/>
  <c r="L90" i="35"/>
  <c r="N90" i="35" s="1"/>
  <c r="Q90" i="35" s="1"/>
  <c r="L62" i="35"/>
  <c r="N62" i="35" s="1"/>
  <c r="Q62" i="35" s="1"/>
  <c r="L34" i="35"/>
  <c r="N34" i="35" s="1"/>
  <c r="Q34" i="35" s="1"/>
  <c r="L23" i="35"/>
  <c r="N23" i="35" s="1"/>
  <c r="Q23" i="35" s="1"/>
  <c r="L103" i="35"/>
  <c r="N103" i="35" s="1"/>
  <c r="Q103" i="35" s="1"/>
  <c r="L151" i="35"/>
  <c r="N151" i="35" s="1"/>
  <c r="Q151" i="35" s="1"/>
  <c r="L143" i="35"/>
  <c r="N143" i="35" s="1"/>
  <c r="Q143" i="35" s="1"/>
  <c r="L132" i="35"/>
  <c r="N132" i="35" s="1"/>
  <c r="Q132" i="35" s="1"/>
  <c r="L107" i="35"/>
  <c r="N107" i="35" s="1"/>
  <c r="Q107" i="35" s="1"/>
  <c r="L47" i="35"/>
  <c r="N47" i="35" s="1"/>
  <c r="Q47" i="35" s="1"/>
  <c r="L30" i="35"/>
  <c r="N30" i="35" s="1"/>
  <c r="Q30" i="35" s="1"/>
  <c r="L69" i="35"/>
  <c r="N69" i="35" s="1"/>
  <c r="Q69" i="35" s="1"/>
  <c r="L119" i="35"/>
  <c r="N119" i="35" s="1"/>
  <c r="Q119" i="35" s="1"/>
  <c r="L65" i="35"/>
  <c r="N65" i="35" s="1"/>
  <c r="Q65" i="35" s="1"/>
  <c r="L41" i="35"/>
  <c r="N41" i="35" s="1"/>
  <c r="Q41" i="35" s="1"/>
  <c r="L26" i="35"/>
  <c r="N26" i="35" s="1"/>
  <c r="Q26" i="35" s="1"/>
  <c r="L99" i="35"/>
  <c r="N99" i="35" s="1"/>
  <c r="Q99" i="35" s="1"/>
  <c r="L157" i="35"/>
  <c r="N157" i="35" s="1"/>
  <c r="Q157" i="35" s="1"/>
  <c r="L149" i="35"/>
  <c r="N149" i="35" s="1"/>
  <c r="Q149" i="35" s="1"/>
  <c r="L141" i="35"/>
  <c r="N141" i="35" s="1"/>
  <c r="Q141" i="35" s="1"/>
  <c r="L91" i="35"/>
  <c r="N91" i="35" s="1"/>
  <c r="Q91" i="35" s="1"/>
  <c r="L158" i="35"/>
  <c r="N158" i="35" s="1"/>
  <c r="Q158" i="35" s="1"/>
  <c r="L150" i="35"/>
  <c r="N150" i="35" s="1"/>
  <c r="Q150" i="35" s="1"/>
  <c r="L142" i="35"/>
  <c r="N142" i="35" s="1"/>
  <c r="Q142" i="35" s="1"/>
  <c r="L161" i="35"/>
  <c r="N161" i="35" s="1"/>
  <c r="Q161" i="35" s="1"/>
  <c r="L153" i="35"/>
  <c r="N153" i="35" s="1"/>
  <c r="Q153" i="35" s="1"/>
  <c r="L145" i="35"/>
  <c r="N145" i="35" s="1"/>
  <c r="Q145" i="35" s="1"/>
  <c r="AC3" i="35"/>
  <c r="L77" i="35"/>
  <c r="N77" i="35" s="1"/>
  <c r="Q77" i="35" s="1"/>
  <c r="L89" i="35"/>
  <c r="N89" i="35" s="1"/>
  <c r="Q89" i="35" s="1"/>
  <c r="L51" i="35"/>
  <c r="N51" i="35" s="1"/>
  <c r="Q51" i="35" s="1"/>
  <c r="T91" i="35"/>
  <c r="U85" i="35"/>
  <c r="V78" i="35"/>
  <c r="U78" i="35"/>
  <c r="L42" i="35"/>
  <c r="N42" i="35" s="1"/>
  <c r="Q42" i="35" s="1"/>
  <c r="V134" i="35"/>
  <c r="V118" i="35"/>
  <c r="V102" i="35"/>
  <c r="V67" i="35"/>
  <c r="T67" i="35"/>
  <c r="U67" i="35"/>
  <c r="V135" i="35"/>
  <c r="U134" i="35"/>
  <c r="V119" i="35"/>
  <c r="U118" i="35"/>
  <c r="V103" i="35"/>
  <c r="U102" i="35"/>
  <c r="U86" i="35"/>
  <c r="V136" i="35"/>
  <c r="U135" i="35"/>
  <c r="V120" i="35"/>
  <c r="U119" i="35"/>
  <c r="V104" i="35"/>
  <c r="U103" i="35"/>
  <c r="T86" i="35"/>
  <c r="V75" i="35"/>
  <c r="U75" i="35"/>
  <c r="L27" i="35"/>
  <c r="N27" i="35" s="1"/>
  <c r="Q27" i="35" s="1"/>
  <c r="V137" i="35"/>
  <c r="U136" i="35"/>
  <c r="V121" i="35"/>
  <c r="U120" i="35"/>
  <c r="V105" i="35"/>
  <c r="U104" i="35"/>
  <c r="U137" i="35"/>
  <c r="U121" i="35"/>
  <c r="U105" i="35"/>
  <c r="V93" i="35"/>
  <c r="T93" i="35"/>
  <c r="U87" i="35"/>
  <c r="V80" i="35"/>
  <c r="T80" i="35"/>
  <c r="L75" i="35"/>
  <c r="N75" i="35" s="1"/>
  <c r="Q75" i="35" s="1"/>
  <c r="V19" i="35"/>
  <c r="T19" i="35"/>
  <c r="U19" i="35"/>
  <c r="V123" i="35"/>
  <c r="V107" i="35"/>
  <c r="T87" i="35"/>
  <c r="L85" i="35"/>
  <c r="N85" i="35" s="1"/>
  <c r="Q85" i="35" s="1"/>
  <c r="V70" i="35"/>
  <c r="T70" i="35"/>
  <c r="U70" i="35"/>
  <c r="L21" i="35"/>
  <c r="N21" i="35" s="1"/>
  <c r="Q21" i="35" s="1"/>
  <c r="V94" i="35"/>
  <c r="U94" i="35"/>
  <c r="T95" i="35"/>
  <c r="V81" i="35"/>
  <c r="U81" i="35"/>
  <c r="L70" i="35"/>
  <c r="N70" i="35" s="1"/>
  <c r="Q70" i="35" s="1"/>
  <c r="L63" i="35"/>
  <c r="N63" i="35" s="1"/>
  <c r="Q63" i="35" s="1"/>
  <c r="V35" i="35"/>
  <c r="T35" i="35"/>
  <c r="U35" i="35"/>
  <c r="V127" i="35"/>
  <c r="V111" i="35"/>
  <c r="V128" i="35"/>
  <c r="U127" i="35"/>
  <c r="V112" i="35"/>
  <c r="U111" i="35"/>
  <c r="U97" i="35"/>
  <c r="V89" i="35"/>
  <c r="T89" i="35"/>
  <c r="U83" i="35"/>
  <c r="L73" i="35"/>
  <c r="N73" i="35" s="1"/>
  <c r="Q73" i="35" s="1"/>
  <c r="L59" i="35"/>
  <c r="N59" i="35" s="1"/>
  <c r="Q59" i="35" s="1"/>
  <c r="L35" i="35"/>
  <c r="N35" i="35" s="1"/>
  <c r="Q35" i="35" s="1"/>
  <c r="U98" i="35"/>
  <c r="T97" i="35"/>
  <c r="T83" i="35"/>
  <c r="V74" i="35"/>
  <c r="T74" i="35"/>
  <c r="U74" i="35"/>
  <c r="V77" i="35"/>
  <c r="T77" i="35"/>
  <c r="V51" i="35"/>
  <c r="T51" i="35"/>
  <c r="U51" i="35"/>
  <c r="V90" i="35"/>
  <c r="U90" i="35"/>
  <c r="T73" i="35"/>
  <c r="U58" i="35"/>
  <c r="T57" i="35"/>
  <c r="U42" i="35"/>
  <c r="T41" i="35"/>
  <c r="U26" i="35"/>
  <c r="T25" i="35"/>
  <c r="U59" i="35"/>
  <c r="T58" i="35"/>
  <c r="U43" i="35"/>
  <c r="T42" i="35"/>
  <c r="U27" i="35"/>
  <c r="T26" i="35"/>
  <c r="U62" i="35"/>
  <c r="T61" i="35"/>
  <c r="U46" i="35"/>
  <c r="T45" i="35"/>
  <c r="U30" i="35"/>
  <c r="T29" i="35"/>
  <c r="U64" i="35"/>
  <c r="U48" i="35"/>
  <c r="U32" i="35"/>
  <c r="U16" i="35"/>
  <c r="U65" i="35"/>
  <c r="T64" i="35"/>
  <c r="U49" i="35"/>
  <c r="T48" i="35"/>
  <c r="U33" i="35"/>
  <c r="T32" i="35"/>
  <c r="U17" i="35"/>
  <c r="T16" i="35"/>
  <c r="T69" i="35"/>
  <c r="U54" i="35"/>
  <c r="T53" i="35"/>
  <c r="U38" i="35"/>
  <c r="T37" i="35"/>
  <c r="U22" i="35"/>
  <c r="T21" i="35"/>
  <c r="T54" i="35"/>
  <c r="T38" i="35"/>
  <c r="T22" i="35"/>
  <c r="U73" i="35"/>
  <c r="U57" i="35"/>
  <c r="U41" i="35"/>
  <c r="U25" i="35"/>
  <c r="AB3" i="35"/>
  <c r="T14" i="35"/>
  <c r="T162" i="35"/>
  <c r="T163" i="35"/>
  <c r="U163" i="35"/>
  <c r="V14" i="35"/>
  <c r="V162" i="35"/>
  <c r="E174" i="35"/>
  <c r="Q210" i="4"/>
  <c r="F17" i="12"/>
  <c r="E177" i="35" l="1"/>
  <c r="E180" i="35" s="1"/>
  <c r="W26" i="35"/>
  <c r="W42" i="35"/>
  <c r="W58" i="35"/>
  <c r="W74" i="35"/>
  <c r="W25" i="35"/>
  <c r="W41" i="35"/>
  <c r="W57" i="35"/>
  <c r="W24" i="35"/>
  <c r="W40" i="35"/>
  <c r="W56" i="35"/>
  <c r="W72" i="35"/>
  <c r="W23" i="35"/>
  <c r="W39" i="35"/>
  <c r="W55" i="35"/>
  <c r="W71" i="35"/>
  <c r="W21" i="35"/>
  <c r="W37" i="35"/>
  <c r="W53" i="35"/>
  <c r="W69" i="35"/>
  <c r="W20" i="35"/>
  <c r="W36" i="35"/>
  <c r="W52" i="35"/>
  <c r="W68" i="35"/>
  <c r="W19" i="35"/>
  <c r="W35" i="35"/>
  <c r="W51" i="35"/>
  <c r="W67" i="35"/>
  <c r="W18" i="35"/>
  <c r="W34" i="35"/>
  <c r="W50" i="35"/>
  <c r="W66" i="35"/>
  <c r="W82" i="35"/>
  <c r="W17" i="35"/>
  <c r="W33" i="35"/>
  <c r="W49" i="35"/>
  <c r="W65" i="35"/>
  <c r="W16" i="35"/>
  <c r="W32" i="35"/>
  <c r="W48" i="35"/>
  <c r="W64" i="35"/>
  <c r="W15" i="35"/>
  <c r="W31" i="35"/>
  <c r="W47" i="35"/>
  <c r="W63" i="35"/>
  <c r="W79" i="35"/>
  <c r="W95" i="35"/>
  <c r="W30" i="35"/>
  <c r="W46" i="35"/>
  <c r="W62" i="35"/>
  <c r="W29" i="35"/>
  <c r="W45" i="35"/>
  <c r="W61" i="35"/>
  <c r="W28" i="35"/>
  <c r="W44" i="35"/>
  <c r="W60" i="35"/>
  <c r="W76" i="35"/>
  <c r="W27" i="35"/>
  <c r="W43" i="35"/>
  <c r="W59" i="35"/>
  <c r="W75" i="35"/>
  <c r="W91" i="35"/>
  <c r="W78" i="35"/>
  <c r="W100" i="35"/>
  <c r="W116" i="35"/>
  <c r="W132" i="35"/>
  <c r="W84" i="35"/>
  <c r="W99" i="35"/>
  <c r="W115" i="35"/>
  <c r="W131" i="35"/>
  <c r="W90" i="35"/>
  <c r="W114" i="35"/>
  <c r="W130" i="35"/>
  <c r="W22" i="35"/>
  <c r="W77" i="35"/>
  <c r="W98" i="35"/>
  <c r="W113" i="35"/>
  <c r="W129" i="35"/>
  <c r="W83" i="35"/>
  <c r="W97" i="35"/>
  <c r="W112" i="35"/>
  <c r="W128" i="35"/>
  <c r="W89" i="35"/>
  <c r="W111" i="35"/>
  <c r="W127" i="35"/>
  <c r="W96" i="35"/>
  <c r="W110" i="35"/>
  <c r="W126" i="35"/>
  <c r="W109" i="35"/>
  <c r="W125" i="35"/>
  <c r="W81" i="35"/>
  <c r="W88" i="35"/>
  <c r="W108" i="35"/>
  <c r="W124" i="35"/>
  <c r="W70" i="35"/>
  <c r="W73" i="35"/>
  <c r="W94" i="35"/>
  <c r="W107" i="35"/>
  <c r="W123" i="35"/>
  <c r="W87" i="35"/>
  <c r="W106" i="35"/>
  <c r="W122" i="35"/>
  <c r="W138" i="35"/>
  <c r="W139" i="35"/>
  <c r="W140" i="35"/>
  <c r="W141" i="35"/>
  <c r="W142" i="35"/>
  <c r="W143" i="35"/>
  <c r="W144" i="35"/>
  <c r="W145" i="35"/>
  <c r="W146" i="35"/>
  <c r="W147" i="35"/>
  <c r="W148" i="35"/>
  <c r="W149" i="35"/>
  <c r="W150" i="35"/>
  <c r="W151" i="35"/>
  <c r="W152" i="35"/>
  <c r="W153" i="35"/>
  <c r="W154" i="35"/>
  <c r="W155" i="35"/>
  <c r="W156" i="35"/>
  <c r="W157" i="35"/>
  <c r="W158" i="35"/>
  <c r="W159" i="35"/>
  <c r="W160" i="35"/>
  <c r="W161" i="35"/>
  <c r="W54" i="35"/>
  <c r="W80" i="35"/>
  <c r="W93" i="35"/>
  <c r="W105" i="35"/>
  <c r="W121" i="35"/>
  <c r="W137" i="35"/>
  <c r="W104" i="35"/>
  <c r="W120" i="35"/>
  <c r="W136" i="35"/>
  <c r="W86" i="35"/>
  <c r="W103" i="35"/>
  <c r="W119" i="35"/>
  <c r="W135" i="35"/>
  <c r="W92" i="35"/>
  <c r="W102" i="35"/>
  <c r="W118" i="35"/>
  <c r="W134" i="35"/>
  <c r="W133" i="35"/>
  <c r="W38" i="35"/>
  <c r="W85" i="35"/>
  <c r="W101" i="35"/>
  <c r="W117" i="35"/>
  <c r="AH3" i="35"/>
  <c r="W163" i="35"/>
  <c r="W162" i="35"/>
  <c r="W14" i="35"/>
  <c r="K113" i="4"/>
  <c r="J113" i="4"/>
  <c r="I113" i="4"/>
  <c r="H113" i="4"/>
  <c r="G113" i="4"/>
  <c r="C113" i="4"/>
  <c r="E178" i="35" l="1"/>
  <c r="E179" i="35" a="1"/>
  <c r="E179" i="35" s="1"/>
  <c r="F45" i="4"/>
  <c r="C53" i="4"/>
  <c r="F59" i="4"/>
  <c r="Y181" i="35" l="1"/>
  <c r="F49" i="4"/>
  <c r="F48" i="4"/>
  <c r="F44" i="4"/>
  <c r="C50" i="4"/>
  <c r="C60" i="4"/>
  <c r="S14" i="14" l="1"/>
  <c r="S16" i="14"/>
  <c r="S15" i="14"/>
  <c r="E25" i="14" l="1"/>
  <c r="E27" i="14" s="1"/>
  <c r="E19" i="14"/>
  <c r="V16" i="14"/>
  <c r="V15" i="14"/>
  <c r="V14" i="14"/>
  <c r="U16" i="14"/>
  <c r="U15" i="14"/>
  <c r="U14" i="14"/>
  <c r="T16" i="14"/>
  <c r="T15" i="14"/>
  <c r="T14" i="14"/>
  <c r="E19" i="10" l="1"/>
  <c r="K13" i="12" l="1"/>
  <c r="K12" i="12"/>
  <c r="AJ3" i="10"/>
  <c r="AJ3" i="14"/>
  <c r="P170" i="4"/>
  <c r="AG3" i="14" l="1"/>
  <c r="D13" i="12" l="1"/>
  <c r="E13" i="12"/>
  <c r="G13" i="12"/>
  <c r="H13" i="12"/>
  <c r="I13" i="12"/>
  <c r="P13" i="12"/>
  <c r="A13" i="34"/>
  <c r="T13" i="12" l="1"/>
  <c r="F13" i="12"/>
  <c r="Q13" i="12"/>
  <c r="S13" i="12"/>
  <c r="O13" i="12"/>
  <c r="R13" i="12"/>
  <c r="D20" i="12"/>
  <c r="D16" i="12"/>
  <c r="F34" i="14" l="1"/>
  <c r="P20" i="12"/>
  <c r="M16" i="12"/>
  <c r="E20" i="12"/>
  <c r="N16" i="12"/>
  <c r="R20" i="12"/>
  <c r="R16" i="12"/>
  <c r="I16" i="12"/>
  <c r="P16" i="12"/>
  <c r="S20" i="12"/>
  <c r="Q20" i="12"/>
  <c r="O20" i="12"/>
  <c r="K20" i="12"/>
  <c r="N20" i="12"/>
  <c r="I20" i="12"/>
  <c r="K16" i="12"/>
  <c r="M20" i="12"/>
  <c r="Q16" i="12"/>
  <c r="H16" i="12"/>
  <c r="O16" i="12"/>
  <c r="T20" i="12"/>
  <c r="S16" i="12"/>
  <c r="J16" i="12"/>
  <c r="G20" i="12"/>
  <c r="H20" i="12"/>
  <c r="E16" i="12"/>
  <c r="G16" i="12"/>
  <c r="C20" i="12" l="1"/>
  <c r="F20" i="12"/>
  <c r="L16" i="12"/>
  <c r="C16" i="12"/>
  <c r="F16" i="12"/>
  <c r="A15" i="10"/>
  <c r="A16" i="10"/>
  <c r="A15" i="14"/>
  <c r="A16" i="14"/>
  <c r="H12" i="12"/>
  <c r="G12" i="12"/>
  <c r="P12" i="12"/>
  <c r="E12" i="12"/>
  <c r="I12" i="12"/>
  <c r="F12" i="12" l="1"/>
  <c r="T12" i="12"/>
  <c r="Q12" i="12"/>
  <c r="O12" i="12"/>
  <c r="D12" i="12"/>
  <c r="S12" i="12" l="1"/>
  <c r="R12" i="12"/>
  <c r="K22" i="12" l="1"/>
  <c r="H22" i="12" l="1"/>
  <c r="A12" i="34"/>
  <c r="P166" i="4" l="1"/>
  <c r="O166" i="4"/>
  <c r="Z3" i="10"/>
  <c r="AE3" i="10"/>
  <c r="AA3" i="14"/>
  <c r="AE3" i="14"/>
  <c r="Z3" i="14"/>
  <c r="A13" i="10"/>
  <c r="A14" i="14"/>
  <c r="AB14" i="14"/>
  <c r="AB15" i="14"/>
  <c r="B3" i="10"/>
  <c r="D6" i="10" s="1"/>
  <c r="Y19" i="14"/>
  <c r="F19" i="14"/>
  <c r="AB16" i="14"/>
  <c r="B3" i="14"/>
  <c r="D6" i="14" s="1"/>
  <c r="N166" i="4"/>
  <c r="Q233" i="4" l="1"/>
  <c r="Q174" i="4"/>
  <c r="R12" i="10"/>
  <c r="D24" i="14"/>
  <c r="D21" i="10"/>
  <c r="H144" i="4"/>
  <c r="G156" i="4"/>
  <c r="H156" i="4"/>
  <c r="G144" i="4"/>
  <c r="O11" i="10"/>
  <c r="I91" i="4"/>
  <c r="N12" i="14"/>
  <c r="J11" i="10"/>
  <c r="N11" i="10"/>
  <c r="AA12" i="14"/>
  <c r="D23" i="10"/>
  <c r="D19" i="10"/>
  <c r="O12" i="14"/>
  <c r="B19" i="10"/>
  <c r="L12" i="10"/>
  <c r="E11" i="10"/>
  <c r="L12" i="14"/>
  <c r="J10" i="12"/>
  <c r="K10" i="12"/>
  <c r="E12" i="14"/>
  <c r="D23" i="14"/>
  <c r="L11" i="10"/>
  <c r="N10" i="12"/>
  <c r="D35" i="14"/>
  <c r="H12" i="14"/>
  <c r="H10" i="12"/>
  <c r="I11" i="10"/>
  <c r="I12" i="14"/>
  <c r="D37" i="14"/>
  <c r="R10" i="12"/>
  <c r="B35" i="14"/>
  <c r="B21" i="10"/>
  <c r="K12" i="14"/>
  <c r="D26" i="14"/>
  <c r="H11" i="10"/>
  <c r="L13" i="14"/>
  <c r="M10" i="12"/>
  <c r="K11" i="10"/>
  <c r="J8" i="12"/>
  <c r="E19" i="4"/>
  <c r="C77" i="4"/>
  <c r="K144" i="4"/>
  <c r="C136" i="4"/>
  <c r="I14" i="10" s="1"/>
  <c r="K14" i="10" s="1"/>
  <c r="J10" i="34"/>
  <c r="J91" i="4"/>
  <c r="J9" i="34"/>
  <c r="M9" i="34"/>
  <c r="I9" i="34"/>
  <c r="Q9" i="34"/>
  <c r="H9" i="34"/>
  <c r="L9" i="34"/>
  <c r="E9" i="34"/>
  <c r="J12" i="14"/>
  <c r="P12" i="14"/>
  <c r="D19" i="14"/>
  <c r="D25" i="14"/>
  <c r="F25" i="14"/>
  <c r="R14" i="10" l="1"/>
  <c r="P14" i="10" s="1"/>
  <c r="H14" i="10"/>
  <c r="J14" i="10" s="1"/>
  <c r="L14" i="10" s="1"/>
  <c r="N14" i="10" s="1"/>
  <c r="AL14" i="10" s="1"/>
  <c r="I13" i="10"/>
  <c r="K13" i="10" s="1"/>
  <c r="I16" i="10"/>
  <c r="K16" i="10" s="1"/>
  <c r="I15" i="10"/>
  <c r="K15" i="10" s="1"/>
  <c r="H13" i="34"/>
  <c r="M13" i="12" s="1"/>
  <c r="I13" i="34"/>
  <c r="Q13" i="34"/>
  <c r="O13" i="34" s="1"/>
  <c r="R15" i="10"/>
  <c r="AA16" i="14"/>
  <c r="Y16" i="14" s="1"/>
  <c r="R13" i="10"/>
  <c r="AA15" i="14"/>
  <c r="R16" i="10"/>
  <c r="AA14" i="14"/>
  <c r="Y14" i="14" s="1"/>
  <c r="Q12" i="34"/>
  <c r="O12" i="34" s="1"/>
  <c r="H12" i="34"/>
  <c r="M12" i="12" s="1"/>
  <c r="H14" i="14"/>
  <c r="H16" i="10"/>
  <c r="H16" i="14"/>
  <c r="J16" i="14" s="1"/>
  <c r="H15" i="14"/>
  <c r="J15" i="14" s="1"/>
  <c r="I12" i="34"/>
  <c r="H15" i="10"/>
  <c r="H13" i="10"/>
  <c r="I16" i="14"/>
  <c r="K16" i="14" s="1"/>
  <c r="I15" i="14"/>
  <c r="K15" i="14" s="1"/>
  <c r="I14" i="14"/>
  <c r="K14" i="14" s="1"/>
  <c r="J13" i="34" l="1"/>
  <c r="L13" i="34" s="1"/>
  <c r="E21" i="14"/>
  <c r="E22" i="14" s="1"/>
  <c r="L15" i="14"/>
  <c r="N15" i="14" s="1"/>
  <c r="Q15" i="14" s="1"/>
  <c r="P16" i="10"/>
  <c r="J16" i="10"/>
  <c r="L16" i="10" s="1"/>
  <c r="N16" i="10" s="1"/>
  <c r="AL16" i="10" s="1"/>
  <c r="P15" i="10"/>
  <c r="J15" i="10"/>
  <c r="L15" i="10" s="1"/>
  <c r="N15" i="10" s="1"/>
  <c r="AL15" i="10" s="1"/>
  <c r="P13" i="10"/>
  <c r="L16" i="14"/>
  <c r="N16" i="14" s="1"/>
  <c r="Q16" i="14" s="1"/>
  <c r="N12" i="12"/>
  <c r="J12" i="34"/>
  <c r="AB3" i="14"/>
  <c r="J14" i="14"/>
  <c r="L14" i="14" s="1"/>
  <c r="N14" i="14" s="1"/>
  <c r="Q14" i="14" s="1"/>
  <c r="N13" i="12"/>
  <c r="Y15" i="14"/>
  <c r="AC3" i="14"/>
  <c r="AC3" i="10"/>
  <c r="E20" i="10" l="1"/>
  <c r="AA3" i="10" s="1"/>
  <c r="J13" i="10"/>
  <c r="J13" i="12"/>
  <c r="L13" i="12" s="1"/>
  <c r="L12" i="34"/>
  <c r="E30" i="14"/>
  <c r="E31" i="14" s="1"/>
  <c r="I22" i="12"/>
  <c r="AD3" i="14"/>
  <c r="J20" i="12"/>
  <c r="L13" i="10" l="1"/>
  <c r="N13" i="10" s="1"/>
  <c r="AL13" i="10" s="1"/>
  <c r="AM7" i="10" s="1"/>
  <c r="AN7" i="10" s="1"/>
  <c r="AO7" i="10" s="1"/>
  <c r="AB3" i="10"/>
  <c r="W16" i="14"/>
  <c r="W15" i="14"/>
  <c r="W14" i="14"/>
  <c r="J12" i="12"/>
  <c r="L12" i="12" s="1"/>
  <c r="E35" i="14"/>
  <c r="AI3" i="14" s="1"/>
  <c r="L20" i="12"/>
  <c r="E33" i="14"/>
  <c r="E21" i="10" l="1"/>
  <c r="AI3" i="10" s="1"/>
  <c r="AH3" i="14"/>
  <c r="R22" i="12"/>
  <c r="AF3" i="14"/>
  <c r="E32" i="14" l="1" a="1"/>
  <c r="E32" i="14" s="1"/>
  <c r="Y34" i="14" s="1"/>
  <c r="J22"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10" authorId="0" shapeId="0" xr:uid="{00000000-0006-0000-0100-000001000000}">
      <text>
        <r>
          <rPr>
            <sz val="10"/>
            <color indexed="81"/>
            <rFont val="Arial"/>
            <family val="2"/>
          </rPr>
          <t>From ASHRAE 62.1, Table 6-1</t>
        </r>
      </text>
    </comment>
    <comment ref="E10" authorId="0" shapeId="0" xr:uid="{00000000-0006-0000-0100-000002000000}">
      <text>
        <r>
          <rPr>
            <sz val="10"/>
            <color indexed="81"/>
            <rFont val="Arial"/>
            <family val="2"/>
          </rPr>
          <t>Net occupiable floor area of the ventilation zone</t>
        </r>
      </text>
    </comment>
    <comment ref="F10" authorId="0" shapeId="0" xr:uid="{00000000-0006-0000-0100-000003000000}">
      <text>
        <r>
          <rPr>
            <sz val="10"/>
            <color indexed="81"/>
            <rFont val="Arial"/>
            <family val="2"/>
          </rPr>
          <t>The default value should only be used if the expected occupancy is unknown.</t>
        </r>
      </text>
    </comment>
    <comment ref="G10" authorId="0" shapeId="0" xr:uid="{00000000-0006-0000-0100-000004000000}">
      <text>
        <r>
          <rPr>
            <sz val="10"/>
            <color indexed="81"/>
            <rFont val="Arial"/>
            <family val="2"/>
          </rPr>
          <t>Number of people in the ventilation zone during typical usage</t>
        </r>
      </text>
    </comment>
    <comment ref="H10" authorId="0" shapeId="0" xr:uid="{00000000-0006-0000-0100-000005000000}">
      <text>
        <r>
          <rPr>
            <sz val="10"/>
            <color indexed="81"/>
            <rFont val="Arial"/>
            <family val="2"/>
          </rPr>
          <t>Outdoor airflow rate required per person as determined from ASHRAE 62.1, Table 6-1</t>
        </r>
      </text>
    </comment>
    <comment ref="I10" authorId="0" shapeId="0" xr:uid="{00000000-0006-0000-0100-000006000000}">
      <text>
        <r>
          <rPr>
            <sz val="10"/>
            <color indexed="81"/>
            <rFont val="Arial"/>
            <family val="2"/>
          </rPr>
          <t>Outdoor airflow rate required per unit as determined from ASHRAE 62.1, Table 6-1</t>
        </r>
      </text>
    </comment>
    <comment ref="M10" authorId="0" shapeId="0" xr:uid="{00000000-0006-0000-0100-000007000000}">
      <text>
        <r>
          <rPr>
            <sz val="10"/>
            <color indexed="81"/>
            <rFont val="Arial"/>
            <family val="2"/>
          </rPr>
          <t>Measure of effectiveness of supply air distribution to the breathing zone.  
See Instructions tab for recommended Ez values.</t>
        </r>
      </text>
    </comment>
    <comment ref="O10" authorId="0" shapeId="0" xr:uid="{00000000-0006-0000-0100-000008000000}">
      <text>
        <r>
          <rPr>
            <sz val="10"/>
            <color indexed="81"/>
            <rFont val="Arial"/>
            <family val="2"/>
          </rPr>
          <t>Expected discharge (supply) airflow to the zone that includes primary airflow and secondary recirculated airflow</t>
        </r>
      </text>
    </comment>
    <comment ref="P10" authorId="0" shapeId="0" xr:uid="{00000000-0006-0000-0100-000009000000}">
      <text>
        <r>
          <rPr>
            <sz val="10"/>
            <color indexed="81"/>
            <rFont val="Arial"/>
            <family val="2"/>
          </rPr>
          <t xml:space="preserve">Primary airflow rate to the ventilation zone from the air handler, including outdoor air and recirculated air. (for VAV-system design purposes, Vpz is lowest zone primary airflow value expected at the design condition analyzed.) </t>
        </r>
      </text>
    </comment>
    <comment ref="R10" authorId="0" shapeId="0" xr:uid="{00000000-0006-0000-0100-00000A000000}">
      <text>
        <r>
          <rPr>
            <sz val="10"/>
            <color indexed="81"/>
            <rFont val="Arial"/>
            <family val="2"/>
          </rPr>
          <t>Fraction of secondary recirculated air to the zone that is representative of average system return air rather than air directly recirculated from the zone.
See Instructions tab for recommended Er values.</t>
        </r>
      </text>
    </comment>
    <comment ref="S10" authorId="0" shapeId="0" xr:uid="{00000000-0006-0000-0100-00000B000000}">
      <text>
        <r>
          <rPr>
            <sz val="10"/>
            <color indexed="81"/>
            <rFont val="Arial"/>
            <family val="2"/>
          </rPr>
          <t xml:space="preserve">The fraction of primary air in the discharge air to the ventilation zone (Vpz / Vdz). For single-zone and single-supply systems, Ep is 1.0. </t>
        </r>
      </text>
    </comment>
    <comment ref="B20" authorId="0" shapeId="0" xr:uid="{00000000-0006-0000-0100-00000C000000}">
      <text>
        <r>
          <rPr>
            <sz val="10"/>
            <color indexed="81"/>
            <rFont val="Arial"/>
            <family val="2"/>
          </rPr>
          <t>Simultaneous number of occupants in the area served by the ventilation system</t>
        </r>
      </text>
    </comment>
    <comment ref="B23" authorId="0" shapeId="0" xr:uid="{00000000-0006-0000-0100-00000D000000}">
      <text>
        <r>
          <rPr>
            <sz val="10"/>
            <color indexed="81"/>
            <rFont val="Arial"/>
            <family val="2"/>
          </rPr>
          <t>Area-weighted Rp value</t>
        </r>
      </text>
    </comment>
    <comment ref="B24" authorId="0" shapeId="0" xr:uid="{00000000-0006-0000-0100-00000E000000}">
      <text>
        <r>
          <rPr>
            <sz val="10"/>
            <color indexed="81"/>
            <rFont val="Arial"/>
            <family val="2"/>
          </rPr>
          <t>People-weighted Ra value</t>
        </r>
      </text>
    </comment>
    <comment ref="B26" authorId="0" shapeId="0" xr:uid="{00000000-0006-0000-0100-00000F000000}">
      <text>
        <r>
          <rPr>
            <sz val="10"/>
            <color indexed="81"/>
            <rFont val="Arial"/>
            <family val="2"/>
          </rPr>
          <t xml:space="preserve">Highest expected system primary airflow at the condition analyzed (usually less than ∑Vpz, since primary airflow seldom peaks simultaneously in all VAV zones) </t>
        </r>
      </text>
    </comment>
    <comment ref="B30" authorId="0" shapeId="0" xr:uid="{00000000-0006-0000-0100-000010000000}">
      <text>
        <r>
          <rPr>
            <sz val="10"/>
            <color indexed="81"/>
            <rFont val="Arial"/>
            <family val="2"/>
          </rPr>
          <t>Largest value of Zpz</t>
        </r>
      </text>
    </comment>
    <comment ref="B31" authorId="0" shapeId="0" xr:uid="{00000000-0006-0000-0100-000011000000}">
      <text>
        <r>
          <rPr>
            <sz val="10"/>
            <color indexed="81"/>
            <rFont val="Arial"/>
            <family val="2"/>
          </rPr>
          <t>Lookup from ASHRAE 62.1, Table 6-3</t>
        </r>
      </text>
    </comment>
    <comment ref="B32" authorId="0" shapeId="0" xr:uid="{00000000-0006-0000-0100-000012000000}">
      <text>
        <r>
          <rPr>
            <sz val="10"/>
            <color indexed="81"/>
            <rFont val="Arial"/>
            <family val="2"/>
          </rPr>
          <t>Lowest zone ventilation efficiency among all zones served by the air handler</t>
        </r>
      </text>
    </comment>
    <comment ref="B33" authorId="0" shapeId="0" xr:uid="{00000000-0006-0000-0100-000013000000}">
      <text>
        <r>
          <rPr>
            <sz val="10"/>
            <color indexed="81"/>
            <rFont val="Arial"/>
            <family val="2"/>
          </rPr>
          <t>If using Table 6-3 to determine Ev, the critical zone is the zone with largest value of Zpz. 
Otherwise, the critical zone is the zone with minimum Evz value.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9" authorId="0" shapeId="0" xr:uid="{00000000-0006-0000-0200-000001000000}">
      <text>
        <r>
          <rPr>
            <sz val="10"/>
            <color indexed="81"/>
            <rFont val="Arial"/>
            <family val="2"/>
          </rPr>
          <t>Lookup from ASHRAE 62.1, Table 6-1</t>
        </r>
      </text>
    </comment>
    <comment ref="E9" authorId="0" shapeId="0" xr:uid="{00000000-0006-0000-0200-000002000000}">
      <text>
        <r>
          <rPr>
            <sz val="10"/>
            <color indexed="81"/>
            <rFont val="Arial"/>
            <family val="2"/>
          </rPr>
          <t>Net occupiable floor area of the ventilation zone</t>
        </r>
      </text>
    </comment>
    <comment ref="F9" authorId="0" shapeId="0" xr:uid="{00000000-0006-0000-0200-000003000000}">
      <text>
        <r>
          <rPr>
            <sz val="10"/>
            <color indexed="81"/>
            <rFont val="Arial"/>
            <family val="2"/>
          </rPr>
          <t>The default value should only be used if the expected occupancy is unknown.</t>
        </r>
      </text>
    </comment>
    <comment ref="G9" authorId="0" shapeId="0" xr:uid="{00000000-0006-0000-0200-000004000000}">
      <text>
        <r>
          <rPr>
            <sz val="10"/>
            <color indexed="81"/>
            <rFont val="Arial"/>
            <family val="2"/>
          </rPr>
          <t>Number of people in the ventilation zone during typical usage</t>
        </r>
      </text>
    </comment>
    <comment ref="H9" authorId="0" shapeId="0" xr:uid="{00000000-0006-0000-0200-000005000000}">
      <text>
        <r>
          <rPr>
            <sz val="10"/>
            <color indexed="81"/>
            <rFont val="Arial"/>
            <family val="2"/>
          </rPr>
          <t>Outdoor airflow rate required per person as determined from ASHRAE 62.1, Table 6-1</t>
        </r>
      </text>
    </comment>
    <comment ref="I9" authorId="0" shapeId="0" xr:uid="{00000000-0006-0000-0200-000006000000}">
      <text>
        <r>
          <rPr>
            <sz val="10"/>
            <color indexed="81"/>
            <rFont val="Arial"/>
            <family val="2"/>
          </rPr>
          <t>Outdoor airflow rate required per unit as determined from ASHRAE 62.1, Table 6-1</t>
        </r>
      </text>
    </comment>
    <comment ref="M9" authorId="0" shapeId="0" xr:uid="{00000000-0006-0000-0200-000007000000}">
      <text>
        <r>
          <rPr>
            <sz val="10"/>
            <color indexed="81"/>
            <rFont val="Arial"/>
            <family val="2"/>
          </rPr>
          <t>Measure of effectiveness of supply air distribution to the breathing zone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7" authorId="0" shapeId="0" xr:uid="{00000000-0006-0000-0300-000001000000}">
      <text>
        <r>
          <rPr>
            <sz val="10"/>
            <color indexed="81"/>
            <rFont val="Arial"/>
            <family val="2"/>
          </rPr>
          <t>Lookup from ASHRAE 62.1, Table 6-1</t>
        </r>
      </text>
    </comment>
    <comment ref="E7" authorId="0" shapeId="0" xr:uid="{00000000-0006-0000-0300-000002000000}">
      <text>
        <r>
          <rPr>
            <sz val="10"/>
            <color indexed="81"/>
            <rFont val="Arial"/>
            <family val="2"/>
          </rPr>
          <t>Net occupiable floor area of the ventilation zone</t>
        </r>
      </text>
    </comment>
    <comment ref="F7" authorId="0" shapeId="0" xr:uid="{00000000-0006-0000-0300-000003000000}">
      <text>
        <r>
          <rPr>
            <sz val="10"/>
            <color indexed="81"/>
            <rFont val="Arial"/>
            <family val="2"/>
          </rPr>
          <t>The default value should only be used if the expected occupancy is unknown.</t>
        </r>
      </text>
    </comment>
    <comment ref="G7" authorId="0" shapeId="0" xr:uid="{00000000-0006-0000-0300-000004000000}">
      <text>
        <r>
          <rPr>
            <sz val="10"/>
            <color indexed="81"/>
            <rFont val="Arial"/>
            <family val="2"/>
          </rPr>
          <t>Number of people in the ventilation zone during typical usage</t>
        </r>
      </text>
    </comment>
    <comment ref="H7" authorId="0" shapeId="0" xr:uid="{00000000-0006-0000-0300-000005000000}">
      <text>
        <r>
          <rPr>
            <sz val="10"/>
            <color indexed="81"/>
            <rFont val="Arial"/>
            <family val="2"/>
          </rPr>
          <t>Outdoor airflow rate required per person as determined from ASHRAE 62.1, Table 6-1</t>
        </r>
      </text>
    </comment>
    <comment ref="I7" authorId="0" shapeId="0" xr:uid="{00000000-0006-0000-0300-000006000000}">
      <text>
        <r>
          <rPr>
            <sz val="10"/>
            <color indexed="81"/>
            <rFont val="Arial"/>
            <family val="2"/>
          </rPr>
          <t>Outdoor airflow rate required per unit as determined from ASHRAE 62.1, Table 6-1</t>
        </r>
      </text>
    </comment>
    <comment ref="K7" authorId="0" shapeId="0" xr:uid="{00000000-0006-0000-0300-000007000000}">
      <text>
        <r>
          <rPr>
            <sz val="10"/>
            <color indexed="81"/>
            <rFont val="Arial"/>
            <family val="2"/>
          </rPr>
          <t>Measure of effectiveness of supply air distribution to the breathing zone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10" authorId="0" shapeId="0" xr:uid="{17C0540F-97A3-4A26-BF15-3F99B944C983}">
      <text>
        <r>
          <rPr>
            <sz val="10"/>
            <color indexed="81"/>
            <rFont val="Arial"/>
            <family val="2"/>
          </rPr>
          <t>From ASHRAE 62.1, Table 6-1</t>
        </r>
      </text>
    </comment>
    <comment ref="E10" authorId="0" shapeId="0" xr:uid="{1C9A569B-47E3-4C64-BCE2-681739BA3581}">
      <text>
        <r>
          <rPr>
            <sz val="10"/>
            <color indexed="81"/>
            <rFont val="Arial"/>
            <family val="2"/>
          </rPr>
          <t>Net occupiable floor area of the ventilation zone</t>
        </r>
      </text>
    </comment>
    <comment ref="F10" authorId="0" shapeId="0" xr:uid="{C312444A-812A-4950-8C90-0D094A13A55B}">
      <text>
        <r>
          <rPr>
            <sz val="10"/>
            <color indexed="81"/>
            <rFont val="Arial"/>
            <family val="2"/>
          </rPr>
          <t>The default value should only be used if the expected occupancy is unknown.</t>
        </r>
      </text>
    </comment>
    <comment ref="G10" authorId="0" shapeId="0" xr:uid="{DDAE8D97-61D1-4538-974A-9FC0B9BAA14D}">
      <text>
        <r>
          <rPr>
            <sz val="10"/>
            <color indexed="81"/>
            <rFont val="Arial"/>
            <family val="2"/>
          </rPr>
          <t>Number of people in the ventilation zone during typical usage</t>
        </r>
      </text>
    </comment>
    <comment ref="H10" authorId="0" shapeId="0" xr:uid="{3BCCB6D3-EAAD-43E5-9723-236E6CD1F704}">
      <text>
        <r>
          <rPr>
            <sz val="10"/>
            <color indexed="81"/>
            <rFont val="Arial"/>
            <family val="2"/>
          </rPr>
          <t>Outdoor airflow rate required per person as determined from ASHRAE 62.1, Table 6-1</t>
        </r>
      </text>
    </comment>
    <comment ref="I10" authorId="0" shapeId="0" xr:uid="{200F0FE9-0886-4581-8FDE-08249BF015F6}">
      <text>
        <r>
          <rPr>
            <sz val="10"/>
            <color indexed="81"/>
            <rFont val="Arial"/>
            <family val="2"/>
          </rPr>
          <t>Outdoor airflow rate required per unit as determined from ASHRAE 62.1, Table 6-1</t>
        </r>
      </text>
    </comment>
    <comment ref="M10" authorId="0" shapeId="0" xr:uid="{0B3DA6E4-3320-49AC-BDA7-F5B08B7C40D3}">
      <text>
        <r>
          <rPr>
            <sz val="10"/>
            <color indexed="81"/>
            <rFont val="Arial"/>
            <family val="2"/>
          </rPr>
          <t>Measure of effectiveness of supply air distribution to the breathing zone.  
See Instructions tab for recommended Ez values.</t>
        </r>
      </text>
    </comment>
    <comment ref="O10" authorId="0" shapeId="0" xr:uid="{1112158E-187E-4ABD-866E-EDFE7946A110}">
      <text>
        <r>
          <rPr>
            <sz val="10"/>
            <color indexed="81"/>
            <rFont val="Arial"/>
            <family val="2"/>
          </rPr>
          <t>Expected discharge (supply) airflow to the zone that includes primary airflow and secondary recirculated airflow</t>
        </r>
      </text>
    </comment>
    <comment ref="P10" authorId="0" shapeId="0" xr:uid="{33C8EAD4-24D1-4E84-BF60-40E5ED9C72F5}">
      <text>
        <r>
          <rPr>
            <sz val="10"/>
            <color indexed="81"/>
            <rFont val="Arial"/>
            <family val="2"/>
          </rPr>
          <t xml:space="preserve">Primary airflow rate to the ventilation zone from the air handler, including outdoor air and recirculated air. (for VAV-system design purposes, Vpz is lowest zone primary airflow value expected at the design condition analyzed.) </t>
        </r>
      </text>
    </comment>
    <comment ref="R10" authorId="0" shapeId="0" xr:uid="{FD0F9F89-4FF3-4B18-9215-2B79DB4179AE}">
      <text>
        <r>
          <rPr>
            <sz val="10"/>
            <color indexed="81"/>
            <rFont val="Arial"/>
            <family val="2"/>
          </rPr>
          <t>Fraction of secondary recirculated air to the zone that is representative of average system return air rather than air directly recirculated from the zone.
See Instructions tab for recommended Er values.</t>
        </r>
      </text>
    </comment>
    <comment ref="S10" authorId="0" shapeId="0" xr:uid="{162DE905-FA2E-4D63-83CF-15A76898E913}">
      <text>
        <r>
          <rPr>
            <sz val="10"/>
            <color indexed="81"/>
            <rFont val="Arial"/>
            <family val="2"/>
          </rPr>
          <t xml:space="preserve">The fraction of primary air in the discharge air to the ventilation zone (Vpz / Vdz). For single-zone and single-supply systems, Ep is 1.0. </t>
        </r>
      </text>
    </comment>
    <comment ref="B167" authorId="0" shapeId="0" xr:uid="{50777F4A-7D93-42C1-AE16-DCDC69E66BD3}">
      <text>
        <r>
          <rPr>
            <sz val="10"/>
            <color indexed="81"/>
            <rFont val="Arial"/>
            <family val="2"/>
          </rPr>
          <t>Simultaneous number of occupants in the area served by the ventilation system</t>
        </r>
      </text>
    </comment>
    <comment ref="B170" authorId="0" shapeId="0" xr:uid="{8CB65C68-B04C-4C08-9528-CB0777C51C23}">
      <text>
        <r>
          <rPr>
            <sz val="10"/>
            <color indexed="81"/>
            <rFont val="Arial"/>
            <family val="2"/>
          </rPr>
          <t>Area-weighted Rp value</t>
        </r>
      </text>
    </comment>
    <comment ref="B171" authorId="0" shapeId="0" xr:uid="{4A06EFD1-0359-4050-8522-B19B316A565D}">
      <text>
        <r>
          <rPr>
            <sz val="10"/>
            <color indexed="81"/>
            <rFont val="Arial"/>
            <family val="2"/>
          </rPr>
          <t>People-weighted Ra value</t>
        </r>
      </text>
    </comment>
    <comment ref="B173" authorId="0" shapeId="0" xr:uid="{AB120B3A-4357-4331-B0F8-47E734124FD4}">
      <text>
        <r>
          <rPr>
            <sz val="10"/>
            <color indexed="81"/>
            <rFont val="Arial"/>
            <family val="2"/>
          </rPr>
          <t xml:space="preserve">Highest expected system primary airflow at the condition analyzed (usually less than ∑Vpz, since primary airflow seldom peaks simultaneously in all VAV zones) </t>
        </r>
      </text>
    </comment>
    <comment ref="B177" authorId="0" shapeId="0" xr:uid="{C6669623-C295-4DD0-B25D-9128F28DD1F2}">
      <text>
        <r>
          <rPr>
            <sz val="10"/>
            <color indexed="81"/>
            <rFont val="Arial"/>
            <family val="2"/>
          </rPr>
          <t>Largest value of Zpz</t>
        </r>
      </text>
    </comment>
    <comment ref="B178" authorId="0" shapeId="0" xr:uid="{B5007D48-7FAB-450C-815D-DB2D47785E0B}">
      <text>
        <r>
          <rPr>
            <sz val="10"/>
            <color indexed="81"/>
            <rFont val="Arial"/>
            <family val="2"/>
          </rPr>
          <t>Lookup from ASHRAE 62.1, Table 6-3</t>
        </r>
      </text>
    </comment>
    <comment ref="B179" authorId="0" shapeId="0" xr:uid="{BC7B4A40-32BD-46DA-9D35-A5DC7DA0C246}">
      <text>
        <r>
          <rPr>
            <sz val="10"/>
            <color indexed="81"/>
            <rFont val="Arial"/>
            <family val="2"/>
          </rPr>
          <t>Lowest zone ventilation efficiency among all zones served by the air handler</t>
        </r>
      </text>
    </comment>
    <comment ref="B180" authorId="0" shapeId="0" xr:uid="{B3BEB9A6-19E4-45C4-AE6D-FD7ACE200B2C}">
      <text>
        <r>
          <rPr>
            <sz val="10"/>
            <color indexed="81"/>
            <rFont val="Arial"/>
            <family val="2"/>
          </rPr>
          <t>If using Table 6-3 to determine Ev, the critical zone is the zone with largest value of Zpz. 
Otherwise, the critical zone is the zone with minimum Evz value.</t>
        </r>
      </text>
    </comment>
  </commentList>
</comments>
</file>

<file path=xl/sharedStrings.xml><?xml version="1.0" encoding="utf-8"?>
<sst xmlns="http://schemas.openxmlformats.org/spreadsheetml/2006/main" count="1225" uniqueCount="450">
  <si>
    <t>Az</t>
  </si>
  <si>
    <t>Rp</t>
  </si>
  <si>
    <t>Ra</t>
  </si>
  <si>
    <t>Pz</t>
  </si>
  <si>
    <t>Vbz</t>
  </si>
  <si>
    <t>Vdz</t>
  </si>
  <si>
    <t>Vpz</t>
  </si>
  <si>
    <t>Voz</t>
  </si>
  <si>
    <t>Fa</t>
  </si>
  <si>
    <t>Fb</t>
  </si>
  <si>
    <t>Fc</t>
  </si>
  <si>
    <t>Zpz</t>
  </si>
  <si>
    <t>Voz / Vpz</t>
  </si>
  <si>
    <t>Ep</t>
  </si>
  <si>
    <t>Ep + (1-Ep) Er</t>
  </si>
  <si>
    <t>Vbz / Ez</t>
  </si>
  <si>
    <t>Evz</t>
  </si>
  <si>
    <t>Er</t>
  </si>
  <si>
    <t>Ez</t>
  </si>
  <si>
    <t>Xs</t>
  </si>
  <si>
    <t>Vou / Vps</t>
  </si>
  <si>
    <t>Vou</t>
  </si>
  <si>
    <t>Vps</t>
  </si>
  <si>
    <t>D</t>
  </si>
  <si>
    <t>System population</t>
  </si>
  <si>
    <t>Ps</t>
  </si>
  <si>
    <t>sum of Pz</t>
  </si>
  <si>
    <t>Ra Az</t>
  </si>
  <si>
    <t>Rp Pz</t>
  </si>
  <si>
    <t>∑Pz</t>
  </si>
  <si>
    <t>Max Zpz</t>
  </si>
  <si>
    <t>Are you using default value for zone population?</t>
  </si>
  <si>
    <t>Occupant diversity</t>
  </si>
  <si>
    <t>Uncorrected outdoor air intake</t>
  </si>
  <si>
    <t>Average outdoor air fraction</t>
  </si>
  <si>
    <t>people</t>
  </si>
  <si>
    <t>Ps / ∑Pz</t>
  </si>
  <si>
    <t>Step 1.</t>
  </si>
  <si>
    <t>Enable macros.</t>
  </si>
  <si>
    <t>Note: This calculator is for use with Excel for Mac 2011 and Excel 2007 or later.</t>
  </si>
  <si>
    <r>
      <rPr>
        <b/>
        <sz val="10"/>
        <rFont val="Arial"/>
        <family val="2"/>
      </rPr>
      <t>Step 2.</t>
    </r>
    <r>
      <rPr>
        <sz val="10"/>
        <rFont val="Arial"/>
        <family val="2"/>
      </rPr>
      <t xml:space="preserve"> </t>
    </r>
  </si>
  <si>
    <t>Unit of measurement</t>
  </si>
  <si>
    <t>Note: This selection must match the unit of measurement chosen during project registration.</t>
  </si>
  <si>
    <t>Upload the completed spreadsheet to LEED Online.  Complete any related summary fields in the LEED credit form with the results of the calculator.</t>
  </si>
  <si>
    <t>Assumptions</t>
  </si>
  <si>
    <t xml:space="preserve">Occupancy 
Category </t>
  </si>
  <si>
    <t>People OA Rate</t>
  </si>
  <si>
    <t>Area OA Rate</t>
  </si>
  <si>
    <t>Cell</t>
  </si>
  <si>
    <t xml:space="preserve">Day room </t>
  </si>
  <si>
    <t>Guard stations</t>
  </si>
  <si>
    <t xml:space="preserve">Booking / waiting </t>
  </si>
  <si>
    <t>Daycare (through age 4)</t>
  </si>
  <si>
    <t>Classrooms (ages 5-8)</t>
  </si>
  <si>
    <t>Classrooms (age 9 plus)</t>
  </si>
  <si>
    <t xml:space="preserve">Lecture classroom </t>
  </si>
  <si>
    <t>Lecture hall (fixed seats)</t>
  </si>
  <si>
    <t xml:space="preserve">Art classroom </t>
  </si>
  <si>
    <t>Science laboratories</t>
  </si>
  <si>
    <t xml:space="preserve">Wood / metal shop </t>
  </si>
  <si>
    <t>Computer lab</t>
  </si>
  <si>
    <t xml:space="preserve">Media center </t>
  </si>
  <si>
    <t xml:space="preserve">Music / theater/ dance </t>
  </si>
  <si>
    <t xml:space="preserve">Multi-use assembly </t>
  </si>
  <si>
    <t xml:space="preserve">Restaurant dining rooms </t>
  </si>
  <si>
    <t xml:space="preserve">Cafeteria / fast food dining </t>
  </si>
  <si>
    <t xml:space="preserve">Bars / cocktail lounges </t>
  </si>
  <si>
    <t xml:space="preserve">Conference / meeting </t>
  </si>
  <si>
    <t xml:space="preserve">Corridors </t>
  </si>
  <si>
    <t xml:space="preserve">Storage rooms </t>
  </si>
  <si>
    <t xml:space="preserve">Bedroom / living room </t>
  </si>
  <si>
    <t xml:space="preserve">Barracks sleeping areas </t>
  </si>
  <si>
    <t xml:space="preserve">Lobbies / prefunction </t>
  </si>
  <si>
    <t xml:space="preserve">Multi-purpose assembly </t>
  </si>
  <si>
    <t xml:space="preserve">Office space </t>
  </si>
  <si>
    <t xml:space="preserve">Reception areas </t>
  </si>
  <si>
    <t xml:space="preserve">Telephone / data entry </t>
  </si>
  <si>
    <t xml:space="preserve">Main entry lobbies </t>
  </si>
  <si>
    <t xml:space="preserve">Bank vault / safe deposit </t>
  </si>
  <si>
    <t xml:space="preserve">Computer (not printing ) </t>
  </si>
  <si>
    <t>Pharmacy (prep, area)</t>
  </si>
  <si>
    <t>Photo studios</t>
  </si>
  <si>
    <t xml:space="preserve">Shipping / receiving </t>
  </si>
  <si>
    <t>Transportation waiting</t>
  </si>
  <si>
    <t>Warehouses</t>
  </si>
  <si>
    <t xml:space="preserve">Auditorium seating area </t>
  </si>
  <si>
    <t>Places of religious worship</t>
  </si>
  <si>
    <t xml:space="preserve">Courtrooms </t>
  </si>
  <si>
    <t xml:space="preserve">Legislative chambers </t>
  </si>
  <si>
    <t xml:space="preserve">Libraries </t>
  </si>
  <si>
    <t xml:space="preserve">Lobbies </t>
  </si>
  <si>
    <t>Museums (children's)</t>
  </si>
  <si>
    <t xml:space="preserve">Museums / galleries </t>
  </si>
  <si>
    <t xml:space="preserve">Sales </t>
  </si>
  <si>
    <t xml:space="preserve">Mall common areas </t>
  </si>
  <si>
    <t xml:space="preserve">Beauty and nail salon </t>
  </si>
  <si>
    <t xml:space="preserve">Supermarket </t>
  </si>
  <si>
    <t xml:space="preserve">Coin-operated laundries </t>
  </si>
  <si>
    <t>Sports arena (play area)</t>
  </si>
  <si>
    <t>Gym, stadium (play area)</t>
  </si>
  <si>
    <t xml:space="preserve">Spectator areas </t>
  </si>
  <si>
    <t>Swimming (pool &amp; deck)</t>
  </si>
  <si>
    <t xml:space="preserve">Disco / dance floors </t>
  </si>
  <si>
    <t>Health club / aerobics</t>
  </si>
  <si>
    <t>Health club / weight</t>
  </si>
  <si>
    <t>Bowling alley (seating)</t>
  </si>
  <si>
    <t xml:space="preserve">Gambling casinos </t>
  </si>
  <si>
    <t xml:space="preserve">Game arcades </t>
  </si>
  <si>
    <t>UOM</t>
  </si>
  <si>
    <t>U.S. Green Building Council</t>
  </si>
  <si>
    <t>1 = IP, 2 = SI</t>
  </si>
  <si>
    <t>All Rights Reserved</t>
  </si>
  <si>
    <t xml:space="preserve">Complete the ventilation rate procedure (VRP) for each ventilation system, at the specified analysis condition.  </t>
  </si>
  <si>
    <t>CS</t>
  </si>
  <si>
    <t>CSFR</t>
  </si>
  <si>
    <t>CSCRH</t>
  </si>
  <si>
    <t xml:space="preserve">CSCRW </t>
  </si>
  <si>
    <t>Ceiling supply of warm air less than 15°F (8°C) above space temperature and ceiling return provided that the 150 fpm (0.8 m/s) supply air jet reaches to within 4.5 ft (1.4 m) of floor level. Note: For lower velocity supply air, Ez = 0.8.</t>
  </si>
  <si>
    <t xml:space="preserve">FSCR </t>
  </si>
  <si>
    <t>FSCR-LV</t>
  </si>
  <si>
    <t>FSFR</t>
  </si>
  <si>
    <t>FSCRW</t>
  </si>
  <si>
    <t>MUEX</t>
  </si>
  <si>
    <t>MU-EX</t>
  </si>
  <si>
    <t>Ev</t>
  </si>
  <si>
    <t>&lt;=0.15</t>
  </si>
  <si>
    <t>&lt;=0.25</t>
  </si>
  <si>
    <t>&lt;=0.35</t>
  </si>
  <si>
    <t>&lt;=0.45</t>
  </si>
  <si>
    <t>&lt;=0.55</t>
  </si>
  <si>
    <t>&gt;0.55</t>
  </si>
  <si>
    <t>&lt;1.0</t>
  </si>
  <si>
    <t>(cfm per person)</t>
  </si>
  <si>
    <t>System name and number</t>
  </si>
  <si>
    <t>Summary</t>
  </si>
  <si>
    <t xml:space="preserve">Note: All information on this tab is READ-ONLY. To edit, see the previous tab(s). </t>
  </si>
  <si>
    <t>A</t>
  </si>
  <si>
    <t>Condition
Analyzed</t>
  </si>
  <si>
    <t>System Name 
and Number</t>
  </si>
  <si>
    <t>System 
Type</t>
  </si>
  <si>
    <t>Single Zone</t>
  </si>
  <si>
    <t>Occupancy
Category</t>
  </si>
  <si>
    <t>(l/s per person)</t>
  </si>
  <si>
    <t xml:space="preserve">(cfm per sq ft) </t>
  </si>
  <si>
    <t>(l/s per sq m)</t>
  </si>
  <si>
    <t>Zone
Population</t>
  </si>
  <si>
    <t>Default Pz</t>
  </si>
  <si>
    <t>Occupant Density</t>
  </si>
  <si>
    <t>Zone Air Distribution Effectiveness</t>
  </si>
  <si>
    <t>University / college laboratories</t>
  </si>
  <si>
    <t>Kitchen (cooking)</t>
  </si>
  <si>
    <t>Coffee stations</t>
  </si>
  <si>
    <t>Occupiable storage rooms for liquids or gels</t>
  </si>
  <si>
    <t>Laundry rooms, central</t>
  </si>
  <si>
    <t>Laundry rooms within dwelling units</t>
  </si>
  <si>
    <t>Occupiable storage rooms for dry materials</t>
  </si>
  <si>
    <t>Banks or bank lobbies</t>
  </si>
  <si>
    <t>Sorting, packing, light assembly</t>
  </si>
  <si>
    <t>Telephone closets</t>
  </si>
  <si>
    <t>Common corridors</t>
  </si>
  <si>
    <t xml:space="preserve">Stages, studios </t>
  </si>
  <si>
    <t>(people)</t>
  </si>
  <si>
    <t>Zone Secondary Recirculation Fraction</t>
  </si>
  <si>
    <t>Supply Air Fraction</t>
  </si>
  <si>
    <t>Zone Primary Air Fraction</t>
  </si>
  <si>
    <t>Mixed Air Fraction</t>
  </si>
  <si>
    <t>Outdoor Air Fraction</t>
  </si>
  <si>
    <t>Primary Outdoor Air Fraction</t>
  </si>
  <si>
    <t>Sum of zone population</t>
  </si>
  <si>
    <t/>
  </si>
  <si>
    <t>Ventilation efficiency</t>
  </si>
  <si>
    <t>B</t>
  </si>
  <si>
    <r>
      <rPr>
        <b/>
        <sz val="10"/>
        <rFont val="Arial"/>
        <family val="2"/>
      </rPr>
      <t>Step 3.</t>
    </r>
    <r>
      <rPr>
        <sz val="10"/>
        <rFont val="Arial"/>
        <family val="2"/>
      </rPr>
      <t xml:space="preserve"> </t>
    </r>
  </si>
  <si>
    <t>LEED</t>
  </si>
  <si>
    <t>1 = 2009, 2 = v4</t>
  </si>
  <si>
    <t>Break rooms (general)</t>
  </si>
  <si>
    <t>Breakrooms (office buildings)</t>
  </si>
  <si>
    <t>Dwelling unit - studio or one-bedroom</t>
  </si>
  <si>
    <t>Dwelling unit - two-bedroom</t>
  </si>
  <si>
    <t>Dwelling unit - three-bedroom</t>
  </si>
  <si>
    <t>Pet shops (animal areas)</t>
  </si>
  <si>
    <t>Pet shops</t>
  </si>
  <si>
    <t>9= 2009 only
4=v4 only
B= Both</t>
  </si>
  <si>
    <t>Barber shop</t>
  </si>
  <si>
    <t>LEED2009</t>
  </si>
  <si>
    <t>LEEDv4</t>
  </si>
  <si>
    <t>Barbershop</t>
  </si>
  <si>
    <t>Zone Air Distribution Effectiveness (Ez)</t>
  </si>
  <si>
    <t>Ceiling supply of cool air</t>
  </si>
  <si>
    <t>Ceiling supply of warm air and floor return</t>
  </si>
  <si>
    <t>Ceiling supply of warm air 15°F (8°C) or more above space temperature and ceiling return</t>
  </si>
  <si>
    <t>Floor supply of warm air and floor return</t>
  </si>
  <si>
    <t>Floor supply of warm air and ceiling return</t>
  </si>
  <si>
    <t>Code</t>
  </si>
  <si>
    <t>Air Distribution Configuration</t>
  </si>
  <si>
    <t>System Ventilation Efficiency (Ev)</t>
  </si>
  <si>
    <t>Zone Secondary Recirculation Fraction (Er)</t>
  </si>
  <si>
    <t>Plenum return systems with secondary recirculation (e.g., fan-powered VAV with plenum return)</t>
  </si>
  <si>
    <t>Systems with system-level recirculation (e.g., dual-fan dual-duct systems with ducted return)</t>
  </si>
  <si>
    <t>Other system types</t>
  </si>
  <si>
    <t>Ducted return systems with secondary recirculation (e.g., fan-powered VAV with ducted return)</t>
  </si>
  <si>
    <t>System Configuration</t>
  </si>
  <si>
    <t>Occupancy</t>
  </si>
  <si>
    <t>LEED rating system version</t>
  </si>
  <si>
    <t>Note: This selection must match project registration.</t>
  </si>
  <si>
    <t>Step 6.</t>
  </si>
  <si>
    <t xml:space="preserve">People 
Outdoor 
Air Rate </t>
  </si>
  <si>
    <t>Area
Outdoor
Air Rate</t>
  </si>
  <si>
    <t>Breathing 
Zone Outdoor Airflow
(people related portion)</t>
  </si>
  <si>
    <t>Breathing
Zone Outdoor
Airflow
(area related portion)</t>
  </si>
  <si>
    <t>Breathing 
Zone Outdoor Airflow</t>
  </si>
  <si>
    <t>Zone Name 
and Number</t>
  </si>
  <si>
    <t>Zone 
Population</t>
  </si>
  <si>
    <t>System area</t>
  </si>
  <si>
    <t>As</t>
  </si>
  <si>
    <t>All zones are included in the VRP calculation</t>
  </si>
  <si>
    <r>
      <t xml:space="preserve">Condition analyzed </t>
    </r>
    <r>
      <rPr>
        <sz val="10"/>
        <color theme="0" tint="-0.499984740745262"/>
        <rFont val="Arial"/>
        <family val="2"/>
      </rPr>
      <t>(impacts Ez, Vdz, Vpz and Vps)</t>
    </r>
  </si>
  <si>
    <t>People outdoor air rate for system</t>
  </si>
  <si>
    <t>Rp system</t>
  </si>
  <si>
    <t>Area outdoor air rate for system</t>
  </si>
  <si>
    <t>Ra system</t>
  </si>
  <si>
    <t>System primary airflow (at condition analyzed)</t>
  </si>
  <si>
    <t>Which method from ASHRAE 62.1 is being used to determine system ventilation efficiency (Ev)?</t>
  </si>
  <si>
    <t>Minimum (Evz)</t>
  </si>
  <si>
    <t>Critical zone</t>
  </si>
  <si>
    <t>Zone name for critical zone lookup</t>
  </si>
  <si>
    <t>Vou / Ev</t>
  </si>
  <si>
    <t>Outdoor air intake flow provided (measured or design)</t>
  </si>
  <si>
    <t>Max (Zpz)</t>
  </si>
  <si>
    <t>Zone ventilation efficiency (Table 6-3)</t>
  </si>
  <si>
    <t>Show simple view</t>
  </si>
  <si>
    <t>all zones</t>
  </si>
  <si>
    <t>critical zones</t>
  </si>
  <si>
    <t>Not other</t>
  </si>
  <si>
    <t>Other</t>
  </si>
  <si>
    <t>Zone 
Discharge Airflow</t>
  </si>
  <si>
    <t>Zone 
Primary 
Airflow</t>
  </si>
  <si>
    <t>Vot</t>
  </si>
  <si>
    <r>
      <t>Zone 
Floor Area</t>
    </r>
    <r>
      <rPr>
        <i/>
        <sz val="10"/>
        <rFont val="Arial"/>
        <family val="2"/>
      </rPr>
      <t/>
    </r>
  </si>
  <si>
    <r>
      <t>People 
Outdoor 
Air Rate</t>
    </r>
    <r>
      <rPr>
        <i/>
        <sz val="10"/>
        <rFont val="Arial"/>
        <family val="2"/>
      </rPr>
      <t/>
    </r>
  </si>
  <si>
    <r>
      <t>Area
Outdoor
Air Rate</t>
    </r>
    <r>
      <rPr>
        <i/>
        <sz val="10"/>
        <rFont val="Arial"/>
        <family val="2"/>
      </rPr>
      <t/>
    </r>
  </si>
  <si>
    <r>
      <t>Breathing 
Zone Outdoor Airflow</t>
    </r>
    <r>
      <rPr>
        <i/>
        <sz val="10"/>
        <rFont val="Arial"/>
        <family val="2"/>
      </rPr>
      <t/>
    </r>
  </si>
  <si>
    <r>
      <t>Zone Air Distribution Effectiveness</t>
    </r>
    <r>
      <rPr>
        <i/>
        <sz val="10"/>
        <rFont val="Arial"/>
        <family val="2"/>
      </rPr>
      <t/>
    </r>
  </si>
  <si>
    <t>People
Outdoor 
Air Rate</t>
  </si>
  <si>
    <t>Area
Outdoor 
Air Rate</t>
  </si>
  <si>
    <t>Zone 
Outdoor 
Airflow</t>
  </si>
  <si>
    <t>∑Az</t>
  </si>
  <si>
    <t>∑Voz</t>
  </si>
  <si>
    <t>Floor area</t>
  </si>
  <si>
    <t>Population</t>
  </si>
  <si>
    <t>Required Vot</t>
  </si>
  <si>
    <t>Actual</t>
  </si>
  <si>
    <t>&gt;&gt;&gt;&gt;</t>
  </si>
  <si>
    <t>Totals</t>
  </si>
  <si>
    <t>Outdoor Air Intake Flow Provided
(measured or design)</t>
  </si>
  <si>
    <t>All zones included 
in the VRP calculation?</t>
  </si>
  <si>
    <t>Zone 
Floor Area</t>
  </si>
  <si>
    <t>Occupancy 
Category</t>
  </si>
  <si>
    <t>Source: ASHRAE 62.1, Section A1.2.2</t>
  </si>
  <si>
    <r>
      <rPr>
        <b/>
        <sz val="10"/>
        <rFont val="Arial"/>
        <family val="2"/>
      </rPr>
      <t>Step 4.</t>
    </r>
    <r>
      <rPr>
        <sz val="10"/>
        <rFont val="Arial"/>
        <family val="2"/>
      </rPr>
      <t xml:space="preserve"> </t>
    </r>
  </si>
  <si>
    <t>Increase breathing zone outdoor airflow by 30%?</t>
  </si>
  <si>
    <t>Credit</t>
  </si>
  <si>
    <t>1 = yes, 2 = no</t>
  </si>
  <si>
    <t>Step 7.</t>
  </si>
  <si>
    <t>Ez average</t>
  </si>
  <si>
    <t>n/a</t>
  </si>
  <si>
    <r>
      <t xml:space="preserve">Occupant Diversity
</t>
    </r>
    <r>
      <rPr>
        <i/>
        <sz val="10"/>
        <color theme="1" tint="0.14999847407452621"/>
        <rFont val="Arial"/>
        <family val="2"/>
      </rPr>
      <t>D</t>
    </r>
  </si>
  <si>
    <r>
      <t xml:space="preserve">Average 
Zone Air Distribution Effectiveness
</t>
    </r>
    <r>
      <rPr>
        <i/>
        <sz val="10"/>
        <color theme="1" tint="0.14999847407452621"/>
        <rFont val="Arial"/>
        <family val="2"/>
      </rPr>
      <t>Ez average</t>
    </r>
  </si>
  <si>
    <r>
      <t xml:space="preserve">Ventilation
Efficiency
</t>
    </r>
    <r>
      <rPr>
        <i/>
        <sz val="10"/>
        <color theme="1" tint="0.14999847407452621"/>
        <rFont val="Arial"/>
        <family val="2"/>
      </rPr>
      <t>Ev</t>
    </r>
  </si>
  <si>
    <r>
      <t xml:space="preserve">Average Outdoor Air Fraction
</t>
    </r>
    <r>
      <rPr>
        <i/>
        <sz val="10"/>
        <color theme="1" tint="0.14999847407452621"/>
        <rFont val="Arial"/>
        <family val="2"/>
      </rPr>
      <t>Xs</t>
    </r>
  </si>
  <si>
    <t>System 
Floor Area</t>
  </si>
  <si>
    <t>System Population</t>
  </si>
  <si>
    <t>People 
Outdoor 
Air Rate for System</t>
  </si>
  <si>
    <t>Area
Outdoor
Air Rate for System</t>
  </si>
  <si>
    <t>System 
Primary Airflow 
(at condition analyzed)</t>
  </si>
  <si>
    <r>
      <t>Condition
Analyzed</t>
    </r>
    <r>
      <rPr>
        <sz val="10"/>
        <color theme="1" tint="0.14999847407452621"/>
        <rFont val="Arial"/>
        <family val="2"/>
      </rPr>
      <t xml:space="preserve"> (impacts Ez)</t>
    </r>
  </si>
  <si>
    <t>Add a tab for each multiple zone and 100% outdoor air system in the project using the "Add System" button below.</t>
  </si>
  <si>
    <r>
      <rPr>
        <b/>
        <sz val="10"/>
        <rFont val="Arial"/>
        <family val="2"/>
      </rPr>
      <t>Step 5.</t>
    </r>
    <r>
      <rPr>
        <sz val="10"/>
        <rFont val="Arial"/>
        <family val="2"/>
      </rPr>
      <t xml:space="preserve"> </t>
    </r>
  </si>
  <si>
    <t>Does the project include single zone systems?</t>
  </si>
  <si>
    <t>Multiple Zone and 100% Outdoor Air Systems</t>
  </si>
  <si>
    <t>Single Zone Systems</t>
  </si>
  <si>
    <t>HIDDEN SPACER FOR SUMMARY</t>
  </si>
  <si>
    <t>Multiple Zone Systems</t>
  </si>
  <si>
    <t>100% Outdoor Air Systems</t>
  </si>
  <si>
    <t>C</t>
  </si>
  <si>
    <t>Single zone</t>
  </si>
  <si>
    <t>Multiple zone</t>
  </si>
  <si>
    <t>100% Outdoor air</t>
  </si>
  <si>
    <t>Nondefault
Pz</t>
  </si>
  <si>
    <t>Electrical equipment rooms</t>
  </si>
  <si>
    <t>Elevator machine rooms</t>
  </si>
  <si>
    <t>Daycare sickroom</t>
  </si>
  <si>
    <t>Dwelling unit</t>
  </si>
  <si>
    <t>General manufacturing (excludes heavy 
industrial and processes using chemicals)</t>
  </si>
  <si>
    <t>1-(1-Ez)(1-Er)(1-Ep)</t>
  </si>
  <si>
    <t>Zone Ventilation Efficiency (Appendix A)</t>
  </si>
  <si>
    <t>(Fa+Xs * Fb-Zpz *Ep*Fc)/Fa</t>
  </si>
  <si>
    <t>max Zpz</t>
  </si>
  <si>
    <t>Outdoor air 
intake flow provided 
meets or exceeds Vot?</t>
  </si>
  <si>
    <r>
      <t xml:space="preserve">Condition analyzed </t>
    </r>
    <r>
      <rPr>
        <sz val="10"/>
        <color theme="1" tint="0.499984740745262"/>
        <rFont val="Arial"/>
        <family val="2"/>
      </rPr>
      <t>(impacts Ez)</t>
    </r>
  </si>
  <si>
    <t>Vpz/Vdz</t>
  </si>
  <si>
    <t>Zone 
Outdoor 
Airflow Provided</t>
  </si>
  <si>
    <t>(measured or design)</t>
  </si>
  <si>
    <t>Zone outdoor airflow provided meets or exceeds Voz for all zones?</t>
  </si>
  <si>
    <t>Default Occupant Density                 (#/1000 sq ft or #/100 sq m)</t>
  </si>
  <si>
    <r>
      <t xml:space="preserve">Minimum Indoor Air Quality Performance Calculator
</t>
    </r>
    <r>
      <rPr>
        <sz val="9"/>
        <rFont val="Arial"/>
        <family val="2"/>
      </rPr>
      <t>LEED 2009, v4, and v4.1 EQ Prerequisite Minimum Indoor Air Quality Performance</t>
    </r>
  </si>
  <si>
    <t>v04</t>
  </si>
  <si>
    <t>Freezer and refrigerated spaces &lt;50 deg F</t>
  </si>
  <si>
    <t>LEEDv4.1</t>
  </si>
  <si>
    <r>
      <t xml:space="preserve">Copyright </t>
    </r>
    <r>
      <rPr>
        <sz val="9"/>
        <color theme="0" tint="-0.499984740745262"/>
        <rFont val="Arial"/>
        <family val="2"/>
      </rPr>
      <t>©</t>
    </r>
    <r>
      <rPr>
        <sz val="8"/>
        <color theme="0" tint="-0.499984740745262"/>
        <rFont val="Arial"/>
        <family val="2"/>
      </rPr>
      <t xml:space="preserve"> 2019</t>
    </r>
  </si>
  <si>
    <t>IP units</t>
  </si>
  <si>
    <t>No</t>
  </si>
  <si>
    <t>Last updated 11/14/2019</t>
  </si>
  <si>
    <t>LEED v4</t>
  </si>
  <si>
    <t>Heating</t>
  </si>
  <si>
    <t>Yes</t>
  </si>
  <si>
    <t>4534 - VR</t>
  </si>
  <si>
    <t>5511 - RA</t>
  </si>
  <si>
    <t>2500A - Lobby</t>
  </si>
  <si>
    <t>2500 - Corridor</t>
  </si>
  <si>
    <t>250001 - Reception</t>
  </si>
  <si>
    <t>2500B - Corridor</t>
  </si>
  <si>
    <t>2502 - Reception</t>
  </si>
  <si>
    <t>2502A - Vestibule</t>
  </si>
  <si>
    <t>2502AA - Experiment Room Child Dev</t>
  </si>
  <si>
    <t>2502AB - Control Room Child Dev</t>
  </si>
  <si>
    <t>2502B - Office</t>
  </si>
  <si>
    <t>2502C - Experiment Room Daily Act</t>
  </si>
  <si>
    <t>2504 - Lactation Room</t>
  </si>
  <si>
    <t>2506 - Reception Clinical Treat</t>
  </si>
  <si>
    <t>2506A - Control Room Run Rooms</t>
  </si>
  <si>
    <t>2506AA - Run Room</t>
  </si>
  <si>
    <t>2506B - Run Room</t>
  </si>
  <si>
    <t>2506AC - Run Room</t>
  </si>
  <si>
    <t>2506AD - Run Room</t>
  </si>
  <si>
    <t>2506AE - Run Room</t>
  </si>
  <si>
    <t>2506AF - Run Room</t>
  </si>
  <si>
    <t>2506AG - Run Room</t>
  </si>
  <si>
    <t>2506AH - Run Room</t>
  </si>
  <si>
    <t>2510 - Shell Space</t>
  </si>
  <si>
    <t>2514 - Record Storage</t>
  </si>
  <si>
    <t>2516 - RA Data Analysis Mood</t>
  </si>
  <si>
    <t>2522 - Experiment Room Treadmill</t>
  </si>
  <si>
    <t>2526 - Clinical Treatment</t>
  </si>
  <si>
    <t>2528 - Clinical Treatment</t>
  </si>
  <si>
    <t>2530 - Clinical Treatment</t>
  </si>
  <si>
    <t>2532 - Phlebotomy</t>
  </si>
  <si>
    <t>2534 - Clinical Treatment</t>
  </si>
  <si>
    <t>2536 - Freezer Cold Storage Room</t>
  </si>
  <si>
    <t>2538 - Clinical Treatment</t>
  </si>
  <si>
    <t>2540 - Clinical Treatment</t>
  </si>
  <si>
    <t>2542 - Clinical Treatment</t>
  </si>
  <si>
    <t>2544 - Experiment Room Sleep Study</t>
  </si>
  <si>
    <t>2546 - Control Room Sleep Study</t>
  </si>
  <si>
    <t>2546A - Run Room EEG Eye Tracker</t>
  </si>
  <si>
    <t>2546B - Run Room EEG Eye Tracker</t>
  </si>
  <si>
    <t>2546C - Run Room EEG Eye Tracker</t>
  </si>
  <si>
    <t>3200A - Copier</t>
  </si>
  <si>
    <t>3500 - Corridor</t>
  </si>
  <si>
    <t>3500A - Corridor</t>
  </si>
  <si>
    <t>3500B - Corridor</t>
  </si>
  <si>
    <t>3508 - RA Masters</t>
  </si>
  <si>
    <t>3510 - Shell Space</t>
  </si>
  <si>
    <t>3512 - Undergrad</t>
  </si>
  <si>
    <t>3512A - Private Office</t>
  </si>
  <si>
    <t>3514 - Faculty Office</t>
  </si>
  <si>
    <t>3516 - Grants Coordinator</t>
  </si>
  <si>
    <t>3518 - Faculty Office</t>
  </si>
  <si>
    <t>3520 - Full Time Staff</t>
  </si>
  <si>
    <t>3522 - Full Time Staff</t>
  </si>
  <si>
    <t>3524 - Faculty Office</t>
  </si>
  <si>
    <t>3526 - Faculty Office</t>
  </si>
  <si>
    <t>3528 - Full Time RA Office</t>
  </si>
  <si>
    <t>3530 - Full Time RA Office</t>
  </si>
  <si>
    <t>3532 - Faculty Office</t>
  </si>
  <si>
    <t>3534 - Director Office</t>
  </si>
  <si>
    <t>3536 - Break Out Room</t>
  </si>
  <si>
    <t>3538 - Open Office</t>
  </si>
  <si>
    <t>3540 - Conf Break Room</t>
  </si>
  <si>
    <t>3542 - RA Office</t>
  </si>
  <si>
    <t>3546 - Shared Post Doc</t>
  </si>
  <si>
    <t>3548 - Lab Mgr</t>
  </si>
  <si>
    <t>3550 - Undergrad Office</t>
  </si>
  <si>
    <t>3550A - Private Office</t>
  </si>
  <si>
    <t>3552 - Volunteer RA Workspace</t>
  </si>
  <si>
    <t>3552A - Private Office</t>
  </si>
  <si>
    <t>3556 - Shared Post Doc</t>
  </si>
  <si>
    <t>3558 - Lab Mgr</t>
  </si>
  <si>
    <t>3560 - Conference Room</t>
  </si>
  <si>
    <t>4432 - General Office</t>
  </si>
  <si>
    <t>4500 - Corridor</t>
  </si>
  <si>
    <t>4500A - Corridor</t>
  </si>
  <si>
    <t>4510 - Shell Space</t>
  </si>
  <si>
    <t>4512 - Corridor</t>
  </si>
  <si>
    <t>4512A - Control</t>
  </si>
  <si>
    <t>4512AA - Psycho Physics Lab</t>
  </si>
  <si>
    <t>4512B - Meeting Area</t>
  </si>
  <si>
    <t>4512C - Sr Research Scientist</t>
  </si>
  <si>
    <t>4512D - General Office</t>
  </si>
  <si>
    <t>4512E - General Office</t>
  </si>
  <si>
    <t>4512F - Optical Lab</t>
  </si>
  <si>
    <t>4514 - Control</t>
  </si>
  <si>
    <t>4514A - Sound Booth</t>
  </si>
  <si>
    <t>4516 - Psycho Physics</t>
  </si>
  <si>
    <t>4518 - Shared RA Office</t>
  </si>
  <si>
    <t>4518A - General Office</t>
  </si>
  <si>
    <t>4518B - General Office</t>
  </si>
  <si>
    <t>4522 - Psycho Physics Room</t>
  </si>
  <si>
    <t>4526 - Field Measure</t>
  </si>
  <si>
    <t>4526 - VR Eye Tracker</t>
  </si>
  <si>
    <t>4528 - Planar Rig</t>
  </si>
  <si>
    <t>4530 - 3D Window Rig</t>
  </si>
  <si>
    <t>4536 - Shared Grad Student</t>
  </si>
  <si>
    <t>4538 - General Office</t>
  </si>
  <si>
    <t>4540 - General Office</t>
  </si>
  <si>
    <t>4542 - Big Rig</t>
  </si>
  <si>
    <t>4544 - Fabrication</t>
  </si>
  <si>
    <t>4544A - General Office</t>
  </si>
  <si>
    <t>4546 - Open Work Space</t>
  </si>
  <si>
    <t>5500 - Corridor</t>
  </si>
  <si>
    <t>5500A - Corridor</t>
  </si>
  <si>
    <t>5500B - Corridor</t>
  </si>
  <si>
    <t>5507 - Break Area</t>
  </si>
  <si>
    <t>5509 - Lab</t>
  </si>
  <si>
    <t>5510 - Shell</t>
  </si>
  <si>
    <t>5513 - Copy Area</t>
  </si>
  <si>
    <t>5514 - Shell</t>
  </si>
  <si>
    <t>5516 - Faculty Post Doc RA</t>
  </si>
  <si>
    <t>5518 - Computational Room</t>
  </si>
  <si>
    <t>5520 - Faculty Post Doc RA</t>
  </si>
  <si>
    <t>5522 - General Office</t>
  </si>
  <si>
    <t>5524 - Faculty Post Doc RA</t>
  </si>
  <si>
    <t>5526 - Work Break Room</t>
  </si>
  <si>
    <t>5528 - Faculty Post Doc RA</t>
  </si>
  <si>
    <t>5530 - Faculty Post Doc RA</t>
  </si>
  <si>
    <t>5532 - Faculty Post Doc RA</t>
  </si>
  <si>
    <t>5536 - General Office</t>
  </si>
  <si>
    <t>5540 - General Office</t>
  </si>
  <si>
    <t>5542 - Control</t>
  </si>
  <si>
    <t>5542C - General Office</t>
  </si>
  <si>
    <t>5542D - General Office</t>
  </si>
  <si>
    <t>5542E - General Office</t>
  </si>
  <si>
    <t>5544 - Faculty Office</t>
  </si>
  <si>
    <t>5544D - General Office</t>
  </si>
  <si>
    <t>5546 - Faculty Office</t>
  </si>
  <si>
    <t>5550 - Conference Area</t>
  </si>
  <si>
    <t>5552 - Directors Office</t>
  </si>
  <si>
    <t>5556 - Staff Office</t>
  </si>
  <si>
    <t>5558 - Lounge Collaboration</t>
  </si>
  <si>
    <t>Table 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</si>
</sst>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0.0"/>
    <numFmt numFmtId="165" formatCode="0.000"/>
    <numFmt numFmtId="166" formatCode="#,##0.0"/>
    <numFmt numFmtId="167" formatCode="0;\-0;;@"/>
    <numFmt numFmtId="168" formatCode="#,##0.00;[Red]#,##0.00"/>
    <numFmt numFmtId="169" formatCode="0.00;[Red]0.00"/>
    <numFmt numFmtId="170" formatCode="#,##0;[Red]#,##0"/>
  </numFmts>
  <fonts count="51"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sz val="11"/>
      <name val="Calibri"/>
      <family val="2"/>
      <scheme val="minor"/>
    </font>
    <font>
      <sz val="10"/>
      <color theme="1"/>
      <name val="Arial"/>
      <family val="2"/>
    </font>
    <font>
      <b/>
      <sz val="10"/>
      <color theme="1"/>
      <name val="Arial"/>
      <family val="2"/>
    </font>
    <font>
      <sz val="8"/>
      <color theme="1"/>
      <name val="Arial"/>
      <family val="2"/>
    </font>
    <font>
      <sz val="8"/>
      <name val="Arial"/>
      <family val="2"/>
    </font>
    <font>
      <sz val="10"/>
      <color rgb="FFFF0000"/>
      <name val="Arial"/>
      <family val="2"/>
    </font>
    <font>
      <sz val="10"/>
      <name val="Arial"/>
      <family val="2"/>
    </font>
    <font>
      <sz val="9"/>
      <color theme="1"/>
      <name val="Arial"/>
      <family val="2"/>
    </font>
    <font>
      <sz val="9"/>
      <name val="Arial"/>
      <family val="2"/>
    </font>
    <font>
      <b/>
      <sz val="10"/>
      <name val="Arial"/>
      <family val="2"/>
    </font>
    <font>
      <sz val="8"/>
      <color theme="2" tint="-0.499984740745262"/>
      <name val="Arial"/>
      <family val="2"/>
    </font>
    <font>
      <b/>
      <sz val="8"/>
      <color theme="2" tint="-0.499984740745262"/>
      <name val="Arial"/>
      <family val="2"/>
    </font>
    <font>
      <sz val="10"/>
      <color theme="0"/>
      <name val="Arial"/>
      <family val="2"/>
    </font>
    <font>
      <b/>
      <sz val="10"/>
      <color theme="0"/>
      <name val="Arial"/>
      <family val="2"/>
    </font>
    <font>
      <sz val="16"/>
      <name val="Arial Black"/>
      <family val="2"/>
    </font>
    <font>
      <sz val="16"/>
      <color theme="0"/>
      <name val="Arial Black"/>
      <family val="2"/>
    </font>
    <font>
      <i/>
      <sz val="9"/>
      <color theme="1"/>
      <name val="Arial"/>
      <family val="2"/>
    </font>
    <font>
      <sz val="10"/>
      <color rgb="FF000000"/>
      <name val="Arial"/>
      <family val="2"/>
    </font>
    <font>
      <sz val="16"/>
      <color theme="1"/>
      <name val="Arial Black"/>
      <family val="2"/>
    </font>
    <font>
      <b/>
      <sz val="16"/>
      <name val="Arial"/>
      <family val="2"/>
    </font>
    <font>
      <i/>
      <sz val="10"/>
      <name val="Arial"/>
      <family val="2"/>
    </font>
    <font>
      <sz val="8"/>
      <color theme="0" tint="-0.499984740745262"/>
      <name val="Arial"/>
      <family val="2"/>
    </font>
    <font>
      <sz val="9"/>
      <color theme="0" tint="-0.499984740745262"/>
      <name val="Arial"/>
      <family val="2"/>
    </font>
    <font>
      <b/>
      <sz val="9"/>
      <name val="Arial"/>
      <family val="2"/>
    </font>
    <font>
      <i/>
      <sz val="10"/>
      <color theme="1"/>
      <name val="Arial"/>
      <family val="2"/>
    </font>
    <font>
      <sz val="10"/>
      <color theme="0" tint="-0.499984740745262"/>
      <name val="Arial"/>
      <family val="2"/>
    </font>
    <font>
      <sz val="10"/>
      <color theme="1" tint="0.249977111117893"/>
      <name val="Arial"/>
      <family val="2"/>
    </font>
    <font>
      <i/>
      <sz val="10"/>
      <color theme="1" tint="0.249977111117893"/>
      <name val="Arial"/>
      <family val="2"/>
    </font>
    <font>
      <sz val="10"/>
      <color theme="1" tint="0.14999847407452621"/>
      <name val="Arial"/>
      <family val="2"/>
    </font>
    <font>
      <i/>
      <sz val="10"/>
      <color theme="1" tint="0.14999847407452621"/>
      <name val="Arial"/>
      <family val="2"/>
    </font>
    <font>
      <sz val="9"/>
      <color theme="1" tint="0.14999847407452621"/>
      <name val="Arial"/>
      <family val="2"/>
    </font>
    <font>
      <sz val="11"/>
      <color theme="0"/>
      <name val="Calibri"/>
      <family val="2"/>
      <scheme val="minor"/>
    </font>
    <font>
      <i/>
      <sz val="10"/>
      <color theme="0"/>
      <name val="Arial"/>
      <family val="2"/>
    </font>
    <font>
      <sz val="10"/>
      <color indexed="81"/>
      <name val="Arial"/>
      <family val="2"/>
    </font>
    <font>
      <sz val="11"/>
      <color theme="1" tint="0.14999847407452621"/>
      <name val="Calibri"/>
      <family val="2"/>
      <scheme val="minor"/>
    </font>
    <font>
      <sz val="8"/>
      <color theme="1" tint="0.14999847407452621"/>
      <name val="Arial"/>
      <family val="2"/>
    </font>
    <font>
      <sz val="10"/>
      <color theme="0" tint="-4.9989318521683403E-2"/>
      <name val="Arial"/>
      <family val="2"/>
    </font>
    <font>
      <i/>
      <sz val="10"/>
      <color theme="0" tint="-4.9989318521683403E-2"/>
      <name val="Arial"/>
      <family val="2"/>
    </font>
    <font>
      <sz val="10"/>
      <color theme="1" tint="0.499984740745262"/>
      <name val="Arial"/>
      <family val="2"/>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00ADD0"/>
        <bgColor indexed="64"/>
      </patternFill>
    </fill>
  </fills>
  <borders count="84">
    <border>
      <left/>
      <right/>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right style="thin">
        <color theme="0" tint="-0.24994659260841701"/>
      </right>
      <top style="thin">
        <color theme="0" tint="-0.24994659260841701"/>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top/>
      <bottom style="thin">
        <color theme="0" tint="-0.34998626667073579"/>
      </bottom>
      <diagonal/>
    </border>
    <border>
      <left/>
      <right/>
      <top style="thin">
        <color theme="0" tint="-0.499984740745262"/>
      </top>
      <bottom style="thin">
        <color theme="0" tint="-0.24994659260841701"/>
      </bottom>
      <diagonal/>
    </border>
    <border>
      <left/>
      <right/>
      <top style="thin">
        <color theme="0" tint="-0.24994659260841701"/>
      </top>
      <bottom style="thin">
        <color theme="0" tint="-0.499984740745262"/>
      </bottom>
      <diagonal/>
    </border>
    <border>
      <left style="thin">
        <color theme="0" tint="-0.24994659260841701"/>
      </left>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499984740745262"/>
      </top>
      <bottom/>
      <diagonal/>
    </border>
    <border>
      <left style="thin">
        <color theme="0" tint="-0.499984740745262"/>
      </left>
      <right style="thin">
        <color theme="0" tint="-0.24994659260841701"/>
      </right>
      <top/>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style="thin">
        <color theme="0" tint="-0.499984740745262"/>
      </top>
      <bottom/>
      <diagonal/>
    </border>
    <border>
      <left/>
      <right style="thin">
        <color theme="0" tint="-0.24994659260841701"/>
      </right>
      <top style="thin">
        <color theme="0" tint="-0.499984740745262"/>
      </top>
      <bottom/>
      <diagonal/>
    </border>
    <border>
      <left style="thin">
        <color theme="0" tint="-0.24994659260841701"/>
      </left>
      <right style="thin">
        <color theme="0" tint="-0.499984740745262"/>
      </right>
      <top style="thin">
        <color theme="0" tint="-0.499984740745262"/>
      </top>
      <bottom/>
      <diagonal/>
    </border>
    <border>
      <left style="thin">
        <color theme="0" tint="-0.24994659260841701"/>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style="thin">
        <color theme="0" tint="-0.24994659260841701"/>
      </right>
      <top/>
      <bottom style="thin">
        <color theme="0" tint="-0.499984740745262"/>
      </bottom>
      <diagonal/>
    </border>
    <border>
      <left style="thin">
        <color theme="0" tint="-0.24994659260841701"/>
      </left>
      <right style="thin">
        <color theme="0" tint="-0.499984740745262"/>
      </right>
      <top/>
      <bottom style="thin">
        <color theme="0" tint="-0.499984740745262"/>
      </bottom>
      <diagonal/>
    </border>
    <border>
      <left style="thin">
        <color theme="0" tint="-0.24994659260841701"/>
      </left>
      <right/>
      <top/>
      <bottom style="thin">
        <color theme="0" tint="-0.499984740745262"/>
      </bottom>
      <diagonal/>
    </border>
    <border>
      <left/>
      <right style="thin">
        <color theme="0" tint="-0.24994659260841701"/>
      </right>
      <top/>
      <bottom style="thin">
        <color theme="0" tint="-0.499984740745262"/>
      </bottom>
      <diagonal/>
    </border>
    <border>
      <left/>
      <right style="thin">
        <color theme="0" tint="-0.499984740745262"/>
      </right>
      <top style="thin">
        <color theme="0" tint="-0.499984740745262"/>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right style="thin">
        <color theme="0" tint="-0.24994659260841701"/>
      </right>
      <top/>
      <bottom style="thin">
        <color theme="0" tint="-0.24994659260841701"/>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style="thin">
        <color theme="0" tint="-0.499984740745262"/>
      </right>
      <top style="thin">
        <color theme="0" tint="-0.24994659260841701"/>
      </top>
      <bottom/>
      <diagonal/>
    </border>
    <border>
      <left style="thin">
        <color theme="0" tint="-0.24994659260841701"/>
      </left>
      <right/>
      <top style="thin">
        <color theme="0" tint="-0.24994659260841701"/>
      </top>
      <bottom/>
      <diagonal/>
    </border>
    <border>
      <left style="thin">
        <color theme="0" tint="-0.499984740745262"/>
      </left>
      <right style="thin">
        <color theme="0" tint="-0.499984740745262"/>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right style="thin">
        <color theme="0" tint="-0.499984740745262"/>
      </right>
      <top style="thin">
        <color theme="0" tint="-0.24994659260841701"/>
      </top>
      <bottom style="thin">
        <color theme="0" tint="-0.24994659260841701"/>
      </bottom>
      <diagonal/>
    </border>
    <border>
      <left/>
      <right style="thin">
        <color indexed="64"/>
      </right>
      <top/>
      <bottom/>
      <diagonal/>
    </border>
    <border>
      <left/>
      <right style="thin">
        <color indexed="64"/>
      </right>
      <top/>
      <bottom style="thin">
        <color theme="0" tint="-0.34998626667073579"/>
      </bottom>
      <diagonal/>
    </border>
    <border>
      <left style="thin">
        <color theme="0" tint="-0.34998626667073579"/>
      </left>
      <right/>
      <top/>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24994659260841701"/>
      </left>
      <right/>
      <top style="thin">
        <color theme="0" tint="-0.499984740745262"/>
      </top>
      <bottom style="thin">
        <color theme="0" tint="-0.499984740745262"/>
      </bottom>
      <diagonal/>
    </border>
    <border>
      <left style="thin">
        <color theme="0" tint="-0.34998626667073579"/>
      </left>
      <right style="thin">
        <color theme="0" tint="-0.499984740745262"/>
      </right>
      <top style="thin">
        <color theme="0" tint="-0.499984740745262"/>
      </top>
      <bottom/>
      <diagonal/>
    </border>
    <border>
      <left style="thin">
        <color theme="0" tint="-0.34998626667073579"/>
      </left>
      <right style="thin">
        <color theme="0" tint="-0.499984740745262"/>
      </right>
      <top/>
      <bottom/>
      <diagonal/>
    </border>
    <border>
      <left style="thin">
        <color theme="0" tint="-0.34998626667073579"/>
      </left>
      <right style="thin">
        <color theme="0" tint="-0.499984740745262"/>
      </right>
      <top/>
      <bottom style="thin">
        <color theme="0" tint="-0.34998626667073579"/>
      </bottom>
      <diagonal/>
    </border>
    <border>
      <left style="thin">
        <color theme="0" tint="-0.34998626667073579"/>
      </left>
      <right style="thin">
        <color theme="0" tint="-0.499984740745262"/>
      </right>
      <top style="thin">
        <color theme="0" tint="-0.34998626667073579"/>
      </top>
      <bottom style="thin">
        <color theme="0" tint="-0.24994659260841701"/>
      </bottom>
      <diagonal/>
    </border>
    <border>
      <left style="thin">
        <color theme="0" tint="-0.24994659260841701"/>
      </left>
      <right/>
      <top/>
      <bottom style="thin">
        <color theme="0" tint="-0.24994659260841701"/>
      </bottom>
      <diagonal/>
    </border>
    <border>
      <left/>
      <right/>
      <top style="thin">
        <color indexed="64"/>
      </top>
      <bottom/>
      <diagonal/>
    </border>
    <border>
      <left/>
      <right style="thin">
        <color indexed="64"/>
      </right>
      <top style="thin">
        <color indexed="64"/>
      </top>
      <bottom/>
      <diagonal/>
    </border>
  </borders>
  <cellStyleXfs count="8">
    <xf numFmtId="0" fontId="0" fillId="0" borderId="0"/>
    <xf numFmtId="43" fontId="11" fillId="0" borderId="0" applyFont="0" applyFill="0" applyBorder="0" applyAlignment="0" applyProtection="0"/>
    <xf numFmtId="0" fontId="18" fillId="0" borderId="0"/>
    <xf numFmtId="0" fontId="18" fillId="0" borderId="0"/>
    <xf numFmtId="0" fontId="11" fillId="0" borderId="0"/>
    <xf numFmtId="0" fontId="11" fillId="0" borderId="0"/>
    <xf numFmtId="0" fontId="18" fillId="0" borderId="0"/>
    <xf numFmtId="9" fontId="18" fillId="0" borderId="0" applyFont="0" applyFill="0" applyBorder="0" applyAlignment="0" applyProtection="0"/>
  </cellStyleXfs>
  <cellXfs count="540">
    <xf numFmtId="0" fontId="0" fillId="0" borderId="0" xfId="0"/>
    <xf numFmtId="0" fontId="13" fillId="3" borderId="0" xfId="2" applyFont="1" applyFill="1"/>
    <xf numFmtId="0" fontId="13" fillId="3" borderId="0" xfId="0" applyFont="1" applyFill="1"/>
    <xf numFmtId="0" fontId="24" fillId="3" borderId="0" xfId="0" applyFont="1" applyFill="1"/>
    <xf numFmtId="0" fontId="13" fillId="0" borderId="1" xfId="0" applyFont="1" applyBorder="1"/>
    <xf numFmtId="0" fontId="25" fillId="0" borderId="2" xfId="0" applyFont="1" applyBorder="1"/>
    <xf numFmtId="0" fontId="13" fillId="0" borderId="2" xfId="0" applyFont="1" applyBorder="1"/>
    <xf numFmtId="0" fontId="25" fillId="0" borderId="3" xfId="0" applyFont="1" applyBorder="1"/>
    <xf numFmtId="0" fontId="13" fillId="0" borderId="4" xfId="2" applyFont="1" applyBorder="1"/>
    <xf numFmtId="0" fontId="13" fillId="0" borderId="0" xfId="2" applyFont="1"/>
    <xf numFmtId="0" fontId="13" fillId="0" borderId="0" xfId="0" applyFont="1"/>
    <xf numFmtId="0" fontId="21" fillId="0" borderId="0" xfId="0" applyFont="1" applyAlignment="1">
      <alignment horizontal="left" vertical="top" wrapText="1"/>
    </xf>
    <xf numFmtId="0" fontId="14" fillId="0" borderId="0" xfId="2" applyFont="1" applyAlignment="1">
      <alignment horizontal="left" vertical="top"/>
    </xf>
    <xf numFmtId="0" fontId="21" fillId="0" borderId="0" xfId="2" applyFont="1" applyAlignment="1">
      <alignment vertical="center"/>
    </xf>
    <xf numFmtId="0" fontId="13" fillId="0" borderId="0" xfId="2" applyFont="1" applyAlignment="1">
      <alignment vertical="center"/>
    </xf>
    <xf numFmtId="0" fontId="21" fillId="0" borderId="0" xfId="0" applyFont="1" applyAlignment="1">
      <alignment horizontal="left" vertical="center" wrapText="1"/>
    </xf>
    <xf numFmtId="0" fontId="18" fillId="0" borderId="0" xfId="2" applyAlignment="1">
      <alignment vertical="top" wrapText="1"/>
    </xf>
    <xf numFmtId="0" fontId="13" fillId="3" borderId="0" xfId="3" applyFont="1" applyFill="1" applyAlignment="1">
      <alignment vertical="center"/>
    </xf>
    <xf numFmtId="0" fontId="18" fillId="0" borderId="0" xfId="2" applyAlignment="1">
      <alignment vertical="center" wrapText="1"/>
    </xf>
    <xf numFmtId="0" fontId="13" fillId="3" borderId="0" xfId="0" applyFont="1" applyFill="1" applyAlignment="1">
      <alignment horizontal="left"/>
    </xf>
    <xf numFmtId="0" fontId="13" fillId="3" borderId="0" xfId="4" applyFont="1" applyFill="1"/>
    <xf numFmtId="0" fontId="19" fillId="3" borderId="6" xfId="4" applyFont="1" applyFill="1" applyBorder="1" applyAlignment="1" applyProtection="1">
      <alignment horizontal="left" vertical="center" indent="1"/>
      <protection locked="0"/>
    </xf>
    <xf numFmtId="0" fontId="13" fillId="3" borderId="0" xfId="4" applyFont="1" applyFill="1" applyAlignment="1">
      <alignment horizontal="left"/>
    </xf>
    <xf numFmtId="0" fontId="13" fillId="0" borderId="5" xfId="3" applyFont="1" applyBorder="1" applyAlignment="1">
      <alignment vertical="center"/>
    </xf>
    <xf numFmtId="0" fontId="14" fillId="0" borderId="0" xfId="2" applyFont="1" applyAlignment="1">
      <alignment horizontal="left" vertical="center"/>
    </xf>
    <xf numFmtId="0" fontId="13" fillId="0" borderId="7" xfId="2" applyFont="1" applyBorder="1"/>
    <xf numFmtId="0" fontId="13" fillId="0" borderId="8" xfId="2" applyFont="1" applyBorder="1"/>
    <xf numFmtId="0" fontId="18" fillId="0" borderId="8" xfId="2" applyBorder="1" applyAlignment="1">
      <alignment vertical="top" wrapText="1"/>
    </xf>
    <xf numFmtId="0" fontId="21" fillId="0" borderId="8" xfId="0" applyFont="1" applyBorder="1" applyAlignment="1">
      <alignment horizontal="left" vertical="top" wrapText="1"/>
    </xf>
    <xf numFmtId="0" fontId="13" fillId="3" borderId="8" xfId="0" applyFont="1" applyFill="1" applyBorder="1"/>
    <xf numFmtId="0" fontId="13" fillId="3" borderId="8" xfId="0" applyFont="1" applyFill="1" applyBorder="1" applyAlignment="1">
      <alignment vertical="top" wrapText="1"/>
    </xf>
    <xf numFmtId="0" fontId="12" fillId="3" borderId="0" xfId="4" applyFont="1" applyFill="1"/>
    <xf numFmtId="0" fontId="18" fillId="3" borderId="0" xfId="0" applyFont="1" applyFill="1"/>
    <xf numFmtId="0" fontId="13" fillId="3" borderId="26" xfId="0" applyFont="1" applyFill="1" applyBorder="1" applyAlignment="1">
      <alignment horizontal="center" vertical="center" wrapText="1"/>
    </xf>
    <xf numFmtId="0" fontId="17" fillId="3" borderId="0" xfId="0" applyFont="1" applyFill="1"/>
    <xf numFmtId="0" fontId="17" fillId="0" borderId="0" xfId="2" applyFont="1"/>
    <xf numFmtId="0" fontId="13" fillId="6" borderId="0" xfId="0" applyFont="1" applyFill="1"/>
    <xf numFmtId="0" fontId="24" fillId="6" borderId="0" xfId="0" applyFont="1" applyFill="1"/>
    <xf numFmtId="0" fontId="27" fillId="6" borderId="0" xfId="0" applyFont="1" applyFill="1" applyAlignment="1">
      <alignment horizontal="left" vertical="center"/>
    </xf>
    <xf numFmtId="0" fontId="27" fillId="6" borderId="0" xfId="0" applyFont="1" applyFill="1" applyAlignment="1">
      <alignment horizontal="left" vertical="center" wrapText="1"/>
    </xf>
    <xf numFmtId="0" fontId="24" fillId="6" borderId="0" xfId="0" applyFont="1" applyFill="1" applyAlignment="1">
      <alignment vertical="center" wrapText="1"/>
    </xf>
    <xf numFmtId="0" fontId="24" fillId="6" borderId="0" xfId="0" applyFont="1" applyFill="1" applyAlignment="1">
      <alignment horizontal="left" vertical="center" wrapText="1"/>
    </xf>
    <xf numFmtId="0" fontId="30" fillId="6" borderId="0" xfId="0" applyFont="1" applyFill="1"/>
    <xf numFmtId="0" fontId="18" fillId="2" borderId="1" xfId="6" applyFill="1" applyBorder="1" applyAlignment="1" applyProtection="1">
      <alignment vertical="center"/>
      <protection hidden="1"/>
    </xf>
    <xf numFmtId="0" fontId="18" fillId="2" borderId="2" xfId="6" applyFill="1" applyBorder="1" applyAlignment="1" applyProtection="1">
      <alignment vertical="center"/>
      <protection hidden="1"/>
    </xf>
    <xf numFmtId="0" fontId="18" fillId="3" borderId="0" xfId="6" applyFill="1" applyAlignment="1" applyProtection="1">
      <alignment vertical="center"/>
      <protection hidden="1"/>
    </xf>
    <xf numFmtId="0" fontId="18" fillId="2" borderId="4" xfId="6" applyFill="1" applyBorder="1" applyAlignment="1" applyProtection="1">
      <alignment vertical="center"/>
      <protection hidden="1"/>
    </xf>
    <xf numFmtId="0" fontId="18" fillId="2" borderId="0" xfId="6" applyFill="1" applyAlignment="1" applyProtection="1">
      <alignment vertical="center"/>
      <protection hidden="1"/>
    </xf>
    <xf numFmtId="0" fontId="31" fillId="2" borderId="0" xfId="6" applyFont="1" applyFill="1" applyAlignment="1" applyProtection="1">
      <alignment horizontal="left" vertical="center"/>
      <protection hidden="1"/>
    </xf>
    <xf numFmtId="0" fontId="21" fillId="2" borderId="0" xfId="6" applyFont="1" applyFill="1" applyAlignment="1" applyProtection="1">
      <alignment vertical="center"/>
      <protection hidden="1"/>
    </xf>
    <xf numFmtId="49" fontId="16" fillId="2" borderId="0" xfId="6" applyNumberFormat="1" applyFont="1" applyFill="1" applyAlignment="1" applyProtection="1">
      <alignment vertical="center"/>
      <protection hidden="1"/>
    </xf>
    <xf numFmtId="49" fontId="32" fillId="2" borderId="0" xfId="6" applyNumberFormat="1" applyFont="1" applyFill="1" applyAlignment="1" applyProtection="1">
      <alignment vertical="center"/>
      <protection hidden="1"/>
    </xf>
    <xf numFmtId="49" fontId="18" fillId="2" borderId="0" xfId="6" applyNumberFormat="1" applyFill="1" applyAlignment="1" applyProtection="1">
      <alignment vertical="center"/>
      <protection hidden="1"/>
    </xf>
    <xf numFmtId="0" fontId="18" fillId="2" borderId="8" xfId="6" applyFill="1" applyBorder="1" applyAlignment="1" applyProtection="1">
      <alignment vertical="center"/>
      <protection hidden="1"/>
    </xf>
    <xf numFmtId="0" fontId="16" fillId="3" borderId="0" xfId="6" applyFont="1" applyFill="1" applyAlignment="1" applyProtection="1">
      <alignment vertical="top" wrapText="1"/>
      <protection hidden="1"/>
    </xf>
    <xf numFmtId="0" fontId="33" fillId="3" borderId="0" xfId="5" applyFont="1" applyFill="1" applyAlignment="1">
      <alignment horizontal="right" vertical="center"/>
    </xf>
    <xf numFmtId="0" fontId="33" fillId="3" borderId="0" xfId="2" applyFont="1" applyFill="1" applyAlignment="1">
      <alignment horizontal="right" vertical="center"/>
    </xf>
    <xf numFmtId="0" fontId="27" fillId="6" borderId="0" xfId="0" applyFont="1" applyFill="1" applyAlignment="1">
      <alignment vertical="center"/>
    </xf>
    <xf numFmtId="0" fontId="25" fillId="6" borderId="0" xfId="0" applyFont="1" applyFill="1" applyAlignment="1">
      <alignment vertical="center"/>
    </xf>
    <xf numFmtId="0" fontId="30" fillId="6" borderId="0" xfId="0" applyFont="1" applyFill="1" applyAlignment="1">
      <alignment horizontal="left" vertical="center"/>
    </xf>
    <xf numFmtId="0" fontId="25" fillId="6" borderId="0" xfId="0" applyFont="1" applyFill="1" applyAlignment="1">
      <alignment horizontal="left" vertical="center"/>
    </xf>
    <xf numFmtId="0" fontId="13" fillId="6" borderId="0" xfId="0" applyFont="1" applyFill="1" applyAlignment="1">
      <alignment horizontal="left" vertical="center"/>
    </xf>
    <xf numFmtId="0" fontId="13" fillId="6" borderId="0" xfId="0" applyFont="1" applyFill="1" applyAlignment="1">
      <alignment horizontal="right" vertical="center"/>
    </xf>
    <xf numFmtId="0" fontId="27" fillId="6" borderId="0" xfId="0" applyFont="1" applyFill="1" applyAlignment="1">
      <alignment horizontal="right" vertical="center" wrapText="1"/>
    </xf>
    <xf numFmtId="0" fontId="18" fillId="0" borderId="0" xfId="2" applyAlignment="1">
      <alignment horizontal="left" vertical="center" wrapText="1"/>
    </xf>
    <xf numFmtId="0" fontId="15" fillId="0" borderId="0" xfId="0" applyFont="1"/>
    <xf numFmtId="164" fontId="13" fillId="0" borderId="0" xfId="0" applyNumberFormat="1" applyFont="1"/>
    <xf numFmtId="0" fontId="13" fillId="0" borderId="0" xfId="0" applyFont="1" applyAlignment="1">
      <alignment horizontal="center"/>
    </xf>
    <xf numFmtId="0" fontId="13" fillId="0" borderId="0" xfId="0" quotePrefix="1" applyFont="1"/>
    <xf numFmtId="0" fontId="14" fillId="0" borderId="0" xfId="0" applyFont="1"/>
    <xf numFmtId="0" fontId="13" fillId="0" borderId="0" xfId="0" applyFont="1" applyAlignment="1">
      <alignment horizontal="center" vertical="center" wrapText="1"/>
    </xf>
    <xf numFmtId="0" fontId="9" fillId="0" borderId="0" xfId="0" applyFont="1" applyAlignment="1">
      <alignment horizontal="right" vertical="center"/>
    </xf>
    <xf numFmtId="0" fontId="18" fillId="4" borderId="34" xfId="0" applyFont="1" applyFill="1" applyBorder="1" applyAlignment="1">
      <alignment horizontal="left" vertical="center" indent="1"/>
    </xf>
    <xf numFmtId="0" fontId="18" fillId="4" borderId="15" xfId="0" applyFont="1" applyFill="1" applyBorder="1" applyAlignment="1">
      <alignment horizontal="left" vertical="center" indent="1"/>
    </xf>
    <xf numFmtId="0" fontId="18" fillId="4" borderId="29" xfId="0" applyFont="1" applyFill="1" applyBorder="1" applyAlignment="1">
      <alignment horizontal="left" vertical="center" indent="1"/>
    </xf>
    <xf numFmtId="49" fontId="18" fillId="4" borderId="29" xfId="0" applyNumberFormat="1" applyFont="1" applyFill="1" applyBorder="1" applyAlignment="1">
      <alignment horizontal="left" vertical="center" indent="1"/>
    </xf>
    <xf numFmtId="0" fontId="18" fillId="4" borderId="35" xfId="0" applyFont="1" applyFill="1" applyBorder="1" applyAlignment="1">
      <alignment horizontal="left" vertical="center" indent="1"/>
    </xf>
    <xf numFmtId="0" fontId="18" fillId="4" borderId="21" xfId="0" applyFont="1" applyFill="1" applyBorder="1" applyAlignment="1">
      <alignment horizontal="left" vertical="center"/>
    </xf>
    <xf numFmtId="0" fontId="0" fillId="3" borderId="0" xfId="0" applyFill="1"/>
    <xf numFmtId="0" fontId="18" fillId="4" borderId="30" xfId="0" applyFont="1" applyFill="1" applyBorder="1" applyAlignment="1">
      <alignment horizontal="left" vertical="center"/>
    </xf>
    <xf numFmtId="0" fontId="18" fillId="4" borderId="28" xfId="0" applyFont="1" applyFill="1" applyBorder="1" applyAlignment="1">
      <alignment horizontal="left" vertical="center"/>
    </xf>
    <xf numFmtId="0" fontId="18" fillId="4" borderId="21" xfId="0" applyFont="1" applyFill="1" applyBorder="1" applyAlignment="1">
      <alignment horizontal="left" vertical="center" indent="1"/>
    </xf>
    <xf numFmtId="0" fontId="13" fillId="0" borderId="5" xfId="0" applyFont="1" applyBorder="1"/>
    <xf numFmtId="0" fontId="21" fillId="0" borderId="5" xfId="0" applyFont="1" applyBorder="1" applyAlignment="1">
      <alignment horizontal="left" vertical="top" wrapText="1"/>
    </xf>
    <xf numFmtId="0" fontId="13" fillId="0" borderId="0" xfId="0" applyFont="1" applyAlignment="1">
      <alignment vertical="center"/>
    </xf>
    <xf numFmtId="0" fontId="13" fillId="0" borderId="5" xfId="2" applyFont="1" applyBorder="1"/>
    <xf numFmtId="0" fontId="13" fillId="0" borderId="4" xfId="3" applyFont="1" applyBorder="1" applyAlignment="1">
      <alignment vertical="center"/>
    </xf>
    <xf numFmtId="0" fontId="14" fillId="0" borderId="0" xfId="3" applyFont="1" applyAlignment="1">
      <alignment horizontal="left" vertical="center"/>
    </xf>
    <xf numFmtId="0" fontId="20" fillId="0" borderId="0" xfId="2" applyFont="1" applyAlignment="1">
      <alignment vertical="center"/>
    </xf>
    <xf numFmtId="0" fontId="13" fillId="0" borderId="4" xfId="4" applyFont="1" applyBorder="1"/>
    <xf numFmtId="0" fontId="14" fillId="0" borderId="0" xfId="4" applyFont="1" applyAlignment="1">
      <alignment horizontal="left" vertical="top"/>
    </xf>
    <xf numFmtId="0" fontId="18" fillId="0" borderId="0" xfId="2" applyAlignment="1">
      <alignment horizontal="left" vertical="center"/>
    </xf>
    <xf numFmtId="0" fontId="13" fillId="0" borderId="0" xfId="4" applyFont="1" applyAlignment="1">
      <alignment vertical="center"/>
    </xf>
    <xf numFmtId="0" fontId="13" fillId="0" borderId="0" xfId="0" applyFont="1" applyAlignment="1">
      <alignment horizontal="left" vertical="center"/>
    </xf>
    <xf numFmtId="0" fontId="18" fillId="0" borderId="0" xfId="2" applyAlignment="1">
      <alignment vertical="center"/>
    </xf>
    <xf numFmtId="0" fontId="13" fillId="0" borderId="0" xfId="4" applyFont="1" applyAlignment="1">
      <alignment horizontal="left" vertical="center"/>
    </xf>
    <xf numFmtId="0" fontId="13" fillId="0" borderId="5" xfId="4" applyFont="1" applyBorder="1"/>
    <xf numFmtId="0" fontId="13" fillId="0" borderId="9" xfId="2" applyFont="1" applyBorder="1"/>
    <xf numFmtId="0" fontId="8" fillId="4" borderId="17" xfId="0" applyFont="1" applyFill="1" applyBorder="1" applyAlignment="1">
      <alignment horizontal="center" vertical="center" wrapText="1"/>
    </xf>
    <xf numFmtId="0" fontId="8" fillId="4" borderId="20" xfId="0" applyFont="1" applyFill="1" applyBorder="1" applyAlignment="1">
      <alignment horizontal="center" vertical="center" wrapText="1"/>
    </xf>
    <xf numFmtId="0" fontId="8" fillId="4" borderId="21" xfId="0" applyFont="1" applyFill="1" applyBorder="1" applyAlignment="1">
      <alignment horizontal="center" vertical="center" wrapText="1"/>
    </xf>
    <xf numFmtId="0" fontId="8" fillId="4" borderId="19" xfId="0" applyFont="1" applyFill="1" applyBorder="1" applyAlignment="1">
      <alignment horizontal="center" vertical="center" wrapText="1"/>
    </xf>
    <xf numFmtId="0" fontId="12" fillId="0" borderId="1" xfId="4" applyFont="1" applyBorder="1"/>
    <xf numFmtId="0" fontId="21" fillId="0" borderId="2" xfId="2" applyFont="1" applyBorder="1" applyAlignment="1">
      <alignment vertical="top"/>
    </xf>
    <xf numFmtId="0" fontId="18" fillId="0" borderId="2" xfId="0" applyFont="1" applyBorder="1"/>
    <xf numFmtId="0" fontId="18" fillId="0" borderId="2" xfId="2" applyBorder="1" applyAlignment="1">
      <alignment vertical="top" wrapText="1"/>
    </xf>
    <xf numFmtId="0" fontId="12" fillId="0" borderId="2" xfId="4" applyFont="1" applyBorder="1"/>
    <xf numFmtId="0" fontId="0" fillId="0" borderId="0" xfId="0" applyAlignment="1">
      <alignment horizontal="center"/>
    </xf>
    <xf numFmtId="0" fontId="21" fillId="0" borderId="0" xfId="0" applyFont="1"/>
    <xf numFmtId="0" fontId="21" fillId="0" borderId="0" xfId="0" applyFont="1" applyAlignment="1">
      <alignment horizontal="center" wrapText="1"/>
    </xf>
    <xf numFmtId="0" fontId="18" fillId="0" borderId="0" xfId="0" applyFont="1" applyAlignment="1">
      <alignment horizontal="center"/>
    </xf>
    <xf numFmtId="0" fontId="12" fillId="0" borderId="3" xfId="4" applyFont="1" applyBorder="1"/>
    <xf numFmtId="0" fontId="12" fillId="0" borderId="4" xfId="4" applyFont="1" applyBorder="1"/>
    <xf numFmtId="0" fontId="21" fillId="0" borderId="0" xfId="2" applyFont="1" applyAlignment="1">
      <alignment vertical="top"/>
    </xf>
    <xf numFmtId="0" fontId="18" fillId="0" borderId="0" xfId="0" applyFont="1"/>
    <xf numFmtId="0" fontId="12" fillId="0" borderId="0" xfId="4" applyFont="1"/>
    <xf numFmtId="0" fontId="12" fillId="0" borderId="5" xfId="4" applyFont="1" applyBorder="1"/>
    <xf numFmtId="0" fontId="13" fillId="0" borderId="10" xfId="0" applyFont="1" applyBorder="1"/>
    <xf numFmtId="0" fontId="13" fillId="0" borderId="4" xfId="0" applyFont="1" applyBorder="1"/>
    <xf numFmtId="0" fontId="19" fillId="0" borderId="27" xfId="0" applyFont="1" applyBorder="1" applyAlignment="1">
      <alignment horizontal="right" vertical="center"/>
    </xf>
    <xf numFmtId="0" fontId="19" fillId="0" borderId="20" xfId="0" applyFont="1" applyBorder="1" applyAlignment="1">
      <alignment horizontal="right" vertical="center"/>
    </xf>
    <xf numFmtId="0" fontId="13" fillId="0" borderId="7" xfId="0" applyFont="1" applyBorder="1"/>
    <xf numFmtId="0" fontId="13" fillId="0" borderId="8" xfId="0" applyFont="1" applyBorder="1"/>
    <xf numFmtId="0" fontId="13" fillId="0" borderId="9" xfId="0" applyFont="1" applyBorder="1"/>
    <xf numFmtId="49" fontId="13" fillId="0" borderId="0" xfId="0" applyNumberFormat="1" applyFont="1" applyAlignment="1">
      <alignment horizontal="center" vertical="center" wrapText="1"/>
    </xf>
    <xf numFmtId="49" fontId="13" fillId="0" borderId="0" xfId="0" applyNumberFormat="1" applyFont="1" applyAlignment="1">
      <alignment vertical="top" wrapText="1"/>
    </xf>
    <xf numFmtId="49" fontId="13" fillId="0" borderId="0" xfId="0" applyNumberFormat="1" applyFont="1" applyAlignment="1">
      <alignment vertical="center"/>
    </xf>
    <xf numFmtId="164" fontId="22" fillId="0" borderId="0" xfId="0" applyNumberFormat="1" applyFont="1"/>
    <xf numFmtId="0" fontId="22" fillId="0" borderId="0" xfId="0" applyFont="1"/>
    <xf numFmtId="164" fontId="23" fillId="0" borderId="0" xfId="0" applyNumberFormat="1" applyFont="1"/>
    <xf numFmtId="165" fontId="22" fillId="0" borderId="0" xfId="0" applyNumberFormat="1" applyFont="1"/>
    <xf numFmtId="0" fontId="18" fillId="0" borderId="36" xfId="0" applyFont="1" applyBorder="1" applyAlignment="1">
      <alignment horizontal="left" vertical="center" indent="1"/>
    </xf>
    <xf numFmtId="0" fontId="18" fillId="0" borderId="36" xfId="0" applyFont="1" applyBorder="1" applyAlignment="1">
      <alignment horizontal="left" vertical="center"/>
    </xf>
    <xf numFmtId="164" fontId="18" fillId="0" borderId="36" xfId="0" applyNumberFormat="1" applyFont="1" applyBorder="1" applyAlignment="1">
      <alignment horizontal="right" vertical="center"/>
    </xf>
    <xf numFmtId="164" fontId="13" fillId="0" borderId="0" xfId="0" applyNumberFormat="1" applyFont="1" applyAlignment="1">
      <alignment horizontal="center"/>
    </xf>
    <xf numFmtId="2" fontId="23" fillId="0" borderId="0" xfId="0" applyNumberFormat="1" applyFont="1"/>
    <xf numFmtId="0" fontId="24" fillId="0" borderId="0" xfId="0" applyFont="1" applyAlignment="1" applyProtection="1">
      <alignment vertical="center"/>
      <protection hidden="1"/>
    </xf>
    <xf numFmtId="0" fontId="15" fillId="0" borderId="0" xfId="0" applyFont="1" applyAlignment="1">
      <alignment horizontal="left" vertical="center"/>
    </xf>
    <xf numFmtId="164" fontId="13" fillId="0" borderId="0" xfId="0" applyNumberFormat="1" applyFont="1" applyAlignment="1">
      <alignment horizontal="right" vertical="center"/>
    </xf>
    <xf numFmtId="0" fontId="8" fillId="0" borderId="0" xfId="0" applyFont="1" applyAlignment="1">
      <alignment horizontal="center" vertical="center" wrapText="1"/>
    </xf>
    <xf numFmtId="0" fontId="0" fillId="0" borderId="0" xfId="0" applyAlignment="1">
      <alignment horizontal="left" vertical="center"/>
    </xf>
    <xf numFmtId="0" fontId="0" fillId="0" borderId="0" xfId="0" applyAlignment="1">
      <alignment horizontal="right" vertical="center"/>
    </xf>
    <xf numFmtId="0" fontId="7" fillId="3" borderId="20" xfId="0" applyFont="1" applyFill="1" applyBorder="1" applyAlignment="1" applyProtection="1">
      <alignment horizontal="left" vertical="center" indent="1"/>
      <protection locked="0"/>
    </xf>
    <xf numFmtId="0" fontId="7" fillId="3" borderId="26" xfId="0" applyFont="1" applyFill="1" applyBorder="1" applyAlignment="1">
      <alignment horizontal="center" vertical="center" wrapText="1"/>
    </xf>
    <xf numFmtId="0" fontId="7" fillId="3" borderId="0" xfId="0" applyFont="1" applyFill="1"/>
    <xf numFmtId="0" fontId="19" fillId="3" borderId="26" xfId="0" applyFont="1" applyFill="1" applyBorder="1" applyAlignment="1">
      <alignment horizontal="center" vertical="center"/>
    </xf>
    <xf numFmtId="0" fontId="20" fillId="0" borderId="34" xfId="0" applyFont="1" applyBorder="1" applyAlignment="1">
      <alignment horizontal="left" vertical="center" indent="1"/>
    </xf>
    <xf numFmtId="0" fontId="20" fillId="0" borderId="37" xfId="0" applyFont="1" applyBorder="1" applyAlignment="1">
      <alignment horizontal="left" vertical="center" indent="1"/>
    </xf>
    <xf numFmtId="0" fontId="20" fillId="0" borderId="29" xfId="0" applyFont="1" applyBorder="1" applyAlignment="1">
      <alignment horizontal="left" vertical="center" indent="1"/>
    </xf>
    <xf numFmtId="0" fontId="20" fillId="0" borderId="30" xfId="0" applyFont="1" applyBorder="1" applyAlignment="1">
      <alignment horizontal="left" vertical="center" indent="1"/>
    </xf>
    <xf numFmtId="0" fontId="20" fillId="0" borderId="35" xfId="0" applyFont="1" applyBorder="1" applyAlignment="1">
      <alignment horizontal="left" vertical="center" indent="1"/>
    </xf>
    <xf numFmtId="0" fontId="20" fillId="0" borderId="38" xfId="0" applyFont="1" applyBorder="1" applyAlignment="1">
      <alignment horizontal="left" vertical="center" indent="1"/>
    </xf>
    <xf numFmtId="0" fontId="20" fillId="0" borderId="29" xfId="0" applyFont="1" applyBorder="1" applyAlignment="1">
      <alignment vertical="center" wrapText="1"/>
    </xf>
    <xf numFmtId="0" fontId="7" fillId="5" borderId="31" xfId="0" applyFont="1" applyFill="1" applyBorder="1" applyAlignment="1">
      <alignment horizontal="center" vertical="center"/>
    </xf>
    <xf numFmtId="0" fontId="35" fillId="0" borderId="0" xfId="2" applyFont="1" applyAlignment="1">
      <alignment vertical="center"/>
    </xf>
    <xf numFmtId="0" fontId="19" fillId="0" borderId="14" xfId="0" applyFont="1" applyBorder="1" applyAlignment="1">
      <alignment horizontal="right" vertical="center"/>
    </xf>
    <xf numFmtId="0" fontId="19" fillId="0" borderId="14" xfId="0" applyFont="1" applyBorder="1" applyAlignment="1">
      <alignment horizontal="right" vertical="center" indent="1"/>
    </xf>
    <xf numFmtId="0" fontId="19" fillId="0" borderId="27" xfId="0" applyFont="1" applyBorder="1" applyAlignment="1">
      <alignment horizontal="right" vertical="center" indent="1"/>
    </xf>
    <xf numFmtId="0" fontId="28" fillId="0" borderId="20" xfId="0" applyFont="1" applyBorder="1" applyAlignment="1">
      <alignment horizontal="center" vertical="center"/>
    </xf>
    <xf numFmtId="0" fontId="7" fillId="5" borderId="31" xfId="0" applyFont="1" applyFill="1" applyBorder="1" applyAlignment="1">
      <alignment horizontal="center" vertical="center" wrapText="1"/>
    </xf>
    <xf numFmtId="0" fontId="16" fillId="0" borderId="0" xfId="2" applyFont="1" applyAlignment="1">
      <alignment vertical="center"/>
    </xf>
    <xf numFmtId="0" fontId="19" fillId="0" borderId="39" xfId="0" applyFont="1" applyBorder="1" applyAlignment="1">
      <alignment horizontal="right" vertical="center"/>
    </xf>
    <xf numFmtId="0" fontId="19" fillId="0" borderId="19" xfId="0" applyFont="1" applyBorder="1" applyAlignment="1">
      <alignment horizontal="right" vertical="center"/>
    </xf>
    <xf numFmtId="0" fontId="19" fillId="0" borderId="28" xfId="0" applyFont="1" applyBorder="1" applyAlignment="1">
      <alignment horizontal="right" vertical="center"/>
    </xf>
    <xf numFmtId="0" fontId="19" fillId="0" borderId="21" xfId="0" applyFont="1" applyBorder="1" applyAlignment="1">
      <alignment horizontal="right" vertical="center"/>
    </xf>
    <xf numFmtId="0" fontId="19" fillId="0" borderId="11" xfId="0" applyFont="1" applyBorder="1" applyAlignment="1">
      <alignment horizontal="right" vertical="center"/>
    </xf>
    <xf numFmtId="0" fontId="19" fillId="0" borderId="25" xfId="0" applyFont="1" applyBorder="1" applyAlignment="1">
      <alignment horizontal="right" vertical="center"/>
    </xf>
    <xf numFmtId="0" fontId="19" fillId="0" borderId="17" xfId="0" applyFont="1" applyBorder="1" applyAlignment="1">
      <alignment horizontal="right" vertical="center"/>
    </xf>
    <xf numFmtId="0" fontId="19" fillId="0" borderId="16" xfId="0" applyFont="1" applyBorder="1" applyAlignment="1">
      <alignment horizontal="right" vertical="center"/>
    </xf>
    <xf numFmtId="0" fontId="19" fillId="0" borderId="40" xfId="0" applyFont="1" applyBorder="1" applyAlignment="1">
      <alignment horizontal="right" vertical="center"/>
    </xf>
    <xf numFmtId="0" fontId="19" fillId="0" borderId="22" xfId="0" applyFont="1" applyBorder="1" applyAlignment="1">
      <alignment horizontal="right" vertical="center"/>
    </xf>
    <xf numFmtId="0" fontId="19" fillId="0" borderId="15" xfId="0" applyFont="1" applyBorder="1" applyAlignment="1">
      <alignment horizontal="right" vertical="center"/>
    </xf>
    <xf numFmtId="0" fontId="19" fillId="0" borderId="13" xfId="0" applyFont="1" applyBorder="1" applyAlignment="1">
      <alignment horizontal="right" vertical="center"/>
    </xf>
    <xf numFmtId="0" fontId="8" fillId="0" borderId="45" xfId="0" applyFont="1" applyBorder="1" applyAlignment="1">
      <alignment horizontal="center" vertical="center" wrapText="1"/>
    </xf>
    <xf numFmtId="0" fontId="18" fillId="0" borderId="45" xfId="0" applyFont="1" applyBorder="1" applyAlignment="1">
      <alignment horizontal="center" vertical="center" wrapText="1"/>
    </xf>
    <xf numFmtId="0" fontId="18" fillId="4" borderId="41" xfId="0" applyFont="1" applyFill="1" applyBorder="1" applyAlignment="1">
      <alignment horizontal="center" vertical="center" wrapText="1"/>
    </xf>
    <xf numFmtId="0" fontId="18" fillId="4" borderId="50" xfId="0" applyFont="1" applyFill="1" applyBorder="1" applyAlignment="1">
      <alignment horizontal="center" vertical="center" wrapText="1"/>
    </xf>
    <xf numFmtId="49" fontId="36" fillId="0" borderId="0" xfId="0" applyNumberFormat="1" applyFont="1" applyAlignment="1">
      <alignment vertical="top" wrapText="1"/>
    </xf>
    <xf numFmtId="0" fontId="32" fillId="0" borderId="44" xfId="0" applyFont="1" applyBorder="1" applyAlignment="1">
      <alignment horizontal="center" vertical="top" wrapText="1"/>
    </xf>
    <xf numFmtId="0" fontId="32" fillId="4" borderId="44" xfId="0" applyFont="1" applyFill="1" applyBorder="1" applyAlignment="1">
      <alignment horizontal="center" vertical="top" wrapText="1"/>
    </xf>
    <xf numFmtId="0" fontId="13" fillId="0" borderId="24" xfId="0" applyFont="1" applyBorder="1" applyAlignment="1">
      <alignment horizontal="center" vertical="top" wrapText="1"/>
    </xf>
    <xf numFmtId="0" fontId="20" fillId="0" borderId="24" xfId="0" applyFont="1" applyBorder="1" applyAlignment="1">
      <alignment horizontal="center" vertical="top" wrapText="1"/>
    </xf>
    <xf numFmtId="0" fontId="32" fillId="4" borderId="51" xfId="0" applyFont="1" applyFill="1" applyBorder="1" applyAlignment="1">
      <alignment horizontal="center" vertical="top" wrapText="1"/>
    </xf>
    <xf numFmtId="0" fontId="32" fillId="4" borderId="42" xfId="0" applyFont="1" applyFill="1" applyBorder="1" applyAlignment="1">
      <alignment horizontal="center" vertical="top" wrapText="1"/>
    </xf>
    <xf numFmtId="0" fontId="36" fillId="0" borderId="44" xfId="0" applyFont="1" applyBorder="1" applyAlignment="1">
      <alignment horizontal="center" vertical="top" wrapText="1"/>
    </xf>
    <xf numFmtId="0" fontId="18" fillId="4" borderId="44" xfId="0" applyFont="1" applyFill="1" applyBorder="1" applyAlignment="1">
      <alignment horizontal="center" vertical="top" wrapText="1"/>
    </xf>
    <xf numFmtId="49" fontId="18" fillId="4" borderId="44" xfId="0" applyNumberFormat="1" applyFont="1" applyFill="1" applyBorder="1" applyAlignment="1">
      <alignment horizontal="center" vertical="top" wrapText="1"/>
    </xf>
    <xf numFmtId="0" fontId="18" fillId="4" borderId="51" xfId="0" applyFont="1" applyFill="1" applyBorder="1" applyAlignment="1">
      <alignment horizontal="center" vertical="top" wrapText="1"/>
    </xf>
    <xf numFmtId="0" fontId="18" fillId="4" borderId="42" xfId="0" applyFont="1" applyFill="1" applyBorder="1" applyAlignment="1">
      <alignment horizontal="center" vertical="top" wrapText="1"/>
    </xf>
    <xf numFmtId="0" fontId="6" fillId="0" borderId="45" xfId="0" applyFont="1" applyBorder="1" applyAlignment="1">
      <alignment horizontal="center" vertical="center" wrapText="1"/>
    </xf>
    <xf numFmtId="0" fontId="18" fillId="0" borderId="26" xfId="0" applyFont="1" applyBorder="1" applyAlignment="1">
      <alignment horizontal="left" vertical="center"/>
    </xf>
    <xf numFmtId="3" fontId="18" fillId="0" borderId="14" xfId="0" applyNumberFormat="1" applyFont="1" applyBorder="1" applyAlignment="1">
      <alignment horizontal="right" vertical="center"/>
    </xf>
    <xf numFmtId="3" fontId="18" fillId="3" borderId="27" xfId="0" applyNumberFormat="1" applyFont="1" applyFill="1" applyBorder="1" applyAlignment="1" applyProtection="1">
      <alignment horizontal="right" vertical="center"/>
      <protection locked="0"/>
    </xf>
    <xf numFmtId="4" fontId="18" fillId="0" borderId="27" xfId="0" applyNumberFormat="1" applyFont="1" applyBorder="1" applyAlignment="1">
      <alignment horizontal="right" vertical="center"/>
    </xf>
    <xf numFmtId="0" fontId="18" fillId="4" borderId="15" xfId="0" applyFont="1" applyFill="1" applyBorder="1" applyAlignment="1">
      <alignment horizontal="left" vertical="center"/>
    </xf>
    <xf numFmtId="0" fontId="18" fillId="4" borderId="28" xfId="0" applyFont="1" applyFill="1" applyBorder="1" applyAlignment="1">
      <alignment horizontal="left" vertical="center" wrapText="1"/>
    </xf>
    <xf numFmtId="0" fontId="32" fillId="4" borderId="37" xfId="0" applyFont="1" applyFill="1" applyBorder="1" applyAlignment="1">
      <alignment horizontal="left" vertical="center"/>
    </xf>
    <xf numFmtId="0" fontId="32" fillId="4" borderId="30" xfId="0" applyFont="1" applyFill="1" applyBorder="1" applyAlignment="1">
      <alignment horizontal="left" vertical="center"/>
    </xf>
    <xf numFmtId="0" fontId="32" fillId="4" borderId="38" xfId="0" applyFont="1" applyFill="1" applyBorder="1" applyAlignment="1">
      <alignment horizontal="left" vertical="center"/>
    </xf>
    <xf numFmtId="0" fontId="32" fillId="0" borderId="36" xfId="0" applyFont="1" applyBorder="1" applyAlignment="1">
      <alignment horizontal="left" vertical="center"/>
    </xf>
    <xf numFmtId="0" fontId="18" fillId="4" borderId="52" xfId="0" applyFont="1" applyFill="1" applyBorder="1" applyAlignment="1">
      <alignment horizontal="left" vertical="center" indent="1"/>
    </xf>
    <xf numFmtId="0" fontId="18" fillId="4" borderId="53" xfId="0" applyFont="1" applyFill="1" applyBorder="1" applyAlignment="1">
      <alignment horizontal="left" vertical="center"/>
    </xf>
    <xf numFmtId="0" fontId="18" fillId="4" borderId="54" xfId="0" applyFont="1" applyFill="1" applyBorder="1" applyAlignment="1">
      <alignment horizontal="left" vertical="center" indent="1"/>
    </xf>
    <xf numFmtId="0" fontId="41" fillId="3" borderId="44" xfId="0" applyFont="1" applyFill="1" applyBorder="1" applyAlignment="1">
      <alignment horizontal="center" vertical="top" wrapText="1"/>
    </xf>
    <xf numFmtId="0" fontId="40" fillId="3" borderId="44" xfId="0" applyFont="1" applyFill="1" applyBorder="1" applyAlignment="1">
      <alignment horizontal="center" vertical="top" wrapText="1"/>
    </xf>
    <xf numFmtId="0" fontId="40" fillId="3" borderId="48" xfId="0" applyFont="1" applyFill="1" applyBorder="1" applyAlignment="1">
      <alignment horizontal="center" vertical="center" wrapText="1"/>
    </xf>
    <xf numFmtId="0" fontId="41" fillId="3" borderId="46" xfId="0" applyFont="1" applyFill="1" applyBorder="1" applyAlignment="1">
      <alignment horizontal="center" vertical="top" wrapText="1"/>
    </xf>
    <xf numFmtId="49" fontId="40" fillId="3" borderId="46" xfId="0" applyNumberFormat="1" applyFont="1" applyFill="1" applyBorder="1" applyAlignment="1">
      <alignment horizontal="center" vertical="top" wrapText="1"/>
    </xf>
    <xf numFmtId="0" fontId="40" fillId="3" borderId="50" xfId="0" applyFont="1" applyFill="1" applyBorder="1" applyAlignment="1">
      <alignment horizontal="center" vertical="center" wrapText="1"/>
    </xf>
    <xf numFmtId="0" fontId="41" fillId="3" borderId="51" xfId="0" applyFont="1" applyFill="1" applyBorder="1" applyAlignment="1">
      <alignment horizontal="center" vertical="top" wrapText="1"/>
    </xf>
    <xf numFmtId="49" fontId="40" fillId="3" borderId="44" xfId="0" applyNumberFormat="1" applyFont="1" applyFill="1" applyBorder="1" applyAlignment="1">
      <alignment horizontal="center" vertical="top" wrapText="1"/>
    </xf>
    <xf numFmtId="49" fontId="40" fillId="3" borderId="51" xfId="0" applyNumberFormat="1" applyFont="1" applyFill="1" applyBorder="1" applyAlignment="1">
      <alignment horizontal="center" vertical="top" wrapText="1"/>
    </xf>
    <xf numFmtId="0" fontId="10" fillId="3" borderId="27" xfId="0" applyFont="1" applyFill="1" applyBorder="1" applyAlignment="1" applyProtection="1">
      <alignment horizontal="left" vertical="center" indent="1"/>
      <protection locked="0"/>
    </xf>
    <xf numFmtId="0" fontId="38" fillId="3" borderId="29" xfId="0" applyFont="1" applyFill="1" applyBorder="1" applyAlignment="1">
      <alignment horizontal="left" vertical="center" indent="1"/>
    </xf>
    <xf numFmtId="0" fontId="39" fillId="3" borderId="30" xfId="0" applyFont="1" applyFill="1" applyBorder="1" applyAlignment="1">
      <alignment horizontal="left" vertical="center"/>
    </xf>
    <xf numFmtId="0" fontId="38" fillId="3" borderId="28" xfId="0" applyFont="1" applyFill="1" applyBorder="1" applyAlignment="1">
      <alignment horizontal="left" vertical="center"/>
    </xf>
    <xf numFmtId="0" fontId="6" fillId="0" borderId="0" xfId="0" applyFont="1" applyAlignment="1">
      <alignment horizontal="left" vertical="center" indent="3"/>
    </xf>
    <xf numFmtId="0" fontId="6" fillId="0" borderId="0" xfId="0" applyFont="1"/>
    <xf numFmtId="165" fontId="18" fillId="3" borderId="14" xfId="0" applyNumberFormat="1" applyFont="1" applyFill="1" applyBorder="1" applyAlignment="1" applyProtection="1">
      <alignment horizontal="left" vertical="center" wrapText="1"/>
      <protection locked="0"/>
    </xf>
    <xf numFmtId="0" fontId="40" fillId="3" borderId="43" xfId="0" applyFont="1" applyFill="1" applyBorder="1" applyAlignment="1">
      <alignment horizontal="center" vertical="center" wrapText="1"/>
    </xf>
    <xf numFmtId="0" fontId="18" fillId="4" borderId="43" xfId="0" applyFont="1" applyFill="1" applyBorder="1" applyAlignment="1">
      <alignment horizontal="center" vertical="center" wrapText="1"/>
    </xf>
    <xf numFmtId="0" fontId="18" fillId="3" borderId="14" xfId="2" applyFill="1" applyBorder="1" applyAlignment="1" applyProtection="1">
      <alignment horizontal="left" vertical="center" indent="1"/>
      <protection locked="0"/>
    </xf>
    <xf numFmtId="0" fontId="10" fillId="3" borderId="20" xfId="0" applyFont="1" applyFill="1" applyBorder="1" applyAlignment="1" applyProtection="1">
      <alignment horizontal="left" vertical="center" indent="1"/>
      <protection locked="0"/>
    </xf>
    <xf numFmtId="164" fontId="20" fillId="0" borderId="45" xfId="0" applyNumberFormat="1" applyFont="1" applyBorder="1" applyAlignment="1">
      <alignment horizontal="center" vertical="center" wrapText="1"/>
    </xf>
    <xf numFmtId="0" fontId="20" fillId="0" borderId="45" xfId="0" applyFont="1" applyBorder="1" applyAlignment="1">
      <alignment horizontal="center" vertical="center" wrapText="1"/>
    </xf>
    <xf numFmtId="2" fontId="20" fillId="0" borderId="45" xfId="0" applyNumberFormat="1" applyFont="1" applyBorder="1" applyAlignment="1">
      <alignment horizontal="center" vertical="center" wrapText="1"/>
    </xf>
    <xf numFmtId="0" fontId="20" fillId="0" borderId="0" xfId="0" applyFont="1" applyAlignment="1">
      <alignment horizontal="left" vertical="center" indent="1"/>
    </xf>
    <xf numFmtId="3" fontId="18" fillId="3" borderId="26" xfId="0" applyNumberFormat="1" applyFont="1" applyFill="1" applyBorder="1" applyAlignment="1" applyProtection="1">
      <alignment vertical="center"/>
      <protection locked="0"/>
    </xf>
    <xf numFmtId="164" fontId="18" fillId="3" borderId="26" xfId="0" applyNumberFormat="1" applyFont="1" applyFill="1" applyBorder="1" applyAlignment="1" applyProtection="1">
      <alignment horizontal="center" vertical="center"/>
      <protection locked="0"/>
    </xf>
    <xf numFmtId="4" fontId="40" fillId="0" borderId="26" xfId="0" applyNumberFormat="1" applyFont="1" applyBorder="1" applyAlignment="1">
      <alignment vertical="center"/>
    </xf>
    <xf numFmtId="3" fontId="18" fillId="3" borderId="25" xfId="0" applyNumberFormat="1" applyFont="1" applyFill="1" applyBorder="1" applyAlignment="1" applyProtection="1">
      <alignment horizontal="right" vertical="center"/>
      <protection locked="0"/>
    </xf>
    <xf numFmtId="3" fontId="18" fillId="3" borderId="26" xfId="0" applyNumberFormat="1" applyFont="1" applyFill="1" applyBorder="1" applyAlignment="1" applyProtection="1">
      <alignment horizontal="right" vertical="center"/>
      <protection locked="0"/>
    </xf>
    <xf numFmtId="0" fontId="18" fillId="4" borderId="55" xfId="0" applyFont="1" applyFill="1" applyBorder="1" applyAlignment="1">
      <alignment horizontal="center" vertical="center" wrapText="1"/>
    </xf>
    <xf numFmtId="0" fontId="32" fillId="4" borderId="10" xfId="0" applyFont="1" applyFill="1" applyBorder="1" applyAlignment="1">
      <alignment horizontal="center" vertical="top" wrapText="1"/>
    </xf>
    <xf numFmtId="49" fontId="18" fillId="4" borderId="10" xfId="0" applyNumberFormat="1" applyFont="1" applyFill="1" applyBorder="1" applyAlignment="1">
      <alignment horizontal="center" vertical="top" wrapText="1"/>
    </xf>
    <xf numFmtId="49" fontId="18" fillId="3" borderId="25" xfId="0" applyNumberFormat="1" applyFont="1" applyFill="1" applyBorder="1" applyAlignment="1" applyProtection="1">
      <alignment vertical="center"/>
      <protection locked="0"/>
    </xf>
    <xf numFmtId="0" fontId="24" fillId="0" borderId="0" xfId="0" applyFont="1"/>
    <xf numFmtId="0" fontId="43" fillId="0" borderId="0" xfId="0" applyFont="1"/>
    <xf numFmtId="49" fontId="24" fillId="0" borderId="0" xfId="0" applyNumberFormat="1" applyFont="1" applyAlignment="1">
      <alignment horizontal="center" vertical="center" wrapText="1"/>
    </xf>
    <xf numFmtId="49" fontId="44" fillId="0" borderId="0" xfId="0" applyNumberFormat="1" applyFont="1" applyAlignment="1">
      <alignment vertical="top" wrapText="1"/>
    </xf>
    <xf numFmtId="49" fontId="24" fillId="0" borderId="0" xfId="0" applyNumberFormat="1" applyFont="1" applyAlignment="1">
      <alignment vertical="top" wrapText="1"/>
    </xf>
    <xf numFmtId="0" fontId="5" fillId="0" borderId="0" xfId="0" applyFont="1" applyAlignment="1">
      <alignment horizontal="left" vertical="center" indent="3"/>
    </xf>
    <xf numFmtId="0" fontId="18" fillId="0" borderId="0" xfId="0" applyFont="1" applyAlignment="1">
      <alignment horizontal="left" vertical="center" indent="1"/>
    </xf>
    <xf numFmtId="0" fontId="32" fillId="0" borderId="0" xfId="0" applyFont="1" applyAlignment="1">
      <alignment horizontal="left" vertical="center"/>
    </xf>
    <xf numFmtId="0" fontId="18" fillId="0" borderId="0" xfId="0" applyFont="1" applyAlignment="1">
      <alignment horizontal="left" vertical="center"/>
    </xf>
    <xf numFmtId="164" fontId="18" fillId="0" borderId="0" xfId="0" applyNumberFormat="1" applyFont="1" applyAlignment="1">
      <alignment horizontal="right" vertical="center"/>
    </xf>
    <xf numFmtId="0" fontId="18" fillId="4" borderId="57" xfId="0" applyFont="1" applyFill="1" applyBorder="1" applyAlignment="1">
      <alignment horizontal="center" vertical="top" wrapText="1"/>
    </xf>
    <xf numFmtId="49" fontId="32" fillId="4" borderId="37" xfId="0" applyNumberFormat="1" applyFont="1" applyFill="1" applyBorder="1" applyAlignment="1">
      <alignment horizontal="left" vertical="center"/>
    </xf>
    <xf numFmtId="49" fontId="32" fillId="4" borderId="30" xfId="0" applyNumberFormat="1" applyFont="1" applyFill="1" applyBorder="1" applyAlignment="1">
      <alignment horizontal="left" vertical="center"/>
    </xf>
    <xf numFmtId="0" fontId="18" fillId="4" borderId="58" xfId="0" applyFont="1" applyFill="1" applyBorder="1" applyAlignment="1">
      <alignment horizontal="center" vertical="top" wrapText="1"/>
    </xf>
    <xf numFmtId="0" fontId="13" fillId="0" borderId="26" xfId="0" applyFont="1" applyBorder="1" applyAlignment="1" applyProtection="1">
      <alignment horizontal="center" vertical="center"/>
      <protection locked="0"/>
    </xf>
    <xf numFmtId="0" fontId="13" fillId="4" borderId="57" xfId="0" applyFont="1" applyFill="1" applyBorder="1" applyAlignment="1">
      <alignment horizontal="center" vertical="top" wrapText="1"/>
    </xf>
    <xf numFmtId="0" fontId="19" fillId="0" borderId="24" xfId="0" applyFont="1" applyBorder="1" applyAlignment="1">
      <alignment horizontal="center" vertical="center" wrapText="1"/>
    </xf>
    <xf numFmtId="0" fontId="5" fillId="0" borderId="0" xfId="0" applyFont="1"/>
    <xf numFmtId="49" fontId="9" fillId="3" borderId="25" xfId="0" applyNumberFormat="1" applyFont="1" applyFill="1" applyBorder="1" applyAlignment="1" applyProtection="1">
      <alignment horizontal="left" vertical="center"/>
      <protection locked="0"/>
    </xf>
    <xf numFmtId="37" fontId="18" fillId="3" borderId="26" xfId="1" applyNumberFormat="1" applyFont="1" applyFill="1" applyBorder="1" applyAlignment="1" applyProtection="1">
      <alignment horizontal="right" vertical="center"/>
      <protection locked="0"/>
    </xf>
    <xf numFmtId="164" fontId="9" fillId="3" borderId="26" xfId="0" applyNumberFormat="1" applyFont="1" applyFill="1" applyBorder="1" applyAlignment="1" applyProtection="1">
      <alignment horizontal="center" vertical="center"/>
      <protection locked="0"/>
    </xf>
    <xf numFmtId="0" fontId="18" fillId="4" borderId="54" xfId="0" applyFont="1" applyFill="1" applyBorder="1" applyAlignment="1">
      <alignment horizontal="left" vertical="center"/>
    </xf>
    <xf numFmtId="0" fontId="5" fillId="0" borderId="26" xfId="0" applyFont="1" applyBorder="1" applyAlignment="1">
      <alignment horizontal="center" vertical="center" wrapText="1"/>
    </xf>
    <xf numFmtId="3" fontId="13" fillId="0" borderId="26" xfId="0" applyNumberFormat="1" applyFont="1" applyBorder="1" applyAlignment="1">
      <alignment horizontal="center" vertical="center" wrapText="1"/>
    </xf>
    <xf numFmtId="3" fontId="18" fillId="3" borderId="31" xfId="1" applyNumberFormat="1" applyFont="1" applyFill="1" applyBorder="1" applyAlignment="1" applyProtection="1">
      <alignment horizontal="right" vertical="center"/>
      <protection locked="0"/>
    </xf>
    <xf numFmtId="0" fontId="40" fillId="3" borderId="57" xfId="0" applyFont="1" applyFill="1" applyBorder="1" applyAlignment="1">
      <alignment horizontal="center" vertical="top" wrapText="1"/>
    </xf>
    <xf numFmtId="0" fontId="40" fillId="3" borderId="29" xfId="0" applyFont="1" applyFill="1" applyBorder="1" applyAlignment="1">
      <alignment horizontal="left" vertical="center" indent="1"/>
    </xf>
    <xf numFmtId="0" fontId="41" fillId="3" borderId="30" xfId="0" applyFont="1" applyFill="1" applyBorder="1" applyAlignment="1">
      <alignment horizontal="left" vertical="center"/>
    </xf>
    <xf numFmtId="0" fontId="40" fillId="3" borderId="28" xfId="0" applyFont="1" applyFill="1" applyBorder="1" applyAlignment="1">
      <alignment horizontal="left" vertical="center"/>
    </xf>
    <xf numFmtId="2" fontId="40" fillId="0" borderId="27" xfId="0" applyNumberFormat="1" applyFont="1" applyBorder="1" applyAlignment="1">
      <alignment horizontal="right" vertical="center"/>
    </xf>
    <xf numFmtId="4" fontId="40" fillId="2" borderId="26" xfId="0" applyNumberFormat="1" applyFont="1" applyFill="1" applyBorder="1" applyAlignment="1">
      <alignment horizontal="right" vertical="center"/>
    </xf>
    <xf numFmtId="0" fontId="24" fillId="0" borderId="0" xfId="0" applyFont="1" applyAlignment="1">
      <alignment horizontal="center" vertical="center" wrapText="1"/>
    </xf>
    <xf numFmtId="0" fontId="24" fillId="0" borderId="0" xfId="0" applyFont="1" applyAlignment="1" applyProtection="1">
      <alignment vertical="top"/>
      <protection hidden="1"/>
    </xf>
    <xf numFmtId="2" fontId="18" fillId="3" borderId="27" xfId="0" applyNumberFormat="1" applyFont="1" applyFill="1" applyBorder="1" applyAlignment="1" applyProtection="1">
      <alignment horizontal="right" vertical="center"/>
      <protection locked="0"/>
    </xf>
    <xf numFmtId="3" fontId="20" fillId="2" borderId="24" xfId="6" applyNumberFormat="1" applyFont="1" applyFill="1" applyBorder="1" applyAlignment="1" applyProtection="1">
      <alignment horizontal="right" vertical="center" wrapText="1"/>
      <protection hidden="1"/>
    </xf>
    <xf numFmtId="0" fontId="18" fillId="4" borderId="43" xfId="0" applyFont="1" applyFill="1" applyBorder="1" applyAlignment="1" applyProtection="1">
      <alignment horizontal="center" wrapText="1"/>
      <protection hidden="1"/>
    </xf>
    <xf numFmtId="49" fontId="19" fillId="0" borderId="0" xfId="0" applyNumberFormat="1" applyFont="1" applyAlignment="1">
      <alignment horizontal="center" vertical="center" wrapText="1"/>
    </xf>
    <xf numFmtId="0" fontId="19" fillId="0" borderId="44" xfId="0" applyFont="1" applyBorder="1" applyAlignment="1">
      <alignment horizontal="center" vertical="center" wrapText="1"/>
    </xf>
    <xf numFmtId="0" fontId="20" fillId="0" borderId="44" xfId="0" applyFont="1" applyBorder="1" applyAlignment="1">
      <alignment horizontal="center" vertical="center" wrapText="1"/>
    </xf>
    <xf numFmtId="0" fontId="40" fillId="0" borderId="46" xfId="0" applyFont="1" applyBorder="1" applyAlignment="1">
      <alignment horizontal="left" vertical="center" indent="1"/>
    </xf>
    <xf numFmtId="0" fontId="40" fillId="0" borderId="0" xfId="0" applyFont="1" applyAlignment="1">
      <alignment horizontal="left" vertical="center" indent="1"/>
    </xf>
    <xf numFmtId="0" fontId="46" fillId="0" borderId="0" xfId="0" applyFont="1" applyAlignment="1">
      <alignment horizontal="left" indent="1"/>
    </xf>
    <xf numFmtId="0" fontId="47" fillId="0" borderId="0" xfId="0" applyFont="1"/>
    <xf numFmtId="4" fontId="18" fillId="3" borderId="27" xfId="0" applyNumberFormat="1" applyFont="1" applyFill="1" applyBorder="1" applyAlignment="1" applyProtection="1">
      <alignment horizontal="right" vertical="center"/>
      <protection locked="0"/>
    </xf>
    <xf numFmtId="4" fontId="13" fillId="0" borderId="26" xfId="0" applyNumberFormat="1" applyFont="1" applyBorder="1" applyAlignment="1">
      <alignment horizontal="center" vertical="center" wrapText="1"/>
    </xf>
    <xf numFmtId="4" fontId="18" fillId="0" borderId="24" xfId="0" applyNumberFormat="1" applyFont="1" applyBorder="1" applyAlignment="1">
      <alignment horizontal="right" vertical="center"/>
    </xf>
    <xf numFmtId="4" fontId="18" fillId="2" borderId="24" xfId="0" applyNumberFormat="1" applyFont="1" applyFill="1" applyBorder="1" applyAlignment="1">
      <alignment horizontal="right" vertical="center"/>
    </xf>
    <xf numFmtId="4" fontId="18" fillId="0" borderId="26" xfId="0" applyNumberFormat="1" applyFont="1" applyBorder="1" applyAlignment="1">
      <alignment horizontal="right" vertical="center"/>
    </xf>
    <xf numFmtId="4" fontId="18" fillId="0" borderId="26" xfId="0" applyNumberFormat="1" applyFont="1" applyBorder="1" applyAlignment="1">
      <alignment vertical="center"/>
    </xf>
    <xf numFmtId="0" fontId="4" fillId="3" borderId="26" xfId="0" applyFont="1" applyFill="1" applyBorder="1" applyAlignment="1">
      <alignment horizontal="center" vertical="center" wrapText="1"/>
    </xf>
    <xf numFmtId="0" fontId="4" fillId="3" borderId="0" xfId="0" applyFont="1" applyFill="1"/>
    <xf numFmtId="0" fontId="19" fillId="3" borderId="6" xfId="4" applyFont="1" applyFill="1" applyBorder="1" applyAlignment="1" applyProtection="1">
      <alignment horizontal="center" vertical="center"/>
      <protection locked="0"/>
    </xf>
    <xf numFmtId="0" fontId="18" fillId="4" borderId="43" xfId="0" applyFont="1" applyFill="1" applyBorder="1" applyAlignment="1" applyProtection="1">
      <alignment horizontal="center" vertical="center" wrapText="1"/>
      <protection hidden="1"/>
    </xf>
    <xf numFmtId="0" fontId="18" fillId="4" borderId="57" xfId="0" applyFont="1" applyFill="1" applyBorder="1" applyAlignment="1" applyProtection="1">
      <alignment horizontal="center" vertical="center" wrapText="1"/>
      <protection hidden="1"/>
    </xf>
    <xf numFmtId="0" fontId="3" fillId="0" borderId="26" xfId="0" applyFont="1" applyBorder="1" applyAlignment="1">
      <alignment horizontal="center" vertical="center" wrapText="1"/>
    </xf>
    <xf numFmtId="3" fontId="18" fillId="3" borderId="61" xfId="0" applyNumberFormat="1" applyFont="1" applyFill="1" applyBorder="1" applyAlignment="1" applyProtection="1">
      <alignment horizontal="right" vertical="center"/>
      <protection locked="0"/>
    </xf>
    <xf numFmtId="166" fontId="13" fillId="0" borderId="26" xfId="0" applyNumberFormat="1" applyFont="1" applyBorder="1" applyAlignment="1">
      <alignment horizontal="center" vertical="center" wrapText="1"/>
    </xf>
    <xf numFmtId="4" fontId="3" fillId="0" borderId="26" xfId="0" applyNumberFormat="1" applyFont="1" applyBorder="1" applyAlignment="1">
      <alignment horizontal="center" vertical="center" wrapText="1"/>
    </xf>
    <xf numFmtId="4" fontId="20" fillId="2" borderId="24" xfId="6" applyNumberFormat="1" applyFont="1" applyFill="1" applyBorder="1" applyAlignment="1" applyProtection="1">
      <alignment horizontal="right" vertical="center" wrapText="1"/>
      <protection hidden="1"/>
    </xf>
    <xf numFmtId="4" fontId="18" fillId="3" borderId="40" xfId="0" applyNumberFormat="1" applyFont="1" applyFill="1" applyBorder="1" applyAlignment="1" applyProtection="1">
      <alignment horizontal="right" vertical="center"/>
      <protection locked="0"/>
    </xf>
    <xf numFmtId="0" fontId="40" fillId="3" borderId="43" xfId="0" applyFont="1" applyFill="1" applyBorder="1" applyAlignment="1" applyProtection="1">
      <alignment horizontal="center" wrapText="1"/>
      <protection hidden="1"/>
    </xf>
    <xf numFmtId="4" fontId="42" fillId="2" borderId="24" xfId="6" applyNumberFormat="1" applyFont="1" applyFill="1" applyBorder="1" applyAlignment="1" applyProtection="1">
      <alignment horizontal="right" vertical="center" wrapText="1"/>
      <protection hidden="1"/>
    </xf>
    <xf numFmtId="49" fontId="18" fillId="2" borderId="0" xfId="6" applyNumberFormat="1" applyFill="1" applyAlignment="1" applyProtection="1">
      <alignment horizontal="left" vertical="center" indent="3"/>
      <protection hidden="1"/>
    </xf>
    <xf numFmtId="0" fontId="32" fillId="3" borderId="0" xfId="6" applyFont="1" applyFill="1" applyAlignment="1" applyProtection="1">
      <alignment vertical="center"/>
      <protection hidden="1"/>
    </xf>
    <xf numFmtId="0" fontId="32" fillId="2" borderId="4" xfId="6" applyFont="1" applyFill="1" applyBorder="1" applyAlignment="1" applyProtection="1">
      <alignment vertical="center"/>
      <protection hidden="1"/>
    </xf>
    <xf numFmtId="0" fontId="32" fillId="2" borderId="0" xfId="6" applyFont="1" applyFill="1" applyAlignment="1" applyProtection="1">
      <alignment vertical="center"/>
      <protection hidden="1"/>
    </xf>
    <xf numFmtId="0" fontId="32" fillId="4" borderId="44" xfId="0" applyFont="1" applyFill="1" applyBorder="1" applyAlignment="1" applyProtection="1">
      <alignment horizontal="center" vertical="center" wrapText="1"/>
      <protection hidden="1"/>
    </xf>
    <xf numFmtId="0" fontId="32" fillId="4" borderId="44" xfId="0" applyFont="1" applyFill="1" applyBorder="1" applyAlignment="1" applyProtection="1">
      <alignment horizontal="center" wrapText="1"/>
      <protection hidden="1"/>
    </xf>
    <xf numFmtId="0" fontId="41" fillId="3" borderId="44" xfId="0" applyFont="1" applyFill="1" applyBorder="1" applyAlignment="1" applyProtection="1">
      <alignment horizontal="center" vertical="center" wrapText="1"/>
      <protection hidden="1"/>
    </xf>
    <xf numFmtId="0" fontId="41" fillId="3" borderId="44" xfId="0" applyFont="1" applyFill="1" applyBorder="1" applyAlignment="1" applyProtection="1">
      <alignment horizontal="center" wrapText="1"/>
      <protection hidden="1"/>
    </xf>
    <xf numFmtId="49" fontId="18" fillId="4" borderId="64" xfId="0" applyNumberFormat="1" applyFont="1" applyFill="1" applyBorder="1" applyAlignment="1">
      <alignment horizontal="center" vertical="center" wrapText="1"/>
    </xf>
    <xf numFmtId="0" fontId="20" fillId="4" borderId="45" xfId="0" applyFont="1" applyFill="1" applyBorder="1" applyAlignment="1">
      <alignment horizontal="center" vertical="center" wrapText="1"/>
    </xf>
    <xf numFmtId="0" fontId="18" fillId="4" borderId="45" xfId="0" applyFont="1" applyFill="1" applyBorder="1" applyAlignment="1">
      <alignment horizontal="center" vertical="center" wrapText="1"/>
    </xf>
    <xf numFmtId="0" fontId="42" fillId="3" borderId="45" xfId="0" applyFont="1" applyFill="1" applyBorder="1" applyAlignment="1">
      <alignment horizontal="center" vertical="center" wrapText="1"/>
    </xf>
    <xf numFmtId="0" fontId="40" fillId="3" borderId="45" xfId="0" applyFont="1" applyFill="1" applyBorder="1" applyAlignment="1">
      <alignment horizontal="center" vertical="center" wrapText="1"/>
    </xf>
    <xf numFmtId="0" fontId="18" fillId="4" borderId="65" xfId="0" applyFont="1" applyFill="1" applyBorder="1" applyAlignment="1">
      <alignment horizontal="center" vertical="center" wrapText="1"/>
    </xf>
    <xf numFmtId="0" fontId="20" fillId="4" borderId="64" xfId="0" applyFont="1" applyFill="1" applyBorder="1" applyAlignment="1">
      <alignment horizontal="center" vertical="center" wrapText="1"/>
    </xf>
    <xf numFmtId="0" fontId="40" fillId="3" borderId="66" xfId="0" applyFont="1" applyFill="1" applyBorder="1" applyAlignment="1">
      <alignment horizontal="center" vertical="center" wrapText="1"/>
    </xf>
    <xf numFmtId="0" fontId="20" fillId="4" borderId="67" xfId="0" applyFont="1" applyFill="1" applyBorder="1" applyAlignment="1">
      <alignment horizontal="center" vertical="center" wrapText="1"/>
    </xf>
    <xf numFmtId="0" fontId="13" fillId="4" borderId="41" xfId="0" applyFont="1" applyFill="1" applyBorder="1" applyAlignment="1">
      <alignment horizontal="center" vertical="center" wrapText="1"/>
    </xf>
    <xf numFmtId="0" fontId="20" fillId="4" borderId="43" xfId="0" applyFont="1" applyFill="1" applyBorder="1" applyAlignment="1">
      <alignment horizontal="center" vertical="center" wrapText="1"/>
    </xf>
    <xf numFmtId="0" fontId="42" fillId="3" borderId="43" xfId="0" applyFont="1" applyFill="1" applyBorder="1" applyAlignment="1">
      <alignment horizontal="center" vertical="center" wrapText="1"/>
    </xf>
    <xf numFmtId="0" fontId="19" fillId="4" borderId="43" xfId="0" applyFont="1" applyFill="1" applyBorder="1" applyAlignment="1">
      <alignment horizontal="center" vertical="center" wrapText="1"/>
    </xf>
    <xf numFmtId="0" fontId="2" fillId="0" borderId="0" xfId="0" applyFont="1" applyAlignment="1">
      <alignment horizontal="center" vertical="center" wrapText="1"/>
    </xf>
    <xf numFmtId="0" fontId="18" fillId="2" borderId="7" xfId="6" applyFill="1" applyBorder="1" applyAlignment="1" applyProtection="1">
      <alignment vertical="center"/>
      <protection hidden="1"/>
    </xf>
    <xf numFmtId="0" fontId="18" fillId="4" borderId="11" xfId="0" applyFont="1" applyFill="1" applyBorder="1" applyAlignment="1">
      <alignment vertical="center"/>
    </xf>
    <xf numFmtId="0" fontId="20" fillId="4" borderId="12" xfId="0" applyFont="1" applyFill="1" applyBorder="1" applyAlignment="1">
      <alignment vertical="center" wrapText="1"/>
    </xf>
    <xf numFmtId="0" fontId="20" fillId="4" borderId="12" xfId="0" applyFont="1" applyFill="1" applyBorder="1" applyAlignment="1">
      <alignment horizontal="left" vertical="center" wrapText="1"/>
    </xf>
    <xf numFmtId="0" fontId="42" fillId="3" borderId="12" xfId="0" applyFont="1" applyFill="1" applyBorder="1" applyAlignment="1">
      <alignment horizontal="left" vertical="center" wrapText="1"/>
    </xf>
    <xf numFmtId="0" fontId="40" fillId="3" borderId="12" xfId="0" applyFont="1" applyFill="1" applyBorder="1" applyAlignment="1">
      <alignment horizontal="center" vertical="center" wrapText="1"/>
    </xf>
    <xf numFmtId="0" fontId="18" fillId="4" borderId="12" xfId="0" applyFont="1" applyFill="1" applyBorder="1" applyAlignment="1">
      <alignment horizontal="center" vertical="center" wrapText="1"/>
    </xf>
    <xf numFmtId="0" fontId="18" fillId="4" borderId="14" xfId="0" applyFont="1" applyFill="1" applyBorder="1" applyAlignment="1">
      <alignment horizontal="center" vertical="center" wrapText="1"/>
    </xf>
    <xf numFmtId="0" fontId="8" fillId="4" borderId="57" xfId="0" applyFont="1" applyFill="1" applyBorder="1" applyAlignment="1">
      <alignment horizontal="center" vertical="center" wrapText="1"/>
    </xf>
    <xf numFmtId="0" fontId="18" fillId="4" borderId="58" xfId="0" applyFont="1" applyFill="1" applyBorder="1" applyAlignment="1">
      <alignment horizontal="center" vertical="top"/>
    </xf>
    <xf numFmtId="0" fontId="18" fillId="3" borderId="25" xfId="2" applyFill="1" applyBorder="1" applyAlignment="1" applyProtection="1">
      <alignment vertical="center"/>
      <protection locked="0"/>
    </xf>
    <xf numFmtId="0" fontId="10" fillId="3" borderId="26" xfId="0" applyFont="1" applyFill="1" applyBorder="1" applyAlignment="1" applyProtection="1">
      <alignment vertical="center"/>
      <protection locked="0"/>
    </xf>
    <xf numFmtId="0" fontId="18" fillId="3" borderId="26" xfId="0" applyFont="1" applyFill="1" applyBorder="1" applyAlignment="1" applyProtection="1">
      <alignment vertical="center"/>
      <protection locked="0"/>
    </xf>
    <xf numFmtId="164" fontId="8" fillId="3" borderId="26" xfId="0" applyNumberFormat="1" applyFont="1" applyFill="1" applyBorder="1" applyAlignment="1" applyProtection="1">
      <alignment horizontal="center" vertical="center"/>
      <protection locked="0"/>
    </xf>
    <xf numFmtId="4" fontId="18" fillId="2" borderId="26" xfId="1" applyNumberFormat="1" applyFont="1" applyFill="1" applyBorder="1" applyAlignment="1" applyProtection="1">
      <alignment horizontal="right" vertical="center"/>
      <protection locked="0"/>
    </xf>
    <xf numFmtId="43" fontId="18" fillId="3" borderId="26" xfId="1" applyFont="1" applyFill="1" applyBorder="1" applyAlignment="1" applyProtection="1">
      <alignment horizontal="right" vertical="center"/>
      <protection locked="0"/>
    </xf>
    <xf numFmtId="37" fontId="18" fillId="0" borderId="26" xfId="1" applyNumberFormat="1" applyFont="1" applyFill="1" applyBorder="1" applyAlignment="1" applyProtection="1">
      <alignment horizontal="right" vertical="center"/>
    </xf>
    <xf numFmtId="3" fontId="18" fillId="3" borderId="27" xfId="1" applyNumberFormat="1" applyFont="1" applyFill="1" applyBorder="1" applyAlignment="1" applyProtection="1">
      <alignment horizontal="right" vertical="center"/>
      <protection locked="0"/>
    </xf>
    <xf numFmtId="167" fontId="20" fillId="2" borderId="24" xfId="6" applyNumberFormat="1" applyFont="1" applyFill="1" applyBorder="1" applyAlignment="1" applyProtection="1">
      <alignment horizontal="left" vertical="center"/>
      <protection hidden="1"/>
    </xf>
    <xf numFmtId="0" fontId="40" fillId="3" borderId="49" xfId="0" applyFont="1" applyFill="1" applyBorder="1" applyAlignment="1" applyProtection="1">
      <alignment horizontal="center" wrapText="1"/>
      <protection hidden="1"/>
    </xf>
    <xf numFmtId="0" fontId="41" fillId="3" borderId="47" xfId="0" applyFont="1" applyFill="1" applyBorder="1" applyAlignment="1" applyProtection="1">
      <alignment horizontal="center" vertical="center" wrapText="1"/>
      <protection hidden="1"/>
    </xf>
    <xf numFmtId="4" fontId="42" fillId="2" borderId="63" xfId="6" applyNumberFormat="1" applyFont="1" applyFill="1" applyBorder="1" applyAlignment="1" applyProtection="1">
      <alignment horizontal="right" vertical="center" wrapText="1"/>
      <protection hidden="1"/>
    </xf>
    <xf numFmtId="14" fontId="20" fillId="2" borderId="62" xfId="6" applyNumberFormat="1" applyFont="1" applyFill="1" applyBorder="1" applyAlignment="1" applyProtection="1">
      <alignment horizontal="center" vertical="center" wrapText="1"/>
      <protection hidden="1"/>
    </xf>
    <xf numFmtId="0" fontId="2" fillId="3" borderId="26" xfId="0" applyFont="1" applyFill="1" applyBorder="1" applyAlignment="1">
      <alignment horizontal="center" vertical="center" wrapText="1"/>
    </xf>
    <xf numFmtId="0" fontId="13" fillId="0" borderId="68" xfId="2" applyFont="1" applyBorder="1" applyAlignment="1">
      <alignment vertical="center"/>
    </xf>
    <xf numFmtId="0" fontId="21" fillId="0" borderId="68" xfId="0" applyFont="1" applyBorder="1" applyAlignment="1">
      <alignment horizontal="left" vertical="center" wrapText="1"/>
    </xf>
    <xf numFmtId="0" fontId="13" fillId="0" borderId="68" xfId="0" applyFont="1" applyBorder="1" applyAlignment="1">
      <alignment vertical="center"/>
    </xf>
    <xf numFmtId="0" fontId="32" fillId="0" borderId="0" xfId="2" applyFont="1" applyAlignment="1">
      <alignment vertical="center"/>
    </xf>
    <xf numFmtId="0" fontId="32" fillId="0" borderId="68" xfId="2" applyFont="1" applyBorder="1"/>
    <xf numFmtId="167" fontId="20" fillId="2" borderId="24" xfId="6" applyNumberFormat="1" applyFont="1" applyFill="1" applyBorder="1" applyAlignment="1" applyProtection="1">
      <alignment horizontal="center" vertical="center"/>
      <protection hidden="1"/>
    </xf>
    <xf numFmtId="3" fontId="20" fillId="2" borderId="33" xfId="6" applyNumberFormat="1" applyFont="1" applyFill="1" applyBorder="1" applyAlignment="1">
      <alignment horizontal="right" vertical="center" wrapText="1"/>
    </xf>
    <xf numFmtId="4" fontId="20" fillId="2" borderId="33" xfId="6" applyNumberFormat="1" applyFont="1" applyFill="1" applyBorder="1" applyAlignment="1">
      <alignment horizontal="right" vertical="center" wrapText="1"/>
    </xf>
    <xf numFmtId="0" fontId="13" fillId="0" borderId="0" xfId="0" applyFont="1" applyAlignment="1">
      <alignment horizontal="center" vertical="center"/>
    </xf>
    <xf numFmtId="167" fontId="20" fillId="3" borderId="53" xfId="6" applyNumberFormat="1" applyFont="1" applyFill="1" applyBorder="1" applyAlignment="1" applyProtection="1">
      <alignment horizontal="left" vertical="center"/>
      <protection hidden="1"/>
    </xf>
    <xf numFmtId="167" fontId="20" fillId="3" borderId="53" xfId="6" applyNumberFormat="1" applyFont="1" applyFill="1" applyBorder="1" applyAlignment="1" applyProtection="1">
      <alignment horizontal="center" vertical="center"/>
      <protection hidden="1"/>
    </xf>
    <xf numFmtId="3" fontId="20" fillId="3" borderId="53" xfId="6" applyNumberFormat="1" applyFont="1" applyFill="1" applyBorder="1" applyAlignment="1" applyProtection="1">
      <alignment horizontal="right" vertical="center" wrapText="1"/>
      <protection hidden="1"/>
    </xf>
    <xf numFmtId="4" fontId="20" fillId="3" borderId="53" xfId="6" applyNumberFormat="1" applyFont="1" applyFill="1" applyBorder="1" applyAlignment="1" applyProtection="1">
      <alignment horizontal="right" vertical="center" wrapText="1"/>
      <protection hidden="1"/>
    </xf>
    <xf numFmtId="167" fontId="20" fillId="3" borderId="52" xfId="6" applyNumberFormat="1" applyFont="1" applyFill="1" applyBorder="1" applyAlignment="1" applyProtection="1">
      <alignment horizontal="left" vertical="center" indent="1"/>
      <protection hidden="1"/>
    </xf>
    <xf numFmtId="167" fontId="20" fillId="2" borderId="38" xfId="6" applyNumberFormat="1" applyFont="1" applyFill="1" applyBorder="1" applyAlignment="1" applyProtection="1">
      <alignment horizontal="left" vertical="center"/>
      <protection hidden="1"/>
    </xf>
    <xf numFmtId="167" fontId="20" fillId="2" borderId="38" xfId="6" applyNumberFormat="1" applyFont="1" applyFill="1" applyBorder="1" applyAlignment="1" applyProtection="1">
      <alignment horizontal="center" vertical="center"/>
      <protection hidden="1"/>
    </xf>
    <xf numFmtId="3" fontId="20" fillId="2" borderId="38" xfId="6" applyNumberFormat="1" applyFont="1" applyFill="1" applyBorder="1" applyAlignment="1" applyProtection="1">
      <alignment horizontal="right" vertical="center" wrapText="1"/>
      <protection hidden="1"/>
    </xf>
    <xf numFmtId="4" fontId="20" fillId="2" borderId="38" xfId="6" applyNumberFormat="1" applyFont="1" applyFill="1" applyBorder="1" applyAlignment="1" applyProtection="1">
      <alignment horizontal="right" vertical="center" wrapText="1"/>
      <protection hidden="1"/>
    </xf>
    <xf numFmtId="167" fontId="20" fillId="2" borderId="26" xfId="6" applyNumberFormat="1" applyFont="1" applyFill="1" applyBorder="1" applyAlignment="1" applyProtection="1">
      <alignment horizontal="left" vertical="center"/>
      <protection hidden="1"/>
    </xf>
    <xf numFmtId="167" fontId="20" fillId="2" borderId="26" xfId="6" applyNumberFormat="1" applyFont="1" applyFill="1" applyBorder="1" applyAlignment="1" applyProtection="1">
      <alignment horizontal="center" vertical="center"/>
      <protection hidden="1"/>
    </xf>
    <xf numFmtId="3" fontId="20" fillId="2" borderId="26" xfId="6" applyNumberFormat="1" applyFont="1" applyFill="1" applyBorder="1" applyAlignment="1" applyProtection="1">
      <alignment horizontal="right" vertical="center" wrapText="1"/>
      <protection hidden="1"/>
    </xf>
    <xf numFmtId="4" fontId="20" fillId="2" borderId="26" xfId="6" applyNumberFormat="1" applyFont="1" applyFill="1" applyBorder="1" applyAlignment="1" applyProtection="1">
      <alignment horizontal="right" vertical="center" wrapText="1"/>
      <protection hidden="1"/>
    </xf>
    <xf numFmtId="4" fontId="42" fillId="2" borderId="26" xfId="6" applyNumberFormat="1" applyFont="1" applyFill="1" applyBorder="1" applyAlignment="1" applyProtection="1">
      <alignment horizontal="right" vertical="center" wrapText="1"/>
      <protection hidden="1"/>
    </xf>
    <xf numFmtId="166" fontId="42" fillId="2" borderId="26" xfId="6" applyNumberFormat="1" applyFont="1" applyFill="1" applyBorder="1" applyAlignment="1" applyProtection="1">
      <alignment horizontal="center" vertical="center" wrapText="1"/>
      <protection hidden="1"/>
    </xf>
    <xf numFmtId="14" fontId="20" fillId="2" borderId="27" xfId="6" applyNumberFormat="1" applyFont="1" applyFill="1" applyBorder="1" applyAlignment="1" applyProtection="1">
      <alignment horizontal="center" vertical="center" wrapText="1"/>
      <protection hidden="1"/>
    </xf>
    <xf numFmtId="0" fontId="13" fillId="3" borderId="26" xfId="0" applyFont="1" applyFill="1" applyBorder="1" applyAlignment="1" applyProtection="1">
      <alignment horizontal="center" vertical="center" wrapText="1"/>
      <protection locked="0"/>
    </xf>
    <xf numFmtId="0" fontId="1" fillId="0" borderId="45" xfId="0" applyFont="1" applyBorder="1" applyAlignment="1">
      <alignment horizontal="center" vertical="center" wrapText="1"/>
    </xf>
    <xf numFmtId="4" fontId="18" fillId="3" borderId="26" xfId="0" applyNumberFormat="1" applyFont="1" applyFill="1" applyBorder="1" applyAlignment="1" applyProtection="1">
      <alignment horizontal="right" vertical="center"/>
      <protection locked="0"/>
    </xf>
    <xf numFmtId="0" fontId="40" fillId="3" borderId="65" xfId="0" applyFont="1" applyFill="1" applyBorder="1" applyAlignment="1">
      <alignment horizontal="center" vertical="center" wrapText="1"/>
    </xf>
    <xf numFmtId="167" fontId="40" fillId="0" borderId="27" xfId="0" applyNumberFormat="1" applyFont="1" applyBorder="1" applyAlignment="1">
      <alignment horizontal="left" vertical="center"/>
    </xf>
    <xf numFmtId="0" fontId="40" fillId="4" borderId="49" xfId="0" applyFont="1" applyFill="1" applyBorder="1" applyAlignment="1">
      <alignment horizontal="center" vertical="center" wrapText="1"/>
    </xf>
    <xf numFmtId="0" fontId="41" fillId="4" borderId="47" xfId="0" applyFont="1" applyFill="1" applyBorder="1" applyAlignment="1">
      <alignment horizontal="center" vertical="top" wrapText="1"/>
    </xf>
    <xf numFmtId="49" fontId="40" fillId="4" borderId="47" xfId="0" applyNumberFormat="1" applyFont="1" applyFill="1" applyBorder="1" applyAlignment="1">
      <alignment horizontal="center" vertical="top" wrapText="1"/>
    </xf>
    <xf numFmtId="0" fontId="40" fillId="4" borderId="69" xfId="0" applyFont="1" applyFill="1" applyBorder="1" applyAlignment="1">
      <alignment horizontal="center" vertical="center" wrapText="1"/>
    </xf>
    <xf numFmtId="0" fontId="1" fillId="3" borderId="26" xfId="0" applyFont="1" applyFill="1" applyBorder="1" applyAlignment="1">
      <alignment horizontal="center" vertical="center" wrapText="1"/>
    </xf>
    <xf numFmtId="2" fontId="38" fillId="0" borderId="27" xfId="0" applyNumberFormat="1" applyFont="1" applyBorder="1" applyAlignment="1">
      <alignment horizontal="right" vertical="center"/>
    </xf>
    <xf numFmtId="2" fontId="20" fillId="0" borderId="23" xfId="0" applyNumberFormat="1" applyFont="1" applyBorder="1" applyAlignment="1">
      <alignment vertical="center" wrapText="1"/>
    </xf>
    <xf numFmtId="4" fontId="22" fillId="0" borderId="0" xfId="0" applyNumberFormat="1" applyFont="1"/>
    <xf numFmtId="2" fontId="40" fillId="0" borderId="39" xfId="0" applyNumberFormat="1" applyFont="1" applyBorder="1" applyAlignment="1">
      <alignment horizontal="right" vertical="center"/>
    </xf>
    <xf numFmtId="0" fontId="48" fillId="3" borderId="0" xfId="6" applyFont="1" applyFill="1" applyAlignment="1" applyProtection="1">
      <alignment vertical="center"/>
      <protection hidden="1"/>
    </xf>
    <xf numFmtId="0" fontId="49" fillId="3" borderId="0" xfId="6" applyFont="1" applyFill="1" applyAlignment="1" applyProtection="1">
      <alignment vertical="center"/>
      <protection hidden="1"/>
    </xf>
    <xf numFmtId="166" fontId="42" fillId="2" borderId="24" xfId="6" applyNumberFormat="1" applyFont="1" applyFill="1" applyBorder="1" applyAlignment="1" applyProtection="1">
      <alignment horizontal="right" vertical="center" wrapText="1"/>
      <protection hidden="1"/>
    </xf>
    <xf numFmtId="4" fontId="18" fillId="2" borderId="26" xfId="0" applyNumberFormat="1" applyFont="1" applyFill="1" applyBorder="1" applyAlignment="1">
      <alignment horizontal="right" vertical="center"/>
    </xf>
    <xf numFmtId="2" fontId="20" fillId="0" borderId="63" xfId="0" applyNumberFormat="1" applyFont="1" applyBorder="1" applyAlignment="1">
      <alignment vertical="center" wrapText="1"/>
    </xf>
    <xf numFmtId="0" fontId="1" fillId="3" borderId="45" xfId="0" applyFont="1" applyFill="1" applyBorder="1" applyAlignment="1">
      <alignment horizontal="center" vertical="center" wrapText="1"/>
    </xf>
    <xf numFmtId="0" fontId="19" fillId="0" borderId="11" xfId="0" applyFont="1" applyBorder="1"/>
    <xf numFmtId="0" fontId="19" fillId="0" borderId="25" xfId="0" applyFont="1" applyBorder="1"/>
    <xf numFmtId="2" fontId="18" fillId="3" borderId="40" xfId="0" applyNumberFormat="1" applyFont="1" applyFill="1" applyBorder="1" applyAlignment="1" applyProtection="1">
      <alignment horizontal="right" vertical="center"/>
      <protection locked="0"/>
    </xf>
    <xf numFmtId="0" fontId="20" fillId="3" borderId="0" xfId="0" applyFont="1" applyFill="1" applyAlignment="1">
      <alignment horizontal="left" vertical="center" indent="1"/>
    </xf>
    <xf numFmtId="0" fontId="20" fillId="3" borderId="0" xfId="0" applyFont="1" applyFill="1" applyAlignment="1">
      <alignment vertical="center" wrapText="1"/>
    </xf>
    <xf numFmtId="3" fontId="42" fillId="2" borderId="24" xfId="6" applyNumberFormat="1" applyFont="1" applyFill="1" applyBorder="1" applyAlignment="1" applyProtection="1">
      <alignment horizontal="right" vertical="center" wrapText="1"/>
      <protection hidden="1"/>
    </xf>
    <xf numFmtId="168" fontId="18" fillId="2" borderId="14" xfId="1" applyNumberFormat="1" applyFont="1" applyFill="1" applyBorder="1" applyAlignment="1" applyProtection="1">
      <alignment horizontal="right" vertical="center"/>
    </xf>
    <xf numFmtId="168" fontId="18" fillId="2" borderId="27" xfId="1" applyNumberFormat="1" applyFont="1" applyFill="1" applyBorder="1" applyAlignment="1" applyProtection="1">
      <alignment horizontal="right" vertical="center"/>
    </xf>
    <xf numFmtId="169" fontId="18" fillId="2" borderId="27" xfId="1" applyNumberFormat="1" applyFont="1" applyFill="1" applyBorder="1" applyAlignment="1" applyProtection="1">
      <alignment horizontal="right" vertical="center"/>
    </xf>
    <xf numFmtId="170" fontId="18" fillId="2" borderId="20" xfId="1" applyNumberFormat="1" applyFont="1" applyFill="1" applyBorder="1" applyAlignment="1" applyProtection="1">
      <alignment horizontal="right" vertical="center"/>
    </xf>
    <xf numFmtId="169" fontId="40" fillId="0" borderId="26" xfId="0" applyNumberFormat="1" applyFont="1" applyBorder="1" applyAlignment="1">
      <alignment vertical="center"/>
    </xf>
    <xf numFmtId="169" fontId="40" fillId="2" borderId="26" xfId="1" applyNumberFormat="1" applyFont="1" applyFill="1" applyBorder="1" applyAlignment="1" applyProtection="1">
      <alignment horizontal="right" vertical="center"/>
    </xf>
    <xf numFmtId="4" fontId="40" fillId="2" borderId="26" xfId="1" applyNumberFormat="1" applyFont="1" applyFill="1" applyBorder="1" applyAlignment="1" applyProtection="1">
      <alignment horizontal="right" vertical="center"/>
    </xf>
    <xf numFmtId="4" fontId="18" fillId="2" borderId="27" xfId="1" applyNumberFormat="1" applyFont="1" applyFill="1" applyBorder="1" applyAlignment="1" applyProtection="1">
      <alignment horizontal="right" vertical="center"/>
    </xf>
    <xf numFmtId="2" fontId="18" fillId="2" borderId="39" xfId="0" applyNumberFormat="1" applyFont="1" applyFill="1" applyBorder="1" applyAlignment="1">
      <alignment horizontal="right" vertical="center"/>
    </xf>
    <xf numFmtId="4" fontId="18" fillId="0" borderId="14" xfId="0" applyNumberFormat="1" applyFont="1" applyBorder="1" applyAlignment="1">
      <alignment horizontal="right" vertical="center"/>
    </xf>
    <xf numFmtId="4" fontId="18" fillId="0" borderId="20" xfId="0" applyNumberFormat="1" applyFont="1" applyBorder="1" applyAlignment="1">
      <alignment horizontal="right" vertical="center"/>
    </xf>
    <xf numFmtId="2" fontId="40" fillId="0" borderId="26" xfId="0" applyNumberFormat="1" applyFont="1" applyBorder="1" applyAlignment="1">
      <alignment vertical="center"/>
    </xf>
    <xf numFmtId="2" fontId="40" fillId="0" borderId="39" xfId="0" applyNumberFormat="1" applyFont="1" applyBorder="1" applyAlignment="1">
      <alignment vertical="center"/>
    </xf>
    <xf numFmtId="3" fontId="18" fillId="0" borderId="20" xfId="0" applyNumberFormat="1" applyFont="1" applyBorder="1" applyAlignment="1">
      <alignment horizontal="right" vertical="center"/>
    </xf>
    <xf numFmtId="2" fontId="40" fillId="0" borderId="26" xfId="0" applyNumberFormat="1" applyFont="1" applyBorder="1" applyAlignment="1">
      <alignment horizontal="right" vertical="center"/>
    </xf>
    <xf numFmtId="2" fontId="18" fillId="0" borderId="27" xfId="0" applyNumberFormat="1" applyFont="1" applyBorder="1" applyAlignment="1">
      <alignment horizontal="right" vertical="center"/>
    </xf>
    <xf numFmtId="0" fontId="1" fillId="0" borderId="0" xfId="0" applyFont="1"/>
    <xf numFmtId="2" fontId="40" fillId="2" borderId="26" xfId="1" applyNumberFormat="1" applyFont="1" applyFill="1" applyBorder="1" applyAlignment="1" applyProtection="1">
      <alignment horizontal="right" vertical="center"/>
    </xf>
    <xf numFmtId="2" fontId="18" fillId="3" borderId="26" xfId="0" applyNumberFormat="1" applyFont="1" applyFill="1" applyBorder="1" applyAlignment="1" applyProtection="1">
      <alignment horizontal="right" vertical="center"/>
      <protection locked="0"/>
    </xf>
    <xf numFmtId="0" fontId="40" fillId="3" borderId="44" xfId="0" applyFont="1" applyFill="1" applyBorder="1" applyAlignment="1" applyProtection="1">
      <alignment horizontal="center" vertical="center" wrapText="1"/>
      <protection hidden="1"/>
    </xf>
    <xf numFmtId="0" fontId="1" fillId="0" borderId="0" xfId="0" applyFont="1" applyAlignment="1">
      <alignment horizontal="center" vertical="center" wrapText="1"/>
    </xf>
    <xf numFmtId="0" fontId="18" fillId="2" borderId="71" xfId="6" applyFill="1" applyBorder="1" applyAlignment="1" applyProtection="1">
      <alignment vertical="center"/>
      <protection hidden="1"/>
    </xf>
    <xf numFmtId="0" fontId="32" fillId="2" borderId="71" xfId="6" applyFont="1" applyFill="1" applyBorder="1" applyAlignment="1" applyProtection="1">
      <alignment vertical="center"/>
      <protection hidden="1"/>
    </xf>
    <xf numFmtId="0" fontId="18" fillId="2" borderId="72" xfId="6" applyFill="1" applyBorder="1" applyAlignment="1" applyProtection="1">
      <alignment vertical="center"/>
      <protection hidden="1"/>
    </xf>
    <xf numFmtId="0" fontId="18" fillId="3" borderId="30" xfId="6" applyFill="1" applyBorder="1" applyAlignment="1" applyProtection="1">
      <alignment vertical="center"/>
      <protection locked="0" hidden="1"/>
    </xf>
    <xf numFmtId="0" fontId="18" fillId="3" borderId="73" xfId="6" applyFill="1" applyBorder="1" applyAlignment="1" applyProtection="1">
      <alignment vertical="center"/>
      <protection hidden="1"/>
    </xf>
    <xf numFmtId="0" fontId="32" fillId="3" borderId="73" xfId="6" applyFont="1" applyFill="1" applyBorder="1" applyAlignment="1" applyProtection="1">
      <alignment vertical="center"/>
      <protection hidden="1"/>
    </xf>
    <xf numFmtId="0" fontId="40" fillId="3" borderId="47" xfId="0" applyFont="1" applyFill="1" applyBorder="1" applyAlignment="1" applyProtection="1">
      <alignment horizontal="center" vertical="center" wrapText="1"/>
      <protection hidden="1"/>
    </xf>
    <xf numFmtId="166" fontId="42" fillId="2" borderId="24" xfId="6" applyNumberFormat="1" applyFont="1" applyFill="1" applyBorder="1" applyAlignment="1" applyProtection="1">
      <alignment horizontal="center" vertical="center" wrapText="1"/>
      <protection hidden="1"/>
    </xf>
    <xf numFmtId="14" fontId="20" fillId="3" borderId="74" xfId="6" applyNumberFormat="1" applyFont="1" applyFill="1" applyBorder="1" applyAlignment="1" applyProtection="1">
      <alignment horizontal="center" vertical="center" wrapText="1"/>
      <protection hidden="1"/>
    </xf>
    <xf numFmtId="4" fontId="42" fillId="3" borderId="74" xfId="6" applyNumberFormat="1" applyFont="1" applyFill="1" applyBorder="1" applyAlignment="1" applyProtection="1">
      <alignment horizontal="right" vertical="center" wrapText="1"/>
      <protection hidden="1"/>
    </xf>
    <xf numFmtId="166" fontId="42" fillId="3" borderId="74" xfId="6" applyNumberFormat="1" applyFont="1" applyFill="1" applyBorder="1" applyAlignment="1" applyProtection="1">
      <alignment horizontal="center" vertical="center" wrapText="1"/>
      <protection hidden="1"/>
    </xf>
    <xf numFmtId="14" fontId="20" fillId="3" borderId="75" xfId="6" applyNumberFormat="1" applyFont="1" applyFill="1" applyBorder="1" applyAlignment="1" applyProtection="1">
      <alignment horizontal="center" vertical="center" wrapText="1"/>
      <protection hidden="1"/>
    </xf>
    <xf numFmtId="14" fontId="20" fillId="2" borderId="68" xfId="6" applyNumberFormat="1" applyFont="1" applyFill="1" applyBorder="1" applyAlignment="1" applyProtection="1">
      <alignment horizontal="center" vertical="center" wrapText="1"/>
      <protection hidden="1"/>
    </xf>
    <xf numFmtId="4" fontId="42" fillId="2" borderId="68" xfId="6" applyNumberFormat="1" applyFont="1" applyFill="1" applyBorder="1" applyAlignment="1" applyProtection="1">
      <alignment horizontal="right" vertical="center" wrapText="1"/>
      <protection hidden="1"/>
    </xf>
    <xf numFmtId="166" fontId="42" fillId="2" borderId="68" xfId="6" applyNumberFormat="1" applyFont="1" applyFill="1" applyBorder="1" applyAlignment="1" applyProtection="1">
      <alignment horizontal="center" vertical="center" wrapText="1"/>
      <protection hidden="1"/>
    </xf>
    <xf numFmtId="3" fontId="20" fillId="2" borderId="76" xfId="6" applyNumberFormat="1" applyFont="1" applyFill="1" applyBorder="1" applyAlignment="1">
      <alignment horizontal="right" vertical="center" wrapText="1"/>
    </xf>
    <xf numFmtId="14" fontId="20" fillId="4" borderId="74" xfId="6" applyNumberFormat="1" applyFont="1" applyFill="1" applyBorder="1" applyAlignment="1" applyProtection="1">
      <alignment horizontal="center" vertical="center" wrapText="1"/>
      <protection hidden="1"/>
    </xf>
    <xf numFmtId="14" fontId="42" fillId="4" borderId="74" xfId="6" applyNumberFormat="1" applyFont="1" applyFill="1" applyBorder="1" applyAlignment="1" applyProtection="1">
      <alignment horizontal="center" vertical="center" wrapText="1"/>
      <protection hidden="1"/>
    </xf>
    <xf numFmtId="3" fontId="42" fillId="0" borderId="74" xfId="6" applyNumberFormat="1" applyFont="1" applyBorder="1" applyAlignment="1">
      <alignment horizontal="right" vertical="center" wrapText="1"/>
    </xf>
    <xf numFmtId="14" fontId="20" fillId="4" borderId="75" xfId="6" applyNumberFormat="1" applyFont="1" applyFill="1" applyBorder="1" applyAlignment="1" applyProtection="1">
      <alignment horizontal="center" vertical="center" wrapText="1"/>
      <protection hidden="1"/>
    </xf>
    <xf numFmtId="166" fontId="42" fillId="2" borderId="81" xfId="6" applyNumberFormat="1" applyFont="1" applyFill="1" applyBorder="1" applyAlignment="1" applyProtection="1">
      <alignment horizontal="center" vertical="center" wrapText="1"/>
      <protection hidden="1"/>
    </xf>
    <xf numFmtId="14" fontId="20" fillId="2" borderId="80" xfId="6" applyNumberFormat="1" applyFont="1" applyFill="1" applyBorder="1" applyAlignment="1" applyProtection="1">
      <alignment horizontal="center" vertical="center" wrapText="1"/>
      <protection hidden="1"/>
    </xf>
    <xf numFmtId="0" fontId="18" fillId="2" borderId="82" xfId="6" applyFill="1" applyBorder="1" applyAlignment="1" applyProtection="1">
      <alignment vertical="center"/>
      <protection hidden="1"/>
    </xf>
    <xf numFmtId="0" fontId="18" fillId="2" borderId="83" xfId="6" applyFill="1" applyBorder="1" applyAlignment="1" applyProtection="1">
      <alignment vertical="center"/>
      <protection hidden="1"/>
    </xf>
    <xf numFmtId="2" fontId="40" fillId="2" borderId="25" xfId="0" applyNumberFormat="1" applyFont="1" applyFill="1" applyBorder="1" applyAlignment="1">
      <alignment horizontal="right" vertical="center"/>
    </xf>
    <xf numFmtId="2" fontId="40" fillId="2" borderId="28" xfId="0" applyNumberFormat="1" applyFont="1" applyFill="1" applyBorder="1" applyAlignment="1">
      <alignment horizontal="right" vertical="center"/>
    </xf>
    <xf numFmtId="0" fontId="19" fillId="0" borderId="28" xfId="0" applyFont="1" applyBorder="1" applyAlignment="1">
      <alignment horizontal="right" vertical="center" wrapText="1"/>
    </xf>
    <xf numFmtId="0" fontId="20" fillId="0" borderId="30" xfId="0" applyFont="1" applyBorder="1" applyAlignment="1">
      <alignment vertical="center" wrapText="1"/>
    </xf>
    <xf numFmtId="0" fontId="20" fillId="0" borderId="70" xfId="0" applyFont="1" applyBorder="1" applyAlignment="1">
      <alignment vertical="center" wrapText="1"/>
    </xf>
    <xf numFmtId="0" fontId="20" fillId="0" borderId="29" xfId="0" applyFont="1" applyBorder="1" applyAlignment="1">
      <alignment horizontal="left" vertical="center" wrapText="1" indent="1"/>
    </xf>
    <xf numFmtId="0" fontId="20" fillId="0" borderId="30" xfId="0" applyFont="1" applyBorder="1" applyAlignment="1">
      <alignment horizontal="left" vertical="center" wrapText="1" indent="1"/>
    </xf>
    <xf numFmtId="0" fontId="20" fillId="0" borderId="70" xfId="0" applyFont="1" applyBorder="1" applyAlignment="1">
      <alignment horizontal="left" vertical="center" wrapText="1" indent="1"/>
    </xf>
    <xf numFmtId="0" fontId="13" fillId="4" borderId="11" xfId="0" applyFont="1" applyFill="1" applyBorder="1" applyAlignment="1">
      <alignment horizontal="center" vertical="center" wrapText="1"/>
    </xf>
    <xf numFmtId="0" fontId="13" fillId="4" borderId="12" xfId="0" applyFont="1" applyFill="1" applyBorder="1" applyAlignment="1">
      <alignment horizontal="center" vertical="center" wrapText="1"/>
    </xf>
    <xf numFmtId="0" fontId="13" fillId="4" borderId="13" xfId="0" applyFont="1" applyFill="1" applyBorder="1" applyAlignment="1">
      <alignment horizontal="center" vertical="center" wrapText="1"/>
    </xf>
    <xf numFmtId="0" fontId="13" fillId="4" borderId="17" xfId="0" applyFont="1" applyFill="1" applyBorder="1" applyAlignment="1">
      <alignment horizontal="center" vertical="center" wrapText="1"/>
    </xf>
    <xf numFmtId="0" fontId="13" fillId="4" borderId="18" xfId="0" applyFont="1" applyFill="1" applyBorder="1" applyAlignment="1">
      <alignment horizontal="center" vertical="center" wrapText="1"/>
    </xf>
    <xf numFmtId="0" fontId="13" fillId="4" borderId="19" xfId="0" applyFont="1" applyFill="1" applyBorder="1" applyAlignment="1">
      <alignment horizontal="center" vertical="center" wrapText="1"/>
    </xf>
    <xf numFmtId="0" fontId="13" fillId="4" borderId="14" xfId="0" applyFont="1" applyFill="1" applyBorder="1" applyAlignment="1">
      <alignment horizontal="center" vertical="center" wrapText="1"/>
    </xf>
    <xf numFmtId="0" fontId="13" fillId="4" borderId="15" xfId="0" applyFont="1" applyFill="1" applyBorder="1" applyAlignment="1">
      <alignment horizontal="center" vertical="center" wrapText="1"/>
    </xf>
    <xf numFmtId="0" fontId="1" fillId="4" borderId="16" xfId="0" applyFont="1" applyFill="1" applyBorder="1" applyAlignment="1">
      <alignment horizontal="center" vertical="center" wrapText="1"/>
    </xf>
    <xf numFmtId="0" fontId="13" fillId="4" borderId="22" xfId="0" applyFont="1" applyFill="1" applyBorder="1" applyAlignment="1">
      <alignment horizontal="center" vertical="center" wrapText="1"/>
    </xf>
    <xf numFmtId="0" fontId="19" fillId="0" borderId="25" xfId="0" applyFont="1" applyBorder="1" applyAlignment="1">
      <alignment horizontal="left" vertical="center" wrapText="1" indent="1"/>
    </xf>
    <xf numFmtId="0" fontId="19" fillId="0" borderId="26" xfId="0" applyFont="1" applyBorder="1" applyAlignment="1">
      <alignment horizontal="left" vertical="center" wrapText="1" indent="1"/>
    </xf>
    <xf numFmtId="0" fontId="19" fillId="0" borderId="26" xfId="0" applyFont="1" applyBorder="1" applyAlignment="1">
      <alignment horizontal="left" vertical="center" indent="1"/>
    </xf>
    <xf numFmtId="0" fontId="7" fillId="5" borderId="32" xfId="0" applyFont="1" applyFill="1" applyBorder="1" applyAlignment="1">
      <alignment horizontal="center" vertical="center"/>
    </xf>
    <xf numFmtId="0" fontId="7" fillId="5" borderId="33" xfId="0" applyFont="1" applyFill="1" applyBorder="1" applyAlignment="1">
      <alignment horizontal="center" vertical="center"/>
    </xf>
    <xf numFmtId="0" fontId="19" fillId="0" borderId="18" xfId="0" applyFont="1" applyBorder="1" applyAlignment="1">
      <alignment horizontal="left" vertical="center" indent="1"/>
    </xf>
    <xf numFmtId="0" fontId="19" fillId="0" borderId="11" xfId="0" applyFont="1" applyBorder="1" applyAlignment="1">
      <alignment horizontal="left" vertical="center" wrapText="1" indent="1"/>
    </xf>
    <xf numFmtId="0" fontId="19" fillId="0" borderId="12" xfId="0" applyFont="1" applyBorder="1" applyAlignment="1">
      <alignment horizontal="left" vertical="center" wrapText="1" indent="1"/>
    </xf>
    <xf numFmtId="0" fontId="26" fillId="0" borderId="0" xfId="0" applyFont="1" applyAlignment="1">
      <alignment horizontal="left" vertical="top" wrapText="1"/>
    </xf>
    <xf numFmtId="0" fontId="18" fillId="0" borderId="0" xfId="2" applyAlignment="1">
      <alignment horizontal="left" vertical="center" wrapText="1"/>
    </xf>
    <xf numFmtId="0" fontId="18" fillId="0" borderId="0" xfId="2" applyAlignment="1">
      <alignment horizontal="left" wrapText="1"/>
    </xf>
    <xf numFmtId="0" fontId="7" fillId="3" borderId="26" xfId="0" applyFont="1" applyFill="1" applyBorder="1" applyAlignment="1">
      <alignment horizontal="left" vertical="center" wrapText="1"/>
    </xf>
    <xf numFmtId="0" fontId="19" fillId="0" borderId="11" xfId="0" applyFont="1" applyBorder="1" applyAlignment="1">
      <alignment horizontal="left" vertical="center" indent="1"/>
    </xf>
    <xf numFmtId="0" fontId="19" fillId="0" borderId="12" xfId="0" applyFont="1" applyBorder="1" applyAlignment="1">
      <alignment horizontal="left" vertical="center" indent="1"/>
    </xf>
    <xf numFmtId="0" fontId="19" fillId="0" borderId="25" xfId="0" applyFont="1" applyBorder="1" applyAlignment="1">
      <alignment horizontal="left" vertical="center" indent="1"/>
    </xf>
    <xf numFmtId="0" fontId="19" fillId="0" borderId="17" xfId="0" applyFont="1" applyBorder="1" applyAlignment="1">
      <alignment horizontal="left" vertical="center" indent="1"/>
    </xf>
    <xf numFmtId="0" fontId="19" fillId="0" borderId="17" xfId="0" applyFont="1" applyBorder="1" applyAlignment="1">
      <alignment horizontal="left" vertical="center" wrapText="1" indent="1"/>
    </xf>
    <xf numFmtId="0" fontId="19" fillId="0" borderId="18" xfId="0" applyFont="1" applyBorder="1" applyAlignment="1">
      <alignment horizontal="left" vertical="center" wrapText="1" indent="1"/>
    </xf>
    <xf numFmtId="0" fontId="7" fillId="5" borderId="32" xfId="0" applyFont="1" applyFill="1" applyBorder="1" applyAlignment="1">
      <alignment horizontal="center" vertical="center" wrapText="1"/>
    </xf>
    <xf numFmtId="0" fontId="7" fillId="5" borderId="33" xfId="0" applyFont="1" applyFill="1" applyBorder="1" applyAlignment="1">
      <alignment horizontal="center" vertical="center" wrapText="1"/>
    </xf>
    <xf numFmtId="0" fontId="40" fillId="3" borderId="43" xfId="0" applyFont="1" applyFill="1" applyBorder="1" applyAlignment="1">
      <alignment horizontal="center" vertical="center" wrapText="1"/>
    </xf>
    <xf numFmtId="0" fontId="40" fillId="3" borderId="44" xfId="0" applyFont="1" applyFill="1" applyBorder="1" applyAlignment="1">
      <alignment horizontal="center" vertical="center" wrapText="1"/>
    </xf>
    <xf numFmtId="49" fontId="18" fillId="4" borderId="41" xfId="0" applyNumberFormat="1" applyFont="1" applyFill="1" applyBorder="1" applyAlignment="1">
      <alignment horizontal="center" vertical="center" wrapText="1"/>
    </xf>
    <xf numFmtId="49" fontId="18" fillId="4" borderId="42" xfId="0" applyNumberFormat="1" applyFont="1" applyFill="1" applyBorder="1" applyAlignment="1">
      <alignment horizontal="center" vertical="center" wrapText="1"/>
    </xf>
    <xf numFmtId="0" fontId="18" fillId="4" borderId="48" xfId="0" applyFont="1" applyFill="1" applyBorder="1" applyAlignment="1">
      <alignment horizontal="center" vertical="center" wrapText="1"/>
    </xf>
    <xf numFmtId="0" fontId="18" fillId="4" borderId="49" xfId="0" applyFont="1" applyFill="1" applyBorder="1" applyAlignment="1">
      <alignment horizontal="center" vertical="center" wrapText="1"/>
    </xf>
    <xf numFmtId="0" fontId="18" fillId="4" borderId="46" xfId="0" applyFont="1" applyFill="1" applyBorder="1" applyAlignment="1">
      <alignment horizontal="center" vertical="center" wrapText="1"/>
    </xf>
    <xf numFmtId="0" fontId="18" fillId="4" borderId="47" xfId="0" applyFont="1" applyFill="1" applyBorder="1" applyAlignment="1">
      <alignment horizontal="center" vertical="center" wrapText="1"/>
    </xf>
    <xf numFmtId="0" fontId="18" fillId="4" borderId="43" xfId="0" applyFont="1" applyFill="1" applyBorder="1" applyAlignment="1">
      <alignment horizontal="center" vertical="center" wrapText="1"/>
    </xf>
    <xf numFmtId="0" fontId="18" fillId="4" borderId="44" xfId="0" applyFont="1" applyFill="1" applyBorder="1" applyAlignment="1">
      <alignment horizontal="center" vertical="center" wrapText="1"/>
    </xf>
    <xf numFmtId="0" fontId="18" fillId="4" borderId="57" xfId="0" applyFont="1" applyFill="1" applyBorder="1" applyAlignment="1">
      <alignment horizontal="center" vertical="center" wrapText="1"/>
    </xf>
    <xf numFmtId="164" fontId="18" fillId="3" borderId="39" xfId="0" applyNumberFormat="1" applyFont="1" applyFill="1" applyBorder="1" applyAlignment="1" applyProtection="1">
      <alignment horizontal="left" vertical="center"/>
      <protection locked="0"/>
    </xf>
    <xf numFmtId="164" fontId="18" fillId="3" borderId="28" xfId="0" applyNumberFormat="1" applyFont="1" applyFill="1" applyBorder="1" applyAlignment="1" applyProtection="1">
      <alignment horizontal="left" vertical="center"/>
      <protection locked="0"/>
    </xf>
    <xf numFmtId="0" fontId="18" fillId="4" borderId="34" xfId="0" applyFont="1" applyFill="1" applyBorder="1" applyAlignment="1">
      <alignment horizontal="left" vertical="center" wrapText="1" indent="1"/>
    </xf>
    <xf numFmtId="0" fontId="18" fillId="4" borderId="37" xfId="0" applyFont="1" applyFill="1" applyBorder="1" applyAlignment="1">
      <alignment horizontal="left" vertical="center" wrapText="1" indent="1"/>
    </xf>
    <xf numFmtId="0" fontId="18" fillId="4" borderId="15" xfId="0" applyFont="1" applyFill="1" applyBorder="1" applyAlignment="1">
      <alignment horizontal="left" vertical="center" wrapText="1" indent="1"/>
    </xf>
    <xf numFmtId="0" fontId="18" fillId="4" borderId="11" xfId="0" applyFont="1" applyFill="1" applyBorder="1" applyAlignment="1">
      <alignment horizontal="left" vertical="center" indent="1"/>
    </xf>
    <xf numFmtId="0" fontId="18" fillId="4" borderId="12" xfId="0" applyFont="1" applyFill="1" applyBorder="1" applyAlignment="1">
      <alignment horizontal="left" vertical="center" indent="1"/>
    </xf>
    <xf numFmtId="0" fontId="18" fillId="4" borderId="25" xfId="0" applyFont="1" applyFill="1" applyBorder="1" applyAlignment="1">
      <alignment horizontal="left" vertical="center" indent="1"/>
    </xf>
    <xf numFmtId="0" fontId="18" fillId="4" borderId="26" xfId="0" applyFont="1" applyFill="1" applyBorder="1" applyAlignment="1">
      <alignment horizontal="left" vertical="center" indent="1"/>
    </xf>
    <xf numFmtId="0" fontId="20" fillId="4" borderId="45" xfId="0" applyFont="1" applyFill="1" applyBorder="1" applyAlignment="1">
      <alignment horizontal="center" vertical="center" wrapText="1"/>
    </xf>
    <xf numFmtId="0" fontId="18" fillId="4" borderId="17" xfId="0" applyFont="1" applyFill="1" applyBorder="1" applyAlignment="1">
      <alignment horizontal="left" vertical="center" indent="1"/>
    </xf>
    <xf numFmtId="0" fontId="18" fillId="4" borderId="18" xfId="0" applyFont="1" applyFill="1" applyBorder="1" applyAlignment="1">
      <alignment horizontal="left" vertical="center" indent="1"/>
    </xf>
    <xf numFmtId="0" fontId="18" fillId="3" borderId="26" xfId="0" applyFont="1" applyFill="1" applyBorder="1" applyAlignment="1" applyProtection="1">
      <alignment horizontal="left" vertical="center"/>
      <protection locked="0"/>
    </xf>
    <xf numFmtId="49" fontId="18" fillId="4" borderId="56" xfId="0" applyNumberFormat="1" applyFont="1" applyFill="1" applyBorder="1" applyAlignment="1">
      <alignment horizontal="center" vertical="center" wrapText="1"/>
    </xf>
    <xf numFmtId="0" fontId="8" fillId="0" borderId="45" xfId="0" applyFont="1" applyBorder="1" applyAlignment="1">
      <alignment horizontal="center" vertical="center" wrapText="1"/>
    </xf>
    <xf numFmtId="0" fontId="8" fillId="0" borderId="44" xfId="0" applyFont="1" applyBorder="1" applyAlignment="1">
      <alignment horizontal="center" vertical="center" wrapText="1"/>
    </xf>
    <xf numFmtId="0" fontId="8" fillId="0" borderId="24" xfId="0" applyFont="1" applyBorder="1" applyAlignment="1">
      <alignment horizontal="center" vertical="center" wrapText="1"/>
    </xf>
    <xf numFmtId="0" fontId="18" fillId="0" borderId="45" xfId="0" applyFont="1" applyBorder="1" applyAlignment="1">
      <alignment horizontal="center" vertical="center" wrapText="1"/>
    </xf>
    <xf numFmtId="0" fontId="18" fillId="0" borderId="44" xfId="0" applyFont="1" applyBorder="1" applyAlignment="1">
      <alignment horizontal="center" vertical="center" wrapText="1"/>
    </xf>
    <xf numFmtId="0" fontId="18" fillId="4" borderId="59" xfId="0" applyFont="1" applyFill="1" applyBorder="1" applyAlignment="1">
      <alignment horizontal="center" vertical="center" wrapText="1"/>
    </xf>
    <xf numFmtId="0" fontId="18" fillId="4" borderId="60" xfId="0" applyFont="1" applyFill="1" applyBorder="1" applyAlignment="1">
      <alignment horizontal="center" vertical="center" wrapText="1"/>
    </xf>
    <xf numFmtId="0" fontId="20" fillId="4" borderId="43" xfId="0" applyFont="1" applyFill="1" applyBorder="1" applyAlignment="1">
      <alignment horizontal="center" vertical="center" wrapText="1"/>
    </xf>
    <xf numFmtId="0" fontId="20" fillId="0" borderId="44" xfId="0" applyFont="1" applyBorder="1" applyAlignment="1">
      <alignment horizontal="center" vertical="center" wrapText="1"/>
    </xf>
    <xf numFmtId="0" fontId="20" fillId="0" borderId="24" xfId="0" applyFont="1" applyBorder="1" applyAlignment="1">
      <alignment horizontal="center" vertical="center" wrapText="1"/>
    </xf>
    <xf numFmtId="0" fontId="18" fillId="4" borderId="41" xfId="0" applyFont="1" applyFill="1" applyBorder="1" applyAlignment="1">
      <alignment horizontal="center" vertical="center" wrapText="1"/>
    </xf>
    <xf numFmtId="0" fontId="18" fillId="4" borderId="42" xfId="0" applyFont="1" applyFill="1" applyBorder="1" applyAlignment="1">
      <alignment horizontal="center" vertical="center"/>
    </xf>
    <xf numFmtId="0" fontId="18" fillId="4" borderId="56" xfId="0" applyFont="1" applyFill="1" applyBorder="1" applyAlignment="1">
      <alignment horizontal="center" vertical="center"/>
    </xf>
    <xf numFmtId="0" fontId="18" fillId="4" borderId="50" xfId="0" applyFont="1" applyFill="1" applyBorder="1" applyAlignment="1">
      <alignment horizontal="center" vertical="center" wrapText="1"/>
    </xf>
    <xf numFmtId="0" fontId="18" fillId="4" borderId="51" xfId="0" applyFont="1" applyFill="1" applyBorder="1" applyAlignment="1">
      <alignment horizontal="center" vertical="center" wrapText="1"/>
    </xf>
    <xf numFmtId="0" fontId="1" fillId="0" borderId="45" xfId="0" applyFont="1" applyBorder="1" applyAlignment="1">
      <alignment horizontal="center" vertical="center" wrapText="1"/>
    </xf>
    <xf numFmtId="0" fontId="1" fillId="0" borderId="44" xfId="0" applyFont="1" applyBorder="1" applyAlignment="1">
      <alignment horizontal="center" vertical="center" wrapText="1"/>
    </xf>
    <xf numFmtId="0" fontId="1" fillId="0" borderId="24" xfId="0" applyFont="1" applyBorder="1" applyAlignment="1">
      <alignment horizontal="center" vertical="center" wrapText="1"/>
    </xf>
    <xf numFmtId="0" fontId="18" fillId="4" borderId="77" xfId="0" applyFont="1" applyFill="1" applyBorder="1" applyAlignment="1" applyProtection="1">
      <alignment horizontal="center" vertical="center" wrapText="1"/>
      <protection hidden="1"/>
    </xf>
    <xf numFmtId="0" fontId="18" fillId="4" borderId="78" xfId="0" applyFont="1" applyFill="1" applyBorder="1" applyAlignment="1" applyProtection="1">
      <alignment horizontal="center" vertical="center" wrapText="1"/>
      <protection hidden="1"/>
    </xf>
    <xf numFmtId="0" fontId="18" fillId="4" borderId="79" xfId="0" applyFont="1" applyFill="1" applyBorder="1" applyAlignment="1" applyProtection="1">
      <alignment horizontal="center" vertical="center" wrapText="1"/>
      <protection hidden="1"/>
    </xf>
    <xf numFmtId="0" fontId="40" fillId="3" borderId="43" xfId="0" applyFont="1" applyFill="1" applyBorder="1" applyAlignment="1" applyProtection="1">
      <alignment horizontal="center" vertical="center" wrapText="1"/>
      <protection hidden="1"/>
    </xf>
    <xf numFmtId="0" fontId="40" fillId="3" borderId="44" xfId="0" applyFont="1" applyFill="1" applyBorder="1" applyAlignment="1" applyProtection="1">
      <alignment horizontal="center" vertical="center" wrapText="1"/>
      <protection hidden="1"/>
    </xf>
    <xf numFmtId="0" fontId="40" fillId="3" borderId="48" xfId="0" applyFont="1" applyFill="1" applyBorder="1" applyAlignment="1" applyProtection="1">
      <alignment horizontal="center" vertical="center" wrapText="1"/>
      <protection hidden="1"/>
    </xf>
    <xf numFmtId="0" fontId="40" fillId="3" borderId="46" xfId="0" applyFont="1" applyFill="1" applyBorder="1" applyAlignment="1" applyProtection="1">
      <alignment horizontal="center" vertical="center" wrapText="1"/>
      <protection hidden="1"/>
    </xf>
    <xf numFmtId="0" fontId="18" fillId="4" borderId="43" xfId="0" applyFont="1" applyFill="1" applyBorder="1" applyAlignment="1" applyProtection="1">
      <alignment horizontal="center" wrapText="1"/>
      <protection hidden="1"/>
    </xf>
    <xf numFmtId="0" fontId="18" fillId="4" borderId="44" xfId="0" applyFont="1" applyFill="1" applyBorder="1" applyAlignment="1" applyProtection="1">
      <alignment horizontal="center" wrapText="1"/>
      <protection hidden="1"/>
    </xf>
    <xf numFmtId="0" fontId="18" fillId="4" borderId="50" xfId="0" applyFont="1" applyFill="1" applyBorder="1" applyAlignment="1" applyProtection="1">
      <alignment horizontal="center" vertical="center" wrapText="1"/>
      <protection hidden="1"/>
    </xf>
    <xf numFmtId="0" fontId="18" fillId="4" borderId="51" xfId="0" applyFont="1" applyFill="1" applyBorder="1" applyAlignment="1" applyProtection="1">
      <alignment horizontal="center" vertical="center" wrapText="1"/>
      <protection hidden="1"/>
    </xf>
    <xf numFmtId="0" fontId="18" fillId="4" borderId="32" xfId="6" applyFill="1" applyBorder="1" applyAlignment="1" applyProtection="1">
      <alignment horizontal="left" vertical="center" indent="1"/>
      <protection hidden="1"/>
    </xf>
    <xf numFmtId="0" fontId="18" fillId="4" borderId="33" xfId="6" applyFill="1" applyBorder="1" applyAlignment="1" applyProtection="1">
      <alignment horizontal="left" vertical="center" indent="1"/>
      <protection hidden="1"/>
    </xf>
    <xf numFmtId="0" fontId="18" fillId="4" borderId="41" xfId="0" applyFont="1" applyFill="1" applyBorder="1" applyAlignment="1" applyProtection="1">
      <alignment horizontal="center" vertical="center" wrapText="1"/>
      <protection hidden="1"/>
    </xf>
    <xf numFmtId="0" fontId="18" fillId="4" borderId="42" xfId="0" applyFont="1" applyFill="1" applyBorder="1" applyAlignment="1" applyProtection="1">
      <alignment horizontal="center" vertical="center" wrapText="1"/>
      <protection hidden="1"/>
    </xf>
    <xf numFmtId="0" fontId="18" fillId="4" borderId="56" xfId="0" applyFont="1" applyFill="1" applyBorder="1" applyAlignment="1" applyProtection="1">
      <alignment horizontal="center" vertical="center" wrapText="1"/>
      <protection hidden="1"/>
    </xf>
    <xf numFmtId="0" fontId="18" fillId="4" borderId="43" xfId="0" applyFont="1" applyFill="1" applyBorder="1" applyAlignment="1" applyProtection="1">
      <alignment horizontal="center" vertical="center" wrapText="1"/>
      <protection hidden="1"/>
    </xf>
    <xf numFmtId="0" fontId="18" fillId="4" borderId="44" xfId="0" applyFont="1" applyFill="1" applyBorder="1" applyAlignment="1" applyProtection="1">
      <alignment horizontal="center" vertical="center" wrapText="1"/>
      <protection hidden="1"/>
    </xf>
    <xf numFmtId="0" fontId="18" fillId="4" borderId="57" xfId="0" applyFont="1" applyFill="1" applyBorder="1" applyAlignment="1" applyProtection="1">
      <alignment horizontal="center" vertical="center" wrapText="1"/>
      <protection hidden="1"/>
    </xf>
  </cellXfs>
  <cellStyles count="8">
    <cellStyle name="Comma" xfId="1" builtinId="3"/>
    <cellStyle name="Normal" xfId="0" builtinId="0"/>
    <cellStyle name="Normal 2" xfId="4" xr:uid="{00000000-0005-0000-0000-000002000000}"/>
    <cellStyle name="Normal 2 2" xfId="2" xr:uid="{00000000-0005-0000-0000-000003000000}"/>
    <cellStyle name="Normal 2 2 2" xfId="5" xr:uid="{00000000-0005-0000-0000-000004000000}"/>
    <cellStyle name="Normal 2 3" xfId="3" xr:uid="{00000000-0005-0000-0000-000005000000}"/>
    <cellStyle name="Normal 4" xfId="6" xr:uid="{00000000-0005-0000-0000-000006000000}"/>
    <cellStyle name="Percent 2" xfId="7" xr:uid="{00000000-0005-0000-0000-000007000000}"/>
  </cellStyles>
  <dxfs count="10">
    <dxf>
      <font>
        <b/>
        <i val="0"/>
        <u val="none"/>
        <color auto="1"/>
      </font>
      <fill>
        <patternFill>
          <bgColor rgb="FFC5F5FF"/>
        </patternFill>
      </fill>
      <border>
        <left style="thin">
          <color theme="0" tint="-0.499984740745262"/>
        </left>
        <right style="thin">
          <color theme="0" tint="-0.24994659260841701"/>
        </right>
        <top style="thin">
          <color theme="0" tint="-0.24994659260841701"/>
        </top>
        <bottom style="thin">
          <color theme="0" tint="-0.24994659260841701"/>
        </bottom>
      </border>
    </dxf>
    <dxf>
      <font>
        <color rgb="FF9C0006"/>
      </font>
      <fill>
        <patternFill>
          <bgColor rgb="FFFFC7CE"/>
        </patternFill>
      </fill>
    </dxf>
    <dxf>
      <font>
        <color theme="0"/>
      </font>
    </dxf>
    <dxf>
      <fill>
        <patternFill>
          <bgColor theme="0" tint="-4.9989318521683403E-2"/>
        </patternFill>
      </fill>
    </dxf>
    <dxf>
      <font>
        <color theme="0"/>
      </font>
    </dxf>
    <dxf>
      <font>
        <color theme="0"/>
      </font>
    </dxf>
    <dxf>
      <font>
        <color theme="0"/>
      </font>
    </dxf>
    <dxf>
      <font>
        <b/>
        <i val="0"/>
        <u val="none"/>
        <color auto="1"/>
      </font>
      <fill>
        <patternFill>
          <bgColor rgb="FFC5F5FF"/>
        </patternFill>
      </fill>
      <border>
        <left style="thin">
          <color theme="0" tint="-0.499984740745262"/>
        </left>
        <right style="thin">
          <color theme="0" tint="-0.24994659260841701"/>
        </right>
        <top style="thin">
          <color theme="0" tint="-0.24994659260841701"/>
        </top>
        <bottom style="thin">
          <color theme="0" tint="-0.24994659260841701"/>
        </bottom>
      </border>
    </dxf>
    <dxf>
      <font>
        <color rgb="FF9C0006"/>
      </font>
      <fill>
        <patternFill>
          <bgColor rgb="FFFFC7CE"/>
        </patternFill>
      </fill>
    </dxf>
    <dxf>
      <font>
        <color theme="0"/>
      </font>
    </dxf>
  </dxfs>
  <tableStyles count="1" defaultTableStyle="TableStyleMedium2" defaultPivotStyle="PivotStyleLight16">
    <tableStyle name="MySqlDefault" pivot="0" table="0" count="0" xr9:uid="{00000000-0011-0000-FFFF-FFFF00000000}"/>
  </tableStyles>
  <colors>
    <mruColors>
      <color rgb="FFC5F5FF"/>
      <color rgb="FF00AD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Y$5"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P$5" lockText="1"/>
</file>

<file path=xl/ctrlProps/ctrlProp9.xml><?xml version="1.0" encoding="utf-8"?>
<formControlPr xmlns="http://schemas.microsoft.com/office/spreadsheetml/2009/9/main" objectType="CheckBox" checked="Checked" fmlaLink="$O$5"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Y$5"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V$5"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63498</xdr:colOff>
      <xdr:row>1</xdr:row>
      <xdr:rowOff>63498</xdr:rowOff>
    </xdr:from>
    <xdr:to>
      <xdr:col>4</xdr:col>
      <xdr:colOff>11904</xdr:colOff>
      <xdr:row>3</xdr:row>
      <xdr:rowOff>117737</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243415" y="253998"/>
          <a:ext cx="773906" cy="773906"/>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xdr:col>
          <xdr:colOff>1114425</xdr:colOff>
          <xdr:row>26</xdr:row>
          <xdr:rowOff>104775</xdr:rowOff>
        </xdr:from>
        <xdr:to>
          <xdr:col>6</xdr:col>
          <xdr:colOff>838200</xdr:colOff>
          <xdr:row>26</xdr:row>
          <xdr:rowOff>381000</xdr:rowOff>
        </xdr:to>
        <xdr:sp macro="" textlink="">
          <xdr:nvSpPr>
            <xdr:cNvPr id="3145" name="Button 73" hidden="1">
              <a:extLst>
                <a:ext uri="{63B3BB69-23CF-44E3-9099-C40C66FF867C}">
                  <a14:compatExt spid="_x0000_s3145"/>
                </a:ext>
                <a:ext uri="{FF2B5EF4-FFF2-40B4-BE49-F238E27FC236}">
                  <a16:creationId xmlns:a16="http://schemas.microsoft.com/office/drawing/2014/main" id="{00000000-0008-0000-0000-00004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26</xdr:row>
          <xdr:rowOff>104775</xdr:rowOff>
        </xdr:from>
        <xdr:to>
          <xdr:col>5</xdr:col>
          <xdr:colOff>1028700</xdr:colOff>
          <xdr:row>26</xdr:row>
          <xdr:rowOff>371475</xdr:rowOff>
        </xdr:to>
        <xdr:sp macro="" textlink="">
          <xdr:nvSpPr>
            <xdr:cNvPr id="3146" name="Button 74" hidden="1">
              <a:extLst>
                <a:ext uri="{63B3BB69-23CF-44E3-9099-C40C66FF867C}">
                  <a14:compatExt spid="_x0000_s3146"/>
                </a:ext>
                <a:ext uri="{FF2B5EF4-FFF2-40B4-BE49-F238E27FC236}">
                  <a16:creationId xmlns:a16="http://schemas.microsoft.com/office/drawing/2014/main" id="{00000000-0008-0000-0000-00004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System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16</xdr:row>
          <xdr:rowOff>142875</xdr:rowOff>
        </xdr:from>
        <xdr:to>
          <xdr:col>1</xdr:col>
          <xdr:colOff>1371600</xdr:colOff>
          <xdr:row>16</xdr:row>
          <xdr:rowOff>419100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100-000009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16</xdr:row>
          <xdr:rowOff>133350</xdr:rowOff>
        </xdr:from>
        <xdr:to>
          <xdr:col>1</xdr:col>
          <xdr:colOff>2847975</xdr:colOff>
          <xdr:row>16</xdr:row>
          <xdr:rowOff>409575</xdr:rowOff>
        </xdr:to>
        <xdr:sp macro="" textlink="">
          <xdr:nvSpPr>
            <xdr:cNvPr id="19466" name="Button 10" hidden="1">
              <a:extLst>
                <a:ext uri="{63B3BB69-23CF-44E3-9099-C40C66FF867C}">
                  <a14:compatExt spid="_x0000_s19466"/>
                </a:ext>
                <a:ext uri="{FF2B5EF4-FFF2-40B4-BE49-F238E27FC236}">
                  <a16:creationId xmlns:a16="http://schemas.microsoft.com/office/drawing/2014/main" id="{00000000-0008-0000-0100-00000A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152400</xdr:rowOff>
        </xdr:from>
        <xdr:to>
          <xdr:col>1</xdr:col>
          <xdr:colOff>2114550</xdr:colOff>
          <xdr:row>4</xdr:row>
          <xdr:rowOff>447675</xdr:rowOff>
        </xdr:to>
        <xdr:sp macro="" textlink="">
          <xdr:nvSpPr>
            <xdr:cNvPr id="19484" name="Check Box 28" hidden="1">
              <a:extLst>
                <a:ext uri="{63B3BB69-23CF-44E3-9099-C40C66FF867C}">
                  <a14:compatExt spid="_x0000_s19484"/>
                </a:ext>
                <a:ext uri="{FF2B5EF4-FFF2-40B4-BE49-F238E27FC236}">
                  <a16:creationId xmlns:a16="http://schemas.microsoft.com/office/drawing/2014/main" id="{00000000-0008-0000-0100-00001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16</xdr:row>
          <xdr:rowOff>200025</xdr:rowOff>
        </xdr:from>
        <xdr:to>
          <xdr:col>1</xdr:col>
          <xdr:colOff>1371600</xdr:colOff>
          <xdr:row>16</xdr:row>
          <xdr:rowOff>476250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200-000003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16</xdr:row>
          <xdr:rowOff>190500</xdr:rowOff>
        </xdr:from>
        <xdr:to>
          <xdr:col>1</xdr:col>
          <xdr:colOff>2838450</xdr:colOff>
          <xdr:row>16</xdr:row>
          <xdr:rowOff>466725</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200-000004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161925</xdr:rowOff>
        </xdr:from>
        <xdr:to>
          <xdr:col>1</xdr:col>
          <xdr:colOff>2124075</xdr:colOff>
          <xdr:row>4</xdr:row>
          <xdr:rowOff>457200</xdr:rowOff>
        </xdr:to>
        <xdr:sp macro="" textlink="">
          <xdr:nvSpPr>
            <xdr:cNvPr id="23558" name="Check Box 6" hidden="1">
              <a:extLst>
                <a:ext uri="{63B3BB69-23CF-44E3-9099-C40C66FF867C}">
                  <a14:compatExt spid="_x0000_s23558"/>
                </a:ext>
                <a:ext uri="{FF2B5EF4-FFF2-40B4-BE49-F238E27FC236}">
                  <a16:creationId xmlns:a16="http://schemas.microsoft.com/office/drawing/2014/main" id="{00000000-0008-0000-0200-00000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4</xdr:row>
          <xdr:rowOff>161925</xdr:rowOff>
        </xdr:from>
        <xdr:to>
          <xdr:col>1</xdr:col>
          <xdr:colOff>2114550</xdr:colOff>
          <xdr:row>4</xdr:row>
          <xdr:rowOff>457200</xdr:rowOff>
        </xdr:to>
        <xdr:sp macro="" textlink="">
          <xdr:nvSpPr>
            <xdr:cNvPr id="63489" name="Check Box 1" hidden="1">
              <a:extLst>
                <a:ext uri="{63B3BB69-23CF-44E3-9099-C40C66FF867C}">
                  <a14:compatExt spid="_x0000_s63489"/>
                </a:ext>
                <a:ext uri="{FF2B5EF4-FFF2-40B4-BE49-F238E27FC236}">
                  <a16:creationId xmlns:a16="http://schemas.microsoft.com/office/drawing/2014/main" id="{00000000-0008-0000-0300-000001F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14</xdr:row>
          <xdr:rowOff>38100</xdr:rowOff>
        </xdr:from>
        <xdr:to>
          <xdr:col>1</xdr:col>
          <xdr:colOff>1419225</xdr:colOff>
          <xdr:row>15</xdr:row>
          <xdr:rowOff>123825</xdr:rowOff>
        </xdr:to>
        <xdr:sp macro="" textlink="">
          <xdr:nvSpPr>
            <xdr:cNvPr id="63497" name="Button 9" hidden="1">
              <a:extLst>
                <a:ext uri="{63B3BB69-23CF-44E3-9099-C40C66FF867C}">
                  <a14:compatExt spid="_x0000_s63497"/>
                </a:ext>
                <a:ext uri="{FF2B5EF4-FFF2-40B4-BE49-F238E27FC236}">
                  <a16:creationId xmlns:a16="http://schemas.microsoft.com/office/drawing/2014/main" id="{00000000-0008-0000-0300-000009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1504950</xdr:colOff>
          <xdr:row>14</xdr:row>
          <xdr:rowOff>28575</xdr:rowOff>
        </xdr:from>
        <xdr:to>
          <xdr:col>2</xdr:col>
          <xdr:colOff>581025</xdr:colOff>
          <xdr:row>15</xdr:row>
          <xdr:rowOff>114300</xdr:rowOff>
        </xdr:to>
        <xdr:sp macro="" textlink="">
          <xdr:nvSpPr>
            <xdr:cNvPr id="63498" name="Button 10" hidden="1">
              <a:extLst>
                <a:ext uri="{63B3BB69-23CF-44E3-9099-C40C66FF867C}">
                  <a14:compatExt spid="_x0000_s63498"/>
                </a:ext>
                <a:ext uri="{FF2B5EF4-FFF2-40B4-BE49-F238E27FC236}">
                  <a16:creationId xmlns:a16="http://schemas.microsoft.com/office/drawing/2014/main" id="{00000000-0008-0000-0300-00000A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System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163</xdr:row>
          <xdr:rowOff>142875</xdr:rowOff>
        </xdr:from>
        <xdr:to>
          <xdr:col>1</xdr:col>
          <xdr:colOff>1371600</xdr:colOff>
          <xdr:row>163</xdr:row>
          <xdr:rowOff>419100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400-000001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163</xdr:row>
          <xdr:rowOff>133350</xdr:rowOff>
        </xdr:from>
        <xdr:to>
          <xdr:col>1</xdr:col>
          <xdr:colOff>2847975</xdr:colOff>
          <xdr:row>163</xdr:row>
          <xdr:rowOff>409575</xdr:rowOff>
        </xdr:to>
        <xdr:sp macro="" textlink="">
          <xdr:nvSpPr>
            <xdr:cNvPr id="65538" name="Button 2" hidden="1">
              <a:extLst>
                <a:ext uri="{63B3BB69-23CF-44E3-9099-C40C66FF867C}">
                  <a14:compatExt spid="_x0000_s65538"/>
                </a:ext>
                <a:ext uri="{FF2B5EF4-FFF2-40B4-BE49-F238E27FC236}">
                  <a16:creationId xmlns:a16="http://schemas.microsoft.com/office/drawing/2014/main" id="{00000000-0008-0000-0400-000002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152400</xdr:rowOff>
        </xdr:from>
        <xdr:to>
          <xdr:col>1</xdr:col>
          <xdr:colOff>2114550</xdr:colOff>
          <xdr:row>4</xdr:row>
          <xdr:rowOff>447675</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400-000003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4</xdr:row>
          <xdr:rowOff>133350</xdr:rowOff>
        </xdr:from>
        <xdr:to>
          <xdr:col>3</xdr:col>
          <xdr:colOff>1419225</xdr:colOff>
          <xdr:row>6</xdr:row>
          <xdr:rowOff>19050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Systems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xdr:row>
          <xdr:rowOff>142875</xdr:rowOff>
        </xdr:from>
        <xdr:to>
          <xdr:col>5</xdr:col>
          <xdr:colOff>733425</xdr:colOff>
          <xdr:row>6</xdr:row>
          <xdr:rowOff>57150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06"/>
  <sheetViews>
    <sheetView showGridLines="0" tabSelected="1" zoomScale="90" zoomScaleNormal="90" workbookViewId="0">
      <selection activeCell="M24" sqref="M24"/>
    </sheetView>
  </sheetViews>
  <sheetFormatPr defaultColWidth="9.140625" defaultRowHeight="15" x14ac:dyDescent="0.25"/>
  <cols>
    <col min="1" max="2" width="2.7109375" style="2" customWidth="1"/>
    <col min="3" max="3" width="7" style="2" customWidth="1"/>
    <col min="4" max="4" width="2.7109375" style="2" customWidth="1"/>
    <col min="5" max="5" width="5.7109375" style="2" customWidth="1"/>
    <col min="6" max="6" width="24.7109375" style="2" customWidth="1"/>
    <col min="7" max="10" width="14.7109375" style="2" customWidth="1"/>
    <col min="11" max="11" width="17.5703125" style="2" customWidth="1"/>
    <col min="12" max="12" width="5.28515625" style="2" customWidth="1"/>
    <col min="13" max="13" width="18.7109375" style="2" customWidth="1"/>
    <col min="14" max="14" width="14.28515625" style="2" hidden="1" customWidth="1"/>
    <col min="15" max="15" width="11.5703125" style="78" hidden="1" customWidth="1"/>
    <col min="16" max="16" width="11.140625" style="78" hidden="1" customWidth="1"/>
    <col min="17" max="17" width="22.28515625" style="78" hidden="1" customWidth="1"/>
    <col min="18" max="20" width="9.140625" style="78" hidden="1" customWidth="1"/>
    <col min="21" max="16384" width="9.140625" style="78"/>
  </cols>
  <sheetData>
    <row r="1" spans="1:14" x14ac:dyDescent="0.25">
      <c r="A1" s="1"/>
      <c r="B1" s="1"/>
      <c r="C1" s="1"/>
      <c r="E1" s="1"/>
      <c r="F1" s="1"/>
      <c r="G1" s="1"/>
      <c r="H1" s="1"/>
      <c r="I1" s="1"/>
    </row>
    <row r="2" spans="1:14" x14ac:dyDescent="0.25">
      <c r="A2" s="3"/>
      <c r="B2" s="4"/>
      <c r="C2" s="5"/>
      <c r="D2" s="6"/>
      <c r="E2" s="5"/>
      <c r="F2" s="5"/>
      <c r="G2" s="5"/>
      <c r="H2" s="5"/>
      <c r="I2" s="5"/>
      <c r="J2" s="5"/>
      <c r="K2" s="5"/>
      <c r="L2" s="7"/>
    </row>
    <row r="3" spans="1:14" ht="42" customHeight="1" x14ac:dyDescent="0.25">
      <c r="A3" s="1"/>
      <c r="B3" s="8"/>
      <c r="C3" s="35"/>
      <c r="D3" s="10"/>
      <c r="E3" s="466" t="s">
        <v>305</v>
      </c>
      <c r="F3" s="466"/>
      <c r="G3" s="466"/>
      <c r="H3" s="466"/>
      <c r="I3" s="466"/>
      <c r="J3" s="466"/>
      <c r="K3" s="466"/>
      <c r="L3" s="82"/>
    </row>
    <row r="4" spans="1:14" ht="21" customHeight="1" x14ac:dyDescent="0.25">
      <c r="A4" s="1"/>
      <c r="B4" s="8"/>
      <c r="C4" s="9"/>
      <c r="D4" s="10"/>
      <c r="E4" s="11"/>
      <c r="F4" s="11"/>
      <c r="G4" s="11"/>
      <c r="H4" s="11"/>
      <c r="I4" s="11"/>
      <c r="J4" s="11"/>
      <c r="K4" s="11"/>
      <c r="L4" s="83"/>
    </row>
    <row r="5" spans="1:14" ht="15" customHeight="1" x14ac:dyDescent="0.25">
      <c r="A5" s="1"/>
      <c r="B5" s="8"/>
      <c r="C5" s="12"/>
      <c r="D5" s="10"/>
      <c r="E5" s="13" t="s">
        <v>37</v>
      </c>
      <c r="F5" s="14"/>
      <c r="G5" s="14"/>
      <c r="H5" s="14"/>
      <c r="I5" s="15"/>
      <c r="J5" s="15"/>
      <c r="K5" s="84"/>
      <c r="L5" s="82"/>
    </row>
    <row r="6" spans="1:14" ht="15" customHeight="1" x14ac:dyDescent="0.25">
      <c r="A6" s="1"/>
      <c r="B6" s="8"/>
      <c r="C6" s="12"/>
      <c r="D6" s="16"/>
      <c r="E6" s="467" t="s">
        <v>38</v>
      </c>
      <c r="F6" s="467"/>
      <c r="G6" s="467"/>
      <c r="H6" s="467"/>
      <c r="I6" s="15"/>
      <c r="J6" s="15"/>
      <c r="K6" s="14"/>
      <c r="L6" s="85"/>
      <c r="M6" s="1"/>
      <c r="N6" s="1"/>
    </row>
    <row r="7" spans="1:14" ht="21" customHeight="1" x14ac:dyDescent="0.25">
      <c r="A7" s="17"/>
      <c r="B7" s="86"/>
      <c r="C7" s="87"/>
      <c r="D7" s="18"/>
      <c r="E7" s="88" t="s">
        <v>39</v>
      </c>
      <c r="F7" s="88"/>
      <c r="G7" s="88"/>
      <c r="H7" s="88"/>
      <c r="I7" s="88"/>
      <c r="J7" s="88"/>
      <c r="K7" s="88"/>
      <c r="L7" s="23"/>
      <c r="M7" s="17"/>
      <c r="N7" s="17"/>
    </row>
    <row r="8" spans="1:14" ht="15" customHeight="1" x14ac:dyDescent="0.25">
      <c r="A8" s="1"/>
      <c r="B8" s="8"/>
      <c r="C8" s="9"/>
      <c r="D8" s="16"/>
      <c r="E8" s="18"/>
      <c r="F8" s="14"/>
      <c r="G8" s="14"/>
      <c r="H8" s="14"/>
      <c r="I8" s="15"/>
      <c r="J8" s="15"/>
      <c r="K8" s="14"/>
      <c r="L8" s="85"/>
      <c r="M8" s="1"/>
      <c r="N8" s="1"/>
    </row>
    <row r="9" spans="1:14" ht="15" customHeight="1" x14ac:dyDescent="0.25">
      <c r="B9" s="89"/>
      <c r="C9" s="90"/>
      <c r="D9" s="10"/>
      <c r="E9" s="91" t="s">
        <v>40</v>
      </c>
      <c r="F9" s="64"/>
      <c r="G9" s="92"/>
      <c r="H9" s="92"/>
      <c r="I9" s="15"/>
      <c r="J9" s="15"/>
      <c r="K9" s="93"/>
      <c r="L9" s="82"/>
      <c r="M9" s="19"/>
      <c r="N9" s="19"/>
    </row>
    <row r="10" spans="1:14" ht="15" customHeight="1" x14ac:dyDescent="0.25">
      <c r="A10" s="20"/>
      <c r="B10" s="89"/>
      <c r="C10" s="90"/>
      <c r="D10" s="16"/>
      <c r="E10" s="94" t="s">
        <v>41</v>
      </c>
      <c r="F10" s="94"/>
      <c r="G10" s="94"/>
      <c r="H10" s="94"/>
      <c r="I10" s="92"/>
      <c r="J10" s="92"/>
      <c r="K10" s="21" t="s">
        <v>310</v>
      </c>
      <c r="L10" s="96"/>
      <c r="M10" s="22"/>
      <c r="N10" s="22"/>
    </row>
    <row r="11" spans="1:14" ht="15" customHeight="1" x14ac:dyDescent="0.25">
      <c r="A11" s="17"/>
      <c r="B11" s="86"/>
      <c r="C11" s="87"/>
      <c r="D11" s="18"/>
      <c r="E11" s="88" t="s">
        <v>42</v>
      </c>
      <c r="F11" s="88"/>
      <c r="G11" s="88"/>
      <c r="H11" s="88"/>
      <c r="I11" s="88"/>
      <c r="J11" s="88"/>
      <c r="K11" s="88"/>
      <c r="L11" s="23"/>
      <c r="M11" s="17"/>
      <c r="N11" s="17"/>
    </row>
    <row r="12" spans="1:14" ht="15" customHeight="1" x14ac:dyDescent="0.25">
      <c r="A12" s="1"/>
      <c r="B12" s="8"/>
      <c r="C12" s="9"/>
      <c r="D12" s="16"/>
      <c r="E12" s="18"/>
      <c r="F12" s="14"/>
      <c r="G12" s="14"/>
      <c r="H12" s="14"/>
      <c r="I12" s="15"/>
      <c r="J12" s="15"/>
      <c r="K12" s="14"/>
      <c r="L12" s="85"/>
      <c r="M12" s="1"/>
      <c r="N12" s="1"/>
    </row>
    <row r="13" spans="1:14" ht="15" customHeight="1" x14ac:dyDescent="0.25">
      <c r="B13" s="89"/>
      <c r="C13" s="90"/>
      <c r="D13" s="10"/>
      <c r="E13" s="91" t="s">
        <v>172</v>
      </c>
      <c r="F13" s="64"/>
      <c r="G13" s="92"/>
      <c r="H13" s="92"/>
      <c r="I13" s="15"/>
      <c r="J13" s="15"/>
      <c r="K13" s="93"/>
      <c r="L13" s="82"/>
      <c r="M13" s="19"/>
      <c r="N13" s="19"/>
    </row>
    <row r="14" spans="1:14" ht="15" customHeight="1" x14ac:dyDescent="0.25">
      <c r="A14" s="20"/>
      <c r="B14" s="89"/>
      <c r="C14" s="90"/>
      <c r="D14" s="16"/>
      <c r="E14" s="94" t="s">
        <v>203</v>
      </c>
      <c r="F14" s="94"/>
      <c r="G14" s="94"/>
      <c r="H14" s="94"/>
      <c r="I14" s="92"/>
      <c r="J14" s="92"/>
      <c r="K14" s="21" t="s">
        <v>313</v>
      </c>
      <c r="L14" s="96"/>
      <c r="M14" s="22"/>
      <c r="N14" s="22"/>
    </row>
    <row r="15" spans="1:14" ht="15" customHeight="1" x14ac:dyDescent="0.25">
      <c r="A15" s="17"/>
      <c r="B15" s="86"/>
      <c r="C15" s="87"/>
      <c r="D15" s="18"/>
      <c r="E15" s="88" t="s">
        <v>204</v>
      </c>
      <c r="F15" s="88"/>
      <c r="G15" s="88"/>
      <c r="H15" s="88"/>
      <c r="I15" s="88"/>
      <c r="J15" s="88"/>
      <c r="K15" s="88"/>
      <c r="L15" s="23"/>
      <c r="M15" s="17"/>
      <c r="N15" s="17"/>
    </row>
    <row r="16" spans="1:14" ht="15" customHeight="1" x14ac:dyDescent="0.25">
      <c r="A16" s="1"/>
      <c r="B16" s="8"/>
      <c r="C16" s="9"/>
      <c r="D16" s="16"/>
      <c r="E16" s="18"/>
      <c r="F16" s="14"/>
      <c r="G16" s="14"/>
      <c r="H16" s="14"/>
      <c r="I16" s="15"/>
      <c r="J16" s="15"/>
      <c r="K16" s="14"/>
      <c r="L16" s="85"/>
      <c r="M16" s="1"/>
      <c r="N16" s="1"/>
    </row>
    <row r="17" spans="1:14" ht="15" customHeight="1" x14ac:dyDescent="0.25">
      <c r="B17" s="89"/>
      <c r="C17" s="90"/>
      <c r="D17" s="10"/>
      <c r="E17" s="91" t="s">
        <v>259</v>
      </c>
      <c r="F17" s="64"/>
      <c r="G17" s="92"/>
      <c r="H17" s="92"/>
      <c r="I17" s="15"/>
      <c r="J17" s="15"/>
      <c r="K17" s="93"/>
      <c r="L17" s="82"/>
      <c r="M17" s="19"/>
      <c r="N17" s="19"/>
    </row>
    <row r="18" spans="1:14" ht="15" customHeight="1" x14ac:dyDescent="0.25">
      <c r="A18" s="20"/>
      <c r="B18" s="89"/>
      <c r="C18" s="90"/>
      <c r="D18" s="16"/>
      <c r="E18" s="94" t="s">
        <v>260</v>
      </c>
      <c r="F18" s="94"/>
      <c r="G18" s="94"/>
      <c r="H18" s="94"/>
      <c r="I18" s="92"/>
      <c r="J18" s="92"/>
      <c r="K18" s="287" t="s">
        <v>311</v>
      </c>
      <c r="L18" s="96"/>
      <c r="M18" s="22"/>
      <c r="N18" s="22"/>
    </row>
    <row r="19" spans="1:14" ht="15" customHeight="1" x14ac:dyDescent="0.25">
      <c r="A19" s="17"/>
      <c r="B19" s="86"/>
      <c r="C19" s="87"/>
      <c r="D19" s="18"/>
      <c r="E19" s="88" t="str">
        <f>IF(LEED=1,"Select if attempting EQ Credit Increased Ventilation.","Select if attempting EQ Credit Enhanced Indoor Air Quality Strategies, Option 2, Strategy B: Increased Ventilation.")</f>
        <v>Select if attempting EQ Credit Enhanced Indoor Air Quality Strategies, Option 2, Strategy B: Increased Ventilation.</v>
      </c>
      <c r="F19" s="88"/>
      <c r="G19" s="88"/>
      <c r="H19" s="88"/>
      <c r="I19" s="88"/>
      <c r="J19" s="88"/>
      <c r="K19" s="88"/>
      <c r="L19" s="23"/>
      <c r="M19" s="17"/>
      <c r="N19" s="17"/>
    </row>
    <row r="20" spans="1:14" ht="15" customHeight="1" x14ac:dyDescent="0.25">
      <c r="A20" s="1"/>
      <c r="B20" s="8"/>
      <c r="C20" s="9"/>
      <c r="D20" s="16"/>
      <c r="E20" s="18"/>
      <c r="F20" s="14"/>
      <c r="G20" s="14"/>
      <c r="H20" s="14"/>
      <c r="I20" s="15"/>
      <c r="J20" s="15"/>
      <c r="K20" s="14"/>
      <c r="L20" s="85"/>
      <c r="M20" s="1"/>
      <c r="N20" s="1"/>
    </row>
    <row r="21" spans="1:14" ht="15" customHeight="1" x14ac:dyDescent="0.25">
      <c r="B21" s="89"/>
      <c r="C21" s="90"/>
      <c r="D21" s="10"/>
      <c r="E21" s="91" t="s">
        <v>277</v>
      </c>
      <c r="F21" s="64"/>
      <c r="G21" s="92"/>
      <c r="H21" s="92"/>
      <c r="I21" s="15"/>
      <c r="J21" s="15"/>
      <c r="K21" s="93"/>
      <c r="L21" s="82"/>
      <c r="M21" s="19"/>
      <c r="N21" s="19"/>
    </row>
    <row r="22" spans="1:14" ht="21" customHeight="1" x14ac:dyDescent="0.25">
      <c r="A22" s="1"/>
      <c r="B22" s="8"/>
      <c r="C22" s="12"/>
      <c r="D22" s="10"/>
      <c r="E22" s="347" t="s">
        <v>280</v>
      </c>
      <c r="F22" s="14"/>
      <c r="G22" s="14"/>
      <c r="H22" s="14"/>
      <c r="I22" s="15"/>
      <c r="J22" s="15"/>
      <c r="K22" s="84"/>
      <c r="L22" s="82"/>
    </row>
    <row r="23" spans="1:14" ht="15" customHeight="1" x14ac:dyDescent="0.25">
      <c r="A23" s="20"/>
      <c r="B23" s="89"/>
      <c r="C23" s="90"/>
      <c r="D23" s="16"/>
      <c r="E23" s="94" t="s">
        <v>278</v>
      </c>
      <c r="F23" s="94"/>
      <c r="G23" s="94"/>
      <c r="H23" s="94"/>
      <c r="I23" s="92"/>
      <c r="J23" s="92"/>
      <c r="K23" s="287" t="s">
        <v>311</v>
      </c>
      <c r="L23" s="96"/>
      <c r="M23" s="22"/>
      <c r="N23" s="22"/>
    </row>
    <row r="24" spans="1:14" ht="15" customHeight="1" x14ac:dyDescent="0.25">
      <c r="A24" s="20"/>
      <c r="B24" s="89"/>
      <c r="C24" s="90"/>
      <c r="D24" s="16"/>
      <c r="E24" s="91"/>
      <c r="F24" s="64"/>
      <c r="G24" s="64"/>
      <c r="H24" s="92"/>
      <c r="I24" s="15"/>
      <c r="J24" s="15"/>
      <c r="K24" s="95"/>
      <c r="L24" s="96"/>
      <c r="M24" s="22"/>
      <c r="N24" s="22"/>
    </row>
    <row r="25" spans="1:14" ht="21" customHeight="1" x14ac:dyDescent="0.25">
      <c r="A25" s="1"/>
      <c r="B25" s="8"/>
      <c r="C25" s="12"/>
      <c r="D25" s="10"/>
      <c r="E25" s="348" t="s">
        <v>279</v>
      </c>
      <c r="F25" s="344"/>
      <c r="G25" s="344"/>
      <c r="H25" s="344"/>
      <c r="I25" s="345"/>
      <c r="J25" s="345"/>
      <c r="K25" s="346"/>
      <c r="L25" s="82"/>
    </row>
    <row r="26" spans="1:14" ht="24" customHeight="1" x14ac:dyDescent="0.25">
      <c r="A26" s="1"/>
      <c r="B26" s="8"/>
      <c r="C26" s="12"/>
      <c r="D26" s="16"/>
      <c r="E26" s="468" t="s">
        <v>276</v>
      </c>
      <c r="F26" s="468"/>
      <c r="G26" s="468"/>
      <c r="H26" s="468"/>
      <c r="I26" s="468"/>
      <c r="J26" s="468"/>
      <c r="K26" s="468"/>
      <c r="L26" s="85"/>
      <c r="M26" s="1"/>
      <c r="N26" s="1"/>
    </row>
    <row r="27" spans="1:14" ht="34.5" customHeight="1" x14ac:dyDescent="0.25">
      <c r="A27" s="1"/>
      <c r="B27" s="8"/>
      <c r="C27" s="12"/>
      <c r="D27" s="16"/>
      <c r="E27" s="64"/>
      <c r="F27" s="64"/>
      <c r="G27" s="64"/>
      <c r="H27" s="64"/>
      <c r="I27" s="64"/>
      <c r="J27" s="64"/>
      <c r="K27" s="64"/>
      <c r="L27" s="85"/>
      <c r="M27" s="1"/>
      <c r="N27" s="1"/>
    </row>
    <row r="28" spans="1:14" ht="15" customHeight="1" x14ac:dyDescent="0.25">
      <c r="A28" s="20"/>
      <c r="B28" s="89"/>
      <c r="C28" s="90"/>
      <c r="D28" s="16"/>
      <c r="E28" s="91"/>
      <c r="F28" s="64"/>
      <c r="G28" s="64"/>
      <c r="H28" s="92"/>
      <c r="I28" s="15"/>
      <c r="J28" s="15"/>
      <c r="K28" s="95"/>
      <c r="L28" s="96"/>
      <c r="M28" s="22"/>
      <c r="N28" s="22"/>
    </row>
    <row r="29" spans="1:14" ht="15" customHeight="1" x14ac:dyDescent="0.25">
      <c r="A29" s="1"/>
      <c r="B29" s="8"/>
      <c r="C29" s="12"/>
      <c r="D29" s="10"/>
      <c r="E29" s="13" t="s">
        <v>205</v>
      </c>
      <c r="F29" s="14"/>
      <c r="G29" s="14"/>
      <c r="H29" s="14"/>
      <c r="I29" s="15"/>
      <c r="J29" s="15"/>
      <c r="K29" s="84"/>
      <c r="L29" s="82"/>
    </row>
    <row r="30" spans="1:14" ht="21" customHeight="1" x14ac:dyDescent="0.25">
      <c r="A30" s="1"/>
      <c r="B30" s="8"/>
      <c r="C30" s="12"/>
      <c r="D30" s="16"/>
      <c r="E30" s="467" t="s">
        <v>112</v>
      </c>
      <c r="F30" s="467"/>
      <c r="G30" s="467"/>
      <c r="H30" s="467"/>
      <c r="I30" s="467"/>
      <c r="J30" s="467"/>
      <c r="K30" s="467"/>
      <c r="L30" s="85"/>
      <c r="M30" s="1"/>
      <c r="N30" s="1"/>
    </row>
    <row r="31" spans="1:14" ht="15" customHeight="1" x14ac:dyDescent="0.25">
      <c r="A31" s="1"/>
      <c r="B31" s="8"/>
      <c r="C31" s="9"/>
      <c r="D31" s="16"/>
      <c r="E31" s="18"/>
      <c r="F31" s="14"/>
      <c r="G31" s="14"/>
      <c r="H31" s="14"/>
      <c r="I31" s="15"/>
      <c r="J31" s="15"/>
      <c r="K31" s="14"/>
      <c r="L31" s="85"/>
      <c r="M31" s="1"/>
      <c r="N31" s="1"/>
    </row>
    <row r="32" spans="1:14" ht="15" customHeight="1" x14ac:dyDescent="0.25">
      <c r="A32" s="1"/>
      <c r="B32" s="8"/>
      <c r="C32" s="12"/>
      <c r="D32" s="10"/>
      <c r="E32" s="13" t="s">
        <v>263</v>
      </c>
      <c r="F32" s="14"/>
      <c r="G32" s="14"/>
      <c r="H32" s="14"/>
      <c r="I32" s="15"/>
      <c r="J32" s="15"/>
      <c r="K32" s="84"/>
      <c r="L32" s="82"/>
    </row>
    <row r="33" spans="1:14" ht="30" customHeight="1" x14ac:dyDescent="0.25">
      <c r="A33" s="1"/>
      <c r="B33" s="8"/>
      <c r="C33" s="24"/>
      <c r="D33" s="16"/>
      <c r="E33" s="467" t="s">
        <v>43</v>
      </c>
      <c r="F33" s="467"/>
      <c r="G33" s="467"/>
      <c r="H33" s="467"/>
      <c r="I33" s="467"/>
      <c r="J33" s="467"/>
      <c r="K33" s="467"/>
      <c r="L33" s="85"/>
      <c r="M33" s="1"/>
      <c r="N33" s="1"/>
    </row>
    <row r="34" spans="1:14" ht="21" customHeight="1" x14ac:dyDescent="0.25">
      <c r="A34" s="1"/>
      <c r="B34" s="25"/>
      <c r="C34" s="26"/>
      <c r="D34" s="27"/>
      <c r="E34" s="27"/>
      <c r="F34" s="26"/>
      <c r="G34" s="26"/>
      <c r="H34" s="26"/>
      <c r="I34" s="28"/>
      <c r="J34" s="28"/>
      <c r="K34" s="26"/>
      <c r="L34" s="97"/>
      <c r="M34" s="1"/>
      <c r="N34" s="1"/>
    </row>
    <row r="35" spans="1:14" ht="24.75" customHeight="1" x14ac:dyDescent="0.25">
      <c r="B35" s="29"/>
      <c r="C35" s="30"/>
      <c r="D35" s="30"/>
      <c r="E35" s="30"/>
      <c r="F35" s="30"/>
      <c r="G35" s="30"/>
      <c r="H35" s="30"/>
      <c r="I35" s="30"/>
      <c r="J35" s="30"/>
      <c r="K35" s="29"/>
      <c r="L35" s="29"/>
    </row>
    <row r="36" spans="1:14" ht="18" customHeight="1" x14ac:dyDescent="0.25">
      <c r="A36" s="31"/>
      <c r="B36" s="102"/>
      <c r="C36" s="103"/>
      <c r="D36" s="104"/>
      <c r="E36" s="105"/>
      <c r="F36" s="105"/>
      <c r="G36" s="106"/>
      <c r="H36" s="107"/>
      <c r="I36" s="108"/>
      <c r="J36" s="109"/>
      <c r="K36" s="110"/>
      <c r="L36" s="111"/>
      <c r="M36" s="32"/>
      <c r="N36" s="32"/>
    </row>
    <row r="37" spans="1:14" ht="24.75" customHeight="1" x14ac:dyDescent="0.25">
      <c r="A37" s="31"/>
      <c r="B37" s="112"/>
      <c r="C37" s="113" t="s">
        <v>44</v>
      </c>
      <c r="D37" s="114"/>
      <c r="E37" s="16"/>
      <c r="F37" s="16"/>
      <c r="G37" s="115"/>
      <c r="H37" s="107"/>
      <c r="I37" s="108"/>
      <c r="J37" s="109"/>
      <c r="K37" s="110"/>
      <c r="L37" s="116"/>
      <c r="M37" s="32"/>
      <c r="N37" s="32"/>
    </row>
    <row r="38" spans="1:14" ht="24.75" customHeight="1" x14ac:dyDescent="0.25">
      <c r="A38" s="31"/>
      <c r="B38" s="112"/>
      <c r="C38" s="154" t="s">
        <v>187</v>
      </c>
      <c r="D38" s="114"/>
      <c r="E38" s="16"/>
      <c r="F38" s="16"/>
      <c r="G38" s="115"/>
      <c r="H38" s="107"/>
      <c r="I38" s="108"/>
      <c r="J38" s="109"/>
      <c r="K38" s="110"/>
      <c r="L38" s="116"/>
      <c r="M38" s="32"/>
      <c r="N38" s="32"/>
    </row>
    <row r="39" spans="1:14" ht="33" customHeight="1" x14ac:dyDescent="0.25">
      <c r="A39" s="31"/>
      <c r="B39" s="112"/>
      <c r="C39" s="461" t="s">
        <v>193</v>
      </c>
      <c r="D39" s="462"/>
      <c r="E39" s="462"/>
      <c r="F39" s="462" t="s">
        <v>194</v>
      </c>
      <c r="G39" s="462"/>
      <c r="H39" s="462"/>
      <c r="I39" s="462"/>
      <c r="J39" s="462"/>
      <c r="K39" s="153" t="s">
        <v>18</v>
      </c>
      <c r="L39" s="116"/>
      <c r="M39" s="32"/>
      <c r="N39" s="32"/>
    </row>
    <row r="40" spans="1:14" ht="15" customHeight="1" x14ac:dyDescent="0.25">
      <c r="A40" s="31"/>
      <c r="B40" s="112"/>
      <c r="C40" s="470" t="s">
        <v>113</v>
      </c>
      <c r="D40" s="471"/>
      <c r="E40" s="471"/>
      <c r="F40" s="471" t="s">
        <v>188</v>
      </c>
      <c r="G40" s="471"/>
      <c r="H40" s="471"/>
      <c r="I40" s="471"/>
      <c r="J40" s="471"/>
      <c r="K40" s="155">
        <v>1</v>
      </c>
      <c r="L40" s="116"/>
      <c r="M40" s="32"/>
      <c r="N40" s="32"/>
    </row>
    <row r="41" spans="1:14" ht="15" customHeight="1" x14ac:dyDescent="0.25">
      <c r="A41" s="31"/>
      <c r="B41" s="112"/>
      <c r="C41" s="472" t="s">
        <v>114</v>
      </c>
      <c r="D41" s="460"/>
      <c r="E41" s="460"/>
      <c r="F41" s="460" t="s">
        <v>189</v>
      </c>
      <c r="G41" s="460"/>
      <c r="H41" s="460"/>
      <c r="I41" s="460"/>
      <c r="J41" s="460"/>
      <c r="K41" s="119">
        <v>1</v>
      </c>
      <c r="L41" s="116"/>
      <c r="M41" s="32"/>
      <c r="N41" s="32"/>
    </row>
    <row r="42" spans="1:14" ht="15" customHeight="1" x14ac:dyDescent="0.25">
      <c r="A42" s="31"/>
      <c r="B42" s="112"/>
      <c r="C42" s="472" t="s">
        <v>115</v>
      </c>
      <c r="D42" s="460"/>
      <c r="E42" s="460"/>
      <c r="F42" s="460" t="s">
        <v>190</v>
      </c>
      <c r="G42" s="460"/>
      <c r="H42" s="460"/>
      <c r="I42" s="460"/>
      <c r="J42" s="460"/>
      <c r="K42" s="119">
        <v>0.8</v>
      </c>
      <c r="L42" s="116"/>
      <c r="M42" s="32"/>
      <c r="N42" s="32"/>
    </row>
    <row r="43" spans="1:14" ht="41.25" customHeight="1" x14ac:dyDescent="0.25">
      <c r="A43" s="31"/>
      <c r="B43" s="112"/>
      <c r="C43" s="472" t="s">
        <v>116</v>
      </c>
      <c r="D43" s="460"/>
      <c r="E43" s="460"/>
      <c r="F43" s="459" t="s">
        <v>117</v>
      </c>
      <c r="G43" s="459"/>
      <c r="H43" s="459"/>
      <c r="I43" s="459"/>
      <c r="J43" s="459"/>
      <c r="K43" s="119">
        <v>1</v>
      </c>
      <c r="L43" s="116"/>
      <c r="M43" s="32"/>
      <c r="N43" s="32"/>
    </row>
    <row r="44" spans="1:14" ht="33" customHeight="1" x14ac:dyDescent="0.25">
      <c r="A44" s="31"/>
      <c r="B44" s="112"/>
      <c r="C44" s="472" t="s">
        <v>118</v>
      </c>
      <c r="D44" s="460"/>
      <c r="E44" s="460"/>
      <c r="F44" s="459" t="str">
        <f>IF($K$14="LEED v4.1","Floor supply of cool air and ceiling return, provided that the vertical throw is greater than 50 fpm (0.25 m/s) at a height of 4.5 ft (1.4 m) or more above the floor.","Floor supply of cool air and ceiling return provided that the 150 fpm (0.8 m/s) supply jet reaches 4.5 ft (1.4 m) or more above the floor. Note: Most underfloor air distribution systems comply with this provision.")</f>
        <v>Floor supply of cool air and ceiling return provided that the 150 fpm (0.8 m/s) supply jet reaches 4.5 ft (1.4 m) or more above the floor. Note: Most underfloor air distribution systems comply with this provision.</v>
      </c>
      <c r="G44" s="459"/>
      <c r="H44" s="459"/>
      <c r="I44" s="459"/>
      <c r="J44" s="459"/>
      <c r="K44" s="119">
        <v>1</v>
      </c>
      <c r="L44" s="116"/>
      <c r="M44" s="32"/>
      <c r="N44" s="32"/>
    </row>
    <row r="45" spans="1:14" ht="33" customHeight="1" x14ac:dyDescent="0.25">
      <c r="A45" s="31"/>
      <c r="B45" s="112"/>
      <c r="C45" s="472" t="s">
        <v>119</v>
      </c>
      <c r="D45" s="460"/>
      <c r="E45" s="460"/>
      <c r="F45" s="459" t="str">
        <f>IF($K$14="LEED v4.1",CONCATENATE("Floor supply of cool air and ceiling return, provided low-velocity displacement ventilation achieves unidirectional flow and thermal stratification, or underfloor air distribution systems where the vertical","throw is less than or equal to 50 fpm (0.25 m/s) at a height of 4.5 ft (1.4 m) above the floor"),"Floor supply of cool air and ceiling return, provided low-velocity displacement ventilation achieves unidirectional flow and thermal stratification")</f>
        <v>Floor supply of cool air and ceiling return, provided low-velocity displacement ventilation achieves unidirectional flow and thermal stratification</v>
      </c>
      <c r="G45" s="459"/>
      <c r="H45" s="459"/>
      <c r="I45" s="459"/>
      <c r="J45" s="459"/>
      <c r="K45" s="119">
        <v>1.2</v>
      </c>
      <c r="L45" s="116"/>
      <c r="M45" s="32"/>
      <c r="N45" s="32"/>
    </row>
    <row r="46" spans="1:14" ht="15" customHeight="1" x14ac:dyDescent="0.25">
      <c r="A46" s="31"/>
      <c r="B46" s="112"/>
      <c r="C46" s="472" t="s">
        <v>120</v>
      </c>
      <c r="D46" s="460"/>
      <c r="E46" s="460"/>
      <c r="F46" s="460" t="s">
        <v>191</v>
      </c>
      <c r="G46" s="460"/>
      <c r="H46" s="460"/>
      <c r="I46" s="460"/>
      <c r="J46" s="460"/>
      <c r="K46" s="119">
        <v>1</v>
      </c>
      <c r="L46" s="116"/>
      <c r="M46" s="32"/>
      <c r="N46" s="32"/>
    </row>
    <row r="47" spans="1:14" ht="15" customHeight="1" x14ac:dyDescent="0.25">
      <c r="A47" s="31"/>
      <c r="B47" s="112"/>
      <c r="C47" s="472" t="s">
        <v>121</v>
      </c>
      <c r="D47" s="460"/>
      <c r="E47" s="460"/>
      <c r="F47" s="460" t="s">
        <v>192</v>
      </c>
      <c r="G47" s="460"/>
      <c r="H47" s="460"/>
      <c r="I47" s="460"/>
      <c r="J47" s="460"/>
      <c r="K47" s="119">
        <v>0.7</v>
      </c>
      <c r="L47" s="116"/>
      <c r="M47" s="32"/>
      <c r="N47" s="32"/>
    </row>
    <row r="48" spans="1:14" ht="15" customHeight="1" x14ac:dyDescent="0.25">
      <c r="A48" s="31"/>
      <c r="B48" s="112"/>
      <c r="C48" s="472" t="s">
        <v>122</v>
      </c>
      <c r="D48" s="460"/>
      <c r="E48" s="460"/>
      <c r="F48" s="460" t="str">
        <f>IF($K$14="LEED v4.1","Makeup supply drawn in on the opposite side of the room from the exhaust, return, or both.","Makeup supply drawn in on the opposite side of the room from the exhaust and/or return")</f>
        <v>Makeup supply drawn in on the opposite side of the room from the exhaust and/or return</v>
      </c>
      <c r="G48" s="460"/>
      <c r="H48" s="460"/>
      <c r="I48" s="460"/>
      <c r="J48" s="460"/>
      <c r="K48" s="119">
        <v>0.8</v>
      </c>
      <c r="L48" s="116"/>
      <c r="M48" s="32"/>
      <c r="N48" s="32"/>
    </row>
    <row r="49" spans="1:14" ht="15" customHeight="1" x14ac:dyDescent="0.25">
      <c r="A49" s="31"/>
      <c r="B49" s="112"/>
      <c r="C49" s="473" t="s">
        <v>123</v>
      </c>
      <c r="D49" s="463"/>
      <c r="E49" s="463"/>
      <c r="F49" s="463" t="str">
        <f>IF($K$14="LEED v4.1","Makeup supply drawn in near to the exhaust, return, or both locations.","Makeup supply drawn in near to the exhaust and/or return location.")</f>
        <v>Makeup supply drawn in near to the exhaust and/or return location.</v>
      </c>
      <c r="G49" s="463"/>
      <c r="H49" s="463"/>
      <c r="I49" s="463"/>
      <c r="J49" s="463"/>
      <c r="K49" s="120">
        <v>0.5</v>
      </c>
      <c r="L49" s="116"/>
      <c r="M49" s="32"/>
      <c r="N49" s="32"/>
    </row>
    <row r="50" spans="1:14" ht="21" customHeight="1" x14ac:dyDescent="0.25">
      <c r="A50" s="31"/>
      <c r="B50" s="112"/>
      <c r="C50" s="160" t="str">
        <f>IF($K$14="LEED v4.1","Source: ASHRAE 62.1-2016, Table 6.2.2.2","Source: ASHRAE 62.1, Table 6-2")</f>
        <v>Source: ASHRAE 62.1, Table 6-2</v>
      </c>
      <c r="D50" s="114"/>
      <c r="E50" s="16"/>
      <c r="F50" s="16"/>
      <c r="G50" s="115"/>
      <c r="H50" s="107"/>
      <c r="I50" s="108"/>
      <c r="J50" s="109"/>
      <c r="K50" s="110"/>
      <c r="L50" s="116"/>
      <c r="M50" s="32"/>
      <c r="N50" s="32"/>
    </row>
    <row r="51" spans="1:14" ht="15" customHeight="1" x14ac:dyDescent="0.25">
      <c r="A51" s="31"/>
      <c r="B51" s="112"/>
      <c r="C51" s="160"/>
      <c r="D51" s="114"/>
      <c r="E51" s="16"/>
      <c r="F51" s="16"/>
      <c r="G51" s="115"/>
      <c r="H51" s="107"/>
      <c r="I51" s="108"/>
      <c r="J51" s="109"/>
      <c r="K51" s="110"/>
      <c r="L51" s="116"/>
      <c r="M51" s="32"/>
      <c r="N51" s="32"/>
    </row>
    <row r="52" spans="1:14" ht="24.75" customHeight="1" x14ac:dyDescent="0.25">
      <c r="A52" s="31"/>
      <c r="B52" s="112"/>
      <c r="C52" s="154" t="s">
        <v>195</v>
      </c>
      <c r="D52" s="114"/>
      <c r="E52" s="16"/>
      <c r="F52" s="16"/>
      <c r="G52" s="115"/>
      <c r="H52" s="107"/>
      <c r="I52" s="108"/>
      <c r="J52" s="109"/>
      <c r="K52" s="110"/>
      <c r="L52" s="116"/>
      <c r="M52" s="32"/>
      <c r="N52" s="32"/>
    </row>
    <row r="53" spans="1:14" ht="33" customHeight="1" x14ac:dyDescent="0.25">
      <c r="A53" s="31"/>
      <c r="B53" s="112"/>
      <c r="C53" s="461" t="str">
        <f>IF($K$14="LEED v4.1","Max Zpz","Max Zp")</f>
        <v>Max Zp</v>
      </c>
      <c r="D53" s="462"/>
      <c r="E53" s="462"/>
      <c r="F53" s="153" t="s">
        <v>124</v>
      </c>
      <c r="G53"/>
      <c r="H53" s="107"/>
      <c r="I53" s="108"/>
      <c r="J53" s="109"/>
      <c r="K53" s="110"/>
      <c r="L53" s="116"/>
      <c r="M53" s="32"/>
      <c r="N53" s="32"/>
    </row>
    <row r="54" spans="1:14" ht="15" customHeight="1" x14ac:dyDescent="0.25">
      <c r="A54" s="31"/>
      <c r="B54" s="112"/>
      <c r="C54" s="464" t="s">
        <v>125</v>
      </c>
      <c r="D54" s="465"/>
      <c r="E54" s="465"/>
      <c r="F54" s="156">
        <v>1</v>
      </c>
      <c r="G54"/>
      <c r="H54" s="107"/>
      <c r="I54" s="108"/>
      <c r="J54" s="109"/>
      <c r="K54" s="110"/>
      <c r="L54" s="116"/>
      <c r="M54" s="32"/>
      <c r="N54" s="32"/>
    </row>
    <row r="55" spans="1:14" ht="15" customHeight="1" x14ac:dyDescent="0.25">
      <c r="A55" s="31"/>
      <c r="B55" s="112"/>
      <c r="C55" s="458" t="s">
        <v>126</v>
      </c>
      <c r="D55" s="459"/>
      <c r="E55" s="459"/>
      <c r="F55" s="157">
        <v>0.9</v>
      </c>
      <c r="G55"/>
      <c r="H55" s="107"/>
      <c r="I55" s="108"/>
      <c r="J55" s="109"/>
      <c r="K55" s="110"/>
      <c r="L55" s="116"/>
      <c r="M55" s="32"/>
      <c r="N55" s="32"/>
    </row>
    <row r="56" spans="1:14" ht="15" customHeight="1" x14ac:dyDescent="0.25">
      <c r="A56" s="31"/>
      <c r="B56" s="112"/>
      <c r="C56" s="458" t="s">
        <v>127</v>
      </c>
      <c r="D56" s="459"/>
      <c r="E56" s="459"/>
      <c r="F56" s="157">
        <v>0.8</v>
      </c>
      <c r="G56"/>
      <c r="H56" s="107"/>
      <c r="I56" s="108"/>
      <c r="J56" s="109"/>
      <c r="K56" s="110"/>
      <c r="L56" s="116"/>
      <c r="M56" s="32"/>
      <c r="N56" s="32"/>
    </row>
    <row r="57" spans="1:14" ht="15" customHeight="1" x14ac:dyDescent="0.25">
      <c r="A57" s="31"/>
      <c r="B57" s="112"/>
      <c r="C57" s="458" t="s">
        <v>128</v>
      </c>
      <c r="D57" s="459"/>
      <c r="E57" s="459"/>
      <c r="F57" s="157">
        <v>0.7</v>
      </c>
      <c r="G57"/>
      <c r="H57" s="107"/>
      <c r="I57" s="108"/>
      <c r="J57" s="109"/>
      <c r="K57" s="110"/>
      <c r="L57" s="116"/>
      <c r="M57" s="32"/>
      <c r="N57" s="32"/>
    </row>
    <row r="58" spans="1:14" ht="15" customHeight="1" x14ac:dyDescent="0.25">
      <c r="A58" s="31"/>
      <c r="B58" s="112"/>
      <c r="C58" s="458" t="s">
        <v>129</v>
      </c>
      <c r="D58" s="459"/>
      <c r="E58" s="459"/>
      <c r="F58" s="157">
        <v>0.6</v>
      </c>
      <c r="G58"/>
      <c r="H58" s="107"/>
      <c r="I58" s="108"/>
      <c r="J58" s="109"/>
      <c r="K58" s="110"/>
      <c r="L58" s="116"/>
      <c r="M58" s="32"/>
      <c r="N58" s="32"/>
    </row>
    <row r="59" spans="1:14" ht="15" customHeight="1" x14ac:dyDescent="0.25">
      <c r="A59" s="31"/>
      <c r="B59" s="112"/>
      <c r="C59" s="474" t="s">
        <v>130</v>
      </c>
      <c r="D59" s="475"/>
      <c r="E59" s="475"/>
      <c r="F59" s="158" t="str">
        <f>IF($K$14="LEED v4.1","Use Normative Appendix A","use Appendix A")</f>
        <v>use Appendix A</v>
      </c>
      <c r="G59"/>
      <c r="H59" s="107"/>
      <c r="I59" s="108"/>
      <c r="J59" s="109"/>
      <c r="K59" s="110"/>
      <c r="L59" s="116"/>
      <c r="M59" s="32"/>
      <c r="N59" s="32"/>
    </row>
    <row r="60" spans="1:14" ht="21" customHeight="1" x14ac:dyDescent="0.25">
      <c r="A60" s="31"/>
      <c r="B60" s="112"/>
      <c r="C60" s="160" t="str">
        <f>IF($K$14="LEED v4.1","Source: ASHRAE 62.1-2016, Table 6.2.2.2","Source: ASHRAE 62.1, Table 6-3")</f>
        <v>Source: ASHRAE 62.1, Table 6-3</v>
      </c>
      <c r="D60" s="114"/>
      <c r="E60" s="16"/>
      <c r="F60" s="16"/>
      <c r="G60" s="115"/>
      <c r="H60" s="107"/>
      <c r="I60" s="108"/>
      <c r="J60" s="109"/>
      <c r="K60" s="110"/>
      <c r="L60" s="116"/>
      <c r="M60" s="32"/>
      <c r="N60" s="32"/>
    </row>
    <row r="61" spans="1:14" ht="15" customHeight="1" x14ac:dyDescent="0.25">
      <c r="A61" s="31"/>
      <c r="B61" s="112"/>
      <c r="C61" s="113"/>
      <c r="D61" s="114"/>
      <c r="E61" s="16"/>
      <c r="F61" s="16"/>
      <c r="G61" s="115"/>
      <c r="H61" s="107"/>
      <c r="I61" s="108"/>
      <c r="J61" s="109"/>
      <c r="K61" s="110"/>
      <c r="L61" s="116"/>
      <c r="M61" s="32"/>
      <c r="N61" s="32"/>
    </row>
    <row r="62" spans="1:14" ht="24.75" customHeight="1" x14ac:dyDescent="0.25">
      <c r="A62" s="31"/>
      <c r="B62" s="112"/>
      <c r="C62" s="154" t="s">
        <v>196</v>
      </c>
      <c r="D62" s="114"/>
      <c r="E62" s="16"/>
      <c r="F62" s="16"/>
      <c r="G62" s="115"/>
      <c r="H62" s="107"/>
      <c r="I62" s="108"/>
      <c r="J62" s="109"/>
      <c r="K62" s="110"/>
      <c r="L62" s="116"/>
      <c r="M62" s="32"/>
      <c r="N62" s="32"/>
    </row>
    <row r="63" spans="1:14" ht="33" customHeight="1" x14ac:dyDescent="0.25">
      <c r="A63" s="31"/>
      <c r="B63" s="112"/>
      <c r="C63" s="476" t="s">
        <v>201</v>
      </c>
      <c r="D63" s="477"/>
      <c r="E63" s="477"/>
      <c r="F63" s="477"/>
      <c r="G63" s="477"/>
      <c r="H63" s="477"/>
      <c r="I63" s="477"/>
      <c r="J63" s="477"/>
      <c r="K63" s="159" t="s">
        <v>17</v>
      </c>
      <c r="L63" s="116"/>
      <c r="M63" s="32"/>
      <c r="N63" s="32"/>
    </row>
    <row r="64" spans="1:14" ht="24.75" customHeight="1" x14ac:dyDescent="0.25">
      <c r="A64" s="31"/>
      <c r="B64" s="112"/>
      <c r="C64" s="464" t="s">
        <v>197</v>
      </c>
      <c r="D64" s="465"/>
      <c r="E64" s="465"/>
      <c r="F64" s="465"/>
      <c r="G64" s="465"/>
      <c r="H64" s="465"/>
      <c r="I64" s="465"/>
      <c r="J64" s="465"/>
      <c r="K64" s="155" t="s">
        <v>131</v>
      </c>
      <c r="L64" s="116"/>
      <c r="M64" s="32"/>
      <c r="N64" s="32"/>
    </row>
    <row r="65" spans="1:14" ht="24.75" customHeight="1" x14ac:dyDescent="0.25">
      <c r="A65" s="31"/>
      <c r="B65" s="112"/>
      <c r="C65" s="458" t="s">
        <v>200</v>
      </c>
      <c r="D65" s="459"/>
      <c r="E65" s="459"/>
      <c r="F65" s="459"/>
      <c r="G65" s="459"/>
      <c r="H65" s="459"/>
      <c r="I65" s="459"/>
      <c r="J65" s="459"/>
      <c r="K65" s="119">
        <v>0</v>
      </c>
      <c r="L65" s="116"/>
      <c r="M65" s="32"/>
      <c r="N65" s="32"/>
    </row>
    <row r="66" spans="1:14" ht="24.75" customHeight="1" x14ac:dyDescent="0.25">
      <c r="A66" s="31"/>
      <c r="B66" s="112"/>
      <c r="C66" s="458" t="s">
        <v>198</v>
      </c>
      <c r="D66" s="459"/>
      <c r="E66" s="459"/>
      <c r="F66" s="459"/>
      <c r="G66" s="459"/>
      <c r="H66" s="459"/>
      <c r="I66" s="459"/>
      <c r="J66" s="459"/>
      <c r="K66" s="119">
        <v>1</v>
      </c>
      <c r="L66" s="116"/>
      <c r="M66" s="32"/>
      <c r="N66" s="32"/>
    </row>
    <row r="67" spans="1:14" ht="24.75" customHeight="1" x14ac:dyDescent="0.25">
      <c r="A67" s="31"/>
      <c r="B67" s="112"/>
      <c r="C67" s="474" t="s">
        <v>199</v>
      </c>
      <c r="D67" s="475"/>
      <c r="E67" s="475"/>
      <c r="F67" s="475"/>
      <c r="G67" s="475"/>
      <c r="H67" s="475"/>
      <c r="I67" s="475"/>
      <c r="J67" s="475"/>
      <c r="K67" s="120">
        <v>0.75</v>
      </c>
      <c r="L67" s="116"/>
      <c r="M67" s="32"/>
      <c r="N67" s="32"/>
    </row>
    <row r="68" spans="1:14" ht="21" customHeight="1" x14ac:dyDescent="0.25">
      <c r="A68" s="31"/>
      <c r="B68" s="112"/>
      <c r="C68" s="160" t="s">
        <v>258</v>
      </c>
      <c r="D68" s="114"/>
      <c r="E68" s="16"/>
      <c r="F68" s="16"/>
      <c r="G68" s="115"/>
      <c r="H68" s="107"/>
      <c r="I68" s="108"/>
      <c r="J68" s="109"/>
      <c r="K68" s="110"/>
      <c r="L68" s="116"/>
      <c r="M68" s="32"/>
      <c r="N68" s="32"/>
    </row>
    <row r="69" spans="1:14" ht="15" customHeight="1" x14ac:dyDescent="0.25">
      <c r="A69" s="31"/>
      <c r="B69" s="112"/>
      <c r="C69" s="113"/>
      <c r="D69" s="114"/>
      <c r="E69" s="16"/>
      <c r="F69" s="16"/>
      <c r="G69" s="115"/>
      <c r="H69" s="107"/>
      <c r="I69" s="108"/>
      <c r="J69" s="109"/>
      <c r="K69" s="110"/>
      <c r="L69" s="116"/>
      <c r="M69" s="32"/>
      <c r="N69" s="32"/>
    </row>
    <row r="70" spans="1:14" ht="24.75" customHeight="1" x14ac:dyDescent="0.25">
      <c r="A70" s="31"/>
      <c r="B70" s="112"/>
      <c r="C70" s="154" t="s">
        <v>202</v>
      </c>
      <c r="D70" s="114"/>
      <c r="E70" s="16"/>
      <c r="F70" s="16"/>
      <c r="G70" s="115"/>
      <c r="H70" s="107"/>
      <c r="I70" s="108"/>
      <c r="J70" s="109"/>
      <c r="K70" s="110"/>
      <c r="L70" s="116"/>
      <c r="M70" s="32"/>
      <c r="N70" s="32"/>
    </row>
    <row r="71" spans="1:14" ht="32.25" customHeight="1" x14ac:dyDescent="0.25">
      <c r="B71" s="117"/>
      <c r="C71" s="448" t="s">
        <v>45</v>
      </c>
      <c r="D71" s="449"/>
      <c r="E71" s="449"/>
      <c r="F71" s="450"/>
      <c r="G71" s="448" t="s">
        <v>46</v>
      </c>
      <c r="H71" s="454"/>
      <c r="I71" s="455" t="s">
        <v>47</v>
      </c>
      <c r="J71" s="450"/>
      <c r="K71" s="456" t="s">
        <v>304</v>
      </c>
      <c r="L71" s="82"/>
      <c r="N71" s="469" t="s">
        <v>182</v>
      </c>
    </row>
    <row r="72" spans="1:14" ht="27.75" customHeight="1" x14ac:dyDescent="0.25">
      <c r="B72" s="117"/>
      <c r="C72" s="451"/>
      <c r="D72" s="452"/>
      <c r="E72" s="452"/>
      <c r="F72" s="453"/>
      <c r="G72" s="98" t="s">
        <v>132</v>
      </c>
      <c r="H72" s="99" t="s">
        <v>142</v>
      </c>
      <c r="I72" s="100" t="s">
        <v>143</v>
      </c>
      <c r="J72" s="101" t="s">
        <v>144</v>
      </c>
      <c r="K72" s="457"/>
      <c r="L72" s="82"/>
      <c r="N72" s="469"/>
    </row>
    <row r="73" spans="1:14" x14ac:dyDescent="0.25">
      <c r="B73" s="118"/>
      <c r="C73" s="146" t="s">
        <v>57</v>
      </c>
      <c r="D73" s="147"/>
      <c r="E73" s="147"/>
      <c r="F73" s="147"/>
      <c r="G73" s="165">
        <v>10</v>
      </c>
      <c r="H73" s="155">
        <v>5</v>
      </c>
      <c r="I73" s="171">
        <v>0.18</v>
      </c>
      <c r="J73" s="172">
        <v>0.9</v>
      </c>
      <c r="K73" s="168">
        <v>20</v>
      </c>
      <c r="L73" s="82"/>
      <c r="N73" s="145" t="s">
        <v>171</v>
      </c>
    </row>
    <row r="74" spans="1:14" x14ac:dyDescent="0.25">
      <c r="B74" s="118"/>
      <c r="C74" s="148" t="s">
        <v>85</v>
      </c>
      <c r="D74" s="149"/>
      <c r="E74" s="149"/>
      <c r="F74" s="149"/>
      <c r="G74" s="166">
        <v>5</v>
      </c>
      <c r="H74" s="119">
        <v>2.5</v>
      </c>
      <c r="I74" s="163">
        <v>0.06</v>
      </c>
      <c r="J74" s="161">
        <v>0.3</v>
      </c>
      <c r="K74" s="169">
        <v>150</v>
      </c>
      <c r="L74" s="82"/>
      <c r="N74" s="145" t="s">
        <v>171</v>
      </c>
    </row>
    <row r="75" spans="1:14" x14ac:dyDescent="0.25">
      <c r="B75" s="118"/>
      <c r="C75" s="148" t="s">
        <v>78</v>
      </c>
      <c r="D75" s="149"/>
      <c r="E75" s="149"/>
      <c r="F75" s="149"/>
      <c r="G75" s="166">
        <v>5</v>
      </c>
      <c r="H75" s="119">
        <v>2.5</v>
      </c>
      <c r="I75" s="163">
        <v>0.06</v>
      </c>
      <c r="J75" s="161">
        <v>0.3</v>
      </c>
      <c r="K75" s="169">
        <v>5</v>
      </c>
      <c r="L75" s="82"/>
      <c r="N75" s="145" t="s">
        <v>171</v>
      </c>
    </row>
    <row r="76" spans="1:14" x14ac:dyDescent="0.25">
      <c r="B76" s="118"/>
      <c r="C76" s="148" t="s">
        <v>156</v>
      </c>
      <c r="D76" s="149"/>
      <c r="E76" s="149"/>
      <c r="F76" s="149"/>
      <c r="G76" s="166">
        <v>7.5</v>
      </c>
      <c r="H76" s="119">
        <v>3.8</v>
      </c>
      <c r="I76" s="163">
        <v>0.06</v>
      </c>
      <c r="J76" s="161">
        <v>0.3</v>
      </c>
      <c r="K76" s="169">
        <v>15</v>
      </c>
      <c r="L76" s="82"/>
      <c r="N76" s="145">
        <v>4</v>
      </c>
    </row>
    <row r="77" spans="1:14" x14ac:dyDescent="0.25">
      <c r="B77" s="118"/>
      <c r="C77" s="148" t="str">
        <f>IF($O$166=1,"Barber shop","Barbershop")</f>
        <v>Barbershop</v>
      </c>
      <c r="D77" s="149"/>
      <c r="E77" s="149"/>
      <c r="F77" s="149"/>
      <c r="G77" s="166">
        <v>7.5</v>
      </c>
      <c r="H77" s="119">
        <v>3.8</v>
      </c>
      <c r="I77" s="163">
        <v>0.06</v>
      </c>
      <c r="J77" s="161">
        <v>0.3</v>
      </c>
      <c r="K77" s="169">
        <v>25</v>
      </c>
      <c r="L77" s="82"/>
      <c r="N77" s="145" t="s">
        <v>171</v>
      </c>
    </row>
    <row r="78" spans="1:14" x14ac:dyDescent="0.25">
      <c r="B78" s="118"/>
      <c r="C78" s="148" t="s">
        <v>71</v>
      </c>
      <c r="D78" s="149"/>
      <c r="E78" s="149"/>
      <c r="F78" s="149"/>
      <c r="G78" s="166">
        <v>5</v>
      </c>
      <c r="H78" s="119">
        <v>2.5</v>
      </c>
      <c r="I78" s="163">
        <v>0.06</v>
      </c>
      <c r="J78" s="161">
        <v>0.3</v>
      </c>
      <c r="K78" s="169">
        <v>20</v>
      </c>
      <c r="L78" s="82"/>
      <c r="N78" s="145" t="s">
        <v>171</v>
      </c>
    </row>
    <row r="79" spans="1:14" x14ac:dyDescent="0.25">
      <c r="B79" s="118"/>
      <c r="C79" s="148" t="s">
        <v>66</v>
      </c>
      <c r="D79" s="149"/>
      <c r="E79" s="149"/>
      <c r="F79" s="149"/>
      <c r="G79" s="166">
        <v>7.5</v>
      </c>
      <c r="H79" s="119">
        <v>3.8</v>
      </c>
      <c r="I79" s="163">
        <v>0.18</v>
      </c>
      <c r="J79" s="161">
        <v>0.9</v>
      </c>
      <c r="K79" s="169">
        <v>100</v>
      </c>
      <c r="L79" s="82"/>
      <c r="N79" s="145" t="s">
        <v>171</v>
      </c>
    </row>
    <row r="80" spans="1:14" x14ac:dyDescent="0.25">
      <c r="B80" s="118"/>
      <c r="C80" s="148" t="s">
        <v>95</v>
      </c>
      <c r="D80" s="149"/>
      <c r="E80" s="149"/>
      <c r="F80" s="149"/>
      <c r="G80" s="166">
        <v>20</v>
      </c>
      <c r="H80" s="119">
        <v>10</v>
      </c>
      <c r="I80" s="163">
        <v>0.12</v>
      </c>
      <c r="J80" s="161">
        <v>0.6</v>
      </c>
      <c r="K80" s="169">
        <v>25</v>
      </c>
      <c r="L80" s="82"/>
      <c r="N80" s="145" t="s">
        <v>171</v>
      </c>
    </row>
    <row r="81" spans="2:14" x14ac:dyDescent="0.25">
      <c r="B81" s="118"/>
      <c r="C81" s="148" t="s">
        <v>70</v>
      </c>
      <c r="D81" s="149"/>
      <c r="E81" s="149"/>
      <c r="F81" s="149"/>
      <c r="G81" s="166">
        <v>5</v>
      </c>
      <c r="H81" s="119">
        <v>2.5</v>
      </c>
      <c r="I81" s="163">
        <v>0.06</v>
      </c>
      <c r="J81" s="161">
        <v>0.3</v>
      </c>
      <c r="K81" s="169">
        <v>10</v>
      </c>
      <c r="L81" s="82"/>
      <c r="N81" s="145" t="s">
        <v>171</v>
      </c>
    </row>
    <row r="82" spans="2:14" x14ac:dyDescent="0.25">
      <c r="B82" s="118"/>
      <c r="C82" s="148" t="s">
        <v>51</v>
      </c>
      <c r="D82" s="149"/>
      <c r="E82" s="149"/>
      <c r="F82" s="149"/>
      <c r="G82" s="166">
        <v>7.5</v>
      </c>
      <c r="H82" s="119">
        <v>3.8</v>
      </c>
      <c r="I82" s="163">
        <v>0.06</v>
      </c>
      <c r="J82" s="161">
        <v>0.3</v>
      </c>
      <c r="K82" s="169">
        <v>50</v>
      </c>
      <c r="L82" s="82"/>
      <c r="N82" s="145" t="s">
        <v>171</v>
      </c>
    </row>
    <row r="83" spans="2:14" x14ac:dyDescent="0.25">
      <c r="B83" s="118"/>
      <c r="C83" s="148" t="s">
        <v>105</v>
      </c>
      <c r="D83" s="149"/>
      <c r="E83" s="149"/>
      <c r="F83" s="149"/>
      <c r="G83" s="166">
        <v>10</v>
      </c>
      <c r="H83" s="119">
        <v>5</v>
      </c>
      <c r="I83" s="163">
        <v>0.12</v>
      </c>
      <c r="J83" s="161">
        <v>0.6</v>
      </c>
      <c r="K83" s="169">
        <v>40</v>
      </c>
      <c r="L83" s="82"/>
      <c r="N83" s="145" t="s">
        <v>171</v>
      </c>
    </row>
    <row r="84" spans="2:14" x14ac:dyDescent="0.25">
      <c r="B84" s="118"/>
      <c r="C84" s="148" t="s">
        <v>175</v>
      </c>
      <c r="D84" s="149"/>
      <c r="E84" s="149"/>
      <c r="F84" s="149"/>
      <c r="G84" s="166">
        <v>5</v>
      </c>
      <c r="H84" s="119">
        <v>2.5</v>
      </c>
      <c r="I84" s="163">
        <v>0.06</v>
      </c>
      <c r="J84" s="161">
        <v>0.3</v>
      </c>
      <c r="K84" s="169">
        <v>25</v>
      </c>
      <c r="L84" s="82"/>
      <c r="N84" s="145" t="s">
        <v>171</v>
      </c>
    </row>
    <row r="85" spans="2:14" x14ac:dyDescent="0.25">
      <c r="B85" s="118"/>
      <c r="C85" s="148" t="s">
        <v>176</v>
      </c>
      <c r="D85" s="149"/>
      <c r="E85" s="149"/>
      <c r="F85" s="149"/>
      <c r="G85" s="166">
        <v>5</v>
      </c>
      <c r="H85" s="119">
        <v>2.5</v>
      </c>
      <c r="I85" s="163">
        <v>0.12</v>
      </c>
      <c r="J85" s="161">
        <v>0.6</v>
      </c>
      <c r="K85" s="169">
        <v>50</v>
      </c>
      <c r="L85" s="82"/>
      <c r="N85" s="145">
        <v>4</v>
      </c>
    </row>
    <row r="86" spans="2:14" x14ac:dyDescent="0.25">
      <c r="B86" s="118"/>
      <c r="C86" s="148" t="s">
        <v>65</v>
      </c>
      <c r="D86" s="149"/>
      <c r="E86" s="149"/>
      <c r="F86" s="149"/>
      <c r="G86" s="166">
        <v>7.5</v>
      </c>
      <c r="H86" s="119">
        <v>3.8</v>
      </c>
      <c r="I86" s="163">
        <v>0.18</v>
      </c>
      <c r="J86" s="161">
        <v>0.9</v>
      </c>
      <c r="K86" s="169">
        <v>100</v>
      </c>
      <c r="L86" s="82"/>
      <c r="N86" s="145" t="s">
        <v>171</v>
      </c>
    </row>
    <row r="87" spans="2:14" x14ac:dyDescent="0.25">
      <c r="B87" s="118"/>
      <c r="C87" s="148" t="s">
        <v>48</v>
      </c>
      <c r="D87" s="149"/>
      <c r="E87" s="149"/>
      <c r="F87" s="149"/>
      <c r="G87" s="166">
        <v>5</v>
      </c>
      <c r="H87" s="119">
        <v>2.5</v>
      </c>
      <c r="I87" s="163">
        <v>0.12</v>
      </c>
      <c r="J87" s="161">
        <v>0.6</v>
      </c>
      <c r="K87" s="169">
        <v>25</v>
      </c>
      <c r="L87" s="82"/>
      <c r="N87" s="145" t="s">
        <v>171</v>
      </c>
    </row>
    <row r="88" spans="2:14" x14ac:dyDescent="0.25">
      <c r="B88" s="118"/>
      <c r="C88" s="148" t="s">
        <v>54</v>
      </c>
      <c r="D88" s="149"/>
      <c r="E88" s="149"/>
      <c r="F88" s="149"/>
      <c r="G88" s="166">
        <v>10</v>
      </c>
      <c r="H88" s="119">
        <v>5</v>
      </c>
      <c r="I88" s="163">
        <v>0.12</v>
      </c>
      <c r="J88" s="161">
        <v>0.6</v>
      </c>
      <c r="K88" s="169">
        <v>35</v>
      </c>
      <c r="L88" s="82"/>
      <c r="N88" s="145" t="s">
        <v>171</v>
      </c>
    </row>
    <row r="89" spans="2:14" x14ac:dyDescent="0.25">
      <c r="B89" s="118"/>
      <c r="C89" s="148" t="s">
        <v>53</v>
      </c>
      <c r="D89" s="149"/>
      <c r="E89" s="149"/>
      <c r="F89" s="149"/>
      <c r="G89" s="166">
        <v>10</v>
      </c>
      <c r="H89" s="119">
        <v>5</v>
      </c>
      <c r="I89" s="163">
        <v>0.12</v>
      </c>
      <c r="J89" s="161">
        <v>0.6</v>
      </c>
      <c r="K89" s="169">
        <v>25</v>
      </c>
      <c r="L89" s="82"/>
      <c r="N89" s="145" t="s">
        <v>171</v>
      </c>
    </row>
    <row r="90" spans="2:14" x14ac:dyDescent="0.25">
      <c r="B90" s="118"/>
      <c r="C90" s="148" t="s">
        <v>151</v>
      </c>
      <c r="D90" s="149"/>
      <c r="E90" s="149"/>
      <c r="F90" s="149"/>
      <c r="G90" s="166">
        <v>5</v>
      </c>
      <c r="H90" s="119">
        <v>2.5</v>
      </c>
      <c r="I90" s="163">
        <v>0.06</v>
      </c>
      <c r="J90" s="161">
        <v>0.3</v>
      </c>
      <c r="K90" s="169">
        <v>20</v>
      </c>
      <c r="L90" s="82"/>
      <c r="N90" s="145" t="s">
        <v>171</v>
      </c>
    </row>
    <row r="91" spans="2:14" x14ac:dyDescent="0.25">
      <c r="B91" s="118"/>
      <c r="C91" s="148" t="s">
        <v>97</v>
      </c>
      <c r="D91" s="149"/>
      <c r="E91" s="149"/>
      <c r="F91" s="149"/>
      <c r="G91" s="166">
        <v>7.5</v>
      </c>
      <c r="H91" s="119">
        <v>3.8</v>
      </c>
      <c r="I91" s="163" t="str">
        <f>IF($O$166=1,"0.06","0.12")</f>
        <v>0.12</v>
      </c>
      <c r="J91" s="161" t="str">
        <f>IF($O$166=1,"0.3","0.6")</f>
        <v>0.6</v>
      </c>
      <c r="K91" s="169">
        <v>20</v>
      </c>
      <c r="L91" s="82"/>
      <c r="N91" s="145" t="s">
        <v>171</v>
      </c>
    </row>
    <row r="92" spans="2:14" x14ac:dyDescent="0.25">
      <c r="B92" s="118"/>
      <c r="C92" s="148" t="s">
        <v>159</v>
      </c>
      <c r="D92" s="149"/>
      <c r="E92" s="149"/>
      <c r="F92" s="149"/>
      <c r="G92" s="166">
        <v>0</v>
      </c>
      <c r="H92" s="119">
        <v>0</v>
      </c>
      <c r="I92" s="163">
        <v>0.06</v>
      </c>
      <c r="J92" s="161">
        <v>0.3</v>
      </c>
      <c r="K92" s="169">
        <v>0</v>
      </c>
      <c r="L92" s="82"/>
      <c r="N92" s="145" t="s">
        <v>171</v>
      </c>
    </row>
    <row r="93" spans="2:14" x14ac:dyDescent="0.25">
      <c r="B93" s="118"/>
      <c r="C93" s="148" t="s">
        <v>79</v>
      </c>
      <c r="D93" s="149"/>
      <c r="E93" s="149"/>
      <c r="F93" s="149"/>
      <c r="G93" s="166">
        <v>5</v>
      </c>
      <c r="H93" s="119">
        <v>2.5</v>
      </c>
      <c r="I93" s="163">
        <v>0.06</v>
      </c>
      <c r="J93" s="161">
        <v>0.3</v>
      </c>
      <c r="K93" s="169">
        <v>4</v>
      </c>
      <c r="L93" s="82"/>
      <c r="N93" s="145" t="s">
        <v>171</v>
      </c>
    </row>
    <row r="94" spans="2:14" x14ac:dyDescent="0.25">
      <c r="B94" s="118"/>
      <c r="C94" s="148" t="s">
        <v>60</v>
      </c>
      <c r="D94" s="149"/>
      <c r="E94" s="149"/>
      <c r="F94" s="149"/>
      <c r="G94" s="166">
        <v>10</v>
      </c>
      <c r="H94" s="119">
        <v>5</v>
      </c>
      <c r="I94" s="163">
        <v>0.12</v>
      </c>
      <c r="J94" s="161">
        <v>0.6</v>
      </c>
      <c r="K94" s="169">
        <v>25</v>
      </c>
      <c r="L94" s="82"/>
      <c r="N94" s="145" t="s">
        <v>171</v>
      </c>
    </row>
    <row r="95" spans="2:14" x14ac:dyDescent="0.25">
      <c r="B95" s="118"/>
      <c r="C95" s="148" t="s">
        <v>67</v>
      </c>
      <c r="D95" s="149"/>
      <c r="E95" s="149"/>
      <c r="F95" s="149"/>
      <c r="G95" s="166">
        <v>5</v>
      </c>
      <c r="H95" s="119">
        <v>2.5</v>
      </c>
      <c r="I95" s="163">
        <v>0.06</v>
      </c>
      <c r="J95" s="161">
        <v>0.3</v>
      </c>
      <c r="K95" s="169">
        <v>50</v>
      </c>
      <c r="L95" s="82"/>
      <c r="N95" s="145" t="s">
        <v>171</v>
      </c>
    </row>
    <row r="96" spans="2:14" x14ac:dyDescent="0.25">
      <c r="B96" s="118"/>
      <c r="C96" s="148" t="s">
        <v>68</v>
      </c>
      <c r="D96" s="149"/>
      <c r="E96" s="149"/>
      <c r="F96" s="149"/>
      <c r="G96" s="166">
        <v>0</v>
      </c>
      <c r="H96" s="119">
        <v>0</v>
      </c>
      <c r="I96" s="163">
        <v>0.06</v>
      </c>
      <c r="J96" s="161">
        <v>0.3</v>
      </c>
      <c r="K96" s="169">
        <v>0</v>
      </c>
      <c r="L96" s="82"/>
      <c r="N96" s="145" t="s">
        <v>171</v>
      </c>
    </row>
    <row r="97" spans="2:14" x14ac:dyDescent="0.25">
      <c r="B97" s="118"/>
      <c r="C97" s="148" t="s">
        <v>87</v>
      </c>
      <c r="D97" s="149"/>
      <c r="E97" s="149"/>
      <c r="F97" s="149"/>
      <c r="G97" s="166">
        <v>5</v>
      </c>
      <c r="H97" s="119">
        <v>2.5</v>
      </c>
      <c r="I97" s="163">
        <v>0.06</v>
      </c>
      <c r="J97" s="161">
        <v>0.3</v>
      </c>
      <c r="K97" s="169">
        <v>70</v>
      </c>
      <c r="L97" s="82"/>
      <c r="N97" s="145" t="s">
        <v>171</v>
      </c>
    </row>
    <row r="98" spans="2:14" x14ac:dyDescent="0.25">
      <c r="B98" s="118"/>
      <c r="C98" s="148" t="s">
        <v>49</v>
      </c>
      <c r="D98" s="149"/>
      <c r="E98" s="149"/>
      <c r="F98" s="149"/>
      <c r="G98" s="166">
        <v>5</v>
      </c>
      <c r="H98" s="119">
        <v>2.5</v>
      </c>
      <c r="I98" s="163">
        <v>0.06</v>
      </c>
      <c r="J98" s="161">
        <v>0.3</v>
      </c>
      <c r="K98" s="169">
        <v>30</v>
      </c>
      <c r="L98" s="82"/>
      <c r="N98" s="145" t="s">
        <v>171</v>
      </c>
    </row>
    <row r="99" spans="2:14" x14ac:dyDescent="0.25">
      <c r="B99" s="118"/>
      <c r="C99" s="148" t="s">
        <v>52</v>
      </c>
      <c r="D99" s="149"/>
      <c r="E99" s="149"/>
      <c r="F99" s="149"/>
      <c r="G99" s="166">
        <v>10</v>
      </c>
      <c r="H99" s="119">
        <v>5</v>
      </c>
      <c r="I99" s="163">
        <v>0.18</v>
      </c>
      <c r="J99" s="161">
        <v>0.9</v>
      </c>
      <c r="K99" s="169">
        <v>25</v>
      </c>
      <c r="L99" s="82"/>
      <c r="N99" s="145" t="s">
        <v>171</v>
      </c>
    </row>
    <row r="100" spans="2:14" x14ac:dyDescent="0.25">
      <c r="B100" s="118"/>
      <c r="C100" s="148" t="s">
        <v>291</v>
      </c>
      <c r="D100" s="149"/>
      <c r="E100" s="149"/>
      <c r="F100" s="149"/>
      <c r="G100" s="166">
        <v>10</v>
      </c>
      <c r="H100" s="119">
        <v>5</v>
      </c>
      <c r="I100" s="163">
        <v>0.18</v>
      </c>
      <c r="J100" s="161">
        <v>0.9</v>
      </c>
      <c r="K100" s="169">
        <v>25</v>
      </c>
      <c r="L100" s="82"/>
      <c r="N100" s="145" t="s">
        <v>171</v>
      </c>
    </row>
    <row r="101" spans="2:14" x14ac:dyDescent="0.25">
      <c r="B101" s="118"/>
      <c r="C101" s="148" t="s">
        <v>102</v>
      </c>
      <c r="D101" s="149"/>
      <c r="E101" s="149"/>
      <c r="F101" s="149"/>
      <c r="G101" s="166">
        <v>20</v>
      </c>
      <c r="H101" s="119">
        <v>10</v>
      </c>
      <c r="I101" s="163">
        <v>0.06</v>
      </c>
      <c r="J101" s="161">
        <v>0.3</v>
      </c>
      <c r="K101" s="169">
        <v>100</v>
      </c>
      <c r="L101" s="82"/>
      <c r="N101" s="145" t="s">
        <v>171</v>
      </c>
    </row>
    <row r="102" spans="2:14" hidden="1" x14ac:dyDescent="0.25">
      <c r="B102" s="118"/>
      <c r="C102" s="148" t="s">
        <v>292</v>
      </c>
      <c r="D102" s="149"/>
      <c r="E102" s="149"/>
      <c r="F102" s="149"/>
      <c r="G102" s="166">
        <v>5</v>
      </c>
      <c r="H102" s="119">
        <v>2.5</v>
      </c>
      <c r="I102" s="163">
        <v>0.06</v>
      </c>
      <c r="J102" s="161">
        <v>0.3</v>
      </c>
      <c r="K102" s="169" t="s">
        <v>265</v>
      </c>
      <c r="L102" s="82"/>
      <c r="N102" s="145">
        <v>9</v>
      </c>
    </row>
    <row r="103" spans="2:14" x14ac:dyDescent="0.25">
      <c r="B103" s="118"/>
      <c r="C103" s="148" t="s">
        <v>177</v>
      </c>
      <c r="D103" s="149"/>
      <c r="E103" s="149"/>
      <c r="F103" s="149"/>
      <c r="G103" s="166">
        <v>5</v>
      </c>
      <c r="H103" s="119">
        <v>2.5</v>
      </c>
      <c r="I103" s="163">
        <v>0.06</v>
      </c>
      <c r="J103" s="161">
        <v>0.3</v>
      </c>
      <c r="K103" s="169">
        <v>2</v>
      </c>
      <c r="L103" s="82"/>
      <c r="N103" s="145">
        <v>4</v>
      </c>
    </row>
    <row r="104" spans="2:14" x14ac:dyDescent="0.25">
      <c r="B104" s="118"/>
      <c r="C104" s="148" t="s">
        <v>179</v>
      </c>
      <c r="D104" s="149"/>
      <c r="E104" s="149"/>
      <c r="F104" s="149"/>
      <c r="G104" s="166">
        <v>5</v>
      </c>
      <c r="H104" s="119">
        <v>2.5</v>
      </c>
      <c r="I104" s="163">
        <v>0.06</v>
      </c>
      <c r="J104" s="161">
        <v>0.3</v>
      </c>
      <c r="K104" s="169">
        <v>4</v>
      </c>
      <c r="L104" s="82"/>
      <c r="N104" s="145">
        <v>4</v>
      </c>
    </row>
    <row r="105" spans="2:14" x14ac:dyDescent="0.25">
      <c r="B105" s="118"/>
      <c r="C105" s="148" t="s">
        <v>178</v>
      </c>
      <c r="D105" s="149"/>
      <c r="E105" s="149"/>
      <c r="F105" s="149"/>
      <c r="G105" s="166">
        <v>5</v>
      </c>
      <c r="H105" s="119">
        <v>2.5</v>
      </c>
      <c r="I105" s="163">
        <v>0.06</v>
      </c>
      <c r="J105" s="161">
        <v>0.3</v>
      </c>
      <c r="K105" s="169">
        <v>3</v>
      </c>
      <c r="L105" s="82"/>
      <c r="N105" s="145">
        <v>4</v>
      </c>
    </row>
    <row r="106" spans="2:14" hidden="1" x14ac:dyDescent="0.25">
      <c r="B106" s="118"/>
      <c r="C106" s="148" t="s">
        <v>289</v>
      </c>
      <c r="D106" s="149"/>
      <c r="E106" s="149"/>
      <c r="F106" s="149"/>
      <c r="G106" s="166">
        <v>0</v>
      </c>
      <c r="H106" s="119">
        <v>0</v>
      </c>
      <c r="I106" s="163">
        <v>0.06</v>
      </c>
      <c r="J106" s="161">
        <v>0.3</v>
      </c>
      <c r="K106" s="169">
        <v>0</v>
      </c>
      <c r="L106" s="82"/>
      <c r="N106" s="145">
        <v>9</v>
      </c>
    </row>
    <row r="107" spans="2:14" hidden="1" x14ac:dyDescent="0.25">
      <c r="B107" s="118"/>
      <c r="C107" s="148" t="s">
        <v>290</v>
      </c>
      <c r="D107" s="149"/>
      <c r="E107" s="149"/>
      <c r="F107" s="149"/>
      <c r="G107" s="166">
        <v>0</v>
      </c>
      <c r="H107" s="119">
        <v>0</v>
      </c>
      <c r="I107" s="163">
        <v>0.12</v>
      </c>
      <c r="J107" s="161">
        <v>0.6</v>
      </c>
      <c r="K107" s="169">
        <v>0</v>
      </c>
      <c r="L107" s="82"/>
      <c r="N107" s="145">
        <v>9</v>
      </c>
    </row>
    <row r="108" spans="2:14" hidden="1" x14ac:dyDescent="0.25">
      <c r="B108" s="118"/>
      <c r="C108" s="148" t="s">
        <v>307</v>
      </c>
      <c r="D108" s="149"/>
      <c r="E108" s="149"/>
      <c r="F108" s="149"/>
      <c r="G108" s="166">
        <v>10</v>
      </c>
      <c r="H108" s="119">
        <v>5</v>
      </c>
      <c r="I108" s="442">
        <v>0</v>
      </c>
      <c r="J108" s="161">
        <v>0</v>
      </c>
      <c r="K108" s="169">
        <v>0</v>
      </c>
      <c r="L108" s="82"/>
      <c r="N108" s="145"/>
    </row>
    <row r="109" spans="2:14" x14ac:dyDescent="0.25">
      <c r="B109" s="118"/>
      <c r="C109" s="148" t="s">
        <v>106</v>
      </c>
      <c r="D109" s="149"/>
      <c r="E109" s="149"/>
      <c r="F109" s="149"/>
      <c r="G109" s="166">
        <v>7.5</v>
      </c>
      <c r="H109" s="119">
        <v>3.8</v>
      </c>
      <c r="I109" s="163">
        <v>0.18</v>
      </c>
      <c r="J109" s="161">
        <v>0.9</v>
      </c>
      <c r="K109" s="169">
        <v>120</v>
      </c>
      <c r="L109" s="82"/>
      <c r="N109" s="145" t="s">
        <v>171</v>
      </c>
    </row>
    <row r="110" spans="2:14" x14ac:dyDescent="0.25">
      <c r="B110" s="118"/>
      <c r="C110" s="148" t="s">
        <v>107</v>
      </c>
      <c r="D110" s="149"/>
      <c r="E110" s="149"/>
      <c r="F110" s="149"/>
      <c r="G110" s="166">
        <v>7.5</v>
      </c>
      <c r="H110" s="119">
        <v>3.8</v>
      </c>
      <c r="I110" s="163">
        <v>0.18</v>
      </c>
      <c r="J110" s="161">
        <v>0.9</v>
      </c>
      <c r="K110" s="169">
        <v>20</v>
      </c>
      <c r="L110" s="82"/>
      <c r="N110" s="145" t="s">
        <v>171</v>
      </c>
    </row>
    <row r="111" spans="2:14" ht="33" customHeight="1" x14ac:dyDescent="0.25">
      <c r="B111" s="118"/>
      <c r="C111" s="445" t="s">
        <v>293</v>
      </c>
      <c r="D111" s="446"/>
      <c r="E111" s="446"/>
      <c r="F111" s="447"/>
      <c r="G111" s="166">
        <v>10</v>
      </c>
      <c r="H111" s="119">
        <v>5</v>
      </c>
      <c r="I111" s="163">
        <v>0.18</v>
      </c>
      <c r="J111" s="161">
        <v>0.9</v>
      </c>
      <c r="K111" s="169">
        <v>7</v>
      </c>
      <c r="L111" s="82"/>
      <c r="N111" s="145">
        <v>4</v>
      </c>
    </row>
    <row r="112" spans="2:14" x14ac:dyDescent="0.25">
      <c r="B112" s="118"/>
      <c r="C112" s="148" t="s">
        <v>50</v>
      </c>
      <c r="D112" s="149"/>
      <c r="E112" s="149"/>
      <c r="F112" s="149"/>
      <c r="G112" s="166">
        <v>5</v>
      </c>
      <c r="H112" s="119">
        <v>2.5</v>
      </c>
      <c r="I112" s="163">
        <v>0.06</v>
      </c>
      <c r="J112" s="161">
        <v>0.3</v>
      </c>
      <c r="K112" s="169">
        <v>15</v>
      </c>
      <c r="L112" s="82"/>
      <c r="N112" s="145" t="s">
        <v>171</v>
      </c>
    </row>
    <row r="113" spans="2:14" x14ac:dyDescent="0.25">
      <c r="B113" s="118"/>
      <c r="C113" s="148" t="str">
        <f>IF($K$14="LEED v4.1","Gym, sports arena (play area)","Gym, stadium (play area)")</f>
        <v>Gym, stadium (play area)</v>
      </c>
      <c r="D113" s="149"/>
      <c r="E113" s="149"/>
      <c r="F113" s="149"/>
      <c r="G113" s="166" t="str">
        <f>IF($K$14="LEED v4.1","20","0")</f>
        <v>0</v>
      </c>
      <c r="H113" s="119" t="str">
        <f>IF($K$14="LEED v4.1","10","0")</f>
        <v>0</v>
      </c>
      <c r="I113" s="163" t="str">
        <f>IF($K$14="LEED v4.1","0.18","0.3")</f>
        <v>0.3</v>
      </c>
      <c r="J113" s="161" t="str">
        <f>IF($K$14="LEED v4.1","0.9","1.5")</f>
        <v>1.5</v>
      </c>
      <c r="K113" s="169" t="str">
        <f>IF($K$14="LEED v4.1","7","30")</f>
        <v>30</v>
      </c>
      <c r="L113" s="82"/>
      <c r="N113" s="145" t="s">
        <v>171</v>
      </c>
    </row>
    <row r="114" spans="2:14" x14ac:dyDescent="0.25">
      <c r="B114" s="118"/>
      <c r="C114" s="148" t="s">
        <v>103</v>
      </c>
      <c r="D114" s="149"/>
      <c r="E114" s="149"/>
      <c r="F114" s="149"/>
      <c r="G114" s="166">
        <v>20</v>
      </c>
      <c r="H114" s="119">
        <v>10</v>
      </c>
      <c r="I114" s="163">
        <v>0.06</v>
      </c>
      <c r="J114" s="161">
        <v>0.3</v>
      </c>
      <c r="K114" s="169">
        <v>40</v>
      </c>
      <c r="L114" s="82"/>
      <c r="N114" s="145" t="s">
        <v>171</v>
      </c>
    </row>
    <row r="115" spans="2:14" x14ac:dyDescent="0.25">
      <c r="B115" s="118"/>
      <c r="C115" s="148" t="s">
        <v>104</v>
      </c>
      <c r="D115" s="149"/>
      <c r="E115" s="149"/>
      <c r="F115" s="149"/>
      <c r="G115" s="166">
        <v>20</v>
      </c>
      <c r="H115" s="119">
        <v>10</v>
      </c>
      <c r="I115" s="163">
        <v>0.06</v>
      </c>
      <c r="J115" s="161">
        <v>0.3</v>
      </c>
      <c r="K115" s="169">
        <v>10</v>
      </c>
      <c r="L115" s="82"/>
      <c r="N115" s="145" t="s">
        <v>171</v>
      </c>
    </row>
    <row r="116" spans="2:14" x14ac:dyDescent="0.25">
      <c r="B116" s="118"/>
      <c r="C116" s="148" t="s">
        <v>150</v>
      </c>
      <c r="D116" s="149"/>
      <c r="E116" s="149"/>
      <c r="F116" s="149"/>
      <c r="G116" s="166">
        <v>7.5</v>
      </c>
      <c r="H116" s="119">
        <v>3.8</v>
      </c>
      <c r="I116" s="163">
        <v>0.12</v>
      </c>
      <c r="J116" s="161">
        <v>0.6</v>
      </c>
      <c r="K116" s="169">
        <v>20</v>
      </c>
      <c r="L116" s="82"/>
      <c r="N116" s="145">
        <v>4</v>
      </c>
    </row>
    <row r="117" spans="2:14" x14ac:dyDescent="0.25">
      <c r="B117" s="118"/>
      <c r="C117" s="148" t="s">
        <v>154</v>
      </c>
      <c r="D117" s="149"/>
      <c r="E117" s="149"/>
      <c r="F117" s="149"/>
      <c r="G117" s="166">
        <v>5</v>
      </c>
      <c r="H117" s="119">
        <v>2.5</v>
      </c>
      <c r="I117" s="163">
        <v>0.12</v>
      </c>
      <c r="J117" s="161">
        <v>0.6</v>
      </c>
      <c r="K117" s="169">
        <v>10</v>
      </c>
      <c r="L117" s="82"/>
      <c r="N117" s="145" t="s">
        <v>171</v>
      </c>
    </row>
    <row r="118" spans="2:14" x14ac:dyDescent="0.25">
      <c r="B118" s="118"/>
      <c r="C118" s="148" t="s">
        <v>153</v>
      </c>
      <c r="D118" s="149"/>
      <c r="E118" s="149"/>
      <c r="F118" s="149"/>
      <c r="G118" s="166">
        <v>5</v>
      </c>
      <c r="H118" s="119">
        <v>2.5</v>
      </c>
      <c r="I118" s="163">
        <v>0.12</v>
      </c>
      <c r="J118" s="161">
        <v>0.6</v>
      </c>
      <c r="K118" s="169">
        <v>10</v>
      </c>
      <c r="L118" s="82"/>
      <c r="N118" s="145" t="s">
        <v>171</v>
      </c>
    </row>
    <row r="119" spans="2:14" x14ac:dyDescent="0.25">
      <c r="B119" s="118"/>
      <c r="C119" s="148" t="s">
        <v>55</v>
      </c>
      <c r="D119" s="149"/>
      <c r="E119" s="149"/>
      <c r="F119" s="149"/>
      <c r="G119" s="166">
        <v>7.5</v>
      </c>
      <c r="H119" s="119">
        <v>3.8</v>
      </c>
      <c r="I119" s="163">
        <v>0.06</v>
      </c>
      <c r="J119" s="161">
        <v>0.3</v>
      </c>
      <c r="K119" s="169">
        <v>65</v>
      </c>
      <c r="L119" s="82"/>
      <c r="N119" s="145" t="s">
        <v>171</v>
      </c>
    </row>
    <row r="120" spans="2:14" x14ac:dyDescent="0.25">
      <c r="B120" s="118"/>
      <c r="C120" s="148" t="s">
        <v>56</v>
      </c>
      <c r="D120" s="149"/>
      <c r="E120" s="149"/>
      <c r="F120" s="149"/>
      <c r="G120" s="166">
        <v>7.5</v>
      </c>
      <c r="H120" s="119">
        <v>3.8</v>
      </c>
      <c r="I120" s="163">
        <v>0.06</v>
      </c>
      <c r="J120" s="161">
        <v>0.3</v>
      </c>
      <c r="K120" s="169">
        <v>150</v>
      </c>
      <c r="L120" s="82"/>
      <c r="N120" s="145" t="s">
        <v>171</v>
      </c>
    </row>
    <row r="121" spans="2:14" x14ac:dyDescent="0.25">
      <c r="B121" s="118"/>
      <c r="C121" s="148" t="s">
        <v>88</v>
      </c>
      <c r="D121" s="149"/>
      <c r="E121" s="149"/>
      <c r="F121" s="149"/>
      <c r="G121" s="166">
        <v>5</v>
      </c>
      <c r="H121" s="119">
        <v>2.5</v>
      </c>
      <c r="I121" s="163">
        <v>0.06</v>
      </c>
      <c r="J121" s="161">
        <v>0.3</v>
      </c>
      <c r="K121" s="169">
        <v>50</v>
      </c>
      <c r="L121" s="82"/>
      <c r="N121" s="145" t="s">
        <v>171</v>
      </c>
    </row>
    <row r="122" spans="2:14" x14ac:dyDescent="0.25">
      <c r="B122" s="118"/>
      <c r="C122" s="148" t="s">
        <v>89</v>
      </c>
      <c r="D122" s="149"/>
      <c r="E122" s="149"/>
      <c r="F122" s="149"/>
      <c r="G122" s="166">
        <v>5</v>
      </c>
      <c r="H122" s="119">
        <v>2.5</v>
      </c>
      <c r="I122" s="163">
        <v>0.12</v>
      </c>
      <c r="J122" s="161">
        <v>0.6</v>
      </c>
      <c r="K122" s="169">
        <v>10</v>
      </c>
      <c r="L122" s="82"/>
      <c r="N122" s="145" t="s">
        <v>171</v>
      </c>
    </row>
    <row r="123" spans="2:14" x14ac:dyDescent="0.25">
      <c r="B123" s="118"/>
      <c r="C123" s="148" t="s">
        <v>90</v>
      </c>
      <c r="D123" s="149"/>
      <c r="E123" s="149"/>
      <c r="F123" s="149"/>
      <c r="G123" s="166">
        <v>5</v>
      </c>
      <c r="H123" s="119">
        <v>2.5</v>
      </c>
      <c r="I123" s="163">
        <v>0.06</v>
      </c>
      <c r="J123" s="161">
        <v>0.3</v>
      </c>
      <c r="K123" s="169">
        <v>150</v>
      </c>
      <c r="L123" s="82"/>
      <c r="N123" s="145" t="s">
        <v>171</v>
      </c>
    </row>
    <row r="124" spans="2:14" x14ac:dyDescent="0.25">
      <c r="B124" s="118"/>
      <c r="C124" s="148" t="s">
        <v>72</v>
      </c>
      <c r="D124" s="149"/>
      <c r="E124" s="149"/>
      <c r="F124" s="149"/>
      <c r="G124" s="166">
        <v>7.5</v>
      </c>
      <c r="H124" s="119">
        <v>3.8</v>
      </c>
      <c r="I124" s="163">
        <v>0.06</v>
      </c>
      <c r="J124" s="161">
        <v>0.3</v>
      </c>
      <c r="K124" s="169">
        <v>30</v>
      </c>
      <c r="L124" s="82"/>
      <c r="N124" s="145" t="s">
        <v>171</v>
      </c>
    </row>
    <row r="125" spans="2:14" x14ac:dyDescent="0.25">
      <c r="B125" s="118"/>
      <c r="C125" s="148" t="s">
        <v>77</v>
      </c>
      <c r="D125" s="149"/>
      <c r="E125" s="149"/>
      <c r="F125" s="149"/>
      <c r="G125" s="166">
        <v>5</v>
      </c>
      <c r="H125" s="119">
        <v>2.5</v>
      </c>
      <c r="I125" s="163">
        <v>0.06</v>
      </c>
      <c r="J125" s="161">
        <v>0.3</v>
      </c>
      <c r="K125" s="169">
        <v>10</v>
      </c>
      <c r="L125" s="82"/>
      <c r="N125" s="145" t="s">
        <v>171</v>
      </c>
    </row>
    <row r="126" spans="2:14" x14ac:dyDescent="0.25">
      <c r="B126" s="118"/>
      <c r="C126" s="148" t="s">
        <v>94</v>
      </c>
      <c r="D126" s="149"/>
      <c r="E126" s="149"/>
      <c r="F126" s="149"/>
      <c r="G126" s="166">
        <v>7.5</v>
      </c>
      <c r="H126" s="119">
        <v>3.8</v>
      </c>
      <c r="I126" s="163">
        <v>0.06</v>
      </c>
      <c r="J126" s="161">
        <v>0.3</v>
      </c>
      <c r="K126" s="169">
        <v>40</v>
      </c>
      <c r="L126" s="82"/>
      <c r="N126" s="145" t="s">
        <v>171</v>
      </c>
    </row>
    <row r="127" spans="2:14" x14ac:dyDescent="0.25">
      <c r="B127" s="118"/>
      <c r="C127" s="148" t="s">
        <v>61</v>
      </c>
      <c r="D127" s="149"/>
      <c r="E127" s="149"/>
      <c r="F127" s="149"/>
      <c r="G127" s="166">
        <v>10</v>
      </c>
      <c r="H127" s="119">
        <v>5</v>
      </c>
      <c r="I127" s="163">
        <v>0.12</v>
      </c>
      <c r="J127" s="161">
        <v>0.6</v>
      </c>
      <c r="K127" s="169">
        <v>25</v>
      </c>
      <c r="L127" s="82"/>
      <c r="N127" s="145" t="s">
        <v>171</v>
      </c>
    </row>
    <row r="128" spans="2:14" x14ac:dyDescent="0.25">
      <c r="B128" s="118"/>
      <c r="C128" s="148" t="s">
        <v>73</v>
      </c>
      <c r="D128" s="149"/>
      <c r="E128" s="149"/>
      <c r="F128" s="149"/>
      <c r="G128" s="166">
        <v>5</v>
      </c>
      <c r="H128" s="119">
        <v>2.5</v>
      </c>
      <c r="I128" s="163">
        <v>0.06</v>
      </c>
      <c r="J128" s="161">
        <v>0.3</v>
      </c>
      <c r="K128" s="169">
        <v>120</v>
      </c>
      <c r="L128" s="82"/>
      <c r="N128" s="145" t="s">
        <v>171</v>
      </c>
    </row>
    <row r="129" spans="2:14" x14ac:dyDescent="0.25">
      <c r="B129" s="118"/>
      <c r="C129" s="148" t="s">
        <v>63</v>
      </c>
      <c r="D129" s="149"/>
      <c r="E129" s="149"/>
      <c r="F129" s="149"/>
      <c r="G129" s="166">
        <v>7.5</v>
      </c>
      <c r="H129" s="119">
        <v>3.8</v>
      </c>
      <c r="I129" s="163">
        <v>0.06</v>
      </c>
      <c r="J129" s="161">
        <v>0.3</v>
      </c>
      <c r="K129" s="169">
        <v>100</v>
      </c>
      <c r="L129" s="82"/>
      <c r="N129" s="145" t="s">
        <v>171</v>
      </c>
    </row>
    <row r="130" spans="2:14" x14ac:dyDescent="0.25">
      <c r="B130" s="118"/>
      <c r="C130" s="148" t="s">
        <v>91</v>
      </c>
      <c r="D130" s="149"/>
      <c r="E130" s="149"/>
      <c r="F130" s="149"/>
      <c r="G130" s="166">
        <v>7.5</v>
      </c>
      <c r="H130" s="119">
        <v>3.8</v>
      </c>
      <c r="I130" s="163">
        <v>0.12</v>
      </c>
      <c r="J130" s="161">
        <v>0.6</v>
      </c>
      <c r="K130" s="169">
        <v>40</v>
      </c>
      <c r="L130" s="82"/>
      <c r="N130" s="145" t="s">
        <v>171</v>
      </c>
    </row>
    <row r="131" spans="2:14" x14ac:dyDescent="0.25">
      <c r="B131" s="118"/>
      <c r="C131" s="148" t="s">
        <v>92</v>
      </c>
      <c r="D131" s="149"/>
      <c r="E131" s="149"/>
      <c r="F131" s="149"/>
      <c r="G131" s="166">
        <v>7.5</v>
      </c>
      <c r="H131" s="119">
        <v>3.8</v>
      </c>
      <c r="I131" s="163">
        <v>0.06</v>
      </c>
      <c r="J131" s="161">
        <v>0.3</v>
      </c>
      <c r="K131" s="169">
        <v>40</v>
      </c>
      <c r="L131" s="82"/>
      <c r="N131" s="145" t="s">
        <v>171</v>
      </c>
    </row>
    <row r="132" spans="2:14" x14ac:dyDescent="0.25">
      <c r="B132" s="118"/>
      <c r="C132" s="148" t="s">
        <v>62</v>
      </c>
      <c r="D132" s="149"/>
      <c r="E132" s="149"/>
      <c r="F132" s="149"/>
      <c r="G132" s="166">
        <v>10</v>
      </c>
      <c r="H132" s="119">
        <v>5</v>
      </c>
      <c r="I132" s="163">
        <v>0.06</v>
      </c>
      <c r="J132" s="161">
        <v>0.3</v>
      </c>
      <c r="K132" s="169">
        <v>35</v>
      </c>
      <c r="L132" s="82"/>
      <c r="N132" s="145" t="s">
        <v>171</v>
      </c>
    </row>
    <row r="133" spans="2:14" x14ac:dyDescent="0.25">
      <c r="B133" s="118"/>
      <c r="C133" s="148" t="s">
        <v>155</v>
      </c>
      <c r="D133" s="149"/>
      <c r="E133" s="149"/>
      <c r="F133" s="149"/>
      <c r="G133" s="166">
        <v>5</v>
      </c>
      <c r="H133" s="119">
        <v>2.5</v>
      </c>
      <c r="I133" s="163">
        <v>0.06</v>
      </c>
      <c r="J133" s="161">
        <v>0.3</v>
      </c>
      <c r="K133" s="169">
        <v>2</v>
      </c>
      <c r="L133" s="82"/>
      <c r="N133" s="145">
        <v>4</v>
      </c>
    </row>
    <row r="134" spans="2:14" x14ac:dyDescent="0.25">
      <c r="B134" s="118"/>
      <c r="C134" s="148" t="s">
        <v>152</v>
      </c>
      <c r="D134" s="149"/>
      <c r="E134" s="149"/>
      <c r="F134" s="149"/>
      <c r="G134" s="166">
        <v>5</v>
      </c>
      <c r="H134" s="119">
        <v>2.5</v>
      </c>
      <c r="I134" s="163">
        <v>0.12</v>
      </c>
      <c r="J134" s="161">
        <v>0.6</v>
      </c>
      <c r="K134" s="169">
        <v>2</v>
      </c>
      <c r="L134" s="82"/>
      <c r="N134" s="145">
        <v>4</v>
      </c>
    </row>
    <row r="135" spans="2:14" x14ac:dyDescent="0.25">
      <c r="B135" s="118"/>
      <c r="C135" s="148" t="s">
        <v>74</v>
      </c>
      <c r="D135" s="149"/>
      <c r="E135" s="149"/>
      <c r="F135" s="149"/>
      <c r="G135" s="166">
        <v>5</v>
      </c>
      <c r="H135" s="119">
        <v>2.5</v>
      </c>
      <c r="I135" s="163">
        <v>0.06</v>
      </c>
      <c r="J135" s="161">
        <v>0.3</v>
      </c>
      <c r="K135" s="169">
        <v>5</v>
      </c>
      <c r="L135" s="82"/>
      <c r="N135" s="145" t="s">
        <v>171</v>
      </c>
    </row>
    <row r="136" spans="2:14" x14ac:dyDescent="0.25">
      <c r="B136" s="118"/>
      <c r="C136" s="148" t="str">
        <f>IF($O$166=1,"Pet shops","Pet shops (animal areas)")</f>
        <v>Pet shops (animal areas)</v>
      </c>
      <c r="D136" s="149"/>
      <c r="E136" s="149"/>
      <c r="F136" s="149"/>
      <c r="G136" s="166">
        <v>7.5</v>
      </c>
      <c r="H136" s="119">
        <v>3.8</v>
      </c>
      <c r="I136" s="163">
        <v>0.18</v>
      </c>
      <c r="J136" s="161">
        <v>0.9</v>
      </c>
      <c r="K136" s="169">
        <v>10</v>
      </c>
      <c r="L136" s="82"/>
      <c r="N136" s="145" t="s">
        <v>171</v>
      </c>
    </row>
    <row r="137" spans="2:14" x14ac:dyDescent="0.25">
      <c r="B137" s="118"/>
      <c r="C137" s="148" t="s">
        <v>80</v>
      </c>
      <c r="D137" s="149"/>
      <c r="E137" s="149"/>
      <c r="F137" s="149"/>
      <c r="G137" s="166">
        <v>5</v>
      </c>
      <c r="H137" s="119">
        <v>2.5</v>
      </c>
      <c r="I137" s="163">
        <v>0.18</v>
      </c>
      <c r="J137" s="161">
        <v>0.9</v>
      </c>
      <c r="K137" s="169">
        <v>10</v>
      </c>
      <c r="L137" s="82"/>
      <c r="N137" s="145" t="s">
        <v>171</v>
      </c>
    </row>
    <row r="138" spans="2:14" x14ac:dyDescent="0.25">
      <c r="B138" s="118"/>
      <c r="C138" s="148" t="s">
        <v>81</v>
      </c>
      <c r="D138" s="149"/>
      <c r="E138" s="149"/>
      <c r="F138" s="149"/>
      <c r="G138" s="166">
        <v>5</v>
      </c>
      <c r="H138" s="119">
        <v>2.5</v>
      </c>
      <c r="I138" s="163">
        <v>0.12</v>
      </c>
      <c r="J138" s="161">
        <v>0.6</v>
      </c>
      <c r="K138" s="169">
        <v>10</v>
      </c>
      <c r="L138" s="82"/>
      <c r="N138" s="145" t="s">
        <v>171</v>
      </c>
    </row>
    <row r="139" spans="2:14" x14ac:dyDescent="0.25">
      <c r="B139" s="118"/>
      <c r="C139" s="148" t="s">
        <v>86</v>
      </c>
      <c r="D139" s="149"/>
      <c r="E139" s="149"/>
      <c r="F139" s="149"/>
      <c r="G139" s="166">
        <v>5</v>
      </c>
      <c r="H139" s="119">
        <v>2.5</v>
      </c>
      <c r="I139" s="163">
        <v>0.06</v>
      </c>
      <c r="J139" s="161">
        <v>0.3</v>
      </c>
      <c r="K139" s="169">
        <v>120</v>
      </c>
      <c r="L139" s="82"/>
      <c r="N139" s="145" t="s">
        <v>171</v>
      </c>
    </row>
    <row r="140" spans="2:14" x14ac:dyDescent="0.25">
      <c r="B140" s="118"/>
      <c r="C140" s="148" t="s">
        <v>75</v>
      </c>
      <c r="D140" s="149"/>
      <c r="E140" s="149"/>
      <c r="F140" s="149"/>
      <c r="G140" s="166">
        <v>5</v>
      </c>
      <c r="H140" s="119">
        <v>2.5</v>
      </c>
      <c r="I140" s="163">
        <v>0.06</v>
      </c>
      <c r="J140" s="161">
        <v>0.3</v>
      </c>
      <c r="K140" s="169">
        <v>30</v>
      </c>
      <c r="L140" s="82"/>
      <c r="N140" s="145" t="s">
        <v>171</v>
      </c>
    </row>
    <row r="141" spans="2:14" x14ac:dyDescent="0.25">
      <c r="B141" s="118"/>
      <c r="C141" s="148" t="s">
        <v>64</v>
      </c>
      <c r="D141" s="149"/>
      <c r="E141" s="149"/>
      <c r="F141" s="149"/>
      <c r="G141" s="166">
        <v>7.5</v>
      </c>
      <c r="H141" s="119">
        <v>3.8</v>
      </c>
      <c r="I141" s="163">
        <v>0.18</v>
      </c>
      <c r="J141" s="161">
        <v>0.9</v>
      </c>
      <c r="K141" s="169">
        <v>70</v>
      </c>
      <c r="L141" s="82"/>
      <c r="N141" s="145" t="s">
        <v>171</v>
      </c>
    </row>
    <row r="142" spans="2:14" x14ac:dyDescent="0.25">
      <c r="B142" s="118"/>
      <c r="C142" s="148" t="s">
        <v>93</v>
      </c>
      <c r="D142" s="149"/>
      <c r="E142" s="149"/>
      <c r="F142" s="149"/>
      <c r="G142" s="166">
        <v>7.5</v>
      </c>
      <c r="H142" s="119">
        <v>3.8</v>
      </c>
      <c r="I142" s="163">
        <v>0.12</v>
      </c>
      <c r="J142" s="161">
        <v>0.6</v>
      </c>
      <c r="K142" s="169">
        <v>15</v>
      </c>
      <c r="L142" s="82"/>
      <c r="N142" s="145" t="s">
        <v>171</v>
      </c>
    </row>
    <row r="143" spans="2:14" x14ac:dyDescent="0.25">
      <c r="B143" s="118"/>
      <c r="C143" s="148" t="s">
        <v>58</v>
      </c>
      <c r="D143" s="149"/>
      <c r="E143" s="149"/>
      <c r="F143" s="149"/>
      <c r="G143" s="166">
        <v>10</v>
      </c>
      <c r="H143" s="119">
        <v>5</v>
      </c>
      <c r="I143" s="163">
        <v>0.18</v>
      </c>
      <c r="J143" s="161">
        <v>0.9</v>
      </c>
      <c r="K143" s="169">
        <v>25</v>
      </c>
      <c r="L143" s="82"/>
      <c r="N143" s="145" t="s">
        <v>171</v>
      </c>
    </row>
    <row r="144" spans="2:14" x14ac:dyDescent="0.25">
      <c r="B144" s="118"/>
      <c r="C144" s="148" t="s">
        <v>82</v>
      </c>
      <c r="D144" s="149"/>
      <c r="E144" s="149"/>
      <c r="F144" s="149"/>
      <c r="G144" s="166">
        <f>IF($O$166=1,0,10)</f>
        <v>10</v>
      </c>
      <c r="H144" s="119">
        <f>IF($O$166=1,0,5)</f>
        <v>5</v>
      </c>
      <c r="I144" s="163">
        <v>0.12</v>
      </c>
      <c r="J144" s="161">
        <v>0.6</v>
      </c>
      <c r="K144" s="169" t="str">
        <f>IF($O$166=1,"0","2")</f>
        <v>2</v>
      </c>
      <c r="L144" s="82"/>
      <c r="N144" s="145" t="s">
        <v>171</v>
      </c>
    </row>
    <row r="145" spans="2:14" x14ac:dyDescent="0.25">
      <c r="B145" s="118"/>
      <c r="C145" s="148" t="s">
        <v>157</v>
      </c>
      <c r="D145" s="149"/>
      <c r="E145" s="149"/>
      <c r="F145" s="149"/>
      <c r="G145" s="166">
        <v>7.5</v>
      </c>
      <c r="H145" s="119">
        <v>3.8</v>
      </c>
      <c r="I145" s="163">
        <v>0.12</v>
      </c>
      <c r="J145" s="161">
        <v>0.6</v>
      </c>
      <c r="K145" s="169">
        <v>7</v>
      </c>
      <c r="L145" s="82"/>
      <c r="N145" s="145">
        <v>4</v>
      </c>
    </row>
    <row r="146" spans="2:14" x14ac:dyDescent="0.25">
      <c r="B146" s="118"/>
      <c r="C146" s="148" t="s">
        <v>100</v>
      </c>
      <c r="D146" s="149"/>
      <c r="E146" s="149"/>
      <c r="F146" s="149"/>
      <c r="G146" s="166">
        <v>7.5</v>
      </c>
      <c r="H146" s="119">
        <v>3.8</v>
      </c>
      <c r="I146" s="163">
        <v>0.06</v>
      </c>
      <c r="J146" s="161">
        <v>0.3</v>
      </c>
      <c r="K146" s="169">
        <v>150</v>
      </c>
      <c r="L146" s="82"/>
      <c r="N146" s="145" t="s">
        <v>171</v>
      </c>
    </row>
    <row r="147" spans="2:14" x14ac:dyDescent="0.25">
      <c r="B147" s="118"/>
      <c r="C147" s="148" t="s">
        <v>98</v>
      </c>
      <c r="D147" s="149"/>
      <c r="E147" s="149"/>
      <c r="F147" s="149"/>
      <c r="G147" s="166">
        <v>0</v>
      </c>
      <c r="H147" s="119">
        <v>0</v>
      </c>
      <c r="I147" s="442">
        <v>0.3</v>
      </c>
      <c r="J147" s="161">
        <v>1.5</v>
      </c>
      <c r="K147" s="169">
        <v>0</v>
      </c>
      <c r="L147" s="82"/>
      <c r="N147" s="145" t="s">
        <v>171</v>
      </c>
    </row>
    <row r="148" spans="2:14" x14ac:dyDescent="0.25">
      <c r="B148" s="118"/>
      <c r="C148" s="148" t="s">
        <v>160</v>
      </c>
      <c r="D148" s="149"/>
      <c r="E148" s="149"/>
      <c r="F148" s="149"/>
      <c r="G148" s="166">
        <v>10</v>
      </c>
      <c r="H148" s="119">
        <v>5</v>
      </c>
      <c r="I148" s="163">
        <v>0.06</v>
      </c>
      <c r="J148" s="161">
        <v>0.3</v>
      </c>
      <c r="K148" s="169">
        <v>70</v>
      </c>
      <c r="L148" s="82"/>
      <c r="N148" s="145" t="s">
        <v>171</v>
      </c>
    </row>
    <row r="149" spans="2:14" hidden="1" x14ac:dyDescent="0.25">
      <c r="B149" s="118"/>
      <c r="C149" s="148" t="s">
        <v>69</v>
      </c>
      <c r="D149" s="149"/>
      <c r="E149" s="149"/>
      <c r="F149" s="149"/>
      <c r="G149" s="166">
        <v>0</v>
      </c>
      <c r="H149" s="119">
        <v>0</v>
      </c>
      <c r="I149" s="163">
        <v>0.12</v>
      </c>
      <c r="J149" s="161">
        <v>0.6</v>
      </c>
      <c r="K149" s="169">
        <v>0</v>
      </c>
      <c r="L149" s="82"/>
      <c r="N149" s="145">
        <v>9</v>
      </c>
    </row>
    <row r="150" spans="2:14" x14ac:dyDescent="0.25">
      <c r="B150" s="118"/>
      <c r="C150" s="148" t="s">
        <v>96</v>
      </c>
      <c r="D150" s="149"/>
      <c r="E150" s="149"/>
      <c r="F150" s="149"/>
      <c r="G150" s="166">
        <v>7.5</v>
      </c>
      <c r="H150" s="119">
        <v>3.8</v>
      </c>
      <c r="I150" s="163">
        <v>0.06</v>
      </c>
      <c r="J150" s="161">
        <v>0.3</v>
      </c>
      <c r="K150" s="169">
        <v>8</v>
      </c>
      <c r="L150" s="82"/>
      <c r="N150" s="145" t="s">
        <v>171</v>
      </c>
    </row>
    <row r="151" spans="2:14" x14ac:dyDescent="0.25">
      <c r="B151" s="118"/>
      <c r="C151" s="148" t="s">
        <v>101</v>
      </c>
      <c r="D151" s="149"/>
      <c r="E151" s="149"/>
      <c r="F151" s="149"/>
      <c r="G151" s="166">
        <v>0</v>
      </c>
      <c r="H151" s="119">
        <v>0</v>
      </c>
      <c r="I151" s="163">
        <v>0.48</v>
      </c>
      <c r="J151" s="161">
        <v>2.4</v>
      </c>
      <c r="K151" s="169">
        <v>0</v>
      </c>
      <c r="L151" s="82"/>
      <c r="N151" s="145" t="s">
        <v>171</v>
      </c>
    </row>
    <row r="152" spans="2:14" x14ac:dyDescent="0.25">
      <c r="B152" s="118"/>
      <c r="C152" s="148" t="s">
        <v>76</v>
      </c>
      <c r="D152" s="149"/>
      <c r="E152" s="149"/>
      <c r="F152" s="149"/>
      <c r="G152" s="166">
        <v>5</v>
      </c>
      <c r="H152" s="119">
        <v>2.5</v>
      </c>
      <c r="I152" s="163">
        <v>0.06</v>
      </c>
      <c r="J152" s="161">
        <v>0.3</v>
      </c>
      <c r="K152" s="169">
        <v>60</v>
      </c>
      <c r="L152" s="82"/>
      <c r="N152" s="145" t="s">
        <v>171</v>
      </c>
    </row>
    <row r="153" spans="2:14" x14ac:dyDescent="0.25">
      <c r="B153" s="118"/>
      <c r="C153" s="148" t="s">
        <v>158</v>
      </c>
      <c r="D153" s="149"/>
      <c r="E153" s="149"/>
      <c r="F153" s="149"/>
      <c r="G153" s="166">
        <v>0</v>
      </c>
      <c r="H153" s="119">
        <v>0</v>
      </c>
      <c r="I153" s="163">
        <v>0</v>
      </c>
      <c r="J153" s="161">
        <v>0</v>
      </c>
      <c r="K153" s="169">
        <v>0</v>
      </c>
      <c r="L153" s="82"/>
      <c r="N153" s="145">
        <v>4</v>
      </c>
    </row>
    <row r="154" spans="2:14" x14ac:dyDescent="0.25">
      <c r="B154" s="118"/>
      <c r="C154" s="148" t="s">
        <v>83</v>
      </c>
      <c r="D154" s="149"/>
      <c r="E154" s="149"/>
      <c r="F154" s="149"/>
      <c r="G154" s="166">
        <v>7.5</v>
      </c>
      <c r="H154" s="119">
        <v>3.8</v>
      </c>
      <c r="I154" s="163">
        <v>0.06</v>
      </c>
      <c r="J154" s="161">
        <v>0.3</v>
      </c>
      <c r="K154" s="169">
        <v>100</v>
      </c>
      <c r="L154" s="82"/>
      <c r="N154" s="145" t="s">
        <v>171</v>
      </c>
    </row>
    <row r="155" spans="2:14" x14ac:dyDescent="0.25">
      <c r="B155" s="118"/>
      <c r="C155" s="148" t="s">
        <v>149</v>
      </c>
      <c r="D155" s="149"/>
      <c r="E155" s="149"/>
      <c r="F155" s="149"/>
      <c r="G155" s="166">
        <v>10</v>
      </c>
      <c r="H155" s="119">
        <v>5</v>
      </c>
      <c r="I155" s="163">
        <v>0.18</v>
      </c>
      <c r="J155" s="161">
        <v>0.9</v>
      </c>
      <c r="K155" s="169">
        <v>25</v>
      </c>
      <c r="L155" s="82"/>
      <c r="N155" s="145">
        <v>4</v>
      </c>
    </row>
    <row r="156" spans="2:14" x14ac:dyDescent="0.25">
      <c r="B156" s="118"/>
      <c r="C156" s="148" t="s">
        <v>84</v>
      </c>
      <c r="D156" s="149"/>
      <c r="E156" s="149"/>
      <c r="F156" s="149"/>
      <c r="G156" s="166">
        <f>IF($O$166=1,0,10)</f>
        <v>10</v>
      </c>
      <c r="H156" s="119">
        <f>IF($O$166=1,0,5)</f>
        <v>5</v>
      </c>
      <c r="I156" s="163">
        <v>0.06</v>
      </c>
      <c r="J156" s="161">
        <v>0.3</v>
      </c>
      <c r="K156" s="169">
        <v>0</v>
      </c>
      <c r="L156" s="82"/>
      <c r="N156" s="145" t="s">
        <v>171</v>
      </c>
    </row>
    <row r="157" spans="2:14" x14ac:dyDescent="0.25">
      <c r="B157" s="118"/>
      <c r="C157" s="150" t="s">
        <v>59</v>
      </c>
      <c r="D157" s="151"/>
      <c r="E157" s="151"/>
      <c r="F157" s="151"/>
      <c r="G157" s="167">
        <v>10</v>
      </c>
      <c r="H157" s="120">
        <v>5</v>
      </c>
      <c r="I157" s="164">
        <v>0.18</v>
      </c>
      <c r="J157" s="162">
        <v>0.9</v>
      </c>
      <c r="K157" s="170">
        <v>20</v>
      </c>
      <c r="L157" s="82"/>
      <c r="N157" s="145" t="s">
        <v>171</v>
      </c>
    </row>
    <row r="158" spans="2:14" ht="24" customHeight="1" x14ac:dyDescent="0.25">
      <c r="B158" s="121"/>
      <c r="C158" s="122"/>
      <c r="D158" s="122"/>
      <c r="E158" s="122"/>
      <c r="F158" s="122"/>
      <c r="G158" s="122"/>
      <c r="H158" s="122"/>
      <c r="I158" s="122"/>
      <c r="J158" s="122"/>
      <c r="K158" s="122"/>
      <c r="L158" s="123"/>
    </row>
    <row r="159" spans="2:14" ht="9" customHeight="1" x14ac:dyDescent="0.25"/>
    <row r="160" spans="2:14" ht="12" customHeight="1" x14ac:dyDescent="0.25">
      <c r="K160" s="34"/>
      <c r="L160" s="55" t="s">
        <v>306</v>
      </c>
    </row>
    <row r="161" spans="7:20" ht="12" customHeight="1" x14ac:dyDescent="0.25">
      <c r="K161" s="34"/>
      <c r="L161" s="55" t="s">
        <v>309</v>
      </c>
    </row>
    <row r="162" spans="7:20" ht="12" customHeight="1" x14ac:dyDescent="0.25">
      <c r="K162" s="34"/>
      <c r="L162" s="56" t="s">
        <v>109</v>
      </c>
    </row>
    <row r="163" spans="7:20" ht="12" customHeight="1" x14ac:dyDescent="0.25">
      <c r="K163" s="34"/>
      <c r="L163" s="56" t="s">
        <v>111</v>
      </c>
    </row>
    <row r="164" spans="7:20" x14ac:dyDescent="0.25">
      <c r="L164" s="56" t="s">
        <v>312</v>
      </c>
    </row>
    <row r="165" spans="7:20" x14ac:dyDescent="0.25">
      <c r="N165" s="33" t="s">
        <v>108</v>
      </c>
      <c r="O165" s="143" t="s">
        <v>173</v>
      </c>
      <c r="P165" s="285" t="s">
        <v>261</v>
      </c>
    </row>
    <row r="166" spans="7:20" x14ac:dyDescent="0.25">
      <c r="N166" s="33">
        <f>IF(K10="IP units",1,2)</f>
        <v>1</v>
      </c>
      <c r="O166" s="33">
        <f>IF(K14="LEED 2009",1,2)</f>
        <v>2</v>
      </c>
      <c r="P166" s="33">
        <f>IF(K18="Yes",1,2)</f>
        <v>2</v>
      </c>
    </row>
    <row r="167" spans="7:20" x14ac:dyDescent="0.25">
      <c r="N167" s="2" t="s">
        <v>110</v>
      </c>
      <c r="O167" s="144" t="s">
        <v>174</v>
      </c>
      <c r="P167" s="286" t="s">
        <v>262</v>
      </c>
    </row>
    <row r="169" spans="7:20" x14ac:dyDescent="0.25">
      <c r="N169" s="143" t="s">
        <v>184</v>
      </c>
      <c r="O169" s="143" t="s">
        <v>185</v>
      </c>
      <c r="P169" s="343" t="s">
        <v>140</v>
      </c>
      <c r="Q169" s="378" t="s">
        <v>308</v>
      </c>
    </row>
    <row r="170" spans="7:20" x14ac:dyDescent="0.25">
      <c r="G170" s="392"/>
      <c r="H170" s="392"/>
      <c r="I170" s="392"/>
      <c r="J170" s="392"/>
      <c r="N170" s="146" t="s">
        <v>57</v>
      </c>
      <c r="O170" s="146" t="s">
        <v>57</v>
      </c>
      <c r="P170" s="369">
        <f>IF(K23="Yes",1,2)</f>
        <v>2</v>
      </c>
      <c r="Q170" s="146" t="s">
        <v>57</v>
      </c>
      <c r="R170" s="147"/>
      <c r="S170" s="147"/>
      <c r="T170" s="147"/>
    </row>
    <row r="171" spans="7:20" x14ac:dyDescent="0.25">
      <c r="G171" s="392"/>
      <c r="H171" s="392"/>
      <c r="I171" s="392"/>
      <c r="J171" s="392"/>
      <c r="N171" s="148" t="s">
        <v>85</v>
      </c>
      <c r="O171" s="148" t="s">
        <v>85</v>
      </c>
      <c r="P171" s="286" t="s">
        <v>262</v>
      </c>
      <c r="Q171" s="148" t="s">
        <v>85</v>
      </c>
      <c r="R171" s="149"/>
      <c r="S171" s="149"/>
      <c r="T171" s="149"/>
    </row>
    <row r="172" spans="7:20" x14ac:dyDescent="0.25">
      <c r="G172" s="392"/>
      <c r="H172" s="392"/>
      <c r="I172" s="392"/>
      <c r="J172" s="392"/>
      <c r="N172" s="148" t="s">
        <v>78</v>
      </c>
      <c r="O172" s="148" t="s">
        <v>78</v>
      </c>
      <c r="Q172" s="148" t="s">
        <v>78</v>
      </c>
      <c r="R172" s="149"/>
      <c r="S172" s="149"/>
      <c r="T172" s="149"/>
    </row>
    <row r="173" spans="7:20" x14ac:dyDescent="0.25">
      <c r="G173" s="392"/>
      <c r="H173" s="392"/>
      <c r="I173" s="392"/>
      <c r="J173" s="392"/>
      <c r="N173" s="148" t="s">
        <v>183</v>
      </c>
      <c r="O173" s="148" t="s">
        <v>156</v>
      </c>
      <c r="Q173" s="148" t="s">
        <v>156</v>
      </c>
      <c r="R173" s="149"/>
      <c r="S173" s="149"/>
      <c r="T173" s="149"/>
    </row>
    <row r="174" spans="7:20" x14ac:dyDescent="0.25">
      <c r="G174" s="392"/>
      <c r="H174" s="392"/>
      <c r="I174" s="392"/>
      <c r="J174" s="392"/>
      <c r="N174" s="148" t="s">
        <v>71</v>
      </c>
      <c r="O174" s="148" t="s">
        <v>186</v>
      </c>
      <c r="Q174" s="148" t="str">
        <f>IF($O$166=1,"Barber shop","Barbershop")</f>
        <v>Barbershop</v>
      </c>
      <c r="R174" s="149"/>
      <c r="S174" s="149"/>
      <c r="T174" s="149"/>
    </row>
    <row r="175" spans="7:20" x14ac:dyDescent="0.25">
      <c r="G175" s="392"/>
      <c r="H175" s="392"/>
      <c r="I175" s="392"/>
      <c r="J175" s="392"/>
      <c r="N175" s="148" t="s">
        <v>66</v>
      </c>
      <c r="O175" s="148" t="s">
        <v>71</v>
      </c>
      <c r="Q175" s="148" t="s">
        <v>71</v>
      </c>
      <c r="R175" s="149"/>
      <c r="S175" s="149"/>
      <c r="T175" s="149"/>
    </row>
    <row r="176" spans="7:20" x14ac:dyDescent="0.25">
      <c r="G176" s="392"/>
      <c r="H176" s="392"/>
      <c r="I176" s="392"/>
      <c r="J176" s="392"/>
      <c r="N176" s="148" t="s">
        <v>95</v>
      </c>
      <c r="O176" s="148" t="s">
        <v>66</v>
      </c>
      <c r="Q176" s="148" t="s">
        <v>66</v>
      </c>
      <c r="R176" s="149"/>
      <c r="S176" s="149"/>
      <c r="T176" s="149"/>
    </row>
    <row r="177" spans="7:20" x14ac:dyDescent="0.25">
      <c r="G177" s="392"/>
      <c r="H177" s="392"/>
      <c r="I177" s="392"/>
      <c r="J177" s="392"/>
      <c r="N177" s="148" t="s">
        <v>70</v>
      </c>
      <c r="O177" s="148" t="s">
        <v>95</v>
      </c>
      <c r="Q177" s="148" t="s">
        <v>95</v>
      </c>
      <c r="R177" s="149"/>
      <c r="S177" s="149"/>
      <c r="T177" s="149"/>
    </row>
    <row r="178" spans="7:20" x14ac:dyDescent="0.25">
      <c r="G178" s="392"/>
      <c r="H178" s="392"/>
      <c r="I178" s="392"/>
      <c r="J178" s="392"/>
      <c r="N178" s="148" t="s">
        <v>51</v>
      </c>
      <c r="O178" s="148" t="s">
        <v>70</v>
      </c>
      <c r="Q178" s="148" t="s">
        <v>70</v>
      </c>
      <c r="R178" s="149"/>
      <c r="S178" s="149"/>
      <c r="T178" s="149"/>
    </row>
    <row r="179" spans="7:20" x14ac:dyDescent="0.25">
      <c r="G179" s="392"/>
      <c r="H179" s="392"/>
      <c r="I179" s="392"/>
      <c r="J179" s="392"/>
      <c r="N179" s="148" t="s">
        <v>105</v>
      </c>
      <c r="O179" s="148" t="s">
        <v>51</v>
      </c>
      <c r="Q179" s="148" t="s">
        <v>51</v>
      </c>
      <c r="R179" s="149"/>
      <c r="S179" s="149"/>
      <c r="T179" s="149"/>
    </row>
    <row r="180" spans="7:20" x14ac:dyDescent="0.25">
      <c r="G180" s="392"/>
      <c r="H180" s="392"/>
      <c r="I180" s="392"/>
      <c r="J180" s="392"/>
      <c r="N180" s="148" t="s">
        <v>175</v>
      </c>
      <c r="O180" s="148" t="s">
        <v>105</v>
      </c>
      <c r="Q180" s="148" t="s">
        <v>105</v>
      </c>
      <c r="R180" s="149"/>
      <c r="S180" s="149"/>
      <c r="T180" s="149"/>
    </row>
    <row r="181" spans="7:20" x14ac:dyDescent="0.25">
      <c r="G181" s="392"/>
      <c r="H181" s="392"/>
      <c r="I181" s="392"/>
      <c r="J181" s="392"/>
      <c r="N181" s="148" t="s">
        <v>65</v>
      </c>
      <c r="O181" s="148" t="s">
        <v>175</v>
      </c>
      <c r="Q181" s="148" t="s">
        <v>175</v>
      </c>
      <c r="R181" s="149"/>
      <c r="S181" s="149"/>
      <c r="T181" s="149"/>
    </row>
    <row r="182" spans="7:20" x14ac:dyDescent="0.25">
      <c r="G182" s="392"/>
      <c r="H182" s="392"/>
      <c r="I182" s="392"/>
      <c r="J182" s="392"/>
      <c r="N182" s="148" t="s">
        <v>48</v>
      </c>
      <c r="O182" s="148" t="s">
        <v>176</v>
      </c>
      <c r="Q182" s="148" t="s">
        <v>176</v>
      </c>
      <c r="R182" s="149"/>
      <c r="S182" s="149"/>
      <c r="T182" s="149"/>
    </row>
    <row r="183" spans="7:20" x14ac:dyDescent="0.25">
      <c r="G183" s="392"/>
      <c r="H183" s="392"/>
      <c r="I183" s="392"/>
      <c r="J183" s="392"/>
      <c r="N183" s="148" t="s">
        <v>54</v>
      </c>
      <c r="O183" s="148" t="s">
        <v>65</v>
      </c>
      <c r="Q183" s="148" t="s">
        <v>65</v>
      </c>
      <c r="R183" s="149"/>
      <c r="S183" s="149"/>
      <c r="T183" s="149"/>
    </row>
    <row r="184" spans="7:20" x14ac:dyDescent="0.25">
      <c r="G184" s="392"/>
      <c r="H184" s="392"/>
      <c r="I184" s="392"/>
      <c r="J184" s="392"/>
      <c r="N184" s="148" t="s">
        <v>53</v>
      </c>
      <c r="O184" s="148" t="s">
        <v>48</v>
      </c>
      <c r="Q184" s="148" t="s">
        <v>48</v>
      </c>
      <c r="R184" s="149"/>
      <c r="S184" s="149"/>
      <c r="T184" s="149"/>
    </row>
    <row r="185" spans="7:20" x14ac:dyDescent="0.25">
      <c r="G185" s="392"/>
      <c r="H185" s="392"/>
      <c r="I185" s="392"/>
      <c r="J185" s="392"/>
      <c r="N185" s="148" t="s">
        <v>151</v>
      </c>
      <c r="O185" s="148" t="s">
        <v>54</v>
      </c>
      <c r="Q185" s="148" t="s">
        <v>54</v>
      </c>
      <c r="R185" s="149"/>
      <c r="S185" s="149"/>
      <c r="T185" s="149"/>
    </row>
    <row r="186" spans="7:20" x14ac:dyDescent="0.25">
      <c r="G186" s="392"/>
      <c r="H186" s="392"/>
      <c r="I186" s="392"/>
      <c r="J186" s="392"/>
      <c r="N186" s="148" t="s">
        <v>97</v>
      </c>
      <c r="O186" s="148" t="s">
        <v>53</v>
      </c>
      <c r="Q186" s="148" t="s">
        <v>53</v>
      </c>
      <c r="R186" s="149"/>
      <c r="S186" s="149"/>
      <c r="T186" s="149"/>
    </row>
    <row r="187" spans="7:20" x14ac:dyDescent="0.25">
      <c r="G187" s="392"/>
      <c r="H187" s="392"/>
      <c r="I187" s="392"/>
      <c r="J187" s="392"/>
      <c r="N187" s="148" t="s">
        <v>159</v>
      </c>
      <c r="O187" s="148" t="s">
        <v>151</v>
      </c>
      <c r="Q187" s="148" t="s">
        <v>151</v>
      </c>
      <c r="R187" s="149"/>
      <c r="S187" s="149"/>
      <c r="T187" s="149"/>
    </row>
    <row r="188" spans="7:20" x14ac:dyDescent="0.25">
      <c r="G188" s="392"/>
      <c r="H188" s="392"/>
      <c r="I188" s="392"/>
      <c r="J188" s="392"/>
      <c r="N188" s="148" t="s">
        <v>79</v>
      </c>
      <c r="O188" s="148" t="s">
        <v>97</v>
      </c>
      <c r="Q188" s="148" t="s">
        <v>97</v>
      </c>
      <c r="R188" s="149"/>
      <c r="S188" s="149"/>
      <c r="T188" s="149"/>
    </row>
    <row r="189" spans="7:20" x14ac:dyDescent="0.25">
      <c r="G189" s="392"/>
      <c r="H189" s="392"/>
      <c r="I189" s="392"/>
      <c r="J189" s="392"/>
      <c r="N189" s="148" t="s">
        <v>60</v>
      </c>
      <c r="O189" s="148" t="s">
        <v>159</v>
      </c>
      <c r="Q189" s="148" t="s">
        <v>159</v>
      </c>
      <c r="R189" s="149"/>
      <c r="S189" s="149"/>
      <c r="T189" s="149"/>
    </row>
    <row r="190" spans="7:20" x14ac:dyDescent="0.25">
      <c r="G190" s="392"/>
      <c r="H190" s="392"/>
      <c r="I190" s="392"/>
      <c r="J190" s="392"/>
      <c r="N190" s="148" t="s">
        <v>67</v>
      </c>
      <c r="O190" s="148" t="s">
        <v>79</v>
      </c>
      <c r="Q190" s="148" t="s">
        <v>79</v>
      </c>
      <c r="R190" s="149"/>
      <c r="S190" s="149"/>
      <c r="T190" s="149"/>
    </row>
    <row r="191" spans="7:20" x14ac:dyDescent="0.25">
      <c r="G191" s="392"/>
      <c r="H191" s="392"/>
      <c r="I191" s="392"/>
      <c r="J191" s="392"/>
      <c r="N191" s="148" t="s">
        <v>68</v>
      </c>
      <c r="O191" s="148" t="s">
        <v>60</v>
      </c>
      <c r="Q191" s="148" t="s">
        <v>60</v>
      </c>
      <c r="R191" s="149"/>
      <c r="S191" s="149"/>
      <c r="T191" s="149"/>
    </row>
    <row r="192" spans="7:20" x14ac:dyDescent="0.25">
      <c r="G192" s="392"/>
      <c r="H192" s="392"/>
      <c r="I192" s="392"/>
      <c r="J192" s="392"/>
      <c r="N192" s="148" t="s">
        <v>87</v>
      </c>
      <c r="O192" s="148" t="s">
        <v>67</v>
      </c>
      <c r="Q192" s="148" t="s">
        <v>67</v>
      </c>
      <c r="R192" s="149"/>
      <c r="S192" s="149"/>
      <c r="T192" s="149"/>
    </row>
    <row r="193" spans="7:20" x14ac:dyDescent="0.25">
      <c r="G193" s="392"/>
      <c r="H193" s="392"/>
      <c r="I193" s="392"/>
      <c r="J193" s="392"/>
      <c r="N193" s="148" t="s">
        <v>49</v>
      </c>
      <c r="O193" s="148" t="s">
        <v>68</v>
      </c>
      <c r="Q193" s="148" t="s">
        <v>68</v>
      </c>
      <c r="R193" s="149"/>
      <c r="S193" s="149"/>
      <c r="T193" s="149"/>
    </row>
    <row r="194" spans="7:20" x14ac:dyDescent="0.25">
      <c r="G194" s="392"/>
      <c r="H194" s="392"/>
      <c r="I194" s="392"/>
      <c r="J194" s="392"/>
      <c r="N194" s="148" t="s">
        <v>52</v>
      </c>
      <c r="O194" s="148" t="s">
        <v>87</v>
      </c>
      <c r="Q194" s="148" t="s">
        <v>87</v>
      </c>
      <c r="R194" s="149"/>
      <c r="S194" s="149"/>
      <c r="T194" s="149"/>
    </row>
    <row r="195" spans="7:20" x14ac:dyDescent="0.25">
      <c r="G195" s="392"/>
      <c r="H195" s="392"/>
      <c r="I195" s="392"/>
      <c r="J195" s="392"/>
      <c r="N195" s="148" t="s">
        <v>291</v>
      </c>
      <c r="O195" s="148" t="s">
        <v>49</v>
      </c>
      <c r="Q195" s="148" t="s">
        <v>49</v>
      </c>
      <c r="R195" s="149"/>
      <c r="S195" s="149"/>
      <c r="T195" s="149"/>
    </row>
    <row r="196" spans="7:20" x14ac:dyDescent="0.25">
      <c r="G196" s="392"/>
      <c r="H196" s="392"/>
      <c r="I196" s="392"/>
      <c r="J196" s="392"/>
      <c r="N196" s="148" t="s">
        <v>102</v>
      </c>
      <c r="O196" s="148" t="s">
        <v>52</v>
      </c>
      <c r="Q196" s="148" t="s">
        <v>52</v>
      </c>
      <c r="R196" s="149"/>
      <c r="S196" s="149"/>
      <c r="T196" s="149"/>
    </row>
    <row r="197" spans="7:20" x14ac:dyDescent="0.25">
      <c r="G197" s="392"/>
      <c r="H197" s="392"/>
      <c r="I197" s="392"/>
      <c r="J197" s="392"/>
      <c r="N197" s="148" t="s">
        <v>292</v>
      </c>
      <c r="O197" s="148" t="s">
        <v>102</v>
      </c>
      <c r="Q197" s="148" t="s">
        <v>291</v>
      </c>
      <c r="R197" s="149"/>
      <c r="S197" s="149"/>
      <c r="T197" s="149"/>
    </row>
    <row r="198" spans="7:20" x14ac:dyDescent="0.25">
      <c r="G198" s="392"/>
      <c r="H198" s="392"/>
      <c r="I198" s="392"/>
      <c r="J198" s="392"/>
      <c r="N198" s="148" t="s">
        <v>289</v>
      </c>
      <c r="O198" s="148" t="s">
        <v>177</v>
      </c>
      <c r="Q198" s="148" t="s">
        <v>102</v>
      </c>
      <c r="R198" s="149"/>
      <c r="S198" s="149"/>
      <c r="T198" s="149"/>
    </row>
    <row r="199" spans="7:20" x14ac:dyDescent="0.25">
      <c r="G199" s="392"/>
      <c r="H199" s="392"/>
      <c r="I199" s="392"/>
      <c r="J199" s="392"/>
      <c r="N199" s="148" t="s">
        <v>290</v>
      </c>
      <c r="O199" s="148" t="s">
        <v>179</v>
      </c>
      <c r="Q199" s="148" t="s">
        <v>292</v>
      </c>
      <c r="R199" s="149"/>
      <c r="S199" s="149"/>
      <c r="T199" s="149"/>
    </row>
    <row r="200" spans="7:20" x14ac:dyDescent="0.25">
      <c r="G200" s="392"/>
      <c r="H200" s="392"/>
      <c r="I200" s="392"/>
      <c r="J200" s="392"/>
      <c r="N200" s="148" t="s">
        <v>106</v>
      </c>
      <c r="O200" s="148" t="s">
        <v>178</v>
      </c>
      <c r="Q200" s="148" t="s">
        <v>177</v>
      </c>
      <c r="R200" s="149"/>
      <c r="S200" s="149"/>
      <c r="T200" s="149"/>
    </row>
    <row r="201" spans="7:20" x14ac:dyDescent="0.25">
      <c r="G201" s="392"/>
      <c r="H201" s="392"/>
      <c r="I201" s="392"/>
      <c r="J201" s="392"/>
      <c r="N201" s="148" t="s">
        <v>107</v>
      </c>
      <c r="O201" s="148" t="s">
        <v>106</v>
      </c>
      <c r="Q201" s="148" t="s">
        <v>179</v>
      </c>
      <c r="R201" s="149"/>
      <c r="S201" s="149"/>
      <c r="T201" s="149"/>
    </row>
    <row r="202" spans="7:20" x14ac:dyDescent="0.25">
      <c r="G202" s="392"/>
      <c r="H202" s="392"/>
      <c r="I202" s="392"/>
      <c r="J202" s="392"/>
      <c r="N202" s="148" t="s">
        <v>50</v>
      </c>
      <c r="O202" s="148" t="s">
        <v>107</v>
      </c>
      <c r="Q202" s="148" t="s">
        <v>178</v>
      </c>
      <c r="R202" s="149"/>
      <c r="S202" s="149"/>
      <c r="T202" s="149"/>
    </row>
    <row r="203" spans="7:20" ht="108" x14ac:dyDescent="0.25">
      <c r="G203" s="392"/>
      <c r="H203" s="392"/>
      <c r="I203" s="392"/>
      <c r="J203" s="392"/>
      <c r="N203" s="148" t="s">
        <v>99</v>
      </c>
      <c r="O203" s="152" t="s">
        <v>293</v>
      </c>
      <c r="Q203" s="148" t="s">
        <v>289</v>
      </c>
      <c r="R203" s="149"/>
      <c r="S203" s="149"/>
      <c r="T203" s="149"/>
    </row>
    <row r="204" spans="7:20" x14ac:dyDescent="0.25">
      <c r="G204" s="392"/>
      <c r="H204" s="392"/>
      <c r="I204" s="392"/>
      <c r="J204" s="392"/>
      <c r="N204" s="148" t="s">
        <v>103</v>
      </c>
      <c r="O204" s="148" t="s">
        <v>50</v>
      </c>
      <c r="Q204" s="148" t="s">
        <v>290</v>
      </c>
      <c r="R204" s="149"/>
      <c r="S204" s="149"/>
      <c r="T204" s="149"/>
    </row>
    <row r="205" spans="7:20" x14ac:dyDescent="0.25">
      <c r="G205" s="392"/>
      <c r="H205" s="392"/>
      <c r="I205" s="392"/>
      <c r="J205" s="392"/>
      <c r="N205" s="148" t="s">
        <v>104</v>
      </c>
      <c r="O205" s="148" t="s">
        <v>99</v>
      </c>
      <c r="Q205" s="148" t="s">
        <v>307</v>
      </c>
      <c r="R205" s="149"/>
      <c r="S205" s="149"/>
      <c r="T205" s="149"/>
    </row>
    <row r="206" spans="7:20" x14ac:dyDescent="0.25">
      <c r="G206" s="392"/>
      <c r="H206" s="392"/>
      <c r="I206" s="392"/>
      <c r="J206" s="392"/>
      <c r="N206" s="148" t="s">
        <v>154</v>
      </c>
      <c r="O206" s="148" t="s">
        <v>103</v>
      </c>
      <c r="Q206" s="148" t="s">
        <v>106</v>
      </c>
      <c r="R206" s="149"/>
      <c r="S206" s="149"/>
      <c r="T206" s="149"/>
    </row>
    <row r="207" spans="7:20" ht="24" customHeight="1" x14ac:dyDescent="0.25">
      <c r="G207" s="393"/>
      <c r="H207" s="393"/>
      <c r="I207" s="393"/>
      <c r="J207" s="393"/>
      <c r="N207" s="148" t="s">
        <v>153</v>
      </c>
      <c r="O207" s="148" t="s">
        <v>104</v>
      </c>
      <c r="Q207" s="148" t="s">
        <v>107</v>
      </c>
      <c r="R207" s="149"/>
      <c r="S207" s="149"/>
      <c r="T207" s="149"/>
    </row>
    <row r="208" spans="7:20" ht="14.45" customHeight="1" x14ac:dyDescent="0.25">
      <c r="G208" s="392"/>
      <c r="H208" s="392"/>
      <c r="I208" s="392"/>
      <c r="J208" s="392"/>
      <c r="N208" s="148" t="s">
        <v>55</v>
      </c>
      <c r="O208" s="148" t="s">
        <v>150</v>
      </c>
      <c r="Q208" s="152" t="s">
        <v>293</v>
      </c>
      <c r="R208" s="443"/>
      <c r="S208" s="443"/>
      <c r="T208" s="444"/>
    </row>
    <row r="209" spans="7:20" x14ac:dyDescent="0.25">
      <c r="G209" s="392"/>
      <c r="H209" s="392"/>
      <c r="I209" s="392"/>
      <c r="J209" s="392"/>
      <c r="N209" s="148" t="s">
        <v>56</v>
      </c>
      <c r="O209" s="148" t="s">
        <v>154</v>
      </c>
      <c r="Q209" s="148" t="s">
        <v>50</v>
      </c>
      <c r="R209" s="149"/>
      <c r="S209" s="149"/>
      <c r="T209" s="149"/>
    </row>
    <row r="210" spans="7:20" x14ac:dyDescent="0.25">
      <c r="G210" s="392"/>
      <c r="H210" s="392"/>
      <c r="I210" s="392"/>
      <c r="J210" s="392"/>
      <c r="N210" s="148" t="s">
        <v>88</v>
      </c>
      <c r="O210" s="148" t="s">
        <v>153</v>
      </c>
      <c r="Q210" s="148" t="str">
        <f>IF($K$14="LEED v4.1","Gym, sports arena (play area)","Gym, stadium (play area)")</f>
        <v>Gym, stadium (play area)</v>
      </c>
      <c r="R210" s="149"/>
      <c r="S210" s="149"/>
      <c r="T210" s="149"/>
    </row>
    <row r="211" spans="7:20" x14ac:dyDescent="0.25">
      <c r="G211" s="392"/>
      <c r="H211" s="392"/>
      <c r="I211" s="392"/>
      <c r="J211" s="392"/>
      <c r="N211" s="148" t="s">
        <v>89</v>
      </c>
      <c r="O211" s="148" t="s">
        <v>55</v>
      </c>
      <c r="Q211" s="148" t="s">
        <v>103</v>
      </c>
      <c r="R211" s="149"/>
      <c r="S211" s="149"/>
      <c r="T211" s="149"/>
    </row>
    <row r="212" spans="7:20" x14ac:dyDescent="0.25">
      <c r="G212" s="392"/>
      <c r="H212" s="392"/>
      <c r="I212" s="392"/>
      <c r="J212" s="392"/>
      <c r="N212" s="148" t="s">
        <v>90</v>
      </c>
      <c r="O212" s="148" t="s">
        <v>56</v>
      </c>
      <c r="Q212" s="148" t="s">
        <v>104</v>
      </c>
      <c r="R212" s="149"/>
      <c r="S212" s="149"/>
      <c r="T212" s="149"/>
    </row>
    <row r="213" spans="7:20" x14ac:dyDescent="0.25">
      <c r="G213" s="392"/>
      <c r="H213" s="392"/>
      <c r="I213" s="392"/>
      <c r="J213" s="392"/>
      <c r="N213" s="148" t="s">
        <v>72</v>
      </c>
      <c r="O213" s="148" t="s">
        <v>88</v>
      </c>
      <c r="Q213" s="148" t="s">
        <v>150</v>
      </c>
      <c r="R213" s="149"/>
      <c r="S213" s="149"/>
      <c r="T213" s="149"/>
    </row>
    <row r="214" spans="7:20" x14ac:dyDescent="0.25">
      <c r="G214" s="392"/>
      <c r="H214" s="392"/>
      <c r="I214" s="392"/>
      <c r="J214" s="392"/>
      <c r="N214" s="148" t="s">
        <v>77</v>
      </c>
      <c r="O214" s="148" t="s">
        <v>89</v>
      </c>
      <c r="Q214" s="148" t="s">
        <v>154</v>
      </c>
      <c r="R214" s="149"/>
      <c r="S214" s="149"/>
      <c r="T214" s="149"/>
    </row>
    <row r="215" spans="7:20" x14ac:dyDescent="0.25">
      <c r="G215" s="392"/>
      <c r="H215" s="392"/>
      <c r="I215" s="392"/>
      <c r="J215" s="392"/>
      <c r="N215" s="148" t="s">
        <v>94</v>
      </c>
      <c r="O215" s="148" t="s">
        <v>90</v>
      </c>
      <c r="Q215" s="148" t="s">
        <v>153</v>
      </c>
      <c r="R215" s="149"/>
      <c r="S215" s="149"/>
      <c r="T215" s="149"/>
    </row>
    <row r="216" spans="7:20" x14ac:dyDescent="0.25">
      <c r="G216" s="392"/>
      <c r="H216" s="392"/>
      <c r="I216" s="392"/>
      <c r="J216" s="392"/>
      <c r="N216" s="148" t="s">
        <v>61</v>
      </c>
      <c r="O216" s="148" t="s">
        <v>72</v>
      </c>
      <c r="Q216" s="148" t="s">
        <v>55</v>
      </c>
      <c r="R216" s="149"/>
      <c r="S216" s="149"/>
      <c r="T216" s="149"/>
    </row>
    <row r="217" spans="7:20" x14ac:dyDescent="0.25">
      <c r="G217" s="392"/>
      <c r="H217" s="392"/>
      <c r="I217" s="392"/>
      <c r="J217" s="392"/>
      <c r="N217" s="148" t="s">
        <v>73</v>
      </c>
      <c r="O217" s="148" t="s">
        <v>77</v>
      </c>
      <c r="Q217" s="148" t="s">
        <v>56</v>
      </c>
      <c r="R217" s="149"/>
      <c r="S217" s="149"/>
      <c r="T217" s="149"/>
    </row>
    <row r="218" spans="7:20" x14ac:dyDescent="0.25">
      <c r="G218" s="392"/>
      <c r="H218" s="392"/>
      <c r="I218" s="392"/>
      <c r="J218" s="392"/>
      <c r="N218" s="148" t="s">
        <v>63</v>
      </c>
      <c r="O218" s="148" t="s">
        <v>94</v>
      </c>
      <c r="Q218" s="148" t="s">
        <v>88</v>
      </c>
      <c r="R218" s="149"/>
      <c r="S218" s="149"/>
      <c r="T218" s="149"/>
    </row>
    <row r="219" spans="7:20" x14ac:dyDescent="0.25">
      <c r="G219" s="392"/>
      <c r="H219" s="392"/>
      <c r="I219" s="392"/>
      <c r="J219" s="392"/>
      <c r="N219" s="148" t="s">
        <v>91</v>
      </c>
      <c r="O219" s="148" t="s">
        <v>61</v>
      </c>
      <c r="Q219" s="148" t="s">
        <v>89</v>
      </c>
      <c r="R219" s="149"/>
      <c r="S219" s="149"/>
      <c r="T219" s="149"/>
    </row>
    <row r="220" spans="7:20" x14ac:dyDescent="0.25">
      <c r="G220" s="392"/>
      <c r="H220" s="392"/>
      <c r="I220" s="392"/>
      <c r="J220" s="392"/>
      <c r="N220" s="148" t="s">
        <v>92</v>
      </c>
      <c r="O220" s="148" t="s">
        <v>73</v>
      </c>
      <c r="Q220" s="148" t="s">
        <v>90</v>
      </c>
      <c r="R220" s="149"/>
      <c r="S220" s="149"/>
      <c r="T220" s="149"/>
    </row>
    <row r="221" spans="7:20" x14ac:dyDescent="0.25">
      <c r="G221" s="392"/>
      <c r="H221" s="392"/>
      <c r="I221" s="392"/>
      <c r="J221" s="392"/>
      <c r="N221" s="148" t="s">
        <v>62</v>
      </c>
      <c r="O221" s="148" t="s">
        <v>63</v>
      </c>
      <c r="Q221" s="148" t="s">
        <v>72</v>
      </c>
      <c r="R221" s="149"/>
      <c r="S221" s="149"/>
      <c r="T221" s="149"/>
    </row>
    <row r="222" spans="7:20" x14ac:dyDescent="0.25">
      <c r="G222" s="392"/>
      <c r="H222" s="392"/>
      <c r="I222" s="392"/>
      <c r="J222" s="392"/>
      <c r="N222" s="148" t="s">
        <v>74</v>
      </c>
      <c r="O222" s="148" t="s">
        <v>91</v>
      </c>
      <c r="Q222" s="148" t="s">
        <v>77</v>
      </c>
      <c r="R222" s="149"/>
      <c r="S222" s="149"/>
      <c r="T222" s="149"/>
    </row>
    <row r="223" spans="7:20" x14ac:dyDescent="0.25">
      <c r="G223" s="392"/>
      <c r="H223" s="392"/>
      <c r="I223" s="392"/>
      <c r="J223" s="392"/>
      <c r="N223" s="148" t="s">
        <v>181</v>
      </c>
      <c r="O223" s="148" t="s">
        <v>92</v>
      </c>
      <c r="Q223" s="148" t="s">
        <v>94</v>
      </c>
      <c r="R223" s="149"/>
      <c r="S223" s="149"/>
      <c r="T223" s="149"/>
    </row>
    <row r="224" spans="7:20" x14ac:dyDescent="0.25">
      <c r="G224" s="392"/>
      <c r="H224" s="392"/>
      <c r="I224" s="392"/>
      <c r="J224" s="392"/>
      <c r="N224" s="148" t="s">
        <v>80</v>
      </c>
      <c r="O224" s="148" t="s">
        <v>62</v>
      </c>
      <c r="Q224" s="148" t="s">
        <v>61</v>
      </c>
      <c r="R224" s="149"/>
      <c r="S224" s="149"/>
      <c r="T224" s="149"/>
    </row>
    <row r="225" spans="7:20" x14ac:dyDescent="0.25">
      <c r="G225" s="392"/>
      <c r="H225" s="392"/>
      <c r="I225" s="392"/>
      <c r="J225" s="392"/>
      <c r="N225" s="148" t="s">
        <v>81</v>
      </c>
      <c r="O225" s="148" t="s">
        <v>155</v>
      </c>
      <c r="Q225" s="148" t="s">
        <v>73</v>
      </c>
      <c r="R225" s="149"/>
      <c r="S225" s="149"/>
      <c r="T225" s="149"/>
    </row>
    <row r="226" spans="7:20" x14ac:dyDescent="0.25">
      <c r="G226" s="392"/>
      <c r="H226" s="392"/>
      <c r="I226" s="392"/>
      <c r="J226" s="392"/>
      <c r="N226" s="148" t="s">
        <v>86</v>
      </c>
      <c r="O226" s="148" t="s">
        <v>152</v>
      </c>
      <c r="Q226" s="148" t="s">
        <v>63</v>
      </c>
      <c r="R226" s="149"/>
      <c r="S226" s="149"/>
      <c r="T226" s="149"/>
    </row>
    <row r="227" spans="7:20" x14ac:dyDescent="0.25">
      <c r="G227" s="392"/>
      <c r="H227" s="392"/>
      <c r="I227" s="392"/>
      <c r="J227" s="392"/>
      <c r="N227" s="148" t="s">
        <v>75</v>
      </c>
      <c r="O227" s="148" t="s">
        <v>74</v>
      </c>
      <c r="Q227" s="148" t="s">
        <v>91</v>
      </c>
      <c r="R227" s="149"/>
      <c r="S227" s="149"/>
      <c r="T227" s="149"/>
    </row>
    <row r="228" spans="7:20" x14ac:dyDescent="0.25">
      <c r="G228" s="392"/>
      <c r="H228" s="392"/>
      <c r="I228" s="392"/>
      <c r="J228" s="392"/>
      <c r="N228" s="148" t="s">
        <v>64</v>
      </c>
      <c r="O228" s="148" t="s">
        <v>180</v>
      </c>
      <c r="Q228" s="148" t="s">
        <v>92</v>
      </c>
      <c r="R228" s="149"/>
      <c r="S228" s="149"/>
      <c r="T228" s="149"/>
    </row>
    <row r="229" spans="7:20" x14ac:dyDescent="0.25">
      <c r="G229" s="392"/>
      <c r="H229" s="392"/>
      <c r="I229" s="392"/>
      <c r="J229" s="392"/>
      <c r="N229" s="148" t="s">
        <v>93</v>
      </c>
      <c r="O229" s="148" t="s">
        <v>80</v>
      </c>
      <c r="Q229" s="148" t="s">
        <v>62</v>
      </c>
      <c r="R229" s="149"/>
      <c r="S229" s="149"/>
      <c r="T229" s="149"/>
    </row>
    <row r="230" spans="7:20" x14ac:dyDescent="0.25">
      <c r="G230" s="392"/>
      <c r="H230" s="392"/>
      <c r="I230" s="392"/>
      <c r="J230" s="392"/>
      <c r="N230" s="148" t="s">
        <v>58</v>
      </c>
      <c r="O230" s="148" t="s">
        <v>81</v>
      </c>
      <c r="Q230" s="148" t="s">
        <v>155</v>
      </c>
      <c r="R230" s="149"/>
      <c r="S230" s="149"/>
      <c r="T230" s="149"/>
    </row>
    <row r="231" spans="7:20" x14ac:dyDescent="0.25">
      <c r="G231" s="392"/>
      <c r="H231" s="392"/>
      <c r="I231" s="392"/>
      <c r="J231" s="392"/>
      <c r="N231" s="148" t="s">
        <v>82</v>
      </c>
      <c r="O231" s="148" t="s">
        <v>86</v>
      </c>
      <c r="Q231" s="148" t="s">
        <v>152</v>
      </c>
      <c r="R231" s="149"/>
      <c r="S231" s="149"/>
      <c r="T231" s="149"/>
    </row>
    <row r="232" spans="7:20" x14ac:dyDescent="0.25">
      <c r="G232" s="392"/>
      <c r="H232" s="392"/>
      <c r="I232" s="392"/>
      <c r="J232" s="392"/>
      <c r="N232" s="148" t="s">
        <v>100</v>
      </c>
      <c r="O232" s="148" t="s">
        <v>75</v>
      </c>
      <c r="Q232" s="148" t="s">
        <v>74</v>
      </c>
      <c r="R232" s="149"/>
      <c r="S232" s="149"/>
      <c r="T232" s="149"/>
    </row>
    <row r="233" spans="7:20" x14ac:dyDescent="0.25">
      <c r="G233" s="392"/>
      <c r="H233" s="392"/>
      <c r="I233" s="392"/>
      <c r="J233" s="392"/>
      <c r="N233" s="148" t="s">
        <v>98</v>
      </c>
      <c r="O233" s="148" t="s">
        <v>64</v>
      </c>
      <c r="Q233" s="148" t="str">
        <f>IF($O$166=1,"Pet shops","Pet shops (animal areas)")</f>
        <v>Pet shops (animal areas)</v>
      </c>
      <c r="R233" s="149"/>
      <c r="S233" s="149"/>
      <c r="T233" s="149"/>
    </row>
    <row r="234" spans="7:20" x14ac:dyDescent="0.25">
      <c r="G234" s="392"/>
      <c r="H234" s="392"/>
      <c r="I234" s="392"/>
      <c r="J234" s="392"/>
      <c r="N234" s="148" t="s">
        <v>160</v>
      </c>
      <c r="O234" s="148" t="s">
        <v>93</v>
      </c>
      <c r="Q234" s="148" t="s">
        <v>80</v>
      </c>
      <c r="R234" s="149"/>
      <c r="S234" s="149"/>
      <c r="T234" s="149"/>
    </row>
    <row r="235" spans="7:20" x14ac:dyDescent="0.25">
      <c r="G235" s="392"/>
      <c r="H235" s="392"/>
      <c r="I235" s="392"/>
      <c r="J235" s="392"/>
      <c r="N235" s="148" t="s">
        <v>69</v>
      </c>
      <c r="O235" s="148" t="s">
        <v>58</v>
      </c>
      <c r="Q235" s="148" t="s">
        <v>81</v>
      </c>
      <c r="R235" s="149"/>
      <c r="S235" s="149"/>
      <c r="T235" s="149"/>
    </row>
    <row r="236" spans="7:20" x14ac:dyDescent="0.25">
      <c r="G236" s="392"/>
      <c r="H236" s="392"/>
      <c r="I236" s="392"/>
      <c r="J236" s="392"/>
      <c r="N236" s="148" t="s">
        <v>96</v>
      </c>
      <c r="O236" s="148" t="s">
        <v>82</v>
      </c>
      <c r="Q236" s="148" t="s">
        <v>86</v>
      </c>
      <c r="R236" s="149"/>
      <c r="S236" s="149"/>
      <c r="T236" s="149"/>
    </row>
    <row r="237" spans="7:20" x14ac:dyDescent="0.25">
      <c r="G237" s="392"/>
      <c r="H237" s="392"/>
      <c r="I237" s="392"/>
      <c r="J237" s="392"/>
      <c r="N237" s="148" t="s">
        <v>101</v>
      </c>
      <c r="O237" s="148" t="s">
        <v>157</v>
      </c>
      <c r="Q237" s="148" t="s">
        <v>75</v>
      </c>
      <c r="R237" s="149"/>
      <c r="S237" s="149"/>
      <c r="T237" s="149"/>
    </row>
    <row r="238" spans="7:20" x14ac:dyDescent="0.25">
      <c r="G238" s="392"/>
      <c r="H238" s="392"/>
      <c r="I238" s="392"/>
      <c r="J238" s="392"/>
      <c r="N238" s="148" t="s">
        <v>76</v>
      </c>
      <c r="O238" s="148" t="s">
        <v>100</v>
      </c>
      <c r="Q238" s="148" t="s">
        <v>64</v>
      </c>
      <c r="R238" s="149"/>
      <c r="S238" s="149"/>
      <c r="T238" s="149"/>
    </row>
    <row r="239" spans="7:20" x14ac:dyDescent="0.25">
      <c r="G239" s="392"/>
      <c r="H239" s="392"/>
      <c r="I239" s="392"/>
      <c r="J239" s="392"/>
      <c r="N239" s="148" t="s">
        <v>83</v>
      </c>
      <c r="O239" s="148" t="s">
        <v>98</v>
      </c>
      <c r="Q239" s="148" t="s">
        <v>93</v>
      </c>
      <c r="R239" s="149"/>
      <c r="S239" s="149"/>
      <c r="T239" s="149"/>
    </row>
    <row r="240" spans="7:20" x14ac:dyDescent="0.25">
      <c r="G240" s="392"/>
      <c r="H240" s="392"/>
      <c r="I240" s="392"/>
      <c r="J240" s="392"/>
      <c r="N240" s="148" t="s">
        <v>84</v>
      </c>
      <c r="O240" s="148" t="s">
        <v>160</v>
      </c>
      <c r="Q240" s="148" t="s">
        <v>58</v>
      </c>
      <c r="R240" s="149"/>
      <c r="S240" s="149"/>
      <c r="T240" s="149"/>
    </row>
    <row r="241" spans="7:20" x14ac:dyDescent="0.25">
      <c r="G241" s="392"/>
      <c r="H241" s="392"/>
      <c r="I241" s="392"/>
      <c r="J241" s="392"/>
      <c r="N241" s="150" t="s">
        <v>59</v>
      </c>
      <c r="O241" s="148" t="s">
        <v>96</v>
      </c>
      <c r="Q241" s="148" t="s">
        <v>82</v>
      </c>
      <c r="R241" s="149"/>
      <c r="S241" s="149"/>
      <c r="T241" s="149"/>
    </row>
    <row r="242" spans="7:20" x14ac:dyDescent="0.25">
      <c r="G242" s="392"/>
      <c r="H242" s="392"/>
      <c r="I242" s="392"/>
      <c r="J242" s="392"/>
      <c r="O242" s="148" t="s">
        <v>101</v>
      </c>
      <c r="Q242" s="148" t="s">
        <v>157</v>
      </c>
      <c r="R242" s="149"/>
      <c r="S242" s="149"/>
      <c r="T242" s="149"/>
    </row>
    <row r="243" spans="7:20" x14ac:dyDescent="0.25">
      <c r="G243" s="392"/>
      <c r="H243" s="392"/>
      <c r="I243" s="392"/>
      <c r="J243" s="392"/>
      <c r="O243" s="148" t="s">
        <v>76</v>
      </c>
      <c r="Q243" s="148" t="s">
        <v>100</v>
      </c>
      <c r="R243" s="149"/>
      <c r="S243" s="149"/>
      <c r="T243" s="149"/>
    </row>
    <row r="244" spans="7:20" x14ac:dyDescent="0.25">
      <c r="G244" s="392"/>
      <c r="H244" s="392"/>
      <c r="I244" s="392"/>
      <c r="J244" s="392"/>
      <c r="O244" s="148" t="s">
        <v>158</v>
      </c>
      <c r="Q244" s="148" t="s">
        <v>160</v>
      </c>
      <c r="R244" s="149"/>
      <c r="S244" s="149"/>
      <c r="T244" s="149"/>
    </row>
    <row r="245" spans="7:20" x14ac:dyDescent="0.25">
      <c r="G245" s="392"/>
      <c r="H245" s="392"/>
      <c r="I245" s="392"/>
      <c r="J245" s="392"/>
      <c r="O245" s="148" t="s">
        <v>83</v>
      </c>
      <c r="Q245" s="148" t="s">
        <v>69</v>
      </c>
      <c r="R245" s="149"/>
      <c r="S245" s="149"/>
      <c r="T245" s="149"/>
    </row>
    <row r="246" spans="7:20" x14ac:dyDescent="0.25">
      <c r="G246" s="392"/>
      <c r="H246" s="392"/>
      <c r="I246" s="392"/>
      <c r="J246" s="392"/>
      <c r="O246" s="148" t="s">
        <v>149</v>
      </c>
      <c r="Q246" s="148" t="s">
        <v>96</v>
      </c>
      <c r="R246" s="149"/>
      <c r="S246" s="149"/>
      <c r="T246" s="149"/>
    </row>
    <row r="247" spans="7:20" x14ac:dyDescent="0.25">
      <c r="G247" s="392"/>
      <c r="H247" s="392"/>
      <c r="I247" s="392"/>
      <c r="J247" s="392"/>
      <c r="O247" s="148" t="s">
        <v>84</v>
      </c>
      <c r="Q247" s="148" t="s">
        <v>101</v>
      </c>
      <c r="R247" s="149"/>
      <c r="S247" s="149"/>
      <c r="T247" s="149"/>
    </row>
    <row r="248" spans="7:20" x14ac:dyDescent="0.25">
      <c r="G248" s="392"/>
      <c r="H248" s="392"/>
      <c r="I248" s="392"/>
      <c r="J248" s="392"/>
      <c r="O248" s="150" t="s">
        <v>59</v>
      </c>
      <c r="Q248" s="148" t="s">
        <v>76</v>
      </c>
      <c r="R248" s="149"/>
      <c r="S248" s="149"/>
      <c r="T248" s="149"/>
    </row>
    <row r="249" spans="7:20" x14ac:dyDescent="0.25">
      <c r="Q249" s="148" t="s">
        <v>158</v>
      </c>
      <c r="R249" s="149"/>
      <c r="S249" s="149"/>
      <c r="T249" s="149"/>
    </row>
    <row r="250" spans="7:20" x14ac:dyDescent="0.25">
      <c r="N250" s="388" t="s">
        <v>297</v>
      </c>
      <c r="O250" s="378" t="s">
        <v>124</v>
      </c>
      <c r="Q250" s="148" t="s">
        <v>83</v>
      </c>
      <c r="R250" s="149"/>
      <c r="S250" s="149"/>
      <c r="T250" s="149"/>
    </row>
    <row r="251" spans="7:20" x14ac:dyDescent="0.25">
      <c r="N251" s="389">
        <v>0</v>
      </c>
      <c r="O251" s="387">
        <v>1</v>
      </c>
      <c r="Q251" s="148" t="s">
        <v>149</v>
      </c>
      <c r="R251" s="149"/>
      <c r="S251" s="149"/>
      <c r="T251" s="149"/>
    </row>
    <row r="252" spans="7:20" x14ac:dyDescent="0.25">
      <c r="N252" s="390">
        <v>0.01</v>
      </c>
      <c r="O252" s="387">
        <v>1</v>
      </c>
      <c r="Q252" s="148" t="s">
        <v>84</v>
      </c>
      <c r="R252" s="149"/>
      <c r="S252" s="149"/>
      <c r="T252" s="149"/>
    </row>
    <row r="253" spans="7:20" x14ac:dyDescent="0.25">
      <c r="N253" s="390">
        <v>0.02</v>
      </c>
      <c r="O253" s="387">
        <v>1</v>
      </c>
      <c r="Q253" s="150" t="s">
        <v>59</v>
      </c>
      <c r="R253" s="149"/>
      <c r="S253" s="149"/>
      <c r="T253" s="149"/>
    </row>
    <row r="254" spans="7:20" x14ac:dyDescent="0.25">
      <c r="N254" s="390">
        <v>0.03</v>
      </c>
      <c r="O254" s="387">
        <v>1</v>
      </c>
      <c r="R254" s="151"/>
      <c r="S254" s="151"/>
      <c r="T254" s="151"/>
    </row>
    <row r="255" spans="7:20" x14ac:dyDescent="0.25">
      <c r="N255" s="390">
        <v>0.04</v>
      </c>
      <c r="O255" s="387">
        <v>1</v>
      </c>
    </row>
    <row r="256" spans="7:20" x14ac:dyDescent="0.25">
      <c r="N256" s="390">
        <v>0.05</v>
      </c>
      <c r="O256" s="387">
        <v>1</v>
      </c>
    </row>
    <row r="257" spans="14:15" x14ac:dyDescent="0.25">
      <c r="N257" s="390">
        <v>0.06</v>
      </c>
      <c r="O257" s="387">
        <v>1</v>
      </c>
    </row>
    <row r="258" spans="14:15" x14ac:dyDescent="0.25">
      <c r="N258" s="390">
        <v>7.0000000000000007E-2</v>
      </c>
      <c r="O258" s="387">
        <v>1</v>
      </c>
    </row>
    <row r="259" spans="14:15" x14ac:dyDescent="0.25">
      <c r="N259" s="390">
        <v>0.08</v>
      </c>
      <c r="O259" s="387">
        <v>1</v>
      </c>
    </row>
    <row r="260" spans="14:15" x14ac:dyDescent="0.25">
      <c r="N260" s="390">
        <v>0.09</v>
      </c>
      <c r="O260" s="387">
        <v>1</v>
      </c>
    </row>
    <row r="261" spans="14:15" x14ac:dyDescent="0.25">
      <c r="N261" s="390">
        <v>0.1</v>
      </c>
      <c r="O261" s="387">
        <v>1</v>
      </c>
    </row>
    <row r="262" spans="14:15" x14ac:dyDescent="0.25">
      <c r="N262" s="390">
        <v>0.11</v>
      </c>
      <c r="O262" s="387">
        <v>1</v>
      </c>
    </row>
    <row r="263" spans="14:15" x14ac:dyDescent="0.25">
      <c r="N263" s="390">
        <v>0.12</v>
      </c>
      <c r="O263" s="387">
        <v>1</v>
      </c>
    </row>
    <row r="264" spans="14:15" x14ac:dyDescent="0.25">
      <c r="N264" s="390">
        <v>0.13</v>
      </c>
      <c r="O264" s="387">
        <v>1</v>
      </c>
    </row>
    <row r="265" spans="14:15" x14ac:dyDescent="0.25">
      <c r="N265" s="390">
        <v>0.14000000000000001</v>
      </c>
      <c r="O265" s="387">
        <v>1</v>
      </c>
    </row>
    <row r="266" spans="14:15" x14ac:dyDescent="0.25">
      <c r="N266" s="390">
        <v>0.15</v>
      </c>
      <c r="O266" s="387">
        <v>1</v>
      </c>
    </row>
    <row r="267" spans="14:15" x14ac:dyDescent="0.25">
      <c r="N267" s="380">
        <v>0.16</v>
      </c>
      <c r="O267" s="380">
        <v>0.99</v>
      </c>
    </row>
    <row r="268" spans="14:15" x14ac:dyDescent="0.25">
      <c r="N268" s="380">
        <v>0.17</v>
      </c>
      <c r="O268" s="380">
        <v>0.98</v>
      </c>
    </row>
    <row r="269" spans="14:15" x14ac:dyDescent="0.25">
      <c r="N269" s="380">
        <v>0.18</v>
      </c>
      <c r="O269" s="380">
        <v>0.97</v>
      </c>
    </row>
    <row r="270" spans="14:15" x14ac:dyDescent="0.25">
      <c r="N270" s="380">
        <v>0.19</v>
      </c>
      <c r="O270" s="380">
        <v>0.96</v>
      </c>
    </row>
    <row r="271" spans="14:15" x14ac:dyDescent="0.25">
      <c r="N271" s="380">
        <v>0.2</v>
      </c>
      <c r="O271" s="380">
        <v>0.95</v>
      </c>
    </row>
    <row r="272" spans="14:15" x14ac:dyDescent="0.25">
      <c r="N272" s="380">
        <v>0.21</v>
      </c>
      <c r="O272" s="380">
        <v>0.94</v>
      </c>
    </row>
    <row r="273" spans="14:15" x14ac:dyDescent="0.25">
      <c r="N273" s="380">
        <v>0.22</v>
      </c>
      <c r="O273" s="380">
        <v>0.92999999999999994</v>
      </c>
    </row>
    <row r="274" spans="14:15" x14ac:dyDescent="0.25">
      <c r="N274" s="380">
        <v>0.23</v>
      </c>
      <c r="O274" s="380">
        <v>0.91999999999999993</v>
      </c>
    </row>
    <row r="275" spans="14:15" x14ac:dyDescent="0.25">
      <c r="N275" s="380">
        <v>0.24</v>
      </c>
      <c r="O275" s="380">
        <v>0.90999999999999992</v>
      </c>
    </row>
    <row r="276" spans="14:15" x14ac:dyDescent="0.25">
      <c r="N276" s="380">
        <v>0.25</v>
      </c>
      <c r="O276" s="380">
        <v>0.89999999999999991</v>
      </c>
    </row>
    <row r="277" spans="14:15" x14ac:dyDescent="0.25">
      <c r="N277" s="380">
        <v>0.26</v>
      </c>
      <c r="O277" s="380">
        <v>0.8899999999999999</v>
      </c>
    </row>
    <row r="278" spans="14:15" x14ac:dyDescent="0.25">
      <c r="N278" s="380">
        <v>0.27</v>
      </c>
      <c r="O278" s="380">
        <v>0.87999999999999989</v>
      </c>
    </row>
    <row r="279" spans="14:15" x14ac:dyDescent="0.25">
      <c r="N279" s="380">
        <v>0.28000000000000003</v>
      </c>
      <c r="O279" s="380">
        <v>0.86999999999999988</v>
      </c>
    </row>
    <row r="280" spans="14:15" x14ac:dyDescent="0.25">
      <c r="N280" s="380">
        <v>0.28999999999999998</v>
      </c>
      <c r="O280" s="380">
        <v>0.85999999999999988</v>
      </c>
    </row>
    <row r="281" spans="14:15" x14ac:dyDescent="0.25">
      <c r="N281" s="380">
        <v>0.3</v>
      </c>
      <c r="O281" s="380">
        <v>0.84999999999999987</v>
      </c>
    </row>
    <row r="282" spans="14:15" x14ac:dyDescent="0.25">
      <c r="N282" s="380">
        <v>0.31</v>
      </c>
      <c r="O282" s="380">
        <v>0.83999999999999986</v>
      </c>
    </row>
    <row r="283" spans="14:15" x14ac:dyDescent="0.25">
      <c r="N283" s="380">
        <v>0.32</v>
      </c>
      <c r="O283" s="380">
        <v>0.82999999999999985</v>
      </c>
    </row>
    <row r="284" spans="14:15" x14ac:dyDescent="0.25">
      <c r="N284" s="380">
        <v>0.33</v>
      </c>
      <c r="O284" s="380">
        <v>0.81999999999999984</v>
      </c>
    </row>
    <row r="285" spans="14:15" x14ac:dyDescent="0.25">
      <c r="N285" s="380">
        <v>0.34</v>
      </c>
      <c r="O285" s="380">
        <v>0.80999999999999983</v>
      </c>
    </row>
    <row r="286" spans="14:15" x14ac:dyDescent="0.25">
      <c r="N286" s="380">
        <v>0.35</v>
      </c>
      <c r="O286" s="380">
        <v>0.79999999999999982</v>
      </c>
    </row>
    <row r="287" spans="14:15" x14ac:dyDescent="0.25">
      <c r="N287" s="380">
        <v>0.36</v>
      </c>
      <c r="O287" s="380">
        <v>0.78999999999999981</v>
      </c>
    </row>
    <row r="288" spans="14:15" x14ac:dyDescent="0.25">
      <c r="N288" s="380">
        <v>0.37</v>
      </c>
      <c r="O288" s="380">
        <v>0.7799999999999998</v>
      </c>
    </row>
    <row r="289" spans="14:15" x14ac:dyDescent="0.25">
      <c r="N289" s="380">
        <v>0.38</v>
      </c>
      <c r="O289" s="380">
        <v>0.7699999999999998</v>
      </c>
    </row>
    <row r="290" spans="14:15" x14ac:dyDescent="0.25">
      <c r="N290" s="380">
        <v>0.39</v>
      </c>
      <c r="O290" s="380">
        <v>0.75999999999999979</v>
      </c>
    </row>
    <row r="291" spans="14:15" x14ac:dyDescent="0.25">
      <c r="N291" s="380">
        <v>0.4</v>
      </c>
      <c r="O291" s="380">
        <v>0.74999999999999978</v>
      </c>
    </row>
    <row r="292" spans="14:15" x14ac:dyDescent="0.25">
      <c r="N292" s="380">
        <v>0.41</v>
      </c>
      <c r="O292" s="380">
        <v>0.73999999999999977</v>
      </c>
    </row>
    <row r="293" spans="14:15" x14ac:dyDescent="0.25">
      <c r="N293" s="380">
        <v>0.42</v>
      </c>
      <c r="O293" s="380">
        <v>0.72999999999999976</v>
      </c>
    </row>
    <row r="294" spans="14:15" x14ac:dyDescent="0.25">
      <c r="N294" s="380">
        <v>0.43</v>
      </c>
      <c r="O294" s="380">
        <v>0.71999999999999975</v>
      </c>
    </row>
    <row r="295" spans="14:15" x14ac:dyDescent="0.25">
      <c r="N295" s="380">
        <v>0.44</v>
      </c>
      <c r="O295" s="380">
        <v>0.70999999999999974</v>
      </c>
    </row>
    <row r="296" spans="14:15" x14ac:dyDescent="0.25">
      <c r="N296" s="380">
        <v>0.45</v>
      </c>
      <c r="O296" s="380">
        <v>0.69999999999999973</v>
      </c>
    </row>
    <row r="297" spans="14:15" x14ac:dyDescent="0.25">
      <c r="N297" s="380">
        <v>0.46</v>
      </c>
      <c r="O297" s="380">
        <v>0.68999999999999972</v>
      </c>
    </row>
    <row r="298" spans="14:15" x14ac:dyDescent="0.25">
      <c r="N298" s="380">
        <v>0.47</v>
      </c>
      <c r="O298" s="380">
        <v>0.67999999999999972</v>
      </c>
    </row>
    <row r="299" spans="14:15" x14ac:dyDescent="0.25">
      <c r="N299" s="380">
        <v>0.48</v>
      </c>
      <c r="O299" s="380">
        <v>0.66999999999999971</v>
      </c>
    </row>
    <row r="300" spans="14:15" x14ac:dyDescent="0.25">
      <c r="N300" s="380">
        <v>0.49</v>
      </c>
      <c r="O300" s="380">
        <v>0.6599999999999997</v>
      </c>
    </row>
    <row r="301" spans="14:15" x14ac:dyDescent="0.25">
      <c r="N301" s="380">
        <v>0.5</v>
      </c>
      <c r="O301" s="380">
        <v>0.64999999999999969</v>
      </c>
    </row>
    <row r="302" spans="14:15" x14ac:dyDescent="0.25">
      <c r="N302" s="380">
        <v>0.51</v>
      </c>
      <c r="O302" s="380">
        <v>0.63999999999999968</v>
      </c>
    </row>
    <row r="303" spans="14:15" x14ac:dyDescent="0.25">
      <c r="N303" s="380">
        <v>0.52</v>
      </c>
      <c r="O303" s="380">
        <v>0.62999999999999967</v>
      </c>
    </row>
    <row r="304" spans="14:15" x14ac:dyDescent="0.25">
      <c r="N304" s="380">
        <v>0.53</v>
      </c>
      <c r="O304" s="380">
        <v>0.61999999999999966</v>
      </c>
    </row>
    <row r="305" spans="14:15" x14ac:dyDescent="0.25">
      <c r="N305" s="380">
        <v>0.54</v>
      </c>
      <c r="O305" s="380">
        <v>0.60999999999999965</v>
      </c>
    </row>
    <row r="306" spans="14:15" x14ac:dyDescent="0.25">
      <c r="N306" s="380">
        <v>0.55000000000000004</v>
      </c>
      <c r="O306" s="380">
        <v>0.59999999999999964</v>
      </c>
    </row>
  </sheetData>
  <sheetProtection algorithmName="SHA-512" hashValue="dqZSmxnVbS9Xq3Ve923eeEeFmJwSDk8yexFMgagPc2fijOY8DuIfyUVjwLO6cGX4uidNIeNsKkZDz7CZ2KH24A==" saltValue="D4rlVc+btdakXshgzG33yg==" spinCount="100000" sheet="1" objects="1" scenarios="1"/>
  <sortState xmlns:xlrd2="http://schemas.microsoft.com/office/spreadsheetml/2017/richdata2" ref="N250:O305">
    <sortCondition ref="N250:N305"/>
  </sortState>
  <mergeCells count="45">
    <mergeCell ref="C66:J66"/>
    <mergeCell ref="C67:J67"/>
    <mergeCell ref="C58:E58"/>
    <mergeCell ref="C59:E59"/>
    <mergeCell ref="C63:J63"/>
    <mergeCell ref="C64:J64"/>
    <mergeCell ref="N71:N72"/>
    <mergeCell ref="C39:E39"/>
    <mergeCell ref="F39:J39"/>
    <mergeCell ref="C40:E40"/>
    <mergeCell ref="C41:E41"/>
    <mergeCell ref="C42:E42"/>
    <mergeCell ref="C43:E43"/>
    <mergeCell ref="C44:E44"/>
    <mergeCell ref="C45:E45"/>
    <mergeCell ref="C46:E46"/>
    <mergeCell ref="C47:E47"/>
    <mergeCell ref="C48:E48"/>
    <mergeCell ref="C49:E49"/>
    <mergeCell ref="C65:J65"/>
    <mergeCell ref="C57:E57"/>
    <mergeCell ref="F40:J40"/>
    <mergeCell ref="F41:J41"/>
    <mergeCell ref="F42:J42"/>
    <mergeCell ref="E3:K3"/>
    <mergeCell ref="E6:H6"/>
    <mergeCell ref="E26:K26"/>
    <mergeCell ref="E33:K33"/>
    <mergeCell ref="E30:K30"/>
    <mergeCell ref="C56:E56"/>
    <mergeCell ref="F43:J43"/>
    <mergeCell ref="F44:J44"/>
    <mergeCell ref="F45:J45"/>
    <mergeCell ref="F46:J46"/>
    <mergeCell ref="F47:J47"/>
    <mergeCell ref="C53:E53"/>
    <mergeCell ref="F48:J48"/>
    <mergeCell ref="F49:J49"/>
    <mergeCell ref="C54:E54"/>
    <mergeCell ref="C55:E55"/>
    <mergeCell ref="C111:F111"/>
    <mergeCell ref="C71:F72"/>
    <mergeCell ref="G71:H71"/>
    <mergeCell ref="I71:J71"/>
    <mergeCell ref="K71:K72"/>
  </mergeCells>
  <dataValidations count="3">
    <dataValidation type="list" allowBlank="1" showInputMessage="1" showErrorMessage="1" sqref="K10" xr:uid="{00000000-0002-0000-0000-000000000000}">
      <formula1>"IP units, SI units"</formula1>
    </dataValidation>
    <dataValidation type="list" allowBlank="1" showInputMessage="1" showErrorMessage="1" sqref="K14" xr:uid="{00000000-0002-0000-0000-000001000000}">
      <formula1>"LEED 2009, LEED v4, LEED v4.1"</formula1>
    </dataValidation>
    <dataValidation type="list" allowBlank="1" showInputMessage="1" showErrorMessage="1" sqref="K18 K23" xr:uid="{00000000-0002-0000-0000-000002000000}">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45" r:id="rId4" name="Button 73">
              <controlPr defaultSize="0" print="0" autoFill="0" autoPict="0" macro="[0]!Go_to_WS">
                <anchor moveWithCells="1">
                  <from>
                    <xdr:col>5</xdr:col>
                    <xdr:colOff>1114425</xdr:colOff>
                    <xdr:row>26</xdr:row>
                    <xdr:rowOff>104775</xdr:rowOff>
                  </from>
                  <to>
                    <xdr:col>6</xdr:col>
                    <xdr:colOff>838200</xdr:colOff>
                    <xdr:row>26</xdr:row>
                    <xdr:rowOff>381000</xdr:rowOff>
                  </to>
                </anchor>
              </controlPr>
            </control>
          </mc:Choice>
        </mc:AlternateContent>
        <mc:AlternateContent xmlns:mc="http://schemas.openxmlformats.org/markup-compatibility/2006">
          <mc:Choice Requires="x14">
            <control shapeId="3146" r:id="rId5" name="Button 74">
              <controlPr defaultSize="0" print="0" autoFill="0" autoPict="0" macro="[0]!add_sht">
                <anchor moveWithCells="1">
                  <from>
                    <xdr:col>4</xdr:col>
                    <xdr:colOff>38100</xdr:colOff>
                    <xdr:row>26</xdr:row>
                    <xdr:rowOff>104775</xdr:rowOff>
                  </from>
                  <to>
                    <xdr:col>5</xdr:col>
                    <xdr:colOff>1028700</xdr:colOff>
                    <xdr:row>26</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outlinePr summaryBelow="0"/>
  </sheetPr>
  <dimension ref="A1:AJ38"/>
  <sheetViews>
    <sheetView showGridLines="0" zoomScale="80" zoomScaleNormal="80" workbookViewId="0">
      <selection activeCell="C15" sqref="C15:D15"/>
    </sheetView>
  </sheetViews>
  <sheetFormatPr defaultColWidth="9.140625" defaultRowHeight="12.75" x14ac:dyDescent="0.2"/>
  <cols>
    <col min="1" max="1" width="2.7109375" style="236" customWidth="1"/>
    <col min="2" max="2" width="45.85546875" style="10" customWidth="1"/>
    <col min="3" max="3" width="13.7109375" style="66" customWidth="1"/>
    <col min="4" max="4" width="20.7109375" style="10" customWidth="1"/>
    <col min="5" max="5" width="16.7109375" style="10" customWidth="1"/>
    <col min="6" max="6" width="12.7109375" style="65" customWidth="1"/>
    <col min="7" max="7" width="14.7109375" style="66" customWidth="1"/>
    <col min="8" max="11" width="14.7109375" style="66" hidden="1" customWidth="1"/>
    <col min="12" max="12" width="14.7109375" style="10" hidden="1" customWidth="1"/>
    <col min="13" max="16" width="14.7109375" style="10" customWidth="1"/>
    <col min="17" max="17" width="14.7109375" style="10" hidden="1" customWidth="1"/>
    <col min="18" max="18" width="14.5703125" style="10" customWidth="1"/>
    <col min="19" max="19" width="14.28515625" style="10" customWidth="1"/>
    <col min="20" max="23" width="14.7109375" style="10" hidden="1" customWidth="1"/>
    <col min="24" max="24" width="2.7109375" style="10" customWidth="1"/>
    <col min="25" max="25" width="10.5703125" style="10" hidden="1" customWidth="1"/>
    <col min="26" max="26" width="10.7109375" style="10" hidden="1" customWidth="1"/>
    <col min="27" max="36" width="9.140625" style="10" hidden="1" customWidth="1"/>
    <col min="37" max="16384" width="9.140625" style="10"/>
  </cols>
  <sheetData>
    <row r="1" spans="1:36" ht="15" customHeight="1" x14ac:dyDescent="0.5">
      <c r="A1" s="37"/>
      <c r="B1" s="42"/>
      <c r="C1" s="36"/>
      <c r="D1" s="36"/>
      <c r="E1" s="36"/>
      <c r="F1" s="36"/>
      <c r="G1" s="36"/>
      <c r="H1" s="36"/>
      <c r="I1" s="36"/>
      <c r="J1" s="36"/>
      <c r="K1" s="36"/>
      <c r="L1" s="36"/>
      <c r="M1" s="36"/>
      <c r="N1" s="36"/>
      <c r="O1" s="36"/>
      <c r="P1" s="36"/>
      <c r="Q1" s="36"/>
      <c r="R1" s="36"/>
      <c r="S1" s="36"/>
      <c r="T1" s="36"/>
      <c r="U1" s="36"/>
      <c r="V1" s="36"/>
      <c r="W1" s="36"/>
    </row>
    <row r="2" spans="1:36" ht="21" customHeight="1" x14ac:dyDescent="0.2">
      <c r="A2" s="37"/>
      <c r="B2" s="58" t="s">
        <v>286</v>
      </c>
      <c r="C2" s="39"/>
      <c r="D2" s="40"/>
      <c r="E2" s="40"/>
      <c r="F2" s="39"/>
      <c r="G2" s="39"/>
      <c r="H2" s="40"/>
      <c r="I2" s="40"/>
      <c r="J2" s="40"/>
      <c r="K2" s="40"/>
      <c r="L2" s="40"/>
      <c r="M2" s="40"/>
      <c r="N2" s="40"/>
      <c r="O2" s="40"/>
      <c r="P2" s="40"/>
      <c r="Q2" s="40"/>
      <c r="R2" s="40"/>
      <c r="S2" s="40"/>
      <c r="T2" s="40"/>
      <c r="U2" s="40"/>
      <c r="V2" s="40"/>
      <c r="W2" s="40"/>
      <c r="Z2" s="258" t="s">
        <v>248</v>
      </c>
      <c r="AA2" s="258" t="s">
        <v>249</v>
      </c>
      <c r="AB2" s="290" t="s">
        <v>1</v>
      </c>
      <c r="AC2" s="290" t="s">
        <v>2</v>
      </c>
      <c r="AD2" s="290" t="s">
        <v>23</v>
      </c>
      <c r="AE2" s="290" t="s">
        <v>264</v>
      </c>
      <c r="AF2" s="290" t="s">
        <v>124</v>
      </c>
      <c r="AG2" s="290" t="s">
        <v>22</v>
      </c>
      <c r="AH2" s="290" t="s">
        <v>19</v>
      </c>
      <c r="AI2" s="258" t="s">
        <v>250</v>
      </c>
      <c r="AJ2" s="258" t="s">
        <v>251</v>
      </c>
    </row>
    <row r="3" spans="1:36" ht="21" customHeight="1" x14ac:dyDescent="0.2">
      <c r="A3" s="37"/>
      <c r="B3" s="57" t="str">
        <f ca="1">REPLACE(CELL("filename",A1),1,FIND("]",CELL("filename",A1)),"")</f>
        <v>Multiple Zone</v>
      </c>
      <c r="C3" s="39"/>
      <c r="D3" s="40"/>
      <c r="E3" s="40"/>
      <c r="F3" s="39"/>
      <c r="G3" s="39"/>
      <c r="H3" s="40"/>
      <c r="I3" s="40"/>
      <c r="J3" s="40"/>
      <c r="K3" s="40"/>
      <c r="L3" s="40"/>
      <c r="M3" s="40"/>
      <c r="N3" s="40"/>
      <c r="O3" s="40"/>
      <c r="P3" s="40"/>
      <c r="Q3" s="40"/>
      <c r="R3" s="40"/>
      <c r="S3" s="40"/>
      <c r="T3" s="40"/>
      <c r="U3" s="40"/>
      <c r="V3" s="40"/>
      <c r="W3" s="40"/>
      <c r="Z3" s="259">
        <f>Area</f>
        <v>0</v>
      </c>
      <c r="AA3" s="280">
        <f>$E$20</f>
        <v>0</v>
      </c>
      <c r="AB3" s="280">
        <f>IFERROR(IF(Allzones="Yes",(SUM($J14:$J16)/SUM($G14:$G16)),$E$23),0)</f>
        <v>0</v>
      </c>
      <c r="AC3" s="280">
        <f>IFERROR(IF(Allzones="Yes",(SUM($K14:$K16)/Area),$E$24),0)</f>
        <v>0</v>
      </c>
      <c r="AD3" s="292">
        <f>$E$22</f>
        <v>0</v>
      </c>
      <c r="AE3" s="292">
        <f>IFERROR(AVERAGEIF($M$14:$M$16,"&lt;&gt;0"),0)</f>
        <v>0</v>
      </c>
      <c r="AF3" s="280">
        <f>Ev</f>
        <v>0</v>
      </c>
      <c r="AG3" s="259">
        <f>Airflow_cz</f>
        <v>0</v>
      </c>
      <c r="AH3" s="280">
        <f>$E$27</f>
        <v>0</v>
      </c>
      <c r="AI3" s="259">
        <f>ROUND(E35,0)</f>
        <v>0</v>
      </c>
      <c r="AJ3" s="259">
        <f>ROUND(E37,0)</f>
        <v>0</v>
      </c>
    </row>
    <row r="4" spans="1:36" ht="15" customHeight="1" x14ac:dyDescent="0.5">
      <c r="A4" s="37"/>
      <c r="B4" s="42"/>
      <c r="C4" s="36"/>
      <c r="D4" s="36"/>
      <c r="E4" s="36"/>
      <c r="F4" s="36"/>
      <c r="G4" s="36"/>
      <c r="H4" s="36"/>
      <c r="I4" s="36"/>
      <c r="J4" s="36"/>
      <c r="K4" s="36"/>
      <c r="L4" s="36"/>
      <c r="M4" s="36"/>
      <c r="N4" s="36"/>
      <c r="O4" s="36"/>
      <c r="P4" s="36"/>
      <c r="Q4" s="36"/>
      <c r="R4" s="36"/>
      <c r="S4" s="36"/>
      <c r="T4" s="36"/>
      <c r="U4" s="36"/>
      <c r="V4" s="36"/>
      <c r="W4" s="36"/>
    </row>
    <row r="5" spans="1:36" ht="47.25" customHeight="1" x14ac:dyDescent="0.2">
      <c r="B5" s="216" t="s">
        <v>230</v>
      </c>
      <c r="Y5" s="250" t="b">
        <v>1</v>
      </c>
    </row>
    <row r="6" spans="1:36" ht="18" customHeight="1" x14ac:dyDescent="0.2">
      <c r="B6" s="494" t="s">
        <v>133</v>
      </c>
      <c r="C6" s="495"/>
      <c r="D6" s="221" t="str">
        <f ca="1">B3</f>
        <v>Multiple Zone</v>
      </c>
      <c r="F6" s="10"/>
      <c r="L6" s="68"/>
      <c r="Z6" s="217"/>
    </row>
    <row r="7" spans="1:36" ht="18" customHeight="1" x14ac:dyDescent="0.2">
      <c r="B7" s="496" t="s">
        <v>216</v>
      </c>
      <c r="C7" s="497"/>
      <c r="D7" s="212"/>
      <c r="F7" s="67"/>
      <c r="L7" s="68"/>
    </row>
    <row r="8" spans="1:36" customFormat="1" ht="18" customHeight="1" x14ac:dyDescent="0.25">
      <c r="A8" s="237"/>
      <c r="B8" s="499" t="s">
        <v>215</v>
      </c>
      <c r="C8" s="500"/>
      <c r="D8" s="222"/>
    </row>
    <row r="9" spans="1:36" ht="21" customHeight="1" x14ac:dyDescent="0.2">
      <c r="B9" s="69"/>
      <c r="C9" s="10"/>
      <c r="F9" s="66"/>
      <c r="I9" s="10"/>
      <c r="J9" s="10"/>
      <c r="K9" s="10"/>
    </row>
    <row r="10" spans="1:36" s="124" customFormat="1" ht="75" customHeight="1" x14ac:dyDescent="0.25">
      <c r="A10" s="238"/>
      <c r="B10" s="480" t="s">
        <v>211</v>
      </c>
      <c r="C10" s="482" t="s">
        <v>257</v>
      </c>
      <c r="D10" s="483"/>
      <c r="E10" s="220" t="s">
        <v>256</v>
      </c>
      <c r="F10" s="486" t="s">
        <v>31</v>
      </c>
      <c r="G10" s="220" t="s">
        <v>212</v>
      </c>
      <c r="H10" s="219" t="s">
        <v>206</v>
      </c>
      <c r="I10" s="219" t="s">
        <v>207</v>
      </c>
      <c r="J10" s="478" t="s">
        <v>208</v>
      </c>
      <c r="K10" s="478" t="s">
        <v>209</v>
      </c>
      <c r="L10" s="219" t="s">
        <v>210</v>
      </c>
      <c r="M10" s="220" t="s">
        <v>148</v>
      </c>
      <c r="N10" s="176" t="s">
        <v>245</v>
      </c>
      <c r="O10" s="175" t="s">
        <v>235</v>
      </c>
      <c r="P10" s="220" t="s">
        <v>236</v>
      </c>
      <c r="Q10" s="205" t="s">
        <v>167</v>
      </c>
      <c r="R10" s="232" t="s">
        <v>162</v>
      </c>
      <c r="S10" s="374" t="s">
        <v>164</v>
      </c>
      <c r="T10" s="219" t="s">
        <v>163</v>
      </c>
      <c r="U10" s="219" t="s">
        <v>165</v>
      </c>
      <c r="V10" s="219" t="s">
        <v>166</v>
      </c>
      <c r="W10" s="208" t="s">
        <v>295</v>
      </c>
      <c r="Y10" s="173" t="s">
        <v>146</v>
      </c>
      <c r="Z10" s="370" t="s">
        <v>288</v>
      </c>
      <c r="AA10" s="174" t="s">
        <v>147</v>
      </c>
      <c r="AB10" s="189" t="s">
        <v>225</v>
      </c>
    </row>
    <row r="11" spans="1:36" s="177" customFormat="1" ht="15" customHeight="1" x14ac:dyDescent="0.25">
      <c r="A11" s="239"/>
      <c r="B11" s="481"/>
      <c r="C11" s="484"/>
      <c r="D11" s="485"/>
      <c r="E11" s="179" t="s">
        <v>0</v>
      </c>
      <c r="F11" s="487"/>
      <c r="G11" s="179" t="s">
        <v>3</v>
      </c>
      <c r="H11" s="203" t="s">
        <v>1</v>
      </c>
      <c r="I11" s="203" t="s">
        <v>2</v>
      </c>
      <c r="J11" s="479"/>
      <c r="K11" s="479"/>
      <c r="L11" s="203" t="s">
        <v>4</v>
      </c>
      <c r="M11" s="179" t="s">
        <v>18</v>
      </c>
      <c r="N11" s="182" t="s">
        <v>7</v>
      </c>
      <c r="O11" s="183" t="s">
        <v>5</v>
      </c>
      <c r="P11" s="179" t="s">
        <v>6</v>
      </c>
      <c r="Q11" s="206" t="s">
        <v>11</v>
      </c>
      <c r="R11" s="233" t="s">
        <v>17</v>
      </c>
      <c r="S11" s="375" t="s">
        <v>13</v>
      </c>
      <c r="T11" s="203" t="s">
        <v>8</v>
      </c>
      <c r="U11" s="203" t="s">
        <v>9</v>
      </c>
      <c r="V11" s="203" t="s">
        <v>10</v>
      </c>
      <c r="W11" s="209" t="s">
        <v>16</v>
      </c>
      <c r="Y11" s="184"/>
      <c r="Z11" s="184"/>
      <c r="AA11" s="178"/>
      <c r="AB11" s="184"/>
    </row>
    <row r="12" spans="1:36" s="125" customFormat="1" ht="32.25" customHeight="1" x14ac:dyDescent="0.25">
      <c r="A12" s="240"/>
      <c r="B12" s="481"/>
      <c r="C12" s="484"/>
      <c r="D12" s="485"/>
      <c r="E12" s="185" t="str">
        <f>IF(Instructions!$N$166=1,"(sq ft)","(sq m)")</f>
        <v>(sq ft)</v>
      </c>
      <c r="F12" s="488"/>
      <c r="G12" s="185" t="s">
        <v>161</v>
      </c>
      <c r="H12" s="204" t="str">
        <f>IF(Instructions!$N$166=1,Instructions!$G$72,Instructions!$H$72)</f>
        <v>(cfm per person)</v>
      </c>
      <c r="I12" s="204" t="str">
        <f>IF(Instructions!$N$166=1,Instructions!$I$72,Instructions!$J$72)</f>
        <v xml:space="preserve">(cfm per sq ft) </v>
      </c>
      <c r="J12" s="204" t="str">
        <f>IF(Instructions!$N$166=1,"(cfm)","(l/s)")</f>
        <v>(cfm)</v>
      </c>
      <c r="K12" s="204" t="str">
        <f>IF(Instructions!$N$166=1,"(cfm)","(l/s)")</f>
        <v>(cfm)</v>
      </c>
      <c r="L12" s="204" t="str">
        <f>IF(Instructions!$N$166=1,"(cfm)","(l/s)")</f>
        <v>(cfm)</v>
      </c>
      <c r="M12" s="186"/>
      <c r="N12" s="187" t="str">
        <f>IF(Instructions!$N$166=1,"(cfm)","(l/s)")</f>
        <v>(cfm)</v>
      </c>
      <c r="O12" s="188" t="str">
        <f>IF(Instructions!$N$166=1,"(cfm)","(l/s)")</f>
        <v>(cfm)</v>
      </c>
      <c r="P12" s="185" t="str">
        <f>IF(Instructions!$N$166=1,"(cfm)","(l/s)")</f>
        <v>(cfm)</v>
      </c>
      <c r="Q12" s="207"/>
      <c r="R12" s="234"/>
      <c r="S12" s="376"/>
      <c r="T12" s="210"/>
      <c r="U12" s="210"/>
      <c r="V12" s="210"/>
      <c r="W12" s="211"/>
      <c r="Y12" s="180"/>
      <c r="Z12" s="180"/>
      <c r="AA12" s="181" t="str">
        <f>IF(Instructions!$N$166=1,"(occupants per 1,000 sq ft)","(occupants per 100 sq m)")</f>
        <v>(occupants per 1,000 sq ft)</v>
      </c>
      <c r="AB12" s="180"/>
    </row>
    <row r="13" spans="1:36" s="272" customFormat="1" ht="12.6" customHeight="1" x14ac:dyDescent="0.25">
      <c r="A13" s="238" t="s">
        <v>136</v>
      </c>
      <c r="B13" s="306"/>
      <c r="C13" s="498"/>
      <c r="D13" s="498"/>
      <c r="E13" s="307"/>
      <c r="F13" s="308"/>
      <c r="G13" s="307"/>
      <c r="H13" s="309"/>
      <c r="I13" s="309"/>
      <c r="J13" s="310" t="s">
        <v>28</v>
      </c>
      <c r="K13" s="310" t="s">
        <v>27</v>
      </c>
      <c r="L13" s="310" t="str">
        <f>IF(credit=1,"(Rp Pz + Ra Az)*1.3","Rp Pz + Ra Az")</f>
        <v>Rp Pz + Ra Az</v>
      </c>
      <c r="M13" s="307"/>
      <c r="N13" s="311" t="s">
        <v>15</v>
      </c>
      <c r="O13" s="312"/>
      <c r="P13" s="307"/>
      <c r="Q13" s="313" t="s">
        <v>12</v>
      </c>
      <c r="R13" s="314"/>
      <c r="S13" s="377" t="s">
        <v>300</v>
      </c>
      <c r="T13" s="310" t="s">
        <v>14</v>
      </c>
      <c r="U13" s="310" t="s">
        <v>13</v>
      </c>
      <c r="V13" s="310" t="s">
        <v>294</v>
      </c>
      <c r="W13" s="372" t="s">
        <v>296</v>
      </c>
      <c r="Y13" s="273"/>
      <c r="Z13" s="273"/>
      <c r="AA13" s="274"/>
      <c r="AB13" s="273"/>
    </row>
    <row r="14" spans="1:36" s="126" customFormat="1" ht="13.15" customHeight="1" x14ac:dyDescent="0.25">
      <c r="A14" s="136">
        <f>IF(C14=0,0,0)</f>
        <v>0</v>
      </c>
      <c r="B14" s="235"/>
      <c r="C14" s="489"/>
      <c r="D14" s="490"/>
      <c r="E14" s="227"/>
      <c r="F14" s="228"/>
      <c r="G14" s="371"/>
      <c r="H14" s="229">
        <f>IFERROR(IF(Instructions!$N$166=1,VLOOKUP(C14,Instructions!$C$73:$K$157,5,FALSE),VLOOKUP(C14,Instructions!$C$73:$K$157,6,FALSE)),0)</f>
        <v>0</v>
      </c>
      <c r="I14" s="229">
        <f>IFERROR(IF(Instructions!$N$166=1,VLOOKUP(C14,Instructions!$C$73:$K$157,7,FALSE),VLOOKUP(C14,Instructions!$C$73:$K$157,8,FALSE)),0)</f>
        <v>0</v>
      </c>
      <c r="J14" s="406">
        <f>TRUNC(IFERROR(H14*G14,0),2)</f>
        <v>0</v>
      </c>
      <c r="K14" s="406">
        <f>TRUNC(IFERROR(I14*E14,0),2)</f>
        <v>0</v>
      </c>
      <c r="L14" s="407">
        <f>TRUNC(IFERROR(IF(credit=2,SUM(J14:K14),SUM(J14:K14)*1.3),0),2)</f>
        <v>0</v>
      </c>
      <c r="M14" s="413"/>
      <c r="N14" s="403">
        <f t="shared" ref="N14:N15" si="0">IFERROR(L14/M14,0)</f>
        <v>0</v>
      </c>
      <c r="O14" s="230"/>
      <c r="P14" s="231"/>
      <c r="Q14" s="382">
        <f>IFERROR(ROUND(N14/P14,2),0)</f>
        <v>0</v>
      </c>
      <c r="R14" s="391"/>
      <c r="S14" s="440">
        <f>IFERROR($P14/$O14,0)</f>
        <v>0</v>
      </c>
      <c r="T14" s="409">
        <f>TRUNC(IFERROR(S14+(1-S14)*R14,0),2)</f>
        <v>0</v>
      </c>
      <c r="U14" s="409">
        <f>TRUNC(S14,2)</f>
        <v>0</v>
      </c>
      <c r="V14" s="409">
        <f>TRUNC(IFERROR(1-(1-M14)*(1-R14)*(1-S14),0),2)</f>
        <v>0</v>
      </c>
      <c r="W14" s="265">
        <f>TRUNC(IFERROR(IF($E$27&gt;0,(T14+$E$27 * U14-Q14 * S14 * V14)/T14,0),0),2)</f>
        <v>0</v>
      </c>
      <c r="Y14" s="283">
        <f>IFERROR(IF(Instructions!$N$166=1,($AA14/1000)*$E14,($AA14/100)*$E14),0)</f>
        <v>0</v>
      </c>
      <c r="Z14" s="371"/>
      <c r="AA14" s="284">
        <f>IFERROR(VLOOKUP($C14,Instructions!$C$73:$K$157,9,FALSE),0)</f>
        <v>0</v>
      </c>
      <c r="AB14" s="190">
        <f>B14</f>
        <v>0</v>
      </c>
    </row>
    <row r="15" spans="1:36" s="126" customFormat="1" ht="15" customHeight="1" x14ac:dyDescent="0.25">
      <c r="A15" s="136">
        <f t="shared" ref="A15:A16" si="1">IF(C15=0,0,0)</f>
        <v>0</v>
      </c>
      <c r="B15" s="235"/>
      <c r="C15" s="489"/>
      <c r="D15" s="490"/>
      <c r="E15" s="227"/>
      <c r="F15" s="228"/>
      <c r="G15" s="371"/>
      <c r="H15" s="229">
        <f>IFERROR(IF(Instructions!$N$166=1,VLOOKUP(C15,Instructions!$C$73:$K$157,5,FALSE),VLOOKUP(C15,Instructions!$C$73:$K$157,6,FALSE)),0)</f>
        <v>0</v>
      </c>
      <c r="I15" s="229">
        <f>IFERROR(IF(Instructions!$N$166=1,VLOOKUP(C15,Instructions!$C$73:$K$157,7,FALSE),VLOOKUP(C15,Instructions!$C$73:$K$157,8,FALSE)),0)</f>
        <v>0</v>
      </c>
      <c r="J15" s="406">
        <f>TRUNC(IFERROR(H15*G15,0),2)</f>
        <v>0</v>
      </c>
      <c r="K15" s="406">
        <f>TRUNC(IFERROR(I15*E15,0),2)</f>
        <v>0</v>
      </c>
      <c r="L15" s="407">
        <f>TRUNC(IFERROR(IF(credit=2,SUM(J15:K15),SUM(J15:K15)*1.3),0),2)</f>
        <v>0</v>
      </c>
      <c r="M15" s="413"/>
      <c r="N15" s="403">
        <f t="shared" si="0"/>
        <v>0</v>
      </c>
      <c r="O15" s="230"/>
      <c r="P15" s="231"/>
      <c r="Q15" s="382">
        <f t="shared" ref="Q15:Q16" si="2">IFERROR(ROUND(N15/P15,2),0)</f>
        <v>0</v>
      </c>
      <c r="R15" s="295"/>
      <c r="S15" s="441">
        <f>IFERROR($P15/$O15,0)</f>
        <v>0</v>
      </c>
      <c r="T15" s="409">
        <f>TRUNC(IFERROR(S15+(1-S15)*R15,0),2)</f>
        <v>0</v>
      </c>
      <c r="U15" s="409">
        <f>TRUNC(S15,2)</f>
        <v>0</v>
      </c>
      <c r="V15" s="409">
        <f>TRUNC(IFERROR(1-(1-M15)*(1-R15)*(1-S15),0),2)</f>
        <v>0</v>
      </c>
      <c r="W15" s="265">
        <f>TRUNC(IFERROR(IF($E$27&gt;0,(T15+$E$27 * U15-Q15 * S15 * V15)/T15,0),0),2)</f>
        <v>0</v>
      </c>
      <c r="Y15" s="283">
        <f>IFERROR(IF(Instructions!$N$166=1,($AA15/1000)*$E15,($AA15/100)*$E15),0)</f>
        <v>0</v>
      </c>
      <c r="Z15" s="371"/>
      <c r="AA15" s="284">
        <f>IFERROR(VLOOKUP($C15,Instructions!$C$73:$K$157,9,FALSE),0)</f>
        <v>0</v>
      </c>
      <c r="AB15" s="190">
        <f>B15</f>
        <v>0</v>
      </c>
    </row>
    <row r="16" spans="1:36" s="126" customFormat="1" ht="15" customHeight="1" x14ac:dyDescent="0.25">
      <c r="A16" s="136">
        <f t="shared" si="1"/>
        <v>0</v>
      </c>
      <c r="B16" s="235"/>
      <c r="C16" s="489"/>
      <c r="D16" s="490"/>
      <c r="E16" s="227"/>
      <c r="F16" s="228"/>
      <c r="G16" s="371"/>
      <c r="H16" s="229">
        <f>IFERROR(IF(Instructions!$N$166=1,VLOOKUP(C16,Instructions!$C$73:$K$157,5,FALSE),VLOOKUP(C16,Instructions!$C$73:$K$157,6,FALSE)),0)</f>
        <v>0</v>
      </c>
      <c r="I16" s="229">
        <f>IFERROR(IF(Instructions!$N$166=1,VLOOKUP(C16,Instructions!$C$73:$K$157,7,FALSE),VLOOKUP(C16,Instructions!$C$73:$K$157,8,FALSE)),0)</f>
        <v>0</v>
      </c>
      <c r="J16" s="406">
        <f>TRUNC(IFERROR(H16*G16,0),2)</f>
        <v>0</v>
      </c>
      <c r="K16" s="406">
        <f>TRUNC(IFERROR(I16*E16,0),2)</f>
        <v>0</v>
      </c>
      <c r="L16" s="407">
        <f>TRUNC(IFERROR(IF(credit=2,SUM(J16:K16),SUM(J16:K16)*1.3),0),2)</f>
        <v>0</v>
      </c>
      <c r="M16" s="413"/>
      <c r="N16" s="403">
        <f>IFERROR(L16/M16,0)</f>
        <v>0</v>
      </c>
      <c r="O16" s="230"/>
      <c r="P16" s="231"/>
      <c r="Q16" s="382">
        <f t="shared" si="2"/>
        <v>0</v>
      </c>
      <c r="R16" s="295"/>
      <c r="S16" s="440">
        <f>IFERROR($P16/$O16,0)</f>
        <v>0</v>
      </c>
      <c r="T16" s="409">
        <f>TRUNC(IFERROR(S16+(1-S16)*R16,0),2)</f>
        <v>0</v>
      </c>
      <c r="U16" s="409">
        <f>TRUNC(S16,2)</f>
        <v>0</v>
      </c>
      <c r="V16" s="409">
        <f>TRUNC(IFERROR(1-(1-M16)*(1-R16)*(1-S16),0),2)</f>
        <v>0</v>
      </c>
      <c r="W16" s="265">
        <f>TRUNC(IFERROR(IF($E$27&gt;0,(T16+$E$27 * U16-Q16 * S16 * V16)/T16,0),0),2)</f>
        <v>0</v>
      </c>
      <c r="Y16" s="283">
        <f>IFERROR(IF(Instructions!$N$166=1,($AA16/1000)*$E16,($AA16/100)*$E16),0)</f>
        <v>0</v>
      </c>
      <c r="Z16" s="371"/>
      <c r="AA16" s="284">
        <f>IFERROR(VLOOKUP($C16,Instructions!$C$73:$K$157,9,FALSE),0)</f>
        <v>0</v>
      </c>
      <c r="AB16" s="190">
        <f>B16</f>
        <v>0</v>
      </c>
    </row>
    <row r="17" spans="1:26" ht="49.5" customHeight="1" x14ac:dyDescent="0.2">
      <c r="A17" s="268"/>
      <c r="P17" s="411"/>
    </row>
    <row r="18" spans="1:26" ht="17.25" customHeight="1" x14ac:dyDescent="0.2">
      <c r="G18" s="10"/>
      <c r="H18" s="10"/>
      <c r="Y18" s="223" t="s">
        <v>231</v>
      </c>
      <c r="Z18" s="223" t="s">
        <v>232</v>
      </c>
    </row>
    <row r="19" spans="1:26" ht="18" customHeight="1" x14ac:dyDescent="0.2">
      <c r="B19" s="72" t="s">
        <v>213</v>
      </c>
      <c r="C19" s="196" t="s">
        <v>214</v>
      </c>
      <c r="D19" s="194" t="str">
        <f>IF(Instructions!$N$166=1,"(sq ft)","(sq m)")</f>
        <v>(sq ft)</v>
      </c>
      <c r="E19" s="404">
        <f>TRUNC(SUM($E14:$E16),2)</f>
        <v>0</v>
      </c>
      <c r="F19" s="275" t="str">
        <f>IF(D8="Yes","Net occupiable floor area served by the ventilation system", "∑Az")</f>
        <v>∑Az</v>
      </c>
      <c r="G19" s="10"/>
      <c r="H19" s="10"/>
      <c r="Y19" s="191">
        <f>SUM($E14:$E16)</f>
        <v>0</v>
      </c>
      <c r="Z19" s="291"/>
    </row>
    <row r="20" spans="1:26" ht="18" customHeight="1" x14ac:dyDescent="0.2">
      <c r="B20" s="74" t="s">
        <v>24</v>
      </c>
      <c r="C20" s="197" t="s">
        <v>25</v>
      </c>
      <c r="D20" s="80" t="s">
        <v>161</v>
      </c>
      <c r="E20" s="279"/>
      <c r="F20" s="275"/>
      <c r="Z20" s="66"/>
    </row>
    <row r="21" spans="1:26" s="128" customFormat="1" ht="18" hidden="1" customHeight="1" x14ac:dyDescent="0.2">
      <c r="A21" s="236"/>
      <c r="B21" s="74" t="s">
        <v>168</v>
      </c>
      <c r="C21" s="197" t="s">
        <v>26</v>
      </c>
      <c r="D21" s="80" t="s">
        <v>161</v>
      </c>
      <c r="E21" s="410">
        <f>TRUNC(SUM(G14:G16),2)</f>
        <v>0</v>
      </c>
      <c r="F21" s="275" t="s">
        <v>29</v>
      </c>
      <c r="I21" s="127"/>
      <c r="J21" s="127"/>
      <c r="K21" s="127"/>
      <c r="Z21" s="127"/>
    </row>
    <row r="22" spans="1:26" s="128" customFormat="1" ht="18" hidden="1" customHeight="1" x14ac:dyDescent="0.2">
      <c r="A22" s="236"/>
      <c r="B22" s="74" t="s">
        <v>32</v>
      </c>
      <c r="C22" s="197" t="s">
        <v>23</v>
      </c>
      <c r="D22" s="80"/>
      <c r="E22" s="410">
        <f>TRUNC(IFERROR(E20/E21,0),2)</f>
        <v>0</v>
      </c>
      <c r="F22" s="275" t="s">
        <v>36</v>
      </c>
      <c r="I22" s="127"/>
      <c r="J22" s="127"/>
      <c r="K22" s="127"/>
      <c r="Z22" s="127"/>
    </row>
    <row r="23" spans="1:26" s="128" customFormat="1" ht="18" customHeight="1" x14ac:dyDescent="0.2">
      <c r="A23" s="236"/>
      <c r="B23" s="74" t="s">
        <v>217</v>
      </c>
      <c r="C23" s="197" t="s">
        <v>218</v>
      </c>
      <c r="D23" s="80" t="str">
        <f>IF(Instructions!$N$166=1,Instructions!$G$72,Instructions!$H$72)</f>
        <v>(cfm per person)</v>
      </c>
      <c r="E23" s="269"/>
      <c r="F23" s="275"/>
      <c r="I23" s="127"/>
      <c r="J23" s="127"/>
      <c r="K23" s="127"/>
      <c r="Z23" s="127"/>
    </row>
    <row r="24" spans="1:26" s="128" customFormat="1" ht="18" customHeight="1" x14ac:dyDescent="0.2">
      <c r="A24" s="236"/>
      <c r="B24" s="74" t="s">
        <v>219</v>
      </c>
      <c r="C24" s="197" t="s">
        <v>220</v>
      </c>
      <c r="D24" s="80" t="str">
        <f>IF(Instructions!$N$166=1,Instructions!$I$72,Instructions!$J$72)</f>
        <v xml:space="preserve">(cfm per sq ft) </v>
      </c>
      <c r="E24" s="269"/>
      <c r="F24" s="275"/>
      <c r="I24" s="127"/>
      <c r="J24" s="127"/>
      <c r="K24" s="127"/>
      <c r="Z24" s="127"/>
    </row>
    <row r="25" spans="1:26" s="128" customFormat="1" ht="18" customHeight="1" x14ac:dyDescent="0.2">
      <c r="A25" s="236"/>
      <c r="B25" s="74" t="s">
        <v>33</v>
      </c>
      <c r="C25" s="197" t="s">
        <v>21</v>
      </c>
      <c r="D25" s="195" t="str">
        <f>IF(Instructions!$N$166=1,"(cfm)","(l/s)")</f>
        <v>(cfm)</v>
      </c>
      <c r="E25" s="193">
        <f>TRUNC(IF(ISBLANK($E$20),0,IF(credit=2,IF(D8="No",E23*E20+E24*E19,E22*SUM(J14:J16)+SUM(K14:K16)),IF(D8="No",(E23*E20+E24*E19)*1.3,(E22*SUM(J14:J16)+SUM(K14:K16))*1.3))),2)</f>
        <v>0</v>
      </c>
      <c r="F25" s="275" t="str">
        <f>IF(credit=1,IF($D$8="Yes","(D ∑ (Rp Pz) + ∑(Ra Az))*1.3","((Rp system Ps) + (Ra system As))*1.3"),IF($D$8="Yes","D ∑ (Rp Pz) + ∑(Ra Az)","(Rp system Ps) + (Ra system As)"))</f>
        <v>(Rp system Ps) + (Ra system As)</v>
      </c>
      <c r="I25" s="129"/>
      <c r="J25" s="129"/>
      <c r="K25" s="129"/>
      <c r="Z25" s="127"/>
    </row>
    <row r="26" spans="1:26" s="128" customFormat="1" ht="18" customHeight="1" x14ac:dyDescent="0.2">
      <c r="A26" s="236"/>
      <c r="B26" s="74" t="s">
        <v>221</v>
      </c>
      <c r="C26" s="197" t="s">
        <v>22</v>
      </c>
      <c r="D26" s="195" t="str">
        <f>IF(Instructions!$N$166=1,"(cfm)","(l/s)")</f>
        <v>(cfm)</v>
      </c>
      <c r="E26" s="192"/>
      <c r="F26" s="275"/>
      <c r="I26" s="127"/>
      <c r="J26" s="127"/>
      <c r="K26" s="127"/>
      <c r="Z26" s="127"/>
    </row>
    <row r="27" spans="1:26" s="128" customFormat="1" ht="18" customHeight="1" x14ac:dyDescent="0.2">
      <c r="A27" s="236"/>
      <c r="B27" s="76" t="s">
        <v>34</v>
      </c>
      <c r="C27" s="198" t="s">
        <v>19</v>
      </c>
      <c r="D27" s="77"/>
      <c r="E27" s="405">
        <f>TRUNC(IFERROR(E25/Airflow_cz,0),2)</f>
        <v>0</v>
      </c>
      <c r="F27" s="275" t="s">
        <v>20</v>
      </c>
      <c r="I27" s="130"/>
      <c r="J27" s="130"/>
      <c r="K27" s="130"/>
      <c r="Z27" s="127"/>
    </row>
    <row r="28" spans="1:26" ht="15" customHeight="1" x14ac:dyDescent="0.2">
      <c r="B28" s="131" t="s">
        <v>169</v>
      </c>
      <c r="C28" s="199"/>
      <c r="D28" s="132"/>
      <c r="E28" s="133"/>
      <c r="F28" s="276"/>
      <c r="G28" s="10"/>
      <c r="H28" s="10"/>
      <c r="I28" s="134"/>
      <c r="J28" s="134"/>
      <c r="K28" s="134"/>
      <c r="Z28" s="134"/>
    </row>
    <row r="29" spans="1:26" s="128" customFormat="1" ht="33" customHeight="1" x14ac:dyDescent="0.2">
      <c r="A29" s="236"/>
      <c r="B29" s="491" t="s">
        <v>222</v>
      </c>
      <c r="C29" s="492"/>
      <c r="D29" s="493"/>
      <c r="E29" s="218"/>
      <c r="F29" s="275"/>
      <c r="I29" s="130"/>
      <c r="J29" s="130"/>
      <c r="K29" s="130"/>
      <c r="Z29" s="130"/>
    </row>
    <row r="30" spans="1:26" s="128" customFormat="1" ht="18" hidden="1" customHeight="1" x14ac:dyDescent="0.2">
      <c r="A30" s="236"/>
      <c r="B30" s="213" t="s">
        <v>228</v>
      </c>
      <c r="C30" s="214" t="s">
        <v>30</v>
      </c>
      <c r="D30" s="215"/>
      <c r="E30" s="379">
        <f>MAX($Q$14:$Q$16)</f>
        <v>0</v>
      </c>
      <c r="F30" s="275"/>
      <c r="G30" s="381"/>
      <c r="I30" s="130"/>
      <c r="J30" s="130"/>
      <c r="K30" s="130"/>
      <c r="Z30" s="130"/>
    </row>
    <row r="31" spans="1:26" s="128" customFormat="1" ht="18" hidden="1" customHeight="1" x14ac:dyDescent="0.2">
      <c r="A31" s="236"/>
      <c r="B31" s="213" t="s">
        <v>229</v>
      </c>
      <c r="C31" s="214" t="s">
        <v>16</v>
      </c>
      <c r="D31" s="215"/>
      <c r="E31" s="379">
        <f>IF(E30&gt;0,IF(E30=0,1.15,IF(E30&gt;0.55,"Use Appendix A",VLOOKUP(E30,Instructions!$N$252:$O$306,2,TRUE))),0)</f>
        <v>0</v>
      </c>
      <c r="F31" s="275"/>
      <c r="I31" s="127"/>
      <c r="J31" s="127"/>
      <c r="K31" s="127"/>
      <c r="Z31" s="127"/>
    </row>
    <row r="32" spans="1:26" s="128" customFormat="1" ht="18" hidden="1" customHeight="1" x14ac:dyDescent="0.2">
      <c r="A32" s="236"/>
      <c r="B32" s="262" t="s">
        <v>223</v>
      </c>
      <c r="C32" s="263"/>
      <c r="D32" s="264"/>
      <c r="E32" s="265">
        <f t="array" ref="E32">MIN(IF($C$14:$D$16&gt;0,$W$14:$W$16))</f>
        <v>0</v>
      </c>
      <c r="F32" s="275"/>
      <c r="I32" s="135"/>
      <c r="J32" s="135"/>
      <c r="K32" s="135"/>
      <c r="Z32" s="135"/>
    </row>
    <row r="33" spans="1:26" s="128" customFormat="1" ht="18" hidden="1" customHeight="1" x14ac:dyDescent="0.2">
      <c r="A33" s="236"/>
      <c r="B33" s="262" t="s">
        <v>224</v>
      </c>
      <c r="C33" s="263"/>
      <c r="D33" s="264"/>
      <c r="E33" s="373">
        <f>VLOOKUP(E30,Q14:AB16,12,FALSE)</f>
        <v>0</v>
      </c>
      <c r="F33" s="275"/>
      <c r="I33" s="135"/>
      <c r="J33" s="135"/>
      <c r="K33" s="135"/>
      <c r="Y33" s="224" t="s">
        <v>233</v>
      </c>
      <c r="Z33" s="225" t="s">
        <v>234</v>
      </c>
    </row>
    <row r="34" spans="1:26" s="128" customFormat="1" ht="18" customHeight="1" x14ac:dyDescent="0.2">
      <c r="A34" s="236"/>
      <c r="B34" s="74" t="s">
        <v>170</v>
      </c>
      <c r="C34" s="197" t="s">
        <v>124</v>
      </c>
      <c r="D34" s="79"/>
      <c r="E34" s="295"/>
      <c r="F34" s="275" t="str">
        <f>IF(AND(E29&lt;&gt;"Table 6-3",E29&lt;&gt;"Appendix A")," ", "Ventilation efficiency from critical zone")</f>
        <v xml:space="preserve"> </v>
      </c>
      <c r="I34" s="135"/>
      <c r="J34" s="135"/>
      <c r="K34" s="135"/>
      <c r="Y34" s="193">
        <f>IF($E29="Table 6-3",$E31,$E32)</f>
        <v>0</v>
      </c>
      <c r="Z34" s="295"/>
    </row>
    <row r="35" spans="1:26" customFormat="1" ht="18" customHeight="1" x14ac:dyDescent="0.25">
      <c r="A35" s="237"/>
      <c r="B35" s="76" t="str">
        <f>IF(credit=1,"Outdoor air intake flow (30% above 62.1 requirement)","Outdoor air intake flow (required by 62.1)")</f>
        <v>Outdoor air intake flow (required by 62.1)</v>
      </c>
      <c r="C35" s="198" t="s">
        <v>237</v>
      </c>
      <c r="D35" s="81" t="str">
        <f>IF(Instructions!$N$166=1,"(cfm)","(l/s)")</f>
        <v>(cfm)</v>
      </c>
      <c r="E35" s="408">
        <f>IFERROR(E25/E34,0)</f>
        <v>0</v>
      </c>
      <c r="F35" s="275" t="s">
        <v>226</v>
      </c>
    </row>
    <row r="36" spans="1:26" customFormat="1" ht="15" customHeight="1" x14ac:dyDescent="0.25">
      <c r="A36" s="237"/>
      <c r="F36" s="277"/>
    </row>
    <row r="37" spans="1:26" customFormat="1" ht="18" customHeight="1" x14ac:dyDescent="0.25">
      <c r="A37" s="237"/>
      <c r="B37" s="200" t="s">
        <v>227</v>
      </c>
      <c r="C37" s="201"/>
      <c r="D37" s="202" t="str">
        <f>IF(Instructions!$N$166=1,"(cfm)","(l/s)")</f>
        <v>(cfm)</v>
      </c>
      <c r="E37" s="260"/>
      <c r="F37" s="275"/>
    </row>
    <row r="38" spans="1:26" x14ac:dyDescent="0.2">
      <c r="F38" s="278"/>
    </row>
  </sheetData>
  <sheetProtection algorithmName="SHA-512" hashValue="pbmyM0gZ+YklP6Dg3Zho3GXYfHECmUO/s7ekTqjgVQfVgo+XuTwzQNeCPCkpePvPNSKdXTzJ33AheWN4Xue+kg==" saltValue="smm9Ny1zpi+/e5BkZccRlg==" spinCount="100000" sheet="1" objects="1" scenarios="1" formatRows="0"/>
  <mergeCells count="13">
    <mergeCell ref="B29:D29"/>
    <mergeCell ref="B6:C6"/>
    <mergeCell ref="B7:C7"/>
    <mergeCell ref="C13:D13"/>
    <mergeCell ref="C15:D15"/>
    <mergeCell ref="B8:C8"/>
    <mergeCell ref="K10:K11"/>
    <mergeCell ref="B10:B12"/>
    <mergeCell ref="C10:D12"/>
    <mergeCell ref="F10:F12"/>
    <mergeCell ref="C16:D16"/>
    <mergeCell ref="J10:J11"/>
    <mergeCell ref="C14:D14"/>
  </mergeCells>
  <conditionalFormatting sqref="F19:F37">
    <cfRule type="expression" dxfId="9" priority="36">
      <formula>IF($Y$5=TRUE,TRUE,FALSE)</formula>
    </cfRule>
  </conditionalFormatting>
  <conditionalFormatting sqref="W14:W16">
    <cfRule type="cellIs" dxfId="8" priority="1" operator="lessThan">
      <formula>0</formula>
    </cfRule>
  </conditionalFormatting>
  <conditionalFormatting sqref="B14:B16">
    <cfRule type="expression" dxfId="7" priority="47">
      <formula>IF(AND($E$33&gt;0,$B14=$E$33),TRUE,FALSE)</formula>
    </cfRule>
  </conditionalFormatting>
  <dataValidations count="7">
    <dataValidation type="list" allowBlank="1" showInputMessage="1" sqref="D7" xr:uid="{00000000-0002-0000-0100-000000000000}">
      <formula1>"Heating, Cooling, Other (specify)"</formula1>
    </dataValidation>
    <dataValidation type="textLength" operator="lessThan" allowBlank="1" showInputMessage="1" showErrorMessage="1" errorTitle="Tab name error" error="Make sure that:_x000a_- The name does not exceed 31 characters_x000a_- The name does not contain any of the following characters&quot; : / \ ? * [ or ]_x000a_- You did not leave the name blank" sqref="D6" xr:uid="{00000000-0002-0000-0100-000001000000}">
      <formula1>31</formula1>
    </dataValidation>
    <dataValidation type="list" allowBlank="1" showInputMessage="1" showErrorMessage="1" sqref="D8 F14:F16" xr:uid="{00000000-0002-0000-0100-000002000000}">
      <formula1>"Yes, No"</formula1>
    </dataValidation>
    <dataValidation type="list" allowBlank="1" showInputMessage="1" sqref="E29" xr:uid="{00000000-0002-0000-0100-000003000000}">
      <formula1>"Table 6-3, Appendix A, Other (specify)"</formula1>
    </dataValidation>
    <dataValidation type="list" allowBlank="1" showInputMessage="1" sqref="M14:M16" xr:uid="{00000000-0002-0000-0100-000004000000}">
      <formula1>"1.2, 1.0, 0.8, 0.7, 0.5, Other (specify)"</formula1>
    </dataValidation>
    <dataValidation type="list" allowBlank="1" showInputMessage="1" sqref="R14:R16" xr:uid="{00000000-0002-0000-0100-000005000000}">
      <formula1>"1.2, 1.0, 0.75, 0.5, 0,Other (specify)"</formula1>
    </dataValidation>
    <dataValidation type="decimal" allowBlank="1" showInputMessage="1" showErrorMessage="1" error="The Zone Primary Air Fraction (Ep) is outside of the allowable range (must be between 0 and 1). Adjust the values for Zone Discharge Airflow (Vdz) or Zone Primary Airflow (Vpz) accordingly._x000a_" sqref="S14:S16" xr:uid="{00000000-0002-0000-0100-000006000000}">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65" r:id="rId4" name="Button 9">
              <controlPr defaultSize="0" print="0" autoFill="0" autoPict="0" macro="[0]!AddMZ">
                <anchor moveWithCells="1">
                  <from>
                    <xdr:col>1</xdr:col>
                    <xdr:colOff>0</xdr:colOff>
                    <xdr:row>16</xdr:row>
                    <xdr:rowOff>142875</xdr:rowOff>
                  </from>
                  <to>
                    <xdr:col>1</xdr:col>
                    <xdr:colOff>1371600</xdr:colOff>
                    <xdr:row>16</xdr:row>
                    <xdr:rowOff>419100</xdr:rowOff>
                  </to>
                </anchor>
              </controlPr>
            </control>
          </mc:Choice>
        </mc:AlternateContent>
        <mc:AlternateContent xmlns:mc="http://schemas.openxmlformats.org/markup-compatibility/2006">
          <mc:Choice Requires="x14">
            <control shapeId="19466" r:id="rId5" name="Button 10">
              <controlPr defaultSize="0" print="0" autoFill="0" autoPict="0" macro="[0]!DeleteRow">
                <anchor moveWithCells="1">
                  <from>
                    <xdr:col>1</xdr:col>
                    <xdr:colOff>1457325</xdr:colOff>
                    <xdr:row>16</xdr:row>
                    <xdr:rowOff>133350</xdr:rowOff>
                  </from>
                  <to>
                    <xdr:col>1</xdr:col>
                    <xdr:colOff>2847975</xdr:colOff>
                    <xdr:row>16</xdr:row>
                    <xdr:rowOff>409575</xdr:rowOff>
                  </to>
                </anchor>
              </controlPr>
            </control>
          </mc:Choice>
        </mc:AlternateContent>
        <mc:AlternateContent xmlns:mc="http://schemas.openxmlformats.org/markup-compatibility/2006">
          <mc:Choice Requires="x14">
            <control shapeId="19484" r:id="rId6" name="Check Box 28">
              <controlPr defaultSize="0" autoFill="0" autoLine="0" autoPict="0" macro="[0]!SimpleCalc">
                <anchor moveWithCells="1">
                  <from>
                    <xdr:col>1</xdr:col>
                    <xdr:colOff>9525</xdr:colOff>
                    <xdr:row>4</xdr:row>
                    <xdr:rowOff>152400</xdr:rowOff>
                  </from>
                  <to>
                    <xdr:col>1</xdr:col>
                    <xdr:colOff>2114550</xdr:colOff>
                    <xdr:row>4</xdr:row>
                    <xdr:rowOff>447675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7000000}">
          <x14:formula1>
            <xm:f>IF(Instructions!$K$14="LEED 2009",LEED2009list,IF(Instructions!$K$14="LEED v4",LEEDv4list, LEEDv41lIST))</xm:f>
          </x14:formula1>
          <xm:sqref>C14:D16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AO25"/>
  <sheetViews>
    <sheetView showGridLines="0" zoomScale="80" zoomScaleNormal="80" workbookViewId="0">
      <selection activeCell="E17" sqref="E17"/>
    </sheetView>
  </sheetViews>
  <sheetFormatPr defaultColWidth="9.140625" defaultRowHeight="12.75" x14ac:dyDescent="0.2"/>
  <cols>
    <col min="1" max="1" width="2.7109375" style="10" customWidth="1"/>
    <col min="2" max="2" width="52.7109375" style="10" customWidth="1"/>
    <col min="3" max="3" width="14.7109375" style="10" customWidth="1"/>
    <col min="4" max="4" width="20.7109375" style="10" customWidth="1"/>
    <col min="5" max="7" width="14.7109375" style="10" customWidth="1"/>
    <col min="8" max="12" width="14.7109375" style="10" hidden="1" customWidth="1"/>
    <col min="13" max="14" width="14.7109375" style="10" customWidth="1"/>
    <col min="15" max="15" width="20.140625" style="10" customWidth="1"/>
    <col min="16" max="17" width="10.7109375" style="10" hidden="1" customWidth="1"/>
    <col min="18" max="36" width="9.140625" style="10" hidden="1" customWidth="1"/>
    <col min="37" max="37" width="9.140625" style="10"/>
    <col min="38" max="41" width="9.140625" style="10" hidden="1" customWidth="1"/>
    <col min="42" max="43" width="9.140625" style="10" customWidth="1"/>
    <col min="44" max="16384" width="9.140625" style="10"/>
  </cols>
  <sheetData>
    <row r="1" spans="1:41" ht="14.25" customHeight="1" x14ac:dyDescent="0.5">
      <c r="A1" s="36"/>
      <c r="B1" s="42"/>
      <c r="C1" s="36"/>
      <c r="D1" s="36"/>
      <c r="E1" s="36"/>
      <c r="F1" s="36"/>
      <c r="G1" s="36"/>
      <c r="H1" s="36"/>
      <c r="I1" s="36"/>
      <c r="J1" s="36"/>
      <c r="K1" s="36"/>
      <c r="L1" s="36"/>
      <c r="M1" s="36"/>
      <c r="N1" s="36"/>
    </row>
    <row r="2" spans="1:41" ht="21" customHeight="1" x14ac:dyDescent="0.2">
      <c r="A2" s="37"/>
      <c r="B2" s="58" t="s">
        <v>287</v>
      </c>
      <c r="C2" s="40"/>
      <c r="D2" s="40"/>
      <c r="E2" s="39"/>
      <c r="F2" s="39"/>
      <c r="G2" s="40"/>
      <c r="H2" s="40"/>
      <c r="I2" s="40"/>
      <c r="J2" s="40"/>
      <c r="K2" s="40"/>
      <c r="L2" s="40"/>
      <c r="M2" s="40"/>
      <c r="N2" s="40"/>
      <c r="P2" s="253" t="s">
        <v>252</v>
      </c>
      <c r="Q2" s="253" t="s">
        <v>252</v>
      </c>
      <c r="R2" s="253" t="s">
        <v>252</v>
      </c>
      <c r="S2" s="253" t="s">
        <v>252</v>
      </c>
      <c r="T2" s="253" t="s">
        <v>252</v>
      </c>
      <c r="U2" s="253" t="s">
        <v>252</v>
      </c>
      <c r="V2" s="253" t="s">
        <v>252</v>
      </c>
      <c r="W2" s="253" t="s">
        <v>252</v>
      </c>
      <c r="X2" s="253" t="s">
        <v>252</v>
      </c>
      <c r="Y2" s="253" t="s">
        <v>252</v>
      </c>
      <c r="Z2" s="258" t="s">
        <v>248</v>
      </c>
      <c r="AA2" s="258" t="s">
        <v>249</v>
      </c>
      <c r="AB2" s="290" t="s">
        <v>1</v>
      </c>
      <c r="AC2" s="290" t="s">
        <v>2</v>
      </c>
      <c r="AD2" s="290" t="s">
        <v>23</v>
      </c>
      <c r="AE2" s="290" t="s">
        <v>264</v>
      </c>
      <c r="AF2" s="290" t="s">
        <v>124</v>
      </c>
      <c r="AG2" s="290" t="s">
        <v>22</v>
      </c>
      <c r="AH2" s="290" t="s">
        <v>19</v>
      </c>
      <c r="AI2" s="258" t="s">
        <v>250</v>
      </c>
      <c r="AJ2" s="258" t="s">
        <v>251</v>
      </c>
    </row>
    <row r="3" spans="1:41" ht="21" customHeight="1" x14ac:dyDescent="0.2">
      <c r="A3" s="37"/>
      <c r="B3" s="57" t="str">
        <f ca="1">REPLACE(CELL("filename",A1),1,FIND("]",CELL("filename",A1)),"")</f>
        <v>100% OA</v>
      </c>
      <c r="C3" s="40"/>
      <c r="D3" s="40"/>
      <c r="E3" s="39"/>
      <c r="F3" s="39"/>
      <c r="G3" s="40"/>
      <c r="H3" s="40"/>
      <c r="I3" s="40"/>
      <c r="J3" s="40"/>
      <c r="K3" s="40"/>
      <c r="L3" s="40"/>
      <c r="M3" s="40"/>
      <c r="N3" s="40"/>
      <c r="O3" s="40"/>
      <c r="Z3" s="259">
        <f>$E$19</f>
        <v>0</v>
      </c>
      <c r="AA3" s="280">
        <f>$E$20</f>
        <v>0</v>
      </c>
      <c r="AB3" s="280">
        <f>IFERROR(SUM($J$13:$J$16)/$E$20,0)</f>
        <v>0</v>
      </c>
      <c r="AC3" s="280">
        <f>IFERROR(SUM($K$13:$K$16)/$E$19,0)</f>
        <v>0</v>
      </c>
      <c r="AD3" s="293" t="s">
        <v>265</v>
      </c>
      <c r="AE3" s="293">
        <f>IFERROR(AVERAGEIF($M$13:$M$16,"&lt;&gt;0"),0)</f>
        <v>0</v>
      </c>
      <c r="AF3" s="293" t="s">
        <v>265</v>
      </c>
      <c r="AG3" s="293" t="s">
        <v>265</v>
      </c>
      <c r="AH3" s="293" t="s">
        <v>265</v>
      </c>
      <c r="AI3" s="259">
        <f>ROUND($E$21,0)</f>
        <v>0</v>
      </c>
      <c r="AJ3" s="259">
        <f>ROUND($E$23,0)</f>
        <v>0</v>
      </c>
    </row>
    <row r="4" spans="1:41" ht="15" customHeight="1" x14ac:dyDescent="0.5">
      <c r="A4" s="36"/>
      <c r="B4" s="42"/>
      <c r="C4" s="36"/>
      <c r="D4" s="36"/>
      <c r="E4" s="36"/>
      <c r="F4" s="36"/>
      <c r="G4" s="36"/>
      <c r="H4" s="36"/>
      <c r="I4" s="36"/>
      <c r="J4" s="36"/>
      <c r="K4" s="36"/>
      <c r="L4" s="36"/>
      <c r="M4" s="36"/>
      <c r="N4" s="36"/>
      <c r="O4" s="36"/>
    </row>
    <row r="5" spans="1:41" ht="47.25" customHeight="1" x14ac:dyDescent="0.2">
      <c r="B5" s="241" t="s">
        <v>230</v>
      </c>
      <c r="E5" s="65"/>
      <c r="F5" s="66"/>
      <c r="G5" s="66"/>
      <c r="H5" s="66"/>
      <c r="P5" s="250" t="b">
        <v>1</v>
      </c>
    </row>
    <row r="6" spans="1:41" ht="18" customHeight="1" x14ac:dyDescent="0.2">
      <c r="B6" s="72" t="s">
        <v>133</v>
      </c>
      <c r="C6" s="73"/>
      <c r="D6" s="221" t="str">
        <f ca="1">B3</f>
        <v>100% OA</v>
      </c>
    </row>
    <row r="7" spans="1:41" ht="18" customHeight="1" x14ac:dyDescent="0.2">
      <c r="B7" s="76" t="s">
        <v>299</v>
      </c>
      <c r="C7" s="81"/>
      <c r="D7" s="142"/>
      <c r="AM7" s="10">
        <f>COUNTIF($AL13:$AL16,"No")</f>
        <v>0</v>
      </c>
      <c r="AN7" s="10">
        <f>SUM(AM7-0)</f>
        <v>0</v>
      </c>
      <c r="AO7" s="10" t="str">
        <f>IF(AN7=0,"Yes","No")</f>
        <v>Yes</v>
      </c>
    </row>
    <row r="8" spans="1:41" customFormat="1" ht="18" customHeight="1" x14ac:dyDescent="0.25"/>
    <row r="9" spans="1:41" s="70" customFormat="1" ht="55.5" customHeight="1" x14ac:dyDescent="0.25">
      <c r="B9" s="480" t="s">
        <v>211</v>
      </c>
      <c r="C9" s="482" t="s">
        <v>141</v>
      </c>
      <c r="D9" s="483"/>
      <c r="E9" s="220" t="s">
        <v>256</v>
      </c>
      <c r="F9" s="486" t="s">
        <v>31</v>
      </c>
      <c r="G9" s="220" t="s">
        <v>145</v>
      </c>
      <c r="H9" s="219" t="s">
        <v>243</v>
      </c>
      <c r="I9" s="219" t="s">
        <v>244</v>
      </c>
      <c r="J9" s="478" t="s">
        <v>208</v>
      </c>
      <c r="K9" s="478" t="s">
        <v>209</v>
      </c>
      <c r="L9" s="219" t="s">
        <v>210</v>
      </c>
      <c r="M9" s="220" t="s">
        <v>148</v>
      </c>
      <c r="N9" s="176" t="s">
        <v>245</v>
      </c>
      <c r="O9" s="176" t="s">
        <v>301</v>
      </c>
      <c r="P9" s="503" t="s">
        <v>146</v>
      </c>
      <c r="Q9" s="503" t="s">
        <v>146</v>
      </c>
      <c r="R9" s="506" t="s">
        <v>147</v>
      </c>
    </row>
    <row r="10" spans="1:41" s="70" customFormat="1" ht="21" customHeight="1" x14ac:dyDescent="0.25">
      <c r="B10" s="481"/>
      <c r="C10" s="484"/>
      <c r="D10" s="485"/>
      <c r="E10" s="179" t="s">
        <v>0</v>
      </c>
      <c r="F10" s="487"/>
      <c r="G10" s="179" t="s">
        <v>3</v>
      </c>
      <c r="H10" s="203" t="s">
        <v>1</v>
      </c>
      <c r="I10" s="203" t="s">
        <v>2</v>
      </c>
      <c r="J10" s="479"/>
      <c r="K10" s="479"/>
      <c r="L10" s="203" t="s">
        <v>4</v>
      </c>
      <c r="M10" s="179" t="s">
        <v>18</v>
      </c>
      <c r="N10" s="182" t="s">
        <v>7</v>
      </c>
      <c r="O10" s="182" t="s">
        <v>302</v>
      </c>
      <c r="P10" s="504"/>
      <c r="Q10" s="504"/>
      <c r="R10" s="507"/>
    </row>
    <row r="11" spans="1:41" s="70" customFormat="1" ht="32.25" customHeight="1" x14ac:dyDescent="0.25">
      <c r="A11" s="267" t="s">
        <v>171</v>
      </c>
      <c r="B11" s="502"/>
      <c r="C11" s="508"/>
      <c r="D11" s="509"/>
      <c r="E11" s="246" t="str">
        <f>IF(Instructions!$N$166=1,"(sq ft)","(sq m)")</f>
        <v>(sq ft)</v>
      </c>
      <c r="F11" s="488"/>
      <c r="G11" s="246" t="s">
        <v>161</v>
      </c>
      <c r="H11" s="261" t="str">
        <f>IF(Instructions!$N$166=1,Instructions!$G$72,Instructions!$H$72)</f>
        <v>(cfm per person)</v>
      </c>
      <c r="I11" s="261" t="str">
        <f>IF(Instructions!$N$166=1,Instructions!$I$72,Instructions!$J$72)</f>
        <v xml:space="preserve">(cfm per sq ft) </v>
      </c>
      <c r="J11" s="204" t="str">
        <f>IF(Instructions!$N$166=1,"(cfm)","(l/s)")</f>
        <v>(cfm)</v>
      </c>
      <c r="K11" s="204" t="str">
        <f>IF(Instructions!$N$166=1,"(cfm)","(l/s)")</f>
        <v>(cfm)</v>
      </c>
      <c r="L11" s="261" t="str">
        <f>IF(Instructions!$N$166=1,"(cfm)","(l/s)")</f>
        <v>(cfm)</v>
      </c>
      <c r="M11" s="251"/>
      <c r="N11" s="249" t="str">
        <f>IF(Instructions!$N$166=1,"(cfm)","(l/s)")</f>
        <v>(cfm)</v>
      </c>
      <c r="O11" s="249" t="str">
        <f>IF(Instructions!$N$166=1,"(cfm)","()")</f>
        <v>(cfm)</v>
      </c>
      <c r="P11" s="504"/>
      <c r="Q11" s="504"/>
      <c r="R11" s="507"/>
    </row>
    <row r="12" spans="1:41" s="70" customFormat="1" ht="0.6" customHeight="1" x14ac:dyDescent="0.25">
      <c r="A12" s="267" t="s">
        <v>136</v>
      </c>
      <c r="B12" s="315"/>
      <c r="C12" s="510"/>
      <c r="D12" s="510"/>
      <c r="E12" s="316"/>
      <c r="F12" s="316"/>
      <c r="G12" s="316"/>
      <c r="H12" s="317"/>
      <c r="I12" s="317"/>
      <c r="J12" s="219" t="s">
        <v>28</v>
      </c>
      <c r="K12" s="219" t="s">
        <v>27</v>
      </c>
      <c r="L12" s="219" t="str">
        <f>IF(credit=1,"(Rp Pz + Ra Az)*1.3","Rp Pz + Ra Az")</f>
        <v>Rp Pz + Ra Az</v>
      </c>
      <c r="M12" s="318"/>
      <c r="N12" s="176" t="s">
        <v>15</v>
      </c>
      <c r="O12" s="176"/>
      <c r="P12" s="505"/>
      <c r="Q12" s="505"/>
      <c r="R12" s="252" t="str">
        <f>IF(Instructions!N166=1,"(occupants per 1,000 sq ft)","(occupants per 100 sq m)")</f>
        <v>(occupants per 1,000 sq ft)</v>
      </c>
      <c r="AL12" s="415"/>
    </row>
    <row r="13" spans="1:41" s="71" customFormat="1" ht="12.6" hidden="1" customHeight="1" x14ac:dyDescent="0.25">
      <c r="A13" s="136">
        <f>IF(C13=0,0,0)</f>
        <v>0</v>
      </c>
      <c r="B13" s="254"/>
      <c r="C13" s="501"/>
      <c r="D13" s="501"/>
      <c r="E13" s="255"/>
      <c r="F13" s="256"/>
      <c r="G13" s="371"/>
      <c r="H13" s="266">
        <f>IFERROR(IF(Instructions!$N$166=1,VLOOKUP(C13,Instructions!$C$73:$K$157,5,FALSE),VLOOKUP(C13,Instructions!$C$73:$K$157,6,FALSE)),0)</f>
        <v>0</v>
      </c>
      <c r="I13" s="266">
        <f>TRUNC(IFERROR(IF(Instructions!$N$166=1,VLOOKUP(C13,Instructions!$C$73:$K$157,7,FALSE),VLOOKUP(C13,Instructions!$C$73:$K$157,8,FALSE)),0),2)</f>
        <v>0</v>
      </c>
      <c r="J13" s="229">
        <f>TRUNC(H13*G13,2)</f>
        <v>0</v>
      </c>
      <c r="K13" s="229">
        <f>TRUNC(I13*E13,2)</f>
        <v>0</v>
      </c>
      <c r="L13" s="401">
        <f>TRUNC(IF(credit=1,(J13+K13)*1.3,J13+K13),2)</f>
        <v>0</v>
      </c>
      <c r="M13" s="413"/>
      <c r="N13" s="402">
        <f>TRUNC(IFERROR(L13/M13,0),2)</f>
        <v>0</v>
      </c>
      <c r="O13" s="255"/>
      <c r="P13" s="281">
        <f>IFERROR(IF(Instructions!$N$166=1,($R13/1000)*$E13,($R13/100)*$E13),0)</f>
        <v>0</v>
      </c>
      <c r="Q13" s="371"/>
      <c r="R13" s="282">
        <f>IFERROR(VLOOKUP($C13,Instructions!$C$73:$K$157,9,FALSE),0)</f>
        <v>0</v>
      </c>
      <c r="AL13" s="71" t="str">
        <f>IF($O13 &gt;=$N13,"Yes","No")</f>
        <v>Yes</v>
      </c>
    </row>
    <row r="14" spans="1:41" s="71" customFormat="1" ht="12.6" customHeight="1" x14ac:dyDescent="0.25">
      <c r="A14" s="136">
        <f>IF(C14=0,0,0)</f>
        <v>0</v>
      </c>
      <c r="B14" s="254"/>
      <c r="C14" s="501"/>
      <c r="D14" s="501"/>
      <c r="E14" s="255"/>
      <c r="F14" s="256"/>
      <c r="G14" s="371"/>
      <c r="H14" s="266">
        <f>IFERROR(IF(Instructions!$N$166=1,VLOOKUP(C14,Instructions!$C$73:$K$157,5,FALSE),VLOOKUP(C14,Instructions!$C$73:$K$157,6,FALSE)),0)</f>
        <v>0</v>
      </c>
      <c r="I14" s="266">
        <f>TRUNC(IFERROR(IF(Instructions!$N$166=1,VLOOKUP(C14,Instructions!$C$73:$K$157,7,FALSE),VLOOKUP(C14,Instructions!$C$73:$K$157,8,FALSE)),0),2)</f>
        <v>0</v>
      </c>
      <c r="J14" s="229">
        <f>TRUNC(H14*G14,2)</f>
        <v>0</v>
      </c>
      <c r="K14" s="229">
        <f>TRUNC(I14*E14,2)</f>
        <v>0</v>
      </c>
      <c r="L14" s="401">
        <f>TRUNC(IF(credit=1,(J14+K14)*1.3,J14+K14),2)</f>
        <v>0</v>
      </c>
      <c r="M14" s="413"/>
      <c r="N14" s="402">
        <f>TRUNC(IFERROR(L14/M14,0),2)</f>
        <v>0</v>
      </c>
      <c r="O14" s="255"/>
      <c r="P14" s="281">
        <f>IFERROR(IF(Instructions!$N$166=1,($R14/1000)*$E14,($R14/100)*$E14),0)</f>
        <v>0</v>
      </c>
      <c r="Q14" s="371"/>
      <c r="R14" s="282">
        <f>IFERROR(VLOOKUP($C14,Instructions!$C$73:$K$157,9,FALSE),0)</f>
        <v>0</v>
      </c>
      <c r="AL14" s="71" t="str">
        <f>IF($O14 &gt;=$N14,"Yes","No")</f>
        <v>Yes</v>
      </c>
    </row>
    <row r="15" spans="1:41" s="71" customFormat="1" ht="15" customHeight="1" x14ac:dyDescent="0.25">
      <c r="A15" s="136">
        <f t="shared" ref="A15:A16" si="0">IF(C15=0,0,0)</f>
        <v>0</v>
      </c>
      <c r="B15" s="254"/>
      <c r="C15" s="501"/>
      <c r="D15" s="501"/>
      <c r="E15" s="255"/>
      <c r="F15" s="256"/>
      <c r="G15" s="371"/>
      <c r="H15" s="266">
        <f>IFERROR(IF(Instructions!$N$166=1,VLOOKUP(C15,Instructions!$C$73:$K$157,5,FALSE),VLOOKUP(C15,Instructions!$C$73:$K$157,6,FALSE)),0)</f>
        <v>0</v>
      </c>
      <c r="I15" s="266">
        <f>TRUNC(IFERROR(IF(Instructions!$N$166=1,VLOOKUP(C15,Instructions!$C$73:$K$157,7,FALSE),VLOOKUP(C15,Instructions!$C$73:$K$157,8,FALSE)),0),2)</f>
        <v>0</v>
      </c>
      <c r="J15" s="399">
        <f>TRUNC(H15*G15,2)</f>
        <v>0</v>
      </c>
      <c r="K15" s="399">
        <f>TRUNC(I15*E15,2)</f>
        <v>0</v>
      </c>
      <c r="L15" s="400">
        <f>TRUNC(IF(credit=1,(J15+K15)*1.3,J15+K15),2)</f>
        <v>0</v>
      </c>
      <c r="M15" s="413"/>
      <c r="N15" s="397">
        <f>TRUNC(IFERROR(L15/M15,0),2)</f>
        <v>0</v>
      </c>
      <c r="O15" s="255"/>
      <c r="P15" s="281">
        <f>IFERROR(IF(Instructions!$N$166=1,($R15/1000)*$E15,($R15/100)*$E15),0)</f>
        <v>0</v>
      </c>
      <c r="Q15" s="371"/>
      <c r="R15" s="282">
        <f>IFERROR(VLOOKUP($C15,Instructions!$C$73:$K$157,9,FALSE),0)</f>
        <v>0</v>
      </c>
      <c r="AL15" s="71" t="str">
        <f>IF($O15 &gt;=$N15,"Yes","No")</f>
        <v>Yes</v>
      </c>
    </row>
    <row r="16" spans="1:41" s="71" customFormat="1" ht="15" customHeight="1" x14ac:dyDescent="0.25">
      <c r="A16" s="136">
        <f t="shared" si="0"/>
        <v>0</v>
      </c>
      <c r="B16" s="254"/>
      <c r="C16" s="501"/>
      <c r="D16" s="501"/>
      <c r="E16" s="255"/>
      <c r="F16" s="256"/>
      <c r="G16" s="371"/>
      <c r="H16" s="266">
        <f>IFERROR(IF(Instructions!$N$166=1,VLOOKUP(C16,Instructions!$C$73:$K$157,5,FALSE),VLOOKUP(C16,Instructions!$C$73:$K$157,6,FALSE)),0)</f>
        <v>0</v>
      </c>
      <c r="I16" s="266">
        <f>TRUNC(IFERROR(IF(Instructions!$N$166=1,VLOOKUP(C16,Instructions!$C$73:$K$157,7,FALSE),VLOOKUP(C16,Instructions!$C$73:$K$157,8,FALSE)),0),2)</f>
        <v>0</v>
      </c>
      <c r="J16" s="399">
        <f>TRUNC(H16*G16,2)</f>
        <v>0</v>
      </c>
      <c r="K16" s="399">
        <f>TRUNC(I16*E16,2)</f>
        <v>0</v>
      </c>
      <c r="L16" s="400">
        <f>TRUNC(IF(credit=1,(J16+K16)*1.3,J16+K16),2)</f>
        <v>0</v>
      </c>
      <c r="M16" s="413"/>
      <c r="N16" s="397">
        <f>TRUNC(IFERROR(L16/M16,0),2)</f>
        <v>0</v>
      </c>
      <c r="O16" s="255"/>
      <c r="P16" s="281">
        <f>IFERROR(IF(Instructions!$N$166=1,($R16/1000)*$E16,($R16/100)*$E16),0)</f>
        <v>0</v>
      </c>
      <c r="Q16" s="371"/>
      <c r="R16" s="282">
        <f>IFERROR(VLOOKUP($C16,Instructions!$C$73:$K$157,9,FALSE),0)</f>
        <v>0</v>
      </c>
      <c r="AL16" s="71" t="str">
        <f>IF($O16 &gt;=$N16,"Yes","No")</f>
        <v>Yes</v>
      </c>
    </row>
    <row r="17" spans="1:27" ht="54.75" customHeight="1" x14ac:dyDescent="0.2">
      <c r="A17" s="268"/>
    </row>
    <row r="19" spans="1:27" customFormat="1" ht="18" customHeight="1" x14ac:dyDescent="0.25">
      <c r="B19" s="72" t="str">
        <f>CONCATENATE("System area ",IF(Instructions!$N$166=1,"(sq ft)","(sq m)"))</f>
        <v>System area (sq ft)</v>
      </c>
      <c r="C19" s="247" t="s">
        <v>214</v>
      </c>
      <c r="D19" s="194" t="str">
        <f>IF(Instructions!$N$166=1,"(sq ft)","(sq m)")</f>
        <v>(sq ft)</v>
      </c>
      <c r="E19" s="395">
        <f>TRUNC(SUM(E13:E16),2)</f>
        <v>0</v>
      </c>
      <c r="F19" s="275" t="s">
        <v>246</v>
      </c>
    </row>
    <row r="20" spans="1:27" customFormat="1" ht="18" customHeight="1" x14ac:dyDescent="0.25">
      <c r="B20" s="75" t="s">
        <v>24</v>
      </c>
      <c r="C20" s="248" t="s">
        <v>25</v>
      </c>
      <c r="D20" s="80" t="s">
        <v>161</v>
      </c>
      <c r="E20" s="396">
        <f>TRUNC(SUM(G13:G16),2)</f>
        <v>0</v>
      </c>
      <c r="F20" s="275" t="s">
        <v>29</v>
      </c>
    </row>
    <row r="21" spans="1:27" customFormat="1" ht="18" customHeight="1" x14ac:dyDescent="0.25">
      <c r="B21" s="76" t="str">
        <f>IF(credit=1,"Outdoor air intake flow (30% above 62.1 requirement)","Outdoor air intake flow (required by 62.1)")</f>
        <v>Outdoor air intake flow (required by 62.1)</v>
      </c>
      <c r="C21" s="198" t="s">
        <v>237</v>
      </c>
      <c r="D21" s="77" t="str">
        <f>IF(Instructions!$N$166=1,"(cfm)","(l/s)")</f>
        <v>(cfm)</v>
      </c>
      <c r="E21" s="398">
        <f>TRUNC(SUM(N13:N16),0)</f>
        <v>0</v>
      </c>
      <c r="F21" s="275" t="s">
        <v>247</v>
      </c>
    </row>
    <row r="22" spans="1:27" ht="15" customHeight="1" x14ac:dyDescent="0.2">
      <c r="A22" s="236"/>
      <c r="B22" s="242" t="s">
        <v>169</v>
      </c>
      <c r="C22" s="243"/>
      <c r="D22" s="244"/>
      <c r="E22" s="245"/>
      <c r="F22" s="226"/>
      <c r="H22" s="134"/>
      <c r="I22" s="134"/>
      <c r="L22" s="134"/>
      <c r="M22" s="134"/>
      <c r="O22" s="411"/>
      <c r="AA22" s="134"/>
    </row>
    <row r="23" spans="1:27" customFormat="1" ht="18" customHeight="1" x14ac:dyDescent="0.25">
      <c r="B23" s="200" t="s">
        <v>227</v>
      </c>
      <c r="C23" s="201"/>
      <c r="D23" s="257" t="str">
        <f>IF(Instructions!$N$166=1,"(cfm)","(l/s)")</f>
        <v>(cfm)</v>
      </c>
      <c r="E23" s="260"/>
    </row>
    <row r="24" spans="1:27" ht="21" customHeight="1" x14ac:dyDescent="0.2">
      <c r="B24" s="69"/>
      <c r="F24" s="66"/>
      <c r="G24" s="66"/>
      <c r="H24" s="66"/>
    </row>
    <row r="25" spans="1:27" x14ac:dyDescent="0.2">
      <c r="B25" s="411"/>
    </row>
  </sheetData>
  <sheetProtection algorithmName="SHA-512" hashValue="x0cNPSRK7JiH98dV+tLqbQ8S/+sXTHGMfqYbyqqtSrz7jh8qGI3AuWIMNoGHPcIXBfJypQ9SKk7Q9ZcLxcys8Q==" saltValue="8M5G9+hu2MQM38CPriMgtQ==" spinCount="100000" sheet="1" objects="1" scenarios="1" formatRows="0"/>
  <mergeCells count="13">
    <mergeCell ref="J9:J10"/>
    <mergeCell ref="K9:K10"/>
    <mergeCell ref="P9:P12"/>
    <mergeCell ref="R9:R11"/>
    <mergeCell ref="C9:D11"/>
    <mergeCell ref="C12:D12"/>
    <mergeCell ref="Q9:Q12"/>
    <mergeCell ref="C13:D13"/>
    <mergeCell ref="B9:B11"/>
    <mergeCell ref="F9:F11"/>
    <mergeCell ref="C16:D16"/>
    <mergeCell ref="C15:D15"/>
    <mergeCell ref="C14:D14"/>
  </mergeCells>
  <conditionalFormatting sqref="F19">
    <cfRule type="expression" dxfId="6" priority="4">
      <formula>IF($P$5=TRUE,TRUE,FALSE)</formula>
    </cfRule>
  </conditionalFormatting>
  <conditionalFormatting sqref="F20">
    <cfRule type="expression" dxfId="5" priority="2">
      <formula>IF($P$5=TRUE,TRUE,FALSE)</formula>
    </cfRule>
  </conditionalFormatting>
  <conditionalFormatting sqref="F21">
    <cfRule type="expression" dxfId="4" priority="1">
      <formula>IF($P$5=TRUE,TRUE,FALSE)</formula>
    </cfRule>
  </conditionalFormatting>
  <dataValidations count="4">
    <dataValidation type="list" allowBlank="1" showInputMessage="1" sqref="D7:D8" xr:uid="{00000000-0002-0000-0200-000000000000}">
      <formula1>"Heating, Cooling, Other (specify)"</formula1>
    </dataValidation>
    <dataValidation type="textLength" operator="lessThan" allowBlank="1" showInputMessage="1" showErrorMessage="1" errorTitle="Tab name error" error="Make sure that:_x000a_- The name does not exceed 31 characters_x000a_- The name does not contain any of the following characters&quot; : / \ ? * [ or ]_x000a_- You did not leave the name blank" sqref="D6" xr:uid="{00000000-0002-0000-0200-000001000000}">
      <formula1>31</formula1>
    </dataValidation>
    <dataValidation type="list" showInputMessage="1" sqref="M13:M16" xr:uid="{00000000-0002-0000-0200-000002000000}">
      <formula1>"1.2, 1.0, 0.8, 0.7, 0.5, Other (specify)"</formula1>
    </dataValidation>
    <dataValidation type="list" allowBlank="1" showInputMessage="1" showErrorMessage="1" sqref="F13:F16" xr:uid="{00000000-0002-0000-0200-000003000000}">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5" r:id="rId4" name="Button 3">
              <controlPr defaultSize="0" print="0" autoFill="0" autoPict="0" macro="[0]!AddMZ">
                <anchor moveWithCells="1">
                  <from>
                    <xdr:col>1</xdr:col>
                    <xdr:colOff>0</xdr:colOff>
                    <xdr:row>16</xdr:row>
                    <xdr:rowOff>200025</xdr:rowOff>
                  </from>
                  <to>
                    <xdr:col>1</xdr:col>
                    <xdr:colOff>1371600</xdr:colOff>
                    <xdr:row>16</xdr:row>
                    <xdr:rowOff>476250</xdr:rowOff>
                  </to>
                </anchor>
              </controlPr>
            </control>
          </mc:Choice>
        </mc:AlternateContent>
        <mc:AlternateContent xmlns:mc="http://schemas.openxmlformats.org/markup-compatibility/2006">
          <mc:Choice Requires="x14">
            <control shapeId="23556" r:id="rId5" name="Button 4">
              <controlPr defaultSize="0" print="0" autoFill="0" autoPict="0" macro="[0]!DeleteRowOA">
                <anchor moveWithCells="1">
                  <from>
                    <xdr:col>1</xdr:col>
                    <xdr:colOff>1457325</xdr:colOff>
                    <xdr:row>16</xdr:row>
                    <xdr:rowOff>190500</xdr:rowOff>
                  </from>
                  <to>
                    <xdr:col>1</xdr:col>
                    <xdr:colOff>2838450</xdr:colOff>
                    <xdr:row>16</xdr:row>
                    <xdr:rowOff>466725</xdr:rowOff>
                  </to>
                </anchor>
              </controlPr>
            </control>
          </mc:Choice>
        </mc:AlternateContent>
        <mc:AlternateContent xmlns:mc="http://schemas.openxmlformats.org/markup-compatibility/2006">
          <mc:Choice Requires="x14">
            <control shapeId="23558" r:id="rId6" name="Check Box 6">
              <controlPr defaultSize="0" autoFill="0" autoLine="0" autoPict="0" macro="[0]!SimpleCalcOA">
                <anchor moveWithCells="1">
                  <from>
                    <xdr:col>1</xdr:col>
                    <xdr:colOff>9525</xdr:colOff>
                    <xdr:row>4</xdr:row>
                    <xdr:rowOff>161925</xdr:rowOff>
                  </from>
                  <to>
                    <xdr:col>1</xdr:col>
                    <xdr:colOff>2124075</xdr:colOff>
                    <xdr:row>4</xdr:row>
                    <xdr:rowOff>457200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IF(Instructions!$K$14="LEED 2009",LEED2009list,IF(Instructions!$K$14="LEED v4",LEEDv4list, LEEDv41lIST))</xm:f>
          </x14:formula1>
          <xm:sqref>C13:D16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Q13"/>
  <sheetViews>
    <sheetView showGridLines="0" zoomScale="80" zoomScaleNormal="80" workbookViewId="0">
      <selection activeCell="B13" sqref="B13:C13"/>
    </sheetView>
  </sheetViews>
  <sheetFormatPr defaultColWidth="9.140625" defaultRowHeight="15" x14ac:dyDescent="0.25"/>
  <cols>
    <col min="1" max="1" width="2.7109375" customWidth="1"/>
    <col min="2" max="2" width="34.7109375" style="140" customWidth="1"/>
    <col min="3" max="3" width="18.7109375" customWidth="1"/>
    <col min="4" max="4" width="34.5703125" style="140" customWidth="1"/>
    <col min="5" max="5" width="14.7109375" style="140" customWidth="1"/>
    <col min="6" max="6" width="14.7109375" style="141" customWidth="1"/>
    <col min="7" max="7" width="14.7109375" customWidth="1"/>
    <col min="8" max="10" width="14.7109375" hidden="1" customWidth="1"/>
    <col min="11" max="13" width="14.7109375" customWidth="1"/>
    <col min="14" max="14" width="2.7109375" customWidth="1"/>
    <col min="15" max="17" width="9.140625" hidden="1" customWidth="1"/>
    <col min="18" max="18" width="0" hidden="1" customWidth="1"/>
  </cols>
  <sheetData>
    <row r="1" spans="1:17" s="10" customFormat="1" ht="14.25" customHeight="1" x14ac:dyDescent="0.2">
      <c r="A1" s="36"/>
      <c r="B1" s="59"/>
      <c r="C1" s="36"/>
      <c r="D1" s="61"/>
      <c r="E1" s="61"/>
      <c r="F1" s="62"/>
      <c r="G1" s="62"/>
      <c r="H1" s="62"/>
      <c r="I1" s="62"/>
      <c r="J1" s="62"/>
      <c r="K1" s="62"/>
      <c r="L1" s="62"/>
      <c r="M1" s="62"/>
    </row>
    <row r="2" spans="1:17" s="10" customFormat="1" ht="21" customHeight="1" x14ac:dyDescent="0.2">
      <c r="A2" s="37"/>
      <c r="B2" s="60" t="s">
        <v>285</v>
      </c>
      <c r="C2" s="40"/>
      <c r="D2" s="41"/>
      <c r="E2" s="38"/>
      <c r="F2" s="63"/>
      <c r="G2" s="63"/>
      <c r="H2" s="63"/>
      <c r="I2" s="63"/>
      <c r="J2" s="63"/>
      <c r="K2" s="63"/>
      <c r="L2" s="63"/>
      <c r="M2" s="63"/>
      <c r="O2" s="253"/>
      <c r="P2" s="253"/>
    </row>
    <row r="3" spans="1:17" s="10" customFormat="1" ht="21" customHeight="1" x14ac:dyDescent="0.2">
      <c r="A3" s="37"/>
      <c r="B3" s="38" t="s">
        <v>140</v>
      </c>
      <c r="C3" s="40"/>
      <c r="D3" s="41"/>
      <c r="E3" s="38"/>
      <c r="F3" s="63"/>
      <c r="G3" s="63"/>
      <c r="H3" s="63"/>
      <c r="I3" s="63"/>
      <c r="J3" s="63"/>
      <c r="K3" s="63"/>
      <c r="L3" s="63"/>
      <c r="M3" s="63"/>
    </row>
    <row r="4" spans="1:17" s="10" customFormat="1" ht="15" customHeight="1" x14ac:dyDescent="0.2">
      <c r="A4" s="36"/>
      <c r="B4" s="59"/>
      <c r="C4" s="36"/>
      <c r="D4" s="61"/>
      <c r="E4" s="61"/>
      <c r="F4" s="62"/>
      <c r="G4" s="62"/>
      <c r="H4" s="62"/>
      <c r="I4" s="62"/>
      <c r="J4" s="62"/>
      <c r="K4" s="62"/>
      <c r="L4" s="62"/>
      <c r="M4" s="62"/>
    </row>
    <row r="5" spans="1:17" s="10" customFormat="1" ht="46.5" customHeight="1" x14ac:dyDescent="0.2">
      <c r="B5" s="241" t="s">
        <v>230</v>
      </c>
      <c r="D5" s="93"/>
      <c r="E5" s="137"/>
      <c r="F5" s="138"/>
      <c r="O5" s="250" t="b">
        <v>1</v>
      </c>
      <c r="P5" s="352"/>
    </row>
    <row r="6" spans="1:17" ht="18" customHeight="1" x14ac:dyDescent="0.25">
      <c r="B6"/>
      <c r="D6"/>
      <c r="E6" s="137"/>
      <c r="F6"/>
    </row>
    <row r="7" spans="1:17" s="139" customFormat="1" ht="52.5" customHeight="1" x14ac:dyDescent="0.25">
      <c r="B7" s="513" t="s">
        <v>138</v>
      </c>
      <c r="C7" s="486" t="s">
        <v>275</v>
      </c>
      <c r="D7" s="486" t="s">
        <v>45</v>
      </c>
      <c r="E7" s="220" t="s">
        <v>238</v>
      </c>
      <c r="F7" s="486" t="s">
        <v>31</v>
      </c>
      <c r="G7" s="220" t="s">
        <v>212</v>
      </c>
      <c r="H7" s="219" t="s">
        <v>239</v>
      </c>
      <c r="I7" s="219" t="s">
        <v>240</v>
      </c>
      <c r="J7" s="219" t="s">
        <v>241</v>
      </c>
      <c r="K7" s="220" t="s">
        <v>242</v>
      </c>
      <c r="L7" s="220" t="s">
        <v>245</v>
      </c>
      <c r="M7" s="516" t="s">
        <v>227</v>
      </c>
      <c r="O7" s="503" t="s">
        <v>146</v>
      </c>
      <c r="P7" s="518" t="s">
        <v>288</v>
      </c>
      <c r="Q7" s="506" t="s">
        <v>147</v>
      </c>
    </row>
    <row r="8" spans="1:17" s="139" customFormat="1" ht="21" customHeight="1" x14ac:dyDescent="0.25">
      <c r="B8" s="514"/>
      <c r="C8" s="487"/>
      <c r="D8" s="487"/>
      <c r="E8" s="179" t="s">
        <v>0</v>
      </c>
      <c r="F8" s="487"/>
      <c r="G8" s="179" t="s">
        <v>3</v>
      </c>
      <c r="H8" s="203" t="s">
        <v>1</v>
      </c>
      <c r="I8" s="203" t="s">
        <v>2</v>
      </c>
      <c r="J8" s="203" t="s">
        <v>4</v>
      </c>
      <c r="K8" s="179" t="s">
        <v>18</v>
      </c>
      <c r="L8" s="179" t="s">
        <v>7</v>
      </c>
      <c r="M8" s="517"/>
      <c r="O8" s="504"/>
      <c r="P8" s="519"/>
      <c r="Q8" s="507"/>
    </row>
    <row r="9" spans="1:17" s="139" customFormat="1" ht="31.15" customHeight="1" x14ac:dyDescent="0.25">
      <c r="A9" s="267" t="s">
        <v>171</v>
      </c>
      <c r="B9" s="515"/>
      <c r="C9" s="488"/>
      <c r="D9" s="488"/>
      <c r="E9" s="246" t="str">
        <f>IF(Instructions!$N$166=1,"(sq ft)","(sq m)")</f>
        <v>(sq ft)</v>
      </c>
      <c r="F9" s="488"/>
      <c r="G9" s="246" t="s">
        <v>35</v>
      </c>
      <c r="H9" s="261" t="str">
        <f>IF(Instructions!$N$166=1,Instructions!$G$72,Instructions!$H$72)</f>
        <v>(cfm per person)</v>
      </c>
      <c r="I9" s="261" t="str">
        <f>IF(Instructions!$N$166=1,Instructions!$I$72,Instructions!$J$72)</f>
        <v xml:space="preserve">(cfm per sq ft) </v>
      </c>
      <c r="J9" s="261" t="str">
        <f>IF(Instructions!$N$166=1,"(cfm)","(l/s)")</f>
        <v>(cfm)</v>
      </c>
      <c r="K9" s="328"/>
      <c r="L9" s="246" t="str">
        <f>IF(Instructions!$N$166=1,"(cfm)","(l/s)")</f>
        <v>(cfm)</v>
      </c>
      <c r="M9" s="329" t="str">
        <f>IF(Instructions!$N$166=1,"(cfm)","(l/s)")</f>
        <v>(cfm)</v>
      </c>
      <c r="O9" s="504"/>
      <c r="P9" s="519"/>
      <c r="Q9" s="511" t="str">
        <f>IF(Instructions!N166=1,"Occupants 
per 
1,000 sq ft","Occupants 
per 
100 sq m")</f>
        <v>Occupants 
per 
1,000 sq ft</v>
      </c>
    </row>
    <row r="10" spans="1:17" s="139" customFormat="1" ht="33" hidden="1" customHeight="1" x14ac:dyDescent="0.25">
      <c r="A10" s="319"/>
      <c r="B10" s="321"/>
      <c r="C10" s="322"/>
      <c r="D10" s="322"/>
      <c r="E10" s="323"/>
      <c r="F10" s="323"/>
      <c r="G10" s="323"/>
      <c r="H10" s="324"/>
      <c r="I10" s="324"/>
      <c r="J10" s="325" t="str">
        <f>IF(credit=1,"(Rp Pz + Ra Az)*1.3","Rp Pz + Ra Az")</f>
        <v>Rp Pz + Ra Az</v>
      </c>
      <c r="K10" s="323"/>
      <c r="L10" s="326" t="s">
        <v>15</v>
      </c>
      <c r="M10" s="327"/>
      <c r="O10" s="505"/>
      <c r="P10" s="520"/>
      <c r="Q10" s="512"/>
    </row>
    <row r="11" spans="1:17" ht="0.6" hidden="1" customHeight="1" x14ac:dyDescent="0.25">
      <c r="B11" t="s">
        <v>281</v>
      </c>
      <c r="D11"/>
      <c r="E11"/>
      <c r="F11"/>
    </row>
    <row r="12" spans="1:17" ht="16.899999999999999" hidden="1" customHeight="1" x14ac:dyDescent="0.25">
      <c r="A12" s="136">
        <f>IF(B12=0,0,0)</f>
        <v>0</v>
      </c>
      <c r="B12" s="330"/>
      <c r="C12" s="331"/>
      <c r="D12" s="332"/>
      <c r="E12" s="255"/>
      <c r="F12" s="333"/>
      <c r="G12" s="334"/>
      <c r="H12" s="266">
        <f>IFERROR(IF(Instructions!$N$166=1,VLOOKUP(D12,Instructions!$C$73:$K$157,5,FALSE),VLOOKUP(D12,Instructions!$C$73:$K$157,6,FALSE)),0)</f>
        <v>0</v>
      </c>
      <c r="I12" s="266">
        <f>IFERROR(IF(Instructions!$N$166=1,VLOOKUP(D12,Instructions!$C$73:$K$157,7,FALSE),VLOOKUP(D12,Instructions!$C$73:$K$157,8,FALSE)),0)</f>
        <v>0</v>
      </c>
      <c r="J12" s="412">
        <f>TRUNC(IF(credit=1,((I12*E12)+(H12*G12))*1.3,(I12*E12)+(H12*G12)),2)</f>
        <v>0</v>
      </c>
      <c r="K12" s="335"/>
      <c r="L12" s="336">
        <f>IFERROR(J12/K12,0)</f>
        <v>0</v>
      </c>
      <c r="M12" s="337"/>
      <c r="O12" s="283">
        <f>IFERROR(IF(Instructions!$N$166=1,($Q12/1000)*$E12,($Q12/100)*$E12),0)</f>
        <v>0</v>
      </c>
      <c r="P12" s="371"/>
      <c r="Q12" s="386">
        <f>IFERROR(VLOOKUP($D12,Instructions!$C$73:$K$157,9,FALSE),0)</f>
        <v>0</v>
      </c>
    </row>
    <row r="13" spans="1:17" ht="15" customHeight="1" x14ac:dyDescent="0.25">
      <c r="A13" s="136">
        <f>IF(B13=0,0,0)</f>
        <v>0</v>
      </c>
      <c r="B13" s="330"/>
      <c r="C13" s="331"/>
      <c r="D13" s="332"/>
      <c r="E13" s="255"/>
      <c r="F13" s="333"/>
      <c r="G13" s="371"/>
      <c r="H13" s="266">
        <f>IFERROR(IF(Instructions!$N$166=1,VLOOKUP(D13,Instructions!$C$73:$K$157,5,FALSE),VLOOKUP(D13,Instructions!$C$73:$K$157,6,FALSE)),0)</f>
        <v>0</v>
      </c>
      <c r="I13" s="266">
        <f>IFERROR(IF(Instructions!$N$166=1,VLOOKUP(D13,Instructions!$C$73:$K$157,7,FALSE),VLOOKUP(D13,Instructions!$C$73:$K$157,8,FALSE)),0)</f>
        <v>0</v>
      </c>
      <c r="J13" s="412">
        <f>TRUNC(IF(credit=1,((I13*E13)+(H13*G13))*1.3,(I13*E13)+(H13*G13)),2)</f>
        <v>0</v>
      </c>
      <c r="K13" s="335"/>
      <c r="L13" s="336">
        <f>IFERROR(J13/K13,0)</f>
        <v>0</v>
      </c>
      <c r="M13" s="337"/>
      <c r="O13" s="283">
        <f>IFERROR(IF(Instructions!$N$166=1,($Q13/1000)*$E13,($Q13/100)*$E13),0)</f>
        <v>0</v>
      </c>
      <c r="P13" s="371"/>
      <c r="Q13" s="386">
        <f>IFERROR(VLOOKUP($D13,Instructions!$C$73:$K$157,9,FALSE),0)</f>
        <v>0</v>
      </c>
    </row>
  </sheetData>
  <sheetProtection algorithmName="SHA-512" hashValue="XALBOxJJGvLDG7C/T3ZLG7Q6SAn8C46LE+kM87kXtS+1Ma1yNh/76xRQ2LCKMu3HFYBAOaGipzNtfh8smBpTfQ==" saltValue="Z6/PpJw8xeuGMAnJtth4Bw==" spinCount="100000" sheet="1" objects="1" scenarios="1" formatRows="0"/>
  <mergeCells count="9">
    <mergeCell ref="O7:O10"/>
    <mergeCell ref="Q7:Q8"/>
    <mergeCell ref="Q9:Q10"/>
    <mergeCell ref="B7:B9"/>
    <mergeCell ref="C7:C9"/>
    <mergeCell ref="D7:D9"/>
    <mergeCell ref="M7:M8"/>
    <mergeCell ref="F7:F9"/>
    <mergeCell ref="P7:P10"/>
  </mergeCells>
  <conditionalFormatting sqref="G12">
    <cfRule type="expression" dxfId="3" priority="6">
      <formula>IF(OR($G12&lt;&gt;$O12,$F12="No"),TRUE,FALSE)</formula>
    </cfRule>
  </conditionalFormatting>
  <dataValidations count="5">
    <dataValidation type="list" allowBlank="1" showInputMessage="1" sqref="D6 C12:C13" xr:uid="{00000000-0002-0000-0300-000000000000}">
      <formula1>"Heating, Cooling, Other (specify)"</formula1>
    </dataValidation>
    <dataValidation showDropDown="1" showInputMessage="1" showErrorMessage="1" sqref="L12:L13" xr:uid="{00000000-0002-0000-0300-000001000000}"/>
    <dataValidation type="list" showInputMessage="1" sqref="K12:K13" xr:uid="{00000000-0002-0000-0300-000002000000}">
      <formula1>"1.2, 1.0, 0.8, 0.7, 0.5, Other (specify)"</formula1>
    </dataValidation>
    <dataValidation type="list" allowBlank="1" showInputMessage="1" showErrorMessage="1" sqref="F12:F13" xr:uid="{00000000-0002-0000-0300-000003000000}">
      <formula1>"Yes, No"</formula1>
    </dataValidation>
    <dataValidation type="custom" operator="lessThan" allowBlank="1" showInputMessage="1" showErrorMessage="1" errorTitle="Duplicate Entry" error="The value was already entered.  All system names and numbers must be unique." sqref="B12:B13" xr:uid="{00000000-0002-0000-0300-000004000000}">
      <formula1>COUNTIF($B$12:$B$14,B12)=1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Check Box 1">
              <controlPr defaultSize="0" autoFill="0" autoLine="0" autoPict="0" macro="[0]!SimpleCalcSZ">
                <anchor moveWithCells="1">
                  <from>
                    <xdr:col>1</xdr:col>
                    <xdr:colOff>9525</xdr:colOff>
                    <xdr:row>4</xdr:row>
                    <xdr:rowOff>161925</xdr:rowOff>
                  </from>
                  <to>
                    <xdr:col>1</xdr:col>
                    <xdr:colOff>2114550</xdr:colOff>
                    <xdr:row>4</xdr:row>
                    <xdr:rowOff>457200</xdr:rowOff>
                  </to>
                </anchor>
              </controlPr>
            </control>
          </mc:Choice>
        </mc:AlternateContent>
        <mc:AlternateContent xmlns:mc="http://schemas.openxmlformats.org/markup-compatibility/2006">
          <mc:Choice Requires="x14">
            <control shapeId="63497" r:id="rId5" name="Button 9">
              <controlPr defaultSize="0" print="0" autoFill="0" autoPict="0" macro="[0]!MultiRowsandFill">
                <anchor moveWithCells="1">
                  <from>
                    <xdr:col>1</xdr:col>
                    <xdr:colOff>47625</xdr:colOff>
                    <xdr:row>14</xdr:row>
                    <xdr:rowOff>38100</xdr:rowOff>
                  </from>
                  <to>
                    <xdr:col>1</xdr:col>
                    <xdr:colOff>1419225</xdr:colOff>
                    <xdr:row>15</xdr:row>
                    <xdr:rowOff>123825</xdr:rowOff>
                  </to>
                </anchor>
              </controlPr>
            </control>
          </mc:Choice>
        </mc:AlternateContent>
        <mc:AlternateContent xmlns:mc="http://schemas.openxmlformats.org/markup-compatibility/2006">
          <mc:Choice Requires="x14">
            <control shapeId="63498" r:id="rId6" name="Button 10">
              <controlPr defaultSize="0" print="0" autoFill="0" autoPict="0" macro="[0]!DeleteRowSZ">
                <anchor moveWithCells="1">
                  <from>
                    <xdr:col>1</xdr:col>
                    <xdr:colOff>1504950</xdr:colOff>
                    <xdr:row>14</xdr:row>
                    <xdr:rowOff>28575</xdr:rowOff>
                  </from>
                  <to>
                    <xdr:col>2</xdr:col>
                    <xdr:colOff>581025</xdr:colOff>
                    <xdr:row>15</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5000000}">
          <x14:formula1>
            <xm:f>IF(Instructions!$K$14="LEED 2009",LEED2009list,IF(Instructions!$K$14="LEED v4",LEEDv4list, LEEDv41lIST))</xm:f>
          </x14:formula1>
          <xm:sqref>D12:D13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C028F-CD0B-47EC-82DE-9925563013B5}">
  <sheetPr codeName="Sheet10">
    <outlinePr summaryBelow="0"/>
  </sheetPr>
  <dimension ref="A1:AJ185"/>
  <sheetViews>
    <sheetView showGridLines="0" zoomScale="80" zoomScaleNormal="80" workbookViewId="0">
      <selection activeCell="E185" sqref="E185"/>
    </sheetView>
  </sheetViews>
  <sheetFormatPr defaultColWidth="9.140625" defaultRowHeight="12.75" x14ac:dyDescent="0.2"/>
  <cols>
    <col min="1" max="1" width="2.7109375" style="236" customWidth="1"/>
    <col min="2" max="2" width="45.85546875" style="10" customWidth="1"/>
    <col min="3" max="3" width="13.7109375" style="66" customWidth="1"/>
    <col min="4" max="4" width="20.7109375" style="10" customWidth="1"/>
    <col min="5" max="5" width="16.7109375" style="10" customWidth="1"/>
    <col min="6" max="6" width="12.7109375" style="65" customWidth="1"/>
    <col min="7" max="7" width="14.7109375" style="66" customWidth="1"/>
    <col min="8" max="11" width="14.7109375" style="66" hidden="1" customWidth="1"/>
    <col min="12" max="12" width="14.7109375" style="10" hidden="1" customWidth="1"/>
    <col min="13" max="16" width="14.7109375" style="10" customWidth="1"/>
    <col min="17" max="17" width="14.7109375" style="10" hidden="1" customWidth="1"/>
    <col min="18" max="18" width="14.5703125" style="10" customWidth="1"/>
    <col min="19" max="19" width="14.28515625" style="10" customWidth="1"/>
    <col min="20" max="23" width="14.7109375" style="10" hidden="1" customWidth="1"/>
    <col min="24" max="24" width="2.7109375" style="10" customWidth="1"/>
    <col min="25" max="25" width="10.5703125" style="10" hidden="1" customWidth="1"/>
    <col min="26" max="26" width="10.7109375" style="10" hidden="1" customWidth="1"/>
    <col min="27" max="36" width="9.140625" style="10" hidden="1" customWidth="1"/>
    <col min="37" max="16384" width="9.140625" style="10"/>
  </cols>
  <sheetData>
    <row r="1" spans="1:36" ht="15" customHeight="1" x14ac:dyDescent="0.5">
      <c r="A1" s="37"/>
      <c r="B1" s="42"/>
      <c r="C1" s="36"/>
      <c r="D1" s="36"/>
      <c r="E1" s="36"/>
      <c r="F1" s="36"/>
      <c r="G1" s="36"/>
      <c r="H1" s="36"/>
      <c r="I1" s="36"/>
      <c r="J1" s="36"/>
      <c r="K1" s="36"/>
      <c r="L1" s="36"/>
      <c r="M1" s="36"/>
      <c r="N1" s="36"/>
      <c r="O1" s="36"/>
      <c r="P1" s="36"/>
      <c r="Q1" s="36"/>
      <c r="R1" s="36"/>
      <c r="S1" s="36"/>
      <c r="T1" s="36"/>
      <c r="U1" s="36"/>
      <c r="V1" s="36"/>
      <c r="W1" s="36"/>
    </row>
    <row r="2" spans="1:36" ht="21" customHeight="1" x14ac:dyDescent="0.2">
      <c r="A2" s="37"/>
      <c r="B2" s="58" t="s">
        <v>286</v>
      </c>
      <c r="C2" s="39"/>
      <c r="D2" s="40"/>
      <c r="E2" s="40"/>
      <c r="F2" s="39"/>
      <c r="G2" s="39"/>
      <c r="H2" s="40"/>
      <c r="I2" s="40"/>
      <c r="J2" s="40"/>
      <c r="K2" s="40"/>
      <c r="L2" s="40"/>
      <c r="M2" s="40"/>
      <c r="N2" s="40"/>
      <c r="O2" s="40"/>
      <c r="P2" s="40"/>
      <c r="Q2" s="40"/>
      <c r="R2" s="40"/>
      <c r="S2" s="40"/>
      <c r="T2" s="40"/>
      <c r="U2" s="40"/>
      <c r="V2" s="40"/>
      <c r="W2" s="40"/>
      <c r="Z2" s="258" t="s">
        <v>248</v>
      </c>
      <c r="AA2" s="258" t="s">
        <v>249</v>
      </c>
      <c r="AB2" s="290" t="s">
        <v>1</v>
      </c>
      <c r="AC2" s="290" t="s">
        <v>2</v>
      </c>
      <c r="AD2" s="290" t="s">
        <v>23</v>
      </c>
      <c r="AE2" s="290" t="s">
        <v>264</v>
      </c>
      <c r="AF2" s="290" t="s">
        <v>124</v>
      </c>
      <c r="AG2" s="290" t="s">
        <v>22</v>
      </c>
      <c r="AH2" s="290" t="s">
        <v>19</v>
      </c>
      <c r="AI2" s="258" t="s">
        <v>250</v>
      </c>
      <c r="AJ2" s="258" t="s">
        <v>251</v>
      </c>
    </row>
    <row r="3" spans="1:36" ht="21" customHeight="1" x14ac:dyDescent="0.2">
      <c r="A3" s="37"/>
      <c r="B3" s="57" t="str">
        <f ca="1">REPLACE(CELL("filename",A1),1,FIND("]",CELL("filename",A1)),"")</f>
        <v>AHU-4</v>
      </c>
      <c r="C3" s="39"/>
      <c r="D3" s="40"/>
      <c r="E3" s="40"/>
      <c r="F3" s="39"/>
      <c r="G3" s="39"/>
      <c r="H3" s="40"/>
      <c r="I3" s="40"/>
      <c r="J3" s="40"/>
      <c r="K3" s="40"/>
      <c r="L3" s="40"/>
      <c r="M3" s="40"/>
      <c r="N3" s="40"/>
      <c r="O3" s="40"/>
      <c r="P3" s="40"/>
      <c r="Q3" s="40"/>
      <c r="R3" s="40"/>
      <c r="S3" s="40"/>
      <c r="T3" s="40"/>
      <c r="U3" s="40"/>
      <c r="V3" s="40"/>
      <c r="W3" s="40"/>
      <c r="Z3" s="259">
        <f>Area</f>
        <v>25207</v>
      </c>
      <c r="AA3" s="280">
        <f>$E$167</f>
        <v>402</v>
      </c>
      <c r="AB3" s="280">
        <f>IFERROR(IF(Allzones="Yes",(SUM($J14:$J163)/SUM($G14:$G163)),$E$170),0)</f>
        <v>5</v>
      </c>
      <c r="AC3" s="280">
        <f>IFERROR(IF(Allzones="Yes",(SUM($K14:$K163)/Area),$E$171),0)</f>
        <v>5.9999999999999991E-2</v>
      </c>
      <c r="AD3" s="292">
        <f>$E$169</f>
        <v>1</v>
      </c>
      <c r="AE3" s="292">
        <f>IFERROR(AVERAGEIF($M$14:$M$163,"&lt;&gt;0"),0)</f>
        <v>0.79999999999999816</v>
      </c>
      <c r="AF3" s="280">
        <f>Ev</f>
        <v>0.75999999999999979</v>
      </c>
      <c r="AG3" s="259">
        <f>Airflow_cz</f>
        <v>12733</v>
      </c>
      <c r="AH3" s="280">
        <f>$E$174</f>
        <v>0.27</v>
      </c>
      <c r="AI3" s="259">
        <f>ROUND(E182,0)</f>
        <v>4635</v>
      </c>
      <c r="AJ3" s="259">
        <f>ROUND(E184,0)</f>
        <v>5900</v>
      </c>
    </row>
    <row r="4" spans="1:36" ht="15" customHeight="1" x14ac:dyDescent="0.5">
      <c r="A4" s="37"/>
      <c r="B4" s="42"/>
      <c r="C4" s="36"/>
      <c r="D4" s="36"/>
      <c r="E4" s="36"/>
      <c r="F4" s="36"/>
      <c r="G4" s="36"/>
      <c r="H4" s="36"/>
      <c r="I4" s="36"/>
      <c r="J4" s="36"/>
      <c r="K4" s="36"/>
      <c r="L4" s="36"/>
      <c r="M4" s="36"/>
      <c r="N4" s="36"/>
      <c r="O4" s="36"/>
      <c r="P4" s="36"/>
      <c r="Q4" s="36"/>
      <c r="R4" s="36"/>
      <c r="S4" s="36"/>
      <c r="T4" s="36"/>
      <c r="U4" s="36"/>
      <c r="V4" s="36"/>
      <c r="W4" s="36"/>
    </row>
    <row r="5" spans="1:36" ht="47.25" customHeight="1" x14ac:dyDescent="0.2">
      <c r="B5" s="216" t="s">
        <v>230</v>
      </c>
      <c r="Y5" s="250" t="b">
        <v>1</v>
      </c>
    </row>
    <row r="6" spans="1:36" ht="18" customHeight="1" x14ac:dyDescent="0.2">
      <c r="B6" s="494" t="s">
        <v>133</v>
      </c>
      <c r="C6" s="495"/>
      <c r="D6" s="221" t="str">
        <f ca="1">B3</f>
        <v>AHU-4</v>
      </c>
      <c r="F6" s="10"/>
      <c r="L6" s="68"/>
      <c r="Z6" s="217"/>
    </row>
    <row r="7" spans="1:36" ht="18" customHeight="1" x14ac:dyDescent="0.2">
      <c r="B7" s="496" t="s">
        <v>216</v>
      </c>
      <c r="C7" s="497"/>
      <c r="D7" s="212" t="s">
        <v>314</v>
      </c>
      <c r="F7" s="67"/>
      <c r="L7" s="68"/>
    </row>
    <row r="8" spans="1:36" customFormat="1" ht="18" customHeight="1" x14ac:dyDescent="0.25">
      <c r="A8" s="237"/>
      <c r="B8" s="499" t="s">
        <v>215</v>
      </c>
      <c r="C8" s="500"/>
      <c r="D8" s="222" t="s">
        <v>315</v>
      </c>
    </row>
    <row r="9" spans="1:36" ht="21" customHeight="1" x14ac:dyDescent="0.2">
      <c r="B9" s="69"/>
      <c r="C9" s="10"/>
      <c r="F9" s="66"/>
      <c r="I9" s="10"/>
      <c r="J9" s="10"/>
      <c r="K9" s="10"/>
    </row>
    <row r="10" spans="1:36" s="124" customFormat="1" ht="75" customHeight="1" x14ac:dyDescent="0.25">
      <c r="A10" s="238"/>
      <c r="B10" s="480" t="s">
        <v>211</v>
      </c>
      <c r="C10" s="482" t="s">
        <v>257</v>
      </c>
      <c r="D10" s="483"/>
      <c r="E10" s="220" t="s">
        <v>256</v>
      </c>
      <c r="F10" s="486" t="s">
        <v>31</v>
      </c>
      <c r="G10" s="220" t="s">
        <v>212</v>
      </c>
      <c r="H10" s="219" t="s">
        <v>206</v>
      </c>
      <c r="I10" s="219" t="s">
        <v>207</v>
      </c>
      <c r="J10" s="478" t="s">
        <v>208</v>
      </c>
      <c r="K10" s="478" t="s">
        <v>209</v>
      </c>
      <c r="L10" s="219" t="s">
        <v>210</v>
      </c>
      <c r="M10" s="220" t="s">
        <v>148</v>
      </c>
      <c r="N10" s="176" t="s">
        <v>245</v>
      </c>
      <c r="O10" s="175" t="s">
        <v>235</v>
      </c>
      <c r="P10" s="220" t="s">
        <v>236</v>
      </c>
      <c r="Q10" s="205" t="s">
        <v>167</v>
      </c>
      <c r="R10" s="232" t="s">
        <v>162</v>
      </c>
      <c r="S10" s="374" t="s">
        <v>164</v>
      </c>
      <c r="T10" s="219" t="s">
        <v>163</v>
      </c>
      <c r="U10" s="219" t="s">
        <v>165</v>
      </c>
      <c r="V10" s="219" t="s">
        <v>166</v>
      </c>
      <c r="W10" s="208" t="s">
        <v>295</v>
      </c>
      <c r="Y10" s="173" t="s">
        <v>146</v>
      </c>
      <c r="Z10" s="370" t="s">
        <v>288</v>
      </c>
      <c r="AA10" s="174" t="s">
        <v>147</v>
      </c>
      <c r="AB10" s="189" t="s">
        <v>225</v>
      </c>
    </row>
    <row r="11" spans="1:36" s="177" customFormat="1" ht="15" customHeight="1" x14ac:dyDescent="0.25">
      <c r="A11" s="239"/>
      <c r="B11" s="481"/>
      <c r="C11" s="484"/>
      <c r="D11" s="485"/>
      <c r="E11" s="179" t="s">
        <v>0</v>
      </c>
      <c r="F11" s="487"/>
      <c r="G11" s="179" t="s">
        <v>3</v>
      </c>
      <c r="H11" s="203" t="s">
        <v>1</v>
      </c>
      <c r="I11" s="203" t="s">
        <v>2</v>
      </c>
      <c r="J11" s="479"/>
      <c r="K11" s="479"/>
      <c r="L11" s="203" t="s">
        <v>4</v>
      </c>
      <c r="M11" s="179" t="s">
        <v>18</v>
      </c>
      <c r="N11" s="182" t="s">
        <v>7</v>
      </c>
      <c r="O11" s="183" t="s">
        <v>5</v>
      </c>
      <c r="P11" s="179" t="s">
        <v>6</v>
      </c>
      <c r="Q11" s="206" t="s">
        <v>11</v>
      </c>
      <c r="R11" s="233" t="s">
        <v>17</v>
      </c>
      <c r="S11" s="375" t="s">
        <v>13</v>
      </c>
      <c r="T11" s="203" t="s">
        <v>8</v>
      </c>
      <c r="U11" s="203" t="s">
        <v>9</v>
      </c>
      <c r="V11" s="203" t="s">
        <v>10</v>
      </c>
      <c r="W11" s="209" t="s">
        <v>16</v>
      </c>
      <c r="Y11" s="184"/>
      <c r="Z11" s="184"/>
      <c r="AA11" s="178"/>
      <c r="AB11" s="184"/>
    </row>
    <row r="12" spans="1:36" s="125" customFormat="1" ht="32.25" customHeight="1" x14ac:dyDescent="0.25">
      <c r="A12" s="240"/>
      <c r="B12" s="481"/>
      <c r="C12" s="484"/>
      <c r="D12" s="485"/>
      <c r="E12" s="185" t="str">
        <f>IF(Instructions!$N$166=1,"(sq ft)","(sq m)")</f>
        <v>(sq ft)</v>
      </c>
      <c r="F12" s="488"/>
      <c r="G12" s="185" t="s">
        <v>161</v>
      </c>
      <c r="H12" s="204" t="str">
        <f>IF(Instructions!$N$166=1,Instructions!$G$72,Instructions!$H$72)</f>
        <v>(cfm per person)</v>
      </c>
      <c r="I12" s="204" t="str">
        <f>IF(Instructions!$N$166=1,Instructions!$I$72,Instructions!$J$72)</f>
        <v xml:space="preserve">(cfm per sq ft) </v>
      </c>
      <c r="J12" s="204" t="str">
        <f>IF(Instructions!$N$166=1,"(cfm)","(l/s)")</f>
        <v>(cfm)</v>
      </c>
      <c r="K12" s="204" t="str">
        <f>IF(Instructions!$N$166=1,"(cfm)","(l/s)")</f>
        <v>(cfm)</v>
      </c>
      <c r="L12" s="204" t="str">
        <f>IF(Instructions!$N$166=1,"(cfm)","(l/s)")</f>
        <v>(cfm)</v>
      </c>
      <c r="M12" s="186"/>
      <c r="N12" s="187" t="str">
        <f>IF(Instructions!$N$166=1,"(cfm)","(l/s)")</f>
        <v>(cfm)</v>
      </c>
      <c r="O12" s="188" t="str">
        <f>IF(Instructions!$N$166=1,"(cfm)","(l/s)")</f>
        <v>(cfm)</v>
      </c>
      <c r="P12" s="185" t="str">
        <f>IF(Instructions!$N$166=1,"(cfm)","(l/s)")</f>
        <v>(cfm)</v>
      </c>
      <c r="Q12" s="207"/>
      <c r="R12" s="234"/>
      <c r="S12" s="376"/>
      <c r="T12" s="210"/>
      <c r="U12" s="210"/>
      <c r="V12" s="210"/>
      <c r="W12" s="211"/>
      <c r="Y12" s="180"/>
      <c r="Z12" s="180"/>
      <c r="AA12" s="181" t="str">
        <f>IF(Instructions!$N$166=1,"(occupants per 1,000 sq ft)","(occupants per 100 sq m)")</f>
        <v>(occupants per 1,000 sq ft)</v>
      </c>
      <c r="AB12" s="180"/>
    </row>
    <row r="13" spans="1:36" s="272" customFormat="1" ht="12.6" hidden="1" customHeight="1" x14ac:dyDescent="0.25">
      <c r="A13" s="238" t="s">
        <v>136</v>
      </c>
      <c r="B13" s="306"/>
      <c r="C13" s="498"/>
      <c r="D13" s="498"/>
      <c r="E13" s="307"/>
      <c r="F13" s="308"/>
      <c r="G13" s="307"/>
      <c r="H13" s="309"/>
      <c r="I13" s="309"/>
      <c r="J13" s="310" t="s">
        <v>28</v>
      </c>
      <c r="K13" s="310" t="s">
        <v>27</v>
      </c>
      <c r="L13" s="310" t="str">
        <f>IF(credit=1,"(Rp Pz + Ra Az)*1.3","Rp Pz + Ra Az")</f>
        <v>Rp Pz + Ra Az</v>
      </c>
      <c r="M13" s="307"/>
      <c r="N13" s="311" t="s">
        <v>15</v>
      </c>
      <c r="O13" s="312"/>
      <c r="P13" s="307"/>
      <c r="Q13" s="313" t="s">
        <v>12</v>
      </c>
      <c r="R13" s="314"/>
      <c r="S13" s="377" t="s">
        <v>300</v>
      </c>
      <c r="T13" s="310" t="s">
        <v>14</v>
      </c>
      <c r="U13" s="310" t="s">
        <v>13</v>
      </c>
      <c r="V13" s="310" t="s">
        <v>294</v>
      </c>
      <c r="W13" s="372" t="s">
        <v>296</v>
      </c>
      <c r="Y13" s="273"/>
      <c r="Z13" s="273"/>
      <c r="AA13" s="274"/>
      <c r="AB13" s="273"/>
    </row>
    <row r="14" spans="1:36" s="126" customFormat="1" ht="13.15" customHeight="1" x14ac:dyDescent="0.25">
      <c r="A14" s="136">
        <f>IF(C14=0,0,0)</f>
        <v>0</v>
      </c>
      <c r="B14" s="235" t="s">
        <v>318</v>
      </c>
      <c r="C14" s="489" t="s">
        <v>90</v>
      </c>
      <c r="D14" s="490"/>
      <c r="E14" s="227">
        <v>145</v>
      </c>
      <c r="F14" s="228" t="s">
        <v>311</v>
      </c>
      <c r="G14" s="371">
        <v>3</v>
      </c>
      <c r="H14" s="229">
        <f>IFERROR(IF(Instructions!$N$166=1,VLOOKUP(C14,Instructions!$C$73:$K$157,5,FALSE),VLOOKUP(C14,Instructions!$C$73:$K$157,6,FALSE)),0)</f>
        <v>5</v>
      </c>
      <c r="I14" s="229">
        <f>IFERROR(IF(Instructions!$N$166=1,VLOOKUP(C14,Instructions!$C$73:$K$157,7,FALSE),VLOOKUP(C14,Instructions!$C$73:$K$157,8,FALSE)),0)</f>
        <v>0.06</v>
      </c>
      <c r="J14" s="406">
        <f>TRUNC(IFERROR(H14*G14,0),2)</f>
        <v>15</v>
      </c>
      <c r="K14" s="406">
        <f>TRUNC(IFERROR(I14*E14,0),2)</f>
        <v>8.6999999999999993</v>
      </c>
      <c r="L14" s="407">
        <f t="shared" ref="L14:L45" si="0">TRUNC(IFERROR(IF(credit=2,SUM(J14:K14),SUM(J14:K14)*1.3),0),2)</f>
        <v>23.7</v>
      </c>
      <c r="M14" s="413">
        <v>0.8</v>
      </c>
      <c r="N14" s="403">
        <f t="shared" ref="N14:N162" si="1">IFERROR(L14/M14,0)</f>
        <v>29.624999999999996</v>
      </c>
      <c r="O14" s="230">
        <v>77</v>
      </c>
      <c r="P14" s="231">
        <v>77</v>
      </c>
      <c r="Q14" s="382">
        <f>IFERROR(ROUND(N14/P14,2),0)</f>
        <v>0.38</v>
      </c>
      <c r="R14" s="391">
        <v>1</v>
      </c>
      <c r="S14" s="440">
        <f>IFERROR($P14/$O14,0)</f>
        <v>1</v>
      </c>
      <c r="T14" s="409">
        <f>TRUNC(IFERROR(S14+(1-S14)*R14,0),2)</f>
        <v>1</v>
      </c>
      <c r="U14" s="409">
        <f>TRUNC(S14,2)</f>
        <v>1</v>
      </c>
      <c r="V14" s="409">
        <f>TRUNC(IFERROR(1-(1-M14)*(1-R14)*(1-S14),0),2)</f>
        <v>1</v>
      </c>
      <c r="W14" s="265">
        <f>TRUNC(IFERROR(IF($E$174&gt;0,(T14+$E$174 * U14-Q14 * S14 * V14)/T14,0),0),2)</f>
        <v>0.89</v>
      </c>
      <c r="Y14" s="283">
        <f>IFERROR(IF(Instructions!$N$166=1,($AA14/1000)*$E14,($AA14/100)*$E14),0)</f>
        <v>21.75</v>
      </c>
      <c r="Z14" s="371"/>
      <c r="AA14" s="284">
        <f>IFERROR(VLOOKUP($C14,Instructions!$C$73:$K$157,9,FALSE),0)</f>
        <v>150</v>
      </c>
      <c r="AB14" s="190" t="str">
        <f>B14</f>
        <v>2500A - Lobby</v>
      </c>
    </row>
    <row r="15" spans="1:36" s="126" customFormat="1" ht="13.15" customHeight="1" x14ac:dyDescent="0.25">
      <c r="A15" s="136">
        <f t="shared" ref="A15:A78" si="2">IF(C15=0,0,0)</f>
        <v>0</v>
      </c>
      <c r="B15" s="235" t="s">
        <v>319</v>
      </c>
      <c r="C15" s="489" t="s">
        <v>68</v>
      </c>
      <c r="D15" s="490"/>
      <c r="E15" s="227">
        <v>757</v>
      </c>
      <c r="F15" s="228" t="s">
        <v>315</v>
      </c>
      <c r="G15" s="283">
        <f>IFERROR(IF(Instructions!$N$166=1,($AA15/1000)*$E15,($AA15/100)*$E15),0)</f>
        <v>0</v>
      </c>
      <c r="H15" s="229">
        <f>IFERROR(IF(Instructions!$N$166=1,VLOOKUP(C15,Instructions!$C$73:$K$157,5,FALSE),VLOOKUP(C15,Instructions!$C$73:$K$157,6,FALSE)),0)</f>
        <v>0</v>
      </c>
      <c r="I15" s="229">
        <f>IFERROR(IF(Instructions!$N$166=1,VLOOKUP(C15,Instructions!$C$73:$K$157,7,FALSE),VLOOKUP(C15,Instructions!$C$73:$K$157,8,FALSE)),0)</f>
        <v>0.06</v>
      </c>
      <c r="J15" s="406">
        <f t="shared" ref="J15:J78" si="3">TRUNC(IFERROR(H15*G15,0),2)</f>
        <v>0</v>
      </c>
      <c r="K15" s="406">
        <f t="shared" ref="K15:K78" si="4">TRUNC(IFERROR(I15*E15,0),2)</f>
        <v>45.42</v>
      </c>
      <c r="L15" s="407">
        <f t="shared" si="0"/>
        <v>45.42</v>
      </c>
      <c r="M15" s="413">
        <v>0.8</v>
      </c>
      <c r="N15" s="403">
        <f t="shared" ref="N15:N78" si="5">IFERROR(L15/M15,0)</f>
        <v>56.774999999999999</v>
      </c>
      <c r="O15" s="230">
        <v>148</v>
      </c>
      <c r="P15" s="231">
        <v>148</v>
      </c>
      <c r="Q15" s="382">
        <f t="shared" ref="Q15:Q78" si="6">IFERROR(ROUND(N15/P15,2),0)</f>
        <v>0.38</v>
      </c>
      <c r="R15" s="391">
        <v>1</v>
      </c>
      <c r="S15" s="440">
        <f t="shared" ref="S15:S78" si="7">IFERROR($P15/$O15,0)</f>
        <v>1</v>
      </c>
      <c r="T15" s="409">
        <f t="shared" ref="T15:T78" si="8">TRUNC(IFERROR(S15+(1-S15)*R15,0),2)</f>
        <v>1</v>
      </c>
      <c r="U15" s="409">
        <f t="shared" ref="U15:U78" si="9">TRUNC(S15,2)</f>
        <v>1</v>
      </c>
      <c r="V15" s="409">
        <f t="shared" ref="V15:V78" si="10">TRUNC(IFERROR(1-(1-M15)*(1-R15)*(1-S15),0),2)</f>
        <v>1</v>
      </c>
      <c r="W15" s="265">
        <f t="shared" ref="W15:W78" si="11">TRUNC(IFERROR(IF($E$174&gt;0,(T15+$E$174 * U15-Q15 * S15 * V15)/T15,0),0),2)</f>
        <v>0.89</v>
      </c>
      <c r="Y15" s="283">
        <f>IFERROR(IF(Instructions!$N$166=1,($AA15/1000)*$E15,($AA15/100)*$E15),0)</f>
        <v>0</v>
      </c>
      <c r="Z15" s="371"/>
      <c r="AA15" s="284">
        <f>IFERROR(VLOOKUP($C15,Instructions!$C$73:$K$157,9,FALSE),0)</f>
        <v>0</v>
      </c>
      <c r="AB15" s="190" t="str">
        <f t="shared" ref="AB15:AB78" si="12">B15</f>
        <v>2500 - Corridor</v>
      </c>
    </row>
    <row r="16" spans="1:36" s="126" customFormat="1" ht="13.15" customHeight="1" x14ac:dyDescent="0.25">
      <c r="A16" s="136">
        <f t="shared" si="2"/>
        <v>0</v>
      </c>
      <c r="B16" s="235" t="s">
        <v>320</v>
      </c>
      <c r="C16" s="489" t="s">
        <v>75</v>
      </c>
      <c r="D16" s="490"/>
      <c r="E16" s="227">
        <v>81</v>
      </c>
      <c r="F16" s="228" t="s">
        <v>311</v>
      </c>
      <c r="G16" s="371">
        <v>1</v>
      </c>
      <c r="H16" s="229">
        <f>IFERROR(IF(Instructions!$N$166=1,VLOOKUP(C16,Instructions!$C$73:$K$157,5,FALSE),VLOOKUP(C16,Instructions!$C$73:$K$157,6,FALSE)),0)</f>
        <v>5</v>
      </c>
      <c r="I16" s="229">
        <f>IFERROR(IF(Instructions!$N$166=1,VLOOKUP(C16,Instructions!$C$73:$K$157,7,FALSE),VLOOKUP(C16,Instructions!$C$73:$K$157,8,FALSE)),0)</f>
        <v>0.06</v>
      </c>
      <c r="J16" s="406">
        <f t="shared" si="3"/>
        <v>5</v>
      </c>
      <c r="K16" s="406">
        <f t="shared" si="4"/>
        <v>4.8600000000000003</v>
      </c>
      <c r="L16" s="407">
        <f t="shared" si="0"/>
        <v>9.86</v>
      </c>
      <c r="M16" s="413">
        <v>0.8</v>
      </c>
      <c r="N16" s="403">
        <f t="shared" si="5"/>
        <v>12.324999999999999</v>
      </c>
      <c r="O16" s="230">
        <v>32</v>
      </c>
      <c r="P16" s="231">
        <v>32</v>
      </c>
      <c r="Q16" s="382">
        <f t="shared" si="6"/>
        <v>0.39</v>
      </c>
      <c r="R16" s="391">
        <v>1</v>
      </c>
      <c r="S16" s="440">
        <f t="shared" si="7"/>
        <v>1</v>
      </c>
      <c r="T16" s="409">
        <f t="shared" si="8"/>
        <v>1</v>
      </c>
      <c r="U16" s="409">
        <f t="shared" si="9"/>
        <v>1</v>
      </c>
      <c r="V16" s="409">
        <f t="shared" si="10"/>
        <v>1</v>
      </c>
      <c r="W16" s="265">
        <f t="shared" si="11"/>
        <v>0.88</v>
      </c>
      <c r="Y16" s="283">
        <f>IFERROR(IF(Instructions!$N$166=1,($AA16/1000)*$E16,($AA16/100)*$E16),0)</f>
        <v>2.4299999999999997</v>
      </c>
      <c r="Z16" s="371"/>
      <c r="AA16" s="284">
        <f>IFERROR(VLOOKUP($C16,Instructions!$C$73:$K$157,9,FALSE),0)</f>
        <v>30</v>
      </c>
      <c r="AB16" s="190" t="str">
        <f t="shared" si="12"/>
        <v>250001 - Reception</v>
      </c>
    </row>
    <row r="17" spans="1:28" s="126" customFormat="1" ht="13.15" customHeight="1" x14ac:dyDescent="0.25">
      <c r="A17" s="136">
        <f t="shared" si="2"/>
        <v>0</v>
      </c>
      <c r="B17" s="235" t="s">
        <v>321</v>
      </c>
      <c r="C17" s="489" t="s">
        <v>68</v>
      </c>
      <c r="D17" s="490"/>
      <c r="E17" s="227">
        <v>338</v>
      </c>
      <c r="F17" s="228" t="s">
        <v>315</v>
      </c>
      <c r="G17" s="283">
        <f>IFERROR(IF(Instructions!$N$166=1,($AA17/1000)*$E17,($AA17/100)*$E17),0)</f>
        <v>0</v>
      </c>
      <c r="H17" s="229">
        <f>IFERROR(IF(Instructions!$N$166=1,VLOOKUP(C17,Instructions!$C$73:$K$157,5,FALSE),VLOOKUP(C17,Instructions!$C$73:$K$157,6,FALSE)),0)</f>
        <v>0</v>
      </c>
      <c r="I17" s="229">
        <f>IFERROR(IF(Instructions!$N$166=1,VLOOKUP(C17,Instructions!$C$73:$K$157,7,FALSE),VLOOKUP(C17,Instructions!$C$73:$K$157,8,FALSE)),0)</f>
        <v>0.06</v>
      </c>
      <c r="J17" s="406">
        <f t="shared" si="3"/>
        <v>0</v>
      </c>
      <c r="K17" s="406">
        <f t="shared" si="4"/>
        <v>20.28</v>
      </c>
      <c r="L17" s="407">
        <f t="shared" si="0"/>
        <v>20.28</v>
      </c>
      <c r="M17" s="413">
        <v>0.8</v>
      </c>
      <c r="N17" s="403">
        <f t="shared" si="5"/>
        <v>25.35</v>
      </c>
      <c r="O17" s="230">
        <v>66</v>
      </c>
      <c r="P17" s="231">
        <v>66</v>
      </c>
      <c r="Q17" s="382">
        <f t="shared" si="6"/>
        <v>0.38</v>
      </c>
      <c r="R17" s="391">
        <v>1</v>
      </c>
      <c r="S17" s="440">
        <f t="shared" si="7"/>
        <v>1</v>
      </c>
      <c r="T17" s="409">
        <f t="shared" si="8"/>
        <v>1</v>
      </c>
      <c r="U17" s="409">
        <f t="shared" si="9"/>
        <v>1</v>
      </c>
      <c r="V17" s="409">
        <f t="shared" si="10"/>
        <v>1</v>
      </c>
      <c r="W17" s="265">
        <f t="shared" si="11"/>
        <v>0.89</v>
      </c>
      <c r="Y17" s="283">
        <f>IFERROR(IF(Instructions!$N$166=1,($AA17/1000)*$E17,($AA17/100)*$E17),0)</f>
        <v>0</v>
      </c>
      <c r="Z17" s="371"/>
      <c r="AA17" s="284">
        <f>IFERROR(VLOOKUP($C17,Instructions!$C$73:$K$157,9,FALSE),0)</f>
        <v>0</v>
      </c>
      <c r="AB17" s="190" t="str">
        <f t="shared" si="12"/>
        <v>2500B - Corridor</v>
      </c>
    </row>
    <row r="18" spans="1:28" s="126" customFormat="1" ht="13.15" customHeight="1" x14ac:dyDescent="0.25">
      <c r="A18" s="136">
        <f t="shared" si="2"/>
        <v>0</v>
      </c>
      <c r="B18" s="235" t="s">
        <v>322</v>
      </c>
      <c r="C18" s="489" t="s">
        <v>75</v>
      </c>
      <c r="D18" s="490"/>
      <c r="E18" s="227">
        <v>234</v>
      </c>
      <c r="F18" s="228" t="s">
        <v>311</v>
      </c>
      <c r="G18" s="371">
        <v>8</v>
      </c>
      <c r="H18" s="229">
        <f>IFERROR(IF(Instructions!$N$166=1,VLOOKUP(C18,Instructions!$C$73:$K$157,5,FALSE),VLOOKUP(C18,Instructions!$C$73:$K$157,6,FALSE)),0)</f>
        <v>5</v>
      </c>
      <c r="I18" s="229">
        <f>IFERROR(IF(Instructions!$N$166=1,VLOOKUP(C18,Instructions!$C$73:$K$157,7,FALSE),VLOOKUP(C18,Instructions!$C$73:$K$157,8,FALSE)),0)</f>
        <v>0.06</v>
      </c>
      <c r="J18" s="406">
        <f t="shared" si="3"/>
        <v>40</v>
      </c>
      <c r="K18" s="406">
        <f t="shared" si="4"/>
        <v>14.04</v>
      </c>
      <c r="L18" s="407">
        <f t="shared" si="0"/>
        <v>54.04</v>
      </c>
      <c r="M18" s="413">
        <v>0.8</v>
      </c>
      <c r="N18" s="403">
        <f t="shared" si="5"/>
        <v>67.55</v>
      </c>
      <c r="O18" s="230">
        <v>176</v>
      </c>
      <c r="P18" s="231">
        <v>176</v>
      </c>
      <c r="Q18" s="382">
        <f t="shared" si="6"/>
        <v>0.38</v>
      </c>
      <c r="R18" s="391">
        <v>1</v>
      </c>
      <c r="S18" s="440">
        <f t="shared" si="7"/>
        <v>1</v>
      </c>
      <c r="T18" s="409">
        <f t="shared" si="8"/>
        <v>1</v>
      </c>
      <c r="U18" s="409">
        <f t="shared" si="9"/>
        <v>1</v>
      </c>
      <c r="V18" s="409">
        <f t="shared" si="10"/>
        <v>1</v>
      </c>
      <c r="W18" s="265">
        <f t="shared" si="11"/>
        <v>0.89</v>
      </c>
      <c r="Y18" s="283">
        <f>IFERROR(IF(Instructions!$N$166=1,($AA18/1000)*$E18,($AA18/100)*$E18),0)</f>
        <v>7.02</v>
      </c>
      <c r="Z18" s="371"/>
      <c r="AA18" s="284">
        <f>IFERROR(VLOOKUP($C18,Instructions!$C$73:$K$157,9,FALSE),0)</f>
        <v>30</v>
      </c>
      <c r="AB18" s="190" t="str">
        <f t="shared" si="12"/>
        <v>2502 - Reception</v>
      </c>
    </row>
    <row r="19" spans="1:28" s="126" customFormat="1" ht="13.15" customHeight="1" x14ac:dyDescent="0.25">
      <c r="A19" s="136">
        <f t="shared" si="2"/>
        <v>0</v>
      </c>
      <c r="B19" s="235" t="s">
        <v>323</v>
      </c>
      <c r="C19" s="489" t="s">
        <v>68</v>
      </c>
      <c r="D19" s="490"/>
      <c r="E19" s="227">
        <v>45</v>
      </c>
      <c r="F19" s="228" t="s">
        <v>315</v>
      </c>
      <c r="G19" s="283">
        <f>IFERROR(IF(Instructions!$N$166=1,($AA19/1000)*$E19,($AA19/100)*$E19),0)</f>
        <v>0</v>
      </c>
      <c r="H19" s="229">
        <f>IFERROR(IF(Instructions!$N$166=1,VLOOKUP(C19,Instructions!$C$73:$K$157,5,FALSE),VLOOKUP(C19,Instructions!$C$73:$K$157,6,FALSE)),0)</f>
        <v>0</v>
      </c>
      <c r="I19" s="229">
        <f>IFERROR(IF(Instructions!$N$166=1,VLOOKUP(C19,Instructions!$C$73:$K$157,7,FALSE),VLOOKUP(C19,Instructions!$C$73:$K$157,8,FALSE)),0)</f>
        <v>0.06</v>
      </c>
      <c r="J19" s="406">
        <f t="shared" si="3"/>
        <v>0</v>
      </c>
      <c r="K19" s="406">
        <f t="shared" si="4"/>
        <v>2.7</v>
      </c>
      <c r="L19" s="407">
        <f t="shared" si="0"/>
        <v>2.7</v>
      </c>
      <c r="M19" s="413">
        <v>0.8</v>
      </c>
      <c r="N19" s="403">
        <f t="shared" si="5"/>
        <v>3.375</v>
      </c>
      <c r="O19" s="230">
        <v>9</v>
      </c>
      <c r="P19" s="231">
        <v>9</v>
      </c>
      <c r="Q19" s="382">
        <f t="shared" si="6"/>
        <v>0.38</v>
      </c>
      <c r="R19" s="391">
        <v>1</v>
      </c>
      <c r="S19" s="440">
        <f t="shared" si="7"/>
        <v>1</v>
      </c>
      <c r="T19" s="409">
        <f t="shared" si="8"/>
        <v>1</v>
      </c>
      <c r="U19" s="409">
        <f t="shared" si="9"/>
        <v>1</v>
      </c>
      <c r="V19" s="409">
        <f t="shared" si="10"/>
        <v>1</v>
      </c>
      <c r="W19" s="265">
        <f t="shared" si="11"/>
        <v>0.89</v>
      </c>
      <c r="Y19" s="283">
        <f>IFERROR(IF(Instructions!$N$166=1,($AA19/1000)*$E19,($AA19/100)*$E19),0)</f>
        <v>0</v>
      </c>
      <c r="Z19" s="371"/>
      <c r="AA19" s="284">
        <f>IFERROR(VLOOKUP($C19,Instructions!$C$73:$K$157,9,FALSE),0)</f>
        <v>0</v>
      </c>
      <c r="AB19" s="190" t="str">
        <f t="shared" si="12"/>
        <v>2502A - Vestibule</v>
      </c>
    </row>
    <row r="20" spans="1:28" s="126" customFormat="1" ht="13.15" customHeight="1" x14ac:dyDescent="0.25">
      <c r="A20" s="136">
        <f t="shared" si="2"/>
        <v>0</v>
      </c>
      <c r="B20" s="235" t="s">
        <v>324</v>
      </c>
      <c r="C20" s="489" t="s">
        <v>74</v>
      </c>
      <c r="D20" s="490"/>
      <c r="E20" s="227">
        <v>141</v>
      </c>
      <c r="F20" s="228" t="s">
        <v>311</v>
      </c>
      <c r="G20" s="371">
        <v>2</v>
      </c>
      <c r="H20" s="229">
        <f>IFERROR(IF(Instructions!$N$166=1,VLOOKUP(C20,Instructions!$C$73:$K$157,5,FALSE),VLOOKUP(C20,Instructions!$C$73:$K$157,6,FALSE)),0)</f>
        <v>5</v>
      </c>
      <c r="I20" s="229">
        <f>IFERROR(IF(Instructions!$N$166=1,VLOOKUP(C20,Instructions!$C$73:$K$157,7,FALSE),VLOOKUP(C20,Instructions!$C$73:$K$157,8,FALSE)),0)</f>
        <v>0.06</v>
      </c>
      <c r="J20" s="406">
        <f t="shared" si="3"/>
        <v>10</v>
      </c>
      <c r="K20" s="406">
        <f t="shared" si="4"/>
        <v>8.4600000000000009</v>
      </c>
      <c r="L20" s="407">
        <f t="shared" si="0"/>
        <v>18.46</v>
      </c>
      <c r="M20" s="413">
        <v>0.8</v>
      </c>
      <c r="N20" s="403">
        <f t="shared" si="5"/>
        <v>23.074999999999999</v>
      </c>
      <c r="O20" s="230">
        <v>60</v>
      </c>
      <c r="P20" s="231">
        <v>60</v>
      </c>
      <c r="Q20" s="382">
        <f t="shared" si="6"/>
        <v>0.38</v>
      </c>
      <c r="R20" s="391">
        <v>1</v>
      </c>
      <c r="S20" s="440">
        <f t="shared" si="7"/>
        <v>1</v>
      </c>
      <c r="T20" s="409">
        <f t="shared" si="8"/>
        <v>1</v>
      </c>
      <c r="U20" s="409">
        <f t="shared" si="9"/>
        <v>1</v>
      </c>
      <c r="V20" s="409">
        <f t="shared" si="10"/>
        <v>1</v>
      </c>
      <c r="W20" s="265">
        <f t="shared" si="11"/>
        <v>0.89</v>
      </c>
      <c r="Y20" s="283">
        <f>IFERROR(IF(Instructions!$N$166=1,($AA20/1000)*$E20,($AA20/100)*$E20),0)</f>
        <v>0.70499999999999996</v>
      </c>
      <c r="Z20" s="371"/>
      <c r="AA20" s="284">
        <f>IFERROR(VLOOKUP($C20,Instructions!$C$73:$K$157,9,FALSE),0)</f>
        <v>5</v>
      </c>
      <c r="AB20" s="190" t="str">
        <f t="shared" si="12"/>
        <v>2502AA - Experiment Room Child Dev</v>
      </c>
    </row>
    <row r="21" spans="1:28" s="126" customFormat="1" ht="13.15" customHeight="1" x14ac:dyDescent="0.25">
      <c r="A21" s="136">
        <f t="shared" si="2"/>
        <v>0</v>
      </c>
      <c r="B21" s="235" t="s">
        <v>325</v>
      </c>
      <c r="C21" s="489" t="s">
        <v>74</v>
      </c>
      <c r="D21" s="490"/>
      <c r="E21" s="227">
        <v>94</v>
      </c>
      <c r="F21" s="228" t="s">
        <v>311</v>
      </c>
      <c r="G21" s="371">
        <v>1</v>
      </c>
      <c r="H21" s="229">
        <f>IFERROR(IF(Instructions!$N$166=1,VLOOKUP(C21,Instructions!$C$73:$K$157,5,FALSE),VLOOKUP(C21,Instructions!$C$73:$K$157,6,FALSE)),0)</f>
        <v>5</v>
      </c>
      <c r="I21" s="229">
        <f>IFERROR(IF(Instructions!$N$166=1,VLOOKUP(C21,Instructions!$C$73:$K$157,7,FALSE),VLOOKUP(C21,Instructions!$C$73:$K$157,8,FALSE)),0)</f>
        <v>0.06</v>
      </c>
      <c r="J21" s="406">
        <f t="shared" si="3"/>
        <v>5</v>
      </c>
      <c r="K21" s="406">
        <f t="shared" si="4"/>
        <v>5.64</v>
      </c>
      <c r="L21" s="407">
        <f t="shared" si="0"/>
        <v>10.64</v>
      </c>
      <c r="M21" s="413">
        <v>0.8</v>
      </c>
      <c r="N21" s="403">
        <f t="shared" si="5"/>
        <v>13.3</v>
      </c>
      <c r="O21" s="230">
        <v>35</v>
      </c>
      <c r="P21" s="231">
        <v>35</v>
      </c>
      <c r="Q21" s="382">
        <f t="shared" si="6"/>
        <v>0.38</v>
      </c>
      <c r="R21" s="391">
        <v>1</v>
      </c>
      <c r="S21" s="440">
        <f t="shared" si="7"/>
        <v>1</v>
      </c>
      <c r="T21" s="409">
        <f t="shared" si="8"/>
        <v>1</v>
      </c>
      <c r="U21" s="409">
        <f t="shared" si="9"/>
        <v>1</v>
      </c>
      <c r="V21" s="409">
        <f t="shared" si="10"/>
        <v>1</v>
      </c>
      <c r="W21" s="265">
        <f t="shared" si="11"/>
        <v>0.89</v>
      </c>
      <c r="Y21" s="283">
        <f>IFERROR(IF(Instructions!$N$166=1,($AA21/1000)*$E21,($AA21/100)*$E21),0)</f>
        <v>0.47000000000000003</v>
      </c>
      <c r="Z21" s="371"/>
      <c r="AA21" s="284">
        <f>IFERROR(VLOOKUP($C21,Instructions!$C$73:$K$157,9,FALSE),0)</f>
        <v>5</v>
      </c>
      <c r="AB21" s="190" t="str">
        <f t="shared" si="12"/>
        <v>2502AB - Control Room Child Dev</v>
      </c>
    </row>
    <row r="22" spans="1:28" s="126" customFormat="1" ht="13.15" customHeight="1" x14ac:dyDescent="0.25">
      <c r="A22" s="136">
        <f t="shared" si="2"/>
        <v>0</v>
      </c>
      <c r="B22" s="235" t="s">
        <v>326</v>
      </c>
      <c r="C22" s="489" t="s">
        <v>74</v>
      </c>
      <c r="D22" s="490"/>
      <c r="E22" s="227">
        <v>69</v>
      </c>
      <c r="F22" s="228" t="s">
        <v>311</v>
      </c>
      <c r="G22" s="371">
        <v>2</v>
      </c>
      <c r="H22" s="229">
        <f>IFERROR(IF(Instructions!$N$166=1,VLOOKUP(C22,Instructions!$C$73:$K$157,5,FALSE),VLOOKUP(C22,Instructions!$C$73:$K$157,6,FALSE)),0)</f>
        <v>5</v>
      </c>
      <c r="I22" s="229">
        <f>IFERROR(IF(Instructions!$N$166=1,VLOOKUP(C22,Instructions!$C$73:$K$157,7,FALSE),VLOOKUP(C22,Instructions!$C$73:$K$157,8,FALSE)),0)</f>
        <v>0.06</v>
      </c>
      <c r="J22" s="406">
        <f t="shared" si="3"/>
        <v>10</v>
      </c>
      <c r="K22" s="406">
        <f t="shared" si="4"/>
        <v>4.1399999999999997</v>
      </c>
      <c r="L22" s="407">
        <f t="shared" si="0"/>
        <v>14.14</v>
      </c>
      <c r="M22" s="413">
        <v>0.8</v>
      </c>
      <c r="N22" s="403">
        <f t="shared" si="5"/>
        <v>17.675000000000001</v>
      </c>
      <c r="O22" s="230">
        <v>58</v>
      </c>
      <c r="P22" s="231">
        <v>58</v>
      </c>
      <c r="Q22" s="382">
        <f t="shared" si="6"/>
        <v>0.3</v>
      </c>
      <c r="R22" s="391">
        <v>1</v>
      </c>
      <c r="S22" s="440">
        <f t="shared" si="7"/>
        <v>1</v>
      </c>
      <c r="T22" s="409">
        <f t="shared" si="8"/>
        <v>1</v>
      </c>
      <c r="U22" s="409">
        <f t="shared" si="9"/>
        <v>1</v>
      </c>
      <c r="V22" s="409">
        <f t="shared" si="10"/>
        <v>1</v>
      </c>
      <c r="W22" s="265">
        <f t="shared" si="11"/>
        <v>0.97</v>
      </c>
      <c r="Y22" s="283">
        <f>IFERROR(IF(Instructions!$N$166=1,($AA22/1000)*$E22,($AA22/100)*$E22),0)</f>
        <v>0.34500000000000003</v>
      </c>
      <c r="Z22" s="371"/>
      <c r="AA22" s="284">
        <f>IFERROR(VLOOKUP($C22,Instructions!$C$73:$K$157,9,FALSE),0)</f>
        <v>5</v>
      </c>
      <c r="AB22" s="190" t="str">
        <f t="shared" si="12"/>
        <v>2502B - Office</v>
      </c>
    </row>
    <row r="23" spans="1:28" s="126" customFormat="1" ht="13.15" customHeight="1" x14ac:dyDescent="0.25">
      <c r="A23" s="136">
        <f t="shared" si="2"/>
        <v>0</v>
      </c>
      <c r="B23" s="235" t="s">
        <v>327</v>
      </c>
      <c r="C23" s="489" t="s">
        <v>74</v>
      </c>
      <c r="D23" s="490"/>
      <c r="E23" s="227">
        <v>224</v>
      </c>
      <c r="F23" s="228" t="s">
        <v>311</v>
      </c>
      <c r="G23" s="371">
        <v>2</v>
      </c>
      <c r="H23" s="229">
        <f>IFERROR(IF(Instructions!$N$166=1,VLOOKUP(C23,Instructions!$C$73:$K$157,5,FALSE),VLOOKUP(C23,Instructions!$C$73:$K$157,6,FALSE)),0)</f>
        <v>5</v>
      </c>
      <c r="I23" s="229">
        <f>IFERROR(IF(Instructions!$N$166=1,VLOOKUP(C23,Instructions!$C$73:$K$157,7,FALSE),VLOOKUP(C23,Instructions!$C$73:$K$157,8,FALSE)),0)</f>
        <v>0.06</v>
      </c>
      <c r="J23" s="406">
        <f t="shared" si="3"/>
        <v>10</v>
      </c>
      <c r="K23" s="406">
        <f t="shared" si="4"/>
        <v>13.44</v>
      </c>
      <c r="L23" s="407">
        <f t="shared" si="0"/>
        <v>23.44</v>
      </c>
      <c r="M23" s="413">
        <v>0.8</v>
      </c>
      <c r="N23" s="403">
        <f t="shared" si="5"/>
        <v>29.3</v>
      </c>
      <c r="O23" s="230">
        <v>174</v>
      </c>
      <c r="P23" s="231">
        <v>174</v>
      </c>
      <c r="Q23" s="382">
        <f t="shared" si="6"/>
        <v>0.17</v>
      </c>
      <c r="R23" s="391">
        <v>1</v>
      </c>
      <c r="S23" s="440">
        <f t="shared" si="7"/>
        <v>1</v>
      </c>
      <c r="T23" s="409">
        <f t="shared" si="8"/>
        <v>1</v>
      </c>
      <c r="U23" s="409">
        <f t="shared" si="9"/>
        <v>1</v>
      </c>
      <c r="V23" s="409">
        <f t="shared" si="10"/>
        <v>1</v>
      </c>
      <c r="W23" s="265">
        <f t="shared" si="11"/>
        <v>1.1000000000000001</v>
      </c>
      <c r="Y23" s="283">
        <f>IFERROR(IF(Instructions!$N$166=1,($AA23/1000)*$E23,($AA23/100)*$E23),0)</f>
        <v>1.1200000000000001</v>
      </c>
      <c r="Z23" s="371"/>
      <c r="AA23" s="284">
        <f>IFERROR(VLOOKUP($C23,Instructions!$C$73:$K$157,9,FALSE),0)</f>
        <v>5</v>
      </c>
      <c r="AB23" s="190" t="str">
        <f t="shared" si="12"/>
        <v>2502C - Experiment Room Daily Act</v>
      </c>
    </row>
    <row r="24" spans="1:28" s="126" customFormat="1" ht="13.15" customHeight="1" x14ac:dyDescent="0.25">
      <c r="A24" s="136">
        <f t="shared" si="2"/>
        <v>0</v>
      </c>
      <c r="B24" s="235" t="s">
        <v>328</v>
      </c>
      <c r="C24" s="489" t="s">
        <v>74</v>
      </c>
      <c r="D24" s="490"/>
      <c r="E24" s="227">
        <v>64</v>
      </c>
      <c r="F24" s="228" t="s">
        <v>311</v>
      </c>
      <c r="G24" s="371">
        <v>1</v>
      </c>
      <c r="H24" s="229">
        <f>IFERROR(IF(Instructions!$N$166=1,VLOOKUP(C24,Instructions!$C$73:$K$157,5,FALSE),VLOOKUP(C24,Instructions!$C$73:$K$157,6,FALSE)),0)</f>
        <v>5</v>
      </c>
      <c r="I24" s="229">
        <f>IFERROR(IF(Instructions!$N$166=1,VLOOKUP(C24,Instructions!$C$73:$K$157,7,FALSE),VLOOKUP(C24,Instructions!$C$73:$K$157,8,FALSE)),0)</f>
        <v>0.06</v>
      </c>
      <c r="J24" s="406">
        <f t="shared" si="3"/>
        <v>5</v>
      </c>
      <c r="K24" s="406">
        <f t="shared" si="4"/>
        <v>3.84</v>
      </c>
      <c r="L24" s="407">
        <f t="shared" si="0"/>
        <v>8.84</v>
      </c>
      <c r="M24" s="413">
        <v>0.8</v>
      </c>
      <c r="N24" s="403">
        <f t="shared" si="5"/>
        <v>11.049999999999999</v>
      </c>
      <c r="O24" s="230">
        <v>29</v>
      </c>
      <c r="P24" s="231">
        <v>29</v>
      </c>
      <c r="Q24" s="382">
        <f t="shared" si="6"/>
        <v>0.38</v>
      </c>
      <c r="R24" s="391">
        <v>1</v>
      </c>
      <c r="S24" s="440">
        <f t="shared" si="7"/>
        <v>1</v>
      </c>
      <c r="T24" s="409">
        <f t="shared" si="8"/>
        <v>1</v>
      </c>
      <c r="U24" s="409">
        <f t="shared" si="9"/>
        <v>1</v>
      </c>
      <c r="V24" s="409">
        <f t="shared" si="10"/>
        <v>1</v>
      </c>
      <c r="W24" s="265">
        <f t="shared" si="11"/>
        <v>0.89</v>
      </c>
      <c r="Y24" s="283">
        <f>IFERROR(IF(Instructions!$N$166=1,($AA24/1000)*$E24,($AA24/100)*$E24),0)</f>
        <v>0.32</v>
      </c>
      <c r="Z24" s="371"/>
      <c r="AA24" s="284">
        <f>IFERROR(VLOOKUP($C24,Instructions!$C$73:$K$157,9,FALSE),0)</f>
        <v>5</v>
      </c>
      <c r="AB24" s="190" t="str">
        <f t="shared" si="12"/>
        <v>2504 - Lactation Room</v>
      </c>
    </row>
    <row r="25" spans="1:28" s="126" customFormat="1" ht="13.15" customHeight="1" x14ac:dyDescent="0.25">
      <c r="A25" s="136">
        <f t="shared" si="2"/>
        <v>0</v>
      </c>
      <c r="B25" s="235" t="s">
        <v>329</v>
      </c>
      <c r="C25" s="489" t="s">
        <v>75</v>
      </c>
      <c r="D25" s="490"/>
      <c r="E25" s="227">
        <v>473</v>
      </c>
      <c r="F25" s="228" t="s">
        <v>311</v>
      </c>
      <c r="G25" s="371">
        <v>9</v>
      </c>
      <c r="H25" s="229">
        <f>IFERROR(IF(Instructions!$N$166=1,VLOOKUP(C25,Instructions!$C$73:$K$157,5,FALSE),VLOOKUP(C25,Instructions!$C$73:$K$157,6,FALSE)),0)</f>
        <v>5</v>
      </c>
      <c r="I25" s="229">
        <f>IFERROR(IF(Instructions!$N$166=1,VLOOKUP(C25,Instructions!$C$73:$K$157,7,FALSE),VLOOKUP(C25,Instructions!$C$73:$K$157,8,FALSE)),0)</f>
        <v>0.06</v>
      </c>
      <c r="J25" s="406">
        <f t="shared" si="3"/>
        <v>45</v>
      </c>
      <c r="K25" s="406">
        <f t="shared" si="4"/>
        <v>28.38</v>
      </c>
      <c r="L25" s="407">
        <f t="shared" si="0"/>
        <v>73.38</v>
      </c>
      <c r="M25" s="413">
        <v>0.8</v>
      </c>
      <c r="N25" s="403">
        <f t="shared" si="5"/>
        <v>91.724999999999994</v>
      </c>
      <c r="O25" s="230">
        <v>238</v>
      </c>
      <c r="P25" s="231">
        <v>238</v>
      </c>
      <c r="Q25" s="382">
        <f t="shared" si="6"/>
        <v>0.39</v>
      </c>
      <c r="R25" s="391">
        <v>1</v>
      </c>
      <c r="S25" s="440">
        <f t="shared" si="7"/>
        <v>1</v>
      </c>
      <c r="T25" s="409">
        <f t="shared" si="8"/>
        <v>1</v>
      </c>
      <c r="U25" s="409">
        <f t="shared" si="9"/>
        <v>1</v>
      </c>
      <c r="V25" s="409">
        <f t="shared" si="10"/>
        <v>1</v>
      </c>
      <c r="W25" s="265">
        <f t="shared" si="11"/>
        <v>0.88</v>
      </c>
      <c r="Y25" s="283">
        <f>IFERROR(IF(Instructions!$N$166=1,($AA25/1000)*$E25,($AA25/100)*$E25),0)</f>
        <v>14.19</v>
      </c>
      <c r="Z25" s="371"/>
      <c r="AA25" s="284">
        <f>IFERROR(VLOOKUP($C25,Instructions!$C$73:$K$157,9,FALSE),0)</f>
        <v>30</v>
      </c>
      <c r="AB25" s="190" t="str">
        <f t="shared" si="12"/>
        <v>2506 - Reception Clinical Treat</v>
      </c>
    </row>
    <row r="26" spans="1:28" s="126" customFormat="1" ht="13.15" customHeight="1" x14ac:dyDescent="0.25">
      <c r="A26" s="136">
        <f t="shared" si="2"/>
        <v>0</v>
      </c>
      <c r="B26" s="235" t="s">
        <v>330</v>
      </c>
      <c r="C26" s="489" t="s">
        <v>74</v>
      </c>
      <c r="D26" s="490"/>
      <c r="E26" s="227">
        <v>372</v>
      </c>
      <c r="F26" s="228" t="s">
        <v>311</v>
      </c>
      <c r="G26" s="371">
        <v>6</v>
      </c>
      <c r="H26" s="229">
        <f>IFERROR(IF(Instructions!$N$166=1,VLOOKUP(C26,Instructions!$C$73:$K$157,5,FALSE),VLOOKUP(C26,Instructions!$C$73:$K$157,6,FALSE)),0)</f>
        <v>5</v>
      </c>
      <c r="I26" s="229">
        <f>IFERROR(IF(Instructions!$N$166=1,VLOOKUP(C26,Instructions!$C$73:$K$157,7,FALSE),VLOOKUP(C26,Instructions!$C$73:$K$157,8,FALSE)),0)</f>
        <v>0.06</v>
      </c>
      <c r="J26" s="406">
        <f t="shared" si="3"/>
        <v>30</v>
      </c>
      <c r="K26" s="406">
        <f t="shared" si="4"/>
        <v>22.32</v>
      </c>
      <c r="L26" s="407">
        <f t="shared" si="0"/>
        <v>52.32</v>
      </c>
      <c r="M26" s="413">
        <v>0.8</v>
      </c>
      <c r="N26" s="403">
        <f t="shared" si="5"/>
        <v>65.399999999999991</v>
      </c>
      <c r="O26" s="230">
        <v>170</v>
      </c>
      <c r="P26" s="231">
        <v>170</v>
      </c>
      <c r="Q26" s="382">
        <f t="shared" si="6"/>
        <v>0.38</v>
      </c>
      <c r="R26" s="391">
        <v>1</v>
      </c>
      <c r="S26" s="440">
        <f t="shared" si="7"/>
        <v>1</v>
      </c>
      <c r="T26" s="409">
        <f t="shared" si="8"/>
        <v>1</v>
      </c>
      <c r="U26" s="409">
        <f t="shared" si="9"/>
        <v>1</v>
      </c>
      <c r="V26" s="409">
        <f t="shared" si="10"/>
        <v>1</v>
      </c>
      <c r="W26" s="265">
        <f t="shared" si="11"/>
        <v>0.89</v>
      </c>
      <c r="Y26" s="283">
        <f>IFERROR(IF(Instructions!$N$166=1,($AA26/1000)*$E26,($AA26/100)*$E26),0)</f>
        <v>1.86</v>
      </c>
      <c r="Z26" s="371"/>
      <c r="AA26" s="284">
        <f>IFERROR(VLOOKUP($C26,Instructions!$C$73:$K$157,9,FALSE),0)</f>
        <v>5</v>
      </c>
      <c r="AB26" s="190" t="str">
        <f t="shared" si="12"/>
        <v>2506A - Control Room Run Rooms</v>
      </c>
    </row>
    <row r="27" spans="1:28" s="126" customFormat="1" ht="13.15" customHeight="1" x14ac:dyDescent="0.25">
      <c r="A27" s="136">
        <f t="shared" si="2"/>
        <v>0</v>
      </c>
      <c r="B27" s="235" t="s">
        <v>331</v>
      </c>
      <c r="C27" s="489" t="s">
        <v>74</v>
      </c>
      <c r="D27" s="490"/>
      <c r="E27" s="227">
        <v>61</v>
      </c>
      <c r="F27" s="228" t="s">
        <v>311</v>
      </c>
      <c r="G27" s="371">
        <v>1</v>
      </c>
      <c r="H27" s="229">
        <f>IFERROR(IF(Instructions!$N$166=1,VLOOKUP(C27,Instructions!$C$73:$K$157,5,FALSE),VLOOKUP(C27,Instructions!$C$73:$K$157,6,FALSE)),0)</f>
        <v>5</v>
      </c>
      <c r="I27" s="229">
        <f>IFERROR(IF(Instructions!$N$166=1,VLOOKUP(C27,Instructions!$C$73:$K$157,7,FALSE),VLOOKUP(C27,Instructions!$C$73:$K$157,8,FALSE)),0)</f>
        <v>0.06</v>
      </c>
      <c r="J27" s="406">
        <f t="shared" si="3"/>
        <v>5</v>
      </c>
      <c r="K27" s="406">
        <f t="shared" si="4"/>
        <v>3.66</v>
      </c>
      <c r="L27" s="407">
        <f t="shared" si="0"/>
        <v>8.66</v>
      </c>
      <c r="M27" s="413">
        <v>0.8</v>
      </c>
      <c r="N27" s="403">
        <f t="shared" si="5"/>
        <v>10.824999999999999</v>
      </c>
      <c r="O27" s="230">
        <v>28</v>
      </c>
      <c r="P27" s="231">
        <v>28</v>
      </c>
      <c r="Q27" s="382">
        <f t="shared" si="6"/>
        <v>0.39</v>
      </c>
      <c r="R27" s="391">
        <v>1</v>
      </c>
      <c r="S27" s="440">
        <f t="shared" si="7"/>
        <v>1</v>
      </c>
      <c r="T27" s="409">
        <f t="shared" si="8"/>
        <v>1</v>
      </c>
      <c r="U27" s="409">
        <f t="shared" si="9"/>
        <v>1</v>
      </c>
      <c r="V27" s="409">
        <f t="shared" si="10"/>
        <v>1</v>
      </c>
      <c r="W27" s="265">
        <f t="shared" si="11"/>
        <v>0.88</v>
      </c>
      <c r="Y27" s="283">
        <f>IFERROR(IF(Instructions!$N$166=1,($AA27/1000)*$E27,($AA27/100)*$E27),0)</f>
        <v>0.30499999999999999</v>
      </c>
      <c r="Z27" s="371"/>
      <c r="AA27" s="284">
        <f>IFERROR(VLOOKUP($C27,Instructions!$C$73:$K$157,9,FALSE),0)</f>
        <v>5</v>
      </c>
      <c r="AB27" s="190" t="str">
        <f t="shared" si="12"/>
        <v>2506AA - Run Room</v>
      </c>
    </row>
    <row r="28" spans="1:28" s="126" customFormat="1" ht="13.15" customHeight="1" x14ac:dyDescent="0.25">
      <c r="A28" s="136">
        <f t="shared" si="2"/>
        <v>0</v>
      </c>
      <c r="B28" s="235" t="s">
        <v>332</v>
      </c>
      <c r="C28" s="489" t="s">
        <v>74</v>
      </c>
      <c r="D28" s="490"/>
      <c r="E28" s="227">
        <v>60</v>
      </c>
      <c r="F28" s="228" t="s">
        <v>311</v>
      </c>
      <c r="G28" s="371">
        <v>1</v>
      </c>
      <c r="H28" s="229">
        <f>IFERROR(IF(Instructions!$N$166=1,VLOOKUP(C28,Instructions!$C$73:$K$157,5,FALSE),VLOOKUP(C28,Instructions!$C$73:$K$157,6,FALSE)),0)</f>
        <v>5</v>
      </c>
      <c r="I28" s="229">
        <f>IFERROR(IF(Instructions!$N$166=1,VLOOKUP(C28,Instructions!$C$73:$K$157,7,FALSE),VLOOKUP(C28,Instructions!$C$73:$K$157,8,FALSE)),0)</f>
        <v>0.06</v>
      </c>
      <c r="J28" s="406">
        <f t="shared" si="3"/>
        <v>5</v>
      </c>
      <c r="K28" s="406">
        <f t="shared" si="4"/>
        <v>3.6</v>
      </c>
      <c r="L28" s="407">
        <f t="shared" si="0"/>
        <v>8.6</v>
      </c>
      <c r="M28" s="413">
        <v>0.8</v>
      </c>
      <c r="N28" s="403">
        <f t="shared" si="5"/>
        <v>10.749999999999998</v>
      </c>
      <c r="O28" s="230">
        <v>28</v>
      </c>
      <c r="P28" s="231">
        <v>28</v>
      </c>
      <c r="Q28" s="382">
        <f t="shared" si="6"/>
        <v>0.38</v>
      </c>
      <c r="R28" s="391">
        <v>1</v>
      </c>
      <c r="S28" s="440">
        <f t="shared" si="7"/>
        <v>1</v>
      </c>
      <c r="T28" s="409">
        <f t="shared" si="8"/>
        <v>1</v>
      </c>
      <c r="U28" s="409">
        <f t="shared" si="9"/>
        <v>1</v>
      </c>
      <c r="V28" s="409">
        <f t="shared" si="10"/>
        <v>1</v>
      </c>
      <c r="W28" s="265">
        <f t="shared" si="11"/>
        <v>0.89</v>
      </c>
      <c r="Y28" s="283">
        <f>IFERROR(IF(Instructions!$N$166=1,($AA28/1000)*$E28,($AA28/100)*$E28),0)</f>
        <v>0.3</v>
      </c>
      <c r="Z28" s="371"/>
      <c r="AA28" s="284">
        <f>IFERROR(VLOOKUP($C28,Instructions!$C$73:$K$157,9,FALSE),0)</f>
        <v>5</v>
      </c>
      <c r="AB28" s="190" t="str">
        <f t="shared" si="12"/>
        <v>2506B - Run Room</v>
      </c>
    </row>
    <row r="29" spans="1:28" s="126" customFormat="1" ht="13.15" customHeight="1" x14ac:dyDescent="0.25">
      <c r="A29" s="136">
        <f t="shared" si="2"/>
        <v>0</v>
      </c>
      <c r="B29" s="235" t="s">
        <v>333</v>
      </c>
      <c r="C29" s="489" t="s">
        <v>74</v>
      </c>
      <c r="D29" s="490"/>
      <c r="E29" s="227">
        <v>56</v>
      </c>
      <c r="F29" s="228" t="s">
        <v>311</v>
      </c>
      <c r="G29" s="371">
        <v>1</v>
      </c>
      <c r="H29" s="229">
        <f>IFERROR(IF(Instructions!$N$166=1,VLOOKUP(C29,Instructions!$C$73:$K$157,5,FALSE),VLOOKUP(C29,Instructions!$C$73:$K$157,6,FALSE)),0)</f>
        <v>5</v>
      </c>
      <c r="I29" s="229">
        <f>IFERROR(IF(Instructions!$N$166=1,VLOOKUP(C29,Instructions!$C$73:$K$157,7,FALSE),VLOOKUP(C29,Instructions!$C$73:$K$157,8,FALSE)),0)</f>
        <v>0.06</v>
      </c>
      <c r="J29" s="406">
        <f t="shared" si="3"/>
        <v>5</v>
      </c>
      <c r="K29" s="406">
        <f t="shared" si="4"/>
        <v>3.36</v>
      </c>
      <c r="L29" s="407">
        <f t="shared" si="0"/>
        <v>8.36</v>
      </c>
      <c r="M29" s="413">
        <v>0.8</v>
      </c>
      <c r="N29" s="403">
        <f t="shared" si="5"/>
        <v>10.45</v>
      </c>
      <c r="O29" s="230">
        <v>31</v>
      </c>
      <c r="P29" s="231">
        <v>31</v>
      </c>
      <c r="Q29" s="382">
        <f t="shared" si="6"/>
        <v>0.34</v>
      </c>
      <c r="R29" s="391">
        <v>1</v>
      </c>
      <c r="S29" s="440">
        <f t="shared" si="7"/>
        <v>1</v>
      </c>
      <c r="T29" s="409">
        <f t="shared" si="8"/>
        <v>1</v>
      </c>
      <c r="U29" s="409">
        <f t="shared" si="9"/>
        <v>1</v>
      </c>
      <c r="V29" s="409">
        <f t="shared" si="10"/>
        <v>1</v>
      </c>
      <c r="W29" s="265">
        <f t="shared" si="11"/>
        <v>0.93</v>
      </c>
      <c r="Y29" s="283">
        <f>IFERROR(IF(Instructions!$N$166=1,($AA29/1000)*$E29,($AA29/100)*$E29),0)</f>
        <v>0.28000000000000003</v>
      </c>
      <c r="Z29" s="371"/>
      <c r="AA29" s="284">
        <f>IFERROR(VLOOKUP($C29,Instructions!$C$73:$K$157,9,FALSE),0)</f>
        <v>5</v>
      </c>
      <c r="AB29" s="190" t="str">
        <f t="shared" si="12"/>
        <v>2506AC - Run Room</v>
      </c>
    </row>
    <row r="30" spans="1:28" s="126" customFormat="1" ht="13.15" customHeight="1" x14ac:dyDescent="0.25">
      <c r="A30" s="136">
        <f t="shared" si="2"/>
        <v>0</v>
      </c>
      <c r="B30" s="235" t="s">
        <v>334</v>
      </c>
      <c r="C30" s="489" t="s">
        <v>74</v>
      </c>
      <c r="D30" s="490"/>
      <c r="E30" s="227">
        <v>57</v>
      </c>
      <c r="F30" s="228" t="s">
        <v>311</v>
      </c>
      <c r="G30" s="371">
        <v>1</v>
      </c>
      <c r="H30" s="229">
        <f>IFERROR(IF(Instructions!$N$166=1,VLOOKUP(C30,Instructions!$C$73:$K$157,5,FALSE),VLOOKUP(C30,Instructions!$C$73:$K$157,6,FALSE)),0)</f>
        <v>5</v>
      </c>
      <c r="I30" s="229">
        <f>IFERROR(IF(Instructions!$N$166=1,VLOOKUP(C30,Instructions!$C$73:$K$157,7,FALSE),VLOOKUP(C30,Instructions!$C$73:$K$157,8,FALSE)),0)</f>
        <v>0.06</v>
      </c>
      <c r="J30" s="406">
        <f t="shared" si="3"/>
        <v>5</v>
      </c>
      <c r="K30" s="406">
        <f t="shared" si="4"/>
        <v>3.42</v>
      </c>
      <c r="L30" s="407">
        <f t="shared" si="0"/>
        <v>8.42</v>
      </c>
      <c r="M30" s="413">
        <v>0.8</v>
      </c>
      <c r="N30" s="403">
        <f t="shared" si="5"/>
        <v>10.524999999999999</v>
      </c>
      <c r="O30" s="230">
        <v>27</v>
      </c>
      <c r="P30" s="231">
        <v>27</v>
      </c>
      <c r="Q30" s="382">
        <f t="shared" si="6"/>
        <v>0.39</v>
      </c>
      <c r="R30" s="391">
        <v>1</v>
      </c>
      <c r="S30" s="440">
        <f t="shared" si="7"/>
        <v>1</v>
      </c>
      <c r="T30" s="409">
        <f t="shared" si="8"/>
        <v>1</v>
      </c>
      <c r="U30" s="409">
        <f t="shared" si="9"/>
        <v>1</v>
      </c>
      <c r="V30" s="409">
        <f t="shared" si="10"/>
        <v>1</v>
      </c>
      <c r="W30" s="265">
        <f t="shared" si="11"/>
        <v>0.88</v>
      </c>
      <c r="Y30" s="283">
        <f>IFERROR(IF(Instructions!$N$166=1,($AA30/1000)*$E30,($AA30/100)*$E30),0)</f>
        <v>0.28500000000000003</v>
      </c>
      <c r="Z30" s="371"/>
      <c r="AA30" s="284">
        <f>IFERROR(VLOOKUP($C30,Instructions!$C$73:$K$157,9,FALSE),0)</f>
        <v>5</v>
      </c>
      <c r="AB30" s="190" t="str">
        <f t="shared" si="12"/>
        <v>2506AD - Run Room</v>
      </c>
    </row>
    <row r="31" spans="1:28" s="126" customFormat="1" ht="13.15" customHeight="1" x14ac:dyDescent="0.25">
      <c r="A31" s="136">
        <f t="shared" si="2"/>
        <v>0</v>
      </c>
      <c r="B31" s="235" t="s">
        <v>335</v>
      </c>
      <c r="C31" s="489" t="s">
        <v>74</v>
      </c>
      <c r="D31" s="490"/>
      <c r="E31" s="227">
        <v>55</v>
      </c>
      <c r="F31" s="228" t="s">
        <v>311</v>
      </c>
      <c r="G31" s="371">
        <v>1</v>
      </c>
      <c r="H31" s="229">
        <f>IFERROR(IF(Instructions!$N$166=1,VLOOKUP(C31,Instructions!$C$73:$K$157,5,FALSE),VLOOKUP(C31,Instructions!$C$73:$K$157,6,FALSE)),0)</f>
        <v>5</v>
      </c>
      <c r="I31" s="229">
        <f>IFERROR(IF(Instructions!$N$166=1,VLOOKUP(C31,Instructions!$C$73:$K$157,7,FALSE),VLOOKUP(C31,Instructions!$C$73:$K$157,8,FALSE)),0)</f>
        <v>0.06</v>
      </c>
      <c r="J31" s="406">
        <f t="shared" si="3"/>
        <v>5</v>
      </c>
      <c r="K31" s="406">
        <f t="shared" si="4"/>
        <v>3.3</v>
      </c>
      <c r="L31" s="407">
        <f t="shared" si="0"/>
        <v>8.3000000000000007</v>
      </c>
      <c r="M31" s="413">
        <v>0.8</v>
      </c>
      <c r="N31" s="403">
        <f t="shared" si="5"/>
        <v>10.375</v>
      </c>
      <c r="O31" s="230">
        <v>39</v>
      </c>
      <c r="P31" s="231">
        <v>39</v>
      </c>
      <c r="Q31" s="382">
        <f t="shared" si="6"/>
        <v>0.27</v>
      </c>
      <c r="R31" s="391">
        <v>1</v>
      </c>
      <c r="S31" s="440">
        <f t="shared" si="7"/>
        <v>1</v>
      </c>
      <c r="T31" s="409">
        <f t="shared" si="8"/>
        <v>1</v>
      </c>
      <c r="U31" s="409">
        <f t="shared" si="9"/>
        <v>1</v>
      </c>
      <c r="V31" s="409">
        <f t="shared" si="10"/>
        <v>1</v>
      </c>
      <c r="W31" s="265">
        <f t="shared" si="11"/>
        <v>1</v>
      </c>
      <c r="Y31" s="283">
        <f>IFERROR(IF(Instructions!$N$166=1,($AA31/1000)*$E31,($AA31/100)*$E31),0)</f>
        <v>0.27500000000000002</v>
      </c>
      <c r="Z31" s="371"/>
      <c r="AA31" s="284">
        <f>IFERROR(VLOOKUP($C31,Instructions!$C$73:$K$157,9,FALSE),0)</f>
        <v>5</v>
      </c>
      <c r="AB31" s="190" t="str">
        <f t="shared" si="12"/>
        <v>2506AE - Run Room</v>
      </c>
    </row>
    <row r="32" spans="1:28" s="126" customFormat="1" ht="13.15" customHeight="1" x14ac:dyDescent="0.25">
      <c r="A32" s="136">
        <f t="shared" si="2"/>
        <v>0</v>
      </c>
      <c r="B32" s="235" t="s">
        <v>336</v>
      </c>
      <c r="C32" s="489" t="s">
        <v>74</v>
      </c>
      <c r="D32" s="490"/>
      <c r="E32" s="227">
        <v>59</v>
      </c>
      <c r="F32" s="228" t="s">
        <v>311</v>
      </c>
      <c r="G32" s="371">
        <v>1</v>
      </c>
      <c r="H32" s="229">
        <f>IFERROR(IF(Instructions!$N$166=1,VLOOKUP(C32,Instructions!$C$73:$K$157,5,FALSE),VLOOKUP(C32,Instructions!$C$73:$K$157,6,FALSE)),0)</f>
        <v>5</v>
      </c>
      <c r="I32" s="229">
        <f>IFERROR(IF(Instructions!$N$166=1,VLOOKUP(C32,Instructions!$C$73:$K$157,7,FALSE),VLOOKUP(C32,Instructions!$C$73:$K$157,8,FALSE)),0)</f>
        <v>0.06</v>
      </c>
      <c r="J32" s="406">
        <f t="shared" si="3"/>
        <v>5</v>
      </c>
      <c r="K32" s="406">
        <f t="shared" si="4"/>
        <v>3.54</v>
      </c>
      <c r="L32" s="407">
        <f t="shared" si="0"/>
        <v>8.5399999999999991</v>
      </c>
      <c r="M32" s="413">
        <v>0.8</v>
      </c>
      <c r="N32" s="403">
        <f t="shared" si="5"/>
        <v>10.674999999999999</v>
      </c>
      <c r="O32" s="230">
        <v>28</v>
      </c>
      <c r="P32" s="231">
        <v>28</v>
      </c>
      <c r="Q32" s="382">
        <f t="shared" si="6"/>
        <v>0.38</v>
      </c>
      <c r="R32" s="391">
        <v>1</v>
      </c>
      <c r="S32" s="440">
        <f t="shared" si="7"/>
        <v>1</v>
      </c>
      <c r="T32" s="409">
        <f t="shared" si="8"/>
        <v>1</v>
      </c>
      <c r="U32" s="409">
        <f t="shared" si="9"/>
        <v>1</v>
      </c>
      <c r="V32" s="409">
        <f t="shared" si="10"/>
        <v>1</v>
      </c>
      <c r="W32" s="265">
        <f t="shared" si="11"/>
        <v>0.89</v>
      </c>
      <c r="Y32" s="283">
        <f>IFERROR(IF(Instructions!$N$166=1,($AA32/1000)*$E32,($AA32/100)*$E32),0)</f>
        <v>0.29499999999999998</v>
      </c>
      <c r="Z32" s="371"/>
      <c r="AA32" s="284">
        <f>IFERROR(VLOOKUP($C32,Instructions!$C$73:$K$157,9,FALSE),0)</f>
        <v>5</v>
      </c>
      <c r="AB32" s="190" t="str">
        <f t="shared" si="12"/>
        <v>2506AF - Run Room</v>
      </c>
    </row>
    <row r="33" spans="1:28" s="126" customFormat="1" ht="13.15" customHeight="1" x14ac:dyDescent="0.25">
      <c r="A33" s="136">
        <f t="shared" si="2"/>
        <v>0</v>
      </c>
      <c r="B33" s="235" t="s">
        <v>337</v>
      </c>
      <c r="C33" s="489" t="s">
        <v>74</v>
      </c>
      <c r="D33" s="490"/>
      <c r="E33" s="227">
        <v>58</v>
      </c>
      <c r="F33" s="228" t="s">
        <v>311</v>
      </c>
      <c r="G33" s="371">
        <v>1</v>
      </c>
      <c r="H33" s="229">
        <f>IFERROR(IF(Instructions!$N$166=1,VLOOKUP(C33,Instructions!$C$73:$K$157,5,FALSE),VLOOKUP(C33,Instructions!$C$73:$K$157,6,FALSE)),0)</f>
        <v>5</v>
      </c>
      <c r="I33" s="229">
        <f>IFERROR(IF(Instructions!$N$166=1,VLOOKUP(C33,Instructions!$C$73:$K$157,7,FALSE),VLOOKUP(C33,Instructions!$C$73:$K$157,8,FALSE)),0)</f>
        <v>0.06</v>
      </c>
      <c r="J33" s="406">
        <f t="shared" si="3"/>
        <v>5</v>
      </c>
      <c r="K33" s="406">
        <f t="shared" si="4"/>
        <v>3.48</v>
      </c>
      <c r="L33" s="407">
        <f t="shared" si="0"/>
        <v>8.48</v>
      </c>
      <c r="M33" s="413">
        <v>0.8</v>
      </c>
      <c r="N33" s="403">
        <f t="shared" si="5"/>
        <v>10.6</v>
      </c>
      <c r="O33" s="230">
        <v>28</v>
      </c>
      <c r="P33" s="231">
        <v>28</v>
      </c>
      <c r="Q33" s="382">
        <f t="shared" si="6"/>
        <v>0.38</v>
      </c>
      <c r="R33" s="391">
        <v>1</v>
      </c>
      <c r="S33" s="440">
        <f t="shared" si="7"/>
        <v>1</v>
      </c>
      <c r="T33" s="409">
        <f t="shared" si="8"/>
        <v>1</v>
      </c>
      <c r="U33" s="409">
        <f t="shared" si="9"/>
        <v>1</v>
      </c>
      <c r="V33" s="409">
        <f t="shared" si="10"/>
        <v>1</v>
      </c>
      <c r="W33" s="265">
        <f t="shared" si="11"/>
        <v>0.89</v>
      </c>
      <c r="Y33" s="283">
        <f>IFERROR(IF(Instructions!$N$166=1,($AA33/1000)*$E33,($AA33/100)*$E33),0)</f>
        <v>0.28999999999999998</v>
      </c>
      <c r="Z33" s="371"/>
      <c r="AA33" s="284">
        <f>IFERROR(VLOOKUP($C33,Instructions!$C$73:$K$157,9,FALSE),0)</f>
        <v>5</v>
      </c>
      <c r="AB33" s="190" t="str">
        <f t="shared" si="12"/>
        <v>2506AG - Run Room</v>
      </c>
    </row>
    <row r="34" spans="1:28" s="126" customFormat="1" ht="13.15" customHeight="1" x14ac:dyDescent="0.25">
      <c r="A34" s="136">
        <f t="shared" si="2"/>
        <v>0</v>
      </c>
      <c r="B34" s="235" t="s">
        <v>338</v>
      </c>
      <c r="C34" s="489" t="s">
        <v>74</v>
      </c>
      <c r="D34" s="490"/>
      <c r="E34" s="227">
        <v>57</v>
      </c>
      <c r="F34" s="228" t="s">
        <v>311</v>
      </c>
      <c r="G34" s="371">
        <v>1</v>
      </c>
      <c r="H34" s="229">
        <f>IFERROR(IF(Instructions!$N$166=1,VLOOKUP(C34,Instructions!$C$73:$K$157,5,FALSE),VLOOKUP(C34,Instructions!$C$73:$K$157,6,FALSE)),0)</f>
        <v>5</v>
      </c>
      <c r="I34" s="229">
        <f>IFERROR(IF(Instructions!$N$166=1,VLOOKUP(C34,Instructions!$C$73:$K$157,7,FALSE),VLOOKUP(C34,Instructions!$C$73:$K$157,8,FALSE)),0)</f>
        <v>0.06</v>
      </c>
      <c r="J34" s="406">
        <f t="shared" si="3"/>
        <v>5</v>
      </c>
      <c r="K34" s="406">
        <f t="shared" si="4"/>
        <v>3.42</v>
      </c>
      <c r="L34" s="407">
        <f t="shared" si="0"/>
        <v>8.42</v>
      </c>
      <c r="M34" s="413">
        <v>0.8</v>
      </c>
      <c r="N34" s="403">
        <f t="shared" si="5"/>
        <v>10.524999999999999</v>
      </c>
      <c r="O34" s="230">
        <v>27</v>
      </c>
      <c r="P34" s="231">
        <v>27</v>
      </c>
      <c r="Q34" s="382">
        <f t="shared" si="6"/>
        <v>0.39</v>
      </c>
      <c r="R34" s="391">
        <v>1</v>
      </c>
      <c r="S34" s="440">
        <f t="shared" si="7"/>
        <v>1</v>
      </c>
      <c r="T34" s="409">
        <f t="shared" si="8"/>
        <v>1</v>
      </c>
      <c r="U34" s="409">
        <f t="shared" si="9"/>
        <v>1</v>
      </c>
      <c r="V34" s="409">
        <f t="shared" si="10"/>
        <v>1</v>
      </c>
      <c r="W34" s="265">
        <f t="shared" si="11"/>
        <v>0.88</v>
      </c>
      <c r="Y34" s="283">
        <f>IFERROR(IF(Instructions!$N$166=1,($AA34/1000)*$E34,($AA34/100)*$E34),0)</f>
        <v>0.28500000000000003</v>
      </c>
      <c r="Z34" s="371"/>
      <c r="AA34" s="284">
        <f>IFERROR(VLOOKUP($C34,Instructions!$C$73:$K$157,9,FALSE),0)</f>
        <v>5</v>
      </c>
      <c r="AB34" s="190" t="str">
        <f t="shared" si="12"/>
        <v>2506AH - Run Room</v>
      </c>
    </row>
    <row r="35" spans="1:28" s="126" customFormat="1" ht="13.15" customHeight="1" x14ac:dyDescent="0.25">
      <c r="A35" s="136">
        <f t="shared" si="2"/>
        <v>0</v>
      </c>
      <c r="B35" s="235" t="s">
        <v>339</v>
      </c>
      <c r="C35" s="489" t="s">
        <v>74</v>
      </c>
      <c r="D35" s="490"/>
      <c r="E35" s="227">
        <v>502</v>
      </c>
      <c r="F35" s="228" t="s">
        <v>311</v>
      </c>
      <c r="G35" s="371">
        <v>8</v>
      </c>
      <c r="H35" s="229">
        <f>IFERROR(IF(Instructions!$N$166=1,VLOOKUP(C35,Instructions!$C$73:$K$157,5,FALSE),VLOOKUP(C35,Instructions!$C$73:$K$157,6,FALSE)),0)</f>
        <v>5</v>
      </c>
      <c r="I35" s="229">
        <f>IFERROR(IF(Instructions!$N$166=1,VLOOKUP(C35,Instructions!$C$73:$K$157,7,FALSE),VLOOKUP(C35,Instructions!$C$73:$K$157,8,FALSE)),0)</f>
        <v>0.06</v>
      </c>
      <c r="J35" s="406">
        <f t="shared" si="3"/>
        <v>40</v>
      </c>
      <c r="K35" s="406">
        <f t="shared" si="4"/>
        <v>30.12</v>
      </c>
      <c r="L35" s="407">
        <f t="shared" si="0"/>
        <v>70.12</v>
      </c>
      <c r="M35" s="413">
        <v>0.8</v>
      </c>
      <c r="N35" s="403">
        <f t="shared" si="5"/>
        <v>87.65</v>
      </c>
      <c r="O35" s="230">
        <v>228</v>
      </c>
      <c r="P35" s="231">
        <v>228</v>
      </c>
      <c r="Q35" s="382">
        <f t="shared" si="6"/>
        <v>0.38</v>
      </c>
      <c r="R35" s="391">
        <v>1</v>
      </c>
      <c r="S35" s="440">
        <f t="shared" si="7"/>
        <v>1</v>
      </c>
      <c r="T35" s="409">
        <f t="shared" si="8"/>
        <v>1</v>
      </c>
      <c r="U35" s="409">
        <f t="shared" si="9"/>
        <v>1</v>
      </c>
      <c r="V35" s="409">
        <f t="shared" si="10"/>
        <v>1</v>
      </c>
      <c r="W35" s="265">
        <f t="shared" si="11"/>
        <v>0.89</v>
      </c>
      <c r="Y35" s="283">
        <f>IFERROR(IF(Instructions!$N$166=1,($AA35/1000)*$E35,($AA35/100)*$E35),0)</f>
        <v>2.5100000000000002</v>
      </c>
      <c r="Z35" s="371"/>
      <c r="AA35" s="284">
        <f>IFERROR(VLOOKUP($C35,Instructions!$C$73:$K$157,9,FALSE),0)</f>
        <v>5</v>
      </c>
      <c r="AB35" s="190" t="str">
        <f t="shared" si="12"/>
        <v>2510 - Shell Space</v>
      </c>
    </row>
    <row r="36" spans="1:28" s="126" customFormat="1" ht="13.15" customHeight="1" x14ac:dyDescent="0.25">
      <c r="A36" s="136">
        <f t="shared" si="2"/>
        <v>0</v>
      </c>
      <c r="B36" s="235" t="s">
        <v>340</v>
      </c>
      <c r="C36" s="489" t="s">
        <v>155</v>
      </c>
      <c r="D36" s="490"/>
      <c r="E36" s="227">
        <v>101</v>
      </c>
      <c r="F36" s="228" t="s">
        <v>311</v>
      </c>
      <c r="G36" s="371">
        <v>0</v>
      </c>
      <c r="H36" s="229">
        <f>IFERROR(IF(Instructions!$N$166=1,VLOOKUP(C36,Instructions!$C$73:$K$157,5,FALSE),VLOOKUP(C36,Instructions!$C$73:$K$157,6,FALSE)),0)</f>
        <v>5</v>
      </c>
      <c r="I36" s="229">
        <f>IFERROR(IF(Instructions!$N$166=1,VLOOKUP(C36,Instructions!$C$73:$K$157,7,FALSE),VLOOKUP(C36,Instructions!$C$73:$K$157,8,FALSE)),0)</f>
        <v>0.06</v>
      </c>
      <c r="J36" s="406">
        <f t="shared" si="3"/>
        <v>0</v>
      </c>
      <c r="K36" s="406">
        <f t="shared" si="4"/>
        <v>6.06</v>
      </c>
      <c r="L36" s="407">
        <f t="shared" si="0"/>
        <v>6.06</v>
      </c>
      <c r="M36" s="413">
        <v>0.8</v>
      </c>
      <c r="N36" s="403">
        <f t="shared" si="5"/>
        <v>7.5749999999999993</v>
      </c>
      <c r="O36" s="230">
        <v>39</v>
      </c>
      <c r="P36" s="231">
        <v>39</v>
      </c>
      <c r="Q36" s="382">
        <f t="shared" si="6"/>
        <v>0.19</v>
      </c>
      <c r="R36" s="391">
        <v>1</v>
      </c>
      <c r="S36" s="440">
        <f t="shared" si="7"/>
        <v>1</v>
      </c>
      <c r="T36" s="409">
        <f t="shared" si="8"/>
        <v>1</v>
      </c>
      <c r="U36" s="409">
        <f t="shared" si="9"/>
        <v>1</v>
      </c>
      <c r="V36" s="409">
        <f t="shared" si="10"/>
        <v>1</v>
      </c>
      <c r="W36" s="265">
        <f t="shared" si="11"/>
        <v>1.08</v>
      </c>
      <c r="Y36" s="283">
        <f>IFERROR(IF(Instructions!$N$166=1,($AA36/1000)*$E36,($AA36/100)*$E36),0)</f>
        <v>0.20200000000000001</v>
      </c>
      <c r="Z36" s="371"/>
      <c r="AA36" s="284">
        <f>IFERROR(VLOOKUP($C36,Instructions!$C$73:$K$157,9,FALSE),0)</f>
        <v>2</v>
      </c>
      <c r="AB36" s="190" t="str">
        <f t="shared" si="12"/>
        <v>2514 - Record Storage</v>
      </c>
    </row>
    <row r="37" spans="1:28" s="126" customFormat="1" ht="13.15" customHeight="1" x14ac:dyDescent="0.25">
      <c r="A37" s="136">
        <f t="shared" si="2"/>
        <v>0</v>
      </c>
      <c r="B37" s="235" t="s">
        <v>341</v>
      </c>
      <c r="C37" s="489" t="s">
        <v>74</v>
      </c>
      <c r="D37" s="490"/>
      <c r="E37" s="227">
        <v>122</v>
      </c>
      <c r="F37" s="228" t="s">
        <v>311</v>
      </c>
      <c r="G37" s="371">
        <v>3</v>
      </c>
      <c r="H37" s="229">
        <f>IFERROR(IF(Instructions!$N$166=1,VLOOKUP(C37,Instructions!$C$73:$K$157,5,FALSE),VLOOKUP(C37,Instructions!$C$73:$K$157,6,FALSE)),0)</f>
        <v>5</v>
      </c>
      <c r="I37" s="229">
        <f>IFERROR(IF(Instructions!$N$166=1,VLOOKUP(C37,Instructions!$C$73:$K$157,7,FALSE),VLOOKUP(C37,Instructions!$C$73:$K$157,8,FALSE)),0)</f>
        <v>0.06</v>
      </c>
      <c r="J37" s="406">
        <f t="shared" si="3"/>
        <v>15</v>
      </c>
      <c r="K37" s="406">
        <f t="shared" si="4"/>
        <v>7.32</v>
      </c>
      <c r="L37" s="407">
        <f t="shared" si="0"/>
        <v>22.32</v>
      </c>
      <c r="M37" s="413">
        <v>0.8</v>
      </c>
      <c r="N37" s="403">
        <f t="shared" si="5"/>
        <v>27.9</v>
      </c>
      <c r="O37" s="230">
        <v>73</v>
      </c>
      <c r="P37" s="231">
        <v>73</v>
      </c>
      <c r="Q37" s="382">
        <f t="shared" si="6"/>
        <v>0.38</v>
      </c>
      <c r="R37" s="391">
        <v>1</v>
      </c>
      <c r="S37" s="440">
        <f t="shared" si="7"/>
        <v>1</v>
      </c>
      <c r="T37" s="409">
        <f t="shared" si="8"/>
        <v>1</v>
      </c>
      <c r="U37" s="409">
        <f t="shared" si="9"/>
        <v>1</v>
      </c>
      <c r="V37" s="409">
        <f t="shared" si="10"/>
        <v>1</v>
      </c>
      <c r="W37" s="265">
        <f t="shared" si="11"/>
        <v>0.89</v>
      </c>
      <c r="Y37" s="283">
        <f>IFERROR(IF(Instructions!$N$166=1,($AA37/1000)*$E37,($AA37/100)*$E37),0)</f>
        <v>0.61</v>
      </c>
      <c r="Z37" s="371"/>
      <c r="AA37" s="284">
        <f>IFERROR(VLOOKUP($C37,Instructions!$C$73:$K$157,9,FALSE),0)</f>
        <v>5</v>
      </c>
      <c r="AB37" s="190" t="str">
        <f t="shared" si="12"/>
        <v>2516 - RA Data Analysis Mood</v>
      </c>
    </row>
    <row r="38" spans="1:28" s="126" customFormat="1" ht="13.15" customHeight="1" x14ac:dyDescent="0.25">
      <c r="A38" s="136">
        <f t="shared" si="2"/>
        <v>0</v>
      </c>
      <c r="B38" s="235" t="s">
        <v>342</v>
      </c>
      <c r="C38" s="489" t="s">
        <v>74</v>
      </c>
      <c r="D38" s="490"/>
      <c r="E38" s="227">
        <v>137</v>
      </c>
      <c r="F38" s="228" t="s">
        <v>311</v>
      </c>
      <c r="G38" s="371">
        <v>2</v>
      </c>
      <c r="H38" s="229">
        <f>IFERROR(IF(Instructions!$N$166=1,VLOOKUP(C38,Instructions!$C$73:$K$157,5,FALSE),VLOOKUP(C38,Instructions!$C$73:$K$157,6,FALSE)),0)</f>
        <v>5</v>
      </c>
      <c r="I38" s="229">
        <f>IFERROR(IF(Instructions!$N$166=1,VLOOKUP(C38,Instructions!$C$73:$K$157,7,FALSE),VLOOKUP(C38,Instructions!$C$73:$K$157,8,FALSE)),0)</f>
        <v>0.06</v>
      </c>
      <c r="J38" s="406">
        <f t="shared" si="3"/>
        <v>10</v>
      </c>
      <c r="K38" s="406">
        <f t="shared" si="4"/>
        <v>8.2200000000000006</v>
      </c>
      <c r="L38" s="407">
        <f t="shared" si="0"/>
        <v>18.22</v>
      </c>
      <c r="M38" s="413">
        <v>0.8</v>
      </c>
      <c r="N38" s="403">
        <f t="shared" si="5"/>
        <v>22.774999999999999</v>
      </c>
      <c r="O38" s="230">
        <v>93</v>
      </c>
      <c r="P38" s="231">
        <v>93</v>
      </c>
      <c r="Q38" s="382">
        <f t="shared" si="6"/>
        <v>0.24</v>
      </c>
      <c r="R38" s="391">
        <v>1</v>
      </c>
      <c r="S38" s="440">
        <f t="shared" si="7"/>
        <v>1</v>
      </c>
      <c r="T38" s="409">
        <f t="shared" si="8"/>
        <v>1</v>
      </c>
      <c r="U38" s="409">
        <f t="shared" si="9"/>
        <v>1</v>
      </c>
      <c r="V38" s="409">
        <f t="shared" si="10"/>
        <v>1</v>
      </c>
      <c r="W38" s="265">
        <f t="shared" si="11"/>
        <v>1.03</v>
      </c>
      <c r="Y38" s="283">
        <f>IFERROR(IF(Instructions!$N$166=1,($AA38/1000)*$E38,($AA38/100)*$E38),0)</f>
        <v>0.68500000000000005</v>
      </c>
      <c r="Z38" s="371"/>
      <c r="AA38" s="284">
        <f>IFERROR(VLOOKUP($C38,Instructions!$C$73:$K$157,9,FALSE),0)</f>
        <v>5</v>
      </c>
      <c r="AB38" s="190" t="str">
        <f t="shared" si="12"/>
        <v>2522 - Experiment Room Treadmill</v>
      </c>
    </row>
    <row r="39" spans="1:28" s="126" customFormat="1" ht="13.15" customHeight="1" x14ac:dyDescent="0.25">
      <c r="A39" s="136">
        <f t="shared" si="2"/>
        <v>0</v>
      </c>
      <c r="B39" s="235" t="s">
        <v>343</v>
      </c>
      <c r="C39" s="489" t="s">
        <v>74</v>
      </c>
      <c r="D39" s="490"/>
      <c r="E39" s="227">
        <v>75</v>
      </c>
      <c r="F39" s="228" t="s">
        <v>311</v>
      </c>
      <c r="G39" s="371">
        <v>2</v>
      </c>
      <c r="H39" s="229">
        <f>IFERROR(IF(Instructions!$N$166=1,VLOOKUP(C39,Instructions!$C$73:$K$157,5,FALSE),VLOOKUP(C39,Instructions!$C$73:$K$157,6,FALSE)),0)</f>
        <v>5</v>
      </c>
      <c r="I39" s="229">
        <f>IFERROR(IF(Instructions!$N$166=1,VLOOKUP(C39,Instructions!$C$73:$K$157,7,FALSE),VLOOKUP(C39,Instructions!$C$73:$K$157,8,FALSE)),0)</f>
        <v>0.06</v>
      </c>
      <c r="J39" s="406">
        <f t="shared" si="3"/>
        <v>10</v>
      </c>
      <c r="K39" s="406">
        <f t="shared" si="4"/>
        <v>4.5</v>
      </c>
      <c r="L39" s="407">
        <f t="shared" si="0"/>
        <v>14.5</v>
      </c>
      <c r="M39" s="413">
        <v>0.8</v>
      </c>
      <c r="N39" s="403">
        <f t="shared" si="5"/>
        <v>18.125</v>
      </c>
      <c r="O39" s="230">
        <v>47</v>
      </c>
      <c r="P39" s="231">
        <v>47</v>
      </c>
      <c r="Q39" s="382">
        <f t="shared" si="6"/>
        <v>0.39</v>
      </c>
      <c r="R39" s="391">
        <v>1</v>
      </c>
      <c r="S39" s="440">
        <f t="shared" si="7"/>
        <v>1</v>
      </c>
      <c r="T39" s="409">
        <f t="shared" si="8"/>
        <v>1</v>
      </c>
      <c r="U39" s="409">
        <f t="shared" si="9"/>
        <v>1</v>
      </c>
      <c r="V39" s="409">
        <f t="shared" si="10"/>
        <v>1</v>
      </c>
      <c r="W39" s="265">
        <f t="shared" si="11"/>
        <v>0.88</v>
      </c>
      <c r="Y39" s="283">
        <f>IFERROR(IF(Instructions!$N$166=1,($AA39/1000)*$E39,($AA39/100)*$E39),0)</f>
        <v>0.375</v>
      </c>
      <c r="Z39" s="371"/>
      <c r="AA39" s="284">
        <f>IFERROR(VLOOKUP($C39,Instructions!$C$73:$K$157,9,FALSE),0)</f>
        <v>5</v>
      </c>
      <c r="AB39" s="190" t="str">
        <f t="shared" si="12"/>
        <v>2526 - Clinical Treatment</v>
      </c>
    </row>
    <row r="40" spans="1:28" s="126" customFormat="1" ht="13.15" customHeight="1" x14ac:dyDescent="0.25">
      <c r="A40" s="136">
        <f t="shared" si="2"/>
        <v>0</v>
      </c>
      <c r="B40" s="235" t="s">
        <v>344</v>
      </c>
      <c r="C40" s="489" t="s">
        <v>74</v>
      </c>
      <c r="D40" s="490"/>
      <c r="E40" s="227">
        <v>149</v>
      </c>
      <c r="F40" s="228" t="s">
        <v>311</v>
      </c>
      <c r="G40" s="371">
        <v>6</v>
      </c>
      <c r="H40" s="229">
        <f>IFERROR(IF(Instructions!$N$166=1,VLOOKUP(C40,Instructions!$C$73:$K$157,5,FALSE),VLOOKUP(C40,Instructions!$C$73:$K$157,6,FALSE)),0)</f>
        <v>5</v>
      </c>
      <c r="I40" s="229">
        <f>IFERROR(IF(Instructions!$N$166=1,VLOOKUP(C40,Instructions!$C$73:$K$157,7,FALSE),VLOOKUP(C40,Instructions!$C$73:$K$157,8,FALSE)),0)</f>
        <v>0.06</v>
      </c>
      <c r="J40" s="406">
        <f t="shared" si="3"/>
        <v>30</v>
      </c>
      <c r="K40" s="406">
        <f t="shared" si="4"/>
        <v>8.94</v>
      </c>
      <c r="L40" s="407">
        <f t="shared" si="0"/>
        <v>38.94</v>
      </c>
      <c r="M40" s="413">
        <v>0.8</v>
      </c>
      <c r="N40" s="403">
        <f t="shared" si="5"/>
        <v>48.674999999999997</v>
      </c>
      <c r="O40" s="230">
        <v>130</v>
      </c>
      <c r="P40" s="231">
        <v>130</v>
      </c>
      <c r="Q40" s="382">
        <f t="shared" si="6"/>
        <v>0.37</v>
      </c>
      <c r="R40" s="391">
        <v>1</v>
      </c>
      <c r="S40" s="440">
        <f t="shared" si="7"/>
        <v>1</v>
      </c>
      <c r="T40" s="409">
        <f t="shared" si="8"/>
        <v>1</v>
      </c>
      <c r="U40" s="409">
        <f t="shared" si="9"/>
        <v>1</v>
      </c>
      <c r="V40" s="409">
        <f t="shared" si="10"/>
        <v>1</v>
      </c>
      <c r="W40" s="265">
        <f t="shared" si="11"/>
        <v>0.9</v>
      </c>
      <c r="Y40" s="283">
        <f>IFERROR(IF(Instructions!$N$166=1,($AA40/1000)*$E40,($AA40/100)*$E40),0)</f>
        <v>0.745</v>
      </c>
      <c r="Z40" s="371"/>
      <c r="AA40" s="284">
        <f>IFERROR(VLOOKUP($C40,Instructions!$C$73:$K$157,9,FALSE),0)</f>
        <v>5</v>
      </c>
      <c r="AB40" s="190" t="str">
        <f t="shared" si="12"/>
        <v>2528 - Clinical Treatment</v>
      </c>
    </row>
    <row r="41" spans="1:28" s="126" customFormat="1" ht="13.15" customHeight="1" x14ac:dyDescent="0.25">
      <c r="A41" s="136">
        <f t="shared" si="2"/>
        <v>0</v>
      </c>
      <c r="B41" s="235" t="s">
        <v>345</v>
      </c>
      <c r="C41" s="489" t="s">
        <v>74</v>
      </c>
      <c r="D41" s="490"/>
      <c r="E41" s="227">
        <v>103</v>
      </c>
      <c r="F41" s="228" t="s">
        <v>311</v>
      </c>
      <c r="G41" s="371">
        <v>2</v>
      </c>
      <c r="H41" s="229">
        <f>IFERROR(IF(Instructions!$N$166=1,VLOOKUP(C41,Instructions!$C$73:$K$157,5,FALSE),VLOOKUP(C41,Instructions!$C$73:$K$157,6,FALSE)),0)</f>
        <v>5</v>
      </c>
      <c r="I41" s="229">
        <f>IFERROR(IF(Instructions!$N$166=1,VLOOKUP(C41,Instructions!$C$73:$K$157,7,FALSE),VLOOKUP(C41,Instructions!$C$73:$K$157,8,FALSE)),0)</f>
        <v>0.06</v>
      </c>
      <c r="J41" s="406">
        <f t="shared" si="3"/>
        <v>10</v>
      </c>
      <c r="K41" s="406">
        <f t="shared" si="4"/>
        <v>6.18</v>
      </c>
      <c r="L41" s="407">
        <f t="shared" si="0"/>
        <v>16.18</v>
      </c>
      <c r="M41" s="413">
        <v>0.8</v>
      </c>
      <c r="N41" s="403">
        <f t="shared" si="5"/>
        <v>20.224999999999998</v>
      </c>
      <c r="O41" s="230">
        <v>79</v>
      </c>
      <c r="P41" s="231">
        <v>79</v>
      </c>
      <c r="Q41" s="382">
        <f t="shared" si="6"/>
        <v>0.26</v>
      </c>
      <c r="R41" s="391">
        <v>1</v>
      </c>
      <c r="S41" s="440">
        <f t="shared" si="7"/>
        <v>1</v>
      </c>
      <c r="T41" s="409">
        <f t="shared" si="8"/>
        <v>1</v>
      </c>
      <c r="U41" s="409">
        <f t="shared" si="9"/>
        <v>1</v>
      </c>
      <c r="V41" s="409">
        <f t="shared" si="10"/>
        <v>1</v>
      </c>
      <c r="W41" s="265">
        <f t="shared" si="11"/>
        <v>1.01</v>
      </c>
      <c r="Y41" s="283">
        <f>IFERROR(IF(Instructions!$N$166=1,($AA41/1000)*$E41,($AA41/100)*$E41),0)</f>
        <v>0.51500000000000001</v>
      </c>
      <c r="Z41" s="371"/>
      <c r="AA41" s="284">
        <f>IFERROR(VLOOKUP($C41,Instructions!$C$73:$K$157,9,FALSE),0)</f>
        <v>5</v>
      </c>
      <c r="AB41" s="190" t="str">
        <f t="shared" si="12"/>
        <v>2530 - Clinical Treatment</v>
      </c>
    </row>
    <row r="42" spans="1:28" s="126" customFormat="1" ht="13.15" customHeight="1" x14ac:dyDescent="0.25">
      <c r="A42" s="136">
        <f t="shared" si="2"/>
        <v>0</v>
      </c>
      <c r="B42" s="235" t="s">
        <v>346</v>
      </c>
      <c r="C42" s="489" t="s">
        <v>74</v>
      </c>
      <c r="D42" s="490"/>
      <c r="E42" s="227">
        <v>77</v>
      </c>
      <c r="F42" s="228" t="s">
        <v>311</v>
      </c>
      <c r="G42" s="371">
        <v>2</v>
      </c>
      <c r="H42" s="229">
        <f>IFERROR(IF(Instructions!$N$166=1,VLOOKUP(C42,Instructions!$C$73:$K$157,5,FALSE),VLOOKUP(C42,Instructions!$C$73:$K$157,6,FALSE)),0)</f>
        <v>5</v>
      </c>
      <c r="I42" s="229">
        <f>IFERROR(IF(Instructions!$N$166=1,VLOOKUP(C42,Instructions!$C$73:$K$157,7,FALSE),VLOOKUP(C42,Instructions!$C$73:$K$157,8,FALSE)),0)</f>
        <v>0.06</v>
      </c>
      <c r="J42" s="406">
        <f t="shared" si="3"/>
        <v>10</v>
      </c>
      <c r="K42" s="406">
        <f t="shared" si="4"/>
        <v>4.62</v>
      </c>
      <c r="L42" s="407">
        <f t="shared" si="0"/>
        <v>14.62</v>
      </c>
      <c r="M42" s="413">
        <v>0.8</v>
      </c>
      <c r="N42" s="403">
        <f t="shared" si="5"/>
        <v>18.274999999999999</v>
      </c>
      <c r="O42" s="230">
        <v>48</v>
      </c>
      <c r="P42" s="231">
        <v>48</v>
      </c>
      <c r="Q42" s="382">
        <f t="shared" si="6"/>
        <v>0.38</v>
      </c>
      <c r="R42" s="391">
        <v>1</v>
      </c>
      <c r="S42" s="440">
        <f t="shared" si="7"/>
        <v>1</v>
      </c>
      <c r="T42" s="409">
        <f t="shared" si="8"/>
        <v>1</v>
      </c>
      <c r="U42" s="409">
        <f t="shared" si="9"/>
        <v>1</v>
      </c>
      <c r="V42" s="409">
        <f t="shared" si="10"/>
        <v>1</v>
      </c>
      <c r="W42" s="265">
        <f t="shared" si="11"/>
        <v>0.89</v>
      </c>
      <c r="Y42" s="283">
        <f>IFERROR(IF(Instructions!$N$166=1,($AA42/1000)*$E42,($AA42/100)*$E42),0)</f>
        <v>0.38500000000000001</v>
      </c>
      <c r="Z42" s="371"/>
      <c r="AA42" s="284">
        <f>IFERROR(VLOOKUP($C42,Instructions!$C$73:$K$157,9,FALSE),0)</f>
        <v>5</v>
      </c>
      <c r="AB42" s="190" t="str">
        <f t="shared" si="12"/>
        <v>2532 - Phlebotomy</v>
      </c>
    </row>
    <row r="43" spans="1:28" s="126" customFormat="1" ht="13.15" customHeight="1" x14ac:dyDescent="0.25">
      <c r="A43" s="136">
        <f t="shared" si="2"/>
        <v>0</v>
      </c>
      <c r="B43" s="235" t="s">
        <v>347</v>
      </c>
      <c r="C43" s="489" t="s">
        <v>74</v>
      </c>
      <c r="D43" s="490"/>
      <c r="E43" s="227">
        <v>107</v>
      </c>
      <c r="F43" s="228" t="s">
        <v>311</v>
      </c>
      <c r="G43" s="371">
        <v>2</v>
      </c>
      <c r="H43" s="229">
        <f>IFERROR(IF(Instructions!$N$166=1,VLOOKUP(C43,Instructions!$C$73:$K$157,5,FALSE),VLOOKUP(C43,Instructions!$C$73:$K$157,6,FALSE)),0)</f>
        <v>5</v>
      </c>
      <c r="I43" s="229">
        <f>IFERROR(IF(Instructions!$N$166=1,VLOOKUP(C43,Instructions!$C$73:$K$157,7,FALSE),VLOOKUP(C43,Instructions!$C$73:$K$157,8,FALSE)),0)</f>
        <v>0.06</v>
      </c>
      <c r="J43" s="406">
        <f t="shared" si="3"/>
        <v>10</v>
      </c>
      <c r="K43" s="406">
        <f t="shared" si="4"/>
        <v>6.42</v>
      </c>
      <c r="L43" s="407">
        <f t="shared" si="0"/>
        <v>16.420000000000002</v>
      </c>
      <c r="M43" s="413">
        <v>0.8</v>
      </c>
      <c r="N43" s="403">
        <f t="shared" si="5"/>
        <v>20.525000000000002</v>
      </c>
      <c r="O43" s="230">
        <v>93</v>
      </c>
      <c r="P43" s="231">
        <v>93</v>
      </c>
      <c r="Q43" s="382">
        <f t="shared" si="6"/>
        <v>0.22</v>
      </c>
      <c r="R43" s="391">
        <v>1</v>
      </c>
      <c r="S43" s="440">
        <f t="shared" si="7"/>
        <v>1</v>
      </c>
      <c r="T43" s="409">
        <f t="shared" si="8"/>
        <v>1</v>
      </c>
      <c r="U43" s="409">
        <f t="shared" si="9"/>
        <v>1</v>
      </c>
      <c r="V43" s="409">
        <f t="shared" si="10"/>
        <v>1</v>
      </c>
      <c r="W43" s="265">
        <f t="shared" si="11"/>
        <v>1.05</v>
      </c>
      <c r="Y43" s="283">
        <f>IFERROR(IF(Instructions!$N$166=1,($AA43/1000)*$E43,($AA43/100)*$E43),0)</f>
        <v>0.53500000000000003</v>
      </c>
      <c r="Z43" s="371"/>
      <c r="AA43" s="284">
        <f>IFERROR(VLOOKUP($C43,Instructions!$C$73:$K$157,9,FALSE),0)</f>
        <v>5</v>
      </c>
      <c r="AB43" s="190" t="str">
        <f t="shared" si="12"/>
        <v>2534 - Clinical Treatment</v>
      </c>
    </row>
    <row r="44" spans="1:28" s="126" customFormat="1" ht="13.15" customHeight="1" x14ac:dyDescent="0.25">
      <c r="A44" s="136">
        <f t="shared" si="2"/>
        <v>0</v>
      </c>
      <c r="B44" s="235" t="s">
        <v>348</v>
      </c>
      <c r="C44" s="489" t="s">
        <v>155</v>
      </c>
      <c r="D44" s="490"/>
      <c r="E44" s="227">
        <v>135</v>
      </c>
      <c r="F44" s="228" t="s">
        <v>311</v>
      </c>
      <c r="G44" s="371">
        <v>0</v>
      </c>
      <c r="H44" s="229">
        <f>IFERROR(IF(Instructions!$N$166=1,VLOOKUP(C44,Instructions!$C$73:$K$157,5,FALSE),VLOOKUP(C44,Instructions!$C$73:$K$157,6,FALSE)),0)</f>
        <v>5</v>
      </c>
      <c r="I44" s="229">
        <f>IFERROR(IF(Instructions!$N$166=1,VLOOKUP(C44,Instructions!$C$73:$K$157,7,FALSE),VLOOKUP(C44,Instructions!$C$73:$K$157,8,FALSE)),0)</f>
        <v>0.06</v>
      </c>
      <c r="J44" s="406">
        <f t="shared" si="3"/>
        <v>0</v>
      </c>
      <c r="K44" s="406">
        <f t="shared" si="4"/>
        <v>8.1</v>
      </c>
      <c r="L44" s="407">
        <f t="shared" si="0"/>
        <v>8.1</v>
      </c>
      <c r="M44" s="413">
        <v>0.8</v>
      </c>
      <c r="N44" s="403">
        <f t="shared" si="5"/>
        <v>10.124999999999998</v>
      </c>
      <c r="O44" s="230">
        <v>53</v>
      </c>
      <c r="P44" s="231">
        <v>53</v>
      </c>
      <c r="Q44" s="382">
        <f t="shared" si="6"/>
        <v>0.19</v>
      </c>
      <c r="R44" s="391">
        <v>1</v>
      </c>
      <c r="S44" s="440">
        <f t="shared" si="7"/>
        <v>1</v>
      </c>
      <c r="T44" s="409">
        <f t="shared" si="8"/>
        <v>1</v>
      </c>
      <c r="U44" s="409">
        <f t="shared" si="9"/>
        <v>1</v>
      </c>
      <c r="V44" s="409">
        <f t="shared" si="10"/>
        <v>1</v>
      </c>
      <c r="W44" s="265">
        <f t="shared" si="11"/>
        <v>1.08</v>
      </c>
      <c r="Y44" s="283">
        <f>IFERROR(IF(Instructions!$N$166=1,($AA44/1000)*$E44,($AA44/100)*$E44),0)</f>
        <v>0.27</v>
      </c>
      <c r="Z44" s="371"/>
      <c r="AA44" s="284">
        <f>IFERROR(VLOOKUP($C44,Instructions!$C$73:$K$157,9,FALSE),0)</f>
        <v>2</v>
      </c>
      <c r="AB44" s="190" t="str">
        <f t="shared" si="12"/>
        <v>2536 - Freezer Cold Storage Room</v>
      </c>
    </row>
    <row r="45" spans="1:28" s="126" customFormat="1" ht="13.15" customHeight="1" x14ac:dyDescent="0.25">
      <c r="A45" s="136">
        <f t="shared" si="2"/>
        <v>0</v>
      </c>
      <c r="B45" s="235" t="s">
        <v>349</v>
      </c>
      <c r="C45" s="489" t="s">
        <v>74</v>
      </c>
      <c r="D45" s="490"/>
      <c r="E45" s="227">
        <v>107</v>
      </c>
      <c r="F45" s="228" t="s">
        <v>311</v>
      </c>
      <c r="G45" s="371">
        <v>2</v>
      </c>
      <c r="H45" s="229">
        <f>IFERROR(IF(Instructions!$N$166=1,VLOOKUP(C45,Instructions!$C$73:$K$157,5,FALSE),VLOOKUP(C45,Instructions!$C$73:$K$157,6,FALSE)),0)</f>
        <v>5</v>
      </c>
      <c r="I45" s="229">
        <f>IFERROR(IF(Instructions!$N$166=1,VLOOKUP(C45,Instructions!$C$73:$K$157,7,FALSE),VLOOKUP(C45,Instructions!$C$73:$K$157,8,FALSE)),0)</f>
        <v>0.06</v>
      </c>
      <c r="J45" s="406">
        <f t="shared" si="3"/>
        <v>10</v>
      </c>
      <c r="K45" s="406">
        <f t="shared" si="4"/>
        <v>6.42</v>
      </c>
      <c r="L45" s="407">
        <f t="shared" si="0"/>
        <v>16.420000000000002</v>
      </c>
      <c r="M45" s="413">
        <v>0.8</v>
      </c>
      <c r="N45" s="403">
        <f t="shared" si="5"/>
        <v>20.525000000000002</v>
      </c>
      <c r="O45" s="230">
        <v>93</v>
      </c>
      <c r="P45" s="231">
        <v>93</v>
      </c>
      <c r="Q45" s="382">
        <f t="shared" si="6"/>
        <v>0.22</v>
      </c>
      <c r="R45" s="391">
        <v>1</v>
      </c>
      <c r="S45" s="440">
        <f t="shared" si="7"/>
        <v>1</v>
      </c>
      <c r="T45" s="409">
        <f t="shared" si="8"/>
        <v>1</v>
      </c>
      <c r="U45" s="409">
        <f t="shared" si="9"/>
        <v>1</v>
      </c>
      <c r="V45" s="409">
        <f t="shared" si="10"/>
        <v>1</v>
      </c>
      <c r="W45" s="265">
        <f t="shared" si="11"/>
        <v>1.05</v>
      </c>
      <c r="Y45" s="283">
        <f>IFERROR(IF(Instructions!$N$166=1,($AA45/1000)*$E45,($AA45/100)*$E45),0)</f>
        <v>0.53500000000000003</v>
      </c>
      <c r="Z45" s="371"/>
      <c r="AA45" s="284">
        <f>IFERROR(VLOOKUP($C45,Instructions!$C$73:$K$157,9,FALSE),0)</f>
        <v>5</v>
      </c>
      <c r="AB45" s="190" t="str">
        <f t="shared" si="12"/>
        <v>2538 - Clinical Treatment</v>
      </c>
    </row>
    <row r="46" spans="1:28" s="126" customFormat="1" ht="13.15" customHeight="1" x14ac:dyDescent="0.25">
      <c r="A46" s="136">
        <f t="shared" si="2"/>
        <v>0</v>
      </c>
      <c r="B46" s="235" t="s">
        <v>350</v>
      </c>
      <c r="C46" s="489" t="s">
        <v>74</v>
      </c>
      <c r="D46" s="490"/>
      <c r="E46" s="227">
        <v>103</v>
      </c>
      <c r="F46" s="228" t="s">
        <v>311</v>
      </c>
      <c r="G46" s="371">
        <v>2</v>
      </c>
      <c r="H46" s="229">
        <f>IFERROR(IF(Instructions!$N$166=1,VLOOKUP(C46,Instructions!$C$73:$K$157,5,FALSE),VLOOKUP(C46,Instructions!$C$73:$K$157,6,FALSE)),0)</f>
        <v>5</v>
      </c>
      <c r="I46" s="229">
        <f>IFERROR(IF(Instructions!$N$166=1,VLOOKUP(C46,Instructions!$C$73:$K$157,7,FALSE),VLOOKUP(C46,Instructions!$C$73:$K$157,8,FALSE)),0)</f>
        <v>0.06</v>
      </c>
      <c r="J46" s="406">
        <f t="shared" si="3"/>
        <v>10</v>
      </c>
      <c r="K46" s="406">
        <f t="shared" si="4"/>
        <v>6.18</v>
      </c>
      <c r="L46" s="407">
        <f t="shared" ref="L46:L77" si="13">TRUNC(IFERROR(IF(credit=2,SUM(J46:K46),SUM(J46:K46)*1.3),0),2)</f>
        <v>16.18</v>
      </c>
      <c r="M46" s="413">
        <v>0.8</v>
      </c>
      <c r="N46" s="403">
        <f t="shared" si="5"/>
        <v>20.224999999999998</v>
      </c>
      <c r="O46" s="230">
        <v>53</v>
      </c>
      <c r="P46" s="231">
        <v>53</v>
      </c>
      <c r="Q46" s="382">
        <f t="shared" si="6"/>
        <v>0.38</v>
      </c>
      <c r="R46" s="391">
        <v>1</v>
      </c>
      <c r="S46" s="440">
        <f t="shared" si="7"/>
        <v>1</v>
      </c>
      <c r="T46" s="409">
        <f t="shared" si="8"/>
        <v>1</v>
      </c>
      <c r="U46" s="409">
        <f t="shared" si="9"/>
        <v>1</v>
      </c>
      <c r="V46" s="409">
        <f t="shared" si="10"/>
        <v>1</v>
      </c>
      <c r="W46" s="265">
        <f t="shared" si="11"/>
        <v>0.89</v>
      </c>
      <c r="Y46" s="283">
        <f>IFERROR(IF(Instructions!$N$166=1,($AA46/1000)*$E46,($AA46/100)*$E46),0)</f>
        <v>0.51500000000000001</v>
      </c>
      <c r="Z46" s="371"/>
      <c r="AA46" s="284">
        <f>IFERROR(VLOOKUP($C46,Instructions!$C$73:$K$157,9,FALSE),0)</f>
        <v>5</v>
      </c>
      <c r="AB46" s="190" t="str">
        <f t="shared" si="12"/>
        <v>2540 - Clinical Treatment</v>
      </c>
    </row>
    <row r="47" spans="1:28" s="126" customFormat="1" ht="13.15" customHeight="1" x14ac:dyDescent="0.25">
      <c r="A47" s="136">
        <f t="shared" si="2"/>
        <v>0</v>
      </c>
      <c r="B47" s="235" t="s">
        <v>351</v>
      </c>
      <c r="C47" s="489" t="s">
        <v>74</v>
      </c>
      <c r="D47" s="490"/>
      <c r="E47" s="227">
        <v>103</v>
      </c>
      <c r="F47" s="228" t="s">
        <v>311</v>
      </c>
      <c r="G47" s="371">
        <v>2</v>
      </c>
      <c r="H47" s="229">
        <f>IFERROR(IF(Instructions!$N$166=1,VLOOKUP(C47,Instructions!$C$73:$K$157,5,FALSE),VLOOKUP(C47,Instructions!$C$73:$K$157,6,FALSE)),0)</f>
        <v>5</v>
      </c>
      <c r="I47" s="229">
        <f>IFERROR(IF(Instructions!$N$166=1,VLOOKUP(C47,Instructions!$C$73:$K$157,7,FALSE),VLOOKUP(C47,Instructions!$C$73:$K$157,8,FALSE)),0)</f>
        <v>0.06</v>
      </c>
      <c r="J47" s="406">
        <f t="shared" si="3"/>
        <v>10</v>
      </c>
      <c r="K47" s="406">
        <f t="shared" si="4"/>
        <v>6.18</v>
      </c>
      <c r="L47" s="407">
        <f t="shared" si="13"/>
        <v>16.18</v>
      </c>
      <c r="M47" s="413">
        <v>0.8</v>
      </c>
      <c r="N47" s="403">
        <f t="shared" si="5"/>
        <v>20.224999999999998</v>
      </c>
      <c r="O47" s="230">
        <v>79</v>
      </c>
      <c r="P47" s="231">
        <v>79</v>
      </c>
      <c r="Q47" s="382">
        <f t="shared" si="6"/>
        <v>0.26</v>
      </c>
      <c r="R47" s="391">
        <v>1</v>
      </c>
      <c r="S47" s="440">
        <f t="shared" si="7"/>
        <v>1</v>
      </c>
      <c r="T47" s="409">
        <f t="shared" si="8"/>
        <v>1</v>
      </c>
      <c r="U47" s="409">
        <f t="shared" si="9"/>
        <v>1</v>
      </c>
      <c r="V47" s="409">
        <f t="shared" si="10"/>
        <v>1</v>
      </c>
      <c r="W47" s="265">
        <f t="shared" si="11"/>
        <v>1.01</v>
      </c>
      <c r="Y47" s="283">
        <f>IFERROR(IF(Instructions!$N$166=1,($AA47/1000)*$E47,($AA47/100)*$E47),0)</f>
        <v>0.51500000000000001</v>
      </c>
      <c r="Z47" s="371"/>
      <c r="AA47" s="284">
        <f>IFERROR(VLOOKUP($C47,Instructions!$C$73:$K$157,9,FALSE),0)</f>
        <v>5</v>
      </c>
      <c r="AB47" s="190" t="str">
        <f t="shared" si="12"/>
        <v>2542 - Clinical Treatment</v>
      </c>
    </row>
    <row r="48" spans="1:28" s="126" customFormat="1" ht="13.15" customHeight="1" x14ac:dyDescent="0.25">
      <c r="A48" s="136">
        <f t="shared" si="2"/>
        <v>0</v>
      </c>
      <c r="B48" s="235" t="s">
        <v>352</v>
      </c>
      <c r="C48" s="489" t="s">
        <v>74</v>
      </c>
      <c r="D48" s="490"/>
      <c r="E48" s="227">
        <v>108</v>
      </c>
      <c r="F48" s="228" t="s">
        <v>311</v>
      </c>
      <c r="G48" s="371">
        <v>1</v>
      </c>
      <c r="H48" s="229">
        <f>IFERROR(IF(Instructions!$N$166=1,VLOOKUP(C48,Instructions!$C$73:$K$157,5,FALSE),VLOOKUP(C48,Instructions!$C$73:$K$157,6,FALSE)),0)</f>
        <v>5</v>
      </c>
      <c r="I48" s="229">
        <f>IFERROR(IF(Instructions!$N$166=1,VLOOKUP(C48,Instructions!$C$73:$K$157,7,FALSE),VLOOKUP(C48,Instructions!$C$73:$K$157,8,FALSE)),0)</f>
        <v>0.06</v>
      </c>
      <c r="J48" s="406">
        <f t="shared" si="3"/>
        <v>5</v>
      </c>
      <c r="K48" s="406">
        <f t="shared" si="4"/>
        <v>6.48</v>
      </c>
      <c r="L48" s="407">
        <f t="shared" si="13"/>
        <v>11.48</v>
      </c>
      <c r="M48" s="413">
        <v>0.8</v>
      </c>
      <c r="N48" s="403">
        <f t="shared" si="5"/>
        <v>14.35</v>
      </c>
      <c r="O48" s="230">
        <v>55</v>
      </c>
      <c r="P48" s="231">
        <v>55</v>
      </c>
      <c r="Q48" s="382">
        <f t="shared" si="6"/>
        <v>0.26</v>
      </c>
      <c r="R48" s="391">
        <v>1</v>
      </c>
      <c r="S48" s="440">
        <f t="shared" si="7"/>
        <v>1</v>
      </c>
      <c r="T48" s="409">
        <f t="shared" si="8"/>
        <v>1</v>
      </c>
      <c r="U48" s="409">
        <f t="shared" si="9"/>
        <v>1</v>
      </c>
      <c r="V48" s="409">
        <f t="shared" si="10"/>
        <v>1</v>
      </c>
      <c r="W48" s="265">
        <f t="shared" si="11"/>
        <v>1.01</v>
      </c>
      <c r="Y48" s="283">
        <f>IFERROR(IF(Instructions!$N$166=1,($AA48/1000)*$E48,($AA48/100)*$E48),0)</f>
        <v>0.54</v>
      </c>
      <c r="Z48" s="371"/>
      <c r="AA48" s="284">
        <f>IFERROR(VLOOKUP($C48,Instructions!$C$73:$K$157,9,FALSE),0)</f>
        <v>5</v>
      </c>
      <c r="AB48" s="190" t="str">
        <f t="shared" si="12"/>
        <v>2544 - Experiment Room Sleep Study</v>
      </c>
    </row>
    <row r="49" spans="1:28" s="126" customFormat="1" ht="13.15" customHeight="1" x14ac:dyDescent="0.25">
      <c r="A49" s="136">
        <f t="shared" si="2"/>
        <v>0</v>
      </c>
      <c r="B49" s="235" t="s">
        <v>353</v>
      </c>
      <c r="C49" s="489" t="s">
        <v>74</v>
      </c>
      <c r="D49" s="490"/>
      <c r="E49" s="227">
        <v>222</v>
      </c>
      <c r="F49" s="228" t="s">
        <v>311</v>
      </c>
      <c r="G49" s="371">
        <v>3</v>
      </c>
      <c r="H49" s="229">
        <f>IFERROR(IF(Instructions!$N$166=1,VLOOKUP(C49,Instructions!$C$73:$K$157,5,FALSE),VLOOKUP(C49,Instructions!$C$73:$K$157,6,FALSE)),0)</f>
        <v>5</v>
      </c>
      <c r="I49" s="229">
        <f>IFERROR(IF(Instructions!$N$166=1,VLOOKUP(C49,Instructions!$C$73:$K$157,7,FALSE),VLOOKUP(C49,Instructions!$C$73:$K$157,8,FALSE)),0)</f>
        <v>0.06</v>
      </c>
      <c r="J49" s="406">
        <f t="shared" si="3"/>
        <v>15</v>
      </c>
      <c r="K49" s="406">
        <f t="shared" si="4"/>
        <v>13.32</v>
      </c>
      <c r="L49" s="407">
        <f t="shared" si="13"/>
        <v>28.32</v>
      </c>
      <c r="M49" s="413">
        <v>0.8</v>
      </c>
      <c r="N49" s="403">
        <f t="shared" si="5"/>
        <v>35.4</v>
      </c>
      <c r="O49" s="230">
        <v>92</v>
      </c>
      <c r="P49" s="231">
        <v>92</v>
      </c>
      <c r="Q49" s="382">
        <f t="shared" si="6"/>
        <v>0.38</v>
      </c>
      <c r="R49" s="391">
        <v>1</v>
      </c>
      <c r="S49" s="440">
        <f t="shared" si="7"/>
        <v>1</v>
      </c>
      <c r="T49" s="409">
        <f t="shared" si="8"/>
        <v>1</v>
      </c>
      <c r="U49" s="409">
        <f t="shared" si="9"/>
        <v>1</v>
      </c>
      <c r="V49" s="409">
        <f t="shared" si="10"/>
        <v>1</v>
      </c>
      <c r="W49" s="265">
        <f t="shared" si="11"/>
        <v>0.89</v>
      </c>
      <c r="Y49" s="283">
        <f>IFERROR(IF(Instructions!$N$166=1,($AA49/1000)*$E49,($AA49/100)*$E49),0)</f>
        <v>1.1100000000000001</v>
      </c>
      <c r="Z49" s="371"/>
      <c r="AA49" s="284">
        <f>IFERROR(VLOOKUP($C49,Instructions!$C$73:$K$157,9,FALSE),0)</f>
        <v>5</v>
      </c>
      <c r="AB49" s="190" t="str">
        <f t="shared" si="12"/>
        <v>2546 - Control Room Sleep Study</v>
      </c>
    </row>
    <row r="50" spans="1:28" s="126" customFormat="1" ht="13.15" customHeight="1" x14ac:dyDescent="0.25">
      <c r="A50" s="136">
        <f t="shared" si="2"/>
        <v>0</v>
      </c>
      <c r="B50" s="235" t="s">
        <v>354</v>
      </c>
      <c r="C50" s="489" t="s">
        <v>74</v>
      </c>
      <c r="D50" s="490"/>
      <c r="E50" s="227">
        <v>60</v>
      </c>
      <c r="F50" s="228" t="s">
        <v>311</v>
      </c>
      <c r="G50" s="371">
        <v>1</v>
      </c>
      <c r="H50" s="229">
        <f>IFERROR(IF(Instructions!$N$166=1,VLOOKUP(C50,Instructions!$C$73:$K$157,5,FALSE),VLOOKUP(C50,Instructions!$C$73:$K$157,6,FALSE)),0)</f>
        <v>5</v>
      </c>
      <c r="I50" s="229">
        <f>IFERROR(IF(Instructions!$N$166=1,VLOOKUP(C50,Instructions!$C$73:$K$157,7,FALSE),VLOOKUP(C50,Instructions!$C$73:$K$157,8,FALSE)),0)</f>
        <v>0.06</v>
      </c>
      <c r="J50" s="406">
        <f t="shared" si="3"/>
        <v>5</v>
      </c>
      <c r="K50" s="406">
        <f t="shared" si="4"/>
        <v>3.6</v>
      </c>
      <c r="L50" s="407">
        <f t="shared" si="13"/>
        <v>8.6</v>
      </c>
      <c r="M50" s="413">
        <v>0.8</v>
      </c>
      <c r="N50" s="403">
        <f t="shared" si="5"/>
        <v>10.749999999999998</v>
      </c>
      <c r="O50" s="230">
        <v>28</v>
      </c>
      <c r="P50" s="231">
        <v>28</v>
      </c>
      <c r="Q50" s="382">
        <f t="shared" si="6"/>
        <v>0.38</v>
      </c>
      <c r="R50" s="391">
        <v>1</v>
      </c>
      <c r="S50" s="440">
        <f t="shared" si="7"/>
        <v>1</v>
      </c>
      <c r="T50" s="409">
        <f t="shared" si="8"/>
        <v>1</v>
      </c>
      <c r="U50" s="409">
        <f t="shared" si="9"/>
        <v>1</v>
      </c>
      <c r="V50" s="409">
        <f t="shared" si="10"/>
        <v>1</v>
      </c>
      <c r="W50" s="265">
        <f t="shared" si="11"/>
        <v>0.89</v>
      </c>
      <c r="Y50" s="283">
        <f>IFERROR(IF(Instructions!$N$166=1,($AA50/1000)*$E50,($AA50/100)*$E50),0)</f>
        <v>0.3</v>
      </c>
      <c r="Z50" s="371"/>
      <c r="AA50" s="284">
        <f>IFERROR(VLOOKUP($C50,Instructions!$C$73:$K$157,9,FALSE),0)</f>
        <v>5</v>
      </c>
      <c r="AB50" s="190" t="str">
        <f t="shared" si="12"/>
        <v>2546A - Run Room EEG Eye Tracker</v>
      </c>
    </row>
    <row r="51" spans="1:28" s="126" customFormat="1" ht="13.15" customHeight="1" x14ac:dyDescent="0.25">
      <c r="A51" s="136">
        <f t="shared" si="2"/>
        <v>0</v>
      </c>
      <c r="B51" s="235" t="s">
        <v>355</v>
      </c>
      <c r="C51" s="489" t="s">
        <v>74</v>
      </c>
      <c r="D51" s="490"/>
      <c r="E51" s="227">
        <v>56</v>
      </c>
      <c r="F51" s="228" t="s">
        <v>311</v>
      </c>
      <c r="G51" s="371">
        <v>1</v>
      </c>
      <c r="H51" s="229">
        <f>IFERROR(IF(Instructions!$N$166=1,VLOOKUP(C51,Instructions!$C$73:$K$157,5,FALSE),VLOOKUP(C51,Instructions!$C$73:$K$157,6,FALSE)),0)</f>
        <v>5</v>
      </c>
      <c r="I51" s="229">
        <f>IFERROR(IF(Instructions!$N$166=1,VLOOKUP(C51,Instructions!$C$73:$K$157,7,FALSE),VLOOKUP(C51,Instructions!$C$73:$K$157,8,FALSE)),0)</f>
        <v>0.06</v>
      </c>
      <c r="J51" s="406">
        <f t="shared" si="3"/>
        <v>5</v>
      </c>
      <c r="K51" s="406">
        <f t="shared" si="4"/>
        <v>3.36</v>
      </c>
      <c r="L51" s="407">
        <f t="shared" si="13"/>
        <v>8.36</v>
      </c>
      <c r="M51" s="413">
        <v>0.8</v>
      </c>
      <c r="N51" s="403">
        <f t="shared" si="5"/>
        <v>10.45</v>
      </c>
      <c r="O51" s="230">
        <v>73</v>
      </c>
      <c r="P51" s="231">
        <v>73</v>
      </c>
      <c r="Q51" s="382">
        <f t="shared" si="6"/>
        <v>0.14000000000000001</v>
      </c>
      <c r="R51" s="391">
        <v>1</v>
      </c>
      <c r="S51" s="440">
        <f t="shared" si="7"/>
        <v>1</v>
      </c>
      <c r="T51" s="409">
        <f t="shared" si="8"/>
        <v>1</v>
      </c>
      <c r="U51" s="409">
        <f t="shared" si="9"/>
        <v>1</v>
      </c>
      <c r="V51" s="409">
        <f t="shared" si="10"/>
        <v>1</v>
      </c>
      <c r="W51" s="265">
        <f t="shared" si="11"/>
        <v>1.1299999999999999</v>
      </c>
      <c r="Y51" s="283">
        <f>IFERROR(IF(Instructions!$N$166=1,($AA51/1000)*$E51,($AA51/100)*$E51),0)</f>
        <v>0.28000000000000003</v>
      </c>
      <c r="Z51" s="371"/>
      <c r="AA51" s="284">
        <f>IFERROR(VLOOKUP($C51,Instructions!$C$73:$K$157,9,FALSE),0)</f>
        <v>5</v>
      </c>
      <c r="AB51" s="190" t="str">
        <f t="shared" si="12"/>
        <v>2546B - Run Room EEG Eye Tracker</v>
      </c>
    </row>
    <row r="52" spans="1:28" s="126" customFormat="1" ht="13.15" customHeight="1" x14ac:dyDescent="0.25">
      <c r="A52" s="136">
        <f t="shared" si="2"/>
        <v>0</v>
      </c>
      <c r="B52" s="235" t="s">
        <v>356</v>
      </c>
      <c r="C52" s="489" t="s">
        <v>74</v>
      </c>
      <c r="D52" s="490"/>
      <c r="E52" s="227">
        <v>49</v>
      </c>
      <c r="F52" s="228" t="s">
        <v>311</v>
      </c>
      <c r="G52" s="371">
        <v>1</v>
      </c>
      <c r="H52" s="229">
        <f>IFERROR(IF(Instructions!$N$166=1,VLOOKUP(C52,Instructions!$C$73:$K$157,5,FALSE),VLOOKUP(C52,Instructions!$C$73:$K$157,6,FALSE)),0)</f>
        <v>5</v>
      </c>
      <c r="I52" s="229">
        <f>IFERROR(IF(Instructions!$N$166=1,VLOOKUP(C52,Instructions!$C$73:$K$157,7,FALSE),VLOOKUP(C52,Instructions!$C$73:$K$157,8,FALSE)),0)</f>
        <v>0.06</v>
      </c>
      <c r="J52" s="406">
        <f t="shared" si="3"/>
        <v>5</v>
      </c>
      <c r="K52" s="406">
        <f t="shared" si="4"/>
        <v>2.94</v>
      </c>
      <c r="L52" s="407">
        <f t="shared" si="13"/>
        <v>7.94</v>
      </c>
      <c r="M52" s="413">
        <v>0.8</v>
      </c>
      <c r="N52" s="403">
        <f t="shared" si="5"/>
        <v>9.9250000000000007</v>
      </c>
      <c r="O52" s="230">
        <v>53</v>
      </c>
      <c r="P52" s="231">
        <v>53</v>
      </c>
      <c r="Q52" s="382">
        <f t="shared" si="6"/>
        <v>0.19</v>
      </c>
      <c r="R52" s="391">
        <v>1</v>
      </c>
      <c r="S52" s="440">
        <f t="shared" si="7"/>
        <v>1</v>
      </c>
      <c r="T52" s="409">
        <f t="shared" si="8"/>
        <v>1</v>
      </c>
      <c r="U52" s="409">
        <f t="shared" si="9"/>
        <v>1</v>
      </c>
      <c r="V52" s="409">
        <f t="shared" si="10"/>
        <v>1</v>
      </c>
      <c r="W52" s="265">
        <f t="shared" si="11"/>
        <v>1.08</v>
      </c>
      <c r="Y52" s="283">
        <f>IFERROR(IF(Instructions!$N$166=1,($AA52/1000)*$E52,($AA52/100)*$E52),0)</f>
        <v>0.245</v>
      </c>
      <c r="Z52" s="371"/>
      <c r="AA52" s="284">
        <f>IFERROR(VLOOKUP($C52,Instructions!$C$73:$K$157,9,FALSE),0)</f>
        <v>5</v>
      </c>
      <c r="AB52" s="190" t="str">
        <f t="shared" si="12"/>
        <v>2546C - Run Room EEG Eye Tracker</v>
      </c>
    </row>
    <row r="53" spans="1:28" s="126" customFormat="1" ht="13.15" customHeight="1" x14ac:dyDescent="0.25">
      <c r="A53" s="136">
        <f t="shared" si="2"/>
        <v>0</v>
      </c>
      <c r="B53" s="235" t="s">
        <v>357</v>
      </c>
      <c r="C53" s="489" t="s">
        <v>74</v>
      </c>
      <c r="D53" s="490"/>
      <c r="E53" s="227">
        <v>21</v>
      </c>
      <c r="F53" s="228" t="s">
        <v>311</v>
      </c>
      <c r="G53" s="371">
        <v>2</v>
      </c>
      <c r="H53" s="229">
        <f>IFERROR(IF(Instructions!$N$166=1,VLOOKUP(C53,Instructions!$C$73:$K$157,5,FALSE),VLOOKUP(C53,Instructions!$C$73:$K$157,6,FALSE)),0)</f>
        <v>5</v>
      </c>
      <c r="I53" s="229">
        <f>IFERROR(IF(Instructions!$N$166=1,VLOOKUP(C53,Instructions!$C$73:$K$157,7,FALSE),VLOOKUP(C53,Instructions!$C$73:$K$157,8,FALSE)),0)</f>
        <v>0.06</v>
      </c>
      <c r="J53" s="406">
        <f t="shared" si="3"/>
        <v>10</v>
      </c>
      <c r="K53" s="406">
        <f t="shared" si="4"/>
        <v>1.26</v>
      </c>
      <c r="L53" s="407">
        <f t="shared" si="13"/>
        <v>11.26</v>
      </c>
      <c r="M53" s="413">
        <v>0.8</v>
      </c>
      <c r="N53" s="403">
        <f t="shared" si="5"/>
        <v>14.074999999999999</v>
      </c>
      <c r="O53" s="230">
        <v>37</v>
      </c>
      <c r="P53" s="231">
        <v>37</v>
      </c>
      <c r="Q53" s="382">
        <f t="shared" si="6"/>
        <v>0.38</v>
      </c>
      <c r="R53" s="391">
        <v>1</v>
      </c>
      <c r="S53" s="440">
        <f t="shared" si="7"/>
        <v>1</v>
      </c>
      <c r="T53" s="409">
        <f t="shared" si="8"/>
        <v>1</v>
      </c>
      <c r="U53" s="409">
        <f t="shared" si="9"/>
        <v>1</v>
      </c>
      <c r="V53" s="409">
        <f t="shared" si="10"/>
        <v>1</v>
      </c>
      <c r="W53" s="265">
        <f t="shared" si="11"/>
        <v>0.89</v>
      </c>
      <c r="Y53" s="283">
        <f>IFERROR(IF(Instructions!$N$166=1,($AA53/1000)*$E53,($AA53/100)*$E53),0)</f>
        <v>0.105</v>
      </c>
      <c r="Z53" s="371"/>
      <c r="AA53" s="284">
        <f>IFERROR(VLOOKUP($C53,Instructions!$C$73:$K$157,9,FALSE),0)</f>
        <v>5</v>
      </c>
      <c r="AB53" s="190" t="str">
        <f t="shared" si="12"/>
        <v>3200A - Copier</v>
      </c>
    </row>
    <row r="54" spans="1:28" s="126" customFormat="1" ht="13.15" customHeight="1" x14ac:dyDescent="0.25">
      <c r="A54" s="136">
        <f t="shared" si="2"/>
        <v>0</v>
      </c>
      <c r="B54" s="235" t="s">
        <v>358</v>
      </c>
      <c r="C54" s="489" t="s">
        <v>68</v>
      </c>
      <c r="D54" s="490"/>
      <c r="E54" s="227">
        <v>368</v>
      </c>
      <c r="F54" s="228" t="s">
        <v>315</v>
      </c>
      <c r="G54" s="283">
        <f>IFERROR(IF(Instructions!$N$166=1,($AA54/1000)*$E54,($AA54/100)*$E54),0)</f>
        <v>0</v>
      </c>
      <c r="H54" s="229">
        <f>IFERROR(IF(Instructions!$N$166=1,VLOOKUP(C54,Instructions!$C$73:$K$157,5,FALSE),VLOOKUP(C54,Instructions!$C$73:$K$157,6,FALSE)),0)</f>
        <v>0</v>
      </c>
      <c r="I54" s="229">
        <f>IFERROR(IF(Instructions!$N$166=1,VLOOKUP(C54,Instructions!$C$73:$K$157,7,FALSE),VLOOKUP(C54,Instructions!$C$73:$K$157,8,FALSE)),0)</f>
        <v>0.06</v>
      </c>
      <c r="J54" s="406">
        <f t="shared" si="3"/>
        <v>0</v>
      </c>
      <c r="K54" s="406">
        <f t="shared" si="4"/>
        <v>22.08</v>
      </c>
      <c r="L54" s="407">
        <f t="shared" si="13"/>
        <v>22.08</v>
      </c>
      <c r="M54" s="413">
        <v>0.8</v>
      </c>
      <c r="N54" s="403">
        <f t="shared" si="5"/>
        <v>27.599999999999998</v>
      </c>
      <c r="O54" s="230">
        <v>72</v>
      </c>
      <c r="P54" s="231">
        <v>72</v>
      </c>
      <c r="Q54" s="382">
        <f t="shared" si="6"/>
        <v>0.38</v>
      </c>
      <c r="R54" s="391">
        <v>1</v>
      </c>
      <c r="S54" s="440">
        <f t="shared" si="7"/>
        <v>1</v>
      </c>
      <c r="T54" s="409">
        <f t="shared" si="8"/>
        <v>1</v>
      </c>
      <c r="U54" s="409">
        <f t="shared" si="9"/>
        <v>1</v>
      </c>
      <c r="V54" s="409">
        <f t="shared" si="10"/>
        <v>1</v>
      </c>
      <c r="W54" s="265">
        <f t="shared" si="11"/>
        <v>0.89</v>
      </c>
      <c r="Y54" s="283">
        <f>IFERROR(IF(Instructions!$N$166=1,($AA54/1000)*$E54,($AA54/100)*$E54),0)</f>
        <v>0</v>
      </c>
      <c r="Z54" s="371"/>
      <c r="AA54" s="284">
        <f>IFERROR(VLOOKUP($C54,Instructions!$C$73:$K$157,9,FALSE),0)</f>
        <v>0</v>
      </c>
      <c r="AB54" s="190" t="str">
        <f t="shared" si="12"/>
        <v>3500 - Corridor</v>
      </c>
    </row>
    <row r="55" spans="1:28" s="126" customFormat="1" ht="13.15" customHeight="1" x14ac:dyDescent="0.25">
      <c r="A55" s="136">
        <f t="shared" si="2"/>
        <v>0</v>
      </c>
      <c r="B55" s="235" t="s">
        <v>359</v>
      </c>
      <c r="C55" s="489" t="s">
        <v>68</v>
      </c>
      <c r="D55" s="490"/>
      <c r="E55" s="227">
        <v>321</v>
      </c>
      <c r="F55" s="228" t="s">
        <v>315</v>
      </c>
      <c r="G55" s="283">
        <f>IFERROR(IF(Instructions!$N$166=1,($AA55/1000)*$E55,($AA55/100)*$E55),0)</f>
        <v>0</v>
      </c>
      <c r="H55" s="229">
        <f>IFERROR(IF(Instructions!$N$166=1,VLOOKUP(C55,Instructions!$C$73:$K$157,5,FALSE),VLOOKUP(C55,Instructions!$C$73:$K$157,6,FALSE)),0)</f>
        <v>0</v>
      </c>
      <c r="I55" s="229">
        <f>IFERROR(IF(Instructions!$N$166=1,VLOOKUP(C55,Instructions!$C$73:$K$157,7,FALSE),VLOOKUP(C55,Instructions!$C$73:$K$157,8,FALSE)),0)</f>
        <v>0.06</v>
      </c>
      <c r="J55" s="406">
        <f t="shared" si="3"/>
        <v>0</v>
      </c>
      <c r="K55" s="406">
        <f t="shared" si="4"/>
        <v>19.260000000000002</v>
      </c>
      <c r="L55" s="407">
        <f t="shared" si="13"/>
        <v>19.260000000000002</v>
      </c>
      <c r="M55" s="413">
        <v>0.8</v>
      </c>
      <c r="N55" s="403">
        <f t="shared" si="5"/>
        <v>24.074999999999999</v>
      </c>
      <c r="O55" s="230">
        <v>63</v>
      </c>
      <c r="P55" s="231">
        <v>63</v>
      </c>
      <c r="Q55" s="382">
        <f t="shared" si="6"/>
        <v>0.38</v>
      </c>
      <c r="R55" s="391">
        <v>1</v>
      </c>
      <c r="S55" s="440">
        <f t="shared" si="7"/>
        <v>1</v>
      </c>
      <c r="T55" s="409">
        <f t="shared" si="8"/>
        <v>1</v>
      </c>
      <c r="U55" s="409">
        <f t="shared" si="9"/>
        <v>1</v>
      </c>
      <c r="V55" s="409">
        <f t="shared" si="10"/>
        <v>1</v>
      </c>
      <c r="W55" s="265">
        <f t="shared" si="11"/>
        <v>0.89</v>
      </c>
      <c r="Y55" s="283">
        <f>IFERROR(IF(Instructions!$N$166=1,($AA55/1000)*$E55,($AA55/100)*$E55),0)</f>
        <v>0</v>
      </c>
      <c r="Z55" s="371"/>
      <c r="AA55" s="284">
        <f>IFERROR(VLOOKUP($C55,Instructions!$C$73:$K$157,9,FALSE),0)</f>
        <v>0</v>
      </c>
      <c r="AB55" s="190" t="str">
        <f t="shared" si="12"/>
        <v>3500A - Corridor</v>
      </c>
    </row>
    <row r="56" spans="1:28" s="126" customFormat="1" ht="13.15" customHeight="1" x14ac:dyDescent="0.25">
      <c r="A56" s="136">
        <f t="shared" si="2"/>
        <v>0</v>
      </c>
      <c r="B56" s="235" t="s">
        <v>360</v>
      </c>
      <c r="C56" s="489" t="s">
        <v>68</v>
      </c>
      <c r="D56" s="490"/>
      <c r="E56" s="227">
        <v>414</v>
      </c>
      <c r="F56" s="228" t="s">
        <v>315</v>
      </c>
      <c r="G56" s="283">
        <f>IFERROR(IF(Instructions!$N$166=1,($AA56/1000)*$E56,($AA56/100)*$E56),0)</f>
        <v>0</v>
      </c>
      <c r="H56" s="229">
        <f>IFERROR(IF(Instructions!$N$166=1,VLOOKUP(C56,Instructions!$C$73:$K$157,5,FALSE),VLOOKUP(C56,Instructions!$C$73:$K$157,6,FALSE)),0)</f>
        <v>0</v>
      </c>
      <c r="I56" s="229">
        <f>IFERROR(IF(Instructions!$N$166=1,VLOOKUP(C56,Instructions!$C$73:$K$157,7,FALSE),VLOOKUP(C56,Instructions!$C$73:$K$157,8,FALSE)),0)</f>
        <v>0.06</v>
      </c>
      <c r="J56" s="406">
        <f t="shared" si="3"/>
        <v>0</v>
      </c>
      <c r="K56" s="406">
        <f t="shared" si="4"/>
        <v>24.84</v>
      </c>
      <c r="L56" s="407">
        <f t="shared" si="13"/>
        <v>24.84</v>
      </c>
      <c r="M56" s="413">
        <v>0.8</v>
      </c>
      <c r="N56" s="403">
        <f t="shared" si="5"/>
        <v>31.049999999999997</v>
      </c>
      <c r="O56" s="230">
        <v>81</v>
      </c>
      <c r="P56" s="231">
        <v>81</v>
      </c>
      <c r="Q56" s="382">
        <f t="shared" si="6"/>
        <v>0.38</v>
      </c>
      <c r="R56" s="391">
        <v>1</v>
      </c>
      <c r="S56" s="440">
        <f t="shared" si="7"/>
        <v>1</v>
      </c>
      <c r="T56" s="409">
        <f t="shared" si="8"/>
        <v>1</v>
      </c>
      <c r="U56" s="409">
        <f t="shared" si="9"/>
        <v>1</v>
      </c>
      <c r="V56" s="409">
        <f t="shared" si="10"/>
        <v>1</v>
      </c>
      <c r="W56" s="265">
        <f t="shared" si="11"/>
        <v>0.89</v>
      </c>
      <c r="Y56" s="283">
        <f>IFERROR(IF(Instructions!$N$166=1,($AA56/1000)*$E56,($AA56/100)*$E56),0)</f>
        <v>0</v>
      </c>
      <c r="Z56" s="371"/>
      <c r="AA56" s="284">
        <f>IFERROR(VLOOKUP($C56,Instructions!$C$73:$K$157,9,FALSE),0)</f>
        <v>0</v>
      </c>
      <c r="AB56" s="190" t="str">
        <f t="shared" si="12"/>
        <v>3500B - Corridor</v>
      </c>
    </row>
    <row r="57" spans="1:28" s="126" customFormat="1" ht="13.15" customHeight="1" x14ac:dyDescent="0.25">
      <c r="A57" s="136">
        <f t="shared" si="2"/>
        <v>0</v>
      </c>
      <c r="B57" s="235" t="s">
        <v>361</v>
      </c>
      <c r="C57" s="489" t="s">
        <v>74</v>
      </c>
      <c r="D57" s="490"/>
      <c r="E57" s="227">
        <v>241</v>
      </c>
      <c r="F57" s="228" t="s">
        <v>311</v>
      </c>
      <c r="G57" s="371">
        <v>6</v>
      </c>
      <c r="H57" s="229">
        <f>IFERROR(IF(Instructions!$N$166=1,VLOOKUP(C57,Instructions!$C$73:$K$157,5,FALSE),VLOOKUP(C57,Instructions!$C$73:$K$157,6,FALSE)),0)</f>
        <v>5</v>
      </c>
      <c r="I57" s="229">
        <f>IFERROR(IF(Instructions!$N$166=1,VLOOKUP(C57,Instructions!$C$73:$K$157,7,FALSE),VLOOKUP(C57,Instructions!$C$73:$K$157,8,FALSE)),0)</f>
        <v>0.06</v>
      </c>
      <c r="J57" s="406">
        <f t="shared" si="3"/>
        <v>30</v>
      </c>
      <c r="K57" s="406">
        <f t="shared" si="4"/>
        <v>14.46</v>
      </c>
      <c r="L57" s="407">
        <f t="shared" si="13"/>
        <v>44.46</v>
      </c>
      <c r="M57" s="413">
        <v>0.8</v>
      </c>
      <c r="N57" s="403">
        <f t="shared" si="5"/>
        <v>55.574999999999996</v>
      </c>
      <c r="O57" s="230">
        <v>145</v>
      </c>
      <c r="P57" s="231">
        <v>145</v>
      </c>
      <c r="Q57" s="382">
        <f t="shared" si="6"/>
        <v>0.38</v>
      </c>
      <c r="R57" s="391">
        <v>1</v>
      </c>
      <c r="S57" s="440">
        <f t="shared" si="7"/>
        <v>1</v>
      </c>
      <c r="T57" s="409">
        <f t="shared" si="8"/>
        <v>1</v>
      </c>
      <c r="U57" s="409">
        <f t="shared" si="9"/>
        <v>1</v>
      </c>
      <c r="V57" s="409">
        <f t="shared" si="10"/>
        <v>1</v>
      </c>
      <c r="W57" s="265">
        <f t="shared" si="11"/>
        <v>0.89</v>
      </c>
      <c r="Y57" s="283">
        <f>IFERROR(IF(Instructions!$N$166=1,($AA57/1000)*$E57,($AA57/100)*$E57),0)</f>
        <v>1.2050000000000001</v>
      </c>
      <c r="Z57" s="371"/>
      <c r="AA57" s="284">
        <f>IFERROR(VLOOKUP($C57,Instructions!$C$73:$K$157,9,FALSE),0)</f>
        <v>5</v>
      </c>
      <c r="AB57" s="190" t="str">
        <f t="shared" si="12"/>
        <v>3508 - RA Masters</v>
      </c>
    </row>
    <row r="58" spans="1:28" s="126" customFormat="1" ht="13.15" customHeight="1" x14ac:dyDescent="0.25">
      <c r="A58" s="136">
        <f t="shared" si="2"/>
        <v>0</v>
      </c>
      <c r="B58" s="235" t="s">
        <v>362</v>
      </c>
      <c r="C58" s="489" t="s">
        <v>74</v>
      </c>
      <c r="D58" s="490"/>
      <c r="E58" s="227">
        <v>282</v>
      </c>
      <c r="F58" s="228" t="s">
        <v>311</v>
      </c>
      <c r="G58" s="371">
        <v>6</v>
      </c>
      <c r="H58" s="229">
        <f>IFERROR(IF(Instructions!$N$166=1,VLOOKUP(C58,Instructions!$C$73:$K$157,5,FALSE),VLOOKUP(C58,Instructions!$C$73:$K$157,6,FALSE)),0)</f>
        <v>5</v>
      </c>
      <c r="I58" s="229">
        <f>IFERROR(IF(Instructions!$N$166=1,VLOOKUP(C58,Instructions!$C$73:$K$157,7,FALSE),VLOOKUP(C58,Instructions!$C$73:$K$157,8,FALSE)),0)</f>
        <v>0.06</v>
      </c>
      <c r="J58" s="406">
        <f t="shared" si="3"/>
        <v>30</v>
      </c>
      <c r="K58" s="406">
        <f t="shared" si="4"/>
        <v>16.920000000000002</v>
      </c>
      <c r="L58" s="407">
        <f t="shared" si="13"/>
        <v>46.92</v>
      </c>
      <c r="M58" s="413">
        <v>0.8</v>
      </c>
      <c r="N58" s="403">
        <f t="shared" si="5"/>
        <v>58.65</v>
      </c>
      <c r="O58" s="230">
        <v>152</v>
      </c>
      <c r="P58" s="231">
        <v>152</v>
      </c>
      <c r="Q58" s="382">
        <f t="shared" si="6"/>
        <v>0.39</v>
      </c>
      <c r="R58" s="391">
        <v>1</v>
      </c>
      <c r="S58" s="440">
        <f t="shared" si="7"/>
        <v>1</v>
      </c>
      <c r="T58" s="409">
        <f t="shared" si="8"/>
        <v>1</v>
      </c>
      <c r="U58" s="409">
        <f t="shared" si="9"/>
        <v>1</v>
      </c>
      <c r="V58" s="409">
        <f t="shared" si="10"/>
        <v>1</v>
      </c>
      <c r="W58" s="265">
        <f t="shared" si="11"/>
        <v>0.88</v>
      </c>
      <c r="Y58" s="283">
        <f>IFERROR(IF(Instructions!$N$166=1,($AA58/1000)*$E58,($AA58/100)*$E58),0)</f>
        <v>1.41</v>
      </c>
      <c r="Z58" s="371"/>
      <c r="AA58" s="284">
        <f>IFERROR(VLOOKUP($C58,Instructions!$C$73:$K$157,9,FALSE),0)</f>
        <v>5</v>
      </c>
      <c r="AB58" s="190" t="str">
        <f t="shared" si="12"/>
        <v>3510 - Shell Space</v>
      </c>
    </row>
    <row r="59" spans="1:28" s="126" customFormat="1" ht="13.15" customHeight="1" x14ac:dyDescent="0.25">
      <c r="A59" s="136">
        <f t="shared" si="2"/>
        <v>0</v>
      </c>
      <c r="B59" s="235" t="s">
        <v>363</v>
      </c>
      <c r="C59" s="489" t="s">
        <v>74</v>
      </c>
      <c r="D59" s="490"/>
      <c r="E59" s="227">
        <v>189</v>
      </c>
      <c r="F59" s="228" t="s">
        <v>311</v>
      </c>
      <c r="G59" s="371">
        <v>4</v>
      </c>
      <c r="H59" s="229">
        <f>IFERROR(IF(Instructions!$N$166=1,VLOOKUP(C59,Instructions!$C$73:$K$157,5,FALSE),VLOOKUP(C59,Instructions!$C$73:$K$157,6,FALSE)),0)</f>
        <v>5</v>
      </c>
      <c r="I59" s="229">
        <f>IFERROR(IF(Instructions!$N$166=1,VLOOKUP(C59,Instructions!$C$73:$K$157,7,FALSE),VLOOKUP(C59,Instructions!$C$73:$K$157,8,FALSE)),0)</f>
        <v>0.06</v>
      </c>
      <c r="J59" s="406">
        <f t="shared" si="3"/>
        <v>20</v>
      </c>
      <c r="K59" s="406">
        <f t="shared" si="4"/>
        <v>11.34</v>
      </c>
      <c r="L59" s="407">
        <f t="shared" si="13"/>
        <v>31.34</v>
      </c>
      <c r="M59" s="413">
        <v>0.8</v>
      </c>
      <c r="N59" s="403">
        <f t="shared" si="5"/>
        <v>39.174999999999997</v>
      </c>
      <c r="O59" s="230">
        <v>134</v>
      </c>
      <c r="P59" s="231">
        <v>134</v>
      </c>
      <c r="Q59" s="382">
        <f t="shared" si="6"/>
        <v>0.28999999999999998</v>
      </c>
      <c r="R59" s="391">
        <v>1</v>
      </c>
      <c r="S59" s="440">
        <f t="shared" si="7"/>
        <v>1</v>
      </c>
      <c r="T59" s="409">
        <f t="shared" si="8"/>
        <v>1</v>
      </c>
      <c r="U59" s="409">
        <f t="shared" si="9"/>
        <v>1</v>
      </c>
      <c r="V59" s="409">
        <f t="shared" si="10"/>
        <v>1</v>
      </c>
      <c r="W59" s="265">
        <f t="shared" si="11"/>
        <v>0.98</v>
      </c>
      <c r="Y59" s="283">
        <f>IFERROR(IF(Instructions!$N$166=1,($AA59/1000)*$E59,($AA59/100)*$E59),0)</f>
        <v>0.94500000000000006</v>
      </c>
      <c r="Z59" s="371"/>
      <c r="AA59" s="284">
        <f>IFERROR(VLOOKUP($C59,Instructions!$C$73:$K$157,9,FALSE),0)</f>
        <v>5</v>
      </c>
      <c r="AB59" s="190" t="str">
        <f t="shared" si="12"/>
        <v>3512 - Undergrad</v>
      </c>
    </row>
    <row r="60" spans="1:28" s="126" customFormat="1" ht="13.15" customHeight="1" x14ac:dyDescent="0.25">
      <c r="A60" s="136">
        <f t="shared" si="2"/>
        <v>0</v>
      </c>
      <c r="B60" s="235" t="s">
        <v>364</v>
      </c>
      <c r="C60" s="489" t="s">
        <v>74</v>
      </c>
      <c r="D60" s="490"/>
      <c r="E60" s="227">
        <v>58</v>
      </c>
      <c r="F60" s="228" t="s">
        <v>311</v>
      </c>
      <c r="G60" s="371">
        <v>1</v>
      </c>
      <c r="H60" s="229">
        <f>IFERROR(IF(Instructions!$N$166=1,VLOOKUP(C60,Instructions!$C$73:$K$157,5,FALSE),VLOOKUP(C60,Instructions!$C$73:$K$157,6,FALSE)),0)</f>
        <v>5</v>
      </c>
      <c r="I60" s="229">
        <f>IFERROR(IF(Instructions!$N$166=1,VLOOKUP(C60,Instructions!$C$73:$K$157,7,FALSE),VLOOKUP(C60,Instructions!$C$73:$K$157,8,FALSE)),0)</f>
        <v>0.06</v>
      </c>
      <c r="J60" s="406">
        <f t="shared" si="3"/>
        <v>5</v>
      </c>
      <c r="K60" s="406">
        <f t="shared" si="4"/>
        <v>3.48</v>
      </c>
      <c r="L60" s="407">
        <f t="shared" si="13"/>
        <v>8.48</v>
      </c>
      <c r="M60" s="413">
        <v>0.8</v>
      </c>
      <c r="N60" s="403">
        <f t="shared" si="5"/>
        <v>10.6</v>
      </c>
      <c r="O60" s="230">
        <v>28</v>
      </c>
      <c r="P60" s="231">
        <v>28</v>
      </c>
      <c r="Q60" s="382">
        <f t="shared" si="6"/>
        <v>0.38</v>
      </c>
      <c r="R60" s="391">
        <v>1</v>
      </c>
      <c r="S60" s="440">
        <f t="shared" si="7"/>
        <v>1</v>
      </c>
      <c r="T60" s="409">
        <f t="shared" si="8"/>
        <v>1</v>
      </c>
      <c r="U60" s="409">
        <f t="shared" si="9"/>
        <v>1</v>
      </c>
      <c r="V60" s="409">
        <f t="shared" si="10"/>
        <v>1</v>
      </c>
      <c r="W60" s="265">
        <f t="shared" si="11"/>
        <v>0.89</v>
      </c>
      <c r="Y60" s="283">
        <f>IFERROR(IF(Instructions!$N$166=1,($AA60/1000)*$E60,($AA60/100)*$E60),0)</f>
        <v>0.28999999999999998</v>
      </c>
      <c r="Z60" s="371"/>
      <c r="AA60" s="284">
        <f>IFERROR(VLOOKUP($C60,Instructions!$C$73:$K$157,9,FALSE),0)</f>
        <v>5</v>
      </c>
      <c r="AB60" s="190" t="str">
        <f t="shared" si="12"/>
        <v>3512A - Private Office</v>
      </c>
    </row>
    <row r="61" spans="1:28" s="126" customFormat="1" ht="13.15" customHeight="1" x14ac:dyDescent="0.25">
      <c r="A61" s="136">
        <f t="shared" si="2"/>
        <v>0</v>
      </c>
      <c r="B61" s="235" t="s">
        <v>365</v>
      </c>
      <c r="C61" s="489" t="s">
        <v>74</v>
      </c>
      <c r="D61" s="490"/>
      <c r="E61" s="227">
        <v>186</v>
      </c>
      <c r="F61" s="228" t="s">
        <v>311</v>
      </c>
      <c r="G61" s="371">
        <v>3</v>
      </c>
      <c r="H61" s="229">
        <f>IFERROR(IF(Instructions!$N$166=1,VLOOKUP(C61,Instructions!$C$73:$K$157,5,FALSE),VLOOKUP(C61,Instructions!$C$73:$K$157,6,FALSE)),0)</f>
        <v>5</v>
      </c>
      <c r="I61" s="229">
        <f>IFERROR(IF(Instructions!$N$166=1,VLOOKUP(C61,Instructions!$C$73:$K$157,7,FALSE),VLOOKUP(C61,Instructions!$C$73:$K$157,8,FALSE)),0)</f>
        <v>0.06</v>
      </c>
      <c r="J61" s="406">
        <f t="shared" si="3"/>
        <v>15</v>
      </c>
      <c r="K61" s="406">
        <f t="shared" si="4"/>
        <v>11.16</v>
      </c>
      <c r="L61" s="407">
        <f t="shared" si="13"/>
        <v>26.16</v>
      </c>
      <c r="M61" s="413">
        <v>0.8</v>
      </c>
      <c r="N61" s="403">
        <f t="shared" si="5"/>
        <v>32.699999999999996</v>
      </c>
      <c r="O61" s="230">
        <v>98</v>
      </c>
      <c r="P61" s="231">
        <v>98</v>
      </c>
      <c r="Q61" s="382">
        <f t="shared" si="6"/>
        <v>0.33</v>
      </c>
      <c r="R61" s="391">
        <v>1</v>
      </c>
      <c r="S61" s="440">
        <f t="shared" si="7"/>
        <v>1</v>
      </c>
      <c r="T61" s="409">
        <f t="shared" si="8"/>
        <v>1</v>
      </c>
      <c r="U61" s="409">
        <f t="shared" si="9"/>
        <v>1</v>
      </c>
      <c r="V61" s="409">
        <f t="shared" si="10"/>
        <v>1</v>
      </c>
      <c r="W61" s="265">
        <f t="shared" si="11"/>
        <v>0.94</v>
      </c>
      <c r="Y61" s="283">
        <f>IFERROR(IF(Instructions!$N$166=1,($AA61/1000)*$E61,($AA61/100)*$E61),0)</f>
        <v>0.93</v>
      </c>
      <c r="Z61" s="371"/>
      <c r="AA61" s="284">
        <f>IFERROR(VLOOKUP($C61,Instructions!$C$73:$K$157,9,FALSE),0)</f>
        <v>5</v>
      </c>
      <c r="AB61" s="190" t="str">
        <f t="shared" si="12"/>
        <v>3514 - Faculty Office</v>
      </c>
    </row>
    <row r="62" spans="1:28" s="126" customFormat="1" ht="13.15" customHeight="1" x14ac:dyDescent="0.25">
      <c r="A62" s="136">
        <f t="shared" si="2"/>
        <v>0</v>
      </c>
      <c r="B62" s="235" t="s">
        <v>366</v>
      </c>
      <c r="C62" s="489" t="s">
        <v>74</v>
      </c>
      <c r="D62" s="490"/>
      <c r="E62" s="227">
        <v>107</v>
      </c>
      <c r="F62" s="228" t="s">
        <v>311</v>
      </c>
      <c r="G62" s="371">
        <v>2</v>
      </c>
      <c r="H62" s="229">
        <f>IFERROR(IF(Instructions!$N$166=1,VLOOKUP(C62,Instructions!$C$73:$K$157,5,FALSE),VLOOKUP(C62,Instructions!$C$73:$K$157,6,FALSE)),0)</f>
        <v>5</v>
      </c>
      <c r="I62" s="229">
        <f>IFERROR(IF(Instructions!$N$166=1,VLOOKUP(C62,Instructions!$C$73:$K$157,7,FALSE),VLOOKUP(C62,Instructions!$C$73:$K$157,8,FALSE)),0)</f>
        <v>0.06</v>
      </c>
      <c r="J62" s="406">
        <f t="shared" si="3"/>
        <v>10</v>
      </c>
      <c r="K62" s="406">
        <f t="shared" si="4"/>
        <v>6.42</v>
      </c>
      <c r="L62" s="407">
        <f t="shared" si="13"/>
        <v>16.420000000000002</v>
      </c>
      <c r="M62" s="413">
        <v>0.8</v>
      </c>
      <c r="N62" s="403">
        <f t="shared" si="5"/>
        <v>20.525000000000002</v>
      </c>
      <c r="O62" s="230">
        <v>53</v>
      </c>
      <c r="P62" s="231">
        <v>53</v>
      </c>
      <c r="Q62" s="382">
        <f t="shared" si="6"/>
        <v>0.39</v>
      </c>
      <c r="R62" s="391">
        <v>1</v>
      </c>
      <c r="S62" s="440">
        <f t="shared" si="7"/>
        <v>1</v>
      </c>
      <c r="T62" s="409">
        <f t="shared" si="8"/>
        <v>1</v>
      </c>
      <c r="U62" s="409">
        <f t="shared" si="9"/>
        <v>1</v>
      </c>
      <c r="V62" s="409">
        <f t="shared" si="10"/>
        <v>1</v>
      </c>
      <c r="W62" s="265">
        <f t="shared" si="11"/>
        <v>0.88</v>
      </c>
      <c r="Y62" s="283">
        <f>IFERROR(IF(Instructions!$N$166=1,($AA62/1000)*$E62,($AA62/100)*$E62),0)</f>
        <v>0.53500000000000003</v>
      </c>
      <c r="Z62" s="371"/>
      <c r="AA62" s="284">
        <f>IFERROR(VLOOKUP($C62,Instructions!$C$73:$K$157,9,FALSE),0)</f>
        <v>5</v>
      </c>
      <c r="AB62" s="190" t="str">
        <f t="shared" si="12"/>
        <v>3516 - Grants Coordinator</v>
      </c>
    </row>
    <row r="63" spans="1:28" s="126" customFormat="1" ht="13.15" customHeight="1" x14ac:dyDescent="0.25">
      <c r="A63" s="136">
        <f t="shared" si="2"/>
        <v>0</v>
      </c>
      <c r="B63" s="235" t="s">
        <v>367</v>
      </c>
      <c r="C63" s="489" t="s">
        <v>74</v>
      </c>
      <c r="D63" s="490"/>
      <c r="E63" s="227">
        <v>173</v>
      </c>
      <c r="F63" s="228" t="s">
        <v>311</v>
      </c>
      <c r="G63" s="371">
        <v>3</v>
      </c>
      <c r="H63" s="229">
        <f>IFERROR(IF(Instructions!$N$166=1,VLOOKUP(C63,Instructions!$C$73:$K$157,5,FALSE),VLOOKUP(C63,Instructions!$C$73:$K$157,6,FALSE)),0)</f>
        <v>5</v>
      </c>
      <c r="I63" s="229">
        <f>IFERROR(IF(Instructions!$N$166=1,VLOOKUP(C63,Instructions!$C$73:$K$157,7,FALSE),VLOOKUP(C63,Instructions!$C$73:$K$157,8,FALSE)),0)</f>
        <v>0.06</v>
      </c>
      <c r="J63" s="406">
        <f t="shared" si="3"/>
        <v>15</v>
      </c>
      <c r="K63" s="406">
        <f t="shared" si="4"/>
        <v>10.38</v>
      </c>
      <c r="L63" s="407">
        <f t="shared" si="13"/>
        <v>25.38</v>
      </c>
      <c r="M63" s="413">
        <v>0.8</v>
      </c>
      <c r="N63" s="403">
        <f t="shared" si="5"/>
        <v>31.724999999999998</v>
      </c>
      <c r="O63" s="230">
        <v>98</v>
      </c>
      <c r="P63" s="231">
        <v>98</v>
      </c>
      <c r="Q63" s="382">
        <f t="shared" si="6"/>
        <v>0.32</v>
      </c>
      <c r="R63" s="391">
        <v>1</v>
      </c>
      <c r="S63" s="440">
        <f t="shared" si="7"/>
        <v>1</v>
      </c>
      <c r="T63" s="409">
        <f t="shared" si="8"/>
        <v>1</v>
      </c>
      <c r="U63" s="409">
        <f t="shared" si="9"/>
        <v>1</v>
      </c>
      <c r="V63" s="409">
        <f t="shared" si="10"/>
        <v>1</v>
      </c>
      <c r="W63" s="265">
        <f t="shared" si="11"/>
        <v>0.95</v>
      </c>
      <c r="Y63" s="283">
        <f>IFERROR(IF(Instructions!$N$166=1,($AA63/1000)*$E63,($AA63/100)*$E63),0)</f>
        <v>0.86499999999999999</v>
      </c>
      <c r="Z63" s="371"/>
      <c r="AA63" s="284">
        <f>IFERROR(VLOOKUP($C63,Instructions!$C$73:$K$157,9,FALSE),0)</f>
        <v>5</v>
      </c>
      <c r="AB63" s="190" t="str">
        <f t="shared" si="12"/>
        <v>3518 - Faculty Office</v>
      </c>
    </row>
    <row r="64" spans="1:28" s="126" customFormat="1" ht="13.15" customHeight="1" x14ac:dyDescent="0.25">
      <c r="A64" s="136">
        <f t="shared" si="2"/>
        <v>0</v>
      </c>
      <c r="B64" s="235" t="s">
        <v>368</v>
      </c>
      <c r="C64" s="489" t="s">
        <v>74</v>
      </c>
      <c r="D64" s="490"/>
      <c r="E64" s="227">
        <v>111</v>
      </c>
      <c r="F64" s="228" t="s">
        <v>311</v>
      </c>
      <c r="G64" s="371">
        <v>2</v>
      </c>
      <c r="H64" s="229">
        <f>IFERROR(IF(Instructions!$N$166=1,VLOOKUP(C64,Instructions!$C$73:$K$157,5,FALSE),VLOOKUP(C64,Instructions!$C$73:$K$157,6,FALSE)),0)</f>
        <v>5</v>
      </c>
      <c r="I64" s="229">
        <f>IFERROR(IF(Instructions!$N$166=1,VLOOKUP(C64,Instructions!$C$73:$K$157,7,FALSE),VLOOKUP(C64,Instructions!$C$73:$K$157,8,FALSE)),0)</f>
        <v>0.06</v>
      </c>
      <c r="J64" s="406">
        <f t="shared" si="3"/>
        <v>10</v>
      </c>
      <c r="K64" s="406">
        <f t="shared" si="4"/>
        <v>6.66</v>
      </c>
      <c r="L64" s="407">
        <f t="shared" si="13"/>
        <v>16.66</v>
      </c>
      <c r="M64" s="413">
        <v>0.8</v>
      </c>
      <c r="N64" s="403">
        <f t="shared" si="5"/>
        <v>20.824999999999999</v>
      </c>
      <c r="O64" s="230">
        <v>54</v>
      </c>
      <c r="P64" s="231">
        <v>54</v>
      </c>
      <c r="Q64" s="382">
        <f t="shared" si="6"/>
        <v>0.39</v>
      </c>
      <c r="R64" s="391">
        <v>1</v>
      </c>
      <c r="S64" s="440">
        <f t="shared" si="7"/>
        <v>1</v>
      </c>
      <c r="T64" s="409">
        <f t="shared" si="8"/>
        <v>1</v>
      </c>
      <c r="U64" s="409">
        <f t="shared" si="9"/>
        <v>1</v>
      </c>
      <c r="V64" s="409">
        <f t="shared" si="10"/>
        <v>1</v>
      </c>
      <c r="W64" s="265">
        <f t="shared" si="11"/>
        <v>0.88</v>
      </c>
      <c r="Y64" s="283">
        <f>IFERROR(IF(Instructions!$N$166=1,($AA64/1000)*$E64,($AA64/100)*$E64),0)</f>
        <v>0.55500000000000005</v>
      </c>
      <c r="Z64" s="371"/>
      <c r="AA64" s="284">
        <f>IFERROR(VLOOKUP($C64,Instructions!$C$73:$K$157,9,FALSE),0)</f>
        <v>5</v>
      </c>
      <c r="AB64" s="190" t="str">
        <f t="shared" si="12"/>
        <v>3520 - Full Time Staff</v>
      </c>
    </row>
    <row r="65" spans="1:28" s="126" customFormat="1" ht="13.15" customHeight="1" x14ac:dyDescent="0.25">
      <c r="A65" s="136">
        <f t="shared" si="2"/>
        <v>0</v>
      </c>
      <c r="B65" s="235" t="s">
        <v>369</v>
      </c>
      <c r="C65" s="489" t="s">
        <v>74</v>
      </c>
      <c r="D65" s="490"/>
      <c r="E65" s="227">
        <v>111</v>
      </c>
      <c r="F65" s="228" t="s">
        <v>311</v>
      </c>
      <c r="G65" s="371">
        <v>2</v>
      </c>
      <c r="H65" s="229">
        <f>IFERROR(IF(Instructions!$N$166=1,VLOOKUP(C65,Instructions!$C$73:$K$157,5,FALSE),VLOOKUP(C65,Instructions!$C$73:$K$157,6,FALSE)),0)</f>
        <v>5</v>
      </c>
      <c r="I65" s="229">
        <f>IFERROR(IF(Instructions!$N$166=1,VLOOKUP(C65,Instructions!$C$73:$K$157,7,FALSE),VLOOKUP(C65,Instructions!$C$73:$K$157,8,FALSE)),0)</f>
        <v>0.06</v>
      </c>
      <c r="J65" s="406">
        <f t="shared" si="3"/>
        <v>10</v>
      </c>
      <c r="K65" s="406">
        <f t="shared" si="4"/>
        <v>6.66</v>
      </c>
      <c r="L65" s="407">
        <f t="shared" si="13"/>
        <v>16.66</v>
      </c>
      <c r="M65" s="413">
        <v>0.8</v>
      </c>
      <c r="N65" s="403">
        <f t="shared" si="5"/>
        <v>20.824999999999999</v>
      </c>
      <c r="O65" s="230">
        <v>54</v>
      </c>
      <c r="P65" s="231">
        <v>54</v>
      </c>
      <c r="Q65" s="382">
        <f t="shared" si="6"/>
        <v>0.39</v>
      </c>
      <c r="R65" s="391">
        <v>1</v>
      </c>
      <c r="S65" s="440">
        <f t="shared" si="7"/>
        <v>1</v>
      </c>
      <c r="T65" s="409">
        <f t="shared" si="8"/>
        <v>1</v>
      </c>
      <c r="U65" s="409">
        <f t="shared" si="9"/>
        <v>1</v>
      </c>
      <c r="V65" s="409">
        <f t="shared" si="10"/>
        <v>1</v>
      </c>
      <c r="W65" s="265">
        <f t="shared" si="11"/>
        <v>0.88</v>
      </c>
      <c r="Y65" s="283">
        <f>IFERROR(IF(Instructions!$N$166=1,($AA65/1000)*$E65,($AA65/100)*$E65),0)</f>
        <v>0.55500000000000005</v>
      </c>
      <c r="Z65" s="371"/>
      <c r="AA65" s="284">
        <f>IFERROR(VLOOKUP($C65,Instructions!$C$73:$K$157,9,FALSE),0)</f>
        <v>5</v>
      </c>
      <c r="AB65" s="190" t="str">
        <f t="shared" si="12"/>
        <v>3522 - Full Time Staff</v>
      </c>
    </row>
    <row r="66" spans="1:28" s="126" customFormat="1" ht="13.15" customHeight="1" x14ac:dyDescent="0.25">
      <c r="A66" s="136">
        <f t="shared" si="2"/>
        <v>0</v>
      </c>
      <c r="B66" s="235" t="s">
        <v>370</v>
      </c>
      <c r="C66" s="489" t="s">
        <v>74</v>
      </c>
      <c r="D66" s="490"/>
      <c r="E66" s="227">
        <v>170</v>
      </c>
      <c r="F66" s="228" t="s">
        <v>311</v>
      </c>
      <c r="G66" s="371">
        <v>3</v>
      </c>
      <c r="H66" s="229">
        <f>IFERROR(IF(Instructions!$N$166=1,VLOOKUP(C66,Instructions!$C$73:$K$157,5,FALSE),VLOOKUP(C66,Instructions!$C$73:$K$157,6,FALSE)),0)</f>
        <v>5</v>
      </c>
      <c r="I66" s="229">
        <f>IFERROR(IF(Instructions!$N$166=1,VLOOKUP(C66,Instructions!$C$73:$K$157,7,FALSE),VLOOKUP(C66,Instructions!$C$73:$K$157,8,FALSE)),0)</f>
        <v>0.06</v>
      </c>
      <c r="J66" s="406">
        <f t="shared" si="3"/>
        <v>15</v>
      </c>
      <c r="K66" s="406">
        <f t="shared" si="4"/>
        <v>10.199999999999999</v>
      </c>
      <c r="L66" s="407">
        <f t="shared" si="13"/>
        <v>25.2</v>
      </c>
      <c r="M66" s="413">
        <v>0.8</v>
      </c>
      <c r="N66" s="403">
        <f t="shared" si="5"/>
        <v>31.499999999999996</v>
      </c>
      <c r="O66" s="230">
        <v>82</v>
      </c>
      <c r="P66" s="231">
        <v>82</v>
      </c>
      <c r="Q66" s="382">
        <f t="shared" si="6"/>
        <v>0.38</v>
      </c>
      <c r="R66" s="391">
        <v>1</v>
      </c>
      <c r="S66" s="440">
        <f t="shared" si="7"/>
        <v>1</v>
      </c>
      <c r="T66" s="409">
        <f t="shared" si="8"/>
        <v>1</v>
      </c>
      <c r="U66" s="409">
        <f t="shared" si="9"/>
        <v>1</v>
      </c>
      <c r="V66" s="409">
        <f t="shared" si="10"/>
        <v>1</v>
      </c>
      <c r="W66" s="265">
        <f t="shared" si="11"/>
        <v>0.89</v>
      </c>
      <c r="Y66" s="283">
        <f>IFERROR(IF(Instructions!$N$166=1,($AA66/1000)*$E66,($AA66/100)*$E66),0)</f>
        <v>0.85</v>
      </c>
      <c r="Z66" s="371"/>
      <c r="AA66" s="284">
        <f>IFERROR(VLOOKUP($C66,Instructions!$C$73:$K$157,9,FALSE),0)</f>
        <v>5</v>
      </c>
      <c r="AB66" s="190" t="str">
        <f t="shared" si="12"/>
        <v>3524 - Faculty Office</v>
      </c>
    </row>
    <row r="67" spans="1:28" s="126" customFormat="1" ht="13.15" customHeight="1" x14ac:dyDescent="0.25">
      <c r="A67" s="136">
        <f t="shared" si="2"/>
        <v>0</v>
      </c>
      <c r="B67" s="235" t="s">
        <v>371</v>
      </c>
      <c r="C67" s="489" t="s">
        <v>74</v>
      </c>
      <c r="D67" s="490"/>
      <c r="E67" s="227">
        <v>171</v>
      </c>
      <c r="F67" s="228" t="s">
        <v>311</v>
      </c>
      <c r="G67" s="371">
        <v>3</v>
      </c>
      <c r="H67" s="229">
        <f>IFERROR(IF(Instructions!$N$166=1,VLOOKUP(C67,Instructions!$C$73:$K$157,5,FALSE),VLOOKUP(C67,Instructions!$C$73:$K$157,6,FALSE)),0)</f>
        <v>5</v>
      </c>
      <c r="I67" s="229">
        <f>IFERROR(IF(Instructions!$N$166=1,VLOOKUP(C67,Instructions!$C$73:$K$157,7,FALSE),VLOOKUP(C67,Instructions!$C$73:$K$157,8,FALSE)),0)</f>
        <v>0.06</v>
      </c>
      <c r="J67" s="406">
        <f t="shared" si="3"/>
        <v>15</v>
      </c>
      <c r="K67" s="406">
        <f t="shared" si="4"/>
        <v>10.26</v>
      </c>
      <c r="L67" s="407">
        <f t="shared" si="13"/>
        <v>25.26</v>
      </c>
      <c r="M67" s="413">
        <v>0.8</v>
      </c>
      <c r="N67" s="403">
        <f t="shared" si="5"/>
        <v>31.574999999999999</v>
      </c>
      <c r="O67" s="230">
        <v>82</v>
      </c>
      <c r="P67" s="231">
        <v>82</v>
      </c>
      <c r="Q67" s="382">
        <f t="shared" si="6"/>
        <v>0.39</v>
      </c>
      <c r="R67" s="391">
        <v>1</v>
      </c>
      <c r="S67" s="440">
        <f t="shared" si="7"/>
        <v>1</v>
      </c>
      <c r="T67" s="409">
        <f t="shared" si="8"/>
        <v>1</v>
      </c>
      <c r="U67" s="409">
        <f t="shared" si="9"/>
        <v>1</v>
      </c>
      <c r="V67" s="409">
        <f t="shared" si="10"/>
        <v>1</v>
      </c>
      <c r="W67" s="265">
        <f t="shared" si="11"/>
        <v>0.88</v>
      </c>
      <c r="Y67" s="283">
        <f>IFERROR(IF(Instructions!$N$166=1,($AA67/1000)*$E67,($AA67/100)*$E67),0)</f>
        <v>0.85499999999999998</v>
      </c>
      <c r="Z67" s="371"/>
      <c r="AA67" s="284">
        <f>IFERROR(VLOOKUP($C67,Instructions!$C$73:$K$157,9,FALSE),0)</f>
        <v>5</v>
      </c>
      <c r="AB67" s="190" t="str">
        <f t="shared" si="12"/>
        <v>3526 - Faculty Office</v>
      </c>
    </row>
    <row r="68" spans="1:28" s="126" customFormat="1" ht="13.15" customHeight="1" x14ac:dyDescent="0.25">
      <c r="A68" s="136">
        <f t="shared" si="2"/>
        <v>0</v>
      </c>
      <c r="B68" s="235" t="s">
        <v>372</v>
      </c>
      <c r="C68" s="489" t="s">
        <v>74</v>
      </c>
      <c r="D68" s="490"/>
      <c r="E68" s="227">
        <v>112</v>
      </c>
      <c r="F68" s="228" t="s">
        <v>311</v>
      </c>
      <c r="G68" s="371">
        <v>2</v>
      </c>
      <c r="H68" s="229">
        <f>IFERROR(IF(Instructions!$N$166=1,VLOOKUP(C68,Instructions!$C$73:$K$157,5,FALSE),VLOOKUP(C68,Instructions!$C$73:$K$157,6,FALSE)),0)</f>
        <v>5</v>
      </c>
      <c r="I68" s="229">
        <f>IFERROR(IF(Instructions!$N$166=1,VLOOKUP(C68,Instructions!$C$73:$K$157,7,FALSE),VLOOKUP(C68,Instructions!$C$73:$K$157,8,FALSE)),0)</f>
        <v>0.06</v>
      </c>
      <c r="J68" s="406">
        <f t="shared" si="3"/>
        <v>10</v>
      </c>
      <c r="K68" s="406">
        <f t="shared" si="4"/>
        <v>6.72</v>
      </c>
      <c r="L68" s="407">
        <f t="shared" si="13"/>
        <v>16.72</v>
      </c>
      <c r="M68" s="413">
        <v>0.8</v>
      </c>
      <c r="N68" s="403">
        <f t="shared" si="5"/>
        <v>20.9</v>
      </c>
      <c r="O68" s="230">
        <v>54</v>
      </c>
      <c r="P68" s="231">
        <v>54</v>
      </c>
      <c r="Q68" s="382">
        <f t="shared" si="6"/>
        <v>0.39</v>
      </c>
      <c r="R68" s="391">
        <v>1</v>
      </c>
      <c r="S68" s="440">
        <f t="shared" si="7"/>
        <v>1</v>
      </c>
      <c r="T68" s="409">
        <f t="shared" si="8"/>
        <v>1</v>
      </c>
      <c r="U68" s="409">
        <f t="shared" si="9"/>
        <v>1</v>
      </c>
      <c r="V68" s="409">
        <f t="shared" si="10"/>
        <v>1</v>
      </c>
      <c r="W68" s="265">
        <f t="shared" si="11"/>
        <v>0.88</v>
      </c>
      <c r="Y68" s="283">
        <f>IFERROR(IF(Instructions!$N$166=1,($AA68/1000)*$E68,($AA68/100)*$E68),0)</f>
        <v>0.56000000000000005</v>
      </c>
      <c r="Z68" s="371"/>
      <c r="AA68" s="284">
        <f>IFERROR(VLOOKUP($C68,Instructions!$C$73:$K$157,9,FALSE),0)</f>
        <v>5</v>
      </c>
      <c r="AB68" s="190" t="str">
        <f t="shared" si="12"/>
        <v>3528 - Full Time RA Office</v>
      </c>
    </row>
    <row r="69" spans="1:28" s="126" customFormat="1" ht="13.15" customHeight="1" x14ac:dyDescent="0.25">
      <c r="A69" s="136">
        <f t="shared" si="2"/>
        <v>0</v>
      </c>
      <c r="B69" s="235" t="s">
        <v>373</v>
      </c>
      <c r="C69" s="489" t="s">
        <v>74</v>
      </c>
      <c r="D69" s="490"/>
      <c r="E69" s="227">
        <v>111</v>
      </c>
      <c r="F69" s="228" t="s">
        <v>311</v>
      </c>
      <c r="G69" s="371">
        <v>2</v>
      </c>
      <c r="H69" s="229">
        <f>IFERROR(IF(Instructions!$N$166=1,VLOOKUP(C69,Instructions!$C$73:$K$157,5,FALSE),VLOOKUP(C69,Instructions!$C$73:$K$157,6,FALSE)),0)</f>
        <v>5</v>
      </c>
      <c r="I69" s="229">
        <f>IFERROR(IF(Instructions!$N$166=1,VLOOKUP(C69,Instructions!$C$73:$K$157,7,FALSE),VLOOKUP(C69,Instructions!$C$73:$K$157,8,FALSE)),0)</f>
        <v>0.06</v>
      </c>
      <c r="J69" s="406">
        <f t="shared" si="3"/>
        <v>10</v>
      </c>
      <c r="K69" s="406">
        <f t="shared" si="4"/>
        <v>6.66</v>
      </c>
      <c r="L69" s="407">
        <f t="shared" si="13"/>
        <v>16.66</v>
      </c>
      <c r="M69" s="413">
        <v>0.8</v>
      </c>
      <c r="N69" s="403">
        <f t="shared" si="5"/>
        <v>20.824999999999999</v>
      </c>
      <c r="O69" s="230">
        <v>54</v>
      </c>
      <c r="P69" s="231">
        <v>54</v>
      </c>
      <c r="Q69" s="382">
        <f t="shared" si="6"/>
        <v>0.39</v>
      </c>
      <c r="R69" s="391">
        <v>1</v>
      </c>
      <c r="S69" s="440">
        <f t="shared" si="7"/>
        <v>1</v>
      </c>
      <c r="T69" s="409">
        <f t="shared" si="8"/>
        <v>1</v>
      </c>
      <c r="U69" s="409">
        <f t="shared" si="9"/>
        <v>1</v>
      </c>
      <c r="V69" s="409">
        <f t="shared" si="10"/>
        <v>1</v>
      </c>
      <c r="W69" s="265">
        <f t="shared" si="11"/>
        <v>0.88</v>
      </c>
      <c r="Y69" s="283">
        <f>IFERROR(IF(Instructions!$N$166=1,($AA69/1000)*$E69,($AA69/100)*$E69),0)</f>
        <v>0.55500000000000005</v>
      </c>
      <c r="Z69" s="371"/>
      <c r="AA69" s="284">
        <f>IFERROR(VLOOKUP($C69,Instructions!$C$73:$K$157,9,FALSE),0)</f>
        <v>5</v>
      </c>
      <c r="AB69" s="190" t="str">
        <f t="shared" si="12"/>
        <v>3530 - Full Time RA Office</v>
      </c>
    </row>
    <row r="70" spans="1:28" s="126" customFormat="1" ht="13.15" customHeight="1" x14ac:dyDescent="0.25">
      <c r="A70" s="136">
        <f t="shared" si="2"/>
        <v>0</v>
      </c>
      <c r="B70" s="235" t="s">
        <v>374</v>
      </c>
      <c r="C70" s="489" t="s">
        <v>74</v>
      </c>
      <c r="D70" s="490"/>
      <c r="E70" s="227">
        <v>171</v>
      </c>
      <c r="F70" s="228" t="s">
        <v>311</v>
      </c>
      <c r="G70" s="371">
        <v>3</v>
      </c>
      <c r="H70" s="229">
        <f>IFERROR(IF(Instructions!$N$166=1,VLOOKUP(C70,Instructions!$C$73:$K$157,5,FALSE),VLOOKUP(C70,Instructions!$C$73:$K$157,6,FALSE)),0)</f>
        <v>5</v>
      </c>
      <c r="I70" s="229">
        <f>IFERROR(IF(Instructions!$N$166=1,VLOOKUP(C70,Instructions!$C$73:$K$157,7,FALSE),VLOOKUP(C70,Instructions!$C$73:$K$157,8,FALSE)),0)</f>
        <v>0.06</v>
      </c>
      <c r="J70" s="406">
        <f t="shared" si="3"/>
        <v>15</v>
      </c>
      <c r="K70" s="406">
        <f t="shared" si="4"/>
        <v>10.26</v>
      </c>
      <c r="L70" s="407">
        <f t="shared" si="13"/>
        <v>25.26</v>
      </c>
      <c r="M70" s="413">
        <v>0.8</v>
      </c>
      <c r="N70" s="403">
        <f t="shared" si="5"/>
        <v>31.574999999999999</v>
      </c>
      <c r="O70" s="230">
        <v>98</v>
      </c>
      <c r="P70" s="231">
        <v>98</v>
      </c>
      <c r="Q70" s="382">
        <f t="shared" si="6"/>
        <v>0.32</v>
      </c>
      <c r="R70" s="391">
        <v>1</v>
      </c>
      <c r="S70" s="440">
        <f t="shared" si="7"/>
        <v>1</v>
      </c>
      <c r="T70" s="409">
        <f t="shared" si="8"/>
        <v>1</v>
      </c>
      <c r="U70" s="409">
        <f t="shared" si="9"/>
        <v>1</v>
      </c>
      <c r="V70" s="409">
        <f t="shared" si="10"/>
        <v>1</v>
      </c>
      <c r="W70" s="265">
        <f t="shared" si="11"/>
        <v>0.95</v>
      </c>
      <c r="Y70" s="283">
        <f>IFERROR(IF(Instructions!$N$166=1,($AA70/1000)*$E70,($AA70/100)*$E70),0)</f>
        <v>0.85499999999999998</v>
      </c>
      <c r="Z70" s="371"/>
      <c r="AA70" s="284">
        <f>IFERROR(VLOOKUP($C70,Instructions!$C$73:$K$157,9,FALSE),0)</f>
        <v>5</v>
      </c>
      <c r="AB70" s="190" t="str">
        <f t="shared" si="12"/>
        <v>3532 - Faculty Office</v>
      </c>
    </row>
    <row r="71" spans="1:28" s="126" customFormat="1" ht="13.15" customHeight="1" x14ac:dyDescent="0.25">
      <c r="A71" s="136">
        <f t="shared" si="2"/>
        <v>0</v>
      </c>
      <c r="B71" s="235" t="s">
        <v>375</v>
      </c>
      <c r="C71" s="489" t="s">
        <v>74</v>
      </c>
      <c r="D71" s="490"/>
      <c r="E71" s="227">
        <v>221</v>
      </c>
      <c r="F71" s="228" t="s">
        <v>311</v>
      </c>
      <c r="G71" s="371">
        <v>4</v>
      </c>
      <c r="H71" s="229">
        <f>IFERROR(IF(Instructions!$N$166=1,VLOOKUP(C71,Instructions!$C$73:$K$157,5,FALSE),VLOOKUP(C71,Instructions!$C$73:$K$157,6,FALSE)),0)</f>
        <v>5</v>
      </c>
      <c r="I71" s="229">
        <f>IFERROR(IF(Instructions!$N$166=1,VLOOKUP(C71,Instructions!$C$73:$K$157,7,FALSE),VLOOKUP(C71,Instructions!$C$73:$K$157,8,FALSE)),0)</f>
        <v>0.06</v>
      </c>
      <c r="J71" s="406">
        <f t="shared" si="3"/>
        <v>20</v>
      </c>
      <c r="K71" s="406">
        <f t="shared" si="4"/>
        <v>13.26</v>
      </c>
      <c r="L71" s="407">
        <f t="shared" si="13"/>
        <v>33.26</v>
      </c>
      <c r="M71" s="413">
        <v>0.8</v>
      </c>
      <c r="N71" s="403">
        <f t="shared" si="5"/>
        <v>41.574999999999996</v>
      </c>
      <c r="O71" s="230">
        <v>123</v>
      </c>
      <c r="P71" s="231">
        <v>123</v>
      </c>
      <c r="Q71" s="382">
        <f t="shared" si="6"/>
        <v>0.34</v>
      </c>
      <c r="R71" s="391">
        <v>1</v>
      </c>
      <c r="S71" s="440">
        <f t="shared" si="7"/>
        <v>1</v>
      </c>
      <c r="T71" s="409">
        <f t="shared" si="8"/>
        <v>1</v>
      </c>
      <c r="U71" s="409">
        <f t="shared" si="9"/>
        <v>1</v>
      </c>
      <c r="V71" s="409">
        <f t="shared" si="10"/>
        <v>1</v>
      </c>
      <c r="W71" s="265">
        <f t="shared" si="11"/>
        <v>0.93</v>
      </c>
      <c r="Y71" s="283">
        <f>IFERROR(IF(Instructions!$N$166=1,($AA71/1000)*$E71,($AA71/100)*$E71),0)</f>
        <v>1.105</v>
      </c>
      <c r="Z71" s="371"/>
      <c r="AA71" s="284">
        <f>IFERROR(VLOOKUP($C71,Instructions!$C$73:$K$157,9,FALSE),0)</f>
        <v>5</v>
      </c>
      <c r="AB71" s="190" t="str">
        <f t="shared" si="12"/>
        <v>3534 - Director Office</v>
      </c>
    </row>
    <row r="72" spans="1:28" s="126" customFormat="1" ht="13.15" customHeight="1" x14ac:dyDescent="0.25">
      <c r="A72" s="136">
        <f t="shared" si="2"/>
        <v>0</v>
      </c>
      <c r="B72" s="235" t="s">
        <v>376</v>
      </c>
      <c r="C72" s="489" t="s">
        <v>74</v>
      </c>
      <c r="D72" s="490"/>
      <c r="E72" s="227">
        <v>74</v>
      </c>
      <c r="F72" s="228" t="s">
        <v>311</v>
      </c>
      <c r="G72" s="371">
        <v>2</v>
      </c>
      <c r="H72" s="229">
        <f>IFERROR(IF(Instructions!$N$166=1,VLOOKUP(C72,Instructions!$C$73:$K$157,5,FALSE),VLOOKUP(C72,Instructions!$C$73:$K$157,6,FALSE)),0)</f>
        <v>5</v>
      </c>
      <c r="I72" s="229">
        <f>IFERROR(IF(Instructions!$N$166=1,VLOOKUP(C72,Instructions!$C$73:$K$157,7,FALSE),VLOOKUP(C72,Instructions!$C$73:$K$157,8,FALSE)),0)</f>
        <v>0.06</v>
      </c>
      <c r="J72" s="406">
        <f t="shared" si="3"/>
        <v>10</v>
      </c>
      <c r="K72" s="406">
        <f t="shared" si="4"/>
        <v>4.4400000000000004</v>
      </c>
      <c r="L72" s="407">
        <f t="shared" si="13"/>
        <v>14.44</v>
      </c>
      <c r="M72" s="413">
        <v>0.8</v>
      </c>
      <c r="N72" s="403">
        <f t="shared" si="5"/>
        <v>18.049999999999997</v>
      </c>
      <c r="O72" s="230">
        <v>47</v>
      </c>
      <c r="P72" s="231">
        <v>47</v>
      </c>
      <c r="Q72" s="382">
        <f t="shared" si="6"/>
        <v>0.38</v>
      </c>
      <c r="R72" s="391">
        <v>1</v>
      </c>
      <c r="S72" s="440">
        <f t="shared" si="7"/>
        <v>1</v>
      </c>
      <c r="T72" s="409">
        <f t="shared" si="8"/>
        <v>1</v>
      </c>
      <c r="U72" s="409">
        <f t="shared" si="9"/>
        <v>1</v>
      </c>
      <c r="V72" s="409">
        <f t="shared" si="10"/>
        <v>1</v>
      </c>
      <c r="W72" s="265">
        <f t="shared" si="11"/>
        <v>0.89</v>
      </c>
      <c r="Y72" s="283">
        <f>IFERROR(IF(Instructions!$N$166=1,($AA72/1000)*$E72,($AA72/100)*$E72),0)</f>
        <v>0.37</v>
      </c>
      <c r="Z72" s="371"/>
      <c r="AA72" s="284">
        <f>IFERROR(VLOOKUP($C72,Instructions!$C$73:$K$157,9,FALSE),0)</f>
        <v>5</v>
      </c>
      <c r="AB72" s="190" t="str">
        <f t="shared" si="12"/>
        <v>3536 - Break Out Room</v>
      </c>
    </row>
    <row r="73" spans="1:28" s="126" customFormat="1" ht="13.15" customHeight="1" x14ac:dyDescent="0.25">
      <c r="A73" s="136">
        <f t="shared" si="2"/>
        <v>0</v>
      </c>
      <c r="B73" s="235" t="s">
        <v>377</v>
      </c>
      <c r="C73" s="489" t="s">
        <v>74</v>
      </c>
      <c r="D73" s="490"/>
      <c r="E73" s="227">
        <v>1258</v>
      </c>
      <c r="F73" s="228" t="s">
        <v>311</v>
      </c>
      <c r="G73" s="371">
        <v>16</v>
      </c>
      <c r="H73" s="229">
        <f>IFERROR(IF(Instructions!$N$166=1,VLOOKUP(C73,Instructions!$C$73:$K$157,5,FALSE),VLOOKUP(C73,Instructions!$C$73:$K$157,6,FALSE)),0)</f>
        <v>5</v>
      </c>
      <c r="I73" s="229">
        <f>IFERROR(IF(Instructions!$N$166=1,VLOOKUP(C73,Instructions!$C$73:$K$157,7,FALSE),VLOOKUP(C73,Instructions!$C$73:$K$157,8,FALSE)),0)</f>
        <v>0.06</v>
      </c>
      <c r="J73" s="406">
        <f t="shared" si="3"/>
        <v>80</v>
      </c>
      <c r="K73" s="406">
        <f t="shared" si="4"/>
        <v>75.48</v>
      </c>
      <c r="L73" s="407">
        <f t="shared" si="13"/>
        <v>155.47999999999999</v>
      </c>
      <c r="M73" s="413">
        <v>0.8</v>
      </c>
      <c r="N73" s="403">
        <f t="shared" si="5"/>
        <v>194.34999999999997</v>
      </c>
      <c r="O73" s="230">
        <v>505</v>
      </c>
      <c r="P73" s="231">
        <v>505</v>
      </c>
      <c r="Q73" s="382">
        <f t="shared" si="6"/>
        <v>0.38</v>
      </c>
      <c r="R73" s="391">
        <v>1</v>
      </c>
      <c r="S73" s="440">
        <f t="shared" si="7"/>
        <v>1</v>
      </c>
      <c r="T73" s="409">
        <f t="shared" si="8"/>
        <v>1</v>
      </c>
      <c r="U73" s="409">
        <f t="shared" si="9"/>
        <v>1</v>
      </c>
      <c r="V73" s="409">
        <f t="shared" si="10"/>
        <v>1</v>
      </c>
      <c r="W73" s="265">
        <f t="shared" si="11"/>
        <v>0.89</v>
      </c>
      <c r="Y73" s="283">
        <f>IFERROR(IF(Instructions!$N$166=1,($AA73/1000)*$E73,($AA73/100)*$E73),0)</f>
        <v>6.29</v>
      </c>
      <c r="Z73" s="371"/>
      <c r="AA73" s="284">
        <f>IFERROR(VLOOKUP($C73,Instructions!$C$73:$K$157,9,FALSE),0)</f>
        <v>5</v>
      </c>
      <c r="AB73" s="190" t="str">
        <f t="shared" si="12"/>
        <v>3538 - Open Office</v>
      </c>
    </row>
    <row r="74" spans="1:28" s="126" customFormat="1" ht="13.15" customHeight="1" x14ac:dyDescent="0.25">
      <c r="A74" s="136">
        <f t="shared" si="2"/>
        <v>0</v>
      </c>
      <c r="B74" s="235" t="s">
        <v>378</v>
      </c>
      <c r="C74" s="489" t="s">
        <v>67</v>
      </c>
      <c r="D74" s="490"/>
      <c r="E74" s="227">
        <v>219</v>
      </c>
      <c r="F74" s="228" t="s">
        <v>311</v>
      </c>
      <c r="G74" s="371">
        <v>8</v>
      </c>
      <c r="H74" s="229">
        <f>IFERROR(IF(Instructions!$N$166=1,VLOOKUP(C74,Instructions!$C$73:$K$157,5,FALSE),VLOOKUP(C74,Instructions!$C$73:$K$157,6,FALSE)),0)</f>
        <v>5</v>
      </c>
      <c r="I74" s="229">
        <f>IFERROR(IF(Instructions!$N$166=1,VLOOKUP(C74,Instructions!$C$73:$K$157,7,FALSE),VLOOKUP(C74,Instructions!$C$73:$K$157,8,FALSE)),0)</f>
        <v>0.06</v>
      </c>
      <c r="J74" s="406">
        <f t="shared" si="3"/>
        <v>40</v>
      </c>
      <c r="K74" s="406">
        <f t="shared" si="4"/>
        <v>13.14</v>
      </c>
      <c r="L74" s="407">
        <f t="shared" si="13"/>
        <v>53.14</v>
      </c>
      <c r="M74" s="413">
        <v>0.8</v>
      </c>
      <c r="N74" s="403">
        <f t="shared" si="5"/>
        <v>66.424999999999997</v>
      </c>
      <c r="O74" s="230">
        <v>173</v>
      </c>
      <c r="P74" s="231">
        <v>173</v>
      </c>
      <c r="Q74" s="382">
        <f t="shared" si="6"/>
        <v>0.38</v>
      </c>
      <c r="R74" s="391">
        <v>1</v>
      </c>
      <c r="S74" s="440">
        <f t="shared" si="7"/>
        <v>1</v>
      </c>
      <c r="T74" s="409">
        <f t="shared" si="8"/>
        <v>1</v>
      </c>
      <c r="U74" s="409">
        <f t="shared" si="9"/>
        <v>1</v>
      </c>
      <c r="V74" s="409">
        <f t="shared" si="10"/>
        <v>1</v>
      </c>
      <c r="W74" s="265">
        <f t="shared" si="11"/>
        <v>0.89</v>
      </c>
      <c r="Y74" s="283">
        <f>IFERROR(IF(Instructions!$N$166=1,($AA74/1000)*$E74,($AA74/100)*$E74),0)</f>
        <v>10.950000000000001</v>
      </c>
      <c r="Z74" s="371"/>
      <c r="AA74" s="284">
        <f>IFERROR(VLOOKUP($C74,Instructions!$C$73:$K$157,9,FALSE),0)</f>
        <v>50</v>
      </c>
      <c r="AB74" s="190" t="str">
        <f t="shared" si="12"/>
        <v>3540 - Conf Break Room</v>
      </c>
    </row>
    <row r="75" spans="1:28" s="126" customFormat="1" ht="13.15" customHeight="1" x14ac:dyDescent="0.25">
      <c r="A75" s="136">
        <f t="shared" si="2"/>
        <v>0</v>
      </c>
      <c r="B75" s="235" t="s">
        <v>379</v>
      </c>
      <c r="C75" s="489" t="s">
        <v>74</v>
      </c>
      <c r="D75" s="490"/>
      <c r="E75" s="227">
        <v>131</v>
      </c>
      <c r="F75" s="228" t="s">
        <v>311</v>
      </c>
      <c r="G75" s="371">
        <v>3</v>
      </c>
      <c r="H75" s="229">
        <f>IFERROR(IF(Instructions!$N$166=1,VLOOKUP(C75,Instructions!$C$73:$K$157,5,FALSE),VLOOKUP(C75,Instructions!$C$73:$K$157,6,FALSE)),0)</f>
        <v>5</v>
      </c>
      <c r="I75" s="229">
        <f>IFERROR(IF(Instructions!$N$166=1,VLOOKUP(C75,Instructions!$C$73:$K$157,7,FALSE),VLOOKUP(C75,Instructions!$C$73:$K$157,8,FALSE)),0)</f>
        <v>0.06</v>
      </c>
      <c r="J75" s="406">
        <f t="shared" si="3"/>
        <v>15</v>
      </c>
      <c r="K75" s="406">
        <f t="shared" si="4"/>
        <v>7.86</v>
      </c>
      <c r="L75" s="407">
        <f t="shared" si="13"/>
        <v>22.86</v>
      </c>
      <c r="M75" s="413">
        <v>0.8</v>
      </c>
      <c r="N75" s="403">
        <f t="shared" si="5"/>
        <v>28.574999999999999</v>
      </c>
      <c r="O75" s="230">
        <v>90</v>
      </c>
      <c r="P75" s="231">
        <v>90</v>
      </c>
      <c r="Q75" s="382">
        <f t="shared" si="6"/>
        <v>0.32</v>
      </c>
      <c r="R75" s="391">
        <v>1</v>
      </c>
      <c r="S75" s="440">
        <f t="shared" si="7"/>
        <v>1</v>
      </c>
      <c r="T75" s="409">
        <f t="shared" si="8"/>
        <v>1</v>
      </c>
      <c r="U75" s="409">
        <f t="shared" si="9"/>
        <v>1</v>
      </c>
      <c r="V75" s="409">
        <f t="shared" si="10"/>
        <v>1</v>
      </c>
      <c r="W75" s="265">
        <f t="shared" si="11"/>
        <v>0.95</v>
      </c>
      <c r="Y75" s="283">
        <f>IFERROR(IF(Instructions!$N$166=1,($AA75/1000)*$E75,($AA75/100)*$E75),0)</f>
        <v>0.65500000000000003</v>
      </c>
      <c r="Z75" s="371"/>
      <c r="AA75" s="284">
        <f>IFERROR(VLOOKUP($C75,Instructions!$C$73:$K$157,9,FALSE),0)</f>
        <v>5</v>
      </c>
      <c r="AB75" s="190" t="str">
        <f t="shared" si="12"/>
        <v>3542 - RA Office</v>
      </c>
    </row>
    <row r="76" spans="1:28" s="126" customFormat="1" ht="13.15" customHeight="1" x14ac:dyDescent="0.25">
      <c r="A76" s="136">
        <f t="shared" si="2"/>
        <v>0</v>
      </c>
      <c r="B76" s="235" t="s">
        <v>380</v>
      </c>
      <c r="C76" s="489" t="s">
        <v>74</v>
      </c>
      <c r="D76" s="490"/>
      <c r="E76" s="227">
        <v>131</v>
      </c>
      <c r="F76" s="228" t="s">
        <v>311</v>
      </c>
      <c r="G76" s="371">
        <v>3</v>
      </c>
      <c r="H76" s="229">
        <f>IFERROR(IF(Instructions!$N$166=1,VLOOKUP(C76,Instructions!$C$73:$K$157,5,FALSE),VLOOKUP(C76,Instructions!$C$73:$K$157,6,FALSE)),0)</f>
        <v>5</v>
      </c>
      <c r="I76" s="229">
        <f>IFERROR(IF(Instructions!$N$166=1,VLOOKUP(C76,Instructions!$C$73:$K$157,7,FALSE),VLOOKUP(C76,Instructions!$C$73:$K$157,8,FALSE)),0)</f>
        <v>0.06</v>
      </c>
      <c r="J76" s="406">
        <f t="shared" si="3"/>
        <v>15</v>
      </c>
      <c r="K76" s="406">
        <f t="shared" si="4"/>
        <v>7.86</v>
      </c>
      <c r="L76" s="407">
        <f t="shared" si="13"/>
        <v>22.86</v>
      </c>
      <c r="M76" s="413">
        <v>0.8</v>
      </c>
      <c r="N76" s="403">
        <f t="shared" si="5"/>
        <v>28.574999999999999</v>
      </c>
      <c r="O76" s="230">
        <v>74</v>
      </c>
      <c r="P76" s="231">
        <v>74</v>
      </c>
      <c r="Q76" s="382">
        <f t="shared" si="6"/>
        <v>0.39</v>
      </c>
      <c r="R76" s="391">
        <v>1</v>
      </c>
      <c r="S76" s="440">
        <f t="shared" si="7"/>
        <v>1</v>
      </c>
      <c r="T76" s="409">
        <f t="shared" si="8"/>
        <v>1</v>
      </c>
      <c r="U76" s="409">
        <f t="shared" si="9"/>
        <v>1</v>
      </c>
      <c r="V76" s="409">
        <f t="shared" si="10"/>
        <v>1</v>
      </c>
      <c r="W76" s="265">
        <f t="shared" si="11"/>
        <v>0.88</v>
      </c>
      <c r="Y76" s="283">
        <f>IFERROR(IF(Instructions!$N$166=1,($AA76/1000)*$E76,($AA76/100)*$E76),0)</f>
        <v>0.65500000000000003</v>
      </c>
      <c r="Z76" s="371"/>
      <c r="AA76" s="284">
        <f>IFERROR(VLOOKUP($C76,Instructions!$C$73:$K$157,9,FALSE),0)</f>
        <v>5</v>
      </c>
      <c r="AB76" s="190" t="str">
        <f t="shared" si="12"/>
        <v>3546 - Shared Post Doc</v>
      </c>
    </row>
    <row r="77" spans="1:28" s="126" customFormat="1" ht="13.15" customHeight="1" x14ac:dyDescent="0.25">
      <c r="A77" s="136">
        <f t="shared" si="2"/>
        <v>0</v>
      </c>
      <c r="B77" s="235" t="s">
        <v>381</v>
      </c>
      <c r="C77" s="489" t="s">
        <v>74</v>
      </c>
      <c r="D77" s="490"/>
      <c r="E77" s="227">
        <v>91</v>
      </c>
      <c r="F77" s="228" t="s">
        <v>311</v>
      </c>
      <c r="G77" s="371">
        <v>1</v>
      </c>
      <c r="H77" s="229">
        <f>IFERROR(IF(Instructions!$N$166=1,VLOOKUP(C77,Instructions!$C$73:$K$157,5,FALSE),VLOOKUP(C77,Instructions!$C$73:$K$157,6,FALSE)),0)</f>
        <v>5</v>
      </c>
      <c r="I77" s="229">
        <f>IFERROR(IF(Instructions!$N$166=1,VLOOKUP(C77,Instructions!$C$73:$K$157,7,FALSE),VLOOKUP(C77,Instructions!$C$73:$K$157,8,FALSE)),0)</f>
        <v>0.06</v>
      </c>
      <c r="J77" s="406">
        <f t="shared" si="3"/>
        <v>5</v>
      </c>
      <c r="K77" s="406">
        <f t="shared" si="4"/>
        <v>5.46</v>
      </c>
      <c r="L77" s="407">
        <f t="shared" si="13"/>
        <v>10.46</v>
      </c>
      <c r="M77" s="413">
        <v>0.8</v>
      </c>
      <c r="N77" s="403">
        <f t="shared" si="5"/>
        <v>13.075000000000001</v>
      </c>
      <c r="O77" s="230">
        <v>41</v>
      </c>
      <c r="P77" s="231">
        <v>41</v>
      </c>
      <c r="Q77" s="382">
        <f t="shared" si="6"/>
        <v>0.32</v>
      </c>
      <c r="R77" s="391">
        <v>1</v>
      </c>
      <c r="S77" s="440">
        <f t="shared" si="7"/>
        <v>1</v>
      </c>
      <c r="T77" s="409">
        <f t="shared" si="8"/>
        <v>1</v>
      </c>
      <c r="U77" s="409">
        <f t="shared" si="9"/>
        <v>1</v>
      </c>
      <c r="V77" s="409">
        <f t="shared" si="10"/>
        <v>1</v>
      </c>
      <c r="W77" s="265">
        <f t="shared" si="11"/>
        <v>0.95</v>
      </c>
      <c r="Y77" s="283">
        <f>IFERROR(IF(Instructions!$N$166=1,($AA77/1000)*$E77,($AA77/100)*$E77),0)</f>
        <v>0.45500000000000002</v>
      </c>
      <c r="Z77" s="371"/>
      <c r="AA77" s="284">
        <f>IFERROR(VLOOKUP($C77,Instructions!$C$73:$K$157,9,FALSE),0)</f>
        <v>5</v>
      </c>
      <c r="AB77" s="190" t="str">
        <f t="shared" si="12"/>
        <v>3548 - Lab Mgr</v>
      </c>
    </row>
    <row r="78" spans="1:28" s="126" customFormat="1" ht="13.15" customHeight="1" x14ac:dyDescent="0.25">
      <c r="A78" s="136">
        <f t="shared" si="2"/>
        <v>0</v>
      </c>
      <c r="B78" s="235" t="s">
        <v>382</v>
      </c>
      <c r="C78" s="489" t="s">
        <v>74</v>
      </c>
      <c r="D78" s="490"/>
      <c r="E78" s="227">
        <v>200</v>
      </c>
      <c r="F78" s="228" t="s">
        <v>311</v>
      </c>
      <c r="G78" s="371">
        <v>4</v>
      </c>
      <c r="H78" s="229">
        <f>IFERROR(IF(Instructions!$N$166=1,VLOOKUP(C78,Instructions!$C$73:$K$157,5,FALSE),VLOOKUP(C78,Instructions!$C$73:$K$157,6,FALSE)),0)</f>
        <v>5</v>
      </c>
      <c r="I78" s="229">
        <f>IFERROR(IF(Instructions!$N$166=1,VLOOKUP(C78,Instructions!$C$73:$K$157,7,FALSE),VLOOKUP(C78,Instructions!$C$73:$K$157,8,FALSE)),0)</f>
        <v>0.06</v>
      </c>
      <c r="J78" s="406">
        <f t="shared" si="3"/>
        <v>20</v>
      </c>
      <c r="K78" s="406">
        <f t="shared" si="4"/>
        <v>12</v>
      </c>
      <c r="L78" s="407">
        <f t="shared" ref="L78:L109" si="14">TRUNC(IFERROR(IF(credit=2,SUM(J78:K78),SUM(J78:K78)*1.3),0),2)</f>
        <v>32</v>
      </c>
      <c r="M78" s="413">
        <v>0.8</v>
      </c>
      <c r="N78" s="403">
        <f t="shared" si="5"/>
        <v>40</v>
      </c>
      <c r="O78" s="230">
        <v>104</v>
      </c>
      <c r="P78" s="231">
        <v>104</v>
      </c>
      <c r="Q78" s="382">
        <f t="shared" si="6"/>
        <v>0.38</v>
      </c>
      <c r="R78" s="391">
        <v>1</v>
      </c>
      <c r="S78" s="440">
        <f t="shared" si="7"/>
        <v>1</v>
      </c>
      <c r="T78" s="409">
        <f t="shared" si="8"/>
        <v>1</v>
      </c>
      <c r="U78" s="409">
        <f t="shared" si="9"/>
        <v>1</v>
      </c>
      <c r="V78" s="409">
        <f t="shared" si="10"/>
        <v>1</v>
      </c>
      <c r="W78" s="265">
        <f t="shared" si="11"/>
        <v>0.89</v>
      </c>
      <c r="Y78" s="283">
        <f>IFERROR(IF(Instructions!$N$166=1,($AA78/1000)*$E78,($AA78/100)*$E78),0)</f>
        <v>1</v>
      </c>
      <c r="Z78" s="371"/>
      <c r="AA78" s="284">
        <f>IFERROR(VLOOKUP($C78,Instructions!$C$73:$K$157,9,FALSE),0)</f>
        <v>5</v>
      </c>
      <c r="AB78" s="190" t="str">
        <f t="shared" si="12"/>
        <v>3550 - Undergrad Office</v>
      </c>
    </row>
    <row r="79" spans="1:28" s="126" customFormat="1" ht="13.15" customHeight="1" x14ac:dyDescent="0.25">
      <c r="A79" s="136">
        <f t="shared" ref="A79:A142" si="15">IF(C79=0,0,0)</f>
        <v>0</v>
      </c>
      <c r="B79" s="235" t="s">
        <v>383</v>
      </c>
      <c r="C79" s="489" t="s">
        <v>74</v>
      </c>
      <c r="D79" s="490"/>
      <c r="E79" s="227">
        <v>65</v>
      </c>
      <c r="F79" s="228" t="s">
        <v>311</v>
      </c>
      <c r="G79" s="371">
        <v>1</v>
      </c>
      <c r="H79" s="229">
        <f>IFERROR(IF(Instructions!$N$166=1,VLOOKUP(C79,Instructions!$C$73:$K$157,5,FALSE),VLOOKUP(C79,Instructions!$C$73:$K$157,6,FALSE)),0)</f>
        <v>5</v>
      </c>
      <c r="I79" s="229">
        <f>IFERROR(IF(Instructions!$N$166=1,VLOOKUP(C79,Instructions!$C$73:$K$157,7,FALSE),VLOOKUP(C79,Instructions!$C$73:$K$157,8,FALSE)),0)</f>
        <v>0.06</v>
      </c>
      <c r="J79" s="406">
        <f t="shared" ref="J79:J142" si="16">TRUNC(IFERROR(H79*G79,0),2)</f>
        <v>5</v>
      </c>
      <c r="K79" s="406">
        <f t="shared" ref="K79:K142" si="17">TRUNC(IFERROR(I79*E79,0),2)</f>
        <v>3.9</v>
      </c>
      <c r="L79" s="407">
        <f t="shared" si="14"/>
        <v>8.9</v>
      </c>
      <c r="M79" s="413">
        <v>0.8</v>
      </c>
      <c r="N79" s="403">
        <f t="shared" ref="N79:N142" si="18">IFERROR(L79/M79,0)</f>
        <v>11.125</v>
      </c>
      <c r="O79" s="230">
        <v>29</v>
      </c>
      <c r="P79" s="231">
        <v>29</v>
      </c>
      <c r="Q79" s="382">
        <f t="shared" ref="Q79:Q142" si="19">IFERROR(ROUND(N79/P79,2),0)</f>
        <v>0.38</v>
      </c>
      <c r="R79" s="391">
        <v>1</v>
      </c>
      <c r="S79" s="440">
        <f t="shared" ref="S79:S142" si="20">IFERROR($P79/$O79,0)</f>
        <v>1</v>
      </c>
      <c r="T79" s="409">
        <f t="shared" ref="T79:T142" si="21">TRUNC(IFERROR(S79+(1-S79)*R79,0),2)</f>
        <v>1</v>
      </c>
      <c r="U79" s="409">
        <f t="shared" ref="U79:U142" si="22">TRUNC(S79,2)</f>
        <v>1</v>
      </c>
      <c r="V79" s="409">
        <f t="shared" ref="V79:V142" si="23">TRUNC(IFERROR(1-(1-M79)*(1-R79)*(1-S79),0),2)</f>
        <v>1</v>
      </c>
      <c r="W79" s="265">
        <f t="shared" ref="W79:W142" si="24">TRUNC(IFERROR(IF($E$174&gt;0,(T79+$E$174 * U79-Q79 * S79 * V79)/T79,0),0),2)</f>
        <v>0.89</v>
      </c>
      <c r="Y79" s="283">
        <f>IFERROR(IF(Instructions!$N$166=1,($AA79/1000)*$E79,($AA79/100)*$E79),0)</f>
        <v>0.32500000000000001</v>
      </c>
      <c r="Z79" s="371"/>
      <c r="AA79" s="284">
        <f>IFERROR(VLOOKUP($C79,Instructions!$C$73:$K$157,9,FALSE),0)</f>
        <v>5</v>
      </c>
      <c r="AB79" s="190" t="str">
        <f t="shared" ref="AB79:AB142" si="25">B79</f>
        <v>3550A - Private Office</v>
      </c>
    </row>
    <row r="80" spans="1:28" s="126" customFormat="1" ht="13.15" customHeight="1" x14ac:dyDescent="0.25">
      <c r="A80" s="136">
        <f t="shared" si="15"/>
        <v>0</v>
      </c>
      <c r="B80" s="235" t="s">
        <v>384</v>
      </c>
      <c r="C80" s="489" t="s">
        <v>74</v>
      </c>
      <c r="D80" s="490"/>
      <c r="E80" s="227">
        <v>161</v>
      </c>
      <c r="F80" s="228" t="s">
        <v>311</v>
      </c>
      <c r="G80" s="371">
        <v>4</v>
      </c>
      <c r="H80" s="229">
        <f>IFERROR(IF(Instructions!$N$166=1,VLOOKUP(C80,Instructions!$C$73:$K$157,5,FALSE),VLOOKUP(C80,Instructions!$C$73:$K$157,6,FALSE)),0)</f>
        <v>5</v>
      </c>
      <c r="I80" s="229">
        <f>IFERROR(IF(Instructions!$N$166=1,VLOOKUP(C80,Instructions!$C$73:$K$157,7,FALSE),VLOOKUP(C80,Instructions!$C$73:$K$157,8,FALSE)),0)</f>
        <v>0.06</v>
      </c>
      <c r="J80" s="406">
        <f t="shared" si="16"/>
        <v>20</v>
      </c>
      <c r="K80" s="406">
        <f t="shared" si="17"/>
        <v>9.66</v>
      </c>
      <c r="L80" s="407">
        <f t="shared" si="14"/>
        <v>29.66</v>
      </c>
      <c r="M80" s="413">
        <v>0.8</v>
      </c>
      <c r="N80" s="403">
        <f t="shared" si="18"/>
        <v>37.074999999999996</v>
      </c>
      <c r="O80" s="230">
        <v>117</v>
      </c>
      <c r="P80" s="231">
        <v>117</v>
      </c>
      <c r="Q80" s="382">
        <f t="shared" si="19"/>
        <v>0.32</v>
      </c>
      <c r="R80" s="391">
        <v>1</v>
      </c>
      <c r="S80" s="440">
        <f t="shared" si="20"/>
        <v>1</v>
      </c>
      <c r="T80" s="409">
        <f t="shared" si="21"/>
        <v>1</v>
      </c>
      <c r="U80" s="409">
        <f t="shared" si="22"/>
        <v>1</v>
      </c>
      <c r="V80" s="409">
        <f t="shared" si="23"/>
        <v>1</v>
      </c>
      <c r="W80" s="265">
        <f t="shared" si="24"/>
        <v>0.95</v>
      </c>
      <c r="Y80" s="283">
        <f>IFERROR(IF(Instructions!$N$166=1,($AA80/1000)*$E80,($AA80/100)*$E80),0)</f>
        <v>0.80500000000000005</v>
      </c>
      <c r="Z80" s="371"/>
      <c r="AA80" s="284">
        <f>IFERROR(VLOOKUP($C80,Instructions!$C$73:$K$157,9,FALSE),0)</f>
        <v>5</v>
      </c>
      <c r="AB80" s="190" t="str">
        <f t="shared" si="25"/>
        <v>3552 - Volunteer RA Workspace</v>
      </c>
    </row>
    <row r="81" spans="1:28" s="126" customFormat="1" ht="13.15" customHeight="1" x14ac:dyDescent="0.25">
      <c r="A81" s="136">
        <f t="shared" si="15"/>
        <v>0</v>
      </c>
      <c r="B81" s="235" t="s">
        <v>385</v>
      </c>
      <c r="C81" s="489" t="s">
        <v>74</v>
      </c>
      <c r="D81" s="490"/>
      <c r="E81" s="227">
        <v>70</v>
      </c>
      <c r="F81" s="228" t="s">
        <v>311</v>
      </c>
      <c r="G81" s="371">
        <v>1</v>
      </c>
      <c r="H81" s="229">
        <f>IFERROR(IF(Instructions!$N$166=1,VLOOKUP(C81,Instructions!$C$73:$K$157,5,FALSE),VLOOKUP(C81,Instructions!$C$73:$K$157,6,FALSE)),0)</f>
        <v>5</v>
      </c>
      <c r="I81" s="229">
        <f>IFERROR(IF(Instructions!$N$166=1,VLOOKUP(C81,Instructions!$C$73:$K$157,7,FALSE),VLOOKUP(C81,Instructions!$C$73:$K$157,8,FALSE)),0)</f>
        <v>0.06</v>
      </c>
      <c r="J81" s="406">
        <f t="shared" si="16"/>
        <v>5</v>
      </c>
      <c r="K81" s="406">
        <f t="shared" si="17"/>
        <v>4.2</v>
      </c>
      <c r="L81" s="407">
        <f t="shared" si="14"/>
        <v>9.1999999999999993</v>
      </c>
      <c r="M81" s="413">
        <v>0.8</v>
      </c>
      <c r="N81" s="403">
        <f t="shared" si="18"/>
        <v>11.499999999999998</v>
      </c>
      <c r="O81" s="230">
        <v>30</v>
      </c>
      <c r="P81" s="231">
        <v>30</v>
      </c>
      <c r="Q81" s="382">
        <f t="shared" si="19"/>
        <v>0.38</v>
      </c>
      <c r="R81" s="391">
        <v>1</v>
      </c>
      <c r="S81" s="440">
        <f t="shared" si="20"/>
        <v>1</v>
      </c>
      <c r="T81" s="409">
        <f t="shared" si="21"/>
        <v>1</v>
      </c>
      <c r="U81" s="409">
        <f t="shared" si="22"/>
        <v>1</v>
      </c>
      <c r="V81" s="409">
        <f t="shared" si="23"/>
        <v>1</v>
      </c>
      <c r="W81" s="265">
        <f t="shared" si="24"/>
        <v>0.89</v>
      </c>
      <c r="Y81" s="283">
        <f>IFERROR(IF(Instructions!$N$166=1,($AA81/1000)*$E81,($AA81/100)*$E81),0)</f>
        <v>0.35000000000000003</v>
      </c>
      <c r="Z81" s="371"/>
      <c r="AA81" s="284">
        <f>IFERROR(VLOOKUP($C81,Instructions!$C$73:$K$157,9,FALSE),0)</f>
        <v>5</v>
      </c>
      <c r="AB81" s="190" t="str">
        <f t="shared" si="25"/>
        <v>3552A - Private Office</v>
      </c>
    </row>
    <row r="82" spans="1:28" s="126" customFormat="1" ht="13.15" customHeight="1" x14ac:dyDescent="0.25">
      <c r="A82" s="136">
        <f t="shared" si="15"/>
        <v>0</v>
      </c>
      <c r="B82" s="235" t="s">
        <v>386</v>
      </c>
      <c r="C82" s="489" t="s">
        <v>74</v>
      </c>
      <c r="D82" s="490"/>
      <c r="E82" s="227">
        <v>174</v>
      </c>
      <c r="F82" s="228" t="s">
        <v>311</v>
      </c>
      <c r="G82" s="371">
        <v>2</v>
      </c>
      <c r="H82" s="229">
        <f>IFERROR(IF(Instructions!$N$166=1,VLOOKUP(C82,Instructions!$C$73:$K$157,5,FALSE),VLOOKUP(C82,Instructions!$C$73:$K$157,6,FALSE)),0)</f>
        <v>5</v>
      </c>
      <c r="I82" s="229">
        <f>IFERROR(IF(Instructions!$N$166=1,VLOOKUP(C82,Instructions!$C$73:$K$157,7,FALSE),VLOOKUP(C82,Instructions!$C$73:$K$157,8,FALSE)),0)</f>
        <v>0.06</v>
      </c>
      <c r="J82" s="406">
        <f t="shared" si="16"/>
        <v>10</v>
      </c>
      <c r="K82" s="406">
        <f t="shared" si="17"/>
        <v>10.44</v>
      </c>
      <c r="L82" s="407">
        <f t="shared" si="14"/>
        <v>20.440000000000001</v>
      </c>
      <c r="M82" s="413">
        <v>0.8</v>
      </c>
      <c r="N82" s="403">
        <f t="shared" si="18"/>
        <v>25.55</v>
      </c>
      <c r="O82" s="230">
        <v>82</v>
      </c>
      <c r="P82" s="231">
        <v>82</v>
      </c>
      <c r="Q82" s="382">
        <f t="shared" si="19"/>
        <v>0.31</v>
      </c>
      <c r="R82" s="391">
        <v>1</v>
      </c>
      <c r="S82" s="440">
        <f t="shared" si="20"/>
        <v>1</v>
      </c>
      <c r="T82" s="409">
        <f t="shared" si="21"/>
        <v>1</v>
      </c>
      <c r="U82" s="409">
        <f t="shared" si="22"/>
        <v>1</v>
      </c>
      <c r="V82" s="409">
        <f t="shared" si="23"/>
        <v>1</v>
      </c>
      <c r="W82" s="265">
        <f t="shared" si="24"/>
        <v>0.96</v>
      </c>
      <c r="Y82" s="283">
        <f>IFERROR(IF(Instructions!$N$166=1,($AA82/1000)*$E82,($AA82/100)*$E82),0)</f>
        <v>0.87</v>
      </c>
      <c r="Z82" s="371"/>
      <c r="AA82" s="284">
        <f>IFERROR(VLOOKUP($C82,Instructions!$C$73:$K$157,9,FALSE),0)</f>
        <v>5</v>
      </c>
      <c r="AB82" s="190" t="str">
        <f t="shared" si="25"/>
        <v>3556 - Shared Post Doc</v>
      </c>
    </row>
    <row r="83" spans="1:28" s="126" customFormat="1" ht="13.15" customHeight="1" x14ac:dyDescent="0.25">
      <c r="A83" s="136">
        <f t="shared" si="15"/>
        <v>0</v>
      </c>
      <c r="B83" s="235" t="s">
        <v>387</v>
      </c>
      <c r="C83" s="489" t="s">
        <v>74</v>
      </c>
      <c r="D83" s="490"/>
      <c r="E83" s="227">
        <v>98</v>
      </c>
      <c r="F83" s="228" t="s">
        <v>311</v>
      </c>
      <c r="G83" s="371">
        <v>1</v>
      </c>
      <c r="H83" s="229">
        <f>IFERROR(IF(Instructions!$N$166=1,VLOOKUP(C83,Instructions!$C$73:$K$157,5,FALSE),VLOOKUP(C83,Instructions!$C$73:$K$157,6,FALSE)),0)</f>
        <v>5</v>
      </c>
      <c r="I83" s="229">
        <f>IFERROR(IF(Instructions!$N$166=1,VLOOKUP(C83,Instructions!$C$73:$K$157,7,FALSE),VLOOKUP(C83,Instructions!$C$73:$K$157,8,FALSE)),0)</f>
        <v>0.06</v>
      </c>
      <c r="J83" s="406">
        <f t="shared" si="16"/>
        <v>5</v>
      </c>
      <c r="K83" s="406">
        <f t="shared" si="17"/>
        <v>5.88</v>
      </c>
      <c r="L83" s="407">
        <f t="shared" si="14"/>
        <v>10.88</v>
      </c>
      <c r="M83" s="413">
        <v>0.8</v>
      </c>
      <c r="N83" s="403">
        <f t="shared" si="18"/>
        <v>13.6</v>
      </c>
      <c r="O83" s="230">
        <v>35</v>
      </c>
      <c r="P83" s="231">
        <v>35</v>
      </c>
      <c r="Q83" s="382">
        <f t="shared" si="19"/>
        <v>0.39</v>
      </c>
      <c r="R83" s="391">
        <v>1</v>
      </c>
      <c r="S83" s="440">
        <f t="shared" si="20"/>
        <v>1</v>
      </c>
      <c r="T83" s="409">
        <f t="shared" si="21"/>
        <v>1</v>
      </c>
      <c r="U83" s="409">
        <f t="shared" si="22"/>
        <v>1</v>
      </c>
      <c r="V83" s="409">
        <f t="shared" si="23"/>
        <v>1</v>
      </c>
      <c r="W83" s="265">
        <f t="shared" si="24"/>
        <v>0.88</v>
      </c>
      <c r="Y83" s="283">
        <f>IFERROR(IF(Instructions!$N$166=1,($AA83/1000)*$E83,($AA83/100)*$E83),0)</f>
        <v>0.49</v>
      </c>
      <c r="Z83" s="371"/>
      <c r="AA83" s="284">
        <f>IFERROR(VLOOKUP($C83,Instructions!$C$73:$K$157,9,FALSE),0)</f>
        <v>5</v>
      </c>
      <c r="AB83" s="190" t="str">
        <f t="shared" si="25"/>
        <v>3558 - Lab Mgr</v>
      </c>
    </row>
    <row r="84" spans="1:28" s="126" customFormat="1" ht="13.15" customHeight="1" x14ac:dyDescent="0.25">
      <c r="A84" s="136">
        <f t="shared" si="15"/>
        <v>0</v>
      </c>
      <c r="B84" s="235" t="s">
        <v>388</v>
      </c>
      <c r="C84" s="489" t="s">
        <v>67</v>
      </c>
      <c r="D84" s="490"/>
      <c r="E84" s="227">
        <v>284</v>
      </c>
      <c r="F84" s="228" t="s">
        <v>311</v>
      </c>
      <c r="G84" s="371">
        <v>12</v>
      </c>
      <c r="H84" s="229">
        <f>IFERROR(IF(Instructions!$N$166=1,VLOOKUP(C84,Instructions!$C$73:$K$157,5,FALSE),VLOOKUP(C84,Instructions!$C$73:$K$157,6,FALSE)),0)</f>
        <v>5</v>
      </c>
      <c r="I84" s="229">
        <f>IFERROR(IF(Instructions!$N$166=1,VLOOKUP(C84,Instructions!$C$73:$K$157,7,FALSE),VLOOKUP(C84,Instructions!$C$73:$K$157,8,FALSE)),0)</f>
        <v>0.06</v>
      </c>
      <c r="J84" s="406">
        <f t="shared" si="16"/>
        <v>60</v>
      </c>
      <c r="K84" s="406">
        <f t="shared" si="17"/>
        <v>17.04</v>
      </c>
      <c r="L84" s="407">
        <f t="shared" si="14"/>
        <v>77.040000000000006</v>
      </c>
      <c r="M84" s="413">
        <v>0.8</v>
      </c>
      <c r="N84" s="403">
        <f t="shared" si="18"/>
        <v>96.3</v>
      </c>
      <c r="O84" s="230">
        <v>250</v>
      </c>
      <c r="P84" s="231">
        <v>250</v>
      </c>
      <c r="Q84" s="382">
        <f t="shared" si="19"/>
        <v>0.39</v>
      </c>
      <c r="R84" s="391">
        <v>1</v>
      </c>
      <c r="S84" s="440">
        <f t="shared" si="20"/>
        <v>1</v>
      </c>
      <c r="T84" s="409">
        <f t="shared" si="21"/>
        <v>1</v>
      </c>
      <c r="U84" s="409">
        <f t="shared" si="22"/>
        <v>1</v>
      </c>
      <c r="V84" s="409">
        <f t="shared" si="23"/>
        <v>1</v>
      </c>
      <c r="W84" s="265">
        <f t="shared" si="24"/>
        <v>0.88</v>
      </c>
      <c r="Y84" s="283">
        <f>IFERROR(IF(Instructions!$N$166=1,($AA84/1000)*$E84,($AA84/100)*$E84),0)</f>
        <v>14.200000000000001</v>
      </c>
      <c r="Z84" s="371"/>
      <c r="AA84" s="284">
        <f>IFERROR(VLOOKUP($C84,Instructions!$C$73:$K$157,9,FALSE),0)</f>
        <v>50</v>
      </c>
      <c r="AB84" s="190" t="str">
        <f t="shared" si="25"/>
        <v>3560 - Conference Room</v>
      </c>
    </row>
    <row r="85" spans="1:28" s="126" customFormat="1" ht="13.15" customHeight="1" x14ac:dyDescent="0.25">
      <c r="A85" s="136">
        <f t="shared" si="15"/>
        <v>0</v>
      </c>
      <c r="B85" s="235" t="s">
        <v>389</v>
      </c>
      <c r="C85" s="489" t="s">
        <v>74</v>
      </c>
      <c r="D85" s="490"/>
      <c r="E85" s="227">
        <v>92</v>
      </c>
      <c r="F85" s="228" t="s">
        <v>311</v>
      </c>
      <c r="G85" s="371">
        <v>2</v>
      </c>
      <c r="H85" s="229">
        <f>IFERROR(IF(Instructions!$N$166=1,VLOOKUP(C85,Instructions!$C$73:$K$157,5,FALSE),VLOOKUP(C85,Instructions!$C$73:$K$157,6,FALSE)),0)</f>
        <v>5</v>
      </c>
      <c r="I85" s="229">
        <f>IFERROR(IF(Instructions!$N$166=1,VLOOKUP(C85,Instructions!$C$73:$K$157,7,FALSE),VLOOKUP(C85,Instructions!$C$73:$K$157,8,FALSE)),0)</f>
        <v>0.06</v>
      </c>
      <c r="J85" s="406">
        <f t="shared" si="16"/>
        <v>10</v>
      </c>
      <c r="K85" s="406">
        <f t="shared" si="17"/>
        <v>5.52</v>
      </c>
      <c r="L85" s="407">
        <f t="shared" si="14"/>
        <v>15.52</v>
      </c>
      <c r="M85" s="413">
        <v>0.8</v>
      </c>
      <c r="N85" s="403">
        <f t="shared" si="18"/>
        <v>19.399999999999999</v>
      </c>
      <c r="O85" s="230">
        <v>52</v>
      </c>
      <c r="P85" s="231">
        <v>52</v>
      </c>
      <c r="Q85" s="382">
        <f t="shared" si="19"/>
        <v>0.37</v>
      </c>
      <c r="R85" s="391">
        <v>1</v>
      </c>
      <c r="S85" s="440">
        <f t="shared" si="20"/>
        <v>1</v>
      </c>
      <c r="T85" s="409">
        <f t="shared" si="21"/>
        <v>1</v>
      </c>
      <c r="U85" s="409">
        <f t="shared" si="22"/>
        <v>1</v>
      </c>
      <c r="V85" s="409">
        <f t="shared" si="23"/>
        <v>1</v>
      </c>
      <c r="W85" s="265">
        <f t="shared" si="24"/>
        <v>0.9</v>
      </c>
      <c r="Y85" s="283">
        <f>IFERROR(IF(Instructions!$N$166=1,($AA85/1000)*$E85,($AA85/100)*$E85),0)</f>
        <v>0.46</v>
      </c>
      <c r="Z85" s="371"/>
      <c r="AA85" s="284">
        <f>IFERROR(VLOOKUP($C85,Instructions!$C$73:$K$157,9,FALSE),0)</f>
        <v>5</v>
      </c>
      <c r="AB85" s="190" t="str">
        <f t="shared" si="25"/>
        <v>4432 - General Office</v>
      </c>
    </row>
    <row r="86" spans="1:28" s="126" customFormat="1" ht="13.15" customHeight="1" x14ac:dyDescent="0.25">
      <c r="A86" s="136">
        <f t="shared" si="15"/>
        <v>0</v>
      </c>
      <c r="B86" s="235" t="s">
        <v>390</v>
      </c>
      <c r="C86" s="489" t="s">
        <v>68</v>
      </c>
      <c r="D86" s="490"/>
      <c r="E86" s="227">
        <v>516</v>
      </c>
      <c r="F86" s="228" t="s">
        <v>315</v>
      </c>
      <c r="G86" s="283">
        <f>IFERROR(IF(Instructions!$N$166=1,($AA86/1000)*$E86,($AA86/100)*$E86),0)</f>
        <v>0</v>
      </c>
      <c r="H86" s="229">
        <f>IFERROR(IF(Instructions!$N$166=1,VLOOKUP(C86,Instructions!$C$73:$K$157,5,FALSE),VLOOKUP(C86,Instructions!$C$73:$K$157,6,FALSE)),0)</f>
        <v>0</v>
      </c>
      <c r="I86" s="229">
        <f>IFERROR(IF(Instructions!$N$166=1,VLOOKUP(C86,Instructions!$C$73:$K$157,7,FALSE),VLOOKUP(C86,Instructions!$C$73:$K$157,8,FALSE)),0)</f>
        <v>0.06</v>
      </c>
      <c r="J86" s="406">
        <f t="shared" si="16"/>
        <v>0</v>
      </c>
      <c r="K86" s="406">
        <f t="shared" si="17"/>
        <v>30.96</v>
      </c>
      <c r="L86" s="407">
        <f t="shared" si="14"/>
        <v>30.96</v>
      </c>
      <c r="M86" s="413">
        <v>0.8</v>
      </c>
      <c r="N86" s="403">
        <f t="shared" si="18"/>
        <v>38.699999999999996</v>
      </c>
      <c r="O86" s="230">
        <v>101</v>
      </c>
      <c r="P86" s="231">
        <v>101</v>
      </c>
      <c r="Q86" s="382">
        <f t="shared" si="19"/>
        <v>0.38</v>
      </c>
      <c r="R86" s="391">
        <v>1</v>
      </c>
      <c r="S86" s="440">
        <f t="shared" si="20"/>
        <v>1</v>
      </c>
      <c r="T86" s="409">
        <f t="shared" si="21"/>
        <v>1</v>
      </c>
      <c r="U86" s="409">
        <f t="shared" si="22"/>
        <v>1</v>
      </c>
      <c r="V86" s="409">
        <f t="shared" si="23"/>
        <v>1</v>
      </c>
      <c r="W86" s="265">
        <f t="shared" si="24"/>
        <v>0.89</v>
      </c>
      <c r="Y86" s="283">
        <f>IFERROR(IF(Instructions!$N$166=1,($AA86/1000)*$E86,($AA86/100)*$E86),0)</f>
        <v>0</v>
      </c>
      <c r="Z86" s="371"/>
      <c r="AA86" s="284">
        <f>IFERROR(VLOOKUP($C86,Instructions!$C$73:$K$157,9,FALSE),0)</f>
        <v>0</v>
      </c>
      <c r="AB86" s="190" t="str">
        <f t="shared" si="25"/>
        <v>4500 - Corridor</v>
      </c>
    </row>
    <row r="87" spans="1:28" s="126" customFormat="1" ht="13.15" customHeight="1" x14ac:dyDescent="0.25">
      <c r="A87" s="136">
        <f t="shared" si="15"/>
        <v>0</v>
      </c>
      <c r="B87" s="235" t="s">
        <v>391</v>
      </c>
      <c r="C87" s="489" t="s">
        <v>68</v>
      </c>
      <c r="D87" s="490"/>
      <c r="E87" s="227">
        <v>598</v>
      </c>
      <c r="F87" s="228" t="s">
        <v>315</v>
      </c>
      <c r="G87" s="283">
        <f>IFERROR(IF(Instructions!$N$166=1,($AA87/1000)*$E87,($AA87/100)*$E87),0)</f>
        <v>0</v>
      </c>
      <c r="H87" s="229">
        <f>IFERROR(IF(Instructions!$N$166=1,VLOOKUP(C87,Instructions!$C$73:$K$157,5,FALSE),VLOOKUP(C87,Instructions!$C$73:$K$157,6,FALSE)),0)</f>
        <v>0</v>
      </c>
      <c r="I87" s="229">
        <f>IFERROR(IF(Instructions!$N$166=1,VLOOKUP(C87,Instructions!$C$73:$K$157,7,FALSE),VLOOKUP(C87,Instructions!$C$73:$K$157,8,FALSE)),0)</f>
        <v>0.06</v>
      </c>
      <c r="J87" s="406">
        <f t="shared" si="16"/>
        <v>0</v>
      </c>
      <c r="K87" s="406">
        <f t="shared" si="17"/>
        <v>35.880000000000003</v>
      </c>
      <c r="L87" s="407">
        <f t="shared" si="14"/>
        <v>35.880000000000003</v>
      </c>
      <c r="M87" s="413">
        <v>0.8</v>
      </c>
      <c r="N87" s="403">
        <f t="shared" si="18"/>
        <v>44.85</v>
      </c>
      <c r="O87" s="230">
        <v>117</v>
      </c>
      <c r="P87" s="231">
        <v>117</v>
      </c>
      <c r="Q87" s="382">
        <f t="shared" si="19"/>
        <v>0.38</v>
      </c>
      <c r="R87" s="391">
        <v>1</v>
      </c>
      <c r="S87" s="440">
        <f t="shared" si="20"/>
        <v>1</v>
      </c>
      <c r="T87" s="409">
        <f t="shared" si="21"/>
        <v>1</v>
      </c>
      <c r="U87" s="409">
        <f t="shared" si="22"/>
        <v>1</v>
      </c>
      <c r="V87" s="409">
        <f t="shared" si="23"/>
        <v>1</v>
      </c>
      <c r="W87" s="265">
        <f t="shared" si="24"/>
        <v>0.89</v>
      </c>
      <c r="Y87" s="283">
        <f>IFERROR(IF(Instructions!$N$166=1,($AA87/1000)*$E87,($AA87/100)*$E87),0)</f>
        <v>0</v>
      </c>
      <c r="Z87" s="371"/>
      <c r="AA87" s="284">
        <f>IFERROR(VLOOKUP($C87,Instructions!$C$73:$K$157,9,FALSE),0)</f>
        <v>0</v>
      </c>
      <c r="AB87" s="190" t="str">
        <f t="shared" si="25"/>
        <v>4500A - Corridor</v>
      </c>
    </row>
    <row r="88" spans="1:28" s="126" customFormat="1" ht="13.15" customHeight="1" x14ac:dyDescent="0.25">
      <c r="A88" s="136">
        <f t="shared" si="15"/>
        <v>0</v>
      </c>
      <c r="B88" s="235" t="s">
        <v>392</v>
      </c>
      <c r="C88" s="489" t="s">
        <v>74</v>
      </c>
      <c r="D88" s="490"/>
      <c r="E88" s="227">
        <v>452</v>
      </c>
      <c r="F88" s="228" t="s">
        <v>311</v>
      </c>
      <c r="G88" s="371">
        <v>10</v>
      </c>
      <c r="H88" s="229">
        <f>IFERROR(IF(Instructions!$N$166=1,VLOOKUP(C88,Instructions!$C$73:$K$157,5,FALSE),VLOOKUP(C88,Instructions!$C$73:$K$157,6,FALSE)),0)</f>
        <v>5</v>
      </c>
      <c r="I88" s="229">
        <f>IFERROR(IF(Instructions!$N$166=1,VLOOKUP(C88,Instructions!$C$73:$K$157,7,FALSE),VLOOKUP(C88,Instructions!$C$73:$K$157,8,FALSE)),0)</f>
        <v>0.06</v>
      </c>
      <c r="J88" s="406">
        <f t="shared" si="16"/>
        <v>50</v>
      </c>
      <c r="K88" s="406">
        <f t="shared" si="17"/>
        <v>27.12</v>
      </c>
      <c r="L88" s="407">
        <f t="shared" si="14"/>
        <v>77.12</v>
      </c>
      <c r="M88" s="413">
        <v>0.8</v>
      </c>
      <c r="N88" s="403">
        <f t="shared" si="18"/>
        <v>96.4</v>
      </c>
      <c r="O88" s="230">
        <v>251</v>
      </c>
      <c r="P88" s="231">
        <v>251</v>
      </c>
      <c r="Q88" s="382">
        <f t="shared" si="19"/>
        <v>0.38</v>
      </c>
      <c r="R88" s="391">
        <v>1</v>
      </c>
      <c r="S88" s="440">
        <f t="shared" si="20"/>
        <v>1</v>
      </c>
      <c r="T88" s="409">
        <f t="shared" si="21"/>
        <v>1</v>
      </c>
      <c r="U88" s="409">
        <f t="shared" si="22"/>
        <v>1</v>
      </c>
      <c r="V88" s="409">
        <f t="shared" si="23"/>
        <v>1</v>
      </c>
      <c r="W88" s="265">
        <f t="shared" si="24"/>
        <v>0.89</v>
      </c>
      <c r="Y88" s="283">
        <f>IFERROR(IF(Instructions!$N$166=1,($AA88/1000)*$E88,($AA88/100)*$E88),0)</f>
        <v>2.2600000000000002</v>
      </c>
      <c r="Z88" s="371"/>
      <c r="AA88" s="284">
        <f>IFERROR(VLOOKUP($C88,Instructions!$C$73:$K$157,9,FALSE),0)</f>
        <v>5</v>
      </c>
      <c r="AB88" s="190" t="str">
        <f t="shared" si="25"/>
        <v>4510 - Shell Space</v>
      </c>
    </row>
    <row r="89" spans="1:28" s="126" customFormat="1" ht="13.15" customHeight="1" x14ac:dyDescent="0.25">
      <c r="A89" s="136">
        <f t="shared" si="15"/>
        <v>0</v>
      </c>
      <c r="B89" s="235" t="s">
        <v>393</v>
      </c>
      <c r="C89" s="489" t="s">
        <v>68</v>
      </c>
      <c r="D89" s="490"/>
      <c r="E89" s="227">
        <v>134</v>
      </c>
      <c r="F89" s="228" t="s">
        <v>315</v>
      </c>
      <c r="G89" s="283">
        <f>IFERROR(IF(Instructions!$N$166=1,($AA89/1000)*$E89,($AA89/100)*$E89),0)</f>
        <v>0</v>
      </c>
      <c r="H89" s="229">
        <f>IFERROR(IF(Instructions!$N$166=1,VLOOKUP(C89,Instructions!$C$73:$K$157,5,FALSE),VLOOKUP(C89,Instructions!$C$73:$K$157,6,FALSE)),0)</f>
        <v>0</v>
      </c>
      <c r="I89" s="229">
        <f>IFERROR(IF(Instructions!$N$166=1,VLOOKUP(C89,Instructions!$C$73:$K$157,7,FALSE),VLOOKUP(C89,Instructions!$C$73:$K$157,8,FALSE)),0)</f>
        <v>0.06</v>
      </c>
      <c r="J89" s="406">
        <f t="shared" si="16"/>
        <v>0</v>
      </c>
      <c r="K89" s="406">
        <f t="shared" si="17"/>
        <v>8.0399999999999991</v>
      </c>
      <c r="L89" s="407">
        <f t="shared" si="14"/>
        <v>8.0399999999999991</v>
      </c>
      <c r="M89" s="413">
        <v>0.8</v>
      </c>
      <c r="N89" s="403">
        <f t="shared" si="18"/>
        <v>10.049999999999999</v>
      </c>
      <c r="O89" s="230">
        <v>26</v>
      </c>
      <c r="P89" s="231">
        <v>26</v>
      </c>
      <c r="Q89" s="382">
        <f t="shared" si="19"/>
        <v>0.39</v>
      </c>
      <c r="R89" s="391">
        <v>1</v>
      </c>
      <c r="S89" s="440">
        <f t="shared" si="20"/>
        <v>1</v>
      </c>
      <c r="T89" s="409">
        <f t="shared" si="21"/>
        <v>1</v>
      </c>
      <c r="U89" s="409">
        <f t="shared" si="22"/>
        <v>1</v>
      </c>
      <c r="V89" s="409">
        <f t="shared" si="23"/>
        <v>1</v>
      </c>
      <c r="W89" s="265">
        <f t="shared" si="24"/>
        <v>0.88</v>
      </c>
      <c r="Y89" s="283">
        <f>IFERROR(IF(Instructions!$N$166=1,($AA89/1000)*$E89,($AA89/100)*$E89),0)</f>
        <v>0</v>
      </c>
      <c r="Z89" s="371"/>
      <c r="AA89" s="284">
        <f>IFERROR(VLOOKUP($C89,Instructions!$C$73:$K$157,9,FALSE),0)</f>
        <v>0</v>
      </c>
      <c r="AB89" s="190" t="str">
        <f t="shared" si="25"/>
        <v>4512 - Corridor</v>
      </c>
    </row>
    <row r="90" spans="1:28" s="126" customFormat="1" ht="13.15" customHeight="1" x14ac:dyDescent="0.25">
      <c r="A90" s="136">
        <f t="shared" si="15"/>
        <v>0</v>
      </c>
      <c r="B90" s="235" t="s">
        <v>394</v>
      </c>
      <c r="C90" s="489" t="s">
        <v>74</v>
      </c>
      <c r="D90" s="490"/>
      <c r="E90" s="227">
        <v>72</v>
      </c>
      <c r="F90" s="228" t="s">
        <v>311</v>
      </c>
      <c r="G90" s="371">
        <v>1</v>
      </c>
      <c r="H90" s="229">
        <f>IFERROR(IF(Instructions!$N$166=1,VLOOKUP(C90,Instructions!$C$73:$K$157,5,FALSE),VLOOKUP(C90,Instructions!$C$73:$K$157,6,FALSE)),0)</f>
        <v>5</v>
      </c>
      <c r="I90" s="229">
        <f>IFERROR(IF(Instructions!$N$166=1,VLOOKUP(C90,Instructions!$C$73:$K$157,7,FALSE),VLOOKUP(C90,Instructions!$C$73:$K$157,8,FALSE)),0)</f>
        <v>0.06</v>
      </c>
      <c r="J90" s="406">
        <f t="shared" si="16"/>
        <v>5</v>
      </c>
      <c r="K90" s="406">
        <f t="shared" si="17"/>
        <v>4.32</v>
      </c>
      <c r="L90" s="407">
        <f t="shared" si="14"/>
        <v>9.32</v>
      </c>
      <c r="M90" s="413">
        <v>0.8</v>
      </c>
      <c r="N90" s="403">
        <f t="shared" si="18"/>
        <v>11.65</v>
      </c>
      <c r="O90" s="230">
        <v>30</v>
      </c>
      <c r="P90" s="231">
        <v>30</v>
      </c>
      <c r="Q90" s="382">
        <f t="shared" si="19"/>
        <v>0.39</v>
      </c>
      <c r="R90" s="391">
        <v>1</v>
      </c>
      <c r="S90" s="440">
        <f t="shared" si="20"/>
        <v>1</v>
      </c>
      <c r="T90" s="409">
        <f t="shared" si="21"/>
        <v>1</v>
      </c>
      <c r="U90" s="409">
        <f t="shared" si="22"/>
        <v>1</v>
      </c>
      <c r="V90" s="409">
        <f t="shared" si="23"/>
        <v>1</v>
      </c>
      <c r="W90" s="265">
        <f t="shared" si="24"/>
        <v>0.88</v>
      </c>
      <c r="Y90" s="283">
        <f>IFERROR(IF(Instructions!$N$166=1,($AA90/1000)*$E90,($AA90/100)*$E90),0)</f>
        <v>0.36</v>
      </c>
      <c r="Z90" s="371"/>
      <c r="AA90" s="284">
        <f>IFERROR(VLOOKUP($C90,Instructions!$C$73:$K$157,9,FALSE),0)</f>
        <v>5</v>
      </c>
      <c r="AB90" s="190" t="str">
        <f t="shared" si="25"/>
        <v>4512A - Control</v>
      </c>
    </row>
    <row r="91" spans="1:28" s="126" customFormat="1" ht="13.15" customHeight="1" x14ac:dyDescent="0.25">
      <c r="A91" s="136">
        <f t="shared" si="15"/>
        <v>0</v>
      </c>
      <c r="B91" s="235" t="s">
        <v>395</v>
      </c>
      <c r="C91" s="489" t="s">
        <v>74</v>
      </c>
      <c r="D91" s="490"/>
      <c r="E91" s="227">
        <v>76</v>
      </c>
      <c r="F91" s="228" t="s">
        <v>311</v>
      </c>
      <c r="G91" s="371">
        <v>2</v>
      </c>
      <c r="H91" s="229">
        <f>IFERROR(IF(Instructions!$N$166=1,VLOOKUP(C91,Instructions!$C$73:$K$157,5,FALSE),VLOOKUP(C91,Instructions!$C$73:$K$157,6,FALSE)),0)</f>
        <v>5</v>
      </c>
      <c r="I91" s="229">
        <f>IFERROR(IF(Instructions!$N$166=1,VLOOKUP(C91,Instructions!$C$73:$K$157,7,FALSE),VLOOKUP(C91,Instructions!$C$73:$K$157,8,FALSE)),0)</f>
        <v>0.06</v>
      </c>
      <c r="J91" s="406">
        <f t="shared" si="16"/>
        <v>10</v>
      </c>
      <c r="K91" s="406">
        <f t="shared" si="17"/>
        <v>4.5599999999999996</v>
      </c>
      <c r="L91" s="407">
        <f t="shared" si="14"/>
        <v>14.56</v>
      </c>
      <c r="M91" s="413">
        <v>0.8</v>
      </c>
      <c r="N91" s="403">
        <f t="shared" si="18"/>
        <v>18.2</v>
      </c>
      <c r="O91" s="230">
        <v>47</v>
      </c>
      <c r="P91" s="231">
        <v>47</v>
      </c>
      <c r="Q91" s="382">
        <f t="shared" si="19"/>
        <v>0.39</v>
      </c>
      <c r="R91" s="391">
        <v>1</v>
      </c>
      <c r="S91" s="440">
        <f t="shared" si="20"/>
        <v>1</v>
      </c>
      <c r="T91" s="409">
        <f t="shared" si="21"/>
        <v>1</v>
      </c>
      <c r="U91" s="409">
        <f t="shared" si="22"/>
        <v>1</v>
      </c>
      <c r="V91" s="409">
        <f t="shared" si="23"/>
        <v>1</v>
      </c>
      <c r="W91" s="265">
        <f t="shared" si="24"/>
        <v>0.88</v>
      </c>
      <c r="Y91" s="283">
        <f>IFERROR(IF(Instructions!$N$166=1,($AA91/1000)*$E91,($AA91/100)*$E91),0)</f>
        <v>0.38</v>
      </c>
      <c r="Z91" s="371"/>
      <c r="AA91" s="284">
        <f>IFERROR(VLOOKUP($C91,Instructions!$C$73:$K$157,9,FALSE),0)</f>
        <v>5</v>
      </c>
      <c r="AB91" s="190" t="str">
        <f t="shared" si="25"/>
        <v>4512AA - Psycho Physics Lab</v>
      </c>
    </row>
    <row r="92" spans="1:28" s="126" customFormat="1" ht="13.15" customHeight="1" x14ac:dyDescent="0.25">
      <c r="A92" s="136">
        <f t="shared" si="15"/>
        <v>0</v>
      </c>
      <c r="B92" s="235" t="s">
        <v>396</v>
      </c>
      <c r="C92" s="489" t="s">
        <v>74</v>
      </c>
      <c r="D92" s="490"/>
      <c r="E92" s="227">
        <v>118</v>
      </c>
      <c r="F92" s="228" t="s">
        <v>311</v>
      </c>
      <c r="G92" s="371">
        <v>4</v>
      </c>
      <c r="H92" s="229">
        <f>IFERROR(IF(Instructions!$N$166=1,VLOOKUP(C92,Instructions!$C$73:$K$157,5,FALSE),VLOOKUP(C92,Instructions!$C$73:$K$157,6,FALSE)),0)</f>
        <v>5</v>
      </c>
      <c r="I92" s="229">
        <f>IFERROR(IF(Instructions!$N$166=1,VLOOKUP(C92,Instructions!$C$73:$K$157,7,FALSE),VLOOKUP(C92,Instructions!$C$73:$K$157,8,FALSE)),0)</f>
        <v>0.06</v>
      </c>
      <c r="J92" s="406">
        <f t="shared" si="16"/>
        <v>20</v>
      </c>
      <c r="K92" s="406">
        <f t="shared" si="17"/>
        <v>7.08</v>
      </c>
      <c r="L92" s="407">
        <f t="shared" si="14"/>
        <v>27.08</v>
      </c>
      <c r="M92" s="413">
        <v>0.8</v>
      </c>
      <c r="N92" s="403">
        <f t="shared" si="18"/>
        <v>33.849999999999994</v>
      </c>
      <c r="O92" s="230">
        <v>88</v>
      </c>
      <c r="P92" s="231">
        <v>88</v>
      </c>
      <c r="Q92" s="382">
        <f t="shared" si="19"/>
        <v>0.38</v>
      </c>
      <c r="R92" s="391">
        <v>1</v>
      </c>
      <c r="S92" s="440">
        <f t="shared" si="20"/>
        <v>1</v>
      </c>
      <c r="T92" s="409">
        <f t="shared" si="21"/>
        <v>1</v>
      </c>
      <c r="U92" s="409">
        <f t="shared" si="22"/>
        <v>1</v>
      </c>
      <c r="V92" s="409">
        <f t="shared" si="23"/>
        <v>1</v>
      </c>
      <c r="W92" s="265">
        <f t="shared" si="24"/>
        <v>0.89</v>
      </c>
      <c r="Y92" s="283">
        <f>IFERROR(IF(Instructions!$N$166=1,($AA92/1000)*$E92,($AA92/100)*$E92),0)</f>
        <v>0.59</v>
      </c>
      <c r="Z92" s="371"/>
      <c r="AA92" s="284">
        <f>IFERROR(VLOOKUP($C92,Instructions!$C$73:$K$157,9,FALSE),0)</f>
        <v>5</v>
      </c>
      <c r="AB92" s="190" t="str">
        <f t="shared" si="25"/>
        <v>4512B - Meeting Area</v>
      </c>
    </row>
    <row r="93" spans="1:28" s="126" customFormat="1" ht="13.15" customHeight="1" x14ac:dyDescent="0.25">
      <c r="A93" s="136">
        <f t="shared" si="15"/>
        <v>0</v>
      </c>
      <c r="B93" s="235" t="s">
        <v>397</v>
      </c>
      <c r="C93" s="489" t="s">
        <v>74</v>
      </c>
      <c r="D93" s="490"/>
      <c r="E93" s="227">
        <v>86</v>
      </c>
      <c r="F93" s="228" t="s">
        <v>311</v>
      </c>
      <c r="G93" s="371">
        <v>2</v>
      </c>
      <c r="H93" s="229">
        <f>IFERROR(IF(Instructions!$N$166=1,VLOOKUP(C93,Instructions!$C$73:$K$157,5,FALSE),VLOOKUP(C93,Instructions!$C$73:$K$157,6,FALSE)),0)</f>
        <v>5</v>
      </c>
      <c r="I93" s="229">
        <f>IFERROR(IF(Instructions!$N$166=1,VLOOKUP(C93,Instructions!$C$73:$K$157,7,FALSE),VLOOKUP(C93,Instructions!$C$73:$K$157,8,FALSE)),0)</f>
        <v>0.06</v>
      </c>
      <c r="J93" s="406">
        <f t="shared" si="16"/>
        <v>10</v>
      </c>
      <c r="K93" s="406">
        <f t="shared" si="17"/>
        <v>5.16</v>
      </c>
      <c r="L93" s="407">
        <f t="shared" si="14"/>
        <v>15.16</v>
      </c>
      <c r="M93" s="413">
        <v>0.8</v>
      </c>
      <c r="N93" s="403">
        <f t="shared" si="18"/>
        <v>18.95</v>
      </c>
      <c r="O93" s="230">
        <v>100</v>
      </c>
      <c r="P93" s="231">
        <v>100</v>
      </c>
      <c r="Q93" s="382">
        <f t="shared" si="19"/>
        <v>0.19</v>
      </c>
      <c r="R93" s="391">
        <v>1</v>
      </c>
      <c r="S93" s="440">
        <f t="shared" si="20"/>
        <v>1</v>
      </c>
      <c r="T93" s="409">
        <f t="shared" si="21"/>
        <v>1</v>
      </c>
      <c r="U93" s="409">
        <f t="shared" si="22"/>
        <v>1</v>
      </c>
      <c r="V93" s="409">
        <f t="shared" si="23"/>
        <v>1</v>
      </c>
      <c r="W93" s="265">
        <f t="shared" si="24"/>
        <v>1.08</v>
      </c>
      <c r="Y93" s="283">
        <f>IFERROR(IF(Instructions!$N$166=1,($AA93/1000)*$E93,($AA93/100)*$E93),0)</f>
        <v>0.43</v>
      </c>
      <c r="Z93" s="371"/>
      <c r="AA93" s="284">
        <f>IFERROR(VLOOKUP($C93,Instructions!$C$73:$K$157,9,FALSE),0)</f>
        <v>5</v>
      </c>
      <c r="AB93" s="190" t="str">
        <f t="shared" si="25"/>
        <v>4512C - Sr Research Scientist</v>
      </c>
    </row>
    <row r="94" spans="1:28" s="126" customFormat="1" ht="13.15" customHeight="1" x14ac:dyDescent="0.25">
      <c r="A94" s="136">
        <f t="shared" si="15"/>
        <v>0</v>
      </c>
      <c r="B94" s="235" t="s">
        <v>398</v>
      </c>
      <c r="C94" s="489" t="s">
        <v>74</v>
      </c>
      <c r="D94" s="490"/>
      <c r="E94" s="227">
        <v>101</v>
      </c>
      <c r="F94" s="228" t="s">
        <v>311</v>
      </c>
      <c r="G94" s="371">
        <v>2</v>
      </c>
      <c r="H94" s="229">
        <f>IFERROR(IF(Instructions!$N$166=1,VLOOKUP(C94,Instructions!$C$73:$K$157,5,FALSE),VLOOKUP(C94,Instructions!$C$73:$K$157,6,FALSE)),0)</f>
        <v>5</v>
      </c>
      <c r="I94" s="229">
        <f>IFERROR(IF(Instructions!$N$166=1,VLOOKUP(C94,Instructions!$C$73:$K$157,7,FALSE),VLOOKUP(C94,Instructions!$C$73:$K$157,8,FALSE)),0)</f>
        <v>0.06</v>
      </c>
      <c r="J94" s="406">
        <f t="shared" si="16"/>
        <v>10</v>
      </c>
      <c r="K94" s="406">
        <f t="shared" si="17"/>
        <v>6.06</v>
      </c>
      <c r="L94" s="407">
        <f t="shared" si="14"/>
        <v>16.059999999999999</v>
      </c>
      <c r="M94" s="413">
        <v>0.8</v>
      </c>
      <c r="N94" s="403">
        <f t="shared" si="18"/>
        <v>20.074999999999996</v>
      </c>
      <c r="O94" s="230">
        <v>60</v>
      </c>
      <c r="P94" s="231">
        <v>60</v>
      </c>
      <c r="Q94" s="382">
        <f t="shared" si="19"/>
        <v>0.33</v>
      </c>
      <c r="R94" s="391">
        <v>1</v>
      </c>
      <c r="S94" s="440">
        <f t="shared" si="20"/>
        <v>1</v>
      </c>
      <c r="T94" s="409">
        <f t="shared" si="21"/>
        <v>1</v>
      </c>
      <c r="U94" s="409">
        <f t="shared" si="22"/>
        <v>1</v>
      </c>
      <c r="V94" s="409">
        <f t="shared" si="23"/>
        <v>1</v>
      </c>
      <c r="W94" s="265">
        <f t="shared" si="24"/>
        <v>0.94</v>
      </c>
      <c r="Y94" s="283">
        <f>IFERROR(IF(Instructions!$N$166=1,($AA94/1000)*$E94,($AA94/100)*$E94),0)</f>
        <v>0.505</v>
      </c>
      <c r="Z94" s="371"/>
      <c r="AA94" s="284">
        <f>IFERROR(VLOOKUP($C94,Instructions!$C$73:$K$157,9,FALSE),0)</f>
        <v>5</v>
      </c>
      <c r="AB94" s="190" t="str">
        <f t="shared" si="25"/>
        <v>4512D - General Office</v>
      </c>
    </row>
    <row r="95" spans="1:28" s="126" customFormat="1" ht="13.15" customHeight="1" x14ac:dyDescent="0.25">
      <c r="A95" s="136">
        <f t="shared" si="15"/>
        <v>0</v>
      </c>
      <c r="B95" s="235" t="s">
        <v>399</v>
      </c>
      <c r="C95" s="489" t="s">
        <v>74</v>
      </c>
      <c r="D95" s="490"/>
      <c r="E95" s="227">
        <v>105</v>
      </c>
      <c r="F95" s="228" t="s">
        <v>311</v>
      </c>
      <c r="G95" s="371">
        <v>2</v>
      </c>
      <c r="H95" s="229">
        <f>IFERROR(IF(Instructions!$N$166=1,VLOOKUP(C95,Instructions!$C$73:$K$157,5,FALSE),VLOOKUP(C95,Instructions!$C$73:$K$157,6,FALSE)),0)</f>
        <v>5</v>
      </c>
      <c r="I95" s="229">
        <f>IFERROR(IF(Instructions!$N$166=1,VLOOKUP(C95,Instructions!$C$73:$K$157,7,FALSE),VLOOKUP(C95,Instructions!$C$73:$K$157,8,FALSE)),0)</f>
        <v>0.06</v>
      </c>
      <c r="J95" s="406">
        <f t="shared" si="16"/>
        <v>10</v>
      </c>
      <c r="K95" s="406">
        <f t="shared" si="17"/>
        <v>6.3</v>
      </c>
      <c r="L95" s="407">
        <f t="shared" si="14"/>
        <v>16.3</v>
      </c>
      <c r="M95" s="413">
        <v>0.8</v>
      </c>
      <c r="N95" s="403">
        <f t="shared" si="18"/>
        <v>20.375</v>
      </c>
      <c r="O95" s="230">
        <v>59</v>
      </c>
      <c r="P95" s="231">
        <v>59</v>
      </c>
      <c r="Q95" s="382">
        <f t="shared" si="19"/>
        <v>0.35</v>
      </c>
      <c r="R95" s="391">
        <v>1</v>
      </c>
      <c r="S95" s="440">
        <f t="shared" si="20"/>
        <v>1</v>
      </c>
      <c r="T95" s="409">
        <f t="shared" si="21"/>
        <v>1</v>
      </c>
      <c r="U95" s="409">
        <f t="shared" si="22"/>
        <v>1</v>
      </c>
      <c r="V95" s="409">
        <f t="shared" si="23"/>
        <v>1</v>
      </c>
      <c r="W95" s="265">
        <f t="shared" si="24"/>
        <v>0.92</v>
      </c>
      <c r="Y95" s="283">
        <f>IFERROR(IF(Instructions!$N$166=1,($AA95/1000)*$E95,($AA95/100)*$E95),0)</f>
        <v>0.52500000000000002</v>
      </c>
      <c r="Z95" s="371"/>
      <c r="AA95" s="284">
        <f>IFERROR(VLOOKUP($C95,Instructions!$C$73:$K$157,9,FALSE),0)</f>
        <v>5</v>
      </c>
      <c r="AB95" s="190" t="str">
        <f t="shared" si="25"/>
        <v>4512E - General Office</v>
      </c>
    </row>
    <row r="96" spans="1:28" s="126" customFormat="1" ht="13.15" customHeight="1" x14ac:dyDescent="0.25">
      <c r="A96" s="136">
        <f t="shared" si="15"/>
        <v>0</v>
      </c>
      <c r="B96" s="235" t="s">
        <v>400</v>
      </c>
      <c r="C96" s="489" t="s">
        <v>74</v>
      </c>
      <c r="D96" s="490"/>
      <c r="E96" s="227">
        <v>108</v>
      </c>
      <c r="F96" s="228" t="s">
        <v>311</v>
      </c>
      <c r="G96" s="371">
        <v>1</v>
      </c>
      <c r="H96" s="229">
        <f>IFERROR(IF(Instructions!$N$166=1,VLOOKUP(C96,Instructions!$C$73:$K$157,5,FALSE),VLOOKUP(C96,Instructions!$C$73:$K$157,6,FALSE)),0)</f>
        <v>5</v>
      </c>
      <c r="I96" s="229">
        <f>IFERROR(IF(Instructions!$N$166=1,VLOOKUP(C96,Instructions!$C$73:$K$157,7,FALSE),VLOOKUP(C96,Instructions!$C$73:$K$157,8,FALSE)),0)</f>
        <v>0.06</v>
      </c>
      <c r="J96" s="406">
        <f t="shared" si="16"/>
        <v>5</v>
      </c>
      <c r="K96" s="406">
        <f t="shared" si="17"/>
        <v>6.48</v>
      </c>
      <c r="L96" s="407">
        <f t="shared" si="14"/>
        <v>11.48</v>
      </c>
      <c r="M96" s="413">
        <v>0.8</v>
      </c>
      <c r="N96" s="403">
        <f t="shared" si="18"/>
        <v>14.35</v>
      </c>
      <c r="O96" s="230">
        <v>37</v>
      </c>
      <c r="P96" s="231">
        <v>37</v>
      </c>
      <c r="Q96" s="382">
        <f t="shared" si="19"/>
        <v>0.39</v>
      </c>
      <c r="R96" s="391">
        <v>1</v>
      </c>
      <c r="S96" s="440">
        <f t="shared" si="20"/>
        <v>1</v>
      </c>
      <c r="T96" s="409">
        <f t="shared" si="21"/>
        <v>1</v>
      </c>
      <c r="U96" s="409">
        <f t="shared" si="22"/>
        <v>1</v>
      </c>
      <c r="V96" s="409">
        <f t="shared" si="23"/>
        <v>1</v>
      </c>
      <c r="W96" s="265">
        <f t="shared" si="24"/>
        <v>0.88</v>
      </c>
      <c r="Y96" s="283">
        <f>IFERROR(IF(Instructions!$N$166=1,($AA96/1000)*$E96,($AA96/100)*$E96),0)</f>
        <v>0.54</v>
      </c>
      <c r="Z96" s="371"/>
      <c r="AA96" s="284">
        <f>IFERROR(VLOOKUP($C96,Instructions!$C$73:$K$157,9,FALSE),0)</f>
        <v>5</v>
      </c>
      <c r="AB96" s="190" t="str">
        <f t="shared" si="25"/>
        <v>4512F - Optical Lab</v>
      </c>
    </row>
    <row r="97" spans="1:28" s="126" customFormat="1" ht="13.15" customHeight="1" x14ac:dyDescent="0.25">
      <c r="A97" s="136">
        <f t="shared" si="15"/>
        <v>0</v>
      </c>
      <c r="B97" s="235" t="s">
        <v>401</v>
      </c>
      <c r="C97" s="489" t="s">
        <v>74</v>
      </c>
      <c r="D97" s="490"/>
      <c r="E97" s="227">
        <v>109</v>
      </c>
      <c r="F97" s="228" t="s">
        <v>311</v>
      </c>
      <c r="G97" s="371">
        <v>1</v>
      </c>
      <c r="H97" s="229">
        <f>IFERROR(IF(Instructions!$N$166=1,VLOOKUP(C97,Instructions!$C$73:$K$157,5,FALSE),VLOOKUP(C97,Instructions!$C$73:$K$157,6,FALSE)),0)</f>
        <v>5</v>
      </c>
      <c r="I97" s="229">
        <f>IFERROR(IF(Instructions!$N$166=1,VLOOKUP(C97,Instructions!$C$73:$K$157,7,FALSE),VLOOKUP(C97,Instructions!$C$73:$K$157,8,FALSE)),0)</f>
        <v>0.06</v>
      </c>
      <c r="J97" s="406">
        <f t="shared" si="16"/>
        <v>5</v>
      </c>
      <c r="K97" s="406">
        <f t="shared" si="17"/>
        <v>6.54</v>
      </c>
      <c r="L97" s="407">
        <f t="shared" si="14"/>
        <v>11.54</v>
      </c>
      <c r="M97" s="413">
        <v>0.8</v>
      </c>
      <c r="N97" s="403">
        <f t="shared" si="18"/>
        <v>14.424999999999999</v>
      </c>
      <c r="O97" s="230">
        <v>38</v>
      </c>
      <c r="P97" s="231">
        <v>38</v>
      </c>
      <c r="Q97" s="382">
        <f t="shared" si="19"/>
        <v>0.38</v>
      </c>
      <c r="R97" s="391">
        <v>1</v>
      </c>
      <c r="S97" s="440">
        <f t="shared" si="20"/>
        <v>1</v>
      </c>
      <c r="T97" s="409">
        <f t="shared" si="21"/>
        <v>1</v>
      </c>
      <c r="U97" s="409">
        <f t="shared" si="22"/>
        <v>1</v>
      </c>
      <c r="V97" s="409">
        <f t="shared" si="23"/>
        <v>1</v>
      </c>
      <c r="W97" s="265">
        <f t="shared" si="24"/>
        <v>0.89</v>
      </c>
      <c r="Y97" s="283">
        <f>IFERROR(IF(Instructions!$N$166=1,($AA97/1000)*$E97,($AA97/100)*$E97),0)</f>
        <v>0.54500000000000004</v>
      </c>
      <c r="Z97" s="371"/>
      <c r="AA97" s="284">
        <f>IFERROR(VLOOKUP($C97,Instructions!$C$73:$K$157,9,FALSE),0)</f>
        <v>5</v>
      </c>
      <c r="AB97" s="190" t="str">
        <f t="shared" si="25"/>
        <v>4514 - Control</v>
      </c>
    </row>
    <row r="98" spans="1:28" s="126" customFormat="1" ht="13.15" customHeight="1" x14ac:dyDescent="0.25">
      <c r="A98" s="136">
        <f t="shared" si="15"/>
        <v>0</v>
      </c>
      <c r="B98" s="235" t="s">
        <v>402</v>
      </c>
      <c r="C98" s="489" t="s">
        <v>74</v>
      </c>
      <c r="D98" s="490"/>
      <c r="E98" s="227">
        <v>195</v>
      </c>
      <c r="F98" s="228" t="s">
        <v>311</v>
      </c>
      <c r="G98" s="371">
        <v>2</v>
      </c>
      <c r="H98" s="229">
        <f>IFERROR(IF(Instructions!$N$166=1,VLOOKUP(C98,Instructions!$C$73:$K$157,5,FALSE),VLOOKUP(C98,Instructions!$C$73:$K$157,6,FALSE)),0)</f>
        <v>5</v>
      </c>
      <c r="I98" s="229">
        <f>IFERROR(IF(Instructions!$N$166=1,VLOOKUP(C98,Instructions!$C$73:$K$157,7,FALSE),VLOOKUP(C98,Instructions!$C$73:$K$157,8,FALSE)),0)</f>
        <v>0.06</v>
      </c>
      <c r="J98" s="406">
        <f t="shared" si="16"/>
        <v>10</v>
      </c>
      <c r="K98" s="406">
        <f t="shared" si="17"/>
        <v>11.7</v>
      </c>
      <c r="L98" s="407">
        <f t="shared" si="14"/>
        <v>21.7</v>
      </c>
      <c r="M98" s="413">
        <v>0.8</v>
      </c>
      <c r="N98" s="403">
        <f t="shared" si="18"/>
        <v>27.124999999999996</v>
      </c>
      <c r="O98" s="230">
        <v>71</v>
      </c>
      <c r="P98" s="231">
        <v>71</v>
      </c>
      <c r="Q98" s="382">
        <f t="shared" si="19"/>
        <v>0.38</v>
      </c>
      <c r="R98" s="391">
        <v>1</v>
      </c>
      <c r="S98" s="440">
        <f t="shared" si="20"/>
        <v>1</v>
      </c>
      <c r="T98" s="409">
        <f t="shared" si="21"/>
        <v>1</v>
      </c>
      <c r="U98" s="409">
        <f t="shared" si="22"/>
        <v>1</v>
      </c>
      <c r="V98" s="409">
        <f t="shared" si="23"/>
        <v>1</v>
      </c>
      <c r="W98" s="265">
        <f t="shared" si="24"/>
        <v>0.89</v>
      </c>
      <c r="Y98" s="283">
        <f>IFERROR(IF(Instructions!$N$166=1,($AA98/1000)*$E98,($AA98/100)*$E98),0)</f>
        <v>0.97499999999999998</v>
      </c>
      <c r="Z98" s="371"/>
      <c r="AA98" s="284">
        <f>IFERROR(VLOOKUP($C98,Instructions!$C$73:$K$157,9,FALSE),0)</f>
        <v>5</v>
      </c>
      <c r="AB98" s="190" t="str">
        <f t="shared" si="25"/>
        <v>4514A - Sound Booth</v>
      </c>
    </row>
    <row r="99" spans="1:28" s="126" customFormat="1" ht="13.15" customHeight="1" x14ac:dyDescent="0.25">
      <c r="A99" s="136">
        <f t="shared" si="15"/>
        <v>0</v>
      </c>
      <c r="B99" s="235" t="s">
        <v>403</v>
      </c>
      <c r="C99" s="489" t="s">
        <v>74</v>
      </c>
      <c r="D99" s="490"/>
      <c r="E99" s="227">
        <v>103</v>
      </c>
      <c r="F99" s="228" t="s">
        <v>311</v>
      </c>
      <c r="G99" s="371">
        <v>1</v>
      </c>
      <c r="H99" s="229">
        <f>IFERROR(IF(Instructions!$N$166=1,VLOOKUP(C99,Instructions!$C$73:$K$157,5,FALSE),VLOOKUP(C99,Instructions!$C$73:$K$157,6,FALSE)),0)</f>
        <v>5</v>
      </c>
      <c r="I99" s="229">
        <f>IFERROR(IF(Instructions!$N$166=1,VLOOKUP(C99,Instructions!$C$73:$K$157,7,FALSE),VLOOKUP(C99,Instructions!$C$73:$K$157,8,FALSE)),0)</f>
        <v>0.06</v>
      </c>
      <c r="J99" s="406">
        <f t="shared" si="16"/>
        <v>5</v>
      </c>
      <c r="K99" s="406">
        <f t="shared" si="17"/>
        <v>6.18</v>
      </c>
      <c r="L99" s="407">
        <f t="shared" si="14"/>
        <v>11.18</v>
      </c>
      <c r="M99" s="413">
        <v>0.8</v>
      </c>
      <c r="N99" s="403">
        <f t="shared" si="18"/>
        <v>13.975</v>
      </c>
      <c r="O99" s="230">
        <v>36</v>
      </c>
      <c r="P99" s="231">
        <v>36</v>
      </c>
      <c r="Q99" s="382">
        <f t="shared" si="19"/>
        <v>0.39</v>
      </c>
      <c r="R99" s="391">
        <v>1</v>
      </c>
      <c r="S99" s="440">
        <f t="shared" si="20"/>
        <v>1</v>
      </c>
      <c r="T99" s="409">
        <f t="shared" si="21"/>
        <v>1</v>
      </c>
      <c r="U99" s="409">
        <f t="shared" si="22"/>
        <v>1</v>
      </c>
      <c r="V99" s="409">
        <f t="shared" si="23"/>
        <v>1</v>
      </c>
      <c r="W99" s="265">
        <f t="shared" si="24"/>
        <v>0.88</v>
      </c>
      <c r="Y99" s="283">
        <f>IFERROR(IF(Instructions!$N$166=1,($AA99/1000)*$E99,($AA99/100)*$E99),0)</f>
        <v>0.51500000000000001</v>
      </c>
      <c r="Z99" s="371"/>
      <c r="AA99" s="284">
        <f>IFERROR(VLOOKUP($C99,Instructions!$C$73:$K$157,9,FALSE),0)</f>
        <v>5</v>
      </c>
      <c r="AB99" s="190" t="str">
        <f t="shared" si="25"/>
        <v>4516 - Psycho Physics</v>
      </c>
    </row>
    <row r="100" spans="1:28" s="126" customFormat="1" ht="13.15" customHeight="1" x14ac:dyDescent="0.25">
      <c r="A100" s="136">
        <f t="shared" si="15"/>
        <v>0</v>
      </c>
      <c r="B100" s="235" t="s">
        <v>404</v>
      </c>
      <c r="C100" s="489" t="s">
        <v>74</v>
      </c>
      <c r="D100" s="490"/>
      <c r="E100" s="227">
        <v>688</v>
      </c>
      <c r="F100" s="228" t="s">
        <v>311</v>
      </c>
      <c r="G100" s="371">
        <v>15</v>
      </c>
      <c r="H100" s="229">
        <f>IFERROR(IF(Instructions!$N$166=1,VLOOKUP(C100,Instructions!$C$73:$K$157,5,FALSE),VLOOKUP(C100,Instructions!$C$73:$K$157,6,FALSE)),0)</f>
        <v>5</v>
      </c>
      <c r="I100" s="229">
        <f>IFERROR(IF(Instructions!$N$166=1,VLOOKUP(C100,Instructions!$C$73:$K$157,7,FALSE),VLOOKUP(C100,Instructions!$C$73:$K$157,8,FALSE)),0)</f>
        <v>0.06</v>
      </c>
      <c r="J100" s="406">
        <f t="shared" si="16"/>
        <v>75</v>
      </c>
      <c r="K100" s="406">
        <f t="shared" si="17"/>
        <v>41.28</v>
      </c>
      <c r="L100" s="407">
        <f t="shared" si="14"/>
        <v>116.28</v>
      </c>
      <c r="M100" s="413">
        <v>0.8</v>
      </c>
      <c r="N100" s="403">
        <f t="shared" si="18"/>
        <v>145.35</v>
      </c>
      <c r="O100" s="230">
        <v>391</v>
      </c>
      <c r="P100" s="231">
        <v>391</v>
      </c>
      <c r="Q100" s="382">
        <f t="shared" si="19"/>
        <v>0.37</v>
      </c>
      <c r="R100" s="391">
        <v>1</v>
      </c>
      <c r="S100" s="440">
        <f t="shared" si="20"/>
        <v>1</v>
      </c>
      <c r="T100" s="409">
        <f t="shared" si="21"/>
        <v>1</v>
      </c>
      <c r="U100" s="409">
        <f t="shared" si="22"/>
        <v>1</v>
      </c>
      <c r="V100" s="409">
        <f t="shared" si="23"/>
        <v>1</v>
      </c>
      <c r="W100" s="265">
        <f t="shared" si="24"/>
        <v>0.9</v>
      </c>
      <c r="Y100" s="283">
        <f>IFERROR(IF(Instructions!$N$166=1,($AA100/1000)*$E100,($AA100/100)*$E100),0)</f>
        <v>3.44</v>
      </c>
      <c r="Z100" s="371"/>
      <c r="AA100" s="284">
        <f>IFERROR(VLOOKUP($C100,Instructions!$C$73:$K$157,9,FALSE),0)</f>
        <v>5</v>
      </c>
      <c r="AB100" s="190" t="str">
        <f t="shared" si="25"/>
        <v>4518 - Shared RA Office</v>
      </c>
    </row>
    <row r="101" spans="1:28" s="126" customFormat="1" ht="13.15" customHeight="1" x14ac:dyDescent="0.25">
      <c r="A101" s="136">
        <f t="shared" si="15"/>
        <v>0</v>
      </c>
      <c r="B101" s="235" t="s">
        <v>405</v>
      </c>
      <c r="C101" s="489" t="s">
        <v>74</v>
      </c>
      <c r="D101" s="490"/>
      <c r="E101" s="227">
        <v>147</v>
      </c>
      <c r="F101" s="228" t="s">
        <v>311</v>
      </c>
      <c r="G101" s="371">
        <v>3</v>
      </c>
      <c r="H101" s="229">
        <f>IFERROR(IF(Instructions!$N$166=1,VLOOKUP(C101,Instructions!$C$73:$K$157,5,FALSE),VLOOKUP(C101,Instructions!$C$73:$K$157,6,FALSE)),0)</f>
        <v>5</v>
      </c>
      <c r="I101" s="229">
        <f>IFERROR(IF(Instructions!$N$166=1,VLOOKUP(C101,Instructions!$C$73:$K$157,7,FALSE),VLOOKUP(C101,Instructions!$C$73:$K$157,8,FALSE)),0)</f>
        <v>0.06</v>
      </c>
      <c r="J101" s="406">
        <f t="shared" si="16"/>
        <v>15</v>
      </c>
      <c r="K101" s="406">
        <f t="shared" si="17"/>
        <v>8.82</v>
      </c>
      <c r="L101" s="407">
        <f t="shared" si="14"/>
        <v>23.82</v>
      </c>
      <c r="M101" s="413">
        <v>0.8</v>
      </c>
      <c r="N101" s="403">
        <f t="shared" si="18"/>
        <v>29.774999999999999</v>
      </c>
      <c r="O101" s="230">
        <v>123</v>
      </c>
      <c r="P101" s="231">
        <v>123</v>
      </c>
      <c r="Q101" s="382">
        <f t="shared" si="19"/>
        <v>0.24</v>
      </c>
      <c r="R101" s="391">
        <v>1</v>
      </c>
      <c r="S101" s="440">
        <f t="shared" si="20"/>
        <v>1</v>
      </c>
      <c r="T101" s="409">
        <f t="shared" si="21"/>
        <v>1</v>
      </c>
      <c r="U101" s="409">
        <f t="shared" si="22"/>
        <v>1</v>
      </c>
      <c r="V101" s="409">
        <f t="shared" si="23"/>
        <v>1</v>
      </c>
      <c r="W101" s="265">
        <f t="shared" si="24"/>
        <v>1.03</v>
      </c>
      <c r="Y101" s="283">
        <f>IFERROR(IF(Instructions!$N$166=1,($AA101/1000)*$E101,($AA101/100)*$E101),0)</f>
        <v>0.73499999999999999</v>
      </c>
      <c r="Z101" s="371"/>
      <c r="AA101" s="284">
        <f>IFERROR(VLOOKUP($C101,Instructions!$C$73:$K$157,9,FALSE),0)</f>
        <v>5</v>
      </c>
      <c r="AB101" s="190" t="str">
        <f t="shared" si="25"/>
        <v>4518A - General Office</v>
      </c>
    </row>
    <row r="102" spans="1:28" s="126" customFormat="1" ht="13.15" customHeight="1" x14ac:dyDescent="0.25">
      <c r="A102" s="136">
        <f t="shared" si="15"/>
        <v>0</v>
      </c>
      <c r="B102" s="235" t="s">
        <v>406</v>
      </c>
      <c r="C102" s="489" t="s">
        <v>74</v>
      </c>
      <c r="D102" s="490"/>
      <c r="E102" s="227">
        <v>128</v>
      </c>
      <c r="F102" s="228" t="s">
        <v>311</v>
      </c>
      <c r="G102" s="371">
        <v>2</v>
      </c>
      <c r="H102" s="229">
        <f>IFERROR(IF(Instructions!$N$166=1,VLOOKUP(C102,Instructions!$C$73:$K$157,5,FALSE),VLOOKUP(C102,Instructions!$C$73:$K$157,6,FALSE)),0)</f>
        <v>5</v>
      </c>
      <c r="I102" s="229">
        <f>IFERROR(IF(Instructions!$N$166=1,VLOOKUP(C102,Instructions!$C$73:$K$157,7,FALSE),VLOOKUP(C102,Instructions!$C$73:$K$157,8,FALSE)),0)</f>
        <v>0.06</v>
      </c>
      <c r="J102" s="406">
        <f t="shared" si="16"/>
        <v>10</v>
      </c>
      <c r="K102" s="406">
        <f t="shared" si="17"/>
        <v>7.68</v>
      </c>
      <c r="L102" s="407">
        <f t="shared" si="14"/>
        <v>17.68</v>
      </c>
      <c r="M102" s="413">
        <v>0.8</v>
      </c>
      <c r="N102" s="403">
        <f t="shared" si="18"/>
        <v>22.099999999999998</v>
      </c>
      <c r="O102" s="230">
        <v>57</v>
      </c>
      <c r="P102" s="231">
        <v>57</v>
      </c>
      <c r="Q102" s="382">
        <f t="shared" si="19"/>
        <v>0.39</v>
      </c>
      <c r="R102" s="391">
        <v>1</v>
      </c>
      <c r="S102" s="440">
        <f t="shared" si="20"/>
        <v>1</v>
      </c>
      <c r="T102" s="409">
        <f t="shared" si="21"/>
        <v>1</v>
      </c>
      <c r="U102" s="409">
        <f t="shared" si="22"/>
        <v>1</v>
      </c>
      <c r="V102" s="409">
        <f t="shared" si="23"/>
        <v>1</v>
      </c>
      <c r="W102" s="265">
        <f t="shared" si="24"/>
        <v>0.88</v>
      </c>
      <c r="Y102" s="283">
        <f>IFERROR(IF(Instructions!$N$166=1,($AA102/1000)*$E102,($AA102/100)*$E102),0)</f>
        <v>0.64</v>
      </c>
      <c r="Z102" s="371"/>
      <c r="AA102" s="284">
        <f>IFERROR(VLOOKUP($C102,Instructions!$C$73:$K$157,9,FALSE),0)</f>
        <v>5</v>
      </c>
      <c r="AB102" s="190" t="str">
        <f t="shared" si="25"/>
        <v>4518B - General Office</v>
      </c>
    </row>
    <row r="103" spans="1:28" s="126" customFormat="1" ht="13.15" customHeight="1" x14ac:dyDescent="0.25">
      <c r="A103" s="136">
        <f t="shared" si="15"/>
        <v>0</v>
      </c>
      <c r="B103" s="235" t="s">
        <v>407</v>
      </c>
      <c r="C103" s="489" t="s">
        <v>74</v>
      </c>
      <c r="D103" s="490"/>
      <c r="E103" s="227">
        <v>95</v>
      </c>
      <c r="F103" s="228" t="s">
        <v>311</v>
      </c>
      <c r="G103" s="371">
        <v>1</v>
      </c>
      <c r="H103" s="229">
        <f>IFERROR(IF(Instructions!$N$166=1,VLOOKUP(C103,Instructions!$C$73:$K$157,5,FALSE),VLOOKUP(C103,Instructions!$C$73:$K$157,6,FALSE)),0)</f>
        <v>5</v>
      </c>
      <c r="I103" s="229">
        <f>IFERROR(IF(Instructions!$N$166=1,VLOOKUP(C103,Instructions!$C$73:$K$157,7,FALSE),VLOOKUP(C103,Instructions!$C$73:$K$157,8,FALSE)),0)</f>
        <v>0.06</v>
      </c>
      <c r="J103" s="406">
        <f t="shared" si="16"/>
        <v>5</v>
      </c>
      <c r="K103" s="406">
        <f t="shared" si="17"/>
        <v>5.7</v>
      </c>
      <c r="L103" s="407">
        <f t="shared" si="14"/>
        <v>10.7</v>
      </c>
      <c r="M103" s="413">
        <v>0.8</v>
      </c>
      <c r="N103" s="403">
        <f t="shared" si="18"/>
        <v>13.374999999999998</v>
      </c>
      <c r="O103" s="230">
        <v>35</v>
      </c>
      <c r="P103" s="231">
        <v>35</v>
      </c>
      <c r="Q103" s="382">
        <f t="shared" si="19"/>
        <v>0.38</v>
      </c>
      <c r="R103" s="391">
        <v>1</v>
      </c>
      <c r="S103" s="440">
        <f t="shared" si="20"/>
        <v>1</v>
      </c>
      <c r="T103" s="409">
        <f t="shared" si="21"/>
        <v>1</v>
      </c>
      <c r="U103" s="409">
        <f t="shared" si="22"/>
        <v>1</v>
      </c>
      <c r="V103" s="409">
        <f t="shared" si="23"/>
        <v>1</v>
      </c>
      <c r="W103" s="265">
        <f t="shared" si="24"/>
        <v>0.89</v>
      </c>
      <c r="Y103" s="283">
        <f>IFERROR(IF(Instructions!$N$166=1,($AA103/1000)*$E103,($AA103/100)*$E103),0)</f>
        <v>0.47500000000000003</v>
      </c>
      <c r="Z103" s="371"/>
      <c r="AA103" s="284">
        <f>IFERROR(VLOOKUP($C103,Instructions!$C$73:$K$157,9,FALSE),0)</f>
        <v>5</v>
      </c>
      <c r="AB103" s="190" t="str">
        <f t="shared" si="25"/>
        <v>4522 - Psycho Physics Room</v>
      </c>
    </row>
    <row r="104" spans="1:28" s="126" customFormat="1" ht="13.15" customHeight="1" x14ac:dyDescent="0.25">
      <c r="A104" s="136">
        <f t="shared" si="15"/>
        <v>0</v>
      </c>
      <c r="B104" s="235" t="s">
        <v>408</v>
      </c>
      <c r="C104" s="489" t="s">
        <v>74</v>
      </c>
      <c r="D104" s="490"/>
      <c r="E104" s="227">
        <v>110</v>
      </c>
      <c r="F104" s="228" t="s">
        <v>311</v>
      </c>
      <c r="G104" s="371">
        <v>1</v>
      </c>
      <c r="H104" s="229">
        <f>IFERROR(IF(Instructions!$N$166=1,VLOOKUP(C104,Instructions!$C$73:$K$157,5,FALSE),VLOOKUP(C104,Instructions!$C$73:$K$157,6,FALSE)),0)</f>
        <v>5</v>
      </c>
      <c r="I104" s="229">
        <f>IFERROR(IF(Instructions!$N$166=1,VLOOKUP(C104,Instructions!$C$73:$K$157,7,FALSE),VLOOKUP(C104,Instructions!$C$73:$K$157,8,FALSE)),0)</f>
        <v>0.06</v>
      </c>
      <c r="J104" s="406">
        <f t="shared" si="16"/>
        <v>5</v>
      </c>
      <c r="K104" s="406">
        <f t="shared" si="17"/>
        <v>6.6</v>
      </c>
      <c r="L104" s="407">
        <f t="shared" si="14"/>
        <v>11.6</v>
      </c>
      <c r="M104" s="413">
        <v>0.8</v>
      </c>
      <c r="N104" s="403">
        <f t="shared" si="18"/>
        <v>14.499999999999998</v>
      </c>
      <c r="O104" s="230">
        <v>38</v>
      </c>
      <c r="P104" s="231">
        <v>38</v>
      </c>
      <c r="Q104" s="382">
        <f t="shared" si="19"/>
        <v>0.38</v>
      </c>
      <c r="R104" s="391">
        <v>1</v>
      </c>
      <c r="S104" s="440">
        <f t="shared" si="20"/>
        <v>1</v>
      </c>
      <c r="T104" s="409">
        <f t="shared" si="21"/>
        <v>1</v>
      </c>
      <c r="U104" s="409">
        <f t="shared" si="22"/>
        <v>1</v>
      </c>
      <c r="V104" s="409">
        <f t="shared" si="23"/>
        <v>1</v>
      </c>
      <c r="W104" s="265">
        <f t="shared" si="24"/>
        <v>0.89</v>
      </c>
      <c r="Y104" s="283">
        <f>IFERROR(IF(Instructions!$N$166=1,($AA104/1000)*$E104,($AA104/100)*$E104),0)</f>
        <v>0.55000000000000004</v>
      </c>
      <c r="Z104" s="371"/>
      <c r="AA104" s="284">
        <f>IFERROR(VLOOKUP($C104,Instructions!$C$73:$K$157,9,FALSE),0)</f>
        <v>5</v>
      </c>
      <c r="AB104" s="190" t="str">
        <f t="shared" si="25"/>
        <v>4526 - Field Measure</v>
      </c>
    </row>
    <row r="105" spans="1:28" s="126" customFormat="1" ht="13.15" customHeight="1" x14ac:dyDescent="0.25">
      <c r="A105" s="136">
        <f t="shared" si="15"/>
        <v>0</v>
      </c>
      <c r="B105" s="235" t="s">
        <v>409</v>
      </c>
      <c r="C105" s="489" t="s">
        <v>74</v>
      </c>
      <c r="D105" s="490"/>
      <c r="E105" s="227">
        <v>110</v>
      </c>
      <c r="F105" s="228" t="s">
        <v>311</v>
      </c>
      <c r="G105" s="371">
        <v>1</v>
      </c>
      <c r="H105" s="229">
        <f>IFERROR(IF(Instructions!$N$166=1,VLOOKUP(C105,Instructions!$C$73:$K$157,5,FALSE),VLOOKUP(C105,Instructions!$C$73:$K$157,6,FALSE)),0)</f>
        <v>5</v>
      </c>
      <c r="I105" s="229">
        <f>IFERROR(IF(Instructions!$N$166=1,VLOOKUP(C105,Instructions!$C$73:$K$157,7,FALSE),VLOOKUP(C105,Instructions!$C$73:$K$157,8,FALSE)),0)</f>
        <v>0.06</v>
      </c>
      <c r="J105" s="406">
        <f t="shared" si="16"/>
        <v>5</v>
      </c>
      <c r="K105" s="406">
        <f t="shared" si="17"/>
        <v>6.6</v>
      </c>
      <c r="L105" s="407">
        <f t="shared" si="14"/>
        <v>11.6</v>
      </c>
      <c r="M105" s="413">
        <v>0.8</v>
      </c>
      <c r="N105" s="403">
        <f t="shared" si="18"/>
        <v>14.499999999999998</v>
      </c>
      <c r="O105" s="230">
        <v>38</v>
      </c>
      <c r="P105" s="231">
        <v>38</v>
      </c>
      <c r="Q105" s="382">
        <f t="shared" si="19"/>
        <v>0.38</v>
      </c>
      <c r="R105" s="391">
        <v>1</v>
      </c>
      <c r="S105" s="440">
        <f t="shared" si="20"/>
        <v>1</v>
      </c>
      <c r="T105" s="409">
        <f t="shared" si="21"/>
        <v>1</v>
      </c>
      <c r="U105" s="409">
        <f t="shared" si="22"/>
        <v>1</v>
      </c>
      <c r="V105" s="409">
        <f t="shared" si="23"/>
        <v>1</v>
      </c>
      <c r="W105" s="265">
        <f t="shared" si="24"/>
        <v>0.89</v>
      </c>
      <c r="Y105" s="283">
        <f>IFERROR(IF(Instructions!$N$166=1,($AA105/1000)*$E105,($AA105/100)*$E105),0)</f>
        <v>0.55000000000000004</v>
      </c>
      <c r="Z105" s="371"/>
      <c r="AA105" s="284">
        <f>IFERROR(VLOOKUP($C105,Instructions!$C$73:$K$157,9,FALSE),0)</f>
        <v>5</v>
      </c>
      <c r="AB105" s="190" t="str">
        <f t="shared" si="25"/>
        <v>4526 - VR Eye Tracker</v>
      </c>
    </row>
    <row r="106" spans="1:28" s="126" customFormat="1" ht="13.15" customHeight="1" x14ac:dyDescent="0.25">
      <c r="A106" s="136">
        <f t="shared" si="15"/>
        <v>0</v>
      </c>
      <c r="B106" s="235" t="s">
        <v>410</v>
      </c>
      <c r="C106" s="489" t="s">
        <v>74</v>
      </c>
      <c r="D106" s="490"/>
      <c r="E106" s="227">
        <v>64</v>
      </c>
      <c r="F106" s="228" t="s">
        <v>311</v>
      </c>
      <c r="G106" s="371">
        <v>1</v>
      </c>
      <c r="H106" s="229">
        <f>IFERROR(IF(Instructions!$N$166=1,VLOOKUP(C106,Instructions!$C$73:$K$157,5,FALSE),VLOOKUP(C106,Instructions!$C$73:$K$157,6,FALSE)),0)</f>
        <v>5</v>
      </c>
      <c r="I106" s="229">
        <f>IFERROR(IF(Instructions!$N$166=1,VLOOKUP(C106,Instructions!$C$73:$K$157,7,FALSE),VLOOKUP(C106,Instructions!$C$73:$K$157,8,FALSE)),0)</f>
        <v>0.06</v>
      </c>
      <c r="J106" s="406">
        <f t="shared" si="16"/>
        <v>5</v>
      </c>
      <c r="K106" s="406">
        <f t="shared" si="17"/>
        <v>3.84</v>
      </c>
      <c r="L106" s="407">
        <f t="shared" si="14"/>
        <v>8.84</v>
      </c>
      <c r="M106" s="413">
        <v>0.8</v>
      </c>
      <c r="N106" s="403">
        <f t="shared" si="18"/>
        <v>11.049999999999999</v>
      </c>
      <c r="O106" s="230">
        <v>29</v>
      </c>
      <c r="P106" s="231">
        <v>29</v>
      </c>
      <c r="Q106" s="382">
        <f t="shared" si="19"/>
        <v>0.38</v>
      </c>
      <c r="R106" s="391">
        <v>1</v>
      </c>
      <c r="S106" s="440">
        <f t="shared" si="20"/>
        <v>1</v>
      </c>
      <c r="T106" s="409">
        <f t="shared" si="21"/>
        <v>1</v>
      </c>
      <c r="U106" s="409">
        <f t="shared" si="22"/>
        <v>1</v>
      </c>
      <c r="V106" s="409">
        <f t="shared" si="23"/>
        <v>1</v>
      </c>
      <c r="W106" s="265">
        <f t="shared" si="24"/>
        <v>0.89</v>
      </c>
      <c r="Y106" s="283">
        <f>IFERROR(IF(Instructions!$N$166=1,($AA106/1000)*$E106,($AA106/100)*$E106),0)</f>
        <v>0.32</v>
      </c>
      <c r="Z106" s="371"/>
      <c r="AA106" s="284">
        <f>IFERROR(VLOOKUP($C106,Instructions!$C$73:$K$157,9,FALSE),0)</f>
        <v>5</v>
      </c>
      <c r="AB106" s="190" t="str">
        <f t="shared" si="25"/>
        <v>4528 - Planar Rig</v>
      </c>
    </row>
    <row r="107" spans="1:28" s="126" customFormat="1" ht="13.15" customHeight="1" x14ac:dyDescent="0.25">
      <c r="A107" s="136">
        <f t="shared" si="15"/>
        <v>0</v>
      </c>
      <c r="B107" s="235" t="s">
        <v>411</v>
      </c>
      <c r="C107" s="489" t="s">
        <v>74</v>
      </c>
      <c r="D107" s="490"/>
      <c r="E107" s="227">
        <v>104</v>
      </c>
      <c r="F107" s="228" t="s">
        <v>311</v>
      </c>
      <c r="G107" s="371">
        <v>2</v>
      </c>
      <c r="H107" s="229">
        <f>IFERROR(IF(Instructions!$N$166=1,VLOOKUP(C107,Instructions!$C$73:$K$157,5,FALSE),VLOOKUP(C107,Instructions!$C$73:$K$157,6,FALSE)),0)</f>
        <v>5</v>
      </c>
      <c r="I107" s="229">
        <f>IFERROR(IF(Instructions!$N$166=1,VLOOKUP(C107,Instructions!$C$73:$K$157,7,FALSE),VLOOKUP(C107,Instructions!$C$73:$K$157,8,FALSE)),0)</f>
        <v>0.06</v>
      </c>
      <c r="J107" s="406">
        <f t="shared" si="16"/>
        <v>10</v>
      </c>
      <c r="K107" s="406">
        <f t="shared" si="17"/>
        <v>6.24</v>
      </c>
      <c r="L107" s="407">
        <f t="shared" si="14"/>
        <v>16.239999999999998</v>
      </c>
      <c r="M107" s="413">
        <v>0.8</v>
      </c>
      <c r="N107" s="403">
        <f t="shared" si="18"/>
        <v>20.299999999999997</v>
      </c>
      <c r="O107" s="230">
        <v>53</v>
      </c>
      <c r="P107" s="231">
        <v>53</v>
      </c>
      <c r="Q107" s="382">
        <f t="shared" si="19"/>
        <v>0.38</v>
      </c>
      <c r="R107" s="391">
        <v>1</v>
      </c>
      <c r="S107" s="440">
        <f t="shared" si="20"/>
        <v>1</v>
      </c>
      <c r="T107" s="409">
        <f t="shared" si="21"/>
        <v>1</v>
      </c>
      <c r="U107" s="409">
        <f t="shared" si="22"/>
        <v>1</v>
      </c>
      <c r="V107" s="409">
        <f t="shared" si="23"/>
        <v>1</v>
      </c>
      <c r="W107" s="265">
        <f t="shared" si="24"/>
        <v>0.89</v>
      </c>
      <c r="Y107" s="283">
        <f>IFERROR(IF(Instructions!$N$166=1,($AA107/1000)*$E107,($AA107/100)*$E107),0)</f>
        <v>0.52</v>
      </c>
      <c r="Z107" s="371"/>
      <c r="AA107" s="284">
        <f>IFERROR(VLOOKUP($C107,Instructions!$C$73:$K$157,9,FALSE),0)</f>
        <v>5</v>
      </c>
      <c r="AB107" s="190" t="str">
        <f t="shared" si="25"/>
        <v>4530 - 3D Window Rig</v>
      </c>
    </row>
    <row r="108" spans="1:28" s="126" customFormat="1" ht="13.15" customHeight="1" x14ac:dyDescent="0.25">
      <c r="A108" s="136">
        <f t="shared" si="15"/>
        <v>0</v>
      </c>
      <c r="B108" s="235" t="s">
        <v>316</v>
      </c>
      <c r="C108" s="489" t="s">
        <v>74</v>
      </c>
      <c r="D108" s="490"/>
      <c r="E108" s="227">
        <v>811</v>
      </c>
      <c r="F108" s="228" t="s">
        <v>311</v>
      </c>
      <c r="G108" s="371">
        <v>20</v>
      </c>
      <c r="H108" s="229">
        <f>IFERROR(IF(Instructions!$N$166=1,VLOOKUP(C108,Instructions!$C$73:$K$157,5,FALSE),VLOOKUP(C108,Instructions!$C$73:$K$157,6,FALSE)),0)</f>
        <v>5</v>
      </c>
      <c r="I108" s="229">
        <f>IFERROR(IF(Instructions!$N$166=1,VLOOKUP(C108,Instructions!$C$73:$K$157,7,FALSE),VLOOKUP(C108,Instructions!$C$73:$K$157,8,FALSE)),0)</f>
        <v>0.06</v>
      </c>
      <c r="J108" s="406">
        <f t="shared" si="16"/>
        <v>100</v>
      </c>
      <c r="K108" s="406">
        <f t="shared" si="17"/>
        <v>48.66</v>
      </c>
      <c r="L108" s="407">
        <f t="shared" si="14"/>
        <v>148.66</v>
      </c>
      <c r="M108" s="413">
        <v>0.8</v>
      </c>
      <c r="N108" s="403">
        <f t="shared" si="18"/>
        <v>185.82499999999999</v>
      </c>
      <c r="O108" s="230">
        <v>483</v>
      </c>
      <c r="P108" s="231">
        <v>483</v>
      </c>
      <c r="Q108" s="382">
        <f t="shared" si="19"/>
        <v>0.38</v>
      </c>
      <c r="R108" s="391">
        <v>1</v>
      </c>
      <c r="S108" s="440">
        <f t="shared" si="20"/>
        <v>1</v>
      </c>
      <c r="T108" s="409">
        <f t="shared" si="21"/>
        <v>1</v>
      </c>
      <c r="U108" s="409">
        <f t="shared" si="22"/>
        <v>1</v>
      </c>
      <c r="V108" s="409">
        <f t="shared" si="23"/>
        <v>1</v>
      </c>
      <c r="W108" s="265">
        <f t="shared" si="24"/>
        <v>0.89</v>
      </c>
      <c r="Y108" s="283">
        <f>IFERROR(IF(Instructions!$N$166=1,($AA108/1000)*$E108,($AA108/100)*$E108),0)</f>
        <v>4.0549999999999997</v>
      </c>
      <c r="Z108" s="371"/>
      <c r="AA108" s="284">
        <f>IFERROR(VLOOKUP($C108,Instructions!$C$73:$K$157,9,FALSE),0)</f>
        <v>5</v>
      </c>
      <c r="AB108" s="190" t="str">
        <f t="shared" si="25"/>
        <v>4534 - VR</v>
      </c>
    </row>
    <row r="109" spans="1:28" s="126" customFormat="1" ht="13.15" customHeight="1" x14ac:dyDescent="0.25">
      <c r="A109" s="136">
        <f t="shared" si="15"/>
        <v>0</v>
      </c>
      <c r="B109" s="235" t="s">
        <v>412</v>
      </c>
      <c r="C109" s="489" t="s">
        <v>74</v>
      </c>
      <c r="D109" s="490"/>
      <c r="E109" s="227">
        <v>164</v>
      </c>
      <c r="F109" s="228" t="s">
        <v>311</v>
      </c>
      <c r="G109" s="371">
        <v>4</v>
      </c>
      <c r="H109" s="229">
        <f>IFERROR(IF(Instructions!$N$166=1,VLOOKUP(C109,Instructions!$C$73:$K$157,5,FALSE),VLOOKUP(C109,Instructions!$C$73:$K$157,6,FALSE)),0)</f>
        <v>5</v>
      </c>
      <c r="I109" s="229">
        <f>IFERROR(IF(Instructions!$N$166=1,VLOOKUP(C109,Instructions!$C$73:$K$157,7,FALSE),VLOOKUP(C109,Instructions!$C$73:$K$157,8,FALSE)),0)</f>
        <v>0.06</v>
      </c>
      <c r="J109" s="406">
        <f t="shared" si="16"/>
        <v>20</v>
      </c>
      <c r="K109" s="406">
        <f t="shared" si="17"/>
        <v>9.84</v>
      </c>
      <c r="L109" s="407">
        <f t="shared" si="14"/>
        <v>29.84</v>
      </c>
      <c r="M109" s="413">
        <v>0.8</v>
      </c>
      <c r="N109" s="403">
        <f t="shared" si="18"/>
        <v>37.299999999999997</v>
      </c>
      <c r="O109" s="230">
        <v>117</v>
      </c>
      <c r="P109" s="231">
        <v>117</v>
      </c>
      <c r="Q109" s="382">
        <f t="shared" si="19"/>
        <v>0.32</v>
      </c>
      <c r="R109" s="391">
        <v>1</v>
      </c>
      <c r="S109" s="440">
        <f t="shared" si="20"/>
        <v>1</v>
      </c>
      <c r="T109" s="409">
        <f t="shared" si="21"/>
        <v>1</v>
      </c>
      <c r="U109" s="409">
        <f t="shared" si="22"/>
        <v>1</v>
      </c>
      <c r="V109" s="409">
        <f t="shared" si="23"/>
        <v>1</v>
      </c>
      <c r="W109" s="265">
        <f t="shared" si="24"/>
        <v>0.95</v>
      </c>
      <c r="Y109" s="283">
        <f>IFERROR(IF(Instructions!$N$166=1,($AA109/1000)*$E109,($AA109/100)*$E109),0)</f>
        <v>0.82000000000000006</v>
      </c>
      <c r="Z109" s="371"/>
      <c r="AA109" s="284">
        <f>IFERROR(VLOOKUP($C109,Instructions!$C$73:$K$157,9,FALSE),0)</f>
        <v>5</v>
      </c>
      <c r="AB109" s="190" t="str">
        <f t="shared" si="25"/>
        <v>4536 - Shared Grad Student</v>
      </c>
    </row>
    <row r="110" spans="1:28" s="126" customFormat="1" ht="13.15" customHeight="1" x14ac:dyDescent="0.25">
      <c r="A110" s="136">
        <f t="shared" si="15"/>
        <v>0</v>
      </c>
      <c r="B110" s="235" t="s">
        <v>413</v>
      </c>
      <c r="C110" s="489" t="s">
        <v>74</v>
      </c>
      <c r="D110" s="490"/>
      <c r="E110" s="227">
        <v>126</v>
      </c>
      <c r="F110" s="228" t="s">
        <v>311</v>
      </c>
      <c r="G110" s="371">
        <v>3</v>
      </c>
      <c r="H110" s="229">
        <f>IFERROR(IF(Instructions!$N$166=1,VLOOKUP(C110,Instructions!$C$73:$K$157,5,FALSE),VLOOKUP(C110,Instructions!$C$73:$K$157,6,FALSE)),0)</f>
        <v>5</v>
      </c>
      <c r="I110" s="229">
        <f>IFERROR(IF(Instructions!$N$166=1,VLOOKUP(C110,Instructions!$C$73:$K$157,7,FALSE),VLOOKUP(C110,Instructions!$C$73:$K$157,8,FALSE)),0)</f>
        <v>0.06</v>
      </c>
      <c r="J110" s="406">
        <f t="shared" si="16"/>
        <v>15</v>
      </c>
      <c r="K110" s="406">
        <f t="shared" si="17"/>
        <v>7.56</v>
      </c>
      <c r="L110" s="407">
        <f t="shared" ref="L110:L141" si="26">TRUNC(IFERROR(IF(credit=2,SUM(J110:K110),SUM(J110:K110)*1.3),0),2)</f>
        <v>22.56</v>
      </c>
      <c r="M110" s="413">
        <v>0.8</v>
      </c>
      <c r="N110" s="403">
        <f t="shared" si="18"/>
        <v>28.199999999999996</v>
      </c>
      <c r="O110" s="230">
        <v>90</v>
      </c>
      <c r="P110" s="231">
        <v>90</v>
      </c>
      <c r="Q110" s="382">
        <f t="shared" si="19"/>
        <v>0.31</v>
      </c>
      <c r="R110" s="391">
        <v>1</v>
      </c>
      <c r="S110" s="440">
        <f t="shared" si="20"/>
        <v>1</v>
      </c>
      <c r="T110" s="409">
        <f t="shared" si="21"/>
        <v>1</v>
      </c>
      <c r="U110" s="409">
        <f t="shared" si="22"/>
        <v>1</v>
      </c>
      <c r="V110" s="409">
        <f t="shared" si="23"/>
        <v>1</v>
      </c>
      <c r="W110" s="265">
        <f t="shared" si="24"/>
        <v>0.96</v>
      </c>
      <c r="Y110" s="283">
        <f>IFERROR(IF(Instructions!$N$166=1,($AA110/1000)*$E110,($AA110/100)*$E110),0)</f>
        <v>0.63</v>
      </c>
      <c r="Z110" s="371"/>
      <c r="AA110" s="284">
        <f>IFERROR(VLOOKUP($C110,Instructions!$C$73:$K$157,9,FALSE),0)</f>
        <v>5</v>
      </c>
      <c r="AB110" s="190" t="str">
        <f t="shared" si="25"/>
        <v>4538 - General Office</v>
      </c>
    </row>
    <row r="111" spans="1:28" s="126" customFormat="1" ht="13.15" customHeight="1" x14ac:dyDescent="0.25">
      <c r="A111" s="136">
        <f t="shared" si="15"/>
        <v>0</v>
      </c>
      <c r="B111" s="235" t="s">
        <v>414</v>
      </c>
      <c r="C111" s="489" t="s">
        <v>74</v>
      </c>
      <c r="D111" s="490"/>
      <c r="E111" s="227">
        <v>92</v>
      </c>
      <c r="F111" s="228" t="s">
        <v>311</v>
      </c>
      <c r="G111" s="371">
        <v>2</v>
      </c>
      <c r="H111" s="229">
        <f>IFERROR(IF(Instructions!$N$166=1,VLOOKUP(C111,Instructions!$C$73:$K$157,5,FALSE),VLOOKUP(C111,Instructions!$C$73:$K$157,6,FALSE)),0)</f>
        <v>5</v>
      </c>
      <c r="I111" s="229">
        <f>IFERROR(IF(Instructions!$N$166=1,VLOOKUP(C111,Instructions!$C$73:$K$157,7,FALSE),VLOOKUP(C111,Instructions!$C$73:$K$157,8,FALSE)),0)</f>
        <v>0.06</v>
      </c>
      <c r="J111" s="406">
        <f t="shared" si="16"/>
        <v>10</v>
      </c>
      <c r="K111" s="406">
        <f t="shared" si="17"/>
        <v>5.52</v>
      </c>
      <c r="L111" s="407">
        <f t="shared" si="26"/>
        <v>15.52</v>
      </c>
      <c r="M111" s="413">
        <v>0.8</v>
      </c>
      <c r="N111" s="403">
        <f t="shared" si="18"/>
        <v>19.399999999999999</v>
      </c>
      <c r="O111" s="230">
        <v>52</v>
      </c>
      <c r="P111" s="231">
        <v>52</v>
      </c>
      <c r="Q111" s="382">
        <f t="shared" si="19"/>
        <v>0.37</v>
      </c>
      <c r="R111" s="391">
        <v>1</v>
      </c>
      <c r="S111" s="440">
        <f t="shared" si="20"/>
        <v>1</v>
      </c>
      <c r="T111" s="409">
        <f t="shared" si="21"/>
        <v>1</v>
      </c>
      <c r="U111" s="409">
        <f t="shared" si="22"/>
        <v>1</v>
      </c>
      <c r="V111" s="409">
        <f t="shared" si="23"/>
        <v>1</v>
      </c>
      <c r="W111" s="265">
        <f t="shared" si="24"/>
        <v>0.9</v>
      </c>
      <c r="Y111" s="283">
        <f>IFERROR(IF(Instructions!$N$166=1,($AA111/1000)*$E111,($AA111/100)*$E111),0)</f>
        <v>0.46</v>
      </c>
      <c r="Z111" s="371"/>
      <c r="AA111" s="284">
        <f>IFERROR(VLOOKUP($C111,Instructions!$C$73:$K$157,9,FALSE),0)</f>
        <v>5</v>
      </c>
      <c r="AB111" s="190" t="str">
        <f t="shared" si="25"/>
        <v>4540 - General Office</v>
      </c>
    </row>
    <row r="112" spans="1:28" s="126" customFormat="1" ht="13.15" customHeight="1" x14ac:dyDescent="0.25">
      <c r="A112" s="136">
        <f t="shared" si="15"/>
        <v>0</v>
      </c>
      <c r="B112" s="235" t="s">
        <v>415</v>
      </c>
      <c r="C112" s="489" t="s">
        <v>74</v>
      </c>
      <c r="D112" s="490"/>
      <c r="E112" s="227">
        <v>156</v>
      </c>
      <c r="F112" s="228" t="s">
        <v>311</v>
      </c>
      <c r="G112" s="371">
        <v>2</v>
      </c>
      <c r="H112" s="229">
        <f>IFERROR(IF(Instructions!$N$166=1,VLOOKUP(C112,Instructions!$C$73:$K$157,5,FALSE),VLOOKUP(C112,Instructions!$C$73:$K$157,6,FALSE)),0)</f>
        <v>5</v>
      </c>
      <c r="I112" s="229">
        <f>IFERROR(IF(Instructions!$N$166=1,VLOOKUP(C112,Instructions!$C$73:$K$157,7,FALSE),VLOOKUP(C112,Instructions!$C$73:$K$157,8,FALSE)),0)</f>
        <v>0.06</v>
      </c>
      <c r="J112" s="406">
        <f t="shared" si="16"/>
        <v>10</v>
      </c>
      <c r="K112" s="406">
        <f t="shared" si="17"/>
        <v>9.36</v>
      </c>
      <c r="L112" s="407">
        <f t="shared" si="26"/>
        <v>19.36</v>
      </c>
      <c r="M112" s="413">
        <v>0.8</v>
      </c>
      <c r="N112" s="403">
        <f t="shared" si="18"/>
        <v>24.2</v>
      </c>
      <c r="O112" s="230">
        <v>63</v>
      </c>
      <c r="P112" s="231">
        <v>63</v>
      </c>
      <c r="Q112" s="382">
        <f t="shared" si="19"/>
        <v>0.38</v>
      </c>
      <c r="R112" s="391">
        <v>1</v>
      </c>
      <c r="S112" s="440">
        <f t="shared" si="20"/>
        <v>1</v>
      </c>
      <c r="T112" s="409">
        <f t="shared" si="21"/>
        <v>1</v>
      </c>
      <c r="U112" s="409">
        <f t="shared" si="22"/>
        <v>1</v>
      </c>
      <c r="V112" s="409">
        <f t="shared" si="23"/>
        <v>1</v>
      </c>
      <c r="W112" s="265">
        <f t="shared" si="24"/>
        <v>0.89</v>
      </c>
      <c r="Y112" s="283">
        <f>IFERROR(IF(Instructions!$N$166=1,($AA112/1000)*$E112,($AA112/100)*$E112),0)</f>
        <v>0.78</v>
      </c>
      <c r="Z112" s="371"/>
      <c r="AA112" s="284">
        <f>IFERROR(VLOOKUP($C112,Instructions!$C$73:$K$157,9,FALSE),0)</f>
        <v>5</v>
      </c>
      <c r="AB112" s="190" t="str">
        <f t="shared" si="25"/>
        <v>4542 - Big Rig</v>
      </c>
    </row>
    <row r="113" spans="1:28" s="126" customFormat="1" ht="13.15" customHeight="1" x14ac:dyDescent="0.25">
      <c r="A113" s="136">
        <f t="shared" si="15"/>
        <v>0</v>
      </c>
      <c r="B113" s="235" t="s">
        <v>416</v>
      </c>
      <c r="C113" s="489" t="s">
        <v>74</v>
      </c>
      <c r="D113" s="490"/>
      <c r="E113" s="227">
        <v>204</v>
      </c>
      <c r="F113" s="228" t="s">
        <v>311</v>
      </c>
      <c r="G113" s="371">
        <v>2</v>
      </c>
      <c r="H113" s="229">
        <f>IFERROR(IF(Instructions!$N$166=1,VLOOKUP(C113,Instructions!$C$73:$K$157,5,FALSE),VLOOKUP(C113,Instructions!$C$73:$K$157,6,FALSE)),0)</f>
        <v>5</v>
      </c>
      <c r="I113" s="229">
        <f>IFERROR(IF(Instructions!$N$166=1,VLOOKUP(C113,Instructions!$C$73:$K$157,7,FALSE),VLOOKUP(C113,Instructions!$C$73:$K$157,8,FALSE)),0)</f>
        <v>0.06</v>
      </c>
      <c r="J113" s="406">
        <f t="shared" si="16"/>
        <v>10</v>
      </c>
      <c r="K113" s="406">
        <f t="shared" si="17"/>
        <v>12.24</v>
      </c>
      <c r="L113" s="407">
        <f t="shared" si="26"/>
        <v>22.24</v>
      </c>
      <c r="M113" s="413">
        <v>0.8</v>
      </c>
      <c r="N113" s="403">
        <f t="shared" si="18"/>
        <v>27.799999999999997</v>
      </c>
      <c r="O113" s="230">
        <v>72</v>
      </c>
      <c r="P113" s="231">
        <v>72</v>
      </c>
      <c r="Q113" s="382">
        <f t="shared" si="19"/>
        <v>0.39</v>
      </c>
      <c r="R113" s="391">
        <v>1</v>
      </c>
      <c r="S113" s="440">
        <f t="shared" si="20"/>
        <v>1</v>
      </c>
      <c r="T113" s="409">
        <f t="shared" si="21"/>
        <v>1</v>
      </c>
      <c r="U113" s="409">
        <f t="shared" si="22"/>
        <v>1</v>
      </c>
      <c r="V113" s="409">
        <f t="shared" si="23"/>
        <v>1</v>
      </c>
      <c r="W113" s="265">
        <f t="shared" si="24"/>
        <v>0.88</v>
      </c>
      <c r="Y113" s="283">
        <f>IFERROR(IF(Instructions!$N$166=1,($AA113/1000)*$E113,($AA113/100)*$E113),0)</f>
        <v>1.02</v>
      </c>
      <c r="Z113" s="371"/>
      <c r="AA113" s="284">
        <f>IFERROR(VLOOKUP($C113,Instructions!$C$73:$K$157,9,FALSE),0)</f>
        <v>5</v>
      </c>
      <c r="AB113" s="190" t="str">
        <f t="shared" si="25"/>
        <v>4544 - Fabrication</v>
      </c>
    </row>
    <row r="114" spans="1:28" s="126" customFormat="1" ht="13.15" customHeight="1" x14ac:dyDescent="0.25">
      <c r="A114" s="136">
        <f t="shared" si="15"/>
        <v>0</v>
      </c>
      <c r="B114" s="235" t="s">
        <v>417</v>
      </c>
      <c r="C114" s="489" t="s">
        <v>74</v>
      </c>
      <c r="D114" s="490"/>
      <c r="E114" s="227">
        <v>106</v>
      </c>
      <c r="F114" s="228" t="s">
        <v>311</v>
      </c>
      <c r="G114" s="371">
        <v>2</v>
      </c>
      <c r="H114" s="229">
        <f>IFERROR(IF(Instructions!$N$166=1,VLOOKUP(C114,Instructions!$C$73:$K$157,5,FALSE),VLOOKUP(C114,Instructions!$C$73:$K$157,6,FALSE)),0)</f>
        <v>5</v>
      </c>
      <c r="I114" s="229">
        <f>IFERROR(IF(Instructions!$N$166=1,VLOOKUP(C114,Instructions!$C$73:$K$157,7,FALSE),VLOOKUP(C114,Instructions!$C$73:$K$157,8,FALSE)),0)</f>
        <v>0.06</v>
      </c>
      <c r="J114" s="406">
        <f t="shared" si="16"/>
        <v>10</v>
      </c>
      <c r="K114" s="406">
        <f t="shared" si="17"/>
        <v>6.36</v>
      </c>
      <c r="L114" s="407">
        <f t="shared" si="26"/>
        <v>16.36</v>
      </c>
      <c r="M114" s="413">
        <v>0.8</v>
      </c>
      <c r="N114" s="403">
        <f t="shared" si="18"/>
        <v>20.45</v>
      </c>
      <c r="O114" s="230">
        <v>79</v>
      </c>
      <c r="P114" s="231">
        <v>79</v>
      </c>
      <c r="Q114" s="382">
        <f t="shared" si="19"/>
        <v>0.26</v>
      </c>
      <c r="R114" s="391">
        <v>1</v>
      </c>
      <c r="S114" s="440">
        <f t="shared" si="20"/>
        <v>1</v>
      </c>
      <c r="T114" s="409">
        <f t="shared" si="21"/>
        <v>1</v>
      </c>
      <c r="U114" s="409">
        <f t="shared" si="22"/>
        <v>1</v>
      </c>
      <c r="V114" s="409">
        <f t="shared" si="23"/>
        <v>1</v>
      </c>
      <c r="W114" s="265">
        <f t="shared" si="24"/>
        <v>1.01</v>
      </c>
      <c r="Y114" s="283">
        <f>IFERROR(IF(Instructions!$N$166=1,($AA114/1000)*$E114,($AA114/100)*$E114),0)</f>
        <v>0.53</v>
      </c>
      <c r="Z114" s="371"/>
      <c r="AA114" s="284">
        <f>IFERROR(VLOOKUP($C114,Instructions!$C$73:$K$157,9,FALSE),0)</f>
        <v>5</v>
      </c>
      <c r="AB114" s="190" t="str">
        <f t="shared" si="25"/>
        <v>4544A - General Office</v>
      </c>
    </row>
    <row r="115" spans="1:28" s="126" customFormat="1" ht="13.15" customHeight="1" x14ac:dyDescent="0.25">
      <c r="A115" s="136">
        <f t="shared" si="15"/>
        <v>0</v>
      </c>
      <c r="B115" s="235" t="s">
        <v>418</v>
      </c>
      <c r="C115" s="489" t="s">
        <v>74</v>
      </c>
      <c r="D115" s="490"/>
      <c r="E115" s="227">
        <v>422</v>
      </c>
      <c r="F115" s="228" t="s">
        <v>311</v>
      </c>
      <c r="G115" s="371">
        <v>10</v>
      </c>
      <c r="H115" s="229">
        <f>IFERROR(IF(Instructions!$N$166=1,VLOOKUP(C115,Instructions!$C$73:$K$157,5,FALSE),VLOOKUP(C115,Instructions!$C$73:$K$157,6,FALSE)),0)</f>
        <v>5</v>
      </c>
      <c r="I115" s="229">
        <f>IFERROR(IF(Instructions!$N$166=1,VLOOKUP(C115,Instructions!$C$73:$K$157,7,FALSE),VLOOKUP(C115,Instructions!$C$73:$K$157,8,FALSE)),0)</f>
        <v>0.06</v>
      </c>
      <c r="J115" s="406">
        <f t="shared" si="16"/>
        <v>50</v>
      </c>
      <c r="K115" s="406">
        <f t="shared" si="17"/>
        <v>25.32</v>
      </c>
      <c r="L115" s="407">
        <f t="shared" si="26"/>
        <v>75.319999999999993</v>
      </c>
      <c r="M115" s="413">
        <v>0.8</v>
      </c>
      <c r="N115" s="403">
        <f t="shared" si="18"/>
        <v>94.149999999999991</v>
      </c>
      <c r="O115" s="230">
        <v>245</v>
      </c>
      <c r="P115" s="231">
        <v>245</v>
      </c>
      <c r="Q115" s="382">
        <f t="shared" si="19"/>
        <v>0.38</v>
      </c>
      <c r="R115" s="391">
        <v>1</v>
      </c>
      <c r="S115" s="440">
        <f t="shared" si="20"/>
        <v>1</v>
      </c>
      <c r="T115" s="409">
        <f t="shared" si="21"/>
        <v>1</v>
      </c>
      <c r="U115" s="409">
        <f t="shared" si="22"/>
        <v>1</v>
      </c>
      <c r="V115" s="409">
        <f t="shared" si="23"/>
        <v>1</v>
      </c>
      <c r="W115" s="265">
        <f t="shared" si="24"/>
        <v>0.89</v>
      </c>
      <c r="Y115" s="283">
        <f>IFERROR(IF(Instructions!$N$166=1,($AA115/1000)*$E115,($AA115/100)*$E115),0)</f>
        <v>2.11</v>
      </c>
      <c r="Z115" s="371"/>
      <c r="AA115" s="284">
        <f>IFERROR(VLOOKUP($C115,Instructions!$C$73:$K$157,9,FALSE),0)</f>
        <v>5</v>
      </c>
      <c r="AB115" s="190" t="str">
        <f t="shared" si="25"/>
        <v>4546 - Open Work Space</v>
      </c>
    </row>
    <row r="116" spans="1:28" s="126" customFormat="1" ht="13.15" customHeight="1" x14ac:dyDescent="0.25">
      <c r="A116" s="136">
        <f t="shared" si="15"/>
        <v>0</v>
      </c>
      <c r="B116" s="235" t="s">
        <v>419</v>
      </c>
      <c r="C116" s="489" t="s">
        <v>68</v>
      </c>
      <c r="D116" s="490"/>
      <c r="E116" s="227">
        <v>494</v>
      </c>
      <c r="F116" s="228" t="s">
        <v>315</v>
      </c>
      <c r="G116" s="283">
        <f>IFERROR(IF(Instructions!$N$166=1,($AA116/1000)*$E116,($AA116/100)*$E116),0)</f>
        <v>0</v>
      </c>
      <c r="H116" s="229">
        <f>IFERROR(IF(Instructions!$N$166=1,VLOOKUP(C116,Instructions!$C$73:$K$157,5,FALSE),VLOOKUP(C116,Instructions!$C$73:$K$157,6,FALSE)),0)</f>
        <v>0</v>
      </c>
      <c r="I116" s="229">
        <f>IFERROR(IF(Instructions!$N$166=1,VLOOKUP(C116,Instructions!$C$73:$K$157,7,FALSE),VLOOKUP(C116,Instructions!$C$73:$K$157,8,FALSE)),0)</f>
        <v>0.06</v>
      </c>
      <c r="J116" s="406">
        <f t="shared" si="16"/>
        <v>0</v>
      </c>
      <c r="K116" s="406">
        <f t="shared" si="17"/>
        <v>29.64</v>
      </c>
      <c r="L116" s="407">
        <f t="shared" si="26"/>
        <v>29.64</v>
      </c>
      <c r="M116" s="413">
        <v>0.8</v>
      </c>
      <c r="N116" s="403">
        <f t="shared" si="18"/>
        <v>37.049999999999997</v>
      </c>
      <c r="O116" s="230">
        <v>96</v>
      </c>
      <c r="P116" s="231">
        <v>96</v>
      </c>
      <c r="Q116" s="382">
        <f t="shared" si="19"/>
        <v>0.39</v>
      </c>
      <c r="R116" s="391">
        <v>1</v>
      </c>
      <c r="S116" s="440">
        <f t="shared" si="20"/>
        <v>1</v>
      </c>
      <c r="T116" s="409">
        <f t="shared" si="21"/>
        <v>1</v>
      </c>
      <c r="U116" s="409">
        <f t="shared" si="22"/>
        <v>1</v>
      </c>
      <c r="V116" s="409">
        <f t="shared" si="23"/>
        <v>1</v>
      </c>
      <c r="W116" s="265">
        <f t="shared" si="24"/>
        <v>0.88</v>
      </c>
      <c r="Y116" s="283">
        <f>IFERROR(IF(Instructions!$N$166=1,($AA116/1000)*$E116,($AA116/100)*$E116),0)</f>
        <v>0</v>
      </c>
      <c r="Z116" s="371"/>
      <c r="AA116" s="284">
        <f>IFERROR(VLOOKUP($C116,Instructions!$C$73:$K$157,9,FALSE),0)</f>
        <v>0</v>
      </c>
      <c r="AB116" s="190" t="str">
        <f t="shared" si="25"/>
        <v>5500 - Corridor</v>
      </c>
    </row>
    <row r="117" spans="1:28" s="126" customFormat="1" ht="13.15" customHeight="1" x14ac:dyDescent="0.25">
      <c r="A117" s="136">
        <f t="shared" si="15"/>
        <v>0</v>
      </c>
      <c r="B117" s="235" t="s">
        <v>420</v>
      </c>
      <c r="C117" s="489" t="s">
        <v>68</v>
      </c>
      <c r="D117" s="490"/>
      <c r="E117" s="227">
        <v>795</v>
      </c>
      <c r="F117" s="228" t="s">
        <v>315</v>
      </c>
      <c r="G117" s="283">
        <f>IFERROR(IF(Instructions!$N$166=1,($AA117/1000)*$E117,($AA117/100)*$E117),0)</f>
        <v>0</v>
      </c>
      <c r="H117" s="229">
        <f>IFERROR(IF(Instructions!$N$166=1,VLOOKUP(C117,Instructions!$C$73:$K$157,5,FALSE),VLOOKUP(C117,Instructions!$C$73:$K$157,6,FALSE)),0)</f>
        <v>0</v>
      </c>
      <c r="I117" s="229">
        <f>IFERROR(IF(Instructions!$N$166=1,VLOOKUP(C117,Instructions!$C$73:$K$157,7,FALSE),VLOOKUP(C117,Instructions!$C$73:$K$157,8,FALSE)),0)</f>
        <v>0.06</v>
      </c>
      <c r="J117" s="406">
        <f t="shared" si="16"/>
        <v>0</v>
      </c>
      <c r="K117" s="406">
        <f t="shared" si="17"/>
        <v>47.7</v>
      </c>
      <c r="L117" s="407">
        <f t="shared" si="26"/>
        <v>47.7</v>
      </c>
      <c r="M117" s="413">
        <v>0.8</v>
      </c>
      <c r="N117" s="403">
        <f t="shared" si="18"/>
        <v>59.625</v>
      </c>
      <c r="O117" s="230">
        <v>155</v>
      </c>
      <c r="P117" s="231">
        <v>155</v>
      </c>
      <c r="Q117" s="382">
        <f t="shared" si="19"/>
        <v>0.38</v>
      </c>
      <c r="R117" s="391">
        <v>1</v>
      </c>
      <c r="S117" s="440">
        <f t="shared" si="20"/>
        <v>1</v>
      </c>
      <c r="T117" s="409">
        <f t="shared" si="21"/>
        <v>1</v>
      </c>
      <c r="U117" s="409">
        <f t="shared" si="22"/>
        <v>1</v>
      </c>
      <c r="V117" s="409">
        <f t="shared" si="23"/>
        <v>1</v>
      </c>
      <c r="W117" s="265">
        <f t="shared" si="24"/>
        <v>0.89</v>
      </c>
      <c r="Y117" s="283">
        <f>IFERROR(IF(Instructions!$N$166=1,($AA117/1000)*$E117,($AA117/100)*$E117),0)</f>
        <v>0</v>
      </c>
      <c r="Z117" s="371"/>
      <c r="AA117" s="284">
        <f>IFERROR(VLOOKUP($C117,Instructions!$C$73:$K$157,9,FALSE),0)</f>
        <v>0</v>
      </c>
      <c r="AB117" s="190" t="str">
        <f t="shared" si="25"/>
        <v>5500A - Corridor</v>
      </c>
    </row>
    <row r="118" spans="1:28" s="126" customFormat="1" ht="13.15" customHeight="1" x14ac:dyDescent="0.25">
      <c r="A118" s="136">
        <f t="shared" si="15"/>
        <v>0</v>
      </c>
      <c r="B118" s="235" t="s">
        <v>421</v>
      </c>
      <c r="C118" s="489" t="s">
        <v>68</v>
      </c>
      <c r="D118" s="490"/>
      <c r="E118" s="227">
        <v>118</v>
      </c>
      <c r="F118" s="228" t="s">
        <v>315</v>
      </c>
      <c r="G118" s="283">
        <f>IFERROR(IF(Instructions!$N$166=1,($AA118/1000)*$E118,($AA118/100)*$E118),0)</f>
        <v>0</v>
      </c>
      <c r="H118" s="229">
        <f>IFERROR(IF(Instructions!$N$166=1,VLOOKUP(C118,Instructions!$C$73:$K$157,5,FALSE),VLOOKUP(C118,Instructions!$C$73:$K$157,6,FALSE)),0)</f>
        <v>0</v>
      </c>
      <c r="I118" s="229">
        <f>IFERROR(IF(Instructions!$N$166=1,VLOOKUP(C118,Instructions!$C$73:$K$157,7,FALSE),VLOOKUP(C118,Instructions!$C$73:$K$157,8,FALSE)),0)</f>
        <v>0.06</v>
      </c>
      <c r="J118" s="406">
        <f t="shared" si="16"/>
        <v>0</v>
      </c>
      <c r="K118" s="406">
        <f t="shared" si="17"/>
        <v>7.08</v>
      </c>
      <c r="L118" s="407">
        <f t="shared" si="26"/>
        <v>7.08</v>
      </c>
      <c r="M118" s="413">
        <v>0.8</v>
      </c>
      <c r="N118" s="403">
        <f t="shared" si="18"/>
        <v>8.85</v>
      </c>
      <c r="O118" s="230">
        <v>23</v>
      </c>
      <c r="P118" s="231">
        <v>23</v>
      </c>
      <c r="Q118" s="382">
        <f t="shared" si="19"/>
        <v>0.38</v>
      </c>
      <c r="R118" s="391">
        <v>1</v>
      </c>
      <c r="S118" s="440">
        <f t="shared" si="20"/>
        <v>1</v>
      </c>
      <c r="T118" s="409">
        <f t="shared" si="21"/>
        <v>1</v>
      </c>
      <c r="U118" s="409">
        <f t="shared" si="22"/>
        <v>1</v>
      </c>
      <c r="V118" s="409">
        <f t="shared" si="23"/>
        <v>1</v>
      </c>
      <c r="W118" s="265">
        <f t="shared" si="24"/>
        <v>0.89</v>
      </c>
      <c r="Y118" s="283">
        <f>IFERROR(IF(Instructions!$N$166=1,($AA118/1000)*$E118,($AA118/100)*$E118),0)</f>
        <v>0</v>
      </c>
      <c r="Z118" s="371"/>
      <c r="AA118" s="284">
        <f>IFERROR(VLOOKUP($C118,Instructions!$C$73:$K$157,9,FALSE),0)</f>
        <v>0</v>
      </c>
      <c r="AB118" s="190" t="str">
        <f t="shared" si="25"/>
        <v>5500B - Corridor</v>
      </c>
    </row>
    <row r="119" spans="1:28" s="126" customFormat="1" ht="13.15" customHeight="1" x14ac:dyDescent="0.25">
      <c r="A119" s="136">
        <f t="shared" si="15"/>
        <v>0</v>
      </c>
      <c r="B119" s="235" t="s">
        <v>422</v>
      </c>
      <c r="C119" s="489" t="s">
        <v>74</v>
      </c>
      <c r="D119" s="490"/>
      <c r="E119" s="227">
        <v>38</v>
      </c>
      <c r="F119" s="228" t="s">
        <v>311</v>
      </c>
      <c r="G119" s="371">
        <v>0</v>
      </c>
      <c r="H119" s="229">
        <f>IFERROR(IF(Instructions!$N$166=1,VLOOKUP(C119,Instructions!$C$73:$K$157,5,FALSE),VLOOKUP(C119,Instructions!$C$73:$K$157,6,FALSE)),0)</f>
        <v>5</v>
      </c>
      <c r="I119" s="229">
        <f>IFERROR(IF(Instructions!$N$166=1,VLOOKUP(C119,Instructions!$C$73:$K$157,7,FALSE),VLOOKUP(C119,Instructions!$C$73:$K$157,8,FALSE)),0)</f>
        <v>0.06</v>
      </c>
      <c r="J119" s="406">
        <f t="shared" si="16"/>
        <v>0</v>
      </c>
      <c r="K119" s="406">
        <f t="shared" si="17"/>
        <v>2.2799999999999998</v>
      </c>
      <c r="L119" s="407">
        <f t="shared" si="26"/>
        <v>2.2799999999999998</v>
      </c>
      <c r="M119" s="413">
        <v>0.8</v>
      </c>
      <c r="N119" s="403">
        <f t="shared" si="18"/>
        <v>2.8499999999999996</v>
      </c>
      <c r="O119" s="230">
        <v>32</v>
      </c>
      <c r="P119" s="231">
        <v>32</v>
      </c>
      <c r="Q119" s="382">
        <f t="shared" si="19"/>
        <v>0.09</v>
      </c>
      <c r="R119" s="391">
        <v>1</v>
      </c>
      <c r="S119" s="440">
        <f t="shared" si="20"/>
        <v>1</v>
      </c>
      <c r="T119" s="409">
        <f t="shared" si="21"/>
        <v>1</v>
      </c>
      <c r="U119" s="409">
        <f t="shared" si="22"/>
        <v>1</v>
      </c>
      <c r="V119" s="409">
        <f t="shared" si="23"/>
        <v>1</v>
      </c>
      <c r="W119" s="265">
        <f t="shared" si="24"/>
        <v>1.18</v>
      </c>
      <c r="Y119" s="283">
        <f>IFERROR(IF(Instructions!$N$166=1,($AA119/1000)*$E119,($AA119/100)*$E119),0)</f>
        <v>0.19</v>
      </c>
      <c r="Z119" s="371"/>
      <c r="AA119" s="284">
        <f>IFERROR(VLOOKUP($C119,Instructions!$C$73:$K$157,9,FALSE),0)</f>
        <v>5</v>
      </c>
      <c r="AB119" s="190" t="str">
        <f t="shared" si="25"/>
        <v>5507 - Break Area</v>
      </c>
    </row>
    <row r="120" spans="1:28" s="126" customFormat="1" ht="13.15" customHeight="1" x14ac:dyDescent="0.25">
      <c r="A120" s="136">
        <f t="shared" si="15"/>
        <v>0</v>
      </c>
      <c r="B120" s="235" t="s">
        <v>423</v>
      </c>
      <c r="C120" s="489" t="s">
        <v>74</v>
      </c>
      <c r="D120" s="490"/>
      <c r="E120" s="227">
        <v>64</v>
      </c>
      <c r="F120" s="228" t="s">
        <v>311</v>
      </c>
      <c r="G120" s="371">
        <v>2</v>
      </c>
      <c r="H120" s="229">
        <f>IFERROR(IF(Instructions!$N$166=1,VLOOKUP(C120,Instructions!$C$73:$K$157,5,FALSE),VLOOKUP(C120,Instructions!$C$73:$K$157,6,FALSE)),0)</f>
        <v>5</v>
      </c>
      <c r="I120" s="229">
        <f>IFERROR(IF(Instructions!$N$166=1,VLOOKUP(C120,Instructions!$C$73:$K$157,7,FALSE),VLOOKUP(C120,Instructions!$C$73:$K$157,8,FALSE)),0)</f>
        <v>0.06</v>
      </c>
      <c r="J120" s="406">
        <f t="shared" si="16"/>
        <v>10</v>
      </c>
      <c r="K120" s="406">
        <f t="shared" si="17"/>
        <v>3.84</v>
      </c>
      <c r="L120" s="407">
        <f t="shared" si="26"/>
        <v>13.84</v>
      </c>
      <c r="M120" s="413">
        <v>0.8</v>
      </c>
      <c r="N120" s="403">
        <f t="shared" si="18"/>
        <v>17.299999999999997</v>
      </c>
      <c r="O120" s="230">
        <v>45</v>
      </c>
      <c r="P120" s="231">
        <v>45</v>
      </c>
      <c r="Q120" s="382">
        <f t="shared" si="19"/>
        <v>0.38</v>
      </c>
      <c r="R120" s="391">
        <v>1</v>
      </c>
      <c r="S120" s="440">
        <f t="shared" si="20"/>
        <v>1</v>
      </c>
      <c r="T120" s="409">
        <f t="shared" si="21"/>
        <v>1</v>
      </c>
      <c r="U120" s="409">
        <f t="shared" si="22"/>
        <v>1</v>
      </c>
      <c r="V120" s="409">
        <f t="shared" si="23"/>
        <v>1</v>
      </c>
      <c r="W120" s="265">
        <f t="shared" si="24"/>
        <v>0.89</v>
      </c>
      <c r="Y120" s="283">
        <f>IFERROR(IF(Instructions!$N$166=1,($AA120/1000)*$E120,($AA120/100)*$E120),0)</f>
        <v>0.32</v>
      </c>
      <c r="Z120" s="371"/>
      <c r="AA120" s="284">
        <f>IFERROR(VLOOKUP($C120,Instructions!$C$73:$K$157,9,FALSE),0)</f>
        <v>5</v>
      </c>
      <c r="AB120" s="190" t="str">
        <f t="shared" si="25"/>
        <v>5509 - Lab</v>
      </c>
    </row>
    <row r="121" spans="1:28" s="126" customFormat="1" ht="13.15" customHeight="1" x14ac:dyDescent="0.25">
      <c r="A121" s="136">
        <f t="shared" si="15"/>
        <v>0</v>
      </c>
      <c r="B121" s="235" t="s">
        <v>424</v>
      </c>
      <c r="C121" s="489" t="s">
        <v>74</v>
      </c>
      <c r="D121" s="490"/>
      <c r="E121" s="227">
        <v>493</v>
      </c>
      <c r="F121" s="228" t="s">
        <v>311</v>
      </c>
      <c r="G121" s="371">
        <v>20</v>
      </c>
      <c r="H121" s="229">
        <f>IFERROR(IF(Instructions!$N$166=1,VLOOKUP(C121,Instructions!$C$73:$K$157,5,FALSE),VLOOKUP(C121,Instructions!$C$73:$K$157,6,FALSE)),0)</f>
        <v>5</v>
      </c>
      <c r="I121" s="229">
        <f>IFERROR(IF(Instructions!$N$166=1,VLOOKUP(C121,Instructions!$C$73:$K$157,7,FALSE),VLOOKUP(C121,Instructions!$C$73:$K$157,8,FALSE)),0)</f>
        <v>0.06</v>
      </c>
      <c r="J121" s="406">
        <f t="shared" si="16"/>
        <v>100</v>
      </c>
      <c r="K121" s="406">
        <f t="shared" si="17"/>
        <v>29.58</v>
      </c>
      <c r="L121" s="407">
        <f t="shared" si="26"/>
        <v>129.58000000000001</v>
      </c>
      <c r="M121" s="413">
        <v>0.8</v>
      </c>
      <c r="N121" s="403">
        <f t="shared" si="18"/>
        <v>161.97499999999999</v>
      </c>
      <c r="O121" s="230">
        <v>421</v>
      </c>
      <c r="P121" s="231">
        <v>421</v>
      </c>
      <c r="Q121" s="382">
        <f t="shared" si="19"/>
        <v>0.38</v>
      </c>
      <c r="R121" s="391">
        <v>1</v>
      </c>
      <c r="S121" s="440">
        <f t="shared" si="20"/>
        <v>1</v>
      </c>
      <c r="T121" s="409">
        <f t="shared" si="21"/>
        <v>1</v>
      </c>
      <c r="U121" s="409">
        <f t="shared" si="22"/>
        <v>1</v>
      </c>
      <c r="V121" s="409">
        <f t="shared" si="23"/>
        <v>1</v>
      </c>
      <c r="W121" s="265">
        <f t="shared" si="24"/>
        <v>0.89</v>
      </c>
      <c r="Y121" s="283">
        <f>IFERROR(IF(Instructions!$N$166=1,($AA121/1000)*$E121,($AA121/100)*$E121),0)</f>
        <v>2.4649999999999999</v>
      </c>
      <c r="Z121" s="371"/>
      <c r="AA121" s="284">
        <f>IFERROR(VLOOKUP($C121,Instructions!$C$73:$K$157,9,FALSE),0)</f>
        <v>5</v>
      </c>
      <c r="AB121" s="190" t="str">
        <f t="shared" si="25"/>
        <v>5510 - Shell</v>
      </c>
    </row>
    <row r="122" spans="1:28" s="126" customFormat="1" ht="13.15" customHeight="1" x14ac:dyDescent="0.25">
      <c r="A122" s="136">
        <f t="shared" si="15"/>
        <v>0</v>
      </c>
      <c r="B122" s="235" t="s">
        <v>317</v>
      </c>
      <c r="C122" s="489" t="s">
        <v>74</v>
      </c>
      <c r="D122" s="490"/>
      <c r="E122" s="227">
        <v>604</v>
      </c>
      <c r="F122" s="228" t="s">
        <v>311</v>
      </c>
      <c r="G122" s="371">
        <v>13</v>
      </c>
      <c r="H122" s="229">
        <f>IFERROR(IF(Instructions!$N$166=1,VLOOKUP(C122,Instructions!$C$73:$K$157,5,FALSE),VLOOKUP(C122,Instructions!$C$73:$K$157,6,FALSE)),0)</f>
        <v>5</v>
      </c>
      <c r="I122" s="229">
        <f>IFERROR(IF(Instructions!$N$166=1,VLOOKUP(C122,Instructions!$C$73:$K$157,7,FALSE),VLOOKUP(C122,Instructions!$C$73:$K$157,8,FALSE)),0)</f>
        <v>0.06</v>
      </c>
      <c r="J122" s="406">
        <f t="shared" si="16"/>
        <v>65</v>
      </c>
      <c r="K122" s="406">
        <f t="shared" si="17"/>
        <v>36.24</v>
      </c>
      <c r="L122" s="407">
        <f t="shared" si="26"/>
        <v>101.24</v>
      </c>
      <c r="M122" s="413">
        <v>0.8</v>
      </c>
      <c r="N122" s="403">
        <f t="shared" si="18"/>
        <v>126.54999999999998</v>
      </c>
      <c r="O122" s="230">
        <v>329</v>
      </c>
      <c r="P122" s="231">
        <v>329</v>
      </c>
      <c r="Q122" s="382">
        <f t="shared" si="19"/>
        <v>0.38</v>
      </c>
      <c r="R122" s="391">
        <v>1</v>
      </c>
      <c r="S122" s="440">
        <f t="shared" si="20"/>
        <v>1</v>
      </c>
      <c r="T122" s="409">
        <f t="shared" si="21"/>
        <v>1</v>
      </c>
      <c r="U122" s="409">
        <f t="shared" si="22"/>
        <v>1</v>
      </c>
      <c r="V122" s="409">
        <f t="shared" si="23"/>
        <v>1</v>
      </c>
      <c r="W122" s="265">
        <f t="shared" si="24"/>
        <v>0.89</v>
      </c>
      <c r="Y122" s="283">
        <f>IFERROR(IF(Instructions!$N$166=1,($AA122/1000)*$E122,($AA122/100)*$E122),0)</f>
        <v>3.02</v>
      </c>
      <c r="Z122" s="371"/>
      <c r="AA122" s="284">
        <f>IFERROR(VLOOKUP($C122,Instructions!$C$73:$K$157,9,FALSE),0)</f>
        <v>5</v>
      </c>
      <c r="AB122" s="190" t="str">
        <f t="shared" si="25"/>
        <v>5511 - RA</v>
      </c>
    </row>
    <row r="123" spans="1:28" s="126" customFormat="1" ht="13.15" customHeight="1" x14ac:dyDescent="0.25">
      <c r="A123" s="136">
        <f t="shared" si="15"/>
        <v>0</v>
      </c>
      <c r="B123" s="235" t="s">
        <v>425</v>
      </c>
      <c r="C123" s="489" t="s">
        <v>74</v>
      </c>
      <c r="D123" s="490"/>
      <c r="E123" s="227">
        <v>54</v>
      </c>
      <c r="F123" s="228" t="s">
        <v>311</v>
      </c>
      <c r="G123" s="371">
        <v>0</v>
      </c>
      <c r="H123" s="229">
        <f>IFERROR(IF(Instructions!$N$166=1,VLOOKUP(C123,Instructions!$C$73:$K$157,5,FALSE),VLOOKUP(C123,Instructions!$C$73:$K$157,6,FALSE)),0)</f>
        <v>5</v>
      </c>
      <c r="I123" s="229">
        <f>IFERROR(IF(Instructions!$N$166=1,VLOOKUP(C123,Instructions!$C$73:$K$157,7,FALSE),VLOOKUP(C123,Instructions!$C$73:$K$157,8,FALSE)),0)</f>
        <v>0.06</v>
      </c>
      <c r="J123" s="406">
        <f t="shared" si="16"/>
        <v>0</v>
      </c>
      <c r="K123" s="406">
        <f t="shared" si="17"/>
        <v>3.24</v>
      </c>
      <c r="L123" s="407">
        <f t="shared" si="26"/>
        <v>3.24</v>
      </c>
      <c r="M123" s="413">
        <v>0.8</v>
      </c>
      <c r="N123" s="403">
        <f t="shared" si="18"/>
        <v>4.05</v>
      </c>
      <c r="O123" s="230">
        <v>32</v>
      </c>
      <c r="P123" s="231">
        <v>32</v>
      </c>
      <c r="Q123" s="382">
        <f t="shared" si="19"/>
        <v>0.13</v>
      </c>
      <c r="R123" s="391">
        <v>1</v>
      </c>
      <c r="S123" s="440">
        <f t="shared" si="20"/>
        <v>1</v>
      </c>
      <c r="T123" s="409">
        <f t="shared" si="21"/>
        <v>1</v>
      </c>
      <c r="U123" s="409">
        <f t="shared" si="22"/>
        <v>1</v>
      </c>
      <c r="V123" s="409">
        <f t="shared" si="23"/>
        <v>1</v>
      </c>
      <c r="W123" s="265">
        <f t="shared" si="24"/>
        <v>1.1399999999999999</v>
      </c>
      <c r="Y123" s="283">
        <f>IFERROR(IF(Instructions!$N$166=1,($AA123/1000)*$E123,($AA123/100)*$E123),0)</f>
        <v>0.27</v>
      </c>
      <c r="Z123" s="371"/>
      <c r="AA123" s="284">
        <f>IFERROR(VLOOKUP($C123,Instructions!$C$73:$K$157,9,FALSE),0)</f>
        <v>5</v>
      </c>
      <c r="AB123" s="190" t="str">
        <f t="shared" si="25"/>
        <v>5513 - Copy Area</v>
      </c>
    </row>
    <row r="124" spans="1:28" s="126" customFormat="1" ht="13.15" customHeight="1" x14ac:dyDescent="0.25">
      <c r="A124" s="136">
        <f t="shared" si="15"/>
        <v>0</v>
      </c>
      <c r="B124" s="235" t="s">
        <v>426</v>
      </c>
      <c r="C124" s="489" t="s">
        <v>74</v>
      </c>
      <c r="D124" s="490"/>
      <c r="E124" s="227">
        <v>220</v>
      </c>
      <c r="F124" s="228" t="s">
        <v>311</v>
      </c>
      <c r="G124" s="371">
        <v>6</v>
      </c>
      <c r="H124" s="229">
        <f>IFERROR(IF(Instructions!$N$166=1,VLOOKUP(C124,Instructions!$C$73:$K$157,5,FALSE),VLOOKUP(C124,Instructions!$C$73:$K$157,6,FALSE)),0)</f>
        <v>5</v>
      </c>
      <c r="I124" s="229">
        <f>IFERROR(IF(Instructions!$N$166=1,VLOOKUP(C124,Instructions!$C$73:$K$157,7,FALSE),VLOOKUP(C124,Instructions!$C$73:$K$157,8,FALSE)),0)</f>
        <v>0.06</v>
      </c>
      <c r="J124" s="406">
        <f t="shared" si="16"/>
        <v>30</v>
      </c>
      <c r="K124" s="406">
        <f t="shared" si="17"/>
        <v>13.2</v>
      </c>
      <c r="L124" s="407">
        <f t="shared" si="26"/>
        <v>43.2</v>
      </c>
      <c r="M124" s="413">
        <v>0.8</v>
      </c>
      <c r="N124" s="403">
        <f t="shared" si="18"/>
        <v>54</v>
      </c>
      <c r="O124" s="230">
        <v>140</v>
      </c>
      <c r="P124" s="231">
        <v>140</v>
      </c>
      <c r="Q124" s="382">
        <f t="shared" si="19"/>
        <v>0.39</v>
      </c>
      <c r="R124" s="391">
        <v>1</v>
      </c>
      <c r="S124" s="440">
        <f t="shared" si="20"/>
        <v>1</v>
      </c>
      <c r="T124" s="409">
        <f t="shared" si="21"/>
        <v>1</v>
      </c>
      <c r="U124" s="409">
        <f t="shared" si="22"/>
        <v>1</v>
      </c>
      <c r="V124" s="409">
        <f t="shared" si="23"/>
        <v>1</v>
      </c>
      <c r="W124" s="265">
        <f t="shared" si="24"/>
        <v>0.88</v>
      </c>
      <c r="Y124" s="283">
        <f>IFERROR(IF(Instructions!$N$166=1,($AA124/1000)*$E124,($AA124/100)*$E124),0)</f>
        <v>1.1000000000000001</v>
      </c>
      <c r="Z124" s="371"/>
      <c r="AA124" s="284">
        <f>IFERROR(VLOOKUP($C124,Instructions!$C$73:$K$157,9,FALSE),0)</f>
        <v>5</v>
      </c>
      <c r="AB124" s="190" t="str">
        <f t="shared" si="25"/>
        <v>5514 - Shell</v>
      </c>
    </row>
    <row r="125" spans="1:28" s="126" customFormat="1" ht="13.15" customHeight="1" x14ac:dyDescent="0.25">
      <c r="A125" s="136">
        <f t="shared" si="15"/>
        <v>0</v>
      </c>
      <c r="B125" s="235" t="s">
        <v>427</v>
      </c>
      <c r="C125" s="489" t="s">
        <v>74</v>
      </c>
      <c r="D125" s="490"/>
      <c r="E125" s="227">
        <v>158</v>
      </c>
      <c r="F125" s="228" t="s">
        <v>311</v>
      </c>
      <c r="G125" s="371">
        <v>3</v>
      </c>
      <c r="H125" s="229">
        <f>IFERROR(IF(Instructions!$N$166=1,VLOOKUP(C125,Instructions!$C$73:$K$157,5,FALSE),VLOOKUP(C125,Instructions!$C$73:$K$157,6,FALSE)),0)</f>
        <v>5</v>
      </c>
      <c r="I125" s="229">
        <f>IFERROR(IF(Instructions!$N$166=1,VLOOKUP(C125,Instructions!$C$73:$K$157,7,FALSE),VLOOKUP(C125,Instructions!$C$73:$K$157,8,FALSE)),0)</f>
        <v>0.06</v>
      </c>
      <c r="J125" s="406">
        <f t="shared" si="16"/>
        <v>15</v>
      </c>
      <c r="K125" s="406">
        <f t="shared" si="17"/>
        <v>9.48</v>
      </c>
      <c r="L125" s="407">
        <f t="shared" si="26"/>
        <v>24.48</v>
      </c>
      <c r="M125" s="413">
        <v>0.8</v>
      </c>
      <c r="N125" s="403">
        <f t="shared" si="18"/>
        <v>30.599999999999998</v>
      </c>
      <c r="O125" s="230">
        <v>109</v>
      </c>
      <c r="P125" s="231">
        <v>109</v>
      </c>
      <c r="Q125" s="382">
        <f t="shared" si="19"/>
        <v>0.28000000000000003</v>
      </c>
      <c r="R125" s="391">
        <v>1</v>
      </c>
      <c r="S125" s="440">
        <f t="shared" si="20"/>
        <v>1</v>
      </c>
      <c r="T125" s="409">
        <f t="shared" si="21"/>
        <v>1</v>
      </c>
      <c r="U125" s="409">
        <f t="shared" si="22"/>
        <v>1</v>
      </c>
      <c r="V125" s="409">
        <f t="shared" si="23"/>
        <v>1</v>
      </c>
      <c r="W125" s="265">
        <f t="shared" si="24"/>
        <v>0.99</v>
      </c>
      <c r="Y125" s="283">
        <f>IFERROR(IF(Instructions!$N$166=1,($AA125/1000)*$E125,($AA125/100)*$E125),0)</f>
        <v>0.79</v>
      </c>
      <c r="Z125" s="371"/>
      <c r="AA125" s="284">
        <f>IFERROR(VLOOKUP($C125,Instructions!$C$73:$K$157,9,FALSE),0)</f>
        <v>5</v>
      </c>
      <c r="AB125" s="190" t="str">
        <f t="shared" si="25"/>
        <v>5516 - Faculty Post Doc RA</v>
      </c>
    </row>
    <row r="126" spans="1:28" s="126" customFormat="1" ht="13.15" customHeight="1" x14ac:dyDescent="0.25">
      <c r="A126" s="136">
        <f t="shared" si="15"/>
        <v>0</v>
      </c>
      <c r="B126" s="235" t="s">
        <v>428</v>
      </c>
      <c r="C126" s="489" t="s">
        <v>74</v>
      </c>
      <c r="D126" s="490"/>
      <c r="E126" s="227">
        <v>96</v>
      </c>
      <c r="F126" s="228" t="s">
        <v>311</v>
      </c>
      <c r="G126" s="371">
        <v>0</v>
      </c>
      <c r="H126" s="229">
        <f>IFERROR(IF(Instructions!$N$166=1,VLOOKUP(C126,Instructions!$C$73:$K$157,5,FALSE),VLOOKUP(C126,Instructions!$C$73:$K$157,6,FALSE)),0)</f>
        <v>5</v>
      </c>
      <c r="I126" s="229">
        <f>IFERROR(IF(Instructions!$N$166=1,VLOOKUP(C126,Instructions!$C$73:$K$157,7,FALSE),VLOOKUP(C126,Instructions!$C$73:$K$157,8,FALSE)),0)</f>
        <v>0.06</v>
      </c>
      <c r="J126" s="406">
        <f t="shared" si="16"/>
        <v>0</v>
      </c>
      <c r="K126" s="406">
        <f t="shared" si="17"/>
        <v>5.76</v>
      </c>
      <c r="L126" s="407">
        <f t="shared" si="26"/>
        <v>5.76</v>
      </c>
      <c r="M126" s="413">
        <v>0.8</v>
      </c>
      <c r="N126" s="403">
        <f t="shared" si="18"/>
        <v>7.1999999999999993</v>
      </c>
      <c r="O126" s="230">
        <v>1063</v>
      </c>
      <c r="P126" s="231">
        <v>1063</v>
      </c>
      <c r="Q126" s="382">
        <f t="shared" si="19"/>
        <v>0.01</v>
      </c>
      <c r="R126" s="391">
        <v>1</v>
      </c>
      <c r="S126" s="440">
        <f t="shared" si="20"/>
        <v>1</v>
      </c>
      <c r="T126" s="409">
        <f t="shared" si="21"/>
        <v>1</v>
      </c>
      <c r="U126" s="409">
        <f t="shared" si="22"/>
        <v>1</v>
      </c>
      <c r="V126" s="409">
        <f t="shared" si="23"/>
        <v>1</v>
      </c>
      <c r="W126" s="265">
        <f t="shared" si="24"/>
        <v>1.26</v>
      </c>
      <c r="Y126" s="283">
        <f>IFERROR(IF(Instructions!$N$166=1,($AA126/1000)*$E126,($AA126/100)*$E126),0)</f>
        <v>0.48</v>
      </c>
      <c r="Z126" s="371"/>
      <c r="AA126" s="284">
        <f>IFERROR(VLOOKUP($C126,Instructions!$C$73:$K$157,9,FALSE),0)</f>
        <v>5</v>
      </c>
      <c r="AB126" s="190" t="str">
        <f t="shared" si="25"/>
        <v>5518 - Computational Room</v>
      </c>
    </row>
    <row r="127" spans="1:28" s="126" customFormat="1" ht="13.15" customHeight="1" x14ac:dyDescent="0.25">
      <c r="A127" s="136">
        <f t="shared" si="15"/>
        <v>0</v>
      </c>
      <c r="B127" s="235" t="s">
        <v>429</v>
      </c>
      <c r="C127" s="489" t="s">
        <v>74</v>
      </c>
      <c r="D127" s="490"/>
      <c r="E127" s="227">
        <v>190</v>
      </c>
      <c r="F127" s="228" t="s">
        <v>311</v>
      </c>
      <c r="G127" s="371">
        <v>3</v>
      </c>
      <c r="H127" s="229">
        <f>IFERROR(IF(Instructions!$N$166=1,VLOOKUP(C127,Instructions!$C$73:$K$157,5,FALSE),VLOOKUP(C127,Instructions!$C$73:$K$157,6,FALSE)),0)</f>
        <v>5</v>
      </c>
      <c r="I127" s="229">
        <f>IFERROR(IF(Instructions!$N$166=1,VLOOKUP(C127,Instructions!$C$73:$K$157,7,FALSE),VLOOKUP(C127,Instructions!$C$73:$K$157,8,FALSE)),0)</f>
        <v>0.06</v>
      </c>
      <c r="J127" s="406">
        <f t="shared" si="16"/>
        <v>15</v>
      </c>
      <c r="K127" s="406">
        <f t="shared" si="17"/>
        <v>11.4</v>
      </c>
      <c r="L127" s="407">
        <f t="shared" si="26"/>
        <v>26.4</v>
      </c>
      <c r="M127" s="413">
        <v>0.8</v>
      </c>
      <c r="N127" s="403">
        <f t="shared" si="18"/>
        <v>32.999999999999993</v>
      </c>
      <c r="O127" s="230">
        <v>125</v>
      </c>
      <c r="P127" s="231">
        <v>125</v>
      </c>
      <c r="Q127" s="382">
        <f t="shared" si="19"/>
        <v>0.26</v>
      </c>
      <c r="R127" s="391">
        <v>1</v>
      </c>
      <c r="S127" s="440">
        <f t="shared" si="20"/>
        <v>1</v>
      </c>
      <c r="T127" s="409">
        <f t="shared" si="21"/>
        <v>1</v>
      </c>
      <c r="U127" s="409">
        <f t="shared" si="22"/>
        <v>1</v>
      </c>
      <c r="V127" s="409">
        <f t="shared" si="23"/>
        <v>1</v>
      </c>
      <c r="W127" s="265">
        <f t="shared" si="24"/>
        <v>1.01</v>
      </c>
      <c r="Y127" s="283">
        <f>IFERROR(IF(Instructions!$N$166=1,($AA127/1000)*$E127,($AA127/100)*$E127),0)</f>
        <v>0.95000000000000007</v>
      </c>
      <c r="Z127" s="371"/>
      <c r="AA127" s="284">
        <f>IFERROR(VLOOKUP($C127,Instructions!$C$73:$K$157,9,FALSE),0)</f>
        <v>5</v>
      </c>
      <c r="AB127" s="190" t="str">
        <f t="shared" si="25"/>
        <v>5520 - Faculty Post Doc RA</v>
      </c>
    </row>
    <row r="128" spans="1:28" s="126" customFormat="1" ht="13.15" customHeight="1" x14ac:dyDescent="0.25">
      <c r="A128" s="136">
        <f t="shared" si="15"/>
        <v>0</v>
      </c>
      <c r="B128" s="235" t="s">
        <v>430</v>
      </c>
      <c r="C128" s="489" t="s">
        <v>74</v>
      </c>
      <c r="D128" s="490"/>
      <c r="E128" s="227">
        <v>105</v>
      </c>
      <c r="F128" s="228" t="s">
        <v>311</v>
      </c>
      <c r="G128" s="371">
        <v>1</v>
      </c>
      <c r="H128" s="229">
        <f>IFERROR(IF(Instructions!$N$166=1,VLOOKUP(C128,Instructions!$C$73:$K$157,5,FALSE),VLOOKUP(C128,Instructions!$C$73:$K$157,6,FALSE)),0)</f>
        <v>5</v>
      </c>
      <c r="I128" s="229">
        <f>IFERROR(IF(Instructions!$N$166=1,VLOOKUP(C128,Instructions!$C$73:$K$157,7,FALSE),VLOOKUP(C128,Instructions!$C$73:$K$157,8,FALSE)),0)</f>
        <v>0.06</v>
      </c>
      <c r="J128" s="406">
        <f t="shared" si="16"/>
        <v>5</v>
      </c>
      <c r="K128" s="406">
        <f t="shared" si="17"/>
        <v>6.3</v>
      </c>
      <c r="L128" s="407">
        <f t="shared" si="26"/>
        <v>11.3</v>
      </c>
      <c r="M128" s="413">
        <v>0.8</v>
      </c>
      <c r="N128" s="403">
        <f t="shared" si="18"/>
        <v>14.125</v>
      </c>
      <c r="O128" s="230">
        <v>37</v>
      </c>
      <c r="P128" s="231">
        <v>37</v>
      </c>
      <c r="Q128" s="382">
        <f t="shared" si="19"/>
        <v>0.38</v>
      </c>
      <c r="R128" s="391">
        <v>1</v>
      </c>
      <c r="S128" s="440">
        <f t="shared" si="20"/>
        <v>1</v>
      </c>
      <c r="T128" s="409">
        <f t="shared" si="21"/>
        <v>1</v>
      </c>
      <c r="U128" s="409">
        <f t="shared" si="22"/>
        <v>1</v>
      </c>
      <c r="V128" s="409">
        <f t="shared" si="23"/>
        <v>1</v>
      </c>
      <c r="W128" s="265">
        <f t="shared" si="24"/>
        <v>0.89</v>
      </c>
      <c r="Y128" s="283">
        <f>IFERROR(IF(Instructions!$N$166=1,($AA128/1000)*$E128,($AA128/100)*$E128),0)</f>
        <v>0.52500000000000002</v>
      </c>
      <c r="Z128" s="371"/>
      <c r="AA128" s="284">
        <f>IFERROR(VLOOKUP($C128,Instructions!$C$73:$K$157,9,FALSE),0)</f>
        <v>5</v>
      </c>
      <c r="AB128" s="190" t="str">
        <f t="shared" si="25"/>
        <v>5522 - General Office</v>
      </c>
    </row>
    <row r="129" spans="1:28" s="126" customFormat="1" ht="13.15" customHeight="1" x14ac:dyDescent="0.25">
      <c r="A129" s="136">
        <f t="shared" si="15"/>
        <v>0</v>
      </c>
      <c r="B129" s="235" t="s">
        <v>431</v>
      </c>
      <c r="C129" s="489" t="s">
        <v>74</v>
      </c>
      <c r="D129" s="490"/>
      <c r="E129" s="227">
        <v>180</v>
      </c>
      <c r="F129" s="228" t="s">
        <v>311</v>
      </c>
      <c r="G129" s="371">
        <v>3</v>
      </c>
      <c r="H129" s="229">
        <f>IFERROR(IF(Instructions!$N$166=1,VLOOKUP(C129,Instructions!$C$73:$K$157,5,FALSE),VLOOKUP(C129,Instructions!$C$73:$K$157,6,FALSE)),0)</f>
        <v>5</v>
      </c>
      <c r="I129" s="229">
        <f>IFERROR(IF(Instructions!$N$166=1,VLOOKUP(C129,Instructions!$C$73:$K$157,7,FALSE),VLOOKUP(C129,Instructions!$C$73:$K$157,8,FALSE)),0)</f>
        <v>0.06</v>
      </c>
      <c r="J129" s="406">
        <f t="shared" si="16"/>
        <v>15</v>
      </c>
      <c r="K129" s="406">
        <f t="shared" si="17"/>
        <v>10.8</v>
      </c>
      <c r="L129" s="407">
        <f t="shared" si="26"/>
        <v>25.8</v>
      </c>
      <c r="M129" s="413">
        <v>0.8</v>
      </c>
      <c r="N129" s="403">
        <f t="shared" si="18"/>
        <v>32.25</v>
      </c>
      <c r="O129" s="230">
        <v>124</v>
      </c>
      <c r="P129" s="231">
        <v>124</v>
      </c>
      <c r="Q129" s="382">
        <f t="shared" si="19"/>
        <v>0.26</v>
      </c>
      <c r="R129" s="391">
        <v>1</v>
      </c>
      <c r="S129" s="440">
        <f t="shared" si="20"/>
        <v>1</v>
      </c>
      <c r="T129" s="409">
        <f t="shared" si="21"/>
        <v>1</v>
      </c>
      <c r="U129" s="409">
        <f t="shared" si="22"/>
        <v>1</v>
      </c>
      <c r="V129" s="409">
        <f t="shared" si="23"/>
        <v>1</v>
      </c>
      <c r="W129" s="265">
        <f t="shared" si="24"/>
        <v>1.01</v>
      </c>
      <c r="Y129" s="283">
        <f>IFERROR(IF(Instructions!$N$166=1,($AA129/1000)*$E129,($AA129/100)*$E129),0)</f>
        <v>0.9</v>
      </c>
      <c r="Z129" s="371"/>
      <c r="AA129" s="284">
        <f>IFERROR(VLOOKUP($C129,Instructions!$C$73:$K$157,9,FALSE),0)</f>
        <v>5</v>
      </c>
      <c r="AB129" s="190" t="str">
        <f t="shared" si="25"/>
        <v>5524 - Faculty Post Doc RA</v>
      </c>
    </row>
    <row r="130" spans="1:28" s="126" customFormat="1" ht="13.15" customHeight="1" x14ac:dyDescent="0.25">
      <c r="A130" s="136">
        <f t="shared" si="15"/>
        <v>0</v>
      </c>
      <c r="B130" s="235" t="s">
        <v>432</v>
      </c>
      <c r="C130" s="489" t="s">
        <v>74</v>
      </c>
      <c r="D130" s="490"/>
      <c r="E130" s="227">
        <v>168</v>
      </c>
      <c r="F130" s="228" t="s">
        <v>311</v>
      </c>
      <c r="G130" s="371">
        <v>6</v>
      </c>
      <c r="H130" s="229">
        <f>IFERROR(IF(Instructions!$N$166=1,VLOOKUP(C130,Instructions!$C$73:$K$157,5,FALSE),VLOOKUP(C130,Instructions!$C$73:$K$157,6,FALSE)),0)</f>
        <v>5</v>
      </c>
      <c r="I130" s="229">
        <f>IFERROR(IF(Instructions!$N$166=1,VLOOKUP(C130,Instructions!$C$73:$K$157,7,FALSE),VLOOKUP(C130,Instructions!$C$73:$K$157,8,FALSE)),0)</f>
        <v>0.06</v>
      </c>
      <c r="J130" s="406">
        <f t="shared" si="16"/>
        <v>30</v>
      </c>
      <c r="K130" s="406">
        <f t="shared" si="17"/>
        <v>10.08</v>
      </c>
      <c r="L130" s="407">
        <f t="shared" si="26"/>
        <v>40.08</v>
      </c>
      <c r="M130" s="413">
        <v>0.8</v>
      </c>
      <c r="N130" s="403">
        <f t="shared" si="18"/>
        <v>50.099999999999994</v>
      </c>
      <c r="O130" s="230">
        <v>130</v>
      </c>
      <c r="P130" s="231">
        <v>130</v>
      </c>
      <c r="Q130" s="382">
        <f t="shared" si="19"/>
        <v>0.39</v>
      </c>
      <c r="R130" s="391">
        <v>1</v>
      </c>
      <c r="S130" s="440">
        <f t="shared" si="20"/>
        <v>1</v>
      </c>
      <c r="T130" s="409">
        <f t="shared" si="21"/>
        <v>1</v>
      </c>
      <c r="U130" s="409">
        <f t="shared" si="22"/>
        <v>1</v>
      </c>
      <c r="V130" s="409">
        <f t="shared" si="23"/>
        <v>1</v>
      </c>
      <c r="W130" s="265">
        <f t="shared" si="24"/>
        <v>0.88</v>
      </c>
      <c r="Y130" s="283">
        <f>IFERROR(IF(Instructions!$N$166=1,($AA130/1000)*$E130,($AA130/100)*$E130),0)</f>
        <v>0.84</v>
      </c>
      <c r="Z130" s="371"/>
      <c r="AA130" s="284">
        <f>IFERROR(VLOOKUP($C130,Instructions!$C$73:$K$157,9,FALSE),0)</f>
        <v>5</v>
      </c>
      <c r="AB130" s="190" t="str">
        <f t="shared" si="25"/>
        <v>5526 - Work Break Room</v>
      </c>
    </row>
    <row r="131" spans="1:28" s="126" customFormat="1" ht="13.15" customHeight="1" x14ac:dyDescent="0.25">
      <c r="A131" s="136">
        <f t="shared" si="15"/>
        <v>0</v>
      </c>
      <c r="B131" s="235" t="s">
        <v>433</v>
      </c>
      <c r="C131" s="489" t="s">
        <v>74</v>
      </c>
      <c r="D131" s="490"/>
      <c r="E131" s="227">
        <v>182</v>
      </c>
      <c r="F131" s="228" t="s">
        <v>311</v>
      </c>
      <c r="G131" s="371">
        <v>3</v>
      </c>
      <c r="H131" s="229">
        <f>IFERROR(IF(Instructions!$N$166=1,VLOOKUP(C131,Instructions!$C$73:$K$157,5,FALSE),VLOOKUP(C131,Instructions!$C$73:$K$157,6,FALSE)),0)</f>
        <v>5</v>
      </c>
      <c r="I131" s="229">
        <f>IFERROR(IF(Instructions!$N$166=1,VLOOKUP(C131,Instructions!$C$73:$K$157,7,FALSE),VLOOKUP(C131,Instructions!$C$73:$K$157,8,FALSE)),0)</f>
        <v>0.06</v>
      </c>
      <c r="J131" s="406">
        <f t="shared" si="16"/>
        <v>15</v>
      </c>
      <c r="K131" s="406">
        <f t="shared" si="17"/>
        <v>10.92</v>
      </c>
      <c r="L131" s="407">
        <f t="shared" si="26"/>
        <v>25.92</v>
      </c>
      <c r="M131" s="413">
        <v>0.8</v>
      </c>
      <c r="N131" s="403">
        <f t="shared" si="18"/>
        <v>32.4</v>
      </c>
      <c r="O131" s="230">
        <v>124</v>
      </c>
      <c r="P131" s="231">
        <v>124</v>
      </c>
      <c r="Q131" s="382">
        <f t="shared" si="19"/>
        <v>0.26</v>
      </c>
      <c r="R131" s="391">
        <v>1</v>
      </c>
      <c r="S131" s="440">
        <f t="shared" si="20"/>
        <v>1</v>
      </c>
      <c r="T131" s="409">
        <f t="shared" si="21"/>
        <v>1</v>
      </c>
      <c r="U131" s="409">
        <f t="shared" si="22"/>
        <v>1</v>
      </c>
      <c r="V131" s="409">
        <f t="shared" si="23"/>
        <v>1</v>
      </c>
      <c r="W131" s="265">
        <f t="shared" si="24"/>
        <v>1.01</v>
      </c>
      <c r="Y131" s="283">
        <f>IFERROR(IF(Instructions!$N$166=1,($AA131/1000)*$E131,($AA131/100)*$E131),0)</f>
        <v>0.91</v>
      </c>
      <c r="Z131" s="371"/>
      <c r="AA131" s="284">
        <f>IFERROR(VLOOKUP($C131,Instructions!$C$73:$K$157,9,FALSE),0)</f>
        <v>5</v>
      </c>
      <c r="AB131" s="190" t="str">
        <f t="shared" si="25"/>
        <v>5528 - Faculty Post Doc RA</v>
      </c>
    </row>
    <row r="132" spans="1:28" s="126" customFormat="1" ht="13.15" customHeight="1" x14ac:dyDescent="0.25">
      <c r="A132" s="136">
        <f t="shared" si="15"/>
        <v>0</v>
      </c>
      <c r="B132" s="235" t="s">
        <v>434</v>
      </c>
      <c r="C132" s="489" t="s">
        <v>74</v>
      </c>
      <c r="D132" s="490"/>
      <c r="E132" s="227">
        <v>181</v>
      </c>
      <c r="F132" s="228" t="s">
        <v>311</v>
      </c>
      <c r="G132" s="371">
        <v>3</v>
      </c>
      <c r="H132" s="229">
        <f>IFERROR(IF(Instructions!$N$166=1,VLOOKUP(C132,Instructions!$C$73:$K$157,5,FALSE),VLOOKUP(C132,Instructions!$C$73:$K$157,6,FALSE)),0)</f>
        <v>5</v>
      </c>
      <c r="I132" s="229">
        <f>IFERROR(IF(Instructions!$N$166=1,VLOOKUP(C132,Instructions!$C$73:$K$157,7,FALSE),VLOOKUP(C132,Instructions!$C$73:$K$157,8,FALSE)),0)</f>
        <v>0.06</v>
      </c>
      <c r="J132" s="406">
        <f t="shared" si="16"/>
        <v>15</v>
      </c>
      <c r="K132" s="406">
        <f t="shared" si="17"/>
        <v>10.86</v>
      </c>
      <c r="L132" s="407">
        <f t="shared" si="26"/>
        <v>25.86</v>
      </c>
      <c r="M132" s="413">
        <v>0.8</v>
      </c>
      <c r="N132" s="403">
        <f t="shared" si="18"/>
        <v>32.324999999999996</v>
      </c>
      <c r="O132" s="230">
        <v>124</v>
      </c>
      <c r="P132" s="231">
        <v>124</v>
      </c>
      <c r="Q132" s="382">
        <f t="shared" si="19"/>
        <v>0.26</v>
      </c>
      <c r="R132" s="391">
        <v>1</v>
      </c>
      <c r="S132" s="440">
        <f t="shared" si="20"/>
        <v>1</v>
      </c>
      <c r="T132" s="409">
        <f t="shared" si="21"/>
        <v>1</v>
      </c>
      <c r="U132" s="409">
        <f t="shared" si="22"/>
        <v>1</v>
      </c>
      <c r="V132" s="409">
        <f t="shared" si="23"/>
        <v>1</v>
      </c>
      <c r="W132" s="265">
        <f t="shared" si="24"/>
        <v>1.01</v>
      </c>
      <c r="Y132" s="283">
        <f>IFERROR(IF(Instructions!$N$166=1,($AA132/1000)*$E132,($AA132/100)*$E132),0)</f>
        <v>0.90500000000000003</v>
      </c>
      <c r="Z132" s="371"/>
      <c r="AA132" s="284">
        <f>IFERROR(VLOOKUP($C132,Instructions!$C$73:$K$157,9,FALSE),0)</f>
        <v>5</v>
      </c>
      <c r="AB132" s="190" t="str">
        <f t="shared" si="25"/>
        <v>5530 - Faculty Post Doc RA</v>
      </c>
    </row>
    <row r="133" spans="1:28" s="126" customFormat="1" ht="13.15" customHeight="1" x14ac:dyDescent="0.25">
      <c r="A133" s="136">
        <f t="shared" si="15"/>
        <v>0</v>
      </c>
      <c r="B133" s="235" t="s">
        <v>435</v>
      </c>
      <c r="C133" s="489" t="s">
        <v>74</v>
      </c>
      <c r="D133" s="490"/>
      <c r="E133" s="227">
        <v>189</v>
      </c>
      <c r="F133" s="228" t="s">
        <v>311</v>
      </c>
      <c r="G133" s="371">
        <v>3</v>
      </c>
      <c r="H133" s="229">
        <f>IFERROR(IF(Instructions!$N$166=1,VLOOKUP(C133,Instructions!$C$73:$K$157,5,FALSE),VLOOKUP(C133,Instructions!$C$73:$K$157,6,FALSE)),0)</f>
        <v>5</v>
      </c>
      <c r="I133" s="229">
        <f>IFERROR(IF(Instructions!$N$166=1,VLOOKUP(C133,Instructions!$C$73:$K$157,7,FALSE),VLOOKUP(C133,Instructions!$C$73:$K$157,8,FALSE)),0)</f>
        <v>0.06</v>
      </c>
      <c r="J133" s="406">
        <f t="shared" si="16"/>
        <v>15</v>
      </c>
      <c r="K133" s="406">
        <f t="shared" si="17"/>
        <v>11.34</v>
      </c>
      <c r="L133" s="407">
        <f t="shared" si="26"/>
        <v>26.34</v>
      </c>
      <c r="M133" s="413">
        <v>0.8</v>
      </c>
      <c r="N133" s="403">
        <f t="shared" si="18"/>
        <v>32.924999999999997</v>
      </c>
      <c r="O133" s="230">
        <v>143</v>
      </c>
      <c r="P133" s="231">
        <v>143</v>
      </c>
      <c r="Q133" s="382">
        <f t="shared" si="19"/>
        <v>0.23</v>
      </c>
      <c r="R133" s="391">
        <v>1</v>
      </c>
      <c r="S133" s="440">
        <f t="shared" si="20"/>
        <v>1</v>
      </c>
      <c r="T133" s="409">
        <f t="shared" si="21"/>
        <v>1</v>
      </c>
      <c r="U133" s="409">
        <f t="shared" si="22"/>
        <v>1</v>
      </c>
      <c r="V133" s="409">
        <f t="shared" si="23"/>
        <v>1</v>
      </c>
      <c r="W133" s="265">
        <f t="shared" si="24"/>
        <v>1.04</v>
      </c>
      <c r="Y133" s="283">
        <f>IFERROR(IF(Instructions!$N$166=1,($AA133/1000)*$E133,($AA133/100)*$E133),0)</f>
        <v>0.94500000000000006</v>
      </c>
      <c r="Z133" s="371"/>
      <c r="AA133" s="284">
        <f>IFERROR(VLOOKUP($C133,Instructions!$C$73:$K$157,9,FALSE),0)</f>
        <v>5</v>
      </c>
      <c r="AB133" s="190" t="str">
        <f t="shared" si="25"/>
        <v>5532 - Faculty Post Doc RA</v>
      </c>
    </row>
    <row r="134" spans="1:28" s="126" customFormat="1" ht="13.15" customHeight="1" x14ac:dyDescent="0.25">
      <c r="A134" s="136">
        <f t="shared" si="15"/>
        <v>0</v>
      </c>
      <c r="B134" s="235" t="s">
        <v>436</v>
      </c>
      <c r="C134" s="489" t="s">
        <v>74</v>
      </c>
      <c r="D134" s="490"/>
      <c r="E134" s="227">
        <v>124</v>
      </c>
      <c r="F134" s="228" t="s">
        <v>311</v>
      </c>
      <c r="G134" s="371">
        <v>2</v>
      </c>
      <c r="H134" s="229">
        <f>IFERROR(IF(Instructions!$N$166=1,VLOOKUP(C134,Instructions!$C$73:$K$157,5,FALSE),VLOOKUP(C134,Instructions!$C$73:$K$157,6,FALSE)),0)</f>
        <v>5</v>
      </c>
      <c r="I134" s="229">
        <f>IFERROR(IF(Instructions!$N$166=1,VLOOKUP(C134,Instructions!$C$73:$K$157,7,FALSE),VLOOKUP(C134,Instructions!$C$73:$K$157,8,FALSE)),0)</f>
        <v>0.06</v>
      </c>
      <c r="J134" s="406">
        <f t="shared" si="16"/>
        <v>10</v>
      </c>
      <c r="K134" s="406">
        <f t="shared" si="17"/>
        <v>7.44</v>
      </c>
      <c r="L134" s="407">
        <f t="shared" si="26"/>
        <v>17.440000000000001</v>
      </c>
      <c r="M134" s="413">
        <v>0.8</v>
      </c>
      <c r="N134" s="403">
        <f t="shared" si="18"/>
        <v>21.8</v>
      </c>
      <c r="O134" s="230">
        <v>57</v>
      </c>
      <c r="P134" s="231">
        <v>57</v>
      </c>
      <c r="Q134" s="382">
        <f t="shared" si="19"/>
        <v>0.38</v>
      </c>
      <c r="R134" s="391">
        <v>1</v>
      </c>
      <c r="S134" s="440">
        <f t="shared" si="20"/>
        <v>1</v>
      </c>
      <c r="T134" s="409">
        <f t="shared" si="21"/>
        <v>1</v>
      </c>
      <c r="U134" s="409">
        <f t="shared" si="22"/>
        <v>1</v>
      </c>
      <c r="V134" s="409">
        <f t="shared" si="23"/>
        <v>1</v>
      </c>
      <c r="W134" s="265">
        <f t="shared" si="24"/>
        <v>0.89</v>
      </c>
      <c r="Y134" s="283">
        <f>IFERROR(IF(Instructions!$N$166=1,($AA134/1000)*$E134,($AA134/100)*$E134),0)</f>
        <v>0.62</v>
      </c>
      <c r="Z134" s="371"/>
      <c r="AA134" s="284">
        <f>IFERROR(VLOOKUP($C134,Instructions!$C$73:$K$157,9,FALSE),0)</f>
        <v>5</v>
      </c>
      <c r="AB134" s="190" t="str">
        <f t="shared" si="25"/>
        <v>5536 - General Office</v>
      </c>
    </row>
    <row r="135" spans="1:28" s="126" customFormat="1" ht="13.15" customHeight="1" x14ac:dyDescent="0.25">
      <c r="A135" s="136">
        <f t="shared" si="15"/>
        <v>0</v>
      </c>
      <c r="B135" s="235" t="s">
        <v>437</v>
      </c>
      <c r="C135" s="489" t="s">
        <v>74</v>
      </c>
      <c r="D135" s="490"/>
      <c r="E135" s="227">
        <v>105</v>
      </c>
      <c r="F135" s="228" t="s">
        <v>311</v>
      </c>
      <c r="G135" s="371">
        <v>2</v>
      </c>
      <c r="H135" s="229">
        <f>IFERROR(IF(Instructions!$N$166=1,VLOOKUP(C135,Instructions!$C$73:$K$157,5,FALSE),VLOOKUP(C135,Instructions!$C$73:$K$157,6,FALSE)),0)</f>
        <v>5</v>
      </c>
      <c r="I135" s="229">
        <f>IFERROR(IF(Instructions!$N$166=1,VLOOKUP(C135,Instructions!$C$73:$K$157,7,FALSE),VLOOKUP(C135,Instructions!$C$73:$K$157,8,FALSE)),0)</f>
        <v>0.06</v>
      </c>
      <c r="J135" s="406">
        <f t="shared" si="16"/>
        <v>10</v>
      </c>
      <c r="K135" s="406">
        <f t="shared" si="17"/>
        <v>6.3</v>
      </c>
      <c r="L135" s="407">
        <f t="shared" si="26"/>
        <v>16.3</v>
      </c>
      <c r="M135" s="413">
        <v>0.8</v>
      </c>
      <c r="N135" s="403">
        <f t="shared" si="18"/>
        <v>20.375</v>
      </c>
      <c r="O135" s="230">
        <v>53</v>
      </c>
      <c r="P135" s="231">
        <v>53</v>
      </c>
      <c r="Q135" s="382">
        <f t="shared" si="19"/>
        <v>0.38</v>
      </c>
      <c r="R135" s="391">
        <v>1</v>
      </c>
      <c r="S135" s="440">
        <f t="shared" si="20"/>
        <v>1</v>
      </c>
      <c r="T135" s="409">
        <f t="shared" si="21"/>
        <v>1</v>
      </c>
      <c r="U135" s="409">
        <f t="shared" si="22"/>
        <v>1</v>
      </c>
      <c r="V135" s="409">
        <f t="shared" si="23"/>
        <v>1</v>
      </c>
      <c r="W135" s="265">
        <f t="shared" si="24"/>
        <v>0.89</v>
      </c>
      <c r="Y135" s="283">
        <f>IFERROR(IF(Instructions!$N$166=1,($AA135/1000)*$E135,($AA135/100)*$E135),0)</f>
        <v>0.52500000000000002</v>
      </c>
      <c r="Z135" s="371"/>
      <c r="AA135" s="284">
        <f>IFERROR(VLOOKUP($C135,Instructions!$C$73:$K$157,9,FALSE),0)</f>
        <v>5</v>
      </c>
      <c r="AB135" s="190" t="str">
        <f t="shared" si="25"/>
        <v>5540 - General Office</v>
      </c>
    </row>
    <row r="136" spans="1:28" s="126" customFormat="1" ht="13.15" customHeight="1" x14ac:dyDescent="0.25">
      <c r="A136" s="136">
        <f t="shared" si="15"/>
        <v>0</v>
      </c>
      <c r="B136" s="235" t="s">
        <v>438</v>
      </c>
      <c r="C136" s="489" t="s">
        <v>74</v>
      </c>
      <c r="D136" s="490"/>
      <c r="E136" s="227">
        <v>49</v>
      </c>
      <c r="F136" s="228" t="s">
        <v>311</v>
      </c>
      <c r="G136" s="371">
        <v>1</v>
      </c>
      <c r="H136" s="229">
        <f>IFERROR(IF(Instructions!$N$166=1,VLOOKUP(C136,Instructions!$C$73:$K$157,5,FALSE),VLOOKUP(C136,Instructions!$C$73:$K$157,6,FALSE)),0)</f>
        <v>5</v>
      </c>
      <c r="I136" s="229">
        <f>IFERROR(IF(Instructions!$N$166=1,VLOOKUP(C136,Instructions!$C$73:$K$157,7,FALSE),VLOOKUP(C136,Instructions!$C$73:$K$157,8,FALSE)),0)</f>
        <v>0.06</v>
      </c>
      <c r="J136" s="406">
        <f t="shared" si="16"/>
        <v>5</v>
      </c>
      <c r="K136" s="406">
        <f t="shared" si="17"/>
        <v>2.94</v>
      </c>
      <c r="L136" s="407">
        <f t="shared" si="26"/>
        <v>7.94</v>
      </c>
      <c r="M136" s="413">
        <v>0.8</v>
      </c>
      <c r="N136" s="403">
        <f t="shared" si="18"/>
        <v>9.9250000000000007</v>
      </c>
      <c r="O136" s="230">
        <v>26</v>
      </c>
      <c r="P136" s="231">
        <v>26</v>
      </c>
      <c r="Q136" s="382">
        <f t="shared" si="19"/>
        <v>0.38</v>
      </c>
      <c r="R136" s="391">
        <v>1</v>
      </c>
      <c r="S136" s="440">
        <f t="shared" si="20"/>
        <v>1</v>
      </c>
      <c r="T136" s="409">
        <f t="shared" si="21"/>
        <v>1</v>
      </c>
      <c r="U136" s="409">
        <f t="shared" si="22"/>
        <v>1</v>
      </c>
      <c r="V136" s="409">
        <f t="shared" si="23"/>
        <v>1</v>
      </c>
      <c r="W136" s="265">
        <f t="shared" si="24"/>
        <v>0.89</v>
      </c>
      <c r="Y136" s="283">
        <f>IFERROR(IF(Instructions!$N$166=1,($AA136/1000)*$E136,($AA136/100)*$E136),0)</f>
        <v>0.245</v>
      </c>
      <c r="Z136" s="371"/>
      <c r="AA136" s="284">
        <f>IFERROR(VLOOKUP($C136,Instructions!$C$73:$K$157,9,FALSE),0)</f>
        <v>5</v>
      </c>
      <c r="AB136" s="190" t="str">
        <f t="shared" si="25"/>
        <v>5542 - Control</v>
      </c>
    </row>
    <row r="137" spans="1:28" s="126" customFormat="1" ht="13.15" customHeight="1" x14ac:dyDescent="0.25">
      <c r="A137" s="136">
        <f t="shared" si="15"/>
        <v>0</v>
      </c>
      <c r="B137" s="235" t="s">
        <v>439</v>
      </c>
      <c r="C137" s="489" t="s">
        <v>74</v>
      </c>
      <c r="D137" s="490"/>
      <c r="E137" s="227">
        <v>102</v>
      </c>
      <c r="F137" s="228" t="s">
        <v>311</v>
      </c>
      <c r="G137" s="371">
        <v>2</v>
      </c>
      <c r="H137" s="229">
        <f>IFERROR(IF(Instructions!$N$166=1,VLOOKUP(C137,Instructions!$C$73:$K$157,5,FALSE),VLOOKUP(C137,Instructions!$C$73:$K$157,6,FALSE)),0)</f>
        <v>5</v>
      </c>
      <c r="I137" s="229">
        <f>IFERROR(IF(Instructions!$N$166=1,VLOOKUP(C137,Instructions!$C$73:$K$157,7,FALSE),VLOOKUP(C137,Instructions!$C$73:$K$157,8,FALSE)),0)</f>
        <v>0.06</v>
      </c>
      <c r="J137" s="406">
        <f t="shared" si="16"/>
        <v>10</v>
      </c>
      <c r="K137" s="406">
        <f t="shared" si="17"/>
        <v>6.12</v>
      </c>
      <c r="L137" s="407">
        <f t="shared" si="26"/>
        <v>16.12</v>
      </c>
      <c r="M137" s="413">
        <v>0.8</v>
      </c>
      <c r="N137" s="403">
        <f t="shared" si="18"/>
        <v>20.149999999999999</v>
      </c>
      <c r="O137" s="230">
        <v>52</v>
      </c>
      <c r="P137" s="231">
        <v>52</v>
      </c>
      <c r="Q137" s="382">
        <f t="shared" si="19"/>
        <v>0.39</v>
      </c>
      <c r="R137" s="391">
        <v>1</v>
      </c>
      <c r="S137" s="440">
        <f t="shared" si="20"/>
        <v>1</v>
      </c>
      <c r="T137" s="409">
        <f t="shared" si="21"/>
        <v>1</v>
      </c>
      <c r="U137" s="409">
        <f t="shared" si="22"/>
        <v>1</v>
      </c>
      <c r="V137" s="409">
        <f t="shared" si="23"/>
        <v>1</v>
      </c>
      <c r="W137" s="265">
        <f t="shared" si="24"/>
        <v>0.88</v>
      </c>
      <c r="Y137" s="283">
        <f>IFERROR(IF(Instructions!$N$166=1,($AA137/1000)*$E137,($AA137/100)*$E137),0)</f>
        <v>0.51</v>
      </c>
      <c r="Z137" s="371"/>
      <c r="AA137" s="284">
        <f>IFERROR(VLOOKUP($C137,Instructions!$C$73:$K$157,9,FALSE),0)</f>
        <v>5</v>
      </c>
      <c r="AB137" s="190" t="str">
        <f t="shared" si="25"/>
        <v>5542C - General Office</v>
      </c>
    </row>
    <row r="138" spans="1:28" s="126" customFormat="1" ht="13.15" customHeight="1" x14ac:dyDescent="0.25">
      <c r="A138" s="136">
        <f t="shared" si="15"/>
        <v>0</v>
      </c>
      <c r="B138" s="235" t="s">
        <v>440</v>
      </c>
      <c r="C138" s="489" t="s">
        <v>74</v>
      </c>
      <c r="D138" s="490"/>
      <c r="E138" s="227">
        <v>104</v>
      </c>
      <c r="F138" s="228" t="s">
        <v>311</v>
      </c>
      <c r="G138" s="371">
        <v>2</v>
      </c>
      <c r="H138" s="229">
        <f>IFERROR(IF(Instructions!$N$166=1,VLOOKUP(C138,Instructions!$C$73:$K$157,5,FALSE),VLOOKUP(C138,Instructions!$C$73:$K$157,6,FALSE)),0)</f>
        <v>5</v>
      </c>
      <c r="I138" s="229">
        <f>IFERROR(IF(Instructions!$N$166=1,VLOOKUP(C138,Instructions!$C$73:$K$157,7,FALSE),VLOOKUP(C138,Instructions!$C$73:$K$157,8,FALSE)),0)</f>
        <v>0.06</v>
      </c>
      <c r="J138" s="406">
        <f t="shared" si="16"/>
        <v>10</v>
      </c>
      <c r="K138" s="406">
        <f t="shared" si="17"/>
        <v>6.24</v>
      </c>
      <c r="L138" s="407">
        <f t="shared" si="26"/>
        <v>16.239999999999998</v>
      </c>
      <c r="M138" s="413">
        <v>0.8</v>
      </c>
      <c r="N138" s="403">
        <f t="shared" si="18"/>
        <v>20.299999999999997</v>
      </c>
      <c r="O138" s="230">
        <v>53</v>
      </c>
      <c r="P138" s="231">
        <v>53</v>
      </c>
      <c r="Q138" s="382">
        <f t="shared" si="19"/>
        <v>0.38</v>
      </c>
      <c r="R138" s="391">
        <v>1</v>
      </c>
      <c r="S138" s="440">
        <f t="shared" si="20"/>
        <v>1</v>
      </c>
      <c r="T138" s="409">
        <f t="shared" si="21"/>
        <v>1</v>
      </c>
      <c r="U138" s="409">
        <f t="shared" si="22"/>
        <v>1</v>
      </c>
      <c r="V138" s="409">
        <f t="shared" si="23"/>
        <v>1</v>
      </c>
      <c r="W138" s="265">
        <f t="shared" si="24"/>
        <v>0.89</v>
      </c>
      <c r="Y138" s="283">
        <f>IFERROR(IF(Instructions!$N$166=1,($AA138/1000)*$E138,($AA138/100)*$E138),0)</f>
        <v>0.52</v>
      </c>
      <c r="Z138" s="371"/>
      <c r="AA138" s="284">
        <f>IFERROR(VLOOKUP($C138,Instructions!$C$73:$K$157,9,FALSE),0)</f>
        <v>5</v>
      </c>
      <c r="AB138" s="190" t="str">
        <f t="shared" si="25"/>
        <v>5542D - General Office</v>
      </c>
    </row>
    <row r="139" spans="1:28" s="126" customFormat="1" ht="13.15" customHeight="1" x14ac:dyDescent="0.25">
      <c r="A139" s="136">
        <f t="shared" si="15"/>
        <v>0</v>
      </c>
      <c r="B139" s="235" t="s">
        <v>441</v>
      </c>
      <c r="C139" s="489" t="s">
        <v>74</v>
      </c>
      <c r="D139" s="490"/>
      <c r="E139" s="227">
        <v>104</v>
      </c>
      <c r="F139" s="228" t="s">
        <v>311</v>
      </c>
      <c r="G139" s="371">
        <v>2</v>
      </c>
      <c r="H139" s="229">
        <f>IFERROR(IF(Instructions!$N$166=1,VLOOKUP(C139,Instructions!$C$73:$K$157,5,FALSE),VLOOKUP(C139,Instructions!$C$73:$K$157,6,FALSE)),0)</f>
        <v>5</v>
      </c>
      <c r="I139" s="229">
        <f>IFERROR(IF(Instructions!$N$166=1,VLOOKUP(C139,Instructions!$C$73:$K$157,7,FALSE),VLOOKUP(C139,Instructions!$C$73:$K$157,8,FALSE)),0)</f>
        <v>0.06</v>
      </c>
      <c r="J139" s="406">
        <f t="shared" si="16"/>
        <v>10</v>
      </c>
      <c r="K139" s="406">
        <f t="shared" si="17"/>
        <v>6.24</v>
      </c>
      <c r="L139" s="407">
        <f t="shared" si="26"/>
        <v>16.239999999999998</v>
      </c>
      <c r="M139" s="413">
        <v>0.8</v>
      </c>
      <c r="N139" s="403">
        <f t="shared" si="18"/>
        <v>20.299999999999997</v>
      </c>
      <c r="O139" s="230">
        <v>53</v>
      </c>
      <c r="P139" s="231">
        <v>53</v>
      </c>
      <c r="Q139" s="382">
        <f t="shared" si="19"/>
        <v>0.38</v>
      </c>
      <c r="R139" s="391">
        <v>1</v>
      </c>
      <c r="S139" s="440">
        <f t="shared" si="20"/>
        <v>1</v>
      </c>
      <c r="T139" s="409">
        <f t="shared" si="21"/>
        <v>1</v>
      </c>
      <c r="U139" s="409">
        <f t="shared" si="22"/>
        <v>1</v>
      </c>
      <c r="V139" s="409">
        <f t="shared" si="23"/>
        <v>1</v>
      </c>
      <c r="W139" s="265">
        <f t="shared" si="24"/>
        <v>0.89</v>
      </c>
      <c r="Y139" s="283">
        <f>IFERROR(IF(Instructions!$N$166=1,($AA139/1000)*$E139,($AA139/100)*$E139),0)</f>
        <v>0.52</v>
      </c>
      <c r="Z139" s="371"/>
      <c r="AA139" s="284">
        <f>IFERROR(VLOOKUP($C139,Instructions!$C$73:$K$157,9,FALSE),0)</f>
        <v>5</v>
      </c>
      <c r="AB139" s="190" t="str">
        <f t="shared" si="25"/>
        <v>5542E - General Office</v>
      </c>
    </row>
    <row r="140" spans="1:28" s="126" customFormat="1" ht="13.15" customHeight="1" x14ac:dyDescent="0.25">
      <c r="A140" s="136">
        <f t="shared" si="15"/>
        <v>0</v>
      </c>
      <c r="B140" s="235" t="s">
        <v>442</v>
      </c>
      <c r="C140" s="489" t="s">
        <v>74</v>
      </c>
      <c r="D140" s="490"/>
      <c r="E140" s="227">
        <v>186</v>
      </c>
      <c r="F140" s="228" t="s">
        <v>311</v>
      </c>
      <c r="G140" s="371">
        <v>3</v>
      </c>
      <c r="H140" s="229">
        <f>IFERROR(IF(Instructions!$N$166=1,VLOOKUP(C140,Instructions!$C$73:$K$157,5,FALSE),VLOOKUP(C140,Instructions!$C$73:$K$157,6,FALSE)),0)</f>
        <v>5</v>
      </c>
      <c r="I140" s="229">
        <f>IFERROR(IF(Instructions!$N$166=1,VLOOKUP(C140,Instructions!$C$73:$K$157,7,FALSE),VLOOKUP(C140,Instructions!$C$73:$K$157,8,FALSE)),0)</f>
        <v>0.06</v>
      </c>
      <c r="J140" s="406">
        <f t="shared" si="16"/>
        <v>15</v>
      </c>
      <c r="K140" s="406">
        <f t="shared" si="17"/>
        <v>11.16</v>
      </c>
      <c r="L140" s="407">
        <f t="shared" si="26"/>
        <v>26.16</v>
      </c>
      <c r="M140" s="413">
        <v>0.8</v>
      </c>
      <c r="N140" s="403">
        <f t="shared" si="18"/>
        <v>32.699999999999996</v>
      </c>
      <c r="O140" s="230">
        <v>123</v>
      </c>
      <c r="P140" s="231">
        <v>123</v>
      </c>
      <c r="Q140" s="382">
        <f t="shared" si="19"/>
        <v>0.27</v>
      </c>
      <c r="R140" s="391">
        <v>1</v>
      </c>
      <c r="S140" s="440">
        <f t="shared" si="20"/>
        <v>1</v>
      </c>
      <c r="T140" s="409">
        <f t="shared" si="21"/>
        <v>1</v>
      </c>
      <c r="U140" s="409">
        <f t="shared" si="22"/>
        <v>1</v>
      </c>
      <c r="V140" s="409">
        <f t="shared" si="23"/>
        <v>1</v>
      </c>
      <c r="W140" s="265">
        <f t="shared" si="24"/>
        <v>1</v>
      </c>
      <c r="Y140" s="283">
        <f>IFERROR(IF(Instructions!$N$166=1,($AA140/1000)*$E140,($AA140/100)*$E140),0)</f>
        <v>0.93</v>
      </c>
      <c r="Z140" s="371"/>
      <c r="AA140" s="284">
        <f>IFERROR(VLOOKUP($C140,Instructions!$C$73:$K$157,9,FALSE),0)</f>
        <v>5</v>
      </c>
      <c r="AB140" s="190" t="str">
        <f t="shared" si="25"/>
        <v>5544 - Faculty Office</v>
      </c>
    </row>
    <row r="141" spans="1:28" s="126" customFormat="1" ht="13.15" customHeight="1" x14ac:dyDescent="0.25">
      <c r="A141" s="136">
        <f t="shared" si="15"/>
        <v>0</v>
      </c>
      <c r="B141" s="235" t="s">
        <v>443</v>
      </c>
      <c r="C141" s="489" t="s">
        <v>74</v>
      </c>
      <c r="D141" s="490"/>
      <c r="E141" s="227">
        <v>115</v>
      </c>
      <c r="F141" s="228" t="s">
        <v>311</v>
      </c>
      <c r="G141" s="371">
        <v>2</v>
      </c>
      <c r="H141" s="229">
        <f>IFERROR(IF(Instructions!$N$166=1,VLOOKUP(C141,Instructions!$C$73:$K$157,5,FALSE),VLOOKUP(C141,Instructions!$C$73:$K$157,6,FALSE)),0)</f>
        <v>5</v>
      </c>
      <c r="I141" s="229">
        <f>IFERROR(IF(Instructions!$N$166=1,VLOOKUP(C141,Instructions!$C$73:$K$157,7,FALSE),VLOOKUP(C141,Instructions!$C$73:$K$157,8,FALSE)),0)</f>
        <v>0.06</v>
      </c>
      <c r="J141" s="406">
        <f t="shared" si="16"/>
        <v>10</v>
      </c>
      <c r="K141" s="406">
        <f t="shared" si="17"/>
        <v>6.9</v>
      </c>
      <c r="L141" s="407">
        <f t="shared" si="26"/>
        <v>16.899999999999999</v>
      </c>
      <c r="M141" s="413">
        <v>0.8</v>
      </c>
      <c r="N141" s="403">
        <f t="shared" si="18"/>
        <v>21.124999999999996</v>
      </c>
      <c r="O141" s="230">
        <v>55</v>
      </c>
      <c r="P141" s="231">
        <v>55</v>
      </c>
      <c r="Q141" s="382">
        <f t="shared" si="19"/>
        <v>0.38</v>
      </c>
      <c r="R141" s="391">
        <v>1</v>
      </c>
      <c r="S141" s="440">
        <f t="shared" si="20"/>
        <v>1</v>
      </c>
      <c r="T141" s="409">
        <f t="shared" si="21"/>
        <v>1</v>
      </c>
      <c r="U141" s="409">
        <f t="shared" si="22"/>
        <v>1</v>
      </c>
      <c r="V141" s="409">
        <f t="shared" si="23"/>
        <v>1</v>
      </c>
      <c r="W141" s="265">
        <f t="shared" si="24"/>
        <v>0.89</v>
      </c>
      <c r="Y141" s="283">
        <f>IFERROR(IF(Instructions!$N$166=1,($AA141/1000)*$E141,($AA141/100)*$E141),0)</f>
        <v>0.57500000000000007</v>
      </c>
      <c r="Z141" s="371"/>
      <c r="AA141" s="284">
        <f>IFERROR(VLOOKUP($C141,Instructions!$C$73:$K$157,9,FALSE),0)</f>
        <v>5</v>
      </c>
      <c r="AB141" s="190" t="str">
        <f t="shared" si="25"/>
        <v>5544D - General Office</v>
      </c>
    </row>
    <row r="142" spans="1:28" s="126" customFormat="1" ht="13.15" customHeight="1" x14ac:dyDescent="0.25">
      <c r="A142" s="136">
        <f t="shared" si="15"/>
        <v>0</v>
      </c>
      <c r="B142" s="235" t="s">
        <v>444</v>
      </c>
      <c r="C142" s="489" t="s">
        <v>74</v>
      </c>
      <c r="D142" s="490"/>
      <c r="E142" s="227">
        <v>185</v>
      </c>
      <c r="F142" s="228" t="s">
        <v>311</v>
      </c>
      <c r="G142" s="371">
        <v>3</v>
      </c>
      <c r="H142" s="229">
        <f>IFERROR(IF(Instructions!$N$166=1,VLOOKUP(C142,Instructions!$C$73:$K$157,5,FALSE),VLOOKUP(C142,Instructions!$C$73:$K$157,6,FALSE)),0)</f>
        <v>5</v>
      </c>
      <c r="I142" s="229">
        <f>IFERROR(IF(Instructions!$N$166=1,VLOOKUP(C142,Instructions!$C$73:$K$157,7,FALSE),VLOOKUP(C142,Instructions!$C$73:$K$157,8,FALSE)),0)</f>
        <v>0.06</v>
      </c>
      <c r="J142" s="406">
        <f t="shared" si="16"/>
        <v>15</v>
      </c>
      <c r="K142" s="406">
        <f t="shared" si="17"/>
        <v>11.1</v>
      </c>
      <c r="L142" s="407">
        <f t="shared" ref="L142:L163" si="27">TRUNC(IFERROR(IF(credit=2,SUM(J142:K142),SUM(J142:K142)*1.3),0),2)</f>
        <v>26.1</v>
      </c>
      <c r="M142" s="413">
        <v>0.8</v>
      </c>
      <c r="N142" s="403">
        <f t="shared" si="18"/>
        <v>32.625</v>
      </c>
      <c r="O142" s="230">
        <v>109</v>
      </c>
      <c r="P142" s="231">
        <v>109</v>
      </c>
      <c r="Q142" s="382">
        <f t="shared" si="19"/>
        <v>0.3</v>
      </c>
      <c r="R142" s="391">
        <v>1</v>
      </c>
      <c r="S142" s="440">
        <f t="shared" si="20"/>
        <v>1</v>
      </c>
      <c r="T142" s="409">
        <f t="shared" si="21"/>
        <v>1</v>
      </c>
      <c r="U142" s="409">
        <f t="shared" si="22"/>
        <v>1</v>
      </c>
      <c r="V142" s="409">
        <f t="shared" si="23"/>
        <v>1</v>
      </c>
      <c r="W142" s="265">
        <f t="shared" si="24"/>
        <v>0.97</v>
      </c>
      <c r="Y142" s="283">
        <f>IFERROR(IF(Instructions!$N$166=1,($AA142/1000)*$E142,($AA142/100)*$E142),0)</f>
        <v>0.92500000000000004</v>
      </c>
      <c r="Z142" s="371"/>
      <c r="AA142" s="284">
        <f>IFERROR(VLOOKUP($C142,Instructions!$C$73:$K$157,9,FALSE),0)</f>
        <v>5</v>
      </c>
      <c r="AB142" s="190" t="str">
        <f t="shared" si="25"/>
        <v>5546 - Faculty Office</v>
      </c>
    </row>
    <row r="143" spans="1:28" s="126" customFormat="1" ht="13.15" customHeight="1" x14ac:dyDescent="0.25">
      <c r="A143" s="136">
        <f t="shared" ref="A143:A161" si="28">IF(C143=0,0,0)</f>
        <v>0</v>
      </c>
      <c r="B143" s="235" t="s">
        <v>445</v>
      </c>
      <c r="C143" s="489" t="s">
        <v>67</v>
      </c>
      <c r="D143" s="490"/>
      <c r="E143" s="227">
        <v>468</v>
      </c>
      <c r="F143" s="228" t="s">
        <v>311</v>
      </c>
      <c r="G143" s="371">
        <v>14</v>
      </c>
      <c r="H143" s="229">
        <f>IFERROR(IF(Instructions!$N$166=1,VLOOKUP(C143,Instructions!$C$73:$K$157,5,FALSE),VLOOKUP(C143,Instructions!$C$73:$K$157,6,FALSE)),0)</f>
        <v>5</v>
      </c>
      <c r="I143" s="229">
        <f>IFERROR(IF(Instructions!$N$166=1,VLOOKUP(C143,Instructions!$C$73:$K$157,7,FALSE),VLOOKUP(C143,Instructions!$C$73:$K$157,8,FALSE)),0)</f>
        <v>0.06</v>
      </c>
      <c r="J143" s="406">
        <f t="shared" ref="J143:J161" si="29">TRUNC(IFERROR(H143*G143,0),2)</f>
        <v>70</v>
      </c>
      <c r="K143" s="406">
        <f t="shared" ref="K143:K161" si="30">TRUNC(IFERROR(I143*E143,0),2)</f>
        <v>28.08</v>
      </c>
      <c r="L143" s="407">
        <f t="shared" si="27"/>
        <v>98.08</v>
      </c>
      <c r="M143" s="413">
        <v>0.8</v>
      </c>
      <c r="N143" s="403">
        <f t="shared" ref="N143:N161" si="31">IFERROR(L143/M143,0)</f>
        <v>122.6</v>
      </c>
      <c r="O143" s="230">
        <v>319</v>
      </c>
      <c r="P143" s="231">
        <v>319</v>
      </c>
      <c r="Q143" s="382">
        <f t="shared" ref="Q143:Q161" si="32">IFERROR(ROUND(N143/P143,2),0)</f>
        <v>0.38</v>
      </c>
      <c r="R143" s="391">
        <v>1</v>
      </c>
      <c r="S143" s="440">
        <f t="shared" ref="S143:S161" si="33">IFERROR($P143/$O143,0)</f>
        <v>1</v>
      </c>
      <c r="T143" s="409">
        <f t="shared" ref="T143:T161" si="34">TRUNC(IFERROR(S143+(1-S143)*R143,0),2)</f>
        <v>1</v>
      </c>
      <c r="U143" s="409">
        <f t="shared" ref="U143:U161" si="35">TRUNC(S143,2)</f>
        <v>1</v>
      </c>
      <c r="V143" s="409">
        <f t="shared" ref="V143:V161" si="36">TRUNC(IFERROR(1-(1-M143)*(1-R143)*(1-S143),0),2)</f>
        <v>1</v>
      </c>
      <c r="W143" s="265">
        <f t="shared" ref="W143:W161" si="37">TRUNC(IFERROR(IF($E$174&gt;0,(T143+$E$174 * U143-Q143 * S143 * V143)/T143,0),0),2)</f>
        <v>0.89</v>
      </c>
      <c r="Y143" s="283">
        <f>IFERROR(IF(Instructions!$N$166=1,($AA143/1000)*$E143,($AA143/100)*$E143),0)</f>
        <v>23.400000000000002</v>
      </c>
      <c r="Z143" s="371"/>
      <c r="AA143" s="284">
        <f>IFERROR(VLOOKUP($C143,Instructions!$C$73:$K$157,9,FALSE),0)</f>
        <v>50</v>
      </c>
      <c r="AB143" s="190" t="str">
        <f t="shared" ref="AB143:AB161" si="38">B143</f>
        <v>5550 - Conference Area</v>
      </c>
    </row>
    <row r="144" spans="1:28" s="126" customFormat="1" ht="13.15" customHeight="1" x14ac:dyDescent="0.25">
      <c r="A144" s="136">
        <f t="shared" si="28"/>
        <v>0</v>
      </c>
      <c r="B144" s="235" t="s">
        <v>446</v>
      </c>
      <c r="C144" s="489" t="s">
        <v>74</v>
      </c>
      <c r="D144" s="490"/>
      <c r="E144" s="227">
        <v>204</v>
      </c>
      <c r="F144" s="228" t="s">
        <v>311</v>
      </c>
      <c r="G144" s="371">
        <v>3</v>
      </c>
      <c r="H144" s="229">
        <f>IFERROR(IF(Instructions!$N$166=1,VLOOKUP(C144,Instructions!$C$73:$K$157,5,FALSE),VLOOKUP(C144,Instructions!$C$73:$K$157,6,FALSE)),0)</f>
        <v>5</v>
      </c>
      <c r="I144" s="229">
        <f>IFERROR(IF(Instructions!$N$166=1,VLOOKUP(C144,Instructions!$C$73:$K$157,7,FALSE),VLOOKUP(C144,Instructions!$C$73:$K$157,8,FALSE)),0)</f>
        <v>0.06</v>
      </c>
      <c r="J144" s="406">
        <f t="shared" si="29"/>
        <v>15</v>
      </c>
      <c r="K144" s="406">
        <f t="shared" si="30"/>
        <v>12.24</v>
      </c>
      <c r="L144" s="407">
        <f t="shared" si="27"/>
        <v>27.24</v>
      </c>
      <c r="M144" s="413">
        <v>0.8</v>
      </c>
      <c r="N144" s="403">
        <f t="shared" si="31"/>
        <v>34.049999999999997</v>
      </c>
      <c r="O144" s="230">
        <v>141</v>
      </c>
      <c r="P144" s="231">
        <v>141</v>
      </c>
      <c r="Q144" s="382">
        <f t="shared" si="32"/>
        <v>0.24</v>
      </c>
      <c r="R144" s="391">
        <v>1</v>
      </c>
      <c r="S144" s="440">
        <f t="shared" si="33"/>
        <v>1</v>
      </c>
      <c r="T144" s="409">
        <f t="shared" si="34"/>
        <v>1</v>
      </c>
      <c r="U144" s="409">
        <f t="shared" si="35"/>
        <v>1</v>
      </c>
      <c r="V144" s="409">
        <f t="shared" si="36"/>
        <v>1</v>
      </c>
      <c r="W144" s="265">
        <f t="shared" si="37"/>
        <v>1.03</v>
      </c>
      <c r="Y144" s="283">
        <f>IFERROR(IF(Instructions!$N$166=1,($AA144/1000)*$E144,($AA144/100)*$E144),0)</f>
        <v>1.02</v>
      </c>
      <c r="Z144" s="371"/>
      <c r="AA144" s="284">
        <f>IFERROR(VLOOKUP($C144,Instructions!$C$73:$K$157,9,FALSE),0)</f>
        <v>5</v>
      </c>
      <c r="AB144" s="190" t="str">
        <f t="shared" si="38"/>
        <v>5552 - Directors Office</v>
      </c>
    </row>
    <row r="145" spans="1:28" s="126" customFormat="1" ht="13.15" customHeight="1" x14ac:dyDescent="0.25">
      <c r="A145" s="136">
        <f t="shared" si="28"/>
        <v>0</v>
      </c>
      <c r="B145" s="235" t="s">
        <v>447</v>
      </c>
      <c r="C145" s="489" t="s">
        <v>74</v>
      </c>
      <c r="D145" s="490"/>
      <c r="E145" s="227">
        <v>161</v>
      </c>
      <c r="F145" s="228" t="s">
        <v>311</v>
      </c>
      <c r="G145" s="371">
        <v>2</v>
      </c>
      <c r="H145" s="229">
        <f>IFERROR(IF(Instructions!$N$166=1,VLOOKUP(C145,Instructions!$C$73:$K$157,5,FALSE),VLOOKUP(C145,Instructions!$C$73:$K$157,6,FALSE)),0)</f>
        <v>5</v>
      </c>
      <c r="I145" s="229">
        <f>IFERROR(IF(Instructions!$N$166=1,VLOOKUP(C145,Instructions!$C$73:$K$157,7,FALSE),VLOOKUP(C145,Instructions!$C$73:$K$157,8,FALSE)),0)</f>
        <v>0.06</v>
      </c>
      <c r="J145" s="406">
        <f t="shared" si="29"/>
        <v>10</v>
      </c>
      <c r="K145" s="406">
        <f t="shared" si="30"/>
        <v>9.66</v>
      </c>
      <c r="L145" s="407">
        <f t="shared" si="27"/>
        <v>19.66</v>
      </c>
      <c r="M145" s="413">
        <v>0.8</v>
      </c>
      <c r="N145" s="403">
        <f t="shared" si="31"/>
        <v>24.574999999999999</v>
      </c>
      <c r="O145" s="230">
        <v>99</v>
      </c>
      <c r="P145" s="231">
        <v>99</v>
      </c>
      <c r="Q145" s="382">
        <f t="shared" si="32"/>
        <v>0.25</v>
      </c>
      <c r="R145" s="391">
        <v>1</v>
      </c>
      <c r="S145" s="440">
        <f t="shared" si="33"/>
        <v>1</v>
      </c>
      <c r="T145" s="409">
        <f t="shared" si="34"/>
        <v>1</v>
      </c>
      <c r="U145" s="409">
        <f t="shared" si="35"/>
        <v>1</v>
      </c>
      <c r="V145" s="409">
        <f t="shared" si="36"/>
        <v>1</v>
      </c>
      <c r="W145" s="265">
        <f t="shared" si="37"/>
        <v>1.02</v>
      </c>
      <c r="Y145" s="283">
        <f>IFERROR(IF(Instructions!$N$166=1,($AA145/1000)*$E145,($AA145/100)*$E145),0)</f>
        <v>0.80500000000000005</v>
      </c>
      <c r="Z145" s="371"/>
      <c r="AA145" s="284">
        <f>IFERROR(VLOOKUP($C145,Instructions!$C$73:$K$157,9,FALSE),0)</f>
        <v>5</v>
      </c>
      <c r="AB145" s="190" t="str">
        <f t="shared" si="38"/>
        <v>5556 - Staff Office</v>
      </c>
    </row>
    <row r="146" spans="1:28" s="126" customFormat="1" ht="13.15" customHeight="1" x14ac:dyDescent="0.25">
      <c r="A146" s="136">
        <f t="shared" si="28"/>
        <v>0</v>
      </c>
      <c r="B146" s="235" t="s">
        <v>448</v>
      </c>
      <c r="C146" s="489" t="s">
        <v>74</v>
      </c>
      <c r="D146" s="490"/>
      <c r="E146" s="227">
        <v>269</v>
      </c>
      <c r="F146" s="228" t="s">
        <v>311</v>
      </c>
      <c r="G146" s="371">
        <v>8</v>
      </c>
      <c r="H146" s="229">
        <f>IFERROR(IF(Instructions!$N$166=1,VLOOKUP(C146,Instructions!$C$73:$K$157,5,FALSE),VLOOKUP(C146,Instructions!$C$73:$K$157,6,FALSE)),0)</f>
        <v>5</v>
      </c>
      <c r="I146" s="229">
        <f>IFERROR(IF(Instructions!$N$166=1,VLOOKUP(C146,Instructions!$C$73:$K$157,7,FALSE),VLOOKUP(C146,Instructions!$C$73:$K$157,8,FALSE)),0)</f>
        <v>0.06</v>
      </c>
      <c r="J146" s="406">
        <f t="shared" si="29"/>
        <v>40</v>
      </c>
      <c r="K146" s="406">
        <f t="shared" si="30"/>
        <v>16.14</v>
      </c>
      <c r="L146" s="407">
        <f t="shared" si="27"/>
        <v>56.14</v>
      </c>
      <c r="M146" s="413">
        <v>0.8</v>
      </c>
      <c r="N146" s="403">
        <f t="shared" si="31"/>
        <v>70.174999999999997</v>
      </c>
      <c r="O146" s="230">
        <v>182</v>
      </c>
      <c r="P146" s="231">
        <v>182</v>
      </c>
      <c r="Q146" s="382">
        <f t="shared" si="32"/>
        <v>0.39</v>
      </c>
      <c r="R146" s="391">
        <v>1</v>
      </c>
      <c r="S146" s="440">
        <f t="shared" si="33"/>
        <v>1</v>
      </c>
      <c r="T146" s="409">
        <f t="shared" si="34"/>
        <v>1</v>
      </c>
      <c r="U146" s="409">
        <f t="shared" si="35"/>
        <v>1</v>
      </c>
      <c r="V146" s="409">
        <f t="shared" si="36"/>
        <v>1</v>
      </c>
      <c r="W146" s="265">
        <f t="shared" si="37"/>
        <v>0.88</v>
      </c>
      <c r="Y146" s="283">
        <f>IFERROR(IF(Instructions!$N$166=1,($AA146/1000)*$E146,($AA146/100)*$E146),0)</f>
        <v>1.345</v>
      </c>
      <c r="Z146" s="371"/>
      <c r="AA146" s="284">
        <f>IFERROR(VLOOKUP($C146,Instructions!$C$73:$K$157,9,FALSE),0)</f>
        <v>5</v>
      </c>
      <c r="AB146" s="190" t="str">
        <f t="shared" si="38"/>
        <v>5558 - Lounge Collaboration</v>
      </c>
    </row>
    <row r="147" spans="1:28" s="126" customFormat="1" ht="13.15" customHeight="1" x14ac:dyDescent="0.25">
      <c r="A147" s="136">
        <f t="shared" si="28"/>
        <v>0</v>
      </c>
      <c r="B147" s="235"/>
      <c r="C147" s="489"/>
      <c r="D147" s="490"/>
      <c r="E147" s="227"/>
      <c r="F147" s="228"/>
      <c r="G147" s="371"/>
      <c r="H147" s="229">
        <f>IFERROR(IF(Instructions!$N$166=1,VLOOKUP(C147,Instructions!$C$73:$K$157,5,FALSE),VLOOKUP(C147,Instructions!$C$73:$K$157,6,FALSE)),0)</f>
        <v>0</v>
      </c>
      <c r="I147" s="229">
        <f>IFERROR(IF(Instructions!$N$166=1,VLOOKUP(C147,Instructions!$C$73:$K$157,7,FALSE),VLOOKUP(C147,Instructions!$C$73:$K$157,8,FALSE)),0)</f>
        <v>0</v>
      </c>
      <c r="J147" s="406">
        <f t="shared" si="29"/>
        <v>0</v>
      </c>
      <c r="K147" s="406">
        <f t="shared" si="30"/>
        <v>0</v>
      </c>
      <c r="L147" s="407">
        <f t="shared" si="27"/>
        <v>0</v>
      </c>
      <c r="M147" s="413"/>
      <c r="N147" s="403">
        <f t="shared" si="31"/>
        <v>0</v>
      </c>
      <c r="O147" s="230"/>
      <c r="P147" s="231"/>
      <c r="Q147" s="382">
        <f t="shared" si="32"/>
        <v>0</v>
      </c>
      <c r="R147" s="391"/>
      <c r="S147" s="440">
        <f t="shared" si="33"/>
        <v>0</v>
      </c>
      <c r="T147" s="409">
        <f t="shared" si="34"/>
        <v>0</v>
      </c>
      <c r="U147" s="409">
        <f t="shared" si="35"/>
        <v>0</v>
      </c>
      <c r="V147" s="409">
        <f t="shared" si="36"/>
        <v>0</v>
      </c>
      <c r="W147" s="265">
        <f t="shared" si="37"/>
        <v>0</v>
      </c>
      <c r="Y147" s="283">
        <f>IFERROR(IF(Instructions!$N$166=1,($AA147/1000)*$E147,($AA147/100)*$E147),0)</f>
        <v>0</v>
      </c>
      <c r="Z147" s="371"/>
      <c r="AA147" s="284">
        <f>IFERROR(VLOOKUP($C147,Instructions!$C$73:$K$157,9,FALSE),0)</f>
        <v>0</v>
      </c>
      <c r="AB147" s="190">
        <f t="shared" si="38"/>
        <v>0</v>
      </c>
    </row>
    <row r="148" spans="1:28" s="126" customFormat="1" ht="13.15" customHeight="1" x14ac:dyDescent="0.25">
      <c r="A148" s="136">
        <f t="shared" si="28"/>
        <v>0</v>
      </c>
      <c r="B148" s="235"/>
      <c r="C148" s="489"/>
      <c r="D148" s="490"/>
      <c r="E148" s="227"/>
      <c r="F148" s="228"/>
      <c r="G148" s="371"/>
      <c r="H148" s="229">
        <f>IFERROR(IF(Instructions!$N$166=1,VLOOKUP(C148,Instructions!$C$73:$K$157,5,FALSE),VLOOKUP(C148,Instructions!$C$73:$K$157,6,FALSE)),0)</f>
        <v>0</v>
      </c>
      <c r="I148" s="229">
        <f>IFERROR(IF(Instructions!$N$166=1,VLOOKUP(C148,Instructions!$C$73:$K$157,7,FALSE),VLOOKUP(C148,Instructions!$C$73:$K$157,8,FALSE)),0)</f>
        <v>0</v>
      </c>
      <c r="J148" s="406">
        <f t="shared" si="29"/>
        <v>0</v>
      </c>
      <c r="K148" s="406">
        <f t="shared" si="30"/>
        <v>0</v>
      </c>
      <c r="L148" s="407">
        <f t="shared" si="27"/>
        <v>0</v>
      </c>
      <c r="M148" s="413"/>
      <c r="N148" s="403">
        <f t="shared" si="31"/>
        <v>0</v>
      </c>
      <c r="O148" s="230"/>
      <c r="P148" s="231"/>
      <c r="Q148" s="382">
        <f t="shared" si="32"/>
        <v>0</v>
      </c>
      <c r="R148" s="391"/>
      <c r="S148" s="440">
        <f t="shared" si="33"/>
        <v>0</v>
      </c>
      <c r="T148" s="409">
        <f t="shared" si="34"/>
        <v>0</v>
      </c>
      <c r="U148" s="409">
        <f t="shared" si="35"/>
        <v>0</v>
      </c>
      <c r="V148" s="409">
        <f t="shared" si="36"/>
        <v>0</v>
      </c>
      <c r="W148" s="265">
        <f t="shared" si="37"/>
        <v>0</v>
      </c>
      <c r="Y148" s="283">
        <f>IFERROR(IF(Instructions!$N$166=1,($AA148/1000)*$E148,($AA148/100)*$E148),0)</f>
        <v>0</v>
      </c>
      <c r="Z148" s="371"/>
      <c r="AA148" s="284">
        <f>IFERROR(VLOOKUP($C148,Instructions!$C$73:$K$157,9,FALSE),0)</f>
        <v>0</v>
      </c>
      <c r="AB148" s="190">
        <f t="shared" si="38"/>
        <v>0</v>
      </c>
    </row>
    <row r="149" spans="1:28" s="126" customFormat="1" ht="13.15" customHeight="1" x14ac:dyDescent="0.25">
      <c r="A149" s="136">
        <f t="shared" si="28"/>
        <v>0</v>
      </c>
      <c r="B149" s="235"/>
      <c r="C149" s="489"/>
      <c r="D149" s="490"/>
      <c r="E149" s="227"/>
      <c r="F149" s="228"/>
      <c r="G149" s="371"/>
      <c r="H149" s="229">
        <f>IFERROR(IF(Instructions!$N$166=1,VLOOKUP(C149,Instructions!$C$73:$K$157,5,FALSE),VLOOKUP(C149,Instructions!$C$73:$K$157,6,FALSE)),0)</f>
        <v>0</v>
      </c>
      <c r="I149" s="229">
        <f>IFERROR(IF(Instructions!$N$166=1,VLOOKUP(C149,Instructions!$C$73:$K$157,7,FALSE),VLOOKUP(C149,Instructions!$C$73:$K$157,8,FALSE)),0)</f>
        <v>0</v>
      </c>
      <c r="J149" s="406">
        <f t="shared" si="29"/>
        <v>0</v>
      </c>
      <c r="K149" s="406">
        <f t="shared" si="30"/>
        <v>0</v>
      </c>
      <c r="L149" s="407">
        <f t="shared" si="27"/>
        <v>0</v>
      </c>
      <c r="M149" s="413"/>
      <c r="N149" s="403">
        <f t="shared" si="31"/>
        <v>0</v>
      </c>
      <c r="O149" s="230"/>
      <c r="P149" s="231"/>
      <c r="Q149" s="382">
        <f t="shared" si="32"/>
        <v>0</v>
      </c>
      <c r="R149" s="391"/>
      <c r="S149" s="440">
        <f t="shared" si="33"/>
        <v>0</v>
      </c>
      <c r="T149" s="409">
        <f t="shared" si="34"/>
        <v>0</v>
      </c>
      <c r="U149" s="409">
        <f t="shared" si="35"/>
        <v>0</v>
      </c>
      <c r="V149" s="409">
        <f t="shared" si="36"/>
        <v>0</v>
      </c>
      <c r="W149" s="265">
        <f t="shared" si="37"/>
        <v>0</v>
      </c>
      <c r="Y149" s="283">
        <f>IFERROR(IF(Instructions!$N$166=1,($AA149/1000)*$E149,($AA149/100)*$E149),0)</f>
        <v>0</v>
      </c>
      <c r="Z149" s="371"/>
      <c r="AA149" s="284">
        <f>IFERROR(VLOOKUP($C149,Instructions!$C$73:$K$157,9,FALSE),0)</f>
        <v>0</v>
      </c>
      <c r="AB149" s="190">
        <f t="shared" si="38"/>
        <v>0</v>
      </c>
    </row>
    <row r="150" spans="1:28" s="126" customFormat="1" ht="13.15" customHeight="1" x14ac:dyDescent="0.25">
      <c r="A150" s="136">
        <f t="shared" si="28"/>
        <v>0</v>
      </c>
      <c r="B150" s="235"/>
      <c r="C150" s="489"/>
      <c r="D150" s="490"/>
      <c r="E150" s="227"/>
      <c r="F150" s="228"/>
      <c r="G150" s="371"/>
      <c r="H150" s="229">
        <f>IFERROR(IF(Instructions!$N$166=1,VLOOKUP(C150,Instructions!$C$73:$K$157,5,FALSE),VLOOKUP(C150,Instructions!$C$73:$K$157,6,FALSE)),0)</f>
        <v>0</v>
      </c>
      <c r="I150" s="229">
        <f>IFERROR(IF(Instructions!$N$166=1,VLOOKUP(C150,Instructions!$C$73:$K$157,7,FALSE),VLOOKUP(C150,Instructions!$C$73:$K$157,8,FALSE)),0)</f>
        <v>0</v>
      </c>
      <c r="J150" s="406">
        <f t="shared" si="29"/>
        <v>0</v>
      </c>
      <c r="K150" s="406">
        <f t="shared" si="30"/>
        <v>0</v>
      </c>
      <c r="L150" s="407">
        <f t="shared" si="27"/>
        <v>0</v>
      </c>
      <c r="M150" s="413"/>
      <c r="N150" s="403">
        <f t="shared" si="31"/>
        <v>0</v>
      </c>
      <c r="O150" s="230"/>
      <c r="P150" s="231"/>
      <c r="Q150" s="382">
        <f t="shared" si="32"/>
        <v>0</v>
      </c>
      <c r="R150" s="391"/>
      <c r="S150" s="440">
        <f t="shared" si="33"/>
        <v>0</v>
      </c>
      <c r="T150" s="409">
        <f t="shared" si="34"/>
        <v>0</v>
      </c>
      <c r="U150" s="409">
        <f t="shared" si="35"/>
        <v>0</v>
      </c>
      <c r="V150" s="409">
        <f t="shared" si="36"/>
        <v>0</v>
      </c>
      <c r="W150" s="265">
        <f t="shared" si="37"/>
        <v>0</v>
      </c>
      <c r="Y150" s="283">
        <f>IFERROR(IF(Instructions!$N$166=1,($AA150/1000)*$E150,($AA150/100)*$E150),0)</f>
        <v>0</v>
      </c>
      <c r="Z150" s="371"/>
      <c r="AA150" s="284">
        <f>IFERROR(VLOOKUP($C150,Instructions!$C$73:$K$157,9,FALSE),0)</f>
        <v>0</v>
      </c>
      <c r="AB150" s="190">
        <f t="shared" si="38"/>
        <v>0</v>
      </c>
    </row>
    <row r="151" spans="1:28" s="126" customFormat="1" ht="13.15" customHeight="1" x14ac:dyDescent="0.25">
      <c r="A151" s="136">
        <f t="shared" si="28"/>
        <v>0</v>
      </c>
      <c r="B151" s="235"/>
      <c r="C151" s="489"/>
      <c r="D151" s="490"/>
      <c r="E151" s="227"/>
      <c r="F151" s="228"/>
      <c r="G151" s="371"/>
      <c r="H151" s="229">
        <f>IFERROR(IF(Instructions!$N$166=1,VLOOKUP(C151,Instructions!$C$73:$K$157,5,FALSE),VLOOKUP(C151,Instructions!$C$73:$K$157,6,FALSE)),0)</f>
        <v>0</v>
      </c>
      <c r="I151" s="229">
        <f>IFERROR(IF(Instructions!$N$166=1,VLOOKUP(C151,Instructions!$C$73:$K$157,7,FALSE),VLOOKUP(C151,Instructions!$C$73:$K$157,8,FALSE)),0)</f>
        <v>0</v>
      </c>
      <c r="J151" s="406">
        <f t="shared" si="29"/>
        <v>0</v>
      </c>
      <c r="K151" s="406">
        <f t="shared" si="30"/>
        <v>0</v>
      </c>
      <c r="L151" s="407">
        <f t="shared" si="27"/>
        <v>0</v>
      </c>
      <c r="M151" s="413"/>
      <c r="N151" s="403">
        <f t="shared" si="31"/>
        <v>0</v>
      </c>
      <c r="O151" s="230"/>
      <c r="P151" s="231"/>
      <c r="Q151" s="382">
        <f t="shared" si="32"/>
        <v>0</v>
      </c>
      <c r="R151" s="391"/>
      <c r="S151" s="440">
        <f t="shared" si="33"/>
        <v>0</v>
      </c>
      <c r="T151" s="409">
        <f t="shared" si="34"/>
        <v>0</v>
      </c>
      <c r="U151" s="409">
        <f t="shared" si="35"/>
        <v>0</v>
      </c>
      <c r="V151" s="409">
        <f t="shared" si="36"/>
        <v>0</v>
      </c>
      <c r="W151" s="265">
        <f t="shared" si="37"/>
        <v>0</v>
      </c>
      <c r="Y151" s="283">
        <f>IFERROR(IF(Instructions!$N$166=1,($AA151/1000)*$E151,($AA151/100)*$E151),0)</f>
        <v>0</v>
      </c>
      <c r="Z151" s="371"/>
      <c r="AA151" s="284">
        <f>IFERROR(VLOOKUP($C151,Instructions!$C$73:$K$157,9,FALSE),0)</f>
        <v>0</v>
      </c>
      <c r="AB151" s="190">
        <f t="shared" si="38"/>
        <v>0</v>
      </c>
    </row>
    <row r="152" spans="1:28" s="126" customFormat="1" ht="13.15" customHeight="1" x14ac:dyDescent="0.25">
      <c r="A152" s="136">
        <f t="shared" si="28"/>
        <v>0</v>
      </c>
      <c r="B152" s="235"/>
      <c r="C152" s="489"/>
      <c r="D152" s="490"/>
      <c r="E152" s="227"/>
      <c r="F152" s="228"/>
      <c r="G152" s="371"/>
      <c r="H152" s="229">
        <f>IFERROR(IF(Instructions!$N$166=1,VLOOKUP(C152,Instructions!$C$73:$K$157,5,FALSE),VLOOKUP(C152,Instructions!$C$73:$K$157,6,FALSE)),0)</f>
        <v>0</v>
      </c>
      <c r="I152" s="229">
        <f>IFERROR(IF(Instructions!$N$166=1,VLOOKUP(C152,Instructions!$C$73:$K$157,7,FALSE),VLOOKUP(C152,Instructions!$C$73:$K$157,8,FALSE)),0)</f>
        <v>0</v>
      </c>
      <c r="J152" s="406">
        <f t="shared" si="29"/>
        <v>0</v>
      </c>
      <c r="K152" s="406">
        <f t="shared" si="30"/>
        <v>0</v>
      </c>
      <c r="L152" s="407">
        <f t="shared" si="27"/>
        <v>0</v>
      </c>
      <c r="M152" s="413"/>
      <c r="N152" s="403">
        <f t="shared" si="31"/>
        <v>0</v>
      </c>
      <c r="O152" s="230"/>
      <c r="P152" s="231"/>
      <c r="Q152" s="382">
        <f t="shared" si="32"/>
        <v>0</v>
      </c>
      <c r="R152" s="391"/>
      <c r="S152" s="440">
        <f t="shared" si="33"/>
        <v>0</v>
      </c>
      <c r="T152" s="409">
        <f t="shared" si="34"/>
        <v>0</v>
      </c>
      <c r="U152" s="409">
        <f t="shared" si="35"/>
        <v>0</v>
      </c>
      <c r="V152" s="409">
        <f t="shared" si="36"/>
        <v>0</v>
      </c>
      <c r="W152" s="265">
        <f t="shared" si="37"/>
        <v>0</v>
      </c>
      <c r="Y152" s="283">
        <f>IFERROR(IF(Instructions!$N$166=1,($AA152/1000)*$E152,($AA152/100)*$E152),0)</f>
        <v>0</v>
      </c>
      <c r="Z152" s="371"/>
      <c r="AA152" s="284">
        <f>IFERROR(VLOOKUP($C152,Instructions!$C$73:$K$157,9,FALSE),0)</f>
        <v>0</v>
      </c>
      <c r="AB152" s="190">
        <f t="shared" si="38"/>
        <v>0</v>
      </c>
    </row>
    <row r="153" spans="1:28" s="126" customFormat="1" ht="13.15" customHeight="1" x14ac:dyDescent="0.25">
      <c r="A153" s="136">
        <f t="shared" si="28"/>
        <v>0</v>
      </c>
      <c r="B153" s="235"/>
      <c r="C153" s="489"/>
      <c r="D153" s="490"/>
      <c r="E153" s="227"/>
      <c r="F153" s="228"/>
      <c r="G153" s="371"/>
      <c r="H153" s="229">
        <f>IFERROR(IF(Instructions!$N$166=1,VLOOKUP(C153,Instructions!$C$73:$K$157,5,FALSE),VLOOKUP(C153,Instructions!$C$73:$K$157,6,FALSE)),0)</f>
        <v>0</v>
      </c>
      <c r="I153" s="229">
        <f>IFERROR(IF(Instructions!$N$166=1,VLOOKUP(C153,Instructions!$C$73:$K$157,7,FALSE),VLOOKUP(C153,Instructions!$C$73:$K$157,8,FALSE)),0)</f>
        <v>0</v>
      </c>
      <c r="J153" s="406">
        <f t="shared" si="29"/>
        <v>0</v>
      </c>
      <c r="K153" s="406">
        <f t="shared" si="30"/>
        <v>0</v>
      </c>
      <c r="L153" s="407">
        <f t="shared" si="27"/>
        <v>0</v>
      </c>
      <c r="M153" s="413"/>
      <c r="N153" s="403">
        <f t="shared" si="31"/>
        <v>0</v>
      </c>
      <c r="O153" s="230"/>
      <c r="P153" s="231"/>
      <c r="Q153" s="382">
        <f t="shared" si="32"/>
        <v>0</v>
      </c>
      <c r="R153" s="391"/>
      <c r="S153" s="440">
        <f t="shared" si="33"/>
        <v>0</v>
      </c>
      <c r="T153" s="409">
        <f t="shared" si="34"/>
        <v>0</v>
      </c>
      <c r="U153" s="409">
        <f t="shared" si="35"/>
        <v>0</v>
      </c>
      <c r="V153" s="409">
        <f t="shared" si="36"/>
        <v>0</v>
      </c>
      <c r="W153" s="265">
        <f t="shared" si="37"/>
        <v>0</v>
      </c>
      <c r="Y153" s="283">
        <f>IFERROR(IF(Instructions!$N$166=1,($AA153/1000)*$E153,($AA153/100)*$E153),0)</f>
        <v>0</v>
      </c>
      <c r="Z153" s="371"/>
      <c r="AA153" s="284">
        <f>IFERROR(VLOOKUP($C153,Instructions!$C$73:$K$157,9,FALSE),0)</f>
        <v>0</v>
      </c>
      <c r="AB153" s="190">
        <f t="shared" si="38"/>
        <v>0</v>
      </c>
    </row>
    <row r="154" spans="1:28" s="126" customFormat="1" ht="13.15" customHeight="1" x14ac:dyDescent="0.25">
      <c r="A154" s="136">
        <f t="shared" si="28"/>
        <v>0</v>
      </c>
      <c r="B154" s="235"/>
      <c r="C154" s="489"/>
      <c r="D154" s="490"/>
      <c r="E154" s="227"/>
      <c r="F154" s="228"/>
      <c r="G154" s="371"/>
      <c r="H154" s="229">
        <f>IFERROR(IF(Instructions!$N$166=1,VLOOKUP(C154,Instructions!$C$73:$K$157,5,FALSE),VLOOKUP(C154,Instructions!$C$73:$K$157,6,FALSE)),0)</f>
        <v>0</v>
      </c>
      <c r="I154" s="229">
        <f>IFERROR(IF(Instructions!$N$166=1,VLOOKUP(C154,Instructions!$C$73:$K$157,7,FALSE),VLOOKUP(C154,Instructions!$C$73:$K$157,8,FALSE)),0)</f>
        <v>0</v>
      </c>
      <c r="J154" s="406">
        <f t="shared" si="29"/>
        <v>0</v>
      </c>
      <c r="K154" s="406">
        <f t="shared" si="30"/>
        <v>0</v>
      </c>
      <c r="L154" s="407">
        <f t="shared" si="27"/>
        <v>0</v>
      </c>
      <c r="M154" s="413"/>
      <c r="N154" s="403">
        <f t="shared" si="31"/>
        <v>0</v>
      </c>
      <c r="O154" s="230"/>
      <c r="P154" s="231"/>
      <c r="Q154" s="382">
        <f t="shared" si="32"/>
        <v>0</v>
      </c>
      <c r="R154" s="391"/>
      <c r="S154" s="440">
        <f t="shared" si="33"/>
        <v>0</v>
      </c>
      <c r="T154" s="409">
        <f t="shared" si="34"/>
        <v>0</v>
      </c>
      <c r="U154" s="409">
        <f t="shared" si="35"/>
        <v>0</v>
      </c>
      <c r="V154" s="409">
        <f t="shared" si="36"/>
        <v>0</v>
      </c>
      <c r="W154" s="265">
        <f t="shared" si="37"/>
        <v>0</v>
      </c>
      <c r="Y154" s="283">
        <f>IFERROR(IF(Instructions!$N$166=1,($AA154/1000)*$E154,($AA154/100)*$E154),0)</f>
        <v>0</v>
      </c>
      <c r="Z154" s="371"/>
      <c r="AA154" s="284">
        <f>IFERROR(VLOOKUP($C154,Instructions!$C$73:$K$157,9,FALSE),0)</f>
        <v>0</v>
      </c>
      <c r="AB154" s="190">
        <f t="shared" si="38"/>
        <v>0</v>
      </c>
    </row>
    <row r="155" spans="1:28" s="126" customFormat="1" ht="13.15" customHeight="1" x14ac:dyDescent="0.25">
      <c r="A155" s="136">
        <f t="shared" si="28"/>
        <v>0</v>
      </c>
      <c r="B155" s="235"/>
      <c r="C155" s="489"/>
      <c r="D155" s="490"/>
      <c r="E155" s="227"/>
      <c r="F155" s="228"/>
      <c r="G155" s="371"/>
      <c r="H155" s="229">
        <f>IFERROR(IF(Instructions!$N$166=1,VLOOKUP(C155,Instructions!$C$73:$K$157,5,FALSE),VLOOKUP(C155,Instructions!$C$73:$K$157,6,FALSE)),0)</f>
        <v>0</v>
      </c>
      <c r="I155" s="229">
        <f>IFERROR(IF(Instructions!$N$166=1,VLOOKUP(C155,Instructions!$C$73:$K$157,7,FALSE),VLOOKUP(C155,Instructions!$C$73:$K$157,8,FALSE)),0)</f>
        <v>0</v>
      </c>
      <c r="J155" s="406">
        <f t="shared" si="29"/>
        <v>0</v>
      </c>
      <c r="K155" s="406">
        <f t="shared" si="30"/>
        <v>0</v>
      </c>
      <c r="L155" s="407">
        <f t="shared" si="27"/>
        <v>0</v>
      </c>
      <c r="M155" s="413"/>
      <c r="N155" s="403">
        <f t="shared" si="31"/>
        <v>0</v>
      </c>
      <c r="O155" s="230"/>
      <c r="P155" s="231"/>
      <c r="Q155" s="382">
        <f t="shared" si="32"/>
        <v>0</v>
      </c>
      <c r="R155" s="391"/>
      <c r="S155" s="440">
        <f t="shared" si="33"/>
        <v>0</v>
      </c>
      <c r="T155" s="409">
        <f t="shared" si="34"/>
        <v>0</v>
      </c>
      <c r="U155" s="409">
        <f t="shared" si="35"/>
        <v>0</v>
      </c>
      <c r="V155" s="409">
        <f t="shared" si="36"/>
        <v>0</v>
      </c>
      <c r="W155" s="265">
        <f t="shared" si="37"/>
        <v>0</v>
      </c>
      <c r="Y155" s="283">
        <f>IFERROR(IF(Instructions!$N$166=1,($AA155/1000)*$E155,($AA155/100)*$E155),0)</f>
        <v>0</v>
      </c>
      <c r="Z155" s="371"/>
      <c r="AA155" s="284">
        <f>IFERROR(VLOOKUP($C155,Instructions!$C$73:$K$157,9,FALSE),0)</f>
        <v>0</v>
      </c>
      <c r="AB155" s="190">
        <f t="shared" si="38"/>
        <v>0</v>
      </c>
    </row>
    <row r="156" spans="1:28" s="126" customFormat="1" ht="13.15" customHeight="1" x14ac:dyDescent="0.25">
      <c r="A156" s="136">
        <f t="shared" si="28"/>
        <v>0</v>
      </c>
      <c r="B156" s="235"/>
      <c r="C156" s="489"/>
      <c r="D156" s="490"/>
      <c r="E156" s="227"/>
      <c r="F156" s="228"/>
      <c r="G156" s="371"/>
      <c r="H156" s="229">
        <f>IFERROR(IF(Instructions!$N$166=1,VLOOKUP(C156,Instructions!$C$73:$K$157,5,FALSE),VLOOKUP(C156,Instructions!$C$73:$K$157,6,FALSE)),0)</f>
        <v>0</v>
      </c>
      <c r="I156" s="229">
        <f>IFERROR(IF(Instructions!$N$166=1,VLOOKUP(C156,Instructions!$C$73:$K$157,7,FALSE),VLOOKUP(C156,Instructions!$C$73:$K$157,8,FALSE)),0)</f>
        <v>0</v>
      </c>
      <c r="J156" s="406">
        <f t="shared" si="29"/>
        <v>0</v>
      </c>
      <c r="K156" s="406">
        <f t="shared" si="30"/>
        <v>0</v>
      </c>
      <c r="L156" s="407">
        <f t="shared" si="27"/>
        <v>0</v>
      </c>
      <c r="M156" s="413"/>
      <c r="N156" s="403">
        <f t="shared" si="31"/>
        <v>0</v>
      </c>
      <c r="O156" s="230"/>
      <c r="P156" s="231"/>
      <c r="Q156" s="382">
        <f t="shared" si="32"/>
        <v>0</v>
      </c>
      <c r="R156" s="391"/>
      <c r="S156" s="440">
        <f t="shared" si="33"/>
        <v>0</v>
      </c>
      <c r="T156" s="409">
        <f t="shared" si="34"/>
        <v>0</v>
      </c>
      <c r="U156" s="409">
        <f t="shared" si="35"/>
        <v>0</v>
      </c>
      <c r="V156" s="409">
        <f t="shared" si="36"/>
        <v>0</v>
      </c>
      <c r="W156" s="265">
        <f t="shared" si="37"/>
        <v>0</v>
      </c>
      <c r="Y156" s="283">
        <f>IFERROR(IF(Instructions!$N$166=1,($AA156/1000)*$E156,($AA156/100)*$E156),0)</f>
        <v>0</v>
      </c>
      <c r="Z156" s="371"/>
      <c r="AA156" s="284">
        <f>IFERROR(VLOOKUP($C156,Instructions!$C$73:$K$157,9,FALSE),0)</f>
        <v>0</v>
      </c>
      <c r="AB156" s="190">
        <f t="shared" si="38"/>
        <v>0</v>
      </c>
    </row>
    <row r="157" spans="1:28" s="126" customFormat="1" ht="13.15" customHeight="1" x14ac:dyDescent="0.25">
      <c r="A157" s="136">
        <f t="shared" si="28"/>
        <v>0</v>
      </c>
      <c r="B157" s="235"/>
      <c r="C157" s="489"/>
      <c r="D157" s="490"/>
      <c r="E157" s="227"/>
      <c r="F157" s="228"/>
      <c r="G157" s="371"/>
      <c r="H157" s="229">
        <f>IFERROR(IF(Instructions!$N$166=1,VLOOKUP(C157,Instructions!$C$73:$K$157,5,FALSE),VLOOKUP(C157,Instructions!$C$73:$K$157,6,FALSE)),0)</f>
        <v>0</v>
      </c>
      <c r="I157" s="229">
        <f>IFERROR(IF(Instructions!$N$166=1,VLOOKUP(C157,Instructions!$C$73:$K$157,7,FALSE),VLOOKUP(C157,Instructions!$C$73:$K$157,8,FALSE)),0)</f>
        <v>0</v>
      </c>
      <c r="J157" s="406">
        <f t="shared" si="29"/>
        <v>0</v>
      </c>
      <c r="K157" s="406">
        <f t="shared" si="30"/>
        <v>0</v>
      </c>
      <c r="L157" s="407">
        <f t="shared" si="27"/>
        <v>0</v>
      </c>
      <c r="M157" s="413"/>
      <c r="N157" s="403">
        <f t="shared" si="31"/>
        <v>0</v>
      </c>
      <c r="O157" s="230"/>
      <c r="P157" s="231"/>
      <c r="Q157" s="382">
        <f t="shared" si="32"/>
        <v>0</v>
      </c>
      <c r="R157" s="391"/>
      <c r="S157" s="440">
        <f t="shared" si="33"/>
        <v>0</v>
      </c>
      <c r="T157" s="409">
        <f t="shared" si="34"/>
        <v>0</v>
      </c>
      <c r="U157" s="409">
        <f t="shared" si="35"/>
        <v>0</v>
      </c>
      <c r="V157" s="409">
        <f t="shared" si="36"/>
        <v>0</v>
      </c>
      <c r="W157" s="265">
        <f t="shared" si="37"/>
        <v>0</v>
      </c>
      <c r="Y157" s="283">
        <f>IFERROR(IF(Instructions!$N$166=1,($AA157/1000)*$E157,($AA157/100)*$E157),0)</f>
        <v>0</v>
      </c>
      <c r="Z157" s="371"/>
      <c r="AA157" s="284">
        <f>IFERROR(VLOOKUP($C157,Instructions!$C$73:$K$157,9,FALSE),0)</f>
        <v>0</v>
      </c>
      <c r="AB157" s="190">
        <f t="shared" si="38"/>
        <v>0</v>
      </c>
    </row>
    <row r="158" spans="1:28" s="126" customFormat="1" ht="13.15" customHeight="1" x14ac:dyDescent="0.25">
      <c r="A158" s="136">
        <f t="shared" si="28"/>
        <v>0</v>
      </c>
      <c r="B158" s="235"/>
      <c r="C158" s="489"/>
      <c r="D158" s="490"/>
      <c r="E158" s="227"/>
      <c r="F158" s="228"/>
      <c r="G158" s="371"/>
      <c r="H158" s="229">
        <f>IFERROR(IF(Instructions!$N$166=1,VLOOKUP(C158,Instructions!$C$73:$K$157,5,FALSE),VLOOKUP(C158,Instructions!$C$73:$K$157,6,FALSE)),0)</f>
        <v>0</v>
      </c>
      <c r="I158" s="229">
        <f>IFERROR(IF(Instructions!$N$166=1,VLOOKUP(C158,Instructions!$C$73:$K$157,7,FALSE),VLOOKUP(C158,Instructions!$C$73:$K$157,8,FALSE)),0)</f>
        <v>0</v>
      </c>
      <c r="J158" s="406">
        <f t="shared" si="29"/>
        <v>0</v>
      </c>
      <c r="K158" s="406">
        <f t="shared" si="30"/>
        <v>0</v>
      </c>
      <c r="L158" s="407">
        <f t="shared" si="27"/>
        <v>0</v>
      </c>
      <c r="M158" s="413"/>
      <c r="N158" s="403">
        <f t="shared" si="31"/>
        <v>0</v>
      </c>
      <c r="O158" s="230"/>
      <c r="P158" s="231"/>
      <c r="Q158" s="382">
        <f t="shared" si="32"/>
        <v>0</v>
      </c>
      <c r="R158" s="391"/>
      <c r="S158" s="440">
        <f t="shared" si="33"/>
        <v>0</v>
      </c>
      <c r="T158" s="409">
        <f t="shared" si="34"/>
        <v>0</v>
      </c>
      <c r="U158" s="409">
        <f t="shared" si="35"/>
        <v>0</v>
      </c>
      <c r="V158" s="409">
        <f t="shared" si="36"/>
        <v>0</v>
      </c>
      <c r="W158" s="265">
        <f t="shared" si="37"/>
        <v>0</v>
      </c>
      <c r="Y158" s="283">
        <f>IFERROR(IF(Instructions!$N$166=1,($AA158/1000)*$E158,($AA158/100)*$E158),0)</f>
        <v>0</v>
      </c>
      <c r="Z158" s="371"/>
      <c r="AA158" s="284">
        <f>IFERROR(VLOOKUP($C158,Instructions!$C$73:$K$157,9,FALSE),0)</f>
        <v>0</v>
      </c>
      <c r="AB158" s="190">
        <f t="shared" si="38"/>
        <v>0</v>
      </c>
    </row>
    <row r="159" spans="1:28" s="126" customFormat="1" ht="13.15" customHeight="1" x14ac:dyDescent="0.25">
      <c r="A159" s="136">
        <f t="shared" si="28"/>
        <v>0</v>
      </c>
      <c r="B159" s="235"/>
      <c r="C159" s="489"/>
      <c r="D159" s="490"/>
      <c r="E159" s="227"/>
      <c r="F159" s="228"/>
      <c r="G159" s="371"/>
      <c r="H159" s="229">
        <f>IFERROR(IF(Instructions!$N$166=1,VLOOKUP(C159,Instructions!$C$73:$K$157,5,FALSE),VLOOKUP(C159,Instructions!$C$73:$K$157,6,FALSE)),0)</f>
        <v>0</v>
      </c>
      <c r="I159" s="229">
        <f>IFERROR(IF(Instructions!$N$166=1,VLOOKUP(C159,Instructions!$C$73:$K$157,7,FALSE),VLOOKUP(C159,Instructions!$C$73:$K$157,8,FALSE)),0)</f>
        <v>0</v>
      </c>
      <c r="J159" s="406">
        <f t="shared" si="29"/>
        <v>0</v>
      </c>
      <c r="K159" s="406">
        <f t="shared" si="30"/>
        <v>0</v>
      </c>
      <c r="L159" s="407">
        <f t="shared" si="27"/>
        <v>0</v>
      </c>
      <c r="M159" s="413"/>
      <c r="N159" s="403">
        <f t="shared" si="31"/>
        <v>0</v>
      </c>
      <c r="O159" s="230"/>
      <c r="P159" s="231"/>
      <c r="Q159" s="382">
        <f t="shared" si="32"/>
        <v>0</v>
      </c>
      <c r="R159" s="391"/>
      <c r="S159" s="440">
        <f t="shared" si="33"/>
        <v>0</v>
      </c>
      <c r="T159" s="409">
        <f t="shared" si="34"/>
        <v>0</v>
      </c>
      <c r="U159" s="409">
        <f t="shared" si="35"/>
        <v>0</v>
      </c>
      <c r="V159" s="409">
        <f t="shared" si="36"/>
        <v>0</v>
      </c>
      <c r="W159" s="265">
        <f t="shared" si="37"/>
        <v>0</v>
      </c>
      <c r="Y159" s="283">
        <f>IFERROR(IF(Instructions!$N$166=1,($AA159/1000)*$E159,($AA159/100)*$E159),0)</f>
        <v>0</v>
      </c>
      <c r="Z159" s="371"/>
      <c r="AA159" s="284">
        <f>IFERROR(VLOOKUP($C159,Instructions!$C$73:$K$157,9,FALSE),0)</f>
        <v>0</v>
      </c>
      <c r="AB159" s="190">
        <f t="shared" si="38"/>
        <v>0</v>
      </c>
    </row>
    <row r="160" spans="1:28" s="126" customFormat="1" ht="13.15" customHeight="1" x14ac:dyDescent="0.25">
      <c r="A160" s="136">
        <f t="shared" si="28"/>
        <v>0</v>
      </c>
      <c r="B160" s="235"/>
      <c r="C160" s="489"/>
      <c r="D160" s="490"/>
      <c r="E160" s="227"/>
      <c r="F160" s="228"/>
      <c r="G160" s="371"/>
      <c r="H160" s="229">
        <f>IFERROR(IF(Instructions!$N$166=1,VLOOKUP(C160,Instructions!$C$73:$K$157,5,FALSE),VLOOKUP(C160,Instructions!$C$73:$K$157,6,FALSE)),0)</f>
        <v>0</v>
      </c>
      <c r="I160" s="229">
        <f>IFERROR(IF(Instructions!$N$166=1,VLOOKUP(C160,Instructions!$C$73:$K$157,7,FALSE),VLOOKUP(C160,Instructions!$C$73:$K$157,8,FALSE)),0)</f>
        <v>0</v>
      </c>
      <c r="J160" s="406">
        <f t="shared" si="29"/>
        <v>0</v>
      </c>
      <c r="K160" s="406">
        <f t="shared" si="30"/>
        <v>0</v>
      </c>
      <c r="L160" s="407">
        <f t="shared" si="27"/>
        <v>0</v>
      </c>
      <c r="M160" s="413"/>
      <c r="N160" s="403">
        <f t="shared" si="31"/>
        <v>0</v>
      </c>
      <c r="O160" s="230"/>
      <c r="P160" s="231"/>
      <c r="Q160" s="382">
        <f t="shared" si="32"/>
        <v>0</v>
      </c>
      <c r="R160" s="391"/>
      <c r="S160" s="440">
        <f t="shared" si="33"/>
        <v>0</v>
      </c>
      <c r="T160" s="409">
        <f t="shared" si="34"/>
        <v>0</v>
      </c>
      <c r="U160" s="409">
        <f t="shared" si="35"/>
        <v>0</v>
      </c>
      <c r="V160" s="409">
        <f t="shared" si="36"/>
        <v>0</v>
      </c>
      <c r="W160" s="265">
        <f t="shared" si="37"/>
        <v>0</v>
      </c>
      <c r="Y160" s="283">
        <f>IFERROR(IF(Instructions!$N$166=1,($AA160/1000)*$E160,($AA160/100)*$E160),0)</f>
        <v>0</v>
      </c>
      <c r="Z160" s="371"/>
      <c r="AA160" s="284">
        <f>IFERROR(VLOOKUP($C160,Instructions!$C$73:$K$157,9,FALSE),0)</f>
        <v>0</v>
      </c>
      <c r="AB160" s="190">
        <f t="shared" si="38"/>
        <v>0</v>
      </c>
    </row>
    <row r="161" spans="1:28" s="126" customFormat="1" ht="13.15" customHeight="1" x14ac:dyDescent="0.25">
      <c r="A161" s="136">
        <f t="shared" si="28"/>
        <v>0</v>
      </c>
      <c r="B161" s="235"/>
      <c r="C161" s="489"/>
      <c r="D161" s="490"/>
      <c r="E161" s="227"/>
      <c r="F161" s="228"/>
      <c r="G161" s="371"/>
      <c r="H161" s="229">
        <f>IFERROR(IF(Instructions!$N$166=1,VLOOKUP(C161,Instructions!$C$73:$K$157,5,FALSE),VLOOKUP(C161,Instructions!$C$73:$K$157,6,FALSE)),0)</f>
        <v>0</v>
      </c>
      <c r="I161" s="229">
        <f>IFERROR(IF(Instructions!$N$166=1,VLOOKUP(C161,Instructions!$C$73:$K$157,7,FALSE),VLOOKUP(C161,Instructions!$C$73:$K$157,8,FALSE)),0)</f>
        <v>0</v>
      </c>
      <c r="J161" s="406">
        <f t="shared" si="29"/>
        <v>0</v>
      </c>
      <c r="K161" s="406">
        <f t="shared" si="30"/>
        <v>0</v>
      </c>
      <c r="L161" s="407">
        <f t="shared" si="27"/>
        <v>0</v>
      </c>
      <c r="M161" s="413"/>
      <c r="N161" s="403">
        <f t="shared" si="31"/>
        <v>0</v>
      </c>
      <c r="O161" s="230"/>
      <c r="P161" s="231"/>
      <c r="Q161" s="382">
        <f t="shared" si="32"/>
        <v>0</v>
      </c>
      <c r="R161" s="391"/>
      <c r="S161" s="440">
        <f t="shared" si="33"/>
        <v>0</v>
      </c>
      <c r="T161" s="409">
        <f t="shared" si="34"/>
        <v>0</v>
      </c>
      <c r="U161" s="409">
        <f t="shared" si="35"/>
        <v>0</v>
      </c>
      <c r="V161" s="409">
        <f t="shared" si="36"/>
        <v>0</v>
      </c>
      <c r="W161" s="265">
        <f t="shared" si="37"/>
        <v>0</v>
      </c>
      <c r="Y161" s="283">
        <f>IFERROR(IF(Instructions!$N$166=1,($AA161/1000)*$E161,($AA161/100)*$E161),0)</f>
        <v>0</v>
      </c>
      <c r="Z161" s="371"/>
      <c r="AA161" s="284">
        <f>IFERROR(VLOOKUP($C161,Instructions!$C$73:$K$157,9,FALSE),0)</f>
        <v>0</v>
      </c>
      <c r="AB161" s="190">
        <f t="shared" si="38"/>
        <v>0</v>
      </c>
    </row>
    <row r="162" spans="1:28" s="126" customFormat="1" ht="15" customHeight="1" x14ac:dyDescent="0.25">
      <c r="A162" s="136">
        <f t="shared" ref="A162:A163" si="39">IF(C162=0,0,0)</f>
        <v>0</v>
      </c>
      <c r="B162" s="235"/>
      <c r="C162" s="489"/>
      <c r="D162" s="490"/>
      <c r="E162" s="227"/>
      <c r="F162" s="228"/>
      <c r="G162" s="371"/>
      <c r="H162" s="229">
        <f>IFERROR(IF(Instructions!$N$166=1,VLOOKUP(C162,Instructions!$C$73:$K$157,5,FALSE),VLOOKUP(C162,Instructions!$C$73:$K$157,6,FALSE)),0)</f>
        <v>0</v>
      </c>
      <c r="I162" s="229">
        <f>IFERROR(IF(Instructions!$N$166=1,VLOOKUP(C162,Instructions!$C$73:$K$157,7,FALSE),VLOOKUP(C162,Instructions!$C$73:$K$157,8,FALSE)),0)</f>
        <v>0</v>
      </c>
      <c r="J162" s="406">
        <f>TRUNC(IFERROR(H162*G162,0),2)</f>
        <v>0</v>
      </c>
      <c r="K162" s="406">
        <f>TRUNC(IFERROR(I162*E162,0),2)</f>
        <v>0</v>
      </c>
      <c r="L162" s="407">
        <f t="shared" si="27"/>
        <v>0</v>
      </c>
      <c r="M162" s="413"/>
      <c r="N162" s="403">
        <f t="shared" si="1"/>
        <v>0</v>
      </c>
      <c r="O162" s="230"/>
      <c r="P162" s="231"/>
      <c r="Q162" s="382">
        <f t="shared" ref="Q162:Q163" si="40">IFERROR(ROUND(N162/P162,2),0)</f>
        <v>0</v>
      </c>
      <c r="R162" s="295"/>
      <c r="S162" s="441">
        <f>IFERROR($P162/$O162,0)</f>
        <v>0</v>
      </c>
      <c r="T162" s="409">
        <f>TRUNC(IFERROR(S162+(1-S162)*R162,0),2)</f>
        <v>0</v>
      </c>
      <c r="U162" s="409">
        <f>TRUNC(S162,2)</f>
        <v>0</v>
      </c>
      <c r="V162" s="409">
        <f>TRUNC(IFERROR(1-(1-M162)*(1-R162)*(1-S162),0),2)</f>
        <v>0</v>
      </c>
      <c r="W162" s="265">
        <f>TRUNC(IFERROR(IF($E$174&gt;0,(T162+$E$174 * U162-Q162 * S162 * V162)/T162,0),0),2)</f>
        <v>0</v>
      </c>
      <c r="Y162" s="283">
        <f>IFERROR(IF(Instructions!$N$166=1,($AA162/1000)*$E162,($AA162/100)*$E162),0)</f>
        <v>0</v>
      </c>
      <c r="Z162" s="371"/>
      <c r="AA162" s="284">
        <f>IFERROR(VLOOKUP($C162,Instructions!$C$73:$K$157,9,FALSE),0)</f>
        <v>0</v>
      </c>
      <c r="AB162" s="190">
        <f>B162</f>
        <v>0</v>
      </c>
    </row>
    <row r="163" spans="1:28" s="126" customFormat="1" ht="15" customHeight="1" x14ac:dyDescent="0.25">
      <c r="A163" s="136">
        <f t="shared" si="39"/>
        <v>0</v>
      </c>
      <c r="B163" s="235"/>
      <c r="C163" s="489"/>
      <c r="D163" s="490"/>
      <c r="E163" s="227"/>
      <c r="F163" s="228"/>
      <c r="G163" s="371"/>
      <c r="H163" s="229">
        <f>IFERROR(IF(Instructions!$N$166=1,VLOOKUP(C163,Instructions!$C$73:$K$157,5,FALSE),VLOOKUP(C163,Instructions!$C$73:$K$157,6,FALSE)),0)</f>
        <v>0</v>
      </c>
      <c r="I163" s="229">
        <f>IFERROR(IF(Instructions!$N$166=1,VLOOKUP(C163,Instructions!$C$73:$K$157,7,FALSE),VLOOKUP(C163,Instructions!$C$73:$K$157,8,FALSE)),0)</f>
        <v>0</v>
      </c>
      <c r="J163" s="406">
        <f>TRUNC(IFERROR(H163*G163,0),2)</f>
        <v>0</v>
      </c>
      <c r="K163" s="406">
        <f>TRUNC(IFERROR(I163*E163,0),2)</f>
        <v>0</v>
      </c>
      <c r="L163" s="407">
        <f t="shared" si="27"/>
        <v>0</v>
      </c>
      <c r="M163" s="413"/>
      <c r="N163" s="403">
        <f>IFERROR(L163/M163,0)</f>
        <v>0</v>
      </c>
      <c r="O163" s="230"/>
      <c r="P163" s="231"/>
      <c r="Q163" s="382">
        <f t="shared" si="40"/>
        <v>0</v>
      </c>
      <c r="R163" s="295"/>
      <c r="S163" s="440">
        <f>IFERROR($P163/$O163,0)</f>
        <v>0</v>
      </c>
      <c r="T163" s="409">
        <f>TRUNC(IFERROR(S163+(1-S163)*R163,0),2)</f>
        <v>0</v>
      </c>
      <c r="U163" s="409">
        <f>TRUNC(S163,2)</f>
        <v>0</v>
      </c>
      <c r="V163" s="409">
        <f>TRUNC(IFERROR(1-(1-M163)*(1-R163)*(1-S163),0),2)</f>
        <v>0</v>
      </c>
      <c r="W163" s="265">
        <f>TRUNC(IFERROR(IF($E$174&gt;0,(T163+$E$174 * U163-Q163 * S163 * V163)/T163,0),0),2)</f>
        <v>0</v>
      </c>
      <c r="Y163" s="283">
        <f>IFERROR(IF(Instructions!$N$166=1,($AA163/1000)*$E163,($AA163/100)*$E163),0)</f>
        <v>0</v>
      </c>
      <c r="Z163" s="371"/>
      <c r="AA163" s="284">
        <f>IFERROR(VLOOKUP($C163,Instructions!$C$73:$K$157,9,FALSE),0)</f>
        <v>0</v>
      </c>
      <c r="AB163" s="190">
        <f>B163</f>
        <v>0</v>
      </c>
    </row>
    <row r="164" spans="1:28" ht="49.5" customHeight="1" x14ac:dyDescent="0.2">
      <c r="A164" s="268"/>
      <c r="P164" s="411"/>
    </row>
    <row r="165" spans="1:28" ht="17.25" customHeight="1" x14ac:dyDescent="0.2">
      <c r="G165" s="10"/>
      <c r="H165" s="10"/>
      <c r="Y165" s="223" t="s">
        <v>231</v>
      </c>
      <c r="Z165" s="223" t="s">
        <v>232</v>
      </c>
    </row>
    <row r="166" spans="1:28" ht="18" customHeight="1" x14ac:dyDescent="0.2">
      <c r="B166" s="72" t="s">
        <v>213</v>
      </c>
      <c r="C166" s="196" t="s">
        <v>214</v>
      </c>
      <c r="D166" s="194" t="str">
        <f>IF(Instructions!$N$166=1,"(sq ft)","(sq m)")</f>
        <v>(sq ft)</v>
      </c>
      <c r="E166" s="191">
        <f>SUM($E14:$E163)</f>
        <v>25207</v>
      </c>
      <c r="F166" s="275" t="str">
        <f>IF(D8="Yes","Net occupiable floor area served by the ventilation system", "∑Az")</f>
        <v>Net occupiable floor area served by the ventilation system</v>
      </c>
      <c r="G166" s="10"/>
      <c r="H166" s="10"/>
      <c r="Y166" s="191">
        <f>SUM($E14:$E163)</f>
        <v>25207</v>
      </c>
      <c r="Z166" s="291"/>
    </row>
    <row r="167" spans="1:28" ht="18" customHeight="1" x14ac:dyDescent="0.2">
      <c r="B167" s="74" t="s">
        <v>24</v>
      </c>
      <c r="C167" s="197" t="s">
        <v>25</v>
      </c>
      <c r="D167" s="80" t="s">
        <v>161</v>
      </c>
      <c r="E167" s="279">
        <v>402</v>
      </c>
      <c r="F167" s="275"/>
      <c r="Z167" s="66"/>
    </row>
    <row r="168" spans="1:28" s="128" customFormat="1" ht="18" customHeight="1" x14ac:dyDescent="0.2">
      <c r="A168" s="236"/>
      <c r="B168" s="74" t="s">
        <v>168</v>
      </c>
      <c r="C168" s="197" t="s">
        <v>26</v>
      </c>
      <c r="D168" s="80" t="s">
        <v>161</v>
      </c>
      <c r="E168" s="410">
        <f>TRUNC(SUM(G14:G163),2)</f>
        <v>402</v>
      </c>
      <c r="F168" s="275" t="s">
        <v>29</v>
      </c>
      <c r="I168" s="127"/>
      <c r="J168" s="127"/>
      <c r="K168" s="127"/>
      <c r="Z168" s="127"/>
    </row>
    <row r="169" spans="1:28" s="128" customFormat="1" ht="18" customHeight="1" x14ac:dyDescent="0.2">
      <c r="A169" s="236"/>
      <c r="B169" s="74" t="s">
        <v>32</v>
      </c>
      <c r="C169" s="197" t="s">
        <v>23</v>
      </c>
      <c r="D169" s="80"/>
      <c r="E169" s="410">
        <f>TRUNC(IFERROR(E167/E168,0),2)</f>
        <v>1</v>
      </c>
      <c r="F169" s="275" t="s">
        <v>36</v>
      </c>
      <c r="I169" s="127"/>
      <c r="J169" s="127"/>
      <c r="K169" s="127"/>
      <c r="Z169" s="127"/>
    </row>
    <row r="170" spans="1:28" s="128" customFormat="1" ht="18" hidden="1" customHeight="1" x14ac:dyDescent="0.2">
      <c r="A170" s="236"/>
      <c r="B170" s="74" t="s">
        <v>217</v>
      </c>
      <c r="C170" s="197" t="s">
        <v>218</v>
      </c>
      <c r="D170" s="80" t="str">
        <f>IF(Instructions!$N$166=1,Instructions!$G$72,Instructions!$H$72)</f>
        <v>(cfm per person)</v>
      </c>
      <c r="E170" s="269"/>
      <c r="F170" s="275"/>
      <c r="I170" s="127"/>
      <c r="J170" s="127"/>
      <c r="K170" s="127"/>
      <c r="Z170" s="127"/>
    </row>
    <row r="171" spans="1:28" s="128" customFormat="1" ht="18" hidden="1" customHeight="1" x14ac:dyDescent="0.2">
      <c r="A171" s="236"/>
      <c r="B171" s="74" t="s">
        <v>219</v>
      </c>
      <c r="C171" s="197" t="s">
        <v>220</v>
      </c>
      <c r="D171" s="80" t="str">
        <f>IF(Instructions!$N$166=1,Instructions!$I$72,Instructions!$J$72)</f>
        <v xml:space="preserve">(cfm per sq ft) </v>
      </c>
      <c r="E171" s="269"/>
      <c r="F171" s="275"/>
      <c r="I171" s="127"/>
      <c r="J171" s="127"/>
      <c r="K171" s="127"/>
      <c r="Z171" s="127"/>
    </row>
    <row r="172" spans="1:28" s="128" customFormat="1" ht="18" customHeight="1" x14ac:dyDescent="0.2">
      <c r="A172" s="236"/>
      <c r="B172" s="74" t="s">
        <v>33</v>
      </c>
      <c r="C172" s="197" t="s">
        <v>21</v>
      </c>
      <c r="D172" s="195" t="str">
        <f>IF(Instructions!$N$166=1,"(cfm)","(l/s)")</f>
        <v>(cfm)</v>
      </c>
      <c r="E172" s="193">
        <f>TRUNC(IF(ISBLANK($E$167),0,IF(credit=2,IF(D8="No",E170*E167+E171*E166,E169*SUM(J14:J163)+SUM(K14:K163)),IF(D8="No",(E170*E167+E171*E166)*1.3,(E169*SUM(J14:J163)+SUM(K14:K163))*1.3))),2)</f>
        <v>3522.42</v>
      </c>
      <c r="F172" s="275" t="str">
        <f>IF(credit=1,IF($D$8="Yes","(D ∑ (Rp Pz) + ∑(Ra Az))*1.3","((Rp system Ps) + (Ra system As))*1.3"),IF($D$8="Yes","D ∑ (Rp Pz) + ∑(Ra Az)","(Rp system Ps) + (Ra system As)"))</f>
        <v>D ∑ (Rp Pz) + ∑(Ra Az)</v>
      </c>
      <c r="I172" s="129"/>
      <c r="J172" s="129"/>
      <c r="K172" s="129"/>
      <c r="Z172" s="127"/>
    </row>
    <row r="173" spans="1:28" s="128" customFormat="1" ht="18" customHeight="1" x14ac:dyDescent="0.2">
      <c r="A173" s="236"/>
      <c r="B173" s="74" t="s">
        <v>221</v>
      </c>
      <c r="C173" s="197" t="s">
        <v>22</v>
      </c>
      <c r="D173" s="195" t="str">
        <f>IF(Instructions!$N$166=1,"(cfm)","(l/s)")</f>
        <v>(cfm)</v>
      </c>
      <c r="E173" s="192">
        <v>12733</v>
      </c>
      <c r="F173" s="275"/>
      <c r="I173" s="127"/>
      <c r="J173" s="127"/>
      <c r="K173" s="127"/>
      <c r="Z173" s="127"/>
    </row>
    <row r="174" spans="1:28" s="128" customFormat="1" ht="18" customHeight="1" x14ac:dyDescent="0.2">
      <c r="A174" s="236"/>
      <c r="B174" s="76" t="s">
        <v>34</v>
      </c>
      <c r="C174" s="198" t="s">
        <v>19</v>
      </c>
      <c r="D174" s="77"/>
      <c r="E174" s="405">
        <f>TRUNC(IFERROR(E172/Airflow_cz,0),2)</f>
        <v>0.27</v>
      </c>
      <c r="F174" s="275" t="s">
        <v>20</v>
      </c>
      <c r="I174" s="130"/>
      <c r="J174" s="130"/>
      <c r="K174" s="130"/>
      <c r="Z174" s="127"/>
    </row>
    <row r="175" spans="1:28" ht="15" customHeight="1" x14ac:dyDescent="0.2">
      <c r="B175" s="131" t="s">
        <v>169</v>
      </c>
      <c r="C175" s="199"/>
      <c r="D175" s="132"/>
      <c r="E175" s="133"/>
      <c r="F175" s="276"/>
      <c r="G175" s="10"/>
      <c r="H175" s="10"/>
      <c r="I175" s="134"/>
      <c r="J175" s="134"/>
      <c r="K175" s="134"/>
      <c r="Z175" s="134"/>
    </row>
    <row r="176" spans="1:28" s="128" customFormat="1" ht="33" customHeight="1" x14ac:dyDescent="0.2">
      <c r="A176" s="236"/>
      <c r="B176" s="491" t="s">
        <v>222</v>
      </c>
      <c r="C176" s="492"/>
      <c r="D176" s="493"/>
      <c r="E176" s="218" t="s">
        <v>449</v>
      </c>
      <c r="F176" s="275"/>
      <c r="I176" s="130"/>
      <c r="J176" s="130"/>
      <c r="K176" s="130"/>
      <c r="Z176" s="130"/>
    </row>
    <row r="177" spans="1:26" s="128" customFormat="1" ht="18" hidden="1" customHeight="1" x14ac:dyDescent="0.2">
      <c r="A177" s="236"/>
      <c r="B177" s="213" t="s">
        <v>228</v>
      </c>
      <c r="C177" s="214" t="s">
        <v>30</v>
      </c>
      <c r="D177" s="215"/>
      <c r="E177" s="379">
        <f>MAX($Q$14:$Q$163)</f>
        <v>0.39</v>
      </c>
      <c r="F177" s="275"/>
      <c r="G177" s="381"/>
      <c r="I177" s="130"/>
      <c r="J177" s="130"/>
      <c r="K177" s="130"/>
      <c r="Z177" s="130"/>
    </row>
    <row r="178" spans="1:26" s="128" customFormat="1" ht="18" hidden="1" customHeight="1" x14ac:dyDescent="0.2">
      <c r="A178" s="236"/>
      <c r="B178" s="213" t="s">
        <v>229</v>
      </c>
      <c r="C178" s="214" t="s">
        <v>16</v>
      </c>
      <c r="D178" s="215"/>
      <c r="E178" s="379">
        <f>IF(E177&gt;0,IF(E177=0,1.15,IF(E177&gt;0.55,"Use Appendix A",VLOOKUP(E177,Instructions!$N$252:$O$306,2,TRUE))),0)</f>
        <v>0.75999999999999979</v>
      </c>
      <c r="F178" s="275"/>
      <c r="I178" s="127"/>
      <c r="J178" s="127"/>
      <c r="K178" s="127"/>
      <c r="Z178" s="127"/>
    </row>
    <row r="179" spans="1:26" s="128" customFormat="1" ht="18" hidden="1" customHeight="1" x14ac:dyDescent="0.2">
      <c r="A179" s="236"/>
      <c r="B179" s="262" t="s">
        <v>223</v>
      </c>
      <c r="C179" s="263"/>
      <c r="D179" s="264"/>
      <c r="E179" s="265">
        <f t="array" ref="E179">MIN(IF($C$14:$D$163&gt;0,$W$14:$W$163))</f>
        <v>0.88</v>
      </c>
      <c r="F179" s="275"/>
      <c r="I179" s="135"/>
      <c r="J179" s="135"/>
      <c r="K179" s="135"/>
      <c r="Z179" s="135"/>
    </row>
    <row r="180" spans="1:26" s="128" customFormat="1" ht="18" hidden="1" customHeight="1" x14ac:dyDescent="0.2">
      <c r="A180" s="236"/>
      <c r="B180" s="262" t="s">
        <v>224</v>
      </c>
      <c r="C180" s="263"/>
      <c r="D180" s="264"/>
      <c r="E180" s="373" t="str">
        <f>VLOOKUP(E177,Q14:AB163,12,FALSE)</f>
        <v>250001 - Reception</v>
      </c>
      <c r="F180" s="275"/>
      <c r="I180" s="135"/>
      <c r="J180" s="135"/>
      <c r="K180" s="135"/>
      <c r="Y180" s="224" t="s">
        <v>233</v>
      </c>
      <c r="Z180" s="225" t="s">
        <v>234</v>
      </c>
    </row>
    <row r="181" spans="1:26" s="128" customFormat="1" ht="18" customHeight="1" x14ac:dyDescent="0.2">
      <c r="A181" s="236"/>
      <c r="B181" s="74" t="s">
        <v>170</v>
      </c>
      <c r="C181" s="197" t="s">
        <v>124</v>
      </c>
      <c r="D181" s="79"/>
      <c r="E181" s="193">
        <f>IF($E176="Table 6-3",$E178,$E179)</f>
        <v>0.75999999999999979</v>
      </c>
      <c r="F181" s="275" t="str">
        <f>IF(AND(E176&lt;&gt;"Table 6-3",E176&lt;&gt;"Appendix A")," ", "Ventilation efficiency from critical zone")</f>
        <v>Ventilation efficiency from critical zone</v>
      </c>
      <c r="I181" s="135"/>
      <c r="J181" s="135"/>
      <c r="K181" s="135"/>
      <c r="Y181" s="193">
        <f>IF($E176="Table 6-3",$E178,$E179)</f>
        <v>0.75999999999999979</v>
      </c>
      <c r="Z181" s="295"/>
    </row>
    <row r="182" spans="1:26" customFormat="1" ht="18" customHeight="1" x14ac:dyDescent="0.25">
      <c r="A182" s="237"/>
      <c r="B182" s="76" t="str">
        <f>IF(credit=1,"Outdoor air intake flow (30% above 62.1 requirement)","Outdoor air intake flow (required by 62.1)")</f>
        <v>Outdoor air intake flow (required by 62.1)</v>
      </c>
      <c r="C182" s="198" t="s">
        <v>237</v>
      </c>
      <c r="D182" s="81" t="str">
        <f>IF(Instructions!$N$166=1,"(cfm)","(l/s)")</f>
        <v>(cfm)</v>
      </c>
      <c r="E182" s="408">
        <f>IFERROR(E172/E181,0)</f>
        <v>4634.7631578947385</v>
      </c>
      <c r="F182" s="275" t="s">
        <v>226</v>
      </c>
    </row>
    <row r="183" spans="1:26" customFormat="1" ht="15" customHeight="1" x14ac:dyDescent="0.25">
      <c r="A183" s="237"/>
      <c r="F183" s="277"/>
    </row>
    <row r="184" spans="1:26" customFormat="1" ht="18" customHeight="1" x14ac:dyDescent="0.25">
      <c r="A184" s="237"/>
      <c r="B184" s="200" t="s">
        <v>227</v>
      </c>
      <c r="C184" s="201"/>
      <c r="D184" s="202" t="str">
        <f>IF(Instructions!$N$166=1,"(cfm)","(l/s)")</f>
        <v>(cfm)</v>
      </c>
      <c r="E184" s="260">
        <v>5900</v>
      </c>
      <c r="F184" s="275"/>
    </row>
    <row r="185" spans="1:26" x14ac:dyDescent="0.2">
      <c r="F185" s="278"/>
    </row>
  </sheetData>
  <sheetProtection algorithmName="SHA-512" hashValue="YkI/E3LpO1idTsra/eOCA85jDM/ECGJQ1rnakIPFp7AWrop3UIdKcCQYNHgwrFx559AkkXiS10cAtDVIkQ/qkQ==" saltValue="co1nGL15xHnLNpMzkCOocA==" spinCount="100000" sheet="1" objects="1" scenarios="1" formatRows="0"/>
  <mergeCells count="160">
    <mergeCell ref="C160:D160"/>
    <mergeCell ref="C161:D161"/>
    <mergeCell ref="C154:D154"/>
    <mergeCell ref="C155:D155"/>
    <mergeCell ref="C156:D156"/>
    <mergeCell ref="C157:D157"/>
    <mergeCell ref="C158:D158"/>
    <mergeCell ref="C159:D159"/>
    <mergeCell ref="C148:D148"/>
    <mergeCell ref="C149:D149"/>
    <mergeCell ref="C150:D150"/>
    <mergeCell ref="C151:D151"/>
    <mergeCell ref="C152:D152"/>
    <mergeCell ref="C153:D153"/>
    <mergeCell ref="C142:D142"/>
    <mergeCell ref="C143:D143"/>
    <mergeCell ref="C144:D144"/>
    <mergeCell ref="C145:D145"/>
    <mergeCell ref="C146:D146"/>
    <mergeCell ref="C147:D147"/>
    <mergeCell ref="C136:D136"/>
    <mergeCell ref="C137:D137"/>
    <mergeCell ref="C138:D138"/>
    <mergeCell ref="C139:D139"/>
    <mergeCell ref="C140:D140"/>
    <mergeCell ref="C141:D141"/>
    <mergeCell ref="C130:D130"/>
    <mergeCell ref="C131:D131"/>
    <mergeCell ref="C132:D132"/>
    <mergeCell ref="C133:D133"/>
    <mergeCell ref="C134:D134"/>
    <mergeCell ref="C135:D135"/>
    <mergeCell ref="C124:D124"/>
    <mergeCell ref="C125:D125"/>
    <mergeCell ref="C126:D126"/>
    <mergeCell ref="C127:D127"/>
    <mergeCell ref="C128:D128"/>
    <mergeCell ref="C129:D129"/>
    <mergeCell ref="C118:D118"/>
    <mergeCell ref="C119:D119"/>
    <mergeCell ref="C120:D120"/>
    <mergeCell ref="C121:D121"/>
    <mergeCell ref="C122:D122"/>
    <mergeCell ref="C123:D123"/>
    <mergeCell ref="C112:D112"/>
    <mergeCell ref="C113:D113"/>
    <mergeCell ref="C114:D114"/>
    <mergeCell ref="C115:D115"/>
    <mergeCell ref="C116:D116"/>
    <mergeCell ref="C117:D117"/>
    <mergeCell ref="C106:D106"/>
    <mergeCell ref="C107:D107"/>
    <mergeCell ref="C108:D108"/>
    <mergeCell ref="C109:D109"/>
    <mergeCell ref="C110:D110"/>
    <mergeCell ref="C111:D111"/>
    <mergeCell ref="C100:D100"/>
    <mergeCell ref="C101:D101"/>
    <mergeCell ref="C102:D102"/>
    <mergeCell ref="C103:D103"/>
    <mergeCell ref="C104:D104"/>
    <mergeCell ref="C105:D105"/>
    <mergeCell ref="C94:D94"/>
    <mergeCell ref="C95:D95"/>
    <mergeCell ref="C96:D96"/>
    <mergeCell ref="C97:D97"/>
    <mergeCell ref="C98:D98"/>
    <mergeCell ref="C99:D99"/>
    <mergeCell ref="C88:D88"/>
    <mergeCell ref="C89:D89"/>
    <mergeCell ref="C90:D90"/>
    <mergeCell ref="C91:D91"/>
    <mergeCell ref="C92:D92"/>
    <mergeCell ref="C93:D93"/>
    <mergeCell ref="C82:D82"/>
    <mergeCell ref="C83:D83"/>
    <mergeCell ref="C84:D84"/>
    <mergeCell ref="C85:D85"/>
    <mergeCell ref="C86:D86"/>
    <mergeCell ref="C87:D87"/>
    <mergeCell ref="C76:D76"/>
    <mergeCell ref="C77:D77"/>
    <mergeCell ref="C78:D78"/>
    <mergeCell ref="C79:D79"/>
    <mergeCell ref="C80:D80"/>
    <mergeCell ref="C81:D81"/>
    <mergeCell ref="C70:D70"/>
    <mergeCell ref="C71:D71"/>
    <mergeCell ref="C72:D72"/>
    <mergeCell ref="C73:D73"/>
    <mergeCell ref="C74:D74"/>
    <mergeCell ref="C75:D75"/>
    <mergeCell ref="C64:D64"/>
    <mergeCell ref="C65:D65"/>
    <mergeCell ref="C66:D66"/>
    <mergeCell ref="C67:D67"/>
    <mergeCell ref="C68:D68"/>
    <mergeCell ref="C69:D69"/>
    <mergeCell ref="C59:D59"/>
    <mergeCell ref="C60:D60"/>
    <mergeCell ref="C61:D61"/>
    <mergeCell ref="C62:D62"/>
    <mergeCell ref="C63:D63"/>
    <mergeCell ref="C52:D52"/>
    <mergeCell ref="C53:D53"/>
    <mergeCell ref="C54:D54"/>
    <mergeCell ref="C55:D55"/>
    <mergeCell ref="C56:D56"/>
    <mergeCell ref="C57:D57"/>
    <mergeCell ref="C50:D50"/>
    <mergeCell ref="C51:D51"/>
    <mergeCell ref="C40:D40"/>
    <mergeCell ref="C41:D41"/>
    <mergeCell ref="C42:D42"/>
    <mergeCell ref="C43:D43"/>
    <mergeCell ref="C44:D44"/>
    <mergeCell ref="C45:D45"/>
    <mergeCell ref="C58:D58"/>
    <mergeCell ref="C29:D29"/>
    <mergeCell ref="C30:D30"/>
    <mergeCell ref="C31:D31"/>
    <mergeCell ref="C32:D32"/>
    <mergeCell ref="C33:D33"/>
    <mergeCell ref="C46:D46"/>
    <mergeCell ref="C47:D47"/>
    <mergeCell ref="C48:D48"/>
    <mergeCell ref="C49:D49"/>
    <mergeCell ref="C14:D14"/>
    <mergeCell ref="C162:D162"/>
    <mergeCell ref="C163:D163"/>
    <mergeCell ref="C24:D24"/>
    <mergeCell ref="C25:D25"/>
    <mergeCell ref="C26:D26"/>
    <mergeCell ref="C27:D27"/>
    <mergeCell ref="B176:D176"/>
    <mergeCell ref="C15:D15"/>
    <mergeCell ref="C16:D16"/>
    <mergeCell ref="C17:D17"/>
    <mergeCell ref="C18:D18"/>
    <mergeCell ref="C19:D19"/>
    <mergeCell ref="C20:D20"/>
    <mergeCell ref="C21:D21"/>
    <mergeCell ref="C22:D22"/>
    <mergeCell ref="C23:D23"/>
    <mergeCell ref="C34:D34"/>
    <mergeCell ref="C35:D35"/>
    <mergeCell ref="C36:D36"/>
    <mergeCell ref="C37:D37"/>
    <mergeCell ref="C38:D38"/>
    <mergeCell ref="C39:D39"/>
    <mergeCell ref="C28:D28"/>
    <mergeCell ref="B6:C6"/>
    <mergeCell ref="B7:C7"/>
    <mergeCell ref="B8:C8"/>
    <mergeCell ref="B10:B12"/>
    <mergeCell ref="C10:D12"/>
    <mergeCell ref="F10:F12"/>
    <mergeCell ref="J10:J11"/>
    <mergeCell ref="K10:K11"/>
    <mergeCell ref="C13:D13"/>
  </mergeCells>
  <conditionalFormatting sqref="F166:F184">
    <cfRule type="expression" dxfId="2" priority="2">
      <formula>IF($Y$5=TRUE,TRUE,FALSE)</formula>
    </cfRule>
  </conditionalFormatting>
  <conditionalFormatting sqref="W14:W163">
    <cfRule type="cellIs" dxfId="1" priority="1" operator="lessThan">
      <formula>0</formula>
    </cfRule>
  </conditionalFormatting>
  <conditionalFormatting sqref="B14:B163">
    <cfRule type="expression" dxfId="0" priority="3">
      <formula>IF(AND($E$180&gt;0,$B14=$E$180),TRUE,FALSE)</formula>
    </cfRule>
  </conditionalFormatting>
  <dataValidations count="7">
    <dataValidation type="decimal" allowBlank="1" showInputMessage="1" showErrorMessage="1" error="The Zone Primary Air Fraction (Ep) is outside of the allowable range (must be between 0 and 1). Adjust the values for Zone Discharge Airflow (Vdz) or Zone Primary Airflow (Vpz) accordingly._x000a_" sqref="S14:S163" xr:uid="{73B50E71-AFAE-4CE1-A414-FC3F95DDE492}">
      <formula1>0</formula1>
      <formula2>1</formula2>
    </dataValidation>
    <dataValidation type="list" allowBlank="1" showInputMessage="1" sqref="R14:R163" xr:uid="{6B54D37A-4C6E-4B9E-9069-4D74C85459CF}">
      <formula1>"1.2, 1.0, 0.75, 0.5, 0,Other (specify)"</formula1>
    </dataValidation>
    <dataValidation type="list" allowBlank="1" showInputMessage="1" sqref="M14:M163" xr:uid="{095CD7F2-CFF5-4FD3-BFD0-DD77D17FE748}">
      <formula1>"1.2, 1.0, 0.8, 0.7, 0.5, Other (specify)"</formula1>
    </dataValidation>
    <dataValidation type="list" allowBlank="1" showInputMessage="1" sqref="E176" xr:uid="{4353CBAB-C00F-4294-B57B-909216CDD978}">
      <formula1>"Table 6-3, Appendix A, Other (specify)"</formula1>
    </dataValidation>
    <dataValidation type="list" allowBlank="1" showInputMessage="1" showErrorMessage="1" sqref="D8 F14:F163" xr:uid="{A9E98E51-52A4-4D74-9F7F-5BBFA2489BAE}">
      <formula1>"Yes, No"</formula1>
    </dataValidation>
    <dataValidation type="textLength" operator="lessThan" allowBlank="1" showInputMessage="1" showErrorMessage="1" errorTitle="Tab name error" error="Make sure that:_x000a_- The name does not exceed 31 characters_x000a_- The name does not contain any of the following characters&quot; : / \ ? * [ or ]_x000a_- You did not leave the name blank" sqref="D6" xr:uid="{DA1B164F-79FB-46DB-BAAF-D251EBCF0C62}">
      <formula1>31</formula1>
    </dataValidation>
    <dataValidation type="list" allowBlank="1" showInputMessage="1" sqref="D7" xr:uid="{1A8C977B-9B71-41B6-8EEA-522227440400}">
      <formula1>"Heating, Cooling, Other (specify)"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AddMZ">
                <anchor moveWithCells="1">
                  <from>
                    <xdr:col>1</xdr:col>
                    <xdr:colOff>0</xdr:colOff>
                    <xdr:row>163</xdr:row>
                    <xdr:rowOff>142875</xdr:rowOff>
                  </from>
                  <to>
                    <xdr:col>1</xdr:col>
                    <xdr:colOff>1371600</xdr:colOff>
                    <xdr:row>163</xdr:row>
                    <xdr:rowOff>419100</xdr:rowOff>
                  </to>
                </anchor>
              </controlPr>
            </control>
          </mc:Choice>
        </mc:AlternateContent>
        <mc:AlternateContent xmlns:mc="http://schemas.openxmlformats.org/markup-compatibility/2006">
          <mc:Choice Requires="x14">
            <control shapeId="65538" r:id="rId5" name="Button 2">
              <controlPr defaultSize="0" print="0" autoFill="0" autoPict="0" macro="[0]!DeleteRow">
                <anchor moveWithCells="1">
                  <from>
                    <xdr:col>1</xdr:col>
                    <xdr:colOff>1457325</xdr:colOff>
                    <xdr:row>163</xdr:row>
                    <xdr:rowOff>133350</xdr:rowOff>
                  </from>
                  <to>
                    <xdr:col>1</xdr:col>
                    <xdr:colOff>2847975</xdr:colOff>
                    <xdr:row>163</xdr:row>
                    <xdr:rowOff>409575</xdr:rowOff>
                  </to>
                </anchor>
              </controlPr>
            </control>
          </mc:Choice>
        </mc:AlternateContent>
        <mc:AlternateContent xmlns:mc="http://schemas.openxmlformats.org/markup-compatibility/2006">
          <mc:Choice Requires="x14">
            <control shapeId="65539" r:id="rId6" name="Check Box 3">
              <controlPr defaultSize="0" autoFill="0" autoLine="0" autoPict="0" macro="[0]!SimpleCalc">
                <anchor moveWithCells="1">
                  <from>
                    <xdr:col>1</xdr:col>
                    <xdr:colOff>9525</xdr:colOff>
                    <xdr:row>4</xdr:row>
                    <xdr:rowOff>152400</xdr:rowOff>
                  </from>
                  <to>
                    <xdr:col>1</xdr:col>
                    <xdr:colOff>2114550</xdr:colOff>
                    <xdr:row>4</xdr:row>
                    <xdr:rowOff>447675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64BBF6-693B-4387-9B93-CEAC8BE384EA}">
          <x14:formula1>
            <xm:f>IF(Instructions!$K$14="LEED 2009",LEED2009list,IF(Instructions!$K$14="LEED v4",LEEDv4list, LEEDv41lIST))</xm:f>
          </x14:formula1>
          <xm:sqref>C14:D163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2:W24"/>
  <sheetViews>
    <sheetView zoomScale="80" zoomScaleNormal="80" workbookViewId="0">
      <selection activeCell="I29" sqref="I29"/>
    </sheetView>
  </sheetViews>
  <sheetFormatPr defaultColWidth="8.85546875" defaultRowHeight="15" customHeight="1" x14ac:dyDescent="0.25"/>
  <cols>
    <col min="1" max="1" width="2.7109375" style="383" customWidth="1"/>
    <col min="2" max="2" width="2.42578125" style="45" customWidth="1"/>
    <col min="3" max="3" width="2.42578125" style="45" hidden="1" customWidth="1"/>
    <col min="4" max="4" width="30.7109375" style="45" customWidth="1"/>
    <col min="5" max="5" width="20.7109375" style="45" customWidth="1"/>
    <col min="6" max="6" width="14.7109375" style="45" customWidth="1"/>
    <col min="7" max="7" width="20.7109375" style="45" customWidth="1"/>
    <col min="8" max="12" width="14.7109375" style="45" customWidth="1"/>
    <col min="13" max="19" width="14.7109375" style="45" hidden="1" customWidth="1"/>
    <col min="20" max="20" width="12.7109375" style="45" customWidth="1"/>
    <col min="21" max="21" width="8.85546875" style="45" customWidth="1"/>
    <col min="22" max="22" width="8.85546875" style="45" hidden="1" customWidth="1"/>
    <col min="23" max="23" width="8.85546875" style="45" customWidth="1"/>
    <col min="24" max="16384" width="8.85546875" style="45"/>
  </cols>
  <sheetData>
    <row r="2" spans="1:23" ht="15" customHeight="1" x14ac:dyDescent="0.25">
      <c r="B2" s="43"/>
      <c r="C2" s="44">
        <v>1</v>
      </c>
      <c r="D2" s="44"/>
      <c r="E2" s="44"/>
      <c r="F2" s="44"/>
      <c r="G2" s="44"/>
      <c r="H2" s="44"/>
      <c r="I2" s="44"/>
      <c r="J2" s="44"/>
      <c r="K2" s="44"/>
      <c r="L2" s="44"/>
      <c r="M2" s="44"/>
      <c r="N2" s="44"/>
      <c r="O2" s="44"/>
      <c r="P2" s="44"/>
      <c r="Q2" s="44"/>
      <c r="R2" s="44"/>
      <c r="S2" s="44"/>
      <c r="T2" s="438"/>
      <c r="U2" s="439"/>
    </row>
    <row r="3" spans="1:23" ht="24.75" customHeight="1" x14ac:dyDescent="0.25">
      <c r="B3" s="46"/>
      <c r="C3" s="47">
        <v>1</v>
      </c>
      <c r="D3" s="48" t="s">
        <v>134</v>
      </c>
      <c r="E3" s="48"/>
      <c r="F3" s="48"/>
      <c r="G3" s="47"/>
      <c r="H3" s="49"/>
      <c r="I3" s="49"/>
      <c r="J3" s="49"/>
      <c r="K3" s="49"/>
      <c r="L3" s="49"/>
      <c r="M3" s="49"/>
      <c r="N3" s="49"/>
      <c r="O3" s="49"/>
      <c r="P3" s="49"/>
      <c r="Q3" s="49"/>
      <c r="R3" s="49"/>
      <c r="S3" s="49"/>
      <c r="T3" s="49"/>
      <c r="U3" s="416"/>
      <c r="W3" s="420"/>
    </row>
    <row r="4" spans="1:23" ht="15" customHeight="1" x14ac:dyDescent="0.25">
      <c r="B4" s="46"/>
      <c r="C4" s="47">
        <v>1</v>
      </c>
      <c r="D4" s="50" t="s">
        <v>135</v>
      </c>
      <c r="E4" s="50"/>
      <c r="F4" s="50"/>
      <c r="G4" s="47"/>
      <c r="H4" s="51"/>
      <c r="I4" s="49"/>
      <c r="J4" s="49"/>
      <c r="K4" s="49"/>
      <c r="L4" s="49"/>
      <c r="M4" s="49"/>
      <c r="N4" s="49"/>
      <c r="O4" s="49"/>
      <c r="P4" s="49"/>
      <c r="Q4" s="49"/>
      <c r="R4" s="49"/>
      <c r="S4" s="49"/>
      <c r="T4" s="47"/>
      <c r="U4" s="416"/>
      <c r="W4" s="420"/>
    </row>
    <row r="5" spans="1:23" ht="15" customHeight="1" x14ac:dyDescent="0.25">
      <c r="B5" s="46"/>
      <c r="C5" s="47">
        <v>1</v>
      </c>
      <c r="D5" s="47"/>
      <c r="E5" s="47"/>
      <c r="F5" s="47"/>
      <c r="G5" s="51"/>
      <c r="H5" s="51"/>
      <c r="I5" s="49"/>
      <c r="J5" s="49"/>
      <c r="K5" s="49"/>
      <c r="L5" s="49"/>
      <c r="M5" s="49"/>
      <c r="N5" s="49"/>
      <c r="O5" s="49"/>
      <c r="P5" s="49"/>
      <c r="Q5" s="49"/>
      <c r="R5" s="49"/>
      <c r="S5" s="49"/>
      <c r="T5" s="51"/>
      <c r="U5" s="416"/>
      <c r="V5" s="419" t="b">
        <v>1</v>
      </c>
      <c r="W5" s="420"/>
    </row>
    <row r="6" spans="1:23" ht="15" customHeight="1" x14ac:dyDescent="0.25">
      <c r="B6" s="46"/>
      <c r="C6" s="47">
        <v>1</v>
      </c>
      <c r="D6" s="52"/>
      <c r="E6" s="298" t="s">
        <v>230</v>
      </c>
      <c r="F6" s="52"/>
      <c r="G6" s="49"/>
      <c r="H6" s="49"/>
      <c r="I6" s="49"/>
      <c r="J6" s="49"/>
      <c r="K6" s="49"/>
      <c r="L6" s="49"/>
      <c r="M6" s="49"/>
      <c r="N6" s="49"/>
      <c r="O6" s="49"/>
      <c r="P6" s="49"/>
      <c r="Q6" s="49"/>
      <c r="R6" s="49"/>
      <c r="S6" s="49"/>
      <c r="T6" s="49"/>
      <c r="U6" s="416"/>
      <c r="W6" s="420"/>
    </row>
    <row r="7" spans="1:23" ht="15" customHeight="1" x14ac:dyDescent="0.25">
      <c r="B7" s="46"/>
      <c r="C7" s="47">
        <v>1</v>
      </c>
      <c r="D7" s="52"/>
      <c r="E7" s="52"/>
      <c r="F7" s="52"/>
      <c r="G7" s="49"/>
      <c r="H7" s="49"/>
      <c r="I7" s="49"/>
      <c r="J7" s="49"/>
      <c r="K7" s="49"/>
      <c r="L7" s="49"/>
      <c r="M7" s="49"/>
      <c r="N7" s="49"/>
      <c r="O7" s="49"/>
      <c r="P7" s="49"/>
      <c r="Q7" s="49"/>
      <c r="R7" s="49"/>
      <c r="S7" s="49"/>
      <c r="T7" s="49"/>
      <c r="U7" s="416"/>
      <c r="W7" s="420"/>
    </row>
    <row r="8" spans="1:23" ht="69" customHeight="1" x14ac:dyDescent="0.2">
      <c r="B8" s="46"/>
      <c r="C8" s="47">
        <v>1</v>
      </c>
      <c r="D8" s="534" t="s">
        <v>138</v>
      </c>
      <c r="E8" s="537" t="s">
        <v>139</v>
      </c>
      <c r="F8" s="537" t="s">
        <v>255</v>
      </c>
      <c r="G8" s="537" t="s">
        <v>137</v>
      </c>
      <c r="H8" s="288" t="s">
        <v>270</v>
      </c>
      <c r="I8" s="288" t="s">
        <v>271</v>
      </c>
      <c r="J8" s="271" t="str">
        <f>IF(credit=1,"Outdoor Air 
Intake Flow 
(30% above 62.1 requirement)","Outdoor Air 
Intake Flow 
(required by 62.1)")</f>
        <v>Outdoor Air 
Intake Flow 
(required by 62.1)</v>
      </c>
      <c r="K8" s="528" t="s">
        <v>254</v>
      </c>
      <c r="L8" s="530" t="s">
        <v>298</v>
      </c>
      <c r="M8" s="339" t="s">
        <v>272</v>
      </c>
      <c r="N8" s="296" t="s">
        <v>273</v>
      </c>
      <c r="O8" s="524" t="s">
        <v>266</v>
      </c>
      <c r="P8" s="524" t="s">
        <v>267</v>
      </c>
      <c r="Q8" s="524" t="s">
        <v>268</v>
      </c>
      <c r="R8" s="296" t="s">
        <v>274</v>
      </c>
      <c r="S8" s="526" t="s">
        <v>269</v>
      </c>
      <c r="T8" s="521" t="s">
        <v>303</v>
      </c>
      <c r="U8" s="416"/>
      <c r="W8" s="420"/>
    </row>
    <row r="9" spans="1:23" s="299" customFormat="1" ht="15" customHeight="1" x14ac:dyDescent="0.2">
      <c r="A9" s="384" t="s">
        <v>171</v>
      </c>
      <c r="B9" s="300"/>
      <c r="C9" s="301"/>
      <c r="D9" s="535"/>
      <c r="E9" s="538"/>
      <c r="F9" s="538"/>
      <c r="G9" s="538"/>
      <c r="H9" s="302" t="s">
        <v>214</v>
      </c>
      <c r="I9" s="302" t="s">
        <v>25</v>
      </c>
      <c r="J9" s="303" t="s">
        <v>237</v>
      </c>
      <c r="K9" s="529"/>
      <c r="L9" s="531"/>
      <c r="M9" s="340" t="s">
        <v>218</v>
      </c>
      <c r="N9" s="304" t="s">
        <v>220</v>
      </c>
      <c r="O9" s="525"/>
      <c r="P9" s="525"/>
      <c r="Q9" s="525"/>
      <c r="R9" s="305" t="s">
        <v>22</v>
      </c>
      <c r="S9" s="527"/>
      <c r="T9" s="522"/>
      <c r="U9" s="417"/>
      <c r="W9" s="421"/>
    </row>
    <row r="10" spans="1:23" ht="33" customHeight="1" x14ac:dyDescent="0.25">
      <c r="B10" s="46"/>
      <c r="C10" s="47">
        <v>1</v>
      </c>
      <c r="D10" s="536"/>
      <c r="E10" s="539"/>
      <c r="F10" s="539"/>
      <c r="G10" s="539"/>
      <c r="H10" s="289" t="str">
        <f>IF(Instructions!$N$166=2,"(sq m)","(sq ft)")</f>
        <v>(sq ft)</v>
      </c>
      <c r="I10" s="289" t="s">
        <v>161</v>
      </c>
      <c r="J10" s="289" t="str">
        <f>IF(Instructions!$N$166=2,"(L/s)","(cfm)")</f>
        <v>(cfm)</v>
      </c>
      <c r="K10" s="289" t="str">
        <f>IF(Instructions!$N$166=2,"(L/s)","(cfm)")</f>
        <v>(cfm)</v>
      </c>
      <c r="L10" s="531"/>
      <c r="M10" s="422" t="str">
        <f>IF(Instructions!$N$166=1,Instructions!$G$72,Instructions!$H$72)</f>
        <v>(cfm per person)</v>
      </c>
      <c r="N10" s="414" t="str">
        <f>IF(Instructions!$N$166=1,Instructions!$I$72,Instructions!$J$72)</f>
        <v xml:space="preserve">(cfm per sq ft) </v>
      </c>
      <c r="O10" s="525"/>
      <c r="P10" s="525"/>
      <c r="Q10" s="525"/>
      <c r="R10" s="414" t="str">
        <f>IF(Instructions!$N$166=1,"(cfm)","(l/s)")</f>
        <v>(cfm)</v>
      </c>
      <c r="S10" s="527"/>
      <c r="T10" s="523"/>
      <c r="U10" s="416"/>
      <c r="V10" s="299"/>
      <c r="W10" s="420"/>
    </row>
    <row r="11" spans="1:23" ht="21" hidden="1" customHeight="1" x14ac:dyDescent="0.25">
      <c r="B11" s="46"/>
      <c r="C11" s="47"/>
      <c r="D11" s="357" t="s">
        <v>280</v>
      </c>
      <c r="E11" s="353"/>
      <c r="F11" s="354"/>
      <c r="G11" s="353"/>
      <c r="H11" s="355"/>
      <c r="I11" s="356"/>
      <c r="J11" s="355"/>
      <c r="K11" s="355"/>
      <c r="L11" s="424"/>
      <c r="M11" s="425"/>
      <c r="N11" s="425"/>
      <c r="O11" s="426"/>
      <c r="P11" s="425"/>
      <c r="Q11" s="426"/>
      <c r="R11" s="426"/>
      <c r="S11" s="426"/>
      <c r="T11" s="427"/>
      <c r="U11" s="416"/>
      <c r="V11" s="299"/>
      <c r="W11" s="420"/>
    </row>
    <row r="12" spans="1:23" ht="15" hidden="1" customHeight="1" x14ac:dyDescent="0.25">
      <c r="B12" s="46"/>
      <c r="C12" s="47"/>
      <c r="D12" s="362">
        <f>'Single Zone'!$B12</f>
        <v>0</v>
      </c>
      <c r="E12" s="362" t="str">
        <f>'Single Zone'!$B$2</f>
        <v>Single zone</v>
      </c>
      <c r="F12" s="363" t="str">
        <f>IF(E12="Single zone","n/a","")</f>
        <v>n/a</v>
      </c>
      <c r="G12" s="362">
        <f>'Single Zone'!$C12</f>
        <v>0</v>
      </c>
      <c r="H12" s="364">
        <f>'Single Zone'!$E12</f>
        <v>0</v>
      </c>
      <c r="I12" s="365">
        <f>'Single Zone'!G12</f>
        <v>0</v>
      </c>
      <c r="J12" s="364">
        <f>ROUND('Single Zone'!L12,0)</f>
        <v>0</v>
      </c>
      <c r="K12" s="364">
        <f>ROUND('Single Zone'!M12,0)</f>
        <v>0</v>
      </c>
      <c r="L12" s="342" t="str">
        <f t="shared" ref="L12" si="0">IF(AND(K12&gt;0,J12&gt;0,K12&gt;=J12),"Yes","No")</f>
        <v>No</v>
      </c>
      <c r="M12" s="297">
        <f>'Single Zone'!H12</f>
        <v>0</v>
      </c>
      <c r="N12" s="297">
        <f>'Single Zone'!I12</f>
        <v>0</v>
      </c>
      <c r="O12" s="423" t="str">
        <f t="shared" ref="O12:O13" si="1">IF($E12="Single zone","n/a","")</f>
        <v>n/a</v>
      </c>
      <c r="P12" s="297">
        <f>'Single Zone'!K12</f>
        <v>0</v>
      </c>
      <c r="Q12" s="423" t="str">
        <f t="shared" ref="Q12:S13" si="2">IF($E12="Single zone","n/a","")</f>
        <v>n/a</v>
      </c>
      <c r="R12" s="423" t="str">
        <f t="shared" si="2"/>
        <v>n/a</v>
      </c>
      <c r="S12" s="436" t="str">
        <f t="shared" si="2"/>
        <v>n/a</v>
      </c>
      <c r="T12" s="437" t="str">
        <f>IF(E12="Single zone","n/a","")</f>
        <v>n/a</v>
      </c>
      <c r="U12" s="416"/>
      <c r="V12" s="299"/>
      <c r="W12" s="420"/>
    </row>
    <row r="13" spans="1:23" ht="15" hidden="1" customHeight="1" x14ac:dyDescent="0.25">
      <c r="B13" s="46"/>
      <c r="C13" s="47"/>
      <c r="D13" s="362">
        <f>'Single Zone'!$B13</f>
        <v>0</v>
      </c>
      <c r="E13" s="362" t="str">
        <f>'Single Zone'!$B$2</f>
        <v>Single zone</v>
      </c>
      <c r="F13" s="363" t="str">
        <f>IF(E13="Single zone","n/a","")</f>
        <v>n/a</v>
      </c>
      <c r="G13" s="362">
        <f>'Single Zone'!$C13</f>
        <v>0</v>
      </c>
      <c r="H13" s="364">
        <f>'Single Zone'!$E13</f>
        <v>0</v>
      </c>
      <c r="I13" s="365">
        <f>'Single Zone'!G13</f>
        <v>0</v>
      </c>
      <c r="J13" s="364">
        <f>ROUND('Single Zone'!L13,0)</f>
        <v>0</v>
      </c>
      <c r="K13" s="364">
        <f>ROUND('Single Zone'!M13,0)</f>
        <v>0</v>
      </c>
      <c r="L13" s="368" t="str">
        <f t="shared" ref="L13" si="3">IF(AND(K13&gt;0,J13&gt;0,K13&gt;=J13),"Yes","No")</f>
        <v>No</v>
      </c>
      <c r="M13" s="366">
        <f>'Single Zone'!H13</f>
        <v>0</v>
      </c>
      <c r="N13" s="366">
        <f>'Single Zone'!I13</f>
        <v>0</v>
      </c>
      <c r="O13" s="367" t="str">
        <f t="shared" si="1"/>
        <v>n/a</v>
      </c>
      <c r="P13" s="366">
        <f>'Single Zone'!K13</f>
        <v>0</v>
      </c>
      <c r="Q13" s="367" t="str">
        <f t="shared" si="2"/>
        <v>n/a</v>
      </c>
      <c r="R13" s="367" t="str">
        <f t="shared" si="2"/>
        <v>n/a</v>
      </c>
      <c r="S13" s="367" t="str">
        <f t="shared" si="2"/>
        <v>n/a</v>
      </c>
      <c r="T13" s="368" t="str">
        <f>IF(E13="Single zone","n/a","")</f>
        <v>n/a</v>
      </c>
      <c r="U13" s="416"/>
      <c r="V13" s="299"/>
      <c r="W13" s="420"/>
    </row>
    <row r="14" spans="1:23" ht="15" hidden="1" customHeight="1" x14ac:dyDescent="0.25">
      <c r="B14" s="46"/>
      <c r="C14" s="47"/>
      <c r="D14" s="358"/>
      <c r="E14" s="358"/>
      <c r="F14" s="359"/>
      <c r="G14" s="358"/>
      <c r="H14" s="360"/>
      <c r="I14" s="361"/>
      <c r="J14" s="360"/>
      <c r="K14" s="360"/>
      <c r="L14" s="428"/>
      <c r="M14" s="429"/>
      <c r="N14" s="429"/>
      <c r="O14" s="430"/>
      <c r="P14" s="429"/>
      <c r="Q14" s="430"/>
      <c r="R14" s="430"/>
      <c r="S14" s="430"/>
      <c r="T14" s="47"/>
      <c r="U14" s="416"/>
      <c r="V14" s="299"/>
      <c r="W14" s="420"/>
    </row>
    <row r="15" spans="1:23" ht="21" customHeight="1" x14ac:dyDescent="0.25">
      <c r="B15" s="46"/>
      <c r="C15" s="47"/>
      <c r="D15" s="357" t="s">
        <v>282</v>
      </c>
      <c r="E15" s="353"/>
      <c r="F15" s="354"/>
      <c r="G15" s="353"/>
      <c r="H15" s="355"/>
      <c r="I15" s="356"/>
      <c r="J15" s="355"/>
      <c r="K15" s="355"/>
      <c r="L15" s="424"/>
      <c r="M15" s="425"/>
      <c r="N15" s="425"/>
      <c r="O15" s="426"/>
      <c r="P15" s="425"/>
      <c r="Q15" s="426"/>
      <c r="R15" s="426"/>
      <c r="S15" s="426"/>
      <c r="T15" s="427"/>
      <c r="U15" s="416"/>
      <c r="V15" s="299"/>
      <c r="W15" s="420"/>
    </row>
    <row r="16" spans="1:23" ht="15" hidden="1" customHeight="1" x14ac:dyDescent="0.25">
      <c r="B16" s="46"/>
      <c r="C16" s="47">
        <f ca="1">IFERROR(IF(OR(,D16="Multiple Zone",D16="100% OA",D16="Summary",D16="Single Zone",E16="100% Outdoor Air"),0,1),0)</f>
        <v>1</v>
      </c>
      <c r="D16" s="338" t="str">
        <f ca="1">INDEX(MID(Sheets,FIND("]",Sheets)+1,255),ROW(A1),1)</f>
        <v>Instructions</v>
      </c>
      <c r="E16" s="338">
        <f t="shared" ref="E16" ca="1" si="4">INDIRECT("'"&amp;D16&amp;"'!$B$2")</f>
        <v>0</v>
      </c>
      <c r="F16" s="349" t="str">
        <f t="shared" ref="F16" ca="1" si="5">IF(E16="Multiple Zone",INDIRECT("'"&amp;D16&amp;"'!$D$8"),"n/a")</f>
        <v>n/a</v>
      </c>
      <c r="G16" s="338">
        <f t="shared" ref="G16" ca="1" si="6">INDIRECT("'"&amp;D16&amp;"'!$D$7")</f>
        <v>0</v>
      </c>
      <c r="H16" s="270">
        <f t="shared" ref="H16" ca="1" si="7">INDIRECT("'"&amp;D16&amp;"'!$Z$3")</f>
        <v>0</v>
      </c>
      <c r="I16" s="294">
        <f t="shared" ref="I16" ca="1" si="8">INDIRECT("'"&amp;D16&amp;"'!$AA$3")</f>
        <v>0</v>
      </c>
      <c r="J16" s="270">
        <f t="shared" ref="J16" ca="1" si="9">INDIRECT("'"&amp;D16&amp;"'!$AI$3")</f>
        <v>0</v>
      </c>
      <c r="K16" s="270">
        <f t="shared" ref="K16" ca="1" si="10">INDIRECT("'"&amp;D16&amp;"'!$AJ$3")</f>
        <v>0</v>
      </c>
      <c r="L16" s="342" t="str">
        <f t="shared" ref="L16" ca="1" si="11">IF(AND(K16&gt;0,J16&gt;0,K16&gt;=J16),"Yes","No")</f>
        <v>No</v>
      </c>
      <c r="M16" s="341">
        <f t="shared" ref="M16" ca="1" si="12">INDIRECT("'"&amp;D16&amp;"'!$AB$3")</f>
        <v>0</v>
      </c>
      <c r="N16" s="297">
        <f t="shared" ref="N16" ca="1" si="13">INDIRECT("'"&amp;D16&amp;"'!$AC$3")</f>
        <v>0</v>
      </c>
      <c r="O16" s="385">
        <f t="shared" ref="O16" ca="1" si="14">INDIRECT("'"&amp;D16&amp;"'!$AD$3")</f>
        <v>0</v>
      </c>
      <c r="P16" s="297">
        <f t="shared" ref="P16" ca="1" si="15">INDIRECT("'"&amp;D16&amp;"'!$AE$3")</f>
        <v>0</v>
      </c>
      <c r="Q16" s="297">
        <f t="shared" ref="Q16" ca="1" si="16">INDIRECT("'"&amp;D16&amp;"'!$AF$3")</f>
        <v>0</v>
      </c>
      <c r="R16" s="394">
        <f t="shared" ref="R16" ca="1" si="17">INDIRECT("'"&amp;D16&amp;"'!$AG$3")</f>
        <v>0</v>
      </c>
      <c r="S16" s="297">
        <f t="shared" ref="S16" ca="1" si="18">INDIRECT("'"&amp;D16&amp;"'!$AH$3")</f>
        <v>0</v>
      </c>
      <c r="T16" s="342" t="s">
        <v>265</v>
      </c>
      <c r="U16" s="416"/>
      <c r="V16" s="299"/>
      <c r="W16" s="420"/>
    </row>
    <row r="17" spans="1:23" ht="15" customHeight="1" x14ac:dyDescent="0.25">
      <c r="B17" s="46"/>
      <c r="C17" s="47">
        <f t="shared" ref="C17" ca="1" si="19">IFERROR(IF(OR(,D17="Multiple Zone",D17="100% OA",D17="Summary",D17="Single Zone",E17="100% Outdoor Air"),0,1),0)</f>
        <v>1</v>
      </c>
      <c r="D17" s="338" t="str">
        <f ca="1">INDEX(MID(Sheets,FIND("]",Sheets)+1,255),ROW(A5),1)</f>
        <v>AHU-4</v>
      </c>
      <c r="E17" s="338" t="str">
        <f t="shared" ref="E17" ca="1" si="20">INDIRECT("'"&amp;D17&amp;"'!$B$2")</f>
        <v>Multiple zone</v>
      </c>
      <c r="F17" s="349" t="str">
        <f t="shared" ref="F17" ca="1" si="21">IF(E17="Multiple Zone",INDIRECT("'"&amp;D17&amp;"'!$D$8"),"n/a")</f>
        <v>Yes</v>
      </c>
      <c r="G17" s="338" t="str">
        <f t="shared" ref="G17" ca="1" si="22">INDIRECT("'"&amp;D17&amp;"'!$D$7")</f>
        <v>Heating</v>
      </c>
      <c r="H17" s="270">
        <f t="shared" ref="H17" ca="1" si="23">INDIRECT("'"&amp;D17&amp;"'!$Z$3")</f>
        <v>25207</v>
      </c>
      <c r="I17" s="294">
        <f t="shared" ref="I17" ca="1" si="24">INDIRECT("'"&amp;D17&amp;"'!$AA$3")</f>
        <v>402</v>
      </c>
      <c r="J17" s="270">
        <f t="shared" ref="J17" ca="1" si="25">INDIRECT("'"&amp;D17&amp;"'!$AI$3")</f>
        <v>4635</v>
      </c>
      <c r="K17" s="270">
        <f t="shared" ref="K17" ca="1" si="26">INDIRECT("'"&amp;D17&amp;"'!$AJ$3")</f>
        <v>5900</v>
      </c>
      <c r="L17" s="342" t="str">
        <f t="shared" ref="L17" ca="1" si="27">IF(AND(K17&gt;0,J17&gt;0,K17&gt;=J17),"Yes","No")</f>
        <v>Yes</v>
      </c>
      <c r="M17" s="341">
        <f t="shared" ref="M17" ca="1" si="28">INDIRECT("'"&amp;D17&amp;"'!$AB$3")</f>
        <v>5</v>
      </c>
      <c r="N17" s="297">
        <f t="shared" ref="N17" ca="1" si="29">INDIRECT("'"&amp;D17&amp;"'!$AC$3")</f>
        <v>5.9999999999999991E-2</v>
      </c>
      <c r="O17" s="385">
        <f t="shared" ref="O17" ca="1" si="30">INDIRECT("'"&amp;D17&amp;"'!$AD$3")</f>
        <v>1</v>
      </c>
      <c r="P17" s="297">
        <f t="shared" ref="P17" ca="1" si="31">INDIRECT("'"&amp;D17&amp;"'!$AE$3")</f>
        <v>0.79999999999999816</v>
      </c>
      <c r="Q17" s="297">
        <f t="shared" ref="Q17" ca="1" si="32">INDIRECT("'"&amp;D17&amp;"'!$AF$3")</f>
        <v>0.75999999999999979</v>
      </c>
      <c r="R17" s="394">
        <f t="shared" ref="R17" ca="1" si="33">INDIRECT("'"&amp;D17&amp;"'!$AG$3")</f>
        <v>12733</v>
      </c>
      <c r="S17" s="297">
        <f t="shared" ref="S17" ca="1" si="34">INDIRECT("'"&amp;D17&amp;"'!$AH$3")</f>
        <v>0.27</v>
      </c>
      <c r="T17" s="342" t="s">
        <v>265</v>
      </c>
      <c r="U17" s="416"/>
      <c r="V17" s="299"/>
      <c r="W17" s="420"/>
    </row>
    <row r="18" spans="1:23" ht="15" customHeight="1" x14ac:dyDescent="0.25">
      <c r="A18" s="383" t="s">
        <v>136</v>
      </c>
      <c r="B18" s="46"/>
      <c r="C18" s="47"/>
      <c r="D18" s="358"/>
      <c r="E18" s="358"/>
      <c r="F18" s="359"/>
      <c r="G18" s="358"/>
      <c r="H18" s="360"/>
      <c r="I18" s="361"/>
      <c r="J18" s="360"/>
      <c r="K18" s="360"/>
      <c r="L18" s="428"/>
      <c r="M18" s="429"/>
      <c r="N18" s="429"/>
      <c r="O18" s="430"/>
      <c r="P18" s="429"/>
      <c r="Q18" s="430"/>
      <c r="R18" s="430"/>
      <c r="S18" s="430"/>
      <c r="T18" s="47"/>
      <c r="U18" s="416"/>
      <c r="V18" s="299"/>
      <c r="W18" s="420"/>
    </row>
    <row r="19" spans="1:23" ht="18.75" customHeight="1" x14ac:dyDescent="0.25">
      <c r="B19" s="46"/>
      <c r="C19" s="47"/>
      <c r="D19" s="357" t="s">
        <v>283</v>
      </c>
      <c r="E19" s="353"/>
      <c r="F19" s="354"/>
      <c r="G19" s="353"/>
      <c r="H19" s="355"/>
      <c r="I19" s="356"/>
      <c r="J19" s="355"/>
      <c r="K19" s="355"/>
      <c r="L19" s="424"/>
      <c r="M19" s="425"/>
      <c r="N19" s="425"/>
      <c r="O19" s="426"/>
      <c r="P19" s="425"/>
      <c r="Q19" s="426"/>
      <c r="R19" s="426"/>
      <c r="S19" s="426"/>
      <c r="T19" s="427"/>
      <c r="U19" s="416"/>
      <c r="V19" s="299"/>
      <c r="W19" s="420"/>
    </row>
    <row r="20" spans="1:23" ht="15" hidden="1" customHeight="1" x14ac:dyDescent="0.25">
      <c r="B20" s="46"/>
      <c r="C20" s="47">
        <f ca="1">IFERROR(IF(OR(D20="Multiple Zone",D20="100% OA",D20="Summary",D20="Single Zone",E20="Multiple Zone"),0,1),0)</f>
        <v>1</v>
      </c>
      <c r="D20" s="338" t="str">
        <f ca="1">INDEX(MID(Sheets,FIND("]",Sheets)+1,255),ROW(A1),1)</f>
        <v>Instructions</v>
      </c>
      <c r="E20" s="338">
        <f t="shared" ref="E20" ca="1" si="35">INDIRECT("'"&amp;D20&amp;"'!$B$2")</f>
        <v>0</v>
      </c>
      <c r="F20" s="349" t="str">
        <f t="shared" ref="F20" ca="1" si="36">IF(E20="Multiple Zone",INDIRECT("'"&amp;D20&amp;"'!$D$8"),"n/a")</f>
        <v>n/a</v>
      </c>
      <c r="G20" s="338">
        <f t="shared" ref="G20" ca="1" si="37">INDIRECT("'"&amp;D20&amp;"'!$D$7")</f>
        <v>0</v>
      </c>
      <c r="H20" s="270">
        <f t="shared" ref="H20" ca="1" si="38">INDIRECT("'"&amp;D20&amp;"'!$Z$3")</f>
        <v>0</v>
      </c>
      <c r="I20" s="294">
        <f t="shared" ref="I20" ca="1" si="39">INDIRECT("'"&amp;D20&amp;"'!$AA$3")</f>
        <v>0</v>
      </c>
      <c r="J20" s="270">
        <f t="shared" ref="J20" ca="1" si="40">INDIRECT("'"&amp;D20&amp;"'!$AI$3")</f>
        <v>0</v>
      </c>
      <c r="K20" s="270">
        <f t="shared" ref="K20" ca="1" si="41">INDIRECT("'"&amp;D20&amp;"'!$AJ$3")</f>
        <v>0</v>
      </c>
      <c r="L20" s="342" t="str">
        <f t="shared" ref="L20" ca="1" si="42">IF(AND(K20&gt;0,J20&gt;0,K20&gt;=J20),"Yes","No")</f>
        <v>No</v>
      </c>
      <c r="M20" s="341">
        <f t="shared" ref="M20" ca="1" si="43">INDIRECT("'"&amp;D20&amp;"'!$AB$3")</f>
        <v>0</v>
      </c>
      <c r="N20" s="297">
        <f t="shared" ref="N20" ca="1" si="44">INDIRECT("'"&amp;D20&amp;"'!$AC$3")</f>
        <v>0</v>
      </c>
      <c r="O20" s="385">
        <f t="shared" ref="O20" ca="1" si="45">INDIRECT("'"&amp;D20&amp;"'!$AD$3")</f>
        <v>0</v>
      </c>
      <c r="P20" s="297">
        <f t="shared" ref="P20" ca="1" si="46">INDIRECT("'"&amp;D20&amp;"'!$AE$3")</f>
        <v>0</v>
      </c>
      <c r="Q20" s="297">
        <f t="shared" ref="Q20" ca="1" si="47">INDIRECT("'"&amp;D20&amp;"'!$AF$3")</f>
        <v>0</v>
      </c>
      <c r="R20" s="394">
        <f t="shared" ref="R20" ca="1" si="48">INDIRECT("'"&amp;D20&amp;"'!$AG$3")</f>
        <v>0</v>
      </c>
      <c r="S20" s="297">
        <f t="shared" ref="S20" ca="1" si="49">INDIRECT("'"&amp;D20&amp;"'!$AH$3")</f>
        <v>0</v>
      </c>
      <c r="T20" s="342">
        <f ca="1">INDIRECT("'"&amp;$D20&amp;"'!AO7")</f>
        <v>0</v>
      </c>
      <c r="U20" s="416"/>
      <c r="V20" s="299"/>
      <c r="W20" s="420"/>
    </row>
    <row r="21" spans="1:23" ht="15" customHeight="1" x14ac:dyDescent="0.25">
      <c r="A21" s="383" t="s">
        <v>284</v>
      </c>
      <c r="B21" s="46"/>
      <c r="C21" s="47"/>
      <c r="D21" s="358"/>
      <c r="E21" s="358"/>
      <c r="F21" s="359"/>
      <c r="G21" s="358"/>
      <c r="H21" s="360"/>
      <c r="I21" s="361"/>
      <c r="J21" s="360"/>
      <c r="K21" s="360"/>
      <c r="L21" s="428"/>
      <c r="M21" s="429"/>
      <c r="N21" s="429"/>
      <c r="O21" s="430"/>
      <c r="P21" s="429"/>
      <c r="Q21" s="430"/>
      <c r="R21" s="430"/>
      <c r="S21" s="430"/>
      <c r="T21" s="47"/>
      <c r="U21" s="416"/>
      <c r="V21" s="299"/>
      <c r="W21" s="420"/>
    </row>
    <row r="22" spans="1:23" ht="21" customHeight="1" x14ac:dyDescent="0.25">
      <c r="B22" s="46"/>
      <c r="C22" s="47"/>
      <c r="D22" s="532" t="s">
        <v>253</v>
      </c>
      <c r="E22" s="533"/>
      <c r="F22" s="533"/>
      <c r="G22" s="533"/>
      <c r="H22" s="350">
        <f ca="1">SUM(H11:H21)</f>
        <v>25207</v>
      </c>
      <c r="I22" s="351">
        <f ca="1">SUM(I11:I21)</f>
        <v>402</v>
      </c>
      <c r="J22" s="350">
        <f ca="1">SUM(J11:J21)</f>
        <v>4635</v>
      </c>
      <c r="K22" s="431">
        <f ca="1">SUM(K11:K21)</f>
        <v>5900</v>
      </c>
      <c r="L22" s="432"/>
      <c r="M22" s="433"/>
      <c r="N22" s="433"/>
      <c r="O22" s="433"/>
      <c r="P22" s="433"/>
      <c r="Q22" s="433"/>
      <c r="R22" s="434">
        <f ca="1">SUM(R11:R21)</f>
        <v>12733</v>
      </c>
      <c r="S22" s="433"/>
      <c r="T22" s="435"/>
      <c r="U22" s="416"/>
      <c r="V22" s="299"/>
      <c r="W22" s="420"/>
    </row>
    <row r="23" spans="1:23" ht="14.25" customHeight="1" x14ac:dyDescent="0.25">
      <c r="B23" s="320"/>
      <c r="C23" s="53"/>
      <c r="D23" s="53"/>
      <c r="E23" s="53"/>
      <c r="F23" s="53"/>
      <c r="G23" s="53"/>
      <c r="H23" s="53"/>
      <c r="I23" s="53"/>
      <c r="J23" s="53"/>
      <c r="K23" s="53"/>
      <c r="L23" s="53"/>
      <c r="M23" s="53"/>
      <c r="N23" s="53"/>
      <c r="O23" s="53"/>
      <c r="P23" s="53"/>
      <c r="Q23" s="53"/>
      <c r="R23" s="53"/>
      <c r="S23" s="53"/>
      <c r="T23" s="53"/>
      <c r="U23" s="418"/>
      <c r="W23" s="420"/>
    </row>
    <row r="24" spans="1:23" ht="15" customHeight="1" x14ac:dyDescent="0.25">
      <c r="K24" s="54"/>
    </row>
  </sheetData>
  <sheetProtection algorithmName="SHA-512" hashValue="MWxqDpKRTWALN06Ma54zlMiYgf9bw+W4OolDPcUdKoCPH2qk/a80UF0TbHrNP3gNI9eF11t7aasXZpxejF5lpg==" saltValue="A78RTNg22u53hc51d17CpQ==" spinCount="100000" sheet="1" objects="1" scenarios="1" formatRows="0"/>
  <mergeCells count="12">
    <mergeCell ref="K8:K9"/>
    <mergeCell ref="L8:L10"/>
    <mergeCell ref="D22:G22"/>
    <mergeCell ref="D8:D10"/>
    <mergeCell ref="E8:E10"/>
    <mergeCell ref="F8:F10"/>
    <mergeCell ref="G8:G10"/>
    <mergeCell ref="T8:T10"/>
    <mergeCell ref="O8:O10"/>
    <mergeCell ref="P8:P10"/>
    <mergeCell ref="Q8:Q10"/>
    <mergeCell ref="S8:S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refreshSummary">
                <anchor moveWithCells="1" sizeWithCells="1">
                  <from>
                    <xdr:col>3</xdr:col>
                    <xdr:colOff>47625</xdr:colOff>
                    <xdr:row>4</xdr:row>
                    <xdr:rowOff>133350</xdr:rowOff>
                  </from>
                  <to>
                    <xdr:col>3</xdr:col>
                    <xdr:colOff>1419225</xdr:colOff>
                    <xdr:row>6</xdr:row>
                    <xdr:rowOff>19050</xdr:rowOff>
                  </to>
                </anchor>
              </controlPr>
            </control>
          </mc:Choice>
        </mc:AlternateContent>
        <mc:AlternateContent xmlns:mc="http://schemas.openxmlformats.org/markup-compatibility/2006">
          <mc:Choice Requires="x14">
            <control shapeId="13314" r:id="rId5" name="Check Box 2">
              <controlPr defaultSize="0" autoFill="0" autoLine="0" autoPict="0" macro="[0]!SimpleSummary">
                <anchor moveWithCells="1">
                  <from>
                    <xdr:col>4</xdr:col>
                    <xdr:colOff>9525</xdr:colOff>
                    <xdr:row>4</xdr:row>
                    <xdr:rowOff>142875</xdr:rowOff>
                  </from>
                  <to>
                    <xdr:col>5</xdr:col>
                    <xdr:colOff>733425</xdr:colOff>
                    <xdr:row>6</xdr:row>
                    <xdr:rowOff>57150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5A613617A7C5B46826CF6D217F037D7" ma:contentTypeVersion="17" ma:contentTypeDescription="Create a new document." ma:contentTypeScope="" ma:versionID="e999bd87669cd8477f7eb10dc20f5d1a">
  <xsd:schema xmlns:xsd="http://www.w3.org/2001/XMLSchema" xmlns:xs="http://www.w3.org/2001/XMLSchema" xmlns:p="http://schemas.microsoft.com/office/2006/metadata/properties" xmlns:ns1="http://schemas.microsoft.com/sharepoint/v3" xmlns:ns3="ce537f1a-68b8-4212-8072-4597f22b4385" xmlns:ns4="ba895b08-f796-4204-acce-b11d769937f4" targetNamespace="http://schemas.microsoft.com/office/2006/metadata/properties" ma:root="true" ma:fieldsID="f67d12b2bba6bf1c9605a5abf410a527" ns1:_="" ns3:_="" ns4:_="">
    <xsd:import namespace="http://schemas.microsoft.com/sharepoint/v3"/>
    <xsd:import namespace="ce537f1a-68b8-4212-8072-4597f22b4385"/>
    <xsd:import namespace="ba895b08-f796-4204-acce-b11d769937f4"/>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EventHashCode" minOccurs="0"/>
                <xsd:element ref="ns4:MediaServiceGenerationTime" minOccurs="0"/>
                <xsd:element ref="ns4:MediaServiceDateTaken" minOccurs="0"/>
                <xsd:element ref="ns4:MediaServiceAutoTags" minOccurs="0"/>
                <xsd:element ref="ns4:MediaServiceOCR" minOccurs="0"/>
                <xsd:element ref="ns4:MediaServiceLocation"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537f1a-68b8-4212-8072-4597f22b438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ba895b08-f796-4204-acce-b11d769937f4"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ServiceAutoKeyPoints" ma:index="23" nillable="true" ma:displayName="MediaServiceAutoKeyPoints" ma:hidden="true" ma:internalName="MediaServiceAutoKeyPoints" ma:readOnly="true">
      <xsd:simpleType>
        <xsd:restriction base="dms:Note"/>
      </xsd:simpleType>
    </xsd:element>
    <xsd:element name="MediaServiceKeyPoints" ma:index="2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E421838-8ACA-4F41-868C-49CCBF8CFD0C}">
  <ds:schemaRefs>
    <ds:schemaRef ds:uri="http://schemas.microsoft.com/office/2006/metadata/properties"/>
    <ds:schemaRef ds:uri="http://schemas.microsoft.com/office/infopath/2007/PartnerControls"/>
    <ds:schemaRef ds:uri="http://schemas.microsoft.com/sharepoint/v3"/>
  </ds:schemaRefs>
</ds:datastoreItem>
</file>

<file path=customXml/itemProps2.xml><?xml version="1.0" encoding="utf-8"?>
<ds:datastoreItem xmlns:ds="http://schemas.openxmlformats.org/officeDocument/2006/customXml" ds:itemID="{8A40C339-D883-4BD1-9023-2A648712B2FF}">
  <ds:schemaRefs>
    <ds:schemaRef ds:uri="http://schemas.microsoft.com/sharepoint/v3/contenttype/forms"/>
  </ds:schemaRefs>
</ds:datastoreItem>
</file>

<file path=customXml/itemProps3.xml><?xml version="1.0" encoding="utf-8"?>
<ds:datastoreItem xmlns:ds="http://schemas.openxmlformats.org/officeDocument/2006/customXml" ds:itemID="{5915D7F6-61B6-4222-87A5-7DD7E0B244E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e537f1a-68b8-4212-8072-4597f22b4385"/>
    <ds:schemaRef ds:uri="ba895b08-f796-4204-acce-b11d769937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Instructions</vt:lpstr>
      <vt:lpstr>Multiple Zone</vt:lpstr>
      <vt:lpstr>100% OA</vt:lpstr>
      <vt:lpstr>Single Zone</vt:lpstr>
      <vt:lpstr>AHU-4</vt:lpstr>
      <vt:lpstr>Summary</vt:lpstr>
      <vt:lpstr>'AHU-4'!Airflow_allz</vt:lpstr>
      <vt:lpstr>Airflow_allz</vt:lpstr>
      <vt:lpstr>'AHU-4'!Airflow_cz</vt:lpstr>
      <vt:lpstr>Airflow_cz</vt:lpstr>
      <vt:lpstr>'AHU-4'!Allzones</vt:lpstr>
      <vt:lpstr>Allzones</vt:lpstr>
      <vt:lpstr>'AHU-4'!allzones_row</vt:lpstr>
      <vt:lpstr>allzones_row</vt:lpstr>
      <vt:lpstr>'AHU-4'!Area</vt:lpstr>
      <vt:lpstr>Area</vt:lpstr>
      <vt:lpstr>'AHU-4'!Area_allz</vt:lpstr>
      <vt:lpstr>Area_allz</vt:lpstr>
      <vt:lpstr>'AHU-4'!Area_cz</vt:lpstr>
      <vt:lpstr>Area_cz</vt:lpstr>
      <vt:lpstr>credit</vt:lpstr>
      <vt:lpstr>'AHU-4'!criticalzone_row</vt:lpstr>
      <vt:lpstr>criticalzone_row</vt:lpstr>
      <vt:lpstr>'AHU-4'!Equationshow</vt:lpstr>
      <vt:lpstr>Equationshow</vt:lpstr>
      <vt:lpstr>'AHU-4'!Ev</vt:lpstr>
      <vt:lpstr>Ev</vt:lpstr>
      <vt:lpstr>'AHU-4'!Ev_notother</vt:lpstr>
      <vt:lpstr>Ev_notother</vt:lpstr>
      <vt:lpstr>'AHU-4'!Ev_other</vt:lpstr>
      <vt:lpstr>Ev_other</vt:lpstr>
      <vt:lpstr>LEED</vt:lpstr>
      <vt:lpstr>LEED2009list</vt:lpstr>
      <vt:lpstr>LEEDv41lIST</vt:lpstr>
      <vt:lpstr>LEEDv4list</vt:lpstr>
      <vt:lpstr>max_Zpz</vt:lpstr>
      <vt:lpstr>'AHU-4'!Method</vt:lpstr>
      <vt:lpstr>Method</vt:lpstr>
      <vt:lpstr>Occupancy</vt:lpstr>
      <vt:lpstr>'AHU-4'!Otherhide</vt:lpstr>
      <vt:lpstr>Otherhide</vt:lpstr>
      <vt:lpstr>'AHU-4'!simple</vt:lpstr>
      <vt:lpstr>simple</vt:lpstr>
      <vt:lpstr>SZ_Sum</vt:lpstr>
      <vt:lpstr>SZcheck</vt:lpstr>
      <vt:lpstr>'AHU-4'!Tablerow</vt:lpstr>
      <vt:lpstr>Tablerow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Batya Metalitz</dc:creator>
  <cp:lastModifiedBy>Lilliestierna, Noble</cp:lastModifiedBy>
  <dcterms:created xsi:type="dcterms:W3CDTF">2014-10-21T00:39:17Z</dcterms:created>
  <dcterms:modified xsi:type="dcterms:W3CDTF">2022-09-08T21:25:47Z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119d7ea8-3db3-48b3-a446-1d15b113e19f</vt:lpwstr>
  </property>
  <property fmtid="{D5CDD505-2E9C-101B-9397-08002B2CF9AE}" pid="3" name="ContentTypeId">
    <vt:lpwstr>0x01010025A613617A7C5B46826CF6D217F037D7</vt:lpwstr>
  </property>
</Properties>
</file>