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embeddings/oleObject1.bin" ContentType="application/vnd.openxmlformats-officedocument.oleObject"/>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autoCompressPictures="0" defaultThemeVersion="124226"/>
  <mc:AlternateContent xmlns:mc="http://schemas.openxmlformats.org/markup-compatibility/2006">
    <mc:Choice Requires="x15">
      <x15ac:absPath xmlns:x15ac="http://schemas.microsoft.com/office/spreadsheetml/2010/11/ac" url="G:\.shortcut-targets-by-id\1VbAGd2WgfzhSBE9iy63PwBdKiugeimsB\2020 UT Seay\07 Construction Documentation\"/>
    </mc:Choice>
  </mc:AlternateContent>
  <xr:revisionPtr revIDLastSave="0" documentId="13_ncr:1_{DD571EBF-194B-4D02-8205-916AC9AC6AA4}" xr6:coauthVersionLast="47" xr6:coauthVersionMax="47" xr10:uidLastSave="{00000000-0000-0000-0000-000000000000}"/>
  <bookViews>
    <workbookView xWindow="-120" yWindow="-120" windowWidth="20730" windowHeight="11160" tabRatio="799" activeTab="6" xr2:uid="{00000000-000D-0000-FFFF-FFFF00000000}"/>
  </bookViews>
  <sheets>
    <sheet name="Instructions BD+C" sheetId="73" r:id="rId1"/>
    <sheet name="Instructions ID+C" sheetId="83" state="hidden" r:id="rId2"/>
    <sheet name="Materials" sheetId="82" r:id="rId3"/>
    <sheet name="Environ. Product Declarations" sheetId="80" r:id="rId4"/>
    <sheet name="Sourcing of Raw Materials" sheetId="79" r:id="rId5"/>
    <sheet name="Material Ingredients" sheetId="72" r:id="rId6"/>
    <sheet name="Summary" sheetId="81" r:id="rId7"/>
  </sheets>
  <definedNames>
    <definedName name="EPD" localSheetId="3">'Environ. Product Declarations'!#REF!</definedName>
    <definedName name="EPD" localSheetId="2">Materials!$E$117:$E$117</definedName>
    <definedName name="EPD" localSheetId="4">'Sourcing of Raw Materials'!#REF!</definedName>
    <definedName name="EPD">'Material Ingredients'!#REF!</definedName>
    <definedName name="MateialType" localSheetId="3">'Environ. Product Declarations'!#REF!</definedName>
    <definedName name="MateialType" localSheetId="2">Materials!$E$116:$E$116</definedName>
    <definedName name="MateialType" localSheetId="4">'Sourcing of Raw Materials'!#REF!</definedName>
    <definedName name="MateialType">'Material Ingredients'!#REF!</definedName>
    <definedName name="MaterialType" localSheetId="3">'Environ. Product Declarations'!#REF!</definedName>
    <definedName name="MaterialType" localSheetId="2">Materials!$E$116:$E$116</definedName>
    <definedName name="MaterialType" localSheetId="4">'Sourcing of Raw Materials'!#REF!</definedName>
    <definedName name="MaterialType">'Material Ingredients'!#REF!</definedName>
    <definedName name="MaterialType1" localSheetId="2">Materials!$E$114:$E$116</definedName>
    <definedName name="MaterialType1">'Environ. Product Declarations'!#REF!</definedName>
    <definedName name="_xlnm.Print_Area" localSheetId="0">'Instructions BD+C'!$B$44:$G$56</definedName>
    <definedName name="_xlnm.Print_Area" localSheetId="1">'Instructions ID+C'!$B$34:$G$46</definedName>
    <definedName name="_xlnm.Print_Titles" localSheetId="3">'Environ. Product Declarations'!$4:$8</definedName>
    <definedName name="_xlnm.Print_Titles" localSheetId="5">'Material Ingredients'!$7:$8</definedName>
    <definedName name="_xlnm.Print_Titles" localSheetId="2">Materials!$4:$8</definedName>
    <definedName name="_xlnm.Print_Titles" localSheetId="4">'Sourcing of Raw Materials'!$6:$8</definedName>
    <definedName name="YesNo" localSheetId="2">Materials!$E$119:$E$120</definedName>
    <definedName name="YesNo">'Environ. Product Declarations'!#REF!</definedName>
  </definedNames>
  <calcPr calcId="181029" concurrentCalc="0"/>
  <customWorkbookViews>
    <customWorkbookView name="Letter Template" guid="{8F5AAEC0-BAB9-4CA1-848B-2FEB1F9D2809}" maximized="1" windowWidth="796" windowHeight="454" tabRatio="696" activeSheetId="5"/>
  </customWorkbookViews>
  <extLst>
    <ext xmlns:xcalcf="http://schemas.microsoft.com/office/spreadsheetml/2018/calcfeatures" uri="{B58B0392-4F1F-4190-BB64-5DF3571DCE5F}">
      <xcalcf:calcFeatures>
        <xcalcf:feature name="microsoft.com:RD"/>
        <xcalcf:feature name="microsoft.com:FV"/>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G51" i="82" l="1"/>
  <c r="G49" i="82"/>
  <c r="G48" i="82"/>
  <c r="G106" i="82"/>
  <c r="B107" i="72"/>
  <c r="C107" i="72"/>
  <c r="D107" i="72"/>
  <c r="E107" i="72"/>
  <c r="G107" i="72"/>
  <c r="H107" i="72"/>
  <c r="A107" i="72"/>
  <c r="L107" i="72"/>
  <c r="R107" i="72"/>
  <c r="S107" i="72"/>
  <c r="Q107" i="72"/>
  <c r="T107" i="72"/>
  <c r="U107" i="72"/>
  <c r="V107" i="72"/>
  <c r="P107" i="72"/>
  <c r="H108" i="72"/>
  <c r="A108" i="72"/>
  <c r="B108" i="72"/>
  <c r="C108" i="72"/>
  <c r="D108" i="72"/>
  <c r="E108" i="72"/>
  <c r="G108" i="72"/>
  <c r="L108" i="72"/>
  <c r="U108" i="72"/>
  <c r="V108" i="72"/>
  <c r="P108" i="72"/>
  <c r="R108" i="72"/>
  <c r="S108" i="72"/>
  <c r="Q108" i="72"/>
  <c r="T108" i="72"/>
  <c r="B107" i="79"/>
  <c r="C107" i="79"/>
  <c r="D107" i="79"/>
  <c r="E107" i="79"/>
  <c r="G107" i="79"/>
  <c r="H107" i="79"/>
  <c r="A107" i="79"/>
  <c r="K107" i="79"/>
  <c r="N107" i="79"/>
  <c r="H108" i="79"/>
  <c r="A108" i="79"/>
  <c r="B108" i="79"/>
  <c r="C108" i="79"/>
  <c r="D108" i="79"/>
  <c r="E108" i="79"/>
  <c r="G108" i="79"/>
  <c r="K108" i="79"/>
  <c r="N108" i="79"/>
  <c r="P108" i="79"/>
  <c r="R108" i="79"/>
  <c r="T108" i="79"/>
  <c r="V108" i="79"/>
  <c r="Y108" i="79"/>
  <c r="AF108" i="79"/>
  <c r="B107" i="80"/>
  <c r="C107" i="80"/>
  <c r="D107" i="80"/>
  <c r="E107" i="80"/>
  <c r="G107" i="80"/>
  <c r="H107" i="80"/>
  <c r="A107" i="80"/>
  <c r="L107" i="80"/>
  <c r="Q107" i="80"/>
  <c r="R107" i="80"/>
  <c r="S107" i="80"/>
  <c r="P107" i="80"/>
  <c r="B108" i="80"/>
  <c r="C108" i="80"/>
  <c r="D108" i="80"/>
  <c r="E108" i="80"/>
  <c r="G108" i="80"/>
  <c r="H108" i="80"/>
  <c r="A108" i="80"/>
  <c r="L108" i="80"/>
  <c r="Q108" i="80"/>
  <c r="R108" i="80"/>
  <c r="S108" i="80"/>
  <c r="P108" i="80"/>
  <c r="A107" i="82"/>
  <c r="A108" i="82"/>
  <c r="V107" i="79"/>
  <c r="AB108" i="79"/>
  <c r="AE108" i="79"/>
  <c r="AC108" i="79"/>
  <c r="Y107" i="79"/>
  <c r="T107" i="79"/>
  <c r="R107" i="79"/>
  <c r="AF107" i="79"/>
  <c r="P107" i="79"/>
  <c r="AB107" i="79"/>
  <c r="AE107" i="79"/>
  <c r="AC107" i="79"/>
  <c r="B106" i="72"/>
  <c r="C106" i="72"/>
  <c r="D106" i="72"/>
  <c r="E106" i="72"/>
  <c r="G106" i="72"/>
  <c r="H106" i="72"/>
  <c r="A106" i="72"/>
  <c r="L106" i="72"/>
  <c r="R106" i="72"/>
  <c r="S106" i="72"/>
  <c r="Q106" i="72"/>
  <c r="T106" i="72"/>
  <c r="U106" i="72"/>
  <c r="V106" i="72"/>
  <c r="P106" i="72"/>
  <c r="B106" i="79"/>
  <c r="C106" i="79"/>
  <c r="D106" i="79"/>
  <c r="E106" i="79"/>
  <c r="G106" i="79"/>
  <c r="H106" i="79"/>
  <c r="R106" i="79"/>
  <c r="K106" i="79"/>
  <c r="N106" i="79"/>
  <c r="B106" i="80"/>
  <c r="C106" i="80"/>
  <c r="D106" i="80"/>
  <c r="E106" i="80"/>
  <c r="G106" i="80"/>
  <c r="H106" i="80"/>
  <c r="A106" i="80"/>
  <c r="L106" i="80"/>
  <c r="Q106" i="80"/>
  <c r="R106" i="80"/>
  <c r="S106" i="80"/>
  <c r="P106" i="80"/>
  <c r="A106" i="82"/>
  <c r="AF106" i="79"/>
  <c r="Y106" i="79"/>
  <c r="P106" i="79"/>
  <c r="A106" i="79"/>
  <c r="T106" i="79"/>
  <c r="V106" i="79"/>
  <c r="B105" i="72"/>
  <c r="C105" i="72"/>
  <c r="D105" i="72"/>
  <c r="E105" i="72"/>
  <c r="G105" i="72"/>
  <c r="H105" i="72"/>
  <c r="A105" i="72"/>
  <c r="L105" i="72"/>
  <c r="R105" i="72"/>
  <c r="S105" i="72"/>
  <c r="Q105" i="72"/>
  <c r="T105" i="72"/>
  <c r="U105" i="72"/>
  <c r="V105" i="72"/>
  <c r="P105" i="72"/>
  <c r="B105" i="79"/>
  <c r="C105" i="79"/>
  <c r="D105" i="79"/>
  <c r="E105" i="79"/>
  <c r="G105" i="79"/>
  <c r="H105" i="79"/>
  <c r="A105" i="79"/>
  <c r="K105" i="79"/>
  <c r="N105" i="79"/>
  <c r="B105" i="80"/>
  <c r="C105" i="80"/>
  <c r="D105" i="80"/>
  <c r="E105" i="80"/>
  <c r="G105" i="80"/>
  <c r="H105" i="80"/>
  <c r="A105" i="80"/>
  <c r="L105" i="80"/>
  <c r="Q105" i="80"/>
  <c r="R105" i="80"/>
  <c r="S105" i="80"/>
  <c r="P105" i="80"/>
  <c r="A105" i="82"/>
  <c r="AB106" i="79"/>
  <c r="AE106" i="79"/>
  <c r="AC106" i="79"/>
  <c r="R105" i="79"/>
  <c r="Y105" i="79"/>
  <c r="T105" i="79"/>
  <c r="V105" i="79"/>
  <c r="AF105" i="79"/>
  <c r="P105" i="79"/>
  <c r="B104" i="72"/>
  <c r="C104" i="72"/>
  <c r="D104" i="72"/>
  <c r="E104" i="72"/>
  <c r="G104" i="72"/>
  <c r="H104" i="72"/>
  <c r="A104" i="72"/>
  <c r="L104" i="72"/>
  <c r="R104" i="72"/>
  <c r="S104" i="72"/>
  <c r="Q104" i="72"/>
  <c r="T104" i="72"/>
  <c r="U104" i="72"/>
  <c r="V104" i="72"/>
  <c r="P104" i="72"/>
  <c r="B104" i="79"/>
  <c r="C104" i="79"/>
  <c r="D104" i="79"/>
  <c r="E104" i="79"/>
  <c r="G104" i="79"/>
  <c r="H104" i="79"/>
  <c r="A104" i="79"/>
  <c r="K104" i="79"/>
  <c r="N104" i="79"/>
  <c r="B104" i="80"/>
  <c r="C104" i="80"/>
  <c r="D104" i="80"/>
  <c r="E104" i="80"/>
  <c r="G104" i="80"/>
  <c r="H104" i="80"/>
  <c r="A104" i="80"/>
  <c r="L104" i="80"/>
  <c r="Q104" i="80"/>
  <c r="R104" i="80"/>
  <c r="S104" i="80"/>
  <c r="P104" i="80"/>
  <c r="A104" i="82"/>
  <c r="AB105" i="79"/>
  <c r="AE105" i="79"/>
  <c r="AC105" i="79"/>
  <c r="V104" i="79"/>
  <c r="R104" i="79"/>
  <c r="P104" i="79"/>
  <c r="Y104" i="79"/>
  <c r="T104" i="79"/>
  <c r="AF104" i="79"/>
  <c r="B103" i="72"/>
  <c r="C103" i="72"/>
  <c r="D103" i="72"/>
  <c r="E103" i="72"/>
  <c r="G103" i="72"/>
  <c r="H103" i="72"/>
  <c r="A103" i="72"/>
  <c r="L103" i="72"/>
  <c r="R103" i="72"/>
  <c r="S103" i="72"/>
  <c r="Q103" i="72"/>
  <c r="T103" i="72"/>
  <c r="U103" i="72"/>
  <c r="V103" i="72"/>
  <c r="P103" i="72"/>
  <c r="B103" i="79"/>
  <c r="C103" i="79"/>
  <c r="D103" i="79"/>
  <c r="E103" i="79"/>
  <c r="G103" i="79"/>
  <c r="H103" i="79"/>
  <c r="A103" i="79"/>
  <c r="K103" i="79"/>
  <c r="N103" i="79"/>
  <c r="B103" i="80"/>
  <c r="C103" i="80"/>
  <c r="D103" i="80"/>
  <c r="E103" i="80"/>
  <c r="G103" i="80"/>
  <c r="H103" i="80"/>
  <c r="A103" i="80"/>
  <c r="L103" i="80"/>
  <c r="Q103" i="80"/>
  <c r="R103" i="80"/>
  <c r="S103" i="80"/>
  <c r="P103" i="80"/>
  <c r="A103" i="82"/>
  <c r="B102" i="72"/>
  <c r="C102" i="72"/>
  <c r="D102" i="72"/>
  <c r="E102" i="72"/>
  <c r="G102" i="72"/>
  <c r="H102" i="72"/>
  <c r="A102" i="72"/>
  <c r="L102" i="72"/>
  <c r="R102" i="72"/>
  <c r="S102" i="72"/>
  <c r="Q102" i="72"/>
  <c r="T102" i="72"/>
  <c r="U102" i="72"/>
  <c r="V102" i="72"/>
  <c r="P102" i="72"/>
  <c r="B102" i="79"/>
  <c r="C102" i="79"/>
  <c r="D102" i="79"/>
  <c r="E102" i="79"/>
  <c r="G102" i="79"/>
  <c r="H102" i="79"/>
  <c r="A102" i="79"/>
  <c r="K102" i="79"/>
  <c r="N102" i="79"/>
  <c r="B102" i="80"/>
  <c r="C102" i="80"/>
  <c r="D102" i="80"/>
  <c r="E102" i="80"/>
  <c r="G102" i="80"/>
  <c r="H102" i="80"/>
  <c r="A102" i="80"/>
  <c r="L102" i="80"/>
  <c r="Q102" i="80"/>
  <c r="R102" i="80"/>
  <c r="S102" i="80"/>
  <c r="P102" i="80"/>
  <c r="A102" i="82"/>
  <c r="AB104" i="79"/>
  <c r="AE104" i="79"/>
  <c r="AC104" i="79"/>
  <c r="Y103" i="79"/>
  <c r="T103" i="79"/>
  <c r="P103" i="79"/>
  <c r="V103" i="79"/>
  <c r="R103" i="79"/>
  <c r="AF103" i="79"/>
  <c r="Y102" i="79"/>
  <c r="V102" i="79"/>
  <c r="R102" i="79"/>
  <c r="T102" i="79"/>
  <c r="AF102" i="79"/>
  <c r="P102" i="79"/>
  <c r="B101" i="72"/>
  <c r="C101" i="72"/>
  <c r="D101" i="72"/>
  <c r="E101" i="72"/>
  <c r="G101" i="72"/>
  <c r="H101" i="72"/>
  <c r="A101" i="72"/>
  <c r="L101" i="72"/>
  <c r="R101" i="72"/>
  <c r="S101" i="72"/>
  <c r="Q101" i="72"/>
  <c r="T101" i="72"/>
  <c r="U101" i="72"/>
  <c r="V101" i="72"/>
  <c r="P101" i="72"/>
  <c r="B101" i="79"/>
  <c r="C101" i="79"/>
  <c r="D101" i="79"/>
  <c r="E101" i="79"/>
  <c r="G101" i="79"/>
  <c r="H101" i="79"/>
  <c r="R101" i="79"/>
  <c r="K101" i="79"/>
  <c r="B101" i="80"/>
  <c r="C101" i="80"/>
  <c r="D101" i="80"/>
  <c r="E101" i="80"/>
  <c r="G101" i="80"/>
  <c r="H101" i="80"/>
  <c r="A101" i="80"/>
  <c r="L101" i="80"/>
  <c r="Q101" i="80"/>
  <c r="R101" i="80"/>
  <c r="S101" i="80"/>
  <c r="P101" i="80"/>
  <c r="A101" i="82"/>
  <c r="B100" i="72"/>
  <c r="C100" i="72"/>
  <c r="D100" i="72"/>
  <c r="E100" i="72"/>
  <c r="G100" i="72"/>
  <c r="H100" i="72"/>
  <c r="A100" i="72"/>
  <c r="L100" i="72"/>
  <c r="R100" i="72"/>
  <c r="S100" i="72"/>
  <c r="Q100" i="72"/>
  <c r="T100" i="72"/>
  <c r="U100" i="72"/>
  <c r="V100" i="72"/>
  <c r="P100" i="72"/>
  <c r="B100" i="79"/>
  <c r="C100" i="79"/>
  <c r="D100" i="79"/>
  <c r="E100" i="79"/>
  <c r="G100" i="79"/>
  <c r="H100" i="79"/>
  <c r="T100" i="79"/>
  <c r="K100" i="79"/>
  <c r="B100" i="80"/>
  <c r="C100" i="80"/>
  <c r="D100" i="80"/>
  <c r="E100" i="80"/>
  <c r="G100" i="80"/>
  <c r="H100" i="80"/>
  <c r="A100" i="80"/>
  <c r="L100" i="80"/>
  <c r="Q100" i="80"/>
  <c r="R100" i="80"/>
  <c r="S100" i="80"/>
  <c r="P100" i="80"/>
  <c r="A100" i="82"/>
  <c r="B99" i="72"/>
  <c r="C99" i="72"/>
  <c r="D99" i="72"/>
  <c r="E99" i="72"/>
  <c r="G99" i="72"/>
  <c r="H99" i="72"/>
  <c r="A99" i="72"/>
  <c r="L99" i="72"/>
  <c r="R99" i="72"/>
  <c r="S99" i="72"/>
  <c r="Q99" i="72"/>
  <c r="T99" i="72"/>
  <c r="U99" i="72"/>
  <c r="V99" i="72"/>
  <c r="P99" i="72"/>
  <c r="B99" i="79"/>
  <c r="C99" i="79"/>
  <c r="D99" i="79"/>
  <c r="E99" i="79"/>
  <c r="G99" i="79"/>
  <c r="H99" i="79"/>
  <c r="A99" i="79"/>
  <c r="K99" i="79"/>
  <c r="N99" i="79"/>
  <c r="B99" i="80"/>
  <c r="C99" i="80"/>
  <c r="D99" i="80"/>
  <c r="E99" i="80"/>
  <c r="G99" i="80"/>
  <c r="H99" i="80"/>
  <c r="A99" i="80"/>
  <c r="L99" i="80"/>
  <c r="Q99" i="80"/>
  <c r="R99" i="80"/>
  <c r="S99" i="80"/>
  <c r="P99" i="80"/>
  <c r="A99" i="82"/>
  <c r="B98" i="72"/>
  <c r="C98" i="72"/>
  <c r="D98" i="72"/>
  <c r="E98" i="72"/>
  <c r="G98" i="72"/>
  <c r="H98" i="72"/>
  <c r="A98" i="72"/>
  <c r="L98" i="72"/>
  <c r="R98" i="72"/>
  <c r="S98" i="72"/>
  <c r="Q98" i="72"/>
  <c r="T98" i="72"/>
  <c r="U98" i="72"/>
  <c r="V98" i="72"/>
  <c r="P98" i="72"/>
  <c r="B98" i="79"/>
  <c r="C98" i="79"/>
  <c r="D98" i="79"/>
  <c r="E98" i="79"/>
  <c r="G98" i="79"/>
  <c r="H98" i="79"/>
  <c r="A98" i="79"/>
  <c r="K98" i="79"/>
  <c r="N98" i="79"/>
  <c r="B98" i="80"/>
  <c r="C98" i="80"/>
  <c r="D98" i="80"/>
  <c r="E98" i="80"/>
  <c r="G98" i="80"/>
  <c r="H98" i="80"/>
  <c r="A98" i="80"/>
  <c r="L98" i="80"/>
  <c r="Q98" i="80"/>
  <c r="R98" i="80"/>
  <c r="S98" i="80"/>
  <c r="P98" i="80"/>
  <c r="A98" i="82"/>
  <c r="B97" i="72"/>
  <c r="C97" i="72"/>
  <c r="D97" i="72"/>
  <c r="E97" i="72"/>
  <c r="G97" i="72"/>
  <c r="H97" i="72"/>
  <c r="A97" i="72"/>
  <c r="L97" i="72"/>
  <c r="R97" i="72"/>
  <c r="S97" i="72"/>
  <c r="Q97" i="72"/>
  <c r="T97" i="72"/>
  <c r="U97" i="72"/>
  <c r="V97" i="72"/>
  <c r="P97" i="72"/>
  <c r="B97" i="79"/>
  <c r="C97" i="79"/>
  <c r="D97" i="79"/>
  <c r="E97" i="79"/>
  <c r="G97" i="79"/>
  <c r="H97" i="79"/>
  <c r="R97" i="79"/>
  <c r="K97" i="79"/>
  <c r="N97" i="79"/>
  <c r="B97" i="80"/>
  <c r="C97" i="80"/>
  <c r="D97" i="80"/>
  <c r="E97" i="80"/>
  <c r="G97" i="80"/>
  <c r="H97" i="80"/>
  <c r="A97" i="80"/>
  <c r="L97" i="80"/>
  <c r="Q97" i="80"/>
  <c r="R97" i="80"/>
  <c r="S97" i="80"/>
  <c r="P97" i="80"/>
  <c r="A97" i="82"/>
  <c r="AB103" i="79"/>
  <c r="AE103" i="79"/>
  <c r="AC103" i="79"/>
  <c r="N101" i="79"/>
  <c r="R100" i="79"/>
  <c r="N100" i="79"/>
  <c r="AB102" i="79"/>
  <c r="AE102" i="79"/>
  <c r="AC102" i="79"/>
  <c r="AF101" i="79"/>
  <c r="Y101" i="79"/>
  <c r="V101" i="79"/>
  <c r="T101" i="79"/>
  <c r="P101" i="79"/>
  <c r="A101" i="79"/>
  <c r="P100" i="79"/>
  <c r="AF100" i="79"/>
  <c r="A100" i="79"/>
  <c r="V100" i="79"/>
  <c r="Y100" i="79"/>
  <c r="R99" i="79"/>
  <c r="V99" i="79"/>
  <c r="AF99" i="79"/>
  <c r="P99" i="79"/>
  <c r="Y99" i="79"/>
  <c r="T99" i="79"/>
  <c r="AF97" i="79"/>
  <c r="T98" i="79"/>
  <c r="R98" i="79"/>
  <c r="P98" i="79"/>
  <c r="Y98" i="79"/>
  <c r="V98" i="79"/>
  <c r="AF98" i="79"/>
  <c r="P97" i="79"/>
  <c r="A97" i="79"/>
  <c r="V97" i="79"/>
  <c r="Y97" i="79"/>
  <c r="T97" i="79"/>
  <c r="B96" i="72"/>
  <c r="C96" i="72"/>
  <c r="D96" i="72"/>
  <c r="E96" i="72"/>
  <c r="G96" i="72"/>
  <c r="H96" i="72"/>
  <c r="A96" i="72"/>
  <c r="L96" i="72"/>
  <c r="R96" i="72"/>
  <c r="S96" i="72"/>
  <c r="Q96" i="72"/>
  <c r="T96" i="72"/>
  <c r="U96" i="72"/>
  <c r="V96" i="72"/>
  <c r="P96" i="72"/>
  <c r="B96" i="79"/>
  <c r="C96" i="79"/>
  <c r="D96" i="79"/>
  <c r="E96" i="79"/>
  <c r="G96" i="79"/>
  <c r="H96" i="79"/>
  <c r="A96" i="79"/>
  <c r="K96" i="79"/>
  <c r="N96" i="79"/>
  <c r="B96" i="80"/>
  <c r="C96" i="80"/>
  <c r="D96" i="80"/>
  <c r="E96" i="80"/>
  <c r="G96" i="80"/>
  <c r="H96" i="80"/>
  <c r="A96" i="80"/>
  <c r="L96" i="80"/>
  <c r="Q96" i="80"/>
  <c r="R96" i="80"/>
  <c r="S96" i="80"/>
  <c r="P96" i="80"/>
  <c r="A96" i="82"/>
  <c r="AB100" i="79"/>
  <c r="AE100" i="79"/>
  <c r="AC100" i="79"/>
  <c r="AB101" i="79"/>
  <c r="AE101" i="79"/>
  <c r="AC101" i="79"/>
  <c r="AB99" i="79"/>
  <c r="AE99" i="79"/>
  <c r="AC99" i="79"/>
  <c r="AB98" i="79"/>
  <c r="AE98" i="79"/>
  <c r="AC98" i="79"/>
  <c r="AB97" i="79"/>
  <c r="AE97" i="79"/>
  <c r="AC97" i="79"/>
  <c r="Y96" i="79"/>
  <c r="V96" i="79"/>
  <c r="T96" i="79"/>
  <c r="R96" i="79"/>
  <c r="AF96" i="79"/>
  <c r="P96" i="79"/>
  <c r="B95" i="72"/>
  <c r="C95" i="72"/>
  <c r="D95" i="72"/>
  <c r="E95" i="72"/>
  <c r="G95" i="72"/>
  <c r="H95" i="72"/>
  <c r="A95" i="72"/>
  <c r="L95" i="72"/>
  <c r="R95" i="72"/>
  <c r="S95" i="72"/>
  <c r="Q95" i="72"/>
  <c r="T95" i="72"/>
  <c r="U95" i="72"/>
  <c r="V95" i="72"/>
  <c r="P95" i="72"/>
  <c r="B95" i="79"/>
  <c r="C95" i="79"/>
  <c r="D95" i="79"/>
  <c r="E95" i="79"/>
  <c r="G95" i="79"/>
  <c r="H95" i="79"/>
  <c r="A95" i="79"/>
  <c r="K95" i="79"/>
  <c r="N95" i="79"/>
  <c r="B95" i="80"/>
  <c r="C95" i="80"/>
  <c r="D95" i="80"/>
  <c r="E95" i="80"/>
  <c r="G95" i="80"/>
  <c r="H95" i="80"/>
  <c r="A95" i="80"/>
  <c r="L95" i="80"/>
  <c r="Q95" i="80"/>
  <c r="R95" i="80"/>
  <c r="S95" i="80"/>
  <c r="P95" i="80"/>
  <c r="A95" i="82"/>
  <c r="AB96" i="79"/>
  <c r="AE96" i="79"/>
  <c r="AC96" i="79"/>
  <c r="R95" i="79"/>
  <c r="V95" i="79"/>
  <c r="P95" i="79"/>
  <c r="Y95" i="79"/>
  <c r="T95" i="79"/>
  <c r="AF95" i="79"/>
  <c r="B94" i="72"/>
  <c r="C94" i="72"/>
  <c r="D94" i="72"/>
  <c r="E94" i="72"/>
  <c r="G94" i="72"/>
  <c r="H94" i="72"/>
  <c r="A94" i="72"/>
  <c r="L94" i="72"/>
  <c r="R94" i="72"/>
  <c r="S94" i="72"/>
  <c r="Q94" i="72"/>
  <c r="T94" i="72"/>
  <c r="U94" i="72"/>
  <c r="V94" i="72"/>
  <c r="P94" i="72"/>
  <c r="B94" i="79"/>
  <c r="C94" i="79"/>
  <c r="D94" i="79"/>
  <c r="E94" i="79"/>
  <c r="G94" i="79"/>
  <c r="H94" i="79"/>
  <c r="A94" i="79"/>
  <c r="K94" i="79"/>
  <c r="N94" i="79"/>
  <c r="B94" i="80"/>
  <c r="C94" i="80"/>
  <c r="D94" i="80"/>
  <c r="E94" i="80"/>
  <c r="G94" i="80"/>
  <c r="H94" i="80"/>
  <c r="A94" i="80"/>
  <c r="L94" i="80"/>
  <c r="Q94" i="80"/>
  <c r="R94" i="80"/>
  <c r="S94" i="80"/>
  <c r="P94" i="80"/>
  <c r="A94" i="82"/>
  <c r="AB95" i="79"/>
  <c r="AE95" i="79"/>
  <c r="AC95" i="79"/>
  <c r="T94" i="79"/>
  <c r="R94" i="79"/>
  <c r="AF94" i="79"/>
  <c r="P94" i="79"/>
  <c r="Y94" i="79"/>
  <c r="V94" i="79"/>
  <c r="B93" i="72"/>
  <c r="C93" i="72"/>
  <c r="D93" i="72"/>
  <c r="E93" i="72"/>
  <c r="G93" i="72"/>
  <c r="H93" i="72"/>
  <c r="A93" i="72"/>
  <c r="L93" i="72"/>
  <c r="R93" i="72"/>
  <c r="S93" i="72"/>
  <c r="Q93" i="72"/>
  <c r="T93" i="72"/>
  <c r="U93" i="72"/>
  <c r="V93" i="72"/>
  <c r="P93" i="72"/>
  <c r="B93" i="79"/>
  <c r="C93" i="79"/>
  <c r="D93" i="79"/>
  <c r="E93" i="79"/>
  <c r="G93" i="79"/>
  <c r="H93" i="79"/>
  <c r="A93" i="79"/>
  <c r="K93" i="79"/>
  <c r="N93" i="79"/>
  <c r="B93" i="80"/>
  <c r="C93" i="80"/>
  <c r="D93" i="80"/>
  <c r="E93" i="80"/>
  <c r="G93" i="80"/>
  <c r="H93" i="80"/>
  <c r="A93" i="80"/>
  <c r="L93" i="80"/>
  <c r="Q93" i="80"/>
  <c r="R93" i="80"/>
  <c r="S93" i="80"/>
  <c r="P93" i="80"/>
  <c r="A93" i="82"/>
  <c r="AB94" i="79"/>
  <c r="AE94" i="79"/>
  <c r="AC94" i="79"/>
  <c r="Y93" i="79"/>
  <c r="T93" i="79"/>
  <c r="R93" i="79"/>
  <c r="AF93" i="79"/>
  <c r="P93" i="79"/>
  <c r="V93" i="79"/>
  <c r="B92" i="72"/>
  <c r="C92" i="72"/>
  <c r="D92" i="72"/>
  <c r="E92" i="72"/>
  <c r="G92" i="72"/>
  <c r="H92" i="72"/>
  <c r="A92" i="72"/>
  <c r="L92" i="72"/>
  <c r="R92" i="72"/>
  <c r="S92" i="72"/>
  <c r="Q92" i="72"/>
  <c r="T92" i="72"/>
  <c r="U92" i="72"/>
  <c r="V92" i="72"/>
  <c r="P92" i="72"/>
  <c r="B92" i="79"/>
  <c r="C92" i="79"/>
  <c r="D92" i="79"/>
  <c r="E92" i="79"/>
  <c r="G92" i="79"/>
  <c r="H92" i="79"/>
  <c r="A92" i="79"/>
  <c r="K92" i="79"/>
  <c r="N92" i="79"/>
  <c r="B92" i="80"/>
  <c r="C92" i="80"/>
  <c r="D92" i="80"/>
  <c r="E92" i="80"/>
  <c r="G92" i="80"/>
  <c r="H92" i="80"/>
  <c r="A92" i="80"/>
  <c r="L92" i="80"/>
  <c r="Q92" i="80"/>
  <c r="R92" i="80"/>
  <c r="S92" i="80"/>
  <c r="P92" i="80"/>
  <c r="A92" i="82"/>
  <c r="B91" i="72"/>
  <c r="C91" i="72"/>
  <c r="D91" i="72"/>
  <c r="E91" i="72"/>
  <c r="G91" i="72"/>
  <c r="H91" i="72"/>
  <c r="A91" i="72"/>
  <c r="L91" i="72"/>
  <c r="R91" i="72"/>
  <c r="S91" i="72"/>
  <c r="Q91" i="72"/>
  <c r="T91" i="72"/>
  <c r="U91" i="72"/>
  <c r="V91" i="72"/>
  <c r="P91" i="72"/>
  <c r="B91" i="79"/>
  <c r="C91" i="79"/>
  <c r="D91" i="79"/>
  <c r="E91" i="79"/>
  <c r="G91" i="79"/>
  <c r="H91" i="79"/>
  <c r="A91" i="79"/>
  <c r="K91" i="79"/>
  <c r="N91" i="79"/>
  <c r="B91" i="80"/>
  <c r="C91" i="80"/>
  <c r="D91" i="80"/>
  <c r="E91" i="80"/>
  <c r="G91" i="80"/>
  <c r="H91" i="80"/>
  <c r="A91" i="80"/>
  <c r="L91" i="80"/>
  <c r="Q91" i="80"/>
  <c r="R91" i="80"/>
  <c r="S91" i="80"/>
  <c r="P91" i="80"/>
  <c r="A91" i="82"/>
  <c r="AB93" i="79"/>
  <c r="AE93" i="79"/>
  <c r="AC93" i="79"/>
  <c r="V92" i="79"/>
  <c r="T92" i="79"/>
  <c r="R92" i="79"/>
  <c r="Y92" i="79"/>
  <c r="AF92" i="79"/>
  <c r="P92" i="79"/>
  <c r="T91" i="79"/>
  <c r="R91" i="79"/>
  <c r="Y91" i="79"/>
  <c r="V91" i="79"/>
  <c r="AF91" i="79"/>
  <c r="P91" i="79"/>
  <c r="B90" i="72"/>
  <c r="C90" i="72"/>
  <c r="D90" i="72"/>
  <c r="E90" i="72"/>
  <c r="G90" i="72"/>
  <c r="H90" i="72"/>
  <c r="A90" i="72"/>
  <c r="L90" i="72"/>
  <c r="R90" i="72"/>
  <c r="S90" i="72"/>
  <c r="Q90" i="72"/>
  <c r="T90" i="72"/>
  <c r="U90" i="72"/>
  <c r="V90" i="72"/>
  <c r="P90" i="72"/>
  <c r="B90" i="79"/>
  <c r="C90" i="79"/>
  <c r="D90" i="79"/>
  <c r="E90" i="79"/>
  <c r="G90" i="79"/>
  <c r="H90" i="79"/>
  <c r="A90" i="79"/>
  <c r="K90" i="79"/>
  <c r="N90" i="79"/>
  <c r="B90" i="80"/>
  <c r="C90" i="80"/>
  <c r="D90" i="80"/>
  <c r="E90" i="80"/>
  <c r="G90" i="80"/>
  <c r="H90" i="80"/>
  <c r="A90" i="80"/>
  <c r="L90" i="80"/>
  <c r="Q90" i="80"/>
  <c r="R90" i="80"/>
  <c r="S90" i="80"/>
  <c r="P90" i="80"/>
  <c r="A90" i="82"/>
  <c r="B89" i="72"/>
  <c r="C89" i="72"/>
  <c r="D89" i="72"/>
  <c r="E89" i="72"/>
  <c r="G89" i="72"/>
  <c r="H89" i="72"/>
  <c r="A89" i="72"/>
  <c r="L89" i="72"/>
  <c r="R89" i="72"/>
  <c r="S89" i="72"/>
  <c r="Q89" i="72"/>
  <c r="T89" i="72"/>
  <c r="U89" i="72"/>
  <c r="V89" i="72"/>
  <c r="P89" i="72"/>
  <c r="B89" i="79"/>
  <c r="C89" i="79"/>
  <c r="D89" i="79"/>
  <c r="E89" i="79"/>
  <c r="G89" i="79"/>
  <c r="H89" i="79"/>
  <c r="A89" i="79"/>
  <c r="K89" i="79"/>
  <c r="N89" i="79"/>
  <c r="B89" i="80"/>
  <c r="C89" i="80"/>
  <c r="D89" i="80"/>
  <c r="E89" i="80"/>
  <c r="G89" i="80"/>
  <c r="H89" i="80"/>
  <c r="A89" i="80"/>
  <c r="L89" i="80"/>
  <c r="Q89" i="80"/>
  <c r="R89" i="80"/>
  <c r="S89" i="80"/>
  <c r="P89" i="80"/>
  <c r="A89" i="82"/>
  <c r="B88" i="72"/>
  <c r="C88" i="72"/>
  <c r="D88" i="72"/>
  <c r="E88" i="72"/>
  <c r="G88" i="72"/>
  <c r="H88" i="72"/>
  <c r="A88" i="72"/>
  <c r="L88" i="72"/>
  <c r="R88" i="72"/>
  <c r="S88" i="72"/>
  <c r="Q88" i="72"/>
  <c r="T88" i="72"/>
  <c r="U88" i="72"/>
  <c r="V88" i="72"/>
  <c r="P88" i="72"/>
  <c r="B88" i="79"/>
  <c r="C88" i="79"/>
  <c r="D88" i="79"/>
  <c r="E88" i="79"/>
  <c r="G88" i="79"/>
  <c r="H88" i="79"/>
  <c r="A88" i="79"/>
  <c r="K88" i="79"/>
  <c r="N88" i="79"/>
  <c r="B88" i="80"/>
  <c r="C88" i="80"/>
  <c r="D88" i="80"/>
  <c r="E88" i="80"/>
  <c r="G88" i="80"/>
  <c r="H88" i="80"/>
  <c r="A88" i="80"/>
  <c r="L88" i="80"/>
  <c r="Q88" i="80"/>
  <c r="R88" i="80"/>
  <c r="S88" i="80"/>
  <c r="P88" i="80"/>
  <c r="A88" i="82"/>
  <c r="B87" i="72"/>
  <c r="C87" i="72"/>
  <c r="D87" i="72"/>
  <c r="E87" i="72"/>
  <c r="G87" i="72"/>
  <c r="H87" i="72"/>
  <c r="A87" i="72"/>
  <c r="L87" i="72"/>
  <c r="R87" i="72"/>
  <c r="S87" i="72"/>
  <c r="Q87" i="72"/>
  <c r="T87" i="72"/>
  <c r="U87" i="72"/>
  <c r="V87" i="72"/>
  <c r="P87" i="72"/>
  <c r="B87" i="79"/>
  <c r="C87" i="79"/>
  <c r="D87" i="79"/>
  <c r="E87" i="79"/>
  <c r="G87" i="79"/>
  <c r="H87" i="79"/>
  <c r="A87" i="79"/>
  <c r="K87" i="79"/>
  <c r="N87" i="79"/>
  <c r="B87" i="80"/>
  <c r="C87" i="80"/>
  <c r="D87" i="80"/>
  <c r="E87" i="80"/>
  <c r="G87" i="80"/>
  <c r="H87" i="80"/>
  <c r="A87" i="80"/>
  <c r="L87" i="80"/>
  <c r="Q87" i="80"/>
  <c r="R87" i="80"/>
  <c r="S87" i="80"/>
  <c r="P87" i="80"/>
  <c r="A87" i="82"/>
  <c r="AB92" i="79"/>
  <c r="AE92" i="79"/>
  <c r="AC92" i="79"/>
  <c r="AB91" i="79"/>
  <c r="AE91" i="79"/>
  <c r="AC91" i="79"/>
  <c r="V90" i="79"/>
  <c r="T90" i="79"/>
  <c r="R90" i="79"/>
  <c r="P90" i="79"/>
  <c r="Y90" i="79"/>
  <c r="AF90" i="79"/>
  <c r="T89" i="79"/>
  <c r="R89" i="79"/>
  <c r="V89" i="79"/>
  <c r="AF89" i="79"/>
  <c r="Y89" i="79"/>
  <c r="P89" i="79"/>
  <c r="Y88" i="79"/>
  <c r="R88" i="79"/>
  <c r="P88" i="79"/>
  <c r="V88" i="79"/>
  <c r="T88" i="79"/>
  <c r="AF88" i="79"/>
  <c r="Y87" i="79"/>
  <c r="V87" i="79"/>
  <c r="T87" i="79"/>
  <c r="R87" i="79"/>
  <c r="AF87" i="79"/>
  <c r="P87" i="79"/>
  <c r="B86" i="72"/>
  <c r="C86" i="72"/>
  <c r="D86" i="72"/>
  <c r="E86" i="72"/>
  <c r="G86" i="72"/>
  <c r="H86" i="72"/>
  <c r="A86" i="72"/>
  <c r="L86" i="72"/>
  <c r="R86" i="72"/>
  <c r="S86" i="72"/>
  <c r="Q86" i="72"/>
  <c r="T86" i="72"/>
  <c r="U86" i="72"/>
  <c r="V86" i="72"/>
  <c r="P86" i="72"/>
  <c r="B86" i="79"/>
  <c r="C86" i="79"/>
  <c r="D86" i="79"/>
  <c r="E86" i="79"/>
  <c r="G86" i="79"/>
  <c r="H86" i="79"/>
  <c r="A86" i="79"/>
  <c r="K86" i="79"/>
  <c r="N86" i="79"/>
  <c r="B86" i="80"/>
  <c r="C86" i="80"/>
  <c r="D86" i="80"/>
  <c r="E86" i="80"/>
  <c r="G86" i="80"/>
  <c r="H86" i="80"/>
  <c r="A86" i="80"/>
  <c r="L86" i="80"/>
  <c r="Q86" i="80"/>
  <c r="R86" i="80"/>
  <c r="S86" i="80"/>
  <c r="P86" i="80"/>
  <c r="A86" i="82"/>
  <c r="B85" i="72"/>
  <c r="C85" i="72"/>
  <c r="D85" i="72"/>
  <c r="E85" i="72"/>
  <c r="G85" i="72"/>
  <c r="H85" i="72"/>
  <c r="A85" i="72"/>
  <c r="L85" i="72"/>
  <c r="R85" i="72"/>
  <c r="S85" i="72"/>
  <c r="Q85" i="72"/>
  <c r="T85" i="72"/>
  <c r="U85" i="72"/>
  <c r="V85" i="72"/>
  <c r="P85" i="72"/>
  <c r="B85" i="79"/>
  <c r="C85" i="79"/>
  <c r="D85" i="79"/>
  <c r="E85" i="79"/>
  <c r="G85" i="79"/>
  <c r="H85" i="79"/>
  <c r="A85" i="79"/>
  <c r="K85" i="79"/>
  <c r="N85" i="79"/>
  <c r="B85" i="80"/>
  <c r="C85" i="80"/>
  <c r="D85" i="80"/>
  <c r="E85" i="80"/>
  <c r="G85" i="80"/>
  <c r="H85" i="80"/>
  <c r="A85" i="80"/>
  <c r="L85" i="80"/>
  <c r="Q85" i="80"/>
  <c r="R85" i="80"/>
  <c r="S85" i="80"/>
  <c r="P85" i="80"/>
  <c r="A85" i="82"/>
  <c r="B84" i="72"/>
  <c r="C84" i="72"/>
  <c r="D84" i="72"/>
  <c r="E84" i="72"/>
  <c r="G84" i="72"/>
  <c r="H84" i="72"/>
  <c r="A84" i="72"/>
  <c r="L84" i="72"/>
  <c r="R84" i="72"/>
  <c r="S84" i="72"/>
  <c r="Q84" i="72"/>
  <c r="T84" i="72"/>
  <c r="U84" i="72"/>
  <c r="V84" i="72"/>
  <c r="P84" i="72"/>
  <c r="B84" i="79"/>
  <c r="C84" i="79"/>
  <c r="D84" i="79"/>
  <c r="E84" i="79"/>
  <c r="G84" i="79"/>
  <c r="H84" i="79"/>
  <c r="A84" i="79"/>
  <c r="K84" i="79"/>
  <c r="N84" i="79"/>
  <c r="B84" i="80"/>
  <c r="C84" i="80"/>
  <c r="D84" i="80"/>
  <c r="E84" i="80"/>
  <c r="G84" i="80"/>
  <c r="H84" i="80"/>
  <c r="A84" i="80"/>
  <c r="L84" i="80"/>
  <c r="Q84" i="80"/>
  <c r="R84" i="80"/>
  <c r="S84" i="80"/>
  <c r="P84" i="80"/>
  <c r="A84" i="82"/>
  <c r="B83" i="72"/>
  <c r="C83" i="72"/>
  <c r="D83" i="72"/>
  <c r="E83" i="72"/>
  <c r="G83" i="72"/>
  <c r="H83" i="72"/>
  <c r="A83" i="72"/>
  <c r="L83" i="72"/>
  <c r="R83" i="72"/>
  <c r="S83" i="72"/>
  <c r="Q83" i="72"/>
  <c r="T83" i="72"/>
  <c r="U83" i="72"/>
  <c r="V83" i="72"/>
  <c r="P83" i="72"/>
  <c r="B83" i="79"/>
  <c r="C83" i="79"/>
  <c r="D83" i="79"/>
  <c r="E83" i="79"/>
  <c r="G83" i="79"/>
  <c r="H83" i="79"/>
  <c r="A83" i="79"/>
  <c r="K83" i="79"/>
  <c r="N83" i="79"/>
  <c r="B83" i="80"/>
  <c r="C83" i="80"/>
  <c r="D83" i="80"/>
  <c r="E83" i="80"/>
  <c r="G83" i="80"/>
  <c r="H83" i="80"/>
  <c r="A83" i="80"/>
  <c r="L83" i="80"/>
  <c r="Q83" i="80"/>
  <c r="R83" i="80"/>
  <c r="S83" i="80"/>
  <c r="P83" i="80"/>
  <c r="A83" i="82"/>
  <c r="B82" i="72"/>
  <c r="C82" i="72"/>
  <c r="D82" i="72"/>
  <c r="E82" i="72"/>
  <c r="G82" i="72"/>
  <c r="H82" i="72"/>
  <c r="A82" i="72"/>
  <c r="L82" i="72"/>
  <c r="R82" i="72"/>
  <c r="S82" i="72"/>
  <c r="Q82" i="72"/>
  <c r="T82" i="72"/>
  <c r="U82" i="72"/>
  <c r="V82" i="72"/>
  <c r="P82" i="72"/>
  <c r="B82" i="79"/>
  <c r="C82" i="79"/>
  <c r="D82" i="79"/>
  <c r="E82" i="79"/>
  <c r="G82" i="79"/>
  <c r="H82" i="79"/>
  <c r="A82" i="79"/>
  <c r="K82" i="79"/>
  <c r="N82" i="79"/>
  <c r="B82" i="80"/>
  <c r="C82" i="80"/>
  <c r="D82" i="80"/>
  <c r="E82" i="80"/>
  <c r="G82" i="80"/>
  <c r="H82" i="80"/>
  <c r="A82" i="80"/>
  <c r="L82" i="80"/>
  <c r="Q82" i="80"/>
  <c r="R82" i="80"/>
  <c r="S82" i="80"/>
  <c r="P82" i="80"/>
  <c r="A82" i="82"/>
  <c r="B81" i="72"/>
  <c r="C81" i="72"/>
  <c r="D81" i="72"/>
  <c r="E81" i="72"/>
  <c r="G81" i="72"/>
  <c r="H81" i="72"/>
  <c r="A81" i="72"/>
  <c r="L81" i="72"/>
  <c r="R81" i="72"/>
  <c r="S81" i="72"/>
  <c r="Q81" i="72"/>
  <c r="T81" i="72"/>
  <c r="U81" i="72"/>
  <c r="V81" i="72"/>
  <c r="P81" i="72"/>
  <c r="B81" i="79"/>
  <c r="C81" i="79"/>
  <c r="D81" i="79"/>
  <c r="E81" i="79"/>
  <c r="G81" i="79"/>
  <c r="H81" i="79"/>
  <c r="A81" i="79"/>
  <c r="K81" i="79"/>
  <c r="N81" i="79"/>
  <c r="B81" i="80"/>
  <c r="C81" i="80"/>
  <c r="D81" i="80"/>
  <c r="E81" i="80"/>
  <c r="G81" i="80"/>
  <c r="H81" i="80"/>
  <c r="A81" i="80"/>
  <c r="L81" i="80"/>
  <c r="Q81" i="80"/>
  <c r="R81" i="80"/>
  <c r="S81" i="80"/>
  <c r="P81" i="80"/>
  <c r="A81" i="82"/>
  <c r="B80" i="72"/>
  <c r="C80" i="72"/>
  <c r="D80" i="72"/>
  <c r="E80" i="72"/>
  <c r="G80" i="72"/>
  <c r="H80" i="72"/>
  <c r="A80" i="72"/>
  <c r="L80" i="72"/>
  <c r="R80" i="72"/>
  <c r="S80" i="72"/>
  <c r="Q80" i="72"/>
  <c r="T80" i="72"/>
  <c r="U80" i="72"/>
  <c r="V80" i="72"/>
  <c r="P80" i="72"/>
  <c r="B80" i="79"/>
  <c r="C80" i="79"/>
  <c r="D80" i="79"/>
  <c r="E80" i="79"/>
  <c r="G80" i="79"/>
  <c r="H80" i="79"/>
  <c r="A80" i="79"/>
  <c r="K80" i="79"/>
  <c r="N80" i="79"/>
  <c r="B80" i="80"/>
  <c r="C80" i="80"/>
  <c r="D80" i="80"/>
  <c r="E80" i="80"/>
  <c r="G80" i="80"/>
  <c r="H80" i="80"/>
  <c r="A80" i="80"/>
  <c r="L80" i="80"/>
  <c r="Q80" i="80"/>
  <c r="R80" i="80"/>
  <c r="S80" i="80"/>
  <c r="P80" i="80"/>
  <c r="A80" i="82"/>
  <c r="B79" i="72"/>
  <c r="C79" i="72"/>
  <c r="D79" i="72"/>
  <c r="E79" i="72"/>
  <c r="G79" i="72"/>
  <c r="H79" i="72"/>
  <c r="A79" i="72"/>
  <c r="L79" i="72"/>
  <c r="R79" i="72"/>
  <c r="S79" i="72"/>
  <c r="Q79" i="72"/>
  <c r="T79" i="72"/>
  <c r="U79" i="72"/>
  <c r="V79" i="72"/>
  <c r="P79" i="72"/>
  <c r="B79" i="79"/>
  <c r="C79" i="79"/>
  <c r="D79" i="79"/>
  <c r="E79" i="79"/>
  <c r="G79" i="79"/>
  <c r="H79" i="79"/>
  <c r="A79" i="79"/>
  <c r="K79" i="79"/>
  <c r="N79" i="79"/>
  <c r="B79" i="80"/>
  <c r="C79" i="80"/>
  <c r="D79" i="80"/>
  <c r="E79" i="80"/>
  <c r="G79" i="80"/>
  <c r="H79" i="80"/>
  <c r="A79" i="80"/>
  <c r="L79" i="80"/>
  <c r="Q79" i="80"/>
  <c r="R79" i="80"/>
  <c r="S79" i="80"/>
  <c r="P79" i="80"/>
  <c r="A79" i="82"/>
  <c r="B78" i="72"/>
  <c r="C78" i="72"/>
  <c r="D78" i="72"/>
  <c r="E78" i="72"/>
  <c r="G78" i="72"/>
  <c r="H78" i="72"/>
  <c r="A78" i="72"/>
  <c r="L78" i="72"/>
  <c r="R78" i="72"/>
  <c r="S78" i="72"/>
  <c r="Q78" i="72"/>
  <c r="T78" i="72"/>
  <c r="U78" i="72"/>
  <c r="V78" i="72"/>
  <c r="P78" i="72"/>
  <c r="B78" i="79"/>
  <c r="C78" i="79"/>
  <c r="D78" i="79"/>
  <c r="E78" i="79"/>
  <c r="G78" i="79"/>
  <c r="H78" i="79"/>
  <c r="A78" i="79"/>
  <c r="K78" i="79"/>
  <c r="N78" i="79"/>
  <c r="B78" i="80"/>
  <c r="C78" i="80"/>
  <c r="D78" i="80"/>
  <c r="E78" i="80"/>
  <c r="G78" i="80"/>
  <c r="H78" i="80"/>
  <c r="A78" i="80"/>
  <c r="L78" i="80"/>
  <c r="Q78" i="80"/>
  <c r="R78" i="80"/>
  <c r="S78" i="80"/>
  <c r="P78" i="80"/>
  <c r="A78" i="82"/>
  <c r="B77" i="72"/>
  <c r="C77" i="72"/>
  <c r="D77" i="72"/>
  <c r="E77" i="72"/>
  <c r="G77" i="72"/>
  <c r="H77" i="72"/>
  <c r="A77" i="72"/>
  <c r="L77" i="72"/>
  <c r="R77" i="72"/>
  <c r="S77" i="72"/>
  <c r="Q77" i="72"/>
  <c r="T77" i="72"/>
  <c r="U77" i="72"/>
  <c r="V77" i="72"/>
  <c r="P77" i="72"/>
  <c r="B77" i="79"/>
  <c r="C77" i="79"/>
  <c r="D77" i="79"/>
  <c r="E77" i="79"/>
  <c r="G77" i="79"/>
  <c r="H77" i="79"/>
  <c r="A77" i="79"/>
  <c r="K77" i="79"/>
  <c r="N77" i="79"/>
  <c r="B77" i="80"/>
  <c r="C77" i="80"/>
  <c r="D77" i="80"/>
  <c r="E77" i="80"/>
  <c r="G77" i="80"/>
  <c r="H77" i="80"/>
  <c r="A77" i="80"/>
  <c r="L77" i="80"/>
  <c r="Q77" i="80"/>
  <c r="R77" i="80"/>
  <c r="S77" i="80"/>
  <c r="P77" i="80"/>
  <c r="A77" i="82"/>
  <c r="B76" i="72"/>
  <c r="C76" i="72"/>
  <c r="D76" i="72"/>
  <c r="E76" i="72"/>
  <c r="G76" i="72"/>
  <c r="H76" i="72"/>
  <c r="A76" i="72"/>
  <c r="L76" i="72"/>
  <c r="R76" i="72"/>
  <c r="S76" i="72"/>
  <c r="Q76" i="72"/>
  <c r="T76" i="72"/>
  <c r="U76" i="72"/>
  <c r="V76" i="72"/>
  <c r="P76" i="72"/>
  <c r="B76" i="79"/>
  <c r="C76" i="79"/>
  <c r="D76" i="79"/>
  <c r="E76" i="79"/>
  <c r="G76" i="79"/>
  <c r="H76" i="79"/>
  <c r="A76" i="79"/>
  <c r="K76" i="79"/>
  <c r="N76" i="79"/>
  <c r="B76" i="80"/>
  <c r="C76" i="80"/>
  <c r="D76" i="80"/>
  <c r="E76" i="80"/>
  <c r="G76" i="80"/>
  <c r="H76" i="80"/>
  <c r="A76" i="80"/>
  <c r="L76" i="80"/>
  <c r="Q76" i="80"/>
  <c r="R76" i="80"/>
  <c r="S76" i="80"/>
  <c r="P76" i="80"/>
  <c r="A76" i="82"/>
  <c r="AB90" i="79"/>
  <c r="AE90" i="79"/>
  <c r="AC90" i="79"/>
  <c r="AB89" i="79"/>
  <c r="AE89" i="79"/>
  <c r="AC89" i="79"/>
  <c r="AB88" i="79"/>
  <c r="AE88" i="79"/>
  <c r="AC88" i="79"/>
  <c r="AB87" i="79"/>
  <c r="AE87" i="79"/>
  <c r="AC87" i="79"/>
  <c r="V86" i="79"/>
  <c r="Y86" i="79"/>
  <c r="T86" i="79"/>
  <c r="R86" i="79"/>
  <c r="AF86" i="79"/>
  <c r="P86" i="79"/>
  <c r="Y85" i="79"/>
  <c r="V85" i="79"/>
  <c r="T85" i="79"/>
  <c r="R85" i="79"/>
  <c r="AF85" i="79"/>
  <c r="P85" i="79"/>
  <c r="Y84" i="79"/>
  <c r="V84" i="79"/>
  <c r="T84" i="79"/>
  <c r="R84" i="79"/>
  <c r="AF84" i="79"/>
  <c r="P84" i="79"/>
  <c r="Y83" i="79"/>
  <c r="V83" i="79"/>
  <c r="R83" i="79"/>
  <c r="AF83" i="79"/>
  <c r="P83" i="79"/>
  <c r="T83" i="79"/>
  <c r="V82" i="79"/>
  <c r="T82" i="79"/>
  <c r="Y82" i="79"/>
  <c r="R82" i="79"/>
  <c r="AF82" i="79"/>
  <c r="P82" i="79"/>
  <c r="Y81" i="79"/>
  <c r="V81" i="79"/>
  <c r="R81" i="79"/>
  <c r="T81" i="79"/>
  <c r="AF81" i="79"/>
  <c r="P81" i="79"/>
  <c r="Y80" i="79"/>
  <c r="V80" i="79"/>
  <c r="R80" i="79"/>
  <c r="P80" i="79"/>
  <c r="T80" i="79"/>
  <c r="AF80" i="79"/>
  <c r="Y77" i="79"/>
  <c r="Y79" i="79"/>
  <c r="T79" i="79"/>
  <c r="R79" i="79"/>
  <c r="AF79" i="79"/>
  <c r="P79" i="79"/>
  <c r="V79" i="79"/>
  <c r="Y78" i="79"/>
  <c r="V78" i="79"/>
  <c r="T78" i="79"/>
  <c r="R78" i="79"/>
  <c r="AF78" i="79"/>
  <c r="P78" i="79"/>
  <c r="T77" i="79"/>
  <c r="R77" i="79"/>
  <c r="V77" i="79"/>
  <c r="AF77" i="79"/>
  <c r="P77" i="79"/>
  <c r="T76" i="79"/>
  <c r="R76" i="79"/>
  <c r="Y76" i="79"/>
  <c r="AF76" i="79"/>
  <c r="P76" i="79"/>
  <c r="V76" i="79"/>
  <c r="B75" i="72"/>
  <c r="C75" i="72"/>
  <c r="D75" i="72"/>
  <c r="E75" i="72"/>
  <c r="G75" i="72"/>
  <c r="H75" i="72"/>
  <c r="A75" i="72"/>
  <c r="L75" i="72"/>
  <c r="R75" i="72"/>
  <c r="S75" i="72"/>
  <c r="Q75" i="72"/>
  <c r="T75" i="72"/>
  <c r="U75" i="72"/>
  <c r="V75" i="72"/>
  <c r="P75" i="72"/>
  <c r="B75" i="79"/>
  <c r="C75" i="79"/>
  <c r="D75" i="79"/>
  <c r="E75" i="79"/>
  <c r="G75" i="79"/>
  <c r="H75" i="79"/>
  <c r="P75" i="79"/>
  <c r="K75" i="79"/>
  <c r="N75" i="79"/>
  <c r="B75" i="80"/>
  <c r="C75" i="80"/>
  <c r="D75" i="80"/>
  <c r="E75" i="80"/>
  <c r="G75" i="80"/>
  <c r="H75" i="80"/>
  <c r="A75" i="80"/>
  <c r="L75" i="80"/>
  <c r="Q75" i="80"/>
  <c r="R75" i="80"/>
  <c r="S75" i="80"/>
  <c r="P75" i="80"/>
  <c r="A75" i="82"/>
  <c r="AB86" i="79"/>
  <c r="AE86" i="79"/>
  <c r="AC86" i="79"/>
  <c r="AB85" i="79"/>
  <c r="AE85" i="79"/>
  <c r="AC85" i="79"/>
  <c r="AB84" i="79"/>
  <c r="AE84" i="79"/>
  <c r="AC84" i="79"/>
  <c r="AB83" i="79"/>
  <c r="AE83" i="79"/>
  <c r="AC83" i="79"/>
  <c r="AB82" i="79"/>
  <c r="AE82" i="79"/>
  <c r="AC82" i="79"/>
  <c r="AB81" i="79"/>
  <c r="AE81" i="79"/>
  <c r="AC81" i="79"/>
  <c r="AB80" i="79"/>
  <c r="AE80" i="79"/>
  <c r="AC80" i="79"/>
  <c r="AB79" i="79"/>
  <c r="AE79" i="79"/>
  <c r="AC79" i="79"/>
  <c r="AB78" i="79"/>
  <c r="AE78" i="79"/>
  <c r="AC78" i="79"/>
  <c r="AB77" i="79"/>
  <c r="AE77" i="79"/>
  <c r="AC77" i="79"/>
  <c r="AB76" i="79"/>
  <c r="AE76" i="79"/>
  <c r="AC76" i="79"/>
  <c r="A75" i="79"/>
  <c r="Y75" i="79"/>
  <c r="T75" i="79"/>
  <c r="V75" i="79"/>
  <c r="R75" i="79"/>
  <c r="AF75" i="79"/>
  <c r="B74" i="72"/>
  <c r="C74" i="72"/>
  <c r="D74" i="72"/>
  <c r="E74" i="72"/>
  <c r="G74" i="72"/>
  <c r="H74" i="72"/>
  <c r="A74" i="72"/>
  <c r="L74" i="72"/>
  <c r="R74" i="72"/>
  <c r="S74" i="72"/>
  <c r="Q74" i="72"/>
  <c r="T74" i="72"/>
  <c r="U74" i="72"/>
  <c r="V74" i="72"/>
  <c r="P74" i="72"/>
  <c r="B74" i="79"/>
  <c r="C74" i="79"/>
  <c r="D74" i="79"/>
  <c r="E74" i="79"/>
  <c r="G74" i="79"/>
  <c r="H74" i="79"/>
  <c r="A74" i="79"/>
  <c r="K74" i="79"/>
  <c r="N74" i="79"/>
  <c r="B74" i="80"/>
  <c r="C74" i="80"/>
  <c r="D74" i="80"/>
  <c r="E74" i="80"/>
  <c r="G74" i="80"/>
  <c r="H74" i="80"/>
  <c r="A74" i="80"/>
  <c r="L74" i="80"/>
  <c r="Q74" i="80"/>
  <c r="R74" i="80"/>
  <c r="S74" i="80"/>
  <c r="P74" i="80"/>
  <c r="A74" i="82"/>
  <c r="B73" i="72"/>
  <c r="C73" i="72"/>
  <c r="D73" i="72"/>
  <c r="E73" i="72"/>
  <c r="G73" i="72"/>
  <c r="H73" i="72"/>
  <c r="A73" i="72"/>
  <c r="L73" i="72"/>
  <c r="R73" i="72"/>
  <c r="S73" i="72"/>
  <c r="Q73" i="72"/>
  <c r="T73" i="72"/>
  <c r="U73" i="72"/>
  <c r="V73" i="72"/>
  <c r="P73" i="72"/>
  <c r="B73" i="79"/>
  <c r="C73" i="79"/>
  <c r="D73" i="79"/>
  <c r="E73" i="79"/>
  <c r="G73" i="79"/>
  <c r="H73" i="79"/>
  <c r="A73" i="79"/>
  <c r="K73" i="79"/>
  <c r="N73" i="79"/>
  <c r="B73" i="80"/>
  <c r="C73" i="80"/>
  <c r="D73" i="80"/>
  <c r="E73" i="80"/>
  <c r="G73" i="80"/>
  <c r="H73" i="80"/>
  <c r="A73" i="80"/>
  <c r="L73" i="80"/>
  <c r="Q73" i="80"/>
  <c r="R73" i="80"/>
  <c r="S73" i="80"/>
  <c r="P73" i="80"/>
  <c r="A73" i="82"/>
  <c r="B72" i="72"/>
  <c r="C72" i="72"/>
  <c r="D72" i="72"/>
  <c r="E72" i="72"/>
  <c r="G72" i="72"/>
  <c r="H72" i="72"/>
  <c r="A72" i="72"/>
  <c r="L72" i="72"/>
  <c r="R72" i="72"/>
  <c r="S72" i="72"/>
  <c r="Q72" i="72"/>
  <c r="T72" i="72"/>
  <c r="U72" i="72"/>
  <c r="V72" i="72"/>
  <c r="P72" i="72"/>
  <c r="B72" i="79"/>
  <c r="C72" i="79"/>
  <c r="D72" i="79"/>
  <c r="E72" i="79"/>
  <c r="G72" i="79"/>
  <c r="H72" i="79"/>
  <c r="P72" i="79"/>
  <c r="K72" i="79"/>
  <c r="N72" i="79"/>
  <c r="B72" i="80"/>
  <c r="C72" i="80"/>
  <c r="D72" i="80"/>
  <c r="E72" i="80"/>
  <c r="G72" i="80"/>
  <c r="H72" i="80"/>
  <c r="A72" i="80"/>
  <c r="L72" i="80"/>
  <c r="Q72" i="80"/>
  <c r="R72" i="80"/>
  <c r="S72" i="80"/>
  <c r="P72" i="80"/>
  <c r="A72" i="82"/>
  <c r="B71" i="72"/>
  <c r="C71" i="72"/>
  <c r="D71" i="72"/>
  <c r="E71" i="72"/>
  <c r="G71" i="72"/>
  <c r="H71" i="72"/>
  <c r="A71" i="72"/>
  <c r="L71" i="72"/>
  <c r="R71" i="72"/>
  <c r="S71" i="72"/>
  <c r="Q71" i="72"/>
  <c r="T71" i="72"/>
  <c r="U71" i="72"/>
  <c r="V71" i="72"/>
  <c r="P71" i="72"/>
  <c r="B71" i="79"/>
  <c r="C71" i="79"/>
  <c r="D71" i="79"/>
  <c r="E71" i="79"/>
  <c r="G71" i="79"/>
  <c r="H71" i="79"/>
  <c r="A71" i="79"/>
  <c r="K71" i="79"/>
  <c r="N71" i="79"/>
  <c r="B71" i="80"/>
  <c r="C71" i="80"/>
  <c r="D71" i="80"/>
  <c r="E71" i="80"/>
  <c r="G71" i="80"/>
  <c r="H71" i="80"/>
  <c r="A71" i="80"/>
  <c r="L71" i="80"/>
  <c r="Q71" i="80"/>
  <c r="R71" i="80"/>
  <c r="S71" i="80"/>
  <c r="P71" i="80"/>
  <c r="A71" i="82"/>
  <c r="B70" i="72"/>
  <c r="C70" i="72"/>
  <c r="D70" i="72"/>
  <c r="E70" i="72"/>
  <c r="G70" i="72"/>
  <c r="H70" i="72"/>
  <c r="A70" i="72"/>
  <c r="L70" i="72"/>
  <c r="R70" i="72"/>
  <c r="S70" i="72"/>
  <c r="Q70" i="72"/>
  <c r="T70" i="72"/>
  <c r="U70" i="72"/>
  <c r="V70" i="72"/>
  <c r="P70" i="72"/>
  <c r="B70" i="79"/>
  <c r="C70" i="79"/>
  <c r="D70" i="79"/>
  <c r="E70" i="79"/>
  <c r="G70" i="79"/>
  <c r="H70" i="79"/>
  <c r="T70" i="79"/>
  <c r="K70" i="79"/>
  <c r="N70" i="79"/>
  <c r="B70" i="80"/>
  <c r="C70" i="80"/>
  <c r="D70" i="80"/>
  <c r="E70" i="80"/>
  <c r="G70" i="80"/>
  <c r="H70" i="80"/>
  <c r="A70" i="80"/>
  <c r="L70" i="80"/>
  <c r="Q70" i="80"/>
  <c r="R70" i="80"/>
  <c r="S70" i="80"/>
  <c r="P70" i="80"/>
  <c r="A70" i="82"/>
  <c r="AB75" i="79"/>
  <c r="AE75" i="79"/>
  <c r="AC75" i="79"/>
  <c r="AF74" i="79"/>
  <c r="Y74" i="79"/>
  <c r="R74" i="79"/>
  <c r="P74" i="79"/>
  <c r="V74" i="79"/>
  <c r="T74" i="79"/>
  <c r="Y73" i="79"/>
  <c r="V73" i="79"/>
  <c r="AF73" i="79"/>
  <c r="P73" i="79"/>
  <c r="T73" i="79"/>
  <c r="R73" i="79"/>
  <c r="A72" i="79"/>
  <c r="Y72" i="79"/>
  <c r="V72" i="79"/>
  <c r="T72" i="79"/>
  <c r="R72" i="79"/>
  <c r="AF72" i="79"/>
  <c r="P70" i="79"/>
  <c r="AF70" i="79"/>
  <c r="R70" i="79"/>
  <c r="V71" i="79"/>
  <c r="R71" i="79"/>
  <c r="Y71" i="79"/>
  <c r="T71" i="79"/>
  <c r="AF71" i="79"/>
  <c r="P71" i="79"/>
  <c r="A70" i="79"/>
  <c r="Y70" i="79"/>
  <c r="V70" i="79"/>
  <c r="B69" i="72"/>
  <c r="C69" i="72"/>
  <c r="D69" i="72"/>
  <c r="E69" i="72"/>
  <c r="G69" i="72"/>
  <c r="H69" i="72"/>
  <c r="A69" i="72"/>
  <c r="L69" i="72"/>
  <c r="R69" i="72"/>
  <c r="S69" i="72"/>
  <c r="Q69" i="72"/>
  <c r="T69" i="72"/>
  <c r="U69" i="72"/>
  <c r="V69" i="72"/>
  <c r="P69" i="72"/>
  <c r="B69" i="79"/>
  <c r="C69" i="79"/>
  <c r="D69" i="79"/>
  <c r="E69" i="79"/>
  <c r="G69" i="79"/>
  <c r="H69" i="79"/>
  <c r="P69" i="79"/>
  <c r="K69" i="79"/>
  <c r="N69" i="79"/>
  <c r="B69" i="80"/>
  <c r="C69" i="80"/>
  <c r="D69" i="80"/>
  <c r="E69" i="80"/>
  <c r="G69" i="80"/>
  <c r="H69" i="80"/>
  <c r="A69" i="80"/>
  <c r="L69" i="80"/>
  <c r="Q69" i="80"/>
  <c r="R69" i="80"/>
  <c r="S69" i="80"/>
  <c r="P69" i="80"/>
  <c r="A69" i="82"/>
  <c r="B68" i="72"/>
  <c r="C68" i="72"/>
  <c r="D68" i="72"/>
  <c r="E68" i="72"/>
  <c r="G68" i="72"/>
  <c r="H68" i="72"/>
  <c r="A68" i="72"/>
  <c r="L68" i="72"/>
  <c r="R68" i="72"/>
  <c r="S68" i="72"/>
  <c r="Q68" i="72"/>
  <c r="T68" i="72"/>
  <c r="U68" i="72"/>
  <c r="V68" i="72"/>
  <c r="P68" i="72"/>
  <c r="B68" i="79"/>
  <c r="C68" i="79"/>
  <c r="D68" i="79"/>
  <c r="E68" i="79"/>
  <c r="G68" i="79"/>
  <c r="H68" i="79"/>
  <c r="P68" i="79"/>
  <c r="K68" i="79"/>
  <c r="N68" i="79"/>
  <c r="B68" i="80"/>
  <c r="C68" i="80"/>
  <c r="D68" i="80"/>
  <c r="E68" i="80"/>
  <c r="G68" i="80"/>
  <c r="H68" i="80"/>
  <c r="A68" i="80"/>
  <c r="L68" i="80"/>
  <c r="Q68" i="80"/>
  <c r="R68" i="80"/>
  <c r="S68" i="80"/>
  <c r="P68" i="80"/>
  <c r="A68" i="82"/>
  <c r="B67" i="72"/>
  <c r="C67" i="72"/>
  <c r="D67" i="72"/>
  <c r="E67" i="72"/>
  <c r="G67" i="72"/>
  <c r="H67" i="72"/>
  <c r="A67" i="72"/>
  <c r="L67" i="72"/>
  <c r="R67" i="72"/>
  <c r="S67" i="72"/>
  <c r="Q67" i="72"/>
  <c r="T67" i="72"/>
  <c r="U67" i="72"/>
  <c r="V67" i="72"/>
  <c r="P67" i="72"/>
  <c r="B67" i="79"/>
  <c r="C67" i="79"/>
  <c r="D67" i="79"/>
  <c r="E67" i="79"/>
  <c r="G67" i="79"/>
  <c r="H67" i="79"/>
  <c r="A67" i="79"/>
  <c r="K67" i="79"/>
  <c r="N67" i="79"/>
  <c r="B67" i="80"/>
  <c r="C67" i="80"/>
  <c r="D67" i="80"/>
  <c r="E67" i="80"/>
  <c r="G67" i="80"/>
  <c r="H67" i="80"/>
  <c r="A67" i="80"/>
  <c r="L67" i="80"/>
  <c r="Q67" i="80"/>
  <c r="R67" i="80"/>
  <c r="S67" i="80"/>
  <c r="P67" i="80"/>
  <c r="A67" i="82"/>
  <c r="B66" i="72"/>
  <c r="C66" i="72"/>
  <c r="D66" i="72"/>
  <c r="E66" i="72"/>
  <c r="G66" i="72"/>
  <c r="H66" i="72"/>
  <c r="A66" i="72"/>
  <c r="L66" i="72"/>
  <c r="R66" i="72"/>
  <c r="S66" i="72"/>
  <c r="Q66" i="72"/>
  <c r="T66" i="72"/>
  <c r="U66" i="72"/>
  <c r="V66" i="72"/>
  <c r="P66" i="72"/>
  <c r="B66" i="79"/>
  <c r="C66" i="79"/>
  <c r="D66" i="79"/>
  <c r="E66" i="79"/>
  <c r="G66" i="79"/>
  <c r="H66" i="79"/>
  <c r="R66" i="79"/>
  <c r="K66" i="79"/>
  <c r="N66" i="79"/>
  <c r="B66" i="80"/>
  <c r="C66" i="80"/>
  <c r="D66" i="80"/>
  <c r="E66" i="80"/>
  <c r="G66" i="80"/>
  <c r="H66" i="80"/>
  <c r="A66" i="80"/>
  <c r="L66" i="80"/>
  <c r="Q66" i="80"/>
  <c r="R66" i="80"/>
  <c r="S66" i="80"/>
  <c r="P66" i="80"/>
  <c r="A66" i="82"/>
  <c r="AB74" i="79"/>
  <c r="AE74" i="79"/>
  <c r="AC74" i="79"/>
  <c r="AB72" i="79"/>
  <c r="AE72" i="79"/>
  <c r="AC72" i="79"/>
  <c r="AB73" i="79"/>
  <c r="AE73" i="79"/>
  <c r="AC73" i="79"/>
  <c r="AB71" i="79"/>
  <c r="AE71" i="79"/>
  <c r="AC71" i="79"/>
  <c r="AB70" i="79"/>
  <c r="AE70" i="79"/>
  <c r="AC70" i="79"/>
  <c r="V69" i="79"/>
  <c r="A69" i="79"/>
  <c r="Y69" i="79"/>
  <c r="T69" i="79"/>
  <c r="R69" i="79"/>
  <c r="AF69" i="79"/>
  <c r="R68" i="79"/>
  <c r="A68" i="79"/>
  <c r="Y68" i="79"/>
  <c r="V68" i="79"/>
  <c r="T68" i="79"/>
  <c r="AF68" i="79"/>
  <c r="V67" i="79"/>
  <c r="T67" i="79"/>
  <c r="R67" i="79"/>
  <c r="P67" i="79"/>
  <c r="Y67" i="79"/>
  <c r="AF67" i="79"/>
  <c r="AF66" i="79"/>
  <c r="P66" i="79"/>
  <c r="Y66" i="79"/>
  <c r="A66" i="79"/>
  <c r="V66" i="79"/>
  <c r="T66" i="79"/>
  <c r="B65" i="72"/>
  <c r="C65" i="72"/>
  <c r="D65" i="72"/>
  <c r="E65" i="72"/>
  <c r="G65" i="72"/>
  <c r="H65" i="72"/>
  <c r="A65" i="72"/>
  <c r="L65" i="72"/>
  <c r="R65" i="72"/>
  <c r="S65" i="72"/>
  <c r="Q65" i="72"/>
  <c r="T65" i="72"/>
  <c r="U65" i="72"/>
  <c r="V65" i="72"/>
  <c r="P65" i="72"/>
  <c r="B65" i="79"/>
  <c r="C65" i="79"/>
  <c r="D65" i="79"/>
  <c r="E65" i="79"/>
  <c r="G65" i="79"/>
  <c r="H65" i="79"/>
  <c r="A65" i="79"/>
  <c r="K65" i="79"/>
  <c r="N65" i="79"/>
  <c r="B65" i="80"/>
  <c r="C65" i="80"/>
  <c r="D65" i="80"/>
  <c r="E65" i="80"/>
  <c r="G65" i="80"/>
  <c r="H65" i="80"/>
  <c r="A65" i="80"/>
  <c r="L65" i="80"/>
  <c r="Q65" i="80"/>
  <c r="R65" i="80"/>
  <c r="S65" i="80"/>
  <c r="P65" i="80"/>
  <c r="A65" i="82"/>
  <c r="AB69" i="79"/>
  <c r="AE69" i="79"/>
  <c r="AC69" i="79"/>
  <c r="AB68" i="79"/>
  <c r="AE68" i="79"/>
  <c r="AC68" i="79"/>
  <c r="AB67" i="79"/>
  <c r="AE67" i="79"/>
  <c r="AC67" i="79"/>
  <c r="AB66" i="79"/>
  <c r="AE66" i="79"/>
  <c r="AC66" i="79"/>
  <c r="Y65" i="79"/>
  <c r="V65" i="79"/>
  <c r="T65" i="79"/>
  <c r="R65" i="79"/>
  <c r="AF65" i="79"/>
  <c r="P65" i="79"/>
  <c r="B64" i="72"/>
  <c r="C64" i="72"/>
  <c r="D64" i="72"/>
  <c r="E64" i="72"/>
  <c r="G64" i="72"/>
  <c r="H64" i="72"/>
  <c r="A64" i="72"/>
  <c r="L64" i="72"/>
  <c r="R64" i="72"/>
  <c r="S64" i="72"/>
  <c r="Q64" i="72"/>
  <c r="T64" i="72"/>
  <c r="U64" i="72"/>
  <c r="V64" i="72"/>
  <c r="P64" i="72"/>
  <c r="B64" i="79"/>
  <c r="C64" i="79"/>
  <c r="D64" i="79"/>
  <c r="E64" i="79"/>
  <c r="G64" i="79"/>
  <c r="H64" i="79"/>
  <c r="T64" i="79"/>
  <c r="K64" i="79"/>
  <c r="N64" i="79"/>
  <c r="B64" i="80"/>
  <c r="C64" i="80"/>
  <c r="D64" i="80"/>
  <c r="E64" i="80"/>
  <c r="G64" i="80"/>
  <c r="H64" i="80"/>
  <c r="A64" i="80"/>
  <c r="L64" i="80"/>
  <c r="Q64" i="80"/>
  <c r="R64" i="80"/>
  <c r="S64" i="80"/>
  <c r="P64" i="80"/>
  <c r="A64" i="82"/>
  <c r="AB65" i="79"/>
  <c r="AE65" i="79"/>
  <c r="AC65" i="79"/>
  <c r="AF64" i="79"/>
  <c r="R64" i="79"/>
  <c r="P64" i="79"/>
  <c r="A64" i="79"/>
  <c r="Y64" i="79"/>
  <c r="V64" i="79"/>
  <c r="B63" i="72"/>
  <c r="C63" i="72"/>
  <c r="D63" i="72"/>
  <c r="E63" i="72"/>
  <c r="G63" i="72"/>
  <c r="H63" i="72"/>
  <c r="A63" i="72"/>
  <c r="L63" i="72"/>
  <c r="R63" i="72"/>
  <c r="S63" i="72"/>
  <c r="Q63" i="72"/>
  <c r="T63" i="72"/>
  <c r="U63" i="72"/>
  <c r="V63" i="72"/>
  <c r="P63" i="72"/>
  <c r="B63" i="79"/>
  <c r="C63" i="79"/>
  <c r="D63" i="79"/>
  <c r="E63" i="79"/>
  <c r="G63" i="79"/>
  <c r="H63" i="79"/>
  <c r="Y63" i="79"/>
  <c r="K63" i="79"/>
  <c r="N63" i="79"/>
  <c r="B63" i="80"/>
  <c r="C63" i="80"/>
  <c r="D63" i="80"/>
  <c r="E63" i="80"/>
  <c r="G63" i="80"/>
  <c r="H63" i="80"/>
  <c r="A63" i="80"/>
  <c r="L63" i="80"/>
  <c r="Q63" i="80"/>
  <c r="R63" i="80"/>
  <c r="S63" i="80"/>
  <c r="P63" i="80"/>
  <c r="A63" i="82"/>
  <c r="B62" i="72"/>
  <c r="C62" i="72"/>
  <c r="D62" i="72"/>
  <c r="E62" i="72"/>
  <c r="G62" i="72"/>
  <c r="H62" i="72"/>
  <c r="A62" i="72"/>
  <c r="L62" i="72"/>
  <c r="R62" i="72"/>
  <c r="S62" i="72"/>
  <c r="Q62" i="72"/>
  <c r="T62" i="72"/>
  <c r="U62" i="72"/>
  <c r="V62" i="72"/>
  <c r="P62" i="72"/>
  <c r="B62" i="79"/>
  <c r="C62" i="79"/>
  <c r="D62" i="79"/>
  <c r="E62" i="79"/>
  <c r="G62" i="79"/>
  <c r="H62" i="79"/>
  <c r="A62" i="79"/>
  <c r="K62" i="79"/>
  <c r="N62" i="79"/>
  <c r="B62" i="80"/>
  <c r="C62" i="80"/>
  <c r="D62" i="80"/>
  <c r="E62" i="80"/>
  <c r="G62" i="80"/>
  <c r="H62" i="80"/>
  <c r="A62" i="80"/>
  <c r="L62" i="80"/>
  <c r="Q62" i="80"/>
  <c r="R62" i="80"/>
  <c r="S62" i="80"/>
  <c r="P62" i="80"/>
  <c r="A62" i="82"/>
  <c r="B61" i="72"/>
  <c r="C61" i="72"/>
  <c r="D61" i="72"/>
  <c r="E61" i="72"/>
  <c r="G61" i="72"/>
  <c r="H61" i="72"/>
  <c r="A61" i="72"/>
  <c r="L61" i="72"/>
  <c r="R61" i="72"/>
  <c r="S61" i="72"/>
  <c r="Q61" i="72"/>
  <c r="T61" i="72"/>
  <c r="U61" i="72"/>
  <c r="V61" i="72"/>
  <c r="P61" i="72"/>
  <c r="B61" i="79"/>
  <c r="C61" i="79"/>
  <c r="D61" i="79"/>
  <c r="E61" i="79"/>
  <c r="G61" i="79"/>
  <c r="H61" i="79"/>
  <c r="A61" i="79"/>
  <c r="K61" i="79"/>
  <c r="B61" i="80"/>
  <c r="C61" i="80"/>
  <c r="D61" i="80"/>
  <c r="E61" i="80"/>
  <c r="G61" i="80"/>
  <c r="H61" i="80"/>
  <c r="A61" i="80"/>
  <c r="L61" i="80"/>
  <c r="Q61" i="80"/>
  <c r="R61" i="80"/>
  <c r="S61" i="80"/>
  <c r="P61" i="80"/>
  <c r="A61" i="82"/>
  <c r="B60" i="72"/>
  <c r="C60" i="72"/>
  <c r="D60" i="72"/>
  <c r="E60" i="72"/>
  <c r="G60" i="72"/>
  <c r="H60" i="72"/>
  <c r="A60" i="72"/>
  <c r="L60" i="72"/>
  <c r="R60" i="72"/>
  <c r="S60" i="72"/>
  <c r="Q60" i="72"/>
  <c r="T60" i="72"/>
  <c r="U60" i="72"/>
  <c r="V60" i="72"/>
  <c r="P60" i="72"/>
  <c r="B60" i="79"/>
  <c r="C60" i="79"/>
  <c r="D60" i="79"/>
  <c r="E60" i="79"/>
  <c r="G60" i="79"/>
  <c r="H60" i="79"/>
  <c r="P60" i="79"/>
  <c r="K60" i="79"/>
  <c r="N60" i="79"/>
  <c r="B60" i="80"/>
  <c r="C60" i="80"/>
  <c r="D60" i="80"/>
  <c r="E60" i="80"/>
  <c r="G60" i="80"/>
  <c r="H60" i="80"/>
  <c r="A60" i="80"/>
  <c r="L60" i="80"/>
  <c r="Q60" i="80"/>
  <c r="R60" i="80"/>
  <c r="S60" i="80"/>
  <c r="P60" i="80"/>
  <c r="A60" i="82"/>
  <c r="B59" i="72"/>
  <c r="C59" i="72"/>
  <c r="D59" i="72"/>
  <c r="E59" i="72"/>
  <c r="G59" i="72"/>
  <c r="H59" i="72"/>
  <c r="A59" i="72"/>
  <c r="L59" i="72"/>
  <c r="R59" i="72"/>
  <c r="S59" i="72"/>
  <c r="Q59" i="72"/>
  <c r="T59" i="72"/>
  <c r="U59" i="72"/>
  <c r="V59" i="72"/>
  <c r="P59" i="72"/>
  <c r="B59" i="79"/>
  <c r="C59" i="79"/>
  <c r="D59" i="79"/>
  <c r="E59" i="79"/>
  <c r="G59" i="79"/>
  <c r="H59" i="79"/>
  <c r="T59" i="79"/>
  <c r="K59" i="79"/>
  <c r="N59" i="79"/>
  <c r="B59" i="80"/>
  <c r="C59" i="80"/>
  <c r="D59" i="80"/>
  <c r="E59" i="80"/>
  <c r="G59" i="80"/>
  <c r="H59" i="80"/>
  <c r="A59" i="80"/>
  <c r="L59" i="80"/>
  <c r="Q59" i="80"/>
  <c r="R59" i="80"/>
  <c r="S59" i="80"/>
  <c r="P59" i="80"/>
  <c r="A59" i="82"/>
  <c r="B58" i="72"/>
  <c r="C58" i="72"/>
  <c r="D58" i="72"/>
  <c r="E58" i="72"/>
  <c r="G58" i="72"/>
  <c r="H58" i="72"/>
  <c r="A58" i="72"/>
  <c r="L58" i="72"/>
  <c r="R58" i="72"/>
  <c r="S58" i="72"/>
  <c r="Q58" i="72"/>
  <c r="T58" i="72"/>
  <c r="U58" i="72"/>
  <c r="V58" i="72"/>
  <c r="P58" i="72"/>
  <c r="B58" i="79"/>
  <c r="C58" i="79"/>
  <c r="D58" i="79"/>
  <c r="E58" i="79"/>
  <c r="G58" i="79"/>
  <c r="H58" i="79"/>
  <c r="P58" i="79"/>
  <c r="K58" i="79"/>
  <c r="N58" i="79"/>
  <c r="B58" i="80"/>
  <c r="C58" i="80"/>
  <c r="D58" i="80"/>
  <c r="E58" i="80"/>
  <c r="G58" i="80"/>
  <c r="H58" i="80"/>
  <c r="A58" i="80"/>
  <c r="L58" i="80"/>
  <c r="Q58" i="80"/>
  <c r="R58" i="80"/>
  <c r="S58" i="80"/>
  <c r="P58" i="80"/>
  <c r="A58" i="82"/>
  <c r="AB64" i="79"/>
  <c r="AE64" i="79"/>
  <c r="AC64" i="79"/>
  <c r="AF62" i="79"/>
  <c r="AF63" i="79"/>
  <c r="V63" i="79"/>
  <c r="T63" i="79"/>
  <c r="R63" i="79"/>
  <c r="P63" i="79"/>
  <c r="A63" i="79"/>
  <c r="P62" i="79"/>
  <c r="N61" i="79"/>
  <c r="Y62" i="79"/>
  <c r="V62" i="79"/>
  <c r="T62" i="79"/>
  <c r="R62" i="79"/>
  <c r="AF61" i="79"/>
  <c r="P61" i="79"/>
  <c r="Y60" i="79"/>
  <c r="Y61" i="79"/>
  <c r="V61" i="79"/>
  <c r="T61" i="79"/>
  <c r="R61" i="79"/>
  <c r="V60" i="79"/>
  <c r="A60" i="79"/>
  <c r="T60" i="79"/>
  <c r="R60" i="79"/>
  <c r="AF60" i="79"/>
  <c r="AF59" i="79"/>
  <c r="R59" i="79"/>
  <c r="P59" i="79"/>
  <c r="A59" i="79"/>
  <c r="Y59" i="79"/>
  <c r="V59" i="79"/>
  <c r="A58" i="79"/>
  <c r="Y58" i="79"/>
  <c r="V58" i="79"/>
  <c r="T58" i="79"/>
  <c r="R58" i="79"/>
  <c r="AF58" i="79"/>
  <c r="B57" i="72"/>
  <c r="C57" i="72"/>
  <c r="D57" i="72"/>
  <c r="E57" i="72"/>
  <c r="G57" i="72"/>
  <c r="H57" i="72"/>
  <c r="A57" i="72"/>
  <c r="L57" i="72"/>
  <c r="R57" i="72"/>
  <c r="S57" i="72"/>
  <c r="Q57" i="72"/>
  <c r="T57" i="72"/>
  <c r="U57" i="72"/>
  <c r="V57" i="72"/>
  <c r="P57" i="72"/>
  <c r="B57" i="79"/>
  <c r="C57" i="79"/>
  <c r="D57" i="79"/>
  <c r="E57" i="79"/>
  <c r="G57" i="79"/>
  <c r="H57" i="79"/>
  <c r="T57" i="79"/>
  <c r="K57" i="79"/>
  <c r="N57" i="79"/>
  <c r="B57" i="80"/>
  <c r="C57" i="80"/>
  <c r="D57" i="80"/>
  <c r="E57" i="80"/>
  <c r="G57" i="80"/>
  <c r="H57" i="80"/>
  <c r="A57" i="80"/>
  <c r="L57" i="80"/>
  <c r="Q57" i="80"/>
  <c r="R57" i="80"/>
  <c r="S57" i="80"/>
  <c r="P57" i="80"/>
  <c r="A57" i="82"/>
  <c r="B56" i="72"/>
  <c r="C56" i="72"/>
  <c r="D56" i="72"/>
  <c r="E56" i="72"/>
  <c r="G56" i="72"/>
  <c r="H56" i="72"/>
  <c r="A56" i="72"/>
  <c r="L56" i="72"/>
  <c r="R56" i="72"/>
  <c r="S56" i="72"/>
  <c r="Q56" i="72"/>
  <c r="T56" i="72"/>
  <c r="U56" i="72"/>
  <c r="V56" i="72"/>
  <c r="P56" i="72"/>
  <c r="B56" i="79"/>
  <c r="C56" i="79"/>
  <c r="D56" i="79"/>
  <c r="E56" i="79"/>
  <c r="G56" i="79"/>
  <c r="H56" i="79"/>
  <c r="A56" i="79"/>
  <c r="K56" i="79"/>
  <c r="N56" i="79"/>
  <c r="B56" i="80"/>
  <c r="C56" i="80"/>
  <c r="D56" i="80"/>
  <c r="E56" i="80"/>
  <c r="G56" i="80"/>
  <c r="H56" i="80"/>
  <c r="A56" i="80"/>
  <c r="L56" i="80"/>
  <c r="Q56" i="80"/>
  <c r="R56" i="80"/>
  <c r="S56" i="80"/>
  <c r="P56" i="80"/>
  <c r="A56" i="82"/>
  <c r="B55" i="72"/>
  <c r="C55" i="72"/>
  <c r="D55" i="72"/>
  <c r="E55" i="72"/>
  <c r="G55" i="72"/>
  <c r="H55" i="72"/>
  <c r="A55" i="72"/>
  <c r="L55" i="72"/>
  <c r="R55" i="72"/>
  <c r="S55" i="72"/>
  <c r="Q55" i="72"/>
  <c r="T55" i="72"/>
  <c r="U55" i="72"/>
  <c r="V55" i="72"/>
  <c r="P55" i="72"/>
  <c r="B55" i="79"/>
  <c r="C55" i="79"/>
  <c r="D55" i="79"/>
  <c r="E55" i="79"/>
  <c r="G55" i="79"/>
  <c r="H55" i="79"/>
  <c r="T55" i="79"/>
  <c r="K55" i="79"/>
  <c r="N55" i="79"/>
  <c r="B55" i="80"/>
  <c r="C55" i="80"/>
  <c r="D55" i="80"/>
  <c r="E55" i="80"/>
  <c r="G55" i="80"/>
  <c r="H55" i="80"/>
  <c r="A55" i="80"/>
  <c r="L55" i="80"/>
  <c r="Q55" i="80"/>
  <c r="R55" i="80"/>
  <c r="S55" i="80"/>
  <c r="P55" i="80"/>
  <c r="A55" i="82"/>
  <c r="B54" i="72"/>
  <c r="C54" i="72"/>
  <c r="D54" i="72"/>
  <c r="E54" i="72"/>
  <c r="G54" i="72"/>
  <c r="H54" i="72"/>
  <c r="A54" i="72"/>
  <c r="L54" i="72"/>
  <c r="R54" i="72"/>
  <c r="S54" i="72"/>
  <c r="Q54" i="72"/>
  <c r="T54" i="72"/>
  <c r="U54" i="72"/>
  <c r="V54" i="72"/>
  <c r="P54" i="72"/>
  <c r="B54" i="79"/>
  <c r="C54" i="79"/>
  <c r="D54" i="79"/>
  <c r="E54" i="79"/>
  <c r="G54" i="79"/>
  <c r="H54" i="79"/>
  <c r="A54" i="79"/>
  <c r="K54" i="79"/>
  <c r="N54" i="79"/>
  <c r="B54" i="80"/>
  <c r="C54" i="80"/>
  <c r="D54" i="80"/>
  <c r="E54" i="80"/>
  <c r="G54" i="80"/>
  <c r="H54" i="80"/>
  <c r="A54" i="80"/>
  <c r="L54" i="80"/>
  <c r="Q54" i="80"/>
  <c r="R54" i="80"/>
  <c r="S54" i="80"/>
  <c r="P54" i="80"/>
  <c r="A54" i="82"/>
  <c r="B53" i="72"/>
  <c r="C53" i="72"/>
  <c r="D53" i="72"/>
  <c r="E53" i="72"/>
  <c r="G53" i="72"/>
  <c r="H53" i="72"/>
  <c r="A53" i="72"/>
  <c r="L53" i="72"/>
  <c r="R53" i="72"/>
  <c r="S53" i="72"/>
  <c r="Q53" i="72"/>
  <c r="T53" i="72"/>
  <c r="U53" i="72"/>
  <c r="V53" i="72"/>
  <c r="P53" i="72"/>
  <c r="B53" i="79"/>
  <c r="C53" i="79"/>
  <c r="D53" i="79"/>
  <c r="E53" i="79"/>
  <c r="G53" i="79"/>
  <c r="H53" i="79"/>
  <c r="T53" i="79"/>
  <c r="K53" i="79"/>
  <c r="N53" i="79"/>
  <c r="B53" i="80"/>
  <c r="C53" i="80"/>
  <c r="D53" i="80"/>
  <c r="E53" i="80"/>
  <c r="G53" i="80"/>
  <c r="H53" i="80"/>
  <c r="A53" i="80"/>
  <c r="L53" i="80"/>
  <c r="Q53" i="80"/>
  <c r="R53" i="80"/>
  <c r="S53" i="80"/>
  <c r="P53" i="80"/>
  <c r="A53" i="82"/>
  <c r="B52" i="72"/>
  <c r="C52" i="72"/>
  <c r="D52" i="72"/>
  <c r="E52" i="72"/>
  <c r="G52" i="72"/>
  <c r="H52" i="72"/>
  <c r="A52" i="72"/>
  <c r="L52" i="72"/>
  <c r="R52" i="72"/>
  <c r="S52" i="72"/>
  <c r="Q52" i="72"/>
  <c r="T52" i="72"/>
  <c r="U52" i="72"/>
  <c r="V52" i="72"/>
  <c r="P52" i="72"/>
  <c r="B52" i="79"/>
  <c r="C52" i="79"/>
  <c r="D52" i="79"/>
  <c r="E52" i="79"/>
  <c r="G52" i="79"/>
  <c r="H52" i="79"/>
  <c r="A52" i="79"/>
  <c r="K52" i="79"/>
  <c r="N52" i="79"/>
  <c r="B52" i="80"/>
  <c r="C52" i="80"/>
  <c r="D52" i="80"/>
  <c r="E52" i="80"/>
  <c r="G52" i="80"/>
  <c r="H52" i="80"/>
  <c r="A52" i="80"/>
  <c r="L52" i="80"/>
  <c r="Q52" i="80"/>
  <c r="R52" i="80"/>
  <c r="S52" i="80"/>
  <c r="P52" i="80"/>
  <c r="A52" i="82"/>
  <c r="B51" i="72"/>
  <c r="C51" i="72"/>
  <c r="D51" i="72"/>
  <c r="E51" i="72"/>
  <c r="G51" i="72"/>
  <c r="H51" i="72"/>
  <c r="A51" i="72"/>
  <c r="L51" i="72"/>
  <c r="R51" i="72"/>
  <c r="S51" i="72"/>
  <c r="Q51" i="72"/>
  <c r="T51" i="72"/>
  <c r="U51" i="72"/>
  <c r="V51" i="72"/>
  <c r="P51" i="72"/>
  <c r="B51" i="79"/>
  <c r="C51" i="79"/>
  <c r="D51" i="79"/>
  <c r="E51" i="79"/>
  <c r="G51" i="79"/>
  <c r="H51" i="79"/>
  <c r="A51" i="79"/>
  <c r="K51" i="79"/>
  <c r="N51" i="79"/>
  <c r="B51" i="80"/>
  <c r="C51" i="80"/>
  <c r="D51" i="80"/>
  <c r="E51" i="80"/>
  <c r="G51" i="80"/>
  <c r="H51" i="80"/>
  <c r="A51" i="80"/>
  <c r="L51" i="80"/>
  <c r="Q51" i="80"/>
  <c r="R51" i="80"/>
  <c r="S51" i="80"/>
  <c r="P51" i="80"/>
  <c r="A51" i="82"/>
  <c r="B50" i="72"/>
  <c r="C50" i="72"/>
  <c r="D50" i="72"/>
  <c r="E50" i="72"/>
  <c r="G50" i="72"/>
  <c r="H50" i="72"/>
  <c r="A50" i="72"/>
  <c r="L50" i="72"/>
  <c r="R50" i="72"/>
  <c r="S50" i="72"/>
  <c r="Q50" i="72"/>
  <c r="T50" i="72"/>
  <c r="U50" i="72"/>
  <c r="V50" i="72"/>
  <c r="P50" i="72"/>
  <c r="B50" i="79"/>
  <c r="C50" i="79"/>
  <c r="D50" i="79"/>
  <c r="E50" i="79"/>
  <c r="G50" i="79"/>
  <c r="H50" i="79"/>
  <c r="A50" i="79"/>
  <c r="K50" i="79"/>
  <c r="N50" i="79"/>
  <c r="B50" i="80"/>
  <c r="C50" i="80"/>
  <c r="D50" i="80"/>
  <c r="E50" i="80"/>
  <c r="G50" i="80"/>
  <c r="H50" i="80"/>
  <c r="A50" i="80"/>
  <c r="L50" i="80"/>
  <c r="Q50" i="80"/>
  <c r="R50" i="80"/>
  <c r="S50" i="80"/>
  <c r="P50" i="80"/>
  <c r="A50" i="82"/>
  <c r="B49" i="72"/>
  <c r="C49" i="72"/>
  <c r="D49" i="72"/>
  <c r="E49" i="72"/>
  <c r="G49" i="72"/>
  <c r="H49" i="72"/>
  <c r="A49" i="72"/>
  <c r="L49" i="72"/>
  <c r="R49" i="72"/>
  <c r="S49" i="72"/>
  <c r="Q49" i="72"/>
  <c r="T49" i="72"/>
  <c r="U49" i="72"/>
  <c r="V49" i="72"/>
  <c r="P49" i="72"/>
  <c r="B49" i="79"/>
  <c r="C49" i="79"/>
  <c r="D49" i="79"/>
  <c r="E49" i="79"/>
  <c r="G49" i="79"/>
  <c r="H49" i="79"/>
  <c r="T49" i="79"/>
  <c r="K49" i="79"/>
  <c r="N49" i="79"/>
  <c r="B49" i="80"/>
  <c r="C49" i="80"/>
  <c r="D49" i="80"/>
  <c r="E49" i="80"/>
  <c r="G49" i="80"/>
  <c r="H49" i="80"/>
  <c r="A49" i="80"/>
  <c r="L49" i="80"/>
  <c r="Q49" i="80"/>
  <c r="R49" i="80"/>
  <c r="S49" i="80"/>
  <c r="P49" i="80"/>
  <c r="A49" i="82"/>
  <c r="B48" i="72"/>
  <c r="C48" i="72"/>
  <c r="D48" i="72"/>
  <c r="E48" i="72"/>
  <c r="G48" i="72"/>
  <c r="H48" i="72"/>
  <c r="A48" i="72"/>
  <c r="L48" i="72"/>
  <c r="R48" i="72"/>
  <c r="S48" i="72"/>
  <c r="Q48" i="72"/>
  <c r="T48" i="72"/>
  <c r="U48" i="72"/>
  <c r="V48" i="72"/>
  <c r="P48" i="72"/>
  <c r="B48" i="79"/>
  <c r="C48" i="79"/>
  <c r="D48" i="79"/>
  <c r="E48" i="79"/>
  <c r="G48" i="79"/>
  <c r="H48" i="79"/>
  <c r="A48" i="79"/>
  <c r="K48" i="79"/>
  <c r="N48" i="79"/>
  <c r="B48" i="80"/>
  <c r="C48" i="80"/>
  <c r="D48" i="80"/>
  <c r="E48" i="80"/>
  <c r="G48" i="80"/>
  <c r="H48" i="80"/>
  <c r="A48" i="80"/>
  <c r="L48" i="80"/>
  <c r="Q48" i="80"/>
  <c r="R48" i="80"/>
  <c r="S48" i="80"/>
  <c r="P48" i="80"/>
  <c r="A48" i="82"/>
  <c r="B47" i="72"/>
  <c r="C47" i="72"/>
  <c r="D47" i="72"/>
  <c r="E47" i="72"/>
  <c r="G47" i="72"/>
  <c r="H47" i="72"/>
  <c r="A47" i="72"/>
  <c r="L47" i="72"/>
  <c r="R47" i="72"/>
  <c r="S47" i="72"/>
  <c r="Q47" i="72"/>
  <c r="T47" i="72"/>
  <c r="U47" i="72"/>
  <c r="V47" i="72"/>
  <c r="P47" i="72"/>
  <c r="B47" i="79"/>
  <c r="C47" i="79"/>
  <c r="D47" i="79"/>
  <c r="E47" i="79"/>
  <c r="G47" i="79"/>
  <c r="H47" i="79"/>
  <c r="A47" i="79"/>
  <c r="K47" i="79"/>
  <c r="B47" i="80"/>
  <c r="C47" i="80"/>
  <c r="D47" i="80"/>
  <c r="E47" i="80"/>
  <c r="G47" i="80"/>
  <c r="H47" i="80"/>
  <c r="A47" i="80"/>
  <c r="L47" i="80"/>
  <c r="Q47" i="80"/>
  <c r="R47" i="80"/>
  <c r="S47" i="80"/>
  <c r="P47" i="80"/>
  <c r="A47" i="82"/>
  <c r="B46" i="72"/>
  <c r="C46" i="72"/>
  <c r="D46" i="72"/>
  <c r="E46" i="72"/>
  <c r="G46" i="72"/>
  <c r="H46" i="72"/>
  <c r="A46" i="72"/>
  <c r="L46" i="72"/>
  <c r="R46" i="72"/>
  <c r="S46" i="72"/>
  <c r="Q46" i="72"/>
  <c r="T46" i="72"/>
  <c r="U46" i="72"/>
  <c r="V46" i="72"/>
  <c r="P46" i="72"/>
  <c r="B46" i="79"/>
  <c r="C46" i="79"/>
  <c r="D46" i="79"/>
  <c r="E46" i="79"/>
  <c r="G46" i="79"/>
  <c r="H46" i="79"/>
  <c r="A46" i="79"/>
  <c r="K46" i="79"/>
  <c r="N46" i="79"/>
  <c r="B46" i="80"/>
  <c r="C46" i="80"/>
  <c r="D46" i="80"/>
  <c r="E46" i="80"/>
  <c r="G46" i="80"/>
  <c r="H46" i="80"/>
  <c r="A46" i="80"/>
  <c r="L46" i="80"/>
  <c r="Q46" i="80"/>
  <c r="R46" i="80"/>
  <c r="S46" i="80"/>
  <c r="P46" i="80"/>
  <c r="A46" i="82"/>
  <c r="B45" i="72"/>
  <c r="C45" i="72"/>
  <c r="D45" i="72"/>
  <c r="E45" i="72"/>
  <c r="G45" i="72"/>
  <c r="H45" i="72"/>
  <c r="A45" i="72"/>
  <c r="L45" i="72"/>
  <c r="R45" i="72"/>
  <c r="S45" i="72"/>
  <c r="Q45" i="72"/>
  <c r="T45" i="72"/>
  <c r="U45" i="72"/>
  <c r="V45" i="72"/>
  <c r="P45" i="72"/>
  <c r="B45" i="79"/>
  <c r="C45" i="79"/>
  <c r="D45" i="79"/>
  <c r="E45" i="79"/>
  <c r="G45" i="79"/>
  <c r="H45" i="79"/>
  <c r="T45" i="79"/>
  <c r="K45" i="79"/>
  <c r="N45" i="79"/>
  <c r="B45" i="80"/>
  <c r="C45" i="80"/>
  <c r="D45" i="80"/>
  <c r="E45" i="80"/>
  <c r="G45" i="80"/>
  <c r="H45" i="80"/>
  <c r="A45" i="80"/>
  <c r="L45" i="80"/>
  <c r="Q45" i="80"/>
  <c r="R45" i="80"/>
  <c r="S45" i="80"/>
  <c r="P45" i="80"/>
  <c r="A45" i="82"/>
  <c r="B44" i="72"/>
  <c r="C44" i="72"/>
  <c r="D44" i="72"/>
  <c r="E44" i="72"/>
  <c r="G44" i="72"/>
  <c r="H44" i="72"/>
  <c r="A44" i="72"/>
  <c r="L44" i="72"/>
  <c r="R44" i="72"/>
  <c r="S44" i="72"/>
  <c r="Q44" i="72"/>
  <c r="T44" i="72"/>
  <c r="U44" i="72"/>
  <c r="V44" i="72"/>
  <c r="P44" i="72"/>
  <c r="B44" i="79"/>
  <c r="C44" i="79"/>
  <c r="D44" i="79"/>
  <c r="E44" i="79"/>
  <c r="G44" i="79"/>
  <c r="H44" i="79"/>
  <c r="T44" i="79"/>
  <c r="K44" i="79"/>
  <c r="N44" i="79"/>
  <c r="B44" i="80"/>
  <c r="C44" i="80"/>
  <c r="D44" i="80"/>
  <c r="E44" i="80"/>
  <c r="G44" i="80"/>
  <c r="H44" i="80"/>
  <c r="A44" i="80"/>
  <c r="L44" i="80"/>
  <c r="Q44" i="80"/>
  <c r="R44" i="80"/>
  <c r="S44" i="80"/>
  <c r="P44" i="80"/>
  <c r="A44" i="82"/>
  <c r="B43" i="72"/>
  <c r="C43" i="72"/>
  <c r="D43" i="72"/>
  <c r="E43" i="72"/>
  <c r="G43" i="72"/>
  <c r="H43" i="72"/>
  <c r="A43" i="72"/>
  <c r="L43" i="72"/>
  <c r="R43" i="72"/>
  <c r="S43" i="72"/>
  <c r="Q43" i="72"/>
  <c r="T43" i="72"/>
  <c r="U43" i="72"/>
  <c r="V43" i="72"/>
  <c r="P43" i="72"/>
  <c r="B43" i="79"/>
  <c r="C43" i="79"/>
  <c r="D43" i="79"/>
  <c r="E43" i="79"/>
  <c r="G43" i="79"/>
  <c r="H43" i="79"/>
  <c r="A43" i="79"/>
  <c r="K43" i="79"/>
  <c r="N43" i="79"/>
  <c r="B43" i="80"/>
  <c r="C43" i="80"/>
  <c r="D43" i="80"/>
  <c r="E43" i="80"/>
  <c r="G43" i="80"/>
  <c r="H43" i="80"/>
  <c r="A43" i="80"/>
  <c r="L43" i="80"/>
  <c r="Q43" i="80"/>
  <c r="R43" i="80"/>
  <c r="S43" i="80"/>
  <c r="P43" i="80"/>
  <c r="A43" i="82"/>
  <c r="B42" i="72"/>
  <c r="C42" i="72"/>
  <c r="D42" i="72"/>
  <c r="E42" i="72"/>
  <c r="G42" i="72"/>
  <c r="H42" i="72"/>
  <c r="A42" i="72"/>
  <c r="L42" i="72"/>
  <c r="R42" i="72"/>
  <c r="S42" i="72"/>
  <c r="Q42" i="72"/>
  <c r="T42" i="72"/>
  <c r="U42" i="72"/>
  <c r="V42" i="72"/>
  <c r="P42" i="72"/>
  <c r="B42" i="79"/>
  <c r="C42" i="79"/>
  <c r="D42" i="79"/>
  <c r="E42" i="79"/>
  <c r="G42" i="79"/>
  <c r="H42" i="79"/>
  <c r="A42" i="79"/>
  <c r="K42" i="79"/>
  <c r="N42" i="79"/>
  <c r="B42" i="80"/>
  <c r="C42" i="80"/>
  <c r="D42" i="80"/>
  <c r="E42" i="80"/>
  <c r="G42" i="80"/>
  <c r="H42" i="80"/>
  <c r="A42" i="80"/>
  <c r="L42" i="80"/>
  <c r="Q42" i="80"/>
  <c r="R42" i="80"/>
  <c r="S42" i="80"/>
  <c r="P42" i="80"/>
  <c r="A42" i="82"/>
  <c r="B41" i="72"/>
  <c r="C41" i="72"/>
  <c r="D41" i="72"/>
  <c r="E41" i="72"/>
  <c r="G41" i="72"/>
  <c r="H41" i="72"/>
  <c r="A41" i="72"/>
  <c r="L41" i="72"/>
  <c r="R41" i="72"/>
  <c r="S41" i="72"/>
  <c r="Q41" i="72"/>
  <c r="T41" i="72"/>
  <c r="U41" i="72"/>
  <c r="V41" i="72"/>
  <c r="P41" i="72"/>
  <c r="B41" i="79"/>
  <c r="C41" i="79"/>
  <c r="D41" i="79"/>
  <c r="E41" i="79"/>
  <c r="G41" i="79"/>
  <c r="H41" i="79"/>
  <c r="A41" i="79"/>
  <c r="K41" i="79"/>
  <c r="N41" i="79"/>
  <c r="B41" i="80"/>
  <c r="C41" i="80"/>
  <c r="D41" i="80"/>
  <c r="E41" i="80"/>
  <c r="G41" i="80"/>
  <c r="H41" i="80"/>
  <c r="A41" i="80"/>
  <c r="L41" i="80"/>
  <c r="Q41" i="80"/>
  <c r="R41" i="80"/>
  <c r="S41" i="80"/>
  <c r="P41" i="80"/>
  <c r="A41" i="82"/>
  <c r="AB63" i="79"/>
  <c r="AE63" i="79"/>
  <c r="AC63" i="79"/>
  <c r="AB62" i="79"/>
  <c r="AE62" i="79"/>
  <c r="AC62" i="79"/>
  <c r="AB61" i="79"/>
  <c r="AE61" i="79"/>
  <c r="AC61" i="79"/>
  <c r="AB59" i="79"/>
  <c r="AE59" i="79"/>
  <c r="AC59" i="79"/>
  <c r="AB60" i="79"/>
  <c r="AE60" i="79"/>
  <c r="AC60" i="79"/>
  <c r="AB58" i="79"/>
  <c r="AE58" i="79"/>
  <c r="AC58" i="79"/>
  <c r="P57" i="79"/>
  <c r="A57" i="79"/>
  <c r="AF57" i="79"/>
  <c r="Y57" i="79"/>
  <c r="R57" i="79"/>
  <c r="V57" i="79"/>
  <c r="R56" i="79"/>
  <c r="Y56" i="79"/>
  <c r="V56" i="79"/>
  <c r="T56" i="79"/>
  <c r="AF56" i="79"/>
  <c r="P56" i="79"/>
  <c r="R55" i="79"/>
  <c r="AF55" i="79"/>
  <c r="P55" i="79"/>
  <c r="A55" i="79"/>
  <c r="Y55" i="79"/>
  <c r="V55" i="79"/>
  <c r="Y54" i="79"/>
  <c r="V54" i="79"/>
  <c r="T54" i="79"/>
  <c r="R54" i="79"/>
  <c r="P54" i="79"/>
  <c r="AF54" i="79"/>
  <c r="R53" i="79"/>
  <c r="AF53" i="79"/>
  <c r="P53" i="79"/>
  <c r="A53" i="79"/>
  <c r="Y53" i="79"/>
  <c r="V53" i="79"/>
  <c r="R52" i="79"/>
  <c r="Y52" i="79"/>
  <c r="V52" i="79"/>
  <c r="T52" i="79"/>
  <c r="AF52" i="79"/>
  <c r="P52" i="79"/>
  <c r="R51" i="79"/>
  <c r="Y51" i="79"/>
  <c r="V51" i="79"/>
  <c r="T51" i="79"/>
  <c r="AF51" i="79"/>
  <c r="P51" i="79"/>
  <c r="P49" i="79"/>
  <c r="V50" i="79"/>
  <c r="R50" i="79"/>
  <c r="Y50" i="79"/>
  <c r="T50" i="79"/>
  <c r="AF50" i="79"/>
  <c r="P50" i="79"/>
  <c r="Y48" i="79"/>
  <c r="Y49" i="79"/>
  <c r="P48" i="79"/>
  <c r="V49" i="79"/>
  <c r="R49" i="79"/>
  <c r="A49" i="79"/>
  <c r="AF49" i="79"/>
  <c r="N47" i="79"/>
  <c r="AF48" i="79"/>
  <c r="V48" i="79"/>
  <c r="T48" i="79"/>
  <c r="R48" i="79"/>
  <c r="V47" i="79"/>
  <c r="AF47" i="79"/>
  <c r="Y47" i="79"/>
  <c r="R47" i="79"/>
  <c r="P47" i="79"/>
  <c r="T47" i="79"/>
  <c r="Y46" i="79"/>
  <c r="V46" i="79"/>
  <c r="R46" i="79"/>
  <c r="AF46" i="79"/>
  <c r="P46" i="79"/>
  <c r="T46" i="79"/>
  <c r="Y45" i="79"/>
  <c r="R45" i="79"/>
  <c r="P45" i="79"/>
  <c r="AF45" i="79"/>
  <c r="V45" i="79"/>
  <c r="A45" i="79"/>
  <c r="AF44" i="79"/>
  <c r="R44" i="79"/>
  <c r="P44" i="79"/>
  <c r="A44" i="79"/>
  <c r="Y44" i="79"/>
  <c r="V44" i="79"/>
  <c r="AF43" i="79"/>
  <c r="Y43" i="79"/>
  <c r="R43" i="79"/>
  <c r="P43" i="79"/>
  <c r="V43" i="79"/>
  <c r="T43" i="79"/>
  <c r="AF42" i="79"/>
  <c r="Y42" i="79"/>
  <c r="R42" i="79"/>
  <c r="P42" i="79"/>
  <c r="V42" i="79"/>
  <c r="T42" i="79"/>
  <c r="Y41" i="79"/>
  <c r="V41" i="79"/>
  <c r="T41" i="79"/>
  <c r="R41" i="79"/>
  <c r="AF41" i="79"/>
  <c r="P41" i="79"/>
  <c r="B40" i="72"/>
  <c r="C40" i="72"/>
  <c r="D40" i="72"/>
  <c r="E40" i="72"/>
  <c r="G40" i="72"/>
  <c r="H40" i="72"/>
  <c r="A40" i="72"/>
  <c r="L40" i="72"/>
  <c r="R40" i="72"/>
  <c r="S40" i="72"/>
  <c r="Q40" i="72"/>
  <c r="T40" i="72"/>
  <c r="U40" i="72"/>
  <c r="V40" i="72"/>
  <c r="P40" i="72"/>
  <c r="B40" i="79"/>
  <c r="C40" i="79"/>
  <c r="D40" i="79"/>
  <c r="E40" i="79"/>
  <c r="G40" i="79"/>
  <c r="H40" i="79"/>
  <c r="A40" i="79"/>
  <c r="K40" i="79"/>
  <c r="N40" i="79"/>
  <c r="B40" i="80"/>
  <c r="C40" i="80"/>
  <c r="D40" i="80"/>
  <c r="E40" i="80"/>
  <c r="G40" i="80"/>
  <c r="H40" i="80"/>
  <c r="A40" i="80"/>
  <c r="L40" i="80"/>
  <c r="Q40" i="80"/>
  <c r="R40" i="80"/>
  <c r="S40" i="80"/>
  <c r="P40" i="80"/>
  <c r="A40" i="82"/>
  <c r="B39" i="72"/>
  <c r="C39" i="72"/>
  <c r="D39" i="72"/>
  <c r="E39" i="72"/>
  <c r="G39" i="72"/>
  <c r="H39" i="72"/>
  <c r="A39" i="72"/>
  <c r="L39" i="72"/>
  <c r="R39" i="72"/>
  <c r="S39" i="72"/>
  <c r="Q39" i="72"/>
  <c r="T39" i="72"/>
  <c r="U39" i="72"/>
  <c r="V39" i="72"/>
  <c r="P39" i="72"/>
  <c r="B39" i="79"/>
  <c r="C39" i="79"/>
  <c r="D39" i="79"/>
  <c r="E39" i="79"/>
  <c r="G39" i="79"/>
  <c r="H39" i="79"/>
  <c r="P39" i="79"/>
  <c r="K39" i="79"/>
  <c r="N39" i="79"/>
  <c r="B39" i="80"/>
  <c r="C39" i="80"/>
  <c r="D39" i="80"/>
  <c r="E39" i="80"/>
  <c r="G39" i="80"/>
  <c r="H39" i="80"/>
  <c r="A39" i="80"/>
  <c r="L39" i="80"/>
  <c r="Q39" i="80"/>
  <c r="R39" i="80"/>
  <c r="S39" i="80"/>
  <c r="P39" i="80"/>
  <c r="A39" i="82"/>
  <c r="AB57" i="79"/>
  <c r="AE57" i="79"/>
  <c r="AC57" i="79"/>
  <c r="AB56" i="79"/>
  <c r="AE56" i="79"/>
  <c r="AC56" i="79"/>
  <c r="AB55" i="79"/>
  <c r="AE55" i="79"/>
  <c r="AC55" i="79"/>
  <c r="AB54" i="79"/>
  <c r="AE54" i="79"/>
  <c r="AC54" i="79"/>
  <c r="AB53" i="79"/>
  <c r="AE53" i="79"/>
  <c r="AC53" i="79"/>
  <c r="AB52" i="79"/>
  <c r="AE52" i="79"/>
  <c r="AC52" i="79"/>
  <c r="AB50" i="79"/>
  <c r="AE50" i="79"/>
  <c r="AC50" i="79"/>
  <c r="AB51" i="79"/>
  <c r="AE51" i="79"/>
  <c r="AC51" i="79"/>
  <c r="AB49" i="79"/>
  <c r="AE49" i="79"/>
  <c r="AC49" i="79"/>
  <c r="AB48" i="79"/>
  <c r="AE48" i="79"/>
  <c r="AC48" i="79"/>
  <c r="AB47" i="79"/>
  <c r="AE47" i="79"/>
  <c r="AC47" i="79"/>
  <c r="AB45" i="79"/>
  <c r="AE45" i="79"/>
  <c r="AC45" i="79"/>
  <c r="AB46" i="79"/>
  <c r="AE46" i="79"/>
  <c r="AC46" i="79"/>
  <c r="AB44" i="79"/>
  <c r="AE44" i="79"/>
  <c r="AC44" i="79"/>
  <c r="AB43" i="79"/>
  <c r="AE43" i="79"/>
  <c r="AC43" i="79"/>
  <c r="AB42" i="79"/>
  <c r="AE42" i="79"/>
  <c r="AC42" i="79"/>
  <c r="AB41" i="79"/>
  <c r="AE41" i="79"/>
  <c r="AC41" i="79"/>
  <c r="Y39" i="79"/>
  <c r="R40" i="79"/>
  <c r="Y40" i="79"/>
  <c r="V40" i="79"/>
  <c r="T40" i="79"/>
  <c r="AF40" i="79"/>
  <c r="P40" i="79"/>
  <c r="A39" i="79"/>
  <c r="V39" i="79"/>
  <c r="T39" i="79"/>
  <c r="R39" i="79"/>
  <c r="AF39" i="79"/>
  <c r="B38" i="72"/>
  <c r="C38" i="72"/>
  <c r="D38" i="72"/>
  <c r="E38" i="72"/>
  <c r="G38" i="72"/>
  <c r="H38" i="72"/>
  <c r="A38" i="72"/>
  <c r="L38" i="72"/>
  <c r="R38" i="72"/>
  <c r="S38" i="72"/>
  <c r="Q38" i="72"/>
  <c r="T38" i="72"/>
  <c r="U38" i="72"/>
  <c r="V38" i="72"/>
  <c r="P38" i="72"/>
  <c r="B38" i="79"/>
  <c r="C38" i="79"/>
  <c r="D38" i="79"/>
  <c r="E38" i="79"/>
  <c r="G38" i="79"/>
  <c r="H38" i="79"/>
  <c r="A38" i="79"/>
  <c r="K38" i="79"/>
  <c r="N38" i="79"/>
  <c r="B38" i="80"/>
  <c r="C38" i="80"/>
  <c r="D38" i="80"/>
  <c r="E38" i="80"/>
  <c r="G38" i="80"/>
  <c r="H38" i="80"/>
  <c r="A38" i="80"/>
  <c r="L38" i="80"/>
  <c r="Q38" i="80"/>
  <c r="R38" i="80"/>
  <c r="S38" i="80"/>
  <c r="P38" i="80"/>
  <c r="A38" i="82"/>
  <c r="B37" i="72"/>
  <c r="C37" i="72"/>
  <c r="D37" i="72"/>
  <c r="E37" i="72"/>
  <c r="G37" i="72"/>
  <c r="H37" i="72"/>
  <c r="A37" i="72"/>
  <c r="L37" i="72"/>
  <c r="R37" i="72"/>
  <c r="S37" i="72"/>
  <c r="Q37" i="72"/>
  <c r="T37" i="72"/>
  <c r="U37" i="72"/>
  <c r="V37" i="72"/>
  <c r="P37" i="72"/>
  <c r="B37" i="79"/>
  <c r="C37" i="79"/>
  <c r="D37" i="79"/>
  <c r="E37" i="79"/>
  <c r="G37" i="79"/>
  <c r="H37" i="79"/>
  <c r="A37" i="79"/>
  <c r="K37" i="79"/>
  <c r="N37" i="79"/>
  <c r="B37" i="80"/>
  <c r="C37" i="80"/>
  <c r="D37" i="80"/>
  <c r="E37" i="80"/>
  <c r="G37" i="80"/>
  <c r="H37" i="80"/>
  <c r="A37" i="80"/>
  <c r="L37" i="80"/>
  <c r="Q37" i="80"/>
  <c r="R37" i="80"/>
  <c r="S37" i="80"/>
  <c r="P37" i="80"/>
  <c r="A37" i="82"/>
  <c r="B36" i="72"/>
  <c r="C36" i="72"/>
  <c r="D36" i="72"/>
  <c r="E36" i="72"/>
  <c r="G36" i="72"/>
  <c r="H36" i="72"/>
  <c r="A36" i="72"/>
  <c r="L36" i="72"/>
  <c r="R36" i="72"/>
  <c r="S36" i="72"/>
  <c r="Q36" i="72"/>
  <c r="T36" i="72"/>
  <c r="U36" i="72"/>
  <c r="V36" i="72"/>
  <c r="P36" i="72"/>
  <c r="B36" i="79"/>
  <c r="C36" i="79"/>
  <c r="D36" i="79"/>
  <c r="E36" i="79"/>
  <c r="G36" i="79"/>
  <c r="H36" i="79"/>
  <c r="T36" i="79"/>
  <c r="K36" i="79"/>
  <c r="N36" i="79"/>
  <c r="B36" i="80"/>
  <c r="C36" i="80"/>
  <c r="D36" i="80"/>
  <c r="E36" i="80"/>
  <c r="G36" i="80"/>
  <c r="H36" i="80"/>
  <c r="A36" i="80"/>
  <c r="L36" i="80"/>
  <c r="Q36" i="80"/>
  <c r="R36" i="80"/>
  <c r="S36" i="80"/>
  <c r="P36" i="80"/>
  <c r="A36" i="82"/>
  <c r="B35" i="72"/>
  <c r="C35" i="72"/>
  <c r="D35" i="72"/>
  <c r="E35" i="72"/>
  <c r="G35" i="72"/>
  <c r="H35" i="72"/>
  <c r="A35" i="72"/>
  <c r="L35" i="72"/>
  <c r="R35" i="72"/>
  <c r="S35" i="72"/>
  <c r="Q35" i="72"/>
  <c r="T35" i="72"/>
  <c r="U35" i="72"/>
  <c r="V35" i="72"/>
  <c r="P35" i="72"/>
  <c r="B35" i="79"/>
  <c r="C35" i="79"/>
  <c r="D35" i="79"/>
  <c r="E35" i="79"/>
  <c r="G35" i="79"/>
  <c r="H35" i="79"/>
  <c r="A35" i="79"/>
  <c r="K35" i="79"/>
  <c r="N35" i="79"/>
  <c r="B35" i="80"/>
  <c r="C35" i="80"/>
  <c r="D35" i="80"/>
  <c r="E35" i="80"/>
  <c r="G35" i="80"/>
  <c r="H35" i="80"/>
  <c r="A35" i="80"/>
  <c r="L35" i="80"/>
  <c r="Q35" i="80"/>
  <c r="R35" i="80"/>
  <c r="S35" i="80"/>
  <c r="P35" i="80"/>
  <c r="A35" i="82"/>
  <c r="B34" i="72"/>
  <c r="C34" i="72"/>
  <c r="D34" i="72"/>
  <c r="E34" i="72"/>
  <c r="G34" i="72"/>
  <c r="H34" i="72"/>
  <c r="A34" i="72"/>
  <c r="L34" i="72"/>
  <c r="R34" i="72"/>
  <c r="S34" i="72"/>
  <c r="Q34" i="72"/>
  <c r="T34" i="72"/>
  <c r="U34" i="72"/>
  <c r="V34" i="72"/>
  <c r="P34" i="72"/>
  <c r="B34" i="79"/>
  <c r="C34" i="79"/>
  <c r="D34" i="79"/>
  <c r="E34" i="79"/>
  <c r="G34" i="79"/>
  <c r="H34" i="79"/>
  <c r="A34" i="79"/>
  <c r="K34" i="79"/>
  <c r="N34" i="79"/>
  <c r="B34" i="80"/>
  <c r="C34" i="80"/>
  <c r="D34" i="80"/>
  <c r="E34" i="80"/>
  <c r="G34" i="80"/>
  <c r="H34" i="80"/>
  <c r="A34" i="80"/>
  <c r="L34" i="80"/>
  <c r="Q34" i="80"/>
  <c r="R34" i="80"/>
  <c r="S34" i="80"/>
  <c r="P34" i="80"/>
  <c r="A34" i="82"/>
  <c r="B33" i="72"/>
  <c r="C33" i="72"/>
  <c r="D33" i="72"/>
  <c r="E33" i="72"/>
  <c r="G33" i="72"/>
  <c r="H33" i="72"/>
  <c r="A33" i="72"/>
  <c r="L33" i="72"/>
  <c r="R33" i="72"/>
  <c r="S33" i="72"/>
  <c r="Q33" i="72"/>
  <c r="T33" i="72"/>
  <c r="U33" i="72"/>
  <c r="V33" i="72"/>
  <c r="P33" i="72"/>
  <c r="B33" i="79"/>
  <c r="C33" i="79"/>
  <c r="D33" i="79"/>
  <c r="E33" i="79"/>
  <c r="G33" i="79"/>
  <c r="H33" i="79"/>
  <c r="T33" i="79"/>
  <c r="K33" i="79"/>
  <c r="N33" i="79"/>
  <c r="B33" i="80"/>
  <c r="C33" i="80"/>
  <c r="D33" i="80"/>
  <c r="E33" i="80"/>
  <c r="G33" i="80"/>
  <c r="H33" i="80"/>
  <c r="A33" i="80"/>
  <c r="L33" i="80"/>
  <c r="Q33" i="80"/>
  <c r="R33" i="80"/>
  <c r="S33" i="80"/>
  <c r="P33" i="80"/>
  <c r="A33" i="82"/>
  <c r="B32" i="72"/>
  <c r="C32" i="72"/>
  <c r="D32" i="72"/>
  <c r="E32" i="72"/>
  <c r="G32" i="72"/>
  <c r="H32" i="72"/>
  <c r="A32" i="72"/>
  <c r="L32" i="72"/>
  <c r="R32" i="72"/>
  <c r="S32" i="72"/>
  <c r="Q32" i="72"/>
  <c r="T32" i="72"/>
  <c r="U32" i="72"/>
  <c r="V32" i="72"/>
  <c r="P32" i="72"/>
  <c r="B32" i="79"/>
  <c r="C32" i="79"/>
  <c r="D32" i="79"/>
  <c r="E32" i="79"/>
  <c r="G32" i="79"/>
  <c r="H32" i="79"/>
  <c r="P32" i="79"/>
  <c r="K32" i="79"/>
  <c r="N32" i="79"/>
  <c r="B32" i="80"/>
  <c r="C32" i="80"/>
  <c r="D32" i="80"/>
  <c r="E32" i="80"/>
  <c r="G32" i="80"/>
  <c r="H32" i="80"/>
  <c r="A32" i="80"/>
  <c r="L32" i="80"/>
  <c r="Q32" i="80"/>
  <c r="R32" i="80"/>
  <c r="S32" i="80"/>
  <c r="P32" i="80"/>
  <c r="A32" i="82"/>
  <c r="B31" i="72"/>
  <c r="C31" i="72"/>
  <c r="D31" i="72"/>
  <c r="E31" i="72"/>
  <c r="G31" i="72"/>
  <c r="H31" i="72"/>
  <c r="A31" i="72"/>
  <c r="L31" i="72"/>
  <c r="R31" i="72"/>
  <c r="S31" i="72"/>
  <c r="Q31" i="72"/>
  <c r="T31" i="72"/>
  <c r="U31" i="72"/>
  <c r="V31" i="72"/>
  <c r="P31" i="72"/>
  <c r="B31" i="79"/>
  <c r="C31" i="79"/>
  <c r="D31" i="79"/>
  <c r="E31" i="79"/>
  <c r="G31" i="79"/>
  <c r="H31" i="79"/>
  <c r="T31" i="79"/>
  <c r="K31" i="79"/>
  <c r="N31" i="79"/>
  <c r="B31" i="80"/>
  <c r="C31" i="80"/>
  <c r="D31" i="80"/>
  <c r="E31" i="80"/>
  <c r="G31" i="80"/>
  <c r="H31" i="80"/>
  <c r="A31" i="80"/>
  <c r="L31" i="80"/>
  <c r="Q31" i="80"/>
  <c r="R31" i="80"/>
  <c r="S31" i="80"/>
  <c r="P31" i="80"/>
  <c r="A31" i="82"/>
  <c r="B30" i="72"/>
  <c r="C30" i="72"/>
  <c r="D30" i="72"/>
  <c r="E30" i="72"/>
  <c r="G30" i="72"/>
  <c r="H30" i="72"/>
  <c r="A30" i="72"/>
  <c r="L30" i="72"/>
  <c r="R30" i="72"/>
  <c r="S30" i="72"/>
  <c r="Q30" i="72"/>
  <c r="T30" i="72"/>
  <c r="U30" i="72"/>
  <c r="V30" i="72"/>
  <c r="P30" i="72"/>
  <c r="B30" i="79"/>
  <c r="C30" i="79"/>
  <c r="D30" i="79"/>
  <c r="E30" i="79"/>
  <c r="G30" i="79"/>
  <c r="H30" i="79"/>
  <c r="T30" i="79"/>
  <c r="K30" i="79"/>
  <c r="N30" i="79"/>
  <c r="B30" i="80"/>
  <c r="C30" i="80"/>
  <c r="D30" i="80"/>
  <c r="E30" i="80"/>
  <c r="G30" i="80"/>
  <c r="H30" i="80"/>
  <c r="A30" i="80"/>
  <c r="L30" i="80"/>
  <c r="Q30" i="80"/>
  <c r="R30" i="80"/>
  <c r="S30" i="80"/>
  <c r="P30" i="80"/>
  <c r="A30" i="82"/>
  <c r="B29" i="72"/>
  <c r="C29" i="72"/>
  <c r="D29" i="72"/>
  <c r="E29" i="72"/>
  <c r="G29" i="72"/>
  <c r="H29" i="72"/>
  <c r="A29" i="72"/>
  <c r="L29" i="72"/>
  <c r="R29" i="72"/>
  <c r="S29" i="72"/>
  <c r="Q29" i="72"/>
  <c r="T29" i="72"/>
  <c r="U29" i="72"/>
  <c r="V29" i="72"/>
  <c r="P29" i="72"/>
  <c r="B29" i="79"/>
  <c r="C29" i="79"/>
  <c r="D29" i="79"/>
  <c r="E29" i="79"/>
  <c r="G29" i="79"/>
  <c r="H29" i="79"/>
  <c r="T29" i="79"/>
  <c r="K29" i="79"/>
  <c r="N29" i="79"/>
  <c r="B29" i="80"/>
  <c r="C29" i="80"/>
  <c r="D29" i="80"/>
  <c r="E29" i="80"/>
  <c r="G29" i="80"/>
  <c r="H29" i="80"/>
  <c r="A29" i="80"/>
  <c r="L29" i="80"/>
  <c r="Q29" i="80"/>
  <c r="R29" i="80"/>
  <c r="S29" i="80"/>
  <c r="P29" i="80"/>
  <c r="A29" i="82"/>
  <c r="B28" i="72"/>
  <c r="C28" i="72"/>
  <c r="D28" i="72"/>
  <c r="E28" i="72"/>
  <c r="G28" i="72"/>
  <c r="H28" i="72"/>
  <c r="A28" i="72"/>
  <c r="L28" i="72"/>
  <c r="R28" i="72"/>
  <c r="S28" i="72"/>
  <c r="Q28" i="72"/>
  <c r="T28" i="72"/>
  <c r="U28" i="72"/>
  <c r="V28" i="72"/>
  <c r="P28" i="72"/>
  <c r="B28" i="79"/>
  <c r="C28" i="79"/>
  <c r="D28" i="79"/>
  <c r="E28" i="79"/>
  <c r="G28" i="79"/>
  <c r="H28" i="79"/>
  <c r="A28" i="79"/>
  <c r="K28" i="79"/>
  <c r="N28" i="79"/>
  <c r="B28" i="80"/>
  <c r="C28" i="80"/>
  <c r="D28" i="80"/>
  <c r="E28" i="80"/>
  <c r="G28" i="80"/>
  <c r="H28" i="80"/>
  <c r="A28" i="80"/>
  <c r="L28" i="80"/>
  <c r="Q28" i="80"/>
  <c r="R28" i="80"/>
  <c r="S28" i="80"/>
  <c r="P28" i="80"/>
  <c r="A28" i="82"/>
  <c r="AB40" i="79"/>
  <c r="AE40" i="79"/>
  <c r="AC40" i="79"/>
  <c r="AB39" i="79"/>
  <c r="AE39" i="79"/>
  <c r="AC39" i="79"/>
  <c r="Y38" i="79"/>
  <c r="V38" i="79"/>
  <c r="T38" i="79"/>
  <c r="R38" i="79"/>
  <c r="AF38" i="79"/>
  <c r="P38" i="79"/>
  <c r="Y37" i="79"/>
  <c r="V37" i="79"/>
  <c r="T37" i="79"/>
  <c r="R37" i="79"/>
  <c r="AF37" i="79"/>
  <c r="P37" i="79"/>
  <c r="R36" i="79"/>
  <c r="AF36" i="79"/>
  <c r="P36" i="79"/>
  <c r="A36" i="79"/>
  <c r="Y36" i="79"/>
  <c r="V36" i="79"/>
  <c r="Y35" i="79"/>
  <c r="V35" i="79"/>
  <c r="T35" i="79"/>
  <c r="R35" i="79"/>
  <c r="AF35" i="79"/>
  <c r="P35" i="79"/>
  <c r="AF34" i="79"/>
  <c r="P34" i="79"/>
  <c r="Y33" i="79"/>
  <c r="Y34" i="79"/>
  <c r="V34" i="79"/>
  <c r="T34" i="79"/>
  <c r="R34" i="79"/>
  <c r="AF33" i="79"/>
  <c r="A33" i="79"/>
  <c r="V33" i="79"/>
  <c r="R33" i="79"/>
  <c r="P33" i="79"/>
  <c r="Y32" i="79"/>
  <c r="V32" i="79"/>
  <c r="A32" i="79"/>
  <c r="T32" i="79"/>
  <c r="R32" i="79"/>
  <c r="AF32" i="79"/>
  <c r="AF31" i="79"/>
  <c r="Y31" i="79"/>
  <c r="V31" i="79"/>
  <c r="R31" i="79"/>
  <c r="P31" i="79"/>
  <c r="A31" i="79"/>
  <c r="A30" i="79"/>
  <c r="Y30" i="79"/>
  <c r="V30" i="79"/>
  <c r="AF30" i="79"/>
  <c r="R30" i="79"/>
  <c r="P30" i="79"/>
  <c r="AF29" i="79"/>
  <c r="R29" i="79"/>
  <c r="P29" i="79"/>
  <c r="A29" i="79"/>
  <c r="Y29" i="79"/>
  <c r="V29" i="79"/>
  <c r="AF28" i="79"/>
  <c r="R28" i="79"/>
  <c r="P28" i="79"/>
  <c r="V28" i="79"/>
  <c r="Y28" i="79"/>
  <c r="T28" i="79"/>
  <c r="B27" i="72"/>
  <c r="C27" i="72"/>
  <c r="D27" i="72"/>
  <c r="E27" i="72"/>
  <c r="G27" i="72"/>
  <c r="H27" i="72"/>
  <c r="A27" i="72"/>
  <c r="L27" i="72"/>
  <c r="R27" i="72"/>
  <c r="S27" i="72"/>
  <c r="Q27" i="72"/>
  <c r="T27" i="72"/>
  <c r="U27" i="72"/>
  <c r="V27" i="72"/>
  <c r="P27" i="72"/>
  <c r="B27" i="79"/>
  <c r="C27" i="79"/>
  <c r="D27" i="79"/>
  <c r="E27" i="79"/>
  <c r="G27" i="79"/>
  <c r="H27" i="79"/>
  <c r="A27" i="79"/>
  <c r="K27" i="79"/>
  <c r="N27" i="79"/>
  <c r="B27" i="80"/>
  <c r="C27" i="80"/>
  <c r="D27" i="80"/>
  <c r="E27" i="80"/>
  <c r="G27" i="80"/>
  <c r="H27" i="80"/>
  <c r="A27" i="80"/>
  <c r="L27" i="80"/>
  <c r="Q27" i="80"/>
  <c r="R27" i="80"/>
  <c r="S27" i="80"/>
  <c r="P27" i="80"/>
  <c r="A27" i="82"/>
  <c r="B26" i="72"/>
  <c r="C26" i="72"/>
  <c r="D26" i="72"/>
  <c r="E26" i="72"/>
  <c r="G26" i="72"/>
  <c r="H26" i="72"/>
  <c r="A26" i="72"/>
  <c r="L26" i="72"/>
  <c r="R26" i="72"/>
  <c r="S26" i="72"/>
  <c r="Q26" i="72"/>
  <c r="T26" i="72"/>
  <c r="U26" i="72"/>
  <c r="V26" i="72"/>
  <c r="P26" i="72"/>
  <c r="B26" i="79"/>
  <c r="C26" i="79"/>
  <c r="D26" i="79"/>
  <c r="E26" i="79"/>
  <c r="G26" i="79"/>
  <c r="H26" i="79"/>
  <c r="T26" i="79"/>
  <c r="K26" i="79"/>
  <c r="N26" i="79"/>
  <c r="B26" i="80"/>
  <c r="C26" i="80"/>
  <c r="D26" i="80"/>
  <c r="E26" i="80"/>
  <c r="G26" i="80"/>
  <c r="H26" i="80"/>
  <c r="A26" i="80"/>
  <c r="L26" i="80"/>
  <c r="Q26" i="80"/>
  <c r="R26" i="80"/>
  <c r="S26" i="80"/>
  <c r="P26" i="80"/>
  <c r="A26" i="82"/>
  <c r="AB38" i="79"/>
  <c r="AE38" i="79"/>
  <c r="AC38" i="79"/>
  <c r="AB37" i="79"/>
  <c r="AE37" i="79"/>
  <c r="AC37" i="79"/>
  <c r="AB36" i="79"/>
  <c r="AE36" i="79"/>
  <c r="AC36" i="79"/>
  <c r="AB35" i="79"/>
  <c r="AE35" i="79"/>
  <c r="AC35" i="79"/>
  <c r="AB34" i="79"/>
  <c r="AE34" i="79"/>
  <c r="AC34" i="79"/>
  <c r="AB33" i="79"/>
  <c r="AE33" i="79"/>
  <c r="AC33" i="79"/>
  <c r="AB32" i="79"/>
  <c r="AE32" i="79"/>
  <c r="AC32" i="79"/>
  <c r="AB31" i="79"/>
  <c r="AE31" i="79"/>
  <c r="AC31" i="79"/>
  <c r="AB30" i="79"/>
  <c r="AE30" i="79"/>
  <c r="AC30" i="79"/>
  <c r="AB29" i="79"/>
  <c r="AE29" i="79"/>
  <c r="AC29" i="79"/>
  <c r="AB28" i="79"/>
  <c r="AE28" i="79"/>
  <c r="AC28" i="79"/>
  <c r="Y27" i="79"/>
  <c r="V27" i="79"/>
  <c r="T27" i="79"/>
  <c r="R27" i="79"/>
  <c r="AF27" i="79"/>
  <c r="P27" i="79"/>
  <c r="AF26" i="79"/>
  <c r="Y26" i="79"/>
  <c r="V26" i="79"/>
  <c r="R26" i="79"/>
  <c r="P26" i="79"/>
  <c r="A26" i="79"/>
  <c r="B25" i="72"/>
  <c r="C25" i="72"/>
  <c r="D25" i="72"/>
  <c r="E25" i="72"/>
  <c r="G25" i="72"/>
  <c r="H25" i="72"/>
  <c r="A25" i="72"/>
  <c r="L25" i="72"/>
  <c r="R25" i="72"/>
  <c r="S25" i="72"/>
  <c r="Q25" i="72"/>
  <c r="T25" i="72"/>
  <c r="U25" i="72"/>
  <c r="V25" i="72"/>
  <c r="P25" i="72"/>
  <c r="B25" i="79"/>
  <c r="C25" i="79"/>
  <c r="D25" i="79"/>
  <c r="E25" i="79"/>
  <c r="G25" i="79"/>
  <c r="H25" i="79"/>
  <c r="T25" i="79"/>
  <c r="K25" i="79"/>
  <c r="N25" i="79"/>
  <c r="B25" i="80"/>
  <c r="C25" i="80"/>
  <c r="D25" i="80"/>
  <c r="E25" i="80"/>
  <c r="G25" i="80"/>
  <c r="H25" i="80"/>
  <c r="A25" i="80"/>
  <c r="L25" i="80"/>
  <c r="Q25" i="80"/>
  <c r="R25" i="80"/>
  <c r="S25" i="80"/>
  <c r="P25" i="80"/>
  <c r="A25" i="82"/>
  <c r="B24" i="72"/>
  <c r="C24" i="72"/>
  <c r="D24" i="72"/>
  <c r="E24" i="72"/>
  <c r="G24" i="72"/>
  <c r="H24" i="72"/>
  <c r="A24" i="72"/>
  <c r="L24" i="72"/>
  <c r="R24" i="72"/>
  <c r="S24" i="72"/>
  <c r="Q24" i="72"/>
  <c r="T24" i="72"/>
  <c r="U24" i="72"/>
  <c r="V24" i="72"/>
  <c r="P24" i="72"/>
  <c r="B24" i="79"/>
  <c r="C24" i="79"/>
  <c r="D24" i="79"/>
  <c r="E24" i="79"/>
  <c r="G24" i="79"/>
  <c r="H24" i="79"/>
  <c r="P24" i="79"/>
  <c r="K24" i="79"/>
  <c r="N24" i="79"/>
  <c r="B24" i="80"/>
  <c r="C24" i="80"/>
  <c r="D24" i="80"/>
  <c r="E24" i="80"/>
  <c r="G24" i="80"/>
  <c r="H24" i="80"/>
  <c r="A24" i="80"/>
  <c r="L24" i="80"/>
  <c r="Q24" i="80"/>
  <c r="R24" i="80"/>
  <c r="S24" i="80"/>
  <c r="P24" i="80"/>
  <c r="A24" i="82"/>
  <c r="AF25" i="79"/>
  <c r="AB27" i="79"/>
  <c r="AE27" i="79"/>
  <c r="AC27" i="79"/>
  <c r="AB26" i="79"/>
  <c r="AE26" i="79"/>
  <c r="AC26" i="79"/>
  <c r="R25" i="79"/>
  <c r="P25" i="79"/>
  <c r="A25" i="79"/>
  <c r="Y25" i="79"/>
  <c r="V25" i="79"/>
  <c r="A24" i="79"/>
  <c r="Y24" i="79"/>
  <c r="V24" i="79"/>
  <c r="T24" i="79"/>
  <c r="R24" i="79"/>
  <c r="AF24" i="79"/>
  <c r="B23" i="72"/>
  <c r="C23" i="72"/>
  <c r="D23" i="72"/>
  <c r="E23" i="72"/>
  <c r="G23" i="72"/>
  <c r="H23" i="72"/>
  <c r="A23" i="72"/>
  <c r="L23" i="72"/>
  <c r="R23" i="72"/>
  <c r="S23" i="72"/>
  <c r="Q23" i="72"/>
  <c r="T23" i="72"/>
  <c r="U23" i="72"/>
  <c r="V23" i="72"/>
  <c r="P23" i="72"/>
  <c r="B23" i="79"/>
  <c r="C23" i="79"/>
  <c r="D23" i="79"/>
  <c r="E23" i="79"/>
  <c r="G23" i="79"/>
  <c r="H23" i="79"/>
  <c r="P23" i="79"/>
  <c r="K23" i="79"/>
  <c r="N23" i="79"/>
  <c r="B23" i="80"/>
  <c r="C23" i="80"/>
  <c r="D23" i="80"/>
  <c r="E23" i="80"/>
  <c r="G23" i="80"/>
  <c r="H23" i="80"/>
  <c r="A23" i="80"/>
  <c r="L23" i="80"/>
  <c r="Q23" i="80"/>
  <c r="R23" i="80"/>
  <c r="S23" i="80"/>
  <c r="P23" i="80"/>
  <c r="A23" i="82"/>
  <c r="G18" i="82"/>
  <c r="H18" i="72"/>
  <c r="A18" i="72"/>
  <c r="G17" i="82"/>
  <c r="A17" i="82"/>
  <c r="B18" i="72"/>
  <c r="C18" i="72"/>
  <c r="D18" i="72"/>
  <c r="E18" i="72"/>
  <c r="G18" i="72"/>
  <c r="L18" i="72"/>
  <c r="R18" i="72"/>
  <c r="S18" i="72"/>
  <c r="Q18" i="72"/>
  <c r="T18" i="72"/>
  <c r="U18" i="72"/>
  <c r="V18" i="72"/>
  <c r="P18" i="72"/>
  <c r="B19" i="72"/>
  <c r="C19" i="72"/>
  <c r="D19" i="72"/>
  <c r="E19" i="72"/>
  <c r="G19" i="72"/>
  <c r="H19" i="72"/>
  <c r="A19" i="72"/>
  <c r="L19" i="72"/>
  <c r="R19" i="72"/>
  <c r="S19" i="72"/>
  <c r="Q19" i="72"/>
  <c r="T19" i="72"/>
  <c r="U19" i="72"/>
  <c r="V19" i="72"/>
  <c r="P19" i="72"/>
  <c r="B20" i="72"/>
  <c r="C20" i="72"/>
  <c r="D20" i="72"/>
  <c r="E20" i="72"/>
  <c r="G20" i="72"/>
  <c r="H20" i="72"/>
  <c r="A20" i="72"/>
  <c r="L20" i="72"/>
  <c r="R20" i="72"/>
  <c r="S20" i="72"/>
  <c r="Q20" i="72"/>
  <c r="T20" i="72"/>
  <c r="U20" i="72"/>
  <c r="V20" i="72"/>
  <c r="P20" i="72"/>
  <c r="B21" i="72"/>
  <c r="C21" i="72"/>
  <c r="D21" i="72"/>
  <c r="E21" i="72"/>
  <c r="G21" i="72"/>
  <c r="H21" i="72"/>
  <c r="A21" i="72"/>
  <c r="L21" i="72"/>
  <c r="R21" i="72"/>
  <c r="S21" i="72"/>
  <c r="Q21" i="72"/>
  <c r="T21" i="72"/>
  <c r="U21" i="72"/>
  <c r="V21" i="72"/>
  <c r="P21" i="72"/>
  <c r="B22" i="72"/>
  <c r="C22" i="72"/>
  <c r="D22" i="72"/>
  <c r="E22" i="72"/>
  <c r="G22" i="72"/>
  <c r="H22" i="72"/>
  <c r="A22" i="72"/>
  <c r="L22" i="72"/>
  <c r="R22" i="72"/>
  <c r="S22" i="72"/>
  <c r="Q22" i="72"/>
  <c r="T22" i="72"/>
  <c r="U22" i="72"/>
  <c r="V22" i="72"/>
  <c r="P22" i="72"/>
  <c r="B18" i="79"/>
  <c r="C18" i="79"/>
  <c r="D18" i="79"/>
  <c r="E18" i="79"/>
  <c r="G18" i="79"/>
  <c r="H18" i="79"/>
  <c r="A18" i="79"/>
  <c r="K18" i="79"/>
  <c r="N18" i="79"/>
  <c r="B19" i="79"/>
  <c r="C19" i="79"/>
  <c r="D19" i="79"/>
  <c r="E19" i="79"/>
  <c r="G19" i="79"/>
  <c r="H19" i="79"/>
  <c r="P19" i="79"/>
  <c r="K19" i="79"/>
  <c r="N19" i="79"/>
  <c r="B20" i="79"/>
  <c r="C20" i="79"/>
  <c r="D20" i="79"/>
  <c r="E20" i="79"/>
  <c r="G20" i="79"/>
  <c r="H20" i="79"/>
  <c r="V20" i="79"/>
  <c r="K20" i="79"/>
  <c r="N20" i="79"/>
  <c r="B21" i="79"/>
  <c r="C21" i="79"/>
  <c r="D21" i="79"/>
  <c r="E21" i="79"/>
  <c r="G21" i="79"/>
  <c r="H21" i="79"/>
  <c r="R21" i="79"/>
  <c r="K21" i="79"/>
  <c r="N21" i="79"/>
  <c r="B22" i="79"/>
  <c r="C22" i="79"/>
  <c r="D22" i="79"/>
  <c r="E22" i="79"/>
  <c r="G22" i="79"/>
  <c r="H22" i="79"/>
  <c r="A22" i="79"/>
  <c r="K22" i="79"/>
  <c r="N22" i="79"/>
  <c r="B18" i="80"/>
  <c r="C18" i="80"/>
  <c r="D18" i="80"/>
  <c r="E18" i="80"/>
  <c r="G18" i="80"/>
  <c r="H18" i="80"/>
  <c r="A18" i="80"/>
  <c r="L18" i="80"/>
  <c r="Q18" i="80"/>
  <c r="R18" i="80"/>
  <c r="S18" i="80"/>
  <c r="P18" i="80"/>
  <c r="B19" i="80"/>
  <c r="C19" i="80"/>
  <c r="D19" i="80"/>
  <c r="E19" i="80"/>
  <c r="G19" i="80"/>
  <c r="H19" i="80"/>
  <c r="A19" i="80"/>
  <c r="L19" i="80"/>
  <c r="Q19" i="80"/>
  <c r="R19" i="80"/>
  <c r="S19" i="80"/>
  <c r="P19" i="80"/>
  <c r="B20" i="80"/>
  <c r="C20" i="80"/>
  <c r="D20" i="80"/>
  <c r="E20" i="80"/>
  <c r="G20" i="80"/>
  <c r="H20" i="80"/>
  <c r="A20" i="80"/>
  <c r="L20" i="80"/>
  <c r="Q20" i="80"/>
  <c r="R20" i="80"/>
  <c r="S20" i="80"/>
  <c r="P20" i="80"/>
  <c r="B21" i="80"/>
  <c r="C21" i="80"/>
  <c r="D21" i="80"/>
  <c r="E21" i="80"/>
  <c r="G21" i="80"/>
  <c r="H21" i="80"/>
  <c r="A21" i="80"/>
  <c r="L21" i="80"/>
  <c r="Q21" i="80"/>
  <c r="R21" i="80"/>
  <c r="S21" i="80"/>
  <c r="P21" i="80"/>
  <c r="B22" i="80"/>
  <c r="C22" i="80"/>
  <c r="D22" i="80"/>
  <c r="E22" i="80"/>
  <c r="G22" i="80"/>
  <c r="H22" i="80"/>
  <c r="A22" i="80"/>
  <c r="L22" i="80"/>
  <c r="Q22" i="80"/>
  <c r="R22" i="80"/>
  <c r="S22" i="80"/>
  <c r="P22" i="80"/>
  <c r="A18" i="82"/>
  <c r="A19" i="82"/>
  <c r="A20" i="82"/>
  <c r="A21" i="82"/>
  <c r="A22" i="82"/>
  <c r="B17" i="72"/>
  <c r="C17" i="72"/>
  <c r="D17" i="72"/>
  <c r="E17" i="72"/>
  <c r="G17" i="72"/>
  <c r="L17" i="72"/>
  <c r="R17" i="72"/>
  <c r="S17" i="72"/>
  <c r="Q17" i="72"/>
  <c r="T17" i="72"/>
  <c r="U17" i="72"/>
  <c r="V17" i="72"/>
  <c r="P17" i="72"/>
  <c r="B17" i="79"/>
  <c r="C17" i="79"/>
  <c r="D17" i="79"/>
  <c r="E17" i="79"/>
  <c r="G17" i="79"/>
  <c r="K17" i="79"/>
  <c r="N17" i="79"/>
  <c r="B17" i="80"/>
  <c r="C17" i="80"/>
  <c r="D17" i="80"/>
  <c r="E17" i="80"/>
  <c r="G17" i="80"/>
  <c r="L17" i="80"/>
  <c r="Q17" i="80"/>
  <c r="R17" i="80"/>
  <c r="S17" i="80"/>
  <c r="P17" i="80"/>
  <c r="H17" i="80"/>
  <c r="A17" i="80"/>
  <c r="H17" i="79"/>
  <c r="A17" i="79"/>
  <c r="AB25" i="79"/>
  <c r="AE25" i="79"/>
  <c r="AC25" i="79"/>
  <c r="AB24" i="79"/>
  <c r="AE24" i="79"/>
  <c r="AC24" i="79"/>
  <c r="T22" i="79"/>
  <c r="R22" i="79"/>
  <c r="P22" i="79"/>
  <c r="AF21" i="79"/>
  <c r="P21" i="79"/>
  <c r="R23" i="79"/>
  <c r="A23" i="79"/>
  <c r="Y23" i="79"/>
  <c r="V23" i="79"/>
  <c r="T23" i="79"/>
  <c r="AF23" i="79"/>
  <c r="T20" i="79"/>
  <c r="P20" i="79"/>
  <c r="V22" i="79"/>
  <c r="AF22" i="79"/>
  <c r="Y22" i="79"/>
  <c r="A20" i="79"/>
  <c r="AF20" i="79"/>
  <c r="Y20" i="79"/>
  <c r="A19" i="79"/>
  <c r="Y19" i="79"/>
  <c r="V19" i="79"/>
  <c r="AF19" i="79"/>
  <c r="T19" i="79"/>
  <c r="R19" i="79"/>
  <c r="P18" i="79"/>
  <c r="Y18" i="79"/>
  <c r="V18" i="79"/>
  <c r="T18" i="79"/>
  <c r="AF18" i="79"/>
  <c r="R18" i="79"/>
  <c r="H17" i="72"/>
  <c r="A17" i="72"/>
  <c r="A21" i="79"/>
  <c r="R20" i="79"/>
  <c r="Y21" i="79"/>
  <c r="V21" i="79"/>
  <c r="T21" i="79"/>
  <c r="X9" i="79"/>
  <c r="X14" i="79"/>
  <c r="X12" i="79"/>
  <c r="X10" i="79"/>
  <c r="P17" i="79"/>
  <c r="AF17" i="79"/>
  <c r="R17" i="79"/>
  <c r="Y17" i="79"/>
  <c r="V17" i="79"/>
  <c r="T17" i="79"/>
  <c r="AB23" i="79"/>
  <c r="AE23" i="79"/>
  <c r="AC23" i="79"/>
  <c r="AB19" i="79"/>
  <c r="AE19" i="79"/>
  <c r="AC19" i="79"/>
  <c r="AB22" i="79"/>
  <c r="AE22" i="79"/>
  <c r="AC22" i="79"/>
  <c r="AB21" i="79"/>
  <c r="AE21" i="79"/>
  <c r="AC21" i="79"/>
  <c r="AB20" i="79"/>
  <c r="AE20" i="79"/>
  <c r="AC20" i="79"/>
  <c r="AB18" i="79"/>
  <c r="AE18" i="79"/>
  <c r="AC18" i="79"/>
  <c r="X11" i="79"/>
  <c r="AB17" i="79"/>
  <c r="AE17" i="79"/>
  <c r="AC17" i="79"/>
  <c r="H110" i="79"/>
  <c r="H109" i="79"/>
  <c r="H11" i="79"/>
  <c r="H12" i="79"/>
  <c r="H13" i="79"/>
  <c r="H14" i="79"/>
  <c r="H15" i="79"/>
  <c r="H16" i="79"/>
  <c r="H9" i="80"/>
  <c r="A9" i="80"/>
  <c r="R9" i="80"/>
  <c r="S9" i="80"/>
  <c r="P9" i="80"/>
  <c r="H9" i="79"/>
  <c r="T9" i="79"/>
  <c r="N9" i="79"/>
  <c r="H10" i="80"/>
  <c r="A10" i="80"/>
  <c r="G32" i="73"/>
  <c r="R11" i="80"/>
  <c r="S11" i="80"/>
  <c r="P11" i="80"/>
  <c r="R12" i="80"/>
  <c r="S12" i="80"/>
  <c r="P12" i="80"/>
  <c r="R13" i="80"/>
  <c r="S13" i="80"/>
  <c r="P13" i="80"/>
  <c r="R14" i="80"/>
  <c r="S14" i="80"/>
  <c r="P14" i="80"/>
  <c r="R15" i="80"/>
  <c r="S15" i="80"/>
  <c r="P15" i="80"/>
  <c r="R16" i="80"/>
  <c r="S16" i="80"/>
  <c r="P16" i="80"/>
  <c r="R109" i="80"/>
  <c r="S109" i="80"/>
  <c r="P109" i="80"/>
  <c r="R110" i="80"/>
  <c r="S110" i="80"/>
  <c r="P110" i="80"/>
  <c r="Q9" i="80"/>
  <c r="Q10" i="80"/>
  <c r="Q11" i="80"/>
  <c r="Q12" i="80"/>
  <c r="Q13" i="80"/>
  <c r="Q14" i="80"/>
  <c r="Q15" i="80"/>
  <c r="Q16" i="80"/>
  <c r="Q109" i="80"/>
  <c r="Q110" i="80"/>
  <c r="A110" i="82"/>
  <c r="A109" i="82"/>
  <c r="C10" i="72"/>
  <c r="D10" i="72"/>
  <c r="C11" i="72"/>
  <c r="D11" i="72"/>
  <c r="C12" i="72"/>
  <c r="D12" i="72"/>
  <c r="C13" i="72"/>
  <c r="D13" i="72"/>
  <c r="C14" i="72"/>
  <c r="D14" i="72"/>
  <c r="C15" i="72"/>
  <c r="D15" i="72"/>
  <c r="C16" i="72"/>
  <c r="D16" i="72"/>
  <c r="C109" i="72"/>
  <c r="D109" i="72"/>
  <c r="C110" i="72"/>
  <c r="D110" i="72"/>
  <c r="C9" i="72"/>
  <c r="D9" i="72"/>
  <c r="C10" i="79"/>
  <c r="D10" i="79"/>
  <c r="C11" i="79"/>
  <c r="D11" i="79"/>
  <c r="C12" i="79"/>
  <c r="D12" i="79"/>
  <c r="C13" i="79"/>
  <c r="D13" i="79"/>
  <c r="C14" i="79"/>
  <c r="D14" i="79"/>
  <c r="C15" i="79"/>
  <c r="D15" i="79"/>
  <c r="C16" i="79"/>
  <c r="D16" i="79"/>
  <c r="C109" i="79"/>
  <c r="D109" i="79"/>
  <c r="C110" i="79"/>
  <c r="D110" i="79"/>
  <c r="C9" i="79"/>
  <c r="D9" i="79"/>
  <c r="D10" i="80"/>
  <c r="D11" i="80"/>
  <c r="D12" i="80"/>
  <c r="D13" i="80"/>
  <c r="D14" i="80"/>
  <c r="D15" i="80"/>
  <c r="D16" i="80"/>
  <c r="D109" i="80"/>
  <c r="D110" i="80"/>
  <c r="B10" i="80"/>
  <c r="C10" i="80"/>
  <c r="B11" i="80"/>
  <c r="C11" i="80"/>
  <c r="B12" i="80"/>
  <c r="C12" i="80"/>
  <c r="B13" i="80"/>
  <c r="C13" i="80"/>
  <c r="B14" i="80"/>
  <c r="C14" i="80"/>
  <c r="B15" i="80"/>
  <c r="C15" i="80"/>
  <c r="B16" i="80"/>
  <c r="C16" i="80"/>
  <c r="B109" i="80"/>
  <c r="C109" i="80"/>
  <c r="B110" i="80"/>
  <c r="C110" i="80"/>
  <c r="B9" i="80"/>
  <c r="C9" i="80"/>
  <c r="D9" i="80"/>
  <c r="E110" i="80"/>
  <c r="G110" i="80"/>
  <c r="L10" i="80"/>
  <c r="L11" i="80"/>
  <c r="L12" i="80"/>
  <c r="L13" i="80"/>
  <c r="L14" i="80"/>
  <c r="L15" i="80"/>
  <c r="L16" i="80"/>
  <c r="L109" i="80"/>
  <c r="L110" i="80"/>
  <c r="L9" i="80"/>
  <c r="L10" i="72"/>
  <c r="L9" i="72"/>
  <c r="R10" i="72"/>
  <c r="S10" i="72"/>
  <c r="Q10" i="72"/>
  <c r="R11" i="72"/>
  <c r="S11" i="72"/>
  <c r="Q11" i="72"/>
  <c r="R12" i="72"/>
  <c r="S12" i="72"/>
  <c r="Q12" i="72"/>
  <c r="R13" i="72"/>
  <c r="S13" i="72"/>
  <c r="Q13" i="72"/>
  <c r="R14" i="72"/>
  <c r="S14" i="72"/>
  <c r="Q14" i="72"/>
  <c r="R15" i="72"/>
  <c r="S15" i="72"/>
  <c r="Q15" i="72"/>
  <c r="R16" i="72"/>
  <c r="S16" i="72"/>
  <c r="Q16" i="72"/>
  <c r="R109" i="72"/>
  <c r="S109" i="72"/>
  <c r="Q109" i="72"/>
  <c r="R110" i="72"/>
  <c r="S110" i="72"/>
  <c r="Q110" i="72"/>
  <c r="R9" i="72"/>
  <c r="S9" i="72"/>
  <c r="Q9" i="72"/>
  <c r="H9" i="72"/>
  <c r="A9" i="72"/>
  <c r="AF110" i="79"/>
  <c r="AF11" i="79"/>
  <c r="AF12" i="79"/>
  <c r="AF13" i="79"/>
  <c r="AF14" i="79"/>
  <c r="AF15" i="79"/>
  <c r="AF16" i="79"/>
  <c r="AF109" i="79"/>
  <c r="H10" i="79"/>
  <c r="AF10" i="79"/>
  <c r="T9" i="72"/>
  <c r="T16" i="79"/>
  <c r="P16" i="79"/>
  <c r="P12" i="79"/>
  <c r="R12" i="79"/>
  <c r="R109" i="79"/>
  <c r="P109" i="79"/>
  <c r="P110" i="79"/>
  <c r="J112" i="72"/>
  <c r="B9" i="79"/>
  <c r="G22" i="83"/>
  <c r="L11" i="72"/>
  <c r="L12" i="72"/>
  <c r="L13" i="72"/>
  <c r="L14" i="72"/>
  <c r="L15" i="72"/>
  <c r="L16" i="72"/>
  <c r="L109" i="72"/>
  <c r="L110" i="72"/>
  <c r="N10" i="79"/>
  <c r="N11" i="79"/>
  <c r="N12" i="79"/>
  <c r="N13" i="79"/>
  <c r="N14" i="79"/>
  <c r="N15" i="79"/>
  <c r="N16" i="79"/>
  <c r="N109" i="79"/>
  <c r="N110" i="79"/>
  <c r="J44" i="83"/>
  <c r="G10" i="79"/>
  <c r="H11" i="80"/>
  <c r="A11" i="80"/>
  <c r="H12" i="80"/>
  <c r="A12" i="80"/>
  <c r="H13" i="80"/>
  <c r="A13" i="80"/>
  <c r="H14" i="80"/>
  <c r="A14" i="80"/>
  <c r="H15" i="80"/>
  <c r="A15" i="80"/>
  <c r="H16" i="80"/>
  <c r="A16" i="80"/>
  <c r="H109" i="80"/>
  <c r="H110" i="80"/>
  <c r="G10" i="80"/>
  <c r="G11" i="80"/>
  <c r="G12" i="80"/>
  <c r="G13" i="80"/>
  <c r="G14" i="80"/>
  <c r="G15" i="80"/>
  <c r="G16" i="80"/>
  <c r="G109" i="80"/>
  <c r="E10" i="80"/>
  <c r="E11" i="80"/>
  <c r="E12" i="80"/>
  <c r="E13" i="80"/>
  <c r="E14" i="80"/>
  <c r="E15" i="80"/>
  <c r="E16" i="80"/>
  <c r="E109" i="80"/>
  <c r="G9" i="80"/>
  <c r="G110" i="72"/>
  <c r="G109" i="72"/>
  <c r="G16" i="72"/>
  <c r="G15" i="72"/>
  <c r="G14" i="72"/>
  <c r="G13" i="72"/>
  <c r="G12" i="72"/>
  <c r="G11" i="72"/>
  <c r="G10" i="72"/>
  <c r="G9" i="72"/>
  <c r="E110" i="72"/>
  <c r="E109" i="72"/>
  <c r="E16" i="72"/>
  <c r="E15" i="72"/>
  <c r="E14" i="72"/>
  <c r="E13" i="72"/>
  <c r="E12" i="72"/>
  <c r="E11" i="72"/>
  <c r="E10" i="72"/>
  <c r="E9" i="72"/>
  <c r="G110" i="79"/>
  <c r="G109" i="79"/>
  <c r="G16" i="79"/>
  <c r="G15" i="79"/>
  <c r="G14" i="79"/>
  <c r="G13" i="79"/>
  <c r="G12" i="79"/>
  <c r="G11" i="79"/>
  <c r="E110" i="79"/>
  <c r="E109" i="79"/>
  <c r="E16" i="79"/>
  <c r="E15" i="79"/>
  <c r="E14" i="79"/>
  <c r="E13" i="79"/>
  <c r="E12" i="79"/>
  <c r="E11" i="79"/>
  <c r="E10" i="79"/>
  <c r="G9" i="79"/>
  <c r="E9" i="79"/>
  <c r="E9" i="80"/>
  <c r="H16" i="72"/>
  <c r="A16" i="72"/>
  <c r="T16" i="72"/>
  <c r="B16" i="72"/>
  <c r="B16" i="79"/>
  <c r="K16" i="79"/>
  <c r="A16" i="82"/>
  <c r="G111" i="82"/>
  <c r="H15" i="72"/>
  <c r="A15" i="72"/>
  <c r="T15" i="72"/>
  <c r="B15" i="72"/>
  <c r="B15" i="79"/>
  <c r="K15" i="79"/>
  <c r="A15" i="82"/>
  <c r="K9" i="79"/>
  <c r="K10" i="79"/>
  <c r="K11" i="79"/>
  <c r="K12" i="79"/>
  <c r="K13" i="79"/>
  <c r="K14" i="79"/>
  <c r="K109" i="79"/>
  <c r="K110" i="79"/>
  <c r="H110" i="72"/>
  <c r="T110" i="72"/>
  <c r="B110" i="72"/>
  <c r="B110" i="79"/>
  <c r="H109" i="72"/>
  <c r="T109" i="72"/>
  <c r="B109" i="72"/>
  <c r="B109" i="79"/>
  <c r="A10" i="82"/>
  <c r="A11" i="82"/>
  <c r="A12" i="82"/>
  <c r="A13" i="82"/>
  <c r="A14" i="82"/>
  <c r="H10" i="72"/>
  <c r="A10" i="72"/>
  <c r="T10" i="72"/>
  <c r="H11" i="72"/>
  <c r="A11" i="72"/>
  <c r="T11" i="72"/>
  <c r="H12" i="72"/>
  <c r="A12" i="72"/>
  <c r="T12" i="72"/>
  <c r="H13" i="72"/>
  <c r="A13" i="72"/>
  <c r="T13" i="72"/>
  <c r="H14" i="72"/>
  <c r="A14" i="72"/>
  <c r="T14" i="72"/>
  <c r="B10" i="72"/>
  <c r="B11" i="72"/>
  <c r="B12" i="72"/>
  <c r="B13" i="72"/>
  <c r="B14" i="72"/>
  <c r="B10" i="79"/>
  <c r="B11" i="79"/>
  <c r="B12" i="79"/>
  <c r="B13" i="79"/>
  <c r="B14" i="79"/>
  <c r="J54" i="73"/>
  <c r="A9" i="82"/>
  <c r="B9" i="72"/>
  <c r="Y109" i="79"/>
  <c r="Y15" i="79"/>
  <c r="Y12" i="79"/>
  <c r="Y16" i="79"/>
  <c r="A16" i="79"/>
  <c r="U13" i="72"/>
  <c r="V13" i="72"/>
  <c r="P13" i="72"/>
  <c r="U110" i="72"/>
  <c r="V110" i="72"/>
  <c r="P110" i="72"/>
  <c r="U14" i="72"/>
  <c r="V14" i="72"/>
  <c r="P14" i="72"/>
  <c r="U15" i="72"/>
  <c r="V15" i="72"/>
  <c r="P15" i="72"/>
  <c r="U109" i="72"/>
  <c r="V109" i="72"/>
  <c r="P109" i="72"/>
  <c r="U10" i="72"/>
  <c r="V10" i="72"/>
  <c r="P10" i="72"/>
  <c r="U11" i="72"/>
  <c r="V11" i="72"/>
  <c r="P11" i="72"/>
  <c r="U12" i="72"/>
  <c r="V12" i="72"/>
  <c r="P12" i="72"/>
  <c r="U16" i="72"/>
  <c r="V16" i="72"/>
  <c r="P16" i="72"/>
  <c r="A9" i="79"/>
  <c r="P10" i="79"/>
  <c r="Y10" i="79"/>
  <c r="V10" i="79"/>
  <c r="A10" i="79"/>
  <c r="L111" i="80"/>
  <c r="H13" i="81"/>
  <c r="K111" i="79"/>
  <c r="L112" i="72"/>
  <c r="H33" i="81"/>
  <c r="T10" i="79"/>
  <c r="Y9" i="79"/>
  <c r="H6" i="81"/>
  <c r="G112" i="82"/>
  <c r="P9" i="79"/>
  <c r="Q111" i="72" a="1"/>
  <c r="Q111" i="72"/>
  <c r="H39" i="81"/>
  <c r="Q111" i="80"/>
  <c r="H19" i="81"/>
  <c r="R10" i="80"/>
  <c r="S10" i="80"/>
  <c r="P10" i="80"/>
  <c r="P111" i="80" a="1"/>
  <c r="P111" i="80"/>
  <c r="H17" i="81"/>
  <c r="R10" i="79"/>
  <c r="R9" i="79"/>
  <c r="V9" i="79"/>
  <c r="AF9" i="79"/>
  <c r="U9" i="72"/>
  <c r="V9" i="72"/>
  <c r="P9" i="72"/>
  <c r="P111" i="72" a="1"/>
  <c r="P111" i="72"/>
  <c r="H37" i="81"/>
  <c r="N111" i="79"/>
  <c r="V110" i="79"/>
  <c r="R110" i="79"/>
  <c r="T110" i="79"/>
  <c r="Y110" i="79"/>
  <c r="V109" i="79"/>
  <c r="T109" i="79"/>
  <c r="R16" i="79"/>
  <c r="V16" i="79"/>
  <c r="V15" i="79"/>
  <c r="P15" i="79"/>
  <c r="R15" i="79"/>
  <c r="A15" i="79"/>
  <c r="T15" i="79"/>
  <c r="Y14" i="79"/>
  <c r="T14" i="79"/>
  <c r="V14" i="79"/>
  <c r="R14" i="79"/>
  <c r="P14" i="79"/>
  <c r="A14" i="79"/>
  <c r="R13" i="79"/>
  <c r="A13" i="79"/>
  <c r="P13" i="79"/>
  <c r="T13" i="79"/>
  <c r="V13" i="79"/>
  <c r="Y13" i="79"/>
  <c r="V12" i="79"/>
  <c r="T12" i="79"/>
  <c r="A12" i="79"/>
  <c r="Y11" i="79"/>
  <c r="A11" i="79"/>
  <c r="R11" i="79"/>
  <c r="P11" i="79"/>
  <c r="V11" i="79"/>
  <c r="T11" i="79"/>
  <c r="AB10" i="79"/>
  <c r="AE10" i="79"/>
  <c r="AC10" i="79"/>
  <c r="AB12" i="79"/>
  <c r="AE12" i="79"/>
  <c r="AC12" i="79"/>
  <c r="AB9" i="79"/>
  <c r="AE9" i="79"/>
  <c r="AC9" i="79"/>
  <c r="AB11" i="79"/>
  <c r="AE11" i="79"/>
  <c r="AC11" i="79"/>
  <c r="AB109" i="79"/>
  <c r="AE109" i="79"/>
  <c r="AC109" i="79"/>
  <c r="AB13" i="79"/>
  <c r="AE13" i="79"/>
  <c r="AC13" i="79"/>
  <c r="AB15" i="79"/>
  <c r="AE15" i="79"/>
  <c r="AC15" i="79"/>
  <c r="AB110" i="79"/>
  <c r="AE110" i="79"/>
  <c r="AC110" i="79"/>
  <c r="T111" i="79"/>
  <c r="AB16" i="79"/>
  <c r="AE16" i="79"/>
  <c r="AC16" i="79"/>
  <c r="V111" i="79"/>
  <c r="AB14" i="79"/>
  <c r="AE14" i="79"/>
  <c r="AC14" i="79"/>
  <c r="P111" i="79"/>
  <c r="Y111" i="79"/>
  <c r="R111" i="79"/>
  <c r="AC111" i="79"/>
  <c r="H24" i="81"/>
  <c r="H26" i="8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Davis</author>
    <author>Bess Hester</author>
  </authors>
  <commentList>
    <comment ref="G14" authorId="0" shapeId="0" xr:uid="{00000000-0006-0000-0000-000001000000}">
      <text>
        <r>
          <rPr>
            <b/>
            <sz val="10"/>
            <color indexed="81"/>
            <rFont val="Arial"/>
            <family val="2"/>
          </rPr>
          <t>Choose metric of % cost or number of products for Option 2
If attempting Option 2 for EPD and Material Ingredient credits, pick % cost or number of products first. 
Actual Materials Cost:</t>
        </r>
        <r>
          <rPr>
            <sz val="10"/>
            <color indexed="81"/>
            <rFont val="Arial"/>
            <family val="2"/>
          </rPr>
          <t xml:space="preserve">
This is the cost of all materials being used on the project site, excluding labor but include delivery &amp; taxes.
</t>
        </r>
        <r>
          <rPr>
            <b/>
            <sz val="10"/>
            <color indexed="81"/>
            <rFont val="Arial"/>
            <family val="2"/>
          </rPr>
          <t xml:space="preserve">Default Material Cost:
</t>
        </r>
        <r>
          <rPr>
            <sz val="10"/>
            <color indexed="81"/>
            <rFont val="Arial"/>
            <family val="2"/>
          </rPr>
          <t xml:space="preserve">Calculate 45% of total construction costs. This cost can replace the actual cost for most materials &amp; products. </t>
        </r>
      </text>
    </comment>
    <comment ref="G19" authorId="1" shapeId="0" xr:uid="{00000000-0006-0000-0000-000002000000}">
      <text>
        <r>
          <rPr>
            <sz val="10"/>
            <color indexed="81"/>
            <rFont val="Arial"/>
            <family val="2"/>
          </rPr>
          <t xml:space="preserve">Includes hard costs for CSI MasterFormat 2012, Divisions 3-10, 31.60.00, 32.10.00, 32.30.00 and 32.90.00, Divisions 11, 21-28  (for optional MEP components), Division 12 (for optional furniture).
</t>
        </r>
      </text>
    </comment>
    <comment ref="G25" authorId="1" shapeId="0" xr:uid="{00000000-0006-0000-0000-000003000000}">
      <text>
        <r>
          <rPr>
            <sz val="10"/>
            <color indexed="81"/>
            <rFont val="Arial"/>
            <family val="2"/>
          </rPr>
          <t xml:space="preserve">Includes hard costs for CSI MasterFormat 2012, Divisions 3-10, 31.60.00, 32.10.00, 32.30.00, and 32.90.00. 
</t>
        </r>
      </text>
    </comment>
    <comment ref="G27" authorId="1" shapeId="0" xr:uid="{00000000-0006-0000-0000-000004000000}">
      <text>
        <r>
          <rPr>
            <sz val="10"/>
            <color indexed="81"/>
            <rFont val="Arial"/>
            <family val="2"/>
          </rPr>
          <t xml:space="preserve">Optional, includes hard costs, Division 12.
</t>
        </r>
      </text>
    </comment>
    <comment ref="G29" authorId="0" shapeId="0" xr:uid="{00000000-0006-0000-0000-000005000000}">
      <text>
        <r>
          <rPr>
            <sz val="10"/>
            <color indexed="81"/>
            <rFont val="Arial"/>
            <family val="2"/>
          </rPr>
          <t>Optional, includes hard costs Divisions 11, 21-28.</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Bess Hester</author>
  </authors>
  <commentList>
    <comment ref="G17" authorId="0" shapeId="0" xr:uid="{00000000-0006-0000-0100-000001000000}">
      <text>
        <r>
          <rPr>
            <sz val="10"/>
            <color indexed="81"/>
            <rFont val="Arial"/>
            <family val="2"/>
          </rPr>
          <t xml:space="preserve">If attempting option 2 for EPD and /or Material Ingredients, pick from % cost or number of products first. If % cost, include hard costs for CSI MasterFormat 2012, Division 3-10, 11, 12 (for furniture), 31.60.00, 32.10.00, 32.30.00 and 32.90.00 and optionally Divisions 21-28 that includes optional MEP components.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Bess Hester</author>
    <author>Andrew Davis</author>
  </authors>
  <commentList>
    <comment ref="B7" authorId="0" shapeId="0" xr:uid="{00000000-0006-0000-0200-000001000000}">
      <text>
        <r>
          <rPr>
            <sz val="10"/>
            <color indexed="81"/>
            <rFont val="Arial"/>
            <family val="2"/>
          </rPr>
          <t>Major material type or category. Examples include concrete, exterior plywood, cabinets, countertops, systems furniture, etc.</t>
        </r>
      </text>
    </comment>
    <comment ref="D7" authorId="0" shapeId="0" xr:uid="{00000000-0006-0000-0200-000002000000}">
      <text>
        <r>
          <rPr>
            <sz val="10"/>
            <color indexed="81"/>
            <rFont val="Arial"/>
            <family val="2"/>
          </rPr>
          <t xml:space="preserve">Include the product name as it appears in the specifications or invoices.
</t>
        </r>
      </text>
    </comment>
    <comment ref="E7" authorId="1" shapeId="0" xr:uid="{00000000-0006-0000-0200-000003000000}">
      <text>
        <r>
          <rPr>
            <sz val="10"/>
            <color indexed="81"/>
            <rFont val="Arial"/>
            <family val="2"/>
          </rPr>
          <t>Must match the manufacturer naming convention of the product or material.</t>
        </r>
      </text>
    </comment>
    <comment ref="F7" authorId="2" shapeId="0" xr:uid="{00000000-0006-0000-0200-000004000000}">
      <text>
        <r>
          <rPr>
            <sz val="10"/>
            <color indexed="81"/>
            <rFont val="Arial"/>
            <family val="2"/>
          </rPr>
          <t>Full Company Name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cyan</author>
  </authors>
  <commentList>
    <comment ref="O7" authorId="0" shapeId="0" xr:uid="{00000000-0006-0000-0300-000001000000}">
      <text>
        <r>
          <rPr>
            <sz val="10"/>
            <color indexed="81"/>
            <rFont val="Arial"/>
            <family val="2"/>
          </rPr>
          <t>All extraction, manufacture, and purchase (including distribution) of the product and its materials occur within 100 mile (160 km) radius.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cyan</author>
    <author>Andrew Davis</author>
  </authors>
  <commentList>
    <comment ref="AA7" authorId="0" shapeId="0" xr:uid="{00000000-0006-0000-0400-000001000000}">
      <text>
        <r>
          <rPr>
            <sz val="9"/>
            <color indexed="81"/>
            <rFont val="Arial"/>
            <family val="2"/>
          </rPr>
          <t>All extraction, manufacture, and purchase (including distribution) of the product and its materials occur within 100 mile (160 km) radius.</t>
        </r>
      </text>
    </comment>
    <comment ref="N8" authorId="0" shapeId="0" xr:uid="{00000000-0006-0000-0400-000002000000}">
      <text>
        <r>
          <rPr>
            <sz val="9"/>
            <color indexed="81"/>
            <rFont val="Arial"/>
            <family val="2"/>
          </rPr>
          <t>Products with extended producer responsibility are valued at 50% of their cost.</t>
        </r>
      </text>
    </comment>
    <comment ref="O8" authorId="1" shapeId="0" xr:uid="{00000000-0006-0000-0400-000003000000}">
      <text>
        <r>
          <rPr>
            <sz val="9"/>
            <color indexed="81"/>
            <rFont val="Arial"/>
            <family val="2"/>
          </rPr>
          <t>Insert percentage bio-based material present in the content</t>
        </r>
        <r>
          <rPr>
            <sz val="9"/>
            <color indexed="81"/>
            <rFont val="Tahoma"/>
            <family val="2"/>
          </rPr>
          <t xml:space="preserve">
</t>
        </r>
      </text>
    </comment>
    <comment ref="Q8" authorId="1" shapeId="0" xr:uid="{00000000-0006-0000-0400-000004000000}">
      <text>
        <r>
          <rPr>
            <sz val="9"/>
            <color indexed="81"/>
            <rFont val="Arial"/>
            <family val="2"/>
          </rPr>
          <t>Insert percentage bio-based material present in the content</t>
        </r>
      </text>
    </comment>
    <comment ref="S8" authorId="1" shapeId="0" xr:uid="{00000000-0006-0000-0400-000005000000}">
      <text>
        <r>
          <rPr>
            <sz val="9"/>
            <color indexed="81"/>
            <rFont val="Arial"/>
            <family val="2"/>
          </rPr>
          <t>Input the percentage value of FSC certified product.</t>
        </r>
        <r>
          <rPr>
            <sz val="9"/>
            <color indexed="81"/>
            <rFont val="Tahoma"/>
            <family val="2"/>
          </rPr>
          <t xml:space="preserve">
</t>
        </r>
      </text>
    </comment>
    <comment ref="U8" authorId="1" shapeId="0" xr:uid="{00000000-0006-0000-0400-000006000000}">
      <text>
        <r>
          <rPr>
            <sz val="9"/>
            <color indexed="81"/>
            <rFont val="Arial"/>
            <family val="2"/>
          </rPr>
          <t>Insert Percentage of reused material calculated from credit: Building LCR Impact Assessment option 3.</t>
        </r>
        <r>
          <rPr>
            <sz val="9"/>
            <color indexed="81"/>
            <rFont val="Tahoma"/>
            <family val="2"/>
          </rPr>
          <t xml:space="preserve">
</t>
        </r>
      </text>
    </comment>
    <comment ref="W8" authorId="1" shapeId="0" xr:uid="{00000000-0006-0000-0400-000007000000}">
      <text>
        <r>
          <rPr>
            <sz val="9"/>
            <color indexed="81"/>
            <rFont val="Arial"/>
            <family val="2"/>
          </rPr>
          <t>Input % value of recycled content for each compliant, product used.</t>
        </r>
        <r>
          <rPr>
            <sz val="9"/>
            <color indexed="81"/>
            <rFont val="Tahoma"/>
            <family val="2"/>
          </rPr>
          <t xml:space="preserve">
</t>
        </r>
      </text>
    </comment>
    <comment ref="X8" authorId="1" shapeId="0" xr:uid="{00000000-0006-0000-0400-000008000000}">
      <text>
        <r>
          <rPr>
            <sz val="9"/>
            <color indexed="81"/>
            <rFont val="Arial"/>
            <family val="2"/>
          </rPr>
          <t>Input % value of recycled content for each compliant, product used.</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Andrew Davis</author>
    <author>cyan</author>
  </authors>
  <commentList>
    <comment ref="N7" authorId="0" shapeId="0" xr:uid="{00000000-0006-0000-0500-000001000000}">
      <text>
        <r>
          <rPr>
            <sz val="10"/>
            <color indexed="81"/>
            <rFont val="Arial"/>
            <family val="2"/>
          </rPr>
          <t>Select Material Ingredient Screening based on action plan.</t>
        </r>
      </text>
    </comment>
    <comment ref="O7" authorId="1" shapeId="0" xr:uid="{00000000-0006-0000-0500-000002000000}">
      <text>
        <r>
          <rPr>
            <sz val="10"/>
            <color indexed="81"/>
            <rFont val="Arial"/>
            <family val="2"/>
          </rPr>
          <t>All extraction, manufacture, and purchase (including distribution) of the product and its materials occur within 100 mile (160 km) radius.</t>
        </r>
      </text>
    </comment>
    <comment ref="T7" authorId="0" shapeId="0" xr:uid="{00000000-0006-0000-0500-000003000000}">
      <text>
        <r>
          <rPr>
            <sz val="9"/>
            <color indexed="81"/>
            <rFont val="Tahoma"/>
            <family val="2"/>
          </rPr>
          <t xml:space="preserve"> Used to help column 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Andrew Davis</author>
  </authors>
  <commentList>
    <comment ref="H6" authorId="0" shapeId="0" xr:uid="{00000000-0006-0000-0600-000001000000}">
      <text>
        <r>
          <rPr>
            <sz val="10"/>
            <color indexed="81"/>
            <rFont val="Arial"/>
            <family val="2"/>
          </rPr>
          <t xml:space="preserve">Alters when actual cost or default is selected.
</t>
        </r>
      </text>
    </comment>
    <comment ref="H13" authorId="0" shapeId="0" xr:uid="{00000000-0006-0000-0600-000002000000}">
      <text>
        <r>
          <rPr>
            <sz val="10"/>
            <color indexed="81"/>
            <rFont val="Arial"/>
            <family val="2"/>
          </rPr>
          <t>20 required from at least 5 different manufacturers</t>
        </r>
        <r>
          <rPr>
            <sz val="9"/>
            <color indexed="81"/>
            <rFont val="Tahoma"/>
            <family val="2"/>
          </rPr>
          <t xml:space="preserve">
</t>
        </r>
      </text>
    </comment>
    <comment ref="H17" authorId="0" shapeId="0" xr:uid="{00000000-0006-0000-0600-000003000000}">
      <text>
        <r>
          <rPr>
            <sz val="10"/>
            <color indexed="81"/>
            <rFont val="Arial"/>
            <family val="2"/>
          </rPr>
          <t>Use products that are 10%, by cost, of the total value of 
permanently installed products in the project, or use at least 10 permanently installed products sourced 
from at least three different manufacturers.</t>
        </r>
        <r>
          <rPr>
            <sz val="9"/>
            <color indexed="81"/>
            <rFont val="Tahoma"/>
            <family val="2"/>
          </rPr>
          <t xml:space="preserve">
</t>
        </r>
      </text>
    </comment>
    <comment ref="H19" authorId="0" shapeId="0" xr:uid="{00000000-0006-0000-0600-000004000000}">
      <text>
        <r>
          <rPr>
            <sz val="10"/>
            <color indexed="81"/>
            <rFont val="Arial"/>
            <family val="2"/>
          </rPr>
          <t>Products that sum to &gt; 10 from 3 manufacturers</t>
        </r>
        <r>
          <rPr>
            <sz val="9"/>
            <color indexed="81"/>
            <rFont val="Tahoma"/>
            <family val="2"/>
          </rPr>
          <t xml:space="preserve">
</t>
        </r>
      </text>
    </comment>
    <comment ref="H26" authorId="0" shapeId="0" xr:uid="{00000000-0006-0000-0600-000005000000}">
      <text>
        <r>
          <rPr>
            <sz val="10"/>
            <color indexed="81"/>
            <rFont val="Arial"/>
            <family val="2"/>
          </rPr>
          <t xml:space="preserve">Source products from at least 3 different manufacturers and meet one of the criteria for at least 20% of the cost (one point) or 5 for 40% cost (2 points)
</t>
        </r>
      </text>
    </comment>
    <comment ref="H33" authorId="0" shapeId="0" xr:uid="{00000000-0006-0000-0600-000006000000}">
      <text>
        <r>
          <rPr>
            <sz val="10"/>
            <color indexed="81"/>
            <rFont val="Arial"/>
            <family val="2"/>
          </rPr>
          <t>Use at least 20 different permanently installed products from at least five different manufacturers. 
BD&amp;C- Core and Shell and Warehouse projects, for these project types only 10 products 
from three different manufacturers need to be specified.</t>
        </r>
        <r>
          <rPr>
            <sz val="9"/>
            <color indexed="81"/>
            <rFont val="Tahoma"/>
            <family val="2"/>
          </rPr>
          <t xml:space="preserve">
</t>
        </r>
      </text>
    </comment>
    <comment ref="H37" authorId="0" shapeId="0" xr:uid="{00000000-0006-0000-0600-000007000000}">
      <text>
        <r>
          <rPr>
            <sz val="10"/>
            <color indexed="81"/>
            <rFont val="Arial"/>
            <family val="2"/>
          </rPr>
          <t xml:space="preserve">Choose between the two new thresholds of 20% by cost (for 
1 point) or 40% by cost (for 2 points) for the sourced products.
Exemplary Performance: Purchase at least 60%, by cost, of the total value of permanently installed building products that meet 
the credit criteria. </t>
        </r>
        <r>
          <rPr>
            <sz val="9"/>
            <color indexed="81"/>
            <rFont val="Tahoma"/>
            <family val="2"/>
          </rPr>
          <t xml:space="preserve">
</t>
        </r>
      </text>
    </comment>
  </commentList>
</comments>
</file>

<file path=xl/sharedStrings.xml><?xml version="1.0" encoding="utf-8"?>
<sst xmlns="http://schemas.openxmlformats.org/spreadsheetml/2006/main" count="715" uniqueCount="454">
  <si>
    <t>Recycled Content</t>
  </si>
  <si>
    <t>OR</t>
  </si>
  <si>
    <t>Materials Reuse</t>
  </si>
  <si>
    <t>Wood Products</t>
  </si>
  <si>
    <t>EPD 
Program 
Operator</t>
  </si>
  <si>
    <t>Extended Producer Responsibility
Closed Loop or 
Take Back Program Name</t>
  </si>
  <si>
    <t>Step 1.</t>
  </si>
  <si>
    <t xml:space="preserve">Step 4. </t>
  </si>
  <si>
    <t xml:space="preserve">Step 5. </t>
  </si>
  <si>
    <t>Material Information</t>
  </si>
  <si>
    <t>Corporate Sustainability 
Report Type</t>
  </si>
  <si>
    <t>Percent 
Post-Consumer
(%)</t>
  </si>
  <si>
    <t>Percent
Pre-Consumer
(%)</t>
  </si>
  <si>
    <r>
      <t xml:space="preserve">Option 1
</t>
    </r>
    <r>
      <rPr>
        <sz val="10"/>
        <rFont val="Arial"/>
        <family val="2"/>
      </rPr>
      <t>Material Ingredient Reporting</t>
    </r>
  </si>
  <si>
    <t xml:space="preserve">Summary </t>
  </si>
  <si>
    <t>Option 1. Material Ingredient Reporting</t>
  </si>
  <si>
    <t>Number of products meeting material ingredient reporting requirements</t>
  </si>
  <si>
    <t>Total materials cost</t>
  </si>
  <si>
    <t>Weighted number of products with EPD</t>
  </si>
  <si>
    <r>
      <t xml:space="preserve">General Information
</t>
    </r>
    <r>
      <rPr>
        <sz val="10"/>
        <rFont val="Arial"/>
        <family val="2"/>
      </rPr>
      <t>(from Materials tab)</t>
    </r>
  </si>
  <si>
    <t>Extended Producer Responsibility</t>
  </si>
  <si>
    <t>MR Credit Building Product Disclosure and Optimization - Environmental Product Declarations</t>
  </si>
  <si>
    <t>MR Credit Building Product Disclosure and Optimization - Material Ingredients</t>
  </si>
  <si>
    <r>
      <t xml:space="preserve">Option 1 
</t>
    </r>
    <r>
      <rPr>
        <sz val="10"/>
        <rFont val="Arial"/>
        <family val="2"/>
      </rPr>
      <t>Environmental Product Declaration</t>
    </r>
  </si>
  <si>
    <r>
      <t xml:space="preserve">Option 2
</t>
    </r>
    <r>
      <rPr>
        <sz val="10"/>
        <rFont val="Arial"/>
        <family val="2"/>
      </rPr>
      <t>Multi-Attribute Optimization</t>
    </r>
  </si>
  <si>
    <r>
      <rPr>
        <b/>
        <sz val="10"/>
        <rFont val="Arial"/>
        <family val="2"/>
      </rPr>
      <t xml:space="preserve">Option 1
</t>
    </r>
    <r>
      <rPr>
        <sz val="10"/>
        <rFont val="Arial"/>
        <family val="2"/>
      </rPr>
      <t>Raw Material Source and Extraction Reporting</t>
    </r>
  </si>
  <si>
    <t xml:space="preserve">Complete all columns with applicable material data for the attempted options.  If the option is not attempted, leave the column blank.  </t>
  </si>
  <si>
    <t xml:space="preserve">Fill in all columns with applicable material data for all attempted options.  If the option is not attempted, leave the column blank.  </t>
  </si>
  <si>
    <t>Note: All information on this tab is READ-ONLY. To edit, see previous tabs.</t>
  </si>
  <si>
    <t>Option 2. Material Ingredient Optimization</t>
  </si>
  <si>
    <t>Option 2. Multi-Attribute Optimization</t>
  </si>
  <si>
    <t>`</t>
  </si>
  <si>
    <r>
      <t>CSI Div</t>
    </r>
    <r>
      <rPr>
        <sz val="10"/>
        <rFont val="Arial"/>
        <family val="2"/>
      </rPr>
      <t xml:space="preserve"> 
(optional)</t>
    </r>
  </si>
  <si>
    <t xml:space="preserve">Step 6. </t>
  </si>
  <si>
    <t>Sustainable criteria value as a percentage of total materials cost</t>
  </si>
  <si>
    <t>Weighted
Sustainable 
Criteria Value
(#)</t>
  </si>
  <si>
    <t>Option 1. Environmental Product Declaration</t>
  </si>
  <si>
    <t>Step 2.</t>
  </si>
  <si>
    <t>For projects attempting MR Credit Building Product Disclosure and Optimization - Environmental Product Declarations</t>
  </si>
  <si>
    <t>Complete the Sourcing of Raw Materials tab.</t>
  </si>
  <si>
    <t>Complete the Environ. Product Declarations tab.</t>
  </si>
  <si>
    <t>For projects attempting MR Credit Building Product Disclosure and Optimization - Material Ingredients</t>
  </si>
  <si>
    <t>Complete the Material Ingredients tab.</t>
  </si>
  <si>
    <t>Environmental Product Declarations</t>
  </si>
  <si>
    <t>Total value</t>
  </si>
  <si>
    <t>Material Ingredients</t>
  </si>
  <si>
    <t>Total number of products</t>
  </si>
  <si>
    <t>Note: This calculator is for use with Excel for Mac 2011 and Excel 2007 or later.</t>
  </si>
  <si>
    <t>Note: This selection must match the unit of measurement chosen during project registration.</t>
  </si>
  <si>
    <t>Unit of measurement</t>
  </si>
  <si>
    <t>UOM</t>
  </si>
  <si>
    <t>1 = IP; 2 = SI</t>
  </si>
  <si>
    <t>Upload the completed spreadsheet to LEED Online.  Complete any related summary fields in the LEED credit form with the results of the calculator.</t>
  </si>
  <si>
    <t>Manufacturer 
Name</t>
  </si>
  <si>
    <t>Enter product and material information for those included in MR Credit Building Product Disclosure and Optimization - Environmental Product Declarations, MR Credit Building Product Disclosure and Optimization -Sourcing of Raw Materials, and MR Credit Building Product Disclosure and Optimization - Material Ingredients. 
All permanently installed building products contributing toward credit compliance are required to be included in all building product disclosure and optimization credits.  Optional products and materials, such as MEP, are not required to be included.  However, if they are, they will be included consistently across all cost-based Materials and Resources credits.
Product and materials cost includes all taxes and expenses to deliver the material to the project site incurred by the contractor but excludes any cost for labor and equipment required for installation after the material is delivered to the site.  Product and materials cost equals the cost per item multiplied by number of items purchased. The cost of salvaged, reused or reclaimed materials is either the actual cost paid or the replacement value, whichever is higher.</t>
  </si>
  <si>
    <t>Total sustainable criteria value with location valuation factor</t>
  </si>
  <si>
    <t>Total sustainable criteria value of products with material ingredient optimization</t>
  </si>
  <si>
    <t>U.S. Green Building Council</t>
  </si>
  <si>
    <t>All Rights Reserved</t>
  </si>
  <si>
    <t>A</t>
  </si>
  <si>
    <t>Description 
of Product</t>
  </si>
  <si>
    <t>Manufacturer
Name</t>
  </si>
  <si>
    <t>Material Type or Category</t>
  </si>
  <si>
    <t>Product Name</t>
  </si>
  <si>
    <t>Third Party Verified</t>
  </si>
  <si>
    <t>No longer required</t>
  </si>
  <si>
    <t xml:space="preserve">Fill in all columns with applicable material data, if none used leave the column blank. </t>
  </si>
  <si>
    <t>Responsible Sourcing of Raw Materials</t>
  </si>
  <si>
    <t>MR Credit Building Product Disclosure and Optimization - Responsible Sourcing of Raw Materials</t>
  </si>
  <si>
    <r>
      <t xml:space="preserve">Option 2
</t>
    </r>
    <r>
      <rPr>
        <sz val="10"/>
        <rFont val="Arial"/>
        <family val="2"/>
      </rPr>
      <t>Type of Optimization Report</t>
    </r>
  </si>
  <si>
    <t xml:space="preserve">Material Ingredient Screening and Optimization Action Plan </t>
  </si>
  <si>
    <t xml:space="preserve">Advanced Inventory &amp; Assessment </t>
  </si>
  <si>
    <t xml:space="preserve">Material Ingredient Optimization </t>
  </si>
  <si>
    <t>International ACP</t>
  </si>
  <si>
    <t>Action Plan</t>
  </si>
  <si>
    <t>Manufacturer inventory- no GreenScreen LT-1 hazards or GHS category 1 hazards</t>
  </si>
  <si>
    <t>HPD- no GreenScreen LT-1 hazards or GHS category 1 hazards</t>
  </si>
  <si>
    <t>Manufacturer inventory- 75% GreenScreen Benchmark assessment</t>
  </si>
  <si>
    <t>HPD - 75% GreenScreen Benchmark assessment</t>
  </si>
  <si>
    <t>Declare label designated Red List Free</t>
  </si>
  <si>
    <t>Manufacturer inventory- 95% GreenScreen Benchmark assessment</t>
  </si>
  <si>
    <t>HPD - 95% GreenScreen Benchmark assessment</t>
  </si>
  <si>
    <t>Living Product Challenge certified product with achievement of Imperitive 09: Transparent Material Health</t>
  </si>
  <si>
    <t>REACH declaration</t>
  </si>
  <si>
    <t>Global Green Tag certified product with Product Health Declaration report</t>
  </si>
  <si>
    <t>Products based on selection dropdown box</t>
  </si>
  <si>
    <t>The total materials cost is based on/or based on numbers of qualifying products</t>
  </si>
  <si>
    <t>Complete the Materials tab for all products and materials included in the following credits (as applicable):
MR Credit Building Product Disclosure and Optimization - Environmental Product Declarations
MR Credit Building Product Disclosure and Optimization - Responsible Sourcing of Raw Materials
MR Credit Building Product Disclosure and Optimization - Material Ingredients</t>
  </si>
  <si>
    <t>For projects attempting MR Credit Building Product Disclosure and Optimization - Responsible Sourcing of Raw Materials</t>
  </si>
  <si>
    <t>Percentage of multi-attribute optimization materials costs</t>
  </si>
  <si>
    <t>Total sustainable criteria value of products fulfilling responsible sourcing of raw materials credit</t>
  </si>
  <si>
    <t>Material Cost
($)</t>
  </si>
  <si>
    <t>Material Cost ($)</t>
  </si>
  <si>
    <t>Sustainable 
Criteria Value
($)</t>
  </si>
  <si>
    <t>Sustainable 
Criteria Value
Subtotal
($)</t>
  </si>
  <si>
    <t>Sustainable 
Criteria Value Subtotal 
($)</t>
  </si>
  <si>
    <t xml:space="preserve">Total materials cost ($) </t>
  </si>
  <si>
    <t>Total construction costs for the LEED project (Optional)</t>
  </si>
  <si>
    <t>Note: Hard costs are the actual physical items required for construction purposes, materials, land, machinery etc. These can be quatified by a professional estimator; they are the costs or work associated with the project and can comprise approximately 70% of the total.</t>
  </si>
  <si>
    <t>Total furniture cost (Optional)</t>
  </si>
  <si>
    <t>Total mechanical, electrical, and plumbing components (Optional)</t>
  </si>
  <si>
    <t>V01</t>
  </si>
  <si>
    <r>
      <t xml:space="preserve">Copyright </t>
    </r>
    <r>
      <rPr>
        <sz val="9"/>
        <color theme="0" tint="-0.499984740745262"/>
        <rFont val="Arial"/>
        <family val="2"/>
      </rPr>
      <t>©</t>
    </r>
    <r>
      <rPr>
        <sz val="8"/>
        <color theme="0" tint="-0.499984740745262"/>
        <rFont val="Arial"/>
        <family val="2"/>
      </rPr>
      <t xml:space="preserve"> 2019</t>
    </r>
  </si>
  <si>
    <t>Cradle to Cradle v3 Material Health Certificate Bronze +</t>
  </si>
  <si>
    <t xml:space="preserve">Cradle to Cradle v3 Certified product with Material Health category score of Bronze </t>
  </si>
  <si>
    <t xml:space="preserve">Cradle to Cradle v3 Material Health Certificate Bronze </t>
  </si>
  <si>
    <t>Cradle to Cradle v3 Certified product with Material Health category score of Silver +</t>
  </si>
  <si>
    <t>Total number of products including additional product count due to third party verification (if applicable)</t>
  </si>
  <si>
    <t>Additional Product Count Due to Third Party Verification</t>
  </si>
  <si>
    <t>Total number of products if column "L" says yes</t>
  </si>
  <si>
    <t>Description 
of the Product</t>
  </si>
  <si>
    <t>Sustainable Criteria Value with Location Valuation Factor
($)</t>
  </si>
  <si>
    <r>
      <rPr>
        <sz val="16"/>
        <rFont val="Arial Black"/>
        <family val="2"/>
      </rPr>
      <t xml:space="preserve">Building Product Disclosure and Optimization Calculator
</t>
    </r>
    <r>
      <rPr>
        <sz val="9"/>
        <rFont val="Arial"/>
        <family val="2"/>
      </rPr>
      <t xml:space="preserve">LEED v4.1 MR Credit Building Product Disclosure and Optimization - Environmental Product Declarations, MR Credit Building Product Disclosure and Optimization - Responsible Sourcing of Raw Materials, and MR Credit Building Product Disclosure and Optimization -  Material Ingredients </t>
    </r>
  </si>
  <si>
    <t>Sustainable Material Cost
($)</t>
  </si>
  <si>
    <t>Total Value of Sustainable Material Costs (unweighted)</t>
  </si>
  <si>
    <t>Total Materials Cost</t>
  </si>
  <si>
    <t xml:space="preserve">Materials cost </t>
  </si>
  <si>
    <t xml:space="preserve">Materials cost, including furniture and optional MEP, but excluding labor and equipment </t>
  </si>
  <si>
    <t>Actual materials cost, excluding labor and equipment (Optional)</t>
  </si>
  <si>
    <r>
      <rPr>
        <b/>
        <sz val="10"/>
        <rFont val="Arial"/>
        <family val="2"/>
      </rPr>
      <t xml:space="preserve">Actual materials cost </t>
    </r>
    <r>
      <rPr>
        <i/>
        <sz val="10"/>
        <rFont val="Arial"/>
        <family val="2"/>
      </rPr>
      <t>(not necessary if count of qualifying products is used)</t>
    </r>
  </si>
  <si>
    <r>
      <t xml:space="preserve">Default materials cost </t>
    </r>
    <r>
      <rPr>
        <sz val="10"/>
        <rFont val="Arial"/>
        <family val="2"/>
      </rPr>
      <t>(not necessary if count of qualifying products is used)</t>
    </r>
  </si>
  <si>
    <t>Note: not necessary if count of qualifying products used</t>
  </si>
  <si>
    <t>Enable macros and calculations</t>
  </si>
  <si>
    <t xml:space="preserve">EPD / LCA                    
</t>
  </si>
  <si>
    <t xml:space="preserve">Does the entire product meet local criteria?          </t>
  </si>
  <si>
    <t xml:space="preserve">Does the entire product meet local criteria? </t>
  </si>
  <si>
    <t xml:space="preserve">Type of Reporting                         </t>
  </si>
  <si>
    <t xml:space="preserve">3rd Party Verification                    </t>
  </si>
  <si>
    <t xml:space="preserve">Certification 
Program                                                    </t>
  </si>
  <si>
    <t xml:space="preserve">Does the Entire Product Meet Local Criteria?  </t>
  </si>
  <si>
    <t xml:space="preserve">Total </t>
  </si>
  <si>
    <t xml:space="preserve">Type of Reduction                                      
</t>
  </si>
  <si>
    <t>EPD product value (#)</t>
  </si>
  <si>
    <t>%</t>
  </si>
  <si>
    <t>Percent 
Salvaged 
or Reused
(%)</t>
  </si>
  <si>
    <t>Equation 2: Percentage of Material Costs (Maximum 200%)</t>
  </si>
  <si>
    <t>Bio-based Materials (Testing &amp; SAN Compliant)</t>
  </si>
  <si>
    <t>Equation 3: Number of products with multi-attribution optimization (Maximum 2 Points)</t>
  </si>
  <si>
    <t>Bio-based Materials Meeting Basic Criteria (Testing Only)</t>
  </si>
  <si>
    <t>Total Number of Products for Optimization (Maximum 2 Points Per Product)</t>
  </si>
  <si>
    <t>(Select drop-down option, if using count of qualifying products then ignore all cost cells)</t>
  </si>
  <si>
    <t>CSI Div 
(optional)</t>
  </si>
  <si>
    <t>% of Products FSC Certified</t>
  </si>
  <si>
    <t xml:space="preserve">Total number of products with multi-attribution optimization </t>
  </si>
  <si>
    <t>Step 3. For ID+C Projects</t>
  </si>
  <si>
    <t>Step 3. For BD+C Projects</t>
  </si>
  <si>
    <t>Calculation for Column Q</t>
  </si>
  <si>
    <t>Calculation for Column P</t>
  </si>
  <si>
    <t>Percentage of Material Costs (Maximum 200% per product)</t>
  </si>
  <si>
    <t>Corr for distance valuation</t>
  </si>
  <si>
    <t>200%, of material cost</t>
  </si>
  <si>
    <t>Percentage of material ingredient optimization materials costs</t>
  </si>
  <si>
    <t>GBCI_ID</t>
  </si>
  <si>
    <t>Last Updated: 11/14/2019</t>
  </si>
  <si>
    <t>IP units</t>
  </si>
  <si>
    <t>Default cost</t>
  </si>
  <si>
    <t>Site Concrete</t>
  </si>
  <si>
    <t>03 Concrete</t>
  </si>
  <si>
    <t>Slab on Grade</t>
  </si>
  <si>
    <t>Piers, Footings, Grade Beams</t>
  </si>
  <si>
    <t>Elevated Concrete &amp; Columns</t>
  </si>
  <si>
    <t>CC45LSR6</t>
  </si>
  <si>
    <t>4550LS</t>
  </si>
  <si>
    <t>CC45LS6</t>
  </si>
  <si>
    <t>Rebar</t>
  </si>
  <si>
    <t>CMC</t>
  </si>
  <si>
    <t>ASTM International</t>
  </si>
  <si>
    <t>Product Specific Type III External EPD</t>
  </si>
  <si>
    <t>Lauren Concrete</t>
  </si>
  <si>
    <t>NSF Certification</t>
  </si>
  <si>
    <t xml:space="preserve">Concrete Mix </t>
  </si>
  <si>
    <t>CC4434D6</t>
  </si>
  <si>
    <t>Myrex Industries</t>
  </si>
  <si>
    <t>Cast in Place Concrete</t>
  </si>
  <si>
    <t>Steel Anchors Bolts &amp; Embeds</t>
  </si>
  <si>
    <t>1.0 C, CSV Conform</t>
  </si>
  <si>
    <t>UL Environment</t>
  </si>
  <si>
    <t>Industry-wide/generic EPD</t>
  </si>
  <si>
    <t>Wide Flange &amp; Angles</t>
  </si>
  <si>
    <t>Tube &amp; Plates</t>
  </si>
  <si>
    <t>Kwik Bolt TZ</t>
  </si>
  <si>
    <t>Hilti</t>
  </si>
  <si>
    <t>Myrex-Vulcraft-Nucor</t>
  </si>
  <si>
    <t>Vulcraft Joist</t>
  </si>
  <si>
    <t xml:space="preserve">Concrete Sealer </t>
  </si>
  <si>
    <t>033513</t>
  </si>
  <si>
    <t>Euco Diamond Hard</t>
  </si>
  <si>
    <t>Euclid</t>
  </si>
  <si>
    <t>Health Product Declaration</t>
  </si>
  <si>
    <t>No</t>
  </si>
  <si>
    <t>032000</t>
  </si>
  <si>
    <t xml:space="preserve">Concrete Reinforcing Steel </t>
  </si>
  <si>
    <t>033000</t>
  </si>
  <si>
    <t xml:space="preserve">Steel Decking </t>
  </si>
  <si>
    <t>053100</t>
  </si>
  <si>
    <t xml:space="preserve">Fasteners </t>
  </si>
  <si>
    <t>055113</t>
  </si>
  <si>
    <t>081113</t>
  </si>
  <si>
    <t>Legion Polystyrene Core</t>
  </si>
  <si>
    <t>VT Industries</t>
  </si>
  <si>
    <t>HM Door</t>
  </si>
  <si>
    <t>HM Frame</t>
  </si>
  <si>
    <t>Ceco Door-ASSA ABLOY</t>
  </si>
  <si>
    <t>Yes</t>
  </si>
  <si>
    <t>IBU</t>
  </si>
  <si>
    <t>Series SQ</t>
  </si>
  <si>
    <t xml:space="preserve">Flush Wood Door </t>
  </si>
  <si>
    <t>081416</t>
  </si>
  <si>
    <t>NSF International</t>
  </si>
  <si>
    <t>FD-5</t>
  </si>
  <si>
    <t xml:space="preserve">Insulation </t>
  </si>
  <si>
    <t>072100</t>
  </si>
  <si>
    <t>EcoTouch Pink Batt Unfaced</t>
  </si>
  <si>
    <t>Owens Corning</t>
  </si>
  <si>
    <t xml:space="preserve">Mineral Wool Insulation </t>
  </si>
  <si>
    <t xml:space="preserve">Gypsum Board </t>
  </si>
  <si>
    <t>092116</t>
  </si>
  <si>
    <t>Sheetrock Gypsum Liner Panels</t>
  </si>
  <si>
    <t>USG</t>
  </si>
  <si>
    <t xml:space="preserve">Non-Structural Metal Framing </t>
  </si>
  <si>
    <t>092216</t>
  </si>
  <si>
    <t>Cemco</t>
  </si>
  <si>
    <t>CST</t>
  </si>
  <si>
    <t>Viperstud, Vipertrack, Angle, Hat-Shaped Channel, L-Metal, Cornerbead, Zinc Control Joint,</t>
  </si>
  <si>
    <t>CH Shaft Wall Studs, J-Runner</t>
  </si>
  <si>
    <t>092900</t>
  </si>
  <si>
    <t>Durock Glass-Mat Tile Backerboard</t>
  </si>
  <si>
    <t>Sheetrock Firecode X Panels</t>
  </si>
  <si>
    <t>FPInnovations</t>
  </si>
  <si>
    <t>Sheetrock Mold Tough Firecode X Panels</t>
  </si>
  <si>
    <t xml:space="preserve">ACT </t>
  </si>
  <si>
    <t>095113</t>
  </si>
  <si>
    <t>Mars HRC</t>
  </si>
  <si>
    <t>Donn DX/DXL</t>
  </si>
  <si>
    <t>Ceiling Suspension System</t>
  </si>
  <si>
    <t>Drywall Suspension System</t>
  </si>
  <si>
    <t>061600</t>
  </si>
  <si>
    <t>Densglass</t>
  </si>
  <si>
    <t>Georgia-Pacific</t>
  </si>
  <si>
    <t xml:space="preserve">Sheathing </t>
  </si>
  <si>
    <t>042000</t>
  </si>
  <si>
    <t>Hohmann &amp; Barnard</t>
  </si>
  <si>
    <t>270-2X Ladder Eye-Wire &amp; 220 Ladder-Mesh</t>
  </si>
  <si>
    <t>Joint Reinforcement</t>
  </si>
  <si>
    <t>Rebar Positioner</t>
  </si>
  <si>
    <t>RB</t>
  </si>
  <si>
    <t>Rubber Control Joint, Weep Holes/Vents</t>
  </si>
  <si>
    <t>RS Series, QV - Quadro-Vent</t>
  </si>
  <si>
    <t>Mortar Trap</t>
  </si>
  <si>
    <t>Mortar System</t>
  </si>
  <si>
    <t>054000</t>
  </si>
  <si>
    <t>C-Studs &amp; Track</t>
  </si>
  <si>
    <t>600S162-43, 600S200-43, 600S300-54, 600S300-97, 600S350-118, 600S350-68, 600S350-97, 600T125-43, 600T125-68, 600T200-54, 600T200-97</t>
  </si>
  <si>
    <t>TSN</t>
  </si>
  <si>
    <t>CFMF</t>
  </si>
  <si>
    <t>StiffClip AL &amp; CL, VertiClip SL &amp; SLS</t>
  </si>
  <si>
    <t>087100</t>
  </si>
  <si>
    <t>5BB1</t>
  </si>
  <si>
    <t xml:space="preserve">Architectural Hinges </t>
  </si>
  <si>
    <t>Ives-Allegion</t>
  </si>
  <si>
    <t>Mortise Locks</t>
  </si>
  <si>
    <t>Sargent-ASSA ABLOY</t>
  </si>
  <si>
    <t>PEOL</t>
  </si>
  <si>
    <t>LCN-Allegion</t>
  </si>
  <si>
    <t>Door Closer</t>
  </si>
  <si>
    <t>Product-specific LCA</t>
  </si>
  <si>
    <t>WS406/407CCV</t>
  </si>
  <si>
    <t>Wall Stops</t>
  </si>
  <si>
    <t>Zero-Allegion</t>
  </si>
  <si>
    <t>Silicone Weatherstripping Door Seal</t>
  </si>
  <si>
    <t>Auto Door Bottom, Bronze &amp; Aluminum Weatherstrip</t>
  </si>
  <si>
    <t>904S</t>
  </si>
  <si>
    <t>Glynn Johnson-Allegion</t>
  </si>
  <si>
    <t>Steel Overhead Door Stop</t>
  </si>
  <si>
    <t>Brass Overhead Door Stop</t>
  </si>
  <si>
    <t>369AA, 119WB, 870AA, 322A, 328AA</t>
  </si>
  <si>
    <t>Aluminum Threshold, Door Sweeps</t>
  </si>
  <si>
    <t>655A, 39A</t>
  </si>
  <si>
    <t>8205, 8204, 8217, 8215, 8237, KP9278, KP8278, KP8276</t>
  </si>
  <si>
    <t>105S, 104S</t>
  </si>
  <si>
    <t>Magnetic Holder</t>
  </si>
  <si>
    <t>SEM 7850</t>
  </si>
  <si>
    <t>Schlage</t>
  </si>
  <si>
    <t>Von Duprin-Allegion</t>
  </si>
  <si>
    <t>Cylinder Core, Cylinder Housing, Rim Cylinder Housing</t>
  </si>
  <si>
    <t>Exit Devices, Fire Exit Devices</t>
  </si>
  <si>
    <t>Continuous Hinge</t>
  </si>
  <si>
    <t>112XY</t>
  </si>
  <si>
    <t>98L, 98NL, 98NL-F, 9849EO</t>
  </si>
  <si>
    <t>Kick Plates, Door Pull</t>
  </si>
  <si>
    <t>8400, 8190HD-0</t>
  </si>
  <si>
    <t>Electromechanical Mortise Locks</t>
  </si>
  <si>
    <t>8270</t>
  </si>
  <si>
    <t>Power Supply</t>
  </si>
  <si>
    <t>PS902</t>
  </si>
  <si>
    <t>Von Duprin-Schlage-Allegion</t>
  </si>
  <si>
    <t xml:space="preserve">Void Cap </t>
  </si>
  <si>
    <t>Expansion Board Cap</t>
  </si>
  <si>
    <t>BoMetals</t>
  </si>
  <si>
    <t>Steel Anchor</t>
  </si>
  <si>
    <t>Dewalt</t>
  </si>
  <si>
    <t>Atomic+ Undercut, Screw-Bolt+, Snake+</t>
  </si>
  <si>
    <t>3720DLS</t>
  </si>
  <si>
    <t>COA-CLSM</t>
  </si>
  <si>
    <t xml:space="preserve">Brick </t>
  </si>
  <si>
    <t>Special Blend</t>
  </si>
  <si>
    <t>Acme Brick</t>
  </si>
  <si>
    <t xml:space="preserve">Cast Stone Masonry </t>
  </si>
  <si>
    <t>047200</t>
  </si>
  <si>
    <t>SM250</t>
  </si>
  <si>
    <t>Spec Mix</t>
  </si>
  <si>
    <t xml:space="preserve">Concrete Waterstop </t>
  </si>
  <si>
    <t>Waterstop-RX</t>
  </si>
  <si>
    <t>Cetco</t>
  </si>
  <si>
    <t xml:space="preserve">Waterproofing </t>
  </si>
  <si>
    <t>071326</t>
  </si>
  <si>
    <t>Protection Course</t>
  </si>
  <si>
    <t>W.R. Meadows</t>
  </si>
  <si>
    <t>Nonwoven Geotextile Fabric</t>
  </si>
  <si>
    <t>Detail Fabric</t>
  </si>
  <si>
    <t>Termination Bar</t>
  </si>
  <si>
    <t>T2 Aluminum</t>
  </si>
  <si>
    <t xml:space="preserve">Fireproofing </t>
  </si>
  <si>
    <t>078100</t>
  </si>
  <si>
    <t>Monokote Z-106/hy</t>
  </si>
  <si>
    <t>GCP</t>
  </si>
  <si>
    <t xml:space="preserve">CMU </t>
  </si>
  <si>
    <t>Ground Face Series</t>
  </si>
  <si>
    <t>Best Block</t>
  </si>
  <si>
    <t>Cavityrock</t>
  </si>
  <si>
    <t>Rockwool</t>
  </si>
  <si>
    <t xml:space="preserve">Polyiso Insulation </t>
  </si>
  <si>
    <t>075216</t>
  </si>
  <si>
    <t>GAF</t>
  </si>
  <si>
    <t>Energyguard X Panel</t>
  </si>
  <si>
    <t>Energyguard, Energyguard Y Panel</t>
  </si>
  <si>
    <t>Energyguard Q Panel</t>
  </si>
  <si>
    <t>SBS Modified Bitumen Membrane</t>
  </si>
  <si>
    <t>Ruberoid HW Smooth</t>
  </si>
  <si>
    <t>Fasteners &amp; Plates</t>
  </si>
  <si>
    <t>Drill-Tec</t>
  </si>
  <si>
    <t>Roof Insulation</t>
  </si>
  <si>
    <t>EnergyGuard Perlite Cant Strip</t>
  </si>
  <si>
    <t>Ruberoid HW Plus Granule FR</t>
  </si>
  <si>
    <t xml:space="preserve">Sheet Metal Flashing </t>
  </si>
  <si>
    <t>076200</t>
  </si>
  <si>
    <t>Type 304</t>
  </si>
  <si>
    <t>AK Steel</t>
  </si>
  <si>
    <t>Berridge</t>
  </si>
  <si>
    <t>079513</t>
  </si>
  <si>
    <t>Balco</t>
  </si>
  <si>
    <t>NBAF-2</t>
  </si>
  <si>
    <t xml:space="preserve">Expansion Joint Assemblies </t>
  </si>
  <si>
    <t>BCSW - 200</t>
  </si>
  <si>
    <t xml:space="preserve">Unit Masonry Anchors &amp; Ties </t>
  </si>
  <si>
    <t>315 Flexible Dovetail Brick Tie, HB-213-2X Veneer Anchors</t>
  </si>
  <si>
    <t xml:space="preserve">Steel Joist </t>
  </si>
  <si>
    <t>052123</t>
  </si>
  <si>
    <t>051200, 055000</t>
  </si>
  <si>
    <t xml:space="preserve">Structural Steel Framing &amp; Metal Fabrications </t>
  </si>
  <si>
    <t>074213</t>
  </si>
  <si>
    <t xml:space="preserve">Sheet Metal Flashing, Formed Metal Wall Panels </t>
  </si>
  <si>
    <t>Gauge Galvalume, S-Deck Panel</t>
  </si>
  <si>
    <t>076200, 074213</t>
  </si>
  <si>
    <t>Metal Framing</t>
  </si>
  <si>
    <t>Custom Z-Furring Channel</t>
  </si>
  <si>
    <t>ClarkDietrich</t>
  </si>
  <si>
    <t>Concealor</t>
  </si>
  <si>
    <t>Triangle Fastener</t>
  </si>
  <si>
    <t>072100, 074213</t>
  </si>
  <si>
    <t xml:space="preserve">Vapor Barrier &amp; Tape, Air &amp; Vapor Barrier Membrane, Sealant, Adhesive Primer, Roofing Underlayment </t>
  </si>
  <si>
    <t>072726, 074213</t>
  </si>
  <si>
    <t>Husky Yellow Guard 15-mil, Exoair 120, ExoAir 110AT, Tremflex 834, Dymonic 100, ExoAir TWF, ExoAir Primer, WIP 300HT</t>
  </si>
  <si>
    <t>Poly-America, Tremco, Carlisle</t>
  </si>
  <si>
    <t>Densdeck Prime</t>
  </si>
  <si>
    <t xml:space="preserve">Gypsum Roof Board </t>
  </si>
  <si>
    <t>SpecSeal AS200</t>
  </si>
  <si>
    <t xml:space="preserve">Joint Firestopping </t>
  </si>
  <si>
    <t>078443</t>
  </si>
  <si>
    <t>STI</t>
  </si>
  <si>
    <t>Thermafiber SAFB, Safing &amp; Firespan 90</t>
  </si>
  <si>
    <t>072100, 078413, 078443</t>
  </si>
  <si>
    <t>Laminate</t>
  </si>
  <si>
    <t>Wilsonart</t>
  </si>
  <si>
    <t>Kawneer</t>
  </si>
  <si>
    <t>084113, 084413</t>
  </si>
  <si>
    <t>Encore, 500 &amp; 1600 Wall System 1 and 1600 Wall System 2</t>
  </si>
  <si>
    <t>Aluminum-Framed Storefronts, Entranes &amp; Curtain Wall</t>
  </si>
  <si>
    <t>OBE</t>
  </si>
  <si>
    <t>?</t>
  </si>
  <si>
    <t>23-030, 20-740, 20-069, 20-079, 20-057</t>
  </si>
  <si>
    <t>Automatic Closer</t>
  </si>
  <si>
    <t xml:space="preserve">Glazing </t>
  </si>
  <si>
    <t>088000</t>
  </si>
  <si>
    <t>Guardian Clear, Guardian SunGuard, Clear Insulated W/SNX 62/27, Insulated Spandrel W/SNX 62/27, Clear Tempered</t>
  </si>
  <si>
    <t xml:space="preserve">Metal Lath </t>
  </si>
  <si>
    <t>092400</t>
  </si>
  <si>
    <t>Self-Furred Diamond</t>
  </si>
  <si>
    <t xml:space="preserve">Ceramic Wall Tiles </t>
  </si>
  <si>
    <t>093013</t>
  </si>
  <si>
    <t>Grout</t>
  </si>
  <si>
    <t>Laticrete</t>
  </si>
  <si>
    <t>Ceramic Floor Tiles</t>
  </si>
  <si>
    <t>Union Mosaic Tile?, Marble Threshold?</t>
  </si>
  <si>
    <t>Simpatico</t>
  </si>
  <si>
    <t>Crossville</t>
  </si>
  <si>
    <t>Tile Take-Back</t>
  </si>
  <si>
    <t xml:space="preserve">Porcelain Wall Tiles </t>
  </si>
  <si>
    <t xml:space="preserve">Rubber Wall Base </t>
  </si>
  <si>
    <t>096513</t>
  </si>
  <si>
    <t>Tarkett</t>
  </si>
  <si>
    <t>BaseWorks TS</t>
  </si>
  <si>
    <t>ReStart</t>
  </si>
  <si>
    <t xml:space="preserve">Carpet Tiles </t>
  </si>
  <si>
    <t>096813</t>
  </si>
  <si>
    <t>Mannington</t>
  </si>
  <si>
    <t>Infinity Antron Lumena</t>
  </si>
  <si>
    <t>Spec Mix?</t>
  </si>
  <si>
    <t>099123</t>
  </si>
  <si>
    <t>Sherwin Williams</t>
  </si>
  <si>
    <t>Non-Flat, Flat</t>
  </si>
  <si>
    <t>B20W12651, B53W01153, B20W02653, PE3000451, B20T02654</t>
  </si>
  <si>
    <t xml:space="preserve">Window Treatments </t>
  </si>
  <si>
    <t>Bali Classics Aluminum Blinds, EcoVeil 1350 Series</t>
  </si>
  <si>
    <t>122113, 122413</t>
  </si>
  <si>
    <t>SWFcontract, Mecho</t>
  </si>
  <si>
    <t>Aluminum Louver Fences &amp; Gates</t>
  </si>
  <si>
    <t>323121</t>
  </si>
  <si>
    <t>Eclipse 100</t>
  </si>
  <si>
    <t>Ametco</t>
  </si>
  <si>
    <t>Planting Accessories</t>
  </si>
  <si>
    <t>329000</t>
  </si>
  <si>
    <t>Steel Fence Posts &amp; Wire</t>
  </si>
  <si>
    <t>Red &amp; White Greenery, AM Leonard</t>
  </si>
  <si>
    <t>Metal Composite Panels</t>
  </si>
  <si>
    <t>ALPOLIC-Mitsubishi</t>
  </si>
  <si>
    <t>4 mm ACM fr</t>
  </si>
  <si>
    <t>CC4534DA6</t>
  </si>
  <si>
    <t>808 HPL SCLC 5 Ply, STC (cost for FD-5 included here)</t>
  </si>
  <si>
    <t>Standard (cost included with wood door cost above)</t>
  </si>
  <si>
    <t>Auto Equalizer 4642 (cost n/a)</t>
  </si>
  <si>
    <t>4040XP, 4642 lcn-allegion (cost included here for 904S, 105S, 104S)</t>
  </si>
  <si>
    <t>794S</t>
  </si>
  <si>
    <t>188SBK (cost included here for 369AA, 119WB, 870AA, 322A, 328AA, 655A, 39A)</t>
  </si>
  <si>
    <t>VCT</t>
  </si>
  <si>
    <t>Striations BBT</t>
  </si>
  <si>
    <t>Armstrong</t>
  </si>
  <si>
    <t>Reclaim</t>
  </si>
  <si>
    <t>096519</t>
  </si>
  <si>
    <t>LOOP</t>
  </si>
  <si>
    <t>WM Carpet Tiles</t>
  </si>
  <si>
    <t>QL311 Step Up II</t>
  </si>
  <si>
    <t>Mohawk</t>
  </si>
  <si>
    <t>ReCover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</si>
</sst>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
    <numFmt numFmtId="165" formatCode="0.0"/>
    <numFmt numFmtId="166" formatCode="#,##0.0"/>
    <numFmt numFmtId="167" formatCode="#,##0.00_ ;\-#,##0.00\ "/>
    <numFmt numFmtId="168" formatCode="0.0000"/>
    <numFmt numFmtId="169" formatCode="_-* #,##0.00\ _€_-;\-* #,##0.00\ _€_-;_-* &quot;-&quot;??\ _€_-;_-@_-"/>
  </numFmts>
  <fonts count="46" x14ac:knownFonts="1">
    <font>
      <sz val="10"/>
      <name val="Arial"/>
    </font>
    <font>
      <sz val="10"/>
      <color theme="1"/>
      <name val="Arial"/>
      <family val="2"/>
    </font>
    <font>
      <sz val="10"/>
      <color theme="1"/>
      <name val="Arial"/>
      <family val="2"/>
    </font>
    <font>
      <sz val="10"/>
      <name val="Arial"/>
      <family val="2"/>
    </font>
    <font>
      <sz val="8"/>
      <color indexed="9"/>
      <name val="Arial"/>
      <family val="2"/>
    </font>
    <font>
      <sz val="8"/>
      <name val="Arial"/>
      <family val="2"/>
    </font>
    <font>
      <b/>
      <sz val="8"/>
      <name val="Arial"/>
      <family val="2"/>
    </font>
    <font>
      <i/>
      <sz val="8"/>
      <name val="Arial"/>
      <family val="2"/>
    </font>
    <font>
      <b/>
      <sz val="9"/>
      <name val="Arial"/>
      <family val="2"/>
    </font>
    <font>
      <b/>
      <sz val="12"/>
      <name val="Arial"/>
      <family val="2"/>
    </font>
    <font>
      <b/>
      <sz val="10"/>
      <name val="Arial"/>
      <family val="2"/>
    </font>
    <font>
      <b/>
      <sz val="14"/>
      <name val="Arial"/>
      <family val="2"/>
    </font>
    <font>
      <sz val="10"/>
      <color indexed="9"/>
      <name val="Arial"/>
      <family val="2"/>
    </font>
    <font>
      <i/>
      <sz val="10"/>
      <name val="Arial"/>
      <family val="2"/>
    </font>
    <font>
      <sz val="12"/>
      <name val="Arial"/>
      <family val="2"/>
    </font>
    <font>
      <b/>
      <sz val="16"/>
      <name val="Arial"/>
      <family val="2"/>
    </font>
    <font>
      <sz val="11"/>
      <color theme="1"/>
      <name val="Calibri"/>
      <family val="2"/>
      <scheme val="minor"/>
    </font>
    <font>
      <sz val="10"/>
      <color theme="1"/>
      <name val="Calibri"/>
      <family val="2"/>
      <scheme val="minor"/>
    </font>
    <font>
      <sz val="10"/>
      <color theme="1"/>
      <name val="Arial"/>
      <family val="2"/>
    </font>
    <font>
      <sz val="10"/>
      <color theme="0"/>
      <name val="Arial"/>
      <family val="2"/>
    </font>
    <font>
      <b/>
      <sz val="10"/>
      <color rgb="FFFF0000"/>
      <name val="Arial"/>
      <family val="2"/>
    </font>
    <font>
      <sz val="10"/>
      <color rgb="FFFF0000"/>
      <name val="Arial"/>
      <family val="2"/>
    </font>
    <font>
      <b/>
      <sz val="8"/>
      <color rgb="FFFF0000"/>
      <name val="Arial"/>
      <family val="2"/>
    </font>
    <font>
      <sz val="10"/>
      <color rgb="FF777777"/>
      <name val="Arial"/>
      <family val="2"/>
    </font>
    <font>
      <u/>
      <sz val="10"/>
      <color theme="10"/>
      <name val="Arial"/>
      <family val="2"/>
    </font>
    <font>
      <u/>
      <sz val="10"/>
      <color theme="11"/>
      <name val="Arial"/>
      <family val="2"/>
    </font>
    <font>
      <sz val="16"/>
      <color theme="0"/>
      <name val="Arial Black"/>
      <family val="2"/>
    </font>
    <font>
      <sz val="10"/>
      <color rgb="FF000000"/>
      <name val="Arial"/>
      <family val="2"/>
    </font>
    <font>
      <sz val="10"/>
      <color indexed="81"/>
      <name val="Arial"/>
      <family val="2"/>
    </font>
    <font>
      <sz val="16"/>
      <name val="Arial Black"/>
      <family val="2"/>
    </font>
    <font>
      <sz val="9"/>
      <name val="Arial"/>
      <family val="2"/>
    </font>
    <font>
      <i/>
      <sz val="9"/>
      <name val="Arial"/>
      <family val="2"/>
    </font>
    <font>
      <sz val="9"/>
      <color rgb="FF777777"/>
      <name val="Arial"/>
      <family val="2"/>
    </font>
    <font>
      <b/>
      <sz val="10"/>
      <color theme="1"/>
      <name val="Arial"/>
      <family val="2"/>
    </font>
    <font>
      <sz val="8"/>
      <color theme="0" tint="-0.499984740745262"/>
      <name val="Arial"/>
      <family val="2"/>
    </font>
    <font>
      <sz val="9"/>
      <color theme="0" tint="-0.499984740745262"/>
      <name val="Arial"/>
      <family val="2"/>
    </font>
    <font>
      <sz val="8"/>
      <color rgb="FFFF0000"/>
      <name val="Arial"/>
      <family val="2"/>
    </font>
    <font>
      <sz val="8"/>
      <color theme="0"/>
      <name val="Arial"/>
      <family val="2"/>
    </font>
    <font>
      <sz val="9"/>
      <color indexed="81"/>
      <name val="Tahoma"/>
      <family val="2"/>
    </font>
    <font>
      <sz val="8"/>
      <color rgb="FF000000"/>
      <name val="Arial"/>
      <family val="2"/>
    </font>
    <font>
      <sz val="9"/>
      <color rgb="FF000000"/>
      <name val="Arial"/>
      <family val="2"/>
    </font>
    <font>
      <sz val="8"/>
      <name val="Wingdings"/>
      <charset val="2"/>
    </font>
    <font>
      <sz val="9"/>
      <color indexed="81"/>
      <name val="Arial"/>
      <family val="2"/>
    </font>
    <font>
      <sz val="9"/>
      <color theme="1"/>
      <name val="Arial"/>
      <family val="2"/>
    </font>
    <font>
      <b/>
      <sz val="10"/>
      <color indexed="81"/>
      <name val="Arial"/>
      <family val="2"/>
    </font>
    <font>
      <sz val="10"/>
      <color theme="0" tint="-0.499984740745262"/>
      <name val="Arial"/>
      <family val="2"/>
    </font>
  </fonts>
  <fills count="9">
    <fill>
      <patternFill patternType="none"/>
    </fill>
    <fill>
      <patternFill patternType="gray125"/>
    </fill>
    <fill>
      <patternFill patternType="solid">
        <fgColor rgb="FF7DBA0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79998168889431442"/>
        <bgColor indexed="64"/>
      </patternFill>
    </fill>
  </fills>
  <borders count="182">
    <border>
      <left/>
      <right/>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249977111117893"/>
      </bottom>
      <diagonal/>
    </border>
    <border>
      <left/>
      <right/>
      <top style="thin">
        <color theme="0" tint="-0.24994659260841701"/>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499984740745262"/>
      </bottom>
      <diagonal/>
    </border>
    <border>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34998626667073579"/>
      </right>
      <top style="thin">
        <color theme="0" tint="-0.249977111117893"/>
      </top>
      <bottom style="thin">
        <color theme="0" tint="-0.499984740745262"/>
      </bottom>
      <diagonal/>
    </border>
    <border>
      <left style="thin">
        <color theme="0" tint="-0.34998626667073579"/>
      </left>
      <right style="thin">
        <color theme="0" tint="-0.249977111117893"/>
      </right>
      <top style="thin">
        <color theme="0" tint="-0.249977111117893"/>
      </top>
      <bottom style="thin">
        <color theme="0" tint="-0.499984740745262"/>
      </bottom>
      <diagonal/>
    </border>
    <border>
      <left style="thin">
        <color theme="0" tint="-0.249977111117893"/>
      </left>
      <right/>
      <top style="thin">
        <color theme="0" tint="-0.249977111117893"/>
      </top>
      <bottom style="thin">
        <color theme="0" tint="-0.499984740745262"/>
      </bottom>
      <diagonal/>
    </border>
    <border>
      <left/>
      <right style="thin">
        <color theme="0" tint="-0.249977111117893"/>
      </right>
      <top/>
      <bottom style="thin">
        <color theme="0" tint="-0.249977111117893"/>
      </bottom>
      <diagonal/>
    </border>
    <border>
      <left style="thin">
        <color theme="0" tint="-0.499984740745262"/>
      </left>
      <right/>
      <top style="thin">
        <color theme="0" tint="-0.499984740745262"/>
      </top>
      <bottom style="thin">
        <color theme="0" tint="-0.34998626667073579"/>
      </bottom>
      <diagonal/>
    </border>
    <border>
      <left/>
      <right/>
      <top style="thin">
        <color theme="0" tint="-0.499984740745262"/>
      </top>
      <bottom style="thin">
        <color theme="0" tint="-0.34998626667073579"/>
      </bottom>
      <diagonal/>
    </border>
    <border>
      <left style="thin">
        <color theme="0" tint="-0.249977111117893"/>
      </left>
      <right style="thin">
        <color theme="0" tint="-0.249977111117893"/>
      </right>
      <top/>
      <bottom style="thin">
        <color theme="0" tint="-0.499984740745262"/>
      </bottom>
      <diagonal/>
    </border>
    <border>
      <left/>
      <right/>
      <top style="thin">
        <color theme="0" tint="-0.499984740745262"/>
      </top>
      <bottom style="thin">
        <color theme="0" tint="-0.249977111117893"/>
      </bottom>
      <diagonal/>
    </border>
    <border>
      <left style="thin">
        <color theme="0" tint="-0.499984740745262"/>
      </left>
      <right style="thin">
        <color theme="0" tint="-0.24994659260841701"/>
      </right>
      <top style="thin">
        <color theme="0" tint="-0.499984740745262"/>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77111117893"/>
      </top>
      <bottom style="thin">
        <color theme="0" tint="-0.499984740745262"/>
      </bottom>
      <diagonal/>
    </border>
    <border>
      <left style="thin">
        <color theme="0" tint="-0.24994659260841701"/>
      </left>
      <right style="thin">
        <color theme="0" tint="-0.499984740745262"/>
      </right>
      <top style="thin">
        <color theme="0" tint="-0.249977111117893"/>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top style="thin">
        <color theme="0" tint="-0.249977111117893"/>
      </top>
      <bottom style="thin">
        <color theme="0" tint="-0.499984740745262"/>
      </bottom>
      <diagonal/>
    </border>
    <border>
      <left style="thin">
        <color theme="0" tint="-0.24994659260841701"/>
      </left>
      <right style="thin">
        <color theme="0" tint="-0.249977111117893"/>
      </right>
      <top style="thin">
        <color theme="0" tint="-0.249977111117893"/>
      </top>
      <bottom style="thin">
        <color theme="0" tint="-0.499984740745262"/>
      </bottom>
      <diagonal/>
    </border>
    <border>
      <left style="thin">
        <color theme="0" tint="-0.499984740745262"/>
      </left>
      <right/>
      <top style="thin">
        <color theme="0" tint="-0.249977111117893"/>
      </top>
      <bottom style="thin">
        <color theme="0" tint="-0.249977111117893"/>
      </bottom>
      <diagonal/>
    </border>
    <border>
      <left style="thin">
        <color theme="0" tint="-0.24994659260841701"/>
      </left>
      <right style="thin">
        <color theme="0" tint="-0.249977111117893"/>
      </right>
      <top style="thin">
        <color theme="0" tint="-0.249977111117893"/>
      </top>
      <bottom style="thin">
        <color theme="0" tint="-0.249977111117893"/>
      </bottom>
      <diagonal/>
    </border>
    <border>
      <left style="thin">
        <color theme="0" tint="-0.24994659260841701"/>
      </left>
      <right style="thin">
        <color theme="0" tint="-0.24994659260841701"/>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0" tint="-0.499984740745262"/>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top/>
      <bottom style="thin">
        <color theme="0" tint="-0.249977111117893"/>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77111117893"/>
      </bottom>
      <diagonal/>
    </border>
    <border>
      <left style="thin">
        <color theme="0" tint="-0.24994659260841701"/>
      </left>
      <right style="thin">
        <color theme="0" tint="-0.499984740745262"/>
      </right>
      <top/>
      <bottom style="thin">
        <color theme="0" tint="-0.249977111117893"/>
      </bottom>
      <diagonal/>
    </border>
    <border>
      <left style="thin">
        <color theme="0" tint="-0.24994659260841701"/>
      </left>
      <right style="thin">
        <color theme="0" tint="-0.24994659260841701"/>
      </right>
      <top style="thin">
        <color theme="0" tint="-0.499984740745262"/>
      </top>
      <bottom/>
      <diagonal/>
    </border>
    <border>
      <left/>
      <right style="thin">
        <color theme="0" tint="-0.24994659260841701"/>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499984740745262"/>
      </right>
      <top/>
      <bottom style="thin">
        <color theme="0" tint="-0.249977111117893"/>
      </bottom>
      <diagonal/>
    </border>
    <border>
      <left style="thin">
        <color theme="0" tint="-0.249977111117893"/>
      </left>
      <right style="thin">
        <color theme="0" tint="-0.499984740745262"/>
      </right>
      <top style="thin">
        <color theme="0" tint="-0.249977111117893"/>
      </top>
      <bottom/>
      <diagonal/>
    </border>
    <border>
      <left style="thin">
        <color theme="0" tint="-0.24994659260841701"/>
      </left>
      <right style="thin">
        <color theme="0" tint="-0.499984740745262"/>
      </right>
      <top/>
      <bottom style="thin">
        <color theme="0" tint="-0.499984740745262"/>
      </bottom>
      <diagonal/>
    </border>
    <border>
      <left style="thin">
        <color theme="0" tint="-0.249977111117893"/>
      </left>
      <right style="thin">
        <color theme="0" tint="-0.499984740745262"/>
      </right>
      <top style="thin">
        <color theme="0" tint="-0.499984740745262"/>
      </top>
      <bottom/>
      <diagonal/>
    </border>
    <border>
      <left style="thin">
        <color theme="0" tint="-0.249977111117893"/>
      </left>
      <right style="thin">
        <color theme="0" tint="-0.499984740745262"/>
      </right>
      <top/>
      <bottom style="thin">
        <color theme="0" tint="-0.499984740745262"/>
      </bottom>
      <diagonal/>
    </border>
    <border>
      <left style="thin">
        <color indexed="64"/>
      </left>
      <right/>
      <top/>
      <bottom style="thin">
        <color theme="0" tint="-0.49998474074526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34998626667073579"/>
      </right>
      <top style="thin">
        <color theme="0" tint="-0.499984740745262"/>
      </top>
      <bottom/>
      <diagonal/>
    </border>
    <border>
      <left style="thin">
        <color theme="0" tint="-0.249977111117893"/>
      </left>
      <right style="thin">
        <color theme="0" tint="-0.499984740745262"/>
      </right>
      <top/>
      <bottom/>
      <diagonal/>
    </border>
    <border>
      <left style="thin">
        <color theme="0" tint="-0.499984740745262"/>
      </left>
      <right style="thin">
        <color theme="0" tint="-0.24994659260841701"/>
      </right>
      <top style="thin">
        <color theme="0" tint="-0.24994659260841701"/>
      </top>
      <bottom style="thin">
        <color theme="1" tint="0.499984740745262"/>
      </bottom>
      <diagonal/>
    </border>
    <border>
      <left style="thin">
        <color theme="0" tint="-0.249977111117893"/>
      </left>
      <right style="thin">
        <color theme="0" tint="-0.249977111117893"/>
      </right>
      <top style="thin">
        <color theme="1" tint="0.34998626667073579"/>
      </top>
      <bottom/>
      <diagonal/>
    </border>
    <border>
      <left style="thin">
        <color theme="0" tint="-0.249977111117893"/>
      </left>
      <right style="thin">
        <color theme="1" tint="0.34998626667073579"/>
      </right>
      <top style="thin">
        <color theme="1" tint="0.34998626667073579"/>
      </top>
      <bottom/>
      <diagonal/>
    </border>
    <border>
      <left style="thin">
        <color theme="0" tint="-0.34998626667073579"/>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34998626667073579"/>
      </right>
      <top/>
      <bottom style="thin">
        <color theme="0" tint="-0.499984740745262"/>
      </bottom>
      <diagonal/>
    </border>
    <border>
      <left style="thin">
        <color theme="0" tint="-0.34998626667073579"/>
      </left>
      <right style="thin">
        <color theme="0" tint="-0.249977111117893"/>
      </right>
      <top/>
      <bottom style="thin">
        <color theme="0" tint="-0.499984740745262"/>
      </bottom>
      <diagonal/>
    </border>
    <border>
      <left/>
      <right style="thin">
        <color theme="0" tint="-0.249977111117893"/>
      </right>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bottom/>
      <diagonal/>
    </border>
    <border>
      <left style="thin">
        <color theme="0" tint="-0.24994659260841701"/>
      </left>
      <right style="thin">
        <color theme="0" tint="-0.24994659260841701"/>
      </right>
      <top style="thin">
        <color theme="0" tint="-0.34998626667073579"/>
      </top>
      <bottom style="thin">
        <color theme="0" tint="-0.34998626667073579"/>
      </bottom>
      <diagonal/>
    </border>
    <border>
      <left style="thin">
        <color theme="0" tint="-0.24994659260841701"/>
      </left>
      <right style="thin">
        <color theme="0" tint="-0.499984740745262"/>
      </right>
      <top style="thin">
        <color theme="0" tint="-0.34998626667073579"/>
      </top>
      <bottom style="thin">
        <color theme="0" tint="-0.34998626667073579"/>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1" tint="0.34998626667073579"/>
      </right>
      <top/>
      <bottom style="thin">
        <color theme="0" tint="-0.249977111117893"/>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499984740745262"/>
      </left>
      <right style="thin">
        <color theme="0" tint="-0.249977111117893"/>
      </right>
      <top style="thin">
        <color theme="0" tint="-0.34998626667073579"/>
      </top>
      <bottom style="thin">
        <color theme="0" tint="-0.34998626667073579"/>
      </bottom>
      <diagonal/>
    </border>
    <border>
      <left style="thin">
        <color theme="0" tint="-0.249977111117893"/>
      </left>
      <right style="thin">
        <color theme="0" tint="-0.499984740745262"/>
      </right>
      <top style="thin">
        <color theme="0" tint="-0.34998626667073579"/>
      </top>
      <bottom style="thin">
        <color theme="0" tint="-0.34998626667073579"/>
      </bottom>
      <diagonal/>
    </border>
    <border>
      <left/>
      <right style="thin">
        <color theme="0" tint="-0.249977111117893"/>
      </right>
      <top style="thin">
        <color theme="0" tint="-0.499984740745262"/>
      </top>
      <bottom/>
      <diagonal/>
    </border>
    <border>
      <left style="thin">
        <color theme="0" tint="-0.499984740745262"/>
      </left>
      <right style="thin">
        <color theme="0" tint="-0.24994659260841701"/>
      </right>
      <top/>
      <bottom style="thin">
        <color theme="0" tint="-0.249977111117893"/>
      </bottom>
      <diagonal/>
    </border>
    <border>
      <left style="thin">
        <color theme="0" tint="-0.499984740745262"/>
      </left>
      <right style="thin">
        <color theme="0" tint="-0.24994659260841701"/>
      </right>
      <top style="thin">
        <color theme="0" tint="-0.34998626667073579"/>
      </top>
      <bottom style="thin">
        <color theme="0" tint="-0.34998626667073579"/>
      </bottom>
      <diagonal/>
    </border>
    <border>
      <left/>
      <right style="thin">
        <color theme="0" tint="-0.249977111117893"/>
      </right>
      <top style="thin">
        <color theme="0" tint="-0.34998626667073579"/>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style="thin">
        <color theme="0" tint="-0.249977111117893"/>
      </left>
      <right style="thin">
        <color theme="1"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499984740745262"/>
      </left>
      <right style="thin">
        <color theme="0" tint="-0.24994659260841701"/>
      </right>
      <top/>
      <bottom/>
      <diagonal/>
    </border>
    <border>
      <left/>
      <right style="thin">
        <color theme="0" tint="-0.34998626667073579"/>
      </right>
      <top/>
      <bottom style="thin">
        <color theme="0" tint="-0.249977111117893"/>
      </bottom>
      <diagonal/>
    </border>
    <border>
      <left style="thin">
        <color theme="0" tint="-0.34998626667073579"/>
      </left>
      <right/>
      <top/>
      <bottom style="thin">
        <color theme="0" tint="-0.249977111117893"/>
      </bottom>
      <diagonal/>
    </border>
    <border>
      <left/>
      <right/>
      <top/>
      <bottom style="thin">
        <color theme="0" tint="-0.249977111117893"/>
      </bottom>
      <diagonal/>
    </border>
    <border>
      <left style="thin">
        <color theme="0" tint="-0.499984740745262"/>
      </left>
      <right/>
      <top style="thin">
        <color theme="0" tint="-0.499984740745262"/>
      </top>
      <bottom style="thin">
        <color theme="0" tint="-0.249977111117893"/>
      </bottom>
      <diagonal/>
    </border>
    <border>
      <left/>
      <right style="thin">
        <color theme="0" tint="-0.499984740745262"/>
      </right>
      <top style="thin">
        <color theme="0" tint="-0.499984740745262"/>
      </top>
      <bottom style="thin">
        <color theme="0" tint="-0.249977111117893"/>
      </bottom>
      <diagonal/>
    </border>
    <border>
      <left style="thin">
        <color theme="0" tint="-0.249977111117893"/>
      </left>
      <right/>
      <top style="thin">
        <color theme="0" tint="-0.34998626667073579"/>
      </top>
      <bottom style="thin">
        <color theme="0" tint="-0.34998626667073579"/>
      </bottom>
      <diagonal/>
    </border>
    <border>
      <left style="thin">
        <color theme="0" tint="-0.24994659260841701"/>
      </left>
      <right/>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499984740745262"/>
      </bottom>
      <diagonal/>
    </border>
    <border>
      <left style="thin">
        <color theme="0" tint="-0.249977111117893"/>
      </left>
      <right style="thin">
        <color theme="0" tint="-0.2499465926084170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249977111117893"/>
      </bottom>
      <diagonal/>
    </border>
    <border>
      <left/>
      <right style="thin">
        <color theme="0" tint="-0.34998626667073579"/>
      </right>
      <top style="thin">
        <color theme="0" tint="-0.34998626667073579"/>
      </top>
      <bottom style="thin">
        <color theme="0" tint="-0.249977111117893"/>
      </bottom>
      <diagonal/>
    </border>
    <border>
      <left style="thin">
        <color theme="0" tint="-0.34998626667073579"/>
      </left>
      <right/>
      <top style="thin">
        <color theme="0" tint="-0.249977111117893"/>
      </top>
      <bottom style="thin">
        <color theme="0" tint="-0.499984740745262"/>
      </bottom>
      <diagonal/>
    </border>
    <border>
      <left style="thin">
        <color theme="0" tint="-0.499984740745262"/>
      </left>
      <right style="thin">
        <color theme="0" tint="-0.499984740745262"/>
      </right>
      <top style="thin">
        <color theme="0" tint="-0.34998626667073579"/>
      </top>
      <bottom style="thin">
        <color theme="0" tint="-0.34998626667073579"/>
      </bottom>
      <diagonal/>
    </border>
    <border>
      <left/>
      <right/>
      <top style="thin">
        <color theme="0" tint="-0.34998626667073579"/>
      </top>
      <bottom style="thin">
        <color theme="0" tint="-0.499984740745262"/>
      </bottom>
      <diagonal/>
    </border>
    <border>
      <left/>
      <right style="thin">
        <color theme="0" tint="-0.34998626667073579"/>
      </right>
      <top style="thin">
        <color theme="0" tint="-0.499984740745262"/>
      </top>
      <bottom/>
      <diagonal/>
    </border>
    <border>
      <left style="thin">
        <color theme="0" tint="-0.499984740745262"/>
      </left>
      <right/>
      <top style="thin">
        <color theme="0" tint="-0.34998626667073579"/>
      </top>
      <bottom style="thin">
        <color theme="0" tint="-0.249977111117893"/>
      </bottom>
      <diagonal/>
    </border>
    <border>
      <left style="thin">
        <color theme="0" tint="-0.249977111117893"/>
      </left>
      <right style="thin">
        <color theme="0" tint="-0.499984740745262"/>
      </right>
      <top style="thin">
        <color theme="0" tint="-0.34998626667073579"/>
      </top>
      <bottom style="thin">
        <color theme="0" tint="-0.249977111117893"/>
      </bottom>
      <diagonal/>
    </border>
    <border>
      <left style="thin">
        <color theme="0" tint="-0.249977111117893"/>
      </left>
      <right style="thin">
        <color theme="0" tint="-0.249977111117893"/>
      </right>
      <top style="thin">
        <color theme="0" tint="-0.34998626667073579"/>
      </top>
      <bottom style="thin">
        <color theme="0" tint="-0.499984740745262"/>
      </bottom>
      <diagonal/>
    </border>
    <border>
      <left style="thin">
        <color theme="0" tint="-0.249977111117893"/>
      </left>
      <right style="thin">
        <color theme="1" tint="0.34998626667073579"/>
      </right>
      <top style="thin">
        <color theme="0" tint="-0.34998626667073579"/>
      </top>
      <bottom style="thin">
        <color theme="0" tint="-0.499984740745262"/>
      </bottom>
      <diagonal/>
    </border>
    <border>
      <left style="thin">
        <color theme="1" tint="0.34998626667073579"/>
      </left>
      <right style="thin">
        <color theme="0" tint="-0.249977111117893"/>
      </right>
      <top/>
      <bottom/>
      <diagonal/>
    </border>
    <border>
      <left style="thin">
        <color theme="0" tint="-0.249977111117893"/>
      </left>
      <right style="thin">
        <color theme="1" tint="0.34998626667073579"/>
      </right>
      <top/>
      <bottom style="thin">
        <color theme="0" tint="-0.34998626667073579"/>
      </bottom>
      <diagonal/>
    </border>
    <border>
      <left style="thin">
        <color theme="0" tint="-0.249977111117893"/>
      </left>
      <right style="thin">
        <color theme="1" tint="0.34998626667073579"/>
      </right>
      <top/>
      <bottom/>
      <diagonal/>
    </border>
    <border>
      <left style="thin">
        <color theme="0" tint="-0.24994659260841701"/>
      </left>
      <right style="thin">
        <color theme="0" tint="-0.249977111117893"/>
      </right>
      <top/>
      <bottom style="thin">
        <color theme="0" tint="-0.249977111117893"/>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style="thin">
        <color theme="0" tint="-0.499984740745262"/>
      </left>
      <right style="thin">
        <color theme="0" tint="-0.249977111117893"/>
      </right>
      <top/>
      <bottom/>
      <diagonal/>
    </border>
    <border>
      <left style="thin">
        <color theme="0" tint="-0.499984740745262"/>
      </left>
      <right style="thin">
        <color theme="0" tint="-0.249977111117893"/>
      </right>
      <top style="thin">
        <color theme="0" tint="-0.34998626667073579"/>
      </top>
      <bottom style="thin">
        <color theme="0" tint="-0.499984740745262"/>
      </bottom>
      <diagonal/>
    </border>
    <border>
      <left style="thin">
        <color theme="0" tint="-0.249977111117893"/>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1" tint="0.34998626667073579"/>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1" tint="0.34998626667073579"/>
      </bottom>
      <diagonal/>
    </border>
    <border>
      <left style="thin">
        <color theme="1" tint="0.34998626667073579"/>
      </left>
      <right style="thin">
        <color theme="0" tint="-0.249977111117893"/>
      </right>
      <top/>
      <bottom style="thin">
        <color theme="0" tint="-0.499984740745262"/>
      </bottom>
      <diagonal/>
    </border>
    <border>
      <left style="thin">
        <color theme="0" tint="-0.249977111117893"/>
      </left>
      <right style="thin">
        <color theme="1" tint="0.34998626667073579"/>
      </right>
      <top/>
      <bottom style="thin">
        <color theme="0" tint="-0.499984740745262"/>
      </bottom>
      <diagonal/>
    </border>
    <border>
      <left style="thin">
        <color theme="1" tint="0.34998626667073579"/>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1" tint="0.34998626667073579"/>
      </right>
      <top style="thin">
        <color theme="0" tint="-0.24994659260841701"/>
      </top>
      <bottom style="thin">
        <color theme="0" tint="-0.24994659260841701"/>
      </bottom>
      <diagonal/>
    </border>
    <border>
      <left style="thin">
        <color theme="0" tint="-0.499984740745262"/>
      </left>
      <right style="thin">
        <color theme="0" tint="-0.249977111117893"/>
      </right>
      <top/>
      <bottom style="thin">
        <color theme="0" tint="-0.499984740745262"/>
      </bottom>
      <diagonal/>
    </border>
    <border>
      <left style="thin">
        <color theme="0" tint="-0.34998626667073579"/>
      </left>
      <right style="thin">
        <color theme="0" tint="-0.34998626667073579"/>
      </right>
      <top/>
      <bottom style="thin">
        <color theme="0" tint="-0.499984740745262"/>
      </bottom>
      <diagonal/>
    </border>
    <border>
      <left style="thin">
        <color theme="0" tint="-0.249977111117893"/>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249977111117893"/>
      </right>
      <top style="thin">
        <color theme="0" tint="-0.24994659260841701"/>
      </top>
      <bottom style="thin">
        <color theme="0" tint="-0.24994659260841701"/>
      </bottom>
      <diagonal/>
    </border>
    <border>
      <left style="thin">
        <color theme="0" tint="-0.499984740745262"/>
      </left>
      <right/>
      <top style="thin">
        <color theme="0" tint="-0.249977111117893"/>
      </top>
      <bottom/>
      <diagonal/>
    </border>
    <border>
      <left style="thin">
        <color theme="0" tint="-0.499984740745262"/>
      </left>
      <right/>
      <top style="thin">
        <color theme="0" tint="-0.34998626667073579"/>
      </top>
      <bottom/>
      <diagonal/>
    </border>
    <border>
      <left style="thin">
        <color theme="0" tint="-0.499984740745262"/>
      </left>
      <right/>
      <top/>
      <bottom style="thin">
        <color theme="0" tint="-0.34998626667073579"/>
      </bottom>
      <diagonal/>
    </border>
    <border>
      <left style="thin">
        <color theme="0" tint="-0.24994659260841701"/>
      </left>
      <right style="thin">
        <color theme="0" tint="-0.24994659260841701"/>
      </right>
      <top style="thin">
        <color theme="0" tint="-0.34998626667073579"/>
      </top>
      <bottom style="thin">
        <color theme="0" tint="-0.499984740745262"/>
      </bottom>
      <diagonal/>
    </border>
    <border>
      <left style="thin">
        <color theme="0" tint="-0.499984740745262"/>
      </left>
      <right style="thin">
        <color theme="0" tint="-0.24994659260841701"/>
      </right>
      <top style="thin">
        <color theme="0" tint="-0.34998626667073579"/>
      </top>
      <bottom style="thin">
        <color theme="0" tint="-0.499984740745262"/>
      </bottom>
      <diagonal/>
    </border>
    <border>
      <left style="thin">
        <color theme="0" tint="-0.249977111117893"/>
      </left>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diagonal/>
    </border>
    <border>
      <left style="thin">
        <color theme="0" tint="-0.24994659260841701"/>
      </left>
      <right style="thin">
        <color theme="0" tint="-0.499984740745262"/>
      </right>
      <top style="thin">
        <color theme="0" tint="-0.34998626667073579"/>
      </top>
      <bottom style="thin">
        <color theme="0" tint="-0.499984740745262"/>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499984740745262"/>
      </bottom>
      <diagonal/>
    </border>
    <border>
      <left/>
      <right style="thin">
        <color theme="0" tint="-0.24994659260841701"/>
      </right>
      <top style="thin">
        <color theme="0" tint="-0.34998626667073579"/>
      </top>
      <bottom style="thin">
        <color theme="0" tint="-0.249977111117893"/>
      </bottom>
      <diagonal/>
    </border>
    <border>
      <left/>
      <right style="thin">
        <color theme="0" tint="-0.24994659260841701"/>
      </right>
      <top style="thin">
        <color theme="0" tint="-0.249977111117893"/>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style="thin">
        <color theme="0" tint="-0.499984740745262"/>
      </top>
      <bottom style="thin">
        <color theme="0" tint="-0.34998626667073579"/>
      </bottom>
      <diagonal/>
    </border>
    <border>
      <left/>
      <right style="thin">
        <color theme="1" tint="0.499984740745262"/>
      </right>
      <top style="thin">
        <color theme="0" tint="-0.499984740745262"/>
      </top>
      <bottom style="thin">
        <color theme="0" tint="-0.34998626667073579"/>
      </bottom>
      <diagonal/>
    </border>
    <border>
      <left/>
      <right style="thin">
        <color theme="1" tint="0.499984740745262"/>
      </right>
      <top style="thin">
        <color theme="0" tint="-0.34998626667073579"/>
      </top>
      <bottom style="thin">
        <color theme="0" tint="-0.34998626667073579"/>
      </bottom>
      <diagonal/>
    </border>
    <border>
      <left/>
      <right style="thin">
        <color theme="1" tint="0.499984740745262"/>
      </right>
      <top style="thin">
        <color theme="0" tint="-0.34998626667073579"/>
      </top>
      <bottom style="thin">
        <color theme="0" tint="-0.499984740745262"/>
      </bottom>
      <diagonal/>
    </border>
    <border>
      <left/>
      <right style="thin">
        <color theme="1" tint="0.499984740745262"/>
      </right>
      <top/>
      <bottom style="thin">
        <color theme="0" tint="-0.499984740745262"/>
      </bottom>
      <diagonal/>
    </border>
    <border>
      <left style="thin">
        <color theme="0" tint="-0.24994659260841701"/>
      </left>
      <right style="thin">
        <color theme="0" tint="-0.249977111117893"/>
      </right>
      <top style="thin">
        <color theme="0" tint="-0.34998626667073579"/>
      </top>
      <bottom style="thin">
        <color theme="0" tint="-0.249977111117893"/>
      </bottom>
      <diagonal/>
    </border>
    <border>
      <left style="thin">
        <color theme="0" tint="-0.499984740745262"/>
      </left>
      <right style="thin">
        <color theme="0" tint="-0.249977111117893"/>
      </right>
      <top style="thin">
        <color theme="0" tint="-0.34998626667073579"/>
      </top>
      <bottom style="thin">
        <color theme="0" tint="-0.249977111117893"/>
      </bottom>
      <diagonal/>
    </border>
    <border>
      <left style="thin">
        <color theme="0" tint="-0.249977111117893"/>
      </left>
      <right style="thin">
        <color theme="0" tint="-0.499984740745262"/>
      </right>
      <top style="thin">
        <color theme="0" tint="-0.34998626667073579"/>
      </top>
      <bottom/>
      <diagonal/>
    </border>
    <border>
      <left style="thin">
        <color theme="0" tint="-0.249977111117893"/>
      </left>
      <right style="thin">
        <color theme="0" tint="-0.24994659260841701"/>
      </right>
      <top style="thin">
        <color theme="0" tint="-0.34998626667073579"/>
      </top>
      <bottom/>
      <diagonal/>
    </border>
    <border>
      <left style="thin">
        <color theme="0" tint="-0.249977111117893"/>
      </left>
      <right style="thin">
        <color theme="0" tint="-0.24994659260841701"/>
      </right>
      <top/>
      <bottom style="thin">
        <color theme="0" tint="-0.499984740745262"/>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style="thin">
        <color theme="1" tint="0.34998626667073579"/>
      </bottom>
      <diagonal/>
    </border>
  </borders>
  <cellStyleXfs count="92">
    <xf numFmtId="0" fontId="0" fillId="0" borderId="0"/>
    <xf numFmtId="44" fontId="3" fillId="0" borderId="0" applyFont="0" applyFill="0" applyBorder="0" applyAlignment="0" applyProtection="0"/>
    <xf numFmtId="0" fontId="3" fillId="0" borderId="0"/>
    <xf numFmtId="0" fontId="3" fillId="0" borderId="0"/>
    <xf numFmtId="0" fontId="3" fillId="0" borderId="0"/>
    <xf numFmtId="9" fontId="3" fillId="0" borderId="0" applyFon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16" fillId="0" borderId="0"/>
    <xf numFmtId="0" fontId="16" fillId="0" borderId="0"/>
  </cellStyleXfs>
  <cellXfs count="608">
    <xf numFmtId="0" fontId="0" fillId="0" borderId="0" xfId="0"/>
    <xf numFmtId="0" fontId="10" fillId="5" borderId="0" xfId="0" applyFont="1" applyFill="1" applyBorder="1" applyAlignment="1" applyProtection="1">
      <alignment vertical="center"/>
    </xf>
    <xf numFmtId="0" fontId="3" fillId="5" borderId="0" xfId="0" applyFont="1" applyFill="1" applyBorder="1" applyAlignment="1" applyProtection="1">
      <alignment vertical="center"/>
    </xf>
    <xf numFmtId="0" fontId="3" fillId="4" borderId="0" xfId="0" applyFont="1" applyFill="1" applyBorder="1" applyAlignment="1" applyProtection="1">
      <alignment vertical="center"/>
    </xf>
    <xf numFmtId="0" fontId="3" fillId="5" borderId="7" xfId="0" applyFont="1" applyFill="1" applyBorder="1" applyAlignment="1" applyProtection="1">
      <alignment horizontal="left" vertical="center" wrapText="1"/>
    </xf>
    <xf numFmtId="0" fontId="3" fillId="5" borderId="9" xfId="0" applyFont="1" applyFill="1" applyBorder="1" applyAlignment="1" applyProtection="1">
      <alignment vertical="center"/>
    </xf>
    <xf numFmtId="0" fontId="3" fillId="5" borderId="3" xfId="0" applyFont="1" applyFill="1" applyBorder="1" applyAlignment="1" applyProtection="1">
      <alignment vertical="center"/>
    </xf>
    <xf numFmtId="0" fontId="3" fillId="5" borderId="4" xfId="0" applyFont="1" applyFill="1" applyBorder="1" applyAlignment="1" applyProtection="1">
      <alignment vertical="center"/>
    </xf>
    <xf numFmtId="0" fontId="3" fillId="5" borderId="5" xfId="0" applyFont="1" applyFill="1" applyBorder="1" applyAlignment="1" applyProtection="1">
      <alignment vertical="center"/>
    </xf>
    <xf numFmtId="0" fontId="3" fillId="4" borderId="0" xfId="0" applyFont="1" applyFill="1" applyAlignment="1" applyProtection="1">
      <alignment vertical="center"/>
    </xf>
    <xf numFmtId="0" fontId="3" fillId="5" borderId="6" xfId="0" applyFont="1" applyFill="1" applyBorder="1" applyAlignment="1" applyProtection="1">
      <alignment vertical="center"/>
    </xf>
    <xf numFmtId="0" fontId="15" fillId="5" borderId="0" xfId="0" applyFont="1" applyFill="1" applyBorder="1" applyAlignment="1" applyProtection="1">
      <alignment horizontal="left" vertical="center"/>
    </xf>
    <xf numFmtId="0" fontId="10" fillId="5" borderId="7" xfId="0" applyFont="1" applyFill="1" applyBorder="1" applyAlignment="1" applyProtection="1">
      <alignment vertical="center"/>
    </xf>
    <xf numFmtId="0" fontId="10" fillId="4" borderId="0" xfId="0" applyFont="1" applyFill="1" applyAlignment="1" applyProtection="1">
      <alignment vertical="center"/>
    </xf>
    <xf numFmtId="49" fontId="5" fillId="5" borderId="0" xfId="0" applyNumberFormat="1" applyFont="1" applyFill="1" applyBorder="1" applyAlignment="1" applyProtection="1">
      <alignment vertical="center"/>
    </xf>
    <xf numFmtId="0" fontId="3" fillId="5" borderId="0" xfId="0" applyFont="1" applyFill="1" applyAlignment="1" applyProtection="1">
      <alignment vertical="center"/>
    </xf>
    <xf numFmtId="49" fontId="13" fillId="5" borderId="0" xfId="0" applyNumberFormat="1" applyFont="1" applyFill="1" applyBorder="1" applyAlignment="1" applyProtection="1">
      <alignment vertical="center"/>
    </xf>
    <xf numFmtId="0" fontId="3" fillId="5" borderId="7" xfId="0" applyFont="1" applyFill="1" applyBorder="1" applyAlignment="1" applyProtection="1">
      <alignment vertical="center"/>
    </xf>
    <xf numFmtId="0" fontId="20" fillId="4" borderId="0" xfId="0" applyFont="1" applyFill="1" applyAlignment="1" applyProtection="1">
      <alignment vertical="center" wrapText="1"/>
    </xf>
    <xf numFmtId="49" fontId="13" fillId="5" borderId="0" xfId="0" applyNumberFormat="1" applyFont="1" applyFill="1" applyBorder="1" applyAlignment="1" applyProtection="1">
      <alignment vertical="center" wrapText="1"/>
    </xf>
    <xf numFmtId="49" fontId="3" fillId="5" borderId="0" xfId="0" applyNumberFormat="1" applyFont="1" applyFill="1" applyBorder="1" applyAlignment="1" applyProtection="1">
      <alignment vertical="center"/>
    </xf>
    <xf numFmtId="0" fontId="10" fillId="5" borderId="4" xfId="0" applyFont="1" applyFill="1" applyBorder="1" applyAlignment="1" applyProtection="1"/>
    <xf numFmtId="0" fontId="10" fillId="5" borderId="0" xfId="0" applyFont="1" applyFill="1" applyBorder="1" applyAlignment="1" applyProtection="1"/>
    <xf numFmtId="49" fontId="5" fillId="4" borderId="0" xfId="0" applyNumberFormat="1" applyFont="1" applyFill="1" applyBorder="1" applyAlignment="1" applyProtection="1">
      <alignment vertical="top" wrapText="1"/>
    </xf>
    <xf numFmtId="0" fontId="8" fillId="5" borderId="0" xfId="0" applyFont="1" applyFill="1" applyBorder="1" applyAlignment="1" applyProtection="1"/>
    <xf numFmtId="0" fontId="8" fillId="5" borderId="0" xfId="0" applyFont="1" applyFill="1" applyBorder="1" applyAlignment="1" applyProtection="1">
      <alignment vertical="top"/>
    </xf>
    <xf numFmtId="49" fontId="3" fillId="5" borderId="0" xfId="0" applyNumberFormat="1" applyFont="1" applyFill="1" applyBorder="1" applyAlignment="1" applyProtection="1">
      <alignment vertical="top"/>
    </xf>
    <xf numFmtId="44" fontId="3" fillId="5" borderId="0" xfId="0" applyNumberFormat="1" applyFont="1" applyFill="1" applyBorder="1" applyAlignment="1" applyProtection="1">
      <alignment vertical="center" wrapText="1"/>
    </xf>
    <xf numFmtId="49" fontId="23" fillId="5" borderId="0" xfId="0" applyNumberFormat="1" applyFont="1" applyFill="1" applyBorder="1" applyAlignment="1" applyProtection="1">
      <alignment vertical="top"/>
    </xf>
    <xf numFmtId="49" fontId="23" fillId="5" borderId="0" xfId="0" applyNumberFormat="1" applyFont="1" applyFill="1" applyBorder="1" applyAlignment="1" applyProtection="1">
      <alignment vertical="top" wrapText="1"/>
    </xf>
    <xf numFmtId="0" fontId="8" fillId="5" borderId="12" xfId="0" applyFont="1" applyFill="1" applyBorder="1" applyAlignment="1" applyProtection="1"/>
    <xf numFmtId="49" fontId="3" fillId="5" borderId="12" xfId="0" applyNumberFormat="1" applyFont="1" applyFill="1" applyBorder="1" applyAlignment="1" applyProtection="1">
      <alignment vertical="center"/>
    </xf>
    <xf numFmtId="0" fontId="3" fillId="5" borderId="12" xfId="0" applyFont="1" applyFill="1" applyBorder="1" applyAlignment="1" applyProtection="1">
      <alignment vertical="center"/>
    </xf>
    <xf numFmtId="0" fontId="5" fillId="4" borderId="0" xfId="0" applyNumberFormat="1" applyFont="1" applyFill="1" applyAlignment="1" applyProtection="1">
      <alignment horizontal="left" vertical="top" wrapText="1"/>
    </xf>
    <xf numFmtId="0" fontId="21" fillId="4" borderId="0" xfId="0" applyNumberFormat="1" applyFont="1" applyFill="1" applyAlignment="1" applyProtection="1">
      <alignment vertical="center" wrapText="1"/>
    </xf>
    <xf numFmtId="0" fontId="3" fillId="4" borderId="0" xfId="0" applyFont="1" applyFill="1" applyBorder="1" applyAlignment="1" applyProtection="1"/>
    <xf numFmtId="49" fontId="3" fillId="4" borderId="0" xfId="0" applyNumberFormat="1" applyFont="1" applyFill="1" applyBorder="1" applyAlignment="1" applyProtection="1"/>
    <xf numFmtId="49" fontId="23" fillId="5" borderId="0" xfId="0" applyNumberFormat="1" applyFont="1" applyFill="1" applyBorder="1" applyAlignment="1" applyProtection="1">
      <alignment horizontal="left" vertical="top"/>
    </xf>
    <xf numFmtId="0" fontId="3" fillId="5" borderId="8" xfId="0" applyFont="1" applyFill="1" applyBorder="1" applyAlignment="1" applyProtection="1">
      <alignment vertical="center"/>
    </xf>
    <xf numFmtId="0" fontId="3" fillId="5" borderId="10" xfId="0" applyFont="1" applyFill="1" applyBorder="1" applyAlignment="1" applyProtection="1">
      <alignment vertical="center"/>
    </xf>
    <xf numFmtId="49" fontId="3" fillId="4" borderId="0" xfId="0" applyNumberFormat="1" applyFont="1" applyFill="1" applyBorder="1" applyAlignment="1" applyProtection="1">
      <alignment vertical="center"/>
    </xf>
    <xf numFmtId="9" fontId="3" fillId="4" borderId="0" xfId="5" applyFont="1" applyFill="1" applyBorder="1" applyAlignment="1" applyProtection="1">
      <alignment vertical="center"/>
    </xf>
    <xf numFmtId="0" fontId="5" fillId="4" borderId="0" xfId="0" applyNumberFormat="1" applyFont="1" applyFill="1" applyAlignment="1" applyProtection="1">
      <alignment vertical="top" wrapText="1"/>
    </xf>
    <xf numFmtId="0" fontId="5" fillId="4" borderId="0" xfId="0" applyNumberFormat="1" applyFont="1" applyFill="1" applyAlignment="1" applyProtection="1">
      <alignment horizontal="left" vertical="center" wrapText="1"/>
    </xf>
    <xf numFmtId="0" fontId="3" fillId="4" borderId="13" xfId="0" applyFont="1" applyFill="1" applyBorder="1" applyAlignment="1" applyProtection="1">
      <alignment vertical="center"/>
    </xf>
    <xf numFmtId="49" fontId="23" fillId="4" borderId="13" xfId="0" applyNumberFormat="1" applyFont="1" applyFill="1" applyBorder="1" applyAlignment="1" applyProtection="1">
      <alignment vertical="top"/>
    </xf>
    <xf numFmtId="49" fontId="23" fillId="4" borderId="13" xfId="0" applyNumberFormat="1" applyFont="1" applyFill="1" applyBorder="1" applyAlignment="1" applyProtection="1">
      <alignment vertical="top" wrapText="1"/>
    </xf>
    <xf numFmtId="0" fontId="3" fillId="3" borderId="17" xfId="0" applyFont="1" applyFill="1" applyBorder="1" applyAlignment="1" applyProtection="1">
      <alignment horizontal="center" vertical="center"/>
      <protection hidden="1"/>
    </xf>
    <xf numFmtId="0" fontId="18" fillId="2" borderId="0" xfId="0" applyFont="1" applyFill="1" applyProtection="1">
      <protection hidden="1"/>
    </xf>
    <xf numFmtId="0" fontId="18" fillId="2" borderId="0" xfId="0" applyFont="1" applyFill="1" applyAlignment="1" applyProtection="1">
      <alignment horizontal="left" vertical="center"/>
      <protection hidden="1"/>
    </xf>
    <xf numFmtId="0" fontId="18" fillId="0" borderId="0" xfId="0" applyFont="1" applyProtection="1">
      <protection hidden="1"/>
    </xf>
    <xf numFmtId="0" fontId="3" fillId="0" borderId="0" xfId="0" applyFont="1" applyFill="1" applyBorder="1" applyAlignment="1" applyProtection="1">
      <alignment vertical="center"/>
      <protection hidden="1"/>
    </xf>
    <xf numFmtId="49" fontId="10" fillId="0" borderId="0" xfId="0" applyNumberFormat="1" applyFont="1" applyBorder="1" applyAlignment="1" applyProtection="1">
      <alignment horizontal="left" vertical="center"/>
      <protection hidden="1"/>
    </xf>
    <xf numFmtId="49" fontId="3" fillId="0" borderId="0" xfId="0" applyNumberFormat="1" applyFont="1" applyBorder="1" applyAlignment="1" applyProtection="1">
      <alignment vertical="center" wrapText="1"/>
      <protection hidden="1"/>
    </xf>
    <xf numFmtId="44" fontId="3" fillId="0" borderId="0" xfId="1" applyFont="1" applyBorder="1" applyAlignment="1" applyProtection="1">
      <alignment vertical="center" wrapText="1"/>
      <protection hidden="1"/>
    </xf>
    <xf numFmtId="0" fontId="12" fillId="0" borderId="0" xfId="0" applyFont="1" applyFill="1" applyBorder="1" applyAlignment="1" applyProtection="1">
      <alignment vertical="center"/>
      <protection hidden="1"/>
    </xf>
    <xf numFmtId="0" fontId="0" fillId="0" borderId="0" xfId="0" applyProtection="1">
      <protection hidden="1"/>
    </xf>
    <xf numFmtId="0" fontId="13" fillId="0" borderId="0" xfId="0" applyFont="1" applyAlignment="1" applyProtection="1">
      <alignment horizontal="right" vertical="center"/>
      <protection hidden="1"/>
    </xf>
    <xf numFmtId="0" fontId="3" fillId="0" borderId="0" xfId="0" applyFont="1" applyAlignment="1" applyProtection="1">
      <alignment vertical="center"/>
      <protection hidden="1"/>
    </xf>
    <xf numFmtId="0" fontId="13" fillId="0" borderId="0" xfId="0" applyFont="1" applyAlignment="1" applyProtection="1">
      <alignment vertical="center"/>
      <protection hidden="1"/>
    </xf>
    <xf numFmtId="44" fontId="13" fillId="0" borderId="0" xfId="1" applyFont="1" applyAlignment="1" applyProtection="1">
      <alignment vertical="center"/>
      <protection hidden="1"/>
    </xf>
    <xf numFmtId="0" fontId="3" fillId="0" borderId="0" xfId="0" applyFont="1" applyAlignment="1" applyProtection="1">
      <alignment horizontal="right" vertical="center"/>
      <protection hidden="1"/>
    </xf>
    <xf numFmtId="44" fontId="3" fillId="0" borderId="0" xfId="1" applyFont="1" applyAlignment="1" applyProtection="1">
      <alignment vertical="center"/>
      <protection hidden="1"/>
    </xf>
    <xf numFmtId="0" fontId="3" fillId="0" borderId="0" xfId="0" applyFont="1" applyAlignment="1" applyProtection="1">
      <alignment horizontal="left" vertical="center"/>
      <protection hidden="1"/>
    </xf>
    <xf numFmtId="9" fontId="3" fillId="0" borderId="0" xfId="0" applyNumberFormat="1" applyFont="1" applyFill="1" applyBorder="1" applyAlignment="1" applyProtection="1">
      <alignment vertical="center"/>
      <protection hidden="1"/>
    </xf>
    <xf numFmtId="49" fontId="0" fillId="5" borderId="0" xfId="0" applyNumberFormat="1" applyFont="1" applyFill="1" applyBorder="1" applyAlignment="1" applyProtection="1">
      <alignment vertical="center"/>
    </xf>
    <xf numFmtId="44" fontId="10" fillId="0" borderId="0" xfId="1" applyFont="1" applyFill="1" applyBorder="1" applyAlignment="1" applyProtection="1">
      <alignment horizontal="left" vertical="center" wrapText="1"/>
      <protection hidden="1"/>
    </xf>
    <xf numFmtId="0" fontId="10" fillId="6" borderId="15" xfId="0" applyFont="1" applyFill="1" applyBorder="1" applyAlignment="1" applyProtection="1">
      <alignment horizontal="left" vertical="center" wrapText="1" indent="1"/>
      <protection hidden="1"/>
    </xf>
    <xf numFmtId="0" fontId="5" fillId="0" borderId="0" xfId="0" applyFont="1" applyFill="1" applyBorder="1" applyAlignment="1" applyProtection="1">
      <alignment vertical="center"/>
      <protection hidden="1"/>
    </xf>
    <xf numFmtId="49" fontId="3" fillId="6" borderId="17" xfId="1" applyNumberFormat="1" applyFont="1" applyFill="1" applyBorder="1" applyAlignment="1" applyProtection="1">
      <alignment horizontal="center" vertical="center" wrapText="1"/>
      <protection hidden="1"/>
    </xf>
    <xf numFmtId="44" fontId="3" fillId="6" borderId="17" xfId="1" applyFont="1" applyFill="1" applyBorder="1" applyAlignment="1" applyProtection="1">
      <alignment horizontal="center" vertical="center" wrapText="1"/>
      <protection hidden="1"/>
    </xf>
    <xf numFmtId="0" fontId="4" fillId="0" borderId="0" xfId="0" applyFont="1" applyFill="1" applyBorder="1" applyAlignment="1" applyProtection="1">
      <alignment vertical="center"/>
      <protection hidden="1"/>
    </xf>
    <xf numFmtId="44" fontId="3" fillId="6" borderId="17" xfId="0" applyNumberFormat="1" applyFont="1" applyFill="1" applyBorder="1" applyAlignment="1" applyProtection="1">
      <alignment horizontal="left" vertical="center" wrapText="1"/>
      <protection hidden="1"/>
    </xf>
    <xf numFmtId="0" fontId="17" fillId="0" borderId="0" xfId="0" applyFont="1" applyProtection="1">
      <protection hidden="1"/>
    </xf>
    <xf numFmtId="0" fontId="5" fillId="0" borderId="0" xfId="0" applyFont="1" applyAlignment="1" applyProtection="1">
      <alignment horizontal="right" vertical="center"/>
      <protection hidden="1"/>
    </xf>
    <xf numFmtId="44" fontId="5" fillId="0" borderId="0" xfId="1" applyFont="1" applyAlignment="1" applyProtection="1">
      <alignment vertical="center"/>
      <protection hidden="1"/>
    </xf>
    <xf numFmtId="0" fontId="5" fillId="0" borderId="0" xfId="0" applyFont="1" applyAlignment="1" applyProtection="1">
      <alignment vertical="center"/>
      <protection hidden="1"/>
    </xf>
    <xf numFmtId="9" fontId="5" fillId="0" borderId="0" xfId="0" applyNumberFormat="1" applyFont="1" applyFill="1" applyBorder="1" applyAlignment="1" applyProtection="1">
      <alignment vertical="center"/>
      <protection hidden="1"/>
    </xf>
    <xf numFmtId="0" fontId="0" fillId="0" borderId="0" xfId="0" applyFont="1" applyAlignment="1" applyProtection="1">
      <alignment vertical="center"/>
      <protection hidden="1"/>
    </xf>
    <xf numFmtId="0" fontId="3" fillId="0" borderId="0" xfId="0" applyNumberFormat="1" applyFont="1" applyBorder="1" applyAlignment="1" applyProtection="1">
      <alignment horizontal="left" vertical="top" wrapText="1"/>
      <protection hidden="1"/>
    </xf>
    <xf numFmtId="0" fontId="19" fillId="0" borderId="0" xfId="0" applyFont="1" applyFill="1" applyBorder="1" applyAlignment="1" applyProtection="1">
      <alignment vertical="center"/>
      <protection hidden="1"/>
    </xf>
    <xf numFmtId="0" fontId="3" fillId="0" borderId="0" xfId="0" applyNumberFormat="1" applyFont="1" applyBorder="1" applyAlignment="1" applyProtection="1">
      <alignment vertical="top" wrapText="1"/>
      <protection hidden="1"/>
    </xf>
    <xf numFmtId="49" fontId="3" fillId="3" borderId="17" xfId="1" applyNumberFormat="1" applyFont="1" applyFill="1" applyBorder="1" applyAlignment="1" applyProtection="1">
      <alignment horizontal="center" vertical="center" wrapText="1"/>
      <protection hidden="1"/>
    </xf>
    <xf numFmtId="49" fontId="3" fillId="6" borderId="26" xfId="0" applyNumberFormat="1" applyFont="1" applyFill="1" applyBorder="1" applyAlignment="1" applyProtection="1">
      <alignment horizontal="center" vertical="center" wrapText="1"/>
      <protection hidden="1"/>
    </xf>
    <xf numFmtId="44" fontId="3" fillId="3" borderId="17" xfId="0" applyNumberFormat="1" applyFont="1" applyFill="1" applyBorder="1" applyAlignment="1" applyProtection="1">
      <alignment horizontal="left" vertical="center" wrapText="1"/>
      <protection hidden="1"/>
    </xf>
    <xf numFmtId="0" fontId="5" fillId="0" borderId="0" xfId="0" applyNumberFormat="1" applyFont="1" applyFill="1" applyBorder="1" applyAlignment="1" applyProtection="1">
      <alignment vertical="center"/>
      <protection hidden="1"/>
    </xf>
    <xf numFmtId="0" fontId="5" fillId="0" borderId="0" xfId="0" applyNumberFormat="1" applyFont="1" applyFill="1" applyAlignment="1" applyProtection="1">
      <alignment vertical="center"/>
      <protection hidden="1"/>
    </xf>
    <xf numFmtId="49" fontId="10" fillId="3" borderId="15" xfId="0" applyNumberFormat="1" applyFont="1" applyFill="1" applyBorder="1" applyAlignment="1" applyProtection="1">
      <alignment horizontal="center" vertical="center" wrapText="1"/>
      <protection hidden="1"/>
    </xf>
    <xf numFmtId="49" fontId="3" fillId="3" borderId="22" xfId="5" applyNumberFormat="1" applyFont="1" applyFill="1" applyBorder="1" applyAlignment="1" applyProtection="1">
      <alignment horizontal="center" vertical="center" wrapText="1"/>
      <protection hidden="1"/>
    </xf>
    <xf numFmtId="49" fontId="3" fillId="6" borderId="26" xfId="1" applyNumberFormat="1" applyFont="1" applyFill="1" applyBorder="1" applyAlignment="1" applyProtection="1">
      <alignment horizontal="center" vertical="center" wrapText="1"/>
      <protection hidden="1"/>
    </xf>
    <xf numFmtId="49" fontId="3" fillId="6" borderId="27" xfId="5" applyNumberFormat="1" applyFont="1" applyFill="1" applyBorder="1" applyAlignment="1" applyProtection="1">
      <alignment horizontal="center" vertical="center" wrapText="1"/>
      <protection hidden="1"/>
    </xf>
    <xf numFmtId="49" fontId="3" fillId="6" borderId="23" xfId="5" applyNumberFormat="1" applyFont="1" applyFill="1" applyBorder="1" applyAlignment="1" applyProtection="1">
      <alignment horizontal="center" vertical="center" wrapText="1"/>
      <protection hidden="1"/>
    </xf>
    <xf numFmtId="49" fontId="3" fillId="6" borderId="28" xfId="0" applyNumberFormat="1" applyFont="1" applyFill="1" applyBorder="1" applyAlignment="1" applyProtection="1">
      <alignment horizontal="center" vertical="center" wrapText="1"/>
      <protection hidden="1"/>
    </xf>
    <xf numFmtId="49" fontId="3" fillId="3" borderId="17" xfId="0" applyNumberFormat="1" applyFont="1" applyFill="1" applyBorder="1" applyAlignment="1" applyProtection="1">
      <alignment horizontal="center" vertical="center" wrapText="1"/>
      <protection hidden="1"/>
    </xf>
    <xf numFmtId="44" fontId="3" fillId="3" borderId="17" xfId="5" applyNumberFormat="1" applyFont="1" applyFill="1" applyBorder="1" applyAlignment="1" applyProtection="1">
      <alignment vertical="center" wrapText="1"/>
    </xf>
    <xf numFmtId="0" fontId="0" fillId="0" borderId="0" xfId="0" applyNumberFormat="1" applyFont="1" applyBorder="1" applyAlignment="1" applyProtection="1">
      <alignment vertical="top"/>
      <protection hidden="1"/>
    </xf>
    <xf numFmtId="0" fontId="3" fillId="0" borderId="0" xfId="0" applyNumberFormat="1" applyFont="1" applyBorder="1" applyAlignment="1" applyProtection="1">
      <alignment vertical="top"/>
      <protection hidden="1"/>
    </xf>
    <xf numFmtId="0" fontId="30" fillId="5" borderId="4" xfId="0" applyFont="1" applyFill="1" applyBorder="1" applyAlignment="1" applyProtection="1">
      <alignment vertical="center"/>
    </xf>
    <xf numFmtId="0" fontId="30" fillId="5" borderId="0" xfId="0" applyFont="1" applyFill="1" applyBorder="1" applyAlignment="1" applyProtection="1">
      <alignment vertical="center"/>
    </xf>
    <xf numFmtId="49" fontId="31" fillId="5" borderId="0" xfId="0" applyNumberFormat="1" applyFont="1" applyFill="1" applyBorder="1" applyAlignment="1" applyProtection="1">
      <alignment vertical="center" wrapText="1"/>
    </xf>
    <xf numFmtId="49" fontId="32" fillId="4" borderId="13" xfId="0" applyNumberFormat="1" applyFont="1" applyFill="1" applyBorder="1" applyAlignment="1" applyProtection="1">
      <alignment vertical="top" wrapText="1"/>
    </xf>
    <xf numFmtId="49" fontId="32" fillId="5" borderId="0" xfId="0" applyNumberFormat="1" applyFont="1" applyFill="1" applyBorder="1" applyAlignment="1" applyProtection="1">
      <alignment vertical="top" wrapText="1"/>
    </xf>
    <xf numFmtId="0" fontId="30" fillId="5" borderId="12" xfId="0" applyFont="1" applyFill="1" applyBorder="1" applyAlignment="1" applyProtection="1">
      <alignment vertical="center"/>
    </xf>
    <xf numFmtId="0" fontId="30" fillId="4" borderId="0" xfId="0" applyFont="1" applyFill="1" applyBorder="1" applyAlignment="1" applyProtection="1">
      <alignment vertical="center"/>
    </xf>
    <xf numFmtId="0" fontId="30" fillId="4" borderId="0" xfId="0" applyFont="1" applyFill="1" applyAlignment="1" applyProtection="1">
      <alignment vertical="center"/>
    </xf>
    <xf numFmtId="49" fontId="23" fillId="5" borderId="9" xfId="0" applyNumberFormat="1" applyFont="1" applyFill="1" applyBorder="1" applyAlignment="1" applyProtection="1">
      <alignment vertical="top"/>
    </xf>
    <xf numFmtId="49" fontId="23" fillId="5" borderId="9" xfId="0" applyNumberFormat="1" applyFont="1" applyFill="1" applyBorder="1" applyAlignment="1" applyProtection="1">
      <alignment vertical="top" wrapText="1"/>
    </xf>
    <xf numFmtId="49" fontId="32" fillId="5" borderId="9" xfId="0" applyNumberFormat="1" applyFont="1" applyFill="1" applyBorder="1" applyAlignment="1" applyProtection="1">
      <alignment vertical="top" wrapText="1"/>
    </xf>
    <xf numFmtId="49" fontId="23" fillId="4" borderId="0" xfId="0" applyNumberFormat="1" applyFont="1" applyFill="1" applyBorder="1" applyAlignment="1" applyProtection="1">
      <alignment horizontal="left" vertical="top" wrapText="1"/>
    </xf>
    <xf numFmtId="0" fontId="2" fillId="4" borderId="0" xfId="90" applyFont="1" applyFill="1" applyBorder="1" applyAlignment="1" applyProtection="1">
      <alignment vertical="center"/>
    </xf>
    <xf numFmtId="0" fontId="2" fillId="5" borderId="6" xfId="90" applyFont="1" applyFill="1" applyBorder="1" applyAlignment="1" applyProtection="1">
      <alignment vertical="center"/>
    </xf>
    <xf numFmtId="0" fontId="33" fillId="5" borderId="0" xfId="90" applyFont="1" applyFill="1" applyBorder="1" applyAlignment="1" applyProtection="1">
      <alignment horizontal="left" vertical="center"/>
    </xf>
    <xf numFmtId="0" fontId="3" fillId="5" borderId="0" xfId="3" applyNumberFormat="1" applyFont="1" applyFill="1" applyBorder="1" applyAlignment="1" applyProtection="1">
      <alignment vertical="center" wrapText="1"/>
    </xf>
    <xf numFmtId="0" fontId="2" fillId="5" borderId="7" xfId="90" applyFont="1" applyFill="1" applyBorder="1" applyAlignment="1" applyProtection="1">
      <alignment vertical="center"/>
    </xf>
    <xf numFmtId="0" fontId="2" fillId="4" borderId="0" xfId="0" applyFont="1" applyFill="1" applyBorder="1" applyAlignment="1" applyProtection="1">
      <alignment vertical="center"/>
    </xf>
    <xf numFmtId="0" fontId="30" fillId="5" borderId="0" xfId="3" applyNumberFormat="1" applyFont="1" applyFill="1" applyBorder="1" applyAlignment="1" applyProtection="1">
      <alignment horizontal="left" vertical="center"/>
    </xf>
    <xf numFmtId="0" fontId="5" fillId="4" borderId="0" xfId="0" applyFont="1" applyFill="1" applyProtection="1"/>
    <xf numFmtId="0" fontId="5" fillId="4" borderId="0" xfId="0" applyFont="1" applyFill="1" applyAlignment="1" applyProtection="1">
      <alignment vertical="center"/>
    </xf>
    <xf numFmtId="0" fontId="0" fillId="4" borderId="0" xfId="0" applyFill="1" applyBorder="1" applyProtection="1"/>
    <xf numFmtId="0" fontId="5" fillId="5" borderId="3" xfId="0" applyFont="1" applyFill="1" applyBorder="1" applyAlignment="1" applyProtection="1">
      <alignment vertical="center"/>
    </xf>
    <xf numFmtId="0" fontId="5" fillId="5" borderId="4" xfId="0" applyFont="1" applyFill="1" applyBorder="1" applyAlignment="1" applyProtection="1">
      <alignment vertical="center"/>
    </xf>
    <xf numFmtId="0" fontId="0" fillId="5" borderId="4" xfId="0" applyFill="1" applyBorder="1" applyProtection="1"/>
    <xf numFmtId="0" fontId="0" fillId="5" borderId="5" xfId="0" applyFill="1" applyBorder="1" applyProtection="1"/>
    <xf numFmtId="0" fontId="16" fillId="4" borderId="0" xfId="2" applyFont="1" applyFill="1" applyBorder="1" applyProtection="1"/>
    <xf numFmtId="0" fontId="16" fillId="5" borderId="6" xfId="2" applyFont="1" applyFill="1" applyBorder="1" applyProtection="1"/>
    <xf numFmtId="0" fontId="16" fillId="5" borderId="0" xfId="2" applyFont="1" applyFill="1" applyBorder="1" applyProtection="1"/>
    <xf numFmtId="0" fontId="16" fillId="5" borderId="7" xfId="2" applyFont="1" applyFill="1" applyBorder="1" applyProtection="1"/>
    <xf numFmtId="0" fontId="5" fillId="4" borderId="0" xfId="0" applyFont="1" applyFill="1" applyBorder="1" applyAlignment="1" applyProtection="1">
      <alignment vertical="center"/>
    </xf>
    <xf numFmtId="0" fontId="0" fillId="4" borderId="0" xfId="0" applyFill="1" applyBorder="1" applyAlignment="1" applyProtection="1">
      <alignment horizontal="left"/>
    </xf>
    <xf numFmtId="0" fontId="5" fillId="5" borderId="6" xfId="0" applyFont="1" applyFill="1" applyBorder="1" applyAlignment="1" applyProtection="1">
      <alignment vertical="center"/>
    </xf>
    <xf numFmtId="0" fontId="9" fillId="5" borderId="0" xfId="0" applyFont="1" applyFill="1" applyBorder="1" applyAlignment="1" applyProtection="1">
      <alignment vertical="center"/>
    </xf>
    <xf numFmtId="0" fontId="5" fillId="5" borderId="0" xfId="0" applyFont="1" applyFill="1" applyBorder="1" applyAlignment="1" applyProtection="1">
      <alignment vertical="center"/>
    </xf>
    <xf numFmtId="0" fontId="0" fillId="5" borderId="0" xfId="0" applyFill="1" applyBorder="1" applyProtection="1"/>
    <xf numFmtId="0" fontId="0" fillId="5" borderId="7" xfId="0" applyFill="1" applyBorder="1" applyProtection="1"/>
    <xf numFmtId="0" fontId="11" fillId="5" borderId="0" xfId="0" applyFont="1" applyFill="1" applyBorder="1" applyAlignment="1" applyProtection="1">
      <alignment horizontal="left" vertical="center" indent="1"/>
    </xf>
    <xf numFmtId="0" fontId="5" fillId="4" borderId="0" xfId="0" applyFont="1" applyFill="1" applyAlignment="1" applyProtection="1">
      <alignment horizontal="left"/>
    </xf>
    <xf numFmtId="0" fontId="3" fillId="4" borderId="0" xfId="0" applyFont="1" applyFill="1" applyBorder="1" applyProtection="1"/>
    <xf numFmtId="0" fontId="10" fillId="5" borderId="0" xfId="0" applyNumberFormat="1" applyFont="1" applyFill="1" applyBorder="1" applyAlignment="1" applyProtection="1">
      <alignment vertical="center"/>
    </xf>
    <xf numFmtId="0" fontId="3" fillId="5" borderId="0" xfId="0" applyFont="1" applyFill="1" applyBorder="1" applyAlignment="1" applyProtection="1"/>
    <xf numFmtId="0" fontId="5" fillId="5" borderId="0" xfId="0" applyFont="1" applyFill="1" applyBorder="1" applyProtection="1"/>
    <xf numFmtId="0" fontId="6" fillId="5" borderId="0" xfId="0" applyNumberFormat="1" applyFont="1" applyFill="1" applyBorder="1" applyAlignment="1" applyProtection="1">
      <alignment vertical="center" wrapText="1"/>
    </xf>
    <xf numFmtId="0" fontId="10" fillId="5" borderId="0" xfId="0" applyNumberFormat="1" applyFont="1" applyFill="1" applyBorder="1" applyAlignment="1" applyProtection="1">
      <alignment vertical="center" wrapText="1"/>
    </xf>
    <xf numFmtId="44" fontId="3" fillId="5" borderId="0" xfId="1" applyFont="1" applyFill="1" applyBorder="1" applyAlignment="1" applyProtection="1">
      <alignment vertical="center"/>
    </xf>
    <xf numFmtId="0" fontId="5" fillId="5" borderId="7" xfId="0" applyFont="1" applyFill="1" applyBorder="1" applyProtection="1"/>
    <xf numFmtId="0" fontId="13" fillId="5" borderId="0" xfId="0" applyFont="1" applyFill="1" applyBorder="1" applyAlignment="1" applyProtection="1">
      <alignment vertical="center"/>
    </xf>
    <xf numFmtId="0" fontId="5" fillId="5" borderId="7" xfId="0" applyFont="1" applyFill="1" applyBorder="1" applyAlignment="1" applyProtection="1">
      <alignment vertical="center"/>
    </xf>
    <xf numFmtId="0" fontId="3" fillId="5" borderId="0" xfId="0" applyFont="1" applyFill="1" applyBorder="1" applyAlignment="1" applyProtection="1">
      <alignment horizontal="left" vertical="center" indent="1"/>
    </xf>
    <xf numFmtId="44" fontId="5" fillId="5" borderId="7" xfId="1" applyFont="1" applyFill="1" applyBorder="1" applyAlignment="1" applyProtection="1">
      <alignment vertical="center"/>
    </xf>
    <xf numFmtId="0" fontId="0" fillId="5" borderId="0" xfId="0" applyFont="1" applyFill="1" applyBorder="1" applyAlignment="1" applyProtection="1">
      <alignment vertical="center" wrapText="1"/>
    </xf>
    <xf numFmtId="0" fontId="10" fillId="5" borderId="0" xfId="0" applyNumberFormat="1" applyFont="1" applyFill="1" applyBorder="1" applyAlignment="1" applyProtection="1">
      <alignment horizontal="left" vertical="center" wrapText="1" indent="1"/>
    </xf>
    <xf numFmtId="0" fontId="3" fillId="5" borderId="0" xfId="0" applyFont="1" applyFill="1" applyBorder="1" applyAlignment="1" applyProtection="1">
      <alignment horizontal="left" vertical="center"/>
    </xf>
    <xf numFmtId="0" fontId="3" fillId="5" borderId="12" xfId="0" applyFont="1" applyFill="1" applyBorder="1" applyAlignment="1" applyProtection="1">
      <alignment horizontal="left" vertical="center"/>
    </xf>
    <xf numFmtId="0" fontId="5" fillId="5" borderId="12" xfId="0" applyFont="1" applyFill="1" applyBorder="1" applyProtection="1"/>
    <xf numFmtId="0" fontId="5" fillId="5" borderId="12" xfId="0" applyFont="1" applyFill="1" applyBorder="1" applyAlignment="1" applyProtection="1">
      <alignment vertical="center"/>
    </xf>
    <xf numFmtId="0" fontId="5" fillId="5" borderId="0" xfId="0" applyFont="1" applyFill="1" applyBorder="1" applyAlignment="1" applyProtection="1">
      <alignment vertical="center" wrapText="1"/>
    </xf>
    <xf numFmtId="0" fontId="7" fillId="5" borderId="7" xfId="0" applyFont="1" applyFill="1" applyBorder="1" applyAlignment="1" applyProtection="1">
      <alignment vertical="top" wrapText="1"/>
    </xf>
    <xf numFmtId="0" fontId="5" fillId="4" borderId="0" xfId="0" applyFont="1" applyFill="1" applyBorder="1" applyProtection="1"/>
    <xf numFmtId="0" fontId="7" fillId="4" borderId="0" xfId="0" applyFont="1" applyFill="1" applyBorder="1" applyAlignment="1" applyProtection="1">
      <alignment vertical="top" wrapText="1"/>
    </xf>
    <xf numFmtId="0" fontId="6" fillId="5" borderId="0" xfId="0" applyFont="1" applyFill="1" applyBorder="1" applyAlignment="1" applyProtection="1">
      <alignment vertical="center"/>
    </xf>
    <xf numFmtId="0" fontId="5" fillId="5" borderId="8" xfId="0" applyFont="1" applyFill="1" applyBorder="1" applyAlignment="1" applyProtection="1">
      <alignment vertical="center"/>
    </xf>
    <xf numFmtId="0" fontId="5" fillId="5" borderId="9" xfId="0" applyFont="1" applyFill="1" applyBorder="1" applyAlignment="1" applyProtection="1">
      <alignment vertical="center"/>
    </xf>
    <xf numFmtId="0" fontId="11" fillId="5" borderId="9" xfId="0" applyFont="1" applyFill="1" applyBorder="1" applyAlignment="1" applyProtection="1">
      <alignment horizontal="left" vertical="center" indent="1"/>
    </xf>
    <xf numFmtId="0" fontId="0" fillId="5" borderId="9" xfId="0" applyFill="1" applyBorder="1" applyProtection="1"/>
    <xf numFmtId="0" fontId="0" fillId="5" borderId="10" xfId="0" applyFill="1" applyBorder="1" applyProtection="1"/>
    <xf numFmtId="0" fontId="6" fillId="4" borderId="0" xfId="0" applyFont="1" applyFill="1" applyBorder="1" applyAlignment="1" applyProtection="1">
      <alignment vertical="center"/>
    </xf>
    <xf numFmtId="0" fontId="30" fillId="4" borderId="42" xfId="0" applyFont="1" applyFill="1" applyBorder="1" applyAlignment="1" applyProtection="1">
      <alignment horizontal="center" vertical="center"/>
    </xf>
    <xf numFmtId="0" fontId="30" fillId="0" borderId="42" xfId="1" applyNumberFormat="1" applyFont="1" applyFill="1" applyBorder="1" applyAlignment="1" applyProtection="1">
      <alignment horizontal="left" vertical="center" indent="1"/>
    </xf>
    <xf numFmtId="0" fontId="30" fillId="4" borderId="0" xfId="0" applyFont="1" applyFill="1" applyBorder="1" applyProtection="1"/>
    <xf numFmtId="0" fontId="7" fillId="4" borderId="0" xfId="0" applyFont="1" applyFill="1" applyBorder="1" applyAlignment="1" applyProtection="1">
      <alignment horizontal="left" vertical="center" wrapText="1"/>
    </xf>
    <xf numFmtId="0" fontId="22" fillId="4" borderId="0" xfId="0" applyFont="1" applyFill="1" applyAlignment="1" applyProtection="1">
      <alignment horizontal="left" vertical="center"/>
    </xf>
    <xf numFmtId="0" fontId="18" fillId="2" borderId="0" xfId="0" applyFont="1" applyFill="1" applyProtection="1"/>
    <xf numFmtId="0" fontId="18" fillId="2" borderId="0" xfId="0" applyFont="1" applyFill="1" applyAlignment="1" applyProtection="1">
      <alignment horizontal="left" vertical="center"/>
    </xf>
    <xf numFmtId="0" fontId="18" fillId="0" borderId="0" xfId="0" applyFont="1" applyProtection="1"/>
    <xf numFmtId="0" fontId="3" fillId="0" borderId="0" xfId="0" applyFont="1" applyFill="1" applyBorder="1" applyAlignment="1" applyProtection="1">
      <alignment vertical="center"/>
    </xf>
    <xf numFmtId="44" fontId="3" fillId="0" borderId="0" xfId="1" applyFont="1" applyBorder="1" applyAlignment="1" applyProtection="1">
      <alignment vertical="center" wrapText="1"/>
    </xf>
    <xf numFmtId="44" fontId="10" fillId="0" borderId="0" xfId="1" applyFont="1" applyFill="1" applyBorder="1" applyAlignment="1" applyProtection="1">
      <alignment horizontal="left" vertical="center" wrapText="1"/>
    </xf>
    <xf numFmtId="1" fontId="10" fillId="0" borderId="0" xfId="5" applyNumberFormat="1" applyFont="1" applyFill="1" applyBorder="1" applyAlignment="1" applyProtection="1">
      <alignment horizontal="left" vertical="center" wrapText="1"/>
    </xf>
    <xf numFmtId="0" fontId="10" fillId="6" borderId="15" xfId="0" applyFont="1" applyFill="1" applyBorder="1" applyAlignment="1" applyProtection="1">
      <alignment horizontal="left" vertical="center" wrapText="1" indent="1"/>
    </xf>
    <xf numFmtId="49" fontId="3" fillId="6" borderId="17" xfId="1" applyNumberFormat="1" applyFont="1" applyFill="1" applyBorder="1" applyAlignment="1" applyProtection="1">
      <alignment horizontal="center" vertical="center" wrapText="1"/>
    </xf>
    <xf numFmtId="0" fontId="12" fillId="0" borderId="0" xfId="0" applyFont="1" applyFill="1" applyBorder="1" applyAlignment="1" applyProtection="1">
      <alignment vertical="center"/>
    </xf>
    <xf numFmtId="0" fontId="19" fillId="0" borderId="0" xfId="0" applyFont="1" applyFill="1" applyBorder="1" applyAlignment="1" applyProtection="1">
      <alignment vertical="center"/>
    </xf>
    <xf numFmtId="44" fontId="3" fillId="6" borderId="17" xfId="0" applyNumberFormat="1" applyFont="1" applyFill="1" applyBorder="1" applyAlignment="1" applyProtection="1">
      <alignment horizontal="left" vertical="center" wrapText="1"/>
    </xf>
    <xf numFmtId="0" fontId="13" fillId="0" borderId="0" xfId="0" applyFont="1" applyAlignment="1" applyProtection="1">
      <alignment horizontal="right" vertical="center"/>
    </xf>
    <xf numFmtId="44" fontId="13" fillId="0" borderId="0" xfId="1" applyFont="1" applyAlignment="1" applyProtection="1">
      <alignment vertical="center"/>
    </xf>
    <xf numFmtId="44" fontId="3" fillId="0" borderId="0" xfId="1" applyFont="1" applyAlignment="1" applyProtection="1">
      <alignment vertical="center"/>
    </xf>
    <xf numFmtId="9" fontId="3" fillId="0" borderId="0" xfId="5" applyFont="1" applyAlignment="1" applyProtection="1">
      <alignment vertical="center"/>
    </xf>
    <xf numFmtId="0" fontId="3" fillId="0" borderId="0" xfId="0" applyFont="1" applyAlignment="1" applyProtection="1">
      <alignment horizontal="right" vertical="center"/>
    </xf>
    <xf numFmtId="0" fontId="3" fillId="0" borderId="0" xfId="0" applyFont="1" applyAlignment="1" applyProtection="1">
      <alignment vertical="center"/>
    </xf>
    <xf numFmtId="9" fontId="3" fillId="0" borderId="0" xfId="0" applyNumberFormat="1"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0" fillId="5" borderId="12" xfId="0" applyFill="1" applyBorder="1" applyProtection="1"/>
    <xf numFmtId="49" fontId="3" fillId="4" borderId="0" xfId="0" applyNumberFormat="1" applyFont="1" applyFill="1" applyBorder="1" applyAlignment="1" applyProtection="1">
      <alignment wrapText="1"/>
    </xf>
    <xf numFmtId="0" fontId="34" fillId="4" borderId="0" xfId="91" applyFont="1" applyFill="1" applyBorder="1" applyAlignment="1" applyProtection="1">
      <alignment horizontal="right" vertical="center"/>
    </xf>
    <xf numFmtId="0" fontId="34" fillId="4" borderId="0" xfId="2" applyFont="1" applyFill="1" applyBorder="1" applyAlignment="1" applyProtection="1">
      <alignment horizontal="right" vertical="center"/>
    </xf>
    <xf numFmtId="0" fontId="34" fillId="4" borderId="0" xfId="2" applyFont="1" applyFill="1" applyAlignment="1" applyProtection="1">
      <alignment horizontal="right" vertical="center"/>
    </xf>
    <xf numFmtId="0" fontId="20" fillId="4" borderId="0" xfId="90" applyFont="1" applyFill="1" applyBorder="1" applyAlignment="1" applyProtection="1">
      <alignment vertical="center"/>
    </xf>
    <xf numFmtId="0" fontId="21" fillId="2" borderId="0" xfId="0" applyFont="1" applyFill="1" applyProtection="1">
      <protection hidden="1"/>
    </xf>
    <xf numFmtId="0" fontId="21" fillId="2" borderId="0" xfId="0" applyFont="1" applyFill="1" applyBorder="1" applyProtection="1">
      <protection hidden="1"/>
    </xf>
    <xf numFmtId="0" fontId="21" fillId="0" borderId="0" xfId="0" applyFont="1" applyFill="1" applyBorder="1" applyAlignment="1" applyProtection="1">
      <alignment vertical="center"/>
      <protection hidden="1"/>
    </xf>
    <xf numFmtId="0" fontId="21" fillId="0" borderId="0" xfId="0" applyFont="1" applyProtection="1">
      <protection hidden="1"/>
    </xf>
    <xf numFmtId="9" fontId="21" fillId="0" borderId="0" xfId="0" applyNumberFormat="1" applyFont="1" applyFill="1" applyBorder="1" applyAlignment="1" applyProtection="1">
      <alignment vertical="center"/>
      <protection hidden="1"/>
    </xf>
    <xf numFmtId="0" fontId="21" fillId="0" borderId="0" xfId="0" applyFont="1" applyAlignment="1" applyProtection="1">
      <alignment vertical="center"/>
      <protection hidden="1"/>
    </xf>
    <xf numFmtId="0" fontId="21" fillId="2" borderId="0" xfId="0" applyFont="1" applyFill="1" applyProtection="1"/>
    <xf numFmtId="0" fontId="21" fillId="2" borderId="0" xfId="0" applyFont="1" applyFill="1" applyBorder="1" applyProtection="1"/>
    <xf numFmtId="0" fontId="21" fillId="0" borderId="0" xfId="0" applyFont="1" applyFill="1" applyBorder="1" applyAlignment="1" applyProtection="1">
      <alignment vertical="center"/>
    </xf>
    <xf numFmtId="9" fontId="21" fillId="0" borderId="0" xfId="0" applyNumberFormat="1" applyFont="1" applyFill="1" applyBorder="1" applyAlignment="1" applyProtection="1">
      <alignment vertical="center"/>
    </xf>
    <xf numFmtId="0" fontId="21" fillId="0" borderId="0" xfId="0" applyFont="1" applyAlignment="1" applyProtection="1">
      <alignment vertical="center"/>
    </xf>
    <xf numFmtId="0" fontId="36" fillId="0" borderId="0" xfId="0" applyFont="1" applyFill="1" applyBorder="1" applyAlignment="1" applyProtection="1">
      <alignment vertical="center"/>
      <protection hidden="1"/>
    </xf>
    <xf numFmtId="0" fontId="36" fillId="0" borderId="0" xfId="0" applyFont="1" applyAlignment="1" applyProtection="1">
      <alignment vertical="center"/>
      <protection hidden="1"/>
    </xf>
    <xf numFmtId="9" fontId="36" fillId="0" borderId="0" xfId="0" applyNumberFormat="1" applyFont="1" applyFill="1" applyBorder="1" applyAlignment="1" applyProtection="1">
      <alignment vertical="center"/>
      <protection hidden="1"/>
    </xf>
    <xf numFmtId="44" fontId="3" fillId="3" borderId="16" xfId="0" applyNumberFormat="1" applyFont="1" applyFill="1" applyBorder="1" applyAlignment="1" applyProtection="1">
      <alignment horizontal="left" vertical="center" wrapText="1"/>
      <protection hidden="1"/>
    </xf>
    <xf numFmtId="0" fontId="3" fillId="3" borderId="1" xfId="0" applyFont="1" applyFill="1" applyBorder="1" applyAlignment="1" applyProtection="1">
      <alignment horizontal="left" vertical="center" indent="1"/>
    </xf>
    <xf numFmtId="0" fontId="3" fillId="3" borderId="13" xfId="0" applyFont="1" applyFill="1" applyBorder="1" applyAlignment="1" applyProtection="1">
      <alignment horizontal="left" vertical="center" indent="1"/>
    </xf>
    <xf numFmtId="44" fontId="10" fillId="3" borderId="14" xfId="1" applyFont="1" applyFill="1" applyBorder="1" applyAlignment="1" applyProtection="1">
      <alignment vertical="center" wrapText="1"/>
    </xf>
    <xf numFmtId="44" fontId="3" fillId="6" borderId="16" xfId="0" applyNumberFormat="1" applyFont="1" applyFill="1" applyBorder="1" applyAlignment="1" applyProtection="1">
      <alignment horizontal="left" vertical="center" wrapText="1"/>
    </xf>
    <xf numFmtId="0" fontId="1" fillId="4" borderId="0" xfId="90" applyFont="1" applyFill="1" applyBorder="1" applyAlignment="1" applyProtection="1">
      <alignment vertical="center"/>
    </xf>
    <xf numFmtId="0" fontId="37" fillId="0" borderId="0" xfId="0" applyFont="1" applyFill="1" applyBorder="1" applyAlignment="1" applyProtection="1">
      <alignment vertical="center"/>
      <protection hidden="1"/>
    </xf>
    <xf numFmtId="10" fontId="30" fillId="4" borderId="38" xfId="1" applyNumberFormat="1" applyFont="1" applyFill="1" applyBorder="1" applyAlignment="1" applyProtection="1">
      <alignment horizontal="center" vertical="center" wrapText="1"/>
      <protection locked="0"/>
    </xf>
    <xf numFmtId="10" fontId="30" fillId="4" borderId="41" xfId="1" applyNumberFormat="1" applyFont="1" applyFill="1" applyBorder="1" applyAlignment="1" applyProtection="1">
      <alignment horizontal="center" vertical="center" wrapText="1"/>
      <protection locked="0"/>
    </xf>
    <xf numFmtId="0" fontId="3" fillId="3" borderId="16"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0" fontId="3" fillId="3" borderId="10" xfId="0" applyFont="1" applyFill="1" applyBorder="1" applyAlignment="1" applyProtection="1">
      <alignment horizontal="center" vertical="center"/>
      <protection hidden="1"/>
    </xf>
    <xf numFmtId="44" fontId="3" fillId="3" borderId="7" xfId="0" applyNumberFormat="1" applyFont="1" applyFill="1" applyBorder="1" applyAlignment="1" applyProtection="1">
      <alignment horizontal="left" vertical="center" wrapText="1"/>
      <protection hidden="1"/>
    </xf>
    <xf numFmtId="0" fontId="11" fillId="5" borderId="0" xfId="0" applyFont="1" applyFill="1" applyBorder="1" applyAlignment="1" applyProtection="1">
      <alignment horizontal="left" vertical="center" indent="1"/>
    </xf>
    <xf numFmtId="165" fontId="30" fillId="5" borderId="51" xfId="1" applyNumberFormat="1" applyFont="1" applyFill="1" applyBorder="1" applyAlignment="1" applyProtection="1">
      <alignment horizontal="center" vertical="center" wrapText="1"/>
    </xf>
    <xf numFmtId="166" fontId="30" fillId="5" borderId="2" xfId="5" applyNumberFormat="1" applyFont="1" applyFill="1" applyBorder="1" applyAlignment="1" applyProtection="1">
      <alignment horizontal="center" vertical="center"/>
    </xf>
    <xf numFmtId="0" fontId="10" fillId="6" borderId="3" xfId="0" applyFont="1" applyFill="1" applyBorder="1" applyAlignment="1" applyProtection="1">
      <alignment horizontal="left" vertical="center" wrapText="1" indent="1"/>
    </xf>
    <xf numFmtId="168" fontId="3" fillId="0" borderId="0" xfId="5" applyNumberFormat="1" applyFont="1" applyAlignment="1" applyProtection="1">
      <alignment vertical="center"/>
    </xf>
    <xf numFmtId="0" fontId="3" fillId="0" borderId="0" xfId="0" applyNumberFormat="1" applyFont="1" applyBorder="1" applyAlignment="1" applyProtection="1">
      <alignment horizontal="left" vertical="top" wrapText="1"/>
      <protection hidden="1"/>
    </xf>
    <xf numFmtId="4" fontId="3" fillId="0" borderId="0" xfId="1" applyNumberFormat="1" applyFont="1" applyAlignment="1" applyProtection="1">
      <alignment vertical="center"/>
    </xf>
    <xf numFmtId="0" fontId="30" fillId="7" borderId="19" xfId="1" applyNumberFormat="1" applyFont="1" applyFill="1" applyBorder="1" applyAlignment="1" applyProtection="1">
      <alignment horizontal="center" vertical="center" wrapText="1"/>
    </xf>
    <xf numFmtId="0" fontId="30" fillId="7" borderId="11" xfId="1" applyNumberFormat="1" applyFont="1" applyFill="1" applyBorder="1" applyAlignment="1" applyProtection="1">
      <alignment horizontal="center" vertical="center" wrapText="1"/>
    </xf>
    <xf numFmtId="0" fontId="30" fillId="7" borderId="53" xfId="1" applyNumberFormat="1" applyFont="1" applyFill="1" applyBorder="1" applyAlignment="1" applyProtection="1">
      <alignment horizontal="center" vertical="center" wrapText="1"/>
    </xf>
    <xf numFmtId="9" fontId="3" fillId="7" borderId="50" xfId="5" applyFont="1" applyFill="1" applyBorder="1" applyAlignment="1" applyProtection="1">
      <alignment horizontal="left" vertical="center" wrapText="1" indent="1"/>
      <protection hidden="1"/>
    </xf>
    <xf numFmtId="0" fontId="30" fillId="7" borderId="51" xfId="1" applyNumberFormat="1" applyFont="1" applyFill="1" applyBorder="1" applyAlignment="1" applyProtection="1">
      <alignment horizontal="center" vertical="center"/>
    </xf>
    <xf numFmtId="0" fontId="5" fillId="0" borderId="0" xfId="0" applyFont="1" applyAlignment="1" applyProtection="1">
      <alignment horizontal="center" vertical="center"/>
      <protection hidden="1"/>
    </xf>
    <xf numFmtId="44" fontId="3" fillId="6" borderId="6" xfId="0" applyNumberFormat="1" applyFont="1" applyFill="1" applyBorder="1" applyAlignment="1" applyProtection="1">
      <alignment horizontal="left" vertical="center" wrapText="1"/>
    </xf>
    <xf numFmtId="49" fontId="30" fillId="4" borderId="67" xfId="5" applyNumberFormat="1" applyFont="1" applyFill="1" applyBorder="1" applyAlignment="1" applyProtection="1">
      <alignment horizontal="left" vertical="center" wrapText="1"/>
      <protection locked="0"/>
    </xf>
    <xf numFmtId="166" fontId="30" fillId="5" borderId="2" xfId="0" applyNumberFormat="1" applyFont="1" applyFill="1" applyBorder="1" applyAlignment="1" applyProtection="1">
      <alignment horizontal="center" vertical="center"/>
    </xf>
    <xf numFmtId="0" fontId="11" fillId="5" borderId="0" xfId="0" applyFont="1" applyFill="1" applyBorder="1" applyAlignment="1" applyProtection="1">
      <alignment horizontal="left" vertical="center" indent="1"/>
    </xf>
    <xf numFmtId="0" fontId="30" fillId="5" borderId="0" xfId="3" applyNumberFormat="1" applyFont="1" applyFill="1" applyBorder="1" applyAlignment="1" applyProtection="1">
      <alignment horizontal="left" vertical="center"/>
    </xf>
    <xf numFmtId="44" fontId="30" fillId="4" borderId="2" xfId="1" applyNumberFormat="1" applyFont="1" applyFill="1" applyBorder="1" applyAlignment="1" applyProtection="1">
      <alignment vertical="center"/>
      <protection locked="0"/>
    </xf>
    <xf numFmtId="44" fontId="5" fillId="5" borderId="0" xfId="0" applyNumberFormat="1" applyFont="1" applyFill="1" applyBorder="1" applyAlignment="1" applyProtection="1">
      <alignment vertical="center"/>
    </xf>
    <xf numFmtId="44" fontId="5" fillId="5" borderId="12" xfId="0" applyNumberFormat="1" applyFont="1" applyFill="1" applyBorder="1" applyAlignment="1" applyProtection="1">
      <alignment vertical="center"/>
    </xf>
    <xf numFmtId="44" fontId="30" fillId="5" borderId="2" xfId="1" applyNumberFormat="1" applyFont="1" applyFill="1" applyBorder="1" applyAlignment="1" applyProtection="1">
      <alignment vertical="center"/>
    </xf>
    <xf numFmtId="44" fontId="30" fillId="0" borderId="40" xfId="1" applyNumberFormat="1" applyFont="1" applyFill="1" applyBorder="1" applyAlignment="1" applyProtection="1">
      <alignment vertical="center" wrapText="1"/>
    </xf>
    <xf numFmtId="44" fontId="30" fillId="5" borderId="2" xfId="0" applyNumberFormat="1" applyFont="1" applyFill="1" applyBorder="1" applyAlignment="1" applyProtection="1">
      <alignment horizontal="center" vertical="center"/>
    </xf>
    <xf numFmtId="0" fontId="3" fillId="0" borderId="0" xfId="0" applyFont="1" applyProtection="1">
      <protection hidden="1"/>
    </xf>
    <xf numFmtId="0" fontId="0" fillId="0" borderId="74" xfId="0" applyBorder="1"/>
    <xf numFmtId="0" fontId="10" fillId="6" borderId="3" xfId="0" applyFont="1" applyFill="1" applyBorder="1" applyAlignment="1" applyProtection="1">
      <alignment horizontal="left" vertical="center" wrapText="1" indent="1"/>
      <protection hidden="1"/>
    </xf>
    <xf numFmtId="0" fontId="3" fillId="0" borderId="0" xfId="0" applyNumberFormat="1" applyFont="1" applyBorder="1" applyAlignment="1" applyProtection="1">
      <alignment horizontal="left" vertical="top" wrapText="1"/>
      <protection hidden="1"/>
    </xf>
    <xf numFmtId="0" fontId="6" fillId="5" borderId="0" xfId="0" applyNumberFormat="1" applyFont="1" applyFill="1" applyBorder="1" applyAlignment="1" applyProtection="1">
      <alignment vertical="center"/>
    </xf>
    <xf numFmtId="0" fontId="13" fillId="5" borderId="0" xfId="0" applyNumberFormat="1" applyFont="1" applyFill="1" applyBorder="1" applyAlignment="1" applyProtection="1">
      <alignment vertical="center"/>
    </xf>
    <xf numFmtId="44" fontId="30" fillId="4" borderId="77" xfId="1" applyFont="1" applyFill="1" applyBorder="1" applyAlignment="1" applyProtection="1">
      <alignment vertical="center" wrapText="1"/>
      <protection locked="0"/>
    </xf>
    <xf numFmtId="0" fontId="0" fillId="0" borderId="0" xfId="0" applyBorder="1" applyAlignment="1">
      <alignment horizontal="center" vertical="center"/>
    </xf>
    <xf numFmtId="0" fontId="0" fillId="0" borderId="0" xfId="0" applyAlignment="1">
      <alignment horizontal="center" vertical="center"/>
    </xf>
    <xf numFmtId="0" fontId="30" fillId="4" borderId="2" xfId="0" applyFont="1" applyFill="1" applyBorder="1" applyAlignment="1" applyProtection="1">
      <alignment horizontal="center" vertical="center"/>
      <protection locked="0"/>
    </xf>
    <xf numFmtId="0" fontId="3" fillId="6" borderId="7" xfId="1" applyNumberFormat="1" applyFont="1" applyFill="1" applyBorder="1" applyAlignment="1" applyProtection="1">
      <alignment vertical="center" wrapText="1"/>
      <protection hidden="1"/>
    </xf>
    <xf numFmtId="44" fontId="30" fillId="0" borderId="71" xfId="1" applyNumberFormat="1" applyFont="1" applyBorder="1" applyAlignment="1" applyProtection="1">
      <alignment horizontal="center" vertical="center"/>
    </xf>
    <xf numFmtId="0" fontId="3" fillId="6" borderId="35" xfId="1" applyNumberFormat="1" applyFont="1" applyFill="1" applyBorder="1" applyAlignment="1" applyProtection="1">
      <alignment horizontal="left" vertical="center" wrapText="1" indent="1"/>
      <protection hidden="1"/>
    </xf>
    <xf numFmtId="10" fontId="30" fillId="4" borderId="80" xfId="1" applyNumberFormat="1" applyFont="1" applyFill="1" applyBorder="1" applyAlignment="1" applyProtection="1">
      <alignment horizontal="center" vertical="center" wrapText="1"/>
      <protection locked="0"/>
    </xf>
    <xf numFmtId="0" fontId="30" fillId="0" borderId="16" xfId="1" applyNumberFormat="1" applyFont="1" applyFill="1" applyBorder="1" applyAlignment="1" applyProtection="1">
      <alignment horizontal="center" vertical="center"/>
    </xf>
    <xf numFmtId="10" fontId="30" fillId="4" borderId="60" xfId="1" applyNumberFormat="1" applyFont="1" applyFill="1" applyBorder="1" applyAlignment="1" applyProtection="1">
      <alignment horizontal="center" vertical="center" wrapText="1"/>
      <protection locked="0"/>
    </xf>
    <xf numFmtId="0" fontId="3" fillId="0" borderId="0" xfId="0" applyFont="1"/>
    <xf numFmtId="44" fontId="30" fillId="4" borderId="90" xfId="1" applyNumberFormat="1" applyFont="1" applyFill="1" applyBorder="1" applyAlignment="1" applyProtection="1">
      <alignment vertical="center" wrapText="1"/>
      <protection locked="0"/>
    </xf>
    <xf numFmtId="44" fontId="30" fillId="4" borderId="92" xfId="1" applyNumberFormat="1" applyFont="1" applyFill="1" applyBorder="1" applyAlignment="1" applyProtection="1">
      <alignment vertical="center" wrapText="1"/>
      <protection locked="0"/>
    </xf>
    <xf numFmtId="44" fontId="3" fillId="6" borderId="7" xfId="0" applyNumberFormat="1" applyFont="1" applyFill="1" applyBorder="1" applyAlignment="1" applyProtection="1">
      <alignment horizontal="left" vertical="center" wrapText="1"/>
    </xf>
    <xf numFmtId="44" fontId="30" fillId="4" borderId="34" xfId="1" applyFont="1" applyFill="1" applyBorder="1" applyAlignment="1" applyProtection="1">
      <alignment horizontal="left" vertical="center" wrapText="1"/>
      <protection locked="0"/>
    </xf>
    <xf numFmtId="44" fontId="30" fillId="4" borderId="98" xfId="1" applyFont="1" applyFill="1" applyBorder="1" applyAlignment="1" applyProtection="1">
      <alignment horizontal="left" vertical="center" wrapText="1"/>
      <protection locked="0"/>
    </xf>
    <xf numFmtId="44" fontId="30" fillId="4" borderId="99" xfId="1" applyFont="1" applyFill="1" applyBorder="1" applyAlignment="1" applyProtection="1">
      <alignment horizontal="left" vertical="center" wrapText="1"/>
      <protection locked="0"/>
    </xf>
    <xf numFmtId="44" fontId="30" fillId="4" borderId="29" xfId="1" applyFont="1" applyFill="1" applyBorder="1" applyAlignment="1" applyProtection="1">
      <alignment horizontal="left" vertical="center" wrapText="1"/>
      <protection locked="0"/>
    </xf>
    <xf numFmtId="44" fontId="30" fillId="4" borderId="100" xfId="1" applyFont="1" applyFill="1" applyBorder="1" applyAlignment="1" applyProtection="1">
      <alignment horizontal="left" vertical="center" wrapText="1"/>
      <protection locked="0"/>
    </xf>
    <xf numFmtId="44" fontId="30" fillId="4" borderId="101" xfId="1" applyFont="1" applyFill="1" applyBorder="1" applyAlignment="1" applyProtection="1">
      <alignment horizontal="left" vertical="center" wrapText="1"/>
      <protection locked="0"/>
    </xf>
    <xf numFmtId="164" fontId="30" fillId="4" borderId="34" xfId="5" applyNumberFormat="1" applyFont="1" applyFill="1" applyBorder="1" applyAlignment="1" applyProtection="1">
      <alignment vertical="center" wrapText="1"/>
      <protection locked="0"/>
    </xf>
    <xf numFmtId="0" fontId="30" fillId="4" borderId="111" xfId="0" applyFont="1" applyFill="1" applyBorder="1" applyAlignment="1" applyProtection="1">
      <alignment horizontal="center" vertical="center"/>
      <protection locked="0"/>
    </xf>
    <xf numFmtId="164" fontId="30" fillId="4" borderId="100" xfId="5" applyNumberFormat="1" applyFont="1" applyFill="1" applyBorder="1" applyAlignment="1" applyProtection="1">
      <alignment vertical="center" wrapText="1"/>
      <protection locked="0"/>
    </xf>
    <xf numFmtId="10" fontId="30" fillId="4" borderId="91" xfId="1" applyNumberFormat="1" applyFont="1" applyFill="1" applyBorder="1" applyAlignment="1" applyProtection="1">
      <alignment horizontal="center" vertical="center" wrapText="1"/>
      <protection locked="0"/>
    </xf>
    <xf numFmtId="49" fontId="30" fillId="4" borderId="88" xfId="0" applyNumberFormat="1" applyFont="1" applyFill="1" applyBorder="1" applyAlignment="1" applyProtection="1">
      <alignment horizontal="left" vertical="center"/>
      <protection locked="0"/>
    </xf>
    <xf numFmtId="49" fontId="30" fillId="4" borderId="96" xfId="0" applyNumberFormat="1" applyFont="1" applyFill="1" applyBorder="1" applyAlignment="1" applyProtection="1">
      <alignment horizontal="left" vertical="center"/>
      <protection locked="0"/>
    </xf>
    <xf numFmtId="1" fontId="3" fillId="0" borderId="16" xfId="5" applyNumberFormat="1" applyFont="1" applyFill="1" applyBorder="1" applyAlignment="1" applyProtection="1">
      <alignment horizontal="center" vertical="center" wrapText="1"/>
      <protection hidden="1"/>
    </xf>
    <xf numFmtId="0" fontId="21" fillId="4" borderId="0" xfId="0" applyFont="1" applyFill="1" applyBorder="1" applyProtection="1"/>
    <xf numFmtId="0" fontId="21" fillId="4" borderId="0" xfId="90" applyFont="1" applyFill="1" applyBorder="1" applyAlignment="1" applyProtection="1">
      <alignment vertical="center"/>
    </xf>
    <xf numFmtId="0" fontId="30" fillId="5" borderId="0" xfId="3" applyNumberFormat="1" applyFont="1" applyFill="1" applyBorder="1" applyAlignment="1" applyProtection="1">
      <alignment vertical="center"/>
    </xf>
    <xf numFmtId="44" fontId="30" fillId="4" borderId="2" xfId="1" applyNumberFormat="1" applyFont="1" applyFill="1" applyBorder="1" applyAlignment="1" applyProtection="1">
      <alignment horizontal="center" vertical="center"/>
      <protection locked="0"/>
    </xf>
    <xf numFmtId="44" fontId="30" fillId="4" borderId="2" xfId="1" applyNumberFormat="1" applyFont="1" applyFill="1" applyBorder="1" applyAlignment="1" applyProtection="1">
      <alignment horizontal="left" vertical="center"/>
      <protection locked="0"/>
    </xf>
    <xf numFmtId="44" fontId="30" fillId="0" borderId="44" xfId="1" applyNumberFormat="1" applyFont="1" applyFill="1" applyBorder="1" applyAlignment="1" applyProtection="1">
      <alignment vertical="center" wrapText="1"/>
    </xf>
    <xf numFmtId="44" fontId="30" fillId="0" borderId="82" xfId="0" applyNumberFormat="1" applyFont="1" applyFill="1" applyBorder="1" applyAlignment="1" applyProtection="1">
      <alignment horizontal="left" vertical="center" wrapText="1"/>
      <protection hidden="1"/>
    </xf>
    <xf numFmtId="44" fontId="30" fillId="0" borderId="94" xfId="0" applyNumberFormat="1" applyFont="1" applyFill="1" applyBorder="1" applyAlignment="1" applyProtection="1">
      <alignment horizontal="left" vertical="center" wrapText="1"/>
      <protection hidden="1"/>
    </xf>
    <xf numFmtId="167" fontId="30" fillId="0" borderId="72" xfId="1" applyNumberFormat="1" applyFont="1" applyFill="1" applyBorder="1" applyAlignment="1" applyProtection="1">
      <alignment horizontal="center" vertical="center" wrapText="1"/>
    </xf>
    <xf numFmtId="167" fontId="30" fillId="0" borderId="97" xfId="1" applyNumberFormat="1" applyFont="1" applyFill="1" applyBorder="1" applyAlignment="1" applyProtection="1">
      <alignment horizontal="center" vertical="center" wrapText="1"/>
    </xf>
    <xf numFmtId="44" fontId="30" fillId="0" borderId="85" xfId="5" applyNumberFormat="1" applyFont="1" applyFill="1" applyBorder="1" applyAlignment="1" applyProtection="1">
      <alignment vertical="center" wrapText="1"/>
    </xf>
    <xf numFmtId="44" fontId="30" fillId="0" borderId="73" xfId="5" applyNumberFormat="1" applyFont="1" applyFill="1" applyBorder="1" applyAlignment="1" applyProtection="1">
      <alignment vertical="center" wrapText="1"/>
    </xf>
    <xf numFmtId="44" fontId="30" fillId="0" borderId="103" xfId="0" applyNumberFormat="1" applyFont="1" applyFill="1" applyBorder="1" applyAlignment="1" applyProtection="1">
      <alignment horizontal="left" vertical="center" wrapText="1"/>
      <protection hidden="1"/>
    </xf>
    <xf numFmtId="44" fontId="30" fillId="0" borderId="60" xfId="1" applyNumberFormat="1" applyFont="1" applyFill="1" applyBorder="1" applyAlignment="1" applyProtection="1">
      <alignment vertical="center" wrapText="1"/>
    </xf>
    <xf numFmtId="44" fontId="30" fillId="0" borderId="89" xfId="1" applyNumberFormat="1" applyFont="1" applyFill="1" applyBorder="1" applyAlignment="1" applyProtection="1">
      <alignment vertical="center" wrapText="1"/>
    </xf>
    <xf numFmtId="0" fontId="41" fillId="0" borderId="0" xfId="0" applyFont="1" applyAlignment="1" applyProtection="1">
      <alignment vertical="center"/>
      <protection hidden="1"/>
    </xf>
    <xf numFmtId="164" fontId="30" fillId="4" borderId="83" xfId="5" applyNumberFormat="1" applyFont="1" applyFill="1" applyBorder="1" applyAlignment="1" applyProtection="1">
      <alignment horizontal="center" vertical="center" wrapText="1"/>
      <protection locked="0"/>
    </xf>
    <xf numFmtId="164" fontId="30" fillId="4" borderId="84" xfId="5" applyNumberFormat="1" applyFont="1" applyFill="1" applyBorder="1" applyAlignment="1" applyProtection="1">
      <alignment horizontal="center" vertical="center" wrapText="1"/>
      <protection locked="0"/>
    </xf>
    <xf numFmtId="164" fontId="30" fillId="4" borderId="87" xfId="5" applyNumberFormat="1" applyFont="1" applyFill="1" applyBorder="1" applyAlignment="1" applyProtection="1">
      <alignment horizontal="center" vertical="center" wrapText="1"/>
      <protection locked="0"/>
    </xf>
    <xf numFmtId="164" fontId="30" fillId="4" borderId="32" xfId="5" applyNumberFormat="1" applyFont="1" applyFill="1" applyBorder="1" applyAlignment="1" applyProtection="1">
      <alignment horizontal="center" vertical="center" wrapText="1"/>
      <protection locked="0"/>
    </xf>
    <xf numFmtId="0" fontId="5" fillId="6" borderId="9" xfId="0" applyFont="1" applyFill="1" applyBorder="1" applyAlignment="1" applyProtection="1">
      <alignment vertical="center"/>
      <protection hidden="1"/>
    </xf>
    <xf numFmtId="49" fontId="3" fillId="6" borderId="119" xfId="1" applyNumberFormat="1" applyFont="1" applyFill="1" applyBorder="1" applyAlignment="1" applyProtection="1">
      <alignment horizontal="center" vertical="center" wrapText="1"/>
      <protection hidden="1"/>
    </xf>
    <xf numFmtId="0" fontId="26" fillId="2" borderId="0" xfId="0" applyFont="1" applyFill="1" applyAlignment="1" applyProtection="1">
      <alignment vertical="center"/>
      <protection hidden="1"/>
    </xf>
    <xf numFmtId="0" fontId="26" fillId="2" borderId="0" xfId="0" applyFont="1" applyFill="1" applyAlignment="1" applyProtection="1">
      <alignment vertical="center"/>
    </xf>
    <xf numFmtId="44" fontId="30" fillId="0" borderId="78" xfId="1" applyNumberFormat="1" applyFont="1" applyFill="1" applyBorder="1" applyAlignment="1" applyProtection="1">
      <alignment vertical="center" wrapText="1"/>
    </xf>
    <xf numFmtId="44" fontId="30" fillId="0" borderId="86" xfId="1" applyNumberFormat="1" applyFont="1" applyFill="1" applyBorder="1" applyAlignment="1" applyProtection="1">
      <alignment vertical="center" wrapText="1"/>
    </xf>
    <xf numFmtId="44" fontId="30" fillId="0" borderId="71" xfId="1" applyNumberFormat="1" applyFont="1" applyFill="1" applyBorder="1" applyAlignment="1" applyProtection="1">
      <alignment horizontal="center" vertical="center"/>
    </xf>
    <xf numFmtId="44" fontId="30" fillId="3" borderId="71" xfId="1" applyNumberFormat="1" applyFont="1" applyFill="1" applyBorder="1" applyAlignment="1" applyProtection="1">
      <alignment horizontal="center" vertical="center"/>
    </xf>
    <xf numFmtId="44" fontId="30" fillId="5" borderId="78" xfId="1" applyNumberFormat="1" applyFont="1" applyFill="1" applyBorder="1" applyAlignment="1" applyProtection="1">
      <alignment vertical="center" wrapText="1"/>
    </xf>
    <xf numFmtId="44" fontId="30" fillId="5" borderId="71" xfId="1" applyNumberFormat="1" applyFont="1" applyFill="1" applyBorder="1" applyAlignment="1" applyProtection="1">
      <alignment horizontal="center" vertical="center"/>
    </xf>
    <xf numFmtId="44" fontId="30" fillId="6" borderId="71" xfId="1" applyNumberFormat="1" applyFont="1" applyFill="1" applyBorder="1" applyAlignment="1" applyProtection="1">
      <alignment horizontal="center" vertical="center"/>
    </xf>
    <xf numFmtId="10" fontId="30" fillId="4" borderId="49" xfId="1" applyNumberFormat="1" applyFont="1" applyFill="1" applyBorder="1" applyAlignment="1" applyProtection="1">
      <alignment horizontal="center" vertical="center" wrapText="1"/>
      <protection locked="0"/>
    </xf>
    <xf numFmtId="0" fontId="3" fillId="3" borderId="6"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4" fontId="30" fillId="0" borderId="126" xfId="0" applyNumberFormat="1" applyFont="1" applyFill="1" applyBorder="1" applyAlignment="1" applyProtection="1">
      <alignment horizontal="left" vertical="center" wrapText="1"/>
      <protection hidden="1"/>
    </xf>
    <xf numFmtId="44" fontId="30" fillId="0" borderId="128" xfId="0" applyNumberFormat="1" applyFont="1" applyFill="1" applyBorder="1" applyAlignment="1" applyProtection="1">
      <alignment horizontal="left" vertical="center" wrapText="1"/>
      <protection hidden="1"/>
    </xf>
    <xf numFmtId="44" fontId="30" fillId="0" borderId="129" xfId="0" applyNumberFormat="1" applyFont="1" applyFill="1" applyBorder="1" applyAlignment="1" applyProtection="1">
      <alignment horizontal="left" vertical="center" wrapText="1"/>
      <protection hidden="1"/>
    </xf>
    <xf numFmtId="49" fontId="30" fillId="4" borderId="104" xfId="5" applyNumberFormat="1" applyFont="1" applyFill="1" applyBorder="1" applyAlignment="1" applyProtection="1">
      <alignment horizontal="left" vertical="center" wrapText="1"/>
      <protection locked="0"/>
    </xf>
    <xf numFmtId="0" fontId="3" fillId="6" borderId="30" xfId="0" applyFont="1" applyFill="1" applyBorder="1" applyAlignment="1" applyProtection="1">
      <alignment vertical="center"/>
      <protection hidden="1"/>
    </xf>
    <xf numFmtId="0" fontId="3" fillId="6" borderId="102" xfId="0" applyFont="1" applyFill="1" applyBorder="1" applyAlignment="1" applyProtection="1">
      <alignment vertical="center"/>
      <protection hidden="1"/>
    </xf>
    <xf numFmtId="0" fontId="5" fillId="6" borderId="10" xfId="0" applyFont="1" applyFill="1" applyBorder="1" applyAlignment="1" applyProtection="1">
      <alignment vertical="center"/>
      <protection hidden="1"/>
    </xf>
    <xf numFmtId="0" fontId="30" fillId="4" borderId="137" xfId="0" applyFont="1" applyFill="1" applyBorder="1" applyAlignment="1" applyProtection="1">
      <alignment horizontal="center" vertical="center"/>
      <protection locked="0"/>
    </xf>
    <xf numFmtId="167" fontId="30" fillId="0" borderId="79" xfId="1" applyNumberFormat="1" applyFont="1" applyFill="1" applyBorder="1" applyAlignment="1" applyProtection="1">
      <alignment horizontal="center" vertical="center" wrapText="1"/>
    </xf>
    <xf numFmtId="0" fontId="30" fillId="0" borderId="113" xfId="0" applyFont="1" applyFill="1" applyBorder="1" applyAlignment="1" applyProtection="1">
      <alignment horizontal="center" vertical="center"/>
    </xf>
    <xf numFmtId="0" fontId="30" fillId="0" borderId="91" xfId="0" applyFont="1" applyFill="1" applyBorder="1" applyAlignment="1" applyProtection="1">
      <alignment horizontal="center" vertical="center"/>
    </xf>
    <xf numFmtId="0" fontId="30" fillId="0" borderId="104" xfId="0" applyFont="1" applyFill="1" applyBorder="1" applyAlignment="1" applyProtection="1">
      <alignment horizontal="center" vertical="center"/>
    </xf>
    <xf numFmtId="165" fontId="30" fillId="5" borderId="2" xfId="5" applyNumberFormat="1" applyFont="1" applyFill="1" applyBorder="1" applyAlignment="1" applyProtection="1">
      <alignment horizontal="center" vertical="center"/>
    </xf>
    <xf numFmtId="166" fontId="30" fillId="0" borderId="71" xfId="1" applyNumberFormat="1" applyFont="1" applyFill="1" applyBorder="1" applyAlignment="1" applyProtection="1">
      <alignment horizontal="center" vertical="center"/>
    </xf>
    <xf numFmtId="165" fontId="30" fillId="0" borderId="71" xfId="1" applyNumberFormat="1" applyFont="1" applyFill="1" applyBorder="1" applyAlignment="1" applyProtection="1">
      <alignment horizontal="center" vertical="center"/>
    </xf>
    <xf numFmtId="164" fontId="30" fillId="0" borderId="2" xfId="5" applyNumberFormat="1" applyFont="1" applyFill="1" applyBorder="1" applyAlignment="1" applyProtection="1">
      <alignment horizontal="center" vertical="center"/>
    </xf>
    <xf numFmtId="164" fontId="30" fillId="5" borderId="2" xfId="5" applyNumberFormat="1" applyFont="1" applyFill="1" applyBorder="1" applyAlignment="1" applyProtection="1">
      <alignment horizontal="center" vertical="center"/>
    </xf>
    <xf numFmtId="10" fontId="30" fillId="4" borderId="67" xfId="1" applyNumberFormat="1" applyFont="1" applyFill="1" applyBorder="1" applyAlignment="1" applyProtection="1">
      <alignment horizontal="center" vertical="center" wrapText="1"/>
      <protection locked="0"/>
    </xf>
    <xf numFmtId="10" fontId="30" fillId="4" borderId="104" xfId="1" applyNumberFormat="1" applyFont="1" applyFill="1" applyBorder="1" applyAlignment="1" applyProtection="1">
      <alignment horizontal="center" vertical="center" wrapText="1"/>
      <protection locked="0"/>
    </xf>
    <xf numFmtId="165" fontId="30" fillId="0" borderId="15" xfId="0" applyNumberFormat="1" applyFont="1" applyFill="1" applyBorder="1" applyAlignment="1" applyProtection="1">
      <alignment horizontal="center" vertical="center"/>
      <protection hidden="1"/>
    </xf>
    <xf numFmtId="165" fontId="30" fillId="0" borderId="120" xfId="0" applyNumberFormat="1" applyFont="1" applyFill="1" applyBorder="1" applyAlignment="1" applyProtection="1">
      <alignment horizontal="center" vertical="center"/>
      <protection hidden="1"/>
    </xf>
    <xf numFmtId="165" fontId="30" fillId="0" borderId="16" xfId="0" applyNumberFormat="1" applyFont="1" applyFill="1" applyBorder="1" applyAlignment="1" applyProtection="1">
      <alignment horizontal="center" vertical="center"/>
      <protection hidden="1"/>
    </xf>
    <xf numFmtId="0" fontId="31" fillId="5" borderId="0" xfId="0" applyNumberFormat="1" applyFont="1" applyFill="1" applyBorder="1" applyAlignment="1" applyProtection="1">
      <alignment vertical="center"/>
    </xf>
    <xf numFmtId="0" fontId="43" fillId="5" borderId="0" xfId="90" applyFont="1" applyFill="1" applyBorder="1" applyAlignment="1" applyProtection="1">
      <alignment vertical="center"/>
    </xf>
    <xf numFmtId="44" fontId="30" fillId="0" borderId="11" xfId="0" applyNumberFormat="1" applyFont="1" applyFill="1" applyBorder="1" applyAlignment="1" applyProtection="1">
      <alignment horizontal="left" vertical="center" wrapText="1"/>
      <protection hidden="1"/>
    </xf>
    <xf numFmtId="44" fontId="30" fillId="0" borderId="145" xfId="0" applyNumberFormat="1" applyFont="1" applyFill="1" applyBorder="1" applyAlignment="1" applyProtection="1">
      <alignment horizontal="left" vertical="center" wrapText="1"/>
      <protection hidden="1"/>
    </xf>
    <xf numFmtId="44" fontId="30" fillId="0" borderId="148" xfId="0" applyNumberFormat="1" applyFont="1" applyFill="1" applyBorder="1" applyAlignment="1" applyProtection="1">
      <alignment horizontal="left" vertical="center" wrapText="1"/>
      <protection hidden="1"/>
    </xf>
    <xf numFmtId="44" fontId="30" fillId="4" borderId="149" xfId="1" applyFont="1" applyFill="1" applyBorder="1" applyAlignment="1" applyProtection="1">
      <alignment vertical="center" wrapText="1"/>
      <protection locked="0"/>
    </xf>
    <xf numFmtId="44" fontId="30" fillId="5" borderId="86" xfId="1" applyNumberFormat="1" applyFont="1" applyFill="1" applyBorder="1" applyAlignment="1" applyProtection="1">
      <alignment vertical="center" wrapText="1"/>
    </xf>
    <xf numFmtId="44" fontId="30" fillId="4" borderId="52" xfId="1" applyFont="1" applyFill="1" applyBorder="1" applyAlignment="1" applyProtection="1">
      <alignment vertical="center" wrapText="1"/>
      <protection locked="0"/>
    </xf>
    <xf numFmtId="44" fontId="30" fillId="0" borderId="151" xfId="1" applyNumberFormat="1" applyFont="1" applyFill="1" applyBorder="1" applyAlignment="1" applyProtection="1">
      <alignment vertical="center" wrapText="1"/>
    </xf>
    <xf numFmtId="44" fontId="30" fillId="5" borderId="151" xfId="1" applyNumberFormat="1" applyFont="1" applyFill="1" applyBorder="1" applyAlignment="1" applyProtection="1">
      <alignment vertical="center" wrapText="1"/>
    </xf>
    <xf numFmtId="164" fontId="30" fillId="4" borderId="153" xfId="5" applyNumberFormat="1" applyFont="1" applyFill="1" applyBorder="1" applyAlignment="1" applyProtection="1">
      <alignment horizontal="center" vertical="center" wrapText="1"/>
      <protection locked="0"/>
    </xf>
    <xf numFmtId="164" fontId="30" fillId="4" borderId="147" xfId="5" applyNumberFormat="1" applyFont="1" applyFill="1" applyBorder="1" applyAlignment="1" applyProtection="1">
      <alignment horizontal="center" vertical="center" wrapText="1"/>
      <protection locked="0"/>
    </xf>
    <xf numFmtId="44" fontId="30" fillId="0" borderId="53" xfId="5" applyNumberFormat="1" applyFont="1" applyFill="1" applyBorder="1" applyAlignment="1" applyProtection="1">
      <alignment vertical="center" wrapText="1"/>
    </xf>
    <xf numFmtId="0" fontId="30" fillId="0" borderId="68" xfId="0" applyNumberFormat="1" applyFont="1" applyFill="1" applyBorder="1" applyAlignment="1" applyProtection="1">
      <alignment horizontal="center" vertical="center"/>
      <protection hidden="1"/>
    </xf>
    <xf numFmtId="0" fontId="30" fillId="0" borderId="147" xfId="0" applyNumberFormat="1" applyFont="1" applyFill="1" applyBorder="1" applyAlignment="1" applyProtection="1">
      <alignment horizontal="center" vertical="center"/>
      <protection hidden="1"/>
    </xf>
    <xf numFmtId="0" fontId="30" fillId="0" borderId="32" xfId="0" applyNumberFormat="1" applyFont="1" applyFill="1" applyBorder="1" applyAlignment="1" applyProtection="1">
      <alignment horizontal="center" vertical="center"/>
      <protection hidden="1"/>
    </xf>
    <xf numFmtId="0" fontId="30" fillId="0" borderId="81" xfId="0" applyNumberFormat="1" applyFont="1" applyFill="1" applyBorder="1" applyAlignment="1" applyProtection="1">
      <alignment horizontal="center" vertical="center"/>
      <protection hidden="1"/>
    </xf>
    <xf numFmtId="0" fontId="30" fillId="0" borderId="21" xfId="0" applyNumberFormat="1" applyFont="1" applyFill="1" applyBorder="1" applyAlignment="1" applyProtection="1">
      <alignment horizontal="center" vertical="center"/>
      <protection hidden="1"/>
    </xf>
    <xf numFmtId="0" fontId="30" fillId="0" borderId="93" xfId="0" applyNumberFormat="1" applyFont="1" applyFill="1" applyBorder="1" applyAlignment="1" applyProtection="1">
      <alignment horizontal="center" vertical="center"/>
      <protection hidden="1"/>
    </xf>
    <xf numFmtId="49" fontId="30" fillId="4" borderId="116" xfId="0" applyNumberFormat="1" applyFont="1" applyFill="1" applyBorder="1" applyAlignment="1" applyProtection="1">
      <alignment horizontal="center" vertical="center" wrapText="1"/>
      <protection locked="0"/>
    </xf>
    <xf numFmtId="49" fontId="30" fillId="4" borderId="91" xfId="0" applyNumberFormat="1" applyFont="1" applyFill="1" applyBorder="1" applyAlignment="1" applyProtection="1">
      <alignment horizontal="center" vertical="center" wrapText="1"/>
      <protection locked="0"/>
    </xf>
    <xf numFmtId="49" fontId="30" fillId="4" borderId="91" xfId="0" applyNumberFormat="1" applyFont="1" applyFill="1" applyBorder="1" applyAlignment="1" applyProtection="1">
      <alignment horizontal="center" vertical="center"/>
      <protection locked="0"/>
    </xf>
    <xf numFmtId="49" fontId="30" fillId="4" borderId="57" xfId="0" applyNumberFormat="1" applyFont="1" applyFill="1" applyBorder="1" applyAlignment="1" applyProtection="1">
      <alignment horizontal="center" vertical="center" wrapText="1"/>
      <protection locked="0"/>
    </xf>
    <xf numFmtId="0" fontId="30" fillId="0" borderId="127" xfId="0" applyNumberFormat="1" applyFont="1" applyFill="1" applyBorder="1" applyAlignment="1" applyProtection="1">
      <alignment horizontal="center" vertical="center" wrapText="1"/>
      <protection hidden="1"/>
    </xf>
    <xf numFmtId="0" fontId="30" fillId="0" borderId="68" xfId="0" applyNumberFormat="1" applyFont="1" applyFill="1" applyBorder="1" applyAlignment="1" applyProtection="1">
      <alignment horizontal="center" vertical="center" wrapText="1"/>
      <protection hidden="1"/>
    </xf>
    <xf numFmtId="49" fontId="30" fillId="0" borderId="146" xfId="0" applyNumberFormat="1" applyFont="1" applyFill="1" applyBorder="1" applyAlignment="1" applyProtection="1">
      <alignment horizontal="center" vertical="center" wrapText="1"/>
      <protection hidden="1"/>
    </xf>
    <xf numFmtId="49" fontId="30" fillId="0" borderId="147" xfId="0" applyNumberFormat="1" applyFont="1" applyFill="1" applyBorder="1" applyAlignment="1" applyProtection="1">
      <alignment horizontal="center" vertical="center"/>
      <protection hidden="1"/>
    </xf>
    <xf numFmtId="49" fontId="30" fillId="0" borderId="147" xfId="0" applyNumberFormat="1" applyFont="1" applyFill="1" applyBorder="1" applyAlignment="1" applyProtection="1">
      <alignment horizontal="center" vertical="center" wrapText="1"/>
      <protection hidden="1"/>
    </xf>
    <xf numFmtId="49" fontId="30" fillId="0" borderId="144" xfId="0" applyNumberFormat="1" applyFont="1" applyFill="1" applyBorder="1" applyAlignment="1" applyProtection="1">
      <alignment horizontal="center" vertical="center" wrapText="1"/>
      <protection hidden="1"/>
    </xf>
    <xf numFmtId="0" fontId="30" fillId="0" borderId="32" xfId="0" applyNumberFormat="1" applyFont="1" applyFill="1" applyBorder="1" applyAlignment="1" applyProtection="1">
      <alignment horizontal="center" vertical="center" wrapText="1"/>
      <protection hidden="1"/>
    </xf>
    <xf numFmtId="0" fontId="30" fillId="0" borderId="135" xfId="0" applyNumberFormat="1" applyFont="1" applyFill="1" applyBorder="1" applyAlignment="1" applyProtection="1">
      <alignment horizontal="center" vertical="center" wrapText="1"/>
      <protection hidden="1"/>
    </xf>
    <xf numFmtId="49" fontId="30" fillId="0" borderId="96" xfId="0" applyNumberFormat="1" applyFont="1" applyFill="1" applyBorder="1" applyAlignment="1" applyProtection="1">
      <alignment horizontal="center" vertical="center" wrapText="1"/>
      <protection hidden="1"/>
    </xf>
    <xf numFmtId="49" fontId="30" fillId="0" borderId="95" xfId="0" applyNumberFormat="1" applyFont="1" applyFill="1" applyBorder="1" applyAlignment="1" applyProtection="1">
      <alignment horizontal="center" vertical="center"/>
      <protection hidden="1"/>
    </xf>
    <xf numFmtId="49" fontId="30" fillId="0" borderId="95" xfId="0" applyNumberFormat="1" applyFont="1" applyFill="1" applyBorder="1" applyAlignment="1" applyProtection="1">
      <alignment horizontal="center" vertical="center" wrapText="1"/>
      <protection hidden="1"/>
    </xf>
    <xf numFmtId="49" fontId="30" fillId="0" borderId="136" xfId="0" applyNumberFormat="1" applyFont="1" applyFill="1" applyBorder="1" applyAlignment="1" applyProtection="1">
      <alignment horizontal="center" vertical="center" wrapText="1"/>
      <protection hidden="1"/>
    </xf>
    <xf numFmtId="0" fontId="30" fillId="0" borderId="23" xfId="0" applyNumberFormat="1" applyFont="1" applyFill="1" applyBorder="1" applyAlignment="1" applyProtection="1">
      <alignment horizontal="center" vertical="center"/>
      <protection hidden="1"/>
    </xf>
    <xf numFmtId="0" fontId="30" fillId="0" borderId="125" xfId="0" applyNumberFormat="1" applyFont="1" applyFill="1" applyBorder="1" applyAlignment="1" applyProtection="1">
      <alignment horizontal="center" vertical="center"/>
      <protection hidden="1"/>
    </xf>
    <xf numFmtId="0" fontId="30" fillId="0" borderId="125" xfId="0" applyNumberFormat="1" applyFont="1" applyFill="1" applyBorder="1" applyAlignment="1" applyProtection="1">
      <alignment horizontal="center" vertical="center" wrapText="1"/>
      <protection hidden="1"/>
    </xf>
    <xf numFmtId="44" fontId="30" fillId="0" borderId="91" xfId="1" applyNumberFormat="1" applyFont="1" applyFill="1" applyBorder="1" applyAlignment="1" applyProtection="1">
      <alignment vertical="center" wrapText="1"/>
    </xf>
    <xf numFmtId="44" fontId="30" fillId="0" borderId="157" xfId="1" applyNumberFormat="1" applyFont="1" applyFill="1" applyBorder="1" applyAlignment="1" applyProtection="1">
      <alignment vertical="center" wrapText="1"/>
    </xf>
    <xf numFmtId="0" fontId="39" fillId="0" borderId="0" xfId="0" applyFont="1" applyBorder="1" applyAlignment="1">
      <alignment vertical="center" wrapText="1"/>
    </xf>
    <xf numFmtId="164" fontId="30" fillId="4" borderId="158" xfId="5" applyNumberFormat="1" applyFont="1" applyFill="1" applyBorder="1" applyAlignment="1" applyProtection="1">
      <alignment vertical="center" wrapText="1"/>
      <protection locked="0"/>
    </xf>
    <xf numFmtId="49" fontId="30" fillId="4" borderId="136" xfId="0" applyNumberFormat="1" applyFont="1" applyFill="1" applyBorder="1" applyAlignment="1" applyProtection="1">
      <alignment horizontal="left" vertical="center"/>
      <protection locked="0"/>
    </xf>
    <xf numFmtId="0" fontId="30" fillId="4" borderId="159" xfId="0" applyFont="1" applyFill="1" applyBorder="1" applyAlignment="1" applyProtection="1">
      <alignment horizontal="center" vertical="center"/>
      <protection locked="0"/>
    </xf>
    <xf numFmtId="166" fontId="30" fillId="0" borderId="132" xfId="1" applyNumberFormat="1" applyFont="1" applyFill="1" applyBorder="1" applyAlignment="1" applyProtection="1">
      <alignment horizontal="center" vertical="center" wrapText="1"/>
    </xf>
    <xf numFmtId="166" fontId="30" fillId="5" borderId="71" xfId="1" applyNumberFormat="1" applyFont="1" applyFill="1" applyBorder="1" applyAlignment="1" applyProtection="1">
      <alignment horizontal="center" vertical="center"/>
    </xf>
    <xf numFmtId="49" fontId="30" fillId="4" borderId="57" xfId="0" applyNumberFormat="1" applyFont="1" applyFill="1" applyBorder="1" applyAlignment="1" applyProtection="1">
      <alignment horizontal="center" vertical="center"/>
      <protection locked="0"/>
    </xf>
    <xf numFmtId="49" fontId="30" fillId="4" borderId="157" xfId="0" applyNumberFormat="1" applyFont="1" applyFill="1" applyBorder="1" applyAlignment="1" applyProtection="1">
      <alignment horizontal="center" vertical="center" wrapText="1"/>
      <protection locked="0"/>
    </xf>
    <xf numFmtId="49" fontId="30" fillId="4" borderId="157" xfId="0" applyNumberFormat="1" applyFont="1" applyFill="1" applyBorder="1" applyAlignment="1" applyProtection="1">
      <alignment horizontal="center" vertical="center"/>
      <protection locked="0"/>
    </xf>
    <xf numFmtId="44" fontId="30" fillId="4" borderId="161" xfId="1" applyNumberFormat="1" applyFont="1" applyFill="1" applyBorder="1" applyAlignment="1" applyProtection="1">
      <alignment vertical="center" wrapText="1"/>
      <protection locked="0"/>
    </xf>
    <xf numFmtId="165" fontId="3" fillId="0" borderId="0" xfId="0" applyNumberFormat="1" applyFont="1" applyFill="1" applyBorder="1" applyAlignment="1" applyProtection="1">
      <alignment vertical="center"/>
    </xf>
    <xf numFmtId="165" fontId="30" fillId="0" borderId="67" xfId="0" applyNumberFormat="1" applyFont="1" applyFill="1" applyBorder="1" applyAlignment="1" applyProtection="1">
      <alignment horizontal="center" vertical="center"/>
    </xf>
    <xf numFmtId="165" fontId="30" fillId="5" borderId="71" xfId="1" applyNumberFormat="1" applyFont="1" applyFill="1" applyBorder="1" applyAlignment="1" applyProtection="1">
      <alignment horizontal="center" vertical="center"/>
    </xf>
    <xf numFmtId="0" fontId="3" fillId="3" borderId="75" xfId="0" applyFont="1" applyFill="1" applyBorder="1" applyAlignment="1" applyProtection="1">
      <alignment vertical="center"/>
    </xf>
    <xf numFmtId="0" fontId="3" fillId="3" borderId="114" xfId="0" applyFont="1" applyFill="1" applyBorder="1" applyAlignment="1" applyProtection="1">
      <alignment vertical="center"/>
    </xf>
    <xf numFmtId="0" fontId="5" fillId="0" borderId="120" xfId="0" applyFont="1" applyFill="1" applyBorder="1" applyAlignment="1" applyProtection="1">
      <alignment horizontal="center" vertical="center"/>
      <protection hidden="1"/>
    </xf>
    <xf numFmtId="165" fontId="30" fillId="0" borderId="104" xfId="0" applyNumberFormat="1" applyFont="1" applyFill="1" applyBorder="1" applyAlignment="1" applyProtection="1">
      <alignment horizontal="center" vertical="center"/>
    </xf>
    <xf numFmtId="166" fontId="30" fillId="0" borderId="133" xfId="1" applyNumberFormat="1" applyFont="1" applyFill="1" applyBorder="1" applyAlignment="1" applyProtection="1">
      <alignment horizontal="center" vertical="center" wrapText="1"/>
    </xf>
    <xf numFmtId="165" fontId="45" fillId="0" borderId="75" xfId="0" applyNumberFormat="1" applyFont="1" applyFill="1" applyBorder="1" applyAlignment="1" applyProtection="1">
      <alignment vertical="center"/>
    </xf>
    <xf numFmtId="165" fontId="45" fillId="0" borderId="114" xfId="0" applyNumberFormat="1" applyFont="1" applyFill="1" applyBorder="1" applyAlignment="1" applyProtection="1">
      <alignment vertical="center"/>
    </xf>
    <xf numFmtId="44" fontId="35" fillId="0" borderId="169" xfId="1" applyNumberFormat="1" applyFont="1" applyFill="1" applyBorder="1" applyAlignment="1" applyProtection="1">
      <alignment vertical="center" wrapText="1"/>
    </xf>
    <xf numFmtId="44" fontId="35" fillId="0" borderId="170" xfId="1" applyNumberFormat="1" applyFont="1" applyFill="1" applyBorder="1" applyAlignment="1" applyProtection="1">
      <alignment vertical="center" wrapText="1"/>
    </xf>
    <xf numFmtId="0" fontId="3" fillId="6" borderId="171" xfId="0" applyFont="1" applyFill="1" applyBorder="1" applyAlignment="1" applyProtection="1">
      <alignment vertical="center"/>
      <protection hidden="1"/>
    </xf>
    <xf numFmtId="0" fontId="5" fillId="6" borderId="174" xfId="0" applyFont="1" applyFill="1" applyBorder="1" applyAlignment="1" applyProtection="1">
      <alignment vertical="center"/>
      <protection hidden="1"/>
    </xf>
    <xf numFmtId="0" fontId="35" fillId="0" borderId="122" xfId="0" applyFont="1" applyFill="1" applyBorder="1" applyAlignment="1" applyProtection="1">
      <alignment horizontal="center" vertical="center"/>
      <protection hidden="1"/>
    </xf>
    <xf numFmtId="0" fontId="35" fillId="0" borderId="172" xfId="0" applyFont="1" applyFill="1" applyBorder="1" applyAlignment="1" applyProtection="1">
      <alignment horizontal="center" vertical="center"/>
      <protection hidden="1"/>
    </xf>
    <xf numFmtId="0" fontId="35" fillId="0" borderId="114" xfId="0" applyFont="1" applyFill="1" applyBorder="1" applyAlignment="1" applyProtection="1">
      <alignment horizontal="center" vertical="center"/>
      <protection hidden="1"/>
    </xf>
    <xf numFmtId="0" fontId="35" fillId="0" borderId="115" xfId="0" applyFont="1" applyFill="1" applyBorder="1" applyAlignment="1" applyProtection="1">
      <alignment horizontal="center" vertical="center"/>
      <protection hidden="1"/>
    </xf>
    <xf numFmtId="0" fontId="35" fillId="0" borderId="173" xfId="0" applyFont="1" applyFill="1" applyBorder="1" applyAlignment="1" applyProtection="1">
      <alignment horizontal="center" vertical="center"/>
      <protection hidden="1"/>
    </xf>
    <xf numFmtId="0" fontId="35" fillId="0" borderId="115" xfId="0" applyFont="1" applyFill="1" applyBorder="1" applyAlignment="1" applyProtection="1">
      <alignment vertical="center"/>
      <protection hidden="1"/>
    </xf>
    <xf numFmtId="0" fontId="35" fillId="0" borderId="174" xfId="0" applyFont="1" applyFill="1" applyBorder="1" applyAlignment="1" applyProtection="1">
      <alignment vertical="center"/>
      <protection hidden="1"/>
    </xf>
    <xf numFmtId="0" fontId="35" fillId="0" borderId="10" xfId="0" applyFont="1" applyFill="1" applyBorder="1" applyAlignment="1" applyProtection="1">
      <alignment vertical="center"/>
      <protection hidden="1"/>
    </xf>
    <xf numFmtId="0" fontId="45" fillId="0" borderId="75" xfId="0" applyFont="1" applyFill="1" applyBorder="1" applyAlignment="1" applyProtection="1">
      <alignment vertical="center"/>
    </xf>
    <xf numFmtId="0" fontId="45" fillId="0" borderId="114" xfId="0" applyFont="1" applyFill="1" applyBorder="1" applyAlignment="1" applyProtection="1">
      <alignment vertical="center"/>
    </xf>
    <xf numFmtId="9" fontId="3" fillId="6" borderId="2" xfId="5" applyFont="1" applyFill="1" applyBorder="1" applyAlignment="1" applyProtection="1">
      <alignment horizontal="center" vertical="center" wrapText="1"/>
      <protection hidden="1"/>
    </xf>
    <xf numFmtId="9" fontId="3" fillId="6" borderId="2" xfId="5" applyFont="1" applyFill="1" applyBorder="1" applyAlignment="1" applyProtection="1">
      <alignment horizontal="left" vertical="center" wrapText="1" indent="1"/>
      <protection hidden="1"/>
    </xf>
    <xf numFmtId="0" fontId="40" fillId="0" borderId="0" xfId="0" applyFont="1" applyBorder="1" applyAlignment="1">
      <alignment horizontal="center" vertical="center" wrapText="1"/>
    </xf>
    <xf numFmtId="44" fontId="5" fillId="0" borderId="0" xfId="0" applyNumberFormat="1" applyFont="1" applyFill="1" applyBorder="1" applyAlignment="1" applyProtection="1">
      <alignment vertical="center"/>
      <protection hidden="1"/>
    </xf>
    <xf numFmtId="169" fontId="5" fillId="0" borderId="0" xfId="0" applyNumberFormat="1" applyFont="1" applyFill="1" applyBorder="1" applyAlignment="1" applyProtection="1">
      <alignment vertical="center"/>
      <protection hidden="1"/>
    </xf>
    <xf numFmtId="0" fontId="5" fillId="0" borderId="0" xfId="0" applyFont="1" applyFill="1" applyBorder="1" applyAlignment="1" applyProtection="1">
      <alignment horizontal="center" vertical="center"/>
      <protection hidden="1"/>
    </xf>
    <xf numFmtId="9" fontId="5" fillId="0" borderId="0" xfId="0" applyNumberFormat="1" applyFont="1" applyFill="1" applyBorder="1" applyAlignment="1" applyProtection="1">
      <alignment horizontal="center" vertical="center" wrapText="1"/>
      <protection hidden="1"/>
    </xf>
    <xf numFmtId="0" fontId="5" fillId="0" borderId="0" xfId="0" applyFont="1" applyFill="1" applyBorder="1" applyAlignment="1" applyProtection="1">
      <alignment horizontal="center" vertical="center" wrapText="1"/>
      <protection hidden="1"/>
    </xf>
    <xf numFmtId="0" fontId="39" fillId="0" borderId="138" xfId="0" applyFont="1" applyBorder="1" applyAlignment="1">
      <alignment horizontal="center" vertical="center" wrapText="1"/>
    </xf>
    <xf numFmtId="0" fontId="30" fillId="4" borderId="135" xfId="0" applyNumberFormat="1" applyFont="1" applyFill="1" applyBorder="1" applyAlignment="1" applyProtection="1">
      <alignment horizontal="center" vertical="center" wrapText="1"/>
      <protection locked="0"/>
    </xf>
    <xf numFmtId="0" fontId="30" fillId="4" borderId="96" xfId="0" applyNumberFormat="1" applyFont="1" applyFill="1" applyBorder="1" applyAlignment="1" applyProtection="1">
      <alignment horizontal="center" vertical="center" wrapText="1"/>
      <protection locked="0"/>
    </xf>
    <xf numFmtId="0" fontId="30" fillId="4" borderId="136" xfId="0" applyNumberFormat="1" applyFont="1" applyFill="1" applyBorder="1" applyAlignment="1" applyProtection="1">
      <alignment horizontal="center" vertical="center" wrapText="1"/>
      <protection locked="0"/>
    </xf>
    <xf numFmtId="9" fontId="30" fillId="4" borderId="78" xfId="1" applyNumberFormat="1" applyFont="1" applyFill="1" applyBorder="1" applyAlignment="1" applyProtection="1">
      <alignment horizontal="center" vertical="center" wrapText="1"/>
      <protection locked="0"/>
    </xf>
    <xf numFmtId="9" fontId="30" fillId="4" borderId="152" xfId="1" applyNumberFormat="1" applyFont="1" applyFill="1" applyBorder="1" applyAlignment="1" applyProtection="1">
      <alignment horizontal="center" vertical="center" wrapText="1"/>
      <protection locked="0"/>
    </xf>
    <xf numFmtId="9" fontId="30" fillId="4" borderId="150" xfId="1" applyNumberFormat="1" applyFont="1" applyFill="1" applyBorder="1" applyAlignment="1" applyProtection="1">
      <alignment horizontal="center" vertical="center" wrapText="1"/>
      <protection locked="0"/>
    </xf>
    <xf numFmtId="9" fontId="30" fillId="4" borderId="151" xfId="1" applyNumberFormat="1" applyFont="1" applyFill="1" applyBorder="1" applyAlignment="1" applyProtection="1">
      <alignment horizontal="center" vertical="center" wrapText="1"/>
      <protection locked="0"/>
    </xf>
    <xf numFmtId="9" fontId="30" fillId="4" borderId="86" xfId="1" applyNumberFormat="1" applyFont="1" applyFill="1" applyBorder="1" applyAlignment="1" applyProtection="1">
      <alignment horizontal="center" vertical="center" wrapText="1"/>
      <protection locked="0"/>
    </xf>
    <xf numFmtId="164" fontId="30" fillId="4" borderId="78" xfId="1" applyNumberFormat="1" applyFont="1" applyFill="1" applyBorder="1" applyAlignment="1" applyProtection="1">
      <alignment horizontal="center" vertical="center" wrapText="1"/>
      <protection locked="0"/>
    </xf>
    <xf numFmtId="164" fontId="30" fillId="4" borderId="152" xfId="1" applyNumberFormat="1" applyFont="1" applyFill="1" applyBorder="1" applyAlignment="1" applyProtection="1">
      <alignment horizontal="center" vertical="center" wrapText="1"/>
      <protection locked="0"/>
    </xf>
    <xf numFmtId="164" fontId="30" fillId="4" borderId="150" xfId="1" applyNumberFormat="1" applyFont="1" applyFill="1" applyBorder="1" applyAlignment="1" applyProtection="1">
      <alignment horizontal="center" vertical="center" wrapText="1"/>
      <protection locked="0"/>
    </xf>
    <xf numFmtId="0" fontId="30" fillId="8" borderId="68" xfId="0" applyNumberFormat="1" applyFont="1" applyFill="1" applyBorder="1" applyAlignment="1" applyProtection="1">
      <alignment horizontal="center" vertical="center"/>
      <protection locked="0"/>
    </xf>
    <xf numFmtId="0" fontId="30" fillId="8" borderId="95" xfId="0" applyNumberFormat="1" applyFont="1" applyFill="1" applyBorder="1" applyAlignment="1" applyProtection="1">
      <alignment horizontal="center" vertical="center"/>
      <protection locked="0"/>
    </xf>
    <xf numFmtId="0" fontId="30" fillId="8" borderId="125" xfId="0" applyNumberFormat="1" applyFont="1" applyFill="1" applyBorder="1" applyAlignment="1" applyProtection="1">
      <alignment horizontal="center" vertical="center"/>
      <protection locked="0"/>
    </xf>
    <xf numFmtId="0" fontId="30" fillId="8" borderId="68" xfId="0" applyNumberFormat="1" applyFont="1" applyFill="1" applyBorder="1" applyAlignment="1" applyProtection="1">
      <alignment horizontal="center" vertical="center"/>
    </xf>
    <xf numFmtId="0" fontId="30" fillId="8" borderId="147" xfId="0" applyNumberFormat="1" applyFont="1" applyFill="1" applyBorder="1" applyAlignment="1" applyProtection="1">
      <alignment horizontal="center" vertical="center"/>
    </xf>
    <xf numFmtId="0" fontId="30" fillId="8" borderId="32" xfId="0" applyNumberFormat="1" applyFont="1" applyFill="1" applyBorder="1" applyAlignment="1" applyProtection="1">
      <alignment horizontal="center" vertical="center"/>
    </xf>
    <xf numFmtId="0" fontId="30" fillId="8" borderId="81" xfId="0" applyNumberFormat="1" applyFont="1" applyFill="1" applyBorder="1" applyAlignment="1" applyProtection="1">
      <alignment horizontal="center" vertical="center"/>
      <protection hidden="1"/>
    </xf>
    <xf numFmtId="0" fontId="30" fillId="8" borderId="21" xfId="0" applyNumberFormat="1" applyFont="1" applyFill="1" applyBorder="1" applyAlignment="1" applyProtection="1">
      <alignment horizontal="center" vertical="center"/>
      <protection hidden="1"/>
    </xf>
    <xf numFmtId="0" fontId="30" fillId="8" borderId="93" xfId="0" applyNumberFormat="1" applyFont="1" applyFill="1" applyBorder="1" applyAlignment="1" applyProtection="1">
      <alignment horizontal="center" vertical="center"/>
      <protection hidden="1"/>
    </xf>
    <xf numFmtId="165" fontId="45" fillId="0" borderId="75" xfId="0" applyNumberFormat="1" applyFont="1" applyFill="1" applyBorder="1" applyAlignment="1" applyProtection="1">
      <alignment vertical="center"/>
      <protection hidden="1"/>
    </xf>
    <xf numFmtId="165" fontId="45" fillId="0" borderId="114" xfId="0" applyNumberFormat="1" applyFont="1" applyFill="1" applyBorder="1" applyAlignment="1" applyProtection="1">
      <alignment vertical="center"/>
      <protection hidden="1"/>
    </xf>
    <xf numFmtId="2" fontId="45" fillId="0" borderId="166" xfId="0" applyNumberFormat="1" applyFont="1" applyFill="1" applyBorder="1" applyAlignment="1" applyProtection="1">
      <alignment vertical="center"/>
      <protection hidden="1"/>
    </xf>
    <xf numFmtId="0" fontId="45" fillId="0" borderId="164" xfId="0" applyFont="1" applyFill="1" applyBorder="1" applyAlignment="1" applyProtection="1">
      <alignment vertical="center"/>
      <protection hidden="1"/>
    </xf>
    <xf numFmtId="0" fontId="45" fillId="0" borderId="165" xfId="0" applyFont="1" applyFill="1" applyBorder="1" applyAlignment="1" applyProtection="1">
      <alignment vertical="center"/>
      <protection hidden="1"/>
    </xf>
    <xf numFmtId="9" fontId="30" fillId="7" borderId="18" xfId="5" applyNumberFormat="1" applyFont="1" applyFill="1" applyBorder="1" applyAlignment="1" applyProtection="1">
      <alignment vertical="center" wrapText="1"/>
    </xf>
    <xf numFmtId="9" fontId="30" fillId="7" borderId="20" xfId="5" applyNumberFormat="1" applyFont="1" applyFill="1" applyBorder="1" applyAlignment="1" applyProtection="1">
      <alignment vertical="center" wrapText="1"/>
    </xf>
    <xf numFmtId="9" fontId="30" fillId="7" borderId="52" xfId="5" applyNumberFormat="1" applyFont="1" applyFill="1" applyBorder="1" applyAlignment="1" applyProtection="1">
      <alignment vertical="center" wrapText="1"/>
    </xf>
    <xf numFmtId="44" fontId="30" fillId="5" borderId="2" xfId="0" applyNumberFormat="1" applyFont="1" applyFill="1" applyBorder="1" applyAlignment="1" applyProtection="1">
      <alignment horizontal="left" vertical="center"/>
      <protection hidden="1"/>
    </xf>
    <xf numFmtId="44" fontId="30" fillId="4" borderId="92" xfId="1" applyFont="1" applyFill="1" applyBorder="1" applyAlignment="1" applyProtection="1">
      <alignment vertical="center" wrapText="1"/>
      <protection locked="0"/>
    </xf>
    <xf numFmtId="0" fontId="1" fillId="4" borderId="0" xfId="90" applyFont="1" applyFill="1" applyBorder="1" applyAlignment="1" applyProtection="1">
      <alignment vertical="center" wrapText="1"/>
    </xf>
    <xf numFmtId="0" fontId="0" fillId="0" borderId="0" xfId="0" applyAlignment="1"/>
    <xf numFmtId="0" fontId="3" fillId="5" borderId="0" xfId="3" applyNumberFormat="1" applyFont="1" applyFill="1" applyBorder="1" applyAlignment="1" applyProtection="1">
      <alignment horizontal="left" vertical="center" wrapText="1"/>
    </xf>
    <xf numFmtId="0" fontId="11" fillId="5" borderId="0" xfId="0" applyFont="1" applyFill="1" applyBorder="1" applyAlignment="1" applyProtection="1">
      <alignment horizontal="left" vertical="center" indent="1"/>
    </xf>
    <xf numFmtId="0" fontId="3" fillId="5" borderId="0" xfId="0" applyFont="1" applyFill="1" applyBorder="1" applyAlignment="1" applyProtection="1">
      <alignment horizontal="left" vertical="center" wrapText="1"/>
    </xf>
    <xf numFmtId="0" fontId="22" fillId="4" borderId="0" xfId="0" applyFont="1" applyFill="1" applyAlignment="1" applyProtection="1">
      <alignment horizontal="left" vertical="center" wrapText="1"/>
    </xf>
    <xf numFmtId="0" fontId="0" fillId="5" borderId="0" xfId="0" applyFont="1" applyFill="1" applyBorder="1" applyAlignment="1" applyProtection="1">
      <alignment horizontal="left" vertical="center" wrapText="1"/>
    </xf>
    <xf numFmtId="0" fontId="14" fillId="5" borderId="0" xfId="0" applyFont="1" applyFill="1" applyBorder="1" applyAlignment="1" applyProtection="1">
      <alignment horizontal="left" vertical="top" wrapText="1"/>
    </xf>
    <xf numFmtId="0" fontId="9" fillId="5" borderId="0" xfId="0" applyFont="1" applyFill="1" applyBorder="1" applyAlignment="1" applyProtection="1">
      <alignment horizontal="left" vertical="top" wrapText="1"/>
    </xf>
    <xf numFmtId="0" fontId="13" fillId="5" borderId="0" xfId="0" applyNumberFormat="1" applyFont="1" applyFill="1" applyBorder="1" applyAlignment="1" applyProtection="1">
      <alignment horizontal="left" vertical="center" wrapText="1"/>
    </xf>
    <xf numFmtId="0" fontId="30" fillId="5" borderId="0" xfId="3" applyNumberFormat="1" applyFont="1" applyFill="1" applyBorder="1" applyAlignment="1" applyProtection="1">
      <alignment horizontal="left" vertical="center"/>
    </xf>
    <xf numFmtId="0" fontId="10" fillId="5" borderId="0" xfId="0" applyNumberFormat="1" applyFont="1" applyFill="1" applyBorder="1" applyAlignment="1" applyProtection="1">
      <alignment vertical="center" wrapText="1"/>
    </xf>
    <xf numFmtId="0" fontId="0" fillId="0" borderId="0" xfId="0" applyAlignment="1">
      <alignment vertical="center" wrapText="1"/>
    </xf>
    <xf numFmtId="0" fontId="3" fillId="6" borderId="54" xfId="0" applyFont="1" applyFill="1" applyBorder="1" applyAlignment="1" applyProtection="1">
      <alignment horizontal="left" vertical="center"/>
      <protection hidden="1"/>
    </xf>
    <xf numFmtId="0" fontId="3" fillId="6" borderId="55" xfId="0" applyFont="1" applyFill="1" applyBorder="1" applyAlignment="1" applyProtection="1">
      <alignment horizontal="left" vertical="center"/>
      <protection hidden="1"/>
    </xf>
    <xf numFmtId="0" fontId="3" fillId="6" borderId="61" xfId="0" applyFont="1" applyFill="1" applyBorder="1" applyAlignment="1" applyProtection="1">
      <alignment horizontal="left" vertical="center"/>
      <protection hidden="1"/>
    </xf>
    <xf numFmtId="0" fontId="3" fillId="6" borderId="62" xfId="0" applyFont="1" applyFill="1" applyBorder="1" applyAlignment="1" applyProtection="1">
      <alignment horizontal="left" vertical="center"/>
      <protection hidden="1"/>
    </xf>
    <xf numFmtId="0" fontId="3" fillId="6" borderId="63" xfId="0" applyFont="1" applyFill="1" applyBorder="1" applyAlignment="1" applyProtection="1">
      <alignment horizontal="left" vertical="center"/>
      <protection hidden="1"/>
    </xf>
    <xf numFmtId="0" fontId="3" fillId="6" borderId="64" xfId="0" applyFont="1" applyFill="1" applyBorder="1" applyAlignment="1" applyProtection="1">
      <alignment horizontal="left" vertical="center"/>
      <protection hidden="1"/>
    </xf>
    <xf numFmtId="0" fontId="3" fillId="0" borderId="0" xfId="0" applyNumberFormat="1" applyFont="1" applyBorder="1" applyAlignment="1" applyProtection="1">
      <alignment horizontal="left" vertical="top" wrapText="1"/>
      <protection hidden="1"/>
    </xf>
    <xf numFmtId="0" fontId="0" fillId="0" borderId="0" xfId="0" applyNumberFormat="1" applyFont="1" applyBorder="1" applyAlignment="1" applyProtection="1">
      <alignment horizontal="left" vertical="top" wrapText="1"/>
      <protection hidden="1"/>
    </xf>
    <xf numFmtId="0" fontId="3" fillId="0" borderId="0" xfId="0" applyFont="1" applyFill="1" applyBorder="1" applyAlignment="1" applyProtection="1">
      <alignment horizontal="center" vertical="center"/>
      <protection hidden="1"/>
    </xf>
    <xf numFmtId="0" fontId="3" fillId="0" borderId="0" xfId="0" applyFont="1" applyFill="1" applyBorder="1" applyAlignment="1" applyProtection="1">
      <alignment horizontal="center" vertical="center" wrapText="1"/>
      <protection hidden="1"/>
    </xf>
    <xf numFmtId="0" fontId="3" fillId="3" borderId="34" xfId="0" applyFont="1" applyFill="1" applyBorder="1" applyAlignment="1" applyProtection="1">
      <alignment horizontal="center" vertical="center" wrapText="1"/>
      <protection hidden="1"/>
    </xf>
    <xf numFmtId="0" fontId="3" fillId="3" borderId="35" xfId="0" applyFont="1" applyFill="1" applyBorder="1" applyAlignment="1" applyProtection="1">
      <alignment horizontal="center" vertical="center" wrapText="1"/>
      <protection hidden="1"/>
    </xf>
    <xf numFmtId="0" fontId="0" fillId="3" borderId="39" xfId="0" applyFont="1" applyFill="1" applyBorder="1" applyAlignment="1" applyProtection="1">
      <alignment horizontal="center" vertical="center" wrapText="1"/>
      <protection hidden="1"/>
    </xf>
    <xf numFmtId="0" fontId="3" fillId="3" borderId="43" xfId="0" applyFont="1" applyFill="1" applyBorder="1" applyAlignment="1" applyProtection="1">
      <alignment horizontal="center" vertical="center" wrapText="1"/>
      <protection hidden="1"/>
    </xf>
    <xf numFmtId="0" fontId="3" fillId="3" borderId="60" xfId="0" applyFont="1" applyFill="1" applyBorder="1" applyAlignment="1" applyProtection="1">
      <alignment horizontal="center" vertical="center" wrapText="1"/>
      <protection hidden="1"/>
    </xf>
    <xf numFmtId="0" fontId="0" fillId="3" borderId="49" xfId="0" applyFont="1" applyFill="1" applyBorder="1" applyAlignment="1" applyProtection="1">
      <alignment horizontal="center" vertical="center" wrapText="1"/>
      <protection hidden="1"/>
    </xf>
    <xf numFmtId="0" fontId="3" fillId="3" borderId="65" xfId="0" applyFont="1" applyFill="1" applyBorder="1" applyAlignment="1" applyProtection="1">
      <alignment horizontal="center" vertical="center" wrapText="1"/>
      <protection hidden="1"/>
    </xf>
    <xf numFmtId="0" fontId="3" fillId="3" borderId="66" xfId="0" applyFont="1" applyFill="1" applyBorder="1" applyAlignment="1" applyProtection="1">
      <alignment horizontal="center" vertical="center" wrapText="1"/>
      <protection hidden="1"/>
    </xf>
    <xf numFmtId="49" fontId="3" fillId="3" borderId="131" xfId="1" applyNumberFormat="1" applyFont="1" applyFill="1" applyBorder="1" applyAlignment="1" applyProtection="1">
      <alignment horizontal="center" vertical="center" wrapText="1"/>
      <protection hidden="1"/>
    </xf>
    <xf numFmtId="49" fontId="3" fillId="3" borderId="133" xfId="1" applyNumberFormat="1" applyFont="1" applyFill="1" applyBorder="1" applyAlignment="1" applyProtection="1">
      <alignment horizontal="center" vertical="center" wrapText="1"/>
      <protection hidden="1"/>
    </xf>
    <xf numFmtId="0" fontId="3" fillId="3" borderId="39" xfId="0" applyFont="1" applyFill="1" applyBorder="1" applyAlignment="1" applyProtection="1">
      <alignment horizontal="center" vertical="center" wrapText="1"/>
      <protection hidden="1"/>
    </xf>
    <xf numFmtId="0" fontId="45" fillId="3" borderId="162" xfId="0" applyFont="1" applyFill="1" applyBorder="1" applyAlignment="1" applyProtection="1">
      <alignment horizontal="center" vertical="center" wrapText="1"/>
    </xf>
    <xf numFmtId="0" fontId="45" fillId="3" borderId="163" xfId="0" applyFont="1" applyFill="1" applyBorder="1" applyAlignment="1" applyProtection="1">
      <alignment horizontal="center" vertical="center" wrapText="1"/>
    </xf>
    <xf numFmtId="0" fontId="45" fillId="3" borderId="164" xfId="0" applyFont="1" applyFill="1" applyBorder="1" applyAlignment="1" applyProtection="1">
      <alignment horizontal="center" vertical="center" wrapText="1"/>
    </xf>
    <xf numFmtId="0" fontId="45" fillId="3" borderId="165" xfId="0" applyFont="1" applyFill="1" applyBorder="1" applyAlignment="1" applyProtection="1">
      <alignment horizontal="center" vertical="center" wrapText="1"/>
    </xf>
    <xf numFmtId="0" fontId="45" fillId="6" borderId="31" xfId="0" applyFont="1" applyFill="1" applyBorder="1" applyAlignment="1" applyProtection="1">
      <alignment horizontal="center" vertical="center"/>
    </xf>
    <xf numFmtId="0" fontId="45" fillId="6" borderId="102" xfId="0" applyFont="1" applyFill="1" applyBorder="1" applyAlignment="1" applyProtection="1">
      <alignment horizontal="center" vertical="center"/>
    </xf>
    <xf numFmtId="44" fontId="10" fillId="6" borderId="1" xfId="1" applyFont="1" applyFill="1" applyBorder="1" applyAlignment="1" applyProtection="1">
      <alignment horizontal="center" vertical="center" wrapText="1"/>
    </xf>
    <xf numFmtId="44" fontId="10" fillId="6" borderId="13" xfId="1" applyFont="1" applyFill="1" applyBorder="1" applyAlignment="1" applyProtection="1">
      <alignment horizontal="center" vertical="center" wrapText="1"/>
    </xf>
    <xf numFmtId="9" fontId="10" fillId="6" borderId="35" xfId="5" applyFont="1" applyFill="1" applyBorder="1" applyAlignment="1" applyProtection="1">
      <alignment horizontal="center" vertical="center" wrapText="1"/>
    </xf>
    <xf numFmtId="9" fontId="10" fillId="6" borderId="49" xfId="5" applyFont="1" applyFill="1" applyBorder="1" applyAlignment="1" applyProtection="1">
      <alignment horizontal="center" vertical="center" wrapText="1"/>
    </xf>
    <xf numFmtId="0" fontId="3" fillId="3" borderId="142" xfId="0" applyFont="1" applyFill="1" applyBorder="1" applyAlignment="1" applyProtection="1">
      <alignment horizontal="center" vertical="center" wrapText="1"/>
    </xf>
    <xf numFmtId="0" fontId="3" fillId="3" borderId="143" xfId="0" applyFont="1" applyFill="1" applyBorder="1" applyAlignment="1" applyProtection="1">
      <alignment horizontal="center" vertical="center" wrapText="1"/>
    </xf>
    <xf numFmtId="44" fontId="3" fillId="3" borderId="69" xfId="1" applyFont="1" applyFill="1" applyBorder="1" applyAlignment="1" applyProtection="1">
      <alignment horizontal="center" vertical="center" wrapText="1"/>
    </xf>
    <xf numFmtId="44" fontId="3" fillId="3" borderId="70" xfId="1" applyFont="1" applyFill="1" applyBorder="1" applyAlignment="1" applyProtection="1">
      <alignment horizontal="center" vertical="center" wrapText="1"/>
    </xf>
    <xf numFmtId="0" fontId="0" fillId="0" borderId="0" xfId="0" applyNumberFormat="1" applyFont="1" applyBorder="1" applyAlignment="1" applyProtection="1">
      <alignment horizontal="left" vertical="top" wrapText="1"/>
    </xf>
    <xf numFmtId="0" fontId="3" fillId="0" borderId="0" xfId="0" applyNumberFormat="1" applyFont="1" applyBorder="1" applyAlignment="1" applyProtection="1">
      <alignment horizontal="left" vertical="top" wrapText="1"/>
    </xf>
    <xf numFmtId="9" fontId="3" fillId="3" borderId="56" xfId="5" applyFont="1" applyFill="1" applyBorder="1" applyAlignment="1" applyProtection="1">
      <alignment horizontal="center" vertical="center" wrapText="1"/>
    </xf>
    <xf numFmtId="9" fontId="3" fillId="3" borderId="154" xfId="5" applyFont="1" applyFill="1" applyBorder="1" applyAlignment="1" applyProtection="1">
      <alignment horizontal="center" vertical="center" wrapText="1"/>
    </xf>
    <xf numFmtId="49" fontId="3" fillId="3" borderId="11" xfId="1" applyNumberFormat="1" applyFont="1" applyFill="1" applyBorder="1" applyAlignment="1" applyProtection="1">
      <alignment horizontal="center" vertical="center" wrapText="1"/>
    </xf>
    <xf numFmtId="49" fontId="3" fillId="3" borderId="24" xfId="1" applyNumberFormat="1" applyFont="1" applyFill="1" applyBorder="1" applyAlignment="1" applyProtection="1">
      <alignment horizontal="center" vertical="center" wrapText="1"/>
    </xf>
    <xf numFmtId="49" fontId="3" fillId="3" borderId="20" xfId="1" applyNumberFormat="1" applyFont="1" applyFill="1" applyBorder="1" applyAlignment="1" applyProtection="1">
      <alignment horizontal="center" vertical="center" wrapText="1"/>
    </xf>
    <xf numFmtId="49" fontId="3" fillId="3" borderId="22" xfId="1" applyNumberFormat="1" applyFont="1" applyFill="1" applyBorder="1" applyAlignment="1" applyProtection="1">
      <alignment horizontal="center" vertical="center" wrapText="1"/>
    </xf>
    <xf numFmtId="49" fontId="3" fillId="3" borderId="21" xfId="1" applyNumberFormat="1" applyFont="1" applyFill="1" applyBorder="1" applyAlignment="1" applyProtection="1">
      <alignment horizontal="center" vertical="center" wrapText="1"/>
    </xf>
    <xf numFmtId="49" fontId="3" fillId="3" borderId="23" xfId="1" applyNumberFormat="1" applyFont="1" applyFill="1" applyBorder="1" applyAlignment="1" applyProtection="1">
      <alignment horizontal="center" vertical="center" wrapText="1"/>
    </xf>
    <xf numFmtId="0" fontId="10" fillId="3" borderId="109" xfId="0" applyFont="1" applyFill="1" applyBorder="1" applyAlignment="1" applyProtection="1">
      <alignment horizontal="left" vertical="center" wrapText="1"/>
    </xf>
    <xf numFmtId="0" fontId="10" fillId="3" borderId="33" xfId="0" applyFont="1" applyFill="1" applyBorder="1" applyAlignment="1" applyProtection="1">
      <alignment horizontal="left" vertical="center" wrapText="1"/>
    </xf>
    <xf numFmtId="0" fontId="10" fillId="3" borderId="110" xfId="0" applyFont="1" applyFill="1" applyBorder="1" applyAlignment="1" applyProtection="1">
      <alignment horizontal="left" vertical="center" wrapText="1"/>
    </xf>
    <xf numFmtId="0" fontId="3" fillId="3" borderId="47" xfId="0" applyFont="1" applyFill="1" applyBorder="1" applyAlignment="1" applyProtection="1">
      <alignment horizontal="center" vertical="center" wrapText="1"/>
    </xf>
    <xf numFmtId="0" fontId="3" fillId="3" borderId="45" xfId="0" applyFont="1" applyFill="1" applyBorder="1" applyAlignment="1" applyProtection="1">
      <alignment horizontal="center" vertical="center" wrapText="1"/>
    </xf>
    <xf numFmtId="44" fontId="3" fillId="3" borderId="155" xfId="1" applyFont="1" applyFill="1" applyBorder="1" applyAlignment="1" applyProtection="1">
      <alignment horizontal="center" vertical="center" wrapText="1"/>
    </xf>
    <xf numFmtId="44" fontId="3" fillId="3" borderId="156" xfId="1" applyFont="1" applyFill="1" applyBorder="1" applyAlignment="1" applyProtection="1">
      <alignment horizontal="center" vertical="center" wrapText="1"/>
    </xf>
    <xf numFmtId="0" fontId="3" fillId="3" borderId="141" xfId="0" applyFont="1" applyFill="1" applyBorder="1" applyAlignment="1" applyProtection="1">
      <alignment horizontal="center" vertical="center" wrapText="1"/>
    </xf>
    <xf numFmtId="0" fontId="3" fillId="3" borderId="25" xfId="0" applyFont="1" applyFill="1" applyBorder="1" applyAlignment="1" applyProtection="1">
      <alignment horizontal="center" vertical="center" wrapText="1"/>
    </xf>
    <xf numFmtId="0" fontId="3" fillId="3" borderId="48" xfId="0" applyFont="1" applyFill="1" applyBorder="1" applyAlignment="1" applyProtection="1">
      <alignment horizontal="center" vertical="center" wrapText="1"/>
    </xf>
    <xf numFmtId="0" fontId="3" fillId="3" borderId="46" xfId="0" applyFont="1" applyFill="1" applyBorder="1" applyAlignment="1" applyProtection="1">
      <alignment horizontal="center" vertical="center" wrapText="1"/>
    </xf>
    <xf numFmtId="9" fontId="10" fillId="3" borderId="30" xfId="5" applyFont="1" applyFill="1" applyBorder="1" applyAlignment="1" applyProtection="1">
      <alignment horizontal="left" vertical="center" wrapText="1"/>
    </xf>
    <xf numFmtId="9" fontId="10" fillId="3" borderId="31" xfId="5" applyFont="1" applyFill="1" applyBorder="1" applyAlignment="1" applyProtection="1">
      <alignment horizontal="left" vertical="center" wrapText="1"/>
    </xf>
    <xf numFmtId="9" fontId="10" fillId="3" borderId="102" xfId="5" applyFont="1" applyFill="1" applyBorder="1" applyAlignment="1" applyProtection="1">
      <alignment horizontal="left" vertical="center" wrapText="1"/>
    </xf>
    <xf numFmtId="0" fontId="3" fillId="3" borderId="180" xfId="0" applyFont="1" applyFill="1" applyBorder="1" applyAlignment="1" applyProtection="1">
      <alignment horizontal="center" vertical="center" wrapText="1"/>
    </xf>
    <xf numFmtId="0" fontId="3" fillId="3" borderId="181" xfId="0" applyFont="1" applyFill="1" applyBorder="1" applyAlignment="1" applyProtection="1">
      <alignment horizontal="center" vertical="center" wrapText="1"/>
    </xf>
    <xf numFmtId="49" fontId="3" fillId="6" borderId="117" xfId="0" applyNumberFormat="1" applyFont="1" applyFill="1" applyBorder="1" applyAlignment="1" applyProtection="1">
      <alignment horizontal="center" vertical="center" wrapText="1"/>
      <protection hidden="1"/>
    </xf>
    <xf numFmtId="49" fontId="3" fillId="6" borderId="118" xfId="0" applyNumberFormat="1" applyFont="1" applyFill="1" applyBorder="1" applyAlignment="1" applyProtection="1">
      <alignment horizontal="center" vertical="center" wrapText="1"/>
      <protection hidden="1"/>
    </xf>
    <xf numFmtId="49" fontId="10" fillId="6" borderId="30" xfId="0" applyNumberFormat="1" applyFont="1" applyFill="1" applyBorder="1" applyAlignment="1" applyProtection="1">
      <alignment horizontal="left" vertical="center" wrapText="1"/>
      <protection hidden="1"/>
    </xf>
    <xf numFmtId="49" fontId="10" fillId="6" borderId="31" xfId="0" applyNumberFormat="1" applyFont="1" applyFill="1" applyBorder="1" applyAlignment="1" applyProtection="1">
      <alignment horizontal="left" vertical="center" wrapText="1"/>
      <protection hidden="1"/>
    </xf>
    <xf numFmtId="49" fontId="10" fillId="6" borderId="102" xfId="0" applyNumberFormat="1" applyFont="1" applyFill="1" applyBorder="1" applyAlignment="1" applyProtection="1">
      <alignment horizontal="left" vertical="center" wrapText="1"/>
      <protection hidden="1"/>
    </xf>
    <xf numFmtId="9" fontId="3" fillId="6" borderId="35" xfId="5" applyFont="1" applyFill="1" applyBorder="1" applyAlignment="1" applyProtection="1">
      <alignment horizontal="left" vertical="center" wrapText="1" indent="1"/>
      <protection hidden="1"/>
    </xf>
    <xf numFmtId="9" fontId="3" fillId="6" borderId="49" xfId="5" applyFont="1" applyFill="1" applyBorder="1" applyAlignment="1" applyProtection="1">
      <alignment horizontal="left" vertical="center" wrapText="1" indent="1"/>
      <protection hidden="1"/>
    </xf>
    <xf numFmtId="49" fontId="3" fillId="6" borderId="59" xfId="0" applyNumberFormat="1" applyFont="1" applyFill="1" applyBorder="1" applyAlignment="1" applyProtection="1">
      <alignment horizontal="center" vertical="center" wrapText="1"/>
      <protection hidden="1"/>
    </xf>
    <xf numFmtId="49" fontId="3" fillId="6" borderId="37" xfId="0" applyNumberFormat="1" applyFont="1" applyFill="1" applyBorder="1" applyAlignment="1" applyProtection="1">
      <alignment horizontal="center" vertical="center" wrapText="1"/>
      <protection hidden="1"/>
    </xf>
    <xf numFmtId="44" fontId="3" fillId="3" borderId="105" xfId="1" applyFont="1" applyFill="1" applyBorder="1" applyAlignment="1" applyProtection="1">
      <alignment horizontal="center" vertical="center" wrapText="1"/>
    </xf>
    <xf numFmtId="44" fontId="3" fillId="3" borderId="35" xfId="1" applyFont="1" applyFill="1" applyBorder="1" applyAlignment="1" applyProtection="1">
      <alignment horizontal="center" vertical="center" wrapText="1"/>
    </xf>
    <xf numFmtId="49" fontId="3" fillId="6" borderId="58" xfId="0" applyNumberFormat="1" applyFont="1" applyFill="1" applyBorder="1" applyAlignment="1" applyProtection="1">
      <alignment horizontal="center" vertical="center" wrapText="1"/>
      <protection hidden="1"/>
    </xf>
    <xf numFmtId="49" fontId="3" fillId="6" borderId="36" xfId="0" applyNumberFormat="1" applyFont="1" applyFill="1" applyBorder="1" applyAlignment="1" applyProtection="1">
      <alignment horizontal="center" vertical="center" wrapText="1"/>
      <protection hidden="1"/>
    </xf>
    <xf numFmtId="0" fontId="3" fillId="6" borderId="35" xfId="5" applyNumberFormat="1" applyFont="1" applyFill="1" applyBorder="1" applyAlignment="1" applyProtection="1">
      <alignment horizontal="left" vertical="center" wrapText="1" indent="1"/>
      <protection hidden="1"/>
    </xf>
    <xf numFmtId="0" fontId="3" fillId="6" borderId="49" xfId="5" applyNumberFormat="1" applyFont="1" applyFill="1" applyBorder="1" applyAlignment="1" applyProtection="1">
      <alignment horizontal="left" vertical="center" wrapText="1" indent="1"/>
      <protection hidden="1"/>
    </xf>
    <xf numFmtId="49" fontId="3" fillId="6" borderId="107" xfId="0" applyNumberFormat="1" applyFont="1" applyFill="1" applyBorder="1" applyAlignment="1" applyProtection="1">
      <alignment horizontal="center" vertical="center" wrapText="1"/>
      <protection hidden="1"/>
    </xf>
    <xf numFmtId="49" fontId="3" fillId="6" borderId="108" xfId="0" applyNumberFormat="1" applyFont="1" applyFill="1" applyBorder="1" applyAlignment="1" applyProtection="1">
      <alignment horizontal="center" vertical="center" wrapText="1"/>
      <protection hidden="1"/>
    </xf>
    <xf numFmtId="49" fontId="3" fillId="3" borderId="56" xfId="5" applyNumberFormat="1" applyFont="1" applyFill="1" applyBorder="1" applyAlignment="1" applyProtection="1">
      <alignment horizontal="center" vertical="center" wrapText="1"/>
      <protection hidden="1"/>
    </xf>
    <xf numFmtId="49" fontId="3" fillId="3" borderId="106" xfId="5" applyNumberFormat="1" applyFont="1" applyFill="1" applyBorder="1" applyAlignment="1" applyProtection="1">
      <alignment horizontal="center" vertical="center" wrapText="1"/>
      <protection hidden="1"/>
    </xf>
    <xf numFmtId="49" fontId="3" fillId="7" borderId="18" xfId="0" applyNumberFormat="1" applyFont="1" applyFill="1" applyBorder="1" applyAlignment="1" applyProtection="1">
      <alignment horizontal="left" vertical="center" wrapText="1" indent="1"/>
      <protection hidden="1"/>
    </xf>
    <xf numFmtId="49" fontId="3" fillId="7" borderId="19" xfId="0" applyNumberFormat="1" applyFont="1" applyFill="1" applyBorder="1" applyAlignment="1" applyProtection="1">
      <alignment horizontal="left" vertical="center" wrapText="1" indent="1"/>
      <protection hidden="1"/>
    </xf>
    <xf numFmtId="49" fontId="3" fillId="7" borderId="20" xfId="5" applyNumberFormat="1" applyFont="1" applyFill="1" applyBorder="1" applyAlignment="1" applyProtection="1">
      <alignment horizontal="center" vertical="center" wrapText="1"/>
      <protection hidden="1"/>
    </xf>
    <xf numFmtId="49" fontId="3" fillId="7" borderId="22" xfId="5" applyNumberFormat="1" applyFont="1" applyFill="1" applyBorder="1" applyAlignment="1" applyProtection="1">
      <alignment horizontal="center" vertical="center" wrapText="1"/>
      <protection hidden="1"/>
    </xf>
    <xf numFmtId="44" fontId="3" fillId="6" borderId="8" xfId="1" applyFont="1" applyFill="1" applyBorder="1" applyAlignment="1" applyProtection="1">
      <alignment horizontal="left" vertical="center" wrapText="1" indent="1"/>
      <protection hidden="1"/>
    </xf>
    <xf numFmtId="44" fontId="3" fillId="6" borderId="9" xfId="1" applyFont="1" applyFill="1" applyBorder="1" applyAlignment="1" applyProtection="1">
      <alignment horizontal="left" vertical="center" wrapText="1" indent="1"/>
      <protection hidden="1"/>
    </xf>
    <xf numFmtId="44" fontId="3" fillId="6" borderId="10" xfId="1" applyFont="1" applyFill="1" applyBorder="1" applyAlignment="1" applyProtection="1">
      <alignment horizontal="left" vertical="center" wrapText="1" indent="1"/>
      <protection hidden="1"/>
    </xf>
    <xf numFmtId="0" fontId="3" fillId="3" borderId="130" xfId="0" applyFont="1" applyFill="1" applyBorder="1" applyAlignment="1" applyProtection="1">
      <alignment horizontal="center" vertical="center" wrapText="1"/>
    </xf>
    <xf numFmtId="49" fontId="10" fillId="3" borderId="30" xfId="0" applyNumberFormat="1" applyFont="1" applyFill="1" applyBorder="1" applyAlignment="1" applyProtection="1">
      <alignment horizontal="left" vertical="center" wrapText="1"/>
      <protection hidden="1"/>
    </xf>
    <xf numFmtId="49" fontId="10" fillId="3" borderId="31" xfId="0" applyNumberFormat="1" applyFont="1" applyFill="1" applyBorder="1" applyAlignment="1" applyProtection="1">
      <alignment horizontal="left" vertical="center" wrapText="1"/>
      <protection hidden="1"/>
    </xf>
    <xf numFmtId="49" fontId="10" fillId="3" borderId="102" xfId="0" applyNumberFormat="1" applyFont="1" applyFill="1" applyBorder="1" applyAlignment="1" applyProtection="1">
      <alignment horizontal="left" vertical="center" wrapText="1"/>
      <protection hidden="1"/>
    </xf>
    <xf numFmtId="0" fontId="3" fillId="3" borderId="56" xfId="0" applyFont="1" applyFill="1" applyBorder="1" applyAlignment="1" applyProtection="1">
      <alignment horizontal="center" vertical="center" wrapText="1"/>
    </xf>
    <xf numFmtId="49" fontId="3" fillId="3" borderId="69" xfId="1" applyNumberFormat="1" applyFont="1" applyFill="1" applyBorder="1" applyAlignment="1" applyProtection="1">
      <alignment horizontal="center" vertical="center" wrapText="1"/>
    </xf>
    <xf numFmtId="49" fontId="3" fillId="7" borderId="11" xfId="1" applyNumberFormat="1" applyFont="1" applyFill="1" applyBorder="1" applyAlignment="1" applyProtection="1">
      <alignment horizontal="center" vertical="center" wrapText="1"/>
      <protection hidden="1"/>
    </xf>
    <xf numFmtId="49" fontId="3" fillId="7" borderId="24" xfId="1" applyNumberFormat="1" applyFont="1" applyFill="1" applyBorder="1" applyAlignment="1" applyProtection="1">
      <alignment horizontal="center" vertical="center" wrapText="1"/>
      <protection hidden="1"/>
    </xf>
    <xf numFmtId="0" fontId="3" fillId="3" borderId="29" xfId="0" applyFont="1" applyFill="1" applyBorder="1" applyAlignment="1" applyProtection="1">
      <alignment horizontal="center" vertical="center" wrapText="1"/>
    </xf>
    <xf numFmtId="0" fontId="3" fillId="3" borderId="139" xfId="0" applyFont="1" applyFill="1" applyBorder="1" applyAlignment="1" applyProtection="1">
      <alignment horizontal="center" vertical="center" wrapText="1"/>
    </xf>
    <xf numFmtId="0" fontId="3" fillId="3" borderId="140" xfId="0" applyFont="1" applyFill="1" applyBorder="1" applyAlignment="1" applyProtection="1">
      <alignment horizontal="center" vertical="center" wrapText="1"/>
    </xf>
    <xf numFmtId="0" fontId="3" fillId="3" borderId="178" xfId="0" applyFont="1" applyFill="1" applyBorder="1" applyAlignment="1" applyProtection="1">
      <alignment horizontal="center" vertical="center" wrapText="1"/>
    </xf>
    <xf numFmtId="0" fontId="3" fillId="3" borderId="179" xfId="0" applyFont="1" applyFill="1" applyBorder="1" applyAlignment="1" applyProtection="1">
      <alignment horizontal="center" vertical="center" wrapText="1"/>
    </xf>
    <xf numFmtId="0" fontId="39" fillId="0" borderId="138" xfId="0" applyFont="1" applyBorder="1" applyAlignment="1">
      <alignment horizontal="center" vertical="center" wrapText="1"/>
    </xf>
    <xf numFmtId="0" fontId="40" fillId="0" borderId="138" xfId="0" applyFont="1" applyBorder="1" applyAlignment="1">
      <alignment horizontal="center" vertical="center" wrapText="1"/>
    </xf>
    <xf numFmtId="0" fontId="40" fillId="0" borderId="138" xfId="0" applyFont="1" applyBorder="1" applyAlignment="1">
      <alignment horizontal="center" wrapText="1"/>
    </xf>
    <xf numFmtId="9" fontId="3" fillId="6" borderId="112" xfId="5" applyFont="1" applyFill="1" applyBorder="1" applyAlignment="1" applyProtection="1">
      <alignment horizontal="left" vertical="center" wrapText="1" indent="1"/>
      <protection hidden="1"/>
    </xf>
    <xf numFmtId="0" fontId="3" fillId="3" borderId="123" xfId="0" applyFont="1" applyFill="1" applyBorder="1" applyAlignment="1" applyProtection="1">
      <alignment horizontal="center" vertical="center" wrapText="1"/>
    </xf>
    <xf numFmtId="0" fontId="10" fillId="3" borderId="3" xfId="0" applyFont="1" applyFill="1" applyBorder="1" applyAlignment="1" applyProtection="1">
      <alignment horizontal="left" vertical="center" wrapText="1"/>
      <protection hidden="1"/>
    </xf>
    <xf numFmtId="0" fontId="10" fillId="3" borderId="4" xfId="0" applyFont="1" applyFill="1" applyBorder="1" applyAlignment="1" applyProtection="1">
      <alignment horizontal="left" vertical="center" wrapText="1"/>
      <protection hidden="1"/>
    </xf>
    <xf numFmtId="0" fontId="10" fillId="3" borderId="5" xfId="0" applyFont="1" applyFill="1" applyBorder="1" applyAlignment="1" applyProtection="1">
      <alignment horizontal="left" vertical="center" wrapText="1"/>
      <protection hidden="1"/>
    </xf>
    <xf numFmtId="0" fontId="3" fillId="3" borderId="175" xfId="0" applyFont="1" applyFill="1" applyBorder="1" applyAlignment="1" applyProtection="1">
      <alignment horizontal="center" vertical="center" wrapText="1"/>
    </xf>
    <xf numFmtId="49" fontId="3" fillId="3" borderId="124" xfId="1" applyNumberFormat="1" applyFont="1" applyFill="1" applyBorder="1" applyAlignment="1" applyProtection="1">
      <alignment horizontal="center" vertical="center" wrapText="1"/>
    </xf>
    <xf numFmtId="0" fontId="17" fillId="0" borderId="4" xfId="0" applyFont="1" applyBorder="1" applyAlignment="1" applyProtection="1">
      <alignment horizontal="center" vertical="center"/>
      <protection hidden="1"/>
    </xf>
    <xf numFmtId="0" fontId="0" fillId="0" borderId="4" xfId="0" applyBorder="1" applyAlignment="1">
      <alignment horizontal="center" vertical="center"/>
    </xf>
    <xf numFmtId="0" fontId="0" fillId="0" borderId="0" xfId="0" applyAlignment="1">
      <alignment horizontal="center" vertical="center"/>
    </xf>
    <xf numFmtId="9" fontId="3" fillId="6" borderId="160" xfId="5" applyFont="1" applyFill="1" applyBorder="1" applyAlignment="1" applyProtection="1">
      <alignment horizontal="center" vertical="center" wrapText="1"/>
      <protection hidden="1"/>
    </xf>
    <xf numFmtId="0" fontId="0" fillId="0" borderId="16" xfId="0" applyBorder="1" applyAlignment="1">
      <alignment horizontal="center" vertical="center" wrapText="1"/>
    </xf>
    <xf numFmtId="9" fontId="3" fillId="6" borderId="6" xfId="5" applyFont="1" applyFill="1" applyBorder="1" applyAlignment="1" applyProtection="1">
      <alignment horizontal="left" vertical="center" wrapText="1"/>
      <protection hidden="1"/>
    </xf>
    <xf numFmtId="0" fontId="0" fillId="0" borderId="16" xfId="0" applyBorder="1" applyAlignment="1">
      <alignment vertical="center"/>
    </xf>
    <xf numFmtId="0" fontId="10" fillId="6" borderId="3" xfId="0" applyFont="1" applyFill="1" applyBorder="1" applyAlignment="1" applyProtection="1">
      <alignment horizontal="left" vertical="center" wrapText="1"/>
      <protection hidden="1"/>
    </xf>
    <xf numFmtId="0" fontId="10" fillId="6" borderId="4" xfId="0" applyFont="1" applyFill="1" applyBorder="1" applyAlignment="1" applyProtection="1">
      <alignment horizontal="left" vertical="center" wrapText="1"/>
      <protection hidden="1"/>
    </xf>
    <xf numFmtId="0" fontId="10" fillId="6" borderId="5" xfId="0" applyFont="1" applyFill="1" applyBorder="1" applyAlignment="1" applyProtection="1">
      <alignment horizontal="left" vertical="center" wrapText="1"/>
      <protection hidden="1"/>
    </xf>
    <xf numFmtId="0" fontId="3" fillId="6" borderId="176" xfId="0" applyFont="1" applyFill="1" applyBorder="1" applyAlignment="1" applyProtection="1">
      <alignment horizontal="center" vertical="center" wrapText="1"/>
      <protection hidden="1"/>
    </xf>
    <xf numFmtId="0" fontId="3" fillId="6" borderId="22" xfId="0" applyFont="1" applyFill="1" applyBorder="1" applyAlignment="1" applyProtection="1">
      <alignment horizontal="center" vertical="center" wrapText="1"/>
      <protection hidden="1"/>
    </xf>
    <xf numFmtId="0" fontId="3" fillId="6" borderId="177" xfId="0" applyFont="1" applyFill="1" applyBorder="1" applyAlignment="1" applyProtection="1">
      <alignment horizontal="center" vertical="center" wrapText="1"/>
      <protection hidden="1"/>
    </xf>
    <xf numFmtId="0" fontId="0" fillId="0" borderId="73" xfId="0" applyBorder="1" applyAlignment="1">
      <alignment horizontal="center" vertical="center" wrapText="1"/>
    </xf>
    <xf numFmtId="0" fontId="10" fillId="6" borderId="134" xfId="0" applyFont="1" applyFill="1" applyBorder="1" applyAlignment="1" applyProtection="1">
      <alignment horizontal="left" vertical="center" wrapText="1"/>
      <protection hidden="1"/>
    </xf>
    <xf numFmtId="0" fontId="10" fillId="6" borderId="31" xfId="0" applyFont="1" applyFill="1" applyBorder="1" applyAlignment="1" applyProtection="1">
      <alignment horizontal="left" vertical="center" wrapText="1"/>
      <protection hidden="1"/>
    </xf>
    <xf numFmtId="0" fontId="10" fillId="6" borderId="102" xfId="0" applyFont="1" applyFill="1" applyBorder="1" applyAlignment="1" applyProtection="1">
      <alignment horizontal="left" vertical="center" wrapText="1"/>
      <protection hidden="1"/>
    </xf>
    <xf numFmtId="9" fontId="3" fillId="6" borderId="1" xfId="5" applyFont="1" applyFill="1" applyBorder="1" applyAlignment="1" applyProtection="1">
      <alignment horizontal="center" vertical="center" wrapText="1"/>
      <protection hidden="1"/>
    </xf>
    <xf numFmtId="9" fontId="3" fillId="6" borderId="13" xfId="5" applyFont="1" applyFill="1" applyBorder="1" applyAlignment="1" applyProtection="1">
      <alignment horizontal="center" vertical="center" wrapText="1"/>
      <protection hidden="1"/>
    </xf>
    <xf numFmtId="0" fontId="0" fillId="0" borderId="13" xfId="0" applyBorder="1" applyAlignment="1">
      <alignment vertical="center"/>
    </xf>
    <xf numFmtId="0" fontId="0" fillId="0" borderId="14" xfId="0" applyBorder="1" applyAlignment="1">
      <alignment vertical="center"/>
    </xf>
    <xf numFmtId="9" fontId="3" fillId="6" borderId="123" xfId="5" applyFont="1" applyFill="1" applyBorder="1" applyAlignment="1" applyProtection="1">
      <alignment horizontal="center" vertical="center" wrapText="1"/>
      <protection hidden="1"/>
    </xf>
    <xf numFmtId="9" fontId="3" fillId="6" borderId="45" xfId="5" applyFont="1" applyFill="1" applyBorder="1" applyAlignment="1" applyProtection="1">
      <alignment horizontal="center" vertical="center" wrapText="1"/>
      <protection hidden="1"/>
    </xf>
    <xf numFmtId="9" fontId="45" fillId="6" borderId="167" xfId="5" applyFont="1" applyFill="1" applyBorder="1" applyAlignment="1" applyProtection="1">
      <alignment horizontal="center" vertical="center" wrapText="1"/>
      <protection hidden="1"/>
    </xf>
    <xf numFmtId="9" fontId="45" fillId="6" borderId="168" xfId="5" applyFont="1" applyFill="1" applyBorder="1" applyAlignment="1" applyProtection="1">
      <alignment horizontal="center" vertical="center" wrapText="1"/>
      <protection hidden="1"/>
    </xf>
    <xf numFmtId="44" fontId="3" fillId="3" borderId="160" xfId="1" applyFont="1" applyFill="1" applyBorder="1" applyAlignment="1" applyProtection="1">
      <alignment horizontal="center" vertical="center" wrapText="1"/>
    </xf>
    <xf numFmtId="44" fontId="3" fillId="3" borderId="16" xfId="1" applyFont="1" applyFill="1" applyBorder="1" applyAlignment="1" applyProtection="1">
      <alignment horizontal="center" vertical="center" wrapText="1"/>
    </xf>
    <xf numFmtId="49" fontId="34" fillId="6" borderId="76" xfId="0" applyNumberFormat="1" applyFont="1" applyFill="1" applyBorder="1" applyAlignment="1" applyProtection="1">
      <alignment horizontal="center" vertical="center" wrapText="1"/>
      <protection hidden="1"/>
    </xf>
    <xf numFmtId="49" fontId="34" fillId="6" borderId="121" xfId="0" applyNumberFormat="1" applyFont="1" applyFill="1" applyBorder="1" applyAlignment="1" applyProtection="1">
      <alignment horizontal="center" vertical="center" wrapText="1"/>
      <protection hidden="1"/>
    </xf>
    <xf numFmtId="49" fontId="34" fillId="6" borderId="172" xfId="0" applyNumberFormat="1" applyFont="1" applyFill="1" applyBorder="1" applyAlignment="1" applyProtection="1">
      <alignment horizontal="center" vertical="center" wrapText="1"/>
      <protection hidden="1"/>
    </xf>
    <xf numFmtId="49" fontId="34" fillId="6" borderId="173" xfId="0" applyNumberFormat="1" applyFont="1" applyFill="1" applyBorder="1" applyAlignment="1" applyProtection="1">
      <alignment horizontal="center" vertical="center" wrapText="1"/>
      <protection hidden="1"/>
    </xf>
    <xf numFmtId="44" fontId="3" fillId="3" borderId="124" xfId="1" applyFont="1" applyFill="1" applyBorder="1" applyAlignment="1" applyProtection="1">
      <alignment horizontal="center" vertical="center" wrapText="1"/>
    </xf>
    <xf numFmtId="49" fontId="23" fillId="4" borderId="0" xfId="0" applyNumberFormat="1" applyFont="1" applyFill="1" applyBorder="1" applyAlignment="1" applyProtection="1">
      <alignment horizontal="left" vertical="top" wrapText="1"/>
    </xf>
    <xf numFmtId="49" fontId="3" fillId="4" borderId="0" xfId="0" applyNumberFormat="1" applyFont="1" applyFill="1" applyBorder="1" applyAlignment="1" applyProtection="1">
      <alignment wrapText="1"/>
    </xf>
  </cellXfs>
  <cellStyles count="92">
    <cellStyle name="Currency" xfId="1" builtin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Normal" xfId="0" builtinId="0"/>
    <cellStyle name="Normal 2" xfId="2" xr:uid="{00000000-0005-0000-0000-000056000000}"/>
    <cellStyle name="Normal 2 2" xfId="3" xr:uid="{00000000-0005-0000-0000-000057000000}"/>
    <cellStyle name="Normal 2 2 2" xfId="91" xr:uid="{00000000-0005-0000-0000-000058000000}"/>
    <cellStyle name="Normal 2 3" xfId="90" xr:uid="{00000000-0005-0000-0000-000059000000}"/>
    <cellStyle name="Normal 3" xfId="4" xr:uid="{00000000-0005-0000-0000-00005A000000}"/>
    <cellStyle name="Percent" xfId="5" builtinId="5"/>
  </cellStyles>
  <dxfs count="6">
    <dxf>
      <font>
        <color theme="0"/>
      </font>
    </dxf>
    <dxf>
      <font>
        <color theme="0"/>
      </font>
    </dxf>
    <dxf>
      <font>
        <color theme="0"/>
      </font>
    </dxf>
    <dxf>
      <font>
        <color theme="0"/>
      </font>
    </dxf>
    <dxf>
      <font>
        <color theme="0"/>
      </font>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59973</xdr:colOff>
      <xdr:row>1</xdr:row>
      <xdr:rowOff>91722</xdr:rowOff>
    </xdr:from>
    <xdr:to>
      <xdr:col>4</xdr:col>
      <xdr:colOff>26371</xdr:colOff>
      <xdr:row>2</xdr:row>
      <xdr:rowOff>678303</xdr:rowOff>
    </xdr:to>
    <xdr:pic>
      <xdr:nvPicPr>
        <xdr:cNvPr id="2184" name="Picture 2" descr="logo_black.png">
          <a:extLst>
            <a:ext uri="{FF2B5EF4-FFF2-40B4-BE49-F238E27FC236}">
              <a16:creationId xmlns:a16="http://schemas.microsoft.com/office/drawing/2014/main" id="{00000000-0008-0000-0000-000088080000}"/>
            </a:ext>
          </a:extLst>
        </xdr:cNvPr>
        <xdr:cNvPicPr>
          <a:picLocks noChangeAspect="1"/>
        </xdr:cNvPicPr>
      </xdr:nvPicPr>
      <xdr:blipFill>
        <a:blip xmlns:r="http://schemas.openxmlformats.org/officeDocument/2006/relationships" r:embed="rId1" cstate="print"/>
        <a:srcRect/>
        <a:stretch>
          <a:fillRect/>
        </a:stretch>
      </xdr:blipFill>
      <xdr:spPr bwMode="auto">
        <a:xfrm>
          <a:off x="239890" y="282222"/>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59973</xdr:colOff>
      <xdr:row>1</xdr:row>
      <xdr:rowOff>91722</xdr:rowOff>
    </xdr:from>
    <xdr:to>
      <xdr:col>4</xdr:col>
      <xdr:colOff>29546</xdr:colOff>
      <xdr:row>2</xdr:row>
      <xdr:rowOff>675128</xdr:rowOff>
    </xdr:to>
    <xdr:pic>
      <xdr:nvPicPr>
        <xdr:cNvPr id="2" name="Picture 2" descr="logo_black.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40948" y="282222"/>
          <a:ext cx="779198" cy="773906"/>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112</xdr:row>
          <xdr:rowOff>180975</xdr:rowOff>
        </xdr:from>
        <xdr:to>
          <xdr:col>1</xdr:col>
          <xdr:colOff>1371600</xdr:colOff>
          <xdr:row>113</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112</xdr:row>
          <xdr:rowOff>161925</xdr:rowOff>
        </xdr:from>
        <xdr:to>
          <xdr:col>4</xdr:col>
          <xdr:colOff>819150</xdr:colOff>
          <xdr:row>113</xdr:row>
          <xdr:rowOff>28575</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9</xdr:col>
      <xdr:colOff>0</xdr:colOff>
      <xdr:row>0</xdr:row>
      <xdr:rowOff>0</xdr:rowOff>
    </xdr:from>
    <xdr:to>
      <xdr:col>9</xdr:col>
      <xdr:colOff>0</xdr:colOff>
      <xdr:row>0</xdr:row>
      <xdr:rowOff>0</xdr:rowOff>
    </xdr:to>
    <xdr:pic>
      <xdr:nvPicPr>
        <xdr:cNvPr id="1059" name="Picture 35">
          <a:extLst>
            <a:ext uri="{FF2B5EF4-FFF2-40B4-BE49-F238E27FC236}">
              <a16:creationId xmlns:a16="http://schemas.microsoft.com/office/drawing/2014/main" id="{00000000-0008-0000-0500-00002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3900" y="0"/>
          <a:ext cx="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9</xdr:col>
          <xdr:colOff>0</xdr:colOff>
          <xdr:row>0</xdr:row>
          <xdr:rowOff>0</xdr:rowOff>
        </xdr:to>
        <xdr:sp macro="" textlink="">
          <xdr:nvSpPr>
            <xdr:cNvPr id="2" name="Object 35" hidden="1">
              <a:extLst>
                <a:ext uri="{63B3BB69-23CF-44E3-9099-C40C66FF867C}">
                  <a14:compatExt spid="_x0000_s1059"/>
                </a:ext>
                <a:ext uri="{FF2B5EF4-FFF2-40B4-BE49-F238E27FC236}">
                  <a16:creationId xmlns:a16="http://schemas.microsoft.com/office/drawing/2014/main" id="{00000000-0008-0000-0500-0000020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image" Target="../media/image2.png"/></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73"/>
  <sheetViews>
    <sheetView showGridLines="0" zoomScale="90" zoomScaleNormal="90" zoomScalePageLayoutView="90" workbookViewId="0">
      <selection activeCell="F25" sqref="F25"/>
    </sheetView>
  </sheetViews>
  <sheetFormatPr defaultColWidth="8.85546875" defaultRowHeight="12.75" x14ac:dyDescent="0.2"/>
  <cols>
    <col min="1" max="1" width="2.7109375" style="116" customWidth="1"/>
    <col min="2" max="2" width="2.42578125" style="117" customWidth="1"/>
    <col min="3" max="3" width="7" style="117" customWidth="1"/>
    <col min="4" max="4" width="2.7109375" style="117" customWidth="1"/>
    <col min="5" max="5" width="7" style="117" customWidth="1"/>
    <col min="6" max="6" width="75.7109375" style="117" customWidth="1"/>
    <col min="7" max="7" width="19" style="118" customWidth="1"/>
    <col min="8" max="8" width="2.42578125" style="118" customWidth="1"/>
    <col min="9" max="9" width="10.42578125" style="118" customWidth="1"/>
    <col min="10" max="10" width="8.85546875" style="118" hidden="1" customWidth="1"/>
    <col min="11" max="12" width="8.85546875" style="118"/>
    <col min="13" max="13" width="8.140625" style="116" customWidth="1"/>
    <col min="14" max="14" width="8.85546875" style="116" customWidth="1"/>
    <col min="15" max="16384" width="8.85546875" style="116"/>
  </cols>
  <sheetData>
    <row r="1" spans="1:20" ht="15" customHeight="1" x14ac:dyDescent="0.2">
      <c r="L1" s="116"/>
    </row>
    <row r="2" spans="1:20" ht="15" customHeight="1" x14ac:dyDescent="0.2">
      <c r="B2" s="119"/>
      <c r="C2" s="120"/>
      <c r="D2" s="120"/>
      <c r="E2" s="120"/>
      <c r="F2" s="120"/>
      <c r="G2" s="121"/>
      <c r="H2" s="122"/>
      <c r="L2" s="116"/>
    </row>
    <row r="3" spans="1:20" s="118" customFormat="1" ht="63" customHeight="1" x14ac:dyDescent="0.25">
      <c r="A3" s="123"/>
      <c r="B3" s="124"/>
      <c r="C3" s="125"/>
      <c r="D3" s="454"/>
      <c r="E3" s="458" t="s">
        <v>112</v>
      </c>
      <c r="F3" s="459"/>
      <c r="G3" s="459"/>
      <c r="H3" s="126"/>
      <c r="I3" s="127"/>
      <c r="J3" s="128"/>
      <c r="K3" s="128"/>
      <c r="L3" s="128"/>
    </row>
    <row r="4" spans="1:20" ht="21" customHeight="1" x14ac:dyDescent="0.2">
      <c r="B4" s="129"/>
      <c r="C4" s="130"/>
      <c r="D4" s="454"/>
      <c r="E4" s="131"/>
      <c r="F4" s="131"/>
      <c r="G4" s="132"/>
      <c r="H4" s="133"/>
      <c r="I4" s="127"/>
      <c r="J4" s="116"/>
    </row>
    <row r="5" spans="1:20" ht="15" customHeight="1" x14ac:dyDescent="0.2">
      <c r="B5" s="129"/>
      <c r="C5" s="131"/>
      <c r="D5" s="454"/>
      <c r="E5" s="1" t="s">
        <v>6</v>
      </c>
      <c r="F5" s="131"/>
      <c r="G5" s="132"/>
      <c r="H5" s="133"/>
      <c r="I5" s="127"/>
      <c r="J5" s="116"/>
      <c r="L5" s="281"/>
    </row>
    <row r="6" spans="1:20" ht="15" customHeight="1" x14ac:dyDescent="0.2">
      <c r="B6" s="129"/>
      <c r="C6" s="131"/>
      <c r="D6" s="134"/>
      <c r="E6" s="2" t="s">
        <v>122</v>
      </c>
      <c r="F6" s="131"/>
      <c r="G6" s="132"/>
      <c r="H6" s="133"/>
      <c r="I6" s="127"/>
      <c r="J6" s="116"/>
      <c r="L6" s="281"/>
    </row>
    <row r="7" spans="1:20" s="109" customFormat="1" ht="21" customHeight="1" x14ac:dyDescent="0.2">
      <c r="B7" s="110"/>
      <c r="C7" s="111"/>
      <c r="D7" s="112"/>
      <c r="E7" s="461" t="s">
        <v>47</v>
      </c>
      <c r="F7" s="461"/>
      <c r="G7" s="461"/>
      <c r="H7" s="113"/>
      <c r="J7" s="114"/>
      <c r="L7" s="215"/>
    </row>
    <row r="8" spans="1:20" s="109" customFormat="1" ht="15" customHeight="1" x14ac:dyDescent="0.2">
      <c r="B8" s="110"/>
      <c r="C8" s="111"/>
      <c r="D8" s="112"/>
      <c r="E8" s="115"/>
      <c r="F8" s="115"/>
      <c r="G8" s="115"/>
      <c r="H8" s="113"/>
      <c r="J8" s="114"/>
      <c r="L8" s="282"/>
    </row>
    <row r="9" spans="1:20" ht="15" customHeight="1" x14ac:dyDescent="0.2">
      <c r="B9" s="129"/>
      <c r="C9" s="131"/>
      <c r="D9" s="134"/>
      <c r="E9" s="1" t="s">
        <v>37</v>
      </c>
      <c r="F9" s="131"/>
      <c r="G9" s="132"/>
      <c r="H9" s="133"/>
      <c r="I9" s="127"/>
      <c r="J9" s="135"/>
      <c r="L9" s="136"/>
    </row>
    <row r="10" spans="1:20" ht="15" customHeight="1" x14ac:dyDescent="0.2">
      <c r="B10" s="129"/>
      <c r="C10" s="131"/>
      <c r="D10" s="134"/>
      <c r="E10" s="2" t="s">
        <v>49</v>
      </c>
      <c r="F10" s="131"/>
      <c r="G10" s="257" t="s">
        <v>154</v>
      </c>
      <c r="H10" s="133"/>
      <c r="I10" s="127"/>
      <c r="J10" s="135"/>
      <c r="K10" s="136"/>
      <c r="L10" s="136"/>
    </row>
    <row r="11" spans="1:20" s="109" customFormat="1" ht="21" customHeight="1" x14ac:dyDescent="0.2">
      <c r="B11" s="110"/>
      <c r="C11" s="111"/>
      <c r="D11" s="112"/>
      <c r="E11" s="283" t="s">
        <v>48</v>
      </c>
      <c r="F11" s="283"/>
      <c r="G11" s="283"/>
      <c r="H11" s="113"/>
      <c r="J11" s="114"/>
      <c r="L11" s="215"/>
      <c r="P11" s="451" t="s">
        <v>98</v>
      </c>
      <c r="Q11" s="452"/>
      <c r="R11" s="452"/>
      <c r="S11" s="452"/>
      <c r="T11" s="452"/>
    </row>
    <row r="12" spans="1:20" ht="15" customHeight="1" x14ac:dyDescent="0.2">
      <c r="B12" s="129"/>
      <c r="C12" s="131"/>
      <c r="D12" s="134"/>
      <c r="E12" s="2"/>
      <c r="F12" s="131"/>
      <c r="G12" s="132"/>
      <c r="H12" s="133"/>
      <c r="I12" s="127"/>
      <c r="J12" s="135"/>
      <c r="P12" s="452"/>
      <c r="Q12" s="452"/>
      <c r="R12" s="452"/>
      <c r="S12" s="452"/>
      <c r="T12" s="452"/>
    </row>
    <row r="13" spans="1:20" ht="15" customHeight="1" x14ac:dyDescent="0.2">
      <c r="B13" s="129"/>
      <c r="C13" s="131"/>
      <c r="D13" s="131"/>
      <c r="E13" s="137" t="s">
        <v>145</v>
      </c>
      <c r="F13" s="131"/>
      <c r="G13" s="132"/>
      <c r="H13" s="133"/>
      <c r="I13" s="127"/>
      <c r="L13" s="116"/>
      <c r="P13" s="452"/>
      <c r="Q13" s="452"/>
      <c r="R13" s="452"/>
      <c r="S13" s="452"/>
      <c r="T13" s="452"/>
    </row>
    <row r="14" spans="1:20" ht="15" customHeight="1" x14ac:dyDescent="0.2">
      <c r="B14" s="129"/>
      <c r="C14" s="131"/>
      <c r="D14" s="134"/>
      <c r="E14" s="138" t="s">
        <v>86</v>
      </c>
      <c r="F14" s="131"/>
      <c r="G14" s="257" t="s">
        <v>155</v>
      </c>
      <c r="H14" s="133"/>
      <c r="I14" s="127"/>
      <c r="P14" s="452"/>
      <c r="Q14" s="452"/>
      <c r="R14" s="452"/>
      <c r="S14" s="452"/>
      <c r="T14" s="452"/>
    </row>
    <row r="15" spans="1:20" ht="15" customHeight="1" x14ac:dyDescent="0.2">
      <c r="B15" s="129"/>
      <c r="C15" s="139"/>
      <c r="D15" s="140"/>
      <c r="E15" s="338" t="s">
        <v>140</v>
      </c>
      <c r="F15" s="252"/>
      <c r="G15" s="142"/>
      <c r="H15" s="143"/>
      <c r="I15" s="116"/>
      <c r="L15" s="116"/>
      <c r="P15" s="452"/>
      <c r="Q15" s="452"/>
      <c r="R15" s="452"/>
      <c r="S15" s="452"/>
      <c r="T15" s="452"/>
    </row>
    <row r="16" spans="1:20" ht="15" customHeight="1" x14ac:dyDescent="0.2">
      <c r="B16" s="129"/>
      <c r="C16" s="139"/>
      <c r="D16" s="140"/>
      <c r="E16" s="253"/>
      <c r="F16" s="252"/>
      <c r="G16" s="142"/>
      <c r="H16" s="143"/>
      <c r="I16" s="116"/>
      <c r="L16" s="116"/>
      <c r="P16" s="452"/>
      <c r="Q16" s="452"/>
      <c r="R16" s="452"/>
      <c r="S16" s="452"/>
      <c r="T16" s="452"/>
    </row>
    <row r="17" spans="2:20" ht="15" customHeight="1" x14ac:dyDescent="0.2">
      <c r="B17" s="129"/>
      <c r="C17" s="131"/>
      <c r="D17" s="139"/>
      <c r="E17" s="144" t="s">
        <v>119</v>
      </c>
      <c r="F17" s="139"/>
      <c r="G17" s="131"/>
      <c r="H17" s="145"/>
      <c r="I17" s="116"/>
      <c r="L17" s="116"/>
      <c r="P17" s="452"/>
      <c r="Q17" s="452"/>
      <c r="R17" s="452"/>
      <c r="S17" s="452"/>
      <c r="T17" s="452"/>
    </row>
    <row r="18" spans="2:20" ht="9" customHeight="1" x14ac:dyDescent="0.2">
      <c r="B18" s="129"/>
      <c r="C18" s="139"/>
      <c r="D18" s="140"/>
      <c r="E18" s="141"/>
      <c r="F18" s="140"/>
      <c r="G18" s="131"/>
      <c r="H18" s="143"/>
      <c r="I18" s="116"/>
      <c r="L18" s="116"/>
    </row>
    <row r="19" spans="2:20" ht="15" customHeight="1" x14ac:dyDescent="0.2">
      <c r="B19" s="129"/>
      <c r="C19" s="131"/>
      <c r="D19" s="139"/>
      <c r="E19" s="146" t="s">
        <v>118</v>
      </c>
      <c r="F19" s="139"/>
      <c r="G19" s="285"/>
      <c r="H19" s="147"/>
      <c r="I19" s="116"/>
      <c r="L19" s="116"/>
    </row>
    <row r="20" spans="2:20" ht="9" customHeight="1" x14ac:dyDescent="0.2">
      <c r="B20" s="129"/>
      <c r="C20" s="139"/>
      <c r="D20" s="140"/>
      <c r="E20" s="141"/>
      <c r="F20" s="140"/>
      <c r="G20" s="131"/>
      <c r="H20" s="143"/>
      <c r="I20" s="116"/>
      <c r="L20" s="116"/>
    </row>
    <row r="21" spans="2:20" ht="15" customHeight="1" x14ac:dyDescent="0.2">
      <c r="B21" s="129"/>
      <c r="C21" s="131"/>
      <c r="D21" s="139"/>
      <c r="E21" s="148" t="s">
        <v>1</v>
      </c>
      <c r="F21" s="139"/>
      <c r="G21" s="131"/>
      <c r="H21" s="145"/>
      <c r="I21" s="116"/>
      <c r="L21" s="116"/>
    </row>
    <row r="22" spans="2:20" ht="9" customHeight="1" x14ac:dyDescent="0.2">
      <c r="B22" s="129"/>
      <c r="C22" s="139"/>
      <c r="D22" s="140"/>
      <c r="E22" s="141"/>
      <c r="F22" s="140"/>
      <c r="G22" s="131"/>
      <c r="H22" s="143"/>
      <c r="I22" s="116"/>
      <c r="L22" s="116"/>
    </row>
    <row r="23" spans="2:20" ht="15" customHeight="1" x14ac:dyDescent="0.2">
      <c r="B23" s="129"/>
      <c r="C23" s="131"/>
      <c r="D23" s="139"/>
      <c r="E23" s="1" t="s">
        <v>120</v>
      </c>
      <c r="F23" s="139"/>
      <c r="G23" s="131"/>
      <c r="H23" s="145"/>
      <c r="I23" s="116"/>
      <c r="L23" s="116"/>
    </row>
    <row r="24" spans="2:20" ht="9" customHeight="1" x14ac:dyDescent="0.2">
      <c r="B24" s="129"/>
      <c r="C24" s="139"/>
      <c r="D24" s="140"/>
      <c r="E24" s="141"/>
      <c r="F24" s="140"/>
      <c r="G24" s="131"/>
      <c r="H24" s="143"/>
      <c r="I24" s="116"/>
      <c r="L24" s="116"/>
    </row>
    <row r="25" spans="2:20" ht="15" customHeight="1" x14ac:dyDescent="0.2">
      <c r="B25" s="129"/>
      <c r="C25" s="131"/>
      <c r="D25" s="139"/>
      <c r="E25" s="146" t="s">
        <v>97</v>
      </c>
      <c r="F25" s="139"/>
      <c r="G25" s="242">
        <v>5425724</v>
      </c>
      <c r="H25" s="147"/>
      <c r="I25" s="116"/>
      <c r="L25" s="116"/>
    </row>
    <row r="26" spans="2:20" ht="9" customHeight="1" x14ac:dyDescent="0.2">
      <c r="B26" s="129"/>
      <c r="C26" s="139"/>
      <c r="D26" s="140"/>
      <c r="E26" s="149"/>
      <c r="F26" s="140"/>
      <c r="G26" s="243"/>
      <c r="H26" s="143"/>
      <c r="I26" s="116"/>
      <c r="L26" s="116"/>
    </row>
    <row r="27" spans="2:20" ht="15" customHeight="1" x14ac:dyDescent="0.2">
      <c r="B27" s="129"/>
      <c r="C27" s="131"/>
      <c r="D27" s="139"/>
      <c r="E27" s="146" t="s">
        <v>99</v>
      </c>
      <c r="F27" s="139"/>
      <c r="G27" s="242"/>
      <c r="H27" s="147"/>
      <c r="I27" s="116"/>
      <c r="L27" s="116"/>
    </row>
    <row r="28" spans="2:20" ht="9" customHeight="1" x14ac:dyDescent="0.2">
      <c r="B28" s="129"/>
      <c r="C28" s="139"/>
      <c r="D28" s="140"/>
      <c r="E28" s="149"/>
      <c r="F28" s="140"/>
      <c r="G28" s="243"/>
      <c r="H28" s="143"/>
      <c r="I28" s="116"/>
      <c r="L28" s="116"/>
    </row>
    <row r="29" spans="2:20" ht="15" customHeight="1" x14ac:dyDescent="0.2">
      <c r="B29" s="129"/>
      <c r="C29" s="131"/>
      <c r="D29" s="139"/>
      <c r="E29" s="146" t="s">
        <v>100</v>
      </c>
      <c r="F29" s="139"/>
      <c r="G29" s="242"/>
      <c r="H29" s="147"/>
      <c r="I29" s="116"/>
      <c r="L29" s="116"/>
    </row>
    <row r="30" spans="2:20" ht="15" customHeight="1" x14ac:dyDescent="0.2">
      <c r="B30" s="129"/>
      <c r="C30" s="131"/>
      <c r="D30" s="139"/>
      <c r="E30" s="150"/>
      <c r="F30" s="139"/>
      <c r="G30" s="131"/>
      <c r="H30" s="147"/>
      <c r="I30" s="116"/>
      <c r="L30" s="116"/>
    </row>
    <row r="31" spans="2:20" ht="9" customHeight="1" x14ac:dyDescent="0.2">
      <c r="B31" s="129"/>
      <c r="C31" s="131"/>
      <c r="D31" s="139"/>
      <c r="E31" s="151"/>
      <c r="F31" s="152"/>
      <c r="G31" s="244"/>
      <c r="H31" s="147"/>
      <c r="I31" s="116"/>
      <c r="L31" s="116"/>
    </row>
    <row r="32" spans="2:20" ht="15" customHeight="1" x14ac:dyDescent="0.2">
      <c r="B32" s="129"/>
      <c r="C32" s="131"/>
      <c r="D32" s="139"/>
      <c r="E32" s="150" t="s">
        <v>17</v>
      </c>
      <c r="F32" s="139"/>
      <c r="G32" s="245">
        <f>IF(G14="Actual cost",G19,((G25*0.45)+G27+G29))</f>
        <v>2441575.8000000003</v>
      </c>
      <c r="H32" s="147"/>
      <c r="I32" s="116"/>
      <c r="L32" s="116"/>
    </row>
    <row r="33" spans="2:12" ht="22.9" customHeight="1" x14ac:dyDescent="0.2">
      <c r="B33" s="129"/>
      <c r="C33" s="131"/>
      <c r="D33" s="224"/>
      <c r="E33" s="2"/>
      <c r="F33" s="131"/>
      <c r="G33" s="132"/>
      <c r="H33" s="133"/>
      <c r="I33" s="127"/>
      <c r="J33" s="135"/>
    </row>
    <row r="34" spans="2:12" ht="16.149999999999999" customHeight="1" x14ac:dyDescent="0.2">
      <c r="B34" s="129"/>
      <c r="C34" s="131"/>
      <c r="D34" s="134"/>
      <c r="E34" s="2"/>
      <c r="F34" s="131"/>
      <c r="G34" s="132"/>
      <c r="H34" s="133"/>
      <c r="I34" s="127"/>
      <c r="J34" s="135"/>
    </row>
    <row r="35" spans="2:12" ht="15" customHeight="1" x14ac:dyDescent="0.2">
      <c r="B35" s="129"/>
      <c r="C35" s="131"/>
      <c r="D35" s="131"/>
      <c r="E35" s="137" t="s">
        <v>7</v>
      </c>
      <c r="F35" s="131"/>
      <c r="G35" s="132"/>
      <c r="H35" s="133"/>
      <c r="I35" s="127"/>
      <c r="L35" s="116"/>
    </row>
    <row r="36" spans="2:12" ht="75" customHeight="1" x14ac:dyDescent="0.2">
      <c r="B36" s="129"/>
      <c r="C36" s="131"/>
      <c r="D36" s="134"/>
      <c r="E36" s="455" t="s">
        <v>87</v>
      </c>
      <c r="F36" s="455"/>
      <c r="G36" s="455"/>
      <c r="H36" s="133"/>
      <c r="I36" s="127"/>
      <c r="J36" s="116"/>
    </row>
    <row r="37" spans="2:12" ht="15" customHeight="1" x14ac:dyDescent="0.2">
      <c r="B37" s="129"/>
      <c r="C37" s="131"/>
      <c r="D37" s="134"/>
      <c r="E37" s="2"/>
      <c r="F37" s="131"/>
      <c r="G37" s="132"/>
      <c r="H37" s="133"/>
      <c r="I37" s="127"/>
      <c r="J37" s="135"/>
    </row>
    <row r="38" spans="2:12" ht="15" customHeight="1" x14ac:dyDescent="0.2">
      <c r="B38" s="129"/>
      <c r="C38" s="131"/>
      <c r="D38" s="131"/>
      <c r="E38" s="137" t="s">
        <v>8</v>
      </c>
      <c r="F38" s="131"/>
      <c r="G38" s="132"/>
      <c r="H38" s="133"/>
      <c r="I38" s="127"/>
      <c r="L38" s="116"/>
    </row>
    <row r="39" spans="2:12" ht="24" customHeight="1" x14ac:dyDescent="0.2">
      <c r="B39" s="129"/>
      <c r="C39" s="131"/>
      <c r="D39" s="131"/>
      <c r="E39" s="460" t="s">
        <v>38</v>
      </c>
      <c r="F39" s="460"/>
      <c r="G39" s="460"/>
      <c r="H39" s="133"/>
      <c r="I39" s="127"/>
      <c r="L39" s="116"/>
    </row>
    <row r="40" spans="2:12" ht="15" customHeight="1" x14ac:dyDescent="0.2">
      <c r="B40" s="129"/>
      <c r="C40" s="139"/>
      <c r="D40" s="154"/>
      <c r="E40" s="455" t="s">
        <v>40</v>
      </c>
      <c r="F40" s="457"/>
      <c r="G40" s="457"/>
      <c r="H40" s="155"/>
      <c r="I40" s="156"/>
      <c r="J40" s="157"/>
      <c r="K40" s="156"/>
    </row>
    <row r="41" spans="2:12" ht="9" customHeight="1" x14ac:dyDescent="0.2">
      <c r="B41" s="129"/>
      <c r="C41" s="131"/>
      <c r="D41" s="134"/>
      <c r="E41" s="2"/>
      <c r="F41" s="131"/>
      <c r="G41" s="132"/>
      <c r="H41" s="133"/>
      <c r="I41" s="127"/>
      <c r="J41" s="135"/>
    </row>
    <row r="42" spans="2:12" ht="9" customHeight="1" x14ac:dyDescent="0.2">
      <c r="B42" s="129"/>
      <c r="C42" s="131"/>
      <c r="D42" s="189"/>
      <c r="E42" s="32"/>
      <c r="F42" s="153"/>
      <c r="G42" s="190"/>
      <c r="H42" s="133"/>
      <c r="I42" s="127"/>
      <c r="J42" s="135"/>
    </row>
    <row r="43" spans="2:12" ht="24" customHeight="1" x14ac:dyDescent="0.2">
      <c r="B43" s="129"/>
      <c r="C43" s="131"/>
      <c r="D43" s="131"/>
      <c r="E43" s="460" t="s">
        <v>88</v>
      </c>
      <c r="F43" s="460"/>
      <c r="G43" s="460"/>
      <c r="H43" s="133"/>
      <c r="I43" s="127"/>
      <c r="L43" s="116"/>
    </row>
    <row r="44" spans="2:12" ht="15" customHeight="1" x14ac:dyDescent="0.2">
      <c r="B44" s="129"/>
      <c r="C44" s="139"/>
      <c r="D44" s="154"/>
      <c r="E44" s="455" t="s">
        <v>39</v>
      </c>
      <c r="F44" s="457"/>
      <c r="G44" s="457"/>
      <c r="H44" s="155"/>
      <c r="I44" s="156"/>
      <c r="J44" s="157"/>
      <c r="K44" s="156"/>
    </row>
    <row r="45" spans="2:12" ht="9" customHeight="1" x14ac:dyDescent="0.2">
      <c r="B45" s="129"/>
      <c r="C45" s="131"/>
      <c r="D45" s="134"/>
      <c r="E45" s="2"/>
      <c r="F45" s="131"/>
      <c r="G45" s="132"/>
      <c r="H45" s="133"/>
      <c r="I45" s="127"/>
      <c r="J45" s="135"/>
    </row>
    <row r="46" spans="2:12" ht="9" customHeight="1" x14ac:dyDescent="0.2">
      <c r="B46" s="129"/>
      <c r="C46" s="131"/>
      <c r="D46" s="189"/>
      <c r="E46" s="32"/>
      <c r="F46" s="153"/>
      <c r="G46" s="190"/>
      <c r="H46" s="133"/>
      <c r="I46" s="127"/>
      <c r="J46" s="135"/>
    </row>
    <row r="47" spans="2:12" ht="15" customHeight="1" x14ac:dyDescent="0.2">
      <c r="B47" s="129"/>
      <c r="C47" s="131"/>
      <c r="D47" s="131"/>
      <c r="E47" s="460" t="s">
        <v>41</v>
      </c>
      <c r="F47" s="460"/>
      <c r="G47" s="460"/>
      <c r="H47" s="133"/>
      <c r="I47" s="127"/>
      <c r="L47" s="116"/>
    </row>
    <row r="48" spans="2:12" ht="15" customHeight="1" x14ac:dyDescent="0.2">
      <c r="B48" s="129"/>
      <c r="C48" s="139"/>
      <c r="D48" s="154"/>
      <c r="E48" s="455" t="s">
        <v>42</v>
      </c>
      <c r="F48" s="457"/>
      <c r="G48" s="457"/>
      <c r="H48" s="155"/>
      <c r="I48" s="156"/>
      <c r="J48" s="157"/>
      <c r="K48" s="156"/>
    </row>
    <row r="49" spans="2:11" ht="15" customHeight="1" x14ac:dyDescent="0.2">
      <c r="B49" s="129"/>
      <c r="C49" s="131"/>
      <c r="D49" s="134"/>
      <c r="E49" s="2"/>
      <c r="F49" s="131"/>
      <c r="G49" s="132"/>
      <c r="H49" s="133"/>
      <c r="I49" s="127"/>
      <c r="J49" s="135"/>
    </row>
    <row r="50" spans="2:11" ht="15" customHeight="1" x14ac:dyDescent="0.2">
      <c r="B50" s="129"/>
      <c r="C50" s="139"/>
      <c r="D50" s="131"/>
      <c r="E50" s="1" t="s">
        <v>33</v>
      </c>
      <c r="F50" s="131"/>
      <c r="G50" s="132"/>
      <c r="H50" s="155"/>
      <c r="I50" s="157"/>
      <c r="J50" s="157"/>
      <c r="K50" s="156"/>
    </row>
    <row r="51" spans="2:11" ht="24" customHeight="1" x14ac:dyDescent="0.2">
      <c r="B51" s="129"/>
      <c r="C51" s="158"/>
      <c r="D51" s="131"/>
      <c r="E51" s="453" t="s">
        <v>52</v>
      </c>
      <c r="F51" s="453"/>
      <c r="G51" s="453"/>
      <c r="H51" s="143"/>
      <c r="I51" s="156"/>
      <c r="J51" s="156"/>
      <c r="K51" s="156"/>
    </row>
    <row r="52" spans="2:11" ht="21" customHeight="1" x14ac:dyDescent="0.2">
      <c r="B52" s="159"/>
      <c r="C52" s="160"/>
      <c r="D52" s="161"/>
      <c r="E52" s="5"/>
      <c r="F52" s="160"/>
      <c r="G52" s="162"/>
      <c r="H52" s="163"/>
      <c r="I52" s="127"/>
      <c r="J52" s="135"/>
    </row>
    <row r="53" spans="2:11" ht="9" customHeight="1" x14ac:dyDescent="0.2">
      <c r="C53" s="164"/>
      <c r="F53" s="127"/>
      <c r="J53" s="165" t="s">
        <v>50</v>
      </c>
    </row>
    <row r="54" spans="2:11" ht="12" customHeight="1" x14ac:dyDescent="0.2">
      <c r="C54" s="127"/>
      <c r="D54" s="116"/>
      <c r="H54" s="192" t="s">
        <v>101</v>
      </c>
      <c r="J54" s="166">
        <f>IF(G10="IP units",1,2)</f>
        <v>1</v>
      </c>
    </row>
    <row r="55" spans="2:11" ht="12" customHeight="1" x14ac:dyDescent="0.2">
      <c r="C55" s="116"/>
      <c r="D55" s="116"/>
      <c r="H55" s="192" t="s">
        <v>102</v>
      </c>
      <c r="J55" s="167" t="s">
        <v>51</v>
      </c>
    </row>
    <row r="56" spans="2:11" ht="12" customHeight="1" x14ac:dyDescent="0.2">
      <c r="H56" s="193" t="s">
        <v>57</v>
      </c>
    </row>
    <row r="57" spans="2:11" ht="12" customHeight="1" x14ac:dyDescent="0.2">
      <c r="H57" s="194" t="s">
        <v>58</v>
      </c>
    </row>
    <row r="58" spans="2:11" x14ac:dyDescent="0.2">
      <c r="H58" s="194" t="s">
        <v>153</v>
      </c>
    </row>
    <row r="60" spans="2:11" x14ac:dyDescent="0.2">
      <c r="D60" s="168"/>
      <c r="E60" s="168"/>
    </row>
    <row r="61" spans="2:11" x14ac:dyDescent="0.2">
      <c r="D61" s="168"/>
      <c r="E61" s="168"/>
    </row>
    <row r="62" spans="2:11" x14ac:dyDescent="0.2">
      <c r="D62" s="168"/>
      <c r="E62" s="168"/>
    </row>
    <row r="64" spans="2:11" x14ac:dyDescent="0.2">
      <c r="C64" s="456"/>
      <c r="D64" s="456"/>
      <c r="E64" s="456"/>
      <c r="F64" s="456"/>
    </row>
    <row r="65" spans="3:6" x14ac:dyDescent="0.2">
      <c r="C65" s="456"/>
      <c r="D65" s="456"/>
      <c r="E65" s="456"/>
      <c r="F65" s="456"/>
    </row>
    <row r="66" spans="3:6" x14ac:dyDescent="0.2">
      <c r="C66" s="456"/>
      <c r="D66" s="456"/>
      <c r="E66" s="456"/>
      <c r="F66" s="456"/>
    </row>
    <row r="67" spans="3:6" x14ac:dyDescent="0.2">
      <c r="C67" s="456"/>
      <c r="D67" s="456"/>
      <c r="E67" s="456"/>
      <c r="F67" s="456"/>
    </row>
    <row r="68" spans="3:6" x14ac:dyDescent="0.2">
      <c r="C68" s="169"/>
      <c r="D68" s="169"/>
      <c r="E68" s="169"/>
      <c r="F68" s="169"/>
    </row>
    <row r="69" spans="3:6" x14ac:dyDescent="0.2">
      <c r="C69" s="456"/>
      <c r="D69" s="456"/>
      <c r="E69" s="456"/>
      <c r="F69" s="456"/>
    </row>
    <row r="70" spans="3:6" x14ac:dyDescent="0.2">
      <c r="C70" s="456"/>
      <c r="D70" s="456"/>
      <c r="E70" s="456"/>
      <c r="F70" s="456"/>
    </row>
    <row r="71" spans="3:6" x14ac:dyDescent="0.2">
      <c r="C71" s="456"/>
      <c r="D71" s="456"/>
      <c r="E71" s="456"/>
      <c r="F71" s="456"/>
    </row>
    <row r="72" spans="3:6" x14ac:dyDescent="0.2">
      <c r="C72" s="456"/>
      <c r="D72" s="456"/>
      <c r="E72" s="456"/>
      <c r="F72" s="456"/>
    </row>
    <row r="73" spans="3:6" x14ac:dyDescent="0.2">
      <c r="C73" s="169"/>
      <c r="D73" s="169"/>
      <c r="E73" s="169"/>
      <c r="F73" s="169"/>
    </row>
  </sheetData>
  <sheetProtection algorithmName="SHA-512" hashValue="FKuBAb0Bw//HgSyBtxS/BkF2F7K3ZBe5MRnBjWO+YCRqOjsjgNadMg0BEG4rzYiTUbFsgHyadac+QhujGAZVjg==" saltValue="TQJd4wAhOuwg5fNoouWy+w==" spinCount="100000" sheet="1" objects="1" scenarios="1"/>
  <mergeCells count="16">
    <mergeCell ref="P11:T17"/>
    <mergeCell ref="E51:G51"/>
    <mergeCell ref="D3:D5"/>
    <mergeCell ref="E36:G36"/>
    <mergeCell ref="C71:F72"/>
    <mergeCell ref="C64:F65"/>
    <mergeCell ref="C66:F67"/>
    <mergeCell ref="C69:F70"/>
    <mergeCell ref="E40:G40"/>
    <mergeCell ref="E44:G44"/>
    <mergeCell ref="E48:G48"/>
    <mergeCell ref="E3:G3"/>
    <mergeCell ref="E39:G39"/>
    <mergeCell ref="E43:G43"/>
    <mergeCell ref="E47:G47"/>
    <mergeCell ref="E7:G7"/>
  </mergeCells>
  <phoneticPr fontId="5" type="noConversion"/>
  <dataValidations count="2">
    <dataValidation type="list" allowBlank="1" showInputMessage="1" showErrorMessage="1" sqref="G10" xr:uid="{00000000-0002-0000-0000-000000000000}">
      <formula1>"IP units, SI units"</formula1>
    </dataValidation>
    <dataValidation type="list" allowBlank="1" showInputMessage="1" showErrorMessage="1" sqref="G14" xr:uid="{00000000-0002-0000-0000-000001000000}">
      <formula1>"Actual cost,Default cost,Points Based Products"</formula1>
    </dataValidation>
  </dataValidations>
  <pageMargins left="0.7" right="0.7" top="0.75" bottom="0.75" header="0.3" footer="0.3"/>
  <pageSetup orientation="portrait"/>
  <drawing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63"/>
  <sheetViews>
    <sheetView showGridLines="0" topLeftCell="A10" zoomScale="90" zoomScaleNormal="90" zoomScalePageLayoutView="90" workbookViewId="0">
      <selection activeCell="G10" sqref="G10"/>
    </sheetView>
  </sheetViews>
  <sheetFormatPr defaultColWidth="8.85546875" defaultRowHeight="12.75" x14ac:dyDescent="0.2"/>
  <cols>
    <col min="1" max="1" width="2.7109375" style="116" customWidth="1"/>
    <col min="2" max="2" width="2.42578125" style="117" customWidth="1"/>
    <col min="3" max="3" width="7" style="117" customWidth="1"/>
    <col min="4" max="4" width="2.7109375" style="117" customWidth="1"/>
    <col min="5" max="5" width="7" style="117" customWidth="1"/>
    <col min="6" max="6" width="75.7109375" style="117" customWidth="1"/>
    <col min="7" max="7" width="19" style="118" customWidth="1"/>
    <col min="8" max="8" width="2.42578125" style="118" customWidth="1"/>
    <col min="9" max="9" width="10.42578125" style="118" customWidth="1"/>
    <col min="10" max="10" width="8.85546875" style="118" hidden="1" customWidth="1"/>
    <col min="11" max="12" width="8.85546875" style="118"/>
    <col min="13" max="13" width="8.140625" style="116" customWidth="1"/>
    <col min="14" max="14" width="8.85546875" style="116" customWidth="1"/>
    <col min="15" max="16384" width="8.85546875" style="116"/>
  </cols>
  <sheetData>
    <row r="1" spans="1:12" ht="15" customHeight="1" x14ac:dyDescent="0.2">
      <c r="L1" s="116"/>
    </row>
    <row r="2" spans="1:12" ht="15" customHeight="1" x14ac:dyDescent="0.2">
      <c r="B2" s="119"/>
      <c r="C2" s="120"/>
      <c r="D2" s="120"/>
      <c r="E2" s="120"/>
      <c r="F2" s="120"/>
      <c r="G2" s="121"/>
      <c r="H2" s="122"/>
      <c r="L2" s="116"/>
    </row>
    <row r="3" spans="1:12" s="118" customFormat="1" ht="63" customHeight="1" x14ac:dyDescent="0.25">
      <c r="A3" s="123"/>
      <c r="B3" s="124"/>
      <c r="C3" s="125"/>
      <c r="D3" s="454"/>
      <c r="E3" s="458" t="s">
        <v>112</v>
      </c>
      <c r="F3" s="459"/>
      <c r="G3" s="459"/>
      <c r="H3" s="126"/>
      <c r="I3" s="127"/>
      <c r="J3" s="128"/>
      <c r="K3" s="128"/>
      <c r="L3" s="128"/>
    </row>
    <row r="4" spans="1:12" ht="21" customHeight="1" x14ac:dyDescent="0.2">
      <c r="B4" s="129"/>
      <c r="C4" s="130"/>
      <c r="D4" s="454"/>
      <c r="E4" s="131"/>
      <c r="F4" s="131"/>
      <c r="G4" s="132"/>
      <c r="H4" s="133"/>
      <c r="I4" s="127"/>
      <c r="J4" s="116"/>
    </row>
    <row r="5" spans="1:12" ht="15" customHeight="1" x14ac:dyDescent="0.2">
      <c r="B5" s="129"/>
      <c r="C5" s="131"/>
      <c r="D5" s="454"/>
      <c r="E5" s="1" t="s">
        <v>6</v>
      </c>
      <c r="F5" s="131"/>
      <c r="G5" s="132"/>
      <c r="H5" s="133"/>
      <c r="I5" s="127"/>
      <c r="J5" s="116"/>
    </row>
    <row r="6" spans="1:12" ht="15" customHeight="1" x14ac:dyDescent="0.2">
      <c r="B6" s="129"/>
      <c r="C6" s="131"/>
      <c r="D6" s="240"/>
      <c r="E6" s="2" t="s">
        <v>122</v>
      </c>
      <c r="F6" s="131"/>
      <c r="G6" s="132"/>
      <c r="H6" s="133"/>
      <c r="I6" s="127"/>
      <c r="J6" s="116"/>
    </row>
    <row r="7" spans="1:12" s="109" customFormat="1" ht="21" customHeight="1" x14ac:dyDescent="0.2">
      <c r="B7" s="110"/>
      <c r="C7" s="111"/>
      <c r="D7" s="112"/>
      <c r="E7" s="461" t="s">
        <v>47</v>
      </c>
      <c r="F7" s="461"/>
      <c r="G7" s="461"/>
      <c r="H7" s="113"/>
      <c r="J7" s="114"/>
    </row>
    <row r="8" spans="1:12" s="109" customFormat="1" ht="15" customHeight="1" x14ac:dyDescent="0.2">
      <c r="B8" s="110"/>
      <c r="C8" s="111"/>
      <c r="D8" s="112"/>
      <c r="E8" s="241"/>
      <c r="F8" s="241"/>
      <c r="G8" s="241"/>
      <c r="H8" s="113"/>
      <c r="J8" s="114"/>
      <c r="L8" s="195"/>
    </row>
    <row r="9" spans="1:12" ht="15" customHeight="1" x14ac:dyDescent="0.2">
      <c r="B9" s="129"/>
      <c r="C9" s="131"/>
      <c r="D9" s="240"/>
      <c r="E9" s="1" t="s">
        <v>37</v>
      </c>
      <c r="F9" s="131"/>
      <c r="G9" s="132"/>
      <c r="H9" s="133"/>
      <c r="I9" s="127"/>
      <c r="J9" s="135"/>
      <c r="L9" s="136"/>
    </row>
    <row r="10" spans="1:12" ht="15" customHeight="1" x14ac:dyDescent="0.2">
      <c r="B10" s="129"/>
      <c r="C10" s="131"/>
      <c r="D10" s="240"/>
      <c r="E10" s="2" t="s">
        <v>49</v>
      </c>
      <c r="F10" s="131"/>
      <c r="G10" s="257" t="s">
        <v>154</v>
      </c>
      <c r="H10" s="133"/>
      <c r="I10" s="127"/>
      <c r="J10" s="135"/>
      <c r="K10" s="136"/>
      <c r="L10" s="136"/>
    </row>
    <row r="11" spans="1:12" s="109" customFormat="1" ht="21" customHeight="1" x14ac:dyDescent="0.2">
      <c r="B11" s="110"/>
      <c r="C11" s="111"/>
      <c r="D11" s="112"/>
      <c r="E11" s="461" t="s">
        <v>48</v>
      </c>
      <c r="F11" s="461"/>
      <c r="G11" s="461"/>
      <c r="H11" s="113"/>
      <c r="J11" s="114"/>
      <c r="L11" s="215"/>
    </row>
    <row r="12" spans="1:12" ht="15" customHeight="1" x14ac:dyDescent="0.2">
      <c r="B12" s="129"/>
      <c r="C12" s="131"/>
      <c r="D12" s="240"/>
      <c r="E12" s="2"/>
      <c r="F12" s="131"/>
      <c r="G12" s="132"/>
      <c r="H12" s="133"/>
      <c r="I12" s="127"/>
      <c r="J12" s="135"/>
    </row>
    <row r="13" spans="1:12" ht="15" customHeight="1" x14ac:dyDescent="0.2">
      <c r="B13" s="129"/>
      <c r="C13" s="131"/>
      <c r="D13" s="131"/>
      <c r="E13" s="137" t="s">
        <v>144</v>
      </c>
      <c r="F13" s="131"/>
      <c r="G13" s="132"/>
      <c r="H13" s="133"/>
      <c r="I13" s="127"/>
      <c r="L13" s="116"/>
    </row>
    <row r="14" spans="1:12" ht="9" customHeight="1" x14ac:dyDescent="0.2">
      <c r="B14" s="129"/>
      <c r="C14" s="139"/>
      <c r="D14" s="140"/>
      <c r="E14" s="141"/>
      <c r="F14" s="140"/>
      <c r="G14" s="131"/>
      <c r="H14" s="143"/>
      <c r="I14" s="116"/>
      <c r="L14" s="116"/>
    </row>
    <row r="15" spans="1:12" ht="9" customHeight="1" x14ac:dyDescent="0.2">
      <c r="B15" s="129"/>
      <c r="C15" s="139"/>
      <c r="D15" s="140"/>
      <c r="E15" s="462" t="s">
        <v>116</v>
      </c>
      <c r="F15" s="463"/>
      <c r="G15" s="131"/>
      <c r="H15" s="143"/>
      <c r="I15" s="116"/>
      <c r="L15" s="116"/>
    </row>
    <row r="16" spans="1:12" ht="9" customHeight="1" x14ac:dyDescent="0.2">
      <c r="B16" s="129"/>
      <c r="C16" s="139"/>
      <c r="D16" s="140"/>
      <c r="E16" s="141"/>
      <c r="F16" s="140"/>
      <c r="G16" s="131"/>
      <c r="H16" s="143"/>
      <c r="I16" s="116"/>
      <c r="L16" s="116"/>
    </row>
    <row r="17" spans="2:12" ht="14.25" customHeight="1" x14ac:dyDescent="0.2">
      <c r="B17" s="129"/>
      <c r="C17" s="139"/>
      <c r="D17" s="140"/>
      <c r="E17" s="339" t="s">
        <v>117</v>
      </c>
      <c r="F17"/>
      <c r="G17" s="284"/>
      <c r="H17" s="143"/>
      <c r="I17" s="116"/>
      <c r="L17" s="116"/>
    </row>
    <row r="18" spans="2:12" ht="12" customHeight="1" x14ac:dyDescent="0.2">
      <c r="B18" s="129"/>
      <c r="C18" s="139"/>
      <c r="D18" s="140"/>
      <c r="E18" s="264"/>
      <c r="F18" s="140"/>
      <c r="G18" s="131"/>
      <c r="H18" s="143"/>
      <c r="I18" s="116"/>
      <c r="L18" s="116"/>
    </row>
    <row r="19" spans="2:12" ht="9" customHeight="1" x14ac:dyDescent="0.2">
      <c r="B19" s="129"/>
      <c r="C19" s="139"/>
      <c r="D19" s="140"/>
      <c r="E19" s="141"/>
      <c r="F19" s="140"/>
      <c r="G19" s="131"/>
      <c r="H19" s="143"/>
      <c r="I19" s="116"/>
      <c r="L19" s="116"/>
    </row>
    <row r="20" spans="2:12" ht="15" customHeight="1" x14ac:dyDescent="0.2">
      <c r="B20" s="129"/>
      <c r="C20" s="131"/>
      <c r="D20" s="139"/>
      <c r="E20" s="150"/>
      <c r="F20" s="139"/>
      <c r="G20" s="131"/>
      <c r="H20" s="147"/>
      <c r="I20" s="116"/>
      <c r="L20" s="116"/>
    </row>
    <row r="21" spans="2:12" ht="9" customHeight="1" x14ac:dyDescent="0.2">
      <c r="B21" s="129"/>
      <c r="C21" s="131"/>
      <c r="D21" s="139"/>
      <c r="E21" s="151"/>
      <c r="F21" s="152"/>
      <c r="G21" s="244"/>
      <c r="H21" s="147"/>
      <c r="I21" s="116"/>
      <c r="L21" s="116"/>
    </row>
    <row r="22" spans="2:12" ht="15" customHeight="1" x14ac:dyDescent="0.2">
      <c r="B22" s="129"/>
      <c r="C22" s="131"/>
      <c r="D22" s="139"/>
      <c r="E22" s="150" t="s">
        <v>17</v>
      </c>
      <c r="F22" s="139"/>
      <c r="G22" s="245">
        <f>G17</f>
        <v>0</v>
      </c>
      <c r="H22" s="147"/>
      <c r="I22" s="116"/>
      <c r="L22" s="116"/>
    </row>
    <row r="23" spans="2:12" ht="22.9" customHeight="1" x14ac:dyDescent="0.2">
      <c r="B23" s="129"/>
      <c r="C23" s="131"/>
      <c r="D23" s="240"/>
      <c r="E23" s="2" t="s">
        <v>121</v>
      </c>
      <c r="F23" s="131"/>
      <c r="G23" s="132"/>
      <c r="H23" s="133"/>
      <c r="I23" s="127"/>
      <c r="J23" s="135"/>
    </row>
    <row r="24" spans="2:12" ht="16.149999999999999" customHeight="1" x14ac:dyDescent="0.2">
      <c r="B24" s="129"/>
      <c r="C24" s="131"/>
      <c r="D24" s="240"/>
      <c r="E24" s="2"/>
      <c r="F24" s="131"/>
      <c r="G24" s="132"/>
      <c r="H24" s="133"/>
      <c r="I24" s="127"/>
      <c r="J24" s="135"/>
    </row>
    <row r="25" spans="2:12" ht="15" customHeight="1" x14ac:dyDescent="0.2">
      <c r="B25" s="129"/>
      <c r="C25" s="131"/>
      <c r="D25" s="131"/>
      <c r="E25" s="137" t="s">
        <v>7</v>
      </c>
      <c r="F25" s="131"/>
      <c r="G25" s="132"/>
      <c r="H25" s="133"/>
      <c r="I25" s="127"/>
      <c r="L25" s="116"/>
    </row>
    <row r="26" spans="2:12" ht="75" customHeight="1" x14ac:dyDescent="0.2">
      <c r="B26" s="129"/>
      <c r="C26" s="131"/>
      <c r="D26" s="240"/>
      <c r="E26" s="455" t="s">
        <v>87</v>
      </c>
      <c r="F26" s="455"/>
      <c r="G26" s="455"/>
      <c r="H26" s="133"/>
      <c r="I26" s="127"/>
      <c r="J26" s="116"/>
    </row>
    <row r="27" spans="2:12" ht="15" customHeight="1" x14ac:dyDescent="0.2">
      <c r="B27" s="129"/>
      <c r="C27" s="131"/>
      <c r="D27" s="240"/>
      <c r="E27" s="2"/>
      <c r="F27" s="131"/>
      <c r="G27" s="132"/>
      <c r="H27" s="133"/>
      <c r="I27" s="127"/>
      <c r="J27" s="135"/>
    </row>
    <row r="28" spans="2:12" ht="15" customHeight="1" x14ac:dyDescent="0.2">
      <c r="B28" s="129"/>
      <c r="C28" s="131"/>
      <c r="D28" s="131"/>
      <c r="E28" s="137" t="s">
        <v>8</v>
      </c>
      <c r="F28" s="131"/>
      <c r="G28" s="132"/>
      <c r="H28" s="133"/>
      <c r="I28" s="127"/>
      <c r="L28" s="116"/>
    </row>
    <row r="29" spans="2:12" ht="24" customHeight="1" x14ac:dyDescent="0.2">
      <c r="B29" s="129"/>
      <c r="C29" s="131"/>
      <c r="D29" s="131"/>
      <c r="E29" s="460" t="s">
        <v>38</v>
      </c>
      <c r="F29" s="460"/>
      <c r="G29" s="460"/>
      <c r="H29" s="133"/>
      <c r="I29" s="127"/>
      <c r="L29" s="116"/>
    </row>
    <row r="30" spans="2:12" ht="15" customHeight="1" x14ac:dyDescent="0.2">
      <c r="B30" s="129"/>
      <c r="C30" s="139"/>
      <c r="D30" s="154"/>
      <c r="E30" s="455" t="s">
        <v>40</v>
      </c>
      <c r="F30" s="457"/>
      <c r="G30" s="457"/>
      <c r="H30" s="155"/>
      <c r="I30" s="156"/>
      <c r="J30" s="157"/>
      <c r="K30" s="156"/>
    </row>
    <row r="31" spans="2:12" ht="9" customHeight="1" x14ac:dyDescent="0.2">
      <c r="B31" s="129"/>
      <c r="C31" s="131"/>
      <c r="D31" s="240"/>
      <c r="E31" s="2"/>
      <c r="F31" s="131"/>
      <c r="G31" s="132"/>
      <c r="H31" s="133"/>
      <c r="I31" s="127"/>
      <c r="J31" s="135"/>
    </row>
    <row r="32" spans="2:12" ht="9" customHeight="1" x14ac:dyDescent="0.2">
      <c r="B32" s="129"/>
      <c r="C32" s="131"/>
      <c r="D32" s="240"/>
      <c r="E32" s="32"/>
      <c r="F32" s="153"/>
      <c r="G32" s="190"/>
      <c r="H32" s="133"/>
      <c r="I32" s="127"/>
      <c r="J32" s="135"/>
    </row>
    <row r="33" spans="2:12" ht="24.75" customHeight="1" x14ac:dyDescent="0.2">
      <c r="B33" s="129"/>
      <c r="C33" s="131"/>
      <c r="D33" s="131"/>
      <c r="E33" s="460" t="s">
        <v>88</v>
      </c>
      <c r="F33" s="460"/>
      <c r="G33" s="460"/>
      <c r="H33" s="133"/>
      <c r="I33" s="127"/>
      <c r="L33" s="116"/>
    </row>
    <row r="34" spans="2:12" ht="15" customHeight="1" x14ac:dyDescent="0.2">
      <c r="B34" s="129"/>
      <c r="C34" s="139"/>
      <c r="D34" s="154"/>
      <c r="E34" s="455" t="s">
        <v>39</v>
      </c>
      <c r="F34" s="457"/>
      <c r="G34" s="457"/>
      <c r="H34" s="155"/>
      <c r="I34" s="156"/>
      <c r="J34" s="157"/>
      <c r="K34" s="156"/>
    </row>
    <row r="35" spans="2:12" ht="9" customHeight="1" x14ac:dyDescent="0.2">
      <c r="B35" s="129"/>
      <c r="C35" s="131"/>
      <c r="D35" s="240"/>
      <c r="E35" s="2"/>
      <c r="F35" s="131"/>
      <c r="G35" s="132"/>
      <c r="H35" s="133"/>
      <c r="I35" s="127"/>
      <c r="J35" s="135"/>
    </row>
    <row r="36" spans="2:12" ht="9" customHeight="1" x14ac:dyDescent="0.2">
      <c r="B36" s="129"/>
      <c r="C36" s="131"/>
      <c r="D36" s="240"/>
      <c r="E36" s="32"/>
      <c r="F36" s="153"/>
      <c r="G36" s="190"/>
      <c r="H36" s="133"/>
      <c r="I36" s="127"/>
      <c r="J36" s="135"/>
    </row>
    <row r="37" spans="2:12" ht="15" customHeight="1" x14ac:dyDescent="0.2">
      <c r="B37" s="129"/>
      <c r="C37" s="131"/>
      <c r="D37" s="131"/>
      <c r="E37" s="460" t="s">
        <v>41</v>
      </c>
      <c r="F37" s="460"/>
      <c r="G37" s="460"/>
      <c r="H37" s="133"/>
      <c r="I37" s="127"/>
      <c r="L37" s="116"/>
    </row>
    <row r="38" spans="2:12" ht="15" customHeight="1" x14ac:dyDescent="0.2">
      <c r="B38" s="129"/>
      <c r="C38" s="139"/>
      <c r="D38" s="154"/>
      <c r="E38" s="455" t="s">
        <v>42</v>
      </c>
      <c r="F38" s="457"/>
      <c r="G38" s="457"/>
      <c r="H38" s="155"/>
      <c r="I38" s="156"/>
      <c r="J38" s="157"/>
      <c r="K38" s="156"/>
    </row>
    <row r="39" spans="2:12" ht="15" customHeight="1" x14ac:dyDescent="0.2">
      <c r="B39" s="129"/>
      <c r="C39" s="131"/>
      <c r="D39" s="240"/>
      <c r="E39" s="2"/>
      <c r="F39" s="131"/>
      <c r="G39" s="132"/>
      <c r="H39" s="133"/>
      <c r="I39" s="127"/>
      <c r="J39" s="135"/>
    </row>
    <row r="40" spans="2:12" ht="15" customHeight="1" x14ac:dyDescent="0.2">
      <c r="B40" s="129"/>
      <c r="C40" s="139"/>
      <c r="D40" s="131"/>
      <c r="E40" s="1" t="s">
        <v>33</v>
      </c>
      <c r="F40" s="131"/>
      <c r="G40" s="132"/>
      <c r="H40" s="155"/>
      <c r="I40" s="157"/>
      <c r="J40" s="157"/>
      <c r="K40" s="156"/>
    </row>
    <row r="41" spans="2:12" ht="24" customHeight="1" x14ac:dyDescent="0.2">
      <c r="B41" s="129"/>
      <c r="C41" s="158"/>
      <c r="D41" s="131"/>
      <c r="E41" s="453" t="s">
        <v>52</v>
      </c>
      <c r="F41" s="453"/>
      <c r="G41" s="453"/>
      <c r="H41" s="143"/>
      <c r="I41" s="156"/>
      <c r="J41" s="156"/>
      <c r="K41" s="156"/>
    </row>
    <row r="42" spans="2:12" ht="21" customHeight="1" x14ac:dyDescent="0.2">
      <c r="B42" s="159"/>
      <c r="C42" s="160"/>
      <c r="D42" s="161"/>
      <c r="E42" s="5"/>
      <c r="F42" s="160"/>
      <c r="G42" s="162"/>
      <c r="H42" s="163"/>
      <c r="I42" s="127"/>
      <c r="J42" s="135"/>
    </row>
    <row r="43" spans="2:12" ht="9" customHeight="1" x14ac:dyDescent="0.2">
      <c r="C43" s="164"/>
      <c r="F43" s="127"/>
      <c r="J43" s="165" t="s">
        <v>50</v>
      </c>
    </row>
    <row r="44" spans="2:12" ht="12" customHeight="1" x14ac:dyDescent="0.2">
      <c r="C44" s="127"/>
      <c r="D44" s="116"/>
      <c r="H44" s="192" t="s">
        <v>101</v>
      </c>
      <c r="J44" s="166">
        <f>IF(G10="IP units",1,2)</f>
        <v>1</v>
      </c>
    </row>
    <row r="45" spans="2:12" ht="12" customHeight="1" x14ac:dyDescent="0.2">
      <c r="C45" s="116"/>
      <c r="D45" s="116"/>
      <c r="H45" s="192" t="s">
        <v>102</v>
      </c>
      <c r="J45" s="167" t="s">
        <v>51</v>
      </c>
    </row>
    <row r="46" spans="2:12" ht="12" customHeight="1" x14ac:dyDescent="0.2">
      <c r="H46" s="193" t="s">
        <v>57</v>
      </c>
    </row>
    <row r="47" spans="2:12" ht="12" customHeight="1" x14ac:dyDescent="0.2">
      <c r="H47" s="194" t="s">
        <v>58</v>
      </c>
    </row>
    <row r="48" spans="2:12" x14ac:dyDescent="0.2">
      <c r="H48" s="194" t="s">
        <v>153</v>
      </c>
    </row>
    <row r="50" spans="1:6" x14ac:dyDescent="0.2">
      <c r="D50" s="168"/>
      <c r="E50" s="168"/>
    </row>
    <row r="51" spans="1:6" x14ac:dyDescent="0.2">
      <c r="D51" s="168"/>
      <c r="E51" s="168"/>
    </row>
    <row r="52" spans="1:6" s="118" customFormat="1" x14ac:dyDescent="0.2">
      <c r="A52" s="116"/>
      <c r="B52" s="117"/>
      <c r="C52" s="117"/>
      <c r="D52" s="168"/>
      <c r="E52" s="168"/>
      <c r="F52" s="117"/>
    </row>
    <row r="54" spans="1:6" s="118" customFormat="1" x14ac:dyDescent="0.2">
      <c r="A54" s="116"/>
      <c r="B54" s="117"/>
      <c r="C54" s="456"/>
      <c r="D54" s="456"/>
      <c r="E54" s="456"/>
      <c r="F54" s="456"/>
    </row>
    <row r="55" spans="1:6" s="118" customFormat="1" x14ac:dyDescent="0.2">
      <c r="A55" s="116"/>
      <c r="B55" s="117"/>
      <c r="C55" s="456"/>
      <c r="D55" s="456"/>
      <c r="E55" s="456"/>
      <c r="F55" s="456"/>
    </row>
    <row r="56" spans="1:6" s="118" customFormat="1" x14ac:dyDescent="0.2">
      <c r="A56" s="116"/>
      <c r="B56" s="117"/>
      <c r="C56" s="456"/>
      <c r="D56" s="456"/>
      <c r="E56" s="456"/>
      <c r="F56" s="456"/>
    </row>
    <row r="57" spans="1:6" s="118" customFormat="1" x14ac:dyDescent="0.2">
      <c r="A57" s="116"/>
      <c r="B57" s="117"/>
      <c r="C57" s="456"/>
      <c r="D57" s="456"/>
      <c r="E57" s="456"/>
      <c r="F57" s="456"/>
    </row>
    <row r="58" spans="1:6" s="118" customFormat="1" x14ac:dyDescent="0.2">
      <c r="A58" s="116"/>
      <c r="B58" s="117"/>
      <c r="C58" s="169"/>
      <c r="D58" s="169"/>
      <c r="E58" s="169"/>
      <c r="F58" s="169"/>
    </row>
    <row r="59" spans="1:6" s="118" customFormat="1" x14ac:dyDescent="0.2">
      <c r="A59" s="116"/>
      <c r="B59" s="117"/>
      <c r="C59" s="456"/>
      <c r="D59" s="456"/>
      <c r="E59" s="456"/>
      <c r="F59" s="456"/>
    </row>
    <row r="60" spans="1:6" s="118" customFormat="1" x14ac:dyDescent="0.2">
      <c r="A60" s="116"/>
      <c r="B60" s="117"/>
      <c r="C60" s="456"/>
      <c r="D60" s="456"/>
      <c r="E60" s="456"/>
      <c r="F60" s="456"/>
    </row>
    <row r="61" spans="1:6" s="118" customFormat="1" x14ac:dyDescent="0.2">
      <c r="A61" s="116"/>
      <c r="B61" s="117"/>
      <c r="C61" s="456"/>
      <c r="D61" s="456"/>
      <c r="E61" s="456"/>
      <c r="F61" s="456"/>
    </row>
    <row r="62" spans="1:6" s="118" customFormat="1" x14ac:dyDescent="0.2">
      <c r="A62" s="116"/>
      <c r="B62" s="117"/>
      <c r="C62" s="456"/>
      <c r="D62" s="456"/>
      <c r="E62" s="456"/>
      <c r="F62" s="456"/>
    </row>
    <row r="63" spans="1:6" s="118" customFormat="1" x14ac:dyDescent="0.2">
      <c r="A63" s="116"/>
      <c r="B63" s="117"/>
      <c r="C63" s="169"/>
      <c r="D63" s="169"/>
      <c r="E63" s="169"/>
      <c r="F63" s="169"/>
    </row>
  </sheetData>
  <sheetProtection algorithmName="SHA-512" hashValue="99b3uzBf6oRiKBTXve50GEj216AKHVnFpss3ZLcO+icsnF0UiB5xxjjVezuWt1cVMDrWbt4hhwXHIguZ9snlMw==" saltValue="Mtpmq6Xu6A8Sx5Kj0wMdsA==" spinCount="100000" sheet="1" objects="1" scenarios="1"/>
  <mergeCells count="17">
    <mergeCell ref="D3:D5"/>
    <mergeCell ref="E3:G3"/>
    <mergeCell ref="E7:G7"/>
    <mergeCell ref="E11:G11"/>
    <mergeCell ref="E26:G26"/>
    <mergeCell ref="C54:F55"/>
    <mergeCell ref="C56:F57"/>
    <mergeCell ref="C59:F60"/>
    <mergeCell ref="C61:F62"/>
    <mergeCell ref="E15:F15"/>
    <mergeCell ref="E30:G30"/>
    <mergeCell ref="E33:G33"/>
    <mergeCell ref="E34:G34"/>
    <mergeCell ref="E37:G37"/>
    <mergeCell ref="E38:G38"/>
    <mergeCell ref="E41:G41"/>
    <mergeCell ref="E29:G29"/>
  </mergeCells>
  <dataValidations count="1">
    <dataValidation type="list" allowBlank="1" showInputMessage="1" showErrorMessage="1" sqref="G10" xr:uid="{00000000-0002-0000-0100-000000000000}">
      <formula1>"IP units, SI units"</formula1>
    </dataValidation>
  </dataValidations>
  <pageMargins left="0.7" right="0.7" top="0.75" bottom="0.75" header="0.3" footer="0.3"/>
  <pageSetup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outlinePr summaryBelow="0" summaryRight="0"/>
  </sheetPr>
  <dimension ref="A1:J228"/>
  <sheetViews>
    <sheetView showGridLines="0" zoomScaleNormal="100" zoomScaleSheetLayoutView="100" zoomScalePageLayoutView="90" workbookViewId="0">
      <pane ySplit="8" topLeftCell="A9" activePane="bottomLeft" state="frozen"/>
      <selection pane="bottomLeft" activeCell="F74" sqref="F74"/>
    </sheetView>
  </sheetViews>
  <sheetFormatPr defaultColWidth="9.140625" defaultRowHeight="12.75" x14ac:dyDescent="0.2"/>
  <cols>
    <col min="1" max="1" width="2.7109375" style="201" hidden="1" customWidth="1"/>
    <col min="2" max="2" width="24.5703125" style="58" customWidth="1"/>
    <col min="3" max="3" width="11.7109375" style="58" customWidth="1"/>
    <col min="4" max="4" width="14.7109375" style="58" hidden="1" customWidth="1"/>
    <col min="5" max="5" width="21.85546875" style="58" customWidth="1"/>
    <col min="6" max="6" width="19.28515625" style="58" customWidth="1"/>
    <col min="7" max="7" width="13.85546875" style="58" customWidth="1"/>
    <col min="8" max="8" width="14.7109375" style="62" customWidth="1"/>
    <col min="9" max="10" width="14.42578125" style="58" customWidth="1"/>
    <col min="11" max="11" width="10.42578125" style="58" customWidth="1"/>
    <col min="12" max="12" width="9.7109375" style="58" customWidth="1"/>
    <col min="13" max="13" width="9.28515625" style="58" customWidth="1"/>
    <col min="14" max="14" width="9.140625" style="58"/>
    <col min="15" max="15" width="9.140625" style="58" customWidth="1"/>
    <col min="16" max="16384" width="9.140625" style="58"/>
  </cols>
  <sheetData>
    <row r="1" spans="1:9" s="50" customFormat="1" ht="15" hidden="1" customHeight="1" x14ac:dyDescent="0.2">
      <c r="A1" s="196"/>
      <c r="B1" s="49"/>
      <c r="C1" s="49"/>
      <c r="D1" s="49"/>
      <c r="E1" s="48"/>
      <c r="F1" s="48"/>
      <c r="G1" s="48"/>
      <c r="H1"/>
    </row>
    <row r="2" spans="1:9" s="50" customFormat="1" ht="21" hidden="1" customHeight="1" x14ac:dyDescent="0.2">
      <c r="A2" s="197"/>
      <c r="B2" s="303" t="s">
        <v>9</v>
      </c>
      <c r="C2" s="303"/>
      <c r="D2" s="303"/>
      <c r="E2" s="303"/>
      <c r="F2" s="303"/>
      <c r="G2" s="303"/>
      <c r="H2"/>
    </row>
    <row r="3" spans="1:9" s="50" customFormat="1" ht="15" hidden="1" customHeight="1" x14ac:dyDescent="0.2">
      <c r="A3" s="196"/>
      <c r="B3" s="48"/>
      <c r="C3" s="48"/>
      <c r="D3" s="48"/>
      <c r="E3" s="48"/>
      <c r="F3" s="48"/>
      <c r="G3" s="48"/>
      <c r="H3"/>
    </row>
    <row r="4" spans="1:9" s="51" customFormat="1" ht="21.95" hidden="1" customHeight="1" x14ac:dyDescent="0.2">
      <c r="A4" s="198"/>
      <c r="E4" s="52"/>
      <c r="F4" s="53"/>
      <c r="G4" s="53"/>
      <c r="H4" s="54"/>
    </row>
    <row r="5" spans="1:9" s="51" customFormat="1" ht="47.1" hidden="1" customHeight="1" x14ac:dyDescent="0.2">
      <c r="A5" s="198"/>
      <c r="B5" s="470" t="s">
        <v>54</v>
      </c>
      <c r="C5" s="471"/>
      <c r="D5" s="471"/>
      <c r="E5" s="471"/>
      <c r="F5" s="471"/>
      <c r="G5" s="471"/>
      <c r="H5" s="471"/>
    </row>
    <row r="6" spans="1:9" s="51" customFormat="1" ht="90" hidden="1" customHeight="1" x14ac:dyDescent="0.2">
      <c r="A6" s="198"/>
      <c r="B6" s="471"/>
      <c r="C6" s="471"/>
      <c r="D6" s="471"/>
      <c r="E6" s="471"/>
      <c r="F6" s="471"/>
      <c r="G6" s="471"/>
      <c r="H6" s="471"/>
    </row>
    <row r="7" spans="1:9" s="51" customFormat="1" ht="26.1" hidden="1" customHeight="1" x14ac:dyDescent="0.2">
      <c r="A7" s="198"/>
      <c r="B7" s="474" t="s">
        <v>62</v>
      </c>
      <c r="C7" s="476" t="s">
        <v>32</v>
      </c>
      <c r="D7" s="478" t="s">
        <v>63</v>
      </c>
      <c r="E7" s="484" t="s">
        <v>60</v>
      </c>
      <c r="F7" s="480" t="s">
        <v>53</v>
      </c>
      <c r="G7" s="482" t="s">
        <v>113</v>
      </c>
      <c r="H7" s="472"/>
      <c r="I7" s="473"/>
    </row>
    <row r="8" spans="1:9" s="55" customFormat="1" ht="62.45" customHeight="1" x14ac:dyDescent="0.2">
      <c r="A8" s="198"/>
      <c r="B8" s="475"/>
      <c r="C8" s="477"/>
      <c r="D8" s="479"/>
      <c r="E8" s="477"/>
      <c r="F8" s="481"/>
      <c r="G8" s="483"/>
      <c r="H8" s="472"/>
      <c r="I8" s="473"/>
    </row>
    <row r="9" spans="1:9" s="51" customFormat="1" ht="15" customHeight="1" x14ac:dyDescent="0.2">
      <c r="A9" s="80">
        <f>IF(G9&gt;=0,0,1)</f>
        <v>0</v>
      </c>
      <c r="B9" s="421" t="s">
        <v>156</v>
      </c>
      <c r="C9" s="360" t="s">
        <v>192</v>
      </c>
      <c r="D9" s="360"/>
      <c r="E9" s="360" t="s">
        <v>437</v>
      </c>
      <c r="F9" s="384" t="s">
        <v>168</v>
      </c>
      <c r="G9" s="265">
        <v>11881</v>
      </c>
      <c r="H9" s="80"/>
    </row>
    <row r="10" spans="1:9" s="51" customFormat="1" ht="15" customHeight="1" x14ac:dyDescent="0.2">
      <c r="A10" s="80">
        <f t="shared" ref="A10:A14" si="0">IF(G10&gt;=0,0,1)</f>
        <v>0</v>
      </c>
      <c r="B10" s="422" t="s">
        <v>158</v>
      </c>
      <c r="C10" s="357" t="s">
        <v>192</v>
      </c>
      <c r="D10" s="358"/>
      <c r="E10" s="358" t="s">
        <v>161</v>
      </c>
      <c r="F10" s="359" t="s">
        <v>168</v>
      </c>
      <c r="G10" s="266">
        <v>20085</v>
      </c>
      <c r="H10" s="80"/>
    </row>
    <row r="11" spans="1:9" s="51" customFormat="1" ht="15" customHeight="1" x14ac:dyDescent="0.2">
      <c r="A11" s="80">
        <f t="shared" si="0"/>
        <v>0</v>
      </c>
      <c r="B11" s="421" t="s">
        <v>159</v>
      </c>
      <c r="C11" s="357" t="s">
        <v>192</v>
      </c>
      <c r="D11" s="358"/>
      <c r="E11" s="358" t="s">
        <v>162</v>
      </c>
      <c r="F11" s="359" t="s">
        <v>168</v>
      </c>
      <c r="G11" s="266">
        <v>66281</v>
      </c>
      <c r="H11" s="80"/>
    </row>
    <row r="12" spans="1:9" s="51" customFormat="1" ht="15" customHeight="1" x14ac:dyDescent="0.2">
      <c r="A12" s="80">
        <f t="shared" si="0"/>
        <v>0</v>
      </c>
      <c r="B12" s="422" t="s">
        <v>160</v>
      </c>
      <c r="C12" s="357" t="s">
        <v>192</v>
      </c>
      <c r="D12" s="358"/>
      <c r="E12" s="358" t="s">
        <v>163</v>
      </c>
      <c r="F12" s="359" t="s">
        <v>168</v>
      </c>
      <c r="G12" s="266">
        <v>155033</v>
      </c>
      <c r="H12" s="80"/>
    </row>
    <row r="13" spans="1:9" s="51" customFormat="1" ht="15" customHeight="1" x14ac:dyDescent="0.2">
      <c r="A13" s="80">
        <f t="shared" si="0"/>
        <v>0</v>
      </c>
      <c r="B13" s="422" t="s">
        <v>191</v>
      </c>
      <c r="C13" s="357" t="s">
        <v>190</v>
      </c>
      <c r="D13" s="358"/>
      <c r="E13" s="358" t="s">
        <v>164</v>
      </c>
      <c r="F13" s="359" t="s">
        <v>165</v>
      </c>
      <c r="G13" s="266">
        <v>208700</v>
      </c>
      <c r="H13" s="80"/>
    </row>
    <row r="14" spans="1:9" s="51" customFormat="1" ht="15" customHeight="1" x14ac:dyDescent="0.2">
      <c r="A14" s="80">
        <f t="shared" si="0"/>
        <v>0</v>
      </c>
      <c r="B14" s="422" t="s">
        <v>170</v>
      </c>
      <c r="C14" s="357" t="s">
        <v>192</v>
      </c>
      <c r="D14" s="358"/>
      <c r="E14" s="358" t="s">
        <v>171</v>
      </c>
      <c r="F14" s="359" t="s">
        <v>168</v>
      </c>
      <c r="G14" s="266">
        <v>2640</v>
      </c>
      <c r="H14" s="80"/>
    </row>
    <row r="15" spans="1:9" s="51" customFormat="1" ht="15" customHeight="1" x14ac:dyDescent="0.2">
      <c r="A15" s="80">
        <f t="shared" ref="A15" si="1">IF(G15&gt;=0,0,1)</f>
        <v>0</v>
      </c>
      <c r="B15" s="422" t="s">
        <v>173</v>
      </c>
      <c r="C15" s="357" t="s">
        <v>157</v>
      </c>
      <c r="D15" s="358"/>
      <c r="E15" s="358" t="s">
        <v>174</v>
      </c>
      <c r="F15" s="359" t="s">
        <v>172</v>
      </c>
      <c r="G15" s="266">
        <v>0</v>
      </c>
      <c r="H15" s="80"/>
    </row>
    <row r="16" spans="1:9" s="51" customFormat="1" ht="15" customHeight="1" x14ac:dyDescent="0.2">
      <c r="A16" s="80">
        <f t="shared" ref="A16:A110" si="2">IF(G16&gt;=0,0,1)</f>
        <v>0</v>
      </c>
      <c r="B16" s="422" t="s">
        <v>193</v>
      </c>
      <c r="C16" s="357" t="s">
        <v>194</v>
      </c>
      <c r="D16" s="358"/>
      <c r="E16" s="358" t="s">
        <v>175</v>
      </c>
      <c r="F16" s="359" t="s">
        <v>182</v>
      </c>
      <c r="G16" s="266">
        <v>9772</v>
      </c>
      <c r="H16" s="80"/>
    </row>
    <row r="17" spans="1:8" s="51" customFormat="1" ht="15" customHeight="1" x14ac:dyDescent="0.2">
      <c r="A17" s="80">
        <f t="shared" ref="A17" si="3">IF(G17&gt;=0,0,1)</f>
        <v>0</v>
      </c>
      <c r="B17" s="422" t="s">
        <v>359</v>
      </c>
      <c r="C17" s="357" t="s">
        <v>358</v>
      </c>
      <c r="D17" s="358"/>
      <c r="E17" s="358" t="s">
        <v>178</v>
      </c>
      <c r="F17" s="359" t="s">
        <v>172</v>
      </c>
      <c r="G17" s="266">
        <f>9298+30100</f>
        <v>39398</v>
      </c>
      <c r="H17" s="80"/>
    </row>
    <row r="18" spans="1:8" s="51" customFormat="1" ht="15" customHeight="1" x14ac:dyDescent="0.2">
      <c r="A18" s="80">
        <f t="shared" ref="A18:A22" si="4">IF(G18&gt;=0,0,1)</f>
        <v>0</v>
      </c>
      <c r="B18" s="422" t="s">
        <v>359</v>
      </c>
      <c r="C18" s="357" t="s">
        <v>358</v>
      </c>
      <c r="D18" s="358"/>
      <c r="E18" s="358" t="s">
        <v>179</v>
      </c>
      <c r="F18" s="359" t="s">
        <v>172</v>
      </c>
      <c r="G18" s="266">
        <f>14261+20473</f>
        <v>34734</v>
      </c>
      <c r="H18" s="80"/>
    </row>
    <row r="19" spans="1:8" s="51" customFormat="1" ht="15" customHeight="1" x14ac:dyDescent="0.2">
      <c r="A19" s="80">
        <f t="shared" si="4"/>
        <v>0</v>
      </c>
      <c r="B19" s="422" t="s">
        <v>356</v>
      </c>
      <c r="C19" s="357" t="s">
        <v>357</v>
      </c>
      <c r="D19" s="358"/>
      <c r="E19" s="358" t="s">
        <v>183</v>
      </c>
      <c r="F19" s="359" t="s">
        <v>182</v>
      </c>
      <c r="G19" s="266">
        <v>1120</v>
      </c>
      <c r="H19" s="80"/>
    </row>
    <row r="20" spans="1:8" s="51" customFormat="1" ht="15" customHeight="1" x14ac:dyDescent="0.2">
      <c r="A20" s="80">
        <f t="shared" si="4"/>
        <v>0</v>
      </c>
      <c r="B20" s="422" t="s">
        <v>195</v>
      </c>
      <c r="C20" s="357" t="s">
        <v>196</v>
      </c>
      <c r="D20" s="358"/>
      <c r="E20" s="358" t="s">
        <v>180</v>
      </c>
      <c r="F20" s="359" t="s">
        <v>181</v>
      </c>
      <c r="G20" s="266">
        <v>0</v>
      </c>
      <c r="H20" s="80"/>
    </row>
    <row r="21" spans="1:8" s="51" customFormat="1" ht="15" customHeight="1" x14ac:dyDescent="0.2">
      <c r="A21" s="80">
        <f t="shared" si="4"/>
        <v>0</v>
      </c>
      <c r="B21" s="422" t="s">
        <v>370</v>
      </c>
      <c r="C21" s="357" t="s">
        <v>371</v>
      </c>
      <c r="D21" s="358"/>
      <c r="E21" s="358" t="s">
        <v>372</v>
      </c>
      <c r="F21" s="359" t="s">
        <v>373</v>
      </c>
      <c r="G21" s="266"/>
      <c r="H21" s="80"/>
    </row>
    <row r="22" spans="1:8" s="51" customFormat="1" ht="15" customHeight="1" x14ac:dyDescent="0.2">
      <c r="A22" s="80">
        <f t="shared" si="4"/>
        <v>0</v>
      </c>
      <c r="B22" s="422" t="s">
        <v>184</v>
      </c>
      <c r="C22" s="357" t="s">
        <v>185</v>
      </c>
      <c r="D22" s="358"/>
      <c r="E22" s="358" t="s">
        <v>186</v>
      </c>
      <c r="F22" s="359" t="s">
        <v>187</v>
      </c>
      <c r="G22" s="266"/>
      <c r="H22" s="80"/>
    </row>
    <row r="23" spans="1:8" s="51" customFormat="1" ht="15" customHeight="1" x14ac:dyDescent="0.2">
      <c r="A23" s="80">
        <f t="shared" ref="A23" si="5">IF(G23&gt;=0,0,1)</f>
        <v>0</v>
      </c>
      <c r="B23" s="422" t="s">
        <v>200</v>
      </c>
      <c r="C23" s="357" t="s">
        <v>197</v>
      </c>
      <c r="D23" s="358"/>
      <c r="E23" s="358" t="s">
        <v>198</v>
      </c>
      <c r="F23" s="359" t="s">
        <v>202</v>
      </c>
      <c r="G23" s="266">
        <v>4000</v>
      </c>
      <c r="H23" s="80"/>
    </row>
    <row r="24" spans="1:8" s="51" customFormat="1" ht="15" customHeight="1" x14ac:dyDescent="0.2">
      <c r="A24" s="80">
        <f t="shared" ref="A24" si="6">IF(G24&gt;=0,0,1)</f>
        <v>0</v>
      </c>
      <c r="B24" s="422" t="s">
        <v>206</v>
      </c>
      <c r="C24" s="357" t="s">
        <v>207</v>
      </c>
      <c r="D24" s="358"/>
      <c r="E24" s="358" t="s">
        <v>438</v>
      </c>
      <c r="F24" s="359" t="s">
        <v>199</v>
      </c>
      <c r="G24" s="266">
        <v>42565</v>
      </c>
      <c r="H24" s="80"/>
    </row>
    <row r="25" spans="1:8" s="51" customFormat="1" ht="15" customHeight="1" x14ac:dyDescent="0.2">
      <c r="A25" s="80">
        <f t="shared" ref="A25" si="7">IF(G25&gt;=0,0,1)</f>
        <v>0</v>
      </c>
      <c r="B25" s="422" t="s">
        <v>201</v>
      </c>
      <c r="C25" s="357" t="s">
        <v>197</v>
      </c>
      <c r="D25" s="358"/>
      <c r="E25" s="358" t="s">
        <v>205</v>
      </c>
      <c r="F25" s="359" t="s">
        <v>202</v>
      </c>
      <c r="G25" s="266">
        <v>58350</v>
      </c>
      <c r="H25" s="80"/>
    </row>
    <row r="26" spans="1:8" s="51" customFormat="1" ht="15" customHeight="1" x14ac:dyDescent="0.2">
      <c r="A26" s="80">
        <f t="shared" ref="A26" si="8">IF(G26&gt;=0,0,1)</f>
        <v>0</v>
      </c>
      <c r="B26" s="422" t="s">
        <v>206</v>
      </c>
      <c r="C26" s="357" t="s">
        <v>207</v>
      </c>
      <c r="D26" s="358"/>
      <c r="E26" s="358" t="s">
        <v>209</v>
      </c>
      <c r="F26" s="359" t="s">
        <v>199</v>
      </c>
      <c r="G26" s="266"/>
      <c r="H26" s="80"/>
    </row>
    <row r="27" spans="1:8" s="51" customFormat="1" ht="15" customHeight="1" x14ac:dyDescent="0.2">
      <c r="A27" s="80">
        <f t="shared" ref="A27" si="9">IF(G27&gt;=0,0,1)</f>
        <v>0</v>
      </c>
      <c r="B27" s="422" t="s">
        <v>210</v>
      </c>
      <c r="C27" s="357" t="s">
        <v>211</v>
      </c>
      <c r="D27" s="358"/>
      <c r="E27" s="358" t="s">
        <v>212</v>
      </c>
      <c r="F27" s="359" t="s">
        <v>213</v>
      </c>
      <c r="G27" s="266">
        <v>14000</v>
      </c>
      <c r="H27" s="80"/>
    </row>
    <row r="28" spans="1:8" s="51" customFormat="1" ht="15" customHeight="1" x14ac:dyDescent="0.2">
      <c r="A28" s="80">
        <f t="shared" ref="A28" si="10">IF(G28&gt;=0,0,1)</f>
        <v>0</v>
      </c>
      <c r="B28" s="422" t="s">
        <v>214</v>
      </c>
      <c r="C28" s="357" t="s">
        <v>381</v>
      </c>
      <c r="D28" s="358"/>
      <c r="E28" s="358" t="s">
        <v>380</v>
      </c>
      <c r="F28" s="359" t="s">
        <v>213</v>
      </c>
      <c r="G28" s="266">
        <v>2500</v>
      </c>
      <c r="H28" s="80"/>
    </row>
    <row r="29" spans="1:8" s="51" customFormat="1" ht="15" customHeight="1" x14ac:dyDescent="0.2">
      <c r="A29" s="80">
        <f t="shared" ref="A29" si="11">IF(G29&gt;=0,0,1)</f>
        <v>0</v>
      </c>
      <c r="B29" s="422" t="s">
        <v>215</v>
      </c>
      <c r="C29" s="357" t="s">
        <v>216</v>
      </c>
      <c r="D29" s="358"/>
      <c r="E29" s="358" t="s">
        <v>217</v>
      </c>
      <c r="F29" s="359" t="s">
        <v>218</v>
      </c>
      <c r="G29" s="450">
        <v>1847.2</v>
      </c>
      <c r="H29" s="80"/>
    </row>
    <row r="30" spans="1:8" s="51" customFormat="1" ht="15" customHeight="1" x14ac:dyDescent="0.2">
      <c r="A30" s="80">
        <f t="shared" ref="A30" si="12">IF(G30&gt;=0,0,1)</f>
        <v>0</v>
      </c>
      <c r="B30" s="422" t="s">
        <v>219</v>
      </c>
      <c r="C30" s="357" t="s">
        <v>220</v>
      </c>
      <c r="D30" s="358"/>
      <c r="E30" s="358" t="s">
        <v>223</v>
      </c>
      <c r="F30" s="359" t="s">
        <v>221</v>
      </c>
      <c r="G30" s="450">
        <v>56689.52</v>
      </c>
      <c r="H30" s="80"/>
    </row>
    <row r="31" spans="1:8" s="51" customFormat="1" ht="15" customHeight="1" x14ac:dyDescent="0.2">
      <c r="A31" s="80">
        <f t="shared" ref="A31" si="13">IF(G31&gt;=0,0,1)</f>
        <v>0</v>
      </c>
      <c r="B31" s="422" t="s">
        <v>219</v>
      </c>
      <c r="C31" s="357" t="s">
        <v>220</v>
      </c>
      <c r="D31" s="358"/>
      <c r="E31" s="358" t="s">
        <v>222</v>
      </c>
      <c r="F31" s="359" t="s">
        <v>221</v>
      </c>
      <c r="G31" s="450"/>
      <c r="H31" s="80"/>
    </row>
    <row r="32" spans="1:8" s="51" customFormat="1" ht="15" customHeight="1" x14ac:dyDescent="0.2">
      <c r="A32" s="80">
        <f t="shared" ref="A32" si="14">IF(G32&gt;=0,0,1)</f>
        <v>0</v>
      </c>
      <c r="B32" s="422" t="s">
        <v>219</v>
      </c>
      <c r="C32" s="357" t="s">
        <v>220</v>
      </c>
      <c r="D32" s="358"/>
      <c r="E32" s="358" t="s">
        <v>224</v>
      </c>
      <c r="F32" s="359" t="s">
        <v>221</v>
      </c>
      <c r="G32" s="450">
        <v>3032</v>
      </c>
      <c r="H32" s="80"/>
    </row>
    <row r="33" spans="1:8" s="51" customFormat="1" ht="15" customHeight="1" x14ac:dyDescent="0.2">
      <c r="A33" s="80">
        <f t="shared" ref="A33" si="15">IF(G33&gt;=0,0,1)</f>
        <v>0</v>
      </c>
      <c r="B33" s="422" t="s">
        <v>215</v>
      </c>
      <c r="C33" s="357" t="s">
        <v>225</v>
      </c>
      <c r="D33" s="358"/>
      <c r="E33" s="358" t="s">
        <v>226</v>
      </c>
      <c r="F33" s="359" t="s">
        <v>218</v>
      </c>
      <c r="G33" s="450">
        <v>1945.6</v>
      </c>
      <c r="H33" s="80"/>
    </row>
    <row r="34" spans="1:8" s="51" customFormat="1" ht="15" customHeight="1" x14ac:dyDescent="0.2">
      <c r="A34" s="80">
        <f t="shared" ref="A34" si="16">IF(G34&gt;=0,0,1)</f>
        <v>0</v>
      </c>
      <c r="B34" s="422" t="s">
        <v>215</v>
      </c>
      <c r="C34" s="357" t="s">
        <v>225</v>
      </c>
      <c r="D34" s="358"/>
      <c r="E34" s="358" t="s">
        <v>227</v>
      </c>
      <c r="F34" s="359" t="s">
        <v>218</v>
      </c>
      <c r="G34" s="450">
        <v>33862</v>
      </c>
      <c r="H34" s="80"/>
    </row>
    <row r="35" spans="1:8" s="51" customFormat="1" ht="15" customHeight="1" x14ac:dyDescent="0.2">
      <c r="A35" s="80">
        <f t="shared" ref="A35" si="17">IF(G35&gt;=0,0,1)</f>
        <v>0</v>
      </c>
      <c r="B35" s="422" t="s">
        <v>215</v>
      </c>
      <c r="C35" s="357" t="s">
        <v>225</v>
      </c>
      <c r="D35" s="358"/>
      <c r="E35" s="358" t="s">
        <v>229</v>
      </c>
      <c r="F35" s="359" t="s">
        <v>218</v>
      </c>
      <c r="G35" s="450">
        <v>364</v>
      </c>
      <c r="H35" s="80"/>
    </row>
    <row r="36" spans="1:8" s="51" customFormat="1" ht="15" customHeight="1" x14ac:dyDescent="0.2">
      <c r="A36" s="80">
        <f t="shared" ref="A36" si="18">IF(G36&gt;=0,0,1)</f>
        <v>0</v>
      </c>
      <c r="B36" s="422" t="s">
        <v>230</v>
      </c>
      <c r="C36" s="357" t="s">
        <v>231</v>
      </c>
      <c r="D36" s="358"/>
      <c r="E36" s="358" t="s">
        <v>232</v>
      </c>
      <c r="F36" s="359" t="s">
        <v>218</v>
      </c>
      <c r="G36" s="450">
        <v>49019.199999999997</v>
      </c>
      <c r="H36" s="80"/>
    </row>
    <row r="37" spans="1:8" s="51" customFormat="1" ht="15" customHeight="1" x14ac:dyDescent="0.2">
      <c r="A37" s="80">
        <f t="shared" ref="A37" si="19">IF(G37&gt;=0,0,1)</f>
        <v>0</v>
      </c>
      <c r="B37" s="422" t="s">
        <v>234</v>
      </c>
      <c r="C37" s="357" t="s">
        <v>231</v>
      </c>
      <c r="D37" s="358"/>
      <c r="E37" s="358" t="s">
        <v>233</v>
      </c>
      <c r="F37" s="359" t="s">
        <v>218</v>
      </c>
      <c r="G37" s="450">
        <v>16824.7</v>
      </c>
      <c r="H37" s="80"/>
    </row>
    <row r="38" spans="1:8" s="51" customFormat="1" ht="15" customHeight="1" x14ac:dyDescent="0.2">
      <c r="A38" s="80">
        <f t="shared" ref="A38" si="20">IF(G38&gt;=0,0,1)</f>
        <v>0</v>
      </c>
      <c r="B38" s="422" t="s">
        <v>234</v>
      </c>
      <c r="C38" s="357" t="s">
        <v>231</v>
      </c>
      <c r="D38" s="358"/>
      <c r="E38" s="358" t="s">
        <v>235</v>
      </c>
      <c r="F38" s="359" t="s">
        <v>218</v>
      </c>
      <c r="G38" s="450">
        <v>464.64</v>
      </c>
      <c r="H38" s="80"/>
    </row>
    <row r="39" spans="1:8" s="51" customFormat="1" ht="15" customHeight="1" x14ac:dyDescent="0.2">
      <c r="A39" s="80">
        <f t="shared" ref="A39" si="21">IF(G39&gt;=0,0,1)</f>
        <v>0</v>
      </c>
      <c r="B39" s="422" t="s">
        <v>239</v>
      </c>
      <c r="C39" s="357" t="s">
        <v>236</v>
      </c>
      <c r="D39" s="358"/>
      <c r="E39" s="358" t="s">
        <v>237</v>
      </c>
      <c r="F39" s="359" t="s">
        <v>238</v>
      </c>
      <c r="G39" s="450">
        <v>6757.08</v>
      </c>
      <c r="H39" s="80"/>
    </row>
    <row r="40" spans="1:8" s="51" customFormat="1" ht="15" customHeight="1" x14ac:dyDescent="0.2">
      <c r="A40" s="80">
        <f t="shared" ref="A40" si="22">IF(G40&gt;=0,0,1)</f>
        <v>0</v>
      </c>
      <c r="B40" s="422" t="s">
        <v>243</v>
      </c>
      <c r="C40" s="357" t="s">
        <v>240</v>
      </c>
      <c r="D40" s="358"/>
      <c r="E40" s="358" t="s">
        <v>242</v>
      </c>
      <c r="F40" s="359" t="s">
        <v>241</v>
      </c>
      <c r="G40" s="266">
        <v>722.1</v>
      </c>
      <c r="H40" s="80"/>
    </row>
    <row r="41" spans="1:8" s="51" customFormat="1" ht="15" customHeight="1" x14ac:dyDescent="0.2">
      <c r="A41" s="80">
        <f t="shared" ref="A41" si="23">IF(G41&gt;=0,0,1)</f>
        <v>0</v>
      </c>
      <c r="B41" s="422" t="s">
        <v>246</v>
      </c>
      <c r="C41" s="357" t="s">
        <v>240</v>
      </c>
      <c r="D41" s="358"/>
      <c r="E41" s="358" t="s">
        <v>247</v>
      </c>
      <c r="F41" s="359" t="s">
        <v>241</v>
      </c>
      <c r="G41" s="266">
        <v>5130.29</v>
      </c>
      <c r="H41" s="80"/>
    </row>
    <row r="42" spans="1:8" s="51" customFormat="1" ht="15" customHeight="1" x14ac:dyDescent="0.2">
      <c r="A42" s="80">
        <f t="shared" ref="A42" si="24">IF(G42&gt;=0,0,1)</f>
        <v>0</v>
      </c>
      <c r="B42" s="422" t="s">
        <v>244</v>
      </c>
      <c r="C42" s="357" t="s">
        <v>240</v>
      </c>
      <c r="D42" s="358"/>
      <c r="E42" s="358" t="s">
        <v>245</v>
      </c>
      <c r="F42" s="359" t="s">
        <v>241</v>
      </c>
      <c r="G42" s="266">
        <v>3739.16</v>
      </c>
      <c r="H42" s="80"/>
    </row>
    <row r="43" spans="1:8" s="51" customFormat="1" ht="15" customHeight="1" x14ac:dyDescent="0.2">
      <c r="A43" s="80">
        <f t="shared" ref="A43" si="25">IF(G43&gt;=0,0,1)</f>
        <v>0</v>
      </c>
      <c r="B43" s="422" t="s">
        <v>249</v>
      </c>
      <c r="C43" s="357" t="s">
        <v>240</v>
      </c>
      <c r="D43" s="358"/>
      <c r="E43" s="358" t="s">
        <v>248</v>
      </c>
      <c r="F43" s="359" t="s">
        <v>241</v>
      </c>
      <c r="G43" s="266">
        <v>2963.31</v>
      </c>
      <c r="H43" s="80"/>
    </row>
    <row r="44" spans="1:8" s="51" customFormat="1" ht="15" customHeight="1" x14ac:dyDescent="0.2">
      <c r="A44" s="80">
        <f t="shared" ref="A44" si="26">IF(G44&gt;=0,0,1)</f>
        <v>0</v>
      </c>
      <c r="B44" s="422" t="s">
        <v>251</v>
      </c>
      <c r="C44" s="357" t="s">
        <v>250</v>
      </c>
      <c r="D44" s="358"/>
      <c r="E44" s="358" t="s">
        <v>252</v>
      </c>
      <c r="F44" s="359" t="s">
        <v>221</v>
      </c>
      <c r="G44" s="450">
        <v>28645.46</v>
      </c>
      <c r="H44" s="80"/>
    </row>
    <row r="45" spans="1:8" s="51" customFormat="1" ht="15" customHeight="1" x14ac:dyDescent="0.2">
      <c r="A45" s="80">
        <f t="shared" ref="A45" si="27">IF(G45&gt;=0,0,1)</f>
        <v>0</v>
      </c>
      <c r="B45" s="422" t="s">
        <v>254</v>
      </c>
      <c r="C45" s="357" t="s">
        <v>250</v>
      </c>
      <c r="D45" s="358"/>
      <c r="E45" s="358" t="s">
        <v>255</v>
      </c>
      <c r="F45" s="359" t="s">
        <v>253</v>
      </c>
      <c r="G45" s="450">
        <v>1724.1</v>
      </c>
      <c r="H45" s="80"/>
    </row>
    <row r="46" spans="1:8" s="51" customFormat="1" ht="15" customHeight="1" x14ac:dyDescent="0.2">
      <c r="A46" s="80">
        <f t="shared" ref="A46" si="28">IF(G46&gt;=0,0,1)</f>
        <v>0</v>
      </c>
      <c r="B46" s="422" t="s">
        <v>258</v>
      </c>
      <c r="C46" s="357" t="s">
        <v>256</v>
      </c>
      <c r="D46" s="358"/>
      <c r="E46" s="358" t="s">
        <v>257</v>
      </c>
      <c r="F46" s="359" t="s">
        <v>259</v>
      </c>
      <c r="G46" s="266">
        <v>3300</v>
      </c>
      <c r="H46" s="80"/>
    </row>
    <row r="47" spans="1:8" s="51" customFormat="1" ht="15" customHeight="1" x14ac:dyDescent="0.2">
      <c r="A47" s="80">
        <f t="shared" ref="A47" si="29">IF(G47&gt;=0,0,1)</f>
        <v>0</v>
      </c>
      <c r="B47" s="422" t="s">
        <v>260</v>
      </c>
      <c r="C47" s="357" t="s">
        <v>256</v>
      </c>
      <c r="D47" s="358"/>
      <c r="E47" s="358" t="s">
        <v>278</v>
      </c>
      <c r="F47" s="359" t="s">
        <v>261</v>
      </c>
      <c r="G47" s="266">
        <v>55665</v>
      </c>
      <c r="H47" s="80"/>
    </row>
    <row r="48" spans="1:8" s="51" customFormat="1" ht="15" customHeight="1" x14ac:dyDescent="0.2">
      <c r="A48" s="80">
        <f t="shared" ref="A48" si="30">IF(G48&gt;=0,0,1)</f>
        <v>0</v>
      </c>
      <c r="B48" s="422" t="s">
        <v>264</v>
      </c>
      <c r="C48" s="357" t="s">
        <v>256</v>
      </c>
      <c r="D48" s="358"/>
      <c r="E48" s="358" t="s">
        <v>441</v>
      </c>
      <c r="F48" s="359" t="s">
        <v>263</v>
      </c>
      <c r="G48" s="266">
        <f>13735-300</f>
        <v>13435</v>
      </c>
      <c r="H48" s="80"/>
    </row>
    <row r="49" spans="1:8" s="51" customFormat="1" ht="15" customHeight="1" x14ac:dyDescent="0.2">
      <c r="A49" s="80">
        <f t="shared" ref="A49" si="31">IF(G49&gt;=0,0,1)</f>
        <v>0</v>
      </c>
      <c r="B49" s="422" t="s">
        <v>289</v>
      </c>
      <c r="C49" s="357" t="s">
        <v>256</v>
      </c>
      <c r="D49" s="358"/>
      <c r="E49" s="358" t="s">
        <v>290</v>
      </c>
      <c r="F49" s="359" t="s">
        <v>259</v>
      </c>
      <c r="G49" s="266">
        <f>1300+300</f>
        <v>1600</v>
      </c>
      <c r="H49" s="80"/>
    </row>
    <row r="50" spans="1:8" s="51" customFormat="1" ht="15" customHeight="1" x14ac:dyDescent="0.2">
      <c r="A50" s="80">
        <f t="shared" ref="A50" si="32">IF(G50&gt;=0,0,1)</f>
        <v>0</v>
      </c>
      <c r="B50" s="422" t="s">
        <v>267</v>
      </c>
      <c r="C50" s="357" t="s">
        <v>256</v>
      </c>
      <c r="D50" s="358"/>
      <c r="E50" s="358" t="s">
        <v>266</v>
      </c>
      <c r="F50" s="359" t="s">
        <v>259</v>
      </c>
      <c r="G50" s="266">
        <v>250</v>
      </c>
      <c r="H50" s="80"/>
    </row>
    <row r="51" spans="1:8" s="51" customFormat="1" ht="15" customHeight="1" x14ac:dyDescent="0.2">
      <c r="A51" s="80">
        <f t="shared" ref="A51" si="33">IF(G51&gt;=0,0,1)</f>
        <v>0</v>
      </c>
      <c r="B51" s="422" t="s">
        <v>269</v>
      </c>
      <c r="C51" s="357" t="s">
        <v>256</v>
      </c>
      <c r="D51" s="358"/>
      <c r="E51" s="358" t="s">
        <v>443</v>
      </c>
      <c r="F51" s="359" t="s">
        <v>268</v>
      </c>
      <c r="G51" s="266">
        <f>3750-1300-300-250</f>
        <v>1900</v>
      </c>
      <c r="H51" s="80"/>
    </row>
    <row r="52" spans="1:8" s="51" customFormat="1" ht="15" customHeight="1" x14ac:dyDescent="0.2">
      <c r="A52" s="80">
        <f t="shared" ref="A52" si="34">IF(G52&gt;=0,0,1)</f>
        <v>0</v>
      </c>
      <c r="B52" s="422" t="s">
        <v>270</v>
      </c>
      <c r="C52" s="357" t="s">
        <v>256</v>
      </c>
      <c r="D52" s="358"/>
      <c r="E52" s="358" t="s">
        <v>275</v>
      </c>
      <c r="F52" s="359" t="s">
        <v>268</v>
      </c>
      <c r="G52" s="266"/>
      <c r="H52" s="80"/>
    </row>
    <row r="53" spans="1:8" s="51" customFormat="1" ht="15" customHeight="1" x14ac:dyDescent="0.2">
      <c r="A53" s="80">
        <f t="shared" ref="A53" si="35">IF(G53&gt;=0,0,1)</f>
        <v>0</v>
      </c>
      <c r="B53" s="422" t="s">
        <v>276</v>
      </c>
      <c r="C53" s="357" t="s">
        <v>256</v>
      </c>
      <c r="D53" s="358"/>
      <c r="E53" s="358" t="s">
        <v>277</v>
      </c>
      <c r="F53" s="359" t="s">
        <v>268</v>
      </c>
      <c r="G53" s="266"/>
      <c r="H53" s="80"/>
    </row>
    <row r="54" spans="1:8" s="51" customFormat="1" ht="15" customHeight="1" x14ac:dyDescent="0.2">
      <c r="A54" s="80">
        <f t="shared" ref="A54" si="36">IF(G54&gt;=0,0,1)</f>
        <v>0</v>
      </c>
      <c r="B54" s="422" t="s">
        <v>273</v>
      </c>
      <c r="C54" s="357" t="s">
        <v>256</v>
      </c>
      <c r="D54" s="358"/>
      <c r="E54" s="358" t="s">
        <v>271</v>
      </c>
      <c r="F54" s="359" t="s">
        <v>272</v>
      </c>
      <c r="G54" s="266"/>
      <c r="H54" s="80"/>
    </row>
    <row r="55" spans="1:8" s="51" customFormat="1" ht="15" customHeight="1" x14ac:dyDescent="0.2">
      <c r="A55" s="80">
        <f t="shared" ref="A55" si="37">IF(G55&gt;=0,0,1)</f>
        <v>0</v>
      </c>
      <c r="B55" s="422" t="s">
        <v>273</v>
      </c>
      <c r="C55" s="357" t="s">
        <v>256</v>
      </c>
      <c r="D55" s="358"/>
      <c r="E55" s="358" t="s">
        <v>279</v>
      </c>
      <c r="F55" s="359" t="s">
        <v>272</v>
      </c>
      <c r="G55" s="266"/>
      <c r="H55" s="80"/>
    </row>
    <row r="56" spans="1:8" s="51" customFormat="1" ht="15" customHeight="1" x14ac:dyDescent="0.2">
      <c r="A56" s="80">
        <f t="shared" ref="A56" si="38">IF(G56&gt;=0,0,1)</f>
        <v>0</v>
      </c>
      <c r="B56" s="422" t="s">
        <v>274</v>
      </c>
      <c r="C56" s="357" t="s">
        <v>256</v>
      </c>
      <c r="D56" s="358"/>
      <c r="E56" s="358" t="s">
        <v>442</v>
      </c>
      <c r="F56" s="359" t="s">
        <v>272</v>
      </c>
      <c r="G56" s="266">
        <v>300</v>
      </c>
      <c r="H56" s="80"/>
    </row>
    <row r="57" spans="1:8" s="51" customFormat="1" ht="15" customHeight="1" x14ac:dyDescent="0.2">
      <c r="A57" s="80">
        <f t="shared" ref="A57" si="39">IF(G57&gt;=0,0,1)</f>
        <v>0</v>
      </c>
      <c r="B57" s="422" t="s">
        <v>285</v>
      </c>
      <c r="C57" s="357" t="s">
        <v>256</v>
      </c>
      <c r="D57" s="358"/>
      <c r="E57" s="358" t="s">
        <v>288</v>
      </c>
      <c r="F57" s="359" t="s">
        <v>283</v>
      </c>
      <c r="G57" s="266">
        <v>7500</v>
      </c>
      <c r="H57" s="80"/>
    </row>
    <row r="58" spans="1:8" s="51" customFormat="1" ht="15" customHeight="1" x14ac:dyDescent="0.2">
      <c r="A58" s="80">
        <f t="shared" ref="A58" si="40">IF(G58&gt;=0,0,1)</f>
        <v>0</v>
      </c>
      <c r="B58" s="422" t="s">
        <v>280</v>
      </c>
      <c r="C58" s="357" t="s">
        <v>256</v>
      </c>
      <c r="D58" s="358"/>
      <c r="E58" s="358" t="s">
        <v>281</v>
      </c>
      <c r="F58" s="359" t="s">
        <v>263</v>
      </c>
      <c r="G58" s="266">
        <v>1500</v>
      </c>
      <c r="H58" s="80"/>
    </row>
    <row r="59" spans="1:8" s="51" customFormat="1" ht="15" customHeight="1" x14ac:dyDescent="0.2">
      <c r="A59" s="80">
        <f t="shared" ref="A59" si="41">IF(G59&gt;=0,0,1)</f>
        <v>0</v>
      </c>
      <c r="B59" s="422" t="s">
        <v>284</v>
      </c>
      <c r="C59" s="357" t="s">
        <v>256</v>
      </c>
      <c r="D59" s="358"/>
      <c r="E59" s="358" t="s">
        <v>390</v>
      </c>
      <c r="F59" s="359" t="s">
        <v>282</v>
      </c>
      <c r="G59" s="266">
        <v>1500</v>
      </c>
      <c r="H59" s="80"/>
    </row>
    <row r="60" spans="1:8" s="51" customFormat="1" ht="15" customHeight="1" x14ac:dyDescent="0.2">
      <c r="A60" s="80">
        <f t="shared" ref="A60" si="42">IF(G60&gt;=0,0,1)</f>
        <v>0</v>
      </c>
      <c r="B60" s="422" t="s">
        <v>286</v>
      </c>
      <c r="C60" s="357" t="s">
        <v>256</v>
      </c>
      <c r="D60" s="358"/>
      <c r="E60" s="358" t="s">
        <v>287</v>
      </c>
      <c r="F60" s="359" t="s">
        <v>259</v>
      </c>
      <c r="G60" s="266">
        <v>600</v>
      </c>
      <c r="H60" s="80"/>
    </row>
    <row r="61" spans="1:8" s="51" customFormat="1" ht="15" customHeight="1" x14ac:dyDescent="0.2">
      <c r="A61" s="80">
        <f t="shared" ref="A61" si="43">IF(G61&gt;=0,0,1)</f>
        <v>0</v>
      </c>
      <c r="B61" s="422" t="s">
        <v>291</v>
      </c>
      <c r="C61" s="357" t="s">
        <v>256</v>
      </c>
      <c r="D61" s="358"/>
      <c r="E61" s="358" t="s">
        <v>292</v>
      </c>
      <c r="F61" s="359" t="s">
        <v>261</v>
      </c>
      <c r="G61" s="266">
        <v>9200</v>
      </c>
      <c r="H61" s="80"/>
    </row>
    <row r="62" spans="1:8" s="51" customFormat="1" ht="15" customHeight="1" x14ac:dyDescent="0.2">
      <c r="A62" s="80">
        <f t="shared" ref="A62" si="44">IF(G62&gt;=0,0,1)</f>
        <v>0</v>
      </c>
      <c r="B62" s="422" t="s">
        <v>293</v>
      </c>
      <c r="C62" s="357" t="s">
        <v>256</v>
      </c>
      <c r="D62" s="358"/>
      <c r="E62" s="358" t="s">
        <v>294</v>
      </c>
      <c r="F62" s="359" t="s">
        <v>295</v>
      </c>
      <c r="G62" s="266">
        <v>225</v>
      </c>
      <c r="H62" s="80"/>
    </row>
    <row r="63" spans="1:8" s="51" customFormat="1" ht="15" customHeight="1" x14ac:dyDescent="0.2">
      <c r="A63" s="80">
        <f t="shared" ref="A63" si="45">IF(G63&gt;=0,0,1)</f>
        <v>0</v>
      </c>
      <c r="B63" s="422" t="s">
        <v>296</v>
      </c>
      <c r="C63" s="357" t="s">
        <v>192</v>
      </c>
      <c r="D63" s="358"/>
      <c r="E63" s="358" t="s">
        <v>297</v>
      </c>
      <c r="F63" s="359" t="s">
        <v>298</v>
      </c>
      <c r="G63" s="266">
        <v>0</v>
      </c>
      <c r="H63" s="80"/>
    </row>
    <row r="64" spans="1:8" s="51" customFormat="1" ht="15" customHeight="1" x14ac:dyDescent="0.2">
      <c r="A64" s="80">
        <f t="shared" ref="A64" si="46">IF(G64&gt;=0,0,1)</f>
        <v>0</v>
      </c>
      <c r="B64" s="422" t="s">
        <v>299</v>
      </c>
      <c r="C64" s="357" t="s">
        <v>192</v>
      </c>
      <c r="D64" s="358"/>
      <c r="E64" s="358" t="s">
        <v>301</v>
      </c>
      <c r="F64" s="359" t="s">
        <v>300</v>
      </c>
      <c r="G64" s="266">
        <v>0</v>
      </c>
      <c r="H64" s="80"/>
    </row>
    <row r="65" spans="1:8" s="51" customFormat="1" ht="15" customHeight="1" x14ac:dyDescent="0.2">
      <c r="A65" s="80">
        <f t="shared" ref="A65" si="47">IF(G65&gt;=0,0,1)</f>
        <v>0</v>
      </c>
      <c r="B65" s="422" t="s">
        <v>170</v>
      </c>
      <c r="C65" s="357" t="s">
        <v>192</v>
      </c>
      <c r="D65" s="358"/>
      <c r="E65" s="358" t="s">
        <v>302</v>
      </c>
      <c r="F65" s="359" t="s">
        <v>168</v>
      </c>
      <c r="G65" s="266">
        <v>1190</v>
      </c>
      <c r="H65" s="80"/>
    </row>
    <row r="66" spans="1:8" s="51" customFormat="1" ht="15" customHeight="1" x14ac:dyDescent="0.2">
      <c r="A66" s="80">
        <f t="shared" ref="A66" si="48">IF(G66&gt;=0,0,1)</f>
        <v>0</v>
      </c>
      <c r="B66" s="422" t="s">
        <v>170</v>
      </c>
      <c r="C66" s="357" t="s">
        <v>192</v>
      </c>
      <c r="D66" s="358"/>
      <c r="E66" s="358" t="s">
        <v>303</v>
      </c>
      <c r="F66" s="359" t="s">
        <v>168</v>
      </c>
      <c r="G66" s="266">
        <v>4717.5</v>
      </c>
      <c r="H66" s="80"/>
    </row>
    <row r="67" spans="1:8" s="51" customFormat="1" ht="15" customHeight="1" x14ac:dyDescent="0.2">
      <c r="A67" s="80">
        <f t="shared" ref="A67" si="49">IF(G67&gt;=0,0,1)</f>
        <v>0</v>
      </c>
      <c r="B67" s="422" t="s">
        <v>304</v>
      </c>
      <c r="C67" s="357" t="s">
        <v>240</v>
      </c>
      <c r="D67" s="358"/>
      <c r="E67" s="358" t="s">
        <v>305</v>
      </c>
      <c r="F67" s="359" t="s">
        <v>306</v>
      </c>
      <c r="G67" s="266">
        <v>56253</v>
      </c>
      <c r="H67" s="80"/>
    </row>
    <row r="68" spans="1:8" s="51" customFormat="1" ht="15" customHeight="1" x14ac:dyDescent="0.2">
      <c r="A68" s="80">
        <f t="shared" ref="A68" si="50">IF(G68&gt;=0,0,1)</f>
        <v>0</v>
      </c>
      <c r="B68" s="422" t="s">
        <v>307</v>
      </c>
      <c r="C68" s="357" t="s">
        <v>308</v>
      </c>
      <c r="D68" s="358"/>
      <c r="E68" s="358" t="s">
        <v>309</v>
      </c>
      <c r="F68" s="359" t="s">
        <v>310</v>
      </c>
      <c r="G68" s="266">
        <v>0</v>
      </c>
      <c r="H68" s="80"/>
    </row>
    <row r="69" spans="1:8" s="51" customFormat="1" ht="15" customHeight="1" x14ac:dyDescent="0.2">
      <c r="A69" s="80">
        <f t="shared" ref="A69" si="51">IF(G69&gt;=0,0,1)</f>
        <v>0</v>
      </c>
      <c r="B69" s="422" t="s">
        <v>311</v>
      </c>
      <c r="C69" s="357" t="s">
        <v>192</v>
      </c>
      <c r="D69" s="358"/>
      <c r="E69" s="358" t="s">
        <v>312</v>
      </c>
      <c r="F69" s="359" t="s">
        <v>313</v>
      </c>
      <c r="G69" s="266">
        <v>0</v>
      </c>
      <c r="H69" s="80"/>
    </row>
    <row r="70" spans="1:8" s="51" customFormat="1" ht="15" customHeight="1" x14ac:dyDescent="0.2">
      <c r="A70" s="80">
        <f t="shared" ref="A70" si="52">IF(G70&gt;=0,0,1)</f>
        <v>0</v>
      </c>
      <c r="B70" s="422" t="s">
        <v>314</v>
      </c>
      <c r="C70" s="357" t="s">
        <v>315</v>
      </c>
      <c r="D70" s="358"/>
      <c r="E70" s="358" t="s">
        <v>316</v>
      </c>
      <c r="F70" s="359" t="s">
        <v>317</v>
      </c>
      <c r="G70" s="266">
        <v>0</v>
      </c>
      <c r="H70" s="80"/>
    </row>
    <row r="71" spans="1:8" s="51" customFormat="1" ht="15" customHeight="1" x14ac:dyDescent="0.2">
      <c r="A71" s="80">
        <f t="shared" ref="A71" si="53">IF(G71&gt;=0,0,1)</f>
        <v>0</v>
      </c>
      <c r="B71" s="422" t="s">
        <v>318</v>
      </c>
      <c r="C71" s="357" t="s">
        <v>315</v>
      </c>
      <c r="D71" s="358"/>
      <c r="E71" s="358" t="s">
        <v>319</v>
      </c>
      <c r="F71" s="359" t="s">
        <v>317</v>
      </c>
      <c r="G71" s="266">
        <v>0</v>
      </c>
      <c r="H71" s="80"/>
    </row>
    <row r="72" spans="1:8" s="51" customFormat="1" ht="15" customHeight="1" x14ac:dyDescent="0.2">
      <c r="A72" s="80">
        <f t="shared" ref="A72" si="54">IF(G72&gt;=0,0,1)</f>
        <v>0</v>
      </c>
      <c r="B72" s="422" t="s">
        <v>320</v>
      </c>
      <c r="C72" s="357" t="s">
        <v>315</v>
      </c>
      <c r="D72" s="358"/>
      <c r="E72" s="358" t="s">
        <v>321</v>
      </c>
      <c r="F72" s="359" t="s">
        <v>241</v>
      </c>
      <c r="G72" s="266">
        <v>0</v>
      </c>
      <c r="H72" s="80"/>
    </row>
    <row r="73" spans="1:8" s="51" customFormat="1" ht="15" customHeight="1" x14ac:dyDescent="0.2">
      <c r="A73" s="80">
        <f t="shared" ref="A73" si="55">IF(G73&gt;=0,0,1)</f>
        <v>0</v>
      </c>
      <c r="B73" s="422" t="s">
        <v>322</v>
      </c>
      <c r="C73" s="357" t="s">
        <v>323</v>
      </c>
      <c r="D73" s="358"/>
      <c r="E73" s="358" t="s">
        <v>324</v>
      </c>
      <c r="F73" s="359" t="s">
        <v>325</v>
      </c>
      <c r="G73" s="266">
        <v>5400</v>
      </c>
      <c r="H73" s="80"/>
    </row>
    <row r="74" spans="1:8" s="51" customFormat="1" ht="15" customHeight="1" x14ac:dyDescent="0.2">
      <c r="A74" s="80">
        <f t="shared" ref="A74" si="56">IF(G74&gt;=0,0,1)</f>
        <v>0</v>
      </c>
      <c r="B74" s="422" t="s">
        <v>326</v>
      </c>
      <c r="C74" s="357" t="s">
        <v>240</v>
      </c>
      <c r="D74" s="358"/>
      <c r="E74" s="358" t="s">
        <v>327</v>
      </c>
      <c r="F74" s="359" t="s">
        <v>328</v>
      </c>
      <c r="G74" s="266">
        <v>28055</v>
      </c>
      <c r="H74" s="80"/>
    </row>
    <row r="75" spans="1:8" s="51" customFormat="1" ht="15" customHeight="1" x14ac:dyDescent="0.2">
      <c r="A75" s="80">
        <f t="shared" ref="A75" si="57">IF(G75&gt;=0,0,1)</f>
        <v>0</v>
      </c>
      <c r="B75" s="422" t="s">
        <v>214</v>
      </c>
      <c r="C75" s="357" t="s">
        <v>369</v>
      </c>
      <c r="D75" s="358"/>
      <c r="E75" s="358" t="s">
        <v>329</v>
      </c>
      <c r="F75" s="359" t="s">
        <v>330</v>
      </c>
      <c r="G75" s="266">
        <v>0</v>
      </c>
      <c r="H75" s="80"/>
    </row>
    <row r="76" spans="1:8" s="51" customFormat="1" ht="15" customHeight="1" x14ac:dyDescent="0.2">
      <c r="A76" s="80">
        <f t="shared" ref="A76" si="58">IF(G76&gt;=0,0,1)</f>
        <v>0</v>
      </c>
      <c r="B76" s="422" t="s">
        <v>331</v>
      </c>
      <c r="C76" s="357" t="s">
        <v>332</v>
      </c>
      <c r="D76" s="358"/>
      <c r="E76" s="358" t="s">
        <v>335</v>
      </c>
      <c r="F76" s="359" t="s">
        <v>333</v>
      </c>
      <c r="G76" s="266">
        <v>0</v>
      </c>
      <c r="H76" s="80"/>
    </row>
    <row r="77" spans="1:8" s="51" customFormat="1" ht="15" customHeight="1" x14ac:dyDescent="0.2">
      <c r="A77" s="80">
        <f t="shared" ref="A77" si="59">IF(G77&gt;=0,0,1)</f>
        <v>0</v>
      </c>
      <c r="B77" s="422" t="s">
        <v>331</v>
      </c>
      <c r="C77" s="357" t="s">
        <v>332</v>
      </c>
      <c r="D77" s="358"/>
      <c r="E77" s="358" t="s">
        <v>334</v>
      </c>
      <c r="F77" s="359" t="s">
        <v>333</v>
      </c>
      <c r="G77" s="266">
        <v>0</v>
      </c>
      <c r="H77" s="80"/>
    </row>
    <row r="78" spans="1:8" s="51" customFormat="1" ht="15" customHeight="1" x14ac:dyDescent="0.2">
      <c r="A78" s="80">
        <f t="shared" ref="A78" si="60">IF(G78&gt;=0,0,1)</f>
        <v>0</v>
      </c>
      <c r="B78" s="422" t="s">
        <v>331</v>
      </c>
      <c r="C78" s="357" t="s">
        <v>332</v>
      </c>
      <c r="D78" s="358"/>
      <c r="E78" s="358" t="s">
        <v>336</v>
      </c>
      <c r="F78" s="359" t="s">
        <v>333</v>
      </c>
      <c r="G78" s="266">
        <v>0</v>
      </c>
      <c r="H78" s="80"/>
    </row>
    <row r="79" spans="1:8" s="51" customFormat="1" ht="15" customHeight="1" x14ac:dyDescent="0.2">
      <c r="A79" s="80">
        <f t="shared" ref="A79" si="61">IF(G79&gt;=0,0,1)</f>
        <v>0</v>
      </c>
      <c r="B79" s="422" t="s">
        <v>337</v>
      </c>
      <c r="C79" s="357" t="s">
        <v>332</v>
      </c>
      <c r="D79" s="358"/>
      <c r="E79" s="358" t="s">
        <v>338</v>
      </c>
      <c r="F79" s="359" t="s">
        <v>333</v>
      </c>
      <c r="G79" s="266">
        <v>0</v>
      </c>
      <c r="H79" s="80"/>
    </row>
    <row r="80" spans="1:8" s="51" customFormat="1" ht="15" customHeight="1" x14ac:dyDescent="0.2">
      <c r="A80" s="80">
        <f t="shared" ref="A80" si="62">IF(G80&gt;=0,0,1)</f>
        <v>0</v>
      </c>
      <c r="B80" s="422" t="s">
        <v>339</v>
      </c>
      <c r="C80" s="357" t="s">
        <v>332</v>
      </c>
      <c r="D80" s="358"/>
      <c r="E80" s="358" t="s">
        <v>340</v>
      </c>
      <c r="F80" s="359" t="s">
        <v>333</v>
      </c>
      <c r="G80" s="266">
        <v>0</v>
      </c>
      <c r="H80" s="80"/>
    </row>
    <row r="81" spans="1:8" s="51" customFormat="1" ht="15" customHeight="1" x14ac:dyDescent="0.2">
      <c r="A81" s="80">
        <f t="shared" ref="A81" si="63">IF(G81&gt;=0,0,1)</f>
        <v>0</v>
      </c>
      <c r="B81" s="422" t="s">
        <v>341</v>
      </c>
      <c r="C81" s="357" t="s">
        <v>332</v>
      </c>
      <c r="D81" s="358"/>
      <c r="E81" s="358" t="s">
        <v>342</v>
      </c>
      <c r="F81" s="359" t="s">
        <v>333</v>
      </c>
      <c r="G81" s="266">
        <v>0</v>
      </c>
      <c r="H81" s="80"/>
    </row>
    <row r="82" spans="1:8" s="51" customFormat="1" ht="15" customHeight="1" x14ac:dyDescent="0.2">
      <c r="A82" s="80">
        <f t="shared" ref="A82" si="64">IF(G82&gt;=0,0,1)</f>
        <v>0</v>
      </c>
      <c r="B82" s="422" t="s">
        <v>337</v>
      </c>
      <c r="C82" s="357" t="s">
        <v>332</v>
      </c>
      <c r="D82" s="358"/>
      <c r="E82" s="358" t="s">
        <v>343</v>
      </c>
      <c r="F82" s="359" t="s">
        <v>333</v>
      </c>
      <c r="G82" s="266">
        <v>0</v>
      </c>
      <c r="H82" s="80"/>
    </row>
    <row r="83" spans="1:8" s="51" customFormat="1" ht="15" customHeight="1" x14ac:dyDescent="0.2">
      <c r="A83" s="80">
        <f t="shared" ref="A83" si="65">IF(G83&gt;=0,0,1)</f>
        <v>0</v>
      </c>
      <c r="B83" s="422" t="s">
        <v>344</v>
      </c>
      <c r="C83" s="357" t="s">
        <v>345</v>
      </c>
      <c r="D83" s="358"/>
      <c r="E83" s="358" t="s">
        <v>346</v>
      </c>
      <c r="F83" s="359" t="s">
        <v>347</v>
      </c>
      <c r="G83" s="266">
        <v>0</v>
      </c>
      <c r="H83" s="80"/>
    </row>
    <row r="84" spans="1:8" s="51" customFormat="1" ht="15" customHeight="1" x14ac:dyDescent="0.2">
      <c r="A84" s="80">
        <f t="shared" ref="A84" si="66">IF(G84&gt;=0,0,1)</f>
        <v>0</v>
      </c>
      <c r="B84" s="422" t="s">
        <v>361</v>
      </c>
      <c r="C84" s="357" t="s">
        <v>363</v>
      </c>
      <c r="D84" s="358"/>
      <c r="E84" s="358" t="s">
        <v>362</v>
      </c>
      <c r="F84" s="359" t="s">
        <v>348</v>
      </c>
      <c r="G84" s="266">
        <v>0</v>
      </c>
      <c r="H84" s="80"/>
    </row>
    <row r="85" spans="1:8" s="51" customFormat="1" ht="15" customHeight="1" x14ac:dyDescent="0.2">
      <c r="A85" s="80">
        <f t="shared" ref="A85" si="67">IF(G85&gt;=0,0,1)</f>
        <v>0</v>
      </c>
      <c r="B85" s="422" t="s">
        <v>352</v>
      </c>
      <c r="C85" s="357" t="s">
        <v>349</v>
      </c>
      <c r="D85" s="358"/>
      <c r="E85" s="358" t="s">
        <v>351</v>
      </c>
      <c r="F85" s="359" t="s">
        <v>350</v>
      </c>
      <c r="G85" s="266">
        <v>0</v>
      </c>
      <c r="H85" s="80"/>
    </row>
    <row r="86" spans="1:8" s="51" customFormat="1" ht="15" customHeight="1" x14ac:dyDescent="0.2">
      <c r="A86" s="80">
        <f t="shared" ref="A86" si="68">IF(G86&gt;=0,0,1)</f>
        <v>0</v>
      </c>
      <c r="B86" s="422" t="s">
        <v>352</v>
      </c>
      <c r="C86" s="357" t="s">
        <v>349</v>
      </c>
      <c r="D86" s="358"/>
      <c r="E86" s="358" t="s">
        <v>353</v>
      </c>
      <c r="F86" s="359" t="s">
        <v>350</v>
      </c>
      <c r="G86" s="266">
        <v>0</v>
      </c>
      <c r="H86" s="80"/>
    </row>
    <row r="87" spans="1:8" s="51" customFormat="1" ht="24" customHeight="1" x14ac:dyDescent="0.2">
      <c r="A87" s="80">
        <f t="shared" ref="A87" si="69">IF(G87&gt;=0,0,1)</f>
        <v>0</v>
      </c>
      <c r="B87" s="422" t="s">
        <v>354</v>
      </c>
      <c r="C87" s="357" t="s">
        <v>240</v>
      </c>
      <c r="D87" s="358"/>
      <c r="E87" s="358" t="s">
        <v>355</v>
      </c>
      <c r="F87" s="359" t="s">
        <v>241</v>
      </c>
      <c r="G87" s="266">
        <v>0</v>
      </c>
      <c r="H87" s="80"/>
    </row>
    <row r="88" spans="1:8" s="51" customFormat="1" ht="15" customHeight="1" x14ac:dyDescent="0.2">
      <c r="A88" s="80">
        <f t="shared" ref="A88" si="70">IF(G88&gt;=0,0,1)</f>
        <v>0</v>
      </c>
      <c r="B88" s="422" t="s">
        <v>364</v>
      </c>
      <c r="C88" s="357" t="s">
        <v>360</v>
      </c>
      <c r="D88" s="358"/>
      <c r="E88" s="358" t="s">
        <v>365</v>
      </c>
      <c r="F88" s="359" t="s">
        <v>366</v>
      </c>
      <c r="G88" s="266">
        <v>0</v>
      </c>
      <c r="H88" s="80"/>
    </row>
    <row r="89" spans="1:8" s="51" customFormat="1" ht="15" customHeight="1" x14ac:dyDescent="0.2">
      <c r="A89" s="80">
        <f t="shared" ref="A89" si="71">IF(G89&gt;=0,0,1)</f>
        <v>0</v>
      </c>
      <c r="B89" s="422" t="s">
        <v>195</v>
      </c>
      <c r="C89" s="357" t="s">
        <v>360</v>
      </c>
      <c r="D89" s="358"/>
      <c r="E89" s="358" t="s">
        <v>367</v>
      </c>
      <c r="F89" s="359" t="s">
        <v>368</v>
      </c>
      <c r="G89" s="266">
        <v>0</v>
      </c>
      <c r="H89" s="80"/>
    </row>
    <row r="90" spans="1:8" s="51" customFormat="1" ht="15" customHeight="1" x14ac:dyDescent="0.2">
      <c r="A90" s="80">
        <f t="shared" ref="A90" si="72">IF(G90&gt;=0,0,1)</f>
        <v>0</v>
      </c>
      <c r="B90" s="422" t="s">
        <v>375</v>
      </c>
      <c r="C90" s="357" t="s">
        <v>332</v>
      </c>
      <c r="D90" s="358"/>
      <c r="E90" s="358" t="s">
        <v>374</v>
      </c>
      <c r="F90" s="359" t="s">
        <v>238</v>
      </c>
      <c r="G90" s="266">
        <v>0</v>
      </c>
      <c r="H90" s="80"/>
    </row>
    <row r="91" spans="1:8" s="51" customFormat="1" ht="15" customHeight="1" x14ac:dyDescent="0.2">
      <c r="A91" s="80">
        <f t="shared" ref="A91" si="73">IF(G91&gt;=0,0,1)</f>
        <v>0</v>
      </c>
      <c r="B91" s="422" t="s">
        <v>377</v>
      </c>
      <c r="C91" s="357" t="s">
        <v>378</v>
      </c>
      <c r="D91" s="358"/>
      <c r="E91" s="358" t="s">
        <v>376</v>
      </c>
      <c r="F91" s="359" t="s">
        <v>379</v>
      </c>
      <c r="G91" s="266">
        <v>0</v>
      </c>
      <c r="H91" s="80"/>
    </row>
    <row r="92" spans="1:8" s="51" customFormat="1" ht="15" customHeight="1" x14ac:dyDescent="0.2">
      <c r="A92" s="80">
        <f t="shared" ref="A92" si="74">IF(G92&gt;=0,0,1)</f>
        <v>0</v>
      </c>
      <c r="B92" s="422" t="s">
        <v>382</v>
      </c>
      <c r="C92" s="357" t="s">
        <v>207</v>
      </c>
      <c r="D92" s="358"/>
      <c r="E92" s="358" t="s">
        <v>439</v>
      </c>
      <c r="F92" s="359" t="s">
        <v>383</v>
      </c>
      <c r="G92" s="266"/>
      <c r="H92" s="80"/>
    </row>
    <row r="93" spans="1:8" s="51" customFormat="1" ht="15" customHeight="1" x14ac:dyDescent="0.2">
      <c r="A93" s="80">
        <f t="shared" ref="A93" si="75">IF(G93&gt;=0,0,1)</f>
        <v>0</v>
      </c>
      <c r="B93" s="422" t="s">
        <v>387</v>
      </c>
      <c r="C93" s="357" t="s">
        <v>385</v>
      </c>
      <c r="D93" s="358"/>
      <c r="E93" s="358" t="s">
        <v>386</v>
      </c>
      <c r="F93" s="359" t="s">
        <v>384</v>
      </c>
      <c r="G93" s="266">
        <v>0</v>
      </c>
      <c r="H93" s="80"/>
    </row>
    <row r="94" spans="1:8" s="51" customFormat="1" ht="15" customHeight="1" x14ac:dyDescent="0.2">
      <c r="A94" s="80">
        <f t="shared" ref="A94" si="76">IF(G94&gt;=0,0,1)</f>
        <v>0</v>
      </c>
      <c r="B94" s="422" t="s">
        <v>391</v>
      </c>
      <c r="C94" s="357" t="s">
        <v>256</v>
      </c>
      <c r="D94" s="358"/>
      <c r="E94" s="358" t="s">
        <v>440</v>
      </c>
      <c r="F94" s="359" t="s">
        <v>263</v>
      </c>
      <c r="G94" s="266"/>
      <c r="H94" s="80"/>
    </row>
    <row r="95" spans="1:8" s="51" customFormat="1" ht="15" customHeight="1" x14ac:dyDescent="0.2">
      <c r="A95" s="80">
        <f t="shared" ref="A95" si="77">IF(G95&gt;=0,0,1)</f>
        <v>0</v>
      </c>
      <c r="B95" s="422" t="s">
        <v>392</v>
      </c>
      <c r="C95" s="357" t="s">
        <v>393</v>
      </c>
      <c r="D95" s="358"/>
      <c r="E95" s="358" t="s">
        <v>394</v>
      </c>
      <c r="F95" s="359" t="s">
        <v>388</v>
      </c>
      <c r="G95" s="266">
        <v>0</v>
      </c>
      <c r="H95" s="80"/>
    </row>
    <row r="96" spans="1:8" s="51" customFormat="1" ht="15" customHeight="1" x14ac:dyDescent="0.2">
      <c r="A96" s="80">
        <f t="shared" ref="A96" si="78">IF(G96&gt;=0,0,1)</f>
        <v>0</v>
      </c>
      <c r="B96" s="422" t="s">
        <v>395</v>
      </c>
      <c r="C96" s="357" t="s">
        <v>396</v>
      </c>
      <c r="D96" s="358"/>
      <c r="E96" s="358" t="s">
        <v>397</v>
      </c>
      <c r="F96" s="359" t="s">
        <v>221</v>
      </c>
      <c r="G96" s="266">
        <v>0</v>
      </c>
      <c r="H96" s="80"/>
    </row>
    <row r="97" spans="1:8" s="51" customFormat="1" ht="15" customHeight="1" x14ac:dyDescent="0.2">
      <c r="A97" s="80">
        <f t="shared" ref="A97" si="79">IF(G97&gt;=0,0,1)</f>
        <v>0</v>
      </c>
      <c r="B97" s="422" t="s">
        <v>398</v>
      </c>
      <c r="C97" s="357" t="s">
        <v>399</v>
      </c>
      <c r="D97" s="358"/>
      <c r="E97" s="358" t="s">
        <v>389</v>
      </c>
      <c r="F97" s="359" t="s">
        <v>417</v>
      </c>
      <c r="G97" s="266"/>
      <c r="H97" s="80"/>
    </row>
    <row r="98" spans="1:8" s="51" customFormat="1" ht="15" customHeight="1" x14ac:dyDescent="0.2">
      <c r="A98" s="80">
        <f t="shared" ref="A98" si="80">IF(G98&gt;=0,0,1)</f>
        <v>0</v>
      </c>
      <c r="B98" s="422" t="s">
        <v>400</v>
      </c>
      <c r="C98" s="357" t="s">
        <v>399</v>
      </c>
      <c r="D98" s="358"/>
      <c r="E98" s="358" t="s">
        <v>389</v>
      </c>
      <c r="F98" s="359" t="s">
        <v>401</v>
      </c>
      <c r="G98" s="266"/>
      <c r="H98" s="80"/>
    </row>
    <row r="99" spans="1:8" s="51" customFormat="1" ht="15" customHeight="1" x14ac:dyDescent="0.2">
      <c r="A99" s="80">
        <f t="shared" ref="A99" si="81">IF(G99&gt;=0,0,1)</f>
        <v>0</v>
      </c>
      <c r="B99" s="422" t="s">
        <v>402</v>
      </c>
      <c r="C99" s="357" t="s">
        <v>399</v>
      </c>
      <c r="D99" s="358"/>
      <c r="E99" s="358" t="s">
        <v>403</v>
      </c>
      <c r="F99" s="359" t="s">
        <v>389</v>
      </c>
      <c r="G99" s="266"/>
      <c r="H99" s="80"/>
    </row>
    <row r="100" spans="1:8" s="51" customFormat="1" ht="15" customHeight="1" x14ac:dyDescent="0.2">
      <c r="A100" s="80">
        <f t="shared" ref="A100" si="82">IF(G100&gt;=0,0,1)</f>
        <v>0</v>
      </c>
      <c r="B100" s="422" t="s">
        <v>407</v>
      </c>
      <c r="C100" s="357" t="s">
        <v>399</v>
      </c>
      <c r="D100" s="358"/>
      <c r="E100" s="358" t="s">
        <v>404</v>
      </c>
      <c r="F100" s="359" t="s">
        <v>405</v>
      </c>
      <c r="G100" s="266">
        <v>0</v>
      </c>
      <c r="H100" s="80"/>
    </row>
    <row r="101" spans="1:8" s="51" customFormat="1" ht="15" customHeight="1" x14ac:dyDescent="0.2">
      <c r="A101" s="80">
        <f t="shared" ref="A101" si="83">IF(G101&gt;=0,0,1)</f>
        <v>0</v>
      </c>
      <c r="B101" s="422" t="s">
        <v>408</v>
      </c>
      <c r="C101" s="357" t="s">
        <v>409</v>
      </c>
      <c r="D101" s="358"/>
      <c r="E101" s="358" t="s">
        <v>411</v>
      </c>
      <c r="F101" s="359" t="s">
        <v>410</v>
      </c>
      <c r="G101" s="266">
        <v>4601</v>
      </c>
      <c r="H101" s="80"/>
    </row>
    <row r="102" spans="1:8" s="51" customFormat="1" ht="15" customHeight="1" x14ac:dyDescent="0.2">
      <c r="A102" s="80">
        <f t="shared" ref="A102" si="84">IF(G102&gt;=0,0,1)</f>
        <v>0</v>
      </c>
      <c r="B102" s="422" t="s">
        <v>413</v>
      </c>
      <c r="C102" s="357" t="s">
        <v>414</v>
      </c>
      <c r="D102" s="358"/>
      <c r="E102" s="358" t="s">
        <v>416</v>
      </c>
      <c r="F102" s="359" t="s">
        <v>415</v>
      </c>
      <c r="G102" s="266">
        <v>50352</v>
      </c>
      <c r="H102" s="80"/>
    </row>
    <row r="103" spans="1:8" s="51" customFormat="1" ht="15" customHeight="1" x14ac:dyDescent="0.2">
      <c r="A103" s="80">
        <f t="shared" ref="A103" si="85">IF(G103&gt;=0,0,1)</f>
        <v>0</v>
      </c>
      <c r="B103" s="422" t="s">
        <v>420</v>
      </c>
      <c r="C103" s="357" t="s">
        <v>418</v>
      </c>
      <c r="D103" s="358"/>
      <c r="E103" s="358" t="s">
        <v>421</v>
      </c>
      <c r="F103" s="359" t="s">
        <v>419</v>
      </c>
      <c r="G103" s="266"/>
      <c r="H103" s="80"/>
    </row>
    <row r="104" spans="1:8" s="51" customFormat="1" ht="15" customHeight="1" x14ac:dyDescent="0.2">
      <c r="A104" s="80">
        <f t="shared" ref="A104" si="86">IF(G104&gt;=0,0,1)</f>
        <v>0</v>
      </c>
      <c r="B104" s="422" t="s">
        <v>422</v>
      </c>
      <c r="C104" s="357" t="s">
        <v>424</v>
      </c>
      <c r="D104" s="358"/>
      <c r="E104" s="358" t="s">
        <v>423</v>
      </c>
      <c r="F104" s="359" t="s">
        <v>425</v>
      </c>
      <c r="G104" s="266"/>
      <c r="H104" s="80"/>
    </row>
    <row r="105" spans="1:8" s="51" customFormat="1" ht="15" customHeight="1" x14ac:dyDescent="0.2">
      <c r="A105" s="80">
        <f t="shared" ref="A105" si="87">IF(G105&gt;=0,0,1)</f>
        <v>0</v>
      </c>
      <c r="B105" s="422" t="s">
        <v>426</v>
      </c>
      <c r="C105" s="358" t="s">
        <v>427</v>
      </c>
      <c r="D105" s="358"/>
      <c r="E105" s="358" t="s">
        <v>428</v>
      </c>
      <c r="F105" s="359" t="s">
        <v>429</v>
      </c>
      <c r="G105" s="266">
        <v>0</v>
      </c>
      <c r="H105" s="80"/>
    </row>
    <row r="106" spans="1:8" s="51" customFormat="1" ht="15" customHeight="1" x14ac:dyDescent="0.2">
      <c r="A106" s="80">
        <f t="shared" ref="A106" si="88">IF(G106&gt;=0,0,1)</f>
        <v>0</v>
      </c>
      <c r="B106" s="422" t="s">
        <v>430</v>
      </c>
      <c r="C106" s="358" t="s">
        <v>431</v>
      </c>
      <c r="D106" s="358"/>
      <c r="E106" s="358" t="s">
        <v>432</v>
      </c>
      <c r="F106" s="359" t="s">
        <v>433</v>
      </c>
      <c r="G106" s="266">
        <f>56.91+7.35</f>
        <v>64.259999999999991</v>
      </c>
      <c r="H106" s="80"/>
    </row>
    <row r="107" spans="1:8" s="51" customFormat="1" ht="15" customHeight="1" x14ac:dyDescent="0.2">
      <c r="A107" s="80">
        <f t="shared" ref="A107:A108" si="89">IF(G107&gt;=0,0,1)</f>
        <v>0</v>
      </c>
      <c r="B107" s="422" t="s">
        <v>434</v>
      </c>
      <c r="C107" s="358" t="s">
        <v>360</v>
      </c>
      <c r="D107" s="358"/>
      <c r="E107" s="358" t="s">
        <v>436</v>
      </c>
      <c r="F107" s="359" t="s">
        <v>435</v>
      </c>
      <c r="G107" s="266">
        <v>0</v>
      </c>
      <c r="H107" s="80"/>
    </row>
    <row r="108" spans="1:8" s="51" customFormat="1" ht="15" customHeight="1" x14ac:dyDescent="0.2">
      <c r="A108" s="80">
        <f t="shared" si="89"/>
        <v>0</v>
      </c>
      <c r="B108" s="422" t="s">
        <v>444</v>
      </c>
      <c r="C108" s="358" t="s">
        <v>448</v>
      </c>
      <c r="D108" s="358"/>
      <c r="E108" s="358" t="s">
        <v>445</v>
      </c>
      <c r="F108" s="359" t="s">
        <v>446</v>
      </c>
      <c r="G108" s="266">
        <v>27507</v>
      </c>
      <c r="H108" s="80"/>
    </row>
    <row r="109" spans="1:8" s="51" customFormat="1" ht="15" customHeight="1" x14ac:dyDescent="0.2">
      <c r="A109" s="80">
        <f t="shared" si="2"/>
        <v>0</v>
      </c>
      <c r="B109" s="422" t="s">
        <v>450</v>
      </c>
      <c r="C109" s="385" t="s">
        <v>414</v>
      </c>
      <c r="D109" s="358"/>
      <c r="E109" s="358" t="s">
        <v>451</v>
      </c>
      <c r="F109" s="359" t="s">
        <v>452</v>
      </c>
      <c r="G109" s="266">
        <v>0</v>
      </c>
      <c r="H109" s="80"/>
    </row>
    <row r="110" spans="1:8" s="51" customFormat="1" ht="15" customHeight="1" x14ac:dyDescent="0.2">
      <c r="A110" s="80">
        <f t="shared" si="2"/>
        <v>0</v>
      </c>
      <c r="B110" s="423"/>
      <c r="C110" s="385"/>
      <c r="D110" s="385"/>
      <c r="E110" s="385"/>
      <c r="F110" s="386"/>
      <c r="G110" s="387"/>
      <c r="H110" s="80"/>
    </row>
    <row r="111" spans="1:8" s="51" customFormat="1" ht="21" customHeight="1" x14ac:dyDescent="0.2">
      <c r="A111" s="80" t="s">
        <v>59</v>
      </c>
      <c r="B111" s="464" t="s">
        <v>114</v>
      </c>
      <c r="C111" s="465"/>
      <c r="D111" s="465"/>
      <c r="E111" s="465"/>
      <c r="F111" s="466"/>
      <c r="G111" s="246">
        <f>SUM(G9:G110)</f>
        <v>1159904.1199999999</v>
      </c>
    </row>
    <row r="112" spans="1:8" s="51" customFormat="1" ht="21" customHeight="1" x14ac:dyDescent="0.2">
      <c r="A112" s="198"/>
      <c r="B112" s="467" t="s">
        <v>115</v>
      </c>
      <c r="C112" s="468"/>
      <c r="D112" s="468"/>
      <c r="E112" s="468"/>
      <c r="F112" s="469"/>
      <c r="G112" s="286">
        <f>IF('Instructions BD+C'!G32&gt;1,'Instructions BD+C'!G32,IF('Instructions BD+C'!G32=0,'Instructions ID+C'!G22))</f>
        <v>2441575.8000000003</v>
      </c>
    </row>
    <row r="113" spans="1:10" s="56" customFormat="1" ht="32.25" customHeight="1" x14ac:dyDescent="0.2">
      <c r="A113" s="199"/>
      <c r="G113" s="248"/>
    </row>
    <row r="114" spans="1:10" s="51" customFormat="1" ht="12" customHeight="1" x14ac:dyDescent="0.2">
      <c r="A114" s="198"/>
      <c r="B114" s="57"/>
      <c r="C114" s="57"/>
      <c r="D114" s="57"/>
      <c r="E114" s="58"/>
      <c r="F114" s="59"/>
      <c r="G114" s="59"/>
      <c r="H114" s="60"/>
    </row>
    <row r="115" spans="1:10" s="51" customFormat="1" ht="12" customHeight="1" x14ac:dyDescent="0.2">
      <c r="A115" s="198"/>
      <c r="B115" s="61"/>
      <c r="C115" s="61"/>
      <c r="D115" s="61"/>
      <c r="E115" s="58"/>
      <c r="F115" s="58"/>
      <c r="G115" s="58"/>
      <c r="H115" s="62"/>
    </row>
    <row r="116" spans="1:10" s="51" customFormat="1" ht="12" customHeight="1" x14ac:dyDescent="0.2">
      <c r="A116" s="198"/>
      <c r="B116" s="63"/>
      <c r="C116" s="63"/>
      <c r="D116" s="63"/>
      <c r="E116" s="58"/>
      <c r="F116" s="58"/>
      <c r="G116" s="58"/>
      <c r="H116" s="62"/>
    </row>
    <row r="117" spans="1:10" s="51" customFormat="1" ht="12" customHeight="1" x14ac:dyDescent="0.2">
      <c r="A117" s="198"/>
      <c r="B117" s="58"/>
      <c r="C117" s="58"/>
      <c r="D117" s="58"/>
      <c r="E117" s="58"/>
      <c r="F117" s="58"/>
      <c r="G117" s="58"/>
      <c r="H117" s="62"/>
    </row>
    <row r="118" spans="1:10" s="51" customFormat="1" ht="12" customHeight="1" x14ac:dyDescent="0.2">
      <c r="A118" s="198"/>
      <c r="B118" s="58"/>
      <c r="C118" s="58"/>
      <c r="D118" s="58"/>
      <c r="E118" s="58"/>
      <c r="F118" s="78" t="s">
        <v>31</v>
      </c>
      <c r="G118" s="58"/>
      <c r="H118" s="62"/>
    </row>
    <row r="119" spans="1:10" s="51" customFormat="1" ht="15" customHeight="1" x14ac:dyDescent="0.2">
      <c r="A119" s="198"/>
      <c r="B119" s="58"/>
      <c r="C119" s="58"/>
      <c r="D119" s="58"/>
      <c r="E119" s="58"/>
      <c r="F119" s="58"/>
      <c r="G119" s="58"/>
      <c r="H119" s="62"/>
    </row>
    <row r="120" spans="1:10" s="51" customFormat="1" ht="15" customHeight="1" x14ac:dyDescent="0.2">
      <c r="A120" s="198"/>
      <c r="B120" s="58"/>
      <c r="C120" s="58"/>
      <c r="D120" s="58"/>
      <c r="E120" s="58"/>
      <c r="F120" s="58"/>
      <c r="G120" s="58"/>
      <c r="H120" s="62"/>
      <c r="I120" s="64"/>
      <c r="J120" s="64"/>
    </row>
    <row r="121" spans="1:10" s="51" customFormat="1" ht="20.100000000000001" customHeight="1" x14ac:dyDescent="0.2">
      <c r="A121" s="198"/>
      <c r="B121" s="58"/>
      <c r="C121" s="58"/>
      <c r="D121" s="58"/>
      <c r="E121" s="58"/>
      <c r="F121" s="58"/>
      <c r="G121" s="58"/>
      <c r="H121" s="62"/>
    </row>
    <row r="122" spans="1:10" s="64" customFormat="1" ht="20.100000000000001" customHeight="1" x14ac:dyDescent="0.2">
      <c r="A122" s="200"/>
      <c r="B122" s="58"/>
      <c r="C122" s="58"/>
      <c r="D122" s="58"/>
      <c r="E122" s="58"/>
      <c r="F122" s="58"/>
      <c r="G122" s="58"/>
      <c r="H122" s="62"/>
      <c r="I122" s="51"/>
      <c r="J122" s="51"/>
    </row>
    <row r="123" spans="1:10" s="51" customFormat="1" ht="20.100000000000001" customHeight="1" x14ac:dyDescent="0.2">
      <c r="A123" s="198"/>
      <c r="B123" s="58"/>
      <c r="C123" s="58"/>
      <c r="D123" s="58"/>
      <c r="E123" s="58"/>
      <c r="F123" s="58"/>
      <c r="G123" s="58"/>
      <c r="H123" s="62"/>
    </row>
    <row r="124" spans="1:10" s="51" customFormat="1" ht="20.100000000000001" customHeight="1" x14ac:dyDescent="0.2">
      <c r="A124" s="198"/>
      <c r="B124" s="58"/>
      <c r="C124" s="58"/>
      <c r="D124" s="58"/>
      <c r="E124" s="58"/>
      <c r="F124" s="58"/>
      <c r="G124" s="58"/>
      <c r="H124" s="62"/>
    </row>
    <row r="125" spans="1:10" s="51" customFormat="1" ht="20.100000000000001" customHeight="1" x14ac:dyDescent="0.2">
      <c r="A125" s="198"/>
      <c r="B125" s="58"/>
      <c r="C125" s="58"/>
      <c r="D125" s="58"/>
      <c r="E125" s="58"/>
      <c r="F125" s="58"/>
      <c r="G125" s="58"/>
      <c r="H125" s="62"/>
    </row>
    <row r="126" spans="1:10" s="51" customFormat="1" ht="20.100000000000001" customHeight="1" x14ac:dyDescent="0.2">
      <c r="A126" s="198"/>
      <c r="B126" s="58"/>
      <c r="C126" s="58"/>
      <c r="D126" s="58"/>
      <c r="E126" s="58"/>
      <c r="F126" s="58"/>
      <c r="G126" s="58"/>
      <c r="H126" s="62"/>
    </row>
    <row r="127" spans="1:10" s="51" customFormat="1" ht="20.100000000000001" customHeight="1" x14ac:dyDescent="0.2">
      <c r="A127" s="198"/>
      <c r="B127" s="58"/>
      <c r="C127" s="58"/>
      <c r="D127" s="58"/>
      <c r="E127" s="58"/>
      <c r="F127" s="58"/>
      <c r="G127" s="58"/>
      <c r="H127" s="62"/>
    </row>
    <row r="128" spans="1:10" s="51" customFormat="1" ht="20.100000000000001" customHeight="1" x14ac:dyDescent="0.2">
      <c r="A128" s="198"/>
      <c r="B128" s="58"/>
      <c r="C128" s="58"/>
      <c r="D128" s="58"/>
      <c r="E128" s="58"/>
      <c r="F128" s="58"/>
      <c r="G128" s="58"/>
      <c r="H128" s="62"/>
    </row>
    <row r="129" spans="1:8" s="51" customFormat="1" x14ac:dyDescent="0.2">
      <c r="A129" s="198"/>
      <c r="B129" s="58"/>
      <c r="C129" s="58"/>
      <c r="D129" s="58"/>
      <c r="E129" s="58"/>
      <c r="F129" s="58"/>
      <c r="G129" s="58"/>
      <c r="H129" s="62"/>
    </row>
    <row r="130" spans="1:8" s="51" customFormat="1" x14ac:dyDescent="0.2">
      <c r="A130" s="198"/>
      <c r="B130" s="58"/>
      <c r="C130" s="58"/>
      <c r="D130" s="58"/>
      <c r="E130" s="58"/>
      <c r="F130" s="58"/>
      <c r="G130" s="58"/>
      <c r="H130" s="62"/>
    </row>
    <row r="131" spans="1:8" s="51" customFormat="1" x14ac:dyDescent="0.2">
      <c r="A131" s="198"/>
      <c r="B131" s="58"/>
      <c r="C131" s="58"/>
      <c r="D131" s="58"/>
      <c r="E131" s="58"/>
      <c r="F131" s="58"/>
      <c r="G131" s="58"/>
      <c r="H131" s="62"/>
    </row>
    <row r="132" spans="1:8" s="51" customFormat="1" x14ac:dyDescent="0.2">
      <c r="A132" s="198"/>
      <c r="B132" s="58"/>
      <c r="C132" s="58"/>
      <c r="D132" s="58"/>
      <c r="E132" s="58"/>
      <c r="F132" s="58"/>
      <c r="G132" s="58"/>
      <c r="H132" s="62"/>
    </row>
    <row r="133" spans="1:8" s="51" customFormat="1" x14ac:dyDescent="0.2">
      <c r="A133" s="198"/>
      <c r="B133" s="58"/>
      <c r="C133" s="58"/>
      <c r="D133" s="58"/>
      <c r="E133" s="58"/>
      <c r="F133" s="58"/>
      <c r="G133" s="58"/>
      <c r="H133" s="62"/>
    </row>
    <row r="134" spans="1:8" s="51" customFormat="1" x14ac:dyDescent="0.2">
      <c r="A134" s="198"/>
      <c r="B134" s="58"/>
      <c r="C134" s="58"/>
      <c r="D134" s="58"/>
      <c r="E134" s="58"/>
      <c r="F134" s="58"/>
      <c r="G134" s="58"/>
      <c r="H134" s="62"/>
    </row>
    <row r="135" spans="1:8" s="51" customFormat="1" x14ac:dyDescent="0.2">
      <c r="A135" s="198"/>
      <c r="B135" s="58"/>
      <c r="C135" s="58"/>
      <c r="D135" s="58"/>
      <c r="E135" s="58"/>
      <c r="F135" s="58"/>
      <c r="G135" s="58"/>
      <c r="H135" s="62"/>
    </row>
    <row r="136" spans="1:8" s="51" customFormat="1" x14ac:dyDescent="0.2">
      <c r="A136" s="198"/>
      <c r="B136" s="58"/>
      <c r="C136" s="58"/>
      <c r="D136" s="58"/>
      <c r="E136" s="58"/>
      <c r="F136" s="58"/>
      <c r="G136" s="58"/>
      <c r="H136" s="62"/>
    </row>
    <row r="137" spans="1:8" s="51" customFormat="1" x14ac:dyDescent="0.2">
      <c r="A137" s="198"/>
      <c r="B137" s="58"/>
      <c r="C137" s="58"/>
      <c r="D137" s="58"/>
      <c r="E137" s="58"/>
      <c r="F137" s="58"/>
      <c r="G137" s="58"/>
      <c r="H137" s="62"/>
    </row>
    <row r="138" spans="1:8" s="51" customFormat="1" x14ac:dyDescent="0.2">
      <c r="A138" s="198"/>
      <c r="B138" s="58"/>
      <c r="C138" s="58"/>
      <c r="D138" s="58"/>
      <c r="E138" s="58"/>
      <c r="F138" s="58"/>
      <c r="G138" s="58"/>
      <c r="H138" s="62"/>
    </row>
    <row r="139" spans="1:8" s="51" customFormat="1" x14ac:dyDescent="0.2">
      <c r="A139" s="198"/>
      <c r="B139" s="58"/>
      <c r="C139" s="58"/>
      <c r="D139" s="58"/>
      <c r="E139" s="58"/>
      <c r="F139" s="58"/>
      <c r="G139" s="58"/>
      <c r="H139" s="62"/>
    </row>
    <row r="140" spans="1:8" s="51" customFormat="1" x14ac:dyDescent="0.2">
      <c r="A140" s="198"/>
      <c r="B140" s="58"/>
      <c r="C140" s="58"/>
      <c r="D140" s="58"/>
      <c r="E140" s="58"/>
      <c r="F140" s="58"/>
      <c r="G140" s="58"/>
      <c r="H140" s="62"/>
    </row>
    <row r="141" spans="1:8" s="51" customFormat="1" x14ac:dyDescent="0.2">
      <c r="A141" s="198"/>
      <c r="B141" s="58"/>
      <c r="C141" s="58"/>
      <c r="D141" s="58"/>
      <c r="E141" s="58"/>
      <c r="F141" s="58"/>
      <c r="G141" s="58"/>
      <c r="H141" s="62"/>
    </row>
    <row r="142" spans="1:8" s="51" customFormat="1" x14ac:dyDescent="0.2">
      <c r="A142" s="198"/>
      <c r="B142" s="58"/>
      <c r="C142" s="58"/>
      <c r="D142" s="58"/>
      <c r="E142" s="58"/>
      <c r="F142" s="58"/>
      <c r="G142" s="58"/>
      <c r="H142" s="62"/>
    </row>
    <row r="143" spans="1:8" s="51" customFormat="1" x14ac:dyDescent="0.2">
      <c r="A143" s="198"/>
      <c r="B143" s="58"/>
      <c r="C143" s="58"/>
      <c r="D143" s="58"/>
      <c r="E143" s="58"/>
      <c r="F143" s="58"/>
      <c r="G143" s="58"/>
      <c r="H143" s="62"/>
    </row>
    <row r="144" spans="1:8" s="51" customFormat="1" ht="13.35" customHeight="1" x14ac:dyDescent="0.2">
      <c r="A144" s="198"/>
      <c r="B144" s="58"/>
      <c r="C144" s="58"/>
      <c r="D144" s="58"/>
      <c r="E144" s="58"/>
      <c r="F144" s="58"/>
      <c r="G144" s="58"/>
      <c r="H144" s="62"/>
    </row>
    <row r="145" spans="1:8" s="51" customFormat="1" x14ac:dyDescent="0.2">
      <c r="A145" s="198"/>
      <c r="B145" s="58"/>
      <c r="C145" s="58"/>
      <c r="D145" s="58"/>
      <c r="E145" s="58"/>
      <c r="F145" s="58"/>
      <c r="G145" s="58"/>
      <c r="H145" s="62"/>
    </row>
    <row r="146" spans="1:8" s="51" customFormat="1" x14ac:dyDescent="0.2">
      <c r="A146" s="198"/>
      <c r="B146" s="58"/>
      <c r="C146" s="58"/>
      <c r="D146" s="58"/>
      <c r="E146" s="58"/>
      <c r="F146" s="58"/>
      <c r="G146" s="58"/>
      <c r="H146" s="62"/>
    </row>
    <row r="147" spans="1:8" s="51" customFormat="1" x14ac:dyDescent="0.2">
      <c r="A147" s="198"/>
      <c r="B147" s="58"/>
      <c r="C147" s="58"/>
      <c r="D147" s="58"/>
      <c r="E147" s="58"/>
      <c r="F147" s="58"/>
      <c r="G147" s="58"/>
      <c r="H147" s="62"/>
    </row>
    <row r="148" spans="1:8" s="51" customFormat="1" x14ac:dyDescent="0.2">
      <c r="A148" s="198"/>
      <c r="B148" s="58"/>
      <c r="C148" s="58"/>
      <c r="D148" s="58"/>
      <c r="E148" s="58"/>
      <c r="F148" s="58"/>
      <c r="G148" s="58"/>
      <c r="H148" s="62"/>
    </row>
    <row r="149" spans="1:8" s="51" customFormat="1" x14ac:dyDescent="0.2">
      <c r="A149" s="198"/>
      <c r="B149" s="58"/>
      <c r="C149" s="58"/>
      <c r="D149" s="58"/>
      <c r="E149" s="58"/>
      <c r="F149" s="58"/>
      <c r="G149" s="58"/>
      <c r="H149" s="62"/>
    </row>
    <row r="150" spans="1:8" s="51" customFormat="1" x14ac:dyDescent="0.2">
      <c r="A150" s="198"/>
      <c r="B150" s="58"/>
      <c r="C150" s="58"/>
      <c r="D150" s="58"/>
      <c r="E150" s="58"/>
      <c r="F150" s="58"/>
      <c r="G150" s="58"/>
      <c r="H150" s="62"/>
    </row>
    <row r="151" spans="1:8" s="51" customFormat="1" x14ac:dyDescent="0.2">
      <c r="A151" s="198"/>
      <c r="B151" s="58"/>
      <c r="C151" s="58"/>
      <c r="D151" s="58"/>
      <c r="E151" s="58"/>
      <c r="F151" s="58"/>
      <c r="G151" s="58"/>
      <c r="H151" s="62"/>
    </row>
    <row r="152" spans="1:8" s="51" customFormat="1" x14ac:dyDescent="0.2">
      <c r="A152" s="198"/>
      <c r="B152" s="58"/>
      <c r="C152" s="58"/>
      <c r="D152" s="58"/>
      <c r="E152" s="58"/>
      <c r="F152" s="58"/>
      <c r="G152" s="58"/>
      <c r="H152" s="62"/>
    </row>
    <row r="153" spans="1:8" s="51" customFormat="1" x14ac:dyDescent="0.2">
      <c r="A153" s="198"/>
      <c r="B153" s="58"/>
      <c r="C153" s="58"/>
      <c r="D153" s="58"/>
      <c r="E153" s="58"/>
      <c r="F153" s="58"/>
      <c r="G153" s="58"/>
      <c r="H153" s="62"/>
    </row>
    <row r="154" spans="1:8" s="51" customFormat="1" x14ac:dyDescent="0.2">
      <c r="A154" s="198"/>
      <c r="B154" s="58"/>
      <c r="C154" s="58"/>
      <c r="D154" s="58"/>
      <c r="E154" s="58"/>
      <c r="F154" s="58"/>
      <c r="G154" s="58"/>
      <c r="H154" s="62"/>
    </row>
    <row r="155" spans="1:8" s="51" customFormat="1" x14ac:dyDescent="0.2">
      <c r="A155" s="198"/>
      <c r="B155" s="58"/>
      <c r="C155" s="58"/>
      <c r="D155" s="58"/>
      <c r="E155" s="58"/>
      <c r="F155" s="58"/>
      <c r="G155" s="58"/>
      <c r="H155" s="62"/>
    </row>
    <row r="156" spans="1:8" s="51" customFormat="1" x14ac:dyDescent="0.2">
      <c r="A156" s="198"/>
      <c r="B156" s="58"/>
      <c r="C156" s="58"/>
      <c r="D156" s="58"/>
      <c r="E156" s="58"/>
      <c r="F156" s="58"/>
      <c r="G156" s="58"/>
      <c r="H156" s="62"/>
    </row>
    <row r="157" spans="1:8" s="51" customFormat="1" x14ac:dyDescent="0.2">
      <c r="A157" s="198"/>
      <c r="B157" s="58"/>
      <c r="C157" s="58"/>
      <c r="D157" s="58"/>
      <c r="E157" s="58"/>
      <c r="F157" s="58"/>
      <c r="G157" s="58"/>
      <c r="H157" s="62"/>
    </row>
    <row r="158" spans="1:8" s="51" customFormat="1" x14ac:dyDescent="0.2">
      <c r="A158" s="198"/>
      <c r="B158" s="58"/>
      <c r="C158" s="58"/>
      <c r="D158" s="58"/>
      <c r="E158" s="58"/>
      <c r="F158" s="58"/>
      <c r="G158" s="58"/>
      <c r="H158" s="62"/>
    </row>
    <row r="159" spans="1:8" s="51" customFormat="1" x14ac:dyDescent="0.2">
      <c r="A159" s="198"/>
      <c r="B159" s="58"/>
      <c r="C159" s="58"/>
      <c r="D159" s="58"/>
      <c r="E159" s="58"/>
      <c r="F159" s="58"/>
      <c r="G159" s="58"/>
      <c r="H159" s="62"/>
    </row>
    <row r="160" spans="1:8" s="51" customFormat="1" ht="13.35" customHeight="1" x14ac:dyDescent="0.2">
      <c r="A160" s="198"/>
      <c r="B160" s="58"/>
      <c r="C160" s="58"/>
      <c r="D160" s="58"/>
      <c r="E160" s="58"/>
      <c r="F160" s="58"/>
      <c r="G160" s="58"/>
      <c r="H160" s="62"/>
    </row>
    <row r="161" spans="1:8" s="51" customFormat="1" x14ac:dyDescent="0.2">
      <c r="A161" s="198"/>
      <c r="B161" s="58"/>
      <c r="C161" s="58"/>
      <c r="D161" s="58"/>
      <c r="E161" s="58"/>
      <c r="F161" s="58"/>
      <c r="G161" s="58"/>
      <c r="H161" s="62"/>
    </row>
    <row r="162" spans="1:8" s="51" customFormat="1" x14ac:dyDescent="0.2">
      <c r="A162" s="198"/>
      <c r="B162" s="58"/>
      <c r="C162" s="58"/>
      <c r="D162" s="58"/>
      <c r="E162" s="58"/>
      <c r="F162" s="58"/>
      <c r="G162" s="58"/>
      <c r="H162" s="62"/>
    </row>
    <row r="163" spans="1:8" s="51" customFormat="1" x14ac:dyDescent="0.2">
      <c r="A163" s="198"/>
      <c r="B163" s="58"/>
      <c r="C163" s="58"/>
      <c r="D163" s="58"/>
      <c r="E163" s="58"/>
      <c r="F163" s="58"/>
      <c r="G163" s="58"/>
      <c r="H163" s="62"/>
    </row>
    <row r="164" spans="1:8" s="51" customFormat="1" x14ac:dyDescent="0.2">
      <c r="A164" s="198"/>
      <c r="B164" s="58"/>
      <c r="C164" s="58"/>
      <c r="D164" s="58"/>
      <c r="E164" s="58"/>
      <c r="F164" s="58"/>
      <c r="G164" s="58"/>
      <c r="H164" s="62"/>
    </row>
    <row r="165" spans="1:8" s="51" customFormat="1" x14ac:dyDescent="0.2">
      <c r="A165" s="198"/>
      <c r="B165" s="58"/>
      <c r="C165" s="58"/>
      <c r="D165" s="58"/>
      <c r="E165" s="58"/>
      <c r="F165" s="58"/>
      <c r="G165" s="58"/>
      <c r="H165" s="62"/>
    </row>
    <row r="166" spans="1:8" s="51" customFormat="1" x14ac:dyDescent="0.2">
      <c r="A166" s="198"/>
      <c r="B166" s="58"/>
      <c r="C166" s="58"/>
      <c r="D166" s="58"/>
      <c r="E166" s="58"/>
      <c r="F166" s="58"/>
      <c r="G166" s="58"/>
      <c r="H166" s="62"/>
    </row>
    <row r="167" spans="1:8" s="51" customFormat="1" x14ac:dyDescent="0.2">
      <c r="A167" s="198"/>
      <c r="B167" s="58"/>
      <c r="C167" s="58"/>
      <c r="D167" s="58"/>
      <c r="E167" s="58"/>
      <c r="F167" s="58"/>
      <c r="G167" s="58"/>
      <c r="H167" s="62"/>
    </row>
    <row r="168" spans="1:8" s="51" customFormat="1" x14ac:dyDescent="0.2">
      <c r="A168" s="198"/>
      <c r="B168" s="58"/>
      <c r="C168" s="58"/>
      <c r="D168" s="58"/>
      <c r="E168" s="58"/>
      <c r="F168" s="58"/>
      <c r="G168" s="58"/>
      <c r="H168" s="62"/>
    </row>
    <row r="169" spans="1:8" s="51" customFormat="1" x14ac:dyDescent="0.2">
      <c r="A169" s="198"/>
      <c r="B169" s="58"/>
      <c r="C169" s="58"/>
      <c r="D169" s="58"/>
      <c r="E169" s="58"/>
      <c r="F169" s="58"/>
      <c r="G169" s="58"/>
      <c r="H169" s="62"/>
    </row>
    <row r="170" spans="1:8" s="51" customFormat="1" x14ac:dyDescent="0.2">
      <c r="A170" s="198"/>
      <c r="B170" s="58"/>
      <c r="C170" s="58"/>
      <c r="D170" s="58"/>
      <c r="E170" s="58"/>
      <c r="F170" s="58"/>
      <c r="G170" s="58"/>
      <c r="H170" s="62"/>
    </row>
    <row r="171" spans="1:8" s="51" customFormat="1" x14ac:dyDescent="0.2">
      <c r="A171" s="198"/>
      <c r="B171" s="58"/>
      <c r="C171" s="58"/>
      <c r="D171" s="58"/>
      <c r="E171" s="58"/>
      <c r="F171" s="58"/>
      <c r="G171" s="58"/>
      <c r="H171" s="62"/>
    </row>
    <row r="172" spans="1:8" s="51" customFormat="1" x14ac:dyDescent="0.2">
      <c r="A172" s="198"/>
      <c r="B172" s="58"/>
      <c r="C172" s="58"/>
      <c r="D172" s="58"/>
      <c r="E172" s="58"/>
      <c r="F172" s="58"/>
      <c r="G172" s="58"/>
      <c r="H172" s="62"/>
    </row>
    <row r="173" spans="1:8" s="51" customFormat="1" x14ac:dyDescent="0.2">
      <c r="A173" s="198"/>
      <c r="B173" s="58"/>
      <c r="C173" s="58"/>
      <c r="D173" s="58"/>
      <c r="E173" s="58"/>
      <c r="F173" s="58"/>
      <c r="G173" s="58"/>
      <c r="H173" s="62"/>
    </row>
    <row r="174" spans="1:8" s="51" customFormat="1" x14ac:dyDescent="0.2">
      <c r="A174" s="198"/>
      <c r="B174" s="58"/>
      <c r="C174" s="58"/>
      <c r="D174" s="58"/>
      <c r="E174" s="58"/>
      <c r="F174" s="58"/>
      <c r="G174" s="58"/>
      <c r="H174" s="62"/>
    </row>
    <row r="175" spans="1:8" s="51" customFormat="1" x14ac:dyDescent="0.2">
      <c r="A175" s="198"/>
      <c r="B175" s="58"/>
      <c r="C175" s="58"/>
      <c r="D175" s="58"/>
      <c r="E175" s="58"/>
      <c r="F175" s="58"/>
      <c r="G175" s="58"/>
      <c r="H175" s="62"/>
    </row>
    <row r="176" spans="1:8" s="51" customFormat="1" ht="13.35" customHeight="1" x14ac:dyDescent="0.2">
      <c r="A176" s="198"/>
      <c r="B176" s="58"/>
      <c r="C176" s="58"/>
      <c r="D176" s="58"/>
      <c r="E176" s="58"/>
      <c r="F176" s="58"/>
      <c r="G176" s="58"/>
      <c r="H176" s="62"/>
    </row>
    <row r="177" spans="1:8" s="51" customFormat="1" x14ac:dyDescent="0.2">
      <c r="A177" s="198"/>
      <c r="B177" s="58"/>
      <c r="C177" s="58"/>
      <c r="D177" s="58"/>
      <c r="E177" s="58"/>
      <c r="F177" s="58"/>
      <c r="G177" s="58"/>
      <c r="H177" s="62"/>
    </row>
    <row r="178" spans="1:8" s="51" customFormat="1" x14ac:dyDescent="0.2">
      <c r="A178" s="198"/>
      <c r="B178" s="58"/>
      <c r="C178" s="58"/>
      <c r="D178" s="58"/>
      <c r="E178" s="58"/>
      <c r="F178" s="58"/>
      <c r="G178" s="58"/>
      <c r="H178" s="62"/>
    </row>
    <row r="179" spans="1:8" s="51" customFormat="1" x14ac:dyDescent="0.2">
      <c r="A179" s="198"/>
      <c r="B179" s="58"/>
      <c r="C179" s="58"/>
      <c r="D179" s="58"/>
      <c r="E179" s="58"/>
      <c r="F179" s="58"/>
      <c r="G179" s="58"/>
      <c r="H179" s="62"/>
    </row>
    <row r="180" spans="1:8" s="51" customFormat="1" x14ac:dyDescent="0.2">
      <c r="A180" s="198"/>
      <c r="B180" s="58"/>
      <c r="C180" s="58"/>
      <c r="D180" s="58"/>
      <c r="E180" s="58"/>
      <c r="F180" s="58"/>
      <c r="G180" s="58"/>
      <c r="H180" s="62"/>
    </row>
    <row r="181" spans="1:8" s="51" customFormat="1" x14ac:dyDescent="0.2">
      <c r="A181" s="198"/>
      <c r="B181" s="58"/>
      <c r="C181" s="58"/>
      <c r="D181" s="58"/>
      <c r="E181" s="58"/>
      <c r="F181" s="58"/>
      <c r="G181" s="58"/>
      <c r="H181" s="62"/>
    </row>
    <row r="182" spans="1:8" s="51" customFormat="1" x14ac:dyDescent="0.2">
      <c r="A182" s="198"/>
      <c r="B182" s="58"/>
      <c r="C182" s="58"/>
      <c r="D182" s="58"/>
      <c r="E182" s="58"/>
      <c r="F182" s="58"/>
      <c r="G182" s="58"/>
      <c r="H182" s="62"/>
    </row>
    <row r="183" spans="1:8" s="51" customFormat="1" x14ac:dyDescent="0.2">
      <c r="A183" s="198"/>
      <c r="B183" s="58"/>
      <c r="C183" s="58"/>
      <c r="D183" s="58"/>
      <c r="E183" s="58"/>
      <c r="F183" s="58"/>
      <c r="G183" s="58"/>
      <c r="H183" s="62"/>
    </row>
    <row r="184" spans="1:8" s="51" customFormat="1" x14ac:dyDescent="0.2">
      <c r="A184" s="198"/>
      <c r="B184" s="58"/>
      <c r="C184" s="58"/>
      <c r="D184" s="58"/>
      <c r="E184" s="58"/>
      <c r="F184" s="58"/>
      <c r="G184" s="58"/>
      <c r="H184" s="62"/>
    </row>
    <row r="185" spans="1:8" s="51" customFormat="1" x14ac:dyDescent="0.2">
      <c r="A185" s="198"/>
      <c r="B185" s="58"/>
      <c r="C185" s="58"/>
      <c r="D185" s="58"/>
      <c r="E185" s="58"/>
      <c r="F185" s="58"/>
      <c r="G185" s="58"/>
      <c r="H185" s="62"/>
    </row>
    <row r="186" spans="1:8" s="51" customFormat="1" x14ac:dyDescent="0.2">
      <c r="A186" s="198"/>
      <c r="B186" s="58"/>
      <c r="C186" s="58"/>
      <c r="D186" s="58"/>
      <c r="E186" s="58"/>
      <c r="F186" s="58"/>
      <c r="G186" s="58"/>
      <c r="H186" s="62"/>
    </row>
    <row r="187" spans="1:8" s="51" customFormat="1" x14ac:dyDescent="0.2">
      <c r="A187" s="198"/>
      <c r="B187" s="58"/>
      <c r="C187" s="58"/>
      <c r="D187" s="58"/>
      <c r="E187" s="58"/>
      <c r="F187" s="58"/>
      <c r="G187" s="58"/>
      <c r="H187" s="62"/>
    </row>
    <row r="188" spans="1:8" s="51" customFormat="1" x14ac:dyDescent="0.2">
      <c r="A188" s="198"/>
      <c r="B188" s="58"/>
      <c r="C188" s="58"/>
      <c r="D188" s="58"/>
      <c r="E188" s="58"/>
      <c r="F188" s="58"/>
      <c r="G188" s="58"/>
      <c r="H188" s="62"/>
    </row>
    <row r="189" spans="1:8" s="51" customFormat="1" x14ac:dyDescent="0.2">
      <c r="A189" s="198"/>
      <c r="B189" s="58"/>
      <c r="C189" s="58"/>
      <c r="D189" s="58"/>
      <c r="E189" s="58"/>
      <c r="F189" s="58"/>
      <c r="G189" s="58"/>
      <c r="H189" s="62"/>
    </row>
    <row r="190" spans="1:8" s="51" customFormat="1" x14ac:dyDescent="0.2">
      <c r="A190" s="198"/>
      <c r="B190" s="58"/>
      <c r="C190" s="58"/>
      <c r="D190" s="58"/>
      <c r="E190" s="58"/>
      <c r="F190" s="58"/>
      <c r="G190" s="58"/>
      <c r="H190" s="62"/>
    </row>
    <row r="191" spans="1:8" s="51" customFormat="1" x14ac:dyDescent="0.2">
      <c r="A191" s="198"/>
      <c r="B191" s="58"/>
      <c r="C191" s="58"/>
      <c r="D191" s="58"/>
      <c r="E191" s="58"/>
      <c r="F191" s="58"/>
      <c r="G191" s="58"/>
      <c r="H191" s="62"/>
    </row>
    <row r="192" spans="1:8" s="51" customFormat="1" ht="13.35" customHeight="1" x14ac:dyDescent="0.2">
      <c r="A192" s="198"/>
      <c r="B192" s="58"/>
      <c r="C192" s="58"/>
      <c r="D192" s="58"/>
      <c r="E192" s="58"/>
      <c r="F192" s="58"/>
      <c r="G192" s="58"/>
      <c r="H192" s="62"/>
    </row>
    <row r="193" spans="1:8" s="51" customFormat="1" x14ac:dyDescent="0.2">
      <c r="A193" s="198"/>
      <c r="B193" s="58"/>
      <c r="C193" s="58"/>
      <c r="D193" s="58"/>
      <c r="E193" s="58"/>
      <c r="F193" s="58"/>
      <c r="G193" s="58"/>
      <c r="H193" s="62"/>
    </row>
    <row r="194" spans="1:8" s="51" customFormat="1" x14ac:dyDescent="0.2">
      <c r="A194" s="198"/>
      <c r="B194" s="58"/>
      <c r="C194" s="58"/>
      <c r="D194" s="58"/>
      <c r="E194" s="58"/>
      <c r="F194" s="58"/>
      <c r="G194" s="58"/>
      <c r="H194" s="62"/>
    </row>
    <row r="195" spans="1:8" s="51" customFormat="1" x14ac:dyDescent="0.2">
      <c r="A195" s="198"/>
      <c r="B195" s="58"/>
      <c r="C195" s="58"/>
      <c r="D195" s="58"/>
      <c r="E195" s="58"/>
      <c r="F195" s="58"/>
      <c r="G195" s="58"/>
      <c r="H195" s="62"/>
    </row>
    <row r="196" spans="1:8" s="51" customFormat="1" x14ac:dyDescent="0.2">
      <c r="A196" s="198"/>
      <c r="B196" s="58"/>
      <c r="C196" s="58"/>
      <c r="D196" s="58"/>
      <c r="E196" s="58"/>
      <c r="F196" s="58"/>
      <c r="G196" s="58"/>
      <c r="H196" s="62"/>
    </row>
    <row r="197" spans="1:8" s="51" customFormat="1" x14ac:dyDescent="0.2">
      <c r="A197" s="198"/>
      <c r="B197" s="58"/>
      <c r="C197" s="58"/>
      <c r="D197" s="58"/>
      <c r="E197" s="58"/>
      <c r="F197" s="58"/>
      <c r="G197" s="58"/>
      <c r="H197" s="62"/>
    </row>
    <row r="198" spans="1:8" s="51" customFormat="1" x14ac:dyDescent="0.2">
      <c r="A198" s="198"/>
      <c r="B198" s="58"/>
      <c r="C198" s="58"/>
      <c r="D198" s="58"/>
      <c r="E198" s="58"/>
      <c r="F198" s="58"/>
      <c r="G198" s="58"/>
      <c r="H198" s="62"/>
    </row>
    <row r="199" spans="1:8" s="51" customFormat="1" x14ac:dyDescent="0.2">
      <c r="A199" s="198"/>
      <c r="B199" s="58"/>
      <c r="C199" s="58"/>
      <c r="D199" s="58"/>
      <c r="E199" s="58"/>
      <c r="F199" s="58"/>
      <c r="G199" s="58"/>
      <c r="H199" s="62"/>
    </row>
    <row r="200" spans="1:8" s="51" customFormat="1" x14ac:dyDescent="0.2">
      <c r="A200" s="198"/>
      <c r="B200" s="58"/>
      <c r="C200" s="58"/>
      <c r="D200" s="58"/>
      <c r="E200" s="58"/>
      <c r="F200" s="58"/>
      <c r="G200" s="58"/>
      <c r="H200" s="62"/>
    </row>
    <row r="201" spans="1:8" s="51" customFormat="1" x14ac:dyDescent="0.2">
      <c r="A201" s="198"/>
      <c r="B201" s="58"/>
      <c r="C201" s="58"/>
      <c r="D201" s="58"/>
      <c r="E201" s="58"/>
      <c r="F201" s="58"/>
      <c r="G201" s="58"/>
      <c r="H201" s="62"/>
    </row>
    <row r="202" spans="1:8" s="51" customFormat="1" x14ac:dyDescent="0.2">
      <c r="A202" s="198"/>
      <c r="B202" s="58"/>
      <c r="C202" s="58"/>
      <c r="D202" s="58"/>
      <c r="E202" s="58"/>
      <c r="F202" s="58"/>
      <c r="G202" s="58"/>
      <c r="H202" s="62"/>
    </row>
    <row r="203" spans="1:8" s="51" customFormat="1" x14ac:dyDescent="0.2">
      <c r="A203" s="198"/>
      <c r="B203" s="58"/>
      <c r="C203" s="58"/>
      <c r="D203" s="58"/>
      <c r="E203" s="58"/>
      <c r="F203" s="58"/>
      <c r="G203" s="58"/>
      <c r="H203" s="62"/>
    </row>
    <row r="204" spans="1:8" s="51" customFormat="1" x14ac:dyDescent="0.2">
      <c r="A204" s="198"/>
      <c r="B204" s="58"/>
      <c r="C204" s="58"/>
      <c r="D204" s="58"/>
      <c r="E204" s="58"/>
      <c r="F204" s="58"/>
      <c r="G204" s="58"/>
      <c r="H204" s="62"/>
    </row>
    <row r="205" spans="1:8" s="51" customFormat="1" x14ac:dyDescent="0.2">
      <c r="A205" s="198"/>
      <c r="B205" s="58"/>
      <c r="C205" s="58"/>
      <c r="D205" s="58"/>
      <c r="E205" s="58"/>
      <c r="F205" s="58"/>
      <c r="G205" s="58"/>
      <c r="H205" s="62"/>
    </row>
    <row r="206" spans="1:8" s="51" customFormat="1" x14ac:dyDescent="0.2">
      <c r="A206" s="198"/>
      <c r="B206" s="58"/>
      <c r="C206" s="58"/>
      <c r="D206" s="58"/>
      <c r="E206" s="58"/>
      <c r="F206" s="58"/>
      <c r="G206" s="58"/>
      <c r="H206" s="62"/>
    </row>
    <row r="207" spans="1:8" s="51" customFormat="1" x14ac:dyDescent="0.2">
      <c r="A207" s="198"/>
      <c r="B207" s="58"/>
      <c r="C207" s="58"/>
      <c r="D207" s="58"/>
      <c r="E207" s="58"/>
      <c r="F207" s="58"/>
      <c r="G207" s="58"/>
      <c r="H207" s="62"/>
    </row>
    <row r="208" spans="1:8" s="51" customFormat="1" ht="13.35" customHeight="1" x14ac:dyDescent="0.2">
      <c r="A208" s="198"/>
      <c r="B208" s="58"/>
      <c r="C208" s="58"/>
      <c r="D208" s="58"/>
      <c r="E208" s="58"/>
      <c r="F208" s="58"/>
      <c r="G208" s="58"/>
      <c r="H208" s="62"/>
    </row>
    <row r="209" spans="1:8" s="51" customFormat="1" x14ac:dyDescent="0.2">
      <c r="A209" s="198"/>
      <c r="B209" s="58"/>
      <c r="C209" s="58"/>
      <c r="D209" s="58"/>
      <c r="E209" s="58"/>
      <c r="F209" s="58"/>
      <c r="G209" s="58"/>
      <c r="H209" s="62"/>
    </row>
    <row r="210" spans="1:8" s="51" customFormat="1" x14ac:dyDescent="0.2">
      <c r="A210" s="198"/>
      <c r="B210" s="58"/>
      <c r="C210" s="58"/>
      <c r="D210" s="58"/>
      <c r="E210" s="58"/>
      <c r="F210" s="58"/>
      <c r="G210" s="58"/>
      <c r="H210" s="62"/>
    </row>
    <row r="211" spans="1:8" s="51" customFormat="1" x14ac:dyDescent="0.2">
      <c r="A211" s="198"/>
      <c r="B211" s="58"/>
      <c r="C211" s="58"/>
      <c r="D211" s="58"/>
      <c r="E211" s="58"/>
      <c r="F211" s="58"/>
      <c r="G211" s="58"/>
      <c r="H211" s="62"/>
    </row>
    <row r="212" spans="1:8" s="51" customFormat="1" x14ac:dyDescent="0.2">
      <c r="A212" s="198"/>
      <c r="B212" s="58"/>
      <c r="C212" s="58"/>
      <c r="D212" s="58"/>
      <c r="E212" s="58"/>
      <c r="F212" s="58"/>
      <c r="G212" s="58"/>
      <c r="H212" s="62"/>
    </row>
    <row r="213" spans="1:8" s="51" customFormat="1" x14ac:dyDescent="0.2">
      <c r="A213" s="198"/>
      <c r="B213" s="58"/>
      <c r="C213" s="58"/>
      <c r="D213" s="58"/>
      <c r="E213" s="58"/>
      <c r="F213" s="58"/>
      <c r="G213" s="58"/>
      <c r="H213" s="62"/>
    </row>
    <row r="214" spans="1:8" s="51" customFormat="1" x14ac:dyDescent="0.2">
      <c r="A214" s="198"/>
      <c r="B214" s="58"/>
      <c r="C214" s="58"/>
      <c r="D214" s="58"/>
      <c r="E214" s="58"/>
      <c r="F214" s="58"/>
      <c r="G214" s="58"/>
      <c r="H214" s="62"/>
    </row>
    <row r="215" spans="1:8" s="51" customFormat="1" x14ac:dyDescent="0.2">
      <c r="A215" s="198"/>
      <c r="B215" s="58"/>
      <c r="C215" s="58"/>
      <c r="D215" s="58"/>
      <c r="E215" s="58"/>
      <c r="F215" s="58"/>
      <c r="G215" s="58"/>
      <c r="H215" s="62"/>
    </row>
    <row r="216" spans="1:8" s="51" customFormat="1" x14ac:dyDescent="0.2">
      <c r="A216" s="198"/>
      <c r="B216" s="58"/>
      <c r="C216" s="58"/>
      <c r="D216" s="58"/>
      <c r="E216" s="58"/>
      <c r="F216" s="58"/>
      <c r="G216" s="58"/>
      <c r="H216" s="62"/>
    </row>
    <row r="217" spans="1:8" s="51" customFormat="1" x14ac:dyDescent="0.2">
      <c r="A217" s="198"/>
      <c r="B217" s="58"/>
      <c r="C217" s="58"/>
      <c r="D217" s="58"/>
      <c r="E217" s="58"/>
      <c r="F217" s="58"/>
      <c r="G217" s="58"/>
      <c r="H217" s="62"/>
    </row>
    <row r="218" spans="1:8" s="51" customFormat="1" x14ac:dyDescent="0.2">
      <c r="A218" s="198"/>
      <c r="B218" s="58"/>
      <c r="C218" s="58"/>
      <c r="D218" s="58"/>
      <c r="E218" s="58"/>
      <c r="F218" s="58"/>
      <c r="G218" s="58"/>
      <c r="H218" s="62"/>
    </row>
    <row r="219" spans="1:8" s="51" customFormat="1" x14ac:dyDescent="0.2">
      <c r="A219" s="198"/>
      <c r="B219" s="58"/>
      <c r="C219" s="58"/>
      <c r="D219" s="58"/>
      <c r="E219" s="58"/>
      <c r="F219" s="58"/>
      <c r="G219" s="58"/>
      <c r="H219" s="62"/>
    </row>
    <row r="220" spans="1:8" s="51" customFormat="1" x14ac:dyDescent="0.2">
      <c r="A220" s="198"/>
      <c r="B220" s="58"/>
      <c r="C220" s="58"/>
      <c r="D220" s="58"/>
      <c r="E220" s="58"/>
      <c r="F220" s="58"/>
      <c r="G220" s="58"/>
      <c r="H220" s="62"/>
    </row>
    <row r="221" spans="1:8" s="51" customFormat="1" x14ac:dyDescent="0.2">
      <c r="A221" s="198"/>
      <c r="B221" s="58"/>
      <c r="C221" s="58"/>
      <c r="D221" s="58"/>
      <c r="E221" s="58"/>
      <c r="F221" s="58"/>
      <c r="G221" s="58"/>
      <c r="H221" s="62"/>
    </row>
    <row r="222" spans="1:8" s="51" customFormat="1" x14ac:dyDescent="0.2">
      <c r="A222" s="198"/>
      <c r="B222" s="58"/>
      <c r="C222" s="58"/>
      <c r="D222" s="58"/>
      <c r="E222" s="58"/>
      <c r="F222" s="58"/>
      <c r="G222" s="58"/>
      <c r="H222" s="62"/>
    </row>
    <row r="223" spans="1:8" s="51" customFormat="1" x14ac:dyDescent="0.2">
      <c r="A223" s="198"/>
      <c r="B223" s="58"/>
      <c r="C223" s="58"/>
      <c r="D223" s="58"/>
      <c r="E223" s="58"/>
      <c r="F223" s="58"/>
      <c r="G223" s="58"/>
      <c r="H223" s="62"/>
    </row>
    <row r="224" spans="1:8" s="51" customFormat="1" ht="13.35" customHeight="1" x14ac:dyDescent="0.2">
      <c r="A224" s="198"/>
      <c r="B224" s="58"/>
      <c r="C224" s="58"/>
      <c r="D224" s="58"/>
      <c r="E224" s="58"/>
      <c r="F224" s="58"/>
      <c r="G224" s="58"/>
      <c r="H224" s="62"/>
    </row>
    <row r="225" spans="1:10" s="51" customFormat="1" x14ac:dyDescent="0.2">
      <c r="A225" s="198"/>
      <c r="B225" s="58"/>
      <c r="C225" s="58"/>
      <c r="D225" s="58"/>
      <c r="E225" s="58"/>
      <c r="F225" s="58"/>
      <c r="G225" s="58"/>
      <c r="H225" s="62"/>
    </row>
    <row r="226" spans="1:10" s="51" customFormat="1" x14ac:dyDescent="0.2">
      <c r="A226" s="198"/>
      <c r="B226" s="58"/>
      <c r="C226" s="58"/>
      <c r="D226" s="58"/>
      <c r="E226" s="58"/>
      <c r="F226" s="58"/>
      <c r="G226" s="58"/>
      <c r="H226" s="62"/>
    </row>
    <row r="227" spans="1:10" s="51" customFormat="1" x14ac:dyDescent="0.2">
      <c r="A227" s="198"/>
      <c r="B227" s="58"/>
      <c r="C227" s="58"/>
      <c r="D227" s="58"/>
      <c r="E227" s="58"/>
      <c r="F227" s="58"/>
      <c r="G227" s="58"/>
      <c r="H227" s="62"/>
      <c r="I227" s="58"/>
      <c r="J227" s="58"/>
    </row>
    <row r="228" spans="1:10" s="51" customFormat="1" x14ac:dyDescent="0.2">
      <c r="A228" s="198"/>
      <c r="B228" s="58"/>
      <c r="C228" s="58"/>
      <c r="D228" s="58"/>
      <c r="E228" s="58"/>
      <c r="F228" s="58"/>
      <c r="G228" s="58"/>
      <c r="H228" s="62"/>
      <c r="I228" s="58"/>
      <c r="J228" s="58"/>
    </row>
  </sheetData>
  <sheetProtection algorithmName="SHA-512" hashValue="7VcAMK+eiY1sNhX7rAz8V1Q3ZzncMywAbkMocqTjuEhaVkMJpsIirwbo909f+aPx5RSSa8nTxXrVisPBZj5Mig==" saltValue="lULbplmK24JRE4NmlyR0qw==" spinCount="100000" sheet="1" objects="1" scenarios="1" formatColumns="0" formatRows="0"/>
  <dataConsolidate/>
  <mergeCells count="11">
    <mergeCell ref="B111:F111"/>
    <mergeCell ref="B112:F112"/>
    <mergeCell ref="B5:H6"/>
    <mergeCell ref="H7:H8"/>
    <mergeCell ref="I7:I8"/>
    <mergeCell ref="B7:B8"/>
    <mergeCell ref="C7:C8"/>
    <mergeCell ref="D7:D8"/>
    <mergeCell ref="F7:F8"/>
    <mergeCell ref="G7:G8"/>
    <mergeCell ref="E7:E8"/>
  </mergeCells>
  <phoneticPr fontId="5" type="noConversion"/>
  <dataValidations count="1">
    <dataValidation type="list" allowBlank="1" showInputMessage="1" showErrorMessage="1" sqref="C9:C110" xr:uid="{00000000-0002-0000-0200-000000000000}">
      <formula1>"03 Concrete,04 Masonry,05 Metals,06 Wood, Plastics &amp; Composites,07 Thermal &amp; Moisture Prot.,08 Openings,09 Finishes,10 Specialties, 11 Equipment,12 Furnishings,31.60 Foundations,32.10 Bases &amp; Ballasts,32.90 Planting"</formula1>
    </dataValidation>
  </dataValidations>
  <pageMargins left="1" right="0.75" top="1" bottom="0.75" header="0.5" footer="0.5"/>
  <pageSetup orientation="portrait" r:id="rId1"/>
  <headerFooter alignWithMargins="0">
    <oddFooter>&amp;LU S Green Building Council&amp;C&amp;"Arial,Bold"&amp;A&amp;RLEED&amp;XTM&amp;X Material Tracker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ultiRowsandFill">
                <anchor moveWithCells="1">
                  <from>
                    <xdr:col>1</xdr:col>
                    <xdr:colOff>0</xdr:colOff>
                    <xdr:row>112</xdr:row>
                    <xdr:rowOff>180975</xdr:rowOff>
                  </from>
                  <to>
                    <xdr:col>1</xdr:col>
                    <xdr:colOff>1371600</xdr:colOff>
                    <xdr:row>113</xdr:row>
                    <xdr:rowOff>38100</xdr:rowOff>
                  </to>
                </anchor>
              </controlPr>
            </control>
          </mc:Choice>
        </mc:AlternateContent>
        <mc:AlternateContent xmlns:mc="http://schemas.openxmlformats.org/markup-compatibility/2006">
          <mc:Choice Requires="x14">
            <control shapeId="9224" r:id="rId5" name="Button 8">
              <controlPr defaultSize="0" print="0" autoFill="0" autoPict="0" macro="[0]!DeleteRow">
                <anchor moveWithCells="1">
                  <from>
                    <xdr:col>2</xdr:col>
                    <xdr:colOff>228600</xdr:colOff>
                    <xdr:row>112</xdr:row>
                    <xdr:rowOff>161925</xdr:rowOff>
                  </from>
                  <to>
                    <xdr:col>4</xdr:col>
                    <xdr:colOff>819150</xdr:colOff>
                    <xdr:row>113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outlinePr summaryBelow="0" summaryRight="0"/>
  </sheetPr>
  <dimension ref="A1:S230"/>
  <sheetViews>
    <sheetView showGridLines="0" showZeros="0" zoomScaleNormal="100" zoomScaleSheetLayoutView="100" zoomScalePageLayoutView="90" workbookViewId="0">
      <pane ySplit="8" topLeftCell="A9" activePane="bottomLeft" state="frozen"/>
      <selection pane="bottomLeft" activeCell="K13" sqref="K13"/>
    </sheetView>
  </sheetViews>
  <sheetFormatPr defaultColWidth="9.140625" defaultRowHeight="12.75" x14ac:dyDescent="0.2"/>
  <cols>
    <col min="1" max="1" width="2.7109375" style="206" hidden="1" customWidth="1"/>
    <col min="2" max="2" width="23.42578125" style="187" customWidth="1"/>
    <col min="3" max="3" width="16" style="187" customWidth="1"/>
    <col min="4" max="4" width="18.7109375" style="187" hidden="1" customWidth="1"/>
    <col min="5" max="5" width="23.5703125" style="187" customWidth="1"/>
    <col min="6" max="6" width="28.28515625" style="187" hidden="1" customWidth="1"/>
    <col min="7" max="7" width="18.7109375" style="187" customWidth="1"/>
    <col min="8" max="8" width="14.7109375" style="184" hidden="1" customWidth="1"/>
    <col min="9" max="9" width="2.85546875" style="184" hidden="1" customWidth="1"/>
    <col min="10" max="10" width="24.7109375" style="184" customWidth="1"/>
    <col min="11" max="11" width="26.42578125" style="184" customWidth="1"/>
    <col min="12" max="12" width="14.7109375" style="184" hidden="1" customWidth="1"/>
    <col min="13" max="13" width="2.85546875" style="184" hidden="1" customWidth="1"/>
    <col min="14" max="14" width="38.7109375" style="184" hidden="1" customWidth="1"/>
    <col min="15" max="15" width="19" style="185" customWidth="1"/>
    <col min="16" max="16" width="29.28515625" style="187" hidden="1" customWidth="1"/>
    <col min="17" max="17" width="19.140625" style="187" hidden="1" customWidth="1"/>
    <col min="18" max="19" width="9.140625" style="187" hidden="1" customWidth="1"/>
    <col min="20" max="16384" width="9.140625" style="187"/>
  </cols>
  <sheetData>
    <row r="1" spans="1:19" s="172" customFormat="1" ht="15" hidden="1" customHeight="1" x14ac:dyDescent="0.2">
      <c r="A1" s="202"/>
      <c r="B1" s="171"/>
      <c r="C1" s="171"/>
      <c r="D1" s="171"/>
      <c r="E1" s="171"/>
      <c r="F1" s="171"/>
      <c r="G1" s="171"/>
      <c r="H1" s="170"/>
      <c r="I1" s="170"/>
      <c r="J1" s="170"/>
      <c r="K1" s="170"/>
      <c r="L1" s="170"/>
      <c r="M1" s="170"/>
      <c r="N1" s="170"/>
      <c r="O1" s="170"/>
      <c r="P1" s="170"/>
      <c r="Q1" s="170"/>
    </row>
    <row r="2" spans="1:19" s="172" customFormat="1" ht="21" hidden="1" customHeight="1" x14ac:dyDescent="0.2">
      <c r="A2" s="203"/>
      <c r="B2" s="304" t="s">
        <v>43</v>
      </c>
      <c r="C2" s="304"/>
      <c r="D2" s="304"/>
      <c r="E2" s="304"/>
      <c r="F2" s="304"/>
      <c r="G2" s="304"/>
      <c r="H2" s="304"/>
      <c r="I2" s="304"/>
      <c r="J2" s="304"/>
      <c r="K2" s="304"/>
      <c r="L2" s="304"/>
      <c r="M2" s="304"/>
      <c r="N2" s="304"/>
      <c r="O2" s="304"/>
      <c r="P2" s="304"/>
      <c r="Q2" s="304"/>
    </row>
    <row r="3" spans="1:19" s="172" customFormat="1" ht="15" hidden="1" customHeight="1" x14ac:dyDescent="0.2">
      <c r="A3" s="202"/>
      <c r="B3" s="170"/>
      <c r="C3" s="170"/>
      <c r="D3" s="170"/>
      <c r="E3" s="170"/>
      <c r="F3" s="170"/>
      <c r="G3" s="170"/>
      <c r="H3" s="170"/>
      <c r="I3" s="170"/>
      <c r="J3" s="170"/>
      <c r="K3" s="170"/>
      <c r="L3" s="170"/>
      <c r="M3" s="170"/>
      <c r="N3" s="170"/>
      <c r="O3" s="170"/>
      <c r="P3" s="170"/>
      <c r="Q3" s="170"/>
    </row>
    <row r="4" spans="1:19" s="173" customFormat="1" ht="21.95" hidden="1" customHeight="1" x14ac:dyDescent="0.2">
      <c r="A4" s="204"/>
      <c r="H4" s="174"/>
      <c r="I4" s="174"/>
      <c r="J4" s="174"/>
      <c r="K4" s="174"/>
      <c r="L4" s="174"/>
      <c r="M4" s="174"/>
      <c r="N4" s="175"/>
      <c r="O4" s="176"/>
    </row>
    <row r="5" spans="1:19" s="173" customFormat="1" ht="18" hidden="1" customHeight="1" x14ac:dyDescent="0.2">
      <c r="A5" s="204"/>
      <c r="B5" s="499" t="s">
        <v>26</v>
      </c>
      <c r="C5" s="499"/>
      <c r="D5" s="499"/>
      <c r="E5" s="499"/>
      <c r="F5" s="499"/>
      <c r="G5" s="499"/>
      <c r="H5" s="500"/>
      <c r="I5" s="500"/>
      <c r="J5" s="500"/>
      <c r="K5" s="500"/>
      <c r="L5" s="500"/>
      <c r="M5" s="500"/>
      <c r="N5" s="500"/>
      <c r="O5" s="500"/>
    </row>
    <row r="6" spans="1:19" s="173" customFormat="1" ht="38.1" hidden="1" customHeight="1" x14ac:dyDescent="0.2">
      <c r="A6" s="204"/>
      <c r="B6" s="509" t="s">
        <v>19</v>
      </c>
      <c r="C6" s="510"/>
      <c r="D6" s="510"/>
      <c r="E6" s="510"/>
      <c r="F6" s="510"/>
      <c r="G6" s="510"/>
      <c r="H6" s="511"/>
      <c r="I6" s="177"/>
      <c r="J6" s="509" t="s">
        <v>23</v>
      </c>
      <c r="K6" s="510"/>
      <c r="L6" s="511"/>
      <c r="M6" s="227"/>
      <c r="N6" s="520" t="s">
        <v>24</v>
      </c>
      <c r="O6" s="521"/>
      <c r="P6" s="521"/>
      <c r="Q6" s="522"/>
      <c r="R6" s="489"/>
      <c r="S6" s="490"/>
    </row>
    <row r="7" spans="1:19" s="173" customFormat="1" ht="33" hidden="1" customHeight="1" x14ac:dyDescent="0.2">
      <c r="A7" s="204"/>
      <c r="B7" s="512" t="s">
        <v>62</v>
      </c>
      <c r="C7" s="495" t="s">
        <v>141</v>
      </c>
      <c r="D7" s="495" t="s">
        <v>63</v>
      </c>
      <c r="E7" s="516" t="s">
        <v>110</v>
      </c>
      <c r="F7" s="523" t="s">
        <v>152</v>
      </c>
      <c r="G7" s="518" t="s">
        <v>61</v>
      </c>
      <c r="H7" s="503" t="s">
        <v>92</v>
      </c>
      <c r="I7" s="178"/>
      <c r="J7" s="505" t="s">
        <v>4</v>
      </c>
      <c r="K7" s="507" t="s">
        <v>123</v>
      </c>
      <c r="L7" s="503" t="s">
        <v>132</v>
      </c>
      <c r="M7" s="178"/>
      <c r="N7" s="501" t="s">
        <v>131</v>
      </c>
      <c r="O7" s="514" t="s">
        <v>124</v>
      </c>
      <c r="P7" s="497" t="s">
        <v>135</v>
      </c>
      <c r="Q7" s="497" t="s">
        <v>137</v>
      </c>
      <c r="R7" s="485" t="s">
        <v>146</v>
      </c>
      <c r="S7" s="486"/>
    </row>
    <row r="8" spans="1:19" s="179" customFormat="1" ht="62.45" customHeight="1" x14ac:dyDescent="0.2">
      <c r="A8" s="204"/>
      <c r="B8" s="513"/>
      <c r="C8" s="496"/>
      <c r="D8" s="496"/>
      <c r="E8" s="517"/>
      <c r="F8" s="524"/>
      <c r="G8" s="519"/>
      <c r="H8" s="504"/>
      <c r="I8" s="178"/>
      <c r="J8" s="506"/>
      <c r="K8" s="508"/>
      <c r="L8" s="504"/>
      <c r="M8" s="178"/>
      <c r="N8" s="502"/>
      <c r="O8" s="515"/>
      <c r="P8" s="498"/>
      <c r="Q8" s="498"/>
      <c r="R8" s="487"/>
      <c r="S8" s="488"/>
    </row>
    <row r="9" spans="1:19" s="173" customFormat="1" ht="22.5" customHeight="1" x14ac:dyDescent="0.2">
      <c r="A9" s="180">
        <f t="shared" ref="A9:A14" si="0">IF(H9&gt;=0,0,1)</f>
        <v>0</v>
      </c>
      <c r="B9" s="354" t="str">
        <f>IF(ISBLANK(Materials!B9),"",Materials!B9)</f>
        <v>Site Concrete</v>
      </c>
      <c r="C9" s="354" t="str">
        <f>IF(ISBLANK(Materials!C9),"",Materials!C9)</f>
        <v>033000</v>
      </c>
      <c r="D9" s="354" t="str">
        <f>IF(ISBLANK(Materials!D9),"",Materials!D9)</f>
        <v/>
      </c>
      <c r="E9" s="354" t="str">
        <f>IF(ISBLANK(Materials!E9),"",Materials!E9)</f>
        <v>CC4534DA6</v>
      </c>
      <c r="F9" s="438"/>
      <c r="G9" s="354" t="str">
        <f>IF(ISBLANK(Materials!F9),"",Materials!F9)</f>
        <v>Lauren Concrete</v>
      </c>
      <c r="H9" s="287">
        <f>IF(ISBLANK(Materials!G9),"",Materials!G9)</f>
        <v>11881</v>
      </c>
      <c r="I9" s="181"/>
      <c r="J9" s="268"/>
      <c r="K9" s="269"/>
      <c r="L9" s="289" t="str">
        <f>IF(K9="Product-specific Type III Internal EPD",1,(IF(K9="Product Specific Type III External EPD",1.5,(IF(K9="Product-specific LCA",1,(IF(K9="Industry-wide/generic EPD",1,"")))))))</f>
        <v/>
      </c>
      <c r="M9" s="237"/>
      <c r="N9" s="238"/>
      <c r="O9" s="333"/>
      <c r="P9" s="389">
        <f t="shared" ref="P9:P110" si="1">IF(S9&lt;=200,S9,IF(S9&gt;=201,200))*IFERROR(N9&lt;&gt;0,)</f>
        <v>0</v>
      </c>
      <c r="Q9" s="382" t="str">
        <f t="shared" ref="Q9:Q110" si="2">IF(N9="LCA impact reduction action plan",0.5*IF(O9="Yes",2,1),IF(O9="Yes",2,(IF(N9="Third party verified impact reductions in GWP",1,IF(O9="Yes",2,(IF(N9="Third party verified impact reductions with minimum 10% reduction in GWP impact",1.5,IF(O9="Yes",2,(IF(N9="Third party impact reductions with min. 20% reduction in GWP &amp; 5% in two other cat.",2,""))))))))))</f>
        <v/>
      </c>
      <c r="R9" s="441">
        <f>IF(N9="LCA impact reduction action plan",H9*0.5/Materials!$G$112*100,IF(N9="Third party verified impact reductions in GWP",H9/Materials!$G$112*100,IF(N9="Third party verified impact reductions with minimum 10% reduction in GWP impact",H9*1.5/Materials!$G$112*100,IF(N9="Third party impact reductions with min. 20% reduction in GWP &amp; 5% in two other cat.",H9*2/Materials!$G$112*100))))*IFERROR(N9&lt;&gt;0,)</f>
        <v>0</v>
      </c>
      <c r="S9" s="442">
        <f t="shared" ref="S9:S110" si="3">IF(O9="Yes",R9*2,R9)</f>
        <v>0</v>
      </c>
    </row>
    <row r="10" spans="1:19" s="173" customFormat="1" x14ac:dyDescent="0.2">
      <c r="A10" s="180">
        <f t="shared" si="0"/>
        <v>0</v>
      </c>
      <c r="B10" s="355" t="str">
        <f>IF(ISBLANK(Materials!B10),"",Materials!B10)</f>
        <v>Slab on Grade</v>
      </c>
      <c r="C10" s="355" t="str">
        <f>IF(ISBLANK(Materials!C10),"",Materials!C10)</f>
        <v>033000</v>
      </c>
      <c r="D10" s="355" t="str">
        <f>IF(ISBLANK(Materials!D10),"",Materials!D10)</f>
        <v/>
      </c>
      <c r="E10" s="355" t="str">
        <f>IF(ISBLANK(Materials!E10),"",Materials!E10)</f>
        <v>CC45LSR6</v>
      </c>
      <c r="F10" s="439"/>
      <c r="G10" s="355" t="str">
        <f>IF(ISBLANK(Materials!F10),"",Materials!F10)</f>
        <v>Lauren Concrete</v>
      </c>
      <c r="H10" s="340">
        <f>IF(ISBLANK(Materials!G10),"",Materials!G10)</f>
        <v>20085</v>
      </c>
      <c r="I10" s="267"/>
      <c r="J10" s="272"/>
      <c r="K10" s="273"/>
      <c r="L10" s="290" t="str">
        <f t="shared" ref="L10:L110" si="4">IF(K10="Product-specific Type III Internal EPD",1,(IF(K10="Product Specific Type III External EPD",1.5,(IF(K10="Product-specific LCA",1,(IF(K10="Industry-wide/generic EPD",1,"")))))))</f>
        <v/>
      </c>
      <c r="M10" s="237"/>
      <c r="N10" s="238"/>
      <c r="O10" s="333"/>
      <c r="P10" s="389">
        <f t="shared" si="1"/>
        <v>0</v>
      </c>
      <c r="Q10" s="382" t="str">
        <f t="shared" si="2"/>
        <v/>
      </c>
      <c r="R10" s="441">
        <f>IF(N10="LCA impact reduction action plan",H10*0.5/Materials!$G$112*100,IF(N10="Third party verified impact reductions in GWP",H10/Materials!$G$112*100,IF(N10="Third party verified impact reductions with minimum 10% reduction in GWP impact",H10*1.5/Materials!$G$112*100,IF(N10="Third party impact reductions with min. 20% reduction in GWP &amp; 5% in two other cat.",H10*2/Materials!$G$112*100))))*IFERROR(N10&lt;&gt;0,)</f>
        <v>0</v>
      </c>
      <c r="S10" s="442">
        <f t="shared" si="3"/>
        <v>0</v>
      </c>
    </row>
    <row r="11" spans="1:19" s="173" customFormat="1" x14ac:dyDescent="0.2">
      <c r="A11" s="180">
        <f t="shared" si="0"/>
        <v>0</v>
      </c>
      <c r="B11" s="355" t="str">
        <f>IF(ISBLANK(Materials!B11),"",Materials!B11)</f>
        <v>Piers, Footings, Grade Beams</v>
      </c>
      <c r="C11" s="355" t="str">
        <f>IF(ISBLANK(Materials!C11),"",Materials!C11)</f>
        <v>033000</v>
      </c>
      <c r="D11" s="355" t="str">
        <f>IF(ISBLANK(Materials!D11),"",Materials!D11)</f>
        <v/>
      </c>
      <c r="E11" s="355" t="str">
        <f>IF(ISBLANK(Materials!E11),"",Materials!E11)</f>
        <v>4550LS</v>
      </c>
      <c r="F11" s="439"/>
      <c r="G11" s="355" t="str">
        <f>IF(ISBLANK(Materials!F11),"",Materials!F11)</f>
        <v>Lauren Concrete</v>
      </c>
      <c r="H11" s="340">
        <f>IF(ISBLANK(Materials!G11),"",Materials!G11)</f>
        <v>66281</v>
      </c>
      <c r="I11" s="267"/>
      <c r="J11" s="272"/>
      <c r="K11" s="273"/>
      <c r="L11" s="290" t="str">
        <f t="shared" si="4"/>
        <v/>
      </c>
      <c r="M11" s="237"/>
      <c r="N11" s="238"/>
      <c r="O11" s="333"/>
      <c r="P11" s="389">
        <f t="shared" si="1"/>
        <v>0</v>
      </c>
      <c r="Q11" s="382" t="str">
        <f t="shared" si="2"/>
        <v/>
      </c>
      <c r="R11" s="441">
        <f>IF(N11="LCA impact reduction action plan",H11*0.5/Materials!$G$112*100,IF(N11="Third party verified impact reductions in GWP",H11/Materials!$G$112*100,IF(N11="Third party verified impact reductions with minimum 10% reduction in GWP impact",H11*1.5/Materials!$G$112*100,IF(N11="Third party impact reductions with min. 20% reduction in GWP &amp; 5% in two other cat.",H11*2/Materials!$G$112*100))))*IFERROR(N11&lt;&gt;0,)</f>
        <v>0</v>
      </c>
      <c r="S11" s="442">
        <f t="shared" si="3"/>
        <v>0</v>
      </c>
    </row>
    <row r="12" spans="1:19" s="173" customFormat="1" ht="24" x14ac:dyDescent="0.2">
      <c r="A12" s="180">
        <f t="shared" si="0"/>
        <v>0</v>
      </c>
      <c r="B12" s="355" t="str">
        <f>IF(ISBLANK(Materials!B12),"",Materials!B12)</f>
        <v>Elevated Concrete &amp; Columns</v>
      </c>
      <c r="C12" s="355" t="str">
        <f>IF(ISBLANK(Materials!C12),"",Materials!C12)</f>
        <v>033000</v>
      </c>
      <c r="D12" s="355" t="str">
        <f>IF(ISBLANK(Materials!D12),"",Materials!D12)</f>
        <v/>
      </c>
      <c r="E12" s="355" t="str">
        <f>IF(ISBLANK(Materials!E12),"",Materials!E12)</f>
        <v>CC45LS6</v>
      </c>
      <c r="F12" s="439"/>
      <c r="G12" s="355" t="str">
        <f>IF(ISBLANK(Materials!F12),"",Materials!F12)</f>
        <v>Lauren Concrete</v>
      </c>
      <c r="H12" s="340">
        <f>IF(ISBLANK(Materials!G12),"",Materials!G12)</f>
        <v>155033</v>
      </c>
      <c r="I12" s="267"/>
      <c r="J12" s="272" t="s">
        <v>169</v>
      </c>
      <c r="K12" s="273" t="s">
        <v>167</v>
      </c>
      <c r="L12" s="290">
        <f t="shared" si="4"/>
        <v>1.5</v>
      </c>
      <c r="M12" s="237"/>
      <c r="N12" s="238"/>
      <c r="O12" s="333"/>
      <c r="P12" s="389">
        <f t="shared" si="1"/>
        <v>0</v>
      </c>
      <c r="Q12" s="382" t="str">
        <f t="shared" si="2"/>
        <v/>
      </c>
      <c r="R12" s="441">
        <f>IF(N12="LCA impact reduction action plan",H12*0.5/Materials!$G$112*100,IF(N12="Third party verified impact reductions in GWP",H12/Materials!$G$112*100,IF(N12="Third party verified impact reductions with minimum 10% reduction in GWP impact",H12*1.5/Materials!$G$112*100,IF(N12="Third party impact reductions with min. 20% reduction in GWP &amp; 5% in two other cat.",H12*2/Materials!$G$112*100))))*IFERROR(N12&lt;&gt;0,)</f>
        <v>0</v>
      </c>
      <c r="S12" s="442">
        <f t="shared" si="3"/>
        <v>0</v>
      </c>
    </row>
    <row r="13" spans="1:19" s="173" customFormat="1" ht="24" x14ac:dyDescent="0.2">
      <c r="A13" s="180">
        <f t="shared" si="0"/>
        <v>0</v>
      </c>
      <c r="B13" s="355" t="str">
        <f>IF(ISBLANK(Materials!B13),"",Materials!B13)</f>
        <v xml:space="preserve">Concrete Reinforcing Steel </v>
      </c>
      <c r="C13" s="355" t="str">
        <f>IF(ISBLANK(Materials!C13),"",Materials!C13)</f>
        <v>032000</v>
      </c>
      <c r="D13" s="355" t="str">
        <f>IF(ISBLANK(Materials!D13),"",Materials!D13)</f>
        <v/>
      </c>
      <c r="E13" s="355" t="str">
        <f>IF(ISBLANK(Materials!E13),"",Materials!E13)</f>
        <v>Rebar</v>
      </c>
      <c r="F13" s="439"/>
      <c r="G13" s="355" t="str">
        <f>IF(ISBLANK(Materials!F13),"",Materials!F13)</f>
        <v>CMC</v>
      </c>
      <c r="H13" s="340">
        <f>IF(ISBLANK(Materials!G13),"",Materials!G13)</f>
        <v>208700</v>
      </c>
      <c r="I13" s="267"/>
      <c r="J13" s="272" t="s">
        <v>166</v>
      </c>
      <c r="K13" s="273" t="s">
        <v>167</v>
      </c>
      <c r="L13" s="290">
        <f t="shared" si="4"/>
        <v>1.5</v>
      </c>
      <c r="M13" s="237"/>
      <c r="N13" s="238"/>
      <c r="O13" s="333"/>
      <c r="P13" s="389">
        <f t="shared" si="1"/>
        <v>0</v>
      </c>
      <c r="Q13" s="382" t="str">
        <f t="shared" si="2"/>
        <v/>
      </c>
      <c r="R13" s="441">
        <f>IF(N13="LCA impact reduction action plan",H13*0.5/Materials!$G$112*100,IF(N13="Third party verified impact reductions in GWP",H13/Materials!$G$112*100,IF(N13="Third party verified impact reductions with minimum 10% reduction in GWP impact",H13*1.5/Materials!$G$112*100,IF(N13="Third party impact reductions with min. 20% reduction in GWP &amp; 5% in two other cat.",H13*2/Materials!$G$112*100))))*IFERROR(N13&lt;&gt;0,)</f>
        <v>0</v>
      </c>
      <c r="S13" s="442">
        <f t="shared" si="3"/>
        <v>0</v>
      </c>
    </row>
    <row r="14" spans="1:19" s="173" customFormat="1" x14ac:dyDescent="0.2">
      <c r="A14" s="180">
        <f t="shared" si="0"/>
        <v>0</v>
      </c>
      <c r="B14" s="355" t="str">
        <f>IF(ISBLANK(Materials!B14),"",Materials!B14)</f>
        <v xml:space="preserve">Concrete Mix </v>
      </c>
      <c r="C14" s="355" t="str">
        <f>IF(ISBLANK(Materials!C14),"",Materials!C14)</f>
        <v>033000</v>
      </c>
      <c r="D14" s="355" t="str">
        <f>IF(ISBLANK(Materials!D14),"",Materials!D14)</f>
        <v/>
      </c>
      <c r="E14" s="355" t="str">
        <f>IF(ISBLANK(Materials!E14),"",Materials!E14)</f>
        <v>CC4434D6</v>
      </c>
      <c r="F14" s="439"/>
      <c r="G14" s="355" t="str">
        <f>IF(ISBLANK(Materials!F14),"",Materials!F14)</f>
        <v>Lauren Concrete</v>
      </c>
      <c r="H14" s="340">
        <f>IF(ISBLANK(Materials!G14),"",Materials!G14)</f>
        <v>2640</v>
      </c>
      <c r="I14" s="267"/>
      <c r="J14" s="272"/>
      <c r="K14" s="273"/>
      <c r="L14" s="290" t="str">
        <f t="shared" si="4"/>
        <v/>
      </c>
      <c r="M14" s="237"/>
      <c r="N14" s="238"/>
      <c r="O14" s="333"/>
      <c r="P14" s="389">
        <f t="shared" si="1"/>
        <v>0</v>
      </c>
      <c r="Q14" s="382" t="str">
        <f t="shared" si="2"/>
        <v/>
      </c>
      <c r="R14" s="441">
        <f>IF(N14="LCA impact reduction action plan",H14*0.5/Materials!$G$112*100,IF(N14="Third party verified impact reductions in GWP",H14/Materials!$G$112*100,IF(N14="Third party verified impact reductions with minimum 10% reduction in GWP impact",H14*1.5/Materials!$G$112*100,IF(N14="Third party impact reductions with min. 20% reduction in GWP &amp; 5% in two other cat.",H14*2/Materials!$G$112*100))))*IFERROR(N14&lt;&gt;0,)</f>
        <v>0</v>
      </c>
      <c r="S14" s="442">
        <f t="shared" si="3"/>
        <v>0</v>
      </c>
    </row>
    <row r="15" spans="1:19" s="173" customFormat="1" x14ac:dyDescent="0.2">
      <c r="A15" s="180">
        <f t="shared" ref="A15" si="5">IF(H15&gt;=0,0,1)</f>
        <v>0</v>
      </c>
      <c r="B15" s="355" t="str">
        <f>IF(ISBLANK(Materials!B15),"",Materials!B15)</f>
        <v>Cast in Place Concrete</v>
      </c>
      <c r="C15" s="355" t="str">
        <f>IF(ISBLANK(Materials!C15),"",Materials!C15)</f>
        <v>03 Concrete</v>
      </c>
      <c r="D15" s="355" t="str">
        <f>IF(ISBLANK(Materials!D15),"",Materials!D15)</f>
        <v/>
      </c>
      <c r="E15" s="355" t="str">
        <f>IF(ISBLANK(Materials!E15),"",Materials!E15)</f>
        <v>Steel Anchors Bolts &amp; Embeds</v>
      </c>
      <c r="F15" s="439"/>
      <c r="G15" s="355" t="str">
        <f>IF(ISBLANK(Materials!F15),"",Materials!F15)</f>
        <v>Myrex Industries</v>
      </c>
      <c r="H15" s="340">
        <f>IF(ISBLANK(Materials!G15),"",Materials!G15)</f>
        <v>0</v>
      </c>
      <c r="I15" s="267"/>
      <c r="J15" s="272"/>
      <c r="K15" s="273"/>
      <c r="L15" s="290" t="str">
        <f t="shared" si="4"/>
        <v/>
      </c>
      <c r="M15" s="237"/>
      <c r="N15" s="238"/>
      <c r="O15" s="333"/>
      <c r="P15" s="389">
        <f t="shared" si="1"/>
        <v>0</v>
      </c>
      <c r="Q15" s="382" t="str">
        <f t="shared" si="2"/>
        <v/>
      </c>
      <c r="R15" s="441">
        <f>IF(N15="LCA impact reduction action plan",H15*0.5/Materials!$G$112*100,IF(N15="Third party verified impact reductions in GWP",H15/Materials!$G$112*100,IF(N15="Third party verified impact reductions with minimum 10% reduction in GWP impact",H15*1.5/Materials!$G$112*100,IF(N15="Third party impact reductions with min. 20% reduction in GWP &amp; 5% in two other cat.",H15*2/Materials!$G$112*100))))*IFERROR(N15&lt;&gt;0,)</f>
        <v>0</v>
      </c>
      <c r="S15" s="442">
        <f t="shared" si="3"/>
        <v>0</v>
      </c>
    </row>
    <row r="16" spans="1:19" s="173" customFormat="1" x14ac:dyDescent="0.2">
      <c r="A16" s="180">
        <f t="shared" ref="A16" si="6">IF(H16&gt;=0,0,1)</f>
        <v>0</v>
      </c>
      <c r="B16" s="355" t="str">
        <f>IF(ISBLANK(Materials!B16),"",Materials!B16)</f>
        <v xml:space="preserve">Steel Decking </v>
      </c>
      <c r="C16" s="355" t="str">
        <f>IF(ISBLANK(Materials!C16),"",Materials!C16)</f>
        <v>053100</v>
      </c>
      <c r="D16" s="355" t="str">
        <f>IF(ISBLANK(Materials!D16),"",Materials!D16)</f>
        <v/>
      </c>
      <c r="E16" s="355" t="str">
        <f>IF(ISBLANK(Materials!E16),"",Materials!E16)</f>
        <v>1.0 C, CSV Conform</v>
      </c>
      <c r="F16" s="439"/>
      <c r="G16" s="355" t="str">
        <f>IF(ISBLANK(Materials!F16),"",Materials!F16)</f>
        <v>Myrex-Vulcraft-Nucor</v>
      </c>
      <c r="H16" s="340">
        <f>IF(ISBLANK(Materials!G16),"",Materials!G16)</f>
        <v>9772</v>
      </c>
      <c r="I16" s="267"/>
      <c r="J16" s="272" t="s">
        <v>176</v>
      </c>
      <c r="K16" s="273" t="s">
        <v>177</v>
      </c>
      <c r="L16" s="290">
        <f t="shared" si="4"/>
        <v>1</v>
      </c>
      <c r="M16" s="237"/>
      <c r="N16" s="238"/>
      <c r="O16" s="333"/>
      <c r="P16" s="389">
        <f t="shared" si="1"/>
        <v>0</v>
      </c>
      <c r="Q16" s="382" t="str">
        <f t="shared" si="2"/>
        <v/>
      </c>
      <c r="R16" s="441">
        <f>IF(N16="LCA impact reduction action plan",H16*0.5/Materials!$G$112*100,IF(N16="Third party verified impact reductions in GWP",H16/Materials!$G$112*100,IF(N16="Third party verified impact reductions with minimum 10% reduction in GWP impact",H16*1.5/Materials!$G$112*100,IF(N16="Third party impact reductions with min. 20% reduction in GWP &amp; 5% in two other cat.",H16*2/Materials!$G$112*100))))*IFERROR(N16&lt;&gt;0,)</f>
        <v>0</v>
      </c>
      <c r="S16" s="442">
        <f t="shared" si="3"/>
        <v>0</v>
      </c>
    </row>
    <row r="17" spans="1:19" s="173" customFormat="1" x14ac:dyDescent="0.2">
      <c r="A17" s="180">
        <f t="shared" ref="A17" si="7">IF(H17&gt;=0,0,1)</f>
        <v>0</v>
      </c>
      <c r="B17" s="355" t="str">
        <f>IF(ISBLANK(Materials!B17),"",Materials!B17)</f>
        <v xml:space="preserve">Structural Steel Framing &amp; Metal Fabrications </v>
      </c>
      <c r="C17" s="355" t="str">
        <f>IF(ISBLANK(Materials!C17),"",Materials!C17)</f>
        <v>051200, 055000</v>
      </c>
      <c r="D17" s="355" t="str">
        <f>IF(ISBLANK(Materials!D17),"",Materials!D17)</f>
        <v/>
      </c>
      <c r="E17" s="355" t="str">
        <f>IF(ISBLANK(Materials!E17),"",Materials!E17)</f>
        <v>Wide Flange &amp; Angles</v>
      </c>
      <c r="F17" s="439"/>
      <c r="G17" s="355" t="str">
        <f>IF(ISBLANK(Materials!F17),"",Materials!F17)</f>
        <v>Myrex Industries</v>
      </c>
      <c r="H17" s="340">
        <f>IF(ISBLANK(Materials!G17),"",Materials!G17)</f>
        <v>39398</v>
      </c>
      <c r="I17" s="267"/>
      <c r="J17" s="272"/>
      <c r="K17" s="273"/>
      <c r="L17" s="290" t="str">
        <f t="shared" ref="L17" si="8">IF(K17="Product-specific Type III Internal EPD",1,(IF(K17="Product Specific Type III External EPD",1.5,(IF(K17="Product-specific LCA",1,(IF(K17="Industry-wide/generic EPD",1,"")))))))</f>
        <v/>
      </c>
      <c r="M17" s="237"/>
      <c r="N17" s="238"/>
      <c r="O17" s="333"/>
      <c r="P17" s="389">
        <f t="shared" ref="P17" si="9">IF(S17&lt;=200,S17,IF(S17&gt;=201,200))*IFERROR(N17&lt;&gt;0,)</f>
        <v>0</v>
      </c>
      <c r="Q17" s="382" t="str">
        <f t="shared" ref="Q17" si="10">IF(N17="LCA impact reduction action plan",0.5*IF(O17="Yes",2,1),IF(O17="Yes",2,(IF(N17="Third party verified impact reductions in GWP",1,IF(O17="Yes",2,(IF(N17="Third party verified impact reductions with minimum 10% reduction in GWP impact",1.5,IF(O17="Yes",2,(IF(N17="Third party impact reductions with min. 20% reduction in GWP &amp; 5% in two other cat.",2,""))))))))))</f>
        <v/>
      </c>
      <c r="R17" s="441">
        <f>IF(N17="LCA impact reduction action plan",H17*0.5/Materials!$G$112*100,IF(N17="Third party verified impact reductions in GWP",H17/Materials!$G$112*100,IF(N17="Third party verified impact reductions with minimum 10% reduction in GWP impact",H17*1.5/Materials!$G$112*100,IF(N17="Third party impact reductions with min. 20% reduction in GWP &amp; 5% in two other cat.",H17*2/Materials!$G$112*100))))*IFERROR(N17&lt;&gt;0,)</f>
        <v>0</v>
      </c>
      <c r="S17" s="442">
        <f t="shared" ref="S17" si="11">IF(O17="Yes",R17*2,R17)</f>
        <v>0</v>
      </c>
    </row>
    <row r="18" spans="1:19" s="173" customFormat="1" x14ac:dyDescent="0.2">
      <c r="A18" s="180">
        <f t="shared" ref="A18:A22" si="12">IF(H18&gt;=0,0,1)</f>
        <v>0</v>
      </c>
      <c r="B18" s="355" t="str">
        <f>IF(ISBLANK(Materials!B18),"",Materials!B18)</f>
        <v xml:space="preserve">Structural Steel Framing &amp; Metal Fabrications </v>
      </c>
      <c r="C18" s="355" t="str">
        <f>IF(ISBLANK(Materials!C18),"",Materials!C18)</f>
        <v>051200, 055000</v>
      </c>
      <c r="D18" s="355" t="str">
        <f>IF(ISBLANK(Materials!D18),"",Materials!D18)</f>
        <v/>
      </c>
      <c r="E18" s="355" t="str">
        <f>IF(ISBLANK(Materials!E18),"",Materials!E18)</f>
        <v>Tube &amp; Plates</v>
      </c>
      <c r="F18" s="439"/>
      <c r="G18" s="355" t="str">
        <f>IF(ISBLANK(Materials!F18),"",Materials!F18)</f>
        <v>Myrex Industries</v>
      </c>
      <c r="H18" s="340">
        <f>IF(ISBLANK(Materials!G18),"",Materials!G18)</f>
        <v>34734</v>
      </c>
      <c r="I18" s="267"/>
      <c r="J18" s="272"/>
      <c r="K18" s="273"/>
      <c r="L18" s="290" t="str">
        <f t="shared" ref="L18:L22" si="13">IF(K18="Product-specific Type III Internal EPD",1,(IF(K18="Product Specific Type III External EPD",1.5,(IF(K18="Product-specific LCA",1,(IF(K18="Industry-wide/generic EPD",1,"")))))))</f>
        <v/>
      </c>
      <c r="M18" s="237"/>
      <c r="N18" s="238"/>
      <c r="O18" s="333"/>
      <c r="P18" s="389">
        <f t="shared" ref="P18:P22" si="14">IF(S18&lt;=200,S18,IF(S18&gt;=201,200))*IFERROR(N18&lt;&gt;0,)</f>
        <v>0</v>
      </c>
      <c r="Q18" s="382" t="str">
        <f t="shared" ref="Q18:Q22" si="15">IF(N18="LCA impact reduction action plan",0.5*IF(O18="Yes",2,1),IF(O18="Yes",2,(IF(N18="Third party verified impact reductions in GWP",1,IF(O18="Yes",2,(IF(N18="Third party verified impact reductions with minimum 10% reduction in GWP impact",1.5,IF(O18="Yes",2,(IF(N18="Third party impact reductions with min. 20% reduction in GWP &amp; 5% in two other cat.",2,""))))))))))</f>
        <v/>
      </c>
      <c r="R18" s="441">
        <f>IF(N18="LCA impact reduction action plan",H18*0.5/Materials!$G$112*100,IF(N18="Third party verified impact reductions in GWP",H18/Materials!$G$112*100,IF(N18="Third party verified impact reductions with minimum 10% reduction in GWP impact",H18*1.5/Materials!$G$112*100,IF(N18="Third party impact reductions with min. 20% reduction in GWP &amp; 5% in two other cat.",H18*2/Materials!$G$112*100))))*IFERROR(N18&lt;&gt;0,)</f>
        <v>0</v>
      </c>
      <c r="S18" s="442">
        <f t="shared" ref="S18:S22" si="16">IF(O18="Yes",R18*2,R18)</f>
        <v>0</v>
      </c>
    </row>
    <row r="19" spans="1:19" s="173" customFormat="1" x14ac:dyDescent="0.2">
      <c r="A19" s="180">
        <f t="shared" si="12"/>
        <v>0</v>
      </c>
      <c r="B19" s="355" t="str">
        <f>IF(ISBLANK(Materials!B19),"",Materials!B19)</f>
        <v xml:space="preserve">Steel Joist </v>
      </c>
      <c r="C19" s="355" t="str">
        <f>IF(ISBLANK(Materials!C19),"",Materials!C19)</f>
        <v>052123</v>
      </c>
      <c r="D19" s="355" t="str">
        <f>IF(ISBLANK(Materials!D19),"",Materials!D19)</f>
        <v/>
      </c>
      <c r="E19" s="355" t="str">
        <f>IF(ISBLANK(Materials!E19),"",Materials!E19)</f>
        <v>Vulcraft Joist</v>
      </c>
      <c r="F19" s="439"/>
      <c r="G19" s="355" t="str">
        <f>IF(ISBLANK(Materials!F19),"",Materials!F19)</f>
        <v>Myrex-Vulcraft-Nucor</v>
      </c>
      <c r="H19" s="340">
        <f>IF(ISBLANK(Materials!G19),"",Materials!G19)</f>
        <v>1120</v>
      </c>
      <c r="I19" s="267"/>
      <c r="J19" s="272" t="s">
        <v>176</v>
      </c>
      <c r="K19" s="273" t="s">
        <v>177</v>
      </c>
      <c r="L19" s="290">
        <f t="shared" si="13"/>
        <v>1</v>
      </c>
      <c r="M19" s="237"/>
      <c r="N19" s="238"/>
      <c r="O19" s="333"/>
      <c r="P19" s="389">
        <f t="shared" si="14"/>
        <v>0</v>
      </c>
      <c r="Q19" s="382" t="str">
        <f t="shared" si="15"/>
        <v/>
      </c>
      <c r="R19" s="441">
        <f>IF(N19="LCA impact reduction action plan",H19*0.5/Materials!$G$112*100,IF(N19="Third party verified impact reductions in GWP",H19/Materials!$G$112*100,IF(N19="Third party verified impact reductions with minimum 10% reduction in GWP impact",H19*1.5/Materials!$G$112*100,IF(N19="Third party impact reductions with min. 20% reduction in GWP &amp; 5% in two other cat.",H19*2/Materials!$G$112*100))))*IFERROR(N19&lt;&gt;0,)</f>
        <v>0</v>
      </c>
      <c r="S19" s="442">
        <f t="shared" si="16"/>
        <v>0</v>
      </c>
    </row>
    <row r="20" spans="1:19" s="173" customFormat="1" x14ac:dyDescent="0.2">
      <c r="A20" s="180">
        <f t="shared" si="12"/>
        <v>0</v>
      </c>
      <c r="B20" s="355" t="str">
        <f>IF(ISBLANK(Materials!B20),"",Materials!B20)</f>
        <v xml:space="preserve">Fasteners </v>
      </c>
      <c r="C20" s="355" t="str">
        <f>IF(ISBLANK(Materials!C20),"",Materials!C20)</f>
        <v>055113</v>
      </c>
      <c r="D20" s="355" t="str">
        <f>IF(ISBLANK(Materials!D20),"",Materials!D20)</f>
        <v/>
      </c>
      <c r="E20" s="355" t="str">
        <f>IF(ISBLANK(Materials!E20),"",Materials!E20)</f>
        <v>Kwik Bolt TZ</v>
      </c>
      <c r="F20" s="439"/>
      <c r="G20" s="355" t="str">
        <f>IF(ISBLANK(Materials!F20),"",Materials!F20)</f>
        <v>Hilti</v>
      </c>
      <c r="H20" s="340">
        <f>IF(ISBLANK(Materials!G20),"",Materials!G20)</f>
        <v>0</v>
      </c>
      <c r="I20" s="267"/>
      <c r="J20" s="272"/>
      <c r="K20" s="273"/>
      <c r="L20" s="290" t="str">
        <f t="shared" si="13"/>
        <v/>
      </c>
      <c r="M20" s="237"/>
      <c r="N20" s="238"/>
      <c r="O20" s="333"/>
      <c r="P20" s="389">
        <f t="shared" si="14"/>
        <v>0</v>
      </c>
      <c r="Q20" s="382" t="str">
        <f t="shared" si="15"/>
        <v/>
      </c>
      <c r="R20" s="441">
        <f>IF(N20="LCA impact reduction action plan",H20*0.5/Materials!$G$112*100,IF(N20="Third party verified impact reductions in GWP",H20/Materials!$G$112*100,IF(N20="Third party verified impact reductions with minimum 10% reduction in GWP impact",H20*1.5/Materials!$G$112*100,IF(N20="Third party impact reductions with min. 20% reduction in GWP &amp; 5% in two other cat.",H20*2/Materials!$G$112*100))))*IFERROR(N20&lt;&gt;0,)</f>
        <v>0</v>
      </c>
      <c r="S20" s="442">
        <f t="shared" si="16"/>
        <v>0</v>
      </c>
    </row>
    <row r="21" spans="1:19" s="173" customFormat="1" x14ac:dyDescent="0.2">
      <c r="A21" s="180">
        <f t="shared" si="12"/>
        <v>0</v>
      </c>
      <c r="B21" s="355" t="str">
        <f>IF(ISBLANK(Materials!B21),"",Materials!B21)</f>
        <v xml:space="preserve">Vapor Barrier &amp; Tape, Air &amp; Vapor Barrier Membrane, Sealant, Adhesive Primer, Roofing Underlayment </v>
      </c>
      <c r="C21" s="355" t="str">
        <f>IF(ISBLANK(Materials!C21),"",Materials!C21)</f>
        <v>072726, 074213</v>
      </c>
      <c r="D21" s="355" t="str">
        <f>IF(ISBLANK(Materials!D21),"",Materials!D21)</f>
        <v/>
      </c>
      <c r="E21" s="355" t="str">
        <f>IF(ISBLANK(Materials!E21),"",Materials!E21)</f>
        <v>Husky Yellow Guard 15-mil, Exoair 120, ExoAir 110AT, Tremflex 834, Dymonic 100, ExoAir TWF, ExoAir Primer, WIP 300HT</v>
      </c>
      <c r="F21" s="439"/>
      <c r="G21" s="355" t="str">
        <f>IF(ISBLANK(Materials!F21),"",Materials!F21)</f>
        <v>Poly-America, Tremco, Carlisle</v>
      </c>
      <c r="H21" s="340" t="str">
        <f>IF(ISBLANK(Materials!G21),"",Materials!G21)</f>
        <v/>
      </c>
      <c r="I21" s="267"/>
      <c r="J21" s="272"/>
      <c r="K21" s="273"/>
      <c r="L21" s="290" t="str">
        <f t="shared" si="13"/>
        <v/>
      </c>
      <c r="M21" s="237"/>
      <c r="N21" s="238"/>
      <c r="O21" s="333"/>
      <c r="P21" s="389">
        <f t="shared" si="14"/>
        <v>0</v>
      </c>
      <c r="Q21" s="382" t="str">
        <f t="shared" si="15"/>
        <v/>
      </c>
      <c r="R21" s="441">
        <f>IF(N21="LCA impact reduction action plan",H21*0.5/Materials!$G$112*100,IF(N21="Third party verified impact reductions in GWP",H21/Materials!$G$112*100,IF(N21="Third party verified impact reductions with minimum 10% reduction in GWP impact",H21*1.5/Materials!$G$112*100,IF(N21="Third party impact reductions with min. 20% reduction in GWP &amp; 5% in two other cat.",H21*2/Materials!$G$112*100))))*IFERROR(N21&lt;&gt;0,)</f>
        <v>0</v>
      </c>
      <c r="S21" s="442">
        <f t="shared" si="16"/>
        <v>0</v>
      </c>
    </row>
    <row r="22" spans="1:19" s="173" customFormat="1" x14ac:dyDescent="0.2">
      <c r="A22" s="180">
        <f t="shared" si="12"/>
        <v>0</v>
      </c>
      <c r="B22" s="355" t="str">
        <f>IF(ISBLANK(Materials!B22),"",Materials!B22)</f>
        <v xml:space="preserve">Concrete Sealer </v>
      </c>
      <c r="C22" s="355" t="str">
        <f>IF(ISBLANK(Materials!C22),"",Materials!C22)</f>
        <v>033513</v>
      </c>
      <c r="D22" s="355" t="str">
        <f>IF(ISBLANK(Materials!D22),"",Materials!D22)</f>
        <v/>
      </c>
      <c r="E22" s="355" t="str">
        <f>IF(ISBLANK(Materials!E22),"",Materials!E22)</f>
        <v>Euco Diamond Hard</v>
      </c>
      <c r="F22" s="439"/>
      <c r="G22" s="355" t="str">
        <f>IF(ISBLANK(Materials!F22),"",Materials!F22)</f>
        <v>Euclid</v>
      </c>
      <c r="H22" s="340" t="str">
        <f>IF(ISBLANK(Materials!G22),"",Materials!G22)</f>
        <v/>
      </c>
      <c r="I22" s="267"/>
      <c r="J22" s="272"/>
      <c r="K22" s="273"/>
      <c r="L22" s="290" t="str">
        <f t="shared" si="13"/>
        <v/>
      </c>
      <c r="M22" s="237"/>
      <c r="N22" s="238"/>
      <c r="O22" s="333"/>
      <c r="P22" s="389">
        <f t="shared" si="14"/>
        <v>0</v>
      </c>
      <c r="Q22" s="382" t="str">
        <f t="shared" si="15"/>
        <v/>
      </c>
      <c r="R22" s="441">
        <f>IF(N22="LCA impact reduction action plan",H22*0.5/Materials!$G$112*100,IF(N22="Third party verified impact reductions in GWP",H22/Materials!$G$112*100,IF(N22="Third party verified impact reductions with minimum 10% reduction in GWP impact",H22*1.5/Materials!$G$112*100,IF(N22="Third party impact reductions with min. 20% reduction in GWP &amp; 5% in two other cat.",H22*2/Materials!$G$112*100))))*IFERROR(N22&lt;&gt;0,)</f>
        <v>0</v>
      </c>
      <c r="S22" s="442">
        <f t="shared" si="16"/>
        <v>0</v>
      </c>
    </row>
    <row r="23" spans="1:19" s="173" customFormat="1" ht="24" x14ac:dyDescent="0.2">
      <c r="A23" s="180">
        <f t="shared" ref="A23" si="17">IF(H23&gt;=0,0,1)</f>
        <v>0</v>
      </c>
      <c r="B23" s="355" t="str">
        <f>IF(ISBLANK(Materials!B23),"",Materials!B23)</f>
        <v>HM Door</v>
      </c>
      <c r="C23" s="355" t="str">
        <f>IF(ISBLANK(Materials!C23),"",Materials!C23)</f>
        <v>081113</v>
      </c>
      <c r="D23" s="355" t="str">
        <f>IF(ISBLANK(Materials!D23),"",Materials!D23)</f>
        <v/>
      </c>
      <c r="E23" s="355" t="str">
        <f>IF(ISBLANK(Materials!E23),"",Materials!E23)</f>
        <v>Legion Polystyrene Core</v>
      </c>
      <c r="F23" s="439"/>
      <c r="G23" s="355" t="str">
        <f>IF(ISBLANK(Materials!F23),"",Materials!F23)</f>
        <v>Ceco Door-ASSA ABLOY</v>
      </c>
      <c r="H23" s="340">
        <f>IF(ISBLANK(Materials!G23),"",Materials!G23)</f>
        <v>4000</v>
      </c>
      <c r="I23" s="267"/>
      <c r="J23" s="272" t="s">
        <v>204</v>
      </c>
      <c r="K23" s="273" t="s">
        <v>167</v>
      </c>
      <c r="L23" s="290">
        <f t="shared" ref="L23" si="18">IF(K23="Product-specific Type III Internal EPD",1,(IF(K23="Product Specific Type III External EPD",1.5,(IF(K23="Product-specific LCA",1,(IF(K23="Industry-wide/generic EPD",1,"")))))))</f>
        <v>1.5</v>
      </c>
      <c r="M23" s="237"/>
      <c r="N23" s="238"/>
      <c r="O23" s="333"/>
      <c r="P23" s="389">
        <f t="shared" ref="P23" si="19">IF(S23&lt;=200,S23,IF(S23&gt;=201,200))*IFERROR(N23&lt;&gt;0,)</f>
        <v>0</v>
      </c>
      <c r="Q23" s="382" t="str">
        <f t="shared" ref="Q23" si="20">IF(N23="LCA impact reduction action plan",0.5*IF(O23="Yes",2,1),IF(O23="Yes",2,(IF(N23="Third party verified impact reductions in GWP",1,IF(O23="Yes",2,(IF(N23="Third party verified impact reductions with minimum 10% reduction in GWP impact",1.5,IF(O23="Yes",2,(IF(N23="Third party impact reductions with min. 20% reduction in GWP &amp; 5% in two other cat.",2,""))))))))))</f>
        <v/>
      </c>
      <c r="R23" s="441">
        <f>IF(N23="LCA impact reduction action plan",H23*0.5/Materials!$G$112*100,IF(N23="Third party verified impact reductions in GWP",H23/Materials!$G$112*100,IF(N23="Third party verified impact reductions with minimum 10% reduction in GWP impact",H23*1.5/Materials!$G$112*100,IF(N23="Third party impact reductions with min. 20% reduction in GWP &amp; 5% in two other cat.",H23*2/Materials!$G$112*100))))*IFERROR(N23&lt;&gt;0,)</f>
        <v>0</v>
      </c>
      <c r="S23" s="442">
        <f t="shared" ref="S23" si="21">IF(O23="Yes",R23*2,R23)</f>
        <v>0</v>
      </c>
    </row>
    <row r="24" spans="1:19" s="173" customFormat="1" ht="24" x14ac:dyDescent="0.2">
      <c r="A24" s="180">
        <f t="shared" ref="A24" si="22">IF(H24&gt;=0,0,1)</f>
        <v>0</v>
      </c>
      <c r="B24" s="355" t="str">
        <f>IF(ISBLANK(Materials!B24),"",Materials!B24)</f>
        <v xml:space="preserve">Flush Wood Door </v>
      </c>
      <c r="C24" s="355" t="str">
        <f>IF(ISBLANK(Materials!C24),"",Materials!C24)</f>
        <v>081416</v>
      </c>
      <c r="D24" s="355" t="str">
        <f>IF(ISBLANK(Materials!D24),"",Materials!D24)</f>
        <v/>
      </c>
      <c r="E24" s="355" t="str">
        <f>IF(ISBLANK(Materials!E24),"",Materials!E24)</f>
        <v>808 HPL SCLC 5 Ply, STC (cost for FD-5 included here)</v>
      </c>
      <c r="F24" s="439"/>
      <c r="G24" s="355" t="str">
        <f>IF(ISBLANK(Materials!F24),"",Materials!F24)</f>
        <v>VT Industries</v>
      </c>
      <c r="H24" s="340">
        <f>IF(ISBLANK(Materials!G24),"",Materials!G24)</f>
        <v>42565</v>
      </c>
      <c r="I24" s="267"/>
      <c r="J24" s="272" t="s">
        <v>208</v>
      </c>
      <c r="K24" s="273" t="s">
        <v>167</v>
      </c>
      <c r="L24" s="290">
        <f t="shared" ref="L24" si="23">IF(K24="Product-specific Type III Internal EPD",1,(IF(K24="Product Specific Type III External EPD",1.5,(IF(K24="Product-specific LCA",1,(IF(K24="Industry-wide/generic EPD",1,"")))))))</f>
        <v>1.5</v>
      </c>
      <c r="M24" s="237"/>
      <c r="N24" s="238"/>
      <c r="O24" s="333"/>
      <c r="P24" s="389">
        <f t="shared" ref="P24" si="24">IF(S24&lt;=200,S24,IF(S24&gt;=201,200))*IFERROR(N24&lt;&gt;0,)</f>
        <v>0</v>
      </c>
      <c r="Q24" s="382" t="str">
        <f t="shared" ref="Q24" si="25">IF(N24="LCA impact reduction action plan",0.5*IF(O24="Yes",2,1),IF(O24="Yes",2,(IF(N24="Third party verified impact reductions in GWP",1,IF(O24="Yes",2,(IF(N24="Third party verified impact reductions with minimum 10% reduction in GWP impact",1.5,IF(O24="Yes",2,(IF(N24="Third party impact reductions with min. 20% reduction in GWP &amp; 5% in two other cat.",2,""))))))))))</f>
        <v/>
      </c>
      <c r="R24" s="441">
        <f>IF(N24="LCA impact reduction action plan",H24*0.5/Materials!$G$112*100,IF(N24="Third party verified impact reductions in GWP",H24/Materials!$G$112*100,IF(N24="Third party verified impact reductions with minimum 10% reduction in GWP impact",H24*1.5/Materials!$G$112*100,IF(N24="Third party impact reductions with min. 20% reduction in GWP &amp; 5% in two other cat.",H24*2/Materials!$G$112*100))))*IFERROR(N24&lt;&gt;0,)</f>
        <v>0</v>
      </c>
      <c r="S24" s="442">
        <f t="shared" ref="S24" si="26">IF(O24="Yes",R24*2,R24)</f>
        <v>0</v>
      </c>
    </row>
    <row r="25" spans="1:19" s="173" customFormat="1" ht="24" x14ac:dyDescent="0.2">
      <c r="A25" s="180">
        <f t="shared" ref="A25" si="27">IF(H25&gt;=0,0,1)</f>
        <v>0</v>
      </c>
      <c r="B25" s="355" t="str">
        <f>IF(ISBLANK(Materials!B25),"",Materials!B25)</f>
        <v>HM Frame</v>
      </c>
      <c r="C25" s="355" t="str">
        <f>IF(ISBLANK(Materials!C25),"",Materials!C25)</f>
        <v>081113</v>
      </c>
      <c r="D25" s="355" t="str">
        <f>IF(ISBLANK(Materials!D25),"",Materials!D25)</f>
        <v/>
      </c>
      <c r="E25" s="355" t="str">
        <f>IF(ISBLANK(Materials!E25),"",Materials!E25)</f>
        <v>Series SQ</v>
      </c>
      <c r="F25" s="439"/>
      <c r="G25" s="355" t="str">
        <f>IF(ISBLANK(Materials!F25),"",Materials!F25)</f>
        <v>Ceco Door-ASSA ABLOY</v>
      </c>
      <c r="H25" s="340">
        <f>IF(ISBLANK(Materials!G25),"",Materials!G25)</f>
        <v>58350</v>
      </c>
      <c r="I25" s="267"/>
      <c r="J25" s="272" t="s">
        <v>176</v>
      </c>
      <c r="K25" s="273" t="s">
        <v>167</v>
      </c>
      <c r="L25" s="290">
        <f t="shared" ref="L25" si="28">IF(K25="Product-specific Type III Internal EPD",1,(IF(K25="Product Specific Type III External EPD",1.5,(IF(K25="Product-specific LCA",1,(IF(K25="Industry-wide/generic EPD",1,"")))))))</f>
        <v>1.5</v>
      </c>
      <c r="M25" s="237"/>
      <c r="N25" s="238"/>
      <c r="O25" s="333"/>
      <c r="P25" s="389">
        <f t="shared" ref="P25" si="29">IF(S25&lt;=200,S25,IF(S25&gt;=201,200))*IFERROR(N25&lt;&gt;0,)</f>
        <v>0</v>
      </c>
      <c r="Q25" s="382" t="str">
        <f t="shared" ref="Q25" si="30">IF(N25="LCA impact reduction action plan",0.5*IF(O25="Yes",2,1),IF(O25="Yes",2,(IF(N25="Third party verified impact reductions in GWP",1,IF(O25="Yes",2,(IF(N25="Third party verified impact reductions with minimum 10% reduction in GWP impact",1.5,IF(O25="Yes",2,(IF(N25="Third party impact reductions with min. 20% reduction in GWP &amp; 5% in two other cat.",2,""))))))))))</f>
        <v/>
      </c>
      <c r="R25" s="441">
        <f>IF(N25="LCA impact reduction action plan",H25*0.5/Materials!$G$112*100,IF(N25="Third party verified impact reductions in GWP",H25/Materials!$G$112*100,IF(N25="Third party verified impact reductions with minimum 10% reduction in GWP impact",H25*1.5/Materials!$G$112*100,IF(N25="Third party impact reductions with min. 20% reduction in GWP &amp; 5% in two other cat.",H25*2/Materials!$G$112*100))))*IFERROR(N25&lt;&gt;0,)</f>
        <v>0</v>
      </c>
      <c r="S25" s="442">
        <f t="shared" ref="S25" si="31">IF(O25="Yes",R25*2,R25)</f>
        <v>0</v>
      </c>
    </row>
    <row r="26" spans="1:19" s="173" customFormat="1" x14ac:dyDescent="0.2">
      <c r="A26" s="180">
        <f t="shared" ref="A26" si="32">IF(H26&gt;=0,0,1)</f>
        <v>0</v>
      </c>
      <c r="B26" s="355" t="str">
        <f>IF(ISBLANK(Materials!B26),"",Materials!B26)</f>
        <v xml:space="preserve">Flush Wood Door </v>
      </c>
      <c r="C26" s="355" t="str">
        <f>IF(ISBLANK(Materials!C26),"",Materials!C26)</f>
        <v>081416</v>
      </c>
      <c r="D26" s="355" t="str">
        <f>IF(ISBLANK(Materials!D26),"",Materials!D26)</f>
        <v/>
      </c>
      <c r="E26" s="355" t="str">
        <f>IF(ISBLANK(Materials!E26),"",Materials!E26)</f>
        <v>FD-5</v>
      </c>
      <c r="F26" s="439"/>
      <c r="G26" s="355" t="str">
        <f>IF(ISBLANK(Materials!F26),"",Materials!F26)</f>
        <v>VT Industries</v>
      </c>
      <c r="H26" s="340" t="str">
        <f>IF(ISBLANK(Materials!G26),"",Materials!G26)</f>
        <v/>
      </c>
      <c r="I26" s="267"/>
      <c r="J26" s="272"/>
      <c r="K26" s="273"/>
      <c r="L26" s="290" t="str">
        <f t="shared" ref="L26" si="33">IF(K26="Product-specific Type III Internal EPD",1,(IF(K26="Product Specific Type III External EPD",1.5,(IF(K26="Product-specific LCA",1,(IF(K26="Industry-wide/generic EPD",1,"")))))))</f>
        <v/>
      </c>
      <c r="M26" s="237"/>
      <c r="N26" s="238"/>
      <c r="O26" s="333"/>
      <c r="P26" s="389">
        <f t="shared" ref="P26" si="34">IF(S26&lt;=200,S26,IF(S26&gt;=201,200))*IFERROR(N26&lt;&gt;0,)</f>
        <v>0</v>
      </c>
      <c r="Q26" s="382" t="str">
        <f t="shared" ref="Q26" si="35">IF(N26="LCA impact reduction action plan",0.5*IF(O26="Yes",2,1),IF(O26="Yes",2,(IF(N26="Third party verified impact reductions in GWP",1,IF(O26="Yes",2,(IF(N26="Third party verified impact reductions with minimum 10% reduction in GWP impact",1.5,IF(O26="Yes",2,(IF(N26="Third party impact reductions with min. 20% reduction in GWP &amp; 5% in two other cat.",2,""))))))))))</f>
        <v/>
      </c>
      <c r="R26" s="441">
        <f>IF(N26="LCA impact reduction action plan",H26*0.5/Materials!$G$112*100,IF(N26="Third party verified impact reductions in GWP",H26/Materials!$G$112*100,IF(N26="Third party verified impact reductions with minimum 10% reduction in GWP impact",H26*1.5/Materials!$G$112*100,IF(N26="Third party impact reductions with min. 20% reduction in GWP &amp; 5% in two other cat.",H26*2/Materials!$G$112*100))))*IFERROR(N26&lt;&gt;0,)</f>
        <v>0</v>
      </c>
      <c r="S26" s="442">
        <f t="shared" ref="S26" si="36">IF(O26="Yes",R26*2,R26)</f>
        <v>0</v>
      </c>
    </row>
    <row r="27" spans="1:19" s="173" customFormat="1" ht="24" x14ac:dyDescent="0.2">
      <c r="A27" s="180">
        <f t="shared" ref="A27" si="37">IF(H27&gt;=0,0,1)</f>
        <v>0</v>
      </c>
      <c r="B27" s="355" t="str">
        <f>IF(ISBLANK(Materials!B27),"",Materials!B27)</f>
        <v xml:space="preserve">Insulation </v>
      </c>
      <c r="C27" s="355" t="str">
        <f>IF(ISBLANK(Materials!C27),"",Materials!C27)</f>
        <v>072100</v>
      </c>
      <c r="D27" s="355" t="str">
        <f>IF(ISBLANK(Materials!D27),"",Materials!D27)</f>
        <v/>
      </c>
      <c r="E27" s="355" t="str">
        <f>IF(ISBLANK(Materials!E27),"",Materials!E27)</f>
        <v>EcoTouch Pink Batt Unfaced</v>
      </c>
      <c r="F27" s="439"/>
      <c r="G27" s="355" t="str">
        <f>IF(ISBLANK(Materials!F27),"",Materials!F27)</f>
        <v>Owens Corning</v>
      </c>
      <c r="H27" s="340">
        <f>IF(ISBLANK(Materials!G27),"",Materials!G27)</f>
        <v>14000</v>
      </c>
      <c r="I27" s="267"/>
      <c r="J27" s="272" t="s">
        <v>176</v>
      </c>
      <c r="K27" s="273" t="s">
        <v>167</v>
      </c>
      <c r="L27" s="290">
        <f t="shared" ref="L27" si="38">IF(K27="Product-specific Type III Internal EPD",1,(IF(K27="Product Specific Type III External EPD",1.5,(IF(K27="Product-specific LCA",1,(IF(K27="Industry-wide/generic EPD",1,"")))))))</f>
        <v>1.5</v>
      </c>
      <c r="M27" s="237"/>
      <c r="N27" s="238"/>
      <c r="O27" s="333"/>
      <c r="P27" s="389">
        <f t="shared" ref="P27" si="39">IF(S27&lt;=200,S27,IF(S27&gt;=201,200))*IFERROR(N27&lt;&gt;0,)</f>
        <v>0</v>
      </c>
      <c r="Q27" s="382" t="str">
        <f t="shared" ref="Q27" si="40">IF(N27="LCA impact reduction action plan",0.5*IF(O27="Yes",2,1),IF(O27="Yes",2,(IF(N27="Third party verified impact reductions in GWP",1,IF(O27="Yes",2,(IF(N27="Third party verified impact reductions with minimum 10% reduction in GWP impact",1.5,IF(O27="Yes",2,(IF(N27="Third party impact reductions with min. 20% reduction in GWP &amp; 5% in two other cat.",2,""))))))))))</f>
        <v/>
      </c>
      <c r="R27" s="441">
        <f>IF(N27="LCA impact reduction action plan",H27*0.5/Materials!$G$112*100,IF(N27="Third party verified impact reductions in GWP",H27/Materials!$G$112*100,IF(N27="Third party verified impact reductions with minimum 10% reduction in GWP impact",H27*1.5/Materials!$G$112*100,IF(N27="Third party impact reductions with min. 20% reduction in GWP &amp; 5% in two other cat.",H27*2/Materials!$G$112*100))))*IFERROR(N27&lt;&gt;0,)</f>
        <v>0</v>
      </c>
      <c r="S27" s="442">
        <f t="shared" ref="S27" si="41">IF(O27="Yes",R27*2,R27)</f>
        <v>0</v>
      </c>
    </row>
    <row r="28" spans="1:19" s="173" customFormat="1" x14ac:dyDescent="0.2">
      <c r="A28" s="180">
        <f t="shared" ref="A28" si="42">IF(H28&gt;=0,0,1)</f>
        <v>0</v>
      </c>
      <c r="B28" s="355" t="str">
        <f>IF(ISBLANK(Materials!B28),"",Materials!B28)</f>
        <v xml:space="preserve">Mineral Wool Insulation </v>
      </c>
      <c r="C28" s="355" t="str">
        <f>IF(ISBLANK(Materials!C28),"",Materials!C28)</f>
        <v>072100, 078413, 078443</v>
      </c>
      <c r="D28" s="355" t="str">
        <f>IF(ISBLANK(Materials!D28),"",Materials!D28)</f>
        <v/>
      </c>
      <c r="E28" s="355" t="str">
        <f>IF(ISBLANK(Materials!E28),"",Materials!E28)</f>
        <v>Thermafiber SAFB, Safing &amp; Firespan 90</v>
      </c>
      <c r="F28" s="439"/>
      <c r="G28" s="355" t="str">
        <f>IF(ISBLANK(Materials!F28),"",Materials!F28)</f>
        <v>Owens Corning</v>
      </c>
      <c r="H28" s="340">
        <f>IF(ISBLANK(Materials!G28),"",Materials!G28)</f>
        <v>2500</v>
      </c>
      <c r="I28" s="267"/>
      <c r="J28" s="272"/>
      <c r="K28" s="273"/>
      <c r="L28" s="290" t="str">
        <f t="shared" ref="L28" si="43">IF(K28="Product-specific Type III Internal EPD",1,(IF(K28="Product Specific Type III External EPD",1.5,(IF(K28="Product-specific LCA",1,(IF(K28="Industry-wide/generic EPD",1,"")))))))</f>
        <v/>
      </c>
      <c r="M28" s="237"/>
      <c r="N28" s="238"/>
      <c r="O28" s="333"/>
      <c r="P28" s="389">
        <f t="shared" ref="P28" si="44">IF(S28&lt;=200,S28,IF(S28&gt;=201,200))*IFERROR(N28&lt;&gt;0,)</f>
        <v>0</v>
      </c>
      <c r="Q28" s="382" t="str">
        <f t="shared" ref="Q28" si="45">IF(N28="LCA impact reduction action plan",0.5*IF(O28="Yes",2,1),IF(O28="Yes",2,(IF(N28="Third party verified impact reductions in GWP",1,IF(O28="Yes",2,(IF(N28="Third party verified impact reductions with minimum 10% reduction in GWP impact",1.5,IF(O28="Yes",2,(IF(N28="Third party impact reductions with min. 20% reduction in GWP &amp; 5% in two other cat.",2,""))))))))))</f>
        <v/>
      </c>
      <c r="R28" s="441">
        <f>IF(N28="LCA impact reduction action plan",H28*0.5/Materials!$G$112*100,IF(N28="Third party verified impact reductions in GWP",H28/Materials!$G$112*100,IF(N28="Third party verified impact reductions with minimum 10% reduction in GWP impact",H28*1.5/Materials!$G$112*100,IF(N28="Third party impact reductions with min. 20% reduction in GWP &amp; 5% in two other cat.",H28*2/Materials!$G$112*100))))*IFERROR(N28&lt;&gt;0,)</f>
        <v>0</v>
      </c>
      <c r="S28" s="442">
        <f t="shared" ref="S28" si="46">IF(O28="Yes",R28*2,R28)</f>
        <v>0</v>
      </c>
    </row>
    <row r="29" spans="1:19" s="173" customFormat="1" x14ac:dyDescent="0.2">
      <c r="A29" s="180">
        <f t="shared" ref="A29" si="47">IF(H29&gt;=0,0,1)</f>
        <v>0</v>
      </c>
      <c r="B29" s="355" t="str">
        <f>IF(ISBLANK(Materials!B29),"",Materials!B29)</f>
        <v xml:space="preserve">Gypsum Board </v>
      </c>
      <c r="C29" s="355" t="str">
        <f>IF(ISBLANK(Materials!C29),"",Materials!C29)</f>
        <v>092116</v>
      </c>
      <c r="D29" s="355" t="str">
        <f>IF(ISBLANK(Materials!D29),"",Materials!D29)</f>
        <v/>
      </c>
      <c r="E29" s="355" t="str">
        <f>IF(ISBLANK(Materials!E29),"",Materials!E29)</f>
        <v>Sheetrock Gypsum Liner Panels</v>
      </c>
      <c r="F29" s="439"/>
      <c r="G29" s="355" t="str">
        <f>IF(ISBLANK(Materials!F29),"",Materials!F29)</f>
        <v>USG</v>
      </c>
      <c r="H29" s="340">
        <f>IF(ISBLANK(Materials!G29),"",Materials!G29)</f>
        <v>1847.2</v>
      </c>
      <c r="I29" s="267"/>
      <c r="J29" s="272"/>
      <c r="K29" s="273"/>
      <c r="L29" s="290" t="str">
        <f t="shared" ref="L29" si="48">IF(K29="Product-specific Type III Internal EPD",1,(IF(K29="Product Specific Type III External EPD",1.5,(IF(K29="Product-specific LCA",1,(IF(K29="Industry-wide/generic EPD",1,"")))))))</f>
        <v/>
      </c>
      <c r="M29" s="237"/>
      <c r="N29" s="238"/>
      <c r="O29" s="333"/>
      <c r="P29" s="389">
        <f t="shared" ref="P29" si="49">IF(S29&lt;=200,S29,IF(S29&gt;=201,200))*IFERROR(N29&lt;&gt;0,)</f>
        <v>0</v>
      </c>
      <c r="Q29" s="382" t="str">
        <f t="shared" ref="Q29" si="50">IF(N29="LCA impact reduction action plan",0.5*IF(O29="Yes",2,1),IF(O29="Yes",2,(IF(N29="Third party verified impact reductions in GWP",1,IF(O29="Yes",2,(IF(N29="Third party verified impact reductions with minimum 10% reduction in GWP impact",1.5,IF(O29="Yes",2,(IF(N29="Third party impact reductions with min. 20% reduction in GWP &amp; 5% in two other cat.",2,""))))))))))</f>
        <v/>
      </c>
      <c r="R29" s="441">
        <f>IF(N29="LCA impact reduction action plan",H29*0.5/Materials!$G$112*100,IF(N29="Third party verified impact reductions in GWP",H29/Materials!$G$112*100,IF(N29="Third party verified impact reductions with minimum 10% reduction in GWP impact",H29*1.5/Materials!$G$112*100,IF(N29="Third party impact reductions with min. 20% reduction in GWP &amp; 5% in two other cat.",H29*2/Materials!$G$112*100))))*IFERROR(N29&lt;&gt;0,)</f>
        <v>0</v>
      </c>
      <c r="S29" s="442">
        <f t="shared" ref="S29" si="51">IF(O29="Yes",R29*2,R29)</f>
        <v>0</v>
      </c>
    </row>
    <row r="30" spans="1:19" s="173" customFormat="1" ht="24" x14ac:dyDescent="0.2">
      <c r="A30" s="180">
        <f t="shared" ref="A30" si="52">IF(H30&gt;=0,0,1)</f>
        <v>0</v>
      </c>
      <c r="B30" s="355" t="str">
        <f>IF(ISBLANK(Materials!B30),"",Materials!B30)</f>
        <v xml:space="preserve">Non-Structural Metal Framing </v>
      </c>
      <c r="C30" s="355" t="str">
        <f>IF(ISBLANK(Materials!C30),"",Materials!C30)</f>
        <v>092216</v>
      </c>
      <c r="D30" s="355" t="str">
        <f>IF(ISBLANK(Materials!D30),"",Materials!D30)</f>
        <v/>
      </c>
      <c r="E30" s="355" t="str">
        <f>IF(ISBLANK(Materials!E30),"",Materials!E30)</f>
        <v>Viperstud, Vipertrack, Angle, Hat-Shaped Channel, L-Metal, Cornerbead, Zinc Control Joint,</v>
      </c>
      <c r="F30" s="439"/>
      <c r="G30" s="355" t="str">
        <f>IF(ISBLANK(Materials!F30),"",Materials!F30)</f>
        <v>Cemco</v>
      </c>
      <c r="H30" s="340">
        <f>IF(ISBLANK(Materials!G30),"",Materials!G30)</f>
        <v>56689.52</v>
      </c>
      <c r="I30" s="267"/>
      <c r="J30" s="272" t="s">
        <v>176</v>
      </c>
      <c r="K30" s="273" t="s">
        <v>167</v>
      </c>
      <c r="L30" s="290">
        <f t="shared" ref="L30" si="53">IF(K30="Product-specific Type III Internal EPD",1,(IF(K30="Product Specific Type III External EPD",1.5,(IF(K30="Product-specific LCA",1,(IF(K30="Industry-wide/generic EPD",1,"")))))))</f>
        <v>1.5</v>
      </c>
      <c r="M30" s="237"/>
      <c r="N30" s="238"/>
      <c r="O30" s="333"/>
      <c r="P30" s="389">
        <f t="shared" ref="P30" si="54">IF(S30&lt;=200,S30,IF(S30&gt;=201,200))*IFERROR(N30&lt;&gt;0,)</f>
        <v>0</v>
      </c>
      <c r="Q30" s="382" t="str">
        <f t="shared" ref="Q30" si="55">IF(N30="LCA impact reduction action plan",0.5*IF(O30="Yes",2,1),IF(O30="Yes",2,(IF(N30="Third party verified impact reductions in GWP",1,IF(O30="Yes",2,(IF(N30="Third party verified impact reductions with minimum 10% reduction in GWP impact",1.5,IF(O30="Yes",2,(IF(N30="Third party impact reductions with min. 20% reduction in GWP &amp; 5% in two other cat.",2,""))))))))))</f>
        <v/>
      </c>
      <c r="R30" s="441">
        <f>IF(N30="LCA impact reduction action plan",H30*0.5/Materials!$G$112*100,IF(N30="Third party verified impact reductions in GWP",H30/Materials!$G$112*100,IF(N30="Third party verified impact reductions with minimum 10% reduction in GWP impact",H30*1.5/Materials!$G$112*100,IF(N30="Third party impact reductions with min. 20% reduction in GWP &amp; 5% in two other cat.",H30*2/Materials!$G$112*100))))*IFERROR(N30&lt;&gt;0,)</f>
        <v>0</v>
      </c>
      <c r="S30" s="442">
        <f t="shared" ref="S30" si="56">IF(O30="Yes",R30*2,R30)</f>
        <v>0</v>
      </c>
    </row>
    <row r="31" spans="1:19" s="173" customFormat="1" x14ac:dyDescent="0.2">
      <c r="A31" s="180">
        <f t="shared" ref="A31" si="57">IF(H31&gt;=0,0,1)</f>
        <v>0</v>
      </c>
      <c r="B31" s="355" t="str">
        <f>IF(ISBLANK(Materials!B31),"",Materials!B31)</f>
        <v xml:space="preserve">Non-Structural Metal Framing </v>
      </c>
      <c r="C31" s="355" t="str">
        <f>IF(ISBLANK(Materials!C31),"",Materials!C31)</f>
        <v>092216</v>
      </c>
      <c r="D31" s="355" t="str">
        <f>IF(ISBLANK(Materials!D31),"",Materials!D31)</f>
        <v/>
      </c>
      <c r="E31" s="355" t="str">
        <f>IF(ISBLANK(Materials!E31),"",Materials!E31)</f>
        <v>CST</v>
      </c>
      <c r="F31" s="439"/>
      <c r="G31" s="355" t="str">
        <f>IF(ISBLANK(Materials!F31),"",Materials!F31)</f>
        <v>Cemco</v>
      </c>
      <c r="H31" s="340" t="str">
        <f>IF(ISBLANK(Materials!G31),"",Materials!G31)</f>
        <v/>
      </c>
      <c r="I31" s="267"/>
      <c r="J31" s="272"/>
      <c r="K31" s="273"/>
      <c r="L31" s="290" t="str">
        <f t="shared" ref="L31" si="58">IF(K31="Product-specific Type III Internal EPD",1,(IF(K31="Product Specific Type III External EPD",1.5,(IF(K31="Product-specific LCA",1,(IF(K31="Industry-wide/generic EPD",1,"")))))))</f>
        <v/>
      </c>
      <c r="M31" s="237"/>
      <c r="N31" s="238"/>
      <c r="O31" s="333"/>
      <c r="P31" s="389">
        <f t="shared" ref="P31" si="59">IF(S31&lt;=200,S31,IF(S31&gt;=201,200))*IFERROR(N31&lt;&gt;0,)</f>
        <v>0</v>
      </c>
      <c r="Q31" s="382" t="str">
        <f t="shared" ref="Q31" si="60">IF(N31="LCA impact reduction action plan",0.5*IF(O31="Yes",2,1),IF(O31="Yes",2,(IF(N31="Third party verified impact reductions in GWP",1,IF(O31="Yes",2,(IF(N31="Third party verified impact reductions with minimum 10% reduction in GWP impact",1.5,IF(O31="Yes",2,(IF(N31="Third party impact reductions with min. 20% reduction in GWP &amp; 5% in two other cat.",2,""))))))))))</f>
        <v/>
      </c>
      <c r="R31" s="441">
        <f>IF(N31="LCA impact reduction action plan",H31*0.5/Materials!$G$112*100,IF(N31="Third party verified impact reductions in GWP",H31/Materials!$G$112*100,IF(N31="Third party verified impact reductions with minimum 10% reduction in GWP impact",H31*1.5/Materials!$G$112*100,IF(N31="Third party impact reductions with min. 20% reduction in GWP &amp; 5% in two other cat.",H31*2/Materials!$G$112*100))))*IFERROR(N31&lt;&gt;0,)</f>
        <v>0</v>
      </c>
      <c r="S31" s="442">
        <f t="shared" ref="S31" si="61">IF(O31="Yes",R31*2,R31)</f>
        <v>0</v>
      </c>
    </row>
    <row r="32" spans="1:19" s="173" customFormat="1" x14ac:dyDescent="0.2">
      <c r="A32" s="180">
        <f t="shared" ref="A32" si="62">IF(H32&gt;=0,0,1)</f>
        <v>0</v>
      </c>
      <c r="B32" s="355" t="str">
        <f>IF(ISBLANK(Materials!B32),"",Materials!B32)</f>
        <v xml:space="preserve">Non-Structural Metal Framing </v>
      </c>
      <c r="C32" s="355" t="str">
        <f>IF(ISBLANK(Materials!C32),"",Materials!C32)</f>
        <v>092216</v>
      </c>
      <c r="D32" s="355" t="str">
        <f>IF(ISBLANK(Materials!D32),"",Materials!D32)</f>
        <v/>
      </c>
      <c r="E32" s="355" t="str">
        <f>IF(ISBLANK(Materials!E32),"",Materials!E32)</f>
        <v>CH Shaft Wall Studs, J-Runner</v>
      </c>
      <c r="F32" s="439"/>
      <c r="G32" s="355" t="str">
        <f>IF(ISBLANK(Materials!F32),"",Materials!F32)</f>
        <v>Cemco</v>
      </c>
      <c r="H32" s="340">
        <f>IF(ISBLANK(Materials!G32),"",Materials!G32)</f>
        <v>3032</v>
      </c>
      <c r="I32" s="267"/>
      <c r="J32" s="272"/>
      <c r="K32" s="273"/>
      <c r="L32" s="290" t="str">
        <f t="shared" ref="L32" si="63">IF(K32="Product-specific Type III Internal EPD",1,(IF(K32="Product Specific Type III External EPD",1.5,(IF(K32="Product-specific LCA",1,(IF(K32="Industry-wide/generic EPD",1,"")))))))</f>
        <v/>
      </c>
      <c r="M32" s="237"/>
      <c r="N32" s="238"/>
      <c r="O32" s="333"/>
      <c r="P32" s="389">
        <f t="shared" ref="P32" si="64">IF(S32&lt;=200,S32,IF(S32&gt;=201,200))*IFERROR(N32&lt;&gt;0,)</f>
        <v>0</v>
      </c>
      <c r="Q32" s="382" t="str">
        <f t="shared" ref="Q32" si="65">IF(N32="LCA impact reduction action plan",0.5*IF(O32="Yes",2,1),IF(O32="Yes",2,(IF(N32="Third party verified impact reductions in GWP",1,IF(O32="Yes",2,(IF(N32="Third party verified impact reductions with minimum 10% reduction in GWP impact",1.5,IF(O32="Yes",2,(IF(N32="Third party impact reductions with min. 20% reduction in GWP &amp; 5% in two other cat.",2,""))))))))))</f>
        <v/>
      </c>
      <c r="R32" s="441">
        <f>IF(N32="LCA impact reduction action plan",H32*0.5/Materials!$G$112*100,IF(N32="Third party verified impact reductions in GWP",H32/Materials!$G$112*100,IF(N32="Third party verified impact reductions with minimum 10% reduction in GWP impact",H32*1.5/Materials!$G$112*100,IF(N32="Third party impact reductions with min. 20% reduction in GWP &amp; 5% in two other cat.",H32*2/Materials!$G$112*100))))*IFERROR(N32&lt;&gt;0,)</f>
        <v>0</v>
      </c>
      <c r="S32" s="442">
        <f t="shared" ref="S32" si="66">IF(O32="Yes",R32*2,R32)</f>
        <v>0</v>
      </c>
    </row>
    <row r="33" spans="1:19" s="173" customFormat="1" x14ac:dyDescent="0.2">
      <c r="A33" s="180">
        <f t="shared" ref="A33" si="67">IF(H33&gt;=0,0,1)</f>
        <v>0</v>
      </c>
      <c r="B33" s="355" t="str">
        <f>IF(ISBLANK(Materials!B33),"",Materials!B33)</f>
        <v xml:space="preserve">Gypsum Board </v>
      </c>
      <c r="C33" s="355" t="str">
        <f>IF(ISBLANK(Materials!C33),"",Materials!C33)</f>
        <v>092900</v>
      </c>
      <c r="D33" s="355" t="str">
        <f>IF(ISBLANK(Materials!D33),"",Materials!D33)</f>
        <v/>
      </c>
      <c r="E33" s="355" t="str">
        <f>IF(ISBLANK(Materials!E33),"",Materials!E33)</f>
        <v>Durock Glass-Mat Tile Backerboard</v>
      </c>
      <c r="F33" s="439"/>
      <c r="G33" s="355" t="str">
        <f>IF(ISBLANK(Materials!F33),"",Materials!F33)</f>
        <v>USG</v>
      </c>
      <c r="H33" s="340">
        <f>IF(ISBLANK(Materials!G33),"",Materials!G33)</f>
        <v>1945.6</v>
      </c>
      <c r="I33" s="267"/>
      <c r="J33" s="272"/>
      <c r="K33" s="273"/>
      <c r="L33" s="290" t="str">
        <f t="shared" ref="L33" si="68">IF(K33="Product-specific Type III Internal EPD",1,(IF(K33="Product Specific Type III External EPD",1.5,(IF(K33="Product-specific LCA",1,(IF(K33="Industry-wide/generic EPD",1,"")))))))</f>
        <v/>
      </c>
      <c r="M33" s="237"/>
      <c r="N33" s="238"/>
      <c r="O33" s="333"/>
      <c r="P33" s="389">
        <f t="shared" ref="P33" si="69">IF(S33&lt;=200,S33,IF(S33&gt;=201,200))*IFERROR(N33&lt;&gt;0,)</f>
        <v>0</v>
      </c>
      <c r="Q33" s="382" t="str">
        <f t="shared" ref="Q33" si="70">IF(N33="LCA impact reduction action plan",0.5*IF(O33="Yes",2,1),IF(O33="Yes",2,(IF(N33="Third party verified impact reductions in GWP",1,IF(O33="Yes",2,(IF(N33="Third party verified impact reductions with minimum 10% reduction in GWP impact",1.5,IF(O33="Yes",2,(IF(N33="Third party impact reductions with min. 20% reduction in GWP &amp; 5% in two other cat.",2,""))))))))))</f>
        <v/>
      </c>
      <c r="R33" s="441">
        <f>IF(N33="LCA impact reduction action plan",H33*0.5/Materials!$G$112*100,IF(N33="Third party verified impact reductions in GWP",H33/Materials!$G$112*100,IF(N33="Third party verified impact reductions with minimum 10% reduction in GWP impact",H33*1.5/Materials!$G$112*100,IF(N33="Third party impact reductions with min. 20% reduction in GWP &amp; 5% in two other cat.",H33*2/Materials!$G$112*100))))*IFERROR(N33&lt;&gt;0,)</f>
        <v>0</v>
      </c>
      <c r="S33" s="442">
        <f t="shared" ref="S33" si="71">IF(O33="Yes",R33*2,R33)</f>
        <v>0</v>
      </c>
    </row>
    <row r="34" spans="1:19" s="173" customFormat="1" x14ac:dyDescent="0.2">
      <c r="A34" s="180">
        <f t="shared" ref="A34" si="72">IF(H34&gt;=0,0,1)</f>
        <v>0</v>
      </c>
      <c r="B34" s="355" t="str">
        <f>IF(ISBLANK(Materials!B34),"",Materials!B34)</f>
        <v xml:space="preserve">Gypsum Board </v>
      </c>
      <c r="C34" s="355" t="str">
        <f>IF(ISBLANK(Materials!C34),"",Materials!C34)</f>
        <v>092900</v>
      </c>
      <c r="D34" s="355" t="str">
        <f>IF(ISBLANK(Materials!D34),"",Materials!D34)</f>
        <v/>
      </c>
      <c r="E34" s="355" t="str">
        <f>IF(ISBLANK(Materials!E34),"",Materials!E34)</f>
        <v>Sheetrock Firecode X Panels</v>
      </c>
      <c r="F34" s="439"/>
      <c r="G34" s="355" t="str">
        <f>IF(ISBLANK(Materials!F34),"",Materials!F34)</f>
        <v>USG</v>
      </c>
      <c r="H34" s="340">
        <f>IF(ISBLANK(Materials!G34),"",Materials!G34)</f>
        <v>33862</v>
      </c>
      <c r="I34" s="267"/>
      <c r="J34" s="272" t="s">
        <v>228</v>
      </c>
      <c r="K34" s="273" t="s">
        <v>177</v>
      </c>
      <c r="L34" s="290">
        <f t="shared" ref="L34" si="73">IF(K34="Product-specific Type III Internal EPD",1,(IF(K34="Product Specific Type III External EPD",1.5,(IF(K34="Product-specific LCA",1,(IF(K34="Industry-wide/generic EPD",1,"")))))))</f>
        <v>1</v>
      </c>
      <c r="M34" s="237"/>
      <c r="N34" s="238"/>
      <c r="O34" s="333"/>
      <c r="P34" s="389">
        <f t="shared" ref="P34" si="74">IF(S34&lt;=200,S34,IF(S34&gt;=201,200))*IFERROR(N34&lt;&gt;0,)</f>
        <v>0</v>
      </c>
      <c r="Q34" s="382" t="str">
        <f t="shared" ref="Q34" si="75">IF(N34="LCA impact reduction action plan",0.5*IF(O34="Yes",2,1),IF(O34="Yes",2,(IF(N34="Third party verified impact reductions in GWP",1,IF(O34="Yes",2,(IF(N34="Third party verified impact reductions with minimum 10% reduction in GWP impact",1.5,IF(O34="Yes",2,(IF(N34="Third party impact reductions with min. 20% reduction in GWP &amp; 5% in two other cat.",2,""))))))))))</f>
        <v/>
      </c>
      <c r="R34" s="441">
        <f>IF(N34="LCA impact reduction action plan",H34*0.5/Materials!$G$112*100,IF(N34="Third party verified impact reductions in GWP",H34/Materials!$G$112*100,IF(N34="Third party verified impact reductions with minimum 10% reduction in GWP impact",H34*1.5/Materials!$G$112*100,IF(N34="Third party impact reductions with min. 20% reduction in GWP &amp; 5% in two other cat.",H34*2/Materials!$G$112*100))))*IFERROR(N34&lt;&gt;0,)</f>
        <v>0</v>
      </c>
      <c r="S34" s="442">
        <f t="shared" ref="S34" si="76">IF(O34="Yes",R34*2,R34)</f>
        <v>0</v>
      </c>
    </row>
    <row r="35" spans="1:19" s="173" customFormat="1" x14ac:dyDescent="0.2">
      <c r="A35" s="180">
        <f t="shared" ref="A35" si="77">IF(H35&gt;=0,0,1)</f>
        <v>0</v>
      </c>
      <c r="B35" s="355" t="str">
        <f>IF(ISBLANK(Materials!B35),"",Materials!B35)</f>
        <v xml:space="preserve">Gypsum Board </v>
      </c>
      <c r="C35" s="355" t="str">
        <f>IF(ISBLANK(Materials!C35),"",Materials!C35)</f>
        <v>092900</v>
      </c>
      <c r="D35" s="355" t="str">
        <f>IF(ISBLANK(Materials!D35),"",Materials!D35)</f>
        <v/>
      </c>
      <c r="E35" s="355" t="str">
        <f>IF(ISBLANK(Materials!E35),"",Materials!E35)</f>
        <v>Sheetrock Mold Tough Firecode X Panels</v>
      </c>
      <c r="F35" s="439"/>
      <c r="G35" s="355" t="str">
        <f>IF(ISBLANK(Materials!F35),"",Materials!F35)</f>
        <v>USG</v>
      </c>
      <c r="H35" s="340">
        <f>IF(ISBLANK(Materials!G35),"",Materials!G35)</f>
        <v>364</v>
      </c>
      <c r="I35" s="267"/>
      <c r="J35" s="272"/>
      <c r="K35" s="273"/>
      <c r="L35" s="290" t="str">
        <f t="shared" ref="L35" si="78">IF(K35="Product-specific Type III Internal EPD",1,(IF(K35="Product Specific Type III External EPD",1.5,(IF(K35="Product-specific LCA",1,(IF(K35="Industry-wide/generic EPD",1,"")))))))</f>
        <v/>
      </c>
      <c r="M35" s="237"/>
      <c r="N35" s="238"/>
      <c r="O35" s="333"/>
      <c r="P35" s="389">
        <f t="shared" ref="P35" si="79">IF(S35&lt;=200,S35,IF(S35&gt;=201,200))*IFERROR(N35&lt;&gt;0,)</f>
        <v>0</v>
      </c>
      <c r="Q35" s="382" t="str">
        <f t="shared" ref="Q35" si="80">IF(N35="LCA impact reduction action plan",0.5*IF(O35="Yes",2,1),IF(O35="Yes",2,(IF(N35="Third party verified impact reductions in GWP",1,IF(O35="Yes",2,(IF(N35="Third party verified impact reductions with minimum 10% reduction in GWP impact",1.5,IF(O35="Yes",2,(IF(N35="Third party impact reductions with min. 20% reduction in GWP &amp; 5% in two other cat.",2,""))))))))))</f>
        <v/>
      </c>
      <c r="R35" s="441">
        <f>IF(N35="LCA impact reduction action plan",H35*0.5/Materials!$G$112*100,IF(N35="Third party verified impact reductions in GWP",H35/Materials!$G$112*100,IF(N35="Third party verified impact reductions with minimum 10% reduction in GWP impact",H35*1.5/Materials!$G$112*100,IF(N35="Third party impact reductions with min. 20% reduction in GWP &amp; 5% in two other cat.",H35*2/Materials!$G$112*100))))*IFERROR(N35&lt;&gt;0,)</f>
        <v>0</v>
      </c>
      <c r="S35" s="442">
        <f t="shared" ref="S35" si="81">IF(O35="Yes",R35*2,R35)</f>
        <v>0</v>
      </c>
    </row>
    <row r="36" spans="1:19" s="173" customFormat="1" ht="24" x14ac:dyDescent="0.2">
      <c r="A36" s="180">
        <f t="shared" ref="A36" si="82">IF(H36&gt;=0,0,1)</f>
        <v>0</v>
      </c>
      <c r="B36" s="355" t="str">
        <f>IF(ISBLANK(Materials!B36),"",Materials!B36)</f>
        <v xml:space="preserve">ACT </v>
      </c>
      <c r="C36" s="355" t="str">
        <f>IF(ISBLANK(Materials!C36),"",Materials!C36)</f>
        <v>095113</v>
      </c>
      <c r="D36" s="355" t="str">
        <f>IF(ISBLANK(Materials!D36),"",Materials!D36)</f>
        <v/>
      </c>
      <c r="E36" s="355" t="str">
        <f>IF(ISBLANK(Materials!E36),"",Materials!E36)</f>
        <v>Mars HRC</v>
      </c>
      <c r="F36" s="439"/>
      <c r="G36" s="355" t="str">
        <f>IF(ISBLANK(Materials!F36),"",Materials!F36)</f>
        <v>USG</v>
      </c>
      <c r="H36" s="340">
        <f>IF(ISBLANK(Materials!G36),"",Materials!G36)</f>
        <v>49019.199999999997</v>
      </c>
      <c r="I36" s="267"/>
      <c r="J36" s="272" t="s">
        <v>176</v>
      </c>
      <c r="K36" s="273" t="s">
        <v>167</v>
      </c>
      <c r="L36" s="290">
        <f t="shared" ref="L36" si="83">IF(K36="Product-specific Type III Internal EPD",1,(IF(K36="Product Specific Type III External EPD",1.5,(IF(K36="Product-specific LCA",1,(IF(K36="Industry-wide/generic EPD",1,"")))))))</f>
        <v>1.5</v>
      </c>
      <c r="M36" s="237"/>
      <c r="N36" s="238"/>
      <c r="O36" s="333"/>
      <c r="P36" s="389">
        <f t="shared" ref="P36" si="84">IF(S36&lt;=200,S36,IF(S36&gt;=201,200))*IFERROR(N36&lt;&gt;0,)</f>
        <v>0</v>
      </c>
      <c r="Q36" s="382" t="str">
        <f t="shared" ref="Q36" si="85">IF(N36="LCA impact reduction action plan",0.5*IF(O36="Yes",2,1),IF(O36="Yes",2,(IF(N36="Third party verified impact reductions in GWP",1,IF(O36="Yes",2,(IF(N36="Third party verified impact reductions with minimum 10% reduction in GWP impact",1.5,IF(O36="Yes",2,(IF(N36="Third party impact reductions with min. 20% reduction in GWP &amp; 5% in two other cat.",2,""))))))))))</f>
        <v/>
      </c>
      <c r="R36" s="441">
        <f>IF(N36="LCA impact reduction action plan",H36*0.5/Materials!$G$112*100,IF(N36="Third party verified impact reductions in GWP",H36/Materials!$G$112*100,IF(N36="Third party verified impact reductions with minimum 10% reduction in GWP impact",H36*1.5/Materials!$G$112*100,IF(N36="Third party impact reductions with min. 20% reduction in GWP &amp; 5% in two other cat.",H36*2/Materials!$G$112*100))))*IFERROR(N36&lt;&gt;0,)</f>
        <v>0</v>
      </c>
      <c r="S36" s="442">
        <f t="shared" ref="S36" si="86">IF(O36="Yes",R36*2,R36)</f>
        <v>0</v>
      </c>
    </row>
    <row r="37" spans="1:19" s="173" customFormat="1" ht="24" x14ac:dyDescent="0.2">
      <c r="A37" s="180">
        <f t="shared" ref="A37" si="87">IF(H37&gt;=0,0,1)</f>
        <v>0</v>
      </c>
      <c r="B37" s="355" t="str">
        <f>IF(ISBLANK(Materials!B37),"",Materials!B37)</f>
        <v>Ceiling Suspension System</v>
      </c>
      <c r="C37" s="355" t="str">
        <f>IF(ISBLANK(Materials!C37),"",Materials!C37)</f>
        <v>095113</v>
      </c>
      <c r="D37" s="355" t="str">
        <f>IF(ISBLANK(Materials!D37),"",Materials!D37)</f>
        <v/>
      </c>
      <c r="E37" s="355" t="str">
        <f>IF(ISBLANK(Materials!E37),"",Materials!E37)</f>
        <v>Donn DX/DXL</v>
      </c>
      <c r="F37" s="439"/>
      <c r="G37" s="355" t="str">
        <f>IF(ISBLANK(Materials!F37),"",Materials!F37)</f>
        <v>USG</v>
      </c>
      <c r="H37" s="340">
        <f>IF(ISBLANK(Materials!G37),"",Materials!G37)</f>
        <v>16824.7</v>
      </c>
      <c r="I37" s="267"/>
      <c r="J37" s="272" t="s">
        <v>176</v>
      </c>
      <c r="K37" s="273" t="s">
        <v>167</v>
      </c>
      <c r="L37" s="290">
        <f t="shared" ref="L37" si="88">IF(K37="Product-specific Type III Internal EPD",1,(IF(K37="Product Specific Type III External EPD",1.5,(IF(K37="Product-specific LCA",1,(IF(K37="Industry-wide/generic EPD",1,"")))))))</f>
        <v>1.5</v>
      </c>
      <c r="M37" s="237"/>
      <c r="N37" s="238"/>
      <c r="O37" s="333"/>
      <c r="P37" s="389">
        <f t="shared" ref="P37" si="89">IF(S37&lt;=200,S37,IF(S37&gt;=201,200))*IFERROR(N37&lt;&gt;0,)</f>
        <v>0</v>
      </c>
      <c r="Q37" s="382" t="str">
        <f t="shared" ref="Q37" si="90">IF(N37="LCA impact reduction action plan",0.5*IF(O37="Yes",2,1),IF(O37="Yes",2,(IF(N37="Third party verified impact reductions in GWP",1,IF(O37="Yes",2,(IF(N37="Third party verified impact reductions with minimum 10% reduction in GWP impact",1.5,IF(O37="Yes",2,(IF(N37="Third party impact reductions with min. 20% reduction in GWP &amp; 5% in two other cat.",2,""))))))))))</f>
        <v/>
      </c>
      <c r="R37" s="441">
        <f>IF(N37="LCA impact reduction action plan",H37*0.5/Materials!$G$112*100,IF(N37="Third party verified impact reductions in GWP",H37/Materials!$G$112*100,IF(N37="Third party verified impact reductions with minimum 10% reduction in GWP impact",H37*1.5/Materials!$G$112*100,IF(N37="Third party impact reductions with min. 20% reduction in GWP &amp; 5% in two other cat.",H37*2/Materials!$G$112*100))))*IFERROR(N37&lt;&gt;0,)</f>
        <v>0</v>
      </c>
      <c r="S37" s="442">
        <f t="shared" ref="S37" si="91">IF(O37="Yes",R37*2,R37)</f>
        <v>0</v>
      </c>
    </row>
    <row r="38" spans="1:19" s="173" customFormat="1" ht="24" x14ac:dyDescent="0.2">
      <c r="A38" s="180">
        <f t="shared" ref="A38" si="92">IF(H38&gt;=0,0,1)</f>
        <v>0</v>
      </c>
      <c r="B38" s="355" t="str">
        <f>IF(ISBLANK(Materials!B38),"",Materials!B38)</f>
        <v>Ceiling Suspension System</v>
      </c>
      <c r="C38" s="355" t="str">
        <f>IF(ISBLANK(Materials!C38),"",Materials!C38)</f>
        <v>095113</v>
      </c>
      <c r="D38" s="355" t="str">
        <f>IF(ISBLANK(Materials!D38),"",Materials!D38)</f>
        <v/>
      </c>
      <c r="E38" s="355" t="str">
        <f>IF(ISBLANK(Materials!E38),"",Materials!E38)</f>
        <v>Drywall Suspension System</v>
      </c>
      <c r="F38" s="439"/>
      <c r="G38" s="355" t="str">
        <f>IF(ISBLANK(Materials!F38),"",Materials!F38)</f>
        <v>USG</v>
      </c>
      <c r="H38" s="340">
        <f>IF(ISBLANK(Materials!G38),"",Materials!G38)</f>
        <v>464.64</v>
      </c>
      <c r="I38" s="267"/>
      <c r="J38" s="272" t="s">
        <v>176</v>
      </c>
      <c r="K38" s="273" t="s">
        <v>167</v>
      </c>
      <c r="L38" s="290">
        <f t="shared" ref="L38" si="93">IF(K38="Product-specific Type III Internal EPD",1,(IF(K38="Product Specific Type III External EPD",1.5,(IF(K38="Product-specific LCA",1,(IF(K38="Industry-wide/generic EPD",1,"")))))))</f>
        <v>1.5</v>
      </c>
      <c r="M38" s="237"/>
      <c r="N38" s="238"/>
      <c r="O38" s="333"/>
      <c r="P38" s="389">
        <f t="shared" ref="P38" si="94">IF(S38&lt;=200,S38,IF(S38&gt;=201,200))*IFERROR(N38&lt;&gt;0,)</f>
        <v>0</v>
      </c>
      <c r="Q38" s="382" t="str">
        <f t="shared" ref="Q38" si="95">IF(N38="LCA impact reduction action plan",0.5*IF(O38="Yes",2,1),IF(O38="Yes",2,(IF(N38="Third party verified impact reductions in GWP",1,IF(O38="Yes",2,(IF(N38="Third party verified impact reductions with minimum 10% reduction in GWP impact",1.5,IF(O38="Yes",2,(IF(N38="Third party impact reductions with min. 20% reduction in GWP &amp; 5% in two other cat.",2,""))))))))))</f>
        <v/>
      </c>
      <c r="R38" s="441">
        <f>IF(N38="LCA impact reduction action plan",H38*0.5/Materials!$G$112*100,IF(N38="Third party verified impact reductions in GWP",H38/Materials!$G$112*100,IF(N38="Third party verified impact reductions with minimum 10% reduction in GWP impact",H38*1.5/Materials!$G$112*100,IF(N38="Third party impact reductions with min. 20% reduction in GWP &amp; 5% in two other cat.",H38*2/Materials!$G$112*100))))*IFERROR(N38&lt;&gt;0,)</f>
        <v>0</v>
      </c>
      <c r="S38" s="442">
        <f t="shared" ref="S38" si="96">IF(O38="Yes",R38*2,R38)</f>
        <v>0</v>
      </c>
    </row>
    <row r="39" spans="1:19" s="173" customFormat="1" x14ac:dyDescent="0.2">
      <c r="A39" s="180">
        <f t="shared" ref="A39" si="97">IF(H39&gt;=0,0,1)</f>
        <v>0</v>
      </c>
      <c r="B39" s="355" t="str">
        <f>IF(ISBLANK(Materials!B39),"",Materials!B39)</f>
        <v xml:space="preserve">Sheathing </v>
      </c>
      <c r="C39" s="355" t="str">
        <f>IF(ISBLANK(Materials!C39),"",Materials!C39)</f>
        <v>061600</v>
      </c>
      <c r="D39" s="355" t="str">
        <f>IF(ISBLANK(Materials!D39),"",Materials!D39)</f>
        <v/>
      </c>
      <c r="E39" s="355" t="str">
        <f>IF(ISBLANK(Materials!E39),"",Materials!E39)</f>
        <v>Densglass</v>
      </c>
      <c r="F39" s="439"/>
      <c r="G39" s="355" t="str">
        <f>IF(ISBLANK(Materials!F39),"",Materials!F39)</f>
        <v>Georgia-Pacific</v>
      </c>
      <c r="H39" s="340">
        <f>IF(ISBLANK(Materials!G39),"",Materials!G39)</f>
        <v>6757.08</v>
      </c>
      <c r="I39" s="267"/>
      <c r="J39" s="272" t="s">
        <v>166</v>
      </c>
      <c r="K39" s="273" t="s">
        <v>177</v>
      </c>
      <c r="L39" s="290">
        <f t="shared" ref="L39" si="98">IF(K39="Product-specific Type III Internal EPD",1,(IF(K39="Product Specific Type III External EPD",1.5,(IF(K39="Product-specific LCA",1,(IF(K39="Industry-wide/generic EPD",1,"")))))))</f>
        <v>1</v>
      </c>
      <c r="M39" s="237"/>
      <c r="N39" s="238"/>
      <c r="O39" s="333"/>
      <c r="P39" s="389">
        <f t="shared" ref="P39" si="99">IF(S39&lt;=200,S39,IF(S39&gt;=201,200))*IFERROR(N39&lt;&gt;0,)</f>
        <v>0</v>
      </c>
      <c r="Q39" s="382" t="str">
        <f t="shared" ref="Q39" si="100">IF(N39="LCA impact reduction action plan",0.5*IF(O39="Yes",2,1),IF(O39="Yes",2,(IF(N39="Third party verified impact reductions in GWP",1,IF(O39="Yes",2,(IF(N39="Third party verified impact reductions with minimum 10% reduction in GWP impact",1.5,IF(O39="Yes",2,(IF(N39="Third party impact reductions with min. 20% reduction in GWP &amp; 5% in two other cat.",2,""))))))))))</f>
        <v/>
      </c>
      <c r="R39" s="441">
        <f>IF(N39="LCA impact reduction action plan",H39*0.5/Materials!$G$112*100,IF(N39="Third party verified impact reductions in GWP",H39/Materials!$G$112*100,IF(N39="Third party verified impact reductions with minimum 10% reduction in GWP impact",H39*1.5/Materials!$G$112*100,IF(N39="Third party impact reductions with min. 20% reduction in GWP &amp; 5% in two other cat.",H39*2/Materials!$G$112*100))))*IFERROR(N39&lt;&gt;0,)</f>
        <v>0</v>
      </c>
      <c r="S39" s="442">
        <f t="shared" ref="S39" si="101">IF(O39="Yes",R39*2,R39)</f>
        <v>0</v>
      </c>
    </row>
    <row r="40" spans="1:19" s="173" customFormat="1" x14ac:dyDescent="0.2">
      <c r="A40" s="180">
        <f t="shared" ref="A40" si="102">IF(H40&gt;=0,0,1)</f>
        <v>0</v>
      </c>
      <c r="B40" s="355" t="str">
        <f>IF(ISBLANK(Materials!B40),"",Materials!B40)</f>
        <v>Joint Reinforcement</v>
      </c>
      <c r="C40" s="355" t="str">
        <f>IF(ISBLANK(Materials!C40),"",Materials!C40)</f>
        <v>042000</v>
      </c>
      <c r="D40" s="355" t="str">
        <f>IF(ISBLANK(Materials!D40),"",Materials!D40)</f>
        <v/>
      </c>
      <c r="E40" s="355" t="str">
        <f>IF(ISBLANK(Materials!E40),"",Materials!E40)</f>
        <v>270-2X Ladder Eye-Wire &amp; 220 Ladder-Mesh</v>
      </c>
      <c r="F40" s="439"/>
      <c r="G40" s="355" t="str">
        <f>IF(ISBLANK(Materials!F40),"",Materials!F40)</f>
        <v>Hohmann &amp; Barnard</v>
      </c>
      <c r="H40" s="340">
        <f>IF(ISBLANK(Materials!G40),"",Materials!G40)</f>
        <v>722.1</v>
      </c>
      <c r="I40" s="267"/>
      <c r="J40" s="272"/>
      <c r="K40" s="273"/>
      <c r="L40" s="290" t="str">
        <f t="shared" ref="L40" si="103">IF(K40="Product-specific Type III Internal EPD",1,(IF(K40="Product Specific Type III External EPD",1.5,(IF(K40="Product-specific LCA",1,(IF(K40="Industry-wide/generic EPD",1,"")))))))</f>
        <v/>
      </c>
      <c r="M40" s="237"/>
      <c r="N40" s="238"/>
      <c r="O40" s="333"/>
      <c r="P40" s="389">
        <f t="shared" ref="P40" si="104">IF(S40&lt;=200,S40,IF(S40&gt;=201,200))*IFERROR(N40&lt;&gt;0,)</f>
        <v>0</v>
      </c>
      <c r="Q40" s="382" t="str">
        <f t="shared" ref="Q40" si="105">IF(N40="LCA impact reduction action plan",0.5*IF(O40="Yes",2,1),IF(O40="Yes",2,(IF(N40="Third party verified impact reductions in GWP",1,IF(O40="Yes",2,(IF(N40="Third party verified impact reductions with minimum 10% reduction in GWP impact",1.5,IF(O40="Yes",2,(IF(N40="Third party impact reductions with min. 20% reduction in GWP &amp; 5% in two other cat.",2,""))))))))))</f>
        <v/>
      </c>
      <c r="R40" s="441">
        <f>IF(N40="LCA impact reduction action plan",H40*0.5/Materials!$G$112*100,IF(N40="Third party verified impact reductions in GWP",H40/Materials!$G$112*100,IF(N40="Third party verified impact reductions with minimum 10% reduction in GWP impact",H40*1.5/Materials!$G$112*100,IF(N40="Third party impact reductions with min. 20% reduction in GWP &amp; 5% in two other cat.",H40*2/Materials!$G$112*100))))*IFERROR(N40&lt;&gt;0,)</f>
        <v>0</v>
      </c>
      <c r="S40" s="442">
        <f t="shared" ref="S40" si="106">IF(O40="Yes",R40*2,R40)</f>
        <v>0</v>
      </c>
    </row>
    <row r="41" spans="1:19" s="173" customFormat="1" x14ac:dyDescent="0.2">
      <c r="A41" s="180">
        <f t="shared" ref="A41" si="107">IF(H41&gt;=0,0,1)</f>
        <v>0</v>
      </c>
      <c r="B41" s="355" t="str">
        <f>IF(ISBLANK(Materials!B41),"",Materials!B41)</f>
        <v>Rubber Control Joint, Weep Holes/Vents</v>
      </c>
      <c r="C41" s="355" t="str">
        <f>IF(ISBLANK(Materials!C41),"",Materials!C41)</f>
        <v>042000</v>
      </c>
      <c r="D41" s="355" t="str">
        <f>IF(ISBLANK(Materials!D41),"",Materials!D41)</f>
        <v/>
      </c>
      <c r="E41" s="355" t="str">
        <f>IF(ISBLANK(Materials!E41),"",Materials!E41)</f>
        <v>RS Series, QV - Quadro-Vent</v>
      </c>
      <c r="F41" s="439"/>
      <c r="G41" s="355" t="str">
        <f>IF(ISBLANK(Materials!F41),"",Materials!F41)</f>
        <v>Hohmann &amp; Barnard</v>
      </c>
      <c r="H41" s="340">
        <f>IF(ISBLANK(Materials!G41),"",Materials!G41)</f>
        <v>5130.29</v>
      </c>
      <c r="I41" s="267"/>
      <c r="J41" s="272"/>
      <c r="K41" s="273"/>
      <c r="L41" s="290" t="str">
        <f t="shared" ref="L41" si="108">IF(K41="Product-specific Type III Internal EPD",1,(IF(K41="Product Specific Type III External EPD",1.5,(IF(K41="Product-specific LCA",1,(IF(K41="Industry-wide/generic EPD",1,"")))))))</f>
        <v/>
      </c>
      <c r="M41" s="237"/>
      <c r="N41" s="238"/>
      <c r="O41" s="333"/>
      <c r="P41" s="389">
        <f t="shared" ref="P41" si="109">IF(S41&lt;=200,S41,IF(S41&gt;=201,200))*IFERROR(N41&lt;&gt;0,)</f>
        <v>0</v>
      </c>
      <c r="Q41" s="382" t="str">
        <f t="shared" ref="Q41" si="110">IF(N41="LCA impact reduction action plan",0.5*IF(O41="Yes",2,1),IF(O41="Yes",2,(IF(N41="Third party verified impact reductions in GWP",1,IF(O41="Yes",2,(IF(N41="Third party verified impact reductions with minimum 10% reduction in GWP impact",1.5,IF(O41="Yes",2,(IF(N41="Third party impact reductions with min. 20% reduction in GWP &amp; 5% in two other cat.",2,""))))))))))</f>
        <v/>
      </c>
      <c r="R41" s="441">
        <f>IF(N41="LCA impact reduction action plan",H41*0.5/Materials!$G$112*100,IF(N41="Third party verified impact reductions in GWP",H41/Materials!$G$112*100,IF(N41="Third party verified impact reductions with minimum 10% reduction in GWP impact",H41*1.5/Materials!$G$112*100,IF(N41="Third party impact reductions with min. 20% reduction in GWP &amp; 5% in two other cat.",H41*2/Materials!$G$112*100))))*IFERROR(N41&lt;&gt;0,)</f>
        <v>0</v>
      </c>
      <c r="S41" s="442">
        <f t="shared" ref="S41" si="111">IF(O41="Yes",R41*2,R41)</f>
        <v>0</v>
      </c>
    </row>
    <row r="42" spans="1:19" s="173" customFormat="1" x14ac:dyDescent="0.2">
      <c r="A42" s="180">
        <f t="shared" ref="A42" si="112">IF(H42&gt;=0,0,1)</f>
        <v>0</v>
      </c>
      <c r="B42" s="355" t="str">
        <f>IF(ISBLANK(Materials!B42),"",Materials!B42)</f>
        <v>Rebar Positioner</v>
      </c>
      <c r="C42" s="355" t="str">
        <f>IF(ISBLANK(Materials!C42),"",Materials!C42)</f>
        <v>042000</v>
      </c>
      <c r="D42" s="355" t="str">
        <f>IF(ISBLANK(Materials!D42),"",Materials!D42)</f>
        <v/>
      </c>
      <c r="E42" s="355" t="str">
        <f>IF(ISBLANK(Materials!E42),"",Materials!E42)</f>
        <v>RB</v>
      </c>
      <c r="F42" s="439"/>
      <c r="G42" s="355" t="str">
        <f>IF(ISBLANK(Materials!F42),"",Materials!F42)</f>
        <v>Hohmann &amp; Barnard</v>
      </c>
      <c r="H42" s="340">
        <f>IF(ISBLANK(Materials!G42),"",Materials!G42)</f>
        <v>3739.16</v>
      </c>
      <c r="I42" s="267"/>
      <c r="J42" s="272"/>
      <c r="K42" s="273"/>
      <c r="L42" s="290" t="str">
        <f t="shared" ref="L42" si="113">IF(K42="Product-specific Type III Internal EPD",1,(IF(K42="Product Specific Type III External EPD",1.5,(IF(K42="Product-specific LCA",1,(IF(K42="Industry-wide/generic EPD",1,"")))))))</f>
        <v/>
      </c>
      <c r="M42" s="237"/>
      <c r="N42" s="238"/>
      <c r="O42" s="333"/>
      <c r="P42" s="389">
        <f t="shared" ref="P42" si="114">IF(S42&lt;=200,S42,IF(S42&gt;=201,200))*IFERROR(N42&lt;&gt;0,)</f>
        <v>0</v>
      </c>
      <c r="Q42" s="382" t="str">
        <f t="shared" ref="Q42" si="115">IF(N42="LCA impact reduction action plan",0.5*IF(O42="Yes",2,1),IF(O42="Yes",2,(IF(N42="Third party verified impact reductions in GWP",1,IF(O42="Yes",2,(IF(N42="Third party verified impact reductions with minimum 10% reduction in GWP impact",1.5,IF(O42="Yes",2,(IF(N42="Third party impact reductions with min. 20% reduction in GWP &amp; 5% in two other cat.",2,""))))))))))</f>
        <v/>
      </c>
      <c r="R42" s="441">
        <f>IF(N42="LCA impact reduction action plan",H42*0.5/Materials!$G$112*100,IF(N42="Third party verified impact reductions in GWP",H42/Materials!$G$112*100,IF(N42="Third party verified impact reductions with minimum 10% reduction in GWP impact",H42*1.5/Materials!$G$112*100,IF(N42="Third party impact reductions with min. 20% reduction in GWP &amp; 5% in two other cat.",H42*2/Materials!$G$112*100))))*IFERROR(N42&lt;&gt;0,)</f>
        <v>0</v>
      </c>
      <c r="S42" s="442">
        <f t="shared" ref="S42" si="116">IF(O42="Yes",R42*2,R42)</f>
        <v>0</v>
      </c>
    </row>
    <row r="43" spans="1:19" s="173" customFormat="1" x14ac:dyDescent="0.2">
      <c r="A43" s="180">
        <f t="shared" ref="A43" si="117">IF(H43&gt;=0,0,1)</f>
        <v>0</v>
      </c>
      <c r="B43" s="355" t="str">
        <f>IF(ISBLANK(Materials!B43),"",Materials!B43)</f>
        <v>Mortar System</v>
      </c>
      <c r="C43" s="355" t="str">
        <f>IF(ISBLANK(Materials!C43),"",Materials!C43)</f>
        <v>042000</v>
      </c>
      <c r="D43" s="355" t="str">
        <f>IF(ISBLANK(Materials!D43),"",Materials!D43)</f>
        <v/>
      </c>
      <c r="E43" s="355" t="str">
        <f>IF(ISBLANK(Materials!E43),"",Materials!E43)</f>
        <v>Mortar Trap</v>
      </c>
      <c r="F43" s="439"/>
      <c r="G43" s="355" t="str">
        <f>IF(ISBLANK(Materials!F43),"",Materials!F43)</f>
        <v>Hohmann &amp; Barnard</v>
      </c>
      <c r="H43" s="340">
        <f>IF(ISBLANK(Materials!G43),"",Materials!G43)</f>
        <v>2963.31</v>
      </c>
      <c r="I43" s="267"/>
      <c r="J43" s="272"/>
      <c r="K43" s="273"/>
      <c r="L43" s="290" t="str">
        <f t="shared" ref="L43" si="118">IF(K43="Product-specific Type III Internal EPD",1,(IF(K43="Product Specific Type III External EPD",1.5,(IF(K43="Product-specific LCA",1,(IF(K43="Industry-wide/generic EPD",1,"")))))))</f>
        <v/>
      </c>
      <c r="M43" s="237"/>
      <c r="N43" s="238"/>
      <c r="O43" s="333"/>
      <c r="P43" s="389">
        <f t="shared" ref="P43" si="119">IF(S43&lt;=200,S43,IF(S43&gt;=201,200))*IFERROR(N43&lt;&gt;0,)</f>
        <v>0</v>
      </c>
      <c r="Q43" s="382" t="str">
        <f t="shared" ref="Q43" si="120">IF(N43="LCA impact reduction action plan",0.5*IF(O43="Yes",2,1),IF(O43="Yes",2,(IF(N43="Third party verified impact reductions in GWP",1,IF(O43="Yes",2,(IF(N43="Third party verified impact reductions with minimum 10% reduction in GWP impact",1.5,IF(O43="Yes",2,(IF(N43="Third party impact reductions with min. 20% reduction in GWP &amp; 5% in two other cat.",2,""))))))))))</f>
        <v/>
      </c>
      <c r="R43" s="441">
        <f>IF(N43="LCA impact reduction action plan",H43*0.5/Materials!$G$112*100,IF(N43="Third party verified impact reductions in GWP",H43/Materials!$G$112*100,IF(N43="Third party verified impact reductions with minimum 10% reduction in GWP impact",H43*1.5/Materials!$G$112*100,IF(N43="Third party impact reductions with min. 20% reduction in GWP &amp; 5% in two other cat.",H43*2/Materials!$G$112*100))))*IFERROR(N43&lt;&gt;0,)</f>
        <v>0</v>
      </c>
      <c r="S43" s="442">
        <f t="shared" ref="S43" si="121">IF(O43="Yes",R43*2,R43)</f>
        <v>0</v>
      </c>
    </row>
    <row r="44" spans="1:19" s="173" customFormat="1" x14ac:dyDescent="0.2">
      <c r="A44" s="180">
        <f t="shared" ref="A44" si="122">IF(H44&gt;=0,0,1)</f>
        <v>0</v>
      </c>
      <c r="B44" s="355" t="str">
        <f>IF(ISBLANK(Materials!B44),"",Materials!B44)</f>
        <v>C-Studs &amp; Track</v>
      </c>
      <c r="C44" s="355" t="str">
        <f>IF(ISBLANK(Materials!C44),"",Materials!C44)</f>
        <v>054000</v>
      </c>
      <c r="D44" s="355" t="str">
        <f>IF(ISBLANK(Materials!D44),"",Materials!D44)</f>
        <v/>
      </c>
      <c r="E44" s="355" t="str">
        <f>IF(ISBLANK(Materials!E44),"",Materials!E44)</f>
        <v>600S162-43, 600S200-43, 600S300-54, 600S300-97, 600S350-118, 600S350-68, 600S350-97, 600T125-43, 600T125-68, 600T200-54, 600T200-97</v>
      </c>
      <c r="F44" s="439"/>
      <c r="G44" s="355" t="str">
        <f>IF(ISBLANK(Materials!F44),"",Materials!F44)</f>
        <v>Cemco</v>
      </c>
      <c r="H44" s="340">
        <f>IF(ISBLANK(Materials!G44),"",Materials!G44)</f>
        <v>28645.46</v>
      </c>
      <c r="I44" s="267"/>
      <c r="J44" s="272"/>
      <c r="K44" s="273"/>
      <c r="L44" s="290" t="str">
        <f t="shared" ref="L44" si="123">IF(K44="Product-specific Type III Internal EPD",1,(IF(K44="Product Specific Type III External EPD",1.5,(IF(K44="Product-specific LCA",1,(IF(K44="Industry-wide/generic EPD",1,"")))))))</f>
        <v/>
      </c>
      <c r="M44" s="237"/>
      <c r="N44" s="238"/>
      <c r="O44" s="333"/>
      <c r="P44" s="389">
        <f t="shared" ref="P44" si="124">IF(S44&lt;=200,S44,IF(S44&gt;=201,200))*IFERROR(N44&lt;&gt;0,)</f>
        <v>0</v>
      </c>
      <c r="Q44" s="382" t="str">
        <f t="shared" ref="Q44" si="125">IF(N44="LCA impact reduction action plan",0.5*IF(O44="Yes",2,1),IF(O44="Yes",2,(IF(N44="Third party verified impact reductions in GWP",1,IF(O44="Yes",2,(IF(N44="Third party verified impact reductions with minimum 10% reduction in GWP impact",1.5,IF(O44="Yes",2,(IF(N44="Third party impact reductions with min. 20% reduction in GWP &amp; 5% in two other cat.",2,""))))))))))</f>
        <v/>
      </c>
      <c r="R44" s="441">
        <f>IF(N44="LCA impact reduction action plan",H44*0.5/Materials!$G$112*100,IF(N44="Third party verified impact reductions in GWP",H44/Materials!$G$112*100,IF(N44="Third party verified impact reductions with minimum 10% reduction in GWP impact",H44*1.5/Materials!$G$112*100,IF(N44="Third party impact reductions with min. 20% reduction in GWP &amp; 5% in two other cat.",H44*2/Materials!$G$112*100))))*IFERROR(N44&lt;&gt;0,)</f>
        <v>0</v>
      </c>
      <c r="S44" s="442">
        <f t="shared" ref="S44" si="126">IF(O44="Yes",R44*2,R44)</f>
        <v>0</v>
      </c>
    </row>
    <row r="45" spans="1:19" s="173" customFormat="1" x14ac:dyDescent="0.2">
      <c r="A45" s="180">
        <f t="shared" ref="A45" si="127">IF(H45&gt;=0,0,1)</f>
        <v>0</v>
      </c>
      <c r="B45" s="355" t="str">
        <f>IF(ISBLANK(Materials!B45),"",Materials!B45)</f>
        <v>CFMF</v>
      </c>
      <c r="C45" s="355" t="str">
        <f>IF(ISBLANK(Materials!C45),"",Materials!C45)</f>
        <v>054000</v>
      </c>
      <c r="D45" s="355" t="str">
        <f>IF(ISBLANK(Materials!D45),"",Materials!D45)</f>
        <v/>
      </c>
      <c r="E45" s="355" t="str">
        <f>IF(ISBLANK(Materials!E45),"",Materials!E45)</f>
        <v>StiffClip AL &amp; CL, VertiClip SL &amp; SLS</v>
      </c>
      <c r="F45" s="439"/>
      <c r="G45" s="355" t="str">
        <f>IF(ISBLANK(Materials!F45),"",Materials!F45)</f>
        <v>TSN</v>
      </c>
      <c r="H45" s="340">
        <f>IF(ISBLANK(Materials!G45),"",Materials!G45)</f>
        <v>1724.1</v>
      </c>
      <c r="I45" s="267"/>
      <c r="J45" s="272"/>
      <c r="K45" s="273"/>
      <c r="L45" s="290" t="str">
        <f t="shared" ref="L45" si="128">IF(K45="Product-specific Type III Internal EPD",1,(IF(K45="Product Specific Type III External EPD",1.5,(IF(K45="Product-specific LCA",1,(IF(K45="Industry-wide/generic EPD",1,"")))))))</f>
        <v/>
      </c>
      <c r="M45" s="237"/>
      <c r="N45" s="238"/>
      <c r="O45" s="333"/>
      <c r="P45" s="389">
        <f t="shared" ref="P45" si="129">IF(S45&lt;=200,S45,IF(S45&gt;=201,200))*IFERROR(N45&lt;&gt;0,)</f>
        <v>0</v>
      </c>
      <c r="Q45" s="382" t="str">
        <f t="shared" ref="Q45" si="130">IF(N45="LCA impact reduction action plan",0.5*IF(O45="Yes",2,1),IF(O45="Yes",2,(IF(N45="Third party verified impact reductions in GWP",1,IF(O45="Yes",2,(IF(N45="Third party verified impact reductions with minimum 10% reduction in GWP impact",1.5,IF(O45="Yes",2,(IF(N45="Third party impact reductions with min. 20% reduction in GWP &amp; 5% in two other cat.",2,""))))))))))</f>
        <v/>
      </c>
      <c r="R45" s="441">
        <f>IF(N45="LCA impact reduction action plan",H45*0.5/Materials!$G$112*100,IF(N45="Third party verified impact reductions in GWP",H45/Materials!$G$112*100,IF(N45="Third party verified impact reductions with minimum 10% reduction in GWP impact",H45*1.5/Materials!$G$112*100,IF(N45="Third party impact reductions with min. 20% reduction in GWP &amp; 5% in two other cat.",H45*2/Materials!$G$112*100))))*IFERROR(N45&lt;&gt;0,)</f>
        <v>0</v>
      </c>
      <c r="S45" s="442">
        <f t="shared" ref="S45" si="131">IF(O45="Yes",R45*2,R45)</f>
        <v>0</v>
      </c>
    </row>
    <row r="46" spans="1:19" s="173" customFormat="1" ht="24" x14ac:dyDescent="0.2">
      <c r="A46" s="180">
        <f t="shared" ref="A46" si="132">IF(H46&gt;=0,0,1)</f>
        <v>0</v>
      </c>
      <c r="B46" s="355" t="str">
        <f>IF(ISBLANK(Materials!B46),"",Materials!B46)</f>
        <v xml:space="preserve">Architectural Hinges </v>
      </c>
      <c r="C46" s="355" t="str">
        <f>IF(ISBLANK(Materials!C46),"",Materials!C46)</f>
        <v>087100</v>
      </c>
      <c r="D46" s="355" t="str">
        <f>IF(ISBLANK(Materials!D46),"",Materials!D46)</f>
        <v/>
      </c>
      <c r="E46" s="355" t="str">
        <f>IF(ISBLANK(Materials!E46),"",Materials!E46)</f>
        <v>5BB1</v>
      </c>
      <c r="F46" s="439"/>
      <c r="G46" s="355" t="str">
        <f>IF(ISBLANK(Materials!F46),"",Materials!F46)</f>
        <v>Ives-Allegion</v>
      </c>
      <c r="H46" s="340">
        <f>IF(ISBLANK(Materials!G46),"",Materials!G46)</f>
        <v>3300</v>
      </c>
      <c r="I46" s="267"/>
      <c r="J46" s="272" t="s">
        <v>176</v>
      </c>
      <c r="K46" s="273" t="s">
        <v>167</v>
      </c>
      <c r="L46" s="290">
        <f t="shared" ref="L46" si="133">IF(K46="Product-specific Type III Internal EPD",1,(IF(K46="Product Specific Type III External EPD",1.5,(IF(K46="Product-specific LCA",1,(IF(K46="Industry-wide/generic EPD",1,"")))))))</f>
        <v>1.5</v>
      </c>
      <c r="M46" s="237"/>
      <c r="N46" s="238"/>
      <c r="O46" s="333"/>
      <c r="P46" s="389">
        <f t="shared" ref="P46" si="134">IF(S46&lt;=200,S46,IF(S46&gt;=201,200))*IFERROR(N46&lt;&gt;0,)</f>
        <v>0</v>
      </c>
      <c r="Q46" s="382" t="str">
        <f t="shared" ref="Q46" si="135">IF(N46="LCA impact reduction action plan",0.5*IF(O46="Yes",2,1),IF(O46="Yes",2,(IF(N46="Third party verified impact reductions in GWP",1,IF(O46="Yes",2,(IF(N46="Third party verified impact reductions with minimum 10% reduction in GWP impact",1.5,IF(O46="Yes",2,(IF(N46="Third party impact reductions with min. 20% reduction in GWP &amp; 5% in two other cat.",2,""))))))))))</f>
        <v/>
      </c>
      <c r="R46" s="441">
        <f>IF(N46="LCA impact reduction action plan",H46*0.5/Materials!$G$112*100,IF(N46="Third party verified impact reductions in GWP",H46/Materials!$G$112*100,IF(N46="Third party verified impact reductions with minimum 10% reduction in GWP impact",H46*1.5/Materials!$G$112*100,IF(N46="Third party impact reductions with min. 20% reduction in GWP &amp; 5% in two other cat.",H46*2/Materials!$G$112*100))))*IFERROR(N46&lt;&gt;0,)</f>
        <v>0</v>
      </c>
      <c r="S46" s="442">
        <f t="shared" ref="S46" si="136">IF(O46="Yes",R46*2,R46)</f>
        <v>0</v>
      </c>
    </row>
    <row r="47" spans="1:19" s="173" customFormat="1" ht="24" x14ac:dyDescent="0.2">
      <c r="A47" s="180">
        <f t="shared" ref="A47" si="137">IF(H47&gt;=0,0,1)</f>
        <v>0</v>
      </c>
      <c r="B47" s="355" t="str">
        <f>IF(ISBLANK(Materials!B47),"",Materials!B47)</f>
        <v>Mortise Locks</v>
      </c>
      <c r="C47" s="355" t="str">
        <f>IF(ISBLANK(Materials!C47),"",Materials!C47)</f>
        <v>087100</v>
      </c>
      <c r="D47" s="355" t="str">
        <f>IF(ISBLANK(Materials!D47),"",Materials!D47)</f>
        <v/>
      </c>
      <c r="E47" s="355" t="str">
        <f>IF(ISBLANK(Materials!E47),"",Materials!E47)</f>
        <v>8205, 8204, 8217, 8215, 8237, KP9278, KP8278, KP8276</v>
      </c>
      <c r="F47" s="439"/>
      <c r="G47" s="355" t="str">
        <f>IF(ISBLANK(Materials!F47),"",Materials!F47)</f>
        <v>Sargent-ASSA ABLOY</v>
      </c>
      <c r="H47" s="340">
        <f>IF(ISBLANK(Materials!G47),"",Materials!G47)</f>
        <v>55665</v>
      </c>
      <c r="I47" s="267"/>
      <c r="J47" s="272" t="s">
        <v>176</v>
      </c>
      <c r="K47" s="273" t="s">
        <v>167</v>
      </c>
      <c r="L47" s="290">
        <f t="shared" ref="L47" si="138">IF(K47="Product-specific Type III Internal EPD",1,(IF(K47="Product Specific Type III External EPD",1.5,(IF(K47="Product-specific LCA",1,(IF(K47="Industry-wide/generic EPD",1,"")))))))</f>
        <v>1.5</v>
      </c>
      <c r="M47" s="237"/>
      <c r="N47" s="238"/>
      <c r="O47" s="333"/>
      <c r="P47" s="389">
        <f t="shared" ref="P47" si="139">IF(S47&lt;=200,S47,IF(S47&gt;=201,200))*IFERROR(N47&lt;&gt;0,)</f>
        <v>0</v>
      </c>
      <c r="Q47" s="382" t="str">
        <f t="shared" ref="Q47" si="140">IF(N47="LCA impact reduction action plan",0.5*IF(O47="Yes",2,1),IF(O47="Yes",2,(IF(N47="Third party verified impact reductions in GWP",1,IF(O47="Yes",2,(IF(N47="Third party verified impact reductions with minimum 10% reduction in GWP impact",1.5,IF(O47="Yes",2,(IF(N47="Third party impact reductions with min. 20% reduction in GWP &amp; 5% in two other cat.",2,""))))))))))</f>
        <v/>
      </c>
      <c r="R47" s="441">
        <f>IF(N47="LCA impact reduction action plan",H47*0.5/Materials!$G$112*100,IF(N47="Third party verified impact reductions in GWP",H47/Materials!$G$112*100,IF(N47="Third party verified impact reductions with minimum 10% reduction in GWP impact",H47*1.5/Materials!$G$112*100,IF(N47="Third party impact reductions with min. 20% reduction in GWP &amp; 5% in two other cat.",H47*2/Materials!$G$112*100))))*IFERROR(N47&lt;&gt;0,)</f>
        <v>0</v>
      </c>
      <c r="S47" s="442">
        <f t="shared" ref="S47" si="141">IF(O47="Yes",R47*2,R47)</f>
        <v>0</v>
      </c>
    </row>
    <row r="48" spans="1:19" s="173" customFormat="1" x14ac:dyDescent="0.2">
      <c r="A48" s="180">
        <f t="shared" ref="A48" si="142">IF(H48&gt;=0,0,1)</f>
        <v>0</v>
      </c>
      <c r="B48" s="355" t="str">
        <f>IF(ISBLANK(Materials!B48),"",Materials!B48)</f>
        <v>Door Closer</v>
      </c>
      <c r="C48" s="355" t="str">
        <f>IF(ISBLANK(Materials!C48),"",Materials!C48)</f>
        <v>087100</v>
      </c>
      <c r="D48" s="355" t="str">
        <f>IF(ISBLANK(Materials!D48),"",Materials!D48)</f>
        <v/>
      </c>
      <c r="E48" s="355" t="str">
        <f>IF(ISBLANK(Materials!E48),"",Materials!E48)</f>
        <v>4040XP, 4642 lcn-allegion (cost included here for 904S, 105S, 104S)</v>
      </c>
      <c r="F48" s="439"/>
      <c r="G48" s="355" t="str">
        <f>IF(ISBLANK(Materials!F48),"",Materials!F48)</f>
        <v>LCN-Allegion</v>
      </c>
      <c r="H48" s="340">
        <f>IF(ISBLANK(Materials!G48),"",Materials!G48)</f>
        <v>13435</v>
      </c>
      <c r="I48" s="267"/>
      <c r="J48" s="272" t="s">
        <v>176</v>
      </c>
      <c r="K48" s="273" t="s">
        <v>265</v>
      </c>
      <c r="L48" s="290">
        <f t="shared" ref="L48" si="143">IF(K48="Product-specific Type III Internal EPD",1,(IF(K48="Product Specific Type III External EPD",1.5,(IF(K48="Product-specific LCA",1,(IF(K48="Industry-wide/generic EPD",1,"")))))))</f>
        <v>1</v>
      </c>
      <c r="M48" s="237"/>
      <c r="N48" s="238"/>
      <c r="O48" s="333"/>
      <c r="P48" s="389">
        <f t="shared" ref="P48" si="144">IF(S48&lt;=200,S48,IF(S48&gt;=201,200))*IFERROR(N48&lt;&gt;0,)</f>
        <v>0</v>
      </c>
      <c r="Q48" s="382" t="str">
        <f t="shared" ref="Q48" si="145">IF(N48="LCA impact reduction action plan",0.5*IF(O48="Yes",2,1),IF(O48="Yes",2,(IF(N48="Third party verified impact reductions in GWP",1,IF(O48="Yes",2,(IF(N48="Third party verified impact reductions with minimum 10% reduction in GWP impact",1.5,IF(O48="Yes",2,(IF(N48="Third party impact reductions with min. 20% reduction in GWP &amp; 5% in two other cat.",2,""))))))))))</f>
        <v/>
      </c>
      <c r="R48" s="441">
        <f>IF(N48="LCA impact reduction action plan",H48*0.5/Materials!$G$112*100,IF(N48="Third party verified impact reductions in GWP",H48/Materials!$G$112*100,IF(N48="Third party verified impact reductions with minimum 10% reduction in GWP impact",H48*1.5/Materials!$G$112*100,IF(N48="Third party impact reductions with min. 20% reduction in GWP &amp; 5% in two other cat.",H48*2/Materials!$G$112*100))))*IFERROR(N48&lt;&gt;0,)</f>
        <v>0</v>
      </c>
      <c r="S48" s="442">
        <f t="shared" ref="S48" si="146">IF(O48="Yes",R48*2,R48)</f>
        <v>0</v>
      </c>
    </row>
    <row r="49" spans="1:19" s="173" customFormat="1" x14ac:dyDescent="0.2">
      <c r="A49" s="180">
        <f t="shared" ref="A49" si="147">IF(H49&gt;=0,0,1)</f>
        <v>0</v>
      </c>
      <c r="B49" s="355" t="str">
        <f>IF(ISBLANK(Materials!B49),"",Materials!B49)</f>
        <v>Kick Plates, Door Pull</v>
      </c>
      <c r="C49" s="355" t="str">
        <f>IF(ISBLANK(Materials!C49),"",Materials!C49)</f>
        <v>087100</v>
      </c>
      <c r="D49" s="355" t="str">
        <f>IF(ISBLANK(Materials!D49),"",Materials!D49)</f>
        <v/>
      </c>
      <c r="E49" s="355" t="str">
        <f>IF(ISBLANK(Materials!E49),"",Materials!E49)</f>
        <v>8400, 8190HD-0</v>
      </c>
      <c r="F49" s="439"/>
      <c r="G49" s="355" t="str">
        <f>IF(ISBLANK(Materials!F49),"",Materials!F49)</f>
        <v>Ives-Allegion</v>
      </c>
      <c r="H49" s="340">
        <f>IF(ISBLANK(Materials!G49),"",Materials!G49)</f>
        <v>1600</v>
      </c>
      <c r="I49" s="267"/>
      <c r="J49" s="272" t="s">
        <v>176</v>
      </c>
      <c r="K49" s="273" t="s">
        <v>265</v>
      </c>
      <c r="L49" s="290">
        <f t="shared" ref="L49" si="148">IF(K49="Product-specific Type III Internal EPD",1,(IF(K49="Product Specific Type III External EPD",1.5,(IF(K49="Product-specific LCA",1,(IF(K49="Industry-wide/generic EPD",1,"")))))))</f>
        <v>1</v>
      </c>
      <c r="M49" s="237"/>
      <c r="N49" s="238"/>
      <c r="O49" s="333"/>
      <c r="P49" s="389">
        <f t="shared" ref="P49" si="149">IF(S49&lt;=200,S49,IF(S49&gt;=201,200))*IFERROR(N49&lt;&gt;0,)</f>
        <v>0</v>
      </c>
      <c r="Q49" s="382" t="str">
        <f t="shared" ref="Q49" si="150">IF(N49="LCA impact reduction action plan",0.5*IF(O49="Yes",2,1),IF(O49="Yes",2,(IF(N49="Third party verified impact reductions in GWP",1,IF(O49="Yes",2,(IF(N49="Third party verified impact reductions with minimum 10% reduction in GWP impact",1.5,IF(O49="Yes",2,(IF(N49="Third party impact reductions with min. 20% reduction in GWP &amp; 5% in two other cat.",2,""))))))))))</f>
        <v/>
      </c>
      <c r="R49" s="441">
        <f>IF(N49="LCA impact reduction action plan",H49*0.5/Materials!$G$112*100,IF(N49="Third party verified impact reductions in GWP",H49/Materials!$G$112*100,IF(N49="Third party verified impact reductions with minimum 10% reduction in GWP impact",H49*1.5/Materials!$G$112*100,IF(N49="Third party impact reductions with min. 20% reduction in GWP &amp; 5% in two other cat.",H49*2/Materials!$G$112*100))))*IFERROR(N49&lt;&gt;0,)</f>
        <v>0</v>
      </c>
      <c r="S49" s="442">
        <f t="shared" ref="S49" si="151">IF(O49="Yes",R49*2,R49)</f>
        <v>0</v>
      </c>
    </row>
    <row r="50" spans="1:19" s="173" customFormat="1" x14ac:dyDescent="0.2">
      <c r="A50" s="180">
        <f t="shared" ref="A50" si="152">IF(H50&gt;=0,0,1)</f>
        <v>0</v>
      </c>
      <c r="B50" s="355" t="str">
        <f>IF(ISBLANK(Materials!B50),"",Materials!B50)</f>
        <v>Wall Stops</v>
      </c>
      <c r="C50" s="355" t="str">
        <f>IF(ISBLANK(Materials!C50),"",Materials!C50)</f>
        <v>087100</v>
      </c>
      <c r="D50" s="355" t="str">
        <f>IF(ISBLANK(Materials!D50),"",Materials!D50)</f>
        <v/>
      </c>
      <c r="E50" s="355" t="str">
        <f>IF(ISBLANK(Materials!E50),"",Materials!E50)</f>
        <v>WS406/407CCV</v>
      </c>
      <c r="F50" s="439"/>
      <c r="G50" s="355" t="str">
        <f>IF(ISBLANK(Materials!F50),"",Materials!F50)</f>
        <v>Ives-Allegion</v>
      </c>
      <c r="H50" s="340">
        <f>IF(ISBLANK(Materials!G50),"",Materials!G50)</f>
        <v>250</v>
      </c>
      <c r="I50" s="267"/>
      <c r="J50" s="272"/>
      <c r="K50" s="273"/>
      <c r="L50" s="290" t="str">
        <f t="shared" ref="L50" si="153">IF(K50="Product-specific Type III Internal EPD",1,(IF(K50="Product Specific Type III External EPD",1.5,(IF(K50="Product-specific LCA",1,(IF(K50="Industry-wide/generic EPD",1,"")))))))</f>
        <v/>
      </c>
      <c r="M50" s="237"/>
      <c r="N50" s="238"/>
      <c r="O50" s="333"/>
      <c r="P50" s="389">
        <f t="shared" ref="P50" si="154">IF(S50&lt;=200,S50,IF(S50&gt;=201,200))*IFERROR(N50&lt;&gt;0,)</f>
        <v>0</v>
      </c>
      <c r="Q50" s="382" t="str">
        <f t="shared" ref="Q50" si="155">IF(N50="LCA impact reduction action plan",0.5*IF(O50="Yes",2,1),IF(O50="Yes",2,(IF(N50="Third party verified impact reductions in GWP",1,IF(O50="Yes",2,(IF(N50="Third party verified impact reductions with minimum 10% reduction in GWP impact",1.5,IF(O50="Yes",2,(IF(N50="Third party impact reductions with min. 20% reduction in GWP &amp; 5% in two other cat.",2,""))))))))))</f>
        <v/>
      </c>
      <c r="R50" s="441">
        <f>IF(N50="LCA impact reduction action plan",H50*0.5/Materials!$G$112*100,IF(N50="Third party verified impact reductions in GWP",H50/Materials!$G$112*100,IF(N50="Third party verified impact reductions with minimum 10% reduction in GWP impact",H50*1.5/Materials!$G$112*100,IF(N50="Third party impact reductions with min. 20% reduction in GWP &amp; 5% in two other cat.",H50*2/Materials!$G$112*100))))*IFERROR(N50&lt;&gt;0,)</f>
        <v>0</v>
      </c>
      <c r="S50" s="442">
        <f t="shared" ref="S50" si="156">IF(O50="Yes",R50*2,R50)</f>
        <v>0</v>
      </c>
    </row>
    <row r="51" spans="1:19" s="173" customFormat="1" x14ac:dyDescent="0.2">
      <c r="A51" s="180">
        <f t="shared" ref="A51" si="157">IF(H51&gt;=0,0,1)</f>
        <v>0</v>
      </c>
      <c r="B51" s="355" t="str">
        <f>IF(ISBLANK(Materials!B51),"",Materials!B51)</f>
        <v>Silicone Weatherstripping Door Seal</v>
      </c>
      <c r="C51" s="355" t="str">
        <f>IF(ISBLANK(Materials!C51),"",Materials!C51)</f>
        <v>087100</v>
      </c>
      <c r="D51" s="355" t="str">
        <f>IF(ISBLANK(Materials!D51),"",Materials!D51)</f>
        <v/>
      </c>
      <c r="E51" s="355" t="str">
        <f>IF(ISBLANK(Materials!E51),"",Materials!E51)</f>
        <v>188SBK (cost included here for 369AA, 119WB, 870AA, 322A, 328AA, 655A, 39A)</v>
      </c>
      <c r="F51" s="439"/>
      <c r="G51" s="355" t="str">
        <f>IF(ISBLANK(Materials!F51),"",Materials!F51)</f>
        <v>Zero-Allegion</v>
      </c>
      <c r="H51" s="340">
        <f>IF(ISBLANK(Materials!G51),"",Materials!G51)</f>
        <v>1900</v>
      </c>
      <c r="I51" s="267"/>
      <c r="J51" s="272"/>
      <c r="K51" s="273"/>
      <c r="L51" s="290" t="str">
        <f t="shared" ref="L51" si="158">IF(K51="Product-specific Type III Internal EPD",1,(IF(K51="Product Specific Type III External EPD",1.5,(IF(K51="Product-specific LCA",1,(IF(K51="Industry-wide/generic EPD",1,"")))))))</f>
        <v/>
      </c>
      <c r="M51" s="237"/>
      <c r="N51" s="238"/>
      <c r="O51" s="333"/>
      <c r="P51" s="389">
        <f t="shared" ref="P51" si="159">IF(S51&lt;=200,S51,IF(S51&gt;=201,200))*IFERROR(N51&lt;&gt;0,)</f>
        <v>0</v>
      </c>
      <c r="Q51" s="382" t="str">
        <f t="shared" ref="Q51" si="160">IF(N51="LCA impact reduction action plan",0.5*IF(O51="Yes",2,1),IF(O51="Yes",2,(IF(N51="Third party verified impact reductions in GWP",1,IF(O51="Yes",2,(IF(N51="Third party verified impact reductions with minimum 10% reduction in GWP impact",1.5,IF(O51="Yes",2,(IF(N51="Third party impact reductions with min. 20% reduction in GWP &amp; 5% in two other cat.",2,""))))))))))</f>
        <v/>
      </c>
      <c r="R51" s="441">
        <f>IF(N51="LCA impact reduction action plan",H51*0.5/Materials!$G$112*100,IF(N51="Third party verified impact reductions in GWP",H51/Materials!$G$112*100,IF(N51="Third party verified impact reductions with minimum 10% reduction in GWP impact",H51*1.5/Materials!$G$112*100,IF(N51="Third party impact reductions with min. 20% reduction in GWP &amp; 5% in two other cat.",H51*2/Materials!$G$112*100))))*IFERROR(N51&lt;&gt;0,)</f>
        <v>0</v>
      </c>
      <c r="S51" s="442">
        <f t="shared" ref="S51" si="161">IF(O51="Yes",R51*2,R51)</f>
        <v>0</v>
      </c>
    </row>
    <row r="52" spans="1:19" s="173" customFormat="1" x14ac:dyDescent="0.2">
      <c r="A52" s="180">
        <f t="shared" ref="A52" si="162">IF(H52&gt;=0,0,1)</f>
        <v>0</v>
      </c>
      <c r="B52" s="355" t="str">
        <f>IF(ISBLANK(Materials!B52),"",Materials!B52)</f>
        <v>Auto Door Bottom, Bronze &amp; Aluminum Weatherstrip</v>
      </c>
      <c r="C52" s="355" t="str">
        <f>IF(ISBLANK(Materials!C52),"",Materials!C52)</f>
        <v>087100</v>
      </c>
      <c r="D52" s="355" t="str">
        <f>IF(ISBLANK(Materials!D52),"",Materials!D52)</f>
        <v/>
      </c>
      <c r="E52" s="355" t="str">
        <f>IF(ISBLANK(Materials!E52),"",Materials!E52)</f>
        <v>369AA, 119WB, 870AA, 322A, 328AA</v>
      </c>
      <c r="F52" s="439"/>
      <c r="G52" s="355" t="str">
        <f>IF(ISBLANK(Materials!F52),"",Materials!F52)</f>
        <v>Zero-Allegion</v>
      </c>
      <c r="H52" s="340" t="str">
        <f>IF(ISBLANK(Materials!G52),"",Materials!G52)</f>
        <v/>
      </c>
      <c r="I52" s="267"/>
      <c r="J52" s="272"/>
      <c r="K52" s="273"/>
      <c r="L52" s="290" t="str">
        <f t="shared" ref="L52" si="163">IF(K52="Product-specific Type III Internal EPD",1,(IF(K52="Product Specific Type III External EPD",1.5,(IF(K52="Product-specific LCA",1,(IF(K52="Industry-wide/generic EPD",1,"")))))))</f>
        <v/>
      </c>
      <c r="M52" s="237"/>
      <c r="N52" s="238"/>
      <c r="O52" s="333"/>
      <c r="P52" s="389">
        <f t="shared" ref="P52" si="164">IF(S52&lt;=200,S52,IF(S52&gt;=201,200))*IFERROR(N52&lt;&gt;0,)</f>
        <v>0</v>
      </c>
      <c r="Q52" s="382" t="str">
        <f t="shared" ref="Q52" si="165">IF(N52="LCA impact reduction action plan",0.5*IF(O52="Yes",2,1),IF(O52="Yes",2,(IF(N52="Third party verified impact reductions in GWP",1,IF(O52="Yes",2,(IF(N52="Third party verified impact reductions with minimum 10% reduction in GWP impact",1.5,IF(O52="Yes",2,(IF(N52="Third party impact reductions with min. 20% reduction in GWP &amp; 5% in two other cat.",2,""))))))))))</f>
        <v/>
      </c>
      <c r="R52" s="441">
        <f>IF(N52="LCA impact reduction action plan",H52*0.5/Materials!$G$112*100,IF(N52="Third party verified impact reductions in GWP",H52/Materials!$G$112*100,IF(N52="Third party verified impact reductions with minimum 10% reduction in GWP impact",H52*1.5/Materials!$G$112*100,IF(N52="Third party impact reductions with min. 20% reduction in GWP &amp; 5% in two other cat.",H52*2/Materials!$G$112*100))))*IFERROR(N52&lt;&gt;0,)</f>
        <v>0</v>
      </c>
      <c r="S52" s="442">
        <f t="shared" ref="S52" si="166">IF(O52="Yes",R52*2,R52)</f>
        <v>0</v>
      </c>
    </row>
    <row r="53" spans="1:19" s="173" customFormat="1" x14ac:dyDescent="0.2">
      <c r="A53" s="180">
        <f t="shared" ref="A53" si="167">IF(H53&gt;=0,0,1)</f>
        <v>0</v>
      </c>
      <c r="B53" s="355" t="str">
        <f>IF(ISBLANK(Materials!B53),"",Materials!B53)</f>
        <v>Aluminum Threshold, Door Sweeps</v>
      </c>
      <c r="C53" s="355" t="str">
        <f>IF(ISBLANK(Materials!C53),"",Materials!C53)</f>
        <v>087100</v>
      </c>
      <c r="D53" s="355" t="str">
        <f>IF(ISBLANK(Materials!D53),"",Materials!D53)</f>
        <v/>
      </c>
      <c r="E53" s="355" t="str">
        <f>IF(ISBLANK(Materials!E53),"",Materials!E53)</f>
        <v>655A, 39A</v>
      </c>
      <c r="F53" s="439"/>
      <c r="G53" s="355" t="str">
        <f>IF(ISBLANK(Materials!F53),"",Materials!F53)</f>
        <v>Zero-Allegion</v>
      </c>
      <c r="H53" s="340" t="str">
        <f>IF(ISBLANK(Materials!G53),"",Materials!G53)</f>
        <v/>
      </c>
      <c r="I53" s="267"/>
      <c r="J53" s="272"/>
      <c r="K53" s="273"/>
      <c r="L53" s="290" t="str">
        <f t="shared" ref="L53" si="168">IF(K53="Product-specific Type III Internal EPD",1,(IF(K53="Product Specific Type III External EPD",1.5,(IF(K53="Product-specific LCA",1,(IF(K53="Industry-wide/generic EPD",1,"")))))))</f>
        <v/>
      </c>
      <c r="M53" s="237"/>
      <c r="N53" s="238"/>
      <c r="O53" s="333"/>
      <c r="P53" s="389">
        <f t="shared" ref="P53" si="169">IF(S53&lt;=200,S53,IF(S53&gt;=201,200))*IFERROR(N53&lt;&gt;0,)</f>
        <v>0</v>
      </c>
      <c r="Q53" s="382" t="str">
        <f t="shared" ref="Q53" si="170">IF(N53="LCA impact reduction action plan",0.5*IF(O53="Yes",2,1),IF(O53="Yes",2,(IF(N53="Third party verified impact reductions in GWP",1,IF(O53="Yes",2,(IF(N53="Third party verified impact reductions with minimum 10% reduction in GWP impact",1.5,IF(O53="Yes",2,(IF(N53="Third party impact reductions with min. 20% reduction in GWP &amp; 5% in two other cat.",2,""))))))))))</f>
        <v/>
      </c>
      <c r="R53" s="441">
        <f>IF(N53="LCA impact reduction action plan",H53*0.5/Materials!$G$112*100,IF(N53="Third party verified impact reductions in GWP",H53/Materials!$G$112*100,IF(N53="Third party verified impact reductions with minimum 10% reduction in GWP impact",H53*1.5/Materials!$G$112*100,IF(N53="Third party impact reductions with min. 20% reduction in GWP &amp; 5% in two other cat.",H53*2/Materials!$G$112*100))))*IFERROR(N53&lt;&gt;0,)</f>
        <v>0</v>
      </c>
      <c r="S53" s="442">
        <f t="shared" ref="S53" si="171">IF(O53="Yes",R53*2,R53)</f>
        <v>0</v>
      </c>
    </row>
    <row r="54" spans="1:19" s="173" customFormat="1" x14ac:dyDescent="0.2">
      <c r="A54" s="180">
        <f t="shared" ref="A54" si="172">IF(H54&gt;=0,0,1)</f>
        <v>0</v>
      </c>
      <c r="B54" s="355" t="str">
        <f>IF(ISBLANK(Materials!B54),"",Materials!B54)</f>
        <v>Steel Overhead Door Stop</v>
      </c>
      <c r="C54" s="355" t="str">
        <f>IF(ISBLANK(Materials!C54),"",Materials!C54)</f>
        <v>087100</v>
      </c>
      <c r="D54" s="355" t="str">
        <f>IF(ISBLANK(Materials!D54),"",Materials!D54)</f>
        <v/>
      </c>
      <c r="E54" s="355" t="str">
        <f>IF(ISBLANK(Materials!E54),"",Materials!E54)</f>
        <v>904S</v>
      </c>
      <c r="F54" s="439"/>
      <c r="G54" s="355" t="str">
        <f>IF(ISBLANK(Materials!F54),"",Materials!F54)</f>
        <v>Glynn Johnson-Allegion</v>
      </c>
      <c r="H54" s="340" t="str">
        <f>IF(ISBLANK(Materials!G54),"",Materials!G54)</f>
        <v/>
      </c>
      <c r="I54" s="267"/>
      <c r="J54" s="272"/>
      <c r="K54" s="273"/>
      <c r="L54" s="290" t="str">
        <f t="shared" ref="L54" si="173">IF(K54="Product-specific Type III Internal EPD",1,(IF(K54="Product Specific Type III External EPD",1.5,(IF(K54="Product-specific LCA",1,(IF(K54="Industry-wide/generic EPD",1,"")))))))</f>
        <v/>
      </c>
      <c r="M54" s="237"/>
      <c r="N54" s="238"/>
      <c r="O54" s="333"/>
      <c r="P54" s="389">
        <f t="shared" ref="P54" si="174">IF(S54&lt;=200,S54,IF(S54&gt;=201,200))*IFERROR(N54&lt;&gt;0,)</f>
        <v>0</v>
      </c>
      <c r="Q54" s="382" t="str">
        <f t="shared" ref="Q54" si="175">IF(N54="LCA impact reduction action plan",0.5*IF(O54="Yes",2,1),IF(O54="Yes",2,(IF(N54="Third party verified impact reductions in GWP",1,IF(O54="Yes",2,(IF(N54="Third party verified impact reductions with minimum 10% reduction in GWP impact",1.5,IF(O54="Yes",2,(IF(N54="Third party impact reductions with min. 20% reduction in GWP &amp; 5% in two other cat.",2,""))))))))))</f>
        <v/>
      </c>
      <c r="R54" s="441">
        <f>IF(N54="LCA impact reduction action plan",H54*0.5/Materials!$G$112*100,IF(N54="Third party verified impact reductions in GWP",H54/Materials!$G$112*100,IF(N54="Third party verified impact reductions with minimum 10% reduction in GWP impact",H54*1.5/Materials!$G$112*100,IF(N54="Third party impact reductions with min. 20% reduction in GWP &amp; 5% in two other cat.",H54*2/Materials!$G$112*100))))*IFERROR(N54&lt;&gt;0,)</f>
        <v>0</v>
      </c>
      <c r="S54" s="442">
        <f t="shared" ref="S54" si="176">IF(O54="Yes",R54*2,R54)</f>
        <v>0</v>
      </c>
    </row>
    <row r="55" spans="1:19" s="173" customFormat="1" ht="24" x14ac:dyDescent="0.2">
      <c r="A55" s="180">
        <f t="shared" ref="A55" si="177">IF(H55&gt;=0,0,1)</f>
        <v>0</v>
      </c>
      <c r="B55" s="355" t="str">
        <f>IF(ISBLANK(Materials!B55),"",Materials!B55)</f>
        <v>Steel Overhead Door Stop</v>
      </c>
      <c r="C55" s="355" t="str">
        <f>IF(ISBLANK(Materials!C55),"",Materials!C55)</f>
        <v>087100</v>
      </c>
      <c r="D55" s="355" t="str">
        <f>IF(ISBLANK(Materials!D55),"",Materials!D55)</f>
        <v/>
      </c>
      <c r="E55" s="355" t="str">
        <f>IF(ISBLANK(Materials!E55),"",Materials!E55)</f>
        <v>105S, 104S</v>
      </c>
      <c r="F55" s="439"/>
      <c r="G55" s="355" t="str">
        <f>IF(ISBLANK(Materials!F55),"",Materials!F55)</f>
        <v>Glynn Johnson-Allegion</v>
      </c>
      <c r="H55" s="340" t="str">
        <f>IF(ISBLANK(Materials!G55),"",Materials!G55)</f>
        <v/>
      </c>
      <c r="I55" s="267"/>
      <c r="J55" s="272" t="s">
        <v>176</v>
      </c>
      <c r="K55" s="273" t="s">
        <v>167</v>
      </c>
      <c r="L55" s="290">
        <f t="shared" ref="L55" si="178">IF(K55="Product-specific Type III Internal EPD",1,(IF(K55="Product Specific Type III External EPD",1.5,(IF(K55="Product-specific LCA",1,(IF(K55="Industry-wide/generic EPD",1,"")))))))</f>
        <v>1.5</v>
      </c>
      <c r="M55" s="237"/>
      <c r="N55" s="238"/>
      <c r="O55" s="333"/>
      <c r="P55" s="389">
        <f t="shared" ref="P55" si="179">IF(S55&lt;=200,S55,IF(S55&gt;=201,200))*IFERROR(N55&lt;&gt;0,)</f>
        <v>0</v>
      </c>
      <c r="Q55" s="382" t="str">
        <f t="shared" ref="Q55" si="180">IF(N55="LCA impact reduction action plan",0.5*IF(O55="Yes",2,1),IF(O55="Yes",2,(IF(N55="Third party verified impact reductions in GWP",1,IF(O55="Yes",2,(IF(N55="Third party verified impact reductions with minimum 10% reduction in GWP impact",1.5,IF(O55="Yes",2,(IF(N55="Third party impact reductions with min. 20% reduction in GWP &amp; 5% in two other cat.",2,""))))))))))</f>
        <v/>
      </c>
      <c r="R55" s="441">
        <f>IF(N55="LCA impact reduction action plan",H55*0.5/Materials!$G$112*100,IF(N55="Third party verified impact reductions in GWP",H55/Materials!$G$112*100,IF(N55="Third party verified impact reductions with minimum 10% reduction in GWP impact",H55*1.5/Materials!$G$112*100,IF(N55="Third party impact reductions with min. 20% reduction in GWP &amp; 5% in two other cat.",H55*2/Materials!$G$112*100))))*IFERROR(N55&lt;&gt;0,)</f>
        <v>0</v>
      </c>
      <c r="S55" s="442">
        <f t="shared" ref="S55" si="181">IF(O55="Yes",R55*2,R55)</f>
        <v>0</v>
      </c>
    </row>
    <row r="56" spans="1:19" s="173" customFormat="1" x14ac:dyDescent="0.2">
      <c r="A56" s="180">
        <f t="shared" ref="A56" si="182">IF(H56&gt;=0,0,1)</f>
        <v>0</v>
      </c>
      <c r="B56" s="355" t="str">
        <f>IF(ISBLANK(Materials!B56),"",Materials!B56)</f>
        <v>Brass Overhead Door Stop</v>
      </c>
      <c r="C56" s="355" t="str">
        <f>IF(ISBLANK(Materials!C56),"",Materials!C56)</f>
        <v>087100</v>
      </c>
      <c r="D56" s="355" t="str">
        <f>IF(ISBLANK(Materials!D56),"",Materials!D56)</f>
        <v/>
      </c>
      <c r="E56" s="355" t="str">
        <f>IF(ISBLANK(Materials!E56),"",Materials!E56)</f>
        <v>794S</v>
      </c>
      <c r="F56" s="439"/>
      <c r="G56" s="355" t="str">
        <f>IF(ISBLANK(Materials!F56),"",Materials!F56)</f>
        <v>Glynn Johnson-Allegion</v>
      </c>
      <c r="H56" s="340">
        <f>IF(ISBLANK(Materials!G56),"",Materials!G56)</f>
        <v>300</v>
      </c>
      <c r="I56" s="267"/>
      <c r="J56" s="272"/>
      <c r="K56" s="273"/>
      <c r="L56" s="290" t="str">
        <f t="shared" ref="L56" si="183">IF(K56="Product-specific Type III Internal EPD",1,(IF(K56="Product Specific Type III External EPD",1.5,(IF(K56="Product-specific LCA",1,(IF(K56="Industry-wide/generic EPD",1,"")))))))</f>
        <v/>
      </c>
      <c r="M56" s="237"/>
      <c r="N56" s="238"/>
      <c r="O56" s="333"/>
      <c r="P56" s="389">
        <f t="shared" ref="P56" si="184">IF(S56&lt;=200,S56,IF(S56&gt;=201,200))*IFERROR(N56&lt;&gt;0,)</f>
        <v>0</v>
      </c>
      <c r="Q56" s="382" t="str">
        <f t="shared" ref="Q56" si="185">IF(N56="LCA impact reduction action plan",0.5*IF(O56="Yes",2,1),IF(O56="Yes",2,(IF(N56="Third party verified impact reductions in GWP",1,IF(O56="Yes",2,(IF(N56="Third party verified impact reductions with minimum 10% reduction in GWP impact",1.5,IF(O56="Yes",2,(IF(N56="Third party impact reductions with min. 20% reduction in GWP &amp; 5% in two other cat.",2,""))))))))))</f>
        <v/>
      </c>
      <c r="R56" s="441">
        <f>IF(N56="LCA impact reduction action plan",H56*0.5/Materials!$G$112*100,IF(N56="Third party verified impact reductions in GWP",H56/Materials!$G$112*100,IF(N56="Third party verified impact reductions with minimum 10% reduction in GWP impact",H56*1.5/Materials!$G$112*100,IF(N56="Third party impact reductions with min. 20% reduction in GWP &amp; 5% in two other cat.",H56*2/Materials!$G$112*100))))*IFERROR(N56&lt;&gt;0,)</f>
        <v>0</v>
      </c>
      <c r="S56" s="442">
        <f t="shared" ref="S56" si="186">IF(O56="Yes",R56*2,R56)</f>
        <v>0</v>
      </c>
    </row>
    <row r="57" spans="1:19" s="173" customFormat="1" x14ac:dyDescent="0.2">
      <c r="A57" s="180">
        <f t="shared" ref="A57" si="187">IF(H57&gt;=0,0,1)</f>
        <v>0</v>
      </c>
      <c r="B57" s="355" t="str">
        <f>IF(ISBLANK(Materials!B57),"",Materials!B57)</f>
        <v>Exit Devices, Fire Exit Devices</v>
      </c>
      <c r="C57" s="355" t="str">
        <f>IF(ISBLANK(Materials!C57),"",Materials!C57)</f>
        <v>087100</v>
      </c>
      <c r="D57" s="355" t="str">
        <f>IF(ISBLANK(Materials!D57),"",Materials!D57)</f>
        <v/>
      </c>
      <c r="E57" s="355" t="str">
        <f>IF(ISBLANK(Materials!E57),"",Materials!E57)</f>
        <v>98L, 98NL, 98NL-F, 9849EO</v>
      </c>
      <c r="F57" s="439"/>
      <c r="G57" s="355" t="str">
        <f>IF(ISBLANK(Materials!F57),"",Materials!F57)</f>
        <v>Von Duprin-Allegion</v>
      </c>
      <c r="H57" s="340">
        <f>IF(ISBLANK(Materials!G57),"",Materials!G57)</f>
        <v>7500</v>
      </c>
      <c r="I57" s="267"/>
      <c r="J57" s="272" t="s">
        <v>176</v>
      </c>
      <c r="K57" s="273" t="s">
        <v>265</v>
      </c>
      <c r="L57" s="290">
        <f t="shared" ref="L57" si="188">IF(K57="Product-specific Type III Internal EPD",1,(IF(K57="Product Specific Type III External EPD",1.5,(IF(K57="Product-specific LCA",1,(IF(K57="Industry-wide/generic EPD",1,"")))))))</f>
        <v>1</v>
      </c>
      <c r="M57" s="237"/>
      <c r="N57" s="238"/>
      <c r="O57" s="333"/>
      <c r="P57" s="389">
        <f t="shared" ref="P57" si="189">IF(S57&lt;=200,S57,IF(S57&gt;=201,200))*IFERROR(N57&lt;&gt;0,)</f>
        <v>0</v>
      </c>
      <c r="Q57" s="382" t="str">
        <f t="shared" ref="Q57" si="190">IF(N57="LCA impact reduction action plan",0.5*IF(O57="Yes",2,1),IF(O57="Yes",2,(IF(N57="Third party verified impact reductions in GWP",1,IF(O57="Yes",2,(IF(N57="Third party verified impact reductions with minimum 10% reduction in GWP impact",1.5,IF(O57="Yes",2,(IF(N57="Third party impact reductions with min. 20% reduction in GWP &amp; 5% in two other cat.",2,""))))))))))</f>
        <v/>
      </c>
      <c r="R57" s="441">
        <f>IF(N57="LCA impact reduction action plan",H57*0.5/Materials!$G$112*100,IF(N57="Third party verified impact reductions in GWP",H57/Materials!$G$112*100,IF(N57="Third party verified impact reductions with minimum 10% reduction in GWP impact",H57*1.5/Materials!$G$112*100,IF(N57="Third party impact reductions with min. 20% reduction in GWP &amp; 5% in two other cat.",H57*2/Materials!$G$112*100))))*IFERROR(N57&lt;&gt;0,)</f>
        <v>0</v>
      </c>
      <c r="S57" s="442">
        <f t="shared" ref="S57" si="191">IF(O57="Yes",R57*2,R57)</f>
        <v>0</v>
      </c>
    </row>
    <row r="58" spans="1:19" s="173" customFormat="1" x14ac:dyDescent="0.2">
      <c r="A58" s="180">
        <f t="shared" ref="A58" si="192">IF(H58&gt;=0,0,1)</f>
        <v>0</v>
      </c>
      <c r="B58" s="355" t="str">
        <f>IF(ISBLANK(Materials!B58),"",Materials!B58)</f>
        <v>Magnetic Holder</v>
      </c>
      <c r="C58" s="355" t="str">
        <f>IF(ISBLANK(Materials!C58),"",Materials!C58)</f>
        <v>087100</v>
      </c>
      <c r="D58" s="355" t="str">
        <f>IF(ISBLANK(Materials!D58),"",Materials!D58)</f>
        <v/>
      </c>
      <c r="E58" s="355" t="str">
        <f>IF(ISBLANK(Materials!E58),"",Materials!E58)</f>
        <v>SEM 7850</v>
      </c>
      <c r="F58" s="439"/>
      <c r="G58" s="355" t="str">
        <f>IF(ISBLANK(Materials!F58),"",Materials!F58)</f>
        <v>LCN-Allegion</v>
      </c>
      <c r="H58" s="340">
        <f>IF(ISBLANK(Materials!G58),"",Materials!G58)</f>
        <v>1500</v>
      </c>
      <c r="I58" s="267"/>
      <c r="J58" s="272"/>
      <c r="K58" s="273"/>
      <c r="L58" s="290" t="str">
        <f t="shared" ref="L58" si="193">IF(K58="Product-specific Type III Internal EPD",1,(IF(K58="Product Specific Type III External EPD",1.5,(IF(K58="Product-specific LCA",1,(IF(K58="Industry-wide/generic EPD",1,"")))))))</f>
        <v/>
      </c>
      <c r="M58" s="237"/>
      <c r="N58" s="238"/>
      <c r="O58" s="333"/>
      <c r="P58" s="389">
        <f t="shared" ref="P58" si="194">IF(S58&lt;=200,S58,IF(S58&gt;=201,200))*IFERROR(N58&lt;&gt;0,)</f>
        <v>0</v>
      </c>
      <c r="Q58" s="382" t="str">
        <f t="shared" ref="Q58" si="195">IF(N58="LCA impact reduction action plan",0.5*IF(O58="Yes",2,1),IF(O58="Yes",2,(IF(N58="Third party verified impact reductions in GWP",1,IF(O58="Yes",2,(IF(N58="Third party verified impact reductions with minimum 10% reduction in GWP impact",1.5,IF(O58="Yes",2,(IF(N58="Third party impact reductions with min. 20% reduction in GWP &amp; 5% in two other cat.",2,""))))))))))</f>
        <v/>
      </c>
      <c r="R58" s="441">
        <f>IF(N58="LCA impact reduction action plan",H58*0.5/Materials!$G$112*100,IF(N58="Third party verified impact reductions in GWP",H58/Materials!$G$112*100,IF(N58="Third party verified impact reductions with minimum 10% reduction in GWP impact",H58*1.5/Materials!$G$112*100,IF(N58="Third party impact reductions with min. 20% reduction in GWP &amp; 5% in two other cat.",H58*2/Materials!$G$112*100))))*IFERROR(N58&lt;&gt;0,)</f>
        <v>0</v>
      </c>
      <c r="S58" s="442">
        <f t="shared" ref="S58" si="196">IF(O58="Yes",R58*2,R58)</f>
        <v>0</v>
      </c>
    </row>
    <row r="59" spans="1:19" s="173" customFormat="1" x14ac:dyDescent="0.2">
      <c r="A59" s="180">
        <f t="shared" ref="A59" si="197">IF(H59&gt;=0,0,1)</f>
        <v>0</v>
      </c>
      <c r="B59" s="355" t="str">
        <f>IF(ISBLANK(Materials!B59),"",Materials!B59)</f>
        <v>Cylinder Core, Cylinder Housing, Rim Cylinder Housing</v>
      </c>
      <c r="C59" s="355" t="str">
        <f>IF(ISBLANK(Materials!C59),"",Materials!C59)</f>
        <v>087100</v>
      </c>
      <c r="D59" s="355" t="str">
        <f>IF(ISBLANK(Materials!D59),"",Materials!D59)</f>
        <v/>
      </c>
      <c r="E59" s="355" t="str">
        <f>IF(ISBLANK(Materials!E59),"",Materials!E59)</f>
        <v>23-030, 20-740, 20-069, 20-079, 20-057</v>
      </c>
      <c r="F59" s="439"/>
      <c r="G59" s="355" t="str">
        <f>IF(ISBLANK(Materials!F59),"",Materials!F59)</f>
        <v>Schlage</v>
      </c>
      <c r="H59" s="340">
        <f>IF(ISBLANK(Materials!G59),"",Materials!G59)</f>
        <v>1500</v>
      </c>
      <c r="I59" s="267"/>
      <c r="J59" s="272"/>
      <c r="K59" s="273"/>
      <c r="L59" s="290" t="str">
        <f t="shared" ref="L59" si="198">IF(K59="Product-specific Type III Internal EPD",1,(IF(K59="Product Specific Type III External EPD",1.5,(IF(K59="Product-specific LCA",1,(IF(K59="Industry-wide/generic EPD",1,"")))))))</f>
        <v/>
      </c>
      <c r="M59" s="237"/>
      <c r="N59" s="238"/>
      <c r="O59" s="333"/>
      <c r="P59" s="389">
        <f t="shared" ref="P59" si="199">IF(S59&lt;=200,S59,IF(S59&gt;=201,200))*IFERROR(N59&lt;&gt;0,)</f>
        <v>0</v>
      </c>
      <c r="Q59" s="382" t="str">
        <f t="shared" ref="Q59" si="200">IF(N59="LCA impact reduction action plan",0.5*IF(O59="Yes",2,1),IF(O59="Yes",2,(IF(N59="Third party verified impact reductions in GWP",1,IF(O59="Yes",2,(IF(N59="Third party verified impact reductions with minimum 10% reduction in GWP impact",1.5,IF(O59="Yes",2,(IF(N59="Third party impact reductions with min. 20% reduction in GWP &amp; 5% in two other cat.",2,""))))))))))</f>
        <v/>
      </c>
      <c r="R59" s="441">
        <f>IF(N59="LCA impact reduction action plan",H59*0.5/Materials!$G$112*100,IF(N59="Third party verified impact reductions in GWP",H59/Materials!$G$112*100,IF(N59="Third party verified impact reductions with minimum 10% reduction in GWP impact",H59*1.5/Materials!$G$112*100,IF(N59="Third party impact reductions with min. 20% reduction in GWP &amp; 5% in two other cat.",H59*2/Materials!$G$112*100))))*IFERROR(N59&lt;&gt;0,)</f>
        <v>0</v>
      </c>
      <c r="S59" s="442">
        <f t="shared" ref="S59" si="201">IF(O59="Yes",R59*2,R59)</f>
        <v>0</v>
      </c>
    </row>
    <row r="60" spans="1:19" s="173" customFormat="1" x14ac:dyDescent="0.2">
      <c r="A60" s="180">
        <f t="shared" ref="A60" si="202">IF(H60&gt;=0,0,1)</f>
        <v>0</v>
      </c>
      <c r="B60" s="355" t="str">
        <f>IF(ISBLANK(Materials!B60),"",Materials!B60)</f>
        <v>Continuous Hinge</v>
      </c>
      <c r="C60" s="355" t="str">
        <f>IF(ISBLANK(Materials!C60),"",Materials!C60)</f>
        <v>087100</v>
      </c>
      <c r="D60" s="355" t="str">
        <f>IF(ISBLANK(Materials!D60),"",Materials!D60)</f>
        <v/>
      </c>
      <c r="E60" s="355" t="str">
        <f>IF(ISBLANK(Materials!E60),"",Materials!E60)</f>
        <v>112XY</v>
      </c>
      <c r="F60" s="439"/>
      <c r="G60" s="355" t="str">
        <f>IF(ISBLANK(Materials!F60),"",Materials!F60)</f>
        <v>Ives-Allegion</v>
      </c>
      <c r="H60" s="340">
        <f>IF(ISBLANK(Materials!G60),"",Materials!G60)</f>
        <v>600</v>
      </c>
      <c r="I60" s="267"/>
      <c r="J60" s="272"/>
      <c r="K60" s="273"/>
      <c r="L60" s="290" t="str">
        <f t="shared" ref="L60" si="203">IF(K60="Product-specific Type III Internal EPD",1,(IF(K60="Product Specific Type III External EPD",1.5,(IF(K60="Product-specific LCA",1,(IF(K60="Industry-wide/generic EPD",1,"")))))))</f>
        <v/>
      </c>
      <c r="M60" s="237"/>
      <c r="N60" s="238"/>
      <c r="O60" s="333"/>
      <c r="P60" s="389">
        <f t="shared" ref="P60" si="204">IF(S60&lt;=200,S60,IF(S60&gt;=201,200))*IFERROR(N60&lt;&gt;0,)</f>
        <v>0</v>
      </c>
      <c r="Q60" s="382" t="str">
        <f t="shared" ref="Q60" si="205">IF(N60="LCA impact reduction action plan",0.5*IF(O60="Yes",2,1),IF(O60="Yes",2,(IF(N60="Third party verified impact reductions in GWP",1,IF(O60="Yes",2,(IF(N60="Third party verified impact reductions with minimum 10% reduction in GWP impact",1.5,IF(O60="Yes",2,(IF(N60="Third party impact reductions with min. 20% reduction in GWP &amp; 5% in two other cat.",2,""))))))))))</f>
        <v/>
      </c>
      <c r="R60" s="441">
        <f>IF(N60="LCA impact reduction action plan",H60*0.5/Materials!$G$112*100,IF(N60="Third party verified impact reductions in GWP",H60/Materials!$G$112*100,IF(N60="Third party verified impact reductions with minimum 10% reduction in GWP impact",H60*1.5/Materials!$G$112*100,IF(N60="Third party impact reductions with min. 20% reduction in GWP &amp; 5% in two other cat.",H60*2/Materials!$G$112*100))))*IFERROR(N60&lt;&gt;0,)</f>
        <v>0</v>
      </c>
      <c r="S60" s="442">
        <f t="shared" ref="S60" si="206">IF(O60="Yes",R60*2,R60)</f>
        <v>0</v>
      </c>
    </row>
    <row r="61" spans="1:19" s="173" customFormat="1" ht="24" x14ac:dyDescent="0.2">
      <c r="A61" s="180">
        <f t="shared" ref="A61" si="207">IF(H61&gt;=0,0,1)</f>
        <v>0</v>
      </c>
      <c r="B61" s="355" t="str">
        <f>IF(ISBLANK(Materials!B61),"",Materials!B61)</f>
        <v>Electromechanical Mortise Locks</v>
      </c>
      <c r="C61" s="355" t="str">
        <f>IF(ISBLANK(Materials!C61),"",Materials!C61)</f>
        <v>087100</v>
      </c>
      <c r="D61" s="355" t="str">
        <f>IF(ISBLANK(Materials!D61),"",Materials!D61)</f>
        <v/>
      </c>
      <c r="E61" s="355" t="str">
        <f>IF(ISBLANK(Materials!E61),"",Materials!E61)</f>
        <v>8270</v>
      </c>
      <c r="F61" s="439"/>
      <c r="G61" s="355" t="str">
        <f>IF(ISBLANK(Materials!F61),"",Materials!F61)</f>
        <v>Sargent-ASSA ABLOY</v>
      </c>
      <c r="H61" s="340">
        <f>IF(ISBLANK(Materials!G61),"",Materials!G61)</f>
        <v>9200</v>
      </c>
      <c r="I61" s="267"/>
      <c r="J61" s="272" t="s">
        <v>176</v>
      </c>
      <c r="K61" s="273" t="s">
        <v>167</v>
      </c>
      <c r="L61" s="290">
        <f t="shared" ref="L61" si="208">IF(K61="Product-specific Type III Internal EPD",1,(IF(K61="Product Specific Type III External EPD",1.5,(IF(K61="Product-specific LCA",1,(IF(K61="Industry-wide/generic EPD",1,"")))))))</f>
        <v>1.5</v>
      </c>
      <c r="M61" s="237"/>
      <c r="N61" s="238"/>
      <c r="O61" s="333"/>
      <c r="P61" s="389">
        <f t="shared" ref="P61" si="209">IF(S61&lt;=200,S61,IF(S61&gt;=201,200))*IFERROR(N61&lt;&gt;0,)</f>
        <v>0</v>
      </c>
      <c r="Q61" s="382" t="str">
        <f t="shared" ref="Q61" si="210">IF(N61="LCA impact reduction action plan",0.5*IF(O61="Yes",2,1),IF(O61="Yes",2,(IF(N61="Third party verified impact reductions in GWP",1,IF(O61="Yes",2,(IF(N61="Third party verified impact reductions with minimum 10% reduction in GWP impact",1.5,IF(O61="Yes",2,(IF(N61="Third party impact reductions with min. 20% reduction in GWP &amp; 5% in two other cat.",2,""))))))))))</f>
        <v/>
      </c>
      <c r="R61" s="441">
        <f>IF(N61="LCA impact reduction action plan",H61*0.5/Materials!$G$112*100,IF(N61="Third party verified impact reductions in GWP",H61/Materials!$G$112*100,IF(N61="Third party verified impact reductions with minimum 10% reduction in GWP impact",H61*1.5/Materials!$G$112*100,IF(N61="Third party impact reductions with min. 20% reduction in GWP &amp; 5% in two other cat.",H61*2/Materials!$G$112*100))))*IFERROR(N61&lt;&gt;0,)</f>
        <v>0</v>
      </c>
      <c r="S61" s="442">
        <f t="shared" ref="S61" si="211">IF(O61="Yes",R61*2,R61)</f>
        <v>0</v>
      </c>
    </row>
    <row r="62" spans="1:19" s="173" customFormat="1" x14ac:dyDescent="0.2">
      <c r="A62" s="180">
        <f t="shared" ref="A62" si="212">IF(H62&gt;=0,0,1)</f>
        <v>0</v>
      </c>
      <c r="B62" s="355" t="str">
        <f>IF(ISBLANK(Materials!B62),"",Materials!B62)</f>
        <v>Power Supply</v>
      </c>
      <c r="C62" s="355" t="str">
        <f>IF(ISBLANK(Materials!C62),"",Materials!C62)</f>
        <v>087100</v>
      </c>
      <c r="D62" s="355" t="str">
        <f>IF(ISBLANK(Materials!D62),"",Materials!D62)</f>
        <v/>
      </c>
      <c r="E62" s="355" t="str">
        <f>IF(ISBLANK(Materials!E62),"",Materials!E62)</f>
        <v>PS902</v>
      </c>
      <c r="F62" s="439"/>
      <c r="G62" s="355" t="str">
        <f>IF(ISBLANK(Materials!F62),"",Materials!F62)</f>
        <v>Von Duprin-Schlage-Allegion</v>
      </c>
      <c r="H62" s="340">
        <f>IF(ISBLANK(Materials!G62),"",Materials!G62)</f>
        <v>225</v>
      </c>
      <c r="I62" s="267"/>
      <c r="J62" s="272"/>
      <c r="K62" s="273"/>
      <c r="L62" s="290" t="str">
        <f t="shared" ref="L62" si="213">IF(K62="Product-specific Type III Internal EPD",1,(IF(K62="Product Specific Type III External EPD",1.5,(IF(K62="Product-specific LCA",1,(IF(K62="Industry-wide/generic EPD",1,"")))))))</f>
        <v/>
      </c>
      <c r="M62" s="237"/>
      <c r="N62" s="238"/>
      <c r="O62" s="333"/>
      <c r="P62" s="389">
        <f t="shared" ref="P62" si="214">IF(S62&lt;=200,S62,IF(S62&gt;=201,200))*IFERROR(N62&lt;&gt;0,)</f>
        <v>0</v>
      </c>
      <c r="Q62" s="382" t="str">
        <f t="shared" ref="Q62" si="215">IF(N62="LCA impact reduction action plan",0.5*IF(O62="Yes",2,1),IF(O62="Yes",2,(IF(N62="Third party verified impact reductions in GWP",1,IF(O62="Yes",2,(IF(N62="Third party verified impact reductions with minimum 10% reduction in GWP impact",1.5,IF(O62="Yes",2,(IF(N62="Third party impact reductions with min. 20% reduction in GWP &amp; 5% in two other cat.",2,""))))))))))</f>
        <v/>
      </c>
      <c r="R62" s="441">
        <f>IF(N62="LCA impact reduction action plan",H62*0.5/Materials!$G$112*100,IF(N62="Third party verified impact reductions in GWP",H62/Materials!$G$112*100,IF(N62="Third party verified impact reductions with minimum 10% reduction in GWP impact",H62*1.5/Materials!$G$112*100,IF(N62="Third party impact reductions with min. 20% reduction in GWP &amp; 5% in two other cat.",H62*2/Materials!$G$112*100))))*IFERROR(N62&lt;&gt;0,)</f>
        <v>0</v>
      </c>
      <c r="S62" s="442">
        <f t="shared" ref="S62" si="216">IF(O62="Yes",R62*2,R62)</f>
        <v>0</v>
      </c>
    </row>
    <row r="63" spans="1:19" s="173" customFormat="1" x14ac:dyDescent="0.2">
      <c r="A63" s="180">
        <f t="shared" ref="A63" si="217">IF(H63&gt;=0,0,1)</f>
        <v>0</v>
      </c>
      <c r="B63" s="355" t="str">
        <f>IF(ISBLANK(Materials!B63),"",Materials!B63)</f>
        <v xml:space="preserve">Void Cap </v>
      </c>
      <c r="C63" s="355" t="str">
        <f>IF(ISBLANK(Materials!C63),"",Materials!C63)</f>
        <v>033000</v>
      </c>
      <c r="D63" s="355" t="str">
        <f>IF(ISBLANK(Materials!D63),"",Materials!D63)</f>
        <v/>
      </c>
      <c r="E63" s="355" t="str">
        <f>IF(ISBLANK(Materials!E63),"",Materials!E63)</f>
        <v>Expansion Board Cap</v>
      </c>
      <c r="F63" s="439"/>
      <c r="G63" s="355" t="str">
        <f>IF(ISBLANK(Materials!F63),"",Materials!F63)</f>
        <v>BoMetals</v>
      </c>
      <c r="H63" s="340">
        <f>IF(ISBLANK(Materials!G63),"",Materials!G63)</f>
        <v>0</v>
      </c>
      <c r="I63" s="267"/>
      <c r="J63" s="272"/>
      <c r="K63" s="273"/>
      <c r="L63" s="290" t="str">
        <f t="shared" ref="L63" si="218">IF(K63="Product-specific Type III Internal EPD",1,(IF(K63="Product Specific Type III External EPD",1.5,(IF(K63="Product-specific LCA",1,(IF(K63="Industry-wide/generic EPD",1,"")))))))</f>
        <v/>
      </c>
      <c r="M63" s="237"/>
      <c r="N63" s="238"/>
      <c r="O63" s="333"/>
      <c r="P63" s="389">
        <f t="shared" ref="P63" si="219">IF(S63&lt;=200,S63,IF(S63&gt;=201,200))*IFERROR(N63&lt;&gt;0,)</f>
        <v>0</v>
      </c>
      <c r="Q63" s="382" t="str">
        <f t="shared" ref="Q63" si="220">IF(N63="LCA impact reduction action plan",0.5*IF(O63="Yes",2,1),IF(O63="Yes",2,(IF(N63="Third party verified impact reductions in GWP",1,IF(O63="Yes",2,(IF(N63="Third party verified impact reductions with minimum 10% reduction in GWP impact",1.5,IF(O63="Yes",2,(IF(N63="Third party impact reductions with min. 20% reduction in GWP &amp; 5% in two other cat.",2,""))))))))))</f>
        <v/>
      </c>
      <c r="R63" s="441">
        <f>IF(N63="LCA impact reduction action plan",H63*0.5/Materials!$G$112*100,IF(N63="Third party verified impact reductions in GWP",H63/Materials!$G$112*100,IF(N63="Third party verified impact reductions with minimum 10% reduction in GWP impact",H63*1.5/Materials!$G$112*100,IF(N63="Third party impact reductions with min. 20% reduction in GWP &amp; 5% in two other cat.",H63*2/Materials!$G$112*100))))*IFERROR(N63&lt;&gt;0,)</f>
        <v>0</v>
      </c>
      <c r="S63" s="442">
        <f t="shared" ref="S63" si="221">IF(O63="Yes",R63*2,R63)</f>
        <v>0</v>
      </c>
    </row>
    <row r="64" spans="1:19" s="173" customFormat="1" x14ac:dyDescent="0.2">
      <c r="A64" s="180">
        <f t="shared" ref="A64" si="222">IF(H64&gt;=0,0,1)</f>
        <v>0</v>
      </c>
      <c r="B64" s="355" t="str">
        <f>IF(ISBLANK(Materials!B64),"",Materials!B64)</f>
        <v>Steel Anchor</v>
      </c>
      <c r="C64" s="355" t="str">
        <f>IF(ISBLANK(Materials!C64),"",Materials!C64)</f>
        <v>033000</v>
      </c>
      <c r="D64" s="355" t="str">
        <f>IF(ISBLANK(Materials!D64),"",Materials!D64)</f>
        <v/>
      </c>
      <c r="E64" s="355" t="str">
        <f>IF(ISBLANK(Materials!E64),"",Materials!E64)</f>
        <v>Atomic+ Undercut, Screw-Bolt+, Snake+</v>
      </c>
      <c r="F64" s="439"/>
      <c r="G64" s="355" t="str">
        <f>IF(ISBLANK(Materials!F64),"",Materials!F64)</f>
        <v>Dewalt</v>
      </c>
      <c r="H64" s="340">
        <f>IF(ISBLANK(Materials!G64),"",Materials!G64)</f>
        <v>0</v>
      </c>
      <c r="I64" s="267"/>
      <c r="J64" s="272"/>
      <c r="K64" s="273"/>
      <c r="L64" s="290" t="str">
        <f t="shared" ref="L64" si="223">IF(K64="Product-specific Type III Internal EPD",1,(IF(K64="Product Specific Type III External EPD",1.5,(IF(K64="Product-specific LCA",1,(IF(K64="Industry-wide/generic EPD",1,"")))))))</f>
        <v/>
      </c>
      <c r="M64" s="237"/>
      <c r="N64" s="238"/>
      <c r="O64" s="333"/>
      <c r="P64" s="389">
        <f t="shared" ref="P64" si="224">IF(S64&lt;=200,S64,IF(S64&gt;=201,200))*IFERROR(N64&lt;&gt;0,)</f>
        <v>0</v>
      </c>
      <c r="Q64" s="382" t="str">
        <f t="shared" ref="Q64" si="225">IF(N64="LCA impact reduction action plan",0.5*IF(O64="Yes",2,1),IF(O64="Yes",2,(IF(N64="Third party verified impact reductions in GWP",1,IF(O64="Yes",2,(IF(N64="Third party verified impact reductions with minimum 10% reduction in GWP impact",1.5,IF(O64="Yes",2,(IF(N64="Third party impact reductions with min. 20% reduction in GWP &amp; 5% in two other cat.",2,""))))))))))</f>
        <v/>
      </c>
      <c r="R64" s="441">
        <f>IF(N64="LCA impact reduction action plan",H64*0.5/Materials!$G$112*100,IF(N64="Third party verified impact reductions in GWP",H64/Materials!$G$112*100,IF(N64="Third party verified impact reductions with minimum 10% reduction in GWP impact",H64*1.5/Materials!$G$112*100,IF(N64="Third party impact reductions with min. 20% reduction in GWP &amp; 5% in two other cat.",H64*2/Materials!$G$112*100))))*IFERROR(N64&lt;&gt;0,)</f>
        <v>0</v>
      </c>
      <c r="S64" s="442">
        <f t="shared" ref="S64" si="226">IF(O64="Yes",R64*2,R64)</f>
        <v>0</v>
      </c>
    </row>
    <row r="65" spans="1:19" s="173" customFormat="1" x14ac:dyDescent="0.2">
      <c r="A65" s="180">
        <f t="shared" ref="A65" si="227">IF(H65&gt;=0,0,1)</f>
        <v>0</v>
      </c>
      <c r="B65" s="355" t="str">
        <f>IF(ISBLANK(Materials!B65),"",Materials!B65)</f>
        <v xml:space="preserve">Concrete Mix </v>
      </c>
      <c r="C65" s="355" t="str">
        <f>IF(ISBLANK(Materials!C65),"",Materials!C65)</f>
        <v>033000</v>
      </c>
      <c r="D65" s="355" t="str">
        <f>IF(ISBLANK(Materials!D65),"",Materials!D65)</f>
        <v/>
      </c>
      <c r="E65" s="355" t="str">
        <f>IF(ISBLANK(Materials!E65),"",Materials!E65)</f>
        <v>3720DLS</v>
      </c>
      <c r="F65" s="439"/>
      <c r="G65" s="355" t="str">
        <f>IF(ISBLANK(Materials!F65),"",Materials!F65)</f>
        <v>Lauren Concrete</v>
      </c>
      <c r="H65" s="340">
        <f>IF(ISBLANK(Materials!G65),"",Materials!G65)</f>
        <v>1190</v>
      </c>
      <c r="I65" s="267"/>
      <c r="J65" s="272"/>
      <c r="K65" s="273"/>
      <c r="L65" s="290" t="str">
        <f t="shared" ref="L65" si="228">IF(K65="Product-specific Type III Internal EPD",1,(IF(K65="Product Specific Type III External EPD",1.5,(IF(K65="Product-specific LCA",1,(IF(K65="Industry-wide/generic EPD",1,"")))))))</f>
        <v/>
      </c>
      <c r="M65" s="237"/>
      <c r="N65" s="238"/>
      <c r="O65" s="333"/>
      <c r="P65" s="389">
        <f t="shared" ref="P65" si="229">IF(S65&lt;=200,S65,IF(S65&gt;=201,200))*IFERROR(N65&lt;&gt;0,)</f>
        <v>0</v>
      </c>
      <c r="Q65" s="382" t="str">
        <f t="shared" ref="Q65" si="230">IF(N65="LCA impact reduction action plan",0.5*IF(O65="Yes",2,1),IF(O65="Yes",2,(IF(N65="Third party verified impact reductions in GWP",1,IF(O65="Yes",2,(IF(N65="Third party verified impact reductions with minimum 10% reduction in GWP impact",1.5,IF(O65="Yes",2,(IF(N65="Third party impact reductions with min. 20% reduction in GWP &amp; 5% in two other cat.",2,""))))))))))</f>
        <v/>
      </c>
      <c r="R65" s="441">
        <f>IF(N65="LCA impact reduction action plan",H65*0.5/Materials!$G$112*100,IF(N65="Third party verified impact reductions in GWP",H65/Materials!$G$112*100,IF(N65="Third party verified impact reductions with minimum 10% reduction in GWP impact",H65*1.5/Materials!$G$112*100,IF(N65="Third party impact reductions with min. 20% reduction in GWP &amp; 5% in two other cat.",H65*2/Materials!$G$112*100))))*IFERROR(N65&lt;&gt;0,)</f>
        <v>0</v>
      </c>
      <c r="S65" s="442">
        <f t="shared" ref="S65" si="231">IF(O65="Yes",R65*2,R65)</f>
        <v>0</v>
      </c>
    </row>
    <row r="66" spans="1:19" s="173" customFormat="1" x14ac:dyDescent="0.2">
      <c r="A66" s="180">
        <f t="shared" ref="A66" si="232">IF(H66&gt;=0,0,1)</f>
        <v>0</v>
      </c>
      <c r="B66" s="355" t="str">
        <f>IF(ISBLANK(Materials!B66),"",Materials!B66)</f>
        <v xml:space="preserve">Concrete Mix </v>
      </c>
      <c r="C66" s="355" t="str">
        <f>IF(ISBLANK(Materials!C66),"",Materials!C66)</f>
        <v>033000</v>
      </c>
      <c r="D66" s="355" t="str">
        <f>IF(ISBLANK(Materials!D66),"",Materials!D66)</f>
        <v/>
      </c>
      <c r="E66" s="355" t="str">
        <f>IF(ISBLANK(Materials!E66),"",Materials!E66)</f>
        <v>COA-CLSM</v>
      </c>
      <c r="F66" s="439"/>
      <c r="G66" s="355" t="str">
        <f>IF(ISBLANK(Materials!F66),"",Materials!F66)</f>
        <v>Lauren Concrete</v>
      </c>
      <c r="H66" s="340">
        <f>IF(ISBLANK(Materials!G66),"",Materials!G66)</f>
        <v>4717.5</v>
      </c>
      <c r="I66" s="267"/>
      <c r="J66" s="272"/>
      <c r="K66" s="273"/>
      <c r="L66" s="290" t="str">
        <f t="shared" ref="L66" si="233">IF(K66="Product-specific Type III Internal EPD",1,(IF(K66="Product Specific Type III External EPD",1.5,(IF(K66="Product-specific LCA",1,(IF(K66="Industry-wide/generic EPD",1,"")))))))</f>
        <v/>
      </c>
      <c r="M66" s="237"/>
      <c r="N66" s="238"/>
      <c r="O66" s="333"/>
      <c r="P66" s="389">
        <f t="shared" ref="P66" si="234">IF(S66&lt;=200,S66,IF(S66&gt;=201,200))*IFERROR(N66&lt;&gt;0,)</f>
        <v>0</v>
      </c>
      <c r="Q66" s="382" t="str">
        <f t="shared" ref="Q66" si="235">IF(N66="LCA impact reduction action plan",0.5*IF(O66="Yes",2,1),IF(O66="Yes",2,(IF(N66="Third party verified impact reductions in GWP",1,IF(O66="Yes",2,(IF(N66="Third party verified impact reductions with minimum 10% reduction in GWP impact",1.5,IF(O66="Yes",2,(IF(N66="Third party impact reductions with min. 20% reduction in GWP &amp; 5% in two other cat.",2,""))))))))))</f>
        <v/>
      </c>
      <c r="R66" s="441">
        <f>IF(N66="LCA impact reduction action plan",H66*0.5/Materials!$G$112*100,IF(N66="Third party verified impact reductions in GWP",H66/Materials!$G$112*100,IF(N66="Third party verified impact reductions with minimum 10% reduction in GWP impact",H66*1.5/Materials!$G$112*100,IF(N66="Third party impact reductions with min. 20% reduction in GWP &amp; 5% in two other cat.",H66*2/Materials!$G$112*100))))*IFERROR(N66&lt;&gt;0,)</f>
        <v>0</v>
      </c>
      <c r="S66" s="442">
        <f t="shared" ref="S66" si="236">IF(O66="Yes",R66*2,R66)</f>
        <v>0</v>
      </c>
    </row>
    <row r="67" spans="1:19" s="173" customFormat="1" x14ac:dyDescent="0.2">
      <c r="A67" s="180">
        <f t="shared" ref="A67" si="237">IF(H67&gt;=0,0,1)</f>
        <v>0</v>
      </c>
      <c r="B67" s="355" t="str">
        <f>IF(ISBLANK(Materials!B67),"",Materials!B67)</f>
        <v xml:space="preserve">Brick </v>
      </c>
      <c r="C67" s="355" t="str">
        <f>IF(ISBLANK(Materials!C67),"",Materials!C67)</f>
        <v>042000</v>
      </c>
      <c r="D67" s="355" t="str">
        <f>IF(ISBLANK(Materials!D67),"",Materials!D67)</f>
        <v/>
      </c>
      <c r="E67" s="355" t="str">
        <f>IF(ISBLANK(Materials!E67),"",Materials!E67)</f>
        <v>Special Blend</v>
      </c>
      <c r="F67" s="439"/>
      <c r="G67" s="355" t="str">
        <f>IF(ISBLANK(Materials!F67),"",Materials!F67)</f>
        <v>Acme Brick</v>
      </c>
      <c r="H67" s="340">
        <f>IF(ISBLANK(Materials!G67),"",Materials!G67)</f>
        <v>56253</v>
      </c>
      <c r="I67" s="267"/>
      <c r="J67" s="272"/>
      <c r="K67" s="273"/>
      <c r="L67" s="290" t="str">
        <f t="shared" ref="L67" si="238">IF(K67="Product-specific Type III Internal EPD",1,(IF(K67="Product Specific Type III External EPD",1.5,(IF(K67="Product-specific LCA",1,(IF(K67="Industry-wide/generic EPD",1,"")))))))</f>
        <v/>
      </c>
      <c r="M67" s="237"/>
      <c r="N67" s="238"/>
      <c r="O67" s="333"/>
      <c r="P67" s="389">
        <f t="shared" ref="P67" si="239">IF(S67&lt;=200,S67,IF(S67&gt;=201,200))*IFERROR(N67&lt;&gt;0,)</f>
        <v>0</v>
      </c>
      <c r="Q67" s="382" t="str">
        <f t="shared" ref="Q67" si="240">IF(N67="LCA impact reduction action plan",0.5*IF(O67="Yes",2,1),IF(O67="Yes",2,(IF(N67="Third party verified impact reductions in GWP",1,IF(O67="Yes",2,(IF(N67="Third party verified impact reductions with minimum 10% reduction in GWP impact",1.5,IF(O67="Yes",2,(IF(N67="Third party impact reductions with min. 20% reduction in GWP &amp; 5% in two other cat.",2,""))))))))))</f>
        <v/>
      </c>
      <c r="R67" s="441">
        <f>IF(N67="LCA impact reduction action plan",H67*0.5/Materials!$G$112*100,IF(N67="Third party verified impact reductions in GWP",H67/Materials!$G$112*100,IF(N67="Third party verified impact reductions with minimum 10% reduction in GWP impact",H67*1.5/Materials!$G$112*100,IF(N67="Third party impact reductions with min. 20% reduction in GWP &amp; 5% in two other cat.",H67*2/Materials!$G$112*100))))*IFERROR(N67&lt;&gt;0,)</f>
        <v>0</v>
      </c>
      <c r="S67" s="442">
        <f t="shared" ref="S67" si="241">IF(O67="Yes",R67*2,R67)</f>
        <v>0</v>
      </c>
    </row>
    <row r="68" spans="1:19" s="173" customFormat="1" x14ac:dyDescent="0.2">
      <c r="A68" s="180">
        <f t="shared" ref="A68" si="242">IF(H68&gt;=0,0,1)</f>
        <v>0</v>
      </c>
      <c r="B68" s="355" t="str">
        <f>IF(ISBLANK(Materials!B68),"",Materials!B68)</f>
        <v xml:space="preserve">Cast Stone Masonry </v>
      </c>
      <c r="C68" s="355" t="str">
        <f>IF(ISBLANK(Materials!C68),"",Materials!C68)</f>
        <v>047200</v>
      </c>
      <c r="D68" s="355" t="str">
        <f>IF(ISBLANK(Materials!D68),"",Materials!D68)</f>
        <v/>
      </c>
      <c r="E68" s="355" t="str">
        <f>IF(ISBLANK(Materials!E68),"",Materials!E68)</f>
        <v>SM250</v>
      </c>
      <c r="F68" s="439"/>
      <c r="G68" s="355" t="str">
        <f>IF(ISBLANK(Materials!F68),"",Materials!F68)</f>
        <v>Spec Mix</v>
      </c>
      <c r="H68" s="340">
        <f>IF(ISBLANK(Materials!G68),"",Materials!G68)</f>
        <v>0</v>
      </c>
      <c r="I68" s="267"/>
      <c r="J68" s="272"/>
      <c r="K68" s="273"/>
      <c r="L68" s="290" t="str">
        <f t="shared" ref="L68" si="243">IF(K68="Product-specific Type III Internal EPD",1,(IF(K68="Product Specific Type III External EPD",1.5,(IF(K68="Product-specific LCA",1,(IF(K68="Industry-wide/generic EPD",1,"")))))))</f>
        <v/>
      </c>
      <c r="M68" s="237"/>
      <c r="N68" s="238"/>
      <c r="O68" s="333"/>
      <c r="P68" s="389">
        <f t="shared" ref="P68" si="244">IF(S68&lt;=200,S68,IF(S68&gt;=201,200))*IFERROR(N68&lt;&gt;0,)</f>
        <v>0</v>
      </c>
      <c r="Q68" s="382" t="str">
        <f t="shared" ref="Q68" si="245">IF(N68="LCA impact reduction action plan",0.5*IF(O68="Yes",2,1),IF(O68="Yes",2,(IF(N68="Third party verified impact reductions in GWP",1,IF(O68="Yes",2,(IF(N68="Third party verified impact reductions with minimum 10% reduction in GWP impact",1.5,IF(O68="Yes",2,(IF(N68="Third party impact reductions with min. 20% reduction in GWP &amp; 5% in two other cat.",2,""))))))))))</f>
        <v/>
      </c>
      <c r="R68" s="441">
        <f>IF(N68="LCA impact reduction action plan",H68*0.5/Materials!$G$112*100,IF(N68="Third party verified impact reductions in GWP",H68/Materials!$G$112*100,IF(N68="Third party verified impact reductions with minimum 10% reduction in GWP impact",H68*1.5/Materials!$G$112*100,IF(N68="Third party impact reductions with min. 20% reduction in GWP &amp; 5% in two other cat.",H68*2/Materials!$G$112*100))))*IFERROR(N68&lt;&gt;0,)</f>
        <v>0</v>
      </c>
      <c r="S68" s="442">
        <f t="shared" ref="S68" si="246">IF(O68="Yes",R68*2,R68)</f>
        <v>0</v>
      </c>
    </row>
    <row r="69" spans="1:19" s="173" customFormat="1" x14ac:dyDescent="0.2">
      <c r="A69" s="180">
        <f t="shared" ref="A69" si="247">IF(H69&gt;=0,0,1)</f>
        <v>0</v>
      </c>
      <c r="B69" s="355" t="str">
        <f>IF(ISBLANK(Materials!B69),"",Materials!B69)</f>
        <v xml:space="preserve">Concrete Waterstop </v>
      </c>
      <c r="C69" s="355" t="str">
        <f>IF(ISBLANK(Materials!C69),"",Materials!C69)</f>
        <v>033000</v>
      </c>
      <c r="D69" s="355" t="str">
        <f>IF(ISBLANK(Materials!D69),"",Materials!D69)</f>
        <v/>
      </c>
      <c r="E69" s="355" t="str">
        <f>IF(ISBLANK(Materials!E69),"",Materials!E69)</f>
        <v>Waterstop-RX</v>
      </c>
      <c r="F69" s="439"/>
      <c r="G69" s="355" t="str">
        <f>IF(ISBLANK(Materials!F69),"",Materials!F69)</f>
        <v>Cetco</v>
      </c>
      <c r="H69" s="340">
        <f>IF(ISBLANK(Materials!G69),"",Materials!G69)</f>
        <v>0</v>
      </c>
      <c r="I69" s="267"/>
      <c r="J69" s="272"/>
      <c r="K69" s="273"/>
      <c r="L69" s="290" t="str">
        <f t="shared" ref="L69" si="248">IF(K69="Product-specific Type III Internal EPD",1,(IF(K69="Product Specific Type III External EPD",1.5,(IF(K69="Product-specific LCA",1,(IF(K69="Industry-wide/generic EPD",1,"")))))))</f>
        <v/>
      </c>
      <c r="M69" s="237"/>
      <c r="N69" s="238"/>
      <c r="O69" s="333"/>
      <c r="P69" s="389">
        <f t="shared" ref="P69" si="249">IF(S69&lt;=200,S69,IF(S69&gt;=201,200))*IFERROR(N69&lt;&gt;0,)</f>
        <v>0</v>
      </c>
      <c r="Q69" s="382" t="str">
        <f t="shared" ref="Q69" si="250">IF(N69="LCA impact reduction action plan",0.5*IF(O69="Yes",2,1),IF(O69="Yes",2,(IF(N69="Third party verified impact reductions in GWP",1,IF(O69="Yes",2,(IF(N69="Third party verified impact reductions with minimum 10% reduction in GWP impact",1.5,IF(O69="Yes",2,(IF(N69="Third party impact reductions with min. 20% reduction in GWP &amp; 5% in two other cat.",2,""))))))))))</f>
        <v/>
      </c>
      <c r="R69" s="441">
        <f>IF(N69="LCA impact reduction action plan",H69*0.5/Materials!$G$112*100,IF(N69="Third party verified impact reductions in GWP",H69/Materials!$G$112*100,IF(N69="Third party verified impact reductions with minimum 10% reduction in GWP impact",H69*1.5/Materials!$G$112*100,IF(N69="Third party impact reductions with min. 20% reduction in GWP &amp; 5% in two other cat.",H69*2/Materials!$G$112*100))))*IFERROR(N69&lt;&gt;0,)</f>
        <v>0</v>
      </c>
      <c r="S69" s="442">
        <f t="shared" ref="S69" si="251">IF(O69="Yes",R69*2,R69)</f>
        <v>0</v>
      </c>
    </row>
    <row r="70" spans="1:19" s="173" customFormat="1" x14ac:dyDescent="0.2">
      <c r="A70" s="180">
        <f t="shared" ref="A70" si="252">IF(H70&gt;=0,0,1)</f>
        <v>0</v>
      </c>
      <c r="B70" s="355" t="str">
        <f>IF(ISBLANK(Materials!B70),"",Materials!B70)</f>
        <v xml:space="preserve">Waterproofing </v>
      </c>
      <c r="C70" s="355" t="str">
        <f>IF(ISBLANK(Materials!C70),"",Materials!C70)</f>
        <v>071326</v>
      </c>
      <c r="D70" s="355" t="str">
        <f>IF(ISBLANK(Materials!D70),"",Materials!D70)</f>
        <v/>
      </c>
      <c r="E70" s="355" t="str">
        <f>IF(ISBLANK(Materials!E70),"",Materials!E70)</f>
        <v>Protection Course</v>
      </c>
      <c r="F70" s="439"/>
      <c r="G70" s="355" t="str">
        <f>IF(ISBLANK(Materials!F70),"",Materials!F70)</f>
        <v>W.R. Meadows</v>
      </c>
      <c r="H70" s="340">
        <f>IF(ISBLANK(Materials!G70),"",Materials!G70)</f>
        <v>0</v>
      </c>
      <c r="I70" s="267"/>
      <c r="J70" s="272"/>
      <c r="K70" s="273"/>
      <c r="L70" s="290" t="str">
        <f t="shared" ref="L70" si="253">IF(K70="Product-specific Type III Internal EPD",1,(IF(K70="Product Specific Type III External EPD",1.5,(IF(K70="Product-specific LCA",1,(IF(K70="Industry-wide/generic EPD",1,"")))))))</f>
        <v/>
      </c>
      <c r="M70" s="237"/>
      <c r="N70" s="238"/>
      <c r="O70" s="333"/>
      <c r="P70" s="389">
        <f t="shared" ref="P70" si="254">IF(S70&lt;=200,S70,IF(S70&gt;=201,200))*IFERROR(N70&lt;&gt;0,)</f>
        <v>0</v>
      </c>
      <c r="Q70" s="382" t="str">
        <f t="shared" ref="Q70" si="255">IF(N70="LCA impact reduction action plan",0.5*IF(O70="Yes",2,1),IF(O70="Yes",2,(IF(N70="Third party verified impact reductions in GWP",1,IF(O70="Yes",2,(IF(N70="Third party verified impact reductions with minimum 10% reduction in GWP impact",1.5,IF(O70="Yes",2,(IF(N70="Third party impact reductions with min. 20% reduction in GWP &amp; 5% in two other cat.",2,""))))))))))</f>
        <v/>
      </c>
      <c r="R70" s="441">
        <f>IF(N70="LCA impact reduction action plan",H70*0.5/Materials!$G$112*100,IF(N70="Third party verified impact reductions in GWP",H70/Materials!$G$112*100,IF(N70="Third party verified impact reductions with minimum 10% reduction in GWP impact",H70*1.5/Materials!$G$112*100,IF(N70="Third party impact reductions with min. 20% reduction in GWP &amp; 5% in two other cat.",H70*2/Materials!$G$112*100))))*IFERROR(N70&lt;&gt;0,)</f>
        <v>0</v>
      </c>
      <c r="S70" s="442">
        <f t="shared" ref="S70" si="256">IF(O70="Yes",R70*2,R70)</f>
        <v>0</v>
      </c>
    </row>
    <row r="71" spans="1:19" s="173" customFormat="1" x14ac:dyDescent="0.2">
      <c r="A71" s="180">
        <f t="shared" ref="A71" si="257">IF(H71&gt;=0,0,1)</f>
        <v>0</v>
      </c>
      <c r="B71" s="355" t="str">
        <f>IF(ISBLANK(Materials!B71),"",Materials!B71)</f>
        <v>Nonwoven Geotextile Fabric</v>
      </c>
      <c r="C71" s="355" t="str">
        <f>IF(ISBLANK(Materials!C71),"",Materials!C71)</f>
        <v>071326</v>
      </c>
      <c r="D71" s="355" t="str">
        <f>IF(ISBLANK(Materials!D71),"",Materials!D71)</f>
        <v/>
      </c>
      <c r="E71" s="355" t="str">
        <f>IF(ISBLANK(Materials!E71),"",Materials!E71)</f>
        <v>Detail Fabric</v>
      </c>
      <c r="F71" s="439"/>
      <c r="G71" s="355" t="str">
        <f>IF(ISBLANK(Materials!F71),"",Materials!F71)</f>
        <v>W.R. Meadows</v>
      </c>
      <c r="H71" s="340">
        <f>IF(ISBLANK(Materials!G71),"",Materials!G71)</f>
        <v>0</v>
      </c>
      <c r="I71" s="267"/>
      <c r="J71" s="272"/>
      <c r="K71" s="273"/>
      <c r="L71" s="290" t="str">
        <f t="shared" ref="L71" si="258">IF(K71="Product-specific Type III Internal EPD",1,(IF(K71="Product Specific Type III External EPD",1.5,(IF(K71="Product-specific LCA",1,(IF(K71="Industry-wide/generic EPD",1,"")))))))</f>
        <v/>
      </c>
      <c r="M71" s="237"/>
      <c r="N71" s="238"/>
      <c r="O71" s="333"/>
      <c r="P71" s="389">
        <f t="shared" ref="P71" si="259">IF(S71&lt;=200,S71,IF(S71&gt;=201,200))*IFERROR(N71&lt;&gt;0,)</f>
        <v>0</v>
      </c>
      <c r="Q71" s="382" t="str">
        <f t="shared" ref="Q71" si="260">IF(N71="LCA impact reduction action plan",0.5*IF(O71="Yes",2,1),IF(O71="Yes",2,(IF(N71="Third party verified impact reductions in GWP",1,IF(O71="Yes",2,(IF(N71="Third party verified impact reductions with minimum 10% reduction in GWP impact",1.5,IF(O71="Yes",2,(IF(N71="Third party impact reductions with min. 20% reduction in GWP &amp; 5% in two other cat.",2,""))))))))))</f>
        <v/>
      </c>
      <c r="R71" s="441">
        <f>IF(N71="LCA impact reduction action plan",H71*0.5/Materials!$G$112*100,IF(N71="Third party verified impact reductions in GWP",H71/Materials!$G$112*100,IF(N71="Third party verified impact reductions with minimum 10% reduction in GWP impact",H71*1.5/Materials!$G$112*100,IF(N71="Third party impact reductions with min. 20% reduction in GWP &amp; 5% in two other cat.",H71*2/Materials!$G$112*100))))*IFERROR(N71&lt;&gt;0,)</f>
        <v>0</v>
      </c>
      <c r="S71" s="442">
        <f t="shared" ref="S71" si="261">IF(O71="Yes",R71*2,R71)</f>
        <v>0</v>
      </c>
    </row>
    <row r="72" spans="1:19" s="173" customFormat="1" x14ac:dyDescent="0.2">
      <c r="A72" s="180">
        <f t="shared" ref="A72" si="262">IF(H72&gt;=0,0,1)</f>
        <v>0</v>
      </c>
      <c r="B72" s="355" t="str">
        <f>IF(ISBLANK(Materials!B72),"",Materials!B72)</f>
        <v>Termination Bar</v>
      </c>
      <c r="C72" s="355" t="str">
        <f>IF(ISBLANK(Materials!C72),"",Materials!C72)</f>
        <v>071326</v>
      </c>
      <c r="D72" s="355" t="str">
        <f>IF(ISBLANK(Materials!D72),"",Materials!D72)</f>
        <v/>
      </c>
      <c r="E72" s="355" t="str">
        <f>IF(ISBLANK(Materials!E72),"",Materials!E72)</f>
        <v>T2 Aluminum</v>
      </c>
      <c r="F72" s="439"/>
      <c r="G72" s="355" t="str">
        <f>IF(ISBLANK(Materials!F72),"",Materials!F72)</f>
        <v>Hohmann &amp; Barnard</v>
      </c>
      <c r="H72" s="340">
        <f>IF(ISBLANK(Materials!G72),"",Materials!G72)</f>
        <v>0</v>
      </c>
      <c r="I72" s="267"/>
      <c r="J72" s="272"/>
      <c r="K72" s="273"/>
      <c r="L72" s="290" t="str">
        <f t="shared" ref="L72" si="263">IF(K72="Product-specific Type III Internal EPD",1,(IF(K72="Product Specific Type III External EPD",1.5,(IF(K72="Product-specific LCA",1,(IF(K72="Industry-wide/generic EPD",1,"")))))))</f>
        <v/>
      </c>
      <c r="M72" s="237"/>
      <c r="N72" s="238"/>
      <c r="O72" s="333"/>
      <c r="P72" s="389">
        <f t="shared" ref="P72" si="264">IF(S72&lt;=200,S72,IF(S72&gt;=201,200))*IFERROR(N72&lt;&gt;0,)</f>
        <v>0</v>
      </c>
      <c r="Q72" s="382" t="str">
        <f t="shared" ref="Q72" si="265">IF(N72="LCA impact reduction action plan",0.5*IF(O72="Yes",2,1),IF(O72="Yes",2,(IF(N72="Third party verified impact reductions in GWP",1,IF(O72="Yes",2,(IF(N72="Third party verified impact reductions with minimum 10% reduction in GWP impact",1.5,IF(O72="Yes",2,(IF(N72="Third party impact reductions with min. 20% reduction in GWP &amp; 5% in two other cat.",2,""))))))))))</f>
        <v/>
      </c>
      <c r="R72" s="441">
        <f>IF(N72="LCA impact reduction action plan",H72*0.5/Materials!$G$112*100,IF(N72="Third party verified impact reductions in GWP",H72/Materials!$G$112*100,IF(N72="Third party verified impact reductions with minimum 10% reduction in GWP impact",H72*1.5/Materials!$G$112*100,IF(N72="Third party impact reductions with min. 20% reduction in GWP &amp; 5% in two other cat.",H72*2/Materials!$G$112*100))))*IFERROR(N72&lt;&gt;0,)</f>
        <v>0</v>
      </c>
      <c r="S72" s="442">
        <f t="shared" ref="S72" si="266">IF(O72="Yes",R72*2,R72)</f>
        <v>0</v>
      </c>
    </row>
    <row r="73" spans="1:19" s="173" customFormat="1" x14ac:dyDescent="0.2">
      <c r="A73" s="180">
        <f t="shared" ref="A73" si="267">IF(H73&gt;=0,0,1)</f>
        <v>0</v>
      </c>
      <c r="B73" s="355" t="str">
        <f>IF(ISBLANK(Materials!B73),"",Materials!B73)</f>
        <v xml:space="preserve">Fireproofing </v>
      </c>
      <c r="C73" s="355" t="str">
        <f>IF(ISBLANK(Materials!C73),"",Materials!C73)</f>
        <v>078100</v>
      </c>
      <c r="D73" s="355" t="str">
        <f>IF(ISBLANK(Materials!D73),"",Materials!D73)</f>
        <v/>
      </c>
      <c r="E73" s="355" t="str">
        <f>IF(ISBLANK(Materials!E73),"",Materials!E73)</f>
        <v>Monokote Z-106/hy</v>
      </c>
      <c r="F73" s="439"/>
      <c r="G73" s="355" t="str">
        <f>IF(ISBLANK(Materials!F73),"",Materials!F73)</f>
        <v>GCP</v>
      </c>
      <c r="H73" s="340">
        <f>IF(ISBLANK(Materials!G73),"",Materials!G73)</f>
        <v>5400</v>
      </c>
      <c r="I73" s="267"/>
      <c r="J73" s="272"/>
      <c r="K73" s="273"/>
      <c r="L73" s="290" t="str">
        <f t="shared" ref="L73" si="268">IF(K73="Product-specific Type III Internal EPD",1,(IF(K73="Product Specific Type III External EPD",1.5,(IF(K73="Product-specific LCA",1,(IF(K73="Industry-wide/generic EPD",1,"")))))))</f>
        <v/>
      </c>
      <c r="M73" s="237"/>
      <c r="N73" s="238"/>
      <c r="O73" s="333"/>
      <c r="P73" s="389">
        <f t="shared" ref="P73" si="269">IF(S73&lt;=200,S73,IF(S73&gt;=201,200))*IFERROR(N73&lt;&gt;0,)</f>
        <v>0</v>
      </c>
      <c r="Q73" s="382" t="str">
        <f t="shared" ref="Q73" si="270">IF(N73="LCA impact reduction action plan",0.5*IF(O73="Yes",2,1),IF(O73="Yes",2,(IF(N73="Third party verified impact reductions in GWP",1,IF(O73="Yes",2,(IF(N73="Third party verified impact reductions with minimum 10% reduction in GWP impact",1.5,IF(O73="Yes",2,(IF(N73="Third party impact reductions with min. 20% reduction in GWP &amp; 5% in two other cat.",2,""))))))))))</f>
        <v/>
      </c>
      <c r="R73" s="441">
        <f>IF(N73="LCA impact reduction action plan",H73*0.5/Materials!$G$112*100,IF(N73="Third party verified impact reductions in GWP",H73/Materials!$G$112*100,IF(N73="Third party verified impact reductions with minimum 10% reduction in GWP impact",H73*1.5/Materials!$G$112*100,IF(N73="Third party impact reductions with min. 20% reduction in GWP &amp; 5% in two other cat.",H73*2/Materials!$G$112*100))))*IFERROR(N73&lt;&gt;0,)</f>
        <v>0</v>
      </c>
      <c r="S73" s="442">
        <f t="shared" ref="S73" si="271">IF(O73="Yes",R73*2,R73)</f>
        <v>0</v>
      </c>
    </row>
    <row r="74" spans="1:19" s="173" customFormat="1" x14ac:dyDescent="0.2">
      <c r="A74" s="180">
        <f t="shared" ref="A74" si="272">IF(H74&gt;=0,0,1)</f>
        <v>0</v>
      </c>
      <c r="B74" s="355" t="str">
        <f>IF(ISBLANK(Materials!B74),"",Materials!B74)</f>
        <v xml:space="preserve">CMU </v>
      </c>
      <c r="C74" s="355" t="str">
        <f>IF(ISBLANK(Materials!C74),"",Materials!C74)</f>
        <v>042000</v>
      </c>
      <c r="D74" s="355" t="str">
        <f>IF(ISBLANK(Materials!D74),"",Materials!D74)</f>
        <v/>
      </c>
      <c r="E74" s="355" t="str">
        <f>IF(ISBLANK(Materials!E74),"",Materials!E74)</f>
        <v>Ground Face Series</v>
      </c>
      <c r="F74" s="439"/>
      <c r="G74" s="355" t="str">
        <f>IF(ISBLANK(Materials!F74),"",Materials!F74)</f>
        <v>Best Block</v>
      </c>
      <c r="H74" s="340">
        <f>IF(ISBLANK(Materials!G74),"",Materials!G74)</f>
        <v>28055</v>
      </c>
      <c r="I74" s="267"/>
      <c r="J74" s="272"/>
      <c r="K74" s="273"/>
      <c r="L74" s="290" t="str">
        <f t="shared" ref="L74" si="273">IF(K74="Product-specific Type III Internal EPD",1,(IF(K74="Product Specific Type III External EPD",1.5,(IF(K74="Product-specific LCA",1,(IF(K74="Industry-wide/generic EPD",1,"")))))))</f>
        <v/>
      </c>
      <c r="M74" s="237"/>
      <c r="N74" s="238"/>
      <c r="O74" s="333"/>
      <c r="P74" s="389">
        <f t="shared" ref="P74" si="274">IF(S74&lt;=200,S74,IF(S74&gt;=201,200))*IFERROR(N74&lt;&gt;0,)</f>
        <v>0</v>
      </c>
      <c r="Q74" s="382" t="str">
        <f t="shared" ref="Q74" si="275">IF(N74="LCA impact reduction action plan",0.5*IF(O74="Yes",2,1),IF(O74="Yes",2,(IF(N74="Third party verified impact reductions in GWP",1,IF(O74="Yes",2,(IF(N74="Third party verified impact reductions with minimum 10% reduction in GWP impact",1.5,IF(O74="Yes",2,(IF(N74="Third party impact reductions with min. 20% reduction in GWP &amp; 5% in two other cat.",2,""))))))))))</f>
        <v/>
      </c>
      <c r="R74" s="441">
        <f>IF(N74="LCA impact reduction action plan",H74*0.5/Materials!$G$112*100,IF(N74="Third party verified impact reductions in GWP",H74/Materials!$G$112*100,IF(N74="Third party verified impact reductions with minimum 10% reduction in GWP impact",H74*1.5/Materials!$G$112*100,IF(N74="Third party impact reductions with min. 20% reduction in GWP &amp; 5% in two other cat.",H74*2/Materials!$G$112*100))))*IFERROR(N74&lt;&gt;0,)</f>
        <v>0</v>
      </c>
      <c r="S74" s="442">
        <f t="shared" ref="S74" si="276">IF(O74="Yes",R74*2,R74)</f>
        <v>0</v>
      </c>
    </row>
    <row r="75" spans="1:19" s="173" customFormat="1" x14ac:dyDescent="0.2">
      <c r="A75" s="180">
        <f t="shared" ref="A75" si="277">IF(H75&gt;=0,0,1)</f>
        <v>0</v>
      </c>
      <c r="B75" s="355" t="str">
        <f>IF(ISBLANK(Materials!B75),"",Materials!B75)</f>
        <v xml:space="preserve">Mineral Wool Insulation </v>
      </c>
      <c r="C75" s="355" t="str">
        <f>IF(ISBLANK(Materials!C75),"",Materials!C75)</f>
        <v>072100, 074213</v>
      </c>
      <c r="D75" s="355" t="str">
        <f>IF(ISBLANK(Materials!D75),"",Materials!D75)</f>
        <v/>
      </c>
      <c r="E75" s="355" t="str">
        <f>IF(ISBLANK(Materials!E75),"",Materials!E75)</f>
        <v>Cavityrock</v>
      </c>
      <c r="F75" s="439"/>
      <c r="G75" s="355" t="str">
        <f>IF(ISBLANK(Materials!F75),"",Materials!F75)</f>
        <v>Rockwool</v>
      </c>
      <c r="H75" s="340">
        <f>IF(ISBLANK(Materials!G75),"",Materials!G75)</f>
        <v>0</v>
      </c>
      <c r="I75" s="267"/>
      <c r="J75" s="272"/>
      <c r="K75" s="273"/>
      <c r="L75" s="290" t="str">
        <f t="shared" ref="L75" si="278">IF(K75="Product-specific Type III Internal EPD",1,(IF(K75="Product Specific Type III External EPD",1.5,(IF(K75="Product-specific LCA",1,(IF(K75="Industry-wide/generic EPD",1,"")))))))</f>
        <v/>
      </c>
      <c r="M75" s="237"/>
      <c r="N75" s="238"/>
      <c r="O75" s="333"/>
      <c r="P75" s="389">
        <f t="shared" ref="P75" si="279">IF(S75&lt;=200,S75,IF(S75&gt;=201,200))*IFERROR(N75&lt;&gt;0,)</f>
        <v>0</v>
      </c>
      <c r="Q75" s="382" t="str">
        <f t="shared" ref="Q75" si="280">IF(N75="LCA impact reduction action plan",0.5*IF(O75="Yes",2,1),IF(O75="Yes",2,(IF(N75="Third party verified impact reductions in GWP",1,IF(O75="Yes",2,(IF(N75="Third party verified impact reductions with minimum 10% reduction in GWP impact",1.5,IF(O75="Yes",2,(IF(N75="Third party impact reductions with min. 20% reduction in GWP &amp; 5% in two other cat.",2,""))))))))))</f>
        <v/>
      </c>
      <c r="R75" s="441">
        <f>IF(N75="LCA impact reduction action plan",H75*0.5/Materials!$G$112*100,IF(N75="Third party verified impact reductions in GWP",H75/Materials!$G$112*100,IF(N75="Third party verified impact reductions with minimum 10% reduction in GWP impact",H75*1.5/Materials!$G$112*100,IF(N75="Third party impact reductions with min. 20% reduction in GWP &amp; 5% in two other cat.",H75*2/Materials!$G$112*100))))*IFERROR(N75&lt;&gt;0,)</f>
        <v>0</v>
      </c>
      <c r="S75" s="442">
        <f t="shared" ref="S75" si="281">IF(O75="Yes",R75*2,R75)</f>
        <v>0</v>
      </c>
    </row>
    <row r="76" spans="1:19" s="173" customFormat="1" x14ac:dyDescent="0.2">
      <c r="A76" s="180">
        <f t="shared" ref="A76" si="282">IF(H76&gt;=0,0,1)</f>
        <v>0</v>
      </c>
      <c r="B76" s="355" t="str">
        <f>IF(ISBLANK(Materials!B76),"",Materials!B76)</f>
        <v xml:space="preserve">Polyiso Insulation </v>
      </c>
      <c r="C76" s="355" t="str">
        <f>IF(ISBLANK(Materials!C76),"",Materials!C76)</f>
        <v>075216</v>
      </c>
      <c r="D76" s="355" t="str">
        <f>IF(ISBLANK(Materials!D76),"",Materials!D76)</f>
        <v/>
      </c>
      <c r="E76" s="355" t="str">
        <f>IF(ISBLANK(Materials!E76),"",Materials!E76)</f>
        <v>Energyguard, Energyguard Y Panel</v>
      </c>
      <c r="F76" s="439"/>
      <c r="G76" s="355" t="str">
        <f>IF(ISBLANK(Materials!F76),"",Materials!F76)</f>
        <v>GAF</v>
      </c>
      <c r="H76" s="340">
        <f>IF(ISBLANK(Materials!G76),"",Materials!G76)</f>
        <v>0</v>
      </c>
      <c r="I76" s="267"/>
      <c r="J76" s="272"/>
      <c r="K76" s="273"/>
      <c r="L76" s="290" t="str">
        <f t="shared" ref="L76" si="283">IF(K76="Product-specific Type III Internal EPD",1,(IF(K76="Product Specific Type III External EPD",1.5,(IF(K76="Product-specific LCA",1,(IF(K76="Industry-wide/generic EPD",1,"")))))))</f>
        <v/>
      </c>
      <c r="M76" s="237"/>
      <c r="N76" s="238"/>
      <c r="O76" s="333"/>
      <c r="P76" s="389">
        <f t="shared" ref="P76" si="284">IF(S76&lt;=200,S76,IF(S76&gt;=201,200))*IFERROR(N76&lt;&gt;0,)</f>
        <v>0</v>
      </c>
      <c r="Q76" s="382" t="str">
        <f t="shared" ref="Q76" si="285">IF(N76="LCA impact reduction action plan",0.5*IF(O76="Yes",2,1),IF(O76="Yes",2,(IF(N76="Third party verified impact reductions in GWP",1,IF(O76="Yes",2,(IF(N76="Third party verified impact reductions with minimum 10% reduction in GWP impact",1.5,IF(O76="Yes",2,(IF(N76="Third party impact reductions with min. 20% reduction in GWP &amp; 5% in two other cat.",2,""))))))))))</f>
        <v/>
      </c>
      <c r="R76" s="441">
        <f>IF(N76="LCA impact reduction action plan",H76*0.5/Materials!$G$112*100,IF(N76="Third party verified impact reductions in GWP",H76/Materials!$G$112*100,IF(N76="Third party verified impact reductions with minimum 10% reduction in GWP impact",H76*1.5/Materials!$G$112*100,IF(N76="Third party impact reductions with min. 20% reduction in GWP &amp; 5% in two other cat.",H76*2/Materials!$G$112*100))))*IFERROR(N76&lt;&gt;0,)</f>
        <v>0</v>
      </c>
      <c r="S76" s="442">
        <f t="shared" ref="S76" si="286">IF(O76="Yes",R76*2,R76)</f>
        <v>0</v>
      </c>
    </row>
    <row r="77" spans="1:19" s="173" customFormat="1" x14ac:dyDescent="0.2">
      <c r="A77" s="180">
        <f t="shared" ref="A77" si="287">IF(H77&gt;=0,0,1)</f>
        <v>0</v>
      </c>
      <c r="B77" s="355" t="str">
        <f>IF(ISBLANK(Materials!B77),"",Materials!B77)</f>
        <v xml:space="preserve">Polyiso Insulation </v>
      </c>
      <c r="C77" s="355" t="str">
        <f>IF(ISBLANK(Materials!C77),"",Materials!C77)</f>
        <v>075216</v>
      </c>
      <c r="D77" s="355" t="str">
        <f>IF(ISBLANK(Materials!D77),"",Materials!D77)</f>
        <v/>
      </c>
      <c r="E77" s="355" t="str">
        <f>IF(ISBLANK(Materials!E77),"",Materials!E77)</f>
        <v>Energyguard X Panel</v>
      </c>
      <c r="F77" s="439"/>
      <c r="G77" s="355" t="str">
        <f>IF(ISBLANK(Materials!F77),"",Materials!F77)</f>
        <v>GAF</v>
      </c>
      <c r="H77" s="340">
        <f>IF(ISBLANK(Materials!G77),"",Materials!G77)</f>
        <v>0</v>
      </c>
      <c r="I77" s="267"/>
      <c r="J77" s="272"/>
      <c r="K77" s="273"/>
      <c r="L77" s="290" t="str">
        <f t="shared" ref="L77" si="288">IF(K77="Product-specific Type III Internal EPD",1,(IF(K77="Product Specific Type III External EPD",1.5,(IF(K77="Product-specific LCA",1,(IF(K77="Industry-wide/generic EPD",1,"")))))))</f>
        <v/>
      </c>
      <c r="M77" s="237"/>
      <c r="N77" s="238"/>
      <c r="O77" s="333"/>
      <c r="P77" s="389">
        <f t="shared" ref="P77" si="289">IF(S77&lt;=200,S77,IF(S77&gt;=201,200))*IFERROR(N77&lt;&gt;0,)</f>
        <v>0</v>
      </c>
      <c r="Q77" s="382" t="str">
        <f t="shared" ref="Q77" si="290">IF(N77="LCA impact reduction action plan",0.5*IF(O77="Yes",2,1),IF(O77="Yes",2,(IF(N77="Third party verified impact reductions in GWP",1,IF(O77="Yes",2,(IF(N77="Third party verified impact reductions with minimum 10% reduction in GWP impact",1.5,IF(O77="Yes",2,(IF(N77="Third party impact reductions with min. 20% reduction in GWP &amp; 5% in two other cat.",2,""))))))))))</f>
        <v/>
      </c>
      <c r="R77" s="441">
        <f>IF(N77="LCA impact reduction action plan",H77*0.5/Materials!$G$112*100,IF(N77="Third party verified impact reductions in GWP",H77/Materials!$G$112*100,IF(N77="Third party verified impact reductions with minimum 10% reduction in GWP impact",H77*1.5/Materials!$G$112*100,IF(N77="Third party impact reductions with min. 20% reduction in GWP &amp; 5% in two other cat.",H77*2/Materials!$G$112*100))))*IFERROR(N77&lt;&gt;0,)</f>
        <v>0</v>
      </c>
      <c r="S77" s="442">
        <f t="shared" ref="S77" si="291">IF(O77="Yes",R77*2,R77)</f>
        <v>0</v>
      </c>
    </row>
    <row r="78" spans="1:19" s="173" customFormat="1" x14ac:dyDescent="0.2">
      <c r="A78" s="180">
        <f t="shared" ref="A78" si="292">IF(H78&gt;=0,0,1)</f>
        <v>0</v>
      </c>
      <c r="B78" s="355" t="str">
        <f>IF(ISBLANK(Materials!B78),"",Materials!B78)</f>
        <v xml:space="preserve">Polyiso Insulation </v>
      </c>
      <c r="C78" s="355" t="str">
        <f>IF(ISBLANK(Materials!C78),"",Materials!C78)</f>
        <v>075216</v>
      </c>
      <c r="D78" s="355" t="str">
        <f>IF(ISBLANK(Materials!D78),"",Materials!D78)</f>
        <v/>
      </c>
      <c r="E78" s="355" t="str">
        <f>IF(ISBLANK(Materials!E78),"",Materials!E78)</f>
        <v>Energyguard Q Panel</v>
      </c>
      <c r="F78" s="439"/>
      <c r="G78" s="355" t="str">
        <f>IF(ISBLANK(Materials!F78),"",Materials!F78)</f>
        <v>GAF</v>
      </c>
      <c r="H78" s="340">
        <f>IF(ISBLANK(Materials!G78),"",Materials!G78)</f>
        <v>0</v>
      </c>
      <c r="I78" s="267"/>
      <c r="J78" s="272"/>
      <c r="K78" s="273"/>
      <c r="L78" s="290" t="str">
        <f t="shared" ref="L78" si="293">IF(K78="Product-specific Type III Internal EPD",1,(IF(K78="Product Specific Type III External EPD",1.5,(IF(K78="Product-specific LCA",1,(IF(K78="Industry-wide/generic EPD",1,"")))))))</f>
        <v/>
      </c>
      <c r="M78" s="237"/>
      <c r="N78" s="238"/>
      <c r="O78" s="333"/>
      <c r="P78" s="389">
        <f t="shared" ref="P78" si="294">IF(S78&lt;=200,S78,IF(S78&gt;=201,200))*IFERROR(N78&lt;&gt;0,)</f>
        <v>0</v>
      </c>
      <c r="Q78" s="382" t="str">
        <f t="shared" ref="Q78" si="295">IF(N78="LCA impact reduction action plan",0.5*IF(O78="Yes",2,1),IF(O78="Yes",2,(IF(N78="Third party verified impact reductions in GWP",1,IF(O78="Yes",2,(IF(N78="Third party verified impact reductions with minimum 10% reduction in GWP impact",1.5,IF(O78="Yes",2,(IF(N78="Third party impact reductions with min. 20% reduction in GWP &amp; 5% in two other cat.",2,""))))))))))</f>
        <v/>
      </c>
      <c r="R78" s="441">
        <f>IF(N78="LCA impact reduction action plan",H78*0.5/Materials!$G$112*100,IF(N78="Third party verified impact reductions in GWP",H78/Materials!$G$112*100,IF(N78="Third party verified impact reductions with minimum 10% reduction in GWP impact",H78*1.5/Materials!$G$112*100,IF(N78="Third party impact reductions with min. 20% reduction in GWP &amp; 5% in two other cat.",H78*2/Materials!$G$112*100))))*IFERROR(N78&lt;&gt;0,)</f>
        <v>0</v>
      </c>
      <c r="S78" s="442">
        <f t="shared" ref="S78" si="296">IF(O78="Yes",R78*2,R78)</f>
        <v>0</v>
      </c>
    </row>
    <row r="79" spans="1:19" s="173" customFormat="1" x14ac:dyDescent="0.2">
      <c r="A79" s="180">
        <f t="shared" ref="A79" si="297">IF(H79&gt;=0,0,1)</f>
        <v>0</v>
      </c>
      <c r="B79" s="355" t="str">
        <f>IF(ISBLANK(Materials!B79),"",Materials!B79)</f>
        <v>SBS Modified Bitumen Membrane</v>
      </c>
      <c r="C79" s="355" t="str">
        <f>IF(ISBLANK(Materials!C79),"",Materials!C79)</f>
        <v>075216</v>
      </c>
      <c r="D79" s="355" t="str">
        <f>IF(ISBLANK(Materials!D79),"",Materials!D79)</f>
        <v/>
      </c>
      <c r="E79" s="355" t="str">
        <f>IF(ISBLANK(Materials!E79),"",Materials!E79)</f>
        <v>Ruberoid HW Smooth</v>
      </c>
      <c r="F79" s="439"/>
      <c r="G79" s="355" t="str">
        <f>IF(ISBLANK(Materials!F79),"",Materials!F79)</f>
        <v>GAF</v>
      </c>
      <c r="H79" s="340">
        <f>IF(ISBLANK(Materials!G79),"",Materials!G79)</f>
        <v>0</v>
      </c>
      <c r="I79" s="267"/>
      <c r="J79" s="272"/>
      <c r="K79" s="273"/>
      <c r="L79" s="290" t="str">
        <f t="shared" ref="L79" si="298">IF(K79="Product-specific Type III Internal EPD",1,(IF(K79="Product Specific Type III External EPD",1.5,(IF(K79="Product-specific LCA",1,(IF(K79="Industry-wide/generic EPD",1,"")))))))</f>
        <v/>
      </c>
      <c r="M79" s="237"/>
      <c r="N79" s="238"/>
      <c r="O79" s="333"/>
      <c r="P79" s="389">
        <f t="shared" ref="P79" si="299">IF(S79&lt;=200,S79,IF(S79&gt;=201,200))*IFERROR(N79&lt;&gt;0,)</f>
        <v>0</v>
      </c>
      <c r="Q79" s="382" t="str">
        <f t="shared" ref="Q79" si="300">IF(N79="LCA impact reduction action plan",0.5*IF(O79="Yes",2,1),IF(O79="Yes",2,(IF(N79="Third party verified impact reductions in GWP",1,IF(O79="Yes",2,(IF(N79="Third party verified impact reductions with minimum 10% reduction in GWP impact",1.5,IF(O79="Yes",2,(IF(N79="Third party impact reductions with min. 20% reduction in GWP &amp; 5% in two other cat.",2,""))))))))))</f>
        <v/>
      </c>
      <c r="R79" s="441">
        <f>IF(N79="LCA impact reduction action plan",H79*0.5/Materials!$G$112*100,IF(N79="Third party verified impact reductions in GWP",H79/Materials!$G$112*100,IF(N79="Third party verified impact reductions with minimum 10% reduction in GWP impact",H79*1.5/Materials!$G$112*100,IF(N79="Third party impact reductions with min. 20% reduction in GWP &amp; 5% in two other cat.",H79*2/Materials!$G$112*100))))*IFERROR(N79&lt;&gt;0,)</f>
        <v>0</v>
      </c>
      <c r="S79" s="442">
        <f t="shared" ref="S79" si="301">IF(O79="Yes",R79*2,R79)</f>
        <v>0</v>
      </c>
    </row>
    <row r="80" spans="1:19" s="173" customFormat="1" x14ac:dyDescent="0.2">
      <c r="A80" s="180">
        <f t="shared" ref="A80" si="302">IF(H80&gt;=0,0,1)</f>
        <v>0</v>
      </c>
      <c r="B80" s="355" t="str">
        <f>IF(ISBLANK(Materials!B80),"",Materials!B80)</f>
        <v>Fasteners &amp; Plates</v>
      </c>
      <c r="C80" s="355" t="str">
        <f>IF(ISBLANK(Materials!C80),"",Materials!C80)</f>
        <v>075216</v>
      </c>
      <c r="D80" s="355" t="str">
        <f>IF(ISBLANK(Materials!D80),"",Materials!D80)</f>
        <v/>
      </c>
      <c r="E80" s="355" t="str">
        <f>IF(ISBLANK(Materials!E80),"",Materials!E80)</f>
        <v>Drill-Tec</v>
      </c>
      <c r="F80" s="439"/>
      <c r="G80" s="355" t="str">
        <f>IF(ISBLANK(Materials!F80),"",Materials!F80)</f>
        <v>GAF</v>
      </c>
      <c r="H80" s="340">
        <f>IF(ISBLANK(Materials!G80),"",Materials!G80)</f>
        <v>0</v>
      </c>
      <c r="I80" s="267"/>
      <c r="J80" s="272"/>
      <c r="K80" s="273"/>
      <c r="L80" s="290" t="str">
        <f t="shared" ref="L80" si="303">IF(K80="Product-specific Type III Internal EPD",1,(IF(K80="Product Specific Type III External EPD",1.5,(IF(K80="Product-specific LCA",1,(IF(K80="Industry-wide/generic EPD",1,"")))))))</f>
        <v/>
      </c>
      <c r="M80" s="237"/>
      <c r="N80" s="238"/>
      <c r="O80" s="333"/>
      <c r="P80" s="389">
        <f t="shared" ref="P80" si="304">IF(S80&lt;=200,S80,IF(S80&gt;=201,200))*IFERROR(N80&lt;&gt;0,)</f>
        <v>0</v>
      </c>
      <c r="Q80" s="382" t="str">
        <f t="shared" ref="Q80" si="305">IF(N80="LCA impact reduction action plan",0.5*IF(O80="Yes",2,1),IF(O80="Yes",2,(IF(N80="Third party verified impact reductions in GWP",1,IF(O80="Yes",2,(IF(N80="Third party verified impact reductions with minimum 10% reduction in GWP impact",1.5,IF(O80="Yes",2,(IF(N80="Third party impact reductions with min. 20% reduction in GWP &amp; 5% in two other cat.",2,""))))))))))</f>
        <v/>
      </c>
      <c r="R80" s="441">
        <f>IF(N80="LCA impact reduction action plan",H80*0.5/Materials!$G$112*100,IF(N80="Third party verified impact reductions in GWP",H80/Materials!$G$112*100,IF(N80="Third party verified impact reductions with minimum 10% reduction in GWP impact",H80*1.5/Materials!$G$112*100,IF(N80="Third party impact reductions with min. 20% reduction in GWP &amp; 5% in two other cat.",H80*2/Materials!$G$112*100))))*IFERROR(N80&lt;&gt;0,)</f>
        <v>0</v>
      </c>
      <c r="S80" s="442">
        <f t="shared" ref="S80" si="306">IF(O80="Yes",R80*2,R80)</f>
        <v>0</v>
      </c>
    </row>
    <row r="81" spans="1:19" s="173" customFormat="1" x14ac:dyDescent="0.2">
      <c r="A81" s="180">
        <f t="shared" ref="A81" si="307">IF(H81&gt;=0,0,1)</f>
        <v>0</v>
      </c>
      <c r="B81" s="355" t="str">
        <f>IF(ISBLANK(Materials!B81),"",Materials!B81)</f>
        <v>Roof Insulation</v>
      </c>
      <c r="C81" s="355" t="str">
        <f>IF(ISBLANK(Materials!C81),"",Materials!C81)</f>
        <v>075216</v>
      </c>
      <c r="D81" s="355" t="str">
        <f>IF(ISBLANK(Materials!D81),"",Materials!D81)</f>
        <v/>
      </c>
      <c r="E81" s="355" t="str">
        <f>IF(ISBLANK(Materials!E81),"",Materials!E81)</f>
        <v>EnergyGuard Perlite Cant Strip</v>
      </c>
      <c r="F81" s="439"/>
      <c r="G81" s="355" t="str">
        <f>IF(ISBLANK(Materials!F81),"",Materials!F81)</f>
        <v>GAF</v>
      </c>
      <c r="H81" s="340">
        <f>IF(ISBLANK(Materials!G81),"",Materials!G81)</f>
        <v>0</v>
      </c>
      <c r="I81" s="267"/>
      <c r="J81" s="272"/>
      <c r="K81" s="273"/>
      <c r="L81" s="290" t="str">
        <f t="shared" ref="L81" si="308">IF(K81="Product-specific Type III Internal EPD",1,(IF(K81="Product Specific Type III External EPD",1.5,(IF(K81="Product-specific LCA",1,(IF(K81="Industry-wide/generic EPD",1,"")))))))</f>
        <v/>
      </c>
      <c r="M81" s="237"/>
      <c r="N81" s="238"/>
      <c r="O81" s="333"/>
      <c r="P81" s="389">
        <f t="shared" ref="P81" si="309">IF(S81&lt;=200,S81,IF(S81&gt;=201,200))*IFERROR(N81&lt;&gt;0,)</f>
        <v>0</v>
      </c>
      <c r="Q81" s="382" t="str">
        <f t="shared" ref="Q81" si="310">IF(N81="LCA impact reduction action plan",0.5*IF(O81="Yes",2,1),IF(O81="Yes",2,(IF(N81="Third party verified impact reductions in GWP",1,IF(O81="Yes",2,(IF(N81="Third party verified impact reductions with minimum 10% reduction in GWP impact",1.5,IF(O81="Yes",2,(IF(N81="Third party impact reductions with min. 20% reduction in GWP &amp; 5% in two other cat.",2,""))))))))))</f>
        <v/>
      </c>
      <c r="R81" s="441">
        <f>IF(N81="LCA impact reduction action plan",H81*0.5/Materials!$G$112*100,IF(N81="Third party verified impact reductions in GWP",H81/Materials!$G$112*100,IF(N81="Third party verified impact reductions with minimum 10% reduction in GWP impact",H81*1.5/Materials!$G$112*100,IF(N81="Third party impact reductions with min. 20% reduction in GWP &amp; 5% in two other cat.",H81*2/Materials!$G$112*100))))*IFERROR(N81&lt;&gt;0,)</f>
        <v>0</v>
      </c>
      <c r="S81" s="442">
        <f t="shared" ref="S81" si="311">IF(O81="Yes",R81*2,R81)</f>
        <v>0</v>
      </c>
    </row>
    <row r="82" spans="1:19" s="173" customFormat="1" x14ac:dyDescent="0.2">
      <c r="A82" s="180">
        <f t="shared" ref="A82" si="312">IF(H82&gt;=0,0,1)</f>
        <v>0</v>
      </c>
      <c r="B82" s="355" t="str">
        <f>IF(ISBLANK(Materials!B82),"",Materials!B82)</f>
        <v>SBS Modified Bitumen Membrane</v>
      </c>
      <c r="C82" s="355" t="str">
        <f>IF(ISBLANK(Materials!C82),"",Materials!C82)</f>
        <v>075216</v>
      </c>
      <c r="D82" s="355" t="str">
        <f>IF(ISBLANK(Materials!D82),"",Materials!D82)</f>
        <v/>
      </c>
      <c r="E82" s="355" t="str">
        <f>IF(ISBLANK(Materials!E82),"",Materials!E82)</f>
        <v>Ruberoid HW Plus Granule FR</v>
      </c>
      <c r="F82" s="439"/>
      <c r="G82" s="355" t="str">
        <f>IF(ISBLANK(Materials!F82),"",Materials!F82)</f>
        <v>GAF</v>
      </c>
      <c r="H82" s="340">
        <f>IF(ISBLANK(Materials!G82),"",Materials!G82)</f>
        <v>0</v>
      </c>
      <c r="I82" s="267"/>
      <c r="J82" s="272"/>
      <c r="K82" s="273"/>
      <c r="L82" s="290" t="str">
        <f t="shared" ref="L82" si="313">IF(K82="Product-specific Type III Internal EPD",1,(IF(K82="Product Specific Type III External EPD",1.5,(IF(K82="Product-specific LCA",1,(IF(K82="Industry-wide/generic EPD",1,"")))))))</f>
        <v/>
      </c>
      <c r="M82" s="237"/>
      <c r="N82" s="238"/>
      <c r="O82" s="333"/>
      <c r="P82" s="389">
        <f t="shared" ref="P82" si="314">IF(S82&lt;=200,S82,IF(S82&gt;=201,200))*IFERROR(N82&lt;&gt;0,)</f>
        <v>0</v>
      </c>
      <c r="Q82" s="382" t="str">
        <f t="shared" ref="Q82" si="315">IF(N82="LCA impact reduction action plan",0.5*IF(O82="Yes",2,1),IF(O82="Yes",2,(IF(N82="Third party verified impact reductions in GWP",1,IF(O82="Yes",2,(IF(N82="Third party verified impact reductions with minimum 10% reduction in GWP impact",1.5,IF(O82="Yes",2,(IF(N82="Third party impact reductions with min. 20% reduction in GWP &amp; 5% in two other cat.",2,""))))))))))</f>
        <v/>
      </c>
      <c r="R82" s="441">
        <f>IF(N82="LCA impact reduction action plan",H82*0.5/Materials!$G$112*100,IF(N82="Third party verified impact reductions in GWP",H82/Materials!$G$112*100,IF(N82="Third party verified impact reductions with minimum 10% reduction in GWP impact",H82*1.5/Materials!$G$112*100,IF(N82="Third party impact reductions with min. 20% reduction in GWP &amp; 5% in two other cat.",H82*2/Materials!$G$112*100))))*IFERROR(N82&lt;&gt;0,)</f>
        <v>0</v>
      </c>
      <c r="S82" s="442">
        <f t="shared" ref="S82" si="316">IF(O82="Yes",R82*2,R82)</f>
        <v>0</v>
      </c>
    </row>
    <row r="83" spans="1:19" s="173" customFormat="1" x14ac:dyDescent="0.2">
      <c r="A83" s="180">
        <f t="shared" ref="A83" si="317">IF(H83&gt;=0,0,1)</f>
        <v>0</v>
      </c>
      <c r="B83" s="355" t="str">
        <f>IF(ISBLANK(Materials!B83),"",Materials!B83)</f>
        <v xml:space="preserve">Sheet Metal Flashing </v>
      </c>
      <c r="C83" s="355" t="str">
        <f>IF(ISBLANK(Materials!C83),"",Materials!C83)</f>
        <v>076200</v>
      </c>
      <c r="D83" s="355" t="str">
        <f>IF(ISBLANK(Materials!D83),"",Materials!D83)</f>
        <v/>
      </c>
      <c r="E83" s="355" t="str">
        <f>IF(ISBLANK(Materials!E83),"",Materials!E83)</f>
        <v>Type 304</v>
      </c>
      <c r="F83" s="439"/>
      <c r="G83" s="355" t="str">
        <f>IF(ISBLANK(Materials!F83),"",Materials!F83)</f>
        <v>AK Steel</v>
      </c>
      <c r="H83" s="340">
        <f>IF(ISBLANK(Materials!G83),"",Materials!G83)</f>
        <v>0</v>
      </c>
      <c r="I83" s="267"/>
      <c r="J83" s="272"/>
      <c r="K83" s="273"/>
      <c r="L83" s="290" t="str">
        <f t="shared" ref="L83" si="318">IF(K83="Product-specific Type III Internal EPD",1,(IF(K83="Product Specific Type III External EPD",1.5,(IF(K83="Product-specific LCA",1,(IF(K83="Industry-wide/generic EPD",1,"")))))))</f>
        <v/>
      </c>
      <c r="M83" s="237"/>
      <c r="N83" s="238"/>
      <c r="O83" s="333"/>
      <c r="P83" s="389">
        <f t="shared" ref="P83" si="319">IF(S83&lt;=200,S83,IF(S83&gt;=201,200))*IFERROR(N83&lt;&gt;0,)</f>
        <v>0</v>
      </c>
      <c r="Q83" s="382" t="str">
        <f t="shared" ref="Q83" si="320">IF(N83="LCA impact reduction action plan",0.5*IF(O83="Yes",2,1),IF(O83="Yes",2,(IF(N83="Third party verified impact reductions in GWP",1,IF(O83="Yes",2,(IF(N83="Third party verified impact reductions with minimum 10% reduction in GWP impact",1.5,IF(O83="Yes",2,(IF(N83="Third party impact reductions with min. 20% reduction in GWP &amp; 5% in two other cat.",2,""))))))))))</f>
        <v/>
      </c>
      <c r="R83" s="441">
        <f>IF(N83="LCA impact reduction action plan",H83*0.5/Materials!$G$112*100,IF(N83="Third party verified impact reductions in GWP",H83/Materials!$G$112*100,IF(N83="Third party verified impact reductions with minimum 10% reduction in GWP impact",H83*1.5/Materials!$G$112*100,IF(N83="Third party impact reductions with min. 20% reduction in GWP &amp; 5% in two other cat.",H83*2/Materials!$G$112*100))))*IFERROR(N83&lt;&gt;0,)</f>
        <v>0</v>
      </c>
      <c r="S83" s="442">
        <f t="shared" ref="S83" si="321">IF(O83="Yes",R83*2,R83)</f>
        <v>0</v>
      </c>
    </row>
    <row r="84" spans="1:19" s="173" customFormat="1" x14ac:dyDescent="0.2">
      <c r="A84" s="180">
        <f t="shared" ref="A84" si="322">IF(H84&gt;=0,0,1)</f>
        <v>0</v>
      </c>
      <c r="B84" s="355" t="str">
        <f>IF(ISBLANK(Materials!B84),"",Materials!B84)</f>
        <v xml:space="preserve">Sheet Metal Flashing, Formed Metal Wall Panels </v>
      </c>
      <c r="C84" s="355" t="str">
        <f>IF(ISBLANK(Materials!C84),"",Materials!C84)</f>
        <v>076200, 074213</v>
      </c>
      <c r="D84" s="355" t="str">
        <f>IF(ISBLANK(Materials!D84),"",Materials!D84)</f>
        <v/>
      </c>
      <c r="E84" s="355" t="str">
        <f>IF(ISBLANK(Materials!E84),"",Materials!E84)</f>
        <v>Gauge Galvalume, S-Deck Panel</v>
      </c>
      <c r="F84" s="439"/>
      <c r="G84" s="355" t="str">
        <f>IF(ISBLANK(Materials!F84),"",Materials!F84)</f>
        <v>Berridge</v>
      </c>
      <c r="H84" s="340">
        <f>IF(ISBLANK(Materials!G84),"",Materials!G84)</f>
        <v>0</v>
      </c>
      <c r="I84" s="267"/>
      <c r="J84" s="272"/>
      <c r="K84" s="273"/>
      <c r="L84" s="290" t="str">
        <f t="shared" ref="L84" si="323">IF(K84="Product-specific Type III Internal EPD",1,(IF(K84="Product Specific Type III External EPD",1.5,(IF(K84="Product-specific LCA",1,(IF(K84="Industry-wide/generic EPD",1,"")))))))</f>
        <v/>
      </c>
      <c r="M84" s="237"/>
      <c r="N84" s="238"/>
      <c r="O84" s="333"/>
      <c r="P84" s="389">
        <f t="shared" ref="P84" si="324">IF(S84&lt;=200,S84,IF(S84&gt;=201,200))*IFERROR(N84&lt;&gt;0,)</f>
        <v>0</v>
      </c>
      <c r="Q84" s="382" t="str">
        <f t="shared" ref="Q84" si="325">IF(N84="LCA impact reduction action plan",0.5*IF(O84="Yes",2,1),IF(O84="Yes",2,(IF(N84="Third party verified impact reductions in GWP",1,IF(O84="Yes",2,(IF(N84="Third party verified impact reductions with minimum 10% reduction in GWP impact",1.5,IF(O84="Yes",2,(IF(N84="Third party impact reductions with min. 20% reduction in GWP &amp; 5% in two other cat.",2,""))))))))))</f>
        <v/>
      </c>
      <c r="R84" s="441">
        <f>IF(N84="LCA impact reduction action plan",H84*0.5/Materials!$G$112*100,IF(N84="Third party verified impact reductions in GWP",H84/Materials!$G$112*100,IF(N84="Third party verified impact reductions with minimum 10% reduction in GWP impact",H84*1.5/Materials!$G$112*100,IF(N84="Third party impact reductions with min. 20% reduction in GWP &amp; 5% in two other cat.",H84*2/Materials!$G$112*100))))*IFERROR(N84&lt;&gt;0,)</f>
        <v>0</v>
      </c>
      <c r="S84" s="442">
        <f t="shared" ref="S84" si="326">IF(O84="Yes",R84*2,R84)</f>
        <v>0</v>
      </c>
    </row>
    <row r="85" spans="1:19" s="173" customFormat="1" x14ac:dyDescent="0.2">
      <c r="A85" s="180">
        <f t="shared" ref="A85" si="327">IF(H85&gt;=0,0,1)</f>
        <v>0</v>
      </c>
      <c r="B85" s="355" t="str">
        <f>IF(ISBLANK(Materials!B85),"",Materials!B85)</f>
        <v xml:space="preserve">Expansion Joint Assemblies </v>
      </c>
      <c r="C85" s="355" t="str">
        <f>IF(ISBLANK(Materials!C85),"",Materials!C85)</f>
        <v>079513</v>
      </c>
      <c r="D85" s="355" t="str">
        <f>IF(ISBLANK(Materials!D85),"",Materials!D85)</f>
        <v/>
      </c>
      <c r="E85" s="355" t="str">
        <f>IF(ISBLANK(Materials!E85),"",Materials!E85)</f>
        <v>NBAF-2</v>
      </c>
      <c r="F85" s="439"/>
      <c r="G85" s="355" t="str">
        <f>IF(ISBLANK(Materials!F85),"",Materials!F85)</f>
        <v>Balco</v>
      </c>
      <c r="H85" s="340">
        <f>IF(ISBLANK(Materials!G85),"",Materials!G85)</f>
        <v>0</v>
      </c>
      <c r="I85" s="267"/>
      <c r="J85" s="272"/>
      <c r="K85" s="273"/>
      <c r="L85" s="290" t="str">
        <f t="shared" ref="L85" si="328">IF(K85="Product-specific Type III Internal EPD",1,(IF(K85="Product Specific Type III External EPD",1.5,(IF(K85="Product-specific LCA",1,(IF(K85="Industry-wide/generic EPD",1,"")))))))</f>
        <v/>
      </c>
      <c r="M85" s="237"/>
      <c r="N85" s="238"/>
      <c r="O85" s="333"/>
      <c r="P85" s="389">
        <f t="shared" ref="P85" si="329">IF(S85&lt;=200,S85,IF(S85&gt;=201,200))*IFERROR(N85&lt;&gt;0,)</f>
        <v>0</v>
      </c>
      <c r="Q85" s="382" t="str">
        <f t="shared" ref="Q85" si="330">IF(N85="LCA impact reduction action plan",0.5*IF(O85="Yes",2,1),IF(O85="Yes",2,(IF(N85="Third party verified impact reductions in GWP",1,IF(O85="Yes",2,(IF(N85="Third party verified impact reductions with minimum 10% reduction in GWP impact",1.5,IF(O85="Yes",2,(IF(N85="Third party impact reductions with min. 20% reduction in GWP &amp; 5% in two other cat.",2,""))))))))))</f>
        <v/>
      </c>
      <c r="R85" s="441">
        <f>IF(N85="LCA impact reduction action plan",H85*0.5/Materials!$G$112*100,IF(N85="Third party verified impact reductions in GWP",H85/Materials!$G$112*100,IF(N85="Third party verified impact reductions with minimum 10% reduction in GWP impact",H85*1.5/Materials!$G$112*100,IF(N85="Third party impact reductions with min. 20% reduction in GWP &amp; 5% in two other cat.",H85*2/Materials!$G$112*100))))*IFERROR(N85&lt;&gt;0,)</f>
        <v>0</v>
      </c>
      <c r="S85" s="442">
        <f t="shared" ref="S85" si="331">IF(O85="Yes",R85*2,R85)</f>
        <v>0</v>
      </c>
    </row>
    <row r="86" spans="1:19" s="173" customFormat="1" x14ac:dyDescent="0.2">
      <c r="A86" s="180">
        <f t="shared" ref="A86" si="332">IF(H86&gt;=0,0,1)</f>
        <v>0</v>
      </c>
      <c r="B86" s="355" t="str">
        <f>IF(ISBLANK(Materials!B86),"",Materials!B86)</f>
        <v xml:space="preserve">Expansion Joint Assemblies </v>
      </c>
      <c r="C86" s="355" t="str">
        <f>IF(ISBLANK(Materials!C86),"",Materials!C86)</f>
        <v>079513</v>
      </c>
      <c r="D86" s="355" t="str">
        <f>IF(ISBLANK(Materials!D86),"",Materials!D86)</f>
        <v/>
      </c>
      <c r="E86" s="355" t="str">
        <f>IF(ISBLANK(Materials!E86),"",Materials!E86)</f>
        <v>BCSW - 200</v>
      </c>
      <c r="F86" s="439"/>
      <c r="G86" s="355" t="str">
        <f>IF(ISBLANK(Materials!F86),"",Materials!F86)</f>
        <v>Balco</v>
      </c>
      <c r="H86" s="340">
        <f>IF(ISBLANK(Materials!G86),"",Materials!G86)</f>
        <v>0</v>
      </c>
      <c r="I86" s="267"/>
      <c r="J86" s="272"/>
      <c r="K86" s="273"/>
      <c r="L86" s="290" t="str">
        <f t="shared" ref="L86" si="333">IF(K86="Product-specific Type III Internal EPD",1,(IF(K86="Product Specific Type III External EPD",1.5,(IF(K86="Product-specific LCA",1,(IF(K86="Industry-wide/generic EPD",1,"")))))))</f>
        <v/>
      </c>
      <c r="M86" s="237"/>
      <c r="N86" s="238"/>
      <c r="O86" s="333"/>
      <c r="P86" s="389">
        <f t="shared" ref="P86" si="334">IF(S86&lt;=200,S86,IF(S86&gt;=201,200))*IFERROR(N86&lt;&gt;0,)</f>
        <v>0</v>
      </c>
      <c r="Q86" s="382" t="str">
        <f t="shared" ref="Q86" si="335">IF(N86="LCA impact reduction action plan",0.5*IF(O86="Yes",2,1),IF(O86="Yes",2,(IF(N86="Third party verified impact reductions in GWP",1,IF(O86="Yes",2,(IF(N86="Third party verified impact reductions with minimum 10% reduction in GWP impact",1.5,IF(O86="Yes",2,(IF(N86="Third party impact reductions with min. 20% reduction in GWP &amp; 5% in two other cat.",2,""))))))))))</f>
        <v/>
      </c>
      <c r="R86" s="441">
        <f>IF(N86="LCA impact reduction action plan",H86*0.5/Materials!$G$112*100,IF(N86="Third party verified impact reductions in GWP",H86/Materials!$G$112*100,IF(N86="Third party verified impact reductions with minimum 10% reduction in GWP impact",H86*1.5/Materials!$G$112*100,IF(N86="Third party impact reductions with min. 20% reduction in GWP &amp; 5% in two other cat.",H86*2/Materials!$G$112*100))))*IFERROR(N86&lt;&gt;0,)</f>
        <v>0</v>
      </c>
      <c r="S86" s="442">
        <f t="shared" ref="S86" si="336">IF(O86="Yes",R86*2,R86)</f>
        <v>0</v>
      </c>
    </row>
    <row r="87" spans="1:19" s="173" customFormat="1" x14ac:dyDescent="0.2">
      <c r="A87" s="180">
        <f t="shared" ref="A87" si="337">IF(H87&gt;=0,0,1)</f>
        <v>0</v>
      </c>
      <c r="B87" s="355" t="str">
        <f>IF(ISBLANK(Materials!B87),"",Materials!B87)</f>
        <v xml:space="preserve">Unit Masonry Anchors &amp; Ties </v>
      </c>
      <c r="C87" s="355" t="str">
        <f>IF(ISBLANK(Materials!C87),"",Materials!C87)</f>
        <v>042000</v>
      </c>
      <c r="D87" s="355" t="str">
        <f>IF(ISBLANK(Materials!D87),"",Materials!D87)</f>
        <v/>
      </c>
      <c r="E87" s="355" t="str">
        <f>IF(ISBLANK(Materials!E87),"",Materials!E87)</f>
        <v>315 Flexible Dovetail Brick Tie, HB-213-2X Veneer Anchors</v>
      </c>
      <c r="F87" s="439"/>
      <c r="G87" s="355" t="str">
        <f>IF(ISBLANK(Materials!F87),"",Materials!F87)</f>
        <v>Hohmann &amp; Barnard</v>
      </c>
      <c r="H87" s="340">
        <f>IF(ISBLANK(Materials!G87),"",Materials!G87)</f>
        <v>0</v>
      </c>
      <c r="I87" s="267"/>
      <c r="J87" s="272"/>
      <c r="K87" s="273"/>
      <c r="L87" s="290" t="str">
        <f t="shared" ref="L87" si="338">IF(K87="Product-specific Type III Internal EPD",1,(IF(K87="Product Specific Type III External EPD",1.5,(IF(K87="Product-specific LCA",1,(IF(K87="Industry-wide/generic EPD",1,"")))))))</f>
        <v/>
      </c>
      <c r="M87" s="237"/>
      <c r="N87" s="238"/>
      <c r="O87" s="333"/>
      <c r="P87" s="389">
        <f t="shared" ref="P87" si="339">IF(S87&lt;=200,S87,IF(S87&gt;=201,200))*IFERROR(N87&lt;&gt;0,)</f>
        <v>0</v>
      </c>
      <c r="Q87" s="382" t="str">
        <f t="shared" ref="Q87" si="340">IF(N87="LCA impact reduction action plan",0.5*IF(O87="Yes",2,1),IF(O87="Yes",2,(IF(N87="Third party verified impact reductions in GWP",1,IF(O87="Yes",2,(IF(N87="Third party verified impact reductions with minimum 10% reduction in GWP impact",1.5,IF(O87="Yes",2,(IF(N87="Third party impact reductions with min. 20% reduction in GWP &amp; 5% in two other cat.",2,""))))))))))</f>
        <v/>
      </c>
      <c r="R87" s="441">
        <f>IF(N87="LCA impact reduction action plan",H87*0.5/Materials!$G$112*100,IF(N87="Third party verified impact reductions in GWP",H87/Materials!$G$112*100,IF(N87="Third party verified impact reductions with minimum 10% reduction in GWP impact",H87*1.5/Materials!$G$112*100,IF(N87="Third party impact reductions with min. 20% reduction in GWP &amp; 5% in two other cat.",H87*2/Materials!$G$112*100))))*IFERROR(N87&lt;&gt;0,)</f>
        <v>0</v>
      </c>
      <c r="S87" s="442">
        <f t="shared" ref="S87" si="341">IF(O87="Yes",R87*2,R87)</f>
        <v>0</v>
      </c>
    </row>
    <row r="88" spans="1:19" s="173" customFormat="1" x14ac:dyDescent="0.2">
      <c r="A88" s="180">
        <f t="shared" ref="A88" si="342">IF(H88&gt;=0,0,1)</f>
        <v>0</v>
      </c>
      <c r="B88" s="355" t="str">
        <f>IF(ISBLANK(Materials!B88),"",Materials!B88)</f>
        <v>Metal Framing</v>
      </c>
      <c r="C88" s="355" t="str">
        <f>IF(ISBLANK(Materials!C88),"",Materials!C88)</f>
        <v>074213</v>
      </c>
      <c r="D88" s="355" t="str">
        <f>IF(ISBLANK(Materials!D88),"",Materials!D88)</f>
        <v/>
      </c>
      <c r="E88" s="355" t="str">
        <f>IF(ISBLANK(Materials!E88),"",Materials!E88)</f>
        <v>Custom Z-Furring Channel</v>
      </c>
      <c r="F88" s="439"/>
      <c r="G88" s="355" t="str">
        <f>IF(ISBLANK(Materials!F88),"",Materials!F88)</f>
        <v>ClarkDietrich</v>
      </c>
      <c r="H88" s="340">
        <f>IF(ISBLANK(Materials!G88),"",Materials!G88)</f>
        <v>0</v>
      </c>
      <c r="I88" s="267"/>
      <c r="J88" s="272"/>
      <c r="K88" s="273"/>
      <c r="L88" s="290" t="str">
        <f t="shared" ref="L88" si="343">IF(K88="Product-specific Type III Internal EPD",1,(IF(K88="Product Specific Type III External EPD",1.5,(IF(K88="Product-specific LCA",1,(IF(K88="Industry-wide/generic EPD",1,"")))))))</f>
        <v/>
      </c>
      <c r="M88" s="237"/>
      <c r="N88" s="238"/>
      <c r="O88" s="333"/>
      <c r="P88" s="389">
        <f t="shared" ref="P88" si="344">IF(S88&lt;=200,S88,IF(S88&gt;=201,200))*IFERROR(N88&lt;&gt;0,)</f>
        <v>0</v>
      </c>
      <c r="Q88" s="382" t="str">
        <f t="shared" ref="Q88" si="345">IF(N88="LCA impact reduction action plan",0.5*IF(O88="Yes",2,1),IF(O88="Yes",2,(IF(N88="Third party verified impact reductions in GWP",1,IF(O88="Yes",2,(IF(N88="Third party verified impact reductions with minimum 10% reduction in GWP impact",1.5,IF(O88="Yes",2,(IF(N88="Third party impact reductions with min. 20% reduction in GWP &amp; 5% in two other cat.",2,""))))))))))</f>
        <v/>
      </c>
      <c r="R88" s="441">
        <f>IF(N88="LCA impact reduction action plan",H88*0.5/Materials!$G$112*100,IF(N88="Third party verified impact reductions in GWP",H88/Materials!$G$112*100,IF(N88="Third party verified impact reductions with minimum 10% reduction in GWP impact",H88*1.5/Materials!$G$112*100,IF(N88="Third party impact reductions with min. 20% reduction in GWP &amp; 5% in two other cat.",H88*2/Materials!$G$112*100))))*IFERROR(N88&lt;&gt;0,)</f>
        <v>0</v>
      </c>
      <c r="S88" s="442">
        <f t="shared" ref="S88" si="346">IF(O88="Yes",R88*2,R88)</f>
        <v>0</v>
      </c>
    </row>
    <row r="89" spans="1:19" s="173" customFormat="1" x14ac:dyDescent="0.2">
      <c r="A89" s="180">
        <f t="shared" ref="A89" si="347">IF(H89&gt;=0,0,1)</f>
        <v>0</v>
      </c>
      <c r="B89" s="355" t="str">
        <f>IF(ISBLANK(Materials!B89),"",Materials!B89)</f>
        <v xml:space="preserve">Fasteners </v>
      </c>
      <c r="C89" s="355" t="str">
        <f>IF(ISBLANK(Materials!C89),"",Materials!C89)</f>
        <v>074213</v>
      </c>
      <c r="D89" s="355" t="str">
        <f>IF(ISBLANK(Materials!D89),"",Materials!D89)</f>
        <v/>
      </c>
      <c r="E89" s="355" t="str">
        <f>IF(ISBLANK(Materials!E89),"",Materials!E89)</f>
        <v>Concealor</v>
      </c>
      <c r="F89" s="439"/>
      <c r="G89" s="355" t="str">
        <f>IF(ISBLANK(Materials!F89),"",Materials!F89)</f>
        <v>Triangle Fastener</v>
      </c>
      <c r="H89" s="340">
        <f>IF(ISBLANK(Materials!G89),"",Materials!G89)</f>
        <v>0</v>
      </c>
      <c r="I89" s="267"/>
      <c r="J89" s="272"/>
      <c r="K89" s="273"/>
      <c r="L89" s="290" t="str">
        <f t="shared" ref="L89" si="348">IF(K89="Product-specific Type III Internal EPD",1,(IF(K89="Product Specific Type III External EPD",1.5,(IF(K89="Product-specific LCA",1,(IF(K89="Industry-wide/generic EPD",1,"")))))))</f>
        <v/>
      </c>
      <c r="M89" s="237"/>
      <c r="N89" s="238"/>
      <c r="O89" s="333"/>
      <c r="P89" s="389">
        <f t="shared" ref="P89" si="349">IF(S89&lt;=200,S89,IF(S89&gt;=201,200))*IFERROR(N89&lt;&gt;0,)</f>
        <v>0</v>
      </c>
      <c r="Q89" s="382" t="str">
        <f t="shared" ref="Q89" si="350">IF(N89="LCA impact reduction action plan",0.5*IF(O89="Yes",2,1),IF(O89="Yes",2,(IF(N89="Third party verified impact reductions in GWP",1,IF(O89="Yes",2,(IF(N89="Third party verified impact reductions with minimum 10% reduction in GWP impact",1.5,IF(O89="Yes",2,(IF(N89="Third party impact reductions with min. 20% reduction in GWP &amp; 5% in two other cat.",2,""))))))))))</f>
        <v/>
      </c>
      <c r="R89" s="441">
        <f>IF(N89="LCA impact reduction action plan",H89*0.5/Materials!$G$112*100,IF(N89="Third party verified impact reductions in GWP",H89/Materials!$G$112*100,IF(N89="Third party verified impact reductions with minimum 10% reduction in GWP impact",H89*1.5/Materials!$G$112*100,IF(N89="Third party impact reductions with min. 20% reduction in GWP &amp; 5% in two other cat.",H89*2/Materials!$G$112*100))))*IFERROR(N89&lt;&gt;0,)</f>
        <v>0</v>
      </c>
      <c r="S89" s="442">
        <f t="shared" ref="S89" si="351">IF(O89="Yes",R89*2,R89)</f>
        <v>0</v>
      </c>
    </row>
    <row r="90" spans="1:19" s="173" customFormat="1" x14ac:dyDescent="0.2">
      <c r="A90" s="180">
        <f t="shared" ref="A90" si="352">IF(H90&gt;=0,0,1)</f>
        <v>0</v>
      </c>
      <c r="B90" s="355" t="str">
        <f>IF(ISBLANK(Materials!B90),"",Materials!B90)</f>
        <v xml:space="preserve">Gypsum Roof Board </v>
      </c>
      <c r="C90" s="355" t="str">
        <f>IF(ISBLANK(Materials!C90),"",Materials!C90)</f>
        <v>075216</v>
      </c>
      <c r="D90" s="355" t="str">
        <f>IF(ISBLANK(Materials!D90),"",Materials!D90)</f>
        <v/>
      </c>
      <c r="E90" s="355" t="str">
        <f>IF(ISBLANK(Materials!E90),"",Materials!E90)</f>
        <v>Densdeck Prime</v>
      </c>
      <c r="F90" s="439"/>
      <c r="G90" s="355" t="str">
        <f>IF(ISBLANK(Materials!F90),"",Materials!F90)</f>
        <v>Georgia-Pacific</v>
      </c>
      <c r="H90" s="340">
        <f>IF(ISBLANK(Materials!G90),"",Materials!G90)</f>
        <v>0</v>
      </c>
      <c r="I90" s="267"/>
      <c r="J90" s="272"/>
      <c r="K90" s="273"/>
      <c r="L90" s="290" t="str">
        <f t="shared" ref="L90" si="353">IF(K90="Product-specific Type III Internal EPD",1,(IF(K90="Product Specific Type III External EPD",1.5,(IF(K90="Product-specific LCA",1,(IF(K90="Industry-wide/generic EPD",1,"")))))))</f>
        <v/>
      </c>
      <c r="M90" s="237"/>
      <c r="N90" s="238"/>
      <c r="O90" s="333"/>
      <c r="P90" s="389">
        <f t="shared" ref="P90" si="354">IF(S90&lt;=200,S90,IF(S90&gt;=201,200))*IFERROR(N90&lt;&gt;0,)</f>
        <v>0</v>
      </c>
      <c r="Q90" s="382" t="str">
        <f t="shared" ref="Q90" si="355">IF(N90="LCA impact reduction action plan",0.5*IF(O90="Yes",2,1),IF(O90="Yes",2,(IF(N90="Third party verified impact reductions in GWP",1,IF(O90="Yes",2,(IF(N90="Third party verified impact reductions with minimum 10% reduction in GWP impact",1.5,IF(O90="Yes",2,(IF(N90="Third party impact reductions with min. 20% reduction in GWP &amp; 5% in two other cat.",2,""))))))))))</f>
        <v/>
      </c>
      <c r="R90" s="441">
        <f>IF(N90="LCA impact reduction action plan",H90*0.5/Materials!$G$112*100,IF(N90="Third party verified impact reductions in GWP",H90/Materials!$G$112*100,IF(N90="Third party verified impact reductions with minimum 10% reduction in GWP impact",H90*1.5/Materials!$G$112*100,IF(N90="Third party impact reductions with min. 20% reduction in GWP &amp; 5% in two other cat.",H90*2/Materials!$G$112*100))))*IFERROR(N90&lt;&gt;0,)</f>
        <v>0</v>
      </c>
      <c r="S90" s="442">
        <f t="shared" ref="S90" si="356">IF(O90="Yes",R90*2,R90)</f>
        <v>0</v>
      </c>
    </row>
    <row r="91" spans="1:19" s="173" customFormat="1" x14ac:dyDescent="0.2">
      <c r="A91" s="180">
        <f t="shared" ref="A91" si="357">IF(H91&gt;=0,0,1)</f>
        <v>0</v>
      </c>
      <c r="B91" s="355" t="str">
        <f>IF(ISBLANK(Materials!B91),"",Materials!B91)</f>
        <v xml:space="preserve">Joint Firestopping </v>
      </c>
      <c r="C91" s="355" t="str">
        <f>IF(ISBLANK(Materials!C91),"",Materials!C91)</f>
        <v>078443</v>
      </c>
      <c r="D91" s="355" t="str">
        <f>IF(ISBLANK(Materials!D91),"",Materials!D91)</f>
        <v/>
      </c>
      <c r="E91" s="355" t="str">
        <f>IF(ISBLANK(Materials!E91),"",Materials!E91)</f>
        <v>SpecSeal AS200</v>
      </c>
      <c r="F91" s="439"/>
      <c r="G91" s="355" t="str">
        <f>IF(ISBLANK(Materials!F91),"",Materials!F91)</f>
        <v>STI</v>
      </c>
      <c r="H91" s="340">
        <f>IF(ISBLANK(Materials!G91),"",Materials!G91)</f>
        <v>0</v>
      </c>
      <c r="I91" s="267"/>
      <c r="J91" s="272"/>
      <c r="K91" s="273"/>
      <c r="L91" s="290" t="str">
        <f t="shared" ref="L91" si="358">IF(K91="Product-specific Type III Internal EPD",1,(IF(K91="Product Specific Type III External EPD",1.5,(IF(K91="Product-specific LCA",1,(IF(K91="Industry-wide/generic EPD",1,"")))))))</f>
        <v/>
      </c>
      <c r="M91" s="237"/>
      <c r="N91" s="238"/>
      <c r="O91" s="333"/>
      <c r="P91" s="389">
        <f t="shared" ref="P91" si="359">IF(S91&lt;=200,S91,IF(S91&gt;=201,200))*IFERROR(N91&lt;&gt;0,)</f>
        <v>0</v>
      </c>
      <c r="Q91" s="382" t="str">
        <f t="shared" ref="Q91" si="360">IF(N91="LCA impact reduction action plan",0.5*IF(O91="Yes",2,1),IF(O91="Yes",2,(IF(N91="Third party verified impact reductions in GWP",1,IF(O91="Yes",2,(IF(N91="Third party verified impact reductions with minimum 10% reduction in GWP impact",1.5,IF(O91="Yes",2,(IF(N91="Third party impact reductions with min. 20% reduction in GWP &amp; 5% in two other cat.",2,""))))))))))</f>
        <v/>
      </c>
      <c r="R91" s="441">
        <f>IF(N91="LCA impact reduction action plan",H91*0.5/Materials!$G$112*100,IF(N91="Third party verified impact reductions in GWP",H91/Materials!$G$112*100,IF(N91="Third party verified impact reductions with minimum 10% reduction in GWP impact",H91*1.5/Materials!$G$112*100,IF(N91="Third party impact reductions with min. 20% reduction in GWP &amp; 5% in two other cat.",H91*2/Materials!$G$112*100))))*IFERROR(N91&lt;&gt;0,)</f>
        <v>0</v>
      </c>
      <c r="S91" s="442">
        <f t="shared" ref="S91" si="361">IF(O91="Yes",R91*2,R91)</f>
        <v>0</v>
      </c>
    </row>
    <row r="92" spans="1:19" s="173" customFormat="1" x14ac:dyDescent="0.2">
      <c r="A92" s="180">
        <f t="shared" ref="A92" si="362">IF(H92&gt;=0,0,1)</f>
        <v>0</v>
      </c>
      <c r="B92" s="355" t="str">
        <f>IF(ISBLANK(Materials!B92),"",Materials!B92)</f>
        <v>Laminate</v>
      </c>
      <c r="C92" s="355" t="str">
        <f>IF(ISBLANK(Materials!C92),"",Materials!C92)</f>
        <v>081416</v>
      </c>
      <c r="D92" s="355" t="str">
        <f>IF(ISBLANK(Materials!D92),"",Materials!D92)</f>
        <v/>
      </c>
      <c r="E92" s="355" t="str">
        <f>IF(ISBLANK(Materials!E92),"",Materials!E92)</f>
        <v>Standard (cost included with wood door cost above)</v>
      </c>
      <c r="F92" s="439"/>
      <c r="G92" s="355" t="str">
        <f>IF(ISBLANK(Materials!F92),"",Materials!F92)</f>
        <v>Wilsonart</v>
      </c>
      <c r="H92" s="340" t="str">
        <f>IF(ISBLANK(Materials!G92),"",Materials!G92)</f>
        <v/>
      </c>
      <c r="I92" s="267"/>
      <c r="J92" s="272"/>
      <c r="K92" s="273"/>
      <c r="L92" s="290" t="str">
        <f t="shared" ref="L92" si="363">IF(K92="Product-specific Type III Internal EPD",1,(IF(K92="Product Specific Type III External EPD",1.5,(IF(K92="Product-specific LCA",1,(IF(K92="Industry-wide/generic EPD",1,"")))))))</f>
        <v/>
      </c>
      <c r="M92" s="237"/>
      <c r="N92" s="238"/>
      <c r="O92" s="333"/>
      <c r="P92" s="389">
        <f t="shared" ref="P92" si="364">IF(S92&lt;=200,S92,IF(S92&gt;=201,200))*IFERROR(N92&lt;&gt;0,)</f>
        <v>0</v>
      </c>
      <c r="Q92" s="382" t="str">
        <f t="shared" ref="Q92" si="365">IF(N92="LCA impact reduction action plan",0.5*IF(O92="Yes",2,1),IF(O92="Yes",2,(IF(N92="Third party verified impact reductions in GWP",1,IF(O92="Yes",2,(IF(N92="Third party verified impact reductions with minimum 10% reduction in GWP impact",1.5,IF(O92="Yes",2,(IF(N92="Third party impact reductions with min. 20% reduction in GWP &amp; 5% in two other cat.",2,""))))))))))</f>
        <v/>
      </c>
      <c r="R92" s="441">
        <f>IF(N92="LCA impact reduction action plan",H92*0.5/Materials!$G$112*100,IF(N92="Third party verified impact reductions in GWP",H92/Materials!$G$112*100,IF(N92="Third party verified impact reductions with minimum 10% reduction in GWP impact",H92*1.5/Materials!$G$112*100,IF(N92="Third party impact reductions with min. 20% reduction in GWP &amp; 5% in two other cat.",H92*2/Materials!$G$112*100))))*IFERROR(N92&lt;&gt;0,)</f>
        <v>0</v>
      </c>
      <c r="S92" s="442">
        <f t="shared" ref="S92" si="366">IF(O92="Yes",R92*2,R92)</f>
        <v>0</v>
      </c>
    </row>
    <row r="93" spans="1:19" s="173" customFormat="1" x14ac:dyDescent="0.2">
      <c r="A93" s="180">
        <f t="shared" ref="A93" si="367">IF(H93&gt;=0,0,1)</f>
        <v>0</v>
      </c>
      <c r="B93" s="355" t="str">
        <f>IF(ISBLANK(Materials!B93),"",Materials!B93)</f>
        <v>Aluminum-Framed Storefronts, Entranes &amp; Curtain Wall</v>
      </c>
      <c r="C93" s="355" t="str">
        <f>IF(ISBLANK(Materials!C93),"",Materials!C93)</f>
        <v>084113, 084413</v>
      </c>
      <c r="D93" s="355" t="str">
        <f>IF(ISBLANK(Materials!D93),"",Materials!D93)</f>
        <v/>
      </c>
      <c r="E93" s="355" t="str">
        <f>IF(ISBLANK(Materials!E93),"",Materials!E93)</f>
        <v>Encore, 500 &amp; 1600 Wall System 1 and 1600 Wall System 2</v>
      </c>
      <c r="F93" s="439"/>
      <c r="G93" s="355" t="str">
        <f>IF(ISBLANK(Materials!F93),"",Materials!F93)</f>
        <v>Kawneer</v>
      </c>
      <c r="H93" s="340">
        <f>IF(ISBLANK(Materials!G93),"",Materials!G93)</f>
        <v>0</v>
      </c>
      <c r="I93" s="267"/>
      <c r="J93" s="272"/>
      <c r="K93" s="273"/>
      <c r="L93" s="290" t="str">
        <f t="shared" ref="L93" si="368">IF(K93="Product-specific Type III Internal EPD",1,(IF(K93="Product Specific Type III External EPD",1.5,(IF(K93="Product-specific LCA",1,(IF(K93="Industry-wide/generic EPD",1,"")))))))</f>
        <v/>
      </c>
      <c r="M93" s="237"/>
      <c r="N93" s="238"/>
      <c r="O93" s="333"/>
      <c r="P93" s="389">
        <f t="shared" ref="P93" si="369">IF(S93&lt;=200,S93,IF(S93&gt;=201,200))*IFERROR(N93&lt;&gt;0,)</f>
        <v>0</v>
      </c>
      <c r="Q93" s="382" t="str">
        <f t="shared" ref="Q93" si="370">IF(N93="LCA impact reduction action plan",0.5*IF(O93="Yes",2,1),IF(O93="Yes",2,(IF(N93="Third party verified impact reductions in GWP",1,IF(O93="Yes",2,(IF(N93="Third party verified impact reductions with minimum 10% reduction in GWP impact",1.5,IF(O93="Yes",2,(IF(N93="Third party impact reductions with min. 20% reduction in GWP &amp; 5% in two other cat.",2,""))))))))))</f>
        <v/>
      </c>
      <c r="R93" s="441">
        <f>IF(N93="LCA impact reduction action plan",H93*0.5/Materials!$G$112*100,IF(N93="Third party verified impact reductions in GWP",H93/Materials!$G$112*100,IF(N93="Third party verified impact reductions with minimum 10% reduction in GWP impact",H93*1.5/Materials!$G$112*100,IF(N93="Third party impact reductions with min. 20% reduction in GWP &amp; 5% in two other cat.",H93*2/Materials!$G$112*100))))*IFERROR(N93&lt;&gt;0,)</f>
        <v>0</v>
      </c>
      <c r="S93" s="442">
        <f t="shared" ref="S93" si="371">IF(O93="Yes",R93*2,R93)</f>
        <v>0</v>
      </c>
    </row>
    <row r="94" spans="1:19" s="173" customFormat="1" x14ac:dyDescent="0.2">
      <c r="A94" s="180">
        <f t="shared" ref="A94" si="372">IF(H94&gt;=0,0,1)</f>
        <v>0</v>
      </c>
      <c r="B94" s="355" t="str">
        <f>IF(ISBLANK(Materials!B94),"",Materials!B94)</f>
        <v>Automatic Closer</v>
      </c>
      <c r="C94" s="355" t="str">
        <f>IF(ISBLANK(Materials!C94),"",Materials!C94)</f>
        <v>087100</v>
      </c>
      <c r="D94" s="355" t="str">
        <f>IF(ISBLANK(Materials!D94),"",Materials!D94)</f>
        <v/>
      </c>
      <c r="E94" s="355" t="str">
        <f>IF(ISBLANK(Materials!E94),"",Materials!E94)</f>
        <v>Auto Equalizer 4642 (cost n/a)</v>
      </c>
      <c r="F94" s="439"/>
      <c r="G94" s="355" t="str">
        <f>IF(ISBLANK(Materials!F94),"",Materials!F94)</f>
        <v>LCN-Allegion</v>
      </c>
      <c r="H94" s="340" t="str">
        <f>IF(ISBLANK(Materials!G94),"",Materials!G94)</f>
        <v/>
      </c>
      <c r="I94" s="267"/>
      <c r="J94" s="272"/>
      <c r="K94" s="273"/>
      <c r="L94" s="290" t="str">
        <f t="shared" ref="L94" si="373">IF(K94="Product-specific Type III Internal EPD",1,(IF(K94="Product Specific Type III External EPD",1.5,(IF(K94="Product-specific LCA",1,(IF(K94="Industry-wide/generic EPD",1,"")))))))</f>
        <v/>
      </c>
      <c r="M94" s="237"/>
      <c r="N94" s="238"/>
      <c r="O94" s="333"/>
      <c r="P94" s="389">
        <f t="shared" ref="P94" si="374">IF(S94&lt;=200,S94,IF(S94&gt;=201,200))*IFERROR(N94&lt;&gt;0,)</f>
        <v>0</v>
      </c>
      <c r="Q94" s="382" t="str">
        <f t="shared" ref="Q94" si="375">IF(N94="LCA impact reduction action plan",0.5*IF(O94="Yes",2,1),IF(O94="Yes",2,(IF(N94="Third party verified impact reductions in GWP",1,IF(O94="Yes",2,(IF(N94="Third party verified impact reductions with minimum 10% reduction in GWP impact",1.5,IF(O94="Yes",2,(IF(N94="Third party impact reductions with min. 20% reduction in GWP &amp; 5% in two other cat.",2,""))))))))))</f>
        <v/>
      </c>
      <c r="R94" s="441">
        <f>IF(N94="LCA impact reduction action plan",H94*0.5/Materials!$G$112*100,IF(N94="Third party verified impact reductions in GWP",H94/Materials!$G$112*100,IF(N94="Third party verified impact reductions with minimum 10% reduction in GWP impact",H94*1.5/Materials!$G$112*100,IF(N94="Third party impact reductions with min. 20% reduction in GWP &amp; 5% in two other cat.",H94*2/Materials!$G$112*100))))*IFERROR(N94&lt;&gt;0,)</f>
        <v>0</v>
      </c>
      <c r="S94" s="442">
        <f t="shared" ref="S94" si="376">IF(O94="Yes",R94*2,R94)</f>
        <v>0</v>
      </c>
    </row>
    <row r="95" spans="1:19" s="173" customFormat="1" x14ac:dyDescent="0.2">
      <c r="A95" s="180">
        <f t="shared" ref="A95" si="377">IF(H95&gt;=0,0,1)</f>
        <v>0</v>
      </c>
      <c r="B95" s="355" t="str">
        <f>IF(ISBLANK(Materials!B95),"",Materials!B95)</f>
        <v xml:space="preserve">Glazing </v>
      </c>
      <c r="C95" s="355" t="str">
        <f>IF(ISBLANK(Materials!C95),"",Materials!C95)</f>
        <v>088000</v>
      </c>
      <c r="D95" s="355" t="str">
        <f>IF(ISBLANK(Materials!D95),"",Materials!D95)</f>
        <v/>
      </c>
      <c r="E95" s="355" t="str">
        <f>IF(ISBLANK(Materials!E95),"",Materials!E95)</f>
        <v>Guardian Clear, Guardian SunGuard, Clear Insulated W/SNX 62/27, Insulated Spandrel W/SNX 62/27, Clear Tempered</v>
      </c>
      <c r="F95" s="439"/>
      <c r="G95" s="355" t="str">
        <f>IF(ISBLANK(Materials!F95),"",Materials!F95)</f>
        <v>OBE</v>
      </c>
      <c r="H95" s="340">
        <f>IF(ISBLANK(Materials!G95),"",Materials!G95)</f>
        <v>0</v>
      </c>
      <c r="I95" s="267"/>
      <c r="J95" s="272"/>
      <c r="K95" s="273"/>
      <c r="L95" s="290" t="str">
        <f t="shared" ref="L95" si="378">IF(K95="Product-specific Type III Internal EPD",1,(IF(K95="Product Specific Type III External EPD",1.5,(IF(K95="Product-specific LCA",1,(IF(K95="Industry-wide/generic EPD",1,"")))))))</f>
        <v/>
      </c>
      <c r="M95" s="237"/>
      <c r="N95" s="238"/>
      <c r="O95" s="333"/>
      <c r="P95" s="389">
        <f t="shared" ref="P95" si="379">IF(S95&lt;=200,S95,IF(S95&gt;=201,200))*IFERROR(N95&lt;&gt;0,)</f>
        <v>0</v>
      </c>
      <c r="Q95" s="382" t="str">
        <f t="shared" ref="Q95" si="380">IF(N95="LCA impact reduction action plan",0.5*IF(O95="Yes",2,1),IF(O95="Yes",2,(IF(N95="Third party verified impact reductions in GWP",1,IF(O95="Yes",2,(IF(N95="Third party verified impact reductions with minimum 10% reduction in GWP impact",1.5,IF(O95="Yes",2,(IF(N95="Third party impact reductions with min. 20% reduction in GWP &amp; 5% in two other cat.",2,""))))))))))</f>
        <v/>
      </c>
      <c r="R95" s="441">
        <f>IF(N95="LCA impact reduction action plan",H95*0.5/Materials!$G$112*100,IF(N95="Third party verified impact reductions in GWP",H95/Materials!$G$112*100,IF(N95="Third party verified impact reductions with minimum 10% reduction in GWP impact",H95*1.5/Materials!$G$112*100,IF(N95="Third party impact reductions with min. 20% reduction in GWP &amp; 5% in two other cat.",H95*2/Materials!$G$112*100))))*IFERROR(N95&lt;&gt;0,)</f>
        <v>0</v>
      </c>
      <c r="S95" s="442">
        <f t="shared" ref="S95" si="381">IF(O95="Yes",R95*2,R95)</f>
        <v>0</v>
      </c>
    </row>
    <row r="96" spans="1:19" s="173" customFormat="1" x14ac:dyDescent="0.2">
      <c r="A96" s="180">
        <f t="shared" ref="A96" si="382">IF(H96&gt;=0,0,1)</f>
        <v>0</v>
      </c>
      <c r="B96" s="355" t="str">
        <f>IF(ISBLANK(Materials!B96),"",Materials!B96)</f>
        <v xml:space="preserve">Metal Lath </v>
      </c>
      <c r="C96" s="355" t="str">
        <f>IF(ISBLANK(Materials!C96),"",Materials!C96)</f>
        <v>092400</v>
      </c>
      <c r="D96" s="355" t="str">
        <f>IF(ISBLANK(Materials!D96),"",Materials!D96)</f>
        <v/>
      </c>
      <c r="E96" s="355" t="str">
        <f>IF(ISBLANK(Materials!E96),"",Materials!E96)</f>
        <v>Self-Furred Diamond</v>
      </c>
      <c r="F96" s="439"/>
      <c r="G96" s="355" t="str">
        <f>IF(ISBLANK(Materials!F96),"",Materials!F96)</f>
        <v>Cemco</v>
      </c>
      <c r="H96" s="340">
        <f>IF(ISBLANK(Materials!G96),"",Materials!G96)</f>
        <v>0</v>
      </c>
      <c r="I96" s="267"/>
      <c r="J96" s="272"/>
      <c r="K96" s="273"/>
      <c r="L96" s="290" t="str">
        <f t="shared" ref="L96" si="383">IF(K96="Product-specific Type III Internal EPD",1,(IF(K96="Product Specific Type III External EPD",1.5,(IF(K96="Product-specific LCA",1,(IF(K96="Industry-wide/generic EPD",1,"")))))))</f>
        <v/>
      </c>
      <c r="M96" s="237"/>
      <c r="N96" s="238"/>
      <c r="O96" s="333"/>
      <c r="P96" s="389">
        <f t="shared" ref="P96" si="384">IF(S96&lt;=200,S96,IF(S96&gt;=201,200))*IFERROR(N96&lt;&gt;0,)</f>
        <v>0</v>
      </c>
      <c r="Q96" s="382" t="str">
        <f t="shared" ref="Q96" si="385">IF(N96="LCA impact reduction action plan",0.5*IF(O96="Yes",2,1),IF(O96="Yes",2,(IF(N96="Third party verified impact reductions in GWP",1,IF(O96="Yes",2,(IF(N96="Third party verified impact reductions with minimum 10% reduction in GWP impact",1.5,IF(O96="Yes",2,(IF(N96="Third party impact reductions with min. 20% reduction in GWP &amp; 5% in two other cat.",2,""))))))))))</f>
        <v/>
      </c>
      <c r="R96" s="441">
        <f>IF(N96="LCA impact reduction action plan",H96*0.5/Materials!$G$112*100,IF(N96="Third party verified impact reductions in GWP",H96/Materials!$G$112*100,IF(N96="Third party verified impact reductions with minimum 10% reduction in GWP impact",H96*1.5/Materials!$G$112*100,IF(N96="Third party impact reductions with min. 20% reduction in GWP &amp; 5% in two other cat.",H96*2/Materials!$G$112*100))))*IFERROR(N96&lt;&gt;0,)</f>
        <v>0</v>
      </c>
      <c r="S96" s="442">
        <f t="shared" ref="S96" si="386">IF(O96="Yes",R96*2,R96)</f>
        <v>0</v>
      </c>
    </row>
    <row r="97" spans="1:19" s="173" customFormat="1" x14ac:dyDescent="0.2">
      <c r="A97" s="180">
        <f t="shared" ref="A97" si="387">IF(H97&gt;=0,0,1)</f>
        <v>0</v>
      </c>
      <c r="B97" s="355" t="str">
        <f>IF(ISBLANK(Materials!B97),"",Materials!B97)</f>
        <v xml:space="preserve">Ceramic Wall Tiles </v>
      </c>
      <c r="C97" s="355" t="str">
        <f>IF(ISBLANK(Materials!C97),"",Materials!C97)</f>
        <v>093013</v>
      </c>
      <c r="D97" s="355" t="str">
        <f>IF(ISBLANK(Materials!D97),"",Materials!D97)</f>
        <v/>
      </c>
      <c r="E97" s="355" t="str">
        <f>IF(ISBLANK(Materials!E97),"",Materials!E97)</f>
        <v>?</v>
      </c>
      <c r="F97" s="439"/>
      <c r="G97" s="355" t="str">
        <f>IF(ISBLANK(Materials!F97),"",Materials!F97)</f>
        <v>Spec Mix?</v>
      </c>
      <c r="H97" s="340" t="str">
        <f>IF(ISBLANK(Materials!G97),"",Materials!G97)</f>
        <v/>
      </c>
      <c r="I97" s="267"/>
      <c r="J97" s="272"/>
      <c r="K97" s="273"/>
      <c r="L97" s="290" t="str">
        <f t="shared" ref="L97" si="388">IF(K97="Product-specific Type III Internal EPD",1,(IF(K97="Product Specific Type III External EPD",1.5,(IF(K97="Product-specific LCA",1,(IF(K97="Industry-wide/generic EPD",1,"")))))))</f>
        <v/>
      </c>
      <c r="M97" s="237"/>
      <c r="N97" s="238"/>
      <c r="O97" s="333"/>
      <c r="P97" s="389">
        <f t="shared" ref="P97" si="389">IF(S97&lt;=200,S97,IF(S97&gt;=201,200))*IFERROR(N97&lt;&gt;0,)</f>
        <v>0</v>
      </c>
      <c r="Q97" s="382" t="str">
        <f t="shared" ref="Q97" si="390">IF(N97="LCA impact reduction action plan",0.5*IF(O97="Yes",2,1),IF(O97="Yes",2,(IF(N97="Third party verified impact reductions in GWP",1,IF(O97="Yes",2,(IF(N97="Third party verified impact reductions with minimum 10% reduction in GWP impact",1.5,IF(O97="Yes",2,(IF(N97="Third party impact reductions with min. 20% reduction in GWP &amp; 5% in two other cat.",2,""))))))))))</f>
        <v/>
      </c>
      <c r="R97" s="441">
        <f>IF(N97="LCA impact reduction action plan",H97*0.5/Materials!$G$112*100,IF(N97="Third party verified impact reductions in GWP",H97/Materials!$G$112*100,IF(N97="Third party verified impact reductions with minimum 10% reduction in GWP impact",H97*1.5/Materials!$G$112*100,IF(N97="Third party impact reductions with min. 20% reduction in GWP &amp; 5% in two other cat.",H97*2/Materials!$G$112*100))))*IFERROR(N97&lt;&gt;0,)</f>
        <v>0</v>
      </c>
      <c r="S97" s="442">
        <f t="shared" ref="S97" si="391">IF(O97="Yes",R97*2,R97)</f>
        <v>0</v>
      </c>
    </row>
    <row r="98" spans="1:19" s="173" customFormat="1" x14ac:dyDescent="0.2">
      <c r="A98" s="180">
        <f t="shared" ref="A98" si="392">IF(H98&gt;=0,0,1)</f>
        <v>0</v>
      </c>
      <c r="B98" s="355" t="str">
        <f>IF(ISBLANK(Materials!B98),"",Materials!B98)</f>
        <v>Grout</v>
      </c>
      <c r="C98" s="355" t="str">
        <f>IF(ISBLANK(Materials!C98),"",Materials!C98)</f>
        <v>093013</v>
      </c>
      <c r="D98" s="355" t="str">
        <f>IF(ISBLANK(Materials!D98),"",Materials!D98)</f>
        <v/>
      </c>
      <c r="E98" s="355" t="str">
        <f>IF(ISBLANK(Materials!E98),"",Materials!E98)</f>
        <v>?</v>
      </c>
      <c r="F98" s="439"/>
      <c r="G98" s="355" t="str">
        <f>IF(ISBLANK(Materials!F98),"",Materials!F98)</f>
        <v>Laticrete</v>
      </c>
      <c r="H98" s="340" t="str">
        <f>IF(ISBLANK(Materials!G98),"",Materials!G98)</f>
        <v/>
      </c>
      <c r="I98" s="267"/>
      <c r="J98" s="272"/>
      <c r="K98" s="273"/>
      <c r="L98" s="290" t="str">
        <f t="shared" ref="L98" si="393">IF(K98="Product-specific Type III Internal EPD",1,(IF(K98="Product Specific Type III External EPD",1.5,(IF(K98="Product-specific LCA",1,(IF(K98="Industry-wide/generic EPD",1,"")))))))</f>
        <v/>
      </c>
      <c r="M98" s="237"/>
      <c r="N98" s="238"/>
      <c r="O98" s="333"/>
      <c r="P98" s="389">
        <f t="shared" ref="P98" si="394">IF(S98&lt;=200,S98,IF(S98&gt;=201,200))*IFERROR(N98&lt;&gt;0,)</f>
        <v>0</v>
      </c>
      <c r="Q98" s="382" t="str">
        <f t="shared" ref="Q98" si="395">IF(N98="LCA impact reduction action plan",0.5*IF(O98="Yes",2,1),IF(O98="Yes",2,(IF(N98="Third party verified impact reductions in GWP",1,IF(O98="Yes",2,(IF(N98="Third party verified impact reductions with minimum 10% reduction in GWP impact",1.5,IF(O98="Yes",2,(IF(N98="Third party impact reductions with min. 20% reduction in GWP &amp; 5% in two other cat.",2,""))))))))))</f>
        <v/>
      </c>
      <c r="R98" s="441">
        <f>IF(N98="LCA impact reduction action plan",H98*0.5/Materials!$G$112*100,IF(N98="Third party verified impact reductions in GWP",H98/Materials!$G$112*100,IF(N98="Third party verified impact reductions with minimum 10% reduction in GWP impact",H98*1.5/Materials!$G$112*100,IF(N98="Third party impact reductions with min. 20% reduction in GWP &amp; 5% in two other cat.",H98*2/Materials!$G$112*100))))*IFERROR(N98&lt;&gt;0,)</f>
        <v>0</v>
      </c>
      <c r="S98" s="442">
        <f t="shared" ref="S98" si="396">IF(O98="Yes",R98*2,R98)</f>
        <v>0</v>
      </c>
    </row>
    <row r="99" spans="1:19" s="173" customFormat="1" x14ac:dyDescent="0.2">
      <c r="A99" s="180">
        <f t="shared" ref="A99" si="397">IF(H99&gt;=0,0,1)</f>
        <v>0</v>
      </c>
      <c r="B99" s="355" t="str">
        <f>IF(ISBLANK(Materials!B99),"",Materials!B99)</f>
        <v>Ceramic Floor Tiles</v>
      </c>
      <c r="C99" s="355" t="str">
        <f>IF(ISBLANK(Materials!C99),"",Materials!C99)</f>
        <v>093013</v>
      </c>
      <c r="D99" s="355" t="str">
        <f>IF(ISBLANK(Materials!D99),"",Materials!D99)</f>
        <v/>
      </c>
      <c r="E99" s="355" t="str">
        <f>IF(ISBLANK(Materials!E99),"",Materials!E99)</f>
        <v>Union Mosaic Tile?, Marble Threshold?</v>
      </c>
      <c r="F99" s="439"/>
      <c r="G99" s="355" t="str">
        <f>IF(ISBLANK(Materials!F99),"",Materials!F99)</f>
        <v>?</v>
      </c>
      <c r="H99" s="340" t="str">
        <f>IF(ISBLANK(Materials!G99),"",Materials!G99)</f>
        <v/>
      </c>
      <c r="I99" s="267"/>
      <c r="J99" s="272"/>
      <c r="K99" s="273"/>
      <c r="L99" s="290" t="str">
        <f t="shared" ref="L99" si="398">IF(K99="Product-specific Type III Internal EPD",1,(IF(K99="Product Specific Type III External EPD",1.5,(IF(K99="Product-specific LCA",1,(IF(K99="Industry-wide/generic EPD",1,"")))))))</f>
        <v/>
      </c>
      <c r="M99" s="237"/>
      <c r="N99" s="238"/>
      <c r="O99" s="333"/>
      <c r="P99" s="389">
        <f t="shared" ref="P99" si="399">IF(S99&lt;=200,S99,IF(S99&gt;=201,200))*IFERROR(N99&lt;&gt;0,)</f>
        <v>0</v>
      </c>
      <c r="Q99" s="382" t="str">
        <f t="shared" ref="Q99" si="400">IF(N99="LCA impact reduction action plan",0.5*IF(O99="Yes",2,1),IF(O99="Yes",2,(IF(N99="Third party verified impact reductions in GWP",1,IF(O99="Yes",2,(IF(N99="Third party verified impact reductions with minimum 10% reduction in GWP impact",1.5,IF(O99="Yes",2,(IF(N99="Third party impact reductions with min. 20% reduction in GWP &amp; 5% in two other cat.",2,""))))))))))</f>
        <v/>
      </c>
      <c r="R99" s="441">
        <f>IF(N99="LCA impact reduction action plan",H99*0.5/Materials!$G$112*100,IF(N99="Third party verified impact reductions in GWP",H99/Materials!$G$112*100,IF(N99="Third party verified impact reductions with minimum 10% reduction in GWP impact",H99*1.5/Materials!$G$112*100,IF(N99="Third party impact reductions with min. 20% reduction in GWP &amp; 5% in two other cat.",H99*2/Materials!$G$112*100))))*IFERROR(N99&lt;&gt;0,)</f>
        <v>0</v>
      </c>
      <c r="S99" s="442">
        <f t="shared" ref="S99" si="401">IF(O99="Yes",R99*2,R99)</f>
        <v>0</v>
      </c>
    </row>
    <row r="100" spans="1:19" s="173" customFormat="1" x14ac:dyDescent="0.2">
      <c r="A100" s="180">
        <f t="shared" ref="A100" si="402">IF(H100&gt;=0,0,1)</f>
        <v>0</v>
      </c>
      <c r="B100" s="355" t="str">
        <f>IF(ISBLANK(Materials!B100),"",Materials!B100)</f>
        <v xml:space="preserve">Porcelain Wall Tiles </v>
      </c>
      <c r="C100" s="355" t="str">
        <f>IF(ISBLANK(Materials!C100),"",Materials!C100)</f>
        <v>093013</v>
      </c>
      <c r="D100" s="355" t="str">
        <f>IF(ISBLANK(Materials!D100),"",Materials!D100)</f>
        <v/>
      </c>
      <c r="E100" s="355" t="str">
        <f>IF(ISBLANK(Materials!E100),"",Materials!E100)</f>
        <v>Simpatico</v>
      </c>
      <c r="F100" s="439"/>
      <c r="G100" s="355" t="str">
        <f>IF(ISBLANK(Materials!F100),"",Materials!F100)</f>
        <v>Crossville</v>
      </c>
      <c r="H100" s="340">
        <f>IF(ISBLANK(Materials!G100),"",Materials!G100)</f>
        <v>0</v>
      </c>
      <c r="I100" s="267"/>
      <c r="J100" s="272"/>
      <c r="K100" s="273"/>
      <c r="L100" s="290" t="str">
        <f t="shared" ref="L100" si="403">IF(K100="Product-specific Type III Internal EPD",1,(IF(K100="Product Specific Type III External EPD",1.5,(IF(K100="Product-specific LCA",1,(IF(K100="Industry-wide/generic EPD",1,"")))))))</f>
        <v/>
      </c>
      <c r="M100" s="237"/>
      <c r="N100" s="238"/>
      <c r="O100" s="333"/>
      <c r="P100" s="389">
        <f t="shared" ref="P100" si="404">IF(S100&lt;=200,S100,IF(S100&gt;=201,200))*IFERROR(N100&lt;&gt;0,)</f>
        <v>0</v>
      </c>
      <c r="Q100" s="382" t="str">
        <f t="shared" ref="Q100" si="405">IF(N100="LCA impact reduction action plan",0.5*IF(O100="Yes",2,1),IF(O100="Yes",2,(IF(N100="Third party verified impact reductions in GWP",1,IF(O100="Yes",2,(IF(N100="Third party verified impact reductions with minimum 10% reduction in GWP impact",1.5,IF(O100="Yes",2,(IF(N100="Third party impact reductions with min. 20% reduction in GWP &amp; 5% in two other cat.",2,""))))))))))</f>
        <v/>
      </c>
      <c r="R100" s="441">
        <f>IF(N100="LCA impact reduction action plan",H100*0.5/Materials!$G$112*100,IF(N100="Third party verified impact reductions in GWP",H100/Materials!$G$112*100,IF(N100="Third party verified impact reductions with minimum 10% reduction in GWP impact",H100*1.5/Materials!$G$112*100,IF(N100="Third party impact reductions with min. 20% reduction in GWP &amp; 5% in two other cat.",H100*2/Materials!$G$112*100))))*IFERROR(N100&lt;&gt;0,)</f>
        <v>0</v>
      </c>
      <c r="S100" s="442">
        <f t="shared" ref="S100" si="406">IF(O100="Yes",R100*2,R100)</f>
        <v>0</v>
      </c>
    </row>
    <row r="101" spans="1:19" s="173" customFormat="1" x14ac:dyDescent="0.2">
      <c r="A101" s="180">
        <f t="shared" ref="A101" si="407">IF(H101&gt;=0,0,1)</f>
        <v>0</v>
      </c>
      <c r="B101" s="355" t="str">
        <f>IF(ISBLANK(Materials!B101),"",Materials!B101)</f>
        <v xml:space="preserve">Rubber Wall Base </v>
      </c>
      <c r="C101" s="355" t="str">
        <f>IF(ISBLANK(Materials!C101),"",Materials!C101)</f>
        <v>096513</v>
      </c>
      <c r="D101" s="355" t="str">
        <f>IF(ISBLANK(Materials!D101),"",Materials!D101)</f>
        <v/>
      </c>
      <c r="E101" s="355" t="str">
        <f>IF(ISBLANK(Materials!E101),"",Materials!E101)</f>
        <v>BaseWorks TS</v>
      </c>
      <c r="F101" s="439"/>
      <c r="G101" s="355" t="str">
        <f>IF(ISBLANK(Materials!F101),"",Materials!F101)</f>
        <v>Tarkett</v>
      </c>
      <c r="H101" s="340">
        <f>IF(ISBLANK(Materials!G101),"",Materials!G101)</f>
        <v>4601</v>
      </c>
      <c r="I101" s="267"/>
      <c r="J101" s="272"/>
      <c r="K101" s="273"/>
      <c r="L101" s="290" t="str">
        <f t="shared" ref="L101" si="408">IF(K101="Product-specific Type III Internal EPD",1,(IF(K101="Product Specific Type III External EPD",1.5,(IF(K101="Product-specific LCA",1,(IF(K101="Industry-wide/generic EPD",1,"")))))))</f>
        <v/>
      </c>
      <c r="M101" s="237"/>
      <c r="N101" s="238"/>
      <c r="O101" s="333"/>
      <c r="P101" s="389">
        <f t="shared" ref="P101" si="409">IF(S101&lt;=200,S101,IF(S101&gt;=201,200))*IFERROR(N101&lt;&gt;0,)</f>
        <v>0</v>
      </c>
      <c r="Q101" s="382" t="str">
        <f t="shared" ref="Q101" si="410">IF(N101="LCA impact reduction action plan",0.5*IF(O101="Yes",2,1),IF(O101="Yes",2,(IF(N101="Third party verified impact reductions in GWP",1,IF(O101="Yes",2,(IF(N101="Third party verified impact reductions with minimum 10% reduction in GWP impact",1.5,IF(O101="Yes",2,(IF(N101="Third party impact reductions with min. 20% reduction in GWP &amp; 5% in two other cat.",2,""))))))))))</f>
        <v/>
      </c>
      <c r="R101" s="441">
        <f>IF(N101="LCA impact reduction action plan",H101*0.5/Materials!$G$112*100,IF(N101="Third party verified impact reductions in GWP",H101/Materials!$G$112*100,IF(N101="Third party verified impact reductions with minimum 10% reduction in GWP impact",H101*1.5/Materials!$G$112*100,IF(N101="Third party impact reductions with min. 20% reduction in GWP &amp; 5% in two other cat.",H101*2/Materials!$G$112*100))))*IFERROR(N101&lt;&gt;0,)</f>
        <v>0</v>
      </c>
      <c r="S101" s="442">
        <f t="shared" ref="S101" si="411">IF(O101="Yes",R101*2,R101)</f>
        <v>0</v>
      </c>
    </row>
    <row r="102" spans="1:19" s="173" customFormat="1" x14ac:dyDescent="0.2">
      <c r="A102" s="180">
        <f t="shared" ref="A102" si="412">IF(H102&gt;=0,0,1)</f>
        <v>0</v>
      </c>
      <c r="B102" s="355" t="str">
        <f>IF(ISBLANK(Materials!B102),"",Materials!B102)</f>
        <v xml:space="preserve">Carpet Tiles </v>
      </c>
      <c r="C102" s="355" t="str">
        <f>IF(ISBLANK(Materials!C102),"",Materials!C102)</f>
        <v>096813</v>
      </c>
      <c r="D102" s="355" t="str">
        <f>IF(ISBLANK(Materials!D102),"",Materials!D102)</f>
        <v/>
      </c>
      <c r="E102" s="355" t="str">
        <f>IF(ISBLANK(Materials!E102),"",Materials!E102)</f>
        <v>Infinity Antron Lumena</v>
      </c>
      <c r="F102" s="439"/>
      <c r="G102" s="355" t="str">
        <f>IF(ISBLANK(Materials!F102),"",Materials!F102)</f>
        <v>Mannington</v>
      </c>
      <c r="H102" s="340">
        <f>IF(ISBLANK(Materials!G102),"",Materials!G102)</f>
        <v>50352</v>
      </c>
      <c r="I102" s="267"/>
      <c r="J102" s="272"/>
      <c r="K102" s="273"/>
      <c r="L102" s="290" t="str">
        <f t="shared" ref="L102" si="413">IF(K102="Product-specific Type III Internal EPD",1,(IF(K102="Product Specific Type III External EPD",1.5,(IF(K102="Product-specific LCA",1,(IF(K102="Industry-wide/generic EPD",1,"")))))))</f>
        <v/>
      </c>
      <c r="M102" s="237"/>
      <c r="N102" s="238"/>
      <c r="O102" s="333"/>
      <c r="P102" s="389">
        <f t="shared" ref="P102" si="414">IF(S102&lt;=200,S102,IF(S102&gt;=201,200))*IFERROR(N102&lt;&gt;0,)</f>
        <v>0</v>
      </c>
      <c r="Q102" s="382" t="str">
        <f t="shared" ref="Q102" si="415">IF(N102="LCA impact reduction action plan",0.5*IF(O102="Yes",2,1),IF(O102="Yes",2,(IF(N102="Third party verified impact reductions in GWP",1,IF(O102="Yes",2,(IF(N102="Third party verified impact reductions with minimum 10% reduction in GWP impact",1.5,IF(O102="Yes",2,(IF(N102="Third party impact reductions with min. 20% reduction in GWP &amp; 5% in two other cat.",2,""))))))))))</f>
        <v/>
      </c>
      <c r="R102" s="441">
        <f>IF(N102="LCA impact reduction action plan",H102*0.5/Materials!$G$112*100,IF(N102="Third party verified impact reductions in GWP",H102/Materials!$G$112*100,IF(N102="Third party verified impact reductions with minimum 10% reduction in GWP impact",H102*1.5/Materials!$G$112*100,IF(N102="Third party impact reductions with min. 20% reduction in GWP &amp; 5% in two other cat.",H102*2/Materials!$G$112*100))))*IFERROR(N102&lt;&gt;0,)</f>
        <v>0</v>
      </c>
      <c r="S102" s="442">
        <f t="shared" ref="S102" si="416">IF(O102="Yes",R102*2,R102)</f>
        <v>0</v>
      </c>
    </row>
    <row r="103" spans="1:19" s="173" customFormat="1" x14ac:dyDescent="0.2">
      <c r="A103" s="180">
        <f t="shared" ref="A103" si="417">IF(H103&gt;=0,0,1)</f>
        <v>0</v>
      </c>
      <c r="B103" s="355" t="str">
        <f>IF(ISBLANK(Materials!B103),"",Materials!B103)</f>
        <v>Non-Flat, Flat</v>
      </c>
      <c r="C103" s="355" t="str">
        <f>IF(ISBLANK(Materials!C103),"",Materials!C103)</f>
        <v>099123</v>
      </c>
      <c r="D103" s="355" t="str">
        <f>IF(ISBLANK(Materials!D103),"",Materials!D103)</f>
        <v/>
      </c>
      <c r="E103" s="355" t="str">
        <f>IF(ISBLANK(Materials!E103),"",Materials!E103)</f>
        <v>B20W12651, B53W01153, B20W02653, PE3000451, B20T02654</v>
      </c>
      <c r="F103" s="439"/>
      <c r="G103" s="355" t="str">
        <f>IF(ISBLANK(Materials!F103),"",Materials!F103)</f>
        <v>Sherwin Williams</v>
      </c>
      <c r="H103" s="340" t="str">
        <f>IF(ISBLANK(Materials!G103),"",Materials!G103)</f>
        <v/>
      </c>
      <c r="I103" s="267"/>
      <c r="J103" s="272"/>
      <c r="K103" s="273"/>
      <c r="L103" s="290" t="str">
        <f t="shared" ref="L103" si="418">IF(K103="Product-specific Type III Internal EPD",1,(IF(K103="Product Specific Type III External EPD",1.5,(IF(K103="Product-specific LCA",1,(IF(K103="Industry-wide/generic EPD",1,"")))))))</f>
        <v/>
      </c>
      <c r="M103" s="237"/>
      <c r="N103" s="238"/>
      <c r="O103" s="333"/>
      <c r="P103" s="389">
        <f t="shared" ref="P103" si="419">IF(S103&lt;=200,S103,IF(S103&gt;=201,200))*IFERROR(N103&lt;&gt;0,)</f>
        <v>0</v>
      </c>
      <c r="Q103" s="382" t="str">
        <f t="shared" ref="Q103" si="420">IF(N103="LCA impact reduction action plan",0.5*IF(O103="Yes",2,1),IF(O103="Yes",2,(IF(N103="Third party verified impact reductions in GWP",1,IF(O103="Yes",2,(IF(N103="Third party verified impact reductions with minimum 10% reduction in GWP impact",1.5,IF(O103="Yes",2,(IF(N103="Third party impact reductions with min. 20% reduction in GWP &amp; 5% in two other cat.",2,""))))))))))</f>
        <v/>
      </c>
      <c r="R103" s="441">
        <f>IF(N103="LCA impact reduction action plan",H103*0.5/Materials!$G$112*100,IF(N103="Third party verified impact reductions in GWP",H103/Materials!$G$112*100,IF(N103="Third party verified impact reductions with minimum 10% reduction in GWP impact",H103*1.5/Materials!$G$112*100,IF(N103="Third party impact reductions with min. 20% reduction in GWP &amp; 5% in two other cat.",H103*2/Materials!$G$112*100))))*IFERROR(N103&lt;&gt;0,)</f>
        <v>0</v>
      </c>
      <c r="S103" s="442">
        <f t="shared" ref="S103" si="421">IF(O103="Yes",R103*2,R103)</f>
        <v>0</v>
      </c>
    </row>
    <row r="104" spans="1:19" s="173" customFormat="1" x14ac:dyDescent="0.2">
      <c r="A104" s="180">
        <f t="shared" ref="A104" si="422">IF(H104&gt;=0,0,1)</f>
        <v>0</v>
      </c>
      <c r="B104" s="355" t="str">
        <f>IF(ISBLANK(Materials!B104),"",Materials!B104)</f>
        <v xml:space="preserve">Window Treatments </v>
      </c>
      <c r="C104" s="355" t="str">
        <f>IF(ISBLANK(Materials!C104),"",Materials!C104)</f>
        <v>122113, 122413</v>
      </c>
      <c r="D104" s="355" t="str">
        <f>IF(ISBLANK(Materials!D104),"",Materials!D104)</f>
        <v/>
      </c>
      <c r="E104" s="355" t="str">
        <f>IF(ISBLANK(Materials!E104),"",Materials!E104)</f>
        <v>Bali Classics Aluminum Blinds, EcoVeil 1350 Series</v>
      </c>
      <c r="F104" s="439"/>
      <c r="G104" s="355" t="str">
        <f>IF(ISBLANK(Materials!F104),"",Materials!F104)</f>
        <v>SWFcontract, Mecho</v>
      </c>
      <c r="H104" s="340" t="str">
        <f>IF(ISBLANK(Materials!G104),"",Materials!G104)</f>
        <v/>
      </c>
      <c r="I104" s="267"/>
      <c r="J104" s="272"/>
      <c r="K104" s="273"/>
      <c r="L104" s="290" t="str">
        <f t="shared" ref="L104" si="423">IF(K104="Product-specific Type III Internal EPD",1,(IF(K104="Product Specific Type III External EPD",1.5,(IF(K104="Product-specific LCA",1,(IF(K104="Industry-wide/generic EPD",1,"")))))))</f>
        <v/>
      </c>
      <c r="M104" s="237"/>
      <c r="N104" s="238"/>
      <c r="O104" s="333"/>
      <c r="P104" s="389">
        <f t="shared" ref="P104" si="424">IF(S104&lt;=200,S104,IF(S104&gt;=201,200))*IFERROR(N104&lt;&gt;0,)</f>
        <v>0</v>
      </c>
      <c r="Q104" s="382" t="str">
        <f t="shared" ref="Q104" si="425">IF(N104="LCA impact reduction action plan",0.5*IF(O104="Yes",2,1),IF(O104="Yes",2,(IF(N104="Third party verified impact reductions in GWP",1,IF(O104="Yes",2,(IF(N104="Third party verified impact reductions with minimum 10% reduction in GWP impact",1.5,IF(O104="Yes",2,(IF(N104="Third party impact reductions with min. 20% reduction in GWP &amp; 5% in two other cat.",2,""))))))))))</f>
        <v/>
      </c>
      <c r="R104" s="441">
        <f>IF(N104="LCA impact reduction action plan",H104*0.5/Materials!$G$112*100,IF(N104="Third party verified impact reductions in GWP",H104/Materials!$G$112*100,IF(N104="Third party verified impact reductions with minimum 10% reduction in GWP impact",H104*1.5/Materials!$G$112*100,IF(N104="Third party impact reductions with min. 20% reduction in GWP &amp; 5% in two other cat.",H104*2/Materials!$G$112*100))))*IFERROR(N104&lt;&gt;0,)</f>
        <v>0</v>
      </c>
      <c r="S104" s="442">
        <f t="shared" ref="S104" si="426">IF(O104="Yes",R104*2,R104)</f>
        <v>0</v>
      </c>
    </row>
    <row r="105" spans="1:19" s="173" customFormat="1" x14ac:dyDescent="0.2">
      <c r="A105" s="180">
        <f t="shared" ref="A105" si="427">IF(H105&gt;=0,0,1)</f>
        <v>0</v>
      </c>
      <c r="B105" s="355" t="str">
        <f>IF(ISBLANK(Materials!B105),"",Materials!B105)</f>
        <v>Aluminum Louver Fences &amp; Gates</v>
      </c>
      <c r="C105" s="355" t="str">
        <f>IF(ISBLANK(Materials!C105),"",Materials!C105)</f>
        <v>323121</v>
      </c>
      <c r="D105" s="355" t="str">
        <f>IF(ISBLANK(Materials!D105),"",Materials!D105)</f>
        <v/>
      </c>
      <c r="E105" s="355" t="str">
        <f>IF(ISBLANK(Materials!E105),"",Materials!E105)</f>
        <v>Eclipse 100</v>
      </c>
      <c r="F105" s="439"/>
      <c r="G105" s="355" t="str">
        <f>IF(ISBLANK(Materials!F105),"",Materials!F105)</f>
        <v>Ametco</v>
      </c>
      <c r="H105" s="340">
        <f>IF(ISBLANK(Materials!G105),"",Materials!G105)</f>
        <v>0</v>
      </c>
      <c r="I105" s="267"/>
      <c r="J105" s="272"/>
      <c r="K105" s="273"/>
      <c r="L105" s="290" t="str">
        <f t="shared" ref="L105" si="428">IF(K105="Product-specific Type III Internal EPD",1,(IF(K105="Product Specific Type III External EPD",1.5,(IF(K105="Product-specific LCA",1,(IF(K105="Industry-wide/generic EPD",1,"")))))))</f>
        <v/>
      </c>
      <c r="M105" s="237"/>
      <c r="N105" s="238"/>
      <c r="O105" s="333"/>
      <c r="P105" s="389">
        <f t="shared" ref="P105" si="429">IF(S105&lt;=200,S105,IF(S105&gt;=201,200))*IFERROR(N105&lt;&gt;0,)</f>
        <v>0</v>
      </c>
      <c r="Q105" s="382" t="str">
        <f t="shared" ref="Q105" si="430">IF(N105="LCA impact reduction action plan",0.5*IF(O105="Yes",2,1),IF(O105="Yes",2,(IF(N105="Third party verified impact reductions in GWP",1,IF(O105="Yes",2,(IF(N105="Third party verified impact reductions with minimum 10% reduction in GWP impact",1.5,IF(O105="Yes",2,(IF(N105="Third party impact reductions with min. 20% reduction in GWP &amp; 5% in two other cat.",2,""))))))))))</f>
        <v/>
      </c>
      <c r="R105" s="441">
        <f>IF(N105="LCA impact reduction action plan",H105*0.5/Materials!$G$112*100,IF(N105="Third party verified impact reductions in GWP",H105/Materials!$G$112*100,IF(N105="Third party verified impact reductions with minimum 10% reduction in GWP impact",H105*1.5/Materials!$G$112*100,IF(N105="Third party impact reductions with min. 20% reduction in GWP &amp; 5% in two other cat.",H105*2/Materials!$G$112*100))))*IFERROR(N105&lt;&gt;0,)</f>
        <v>0</v>
      </c>
      <c r="S105" s="442">
        <f t="shared" ref="S105" si="431">IF(O105="Yes",R105*2,R105)</f>
        <v>0</v>
      </c>
    </row>
    <row r="106" spans="1:19" s="173" customFormat="1" x14ac:dyDescent="0.2">
      <c r="A106" s="180">
        <f t="shared" ref="A106" si="432">IF(H106&gt;=0,0,1)</f>
        <v>0</v>
      </c>
      <c r="B106" s="355" t="str">
        <f>IF(ISBLANK(Materials!B106),"",Materials!B106)</f>
        <v>Planting Accessories</v>
      </c>
      <c r="C106" s="355" t="str">
        <f>IF(ISBLANK(Materials!C106),"",Materials!C106)</f>
        <v>329000</v>
      </c>
      <c r="D106" s="355" t="str">
        <f>IF(ISBLANK(Materials!D106),"",Materials!D106)</f>
        <v/>
      </c>
      <c r="E106" s="355" t="str">
        <f>IF(ISBLANK(Materials!E106),"",Materials!E106)</f>
        <v>Steel Fence Posts &amp; Wire</v>
      </c>
      <c r="F106" s="439"/>
      <c r="G106" s="355" t="str">
        <f>IF(ISBLANK(Materials!F106),"",Materials!F106)</f>
        <v>Red &amp; White Greenery, AM Leonard</v>
      </c>
      <c r="H106" s="340">
        <f>IF(ISBLANK(Materials!G106),"",Materials!G106)</f>
        <v>64.259999999999991</v>
      </c>
      <c r="I106" s="267"/>
      <c r="J106" s="272"/>
      <c r="K106" s="273"/>
      <c r="L106" s="290" t="str">
        <f t="shared" ref="L106" si="433">IF(K106="Product-specific Type III Internal EPD",1,(IF(K106="Product Specific Type III External EPD",1.5,(IF(K106="Product-specific LCA",1,(IF(K106="Industry-wide/generic EPD",1,"")))))))</f>
        <v/>
      </c>
      <c r="M106" s="237"/>
      <c r="N106" s="238"/>
      <c r="O106" s="333"/>
      <c r="P106" s="389">
        <f t="shared" ref="P106" si="434">IF(S106&lt;=200,S106,IF(S106&gt;=201,200))*IFERROR(N106&lt;&gt;0,)</f>
        <v>0</v>
      </c>
      <c r="Q106" s="382" t="str">
        <f t="shared" ref="Q106" si="435">IF(N106="LCA impact reduction action plan",0.5*IF(O106="Yes",2,1),IF(O106="Yes",2,(IF(N106="Third party verified impact reductions in GWP",1,IF(O106="Yes",2,(IF(N106="Third party verified impact reductions with minimum 10% reduction in GWP impact",1.5,IF(O106="Yes",2,(IF(N106="Third party impact reductions with min. 20% reduction in GWP &amp; 5% in two other cat.",2,""))))))))))</f>
        <v/>
      </c>
      <c r="R106" s="441">
        <f>IF(N106="LCA impact reduction action plan",H106*0.5/Materials!$G$112*100,IF(N106="Third party verified impact reductions in GWP",H106/Materials!$G$112*100,IF(N106="Third party verified impact reductions with minimum 10% reduction in GWP impact",H106*1.5/Materials!$G$112*100,IF(N106="Third party impact reductions with min. 20% reduction in GWP &amp; 5% in two other cat.",H106*2/Materials!$G$112*100))))*IFERROR(N106&lt;&gt;0,)</f>
        <v>0</v>
      </c>
      <c r="S106" s="442">
        <f t="shared" ref="S106" si="436">IF(O106="Yes",R106*2,R106)</f>
        <v>0</v>
      </c>
    </row>
    <row r="107" spans="1:19" s="173" customFormat="1" x14ac:dyDescent="0.2">
      <c r="A107" s="180">
        <f t="shared" ref="A107:A108" si="437">IF(H107&gt;=0,0,1)</f>
        <v>0</v>
      </c>
      <c r="B107" s="355" t="str">
        <f>IF(ISBLANK(Materials!B107),"",Materials!B107)</f>
        <v>Metal Composite Panels</v>
      </c>
      <c r="C107" s="355" t="str">
        <f>IF(ISBLANK(Materials!C107),"",Materials!C107)</f>
        <v>074213</v>
      </c>
      <c r="D107" s="355" t="str">
        <f>IF(ISBLANK(Materials!D107),"",Materials!D107)</f>
        <v/>
      </c>
      <c r="E107" s="355" t="str">
        <f>IF(ISBLANK(Materials!E107),"",Materials!E107)</f>
        <v>4 mm ACM fr</v>
      </c>
      <c r="F107" s="439"/>
      <c r="G107" s="355" t="str">
        <f>IF(ISBLANK(Materials!F107),"",Materials!F107)</f>
        <v>ALPOLIC-Mitsubishi</v>
      </c>
      <c r="H107" s="340">
        <f>IF(ISBLANK(Materials!G107),"",Materials!G107)</f>
        <v>0</v>
      </c>
      <c r="I107" s="267"/>
      <c r="J107" s="272"/>
      <c r="K107" s="273"/>
      <c r="L107" s="290" t="str">
        <f t="shared" ref="L107:L108" si="438">IF(K107="Product-specific Type III Internal EPD",1,(IF(K107="Product Specific Type III External EPD",1.5,(IF(K107="Product-specific LCA",1,(IF(K107="Industry-wide/generic EPD",1,"")))))))</f>
        <v/>
      </c>
      <c r="M107" s="237"/>
      <c r="N107" s="238"/>
      <c r="O107" s="333"/>
      <c r="P107" s="389">
        <f t="shared" ref="P107:P108" si="439">IF(S107&lt;=200,S107,IF(S107&gt;=201,200))*IFERROR(N107&lt;&gt;0,)</f>
        <v>0</v>
      </c>
      <c r="Q107" s="382" t="str">
        <f t="shared" ref="Q107:Q108" si="440">IF(N107="LCA impact reduction action plan",0.5*IF(O107="Yes",2,1),IF(O107="Yes",2,(IF(N107="Third party verified impact reductions in GWP",1,IF(O107="Yes",2,(IF(N107="Third party verified impact reductions with minimum 10% reduction in GWP impact",1.5,IF(O107="Yes",2,(IF(N107="Third party impact reductions with min. 20% reduction in GWP &amp; 5% in two other cat.",2,""))))))))))</f>
        <v/>
      </c>
      <c r="R107" s="441">
        <f>IF(N107="LCA impact reduction action plan",H107*0.5/Materials!$G$112*100,IF(N107="Third party verified impact reductions in GWP",H107/Materials!$G$112*100,IF(N107="Third party verified impact reductions with minimum 10% reduction in GWP impact",H107*1.5/Materials!$G$112*100,IF(N107="Third party impact reductions with min. 20% reduction in GWP &amp; 5% in two other cat.",H107*2/Materials!$G$112*100))))*IFERROR(N107&lt;&gt;0,)</f>
        <v>0</v>
      </c>
      <c r="S107" s="442">
        <f t="shared" ref="S107:S108" si="441">IF(O107="Yes",R107*2,R107)</f>
        <v>0</v>
      </c>
    </row>
    <row r="108" spans="1:19" s="173" customFormat="1" x14ac:dyDescent="0.2">
      <c r="A108" s="180">
        <f t="shared" si="437"/>
        <v>0</v>
      </c>
      <c r="B108" s="355" t="str">
        <f>IF(ISBLANK(Materials!B108),"",Materials!B108)</f>
        <v>VCT</v>
      </c>
      <c r="C108" s="355" t="str">
        <f>IF(ISBLANK(Materials!C108),"",Materials!C108)</f>
        <v>096519</v>
      </c>
      <c r="D108" s="355" t="str">
        <f>IF(ISBLANK(Materials!D108),"",Materials!D108)</f>
        <v/>
      </c>
      <c r="E108" s="355" t="str">
        <f>IF(ISBLANK(Materials!E108),"",Materials!E108)</f>
        <v>Striations BBT</v>
      </c>
      <c r="F108" s="439"/>
      <c r="G108" s="355" t="str">
        <f>IF(ISBLANK(Materials!F108),"",Materials!F108)</f>
        <v>Armstrong</v>
      </c>
      <c r="H108" s="340">
        <f>IF(ISBLANK(Materials!G108),"",Materials!G108)</f>
        <v>27507</v>
      </c>
      <c r="I108" s="267"/>
      <c r="J108" s="272"/>
      <c r="K108" s="273"/>
      <c r="L108" s="290" t="str">
        <f t="shared" si="438"/>
        <v/>
      </c>
      <c r="M108" s="237"/>
      <c r="N108" s="238"/>
      <c r="O108" s="333"/>
      <c r="P108" s="389">
        <f t="shared" si="439"/>
        <v>0</v>
      </c>
      <c r="Q108" s="382" t="str">
        <f t="shared" si="440"/>
        <v/>
      </c>
      <c r="R108" s="441">
        <f>IF(N108="LCA impact reduction action plan",H108*0.5/Materials!$G$112*100,IF(N108="Third party verified impact reductions in GWP",H108/Materials!$G$112*100,IF(N108="Third party verified impact reductions with minimum 10% reduction in GWP impact",H108*1.5/Materials!$G$112*100,IF(N108="Third party impact reductions with min. 20% reduction in GWP &amp; 5% in two other cat.",H108*2/Materials!$G$112*100))))*IFERROR(N108&lt;&gt;0,)</f>
        <v>0</v>
      </c>
      <c r="S108" s="442">
        <f t="shared" si="441"/>
        <v>0</v>
      </c>
    </row>
    <row r="109" spans="1:19" s="173" customFormat="1" x14ac:dyDescent="0.2">
      <c r="A109" s="180"/>
      <c r="B109" s="355" t="str">
        <f>IF(ISBLANK(Materials!B109),"",Materials!B109)</f>
        <v>WM Carpet Tiles</v>
      </c>
      <c r="C109" s="355" t="str">
        <f>IF(ISBLANK(Materials!C109),"",Materials!C109)</f>
        <v>096813</v>
      </c>
      <c r="D109" s="355" t="str">
        <f>IF(ISBLANK(Materials!D109),"",Materials!D109)</f>
        <v/>
      </c>
      <c r="E109" s="355" t="str">
        <f>IF(ISBLANK(Materials!E109),"",Materials!E109)</f>
        <v>QL311 Step Up II</v>
      </c>
      <c r="F109" s="439"/>
      <c r="G109" s="355" t="str">
        <f>IF(ISBLANK(Materials!F109),"",Materials!F109)</f>
        <v>Mohawk</v>
      </c>
      <c r="H109" s="340">
        <f>IF(ISBLANK(Materials!G109),"",Materials!G109)</f>
        <v>0</v>
      </c>
      <c r="I109" s="267"/>
      <c r="J109" s="272"/>
      <c r="K109" s="273"/>
      <c r="L109" s="290" t="str">
        <f t="shared" si="4"/>
        <v/>
      </c>
      <c r="M109" s="237"/>
      <c r="N109" s="238"/>
      <c r="O109" s="333"/>
      <c r="P109" s="389">
        <f t="shared" si="1"/>
        <v>0</v>
      </c>
      <c r="Q109" s="382" t="str">
        <f t="shared" si="2"/>
        <v/>
      </c>
      <c r="R109" s="441">
        <f>IF(N109="LCA impact reduction action plan",H109*0.5/Materials!$G$112*100,IF(N109="Third party verified impact reductions in GWP",H109/Materials!$G$112*100,IF(N109="Third party verified impact reductions with minimum 10% reduction in GWP impact",H109*1.5/Materials!$G$112*100,IF(N109="Third party impact reductions with min. 20% reduction in GWP &amp; 5% in two other cat.",H109*2/Materials!$G$112*100))))*IFERROR(N109&lt;&gt;0,)</f>
        <v>0</v>
      </c>
      <c r="S109" s="442">
        <f t="shared" si="3"/>
        <v>0</v>
      </c>
    </row>
    <row r="110" spans="1:19" s="173" customFormat="1" x14ac:dyDescent="0.2">
      <c r="A110" s="180"/>
      <c r="B110" s="351" t="str">
        <f>IF(ISBLANK(Materials!B110),"",Materials!B110)</f>
        <v/>
      </c>
      <c r="C110" s="351" t="str">
        <f>IF(ISBLANK(Materials!C110),"",Materials!C110)</f>
        <v/>
      </c>
      <c r="D110" s="351" t="str">
        <f>IF(ISBLANK(Materials!D110),"",Materials!D110)</f>
        <v/>
      </c>
      <c r="E110" s="356" t="str">
        <f>IF(ISBLANK(Materials!E110),"",Materials!E110)</f>
        <v/>
      </c>
      <c r="F110" s="440"/>
      <c r="G110" s="356" t="str">
        <f>IF(ISBLANK(Materials!F110),"",Materials!F110)</f>
        <v/>
      </c>
      <c r="H110" s="288" t="str">
        <f>IF(ISBLANK(Materials!G110),"",Materials!G110)</f>
        <v/>
      </c>
      <c r="I110" s="181"/>
      <c r="J110" s="270"/>
      <c r="K110" s="271"/>
      <c r="L110" s="324" t="str">
        <f t="shared" si="4"/>
        <v/>
      </c>
      <c r="M110" s="237"/>
      <c r="N110" s="319"/>
      <c r="O110" s="334"/>
      <c r="P110" s="394">
        <f t="shared" si="1"/>
        <v>0</v>
      </c>
      <c r="Q110" s="395" t="str">
        <f t="shared" si="2"/>
        <v/>
      </c>
      <c r="R110" s="441">
        <f>IF(N110="LCA impact reduction action plan",H110*0.5/Materials!$G$112*100,IF(N110="Third party verified impact reductions in GWP",H110/Materials!$G$112*100,IF(N110="Third party verified impact reductions with minimum 10% reduction in GWP impact",H110*1.5/Materials!$G$112*100,IF(N110="Third party impact reductions with min. 20% reduction in GWP &amp; 5% in two other cat.",H110*2/Materials!$G$112*100))))*IFERROR(N110&lt;&gt;0,)</f>
        <v>0</v>
      </c>
      <c r="S110" s="443">
        <f t="shared" si="3"/>
        <v>0</v>
      </c>
    </row>
    <row r="111" spans="1:19" s="173" customFormat="1" ht="34.5" customHeight="1" x14ac:dyDescent="0.2">
      <c r="A111" s="180" t="s">
        <v>59</v>
      </c>
      <c r="B111" s="211"/>
      <c r="C111" s="212"/>
      <c r="D111" s="212"/>
      <c r="E111" s="212"/>
      <c r="F111" s="212"/>
      <c r="G111" s="212"/>
      <c r="H111" s="213"/>
      <c r="I111" s="214"/>
      <c r="J111" s="491" t="s">
        <v>18</v>
      </c>
      <c r="K111" s="492"/>
      <c r="L111" s="225">
        <f>ROUNDDOWN(SUM(L9:L110),2)</f>
        <v>28</v>
      </c>
      <c r="M111" s="214"/>
      <c r="N111" s="493" t="s">
        <v>130</v>
      </c>
      <c r="O111" s="494"/>
      <c r="P111" s="390">
        <f t="array" ref="P111">SUM(IFERROR(P9:P110,0))</f>
        <v>0</v>
      </c>
      <c r="Q111" s="383">
        <f>SUM(Q9:Q110)</f>
        <v>0</v>
      </c>
      <c r="R111" s="444"/>
      <c r="S111" s="445"/>
    </row>
    <row r="112" spans="1:19" s="173" customFormat="1" ht="12" customHeight="1" x14ac:dyDescent="0.2">
      <c r="A112" s="204"/>
      <c r="B112" s="182"/>
      <c r="C112" s="182"/>
      <c r="D112" s="182"/>
      <c r="E112" s="182"/>
      <c r="F112" s="182"/>
      <c r="G112" s="182"/>
      <c r="H112" s="183"/>
      <c r="I112" s="183"/>
      <c r="J112" s="183"/>
      <c r="K112" s="183"/>
      <c r="L112" s="183"/>
      <c r="M112" s="183"/>
      <c r="N112" s="184"/>
      <c r="O112" s="185"/>
    </row>
    <row r="113" spans="1:17" s="173" customFormat="1" ht="12" customHeight="1" x14ac:dyDescent="0.2">
      <c r="A113" s="204"/>
      <c r="B113" s="186"/>
      <c r="C113" s="186"/>
      <c r="D113" s="186"/>
      <c r="E113" s="186"/>
      <c r="F113" s="186"/>
      <c r="G113" s="186"/>
      <c r="H113" s="184"/>
      <c r="I113" s="184"/>
      <c r="J113" s="184"/>
      <c r="K113" s="184"/>
      <c r="L113" s="184"/>
      <c r="M113" s="184"/>
      <c r="N113" s="184"/>
      <c r="O113" s="185"/>
    </row>
    <row r="114" spans="1:17" s="173" customFormat="1" ht="12" customHeight="1" x14ac:dyDescent="0.2">
      <c r="A114" s="204"/>
      <c r="B114" s="186"/>
      <c r="C114" s="186"/>
      <c r="D114" s="186"/>
      <c r="E114" s="186"/>
      <c r="F114" s="186"/>
      <c r="G114" s="186"/>
      <c r="H114" s="184"/>
      <c r="I114" s="184"/>
      <c r="J114" s="184"/>
      <c r="K114" s="184"/>
      <c r="L114" s="184"/>
      <c r="M114" s="184"/>
      <c r="N114" s="184"/>
      <c r="O114" s="185"/>
    </row>
    <row r="115" spans="1:17" s="173" customFormat="1" ht="12" customHeight="1" x14ac:dyDescent="0.2">
      <c r="A115" s="204"/>
      <c r="B115" s="186"/>
      <c r="C115" s="186"/>
      <c r="D115" s="186"/>
      <c r="E115" s="186"/>
      <c r="F115" s="186"/>
      <c r="G115" s="186"/>
      <c r="H115" s="184"/>
      <c r="I115" s="184"/>
      <c r="J115" s="184"/>
      <c r="K115" s="184"/>
      <c r="L115" s="184"/>
      <c r="M115" s="184"/>
      <c r="N115" s="184"/>
      <c r="O115" s="185"/>
      <c r="Q115" s="388"/>
    </row>
    <row r="116" spans="1:17" s="173" customFormat="1" ht="12" customHeight="1" x14ac:dyDescent="0.2">
      <c r="A116" s="204"/>
      <c r="B116" s="186"/>
      <c r="C116" s="186"/>
      <c r="D116" s="186"/>
      <c r="E116" s="186"/>
      <c r="F116" s="186"/>
      <c r="G116" s="186"/>
      <c r="H116" s="184"/>
      <c r="I116" s="184"/>
      <c r="J116" s="184"/>
      <c r="K116" s="184"/>
      <c r="L116" s="230"/>
      <c r="M116" s="184"/>
      <c r="N116" s="184"/>
      <c r="O116" s="185"/>
    </row>
    <row r="117" spans="1:17" s="173" customFormat="1" ht="12" customHeight="1" x14ac:dyDescent="0.2">
      <c r="A117" s="204"/>
      <c r="B117" s="187"/>
      <c r="C117" s="187"/>
      <c r="D117" s="187"/>
      <c r="E117" s="187"/>
      <c r="F117" s="187"/>
      <c r="G117" s="187"/>
      <c r="H117" s="184"/>
      <c r="I117" s="184"/>
      <c r="J117" s="184"/>
      <c r="K117" s="184"/>
      <c r="L117" s="230"/>
      <c r="M117" s="184"/>
      <c r="N117" s="184"/>
      <c r="O117" s="185"/>
    </row>
    <row r="118" spans="1:17" s="173" customFormat="1" ht="12" customHeight="1" x14ac:dyDescent="0.2">
      <c r="A118" s="204"/>
      <c r="B118" s="187"/>
      <c r="C118" s="187"/>
      <c r="D118" s="187"/>
      <c r="E118" s="187"/>
      <c r="F118" s="187"/>
      <c r="G118" s="187"/>
      <c r="H118" s="184"/>
      <c r="I118" s="184"/>
      <c r="J118" s="184"/>
      <c r="K118" s="184"/>
      <c r="L118" s="230"/>
      <c r="M118" s="184"/>
      <c r="N118" s="184"/>
      <c r="O118" s="185"/>
    </row>
    <row r="119" spans="1:17" s="173" customFormat="1" ht="12" customHeight="1" x14ac:dyDescent="0.2">
      <c r="A119" s="204"/>
      <c r="B119" s="187"/>
      <c r="C119" s="187"/>
      <c r="D119" s="187"/>
      <c r="E119" s="187"/>
      <c r="F119" s="187"/>
      <c r="G119" s="187"/>
      <c r="H119" s="184"/>
      <c r="I119" s="184"/>
      <c r="J119" s="184"/>
      <c r="K119" s="184"/>
      <c r="L119" s="230"/>
      <c r="M119" s="184"/>
      <c r="N119" s="184"/>
      <c r="O119" s="185"/>
    </row>
    <row r="120" spans="1:17" s="173" customFormat="1" ht="12" customHeight="1" x14ac:dyDescent="0.2">
      <c r="A120" s="204"/>
      <c r="B120" s="187"/>
      <c r="C120" s="187"/>
      <c r="D120" s="187"/>
      <c r="E120" s="187"/>
      <c r="F120" s="187"/>
      <c r="G120" s="187"/>
      <c r="H120" s="184"/>
      <c r="I120" s="184"/>
      <c r="J120" s="184"/>
      <c r="K120" s="184"/>
      <c r="L120" s="230"/>
      <c r="M120" s="184"/>
      <c r="N120" s="184"/>
      <c r="O120" s="185"/>
    </row>
    <row r="121" spans="1:17" s="173" customFormat="1" ht="15" customHeight="1" x14ac:dyDescent="0.2">
      <c r="A121" s="204"/>
      <c r="B121" s="187"/>
      <c r="C121" s="187"/>
      <c r="D121" s="187"/>
      <c r="E121" s="187"/>
      <c r="F121" s="187"/>
      <c r="G121" s="187"/>
      <c r="H121" s="184"/>
      <c r="I121" s="184"/>
      <c r="J121" s="184"/>
      <c r="K121" s="184"/>
      <c r="L121" s="184"/>
      <c r="M121" s="184"/>
      <c r="N121" s="184"/>
      <c r="O121" s="228"/>
    </row>
    <row r="122" spans="1:17" s="173" customFormat="1" ht="15" customHeight="1" x14ac:dyDescent="0.2">
      <c r="A122" s="204"/>
      <c r="B122" s="187"/>
      <c r="C122" s="187"/>
      <c r="D122" s="187"/>
      <c r="E122" s="187"/>
      <c r="F122" s="187"/>
      <c r="G122" s="187"/>
      <c r="H122" s="184"/>
      <c r="I122" s="184"/>
      <c r="J122" s="184"/>
      <c r="K122" s="184"/>
      <c r="L122" s="184"/>
      <c r="M122" s="184"/>
      <c r="N122" s="184"/>
      <c r="O122" s="185"/>
      <c r="P122" s="188"/>
    </row>
    <row r="123" spans="1:17" s="173" customFormat="1" ht="20.100000000000001" customHeight="1" x14ac:dyDescent="0.2">
      <c r="A123" s="204"/>
      <c r="B123" s="187"/>
      <c r="C123" s="187"/>
      <c r="D123" s="187"/>
      <c r="E123" s="187"/>
      <c r="F123" s="187"/>
      <c r="G123" s="187"/>
      <c r="H123" s="184"/>
      <c r="I123" s="184"/>
      <c r="J123" s="184"/>
      <c r="K123" s="184"/>
      <c r="L123" s="184"/>
      <c r="M123" s="184"/>
      <c r="N123" s="184"/>
      <c r="O123" s="185"/>
    </row>
    <row r="124" spans="1:17" s="188" customFormat="1" ht="20.100000000000001" customHeight="1" x14ac:dyDescent="0.2">
      <c r="A124" s="205"/>
      <c r="B124" s="187"/>
      <c r="C124" s="187"/>
      <c r="D124" s="187"/>
      <c r="E124" s="187"/>
      <c r="F124" s="187"/>
      <c r="G124" s="187"/>
      <c r="H124" s="184"/>
      <c r="I124" s="184"/>
      <c r="J124" s="184"/>
      <c r="K124" s="184"/>
      <c r="L124" s="184"/>
      <c r="M124" s="184"/>
      <c r="N124" s="184"/>
      <c r="O124" s="185"/>
      <c r="P124" s="173"/>
    </row>
    <row r="125" spans="1:17" s="173" customFormat="1" ht="20.100000000000001" customHeight="1" x14ac:dyDescent="0.2">
      <c r="A125" s="204"/>
      <c r="B125" s="187"/>
      <c r="C125" s="187"/>
      <c r="D125" s="187"/>
      <c r="E125" s="187"/>
      <c r="F125" s="187"/>
      <c r="G125" s="187"/>
      <c r="H125" s="184"/>
      <c r="I125" s="184"/>
      <c r="J125" s="184"/>
      <c r="K125" s="184"/>
      <c r="L125" s="184"/>
      <c r="M125" s="184"/>
      <c r="N125" s="184"/>
      <c r="O125" s="185"/>
    </row>
    <row r="126" spans="1:17" s="173" customFormat="1" ht="20.100000000000001" customHeight="1" x14ac:dyDescent="0.2">
      <c r="A126" s="204"/>
      <c r="B126" s="187"/>
      <c r="C126" s="187"/>
      <c r="D126" s="187"/>
      <c r="E126" s="187"/>
      <c r="F126" s="187"/>
      <c r="G126" s="187"/>
      <c r="H126" s="184"/>
      <c r="I126" s="184"/>
      <c r="J126" s="184"/>
      <c r="K126" s="184"/>
      <c r="L126" s="184"/>
      <c r="M126" s="184"/>
      <c r="N126" s="184"/>
      <c r="O126" s="185"/>
    </row>
    <row r="127" spans="1:17" s="173" customFormat="1" ht="20.100000000000001" customHeight="1" x14ac:dyDescent="0.2">
      <c r="A127" s="204"/>
      <c r="B127" s="187"/>
      <c r="C127" s="187"/>
      <c r="D127" s="187"/>
      <c r="E127" s="187"/>
      <c r="F127" s="187"/>
      <c r="G127" s="187"/>
      <c r="H127" s="184"/>
      <c r="I127" s="184"/>
      <c r="J127" s="184"/>
      <c r="K127" s="184"/>
      <c r="L127" s="184"/>
      <c r="M127" s="184"/>
      <c r="N127" s="184"/>
      <c r="O127" s="185"/>
    </row>
    <row r="128" spans="1:17" s="173" customFormat="1" ht="20.100000000000001" customHeight="1" x14ac:dyDescent="0.2">
      <c r="A128" s="204"/>
      <c r="B128" s="187"/>
      <c r="C128" s="187"/>
      <c r="D128" s="187"/>
      <c r="E128" s="187"/>
      <c r="F128" s="187"/>
      <c r="G128" s="187"/>
      <c r="H128" s="184"/>
      <c r="I128" s="184"/>
      <c r="J128" s="184"/>
      <c r="K128" s="184"/>
      <c r="L128" s="184"/>
      <c r="M128" s="184"/>
      <c r="N128" s="184"/>
      <c r="O128" s="185"/>
    </row>
    <row r="129" spans="1:15" s="173" customFormat="1" ht="20.100000000000001" customHeight="1" x14ac:dyDescent="0.2">
      <c r="A129" s="204"/>
      <c r="B129" s="187"/>
      <c r="C129" s="187"/>
      <c r="D129" s="187"/>
      <c r="E129" s="187"/>
      <c r="F129" s="187"/>
      <c r="G129" s="187"/>
      <c r="H129" s="184"/>
      <c r="I129" s="184"/>
      <c r="J129" s="184"/>
      <c r="K129" s="184"/>
      <c r="L129" s="184"/>
      <c r="M129" s="184"/>
      <c r="N129" s="184"/>
      <c r="O129" s="185"/>
    </row>
    <row r="130" spans="1:15" s="173" customFormat="1" ht="20.100000000000001" customHeight="1" x14ac:dyDescent="0.2">
      <c r="A130" s="204"/>
      <c r="B130" s="187"/>
      <c r="C130" s="187"/>
      <c r="D130" s="187"/>
      <c r="E130" s="187"/>
      <c r="F130" s="187"/>
      <c r="G130" s="187"/>
      <c r="H130" s="184"/>
      <c r="I130" s="184"/>
      <c r="J130" s="184"/>
      <c r="K130" s="184"/>
      <c r="L130" s="184"/>
      <c r="M130" s="184"/>
      <c r="N130" s="184"/>
      <c r="O130" s="185"/>
    </row>
    <row r="131" spans="1:15" s="173" customFormat="1" x14ac:dyDescent="0.2">
      <c r="A131" s="204"/>
      <c r="B131" s="187"/>
      <c r="C131" s="187"/>
      <c r="D131" s="187"/>
      <c r="E131" s="187"/>
      <c r="F131" s="187"/>
      <c r="G131" s="187"/>
      <c r="H131" s="184"/>
      <c r="I131" s="184"/>
      <c r="J131" s="184"/>
      <c r="K131" s="184"/>
      <c r="L131" s="184"/>
      <c r="M131" s="184"/>
      <c r="N131" s="184"/>
      <c r="O131" s="185"/>
    </row>
    <row r="132" spans="1:15" s="173" customFormat="1" x14ac:dyDescent="0.2">
      <c r="A132" s="204"/>
      <c r="B132" s="187"/>
      <c r="C132" s="187"/>
      <c r="D132" s="187"/>
      <c r="E132" s="187"/>
      <c r="F132" s="187"/>
      <c r="G132" s="187"/>
      <c r="H132" s="184"/>
      <c r="I132" s="184"/>
      <c r="J132" s="184"/>
      <c r="K132" s="184"/>
      <c r="L132" s="184"/>
      <c r="M132" s="184"/>
      <c r="N132" s="184"/>
      <c r="O132" s="185"/>
    </row>
    <row r="133" spans="1:15" s="173" customFormat="1" x14ac:dyDescent="0.2">
      <c r="A133" s="204"/>
      <c r="B133" s="187"/>
      <c r="C133" s="187"/>
      <c r="D133" s="187"/>
      <c r="E133" s="187"/>
      <c r="F133" s="187"/>
      <c r="G133" s="187"/>
      <c r="H133" s="184"/>
      <c r="I133" s="184"/>
      <c r="J133" s="184"/>
      <c r="K133" s="184"/>
      <c r="L133" s="184"/>
      <c r="M133" s="184"/>
      <c r="N133" s="184"/>
      <c r="O133" s="185"/>
    </row>
    <row r="134" spans="1:15" s="173" customFormat="1" x14ac:dyDescent="0.2">
      <c r="A134" s="204"/>
      <c r="B134" s="187"/>
      <c r="C134" s="187"/>
      <c r="D134" s="187"/>
      <c r="E134" s="187"/>
      <c r="F134" s="187"/>
      <c r="G134" s="187"/>
      <c r="H134" s="184"/>
      <c r="I134" s="184"/>
      <c r="J134" s="184"/>
      <c r="K134" s="184"/>
      <c r="L134" s="184"/>
      <c r="M134" s="184"/>
      <c r="N134" s="184"/>
      <c r="O134" s="185"/>
    </row>
    <row r="135" spans="1:15" s="173" customFormat="1" x14ac:dyDescent="0.2">
      <c r="A135" s="204"/>
      <c r="B135" s="187"/>
      <c r="C135" s="187"/>
      <c r="D135" s="187"/>
      <c r="E135" s="187"/>
      <c r="F135" s="187"/>
      <c r="G135" s="187"/>
      <c r="H135" s="184"/>
      <c r="I135" s="184"/>
      <c r="J135" s="184"/>
      <c r="K135" s="184"/>
      <c r="L135" s="184"/>
      <c r="M135" s="184"/>
      <c r="N135" s="184"/>
      <c r="O135" s="185"/>
    </row>
    <row r="136" spans="1:15" s="173" customFormat="1" x14ac:dyDescent="0.2">
      <c r="A136" s="204"/>
      <c r="B136" s="187"/>
      <c r="C136" s="187"/>
      <c r="D136" s="187"/>
      <c r="E136" s="187"/>
      <c r="F136" s="187"/>
      <c r="G136" s="187"/>
      <c r="H136" s="184"/>
      <c r="I136" s="184"/>
      <c r="J136" s="184"/>
      <c r="K136" s="184"/>
      <c r="L136" s="184"/>
      <c r="M136" s="184"/>
      <c r="N136" s="184"/>
      <c r="O136" s="185"/>
    </row>
    <row r="137" spans="1:15" s="173" customFormat="1" x14ac:dyDescent="0.2">
      <c r="A137" s="204"/>
      <c r="B137" s="187"/>
      <c r="C137" s="187"/>
      <c r="D137" s="187"/>
      <c r="E137" s="187"/>
      <c r="F137" s="187"/>
      <c r="G137" s="187"/>
      <c r="H137" s="184"/>
      <c r="I137" s="184"/>
      <c r="J137" s="184"/>
      <c r="K137" s="184"/>
      <c r="L137" s="184"/>
      <c r="M137" s="184"/>
      <c r="N137" s="184"/>
      <c r="O137" s="185"/>
    </row>
    <row r="138" spans="1:15" s="173" customFormat="1" x14ac:dyDescent="0.2">
      <c r="A138" s="204"/>
      <c r="B138" s="187"/>
      <c r="C138" s="187"/>
      <c r="D138" s="187"/>
      <c r="E138" s="187"/>
      <c r="F138" s="187"/>
      <c r="G138" s="187"/>
      <c r="H138" s="184"/>
      <c r="I138" s="184"/>
      <c r="J138" s="184"/>
      <c r="K138" s="184"/>
      <c r="L138" s="184"/>
      <c r="M138" s="184"/>
      <c r="N138" s="184"/>
      <c r="O138" s="185"/>
    </row>
    <row r="139" spans="1:15" s="173" customFormat="1" x14ac:dyDescent="0.2">
      <c r="A139" s="204"/>
      <c r="B139" s="187"/>
      <c r="C139" s="187"/>
      <c r="D139" s="187"/>
      <c r="E139" s="187"/>
      <c r="F139" s="187"/>
      <c r="G139" s="187"/>
      <c r="H139" s="184"/>
      <c r="I139" s="184"/>
      <c r="J139" s="184"/>
      <c r="K139" s="184"/>
      <c r="L139" s="184"/>
      <c r="M139" s="184"/>
      <c r="N139" s="184"/>
      <c r="O139" s="185"/>
    </row>
    <row r="140" spans="1:15" s="173" customFormat="1" x14ac:dyDescent="0.2">
      <c r="A140" s="204"/>
      <c r="B140" s="187"/>
      <c r="C140" s="187"/>
      <c r="D140" s="187"/>
      <c r="E140" s="187"/>
      <c r="F140" s="187"/>
      <c r="G140" s="187"/>
      <c r="H140" s="184"/>
      <c r="I140" s="184"/>
      <c r="J140" s="184"/>
      <c r="K140" s="184"/>
      <c r="L140" s="184"/>
      <c r="M140" s="184"/>
      <c r="N140" s="184"/>
      <c r="O140" s="185"/>
    </row>
    <row r="141" spans="1:15" s="173" customFormat="1" x14ac:dyDescent="0.2">
      <c r="A141" s="204"/>
      <c r="B141" s="187"/>
      <c r="C141" s="187"/>
      <c r="D141" s="187"/>
      <c r="E141" s="187"/>
      <c r="F141" s="187"/>
      <c r="G141" s="187"/>
      <c r="H141" s="184"/>
      <c r="I141" s="184"/>
      <c r="J141" s="184"/>
      <c r="K141" s="184"/>
      <c r="L141" s="184"/>
      <c r="M141" s="184"/>
      <c r="N141" s="184"/>
      <c r="O141" s="185"/>
    </row>
    <row r="142" spans="1:15" s="173" customFormat="1" x14ac:dyDescent="0.2">
      <c r="A142" s="204"/>
      <c r="B142" s="187"/>
      <c r="C142" s="187"/>
      <c r="D142" s="187"/>
      <c r="E142" s="187"/>
      <c r="F142" s="187"/>
      <c r="G142" s="187"/>
      <c r="H142" s="184"/>
      <c r="I142" s="184"/>
      <c r="J142" s="184"/>
      <c r="K142" s="184"/>
      <c r="L142" s="184"/>
      <c r="M142" s="184"/>
      <c r="N142" s="184"/>
      <c r="O142" s="185"/>
    </row>
    <row r="143" spans="1:15" s="173" customFormat="1" x14ac:dyDescent="0.2">
      <c r="A143" s="204"/>
      <c r="B143" s="187"/>
      <c r="C143" s="187"/>
      <c r="D143" s="187"/>
      <c r="E143" s="187"/>
      <c r="F143" s="187"/>
      <c r="G143" s="187"/>
      <c r="H143" s="184"/>
      <c r="I143" s="184"/>
      <c r="J143" s="184"/>
      <c r="K143" s="184"/>
      <c r="L143" s="184"/>
      <c r="M143" s="184"/>
      <c r="N143" s="184"/>
      <c r="O143" s="185"/>
    </row>
    <row r="144" spans="1:15" s="173" customFormat="1" x14ac:dyDescent="0.2">
      <c r="A144" s="204"/>
      <c r="B144" s="187"/>
      <c r="C144" s="187"/>
      <c r="D144" s="187"/>
      <c r="E144" s="187"/>
      <c r="F144" s="187"/>
      <c r="G144" s="187"/>
      <c r="H144" s="184"/>
      <c r="I144" s="184"/>
      <c r="J144" s="184"/>
      <c r="K144" s="184"/>
      <c r="L144" s="184"/>
      <c r="M144" s="184"/>
      <c r="N144" s="184"/>
      <c r="O144" s="185"/>
    </row>
    <row r="145" spans="1:15" s="173" customFormat="1" x14ac:dyDescent="0.2">
      <c r="A145" s="204"/>
      <c r="B145" s="187"/>
      <c r="C145" s="187"/>
      <c r="D145" s="187"/>
      <c r="E145" s="187"/>
      <c r="F145" s="187"/>
      <c r="G145" s="187"/>
      <c r="H145" s="184"/>
      <c r="I145" s="184"/>
      <c r="J145" s="184"/>
      <c r="K145" s="184"/>
      <c r="L145" s="184"/>
      <c r="M145" s="184"/>
      <c r="N145" s="184"/>
      <c r="O145" s="185"/>
    </row>
    <row r="146" spans="1:15" s="173" customFormat="1" ht="13.35" customHeight="1" x14ac:dyDescent="0.2">
      <c r="A146" s="204"/>
      <c r="B146" s="187"/>
      <c r="C146" s="187"/>
      <c r="D146" s="187"/>
      <c r="E146" s="187"/>
      <c r="F146" s="187"/>
      <c r="G146" s="187"/>
      <c r="H146" s="184"/>
      <c r="I146" s="184"/>
      <c r="J146" s="184"/>
      <c r="K146" s="184"/>
      <c r="L146" s="184"/>
      <c r="M146" s="184"/>
      <c r="N146" s="184"/>
      <c r="O146" s="185"/>
    </row>
    <row r="147" spans="1:15" s="173" customFormat="1" x14ac:dyDescent="0.2">
      <c r="A147" s="204"/>
      <c r="B147" s="187"/>
      <c r="C147" s="187"/>
      <c r="D147" s="187"/>
      <c r="E147" s="187"/>
      <c r="F147" s="187"/>
      <c r="G147" s="187"/>
      <c r="H147" s="184"/>
      <c r="I147" s="184"/>
      <c r="J147" s="184"/>
      <c r="K147" s="184"/>
      <c r="L147" s="184"/>
      <c r="M147" s="184"/>
      <c r="N147" s="184"/>
      <c r="O147" s="185"/>
    </row>
    <row r="148" spans="1:15" s="173" customFormat="1" x14ac:dyDescent="0.2">
      <c r="A148" s="204"/>
      <c r="B148" s="187"/>
      <c r="C148" s="187"/>
      <c r="D148" s="187"/>
      <c r="E148" s="187"/>
      <c r="F148" s="187"/>
      <c r="G148" s="187"/>
      <c r="H148" s="184"/>
      <c r="I148" s="184"/>
      <c r="J148" s="184"/>
      <c r="K148" s="184"/>
      <c r="L148" s="184"/>
      <c r="M148" s="184"/>
      <c r="N148" s="184"/>
      <c r="O148" s="185"/>
    </row>
    <row r="149" spans="1:15" s="173" customFormat="1" x14ac:dyDescent="0.2">
      <c r="A149" s="204"/>
      <c r="B149" s="187"/>
      <c r="C149" s="187"/>
      <c r="D149" s="187"/>
      <c r="E149" s="187"/>
      <c r="F149" s="187"/>
      <c r="G149" s="187"/>
      <c r="H149" s="184"/>
      <c r="I149" s="184"/>
      <c r="J149" s="184"/>
      <c r="K149" s="184"/>
      <c r="L149" s="184"/>
      <c r="M149" s="184"/>
      <c r="N149" s="184"/>
      <c r="O149" s="185"/>
    </row>
    <row r="150" spans="1:15" s="173" customFormat="1" x14ac:dyDescent="0.2">
      <c r="A150" s="204"/>
      <c r="B150" s="187"/>
      <c r="C150" s="187"/>
      <c r="D150" s="187"/>
      <c r="E150" s="187"/>
      <c r="F150" s="187"/>
      <c r="G150" s="187"/>
      <c r="H150" s="184"/>
      <c r="I150" s="184"/>
      <c r="J150" s="184"/>
      <c r="K150" s="184"/>
      <c r="L150" s="184"/>
      <c r="M150" s="184"/>
      <c r="N150" s="184"/>
      <c r="O150" s="185"/>
    </row>
    <row r="151" spans="1:15" s="173" customFormat="1" x14ac:dyDescent="0.2">
      <c r="A151" s="204"/>
      <c r="B151" s="187"/>
      <c r="C151" s="187"/>
      <c r="D151" s="187"/>
      <c r="E151" s="187"/>
      <c r="F151" s="187"/>
      <c r="G151" s="187"/>
      <c r="H151" s="184"/>
      <c r="I151" s="184"/>
      <c r="J151" s="184"/>
      <c r="K151" s="184"/>
      <c r="L151" s="184"/>
      <c r="M151" s="184"/>
      <c r="N151" s="184"/>
      <c r="O151" s="185"/>
    </row>
    <row r="152" spans="1:15" s="173" customFormat="1" x14ac:dyDescent="0.2">
      <c r="A152" s="204"/>
      <c r="B152" s="187"/>
      <c r="C152" s="187"/>
      <c r="D152" s="187"/>
      <c r="E152" s="187"/>
      <c r="F152" s="187"/>
      <c r="G152" s="187"/>
      <c r="H152" s="184"/>
      <c r="I152" s="184"/>
      <c r="J152" s="184"/>
      <c r="K152" s="184"/>
      <c r="L152" s="184"/>
      <c r="M152" s="184"/>
      <c r="N152" s="184"/>
      <c r="O152" s="185"/>
    </row>
    <row r="153" spans="1:15" s="173" customFormat="1" x14ac:dyDescent="0.2">
      <c r="A153" s="204"/>
      <c r="B153" s="187"/>
      <c r="C153" s="187"/>
      <c r="D153" s="187"/>
      <c r="E153" s="187"/>
      <c r="F153" s="187"/>
      <c r="G153" s="187"/>
      <c r="H153" s="184"/>
      <c r="I153" s="184"/>
      <c r="J153" s="184"/>
      <c r="K153" s="184"/>
      <c r="L153" s="184"/>
      <c r="M153" s="184"/>
      <c r="N153" s="184"/>
      <c r="O153" s="185"/>
    </row>
    <row r="154" spans="1:15" s="173" customFormat="1" x14ac:dyDescent="0.2">
      <c r="A154" s="204"/>
      <c r="B154" s="187"/>
      <c r="C154" s="187"/>
      <c r="D154" s="187"/>
      <c r="E154" s="187"/>
      <c r="F154" s="187"/>
      <c r="G154" s="187"/>
      <c r="H154" s="184"/>
      <c r="I154" s="184"/>
      <c r="J154" s="184"/>
      <c r="K154" s="184"/>
      <c r="L154" s="184"/>
      <c r="M154" s="184"/>
      <c r="N154" s="184"/>
      <c r="O154" s="185"/>
    </row>
    <row r="155" spans="1:15" s="173" customFormat="1" x14ac:dyDescent="0.2">
      <c r="A155" s="204"/>
      <c r="B155" s="187"/>
      <c r="C155" s="187"/>
      <c r="D155" s="187"/>
      <c r="E155" s="187"/>
      <c r="F155" s="187"/>
      <c r="G155" s="187"/>
      <c r="H155" s="184"/>
      <c r="I155" s="184"/>
      <c r="J155" s="184"/>
      <c r="K155" s="184"/>
      <c r="L155" s="184"/>
      <c r="M155" s="184"/>
      <c r="N155" s="184"/>
      <c r="O155" s="185"/>
    </row>
    <row r="156" spans="1:15" s="173" customFormat="1" x14ac:dyDescent="0.2">
      <c r="A156" s="204"/>
      <c r="B156" s="187"/>
      <c r="C156" s="187"/>
      <c r="D156" s="187"/>
      <c r="E156" s="187"/>
      <c r="F156" s="187"/>
      <c r="G156" s="187"/>
      <c r="H156" s="184"/>
      <c r="I156" s="184"/>
      <c r="J156" s="184"/>
      <c r="K156" s="184"/>
      <c r="L156" s="184"/>
      <c r="M156" s="184"/>
      <c r="N156" s="184"/>
      <c r="O156" s="185"/>
    </row>
    <row r="157" spans="1:15" s="173" customFormat="1" x14ac:dyDescent="0.2">
      <c r="A157" s="204"/>
      <c r="B157" s="187"/>
      <c r="C157" s="187"/>
      <c r="D157" s="187"/>
      <c r="E157" s="187"/>
      <c r="F157" s="187"/>
      <c r="G157" s="187"/>
      <c r="H157" s="184"/>
      <c r="I157" s="184"/>
      <c r="J157" s="184"/>
      <c r="K157" s="184"/>
      <c r="L157" s="184"/>
      <c r="M157" s="184"/>
      <c r="N157" s="184"/>
      <c r="O157" s="185"/>
    </row>
    <row r="158" spans="1:15" s="173" customFormat="1" x14ac:dyDescent="0.2">
      <c r="A158" s="204"/>
      <c r="B158" s="187"/>
      <c r="C158" s="187"/>
      <c r="D158" s="187"/>
      <c r="E158" s="187"/>
      <c r="F158" s="187"/>
      <c r="G158" s="187"/>
      <c r="H158" s="184"/>
      <c r="I158" s="184"/>
      <c r="J158" s="184"/>
      <c r="K158" s="184"/>
      <c r="L158" s="184"/>
      <c r="M158" s="184"/>
      <c r="N158" s="184"/>
      <c r="O158" s="185"/>
    </row>
    <row r="159" spans="1:15" s="173" customFormat="1" x14ac:dyDescent="0.2">
      <c r="A159" s="204"/>
      <c r="B159" s="187"/>
      <c r="C159" s="187"/>
      <c r="D159" s="187"/>
      <c r="E159" s="187"/>
      <c r="F159" s="187"/>
      <c r="G159" s="187"/>
      <c r="H159" s="184"/>
      <c r="I159" s="184"/>
      <c r="J159" s="184"/>
      <c r="K159" s="184"/>
      <c r="L159" s="184"/>
      <c r="M159" s="184"/>
      <c r="N159" s="184"/>
      <c r="O159" s="185"/>
    </row>
    <row r="160" spans="1:15" s="173" customFormat="1" x14ac:dyDescent="0.2">
      <c r="A160" s="204"/>
      <c r="B160" s="187"/>
      <c r="C160" s="187"/>
      <c r="D160" s="187"/>
      <c r="E160" s="187"/>
      <c r="F160" s="187"/>
      <c r="G160" s="187"/>
      <c r="H160" s="184"/>
      <c r="I160" s="184"/>
      <c r="J160" s="184"/>
      <c r="K160" s="184"/>
      <c r="L160" s="184"/>
      <c r="M160" s="184"/>
      <c r="N160" s="184"/>
      <c r="O160" s="185"/>
    </row>
    <row r="161" spans="1:15" s="173" customFormat="1" x14ac:dyDescent="0.2">
      <c r="A161" s="204"/>
      <c r="B161" s="187"/>
      <c r="C161" s="187"/>
      <c r="D161" s="187"/>
      <c r="E161" s="187"/>
      <c r="F161" s="187"/>
      <c r="G161" s="187"/>
      <c r="H161" s="184"/>
      <c r="I161" s="184"/>
      <c r="J161" s="184"/>
      <c r="K161" s="184"/>
      <c r="L161" s="184"/>
      <c r="M161" s="184"/>
      <c r="N161" s="184"/>
      <c r="O161" s="185"/>
    </row>
    <row r="162" spans="1:15" s="173" customFormat="1" ht="13.35" customHeight="1" x14ac:dyDescent="0.2">
      <c r="A162" s="204"/>
      <c r="B162" s="187"/>
      <c r="C162" s="187"/>
      <c r="D162" s="187"/>
      <c r="E162" s="187"/>
      <c r="F162" s="187"/>
      <c r="G162" s="187"/>
      <c r="H162" s="184"/>
      <c r="I162" s="184"/>
      <c r="J162" s="184"/>
      <c r="K162" s="184"/>
      <c r="L162" s="184"/>
      <c r="M162" s="184"/>
      <c r="N162" s="184"/>
      <c r="O162" s="185"/>
    </row>
    <row r="163" spans="1:15" s="173" customFormat="1" x14ac:dyDescent="0.2">
      <c r="A163" s="204"/>
      <c r="B163" s="187"/>
      <c r="C163" s="187"/>
      <c r="D163" s="187"/>
      <c r="E163" s="187"/>
      <c r="F163" s="187"/>
      <c r="G163" s="187"/>
      <c r="H163" s="184"/>
      <c r="I163" s="184"/>
      <c r="J163" s="184"/>
      <c r="K163" s="184"/>
      <c r="L163" s="184"/>
      <c r="M163" s="184"/>
      <c r="N163" s="184"/>
      <c r="O163" s="185"/>
    </row>
    <row r="164" spans="1:15" s="173" customFormat="1" x14ac:dyDescent="0.2">
      <c r="A164" s="204"/>
      <c r="B164" s="187"/>
      <c r="C164" s="187"/>
      <c r="D164" s="187"/>
      <c r="E164" s="187"/>
      <c r="F164" s="187"/>
      <c r="G164" s="187"/>
      <c r="H164" s="184"/>
      <c r="I164" s="184"/>
      <c r="J164" s="184"/>
      <c r="K164" s="184"/>
      <c r="L164" s="184"/>
      <c r="M164" s="184"/>
      <c r="N164" s="184"/>
      <c r="O164" s="185"/>
    </row>
    <row r="165" spans="1:15" s="173" customFormat="1" x14ac:dyDescent="0.2">
      <c r="A165" s="204"/>
      <c r="B165" s="187"/>
      <c r="C165" s="187"/>
      <c r="D165" s="187"/>
      <c r="E165" s="187"/>
      <c r="F165" s="187"/>
      <c r="G165" s="187"/>
      <c r="H165" s="184"/>
      <c r="I165" s="184"/>
      <c r="J165" s="184"/>
      <c r="K165" s="184"/>
      <c r="L165" s="184"/>
      <c r="M165" s="184"/>
      <c r="N165" s="184"/>
      <c r="O165" s="185"/>
    </row>
    <row r="166" spans="1:15" s="173" customFormat="1" x14ac:dyDescent="0.2">
      <c r="A166" s="204"/>
      <c r="B166" s="187"/>
      <c r="C166" s="187"/>
      <c r="D166" s="187"/>
      <c r="E166" s="187"/>
      <c r="F166" s="187"/>
      <c r="G166" s="187"/>
      <c r="H166" s="184"/>
      <c r="I166" s="184"/>
      <c r="J166" s="184"/>
      <c r="K166" s="184"/>
      <c r="L166" s="184"/>
      <c r="M166" s="184"/>
      <c r="N166" s="184"/>
      <c r="O166" s="185"/>
    </row>
    <row r="167" spans="1:15" s="173" customFormat="1" x14ac:dyDescent="0.2">
      <c r="A167" s="204"/>
      <c r="B167" s="187"/>
      <c r="C167" s="187"/>
      <c r="D167" s="187"/>
      <c r="E167" s="187"/>
      <c r="F167" s="187"/>
      <c r="G167" s="187"/>
      <c r="H167" s="184"/>
      <c r="I167" s="184"/>
      <c r="J167" s="184"/>
      <c r="K167" s="184"/>
      <c r="L167" s="184"/>
      <c r="M167" s="184"/>
      <c r="N167" s="184"/>
      <c r="O167" s="185"/>
    </row>
    <row r="168" spans="1:15" s="173" customFormat="1" x14ac:dyDescent="0.2">
      <c r="A168" s="204"/>
      <c r="B168" s="187"/>
      <c r="C168" s="187"/>
      <c r="D168" s="187"/>
      <c r="E168" s="187"/>
      <c r="F168" s="187"/>
      <c r="G168" s="187"/>
      <c r="H168" s="184"/>
      <c r="I168" s="184"/>
      <c r="J168" s="184"/>
      <c r="K168" s="184"/>
      <c r="L168" s="184"/>
      <c r="M168" s="184"/>
      <c r="N168" s="184"/>
      <c r="O168" s="185"/>
    </row>
    <row r="169" spans="1:15" s="173" customFormat="1" x14ac:dyDescent="0.2">
      <c r="A169" s="204"/>
      <c r="B169" s="187"/>
      <c r="C169" s="187"/>
      <c r="D169" s="187"/>
      <c r="E169" s="187"/>
      <c r="F169" s="187"/>
      <c r="G169" s="187"/>
      <c r="H169" s="184"/>
      <c r="I169" s="184"/>
      <c r="J169" s="184"/>
      <c r="K169" s="184"/>
      <c r="L169" s="184"/>
      <c r="M169" s="184"/>
      <c r="N169" s="184"/>
      <c r="O169" s="185"/>
    </row>
    <row r="170" spans="1:15" s="173" customFormat="1" x14ac:dyDescent="0.2">
      <c r="A170" s="204"/>
      <c r="B170" s="187"/>
      <c r="C170" s="187"/>
      <c r="D170" s="187"/>
      <c r="E170" s="187"/>
      <c r="F170" s="187"/>
      <c r="G170" s="187"/>
      <c r="H170" s="184"/>
      <c r="I170" s="184"/>
      <c r="J170" s="184"/>
      <c r="K170" s="184"/>
      <c r="L170" s="184"/>
      <c r="M170" s="184"/>
      <c r="N170" s="184"/>
      <c r="O170" s="185"/>
    </row>
    <row r="171" spans="1:15" s="173" customFormat="1" x14ac:dyDescent="0.2">
      <c r="A171" s="204"/>
      <c r="B171" s="187"/>
      <c r="C171" s="187"/>
      <c r="D171" s="187"/>
      <c r="E171" s="187"/>
      <c r="F171" s="187"/>
      <c r="G171" s="187"/>
      <c r="H171" s="184"/>
      <c r="I171" s="184"/>
      <c r="J171" s="184"/>
      <c r="K171" s="184"/>
      <c r="L171" s="184"/>
      <c r="M171" s="184"/>
      <c r="N171" s="184"/>
      <c r="O171" s="185"/>
    </row>
    <row r="172" spans="1:15" s="173" customFormat="1" x14ac:dyDescent="0.2">
      <c r="A172" s="204"/>
      <c r="B172" s="187"/>
      <c r="C172" s="187"/>
      <c r="D172" s="187"/>
      <c r="E172" s="187"/>
      <c r="F172" s="187"/>
      <c r="G172" s="187"/>
      <c r="H172" s="184"/>
      <c r="I172" s="184"/>
      <c r="J172" s="184"/>
      <c r="K172" s="184"/>
      <c r="L172" s="184"/>
      <c r="M172" s="184"/>
      <c r="N172" s="184"/>
      <c r="O172" s="185"/>
    </row>
    <row r="173" spans="1:15" s="173" customFormat="1" x14ac:dyDescent="0.2">
      <c r="A173" s="204"/>
      <c r="B173" s="187"/>
      <c r="C173" s="187"/>
      <c r="D173" s="187"/>
      <c r="E173" s="187"/>
      <c r="F173" s="187"/>
      <c r="G173" s="187"/>
      <c r="H173" s="184"/>
      <c r="I173" s="184"/>
      <c r="J173" s="184"/>
      <c r="K173" s="184"/>
      <c r="L173" s="184"/>
      <c r="M173" s="184"/>
      <c r="N173" s="184"/>
      <c r="O173" s="185"/>
    </row>
    <row r="174" spans="1:15" s="173" customFormat="1" x14ac:dyDescent="0.2">
      <c r="A174" s="204"/>
      <c r="B174" s="187"/>
      <c r="C174" s="187"/>
      <c r="D174" s="187"/>
      <c r="E174" s="187"/>
      <c r="F174" s="187"/>
      <c r="G174" s="187"/>
      <c r="H174" s="184"/>
      <c r="I174" s="184"/>
      <c r="J174" s="184"/>
      <c r="K174" s="184"/>
      <c r="L174" s="184"/>
      <c r="M174" s="184"/>
      <c r="N174" s="184"/>
      <c r="O174" s="185"/>
    </row>
    <row r="175" spans="1:15" s="173" customFormat="1" x14ac:dyDescent="0.2">
      <c r="A175" s="204"/>
      <c r="B175" s="187"/>
      <c r="C175" s="187"/>
      <c r="D175" s="187"/>
      <c r="E175" s="187"/>
      <c r="F175" s="187"/>
      <c r="G175" s="187"/>
      <c r="H175" s="184"/>
      <c r="I175" s="184"/>
      <c r="J175" s="184"/>
      <c r="K175" s="184"/>
      <c r="L175" s="184"/>
      <c r="M175" s="184"/>
      <c r="N175" s="184"/>
      <c r="O175" s="185"/>
    </row>
    <row r="176" spans="1:15" s="173" customFormat="1" x14ac:dyDescent="0.2">
      <c r="A176" s="204"/>
      <c r="B176" s="187"/>
      <c r="C176" s="187"/>
      <c r="D176" s="187"/>
      <c r="E176" s="187"/>
      <c r="F176" s="187"/>
      <c r="G176" s="187"/>
      <c r="H176" s="184"/>
      <c r="I176" s="184"/>
      <c r="J176" s="184"/>
      <c r="K176" s="184"/>
      <c r="L176" s="184"/>
      <c r="M176" s="184"/>
      <c r="N176" s="184"/>
      <c r="O176" s="185"/>
    </row>
    <row r="177" spans="1:15" s="173" customFormat="1" x14ac:dyDescent="0.2">
      <c r="A177" s="204"/>
      <c r="B177" s="187"/>
      <c r="C177" s="187"/>
      <c r="D177" s="187"/>
      <c r="E177" s="187"/>
      <c r="F177" s="187"/>
      <c r="G177" s="187"/>
      <c r="H177" s="184"/>
      <c r="I177" s="184"/>
      <c r="J177" s="184"/>
      <c r="K177" s="184"/>
      <c r="L177" s="184"/>
      <c r="M177" s="184"/>
      <c r="N177" s="184"/>
      <c r="O177" s="185"/>
    </row>
    <row r="178" spans="1:15" s="173" customFormat="1" ht="13.35" customHeight="1" x14ac:dyDescent="0.2">
      <c r="A178" s="204"/>
      <c r="B178" s="187"/>
      <c r="C178" s="187"/>
      <c r="D178" s="187"/>
      <c r="E178" s="187"/>
      <c r="F178" s="187"/>
      <c r="G178" s="187"/>
      <c r="H178" s="184"/>
      <c r="I178" s="184"/>
      <c r="J178" s="184"/>
      <c r="K178" s="184"/>
      <c r="L178" s="184"/>
      <c r="M178" s="184"/>
      <c r="N178" s="184"/>
      <c r="O178" s="185"/>
    </row>
    <row r="179" spans="1:15" s="173" customFormat="1" x14ac:dyDescent="0.2">
      <c r="A179" s="204"/>
      <c r="B179" s="187"/>
      <c r="C179" s="187"/>
      <c r="D179" s="187"/>
      <c r="E179" s="187"/>
      <c r="F179" s="187"/>
      <c r="G179" s="187"/>
      <c r="H179" s="184"/>
      <c r="I179" s="184"/>
      <c r="J179" s="184"/>
      <c r="K179" s="184"/>
      <c r="L179" s="184"/>
      <c r="M179" s="184"/>
      <c r="N179" s="184"/>
      <c r="O179" s="185"/>
    </row>
    <row r="180" spans="1:15" s="173" customFormat="1" x14ac:dyDescent="0.2">
      <c r="A180" s="204"/>
      <c r="B180" s="187"/>
      <c r="C180" s="187"/>
      <c r="D180" s="187"/>
      <c r="E180" s="187"/>
      <c r="F180" s="187"/>
      <c r="G180" s="187"/>
      <c r="H180" s="184"/>
      <c r="I180" s="184"/>
      <c r="J180" s="184"/>
      <c r="K180" s="184"/>
      <c r="L180" s="184"/>
      <c r="M180" s="184"/>
      <c r="N180" s="184"/>
      <c r="O180" s="185"/>
    </row>
    <row r="181" spans="1:15" s="173" customFormat="1" x14ac:dyDescent="0.2">
      <c r="A181" s="204"/>
      <c r="B181" s="187"/>
      <c r="C181" s="187"/>
      <c r="D181" s="187"/>
      <c r="E181" s="187"/>
      <c r="F181" s="187"/>
      <c r="G181" s="187"/>
      <c r="H181" s="184"/>
      <c r="I181" s="184"/>
      <c r="J181" s="184"/>
      <c r="K181" s="184"/>
      <c r="L181" s="184"/>
      <c r="M181" s="184"/>
      <c r="N181" s="184"/>
      <c r="O181" s="185"/>
    </row>
    <row r="182" spans="1:15" s="173" customFormat="1" x14ac:dyDescent="0.2">
      <c r="A182" s="204"/>
      <c r="B182" s="187"/>
      <c r="C182" s="187"/>
      <c r="D182" s="187"/>
      <c r="E182" s="187"/>
      <c r="F182" s="187"/>
      <c r="G182" s="187"/>
      <c r="H182" s="184"/>
      <c r="I182" s="184"/>
      <c r="J182" s="184"/>
      <c r="K182" s="184"/>
      <c r="L182" s="184"/>
      <c r="M182" s="184"/>
      <c r="N182" s="184"/>
      <c r="O182" s="185"/>
    </row>
    <row r="183" spans="1:15" s="173" customFormat="1" x14ac:dyDescent="0.2">
      <c r="A183" s="204"/>
      <c r="B183" s="187"/>
      <c r="C183" s="187"/>
      <c r="D183" s="187"/>
      <c r="E183" s="187"/>
      <c r="F183" s="187"/>
      <c r="G183" s="187"/>
      <c r="H183" s="184"/>
      <c r="I183" s="184"/>
      <c r="J183" s="184"/>
      <c r="K183" s="184"/>
      <c r="L183" s="184"/>
      <c r="M183" s="184"/>
      <c r="N183" s="184"/>
      <c r="O183" s="185"/>
    </row>
    <row r="184" spans="1:15" s="173" customFormat="1" x14ac:dyDescent="0.2">
      <c r="A184" s="204"/>
      <c r="B184" s="187"/>
      <c r="C184" s="187"/>
      <c r="D184" s="187"/>
      <c r="E184" s="187"/>
      <c r="F184" s="187"/>
      <c r="G184" s="187"/>
      <c r="H184" s="184"/>
      <c r="I184" s="184"/>
      <c r="J184" s="184"/>
      <c r="K184" s="184"/>
      <c r="L184" s="184"/>
      <c r="M184" s="184"/>
      <c r="N184" s="184"/>
      <c r="O184" s="185"/>
    </row>
    <row r="185" spans="1:15" s="173" customFormat="1" x14ac:dyDescent="0.2">
      <c r="A185" s="204"/>
      <c r="B185" s="187"/>
      <c r="C185" s="187"/>
      <c r="D185" s="187"/>
      <c r="E185" s="187"/>
      <c r="F185" s="187"/>
      <c r="G185" s="187"/>
      <c r="H185" s="184"/>
      <c r="I185" s="184"/>
      <c r="J185" s="184"/>
      <c r="K185" s="184"/>
      <c r="L185" s="184"/>
      <c r="M185" s="184"/>
      <c r="N185" s="184"/>
      <c r="O185" s="185"/>
    </row>
    <row r="186" spans="1:15" s="173" customFormat="1" x14ac:dyDescent="0.2">
      <c r="A186" s="204"/>
      <c r="B186" s="187"/>
      <c r="C186" s="187"/>
      <c r="D186" s="187"/>
      <c r="E186" s="187"/>
      <c r="F186" s="187"/>
      <c r="G186" s="187"/>
      <c r="H186" s="184"/>
      <c r="I186" s="184"/>
      <c r="J186" s="184"/>
      <c r="K186" s="184"/>
      <c r="L186" s="184"/>
      <c r="M186" s="184"/>
      <c r="N186" s="184"/>
      <c r="O186" s="185"/>
    </row>
    <row r="187" spans="1:15" s="173" customFormat="1" x14ac:dyDescent="0.2">
      <c r="A187" s="204"/>
      <c r="B187" s="187"/>
      <c r="C187" s="187"/>
      <c r="D187" s="187"/>
      <c r="E187" s="187"/>
      <c r="F187" s="187"/>
      <c r="G187" s="187"/>
      <c r="H187" s="184"/>
      <c r="I187" s="184"/>
      <c r="J187" s="184"/>
      <c r="K187" s="184"/>
      <c r="L187" s="184"/>
      <c r="M187" s="184"/>
      <c r="N187" s="184"/>
      <c r="O187" s="185"/>
    </row>
    <row r="188" spans="1:15" s="173" customFormat="1" x14ac:dyDescent="0.2">
      <c r="A188" s="204"/>
      <c r="B188" s="187"/>
      <c r="C188" s="187"/>
      <c r="D188" s="187"/>
      <c r="E188" s="187"/>
      <c r="F188" s="187"/>
      <c r="G188" s="187"/>
      <c r="H188" s="184"/>
      <c r="I188" s="184"/>
      <c r="J188" s="184"/>
      <c r="K188" s="184"/>
      <c r="L188" s="184"/>
      <c r="M188" s="184"/>
      <c r="N188" s="184"/>
      <c r="O188" s="185"/>
    </row>
    <row r="189" spans="1:15" s="173" customFormat="1" x14ac:dyDescent="0.2">
      <c r="A189" s="204"/>
      <c r="B189" s="187"/>
      <c r="C189" s="187"/>
      <c r="D189" s="187"/>
      <c r="E189" s="187"/>
      <c r="F189" s="187"/>
      <c r="G189" s="187"/>
      <c r="H189" s="184"/>
      <c r="I189" s="184"/>
      <c r="J189" s="184"/>
      <c r="K189" s="184"/>
      <c r="L189" s="184"/>
      <c r="M189" s="184"/>
      <c r="N189" s="184"/>
      <c r="O189" s="185"/>
    </row>
    <row r="190" spans="1:15" s="173" customFormat="1" x14ac:dyDescent="0.2">
      <c r="A190" s="204"/>
      <c r="B190" s="187"/>
      <c r="C190" s="187"/>
      <c r="D190" s="187"/>
      <c r="E190" s="187"/>
      <c r="F190" s="187"/>
      <c r="G190" s="187"/>
      <c r="H190" s="184"/>
      <c r="I190" s="184"/>
      <c r="J190" s="184"/>
      <c r="K190" s="184"/>
      <c r="L190" s="184"/>
      <c r="M190" s="184"/>
      <c r="N190" s="184"/>
      <c r="O190" s="185"/>
    </row>
    <row r="191" spans="1:15" s="173" customFormat="1" x14ac:dyDescent="0.2">
      <c r="A191" s="204"/>
      <c r="B191" s="187"/>
      <c r="C191" s="187"/>
      <c r="D191" s="187"/>
      <c r="E191" s="187"/>
      <c r="F191" s="187"/>
      <c r="G191" s="187"/>
      <c r="H191" s="184"/>
      <c r="I191" s="184"/>
      <c r="J191" s="184"/>
      <c r="K191" s="184"/>
      <c r="L191" s="184"/>
      <c r="M191" s="184"/>
      <c r="N191" s="184"/>
      <c r="O191" s="185"/>
    </row>
    <row r="192" spans="1:15" s="173" customFormat="1" x14ac:dyDescent="0.2">
      <c r="A192" s="204"/>
      <c r="B192" s="187"/>
      <c r="C192" s="187"/>
      <c r="D192" s="187"/>
      <c r="E192" s="187"/>
      <c r="F192" s="187"/>
      <c r="G192" s="187"/>
      <c r="H192" s="184"/>
      <c r="I192" s="184"/>
      <c r="J192" s="184"/>
      <c r="K192" s="184"/>
      <c r="L192" s="184"/>
      <c r="M192" s="184"/>
      <c r="N192" s="184"/>
      <c r="O192" s="185"/>
    </row>
    <row r="193" spans="1:15" s="173" customFormat="1" x14ac:dyDescent="0.2">
      <c r="A193" s="204"/>
      <c r="B193" s="187"/>
      <c r="C193" s="187"/>
      <c r="D193" s="187"/>
      <c r="E193" s="187"/>
      <c r="F193" s="187"/>
      <c r="G193" s="187"/>
      <c r="H193" s="184"/>
      <c r="I193" s="184"/>
      <c r="J193" s="184"/>
      <c r="K193" s="184"/>
      <c r="L193" s="184"/>
      <c r="M193" s="184"/>
      <c r="N193" s="184"/>
      <c r="O193" s="185"/>
    </row>
    <row r="194" spans="1:15" s="173" customFormat="1" ht="13.35" customHeight="1" x14ac:dyDescent="0.2">
      <c r="A194" s="204"/>
      <c r="B194" s="187"/>
      <c r="C194" s="187"/>
      <c r="D194" s="187"/>
      <c r="E194" s="187"/>
      <c r="F194" s="187"/>
      <c r="G194" s="187"/>
      <c r="H194" s="184"/>
      <c r="I194" s="184"/>
      <c r="J194" s="184"/>
      <c r="K194" s="184"/>
      <c r="L194" s="184"/>
      <c r="M194" s="184"/>
      <c r="N194" s="184"/>
      <c r="O194" s="185"/>
    </row>
    <row r="195" spans="1:15" s="173" customFormat="1" x14ac:dyDescent="0.2">
      <c r="A195" s="204"/>
      <c r="B195" s="187"/>
      <c r="C195" s="187"/>
      <c r="D195" s="187"/>
      <c r="E195" s="187"/>
      <c r="F195" s="187"/>
      <c r="G195" s="187"/>
      <c r="H195" s="184"/>
      <c r="I195" s="184"/>
      <c r="J195" s="184"/>
      <c r="K195" s="184"/>
      <c r="L195" s="184"/>
      <c r="M195" s="184"/>
      <c r="N195" s="184"/>
      <c r="O195" s="185"/>
    </row>
    <row r="196" spans="1:15" s="173" customFormat="1" x14ac:dyDescent="0.2">
      <c r="A196" s="204"/>
      <c r="B196" s="187"/>
      <c r="C196" s="187"/>
      <c r="D196" s="187"/>
      <c r="E196" s="187"/>
      <c r="F196" s="187"/>
      <c r="G196" s="187"/>
      <c r="H196" s="184"/>
      <c r="I196" s="184"/>
      <c r="J196" s="184"/>
      <c r="K196" s="184"/>
      <c r="L196" s="184"/>
      <c r="M196" s="184"/>
      <c r="N196" s="184"/>
      <c r="O196" s="185"/>
    </row>
    <row r="197" spans="1:15" s="173" customFormat="1" x14ac:dyDescent="0.2">
      <c r="A197" s="204"/>
      <c r="B197" s="187"/>
      <c r="C197" s="187"/>
      <c r="D197" s="187"/>
      <c r="E197" s="187"/>
      <c r="F197" s="187"/>
      <c r="G197" s="187"/>
      <c r="H197" s="184"/>
      <c r="I197" s="184"/>
      <c r="J197" s="184"/>
      <c r="K197" s="184"/>
      <c r="L197" s="184"/>
      <c r="M197" s="184"/>
      <c r="N197" s="184"/>
      <c r="O197" s="185"/>
    </row>
    <row r="198" spans="1:15" s="173" customFormat="1" x14ac:dyDescent="0.2">
      <c r="A198" s="204"/>
      <c r="B198" s="187"/>
      <c r="C198" s="187"/>
      <c r="D198" s="187"/>
      <c r="E198" s="187"/>
      <c r="F198" s="187"/>
      <c r="G198" s="187"/>
      <c r="H198" s="184"/>
      <c r="I198" s="184"/>
      <c r="J198" s="184"/>
      <c r="K198" s="184"/>
      <c r="L198" s="184"/>
      <c r="M198" s="184"/>
      <c r="N198" s="184"/>
      <c r="O198" s="185"/>
    </row>
    <row r="199" spans="1:15" s="173" customFormat="1" x14ac:dyDescent="0.2">
      <c r="A199" s="204"/>
      <c r="B199" s="187"/>
      <c r="C199" s="187"/>
      <c r="D199" s="187"/>
      <c r="E199" s="187"/>
      <c r="F199" s="187"/>
      <c r="G199" s="187"/>
      <c r="H199" s="184"/>
      <c r="I199" s="184"/>
      <c r="J199" s="184"/>
      <c r="K199" s="184"/>
      <c r="L199" s="184"/>
      <c r="M199" s="184"/>
      <c r="N199" s="184"/>
      <c r="O199" s="185"/>
    </row>
    <row r="200" spans="1:15" s="173" customFormat="1" x14ac:dyDescent="0.2">
      <c r="A200" s="204"/>
      <c r="B200" s="187"/>
      <c r="C200" s="187"/>
      <c r="D200" s="187"/>
      <c r="E200" s="187"/>
      <c r="F200" s="187"/>
      <c r="G200" s="187"/>
      <c r="H200" s="184"/>
      <c r="I200" s="184"/>
      <c r="J200" s="184"/>
      <c r="K200" s="184"/>
      <c r="L200" s="184"/>
      <c r="M200" s="184"/>
      <c r="N200" s="184"/>
      <c r="O200" s="185"/>
    </row>
    <row r="201" spans="1:15" s="173" customFormat="1" x14ac:dyDescent="0.2">
      <c r="A201" s="204"/>
      <c r="B201" s="187"/>
      <c r="C201" s="187"/>
      <c r="D201" s="187"/>
      <c r="E201" s="187"/>
      <c r="F201" s="187"/>
      <c r="G201" s="187"/>
      <c r="H201" s="184"/>
      <c r="I201" s="184"/>
      <c r="J201" s="184"/>
      <c r="K201" s="184"/>
      <c r="L201" s="184"/>
      <c r="M201" s="184"/>
      <c r="N201" s="184"/>
      <c r="O201" s="185"/>
    </row>
    <row r="202" spans="1:15" s="173" customFormat="1" x14ac:dyDescent="0.2">
      <c r="A202" s="204"/>
      <c r="B202" s="187"/>
      <c r="C202" s="187"/>
      <c r="D202" s="187"/>
      <c r="E202" s="187"/>
      <c r="F202" s="187"/>
      <c r="G202" s="187"/>
      <c r="H202" s="184"/>
      <c r="I202" s="184"/>
      <c r="J202" s="184"/>
      <c r="K202" s="184"/>
      <c r="L202" s="184"/>
      <c r="M202" s="184"/>
      <c r="N202" s="184"/>
      <c r="O202" s="185"/>
    </row>
    <row r="203" spans="1:15" s="173" customFormat="1" x14ac:dyDescent="0.2">
      <c r="A203" s="204"/>
      <c r="B203" s="187"/>
      <c r="C203" s="187"/>
      <c r="D203" s="187"/>
      <c r="E203" s="187"/>
      <c r="F203" s="187"/>
      <c r="G203" s="187"/>
      <c r="H203" s="184"/>
      <c r="I203" s="184"/>
      <c r="J203" s="184"/>
      <c r="K203" s="184"/>
      <c r="L203" s="184"/>
      <c r="M203" s="184"/>
      <c r="N203" s="184"/>
      <c r="O203" s="185"/>
    </row>
    <row r="204" spans="1:15" s="173" customFormat="1" x14ac:dyDescent="0.2">
      <c r="A204" s="204"/>
      <c r="B204" s="187"/>
      <c r="C204" s="187"/>
      <c r="D204" s="187"/>
      <c r="E204" s="187"/>
      <c r="F204" s="187"/>
      <c r="G204" s="187"/>
      <c r="H204" s="184"/>
      <c r="I204" s="184"/>
      <c r="J204" s="184"/>
      <c r="K204" s="184"/>
      <c r="L204" s="184"/>
      <c r="M204" s="184"/>
      <c r="N204" s="184"/>
      <c r="O204" s="185"/>
    </row>
    <row r="205" spans="1:15" s="173" customFormat="1" x14ac:dyDescent="0.2">
      <c r="A205" s="204"/>
      <c r="B205" s="187"/>
      <c r="C205" s="187"/>
      <c r="D205" s="187"/>
      <c r="E205" s="187"/>
      <c r="F205" s="187"/>
      <c r="G205" s="187"/>
      <c r="H205" s="184"/>
      <c r="I205" s="184"/>
      <c r="J205" s="184"/>
      <c r="K205" s="184"/>
      <c r="L205" s="184"/>
      <c r="M205" s="184"/>
      <c r="N205" s="184"/>
      <c r="O205" s="185"/>
    </row>
    <row r="206" spans="1:15" s="173" customFormat="1" x14ac:dyDescent="0.2">
      <c r="A206" s="204"/>
      <c r="B206" s="187"/>
      <c r="C206" s="187"/>
      <c r="D206" s="187"/>
      <c r="E206" s="187"/>
      <c r="F206" s="187"/>
      <c r="G206" s="187"/>
      <c r="H206" s="184"/>
      <c r="I206" s="184"/>
      <c r="J206" s="184"/>
      <c r="K206" s="184"/>
      <c r="L206" s="184"/>
      <c r="M206" s="184"/>
      <c r="N206" s="184"/>
      <c r="O206" s="185"/>
    </row>
    <row r="207" spans="1:15" s="173" customFormat="1" x14ac:dyDescent="0.2">
      <c r="A207" s="204"/>
      <c r="B207" s="187"/>
      <c r="C207" s="187"/>
      <c r="D207" s="187"/>
      <c r="E207" s="187"/>
      <c r="F207" s="187"/>
      <c r="G207" s="187"/>
      <c r="H207" s="184"/>
      <c r="I207" s="184"/>
      <c r="J207" s="184"/>
      <c r="K207" s="184"/>
      <c r="L207" s="184"/>
      <c r="M207" s="184"/>
      <c r="N207" s="184"/>
      <c r="O207" s="185"/>
    </row>
    <row r="208" spans="1:15" s="173" customFormat="1" x14ac:dyDescent="0.2">
      <c r="A208" s="204"/>
      <c r="B208" s="187"/>
      <c r="C208" s="187"/>
      <c r="D208" s="187"/>
      <c r="E208" s="187"/>
      <c r="F208" s="187"/>
      <c r="G208" s="187"/>
      <c r="H208" s="184"/>
      <c r="I208" s="184"/>
      <c r="J208" s="184"/>
      <c r="K208" s="184"/>
      <c r="L208" s="184"/>
      <c r="M208" s="184"/>
      <c r="N208" s="184"/>
      <c r="O208" s="185"/>
    </row>
    <row r="209" spans="1:15" s="173" customFormat="1" x14ac:dyDescent="0.2">
      <c r="A209" s="204"/>
      <c r="B209" s="187"/>
      <c r="C209" s="187"/>
      <c r="D209" s="187"/>
      <c r="E209" s="187"/>
      <c r="F209" s="187"/>
      <c r="G209" s="187"/>
      <c r="H209" s="184"/>
      <c r="I209" s="184"/>
      <c r="J209" s="184"/>
      <c r="K209" s="184"/>
      <c r="L209" s="184"/>
      <c r="M209" s="184"/>
      <c r="N209" s="184"/>
      <c r="O209" s="185"/>
    </row>
    <row r="210" spans="1:15" s="173" customFormat="1" ht="13.35" customHeight="1" x14ac:dyDescent="0.2">
      <c r="A210" s="204"/>
      <c r="B210" s="187"/>
      <c r="C210" s="187"/>
      <c r="D210" s="187"/>
      <c r="E210" s="187"/>
      <c r="F210" s="187"/>
      <c r="G210" s="187"/>
      <c r="H210" s="184"/>
      <c r="I210" s="184"/>
      <c r="J210" s="184"/>
      <c r="K210" s="184"/>
      <c r="L210" s="184"/>
      <c r="M210" s="184"/>
      <c r="N210" s="184"/>
      <c r="O210" s="185"/>
    </row>
    <row r="211" spans="1:15" s="173" customFormat="1" x14ac:dyDescent="0.2">
      <c r="A211" s="204"/>
      <c r="B211" s="187"/>
      <c r="C211" s="187"/>
      <c r="D211" s="187"/>
      <c r="E211" s="187"/>
      <c r="F211" s="187"/>
      <c r="G211" s="187"/>
      <c r="H211" s="184"/>
      <c r="I211" s="184"/>
      <c r="J211" s="184"/>
      <c r="K211" s="184"/>
      <c r="L211" s="184"/>
      <c r="M211" s="184"/>
      <c r="N211" s="184"/>
      <c r="O211" s="185"/>
    </row>
    <row r="212" spans="1:15" s="173" customFormat="1" x14ac:dyDescent="0.2">
      <c r="A212" s="204"/>
      <c r="B212" s="187"/>
      <c r="C212" s="187"/>
      <c r="D212" s="187"/>
      <c r="E212" s="187"/>
      <c r="F212" s="187"/>
      <c r="G212" s="187"/>
      <c r="H212" s="184"/>
      <c r="I212" s="184"/>
      <c r="J212" s="184"/>
      <c r="K212" s="184"/>
      <c r="L212" s="184"/>
      <c r="M212" s="184"/>
      <c r="N212" s="184"/>
      <c r="O212" s="185"/>
    </row>
    <row r="213" spans="1:15" s="173" customFormat="1" x14ac:dyDescent="0.2">
      <c r="A213" s="204"/>
      <c r="B213" s="187"/>
      <c r="C213" s="187"/>
      <c r="D213" s="187"/>
      <c r="E213" s="187"/>
      <c r="F213" s="187"/>
      <c r="G213" s="187"/>
      <c r="H213" s="184"/>
      <c r="I213" s="184"/>
      <c r="J213" s="184"/>
      <c r="K213" s="184"/>
      <c r="L213" s="184"/>
      <c r="M213" s="184"/>
      <c r="N213" s="184"/>
      <c r="O213" s="185"/>
    </row>
    <row r="214" spans="1:15" s="173" customFormat="1" x14ac:dyDescent="0.2">
      <c r="A214" s="204"/>
      <c r="B214" s="187"/>
      <c r="C214" s="187"/>
      <c r="D214" s="187"/>
      <c r="E214" s="187"/>
      <c r="F214" s="187"/>
      <c r="G214" s="187"/>
      <c r="H214" s="184"/>
      <c r="I214" s="184"/>
      <c r="J214" s="184"/>
      <c r="K214" s="184"/>
      <c r="L214" s="184"/>
      <c r="M214" s="184"/>
      <c r="N214" s="184"/>
      <c r="O214" s="185"/>
    </row>
    <row r="215" spans="1:15" s="173" customFormat="1" x14ac:dyDescent="0.2">
      <c r="A215" s="204"/>
      <c r="B215" s="187"/>
      <c r="C215" s="187"/>
      <c r="D215" s="187"/>
      <c r="E215" s="187"/>
      <c r="F215" s="187"/>
      <c r="G215" s="187"/>
      <c r="H215" s="184"/>
      <c r="I215" s="184"/>
      <c r="J215" s="184"/>
      <c r="K215" s="184"/>
      <c r="L215" s="184"/>
      <c r="M215" s="184"/>
      <c r="N215" s="184"/>
      <c r="O215" s="185"/>
    </row>
    <row r="216" spans="1:15" s="173" customFormat="1" x14ac:dyDescent="0.2">
      <c r="A216" s="204"/>
      <c r="B216" s="187"/>
      <c r="C216" s="187"/>
      <c r="D216" s="187"/>
      <c r="E216" s="187"/>
      <c r="F216" s="187"/>
      <c r="G216" s="187"/>
      <c r="H216" s="184"/>
      <c r="I216" s="184"/>
      <c r="J216" s="184"/>
      <c r="K216" s="184"/>
      <c r="L216" s="184"/>
      <c r="M216" s="184"/>
      <c r="N216" s="184"/>
      <c r="O216" s="185"/>
    </row>
    <row r="217" spans="1:15" s="173" customFormat="1" x14ac:dyDescent="0.2">
      <c r="A217" s="204"/>
      <c r="B217" s="187"/>
      <c r="C217" s="187"/>
      <c r="D217" s="187"/>
      <c r="E217" s="187"/>
      <c r="F217" s="187"/>
      <c r="G217" s="187"/>
      <c r="H217" s="184"/>
      <c r="I217" s="184"/>
      <c r="J217" s="184"/>
      <c r="K217" s="184"/>
      <c r="L217" s="184"/>
      <c r="M217" s="184"/>
      <c r="N217" s="184"/>
      <c r="O217" s="185"/>
    </row>
    <row r="218" spans="1:15" s="173" customFormat="1" x14ac:dyDescent="0.2">
      <c r="A218" s="204"/>
      <c r="B218" s="187"/>
      <c r="C218" s="187"/>
      <c r="D218" s="187"/>
      <c r="E218" s="187"/>
      <c r="F218" s="187"/>
      <c r="G218" s="187"/>
      <c r="H218" s="184"/>
      <c r="I218" s="184"/>
      <c r="J218" s="184"/>
      <c r="K218" s="184"/>
      <c r="L218" s="184"/>
      <c r="M218" s="184"/>
      <c r="N218" s="184"/>
      <c r="O218" s="185"/>
    </row>
    <row r="219" spans="1:15" s="173" customFormat="1" x14ac:dyDescent="0.2">
      <c r="A219" s="204"/>
      <c r="B219" s="187"/>
      <c r="C219" s="187"/>
      <c r="D219" s="187"/>
      <c r="E219" s="187"/>
      <c r="F219" s="187"/>
      <c r="G219" s="187"/>
      <c r="H219" s="184"/>
      <c r="I219" s="184"/>
      <c r="J219" s="184"/>
      <c r="K219" s="184"/>
      <c r="L219" s="184"/>
      <c r="M219" s="184"/>
      <c r="N219" s="184"/>
      <c r="O219" s="185"/>
    </row>
    <row r="220" spans="1:15" s="173" customFormat="1" x14ac:dyDescent="0.2">
      <c r="A220" s="204"/>
      <c r="B220" s="187"/>
      <c r="C220" s="187"/>
      <c r="D220" s="187"/>
      <c r="E220" s="187"/>
      <c r="F220" s="187"/>
      <c r="G220" s="187"/>
      <c r="H220" s="184"/>
      <c r="I220" s="184"/>
      <c r="J220" s="184"/>
      <c r="K220" s="184"/>
      <c r="L220" s="184"/>
      <c r="M220" s="184"/>
      <c r="N220" s="184"/>
      <c r="O220" s="185"/>
    </row>
    <row r="221" spans="1:15" s="173" customFormat="1" x14ac:dyDescent="0.2">
      <c r="A221" s="204"/>
      <c r="B221" s="187"/>
      <c r="C221" s="187"/>
      <c r="D221" s="187"/>
      <c r="E221" s="187"/>
      <c r="F221" s="187"/>
      <c r="G221" s="187"/>
      <c r="H221" s="184"/>
      <c r="I221" s="184"/>
      <c r="J221" s="184"/>
      <c r="K221" s="184"/>
      <c r="L221" s="184"/>
      <c r="M221" s="184"/>
      <c r="N221" s="184"/>
      <c r="O221" s="185"/>
    </row>
    <row r="222" spans="1:15" s="173" customFormat="1" x14ac:dyDescent="0.2">
      <c r="A222" s="204"/>
      <c r="B222" s="187"/>
      <c r="C222" s="187"/>
      <c r="D222" s="187"/>
      <c r="E222" s="187"/>
      <c r="F222" s="187"/>
      <c r="G222" s="187"/>
      <c r="H222" s="184"/>
      <c r="I222" s="184"/>
      <c r="J222" s="184"/>
      <c r="K222" s="184"/>
      <c r="L222" s="184"/>
      <c r="M222" s="184"/>
      <c r="N222" s="184"/>
      <c r="O222" s="185"/>
    </row>
    <row r="223" spans="1:15" s="173" customFormat="1" x14ac:dyDescent="0.2">
      <c r="A223" s="204"/>
      <c r="B223" s="187"/>
      <c r="C223" s="187"/>
      <c r="D223" s="187"/>
      <c r="E223" s="187"/>
      <c r="F223" s="187"/>
      <c r="G223" s="187"/>
      <c r="H223" s="184"/>
      <c r="I223" s="184"/>
      <c r="J223" s="184"/>
      <c r="K223" s="184"/>
      <c r="L223" s="184"/>
      <c r="M223" s="184"/>
      <c r="N223" s="184"/>
      <c r="O223" s="185"/>
    </row>
    <row r="224" spans="1:15" s="173" customFormat="1" x14ac:dyDescent="0.2">
      <c r="A224" s="204"/>
      <c r="B224" s="187"/>
      <c r="C224" s="187"/>
      <c r="D224" s="187"/>
      <c r="E224" s="187"/>
      <c r="F224" s="187"/>
      <c r="G224" s="187"/>
      <c r="H224" s="184"/>
      <c r="I224" s="184"/>
      <c r="J224" s="184"/>
      <c r="K224" s="184"/>
      <c r="L224" s="184"/>
      <c r="M224" s="184"/>
      <c r="N224" s="184"/>
      <c r="O224" s="185"/>
    </row>
    <row r="225" spans="1:16" s="173" customFormat="1" x14ac:dyDescent="0.2">
      <c r="A225" s="204"/>
      <c r="B225" s="187"/>
      <c r="C225" s="187"/>
      <c r="D225" s="187"/>
      <c r="E225" s="187"/>
      <c r="F225" s="187"/>
      <c r="G225" s="187"/>
      <c r="H225" s="184"/>
      <c r="I225" s="184"/>
      <c r="J225" s="184"/>
      <c r="K225" s="184"/>
      <c r="L225" s="184"/>
      <c r="M225" s="184"/>
      <c r="N225" s="184"/>
      <c r="O225" s="185"/>
    </row>
    <row r="226" spans="1:16" s="173" customFormat="1" ht="13.35" customHeight="1" x14ac:dyDescent="0.2">
      <c r="A226" s="204"/>
      <c r="B226" s="187"/>
      <c r="C226" s="187"/>
      <c r="D226" s="187"/>
      <c r="E226" s="187"/>
      <c r="F226" s="187"/>
      <c r="G226" s="187"/>
      <c r="H226" s="184"/>
      <c r="I226" s="184"/>
      <c r="J226" s="184"/>
      <c r="K226" s="184"/>
      <c r="L226" s="184"/>
      <c r="M226" s="184"/>
      <c r="N226" s="184"/>
      <c r="O226" s="185"/>
    </row>
    <row r="227" spans="1:16" s="173" customFormat="1" x14ac:dyDescent="0.2">
      <c r="A227" s="204"/>
      <c r="B227" s="187"/>
      <c r="C227" s="187"/>
      <c r="D227" s="187"/>
      <c r="E227" s="187"/>
      <c r="F227" s="187"/>
      <c r="G227" s="187"/>
      <c r="H227" s="184"/>
      <c r="I227" s="184"/>
      <c r="J227" s="184"/>
      <c r="K227" s="184"/>
      <c r="L227" s="184"/>
      <c r="M227" s="184"/>
      <c r="N227" s="184"/>
      <c r="O227" s="185"/>
    </row>
    <row r="228" spans="1:16" s="173" customFormat="1" x14ac:dyDescent="0.2">
      <c r="A228" s="204"/>
      <c r="B228" s="187"/>
      <c r="C228" s="187"/>
      <c r="D228" s="187"/>
      <c r="E228" s="187"/>
      <c r="F228" s="187"/>
      <c r="G228" s="187"/>
      <c r="H228" s="184"/>
      <c r="I228" s="184"/>
      <c r="J228" s="184"/>
      <c r="K228" s="184"/>
      <c r="L228" s="184"/>
      <c r="M228" s="184"/>
      <c r="N228" s="184"/>
      <c r="O228" s="185"/>
    </row>
    <row r="229" spans="1:16" s="173" customFormat="1" x14ac:dyDescent="0.2">
      <c r="A229" s="204"/>
      <c r="B229" s="187"/>
      <c r="C229" s="187"/>
      <c r="D229" s="187"/>
      <c r="E229" s="187"/>
      <c r="F229" s="187"/>
      <c r="G229" s="187"/>
      <c r="H229" s="184"/>
      <c r="I229" s="184"/>
      <c r="J229" s="184"/>
      <c r="K229" s="184"/>
      <c r="L229" s="184"/>
      <c r="M229" s="184"/>
      <c r="N229" s="184"/>
      <c r="O229" s="185"/>
      <c r="P229" s="187"/>
    </row>
    <row r="230" spans="1:16" s="173" customFormat="1" x14ac:dyDescent="0.2">
      <c r="A230" s="204"/>
      <c r="B230" s="187"/>
      <c r="C230" s="187"/>
      <c r="D230" s="187"/>
      <c r="E230" s="187"/>
      <c r="F230" s="187"/>
      <c r="G230" s="187"/>
      <c r="H230" s="184"/>
      <c r="I230" s="184"/>
      <c r="J230" s="184"/>
      <c r="K230" s="184"/>
      <c r="L230" s="184"/>
      <c r="M230" s="184"/>
      <c r="N230" s="184"/>
      <c r="O230" s="185"/>
      <c r="P230" s="187"/>
    </row>
  </sheetData>
  <sheetProtection algorithmName="SHA-512" hashValue="KkavNHuwBn+6V7qy1YQ4YdXpGvpaXXwKO2XVd+nB0x1F+8dcYGwrPxqjHJh3FOyazCv3q0Xsq6wGQwGU3SNJ7g==" saltValue="7rDvV4ai+q35Oe+XX8F9mw==" spinCount="100000" sheet="1" objects="1" scenarios="1" formatColumns="0" formatRows="0"/>
  <dataConsolidate/>
  <mergeCells count="22">
    <mergeCell ref="B5:O5"/>
    <mergeCell ref="N7:N8"/>
    <mergeCell ref="H7:H8"/>
    <mergeCell ref="J7:J8"/>
    <mergeCell ref="K7:K8"/>
    <mergeCell ref="B6:H6"/>
    <mergeCell ref="J6:L6"/>
    <mergeCell ref="B7:B8"/>
    <mergeCell ref="O7:O8"/>
    <mergeCell ref="L7:L8"/>
    <mergeCell ref="E7:E8"/>
    <mergeCell ref="G7:G8"/>
    <mergeCell ref="N6:Q6"/>
    <mergeCell ref="P7:P8"/>
    <mergeCell ref="F7:F8"/>
    <mergeCell ref="R7:S8"/>
    <mergeCell ref="R6:S6"/>
    <mergeCell ref="J111:K111"/>
    <mergeCell ref="N111:O111"/>
    <mergeCell ref="C7:C8"/>
    <mergeCell ref="D7:D8"/>
    <mergeCell ref="Q7:Q8"/>
  </mergeCells>
  <phoneticPr fontId="5" type="noConversion"/>
  <conditionalFormatting sqref="P9:P110">
    <cfRule type="containsErrors" dxfId="5" priority="10">
      <formula>ISERROR(P9)</formula>
    </cfRule>
  </conditionalFormatting>
  <conditionalFormatting sqref="P111">
    <cfRule type="containsErrors" dxfId="4" priority="9">
      <formula>ISERROR(P111)</formula>
    </cfRule>
  </conditionalFormatting>
  <dataValidations count="3">
    <dataValidation type="list" allowBlank="1" showInputMessage="1" showErrorMessage="1" sqref="O9:O110" xr:uid="{00000000-0002-0000-0300-000000000000}">
      <formula1>"Yes, No"</formula1>
    </dataValidation>
    <dataValidation type="list" allowBlank="1" showInputMessage="1" showErrorMessage="1" sqref="N9:N110" xr:uid="{00000000-0002-0000-0300-000001000000}">
      <formula1>"LCA impact reduction action plan, Third party verified impact reductions in GWP, Third party verified impact reductions with minimum 10% reduction in GWP impact, Third party impact reductions with min. 20% reduction in GWP &amp; 5% in two other cat."</formula1>
    </dataValidation>
    <dataValidation type="list" allowBlank="1" showInputMessage="1" showErrorMessage="1" sqref="K9:K110" xr:uid="{00000000-0002-0000-0300-000002000000}">
      <formula1>"Product-specific LCA, Industry-wide/generic EPD, Product-specific Type III Internal EPD, Product Specific Type III External EPD"</formula1>
    </dataValidation>
  </dataValidations>
  <pageMargins left="1" right="0.75" top="1" bottom="0.75" header="0.5" footer="0.5"/>
  <pageSetup orientation="portrait"/>
  <headerFooter alignWithMargins="0">
    <oddFooter>&amp;LU S Green Building Council&amp;C&amp;"Arial,Bold"&amp;A&amp;RLEED&amp;XTM&amp;X Material Tracker</oddFooter>
  </headerFooter>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ummaryRight="0"/>
  </sheetPr>
  <dimension ref="A1:AF214"/>
  <sheetViews>
    <sheetView showGridLines="0" zoomScaleNormal="100" zoomScaleSheetLayoutView="100" zoomScalePageLayoutView="90" workbookViewId="0">
      <pane ySplit="8" topLeftCell="A9" activePane="bottomLeft" state="frozen"/>
      <selection pane="bottomLeft" activeCell="K43" sqref="K43"/>
    </sheetView>
  </sheetViews>
  <sheetFormatPr defaultColWidth="9.140625" defaultRowHeight="11.25" x14ac:dyDescent="0.2"/>
  <cols>
    <col min="1" max="1" width="2.7109375" style="208" hidden="1" customWidth="1"/>
    <col min="2" max="3" width="18.7109375" style="76" customWidth="1"/>
    <col min="4" max="4" width="18.7109375" style="76" hidden="1" customWidth="1"/>
    <col min="5" max="5" width="18.7109375" style="76" customWidth="1"/>
    <col min="6" max="6" width="18.7109375" style="76" hidden="1" customWidth="1"/>
    <col min="7" max="7" width="18.7109375" style="76" customWidth="1"/>
    <col min="8" max="8" width="14.7109375" style="76" customWidth="1"/>
    <col min="9" max="9" width="1.28515625" style="76" hidden="1" customWidth="1"/>
    <col min="10" max="10" width="24.7109375" style="86" hidden="1" customWidth="1"/>
    <col min="11" max="11" width="14.7109375" style="76" hidden="1" customWidth="1"/>
    <col min="12" max="12" width="3" style="76" hidden="1" customWidth="1"/>
    <col min="13" max="13" width="24.7109375" style="76" customWidth="1"/>
    <col min="14" max="15" width="14.7109375" style="76" hidden="1" customWidth="1"/>
    <col min="16" max="16" width="16.42578125" style="76" hidden="1" customWidth="1"/>
    <col min="17" max="17" width="14.85546875" style="76" hidden="1" customWidth="1"/>
    <col min="18" max="18" width="14.7109375" style="76" hidden="1" customWidth="1"/>
    <col min="19" max="19" width="14.85546875" style="76" customWidth="1"/>
    <col min="20" max="20" width="14.7109375" style="76" hidden="1" customWidth="1"/>
    <col min="21" max="21" width="14.85546875" style="76" hidden="1" customWidth="1"/>
    <col min="22" max="22" width="14.7109375" style="76" hidden="1" customWidth="1"/>
    <col min="23" max="24" width="14.7109375" style="76" customWidth="1"/>
    <col min="25" max="25" width="14.7109375" style="76" hidden="1" customWidth="1"/>
    <col min="26" max="26" width="2.85546875" style="76" hidden="1" customWidth="1"/>
    <col min="27" max="27" width="14.7109375" style="76" customWidth="1"/>
    <col min="28" max="29" width="14.7109375" style="76" hidden="1" customWidth="1"/>
    <col min="30" max="30" width="11.85546875" style="76" customWidth="1"/>
    <col min="31" max="31" width="7.5703125" style="76" hidden="1" customWidth="1"/>
    <col min="32" max="32" width="20.7109375" style="76" hidden="1" customWidth="1"/>
    <col min="33" max="16384" width="9.140625" style="76"/>
  </cols>
  <sheetData>
    <row r="1" spans="1:32" s="50" customFormat="1" ht="15" hidden="1" customHeight="1" x14ac:dyDescent="0.2">
      <c r="A1" s="196"/>
      <c r="B1" s="49"/>
      <c r="C1" s="49"/>
      <c r="D1" s="49"/>
      <c r="E1" s="49"/>
      <c r="F1" s="49"/>
      <c r="G1" s="49"/>
      <c r="H1" s="48"/>
      <c r="I1" s="48"/>
      <c r="J1" s="48"/>
      <c r="K1" s="48"/>
      <c r="L1" s="48"/>
      <c r="M1" s="48"/>
      <c r="N1" s="48"/>
      <c r="O1" s="48"/>
      <c r="P1" s="48"/>
      <c r="Q1" s="48"/>
      <c r="R1" s="48"/>
      <c r="S1" s="48"/>
      <c r="T1" s="48"/>
      <c r="U1" s="48"/>
      <c r="V1" s="48"/>
      <c r="W1" s="48"/>
      <c r="X1" s="48"/>
      <c r="Y1" s="48"/>
      <c r="Z1" s="48"/>
      <c r="AA1" s="48"/>
      <c r="AB1" s="48"/>
      <c r="AC1" s="48"/>
    </row>
    <row r="2" spans="1:32" s="50" customFormat="1" ht="21" hidden="1" customHeight="1" x14ac:dyDescent="0.2">
      <c r="A2" s="197"/>
      <c r="B2" s="303" t="s">
        <v>67</v>
      </c>
      <c r="C2" s="303"/>
      <c r="D2" s="303"/>
      <c r="E2" s="303"/>
      <c r="F2" s="303"/>
      <c r="G2" s="303"/>
      <c r="H2" s="303"/>
      <c r="I2" s="303"/>
      <c r="J2" s="303"/>
      <c r="K2" s="303"/>
      <c r="L2" s="303"/>
      <c r="M2" s="303"/>
      <c r="N2" s="303"/>
      <c r="O2" s="303"/>
      <c r="P2" s="303"/>
      <c r="Q2" s="303"/>
      <c r="R2" s="303"/>
      <c r="S2" s="303"/>
      <c r="T2" s="303"/>
      <c r="U2" s="303"/>
      <c r="V2" s="303"/>
      <c r="W2" s="303"/>
      <c r="X2" s="303"/>
      <c r="Y2" s="303"/>
      <c r="Z2" s="303"/>
      <c r="AA2" s="303"/>
      <c r="AB2" s="303"/>
      <c r="AC2" s="303"/>
    </row>
    <row r="3" spans="1:32" s="50" customFormat="1" ht="15" hidden="1" customHeight="1" x14ac:dyDescent="0.2">
      <c r="A3" s="196"/>
      <c r="B3" s="48"/>
      <c r="C3" s="48"/>
      <c r="D3" s="48"/>
      <c r="E3" s="48"/>
      <c r="F3" s="48"/>
      <c r="G3" s="48"/>
      <c r="H3" s="48"/>
      <c r="I3" s="48"/>
      <c r="J3" s="48"/>
      <c r="K3" s="48"/>
      <c r="L3" s="48"/>
      <c r="M3" s="48"/>
      <c r="N3" s="48"/>
      <c r="O3" s="48"/>
      <c r="P3" s="48"/>
      <c r="Q3" s="48"/>
      <c r="R3" s="48"/>
      <c r="S3" s="48"/>
      <c r="T3" s="48"/>
      <c r="U3" s="48"/>
      <c r="V3" s="48"/>
      <c r="W3" s="48"/>
      <c r="X3" s="48"/>
      <c r="Y3" s="48"/>
      <c r="Z3" s="48"/>
      <c r="AA3" s="48"/>
      <c r="AB3" s="48"/>
      <c r="AC3" s="48"/>
    </row>
    <row r="4" spans="1:32" s="51" customFormat="1" ht="21" hidden="1" customHeight="1" x14ac:dyDescent="0.2">
      <c r="A4" s="198"/>
      <c r="H4" s="54"/>
      <c r="I4" s="54"/>
      <c r="J4" s="66"/>
      <c r="K4" s="66"/>
      <c r="L4" s="54"/>
    </row>
    <row r="5" spans="1:32" s="51" customFormat="1" ht="17.25" hidden="1" customHeight="1" x14ac:dyDescent="0.2">
      <c r="A5" s="198"/>
      <c r="B5" s="96" t="s">
        <v>66</v>
      </c>
      <c r="C5" s="96"/>
      <c r="D5" s="96"/>
      <c r="E5" s="95"/>
      <c r="F5" s="95"/>
      <c r="G5" s="95"/>
      <c r="H5" s="96"/>
      <c r="I5" s="96"/>
      <c r="J5" s="96"/>
      <c r="K5" s="96"/>
      <c r="L5" s="79"/>
      <c r="P5" s="79"/>
      <c r="Q5" s="251"/>
      <c r="R5" s="229"/>
      <c r="S5" s="251"/>
      <c r="T5" s="81"/>
      <c r="U5" s="81"/>
      <c r="V5" s="81"/>
      <c r="AA5" s="198"/>
    </row>
    <row r="6" spans="1:32" s="68" customFormat="1" ht="42.75" hidden="1" customHeight="1" x14ac:dyDescent="0.2">
      <c r="A6" s="207"/>
      <c r="B6" s="552" t="s">
        <v>19</v>
      </c>
      <c r="C6" s="553"/>
      <c r="D6" s="553"/>
      <c r="E6" s="553"/>
      <c r="F6" s="553"/>
      <c r="G6" s="553"/>
      <c r="H6" s="554"/>
      <c r="I6" s="87"/>
      <c r="J6" s="544" t="s">
        <v>25</v>
      </c>
      <c r="K6" s="545"/>
      <c r="L6" s="87"/>
      <c r="M6" s="527" t="s">
        <v>67</v>
      </c>
      <c r="N6" s="528"/>
      <c r="O6" s="528"/>
      <c r="P6" s="528"/>
      <c r="Q6" s="528"/>
      <c r="R6" s="528"/>
      <c r="S6" s="528"/>
      <c r="T6" s="528"/>
      <c r="U6" s="528"/>
      <c r="V6" s="528"/>
      <c r="W6" s="528"/>
      <c r="X6" s="528"/>
      <c r="Y6" s="528"/>
      <c r="Z6" s="528"/>
      <c r="AA6" s="528"/>
      <c r="AB6" s="528"/>
      <c r="AC6" s="529"/>
    </row>
    <row r="7" spans="1:32" s="68" customFormat="1" ht="26.25" hidden="1" customHeight="1" x14ac:dyDescent="0.2">
      <c r="A7" s="207"/>
      <c r="B7" s="555" t="s">
        <v>62</v>
      </c>
      <c r="C7" s="560" t="s">
        <v>141</v>
      </c>
      <c r="D7" s="560" t="s">
        <v>63</v>
      </c>
      <c r="E7" s="559" t="s">
        <v>60</v>
      </c>
      <c r="F7" s="562" t="s">
        <v>152</v>
      </c>
      <c r="G7" s="551" t="s">
        <v>61</v>
      </c>
      <c r="H7" s="556" t="s">
        <v>91</v>
      </c>
      <c r="I7" s="82"/>
      <c r="J7" s="546" t="s">
        <v>10</v>
      </c>
      <c r="K7" s="557" t="s">
        <v>35</v>
      </c>
      <c r="L7" s="82"/>
      <c r="M7" s="542" t="s">
        <v>20</v>
      </c>
      <c r="N7" s="543"/>
      <c r="O7" s="525" t="s">
        <v>138</v>
      </c>
      <c r="P7" s="526"/>
      <c r="Q7" s="525" t="s">
        <v>136</v>
      </c>
      <c r="R7" s="526"/>
      <c r="S7" s="525" t="s">
        <v>3</v>
      </c>
      <c r="T7" s="526"/>
      <c r="U7" s="525" t="s">
        <v>2</v>
      </c>
      <c r="V7" s="526"/>
      <c r="W7" s="540" t="s">
        <v>0</v>
      </c>
      <c r="X7" s="541"/>
      <c r="Y7" s="541"/>
      <c r="Z7" s="93"/>
      <c r="AA7" s="534" t="s">
        <v>125</v>
      </c>
      <c r="AB7" s="536" t="s">
        <v>94</v>
      </c>
      <c r="AC7" s="532" t="s">
        <v>111</v>
      </c>
    </row>
    <row r="8" spans="1:32" s="71" customFormat="1" ht="71.099999999999994" customHeight="1" x14ac:dyDescent="0.2">
      <c r="A8" s="207"/>
      <c r="B8" s="513"/>
      <c r="C8" s="561"/>
      <c r="D8" s="561"/>
      <c r="E8" s="517"/>
      <c r="F8" s="563"/>
      <c r="G8" s="519"/>
      <c r="H8" s="504"/>
      <c r="I8" s="82"/>
      <c r="J8" s="547"/>
      <c r="K8" s="558"/>
      <c r="L8" s="82"/>
      <c r="M8" s="88" t="s">
        <v>5</v>
      </c>
      <c r="N8" s="89" t="s">
        <v>93</v>
      </c>
      <c r="O8" s="302" t="s">
        <v>133</v>
      </c>
      <c r="P8" s="302" t="s">
        <v>93</v>
      </c>
      <c r="Q8" s="302" t="s">
        <v>133</v>
      </c>
      <c r="R8" s="302" t="s">
        <v>93</v>
      </c>
      <c r="S8" s="302" t="s">
        <v>142</v>
      </c>
      <c r="T8" s="302" t="s">
        <v>93</v>
      </c>
      <c r="U8" s="302" t="s">
        <v>134</v>
      </c>
      <c r="V8" s="83" t="s">
        <v>93</v>
      </c>
      <c r="W8" s="90" t="s">
        <v>11</v>
      </c>
      <c r="X8" s="91" t="s">
        <v>12</v>
      </c>
      <c r="Y8" s="92" t="s">
        <v>93</v>
      </c>
      <c r="Z8" s="93"/>
      <c r="AA8" s="535"/>
      <c r="AB8" s="537"/>
      <c r="AC8" s="533"/>
      <c r="AD8" s="417"/>
      <c r="AE8" s="419" t="s">
        <v>149</v>
      </c>
      <c r="AF8" s="418" t="s">
        <v>150</v>
      </c>
    </row>
    <row r="9" spans="1:32" s="68" customFormat="1" ht="15" customHeight="1" x14ac:dyDescent="0.2">
      <c r="A9" s="80">
        <f>IF(H9&gt;=0,0,1)</f>
        <v>0</v>
      </c>
      <c r="B9" s="361" t="str">
        <f>IF(ISBLANK(Materials!B9),"",Materials!B9)</f>
        <v>Site Concrete</v>
      </c>
      <c r="C9" s="351" t="str">
        <f>IF(ISBLANK(Materials!C9),"",Materials!C9)</f>
        <v>033000</v>
      </c>
      <c r="D9" s="351" t="str">
        <f>IF(ISBLANK(Materials!D9),"",Materials!D9)</f>
        <v/>
      </c>
      <c r="E9" s="351" t="str">
        <f>IF(ISBLANK(Materials!E9),"",Materials!E9)</f>
        <v>CC4534DA6</v>
      </c>
      <c r="F9" s="435"/>
      <c r="G9" s="362" t="str">
        <f>IF(ISBLANK(Materials!F9),"",Materials!F9)</f>
        <v>Lauren Concrete</v>
      </c>
      <c r="H9" s="318">
        <f>IF(ISBLANK(Materials!G9),"",Materials!G9)</f>
        <v>11881</v>
      </c>
      <c r="I9" s="223"/>
      <c r="J9" s="446" t="s">
        <v>64</v>
      </c>
      <c r="K9" s="231">
        <f>IF(J9="Manufacturer Declared",0.5,IF(J9="Third Party Verified",1,""))</f>
        <v>1</v>
      </c>
      <c r="L9" s="84"/>
      <c r="M9" s="254"/>
      <c r="N9" s="305">
        <f>IF(M9&gt;0,(H9*0.5),0)</f>
        <v>0</v>
      </c>
      <c r="O9" s="424"/>
      <c r="P9" s="309">
        <f>IFERROR(O9*H9,0)*0.5</f>
        <v>0</v>
      </c>
      <c r="Q9" s="424"/>
      <c r="R9" s="309">
        <f>IFERROR(Q9*H9,0)</f>
        <v>0</v>
      </c>
      <c r="S9" s="424"/>
      <c r="T9" s="305">
        <f>IFERROR(S9*H9,0)</f>
        <v>0</v>
      </c>
      <c r="U9" s="429"/>
      <c r="V9" s="346">
        <f t="shared" ref="V9:V110" si="0">IFERROR(U9*H9,0)*2</f>
        <v>0</v>
      </c>
      <c r="W9" s="297">
        <v>0</v>
      </c>
      <c r="X9" s="298">
        <f>136/3990</f>
        <v>3.4085213032581455E-2</v>
      </c>
      <c r="Y9" s="291">
        <f t="shared" ref="Y9:Y110" si="1">IFERROR((W9*H9)+((X9*H9)/2),0)</f>
        <v>202.48320802005014</v>
      </c>
      <c r="Z9" s="94"/>
      <c r="AA9" s="217"/>
      <c r="AB9" s="294">
        <f>SUM(N9,P9,R9,T9,V9,Y9)</f>
        <v>202.48320802005014</v>
      </c>
      <c r="AC9" s="295">
        <f>IFERROR((IF(AE9&lt;=AF9,AE9,IF(AE9&gt;AF9,AF9))),0)</f>
        <v>202.48320802005014</v>
      </c>
      <c r="AD9" s="415"/>
      <c r="AE9" s="246">
        <f>IF(AA9="Yes",AB9*2,AB9)</f>
        <v>202.48320802005014</v>
      </c>
      <c r="AF9" s="416">
        <f>H9*2</f>
        <v>23762</v>
      </c>
    </row>
    <row r="10" spans="1:32" s="68" customFormat="1" ht="15" customHeight="1" x14ac:dyDescent="0.2">
      <c r="A10" s="80">
        <f t="shared" ref="A10:A14" si="2">IF(H10&gt;=0,0,1)</f>
        <v>0</v>
      </c>
      <c r="B10" s="363" t="str">
        <f>IF(ISBLANK(Materials!B10),"",Materials!B10)</f>
        <v>Slab on Grade</v>
      </c>
      <c r="C10" s="352" t="str">
        <f>IF(ISBLANK(Materials!C10),"",Materials!C10)</f>
        <v>033000</v>
      </c>
      <c r="D10" s="352" t="str">
        <f>IF(ISBLANK(Materials!D10),"",Materials!D10)</f>
        <v/>
      </c>
      <c r="E10" s="364" t="str">
        <f>IF(ISBLANK(Materials!E10),"",Materials!E10)</f>
        <v>CC45LSR6</v>
      </c>
      <c r="F10" s="436"/>
      <c r="G10" s="365" t="str">
        <f>IF(ISBLANK(Materials!F10),"",Materials!F10)</f>
        <v>Lauren Concrete</v>
      </c>
      <c r="H10" s="342">
        <f>IF(ISBLANK(Materials!G10),"",Materials!G10)</f>
        <v>20085</v>
      </c>
      <c r="I10" s="223"/>
      <c r="J10" s="447"/>
      <c r="K10" s="232" t="str">
        <f t="shared" ref="K10:K14" si="3">IF(J10="Manufacturer Declared",0.5,IF(J10="Third Party Verified",1,""))</f>
        <v/>
      </c>
      <c r="L10" s="84"/>
      <c r="M10" s="345"/>
      <c r="N10" s="346">
        <f t="shared" ref="N10:N110" si="4">IF(M10&gt;0,(H10*0.5),0)</f>
        <v>0</v>
      </c>
      <c r="O10" s="425"/>
      <c r="P10" s="347">
        <f>IFERROR(O10*H10,0)*0.5</f>
        <v>0</v>
      </c>
      <c r="Q10" s="425"/>
      <c r="R10" s="347">
        <f t="shared" ref="R10:R110" si="5">IFERROR(Q10*H10,0)</f>
        <v>0</v>
      </c>
      <c r="S10" s="427"/>
      <c r="T10" s="346">
        <f t="shared" ref="T10:T110" si="6">IFERROR(S10*H10,0)</f>
        <v>0</v>
      </c>
      <c r="U10" s="430"/>
      <c r="V10" s="346">
        <f t="shared" si="0"/>
        <v>0</v>
      </c>
      <c r="W10" s="348">
        <v>0</v>
      </c>
      <c r="X10" s="349">
        <f>136/3898</f>
        <v>3.4889687018984095E-2</v>
      </c>
      <c r="Y10" s="350">
        <f t="shared" si="1"/>
        <v>350.37968188814779</v>
      </c>
      <c r="Z10" s="94"/>
      <c r="AA10" s="218"/>
      <c r="AB10" s="376">
        <f t="shared" ref="AB10:AB110" si="7">SUM(N10,P10,R10,T10,V10,Y10)</f>
        <v>350.37968188814779</v>
      </c>
      <c r="AC10" s="295">
        <f t="shared" ref="AC10:AC110" si="8">IFERROR((IF(AE10&lt;=AF10,AE10,IF(AE10&gt;AF10,AF10))),0)</f>
        <v>350.37968188814779</v>
      </c>
      <c r="AE10" s="246">
        <f t="shared" ref="AE10:AE110" si="9">IF(AA10="Yes",AB10*2,AB10)</f>
        <v>350.37968188814779</v>
      </c>
      <c r="AF10" s="416">
        <f t="shared" ref="AF10:AF110" si="10">H10*2</f>
        <v>40170</v>
      </c>
    </row>
    <row r="11" spans="1:32" s="68" customFormat="1" ht="15" customHeight="1" x14ac:dyDescent="0.2">
      <c r="A11" s="80">
        <f t="shared" si="2"/>
        <v>0</v>
      </c>
      <c r="B11" s="363" t="str">
        <f>IF(ISBLANK(Materials!B11),"",Materials!B11)</f>
        <v>Piers, Footings, Grade Beams</v>
      </c>
      <c r="C11" s="352" t="str">
        <f>IF(ISBLANK(Materials!C11),"",Materials!C11)</f>
        <v>033000</v>
      </c>
      <c r="D11" s="352" t="str">
        <f>IF(ISBLANK(Materials!D11),"",Materials!D11)</f>
        <v/>
      </c>
      <c r="E11" s="364" t="str">
        <f>IF(ISBLANK(Materials!E11),"",Materials!E11)</f>
        <v>4550LS</v>
      </c>
      <c r="F11" s="436"/>
      <c r="G11" s="365" t="str">
        <f>IF(ISBLANK(Materials!F11),"",Materials!F11)</f>
        <v>Lauren Concrete</v>
      </c>
      <c r="H11" s="342">
        <f>IF(ISBLANK(Materials!G11),"",Materials!G11)</f>
        <v>66281</v>
      </c>
      <c r="I11" s="223"/>
      <c r="J11" s="447"/>
      <c r="K11" s="232" t="str">
        <f t="shared" si="3"/>
        <v/>
      </c>
      <c r="L11" s="84"/>
      <c r="M11" s="345"/>
      <c r="N11" s="346">
        <f t="shared" si="4"/>
        <v>0</v>
      </c>
      <c r="O11" s="425"/>
      <c r="P11" s="347">
        <f t="shared" ref="P11:P109" si="11">IFERROR(O11*H11,0)*0.5</f>
        <v>0</v>
      </c>
      <c r="Q11" s="425"/>
      <c r="R11" s="347">
        <f t="shared" si="5"/>
        <v>0</v>
      </c>
      <c r="S11" s="427"/>
      <c r="T11" s="346">
        <f t="shared" si="6"/>
        <v>0</v>
      </c>
      <c r="U11" s="430"/>
      <c r="V11" s="346">
        <f t="shared" si="0"/>
        <v>0</v>
      </c>
      <c r="W11" s="348">
        <v>0</v>
      </c>
      <c r="X11" s="349">
        <f>400/3832</f>
        <v>0.10438413361169102</v>
      </c>
      <c r="Y11" s="350">
        <f t="shared" si="1"/>
        <v>3459.3423799582465</v>
      </c>
      <c r="Z11" s="94"/>
      <c r="AA11" s="218"/>
      <c r="AB11" s="376">
        <f t="shared" si="7"/>
        <v>3459.3423799582465</v>
      </c>
      <c r="AC11" s="295">
        <f t="shared" si="8"/>
        <v>3459.3423799582465</v>
      </c>
      <c r="AE11" s="246">
        <f t="shared" si="9"/>
        <v>3459.3423799582465</v>
      </c>
      <c r="AF11" s="416">
        <f t="shared" si="10"/>
        <v>132562</v>
      </c>
    </row>
    <row r="12" spans="1:32" s="68" customFormat="1" ht="15" customHeight="1" x14ac:dyDescent="0.2">
      <c r="A12" s="80">
        <f t="shared" si="2"/>
        <v>0</v>
      </c>
      <c r="B12" s="363" t="str">
        <f>IF(ISBLANK(Materials!B12),"",Materials!B12)</f>
        <v>Elevated Concrete &amp; Columns</v>
      </c>
      <c r="C12" s="352" t="str">
        <f>IF(ISBLANK(Materials!C12),"",Materials!C12)</f>
        <v>033000</v>
      </c>
      <c r="D12" s="352" t="str">
        <f>IF(ISBLANK(Materials!D12),"",Materials!D12)</f>
        <v/>
      </c>
      <c r="E12" s="364" t="str">
        <f>IF(ISBLANK(Materials!E12),"",Materials!E12)</f>
        <v>CC45LS6</v>
      </c>
      <c r="F12" s="436"/>
      <c r="G12" s="365" t="str">
        <f>IF(ISBLANK(Materials!F12),"",Materials!F12)</f>
        <v>Lauren Concrete</v>
      </c>
      <c r="H12" s="342">
        <f>IF(ISBLANK(Materials!G12),"",Materials!G12)</f>
        <v>155033</v>
      </c>
      <c r="I12" s="223"/>
      <c r="J12" s="447"/>
      <c r="K12" s="232" t="str">
        <f t="shared" ref="K12:K13" si="12">IF(J12="Manufacturer Declared",0.5,IF(J12="Third Party Verified",1,""))</f>
        <v/>
      </c>
      <c r="L12" s="84"/>
      <c r="M12" s="345"/>
      <c r="N12" s="346">
        <f t="shared" si="4"/>
        <v>0</v>
      </c>
      <c r="O12" s="425"/>
      <c r="P12" s="347">
        <f t="shared" si="11"/>
        <v>0</v>
      </c>
      <c r="Q12" s="425"/>
      <c r="R12" s="347">
        <f t="shared" si="5"/>
        <v>0</v>
      </c>
      <c r="S12" s="427"/>
      <c r="T12" s="346">
        <f t="shared" si="6"/>
        <v>0</v>
      </c>
      <c r="U12" s="430"/>
      <c r="V12" s="346">
        <f t="shared" si="0"/>
        <v>0</v>
      </c>
      <c r="W12" s="348">
        <v>0</v>
      </c>
      <c r="X12" s="349">
        <f>139/3909</f>
        <v>3.5558966487592734E-2</v>
      </c>
      <c r="Y12" s="350">
        <f t="shared" si="1"/>
        <v>2756.4066257354821</v>
      </c>
      <c r="Z12" s="94"/>
      <c r="AA12" s="218"/>
      <c r="AB12" s="376">
        <f t="shared" si="7"/>
        <v>2756.4066257354821</v>
      </c>
      <c r="AC12" s="295">
        <f t="shared" si="8"/>
        <v>2756.4066257354821</v>
      </c>
      <c r="AE12" s="246">
        <f t="shared" si="9"/>
        <v>2756.4066257354821</v>
      </c>
      <c r="AF12" s="416">
        <f t="shared" si="10"/>
        <v>310066</v>
      </c>
    </row>
    <row r="13" spans="1:32" s="68" customFormat="1" ht="15" customHeight="1" x14ac:dyDescent="0.2">
      <c r="A13" s="80">
        <f t="shared" si="2"/>
        <v>0</v>
      </c>
      <c r="B13" s="363" t="str">
        <f>IF(ISBLANK(Materials!B13),"",Materials!B13)</f>
        <v xml:space="preserve">Concrete Reinforcing Steel </v>
      </c>
      <c r="C13" s="352" t="str">
        <f>IF(ISBLANK(Materials!C13),"",Materials!C13)</f>
        <v>032000</v>
      </c>
      <c r="D13" s="352" t="str">
        <f>IF(ISBLANK(Materials!D13),"",Materials!D13)</f>
        <v/>
      </c>
      <c r="E13" s="364" t="str">
        <f>IF(ISBLANK(Materials!E13),"",Materials!E13)</f>
        <v>Rebar</v>
      </c>
      <c r="F13" s="436"/>
      <c r="G13" s="365" t="str">
        <f>IF(ISBLANK(Materials!F13),"",Materials!F13)</f>
        <v>CMC</v>
      </c>
      <c r="H13" s="342">
        <f>IF(ISBLANK(Materials!G13),"",Materials!G13)</f>
        <v>208700</v>
      </c>
      <c r="I13" s="223"/>
      <c r="J13" s="447"/>
      <c r="K13" s="232" t="str">
        <f t="shared" si="12"/>
        <v/>
      </c>
      <c r="L13" s="84"/>
      <c r="M13" s="345"/>
      <c r="N13" s="346">
        <f t="shared" si="4"/>
        <v>0</v>
      </c>
      <c r="O13" s="425"/>
      <c r="P13" s="347">
        <f t="shared" si="11"/>
        <v>0</v>
      </c>
      <c r="Q13" s="425"/>
      <c r="R13" s="347">
        <f t="shared" si="5"/>
        <v>0</v>
      </c>
      <c r="S13" s="427"/>
      <c r="T13" s="346">
        <f t="shared" si="6"/>
        <v>0</v>
      </c>
      <c r="U13" s="430"/>
      <c r="V13" s="346">
        <f t="shared" si="0"/>
        <v>0</v>
      </c>
      <c r="W13" s="348">
        <v>0.78600000000000003</v>
      </c>
      <c r="X13" s="349">
        <v>0.184</v>
      </c>
      <c r="Y13" s="350">
        <f t="shared" si="1"/>
        <v>183238.6</v>
      </c>
      <c r="Z13" s="94"/>
      <c r="AA13" s="218"/>
      <c r="AB13" s="376">
        <f t="shared" si="7"/>
        <v>183238.6</v>
      </c>
      <c r="AC13" s="295">
        <f t="shared" si="8"/>
        <v>183238.6</v>
      </c>
      <c r="AE13" s="246">
        <f t="shared" si="9"/>
        <v>183238.6</v>
      </c>
      <c r="AF13" s="416">
        <f t="shared" si="10"/>
        <v>417400</v>
      </c>
    </row>
    <row r="14" spans="1:32" s="68" customFormat="1" ht="15" customHeight="1" x14ac:dyDescent="0.2">
      <c r="A14" s="80">
        <f t="shared" si="2"/>
        <v>0</v>
      </c>
      <c r="B14" s="363" t="str">
        <f>IF(ISBLANK(Materials!B14),"",Materials!B14)</f>
        <v xml:space="preserve">Concrete Mix </v>
      </c>
      <c r="C14" s="352" t="str">
        <f>IF(ISBLANK(Materials!C14),"",Materials!C14)</f>
        <v>033000</v>
      </c>
      <c r="D14" s="352" t="str">
        <f>IF(ISBLANK(Materials!D14),"",Materials!D14)</f>
        <v/>
      </c>
      <c r="E14" s="364" t="str">
        <f>IF(ISBLANK(Materials!E14),"",Materials!E14)</f>
        <v>CC4434D6</v>
      </c>
      <c r="F14" s="436"/>
      <c r="G14" s="365" t="str">
        <f>IF(ISBLANK(Materials!F14),"",Materials!F14)</f>
        <v>Lauren Concrete</v>
      </c>
      <c r="H14" s="342">
        <f>IF(ISBLANK(Materials!G14),"",Materials!G14)</f>
        <v>2640</v>
      </c>
      <c r="I14" s="223"/>
      <c r="J14" s="448"/>
      <c r="K14" s="233" t="str">
        <f t="shared" si="3"/>
        <v/>
      </c>
      <c r="L14" s="84"/>
      <c r="M14" s="345"/>
      <c r="N14" s="346">
        <f t="shared" si="4"/>
        <v>0</v>
      </c>
      <c r="O14" s="425"/>
      <c r="P14" s="347">
        <f t="shared" si="11"/>
        <v>0</v>
      </c>
      <c r="Q14" s="425"/>
      <c r="R14" s="347">
        <f t="shared" si="5"/>
        <v>0</v>
      </c>
      <c r="S14" s="427"/>
      <c r="T14" s="346">
        <f t="shared" si="6"/>
        <v>0</v>
      </c>
      <c r="U14" s="430"/>
      <c r="V14" s="346">
        <f t="shared" si="0"/>
        <v>0</v>
      </c>
      <c r="W14" s="348">
        <v>0</v>
      </c>
      <c r="X14" s="349">
        <f>142/4091</f>
        <v>3.4710339770227326E-2</v>
      </c>
      <c r="Y14" s="350">
        <f t="shared" si="1"/>
        <v>45.817648496700073</v>
      </c>
      <c r="Z14" s="94"/>
      <c r="AA14" s="218"/>
      <c r="AB14" s="376">
        <f t="shared" si="7"/>
        <v>45.817648496700073</v>
      </c>
      <c r="AC14" s="295">
        <f t="shared" si="8"/>
        <v>45.817648496700073</v>
      </c>
      <c r="AE14" s="246">
        <f t="shared" si="9"/>
        <v>45.817648496700073</v>
      </c>
      <c r="AF14" s="416">
        <f t="shared" si="10"/>
        <v>5280</v>
      </c>
    </row>
    <row r="15" spans="1:32" s="68" customFormat="1" ht="15" customHeight="1" x14ac:dyDescent="0.2">
      <c r="A15" s="80">
        <f t="shared" ref="A15" si="13">IF(H15&gt;=0,0,1)</f>
        <v>0</v>
      </c>
      <c r="B15" s="363" t="str">
        <f>IF(ISBLANK(Materials!B15),"",Materials!B15)</f>
        <v>Cast in Place Concrete</v>
      </c>
      <c r="C15" s="352" t="str">
        <f>IF(ISBLANK(Materials!C15),"",Materials!C15)</f>
        <v>03 Concrete</v>
      </c>
      <c r="D15" s="352" t="str">
        <f>IF(ISBLANK(Materials!D15),"",Materials!D15)</f>
        <v/>
      </c>
      <c r="E15" s="364" t="str">
        <f>IF(ISBLANK(Materials!E15),"",Materials!E15)</f>
        <v>Steel Anchors Bolts &amp; Embeds</v>
      </c>
      <c r="F15" s="436"/>
      <c r="G15" s="365" t="str">
        <f>IF(ISBLANK(Materials!F15),"",Materials!F15)</f>
        <v>Myrex Industries</v>
      </c>
      <c r="H15" s="342">
        <f>IF(ISBLANK(Materials!G15),"",Materials!G15)</f>
        <v>0</v>
      </c>
      <c r="I15" s="223"/>
      <c r="J15" s="448"/>
      <c r="K15" s="233" t="str">
        <f t="shared" ref="K15" si="14">IF(J15="Manufacturer Declared",0.5,IF(J15="Third Party Verified",1,""))</f>
        <v/>
      </c>
      <c r="L15" s="84"/>
      <c r="M15" s="345"/>
      <c r="N15" s="346">
        <f t="shared" si="4"/>
        <v>0</v>
      </c>
      <c r="O15" s="425"/>
      <c r="P15" s="347">
        <f t="shared" si="11"/>
        <v>0</v>
      </c>
      <c r="Q15" s="425"/>
      <c r="R15" s="347">
        <f t="shared" si="5"/>
        <v>0</v>
      </c>
      <c r="S15" s="427"/>
      <c r="T15" s="346">
        <f t="shared" si="6"/>
        <v>0</v>
      </c>
      <c r="U15" s="430"/>
      <c r="V15" s="346">
        <f t="shared" si="0"/>
        <v>0</v>
      </c>
      <c r="W15" s="348">
        <v>0.25</v>
      </c>
      <c r="X15" s="349">
        <v>0</v>
      </c>
      <c r="Y15" s="350">
        <f t="shared" si="1"/>
        <v>0</v>
      </c>
      <c r="Z15" s="94"/>
      <c r="AA15" s="218"/>
      <c r="AB15" s="376">
        <f t="shared" si="7"/>
        <v>0</v>
      </c>
      <c r="AC15" s="295">
        <f t="shared" si="8"/>
        <v>0</v>
      </c>
      <c r="AE15" s="246">
        <f t="shared" si="9"/>
        <v>0</v>
      </c>
      <c r="AF15" s="416">
        <f t="shared" si="10"/>
        <v>0</v>
      </c>
    </row>
    <row r="16" spans="1:32" s="68" customFormat="1" ht="15" customHeight="1" x14ac:dyDescent="0.2">
      <c r="A16" s="80">
        <f t="shared" ref="A16" si="15">IF(H16&gt;=0,0,1)</f>
        <v>0</v>
      </c>
      <c r="B16" s="363" t="str">
        <f>IF(ISBLANK(Materials!B16),"",Materials!B16)</f>
        <v xml:space="preserve">Steel Decking </v>
      </c>
      <c r="C16" s="352" t="str">
        <f>IF(ISBLANK(Materials!C16),"",Materials!C16)</f>
        <v>053100</v>
      </c>
      <c r="D16" s="352" t="str">
        <f>IF(ISBLANK(Materials!D16),"",Materials!D16)</f>
        <v/>
      </c>
      <c r="E16" s="364" t="str">
        <f>IF(ISBLANK(Materials!E16),"",Materials!E16)</f>
        <v>1.0 C, CSV Conform</v>
      </c>
      <c r="F16" s="436"/>
      <c r="G16" s="365" t="str">
        <f>IF(ISBLANK(Materials!F16),"",Materials!F16)</f>
        <v>Myrex-Vulcraft-Nucor</v>
      </c>
      <c r="H16" s="342">
        <f>IF(ISBLANK(Materials!G16),"",Materials!G16)</f>
        <v>9772</v>
      </c>
      <c r="I16" s="223"/>
      <c r="J16" s="448"/>
      <c r="K16" s="233" t="str">
        <f t="shared" ref="K16" si="16">IF(J16="Manufacturer Declared",0.5,IF(J16="Third Party Verified",1,""))</f>
        <v/>
      </c>
      <c r="L16" s="84"/>
      <c r="M16" s="345"/>
      <c r="N16" s="346">
        <f t="shared" si="4"/>
        <v>0</v>
      </c>
      <c r="O16" s="425"/>
      <c r="P16" s="347">
        <f t="shared" si="11"/>
        <v>0</v>
      </c>
      <c r="Q16" s="425"/>
      <c r="R16" s="347">
        <f t="shared" si="5"/>
        <v>0</v>
      </c>
      <c r="S16" s="427"/>
      <c r="T16" s="346">
        <f t="shared" si="6"/>
        <v>0</v>
      </c>
      <c r="U16" s="430"/>
      <c r="V16" s="346">
        <f t="shared" si="0"/>
        <v>0</v>
      </c>
      <c r="W16" s="348">
        <v>0.3</v>
      </c>
      <c r="X16" s="349">
        <v>0.28899999999999998</v>
      </c>
      <c r="Y16" s="350">
        <f t="shared" si="1"/>
        <v>4343.6539999999995</v>
      </c>
      <c r="Z16" s="94"/>
      <c r="AA16" s="218"/>
      <c r="AB16" s="376">
        <f t="shared" si="7"/>
        <v>4343.6539999999995</v>
      </c>
      <c r="AC16" s="295">
        <f t="shared" si="8"/>
        <v>4343.6539999999995</v>
      </c>
      <c r="AE16" s="246">
        <f t="shared" si="9"/>
        <v>4343.6539999999995</v>
      </c>
      <c r="AF16" s="416">
        <f t="shared" si="10"/>
        <v>19544</v>
      </c>
    </row>
    <row r="17" spans="1:32" s="68" customFormat="1" ht="15" customHeight="1" x14ac:dyDescent="0.2">
      <c r="A17" s="80">
        <f t="shared" ref="A17" si="17">IF(H17&gt;=0,0,1)</f>
        <v>0</v>
      </c>
      <c r="B17" s="363" t="str">
        <f>IF(ISBLANK(Materials!B17),"",Materials!B17)</f>
        <v xml:space="preserve">Structural Steel Framing &amp; Metal Fabrications </v>
      </c>
      <c r="C17" s="352" t="str">
        <f>IF(ISBLANK(Materials!C17),"",Materials!C17)</f>
        <v>051200, 055000</v>
      </c>
      <c r="D17" s="352" t="str">
        <f>IF(ISBLANK(Materials!D17),"",Materials!D17)</f>
        <v/>
      </c>
      <c r="E17" s="364" t="str">
        <f>IF(ISBLANK(Materials!E17),"",Materials!E17)</f>
        <v>Wide Flange &amp; Angles</v>
      </c>
      <c r="F17" s="436"/>
      <c r="G17" s="365" t="str">
        <f>IF(ISBLANK(Materials!F17),"",Materials!F17)</f>
        <v>Myrex Industries</v>
      </c>
      <c r="H17" s="342">
        <f>IF(ISBLANK(Materials!G17),"",Materials!G17)</f>
        <v>39398</v>
      </c>
      <c r="I17" s="223"/>
      <c r="J17" s="448"/>
      <c r="K17" s="233" t="str">
        <f t="shared" ref="K17" si="18">IF(J17="Manufacturer Declared",0.5,IF(J17="Third Party Verified",1,""))</f>
        <v/>
      </c>
      <c r="L17" s="84"/>
      <c r="M17" s="345"/>
      <c r="N17" s="346">
        <f t="shared" ref="N17" si="19">IF(M17&gt;0,(H17*0.5),0)</f>
        <v>0</v>
      </c>
      <c r="O17" s="425"/>
      <c r="P17" s="347">
        <f t="shared" ref="P17" si="20">IFERROR(O17*H17,0)*0.5</f>
        <v>0</v>
      </c>
      <c r="Q17" s="425"/>
      <c r="R17" s="347">
        <f t="shared" ref="R17" si="21">IFERROR(Q17*H17,0)</f>
        <v>0</v>
      </c>
      <c r="S17" s="427"/>
      <c r="T17" s="346">
        <f t="shared" ref="T17" si="22">IFERROR(S17*H17,0)</f>
        <v>0</v>
      </c>
      <c r="U17" s="430"/>
      <c r="V17" s="346">
        <f t="shared" ref="V17" si="23">IFERROR(U17*H17,0)*2</f>
        <v>0</v>
      </c>
      <c r="W17" s="348">
        <v>0.56899999999999995</v>
      </c>
      <c r="X17" s="349">
        <v>0.314</v>
      </c>
      <c r="Y17" s="350">
        <f t="shared" ref="Y17" si="24">IFERROR((W17*H17)+((X17*H17)/2),0)</f>
        <v>28602.948</v>
      </c>
      <c r="Z17" s="94"/>
      <c r="AA17" s="218"/>
      <c r="AB17" s="376">
        <f t="shared" ref="AB17" si="25">SUM(N17,P17,R17,T17,V17,Y17)</f>
        <v>28602.948</v>
      </c>
      <c r="AC17" s="295">
        <f t="shared" ref="AC17" si="26">IFERROR((IF(AE17&lt;=AF17,AE17,IF(AE17&gt;AF17,AF17))),0)</f>
        <v>28602.948</v>
      </c>
      <c r="AE17" s="246">
        <f t="shared" ref="AE17" si="27">IF(AA17="Yes",AB17*2,AB17)</f>
        <v>28602.948</v>
      </c>
      <c r="AF17" s="416">
        <f t="shared" ref="AF17" si="28">H17*2</f>
        <v>78796</v>
      </c>
    </row>
    <row r="18" spans="1:32" s="68" customFormat="1" ht="15" customHeight="1" x14ac:dyDescent="0.2">
      <c r="A18" s="80">
        <f t="shared" ref="A18:A22" si="29">IF(H18&gt;=0,0,1)</f>
        <v>0</v>
      </c>
      <c r="B18" s="363" t="str">
        <f>IF(ISBLANK(Materials!B18),"",Materials!B18)</f>
        <v xml:space="preserve">Structural Steel Framing &amp; Metal Fabrications </v>
      </c>
      <c r="C18" s="352" t="str">
        <f>IF(ISBLANK(Materials!C18),"",Materials!C18)</f>
        <v>051200, 055000</v>
      </c>
      <c r="D18" s="352" t="str">
        <f>IF(ISBLANK(Materials!D18),"",Materials!D18)</f>
        <v/>
      </c>
      <c r="E18" s="364" t="str">
        <f>IF(ISBLANK(Materials!E18),"",Materials!E18)</f>
        <v>Tube &amp; Plates</v>
      </c>
      <c r="F18" s="436"/>
      <c r="G18" s="365" t="str">
        <f>IF(ISBLANK(Materials!F18),"",Materials!F18)</f>
        <v>Myrex Industries</v>
      </c>
      <c r="H18" s="342">
        <f>IF(ISBLANK(Materials!G18),"",Materials!G18)</f>
        <v>34734</v>
      </c>
      <c r="I18" s="223"/>
      <c r="J18" s="448"/>
      <c r="K18" s="233" t="str">
        <f t="shared" ref="K18:K22" si="30">IF(J18="Manufacturer Declared",0.5,IF(J18="Third Party Verified",1,""))</f>
        <v/>
      </c>
      <c r="L18" s="84"/>
      <c r="M18" s="345"/>
      <c r="N18" s="346">
        <f t="shared" ref="N18:N22" si="31">IF(M18&gt;0,(H18*0.5),0)</f>
        <v>0</v>
      </c>
      <c r="O18" s="425"/>
      <c r="P18" s="347">
        <f t="shared" ref="P18:P22" si="32">IFERROR(O18*H18,0)*0.5</f>
        <v>0</v>
      </c>
      <c r="Q18" s="425"/>
      <c r="R18" s="347">
        <f t="shared" ref="R18:R22" si="33">IFERROR(Q18*H18,0)</f>
        <v>0</v>
      </c>
      <c r="S18" s="427"/>
      <c r="T18" s="346">
        <f t="shared" ref="T18:T22" si="34">IFERROR(S18*H18,0)</f>
        <v>0</v>
      </c>
      <c r="U18" s="430"/>
      <c r="V18" s="346">
        <f t="shared" ref="V18:V22" si="35">IFERROR(U18*H18,0)*2</f>
        <v>0</v>
      </c>
      <c r="W18" s="348">
        <v>0.255</v>
      </c>
      <c r="X18" s="349">
        <v>6.8000000000000005E-2</v>
      </c>
      <c r="Y18" s="350">
        <f t="shared" ref="Y18:Y22" si="36">IFERROR((W18*H18)+((X18*H18)/2),0)</f>
        <v>10038.126</v>
      </c>
      <c r="Z18" s="94"/>
      <c r="AA18" s="218"/>
      <c r="AB18" s="376">
        <f t="shared" ref="AB18:AB22" si="37">SUM(N18,P18,R18,T18,V18,Y18)</f>
        <v>10038.126</v>
      </c>
      <c r="AC18" s="295">
        <f t="shared" ref="AC18:AC22" si="38">IFERROR((IF(AE18&lt;=AF18,AE18,IF(AE18&gt;AF18,AF18))),0)</f>
        <v>10038.126</v>
      </c>
      <c r="AE18" s="246">
        <f t="shared" ref="AE18:AE22" si="39">IF(AA18="Yes",AB18*2,AB18)</f>
        <v>10038.126</v>
      </c>
      <c r="AF18" s="416">
        <f t="shared" ref="AF18:AF22" si="40">H18*2</f>
        <v>69468</v>
      </c>
    </row>
    <row r="19" spans="1:32" s="68" customFormat="1" ht="15" customHeight="1" x14ac:dyDescent="0.2">
      <c r="A19" s="80">
        <f t="shared" si="29"/>
        <v>0</v>
      </c>
      <c r="B19" s="363" t="str">
        <f>IF(ISBLANK(Materials!B19),"",Materials!B19)</f>
        <v xml:space="preserve">Steel Joist </v>
      </c>
      <c r="C19" s="352" t="str">
        <f>IF(ISBLANK(Materials!C19),"",Materials!C19)</f>
        <v>052123</v>
      </c>
      <c r="D19" s="352" t="str">
        <f>IF(ISBLANK(Materials!D19),"",Materials!D19)</f>
        <v/>
      </c>
      <c r="E19" s="364" t="str">
        <f>IF(ISBLANK(Materials!E19),"",Materials!E19)</f>
        <v>Vulcraft Joist</v>
      </c>
      <c r="F19" s="436"/>
      <c r="G19" s="365" t="str">
        <f>IF(ISBLANK(Materials!F19),"",Materials!F19)</f>
        <v>Myrex-Vulcraft-Nucor</v>
      </c>
      <c r="H19" s="342">
        <f>IF(ISBLANK(Materials!G19),"",Materials!G19)</f>
        <v>1120</v>
      </c>
      <c r="I19" s="223"/>
      <c r="J19" s="448"/>
      <c r="K19" s="233" t="str">
        <f t="shared" si="30"/>
        <v/>
      </c>
      <c r="L19" s="84"/>
      <c r="M19" s="345"/>
      <c r="N19" s="346">
        <f t="shared" si="31"/>
        <v>0</v>
      </c>
      <c r="O19" s="425"/>
      <c r="P19" s="347">
        <f t="shared" si="32"/>
        <v>0</v>
      </c>
      <c r="Q19" s="425"/>
      <c r="R19" s="347">
        <f t="shared" si="33"/>
        <v>0</v>
      </c>
      <c r="S19" s="427"/>
      <c r="T19" s="346">
        <f t="shared" si="34"/>
        <v>0</v>
      </c>
      <c r="U19" s="430"/>
      <c r="V19" s="346">
        <f t="shared" si="35"/>
        <v>0</v>
      </c>
      <c r="W19" s="348">
        <v>0.83499999999999996</v>
      </c>
      <c r="X19" s="349">
        <v>0.126</v>
      </c>
      <c r="Y19" s="350">
        <f t="shared" si="36"/>
        <v>1005.76</v>
      </c>
      <c r="Z19" s="94"/>
      <c r="AA19" s="218"/>
      <c r="AB19" s="376">
        <f t="shared" si="37"/>
        <v>1005.76</v>
      </c>
      <c r="AC19" s="295">
        <f t="shared" si="38"/>
        <v>1005.76</v>
      </c>
      <c r="AE19" s="246">
        <f t="shared" si="39"/>
        <v>1005.76</v>
      </c>
      <c r="AF19" s="416">
        <f t="shared" si="40"/>
        <v>2240</v>
      </c>
    </row>
    <row r="20" spans="1:32" s="68" customFormat="1" ht="15" customHeight="1" x14ac:dyDescent="0.2">
      <c r="A20" s="80">
        <f t="shared" si="29"/>
        <v>0</v>
      </c>
      <c r="B20" s="363" t="str">
        <f>IF(ISBLANK(Materials!B20),"",Materials!B20)</f>
        <v xml:space="preserve">Fasteners </v>
      </c>
      <c r="C20" s="352" t="str">
        <f>IF(ISBLANK(Materials!C20),"",Materials!C20)</f>
        <v>055113</v>
      </c>
      <c r="D20" s="352" t="str">
        <f>IF(ISBLANK(Materials!D20),"",Materials!D20)</f>
        <v/>
      </c>
      <c r="E20" s="364" t="str">
        <f>IF(ISBLANK(Materials!E20),"",Materials!E20)</f>
        <v>Kwik Bolt TZ</v>
      </c>
      <c r="F20" s="436"/>
      <c r="G20" s="365" t="str">
        <f>IF(ISBLANK(Materials!F20),"",Materials!F20)</f>
        <v>Hilti</v>
      </c>
      <c r="H20" s="342">
        <f>IF(ISBLANK(Materials!G20),"",Materials!G20)</f>
        <v>0</v>
      </c>
      <c r="I20" s="223"/>
      <c r="J20" s="448"/>
      <c r="K20" s="233" t="str">
        <f t="shared" si="30"/>
        <v/>
      </c>
      <c r="L20" s="84"/>
      <c r="M20" s="345"/>
      <c r="N20" s="346">
        <f t="shared" si="31"/>
        <v>0</v>
      </c>
      <c r="O20" s="425"/>
      <c r="P20" s="347">
        <f t="shared" si="32"/>
        <v>0</v>
      </c>
      <c r="Q20" s="425"/>
      <c r="R20" s="347">
        <f t="shared" si="33"/>
        <v>0</v>
      </c>
      <c r="S20" s="427"/>
      <c r="T20" s="346">
        <f t="shared" si="34"/>
        <v>0</v>
      </c>
      <c r="U20" s="430"/>
      <c r="V20" s="346">
        <f t="shared" si="35"/>
        <v>0</v>
      </c>
      <c r="W20" s="348">
        <v>0.25</v>
      </c>
      <c r="X20" s="349">
        <v>0</v>
      </c>
      <c r="Y20" s="350">
        <f t="shared" si="36"/>
        <v>0</v>
      </c>
      <c r="Z20" s="94"/>
      <c r="AA20" s="218"/>
      <c r="AB20" s="376">
        <f t="shared" si="37"/>
        <v>0</v>
      </c>
      <c r="AC20" s="295">
        <f t="shared" si="38"/>
        <v>0</v>
      </c>
      <c r="AE20" s="246">
        <f t="shared" si="39"/>
        <v>0</v>
      </c>
      <c r="AF20" s="416">
        <f t="shared" si="40"/>
        <v>0</v>
      </c>
    </row>
    <row r="21" spans="1:32" s="68" customFormat="1" ht="15" customHeight="1" x14ac:dyDescent="0.2">
      <c r="A21" s="80">
        <f t="shared" si="29"/>
        <v>0</v>
      </c>
      <c r="B21" s="363" t="str">
        <f>IF(ISBLANK(Materials!B21),"",Materials!B21)</f>
        <v xml:space="preserve">Vapor Barrier &amp; Tape, Air &amp; Vapor Barrier Membrane, Sealant, Adhesive Primer, Roofing Underlayment </v>
      </c>
      <c r="C21" s="352" t="str">
        <f>IF(ISBLANK(Materials!C21),"",Materials!C21)</f>
        <v>072726, 074213</v>
      </c>
      <c r="D21" s="352" t="str">
        <f>IF(ISBLANK(Materials!D21),"",Materials!D21)</f>
        <v/>
      </c>
      <c r="E21" s="364" t="str">
        <f>IF(ISBLANK(Materials!E21),"",Materials!E21)</f>
        <v>Husky Yellow Guard 15-mil, Exoair 120, ExoAir 110AT, Tremflex 834, Dymonic 100, ExoAir TWF, ExoAir Primer, WIP 300HT</v>
      </c>
      <c r="F21" s="436"/>
      <c r="G21" s="365" t="str">
        <f>IF(ISBLANK(Materials!F21),"",Materials!F21)</f>
        <v>Poly-America, Tremco, Carlisle</v>
      </c>
      <c r="H21" s="342" t="str">
        <f>IF(ISBLANK(Materials!G21),"",Materials!G21)</f>
        <v/>
      </c>
      <c r="I21" s="223"/>
      <c r="J21" s="448"/>
      <c r="K21" s="233" t="str">
        <f t="shared" si="30"/>
        <v/>
      </c>
      <c r="L21" s="84"/>
      <c r="M21" s="345"/>
      <c r="N21" s="346">
        <f t="shared" si="31"/>
        <v>0</v>
      </c>
      <c r="O21" s="425"/>
      <c r="P21" s="347">
        <f t="shared" si="32"/>
        <v>0</v>
      </c>
      <c r="Q21" s="425"/>
      <c r="R21" s="347">
        <f t="shared" si="33"/>
        <v>0</v>
      </c>
      <c r="S21" s="427"/>
      <c r="T21" s="346">
        <f t="shared" si="34"/>
        <v>0</v>
      </c>
      <c r="U21" s="430"/>
      <c r="V21" s="346">
        <f t="shared" si="35"/>
        <v>0</v>
      </c>
      <c r="W21" s="348">
        <v>0</v>
      </c>
      <c r="X21" s="349">
        <v>0</v>
      </c>
      <c r="Y21" s="350">
        <f t="shared" si="36"/>
        <v>0</v>
      </c>
      <c r="Z21" s="94"/>
      <c r="AA21" s="218"/>
      <c r="AB21" s="376">
        <f t="shared" si="37"/>
        <v>0</v>
      </c>
      <c r="AC21" s="295">
        <f t="shared" si="38"/>
        <v>0</v>
      </c>
      <c r="AE21" s="246">
        <f t="shared" si="39"/>
        <v>0</v>
      </c>
      <c r="AF21" s="416" t="e">
        <f t="shared" si="40"/>
        <v>#VALUE!</v>
      </c>
    </row>
    <row r="22" spans="1:32" s="68" customFormat="1" ht="15" customHeight="1" x14ac:dyDescent="0.2">
      <c r="A22" s="80">
        <f t="shared" si="29"/>
        <v>0</v>
      </c>
      <c r="B22" s="363" t="str">
        <f>IF(ISBLANK(Materials!B22),"",Materials!B22)</f>
        <v xml:space="preserve">Concrete Sealer </v>
      </c>
      <c r="C22" s="352" t="str">
        <f>IF(ISBLANK(Materials!C22),"",Materials!C22)</f>
        <v>033513</v>
      </c>
      <c r="D22" s="352" t="str">
        <f>IF(ISBLANK(Materials!D22),"",Materials!D22)</f>
        <v/>
      </c>
      <c r="E22" s="364" t="str">
        <f>IF(ISBLANK(Materials!E22),"",Materials!E22)</f>
        <v>Euco Diamond Hard</v>
      </c>
      <c r="F22" s="436"/>
      <c r="G22" s="365" t="str">
        <f>IF(ISBLANK(Materials!F22),"",Materials!F22)</f>
        <v>Euclid</v>
      </c>
      <c r="H22" s="342" t="str">
        <f>IF(ISBLANK(Materials!G22),"",Materials!G22)</f>
        <v/>
      </c>
      <c r="I22" s="223"/>
      <c r="J22" s="448"/>
      <c r="K22" s="233" t="str">
        <f t="shared" si="30"/>
        <v/>
      </c>
      <c r="L22" s="84"/>
      <c r="M22" s="345"/>
      <c r="N22" s="346">
        <f t="shared" si="31"/>
        <v>0</v>
      </c>
      <c r="O22" s="425"/>
      <c r="P22" s="347">
        <f t="shared" si="32"/>
        <v>0</v>
      </c>
      <c r="Q22" s="425"/>
      <c r="R22" s="347">
        <f t="shared" si="33"/>
        <v>0</v>
      </c>
      <c r="S22" s="427"/>
      <c r="T22" s="346">
        <f t="shared" si="34"/>
        <v>0</v>
      </c>
      <c r="U22" s="430"/>
      <c r="V22" s="346">
        <f t="shared" si="35"/>
        <v>0</v>
      </c>
      <c r="W22" s="348">
        <v>0</v>
      </c>
      <c r="X22" s="349">
        <v>0</v>
      </c>
      <c r="Y22" s="350">
        <f t="shared" si="36"/>
        <v>0</v>
      </c>
      <c r="Z22" s="94"/>
      <c r="AA22" s="218"/>
      <c r="AB22" s="376">
        <f t="shared" si="37"/>
        <v>0</v>
      </c>
      <c r="AC22" s="295">
        <f t="shared" si="38"/>
        <v>0</v>
      </c>
      <c r="AE22" s="246">
        <f t="shared" si="39"/>
        <v>0</v>
      </c>
      <c r="AF22" s="416" t="e">
        <f t="shared" si="40"/>
        <v>#VALUE!</v>
      </c>
    </row>
    <row r="23" spans="1:32" s="68" customFormat="1" ht="15" customHeight="1" x14ac:dyDescent="0.2">
      <c r="A23" s="80">
        <f t="shared" ref="A23" si="41">IF(H23&gt;=0,0,1)</f>
        <v>0</v>
      </c>
      <c r="B23" s="363" t="str">
        <f>IF(ISBLANK(Materials!B23),"",Materials!B23)</f>
        <v>HM Door</v>
      </c>
      <c r="C23" s="352" t="str">
        <f>IF(ISBLANK(Materials!C23),"",Materials!C23)</f>
        <v>081113</v>
      </c>
      <c r="D23" s="352" t="str">
        <f>IF(ISBLANK(Materials!D23),"",Materials!D23)</f>
        <v/>
      </c>
      <c r="E23" s="364" t="str">
        <f>IF(ISBLANK(Materials!E23),"",Materials!E23)</f>
        <v>Legion Polystyrene Core</v>
      </c>
      <c r="F23" s="436"/>
      <c r="G23" s="365" t="str">
        <f>IF(ISBLANK(Materials!F23),"",Materials!F23)</f>
        <v>Ceco Door-ASSA ABLOY</v>
      </c>
      <c r="H23" s="342">
        <f>IF(ISBLANK(Materials!G23),"",Materials!G23)</f>
        <v>4000</v>
      </c>
      <c r="I23" s="223"/>
      <c r="J23" s="448"/>
      <c r="K23" s="233" t="str">
        <f t="shared" ref="K23" si="42">IF(J23="Manufacturer Declared",0.5,IF(J23="Third Party Verified",1,""))</f>
        <v/>
      </c>
      <c r="L23" s="84"/>
      <c r="M23" s="345"/>
      <c r="N23" s="346">
        <f t="shared" ref="N23" si="43">IF(M23&gt;0,(H23*0.5),0)</f>
        <v>0</v>
      </c>
      <c r="O23" s="425"/>
      <c r="P23" s="347">
        <f t="shared" ref="P23" si="44">IFERROR(O23*H23,0)*0.5</f>
        <v>0</v>
      </c>
      <c r="Q23" s="425"/>
      <c r="R23" s="347">
        <f t="shared" ref="R23" si="45">IFERROR(Q23*H23,0)</f>
        <v>0</v>
      </c>
      <c r="S23" s="427"/>
      <c r="T23" s="346">
        <f t="shared" ref="T23" si="46">IFERROR(S23*H23,0)</f>
        <v>0</v>
      </c>
      <c r="U23" s="430"/>
      <c r="V23" s="346">
        <f t="shared" ref="V23" si="47">IFERROR(U23*H23,0)*2</f>
        <v>0</v>
      </c>
      <c r="W23" s="348">
        <v>0.62</v>
      </c>
      <c r="X23" s="349">
        <v>9.7000000000000003E-2</v>
      </c>
      <c r="Y23" s="350">
        <f t="shared" ref="Y23" si="48">IFERROR((W23*H23)+((X23*H23)/2),0)</f>
        <v>2674</v>
      </c>
      <c r="Z23" s="94"/>
      <c r="AA23" s="218"/>
      <c r="AB23" s="376">
        <f t="shared" ref="AB23" si="49">SUM(N23,P23,R23,T23,V23,Y23)</f>
        <v>2674</v>
      </c>
      <c r="AC23" s="295">
        <f t="shared" ref="AC23" si="50">IFERROR((IF(AE23&lt;=AF23,AE23,IF(AE23&gt;AF23,AF23))),0)</f>
        <v>2674</v>
      </c>
      <c r="AE23" s="246">
        <f t="shared" ref="AE23" si="51">IF(AA23="Yes",AB23*2,AB23)</f>
        <v>2674</v>
      </c>
      <c r="AF23" s="416">
        <f t="shared" ref="AF23" si="52">H23*2</f>
        <v>8000</v>
      </c>
    </row>
    <row r="24" spans="1:32" s="68" customFormat="1" ht="15" customHeight="1" x14ac:dyDescent="0.2">
      <c r="A24" s="80">
        <f t="shared" ref="A24" si="53">IF(H24&gt;=0,0,1)</f>
        <v>0</v>
      </c>
      <c r="B24" s="363" t="str">
        <f>IF(ISBLANK(Materials!B24),"",Materials!B24)</f>
        <v xml:space="preserve">Flush Wood Door </v>
      </c>
      <c r="C24" s="352" t="str">
        <f>IF(ISBLANK(Materials!C24),"",Materials!C24)</f>
        <v>081416</v>
      </c>
      <c r="D24" s="352" t="str">
        <f>IF(ISBLANK(Materials!D24),"",Materials!D24)</f>
        <v/>
      </c>
      <c r="E24" s="364" t="str">
        <f>IF(ISBLANK(Materials!E24),"",Materials!E24)</f>
        <v>808 HPL SCLC 5 Ply, STC (cost for FD-5 included here)</v>
      </c>
      <c r="F24" s="436"/>
      <c r="G24" s="365" t="str">
        <f>IF(ISBLANK(Materials!F24),"",Materials!F24)</f>
        <v>VT Industries</v>
      </c>
      <c r="H24" s="342">
        <f>IF(ISBLANK(Materials!G24),"",Materials!G24)</f>
        <v>42565</v>
      </c>
      <c r="I24" s="223"/>
      <c r="J24" s="448"/>
      <c r="K24" s="233" t="str">
        <f t="shared" ref="K24" si="54">IF(J24="Manufacturer Declared",0.5,IF(J24="Third Party Verified",1,""))</f>
        <v/>
      </c>
      <c r="L24" s="84"/>
      <c r="M24" s="345"/>
      <c r="N24" s="346">
        <f t="shared" ref="N24" si="55">IF(M24&gt;0,(H24*0.5),0)</f>
        <v>0</v>
      </c>
      <c r="O24" s="425"/>
      <c r="P24" s="347">
        <f t="shared" ref="P24" si="56">IFERROR(O24*H24,0)*0.5</f>
        <v>0</v>
      </c>
      <c r="Q24" s="425"/>
      <c r="R24" s="347">
        <f t="shared" ref="R24" si="57">IFERROR(Q24*H24,0)</f>
        <v>0</v>
      </c>
      <c r="S24" s="427"/>
      <c r="T24" s="346">
        <f t="shared" ref="T24" si="58">IFERROR(S24*H24,0)</f>
        <v>0</v>
      </c>
      <c r="U24" s="430"/>
      <c r="V24" s="346">
        <f t="shared" ref="V24" si="59">IFERROR(U24*H24,0)*2</f>
        <v>0</v>
      </c>
      <c r="W24" s="348">
        <v>0</v>
      </c>
      <c r="X24" s="349">
        <v>0.2</v>
      </c>
      <c r="Y24" s="350">
        <f t="shared" ref="Y24" si="60">IFERROR((W24*H24)+((X24*H24)/2),0)</f>
        <v>4256.5</v>
      </c>
      <c r="Z24" s="94"/>
      <c r="AA24" s="218"/>
      <c r="AB24" s="376">
        <f t="shared" ref="AB24" si="61">SUM(N24,P24,R24,T24,V24,Y24)</f>
        <v>4256.5</v>
      </c>
      <c r="AC24" s="295">
        <f t="shared" ref="AC24" si="62">IFERROR((IF(AE24&lt;=AF24,AE24,IF(AE24&gt;AF24,AF24))),0)</f>
        <v>4256.5</v>
      </c>
      <c r="AE24" s="246">
        <f t="shared" ref="AE24" si="63">IF(AA24="Yes",AB24*2,AB24)</f>
        <v>4256.5</v>
      </c>
      <c r="AF24" s="416">
        <f t="shared" ref="AF24" si="64">H24*2</f>
        <v>85130</v>
      </c>
    </row>
    <row r="25" spans="1:32" s="68" customFormat="1" ht="15" customHeight="1" x14ac:dyDescent="0.2">
      <c r="A25" s="80">
        <f t="shared" ref="A25" si="65">IF(H25&gt;=0,0,1)</f>
        <v>0</v>
      </c>
      <c r="B25" s="363" t="str">
        <f>IF(ISBLANK(Materials!B25),"",Materials!B25)</f>
        <v>HM Frame</v>
      </c>
      <c r="C25" s="352" t="str">
        <f>IF(ISBLANK(Materials!C25),"",Materials!C25)</f>
        <v>081113</v>
      </c>
      <c r="D25" s="352" t="str">
        <f>IF(ISBLANK(Materials!D25),"",Materials!D25)</f>
        <v/>
      </c>
      <c r="E25" s="364" t="str">
        <f>IF(ISBLANK(Materials!E25),"",Materials!E25)</f>
        <v>Series SQ</v>
      </c>
      <c r="F25" s="436"/>
      <c r="G25" s="365" t="str">
        <f>IF(ISBLANK(Materials!F25),"",Materials!F25)</f>
        <v>Ceco Door-ASSA ABLOY</v>
      </c>
      <c r="H25" s="342">
        <f>IF(ISBLANK(Materials!G25),"",Materials!G25)</f>
        <v>58350</v>
      </c>
      <c r="I25" s="223"/>
      <c r="J25" s="448"/>
      <c r="K25" s="233" t="str">
        <f t="shared" ref="K25" si="66">IF(J25="Manufacturer Declared",0.5,IF(J25="Third Party Verified",1,""))</f>
        <v/>
      </c>
      <c r="L25" s="84"/>
      <c r="M25" s="345"/>
      <c r="N25" s="346">
        <f t="shared" ref="N25" si="67">IF(M25&gt;0,(H25*0.5),0)</f>
        <v>0</v>
      </c>
      <c r="O25" s="425"/>
      <c r="P25" s="347">
        <f t="shared" ref="P25" si="68">IFERROR(O25*H25,0)*0.5</f>
        <v>0</v>
      </c>
      <c r="Q25" s="425"/>
      <c r="R25" s="347">
        <f t="shared" ref="R25" si="69">IFERROR(Q25*H25,0)</f>
        <v>0</v>
      </c>
      <c r="S25" s="427"/>
      <c r="T25" s="346">
        <f t="shared" ref="T25" si="70">IFERROR(S25*H25,0)</f>
        <v>0</v>
      </c>
      <c r="U25" s="430"/>
      <c r="V25" s="346">
        <f t="shared" ref="V25" si="71">IFERROR(U25*H25,0)*2</f>
        <v>0</v>
      </c>
      <c r="W25" s="348">
        <v>0.63900000000000001</v>
      </c>
      <c r="X25" s="349">
        <v>0.1</v>
      </c>
      <c r="Y25" s="350">
        <f t="shared" ref="Y25" si="72">IFERROR((W25*H25)+((X25*H25)/2),0)</f>
        <v>40203.15</v>
      </c>
      <c r="Z25" s="94"/>
      <c r="AA25" s="218"/>
      <c r="AB25" s="376">
        <f t="shared" ref="AB25" si="73">SUM(N25,P25,R25,T25,V25,Y25)</f>
        <v>40203.15</v>
      </c>
      <c r="AC25" s="295">
        <f t="shared" ref="AC25" si="74">IFERROR((IF(AE25&lt;=AF25,AE25,IF(AE25&gt;AF25,AF25))),0)</f>
        <v>40203.15</v>
      </c>
      <c r="AE25" s="246">
        <f t="shared" ref="AE25" si="75">IF(AA25="Yes",AB25*2,AB25)</f>
        <v>40203.15</v>
      </c>
      <c r="AF25" s="416">
        <f t="shared" ref="AF25" si="76">H25*2</f>
        <v>116700</v>
      </c>
    </row>
    <row r="26" spans="1:32" s="68" customFormat="1" ht="15" customHeight="1" x14ac:dyDescent="0.2">
      <c r="A26" s="80">
        <f t="shared" ref="A26" si="77">IF(H26&gt;=0,0,1)</f>
        <v>0</v>
      </c>
      <c r="B26" s="363" t="str">
        <f>IF(ISBLANK(Materials!B26),"",Materials!B26)</f>
        <v xml:space="preserve">Flush Wood Door </v>
      </c>
      <c r="C26" s="352" t="str">
        <f>IF(ISBLANK(Materials!C26),"",Materials!C26)</f>
        <v>081416</v>
      </c>
      <c r="D26" s="352" t="str">
        <f>IF(ISBLANK(Materials!D26),"",Materials!D26)</f>
        <v/>
      </c>
      <c r="E26" s="364" t="str">
        <f>IF(ISBLANK(Materials!E26),"",Materials!E26)</f>
        <v>FD-5</v>
      </c>
      <c r="F26" s="436"/>
      <c r="G26" s="365" t="str">
        <f>IF(ISBLANK(Materials!F26),"",Materials!F26)</f>
        <v>VT Industries</v>
      </c>
      <c r="H26" s="342" t="str">
        <f>IF(ISBLANK(Materials!G26),"",Materials!G26)</f>
        <v/>
      </c>
      <c r="I26" s="223"/>
      <c r="J26" s="448"/>
      <c r="K26" s="233" t="str">
        <f t="shared" ref="K26" si="78">IF(J26="Manufacturer Declared",0.5,IF(J26="Third Party Verified",1,""))</f>
        <v/>
      </c>
      <c r="L26" s="84"/>
      <c r="M26" s="345"/>
      <c r="N26" s="346">
        <f t="shared" ref="N26" si="79">IF(M26&gt;0,(H26*0.5),0)</f>
        <v>0</v>
      </c>
      <c r="O26" s="425"/>
      <c r="P26" s="347">
        <f t="shared" ref="P26" si="80">IFERROR(O26*H26,0)*0.5</f>
        <v>0</v>
      </c>
      <c r="Q26" s="425"/>
      <c r="R26" s="347">
        <f t="shared" ref="R26" si="81">IFERROR(Q26*H26,0)</f>
        <v>0</v>
      </c>
      <c r="S26" s="427"/>
      <c r="T26" s="346">
        <f t="shared" ref="T26" si="82">IFERROR(S26*H26,0)</f>
        <v>0</v>
      </c>
      <c r="U26" s="430"/>
      <c r="V26" s="346">
        <f t="shared" ref="V26" si="83">IFERROR(U26*H26,0)*2</f>
        <v>0</v>
      </c>
      <c r="W26" s="348">
        <v>0</v>
      </c>
      <c r="X26" s="349">
        <v>0.2</v>
      </c>
      <c r="Y26" s="350">
        <f t="shared" ref="Y26" si="84">IFERROR((W26*H26)+((X26*H26)/2),0)</f>
        <v>0</v>
      </c>
      <c r="Z26" s="94"/>
      <c r="AA26" s="218"/>
      <c r="AB26" s="376">
        <f t="shared" ref="AB26" si="85">SUM(N26,P26,R26,T26,V26,Y26)</f>
        <v>0</v>
      </c>
      <c r="AC26" s="295">
        <f t="shared" ref="AC26" si="86">IFERROR((IF(AE26&lt;=AF26,AE26,IF(AE26&gt;AF26,AF26))),0)</f>
        <v>0</v>
      </c>
      <c r="AE26" s="246">
        <f t="shared" ref="AE26" si="87">IF(AA26="Yes",AB26*2,AB26)</f>
        <v>0</v>
      </c>
      <c r="AF26" s="416" t="e">
        <f t="shared" ref="AF26" si="88">H26*2</f>
        <v>#VALUE!</v>
      </c>
    </row>
    <row r="27" spans="1:32" s="68" customFormat="1" ht="15" customHeight="1" x14ac:dyDescent="0.2">
      <c r="A27" s="80">
        <f t="shared" ref="A27" si="89">IF(H27&gt;=0,0,1)</f>
        <v>0</v>
      </c>
      <c r="B27" s="363" t="str">
        <f>IF(ISBLANK(Materials!B27),"",Materials!B27)</f>
        <v xml:space="preserve">Insulation </v>
      </c>
      <c r="C27" s="352" t="str">
        <f>IF(ISBLANK(Materials!C27),"",Materials!C27)</f>
        <v>072100</v>
      </c>
      <c r="D27" s="352" t="str">
        <f>IF(ISBLANK(Materials!D27),"",Materials!D27)</f>
        <v/>
      </c>
      <c r="E27" s="364" t="str">
        <f>IF(ISBLANK(Materials!E27),"",Materials!E27)</f>
        <v>EcoTouch Pink Batt Unfaced</v>
      </c>
      <c r="F27" s="436"/>
      <c r="G27" s="365" t="str">
        <f>IF(ISBLANK(Materials!F27),"",Materials!F27)</f>
        <v>Owens Corning</v>
      </c>
      <c r="H27" s="342">
        <f>IF(ISBLANK(Materials!G27),"",Materials!G27)</f>
        <v>14000</v>
      </c>
      <c r="I27" s="223"/>
      <c r="J27" s="448"/>
      <c r="K27" s="233" t="str">
        <f t="shared" ref="K27" si="90">IF(J27="Manufacturer Declared",0.5,IF(J27="Third Party Verified",1,""))</f>
        <v/>
      </c>
      <c r="L27" s="84"/>
      <c r="M27" s="345"/>
      <c r="N27" s="346">
        <f t="shared" ref="N27" si="91">IF(M27&gt;0,(H27*0.5),0)</f>
        <v>0</v>
      </c>
      <c r="O27" s="425"/>
      <c r="P27" s="347">
        <f t="shared" ref="P27" si="92">IFERROR(O27*H27,0)*0.5</f>
        <v>0</v>
      </c>
      <c r="Q27" s="425"/>
      <c r="R27" s="347">
        <f t="shared" ref="R27" si="93">IFERROR(Q27*H27,0)</f>
        <v>0</v>
      </c>
      <c r="S27" s="427"/>
      <c r="T27" s="346">
        <f t="shared" ref="T27" si="94">IFERROR(S27*H27,0)</f>
        <v>0</v>
      </c>
      <c r="U27" s="430"/>
      <c r="V27" s="346">
        <f t="shared" ref="V27" si="95">IFERROR(U27*H27,0)*2</f>
        <v>0</v>
      </c>
      <c r="W27" s="348">
        <v>0.47</v>
      </c>
      <c r="X27" s="349">
        <v>0.18</v>
      </c>
      <c r="Y27" s="350">
        <f t="shared" ref="Y27" si="96">IFERROR((W27*H27)+((X27*H27)/2),0)</f>
        <v>7840</v>
      </c>
      <c r="Z27" s="94"/>
      <c r="AA27" s="218"/>
      <c r="AB27" s="376">
        <f t="shared" ref="AB27" si="97">SUM(N27,P27,R27,T27,V27,Y27)</f>
        <v>7840</v>
      </c>
      <c r="AC27" s="295">
        <f t="shared" ref="AC27" si="98">IFERROR((IF(AE27&lt;=AF27,AE27,IF(AE27&gt;AF27,AF27))),0)</f>
        <v>7840</v>
      </c>
      <c r="AE27" s="246">
        <f t="shared" ref="AE27" si="99">IF(AA27="Yes",AB27*2,AB27)</f>
        <v>7840</v>
      </c>
      <c r="AF27" s="416">
        <f t="shared" ref="AF27" si="100">H27*2</f>
        <v>28000</v>
      </c>
    </row>
    <row r="28" spans="1:32" s="68" customFormat="1" ht="15" customHeight="1" x14ac:dyDescent="0.2">
      <c r="A28" s="80">
        <f t="shared" ref="A28" si="101">IF(H28&gt;=0,0,1)</f>
        <v>0</v>
      </c>
      <c r="B28" s="363" t="str">
        <f>IF(ISBLANK(Materials!B28),"",Materials!B28)</f>
        <v xml:space="preserve">Mineral Wool Insulation </v>
      </c>
      <c r="C28" s="352" t="str">
        <f>IF(ISBLANK(Materials!C28),"",Materials!C28)</f>
        <v>072100, 078413, 078443</v>
      </c>
      <c r="D28" s="352" t="str">
        <f>IF(ISBLANK(Materials!D28),"",Materials!D28)</f>
        <v/>
      </c>
      <c r="E28" s="364" t="str">
        <f>IF(ISBLANK(Materials!E28),"",Materials!E28)</f>
        <v>Thermafiber SAFB, Safing &amp; Firespan 90</v>
      </c>
      <c r="F28" s="436"/>
      <c r="G28" s="365" t="str">
        <f>IF(ISBLANK(Materials!F28),"",Materials!F28)</f>
        <v>Owens Corning</v>
      </c>
      <c r="H28" s="342">
        <f>IF(ISBLANK(Materials!G28),"",Materials!G28)</f>
        <v>2500</v>
      </c>
      <c r="I28" s="223"/>
      <c r="J28" s="448"/>
      <c r="K28" s="233" t="str">
        <f t="shared" ref="K28" si="102">IF(J28="Manufacturer Declared",0.5,IF(J28="Third Party Verified",1,""))</f>
        <v/>
      </c>
      <c r="L28" s="84"/>
      <c r="M28" s="345"/>
      <c r="N28" s="346">
        <f t="shared" ref="N28" si="103">IF(M28&gt;0,(H28*0.5),0)</f>
        <v>0</v>
      </c>
      <c r="O28" s="425"/>
      <c r="P28" s="347">
        <f t="shared" ref="P28" si="104">IFERROR(O28*H28,0)*0.5</f>
        <v>0</v>
      </c>
      <c r="Q28" s="425"/>
      <c r="R28" s="347">
        <f t="shared" ref="R28" si="105">IFERROR(Q28*H28,0)</f>
        <v>0</v>
      </c>
      <c r="S28" s="427"/>
      <c r="T28" s="346">
        <f t="shared" ref="T28" si="106">IFERROR(S28*H28,0)</f>
        <v>0</v>
      </c>
      <c r="U28" s="430"/>
      <c r="V28" s="346">
        <f t="shared" ref="V28" si="107">IFERROR(U28*H28,0)*2</f>
        <v>0</v>
      </c>
      <c r="W28" s="348">
        <v>0</v>
      </c>
      <c r="X28" s="349">
        <v>0.7</v>
      </c>
      <c r="Y28" s="350">
        <f t="shared" ref="Y28" si="108">IFERROR((W28*H28)+((X28*H28)/2),0)</f>
        <v>875</v>
      </c>
      <c r="Z28" s="94"/>
      <c r="AA28" s="218"/>
      <c r="AB28" s="376">
        <f t="shared" ref="AB28" si="109">SUM(N28,P28,R28,T28,V28,Y28)</f>
        <v>875</v>
      </c>
      <c r="AC28" s="295">
        <f t="shared" ref="AC28" si="110">IFERROR((IF(AE28&lt;=AF28,AE28,IF(AE28&gt;AF28,AF28))),0)</f>
        <v>875</v>
      </c>
      <c r="AE28" s="246">
        <f t="shared" ref="AE28" si="111">IF(AA28="Yes",AB28*2,AB28)</f>
        <v>875</v>
      </c>
      <c r="AF28" s="416">
        <f t="shared" ref="AF28" si="112">H28*2</f>
        <v>5000</v>
      </c>
    </row>
    <row r="29" spans="1:32" s="68" customFormat="1" ht="15" customHeight="1" x14ac:dyDescent="0.2">
      <c r="A29" s="80">
        <f t="shared" ref="A29" si="113">IF(H29&gt;=0,0,1)</f>
        <v>0</v>
      </c>
      <c r="B29" s="363" t="str">
        <f>IF(ISBLANK(Materials!B29),"",Materials!B29)</f>
        <v xml:space="preserve">Gypsum Board </v>
      </c>
      <c r="C29" s="352" t="str">
        <f>IF(ISBLANK(Materials!C29),"",Materials!C29)</f>
        <v>092116</v>
      </c>
      <c r="D29" s="352" t="str">
        <f>IF(ISBLANK(Materials!D29),"",Materials!D29)</f>
        <v/>
      </c>
      <c r="E29" s="364" t="str">
        <f>IF(ISBLANK(Materials!E29),"",Materials!E29)</f>
        <v>Sheetrock Gypsum Liner Panels</v>
      </c>
      <c r="F29" s="436"/>
      <c r="G29" s="365" t="str">
        <f>IF(ISBLANK(Materials!F29),"",Materials!F29)</f>
        <v>USG</v>
      </c>
      <c r="H29" s="342">
        <f>IF(ISBLANK(Materials!G29),"",Materials!G29)</f>
        <v>1847.2</v>
      </c>
      <c r="I29" s="223"/>
      <c r="J29" s="448"/>
      <c r="K29" s="233" t="str">
        <f t="shared" ref="K29" si="114">IF(J29="Manufacturer Declared",0.5,IF(J29="Third Party Verified",1,""))</f>
        <v/>
      </c>
      <c r="L29" s="84"/>
      <c r="M29" s="345"/>
      <c r="N29" s="346">
        <f t="shared" ref="N29" si="115">IF(M29&gt;0,(H29*0.5),0)</f>
        <v>0</v>
      </c>
      <c r="O29" s="425"/>
      <c r="P29" s="347">
        <f t="shared" ref="P29" si="116">IFERROR(O29*H29,0)*0.5</f>
        <v>0</v>
      </c>
      <c r="Q29" s="425"/>
      <c r="R29" s="347">
        <f t="shared" ref="R29" si="117">IFERROR(Q29*H29,0)</f>
        <v>0</v>
      </c>
      <c r="S29" s="427"/>
      <c r="T29" s="346">
        <f t="shared" ref="T29" si="118">IFERROR(S29*H29,0)</f>
        <v>0</v>
      </c>
      <c r="U29" s="430"/>
      <c r="V29" s="346">
        <f t="shared" ref="V29" si="119">IFERROR(U29*H29,0)*2</f>
        <v>0</v>
      </c>
      <c r="W29" s="348">
        <v>1.6E-2</v>
      </c>
      <c r="X29" s="349">
        <v>4.0000000000000001E-3</v>
      </c>
      <c r="Y29" s="350">
        <f t="shared" ref="Y29" si="120">IFERROR((W29*H29)+((X29*H29)/2),0)</f>
        <v>33.249600000000001</v>
      </c>
      <c r="Z29" s="94"/>
      <c r="AA29" s="218"/>
      <c r="AB29" s="376">
        <f t="shared" ref="AB29" si="121">SUM(N29,P29,R29,T29,V29,Y29)</f>
        <v>33.249600000000001</v>
      </c>
      <c r="AC29" s="295">
        <f t="shared" ref="AC29" si="122">IFERROR((IF(AE29&lt;=AF29,AE29,IF(AE29&gt;AF29,AF29))),0)</f>
        <v>33.249600000000001</v>
      </c>
      <c r="AE29" s="246">
        <f t="shared" ref="AE29" si="123">IF(AA29="Yes",AB29*2,AB29)</f>
        <v>33.249600000000001</v>
      </c>
      <c r="AF29" s="416">
        <f t="shared" ref="AF29" si="124">H29*2</f>
        <v>3694.4</v>
      </c>
    </row>
    <row r="30" spans="1:32" s="68" customFormat="1" ht="15" customHeight="1" x14ac:dyDescent="0.2">
      <c r="A30" s="80">
        <f t="shared" ref="A30" si="125">IF(H30&gt;=0,0,1)</f>
        <v>0</v>
      </c>
      <c r="B30" s="363" t="str">
        <f>IF(ISBLANK(Materials!B30),"",Materials!B30)</f>
        <v xml:space="preserve">Non-Structural Metal Framing </v>
      </c>
      <c r="C30" s="352" t="str">
        <f>IF(ISBLANK(Materials!C30),"",Materials!C30)</f>
        <v>092216</v>
      </c>
      <c r="D30" s="352" t="str">
        <f>IF(ISBLANK(Materials!D30),"",Materials!D30)</f>
        <v/>
      </c>
      <c r="E30" s="364" t="str">
        <f>IF(ISBLANK(Materials!E30),"",Materials!E30)</f>
        <v>Viperstud, Vipertrack, Angle, Hat-Shaped Channel, L-Metal, Cornerbead, Zinc Control Joint,</v>
      </c>
      <c r="F30" s="436"/>
      <c r="G30" s="365" t="str">
        <f>IF(ISBLANK(Materials!F30),"",Materials!F30)</f>
        <v>Cemco</v>
      </c>
      <c r="H30" s="342">
        <f>IF(ISBLANK(Materials!G30),"",Materials!G30)</f>
        <v>56689.52</v>
      </c>
      <c r="I30" s="223"/>
      <c r="J30" s="448"/>
      <c r="K30" s="233" t="str">
        <f t="shared" ref="K30" si="126">IF(J30="Manufacturer Declared",0.5,IF(J30="Third Party Verified",1,""))</f>
        <v/>
      </c>
      <c r="L30" s="84"/>
      <c r="M30" s="345"/>
      <c r="N30" s="346">
        <f t="shared" ref="N30" si="127">IF(M30&gt;0,(H30*0.5),0)</f>
        <v>0</v>
      </c>
      <c r="O30" s="425"/>
      <c r="P30" s="347">
        <f t="shared" ref="P30" si="128">IFERROR(O30*H30,0)*0.5</f>
        <v>0</v>
      </c>
      <c r="Q30" s="425"/>
      <c r="R30" s="347">
        <f t="shared" ref="R30" si="129">IFERROR(Q30*H30,0)</f>
        <v>0</v>
      </c>
      <c r="S30" s="427"/>
      <c r="T30" s="346">
        <f t="shared" ref="T30" si="130">IFERROR(S30*H30,0)</f>
        <v>0</v>
      </c>
      <c r="U30" s="430"/>
      <c r="V30" s="346">
        <f t="shared" ref="V30" si="131">IFERROR(U30*H30,0)*2</f>
        <v>0</v>
      </c>
      <c r="W30" s="348">
        <v>0.19800000000000001</v>
      </c>
      <c r="X30" s="349">
        <v>0.14399999999999999</v>
      </c>
      <c r="Y30" s="350">
        <f t="shared" ref="Y30" si="132">IFERROR((W30*H30)+((X30*H30)/2),0)</f>
        <v>15306.170399999999</v>
      </c>
      <c r="Z30" s="94"/>
      <c r="AA30" s="218"/>
      <c r="AB30" s="376">
        <f t="shared" ref="AB30" si="133">SUM(N30,P30,R30,T30,V30,Y30)</f>
        <v>15306.170399999999</v>
      </c>
      <c r="AC30" s="295">
        <f t="shared" ref="AC30" si="134">IFERROR((IF(AE30&lt;=AF30,AE30,IF(AE30&gt;AF30,AF30))),0)</f>
        <v>15306.170399999999</v>
      </c>
      <c r="AE30" s="246">
        <f t="shared" ref="AE30" si="135">IF(AA30="Yes",AB30*2,AB30)</f>
        <v>15306.170399999999</v>
      </c>
      <c r="AF30" s="416">
        <f t="shared" ref="AF30" si="136">H30*2</f>
        <v>113379.04</v>
      </c>
    </row>
    <row r="31" spans="1:32" s="68" customFormat="1" ht="15" customHeight="1" x14ac:dyDescent="0.2">
      <c r="A31" s="80">
        <f t="shared" ref="A31" si="137">IF(H31&gt;=0,0,1)</f>
        <v>0</v>
      </c>
      <c r="B31" s="363" t="str">
        <f>IF(ISBLANK(Materials!B31),"",Materials!B31)</f>
        <v xml:space="preserve">Non-Structural Metal Framing </v>
      </c>
      <c r="C31" s="352" t="str">
        <f>IF(ISBLANK(Materials!C31),"",Materials!C31)</f>
        <v>092216</v>
      </c>
      <c r="D31" s="352" t="str">
        <f>IF(ISBLANK(Materials!D31),"",Materials!D31)</f>
        <v/>
      </c>
      <c r="E31" s="364" t="str">
        <f>IF(ISBLANK(Materials!E31),"",Materials!E31)</f>
        <v>CST</v>
      </c>
      <c r="F31" s="436"/>
      <c r="G31" s="365" t="str">
        <f>IF(ISBLANK(Materials!F31),"",Materials!F31)</f>
        <v>Cemco</v>
      </c>
      <c r="H31" s="342" t="str">
        <f>IF(ISBLANK(Materials!G31),"",Materials!G31)</f>
        <v/>
      </c>
      <c r="I31" s="223"/>
      <c r="J31" s="448"/>
      <c r="K31" s="233" t="str">
        <f t="shared" ref="K31" si="138">IF(J31="Manufacturer Declared",0.5,IF(J31="Third Party Verified",1,""))</f>
        <v/>
      </c>
      <c r="L31" s="84"/>
      <c r="M31" s="345"/>
      <c r="N31" s="346">
        <f t="shared" ref="N31" si="139">IF(M31&gt;0,(H31*0.5),0)</f>
        <v>0</v>
      </c>
      <c r="O31" s="425"/>
      <c r="P31" s="347">
        <f t="shared" ref="P31" si="140">IFERROR(O31*H31,0)*0.5</f>
        <v>0</v>
      </c>
      <c r="Q31" s="425"/>
      <c r="R31" s="347">
        <f t="shared" ref="R31" si="141">IFERROR(Q31*H31,0)</f>
        <v>0</v>
      </c>
      <c r="S31" s="427"/>
      <c r="T31" s="346">
        <f t="shared" ref="T31" si="142">IFERROR(S31*H31,0)</f>
        <v>0</v>
      </c>
      <c r="U31" s="430"/>
      <c r="V31" s="346">
        <f t="shared" ref="V31" si="143">IFERROR(U31*H31,0)*2</f>
        <v>0</v>
      </c>
      <c r="W31" s="348">
        <v>0.19800000000000001</v>
      </c>
      <c r="X31" s="349">
        <v>0.14399999999999999</v>
      </c>
      <c r="Y31" s="350">
        <f t="shared" ref="Y31" si="144">IFERROR((W31*H31)+((X31*H31)/2),0)</f>
        <v>0</v>
      </c>
      <c r="Z31" s="94"/>
      <c r="AA31" s="218"/>
      <c r="AB31" s="376">
        <f t="shared" ref="AB31" si="145">SUM(N31,P31,R31,T31,V31,Y31)</f>
        <v>0</v>
      </c>
      <c r="AC31" s="295">
        <f t="shared" ref="AC31" si="146">IFERROR((IF(AE31&lt;=AF31,AE31,IF(AE31&gt;AF31,AF31))),0)</f>
        <v>0</v>
      </c>
      <c r="AE31" s="246">
        <f t="shared" ref="AE31" si="147">IF(AA31="Yes",AB31*2,AB31)</f>
        <v>0</v>
      </c>
      <c r="AF31" s="416" t="e">
        <f t="shared" ref="AF31" si="148">H31*2</f>
        <v>#VALUE!</v>
      </c>
    </row>
    <row r="32" spans="1:32" s="68" customFormat="1" ht="15" customHeight="1" x14ac:dyDescent="0.2">
      <c r="A32" s="80">
        <f t="shared" ref="A32" si="149">IF(H32&gt;=0,0,1)</f>
        <v>0</v>
      </c>
      <c r="B32" s="363" t="str">
        <f>IF(ISBLANK(Materials!B32),"",Materials!B32)</f>
        <v xml:space="preserve">Non-Structural Metal Framing </v>
      </c>
      <c r="C32" s="352" t="str">
        <f>IF(ISBLANK(Materials!C32),"",Materials!C32)</f>
        <v>092216</v>
      </c>
      <c r="D32" s="352" t="str">
        <f>IF(ISBLANK(Materials!D32),"",Materials!D32)</f>
        <v/>
      </c>
      <c r="E32" s="364" t="str">
        <f>IF(ISBLANK(Materials!E32),"",Materials!E32)</f>
        <v>CH Shaft Wall Studs, J-Runner</v>
      </c>
      <c r="F32" s="436"/>
      <c r="G32" s="365" t="str">
        <f>IF(ISBLANK(Materials!F32),"",Materials!F32)</f>
        <v>Cemco</v>
      </c>
      <c r="H32" s="342">
        <f>IF(ISBLANK(Materials!G32),"",Materials!G32)</f>
        <v>3032</v>
      </c>
      <c r="I32" s="223"/>
      <c r="J32" s="448"/>
      <c r="K32" s="233" t="str">
        <f t="shared" ref="K32" si="150">IF(J32="Manufacturer Declared",0.5,IF(J32="Third Party Verified",1,""))</f>
        <v/>
      </c>
      <c r="L32" s="84"/>
      <c r="M32" s="345"/>
      <c r="N32" s="346">
        <f t="shared" ref="N32" si="151">IF(M32&gt;0,(H32*0.5),0)</f>
        <v>0</v>
      </c>
      <c r="O32" s="425"/>
      <c r="P32" s="347">
        <f t="shared" ref="P32" si="152">IFERROR(O32*H32,0)*0.5</f>
        <v>0</v>
      </c>
      <c r="Q32" s="425"/>
      <c r="R32" s="347">
        <f t="shared" ref="R32" si="153">IFERROR(Q32*H32,0)</f>
        <v>0</v>
      </c>
      <c r="S32" s="427"/>
      <c r="T32" s="346">
        <f t="shared" ref="T32" si="154">IFERROR(S32*H32,0)</f>
        <v>0</v>
      </c>
      <c r="U32" s="430"/>
      <c r="V32" s="346">
        <f t="shared" ref="V32" si="155">IFERROR(U32*H32,0)*2</f>
        <v>0</v>
      </c>
      <c r="W32" s="348">
        <v>0.19800000000000001</v>
      </c>
      <c r="X32" s="349">
        <v>0.14399999999999999</v>
      </c>
      <c r="Y32" s="350">
        <f t="shared" ref="Y32" si="156">IFERROR((W32*H32)+((X32*H32)/2),0)</f>
        <v>818.64</v>
      </c>
      <c r="Z32" s="94"/>
      <c r="AA32" s="218"/>
      <c r="AB32" s="376">
        <f t="shared" ref="AB32" si="157">SUM(N32,P32,R32,T32,V32,Y32)</f>
        <v>818.64</v>
      </c>
      <c r="AC32" s="295">
        <f t="shared" ref="AC32" si="158">IFERROR((IF(AE32&lt;=AF32,AE32,IF(AE32&gt;AF32,AF32))),0)</f>
        <v>818.64</v>
      </c>
      <c r="AE32" s="246">
        <f t="shared" ref="AE32" si="159">IF(AA32="Yes",AB32*2,AB32)</f>
        <v>818.64</v>
      </c>
      <c r="AF32" s="416">
        <f t="shared" ref="AF32" si="160">H32*2</f>
        <v>6064</v>
      </c>
    </row>
    <row r="33" spans="1:32" s="68" customFormat="1" ht="15" customHeight="1" x14ac:dyDescent="0.2">
      <c r="A33" s="80">
        <f t="shared" ref="A33" si="161">IF(H33&gt;=0,0,1)</f>
        <v>0</v>
      </c>
      <c r="B33" s="363" t="str">
        <f>IF(ISBLANK(Materials!B33),"",Materials!B33)</f>
        <v xml:space="preserve">Gypsum Board </v>
      </c>
      <c r="C33" s="352" t="str">
        <f>IF(ISBLANK(Materials!C33),"",Materials!C33)</f>
        <v>092900</v>
      </c>
      <c r="D33" s="352" t="str">
        <f>IF(ISBLANK(Materials!D33),"",Materials!D33)</f>
        <v/>
      </c>
      <c r="E33" s="364" t="str">
        <f>IF(ISBLANK(Materials!E33),"",Materials!E33)</f>
        <v>Durock Glass-Mat Tile Backerboard</v>
      </c>
      <c r="F33" s="436"/>
      <c r="G33" s="365" t="str">
        <f>IF(ISBLANK(Materials!F33),"",Materials!F33)</f>
        <v>USG</v>
      </c>
      <c r="H33" s="342">
        <f>IF(ISBLANK(Materials!G33),"",Materials!G33)</f>
        <v>1945.6</v>
      </c>
      <c r="I33" s="223"/>
      <c r="J33" s="448"/>
      <c r="K33" s="233" t="str">
        <f t="shared" ref="K33" si="162">IF(J33="Manufacturer Declared",0.5,IF(J33="Third Party Verified",1,""))</f>
        <v/>
      </c>
      <c r="L33" s="84"/>
      <c r="M33" s="345"/>
      <c r="N33" s="346">
        <f t="shared" ref="N33" si="163">IF(M33&gt;0,(H33*0.5),0)</f>
        <v>0</v>
      </c>
      <c r="O33" s="425"/>
      <c r="P33" s="347">
        <f t="shared" ref="P33" si="164">IFERROR(O33*H33,0)*0.5</f>
        <v>0</v>
      </c>
      <c r="Q33" s="425"/>
      <c r="R33" s="347">
        <f t="shared" ref="R33" si="165">IFERROR(Q33*H33,0)</f>
        <v>0</v>
      </c>
      <c r="S33" s="427"/>
      <c r="T33" s="346">
        <f t="shared" ref="T33" si="166">IFERROR(S33*H33,0)</f>
        <v>0</v>
      </c>
      <c r="U33" s="430"/>
      <c r="V33" s="346">
        <f t="shared" ref="V33" si="167">IFERROR(U33*H33,0)*2</f>
        <v>0</v>
      </c>
      <c r="W33" s="348">
        <v>0</v>
      </c>
      <c r="X33" s="349">
        <v>0</v>
      </c>
      <c r="Y33" s="350">
        <f t="shared" ref="Y33" si="168">IFERROR((W33*H33)+((X33*H33)/2),0)</f>
        <v>0</v>
      </c>
      <c r="Z33" s="94"/>
      <c r="AA33" s="218"/>
      <c r="AB33" s="376">
        <f t="shared" ref="AB33" si="169">SUM(N33,P33,R33,T33,V33,Y33)</f>
        <v>0</v>
      </c>
      <c r="AC33" s="295">
        <f t="shared" ref="AC33" si="170">IFERROR((IF(AE33&lt;=AF33,AE33,IF(AE33&gt;AF33,AF33))),0)</f>
        <v>0</v>
      </c>
      <c r="AE33" s="246">
        <f t="shared" ref="AE33" si="171">IF(AA33="Yes",AB33*2,AB33)</f>
        <v>0</v>
      </c>
      <c r="AF33" s="416">
        <f t="shared" ref="AF33" si="172">H33*2</f>
        <v>3891.2</v>
      </c>
    </row>
    <row r="34" spans="1:32" s="68" customFormat="1" ht="15" customHeight="1" x14ac:dyDescent="0.2">
      <c r="A34" s="80">
        <f t="shared" ref="A34" si="173">IF(H34&gt;=0,0,1)</f>
        <v>0</v>
      </c>
      <c r="B34" s="363" t="str">
        <f>IF(ISBLANK(Materials!B34),"",Materials!B34)</f>
        <v xml:space="preserve">Gypsum Board </v>
      </c>
      <c r="C34" s="352" t="str">
        <f>IF(ISBLANK(Materials!C34),"",Materials!C34)</f>
        <v>092900</v>
      </c>
      <c r="D34" s="352" t="str">
        <f>IF(ISBLANK(Materials!D34),"",Materials!D34)</f>
        <v/>
      </c>
      <c r="E34" s="364" t="str">
        <f>IF(ISBLANK(Materials!E34),"",Materials!E34)</f>
        <v>Sheetrock Firecode X Panels</v>
      </c>
      <c r="F34" s="436"/>
      <c r="G34" s="365" t="str">
        <f>IF(ISBLANK(Materials!F34),"",Materials!F34)</f>
        <v>USG</v>
      </c>
      <c r="H34" s="342">
        <f>IF(ISBLANK(Materials!G34),"",Materials!G34)</f>
        <v>33862</v>
      </c>
      <c r="I34" s="223"/>
      <c r="J34" s="448"/>
      <c r="K34" s="233" t="str">
        <f t="shared" ref="K34" si="174">IF(J34="Manufacturer Declared",0.5,IF(J34="Third Party Verified",1,""))</f>
        <v/>
      </c>
      <c r="L34" s="84"/>
      <c r="M34" s="345"/>
      <c r="N34" s="346">
        <f t="shared" ref="N34" si="175">IF(M34&gt;0,(H34*0.5),0)</f>
        <v>0</v>
      </c>
      <c r="O34" s="425"/>
      <c r="P34" s="347">
        <f t="shared" ref="P34" si="176">IFERROR(O34*H34,0)*0.5</f>
        <v>0</v>
      </c>
      <c r="Q34" s="425"/>
      <c r="R34" s="347">
        <f t="shared" ref="R34" si="177">IFERROR(Q34*H34,0)</f>
        <v>0</v>
      </c>
      <c r="S34" s="427"/>
      <c r="T34" s="346">
        <f t="shared" ref="T34" si="178">IFERROR(S34*H34,0)</f>
        <v>0</v>
      </c>
      <c r="U34" s="430"/>
      <c r="V34" s="346">
        <f t="shared" ref="V34" si="179">IFERROR(U34*H34,0)*2</f>
        <v>0</v>
      </c>
      <c r="W34" s="348">
        <v>3.7999999999999999E-2</v>
      </c>
      <c r="X34" s="349">
        <v>0.90100000000000002</v>
      </c>
      <c r="Y34" s="350">
        <f t="shared" ref="Y34" si="180">IFERROR((W34*H34)+((X34*H34)/2),0)</f>
        <v>16541.587</v>
      </c>
      <c r="Z34" s="94"/>
      <c r="AA34" s="218"/>
      <c r="AB34" s="376">
        <f t="shared" ref="AB34" si="181">SUM(N34,P34,R34,T34,V34,Y34)</f>
        <v>16541.587</v>
      </c>
      <c r="AC34" s="295">
        <f t="shared" ref="AC34" si="182">IFERROR((IF(AE34&lt;=AF34,AE34,IF(AE34&gt;AF34,AF34))),0)</f>
        <v>16541.587</v>
      </c>
      <c r="AE34" s="246">
        <f t="shared" ref="AE34" si="183">IF(AA34="Yes",AB34*2,AB34)</f>
        <v>16541.587</v>
      </c>
      <c r="AF34" s="416">
        <f t="shared" ref="AF34" si="184">H34*2</f>
        <v>67724</v>
      </c>
    </row>
    <row r="35" spans="1:32" s="68" customFormat="1" ht="15" customHeight="1" x14ac:dyDescent="0.2">
      <c r="A35" s="80">
        <f t="shared" ref="A35" si="185">IF(H35&gt;=0,0,1)</f>
        <v>0</v>
      </c>
      <c r="B35" s="363" t="str">
        <f>IF(ISBLANK(Materials!B35),"",Materials!B35)</f>
        <v xml:space="preserve">Gypsum Board </v>
      </c>
      <c r="C35" s="352" t="str">
        <f>IF(ISBLANK(Materials!C35),"",Materials!C35)</f>
        <v>092900</v>
      </c>
      <c r="D35" s="352" t="str">
        <f>IF(ISBLANK(Materials!D35),"",Materials!D35)</f>
        <v/>
      </c>
      <c r="E35" s="364" t="str">
        <f>IF(ISBLANK(Materials!E35),"",Materials!E35)</f>
        <v>Sheetrock Mold Tough Firecode X Panels</v>
      </c>
      <c r="F35" s="436"/>
      <c r="G35" s="365" t="str">
        <f>IF(ISBLANK(Materials!F35),"",Materials!F35)</f>
        <v>USG</v>
      </c>
      <c r="H35" s="342">
        <f>IF(ISBLANK(Materials!G35),"",Materials!G35)</f>
        <v>364</v>
      </c>
      <c r="I35" s="223"/>
      <c r="J35" s="448"/>
      <c r="K35" s="233" t="str">
        <f t="shared" ref="K35" si="186">IF(J35="Manufacturer Declared",0.5,IF(J35="Third Party Verified",1,""))</f>
        <v/>
      </c>
      <c r="L35" s="84"/>
      <c r="M35" s="345"/>
      <c r="N35" s="346">
        <f t="shared" ref="N35" si="187">IF(M35&gt;0,(H35*0.5),0)</f>
        <v>0</v>
      </c>
      <c r="O35" s="425"/>
      <c r="P35" s="347">
        <f t="shared" ref="P35" si="188">IFERROR(O35*H35,0)*0.5</f>
        <v>0</v>
      </c>
      <c r="Q35" s="425"/>
      <c r="R35" s="347">
        <f t="shared" ref="R35" si="189">IFERROR(Q35*H35,0)</f>
        <v>0</v>
      </c>
      <c r="S35" s="427"/>
      <c r="T35" s="346">
        <f t="shared" ref="T35" si="190">IFERROR(S35*H35,0)</f>
        <v>0</v>
      </c>
      <c r="U35" s="430"/>
      <c r="V35" s="346">
        <f t="shared" ref="V35" si="191">IFERROR(U35*H35,0)*2</f>
        <v>0</v>
      </c>
      <c r="W35" s="348">
        <v>3.9E-2</v>
      </c>
      <c r="X35" s="349">
        <v>0</v>
      </c>
      <c r="Y35" s="350">
        <f t="shared" ref="Y35" si="192">IFERROR((W35*H35)+((X35*H35)/2),0)</f>
        <v>14.196</v>
      </c>
      <c r="Z35" s="94"/>
      <c r="AA35" s="218"/>
      <c r="AB35" s="376">
        <f t="shared" ref="AB35" si="193">SUM(N35,P35,R35,T35,V35,Y35)</f>
        <v>14.196</v>
      </c>
      <c r="AC35" s="295">
        <f t="shared" ref="AC35" si="194">IFERROR((IF(AE35&lt;=AF35,AE35,IF(AE35&gt;AF35,AF35))),0)</f>
        <v>14.196</v>
      </c>
      <c r="AE35" s="246">
        <f t="shared" ref="AE35" si="195">IF(AA35="Yes",AB35*2,AB35)</f>
        <v>14.196</v>
      </c>
      <c r="AF35" s="416">
        <f t="shared" ref="AF35" si="196">H35*2</f>
        <v>728</v>
      </c>
    </row>
    <row r="36" spans="1:32" s="68" customFormat="1" ht="15" customHeight="1" x14ac:dyDescent="0.2">
      <c r="A36" s="80">
        <f t="shared" ref="A36" si="197">IF(H36&gt;=0,0,1)</f>
        <v>0</v>
      </c>
      <c r="B36" s="363" t="str">
        <f>IF(ISBLANK(Materials!B36),"",Materials!B36)</f>
        <v xml:space="preserve">ACT </v>
      </c>
      <c r="C36" s="352" t="str">
        <f>IF(ISBLANK(Materials!C36),"",Materials!C36)</f>
        <v>095113</v>
      </c>
      <c r="D36" s="352" t="str">
        <f>IF(ISBLANK(Materials!D36),"",Materials!D36)</f>
        <v/>
      </c>
      <c r="E36" s="364" t="str">
        <f>IF(ISBLANK(Materials!E36),"",Materials!E36)</f>
        <v>Mars HRC</v>
      </c>
      <c r="F36" s="436"/>
      <c r="G36" s="365" t="str">
        <f>IF(ISBLANK(Materials!F36),"",Materials!F36)</f>
        <v>USG</v>
      </c>
      <c r="H36" s="342">
        <f>IF(ISBLANK(Materials!G36),"",Materials!G36)</f>
        <v>49019.199999999997</v>
      </c>
      <c r="I36" s="223"/>
      <c r="J36" s="448"/>
      <c r="K36" s="233" t="str">
        <f t="shared" ref="K36" si="198">IF(J36="Manufacturer Declared",0.5,IF(J36="Third Party Verified",1,""))</f>
        <v/>
      </c>
      <c r="L36" s="84"/>
      <c r="M36" s="345"/>
      <c r="N36" s="346">
        <f t="shared" ref="N36" si="199">IF(M36&gt;0,(H36*0.5),0)</f>
        <v>0</v>
      </c>
      <c r="O36" s="425"/>
      <c r="P36" s="347">
        <f t="shared" ref="P36" si="200">IFERROR(O36*H36,0)*0.5</f>
        <v>0</v>
      </c>
      <c r="Q36" s="425"/>
      <c r="R36" s="347">
        <f t="shared" ref="R36" si="201">IFERROR(Q36*H36,0)</f>
        <v>0</v>
      </c>
      <c r="S36" s="427"/>
      <c r="T36" s="346">
        <f t="shared" ref="T36" si="202">IFERROR(S36*H36,0)</f>
        <v>0</v>
      </c>
      <c r="U36" s="430"/>
      <c r="V36" s="346">
        <f t="shared" ref="V36" si="203">IFERROR(U36*H36,0)*2</f>
        <v>0</v>
      </c>
      <c r="W36" s="348">
        <v>0.188</v>
      </c>
      <c r="X36" s="349">
        <v>0.62</v>
      </c>
      <c r="Y36" s="350">
        <f t="shared" ref="Y36" si="204">IFERROR((W36*H36)+((X36*H36)/2),0)</f>
        <v>24411.561600000001</v>
      </c>
      <c r="Z36" s="94"/>
      <c r="AA36" s="218"/>
      <c r="AB36" s="376">
        <f t="shared" ref="AB36" si="205">SUM(N36,P36,R36,T36,V36,Y36)</f>
        <v>24411.561600000001</v>
      </c>
      <c r="AC36" s="295">
        <f t="shared" ref="AC36" si="206">IFERROR((IF(AE36&lt;=AF36,AE36,IF(AE36&gt;AF36,AF36))),0)</f>
        <v>24411.561600000001</v>
      </c>
      <c r="AE36" s="246">
        <f t="shared" ref="AE36" si="207">IF(AA36="Yes",AB36*2,AB36)</f>
        <v>24411.561600000001</v>
      </c>
      <c r="AF36" s="416">
        <f t="shared" ref="AF36" si="208">H36*2</f>
        <v>98038.399999999994</v>
      </c>
    </row>
    <row r="37" spans="1:32" s="68" customFormat="1" ht="15" customHeight="1" x14ac:dyDescent="0.2">
      <c r="A37" s="80">
        <f t="shared" ref="A37" si="209">IF(H37&gt;=0,0,1)</f>
        <v>0</v>
      </c>
      <c r="B37" s="363" t="str">
        <f>IF(ISBLANK(Materials!B37),"",Materials!B37)</f>
        <v>Ceiling Suspension System</v>
      </c>
      <c r="C37" s="352" t="str">
        <f>IF(ISBLANK(Materials!C37),"",Materials!C37)</f>
        <v>095113</v>
      </c>
      <c r="D37" s="352" t="str">
        <f>IF(ISBLANK(Materials!D37),"",Materials!D37)</f>
        <v/>
      </c>
      <c r="E37" s="364" t="str">
        <f>IF(ISBLANK(Materials!E37),"",Materials!E37)</f>
        <v>Donn DX/DXL</v>
      </c>
      <c r="F37" s="436"/>
      <c r="G37" s="365" t="str">
        <f>IF(ISBLANK(Materials!F37),"",Materials!F37)</f>
        <v>USG</v>
      </c>
      <c r="H37" s="342">
        <f>IF(ISBLANK(Materials!G37),"",Materials!G37)</f>
        <v>16824.7</v>
      </c>
      <c r="I37" s="223"/>
      <c r="J37" s="448"/>
      <c r="K37" s="233" t="str">
        <f t="shared" ref="K37" si="210">IF(J37="Manufacturer Declared",0.5,IF(J37="Third Party Verified",1,""))</f>
        <v/>
      </c>
      <c r="L37" s="84"/>
      <c r="M37" s="345"/>
      <c r="N37" s="346">
        <f t="shared" ref="N37" si="211">IF(M37&gt;0,(H37*0.5),0)</f>
        <v>0</v>
      </c>
      <c r="O37" s="425"/>
      <c r="P37" s="347">
        <f t="shared" ref="P37" si="212">IFERROR(O37*H37,0)*0.5</f>
        <v>0</v>
      </c>
      <c r="Q37" s="425"/>
      <c r="R37" s="347">
        <f t="shared" ref="R37" si="213">IFERROR(Q37*H37,0)</f>
        <v>0</v>
      </c>
      <c r="S37" s="427"/>
      <c r="T37" s="346">
        <f t="shared" ref="T37" si="214">IFERROR(S37*H37,0)</f>
        <v>0</v>
      </c>
      <c r="U37" s="430"/>
      <c r="V37" s="346">
        <f t="shared" ref="V37" si="215">IFERROR(U37*H37,0)*2</f>
        <v>0</v>
      </c>
      <c r="W37" s="348">
        <v>0.23</v>
      </c>
      <c r="X37" s="349">
        <v>7.2999999999999995E-2</v>
      </c>
      <c r="Y37" s="350">
        <f t="shared" ref="Y37" si="216">IFERROR((W37*H37)+((X37*H37)/2),0)</f>
        <v>4483.7825500000008</v>
      </c>
      <c r="Z37" s="94"/>
      <c r="AA37" s="218"/>
      <c r="AB37" s="376">
        <f t="shared" ref="AB37" si="217">SUM(N37,P37,R37,T37,V37,Y37)</f>
        <v>4483.7825500000008</v>
      </c>
      <c r="AC37" s="295">
        <f t="shared" ref="AC37" si="218">IFERROR((IF(AE37&lt;=AF37,AE37,IF(AE37&gt;AF37,AF37))),0)</f>
        <v>4483.7825500000008</v>
      </c>
      <c r="AE37" s="246">
        <f t="shared" ref="AE37" si="219">IF(AA37="Yes",AB37*2,AB37)</f>
        <v>4483.7825500000008</v>
      </c>
      <c r="AF37" s="416">
        <f t="shared" ref="AF37" si="220">H37*2</f>
        <v>33649.4</v>
      </c>
    </row>
    <row r="38" spans="1:32" s="68" customFormat="1" ht="15" customHeight="1" x14ac:dyDescent="0.2">
      <c r="A38" s="80">
        <f t="shared" ref="A38" si="221">IF(H38&gt;=0,0,1)</f>
        <v>0</v>
      </c>
      <c r="B38" s="363" t="str">
        <f>IF(ISBLANK(Materials!B38),"",Materials!B38)</f>
        <v>Ceiling Suspension System</v>
      </c>
      <c r="C38" s="352" t="str">
        <f>IF(ISBLANK(Materials!C38),"",Materials!C38)</f>
        <v>095113</v>
      </c>
      <c r="D38" s="352" t="str">
        <f>IF(ISBLANK(Materials!D38),"",Materials!D38)</f>
        <v/>
      </c>
      <c r="E38" s="364" t="str">
        <f>IF(ISBLANK(Materials!E38),"",Materials!E38)</f>
        <v>Drywall Suspension System</v>
      </c>
      <c r="F38" s="436"/>
      <c r="G38" s="365" t="str">
        <f>IF(ISBLANK(Materials!F38),"",Materials!F38)</f>
        <v>USG</v>
      </c>
      <c r="H38" s="342">
        <f>IF(ISBLANK(Materials!G38),"",Materials!G38)</f>
        <v>464.64</v>
      </c>
      <c r="I38" s="223"/>
      <c r="J38" s="448"/>
      <c r="K38" s="233" t="str">
        <f t="shared" ref="K38" si="222">IF(J38="Manufacturer Declared",0.5,IF(J38="Third Party Verified",1,""))</f>
        <v/>
      </c>
      <c r="L38" s="84"/>
      <c r="M38" s="345"/>
      <c r="N38" s="346">
        <f t="shared" ref="N38" si="223">IF(M38&gt;0,(H38*0.5),0)</f>
        <v>0</v>
      </c>
      <c r="O38" s="425"/>
      <c r="P38" s="347">
        <f t="shared" ref="P38" si="224">IFERROR(O38*H38,0)*0.5</f>
        <v>0</v>
      </c>
      <c r="Q38" s="425"/>
      <c r="R38" s="347">
        <f t="shared" ref="R38" si="225">IFERROR(Q38*H38,0)</f>
        <v>0</v>
      </c>
      <c r="S38" s="427"/>
      <c r="T38" s="346">
        <f t="shared" ref="T38" si="226">IFERROR(S38*H38,0)</f>
        <v>0</v>
      </c>
      <c r="U38" s="430"/>
      <c r="V38" s="346">
        <f t="shared" ref="V38" si="227">IFERROR(U38*H38,0)*2</f>
        <v>0</v>
      </c>
      <c r="W38" s="348">
        <v>0.23</v>
      </c>
      <c r="X38" s="349">
        <v>7.2999999999999995E-2</v>
      </c>
      <c r="Y38" s="350">
        <f t="shared" ref="Y38" si="228">IFERROR((W38*H38)+((X38*H38)/2),0)</f>
        <v>123.82656</v>
      </c>
      <c r="Z38" s="94"/>
      <c r="AA38" s="218"/>
      <c r="AB38" s="376">
        <f t="shared" ref="AB38" si="229">SUM(N38,P38,R38,T38,V38,Y38)</f>
        <v>123.82656</v>
      </c>
      <c r="AC38" s="295">
        <f t="shared" ref="AC38" si="230">IFERROR((IF(AE38&lt;=AF38,AE38,IF(AE38&gt;AF38,AF38))),0)</f>
        <v>123.82656</v>
      </c>
      <c r="AE38" s="246">
        <f t="shared" ref="AE38" si="231">IF(AA38="Yes",AB38*2,AB38)</f>
        <v>123.82656</v>
      </c>
      <c r="AF38" s="416">
        <f t="shared" ref="AF38" si="232">H38*2</f>
        <v>929.28</v>
      </c>
    </row>
    <row r="39" spans="1:32" s="68" customFormat="1" ht="15" customHeight="1" x14ac:dyDescent="0.2">
      <c r="A39" s="80">
        <f t="shared" ref="A39" si="233">IF(H39&gt;=0,0,1)</f>
        <v>0</v>
      </c>
      <c r="B39" s="363" t="str">
        <f>IF(ISBLANK(Materials!B39),"",Materials!B39)</f>
        <v xml:space="preserve">Sheathing </v>
      </c>
      <c r="C39" s="352" t="str">
        <f>IF(ISBLANK(Materials!C39),"",Materials!C39)</f>
        <v>061600</v>
      </c>
      <c r="D39" s="352" t="str">
        <f>IF(ISBLANK(Materials!D39),"",Materials!D39)</f>
        <v/>
      </c>
      <c r="E39" s="364" t="str">
        <f>IF(ISBLANK(Materials!E39),"",Materials!E39)</f>
        <v>Densglass</v>
      </c>
      <c r="F39" s="436"/>
      <c r="G39" s="365" t="str">
        <f>IF(ISBLANK(Materials!F39),"",Materials!F39)</f>
        <v>Georgia-Pacific</v>
      </c>
      <c r="H39" s="342">
        <f>IF(ISBLANK(Materials!G39),"",Materials!G39)</f>
        <v>6757.08</v>
      </c>
      <c r="I39" s="223"/>
      <c r="J39" s="448"/>
      <c r="K39" s="233" t="str">
        <f t="shared" ref="K39" si="234">IF(J39="Manufacturer Declared",0.5,IF(J39="Third Party Verified",1,""))</f>
        <v/>
      </c>
      <c r="L39" s="84"/>
      <c r="M39" s="345"/>
      <c r="N39" s="346">
        <f t="shared" ref="N39" si="235">IF(M39&gt;0,(H39*0.5),0)</f>
        <v>0</v>
      </c>
      <c r="O39" s="425"/>
      <c r="P39" s="347">
        <f t="shared" ref="P39" si="236">IFERROR(O39*H39,0)*0.5</f>
        <v>0</v>
      </c>
      <c r="Q39" s="425"/>
      <c r="R39" s="347">
        <f t="shared" ref="R39" si="237">IFERROR(Q39*H39,0)</f>
        <v>0</v>
      </c>
      <c r="S39" s="427"/>
      <c r="T39" s="346">
        <f t="shared" ref="T39" si="238">IFERROR(S39*H39,0)</f>
        <v>0</v>
      </c>
      <c r="U39" s="430"/>
      <c r="V39" s="346">
        <f t="shared" ref="V39" si="239">IFERROR(U39*H39,0)*2</f>
        <v>0</v>
      </c>
      <c r="W39" s="348">
        <v>0</v>
      </c>
      <c r="X39" s="349">
        <v>0</v>
      </c>
      <c r="Y39" s="350">
        <f t="shared" ref="Y39" si="240">IFERROR((W39*H39)+((X39*H39)/2),0)</f>
        <v>0</v>
      </c>
      <c r="Z39" s="94"/>
      <c r="AA39" s="218"/>
      <c r="AB39" s="376">
        <f t="shared" ref="AB39" si="241">SUM(N39,P39,R39,T39,V39,Y39)</f>
        <v>0</v>
      </c>
      <c r="AC39" s="295">
        <f t="shared" ref="AC39" si="242">IFERROR((IF(AE39&lt;=AF39,AE39,IF(AE39&gt;AF39,AF39))),0)</f>
        <v>0</v>
      </c>
      <c r="AE39" s="246">
        <f t="shared" ref="AE39" si="243">IF(AA39="Yes",AB39*2,AB39)</f>
        <v>0</v>
      </c>
      <c r="AF39" s="416">
        <f t="shared" ref="AF39" si="244">H39*2</f>
        <v>13514.16</v>
      </c>
    </row>
    <row r="40" spans="1:32" s="68" customFormat="1" ht="15" customHeight="1" x14ac:dyDescent="0.2">
      <c r="A40" s="80">
        <f t="shared" ref="A40" si="245">IF(H40&gt;=0,0,1)</f>
        <v>0</v>
      </c>
      <c r="B40" s="363" t="str">
        <f>IF(ISBLANK(Materials!B40),"",Materials!B40)</f>
        <v>Joint Reinforcement</v>
      </c>
      <c r="C40" s="352" t="str">
        <f>IF(ISBLANK(Materials!C40),"",Materials!C40)</f>
        <v>042000</v>
      </c>
      <c r="D40" s="352" t="str">
        <f>IF(ISBLANK(Materials!D40),"",Materials!D40)</f>
        <v/>
      </c>
      <c r="E40" s="364" t="str">
        <f>IF(ISBLANK(Materials!E40),"",Materials!E40)</f>
        <v>270-2X Ladder Eye-Wire &amp; 220 Ladder-Mesh</v>
      </c>
      <c r="F40" s="436"/>
      <c r="G40" s="365" t="str">
        <f>IF(ISBLANK(Materials!F40),"",Materials!F40)</f>
        <v>Hohmann &amp; Barnard</v>
      </c>
      <c r="H40" s="342">
        <f>IF(ISBLANK(Materials!G40),"",Materials!G40)</f>
        <v>722.1</v>
      </c>
      <c r="I40" s="223"/>
      <c r="J40" s="448"/>
      <c r="K40" s="233" t="str">
        <f t="shared" ref="K40" si="246">IF(J40="Manufacturer Declared",0.5,IF(J40="Third Party Verified",1,""))</f>
        <v/>
      </c>
      <c r="L40" s="84"/>
      <c r="M40" s="345"/>
      <c r="N40" s="346">
        <f t="shared" ref="N40" si="247">IF(M40&gt;0,(H40*0.5),0)</f>
        <v>0</v>
      </c>
      <c r="O40" s="425"/>
      <c r="P40" s="347">
        <f t="shared" ref="P40" si="248">IFERROR(O40*H40,0)*0.5</f>
        <v>0</v>
      </c>
      <c r="Q40" s="425"/>
      <c r="R40" s="347">
        <f t="shared" ref="R40" si="249">IFERROR(Q40*H40,0)</f>
        <v>0</v>
      </c>
      <c r="S40" s="427"/>
      <c r="T40" s="346">
        <f t="shared" ref="T40" si="250">IFERROR(S40*H40,0)</f>
        <v>0</v>
      </c>
      <c r="U40" s="430"/>
      <c r="V40" s="346">
        <f t="shared" ref="V40" si="251">IFERROR(U40*H40,0)*2</f>
        <v>0</v>
      </c>
      <c r="W40" s="348">
        <v>0.82</v>
      </c>
      <c r="X40" s="349">
        <v>0.17</v>
      </c>
      <c r="Y40" s="350">
        <f t="shared" ref="Y40" si="252">IFERROR((W40*H40)+((X40*H40)/2),0)</f>
        <v>653.50049999999999</v>
      </c>
      <c r="Z40" s="94"/>
      <c r="AA40" s="218"/>
      <c r="AB40" s="376">
        <f t="shared" ref="AB40" si="253">SUM(N40,P40,R40,T40,V40,Y40)</f>
        <v>653.50049999999999</v>
      </c>
      <c r="AC40" s="295">
        <f t="shared" ref="AC40" si="254">IFERROR((IF(AE40&lt;=AF40,AE40,IF(AE40&gt;AF40,AF40))),0)</f>
        <v>653.50049999999999</v>
      </c>
      <c r="AE40" s="246">
        <f t="shared" ref="AE40" si="255">IF(AA40="Yes",AB40*2,AB40)</f>
        <v>653.50049999999999</v>
      </c>
      <c r="AF40" s="416">
        <f t="shared" ref="AF40" si="256">H40*2</f>
        <v>1444.2</v>
      </c>
    </row>
    <row r="41" spans="1:32" s="68" customFormat="1" ht="15" customHeight="1" x14ac:dyDescent="0.2">
      <c r="A41" s="80">
        <f t="shared" ref="A41" si="257">IF(H41&gt;=0,0,1)</f>
        <v>0</v>
      </c>
      <c r="B41" s="363" t="str">
        <f>IF(ISBLANK(Materials!B41),"",Materials!B41)</f>
        <v>Rubber Control Joint, Weep Holes/Vents</v>
      </c>
      <c r="C41" s="352" t="str">
        <f>IF(ISBLANK(Materials!C41),"",Materials!C41)</f>
        <v>042000</v>
      </c>
      <c r="D41" s="352" t="str">
        <f>IF(ISBLANK(Materials!D41),"",Materials!D41)</f>
        <v/>
      </c>
      <c r="E41" s="364" t="str">
        <f>IF(ISBLANK(Materials!E41),"",Materials!E41)</f>
        <v>RS Series, QV - Quadro-Vent</v>
      </c>
      <c r="F41" s="436"/>
      <c r="G41" s="365" t="str">
        <f>IF(ISBLANK(Materials!F41),"",Materials!F41)</f>
        <v>Hohmann &amp; Barnard</v>
      </c>
      <c r="H41" s="342">
        <f>IF(ISBLANK(Materials!G41),"",Materials!G41)</f>
        <v>5130.29</v>
      </c>
      <c r="I41" s="223"/>
      <c r="J41" s="448"/>
      <c r="K41" s="233" t="str">
        <f t="shared" ref="K41" si="258">IF(J41="Manufacturer Declared",0.5,IF(J41="Third Party Verified",1,""))</f>
        <v/>
      </c>
      <c r="L41" s="84"/>
      <c r="M41" s="345"/>
      <c r="N41" s="346">
        <f t="shared" ref="N41" si="259">IF(M41&gt;0,(H41*0.5),0)</f>
        <v>0</v>
      </c>
      <c r="O41" s="425"/>
      <c r="P41" s="347">
        <f t="shared" ref="P41" si="260">IFERROR(O41*H41,0)*0.5</f>
        <v>0</v>
      </c>
      <c r="Q41" s="425"/>
      <c r="R41" s="347">
        <f t="shared" ref="R41" si="261">IFERROR(Q41*H41,0)</f>
        <v>0</v>
      </c>
      <c r="S41" s="427"/>
      <c r="T41" s="346">
        <f t="shared" ref="T41" si="262">IFERROR(S41*H41,0)</f>
        <v>0</v>
      </c>
      <c r="U41" s="430"/>
      <c r="V41" s="346">
        <f t="shared" ref="V41" si="263">IFERROR(U41*H41,0)*2</f>
        <v>0</v>
      </c>
      <c r="W41" s="348">
        <v>0</v>
      </c>
      <c r="X41" s="349">
        <v>0.5</v>
      </c>
      <c r="Y41" s="350">
        <f t="shared" ref="Y41" si="264">IFERROR((W41*H41)+((X41*H41)/2),0)</f>
        <v>1282.5725</v>
      </c>
      <c r="Z41" s="94"/>
      <c r="AA41" s="218"/>
      <c r="AB41" s="376">
        <f t="shared" ref="AB41" si="265">SUM(N41,P41,R41,T41,V41,Y41)</f>
        <v>1282.5725</v>
      </c>
      <c r="AC41" s="295">
        <f t="shared" ref="AC41" si="266">IFERROR((IF(AE41&lt;=AF41,AE41,IF(AE41&gt;AF41,AF41))),0)</f>
        <v>1282.5725</v>
      </c>
      <c r="AE41" s="246">
        <f t="shared" ref="AE41" si="267">IF(AA41="Yes",AB41*2,AB41)</f>
        <v>1282.5725</v>
      </c>
      <c r="AF41" s="416">
        <f t="shared" ref="AF41" si="268">H41*2</f>
        <v>10260.58</v>
      </c>
    </row>
    <row r="42" spans="1:32" s="68" customFormat="1" ht="15" customHeight="1" x14ac:dyDescent="0.2">
      <c r="A42" s="80">
        <f t="shared" ref="A42" si="269">IF(H42&gt;=0,0,1)</f>
        <v>0</v>
      </c>
      <c r="B42" s="363" t="str">
        <f>IF(ISBLANK(Materials!B42),"",Materials!B42)</f>
        <v>Rebar Positioner</v>
      </c>
      <c r="C42" s="352" t="str">
        <f>IF(ISBLANK(Materials!C42),"",Materials!C42)</f>
        <v>042000</v>
      </c>
      <c r="D42" s="352" t="str">
        <f>IF(ISBLANK(Materials!D42),"",Materials!D42)</f>
        <v/>
      </c>
      <c r="E42" s="364" t="str">
        <f>IF(ISBLANK(Materials!E42),"",Materials!E42)</f>
        <v>RB</v>
      </c>
      <c r="F42" s="436"/>
      <c r="G42" s="365" t="str">
        <f>IF(ISBLANK(Materials!F42),"",Materials!F42)</f>
        <v>Hohmann &amp; Barnard</v>
      </c>
      <c r="H42" s="342">
        <f>IF(ISBLANK(Materials!G42),"",Materials!G42)</f>
        <v>3739.16</v>
      </c>
      <c r="I42" s="223"/>
      <c r="J42" s="448"/>
      <c r="K42" s="233" t="str">
        <f t="shared" ref="K42" si="270">IF(J42="Manufacturer Declared",0.5,IF(J42="Third Party Verified",1,""))</f>
        <v/>
      </c>
      <c r="L42" s="84"/>
      <c r="M42" s="345"/>
      <c r="N42" s="346">
        <f t="shared" ref="N42" si="271">IF(M42&gt;0,(H42*0.5),0)</f>
        <v>0</v>
      </c>
      <c r="O42" s="425"/>
      <c r="P42" s="347">
        <f t="shared" ref="P42" si="272">IFERROR(O42*H42,0)*0.5</f>
        <v>0</v>
      </c>
      <c r="Q42" s="425"/>
      <c r="R42" s="347">
        <f t="shared" ref="R42" si="273">IFERROR(Q42*H42,0)</f>
        <v>0</v>
      </c>
      <c r="S42" s="427"/>
      <c r="T42" s="346">
        <f t="shared" ref="T42" si="274">IFERROR(S42*H42,0)</f>
        <v>0</v>
      </c>
      <c r="U42" s="430"/>
      <c r="V42" s="346">
        <f t="shared" ref="V42" si="275">IFERROR(U42*H42,0)*2</f>
        <v>0</v>
      </c>
      <c r="W42" s="348">
        <v>0.25</v>
      </c>
      <c r="X42" s="349">
        <v>0.75</v>
      </c>
      <c r="Y42" s="350">
        <f t="shared" ref="Y42" si="276">IFERROR((W42*H42)+((X42*H42)/2),0)</f>
        <v>2336.9749999999999</v>
      </c>
      <c r="Z42" s="94"/>
      <c r="AA42" s="218"/>
      <c r="AB42" s="376">
        <f t="shared" ref="AB42" si="277">SUM(N42,P42,R42,T42,V42,Y42)</f>
        <v>2336.9749999999999</v>
      </c>
      <c r="AC42" s="295">
        <f t="shared" ref="AC42" si="278">IFERROR((IF(AE42&lt;=AF42,AE42,IF(AE42&gt;AF42,AF42))),0)</f>
        <v>2336.9749999999999</v>
      </c>
      <c r="AE42" s="246">
        <f t="shared" ref="AE42" si="279">IF(AA42="Yes",AB42*2,AB42)</f>
        <v>2336.9749999999999</v>
      </c>
      <c r="AF42" s="416">
        <f t="shared" ref="AF42" si="280">H42*2</f>
        <v>7478.32</v>
      </c>
    </row>
    <row r="43" spans="1:32" s="68" customFormat="1" ht="15" customHeight="1" x14ac:dyDescent="0.2">
      <c r="A43" s="80">
        <f t="shared" ref="A43" si="281">IF(H43&gt;=0,0,1)</f>
        <v>0</v>
      </c>
      <c r="B43" s="363" t="str">
        <f>IF(ISBLANK(Materials!B43),"",Materials!B43)</f>
        <v>Mortar System</v>
      </c>
      <c r="C43" s="352" t="str">
        <f>IF(ISBLANK(Materials!C43),"",Materials!C43)</f>
        <v>042000</v>
      </c>
      <c r="D43" s="352" t="str">
        <f>IF(ISBLANK(Materials!D43),"",Materials!D43)</f>
        <v/>
      </c>
      <c r="E43" s="364" t="str">
        <f>IF(ISBLANK(Materials!E43),"",Materials!E43)</f>
        <v>Mortar Trap</v>
      </c>
      <c r="F43" s="436"/>
      <c r="G43" s="365" t="str">
        <f>IF(ISBLANK(Materials!F43),"",Materials!F43)</f>
        <v>Hohmann &amp; Barnard</v>
      </c>
      <c r="H43" s="342">
        <f>IF(ISBLANK(Materials!G43),"",Materials!G43)</f>
        <v>2963.31</v>
      </c>
      <c r="I43" s="223"/>
      <c r="J43" s="448"/>
      <c r="K43" s="233" t="str">
        <f t="shared" ref="K43" si="282">IF(J43="Manufacturer Declared",0.5,IF(J43="Third Party Verified",1,""))</f>
        <v/>
      </c>
      <c r="L43" s="84"/>
      <c r="M43" s="345"/>
      <c r="N43" s="346">
        <f t="shared" ref="N43" si="283">IF(M43&gt;0,(H43*0.5),0)</f>
        <v>0</v>
      </c>
      <c r="O43" s="425"/>
      <c r="P43" s="347">
        <f t="shared" ref="P43" si="284">IFERROR(O43*H43,0)*0.5</f>
        <v>0</v>
      </c>
      <c r="Q43" s="425"/>
      <c r="R43" s="347">
        <f t="shared" ref="R43" si="285">IFERROR(Q43*H43,0)</f>
        <v>0</v>
      </c>
      <c r="S43" s="427"/>
      <c r="T43" s="346">
        <f t="shared" ref="T43" si="286">IFERROR(S43*H43,0)</f>
        <v>0</v>
      </c>
      <c r="U43" s="430"/>
      <c r="V43" s="346">
        <f t="shared" ref="V43" si="287">IFERROR(U43*H43,0)*2</f>
        <v>0</v>
      </c>
      <c r="W43" s="348">
        <v>0.1</v>
      </c>
      <c r="X43" s="349">
        <v>0.1</v>
      </c>
      <c r="Y43" s="350">
        <f t="shared" ref="Y43" si="288">IFERROR((W43*H43)+((X43*H43)/2),0)</f>
        <v>444.49650000000003</v>
      </c>
      <c r="Z43" s="94"/>
      <c r="AA43" s="218"/>
      <c r="AB43" s="376">
        <f t="shared" ref="AB43" si="289">SUM(N43,P43,R43,T43,V43,Y43)</f>
        <v>444.49650000000003</v>
      </c>
      <c r="AC43" s="295">
        <f t="shared" ref="AC43" si="290">IFERROR((IF(AE43&lt;=AF43,AE43,IF(AE43&gt;AF43,AF43))),0)</f>
        <v>444.49650000000003</v>
      </c>
      <c r="AE43" s="246">
        <f t="shared" ref="AE43" si="291">IF(AA43="Yes",AB43*2,AB43)</f>
        <v>444.49650000000003</v>
      </c>
      <c r="AF43" s="416">
        <f t="shared" ref="AF43" si="292">H43*2</f>
        <v>5926.62</v>
      </c>
    </row>
    <row r="44" spans="1:32" s="68" customFormat="1" ht="15" customHeight="1" x14ac:dyDescent="0.2">
      <c r="A44" s="80">
        <f t="shared" ref="A44" si="293">IF(H44&gt;=0,0,1)</f>
        <v>0</v>
      </c>
      <c r="B44" s="363" t="str">
        <f>IF(ISBLANK(Materials!B44),"",Materials!B44)</f>
        <v>C-Studs &amp; Track</v>
      </c>
      <c r="C44" s="352" t="str">
        <f>IF(ISBLANK(Materials!C44),"",Materials!C44)</f>
        <v>054000</v>
      </c>
      <c r="D44" s="352" t="str">
        <f>IF(ISBLANK(Materials!D44),"",Materials!D44)</f>
        <v/>
      </c>
      <c r="E44" s="364" t="str">
        <f>IF(ISBLANK(Materials!E44),"",Materials!E44)</f>
        <v>600S162-43, 600S200-43, 600S300-54, 600S300-97, 600S350-118, 600S350-68, 600S350-97, 600T125-43, 600T125-68, 600T200-54, 600T200-97</v>
      </c>
      <c r="F44" s="436"/>
      <c r="G44" s="365" t="str">
        <f>IF(ISBLANK(Materials!F44),"",Materials!F44)</f>
        <v>Cemco</v>
      </c>
      <c r="H44" s="342">
        <f>IF(ISBLANK(Materials!G44),"",Materials!G44)</f>
        <v>28645.46</v>
      </c>
      <c r="I44" s="223"/>
      <c r="J44" s="448"/>
      <c r="K44" s="233" t="str">
        <f t="shared" ref="K44" si="294">IF(J44="Manufacturer Declared",0.5,IF(J44="Third Party Verified",1,""))</f>
        <v/>
      </c>
      <c r="L44" s="84"/>
      <c r="M44" s="345"/>
      <c r="N44" s="346">
        <f t="shared" ref="N44" si="295">IF(M44&gt;0,(H44*0.5),0)</f>
        <v>0</v>
      </c>
      <c r="O44" s="425"/>
      <c r="P44" s="347">
        <f t="shared" ref="P44" si="296">IFERROR(O44*H44,0)*0.5</f>
        <v>0</v>
      </c>
      <c r="Q44" s="425"/>
      <c r="R44" s="347">
        <f t="shared" ref="R44" si="297">IFERROR(Q44*H44,0)</f>
        <v>0</v>
      </c>
      <c r="S44" s="427"/>
      <c r="T44" s="346">
        <f t="shared" ref="T44" si="298">IFERROR(S44*H44,0)</f>
        <v>0</v>
      </c>
      <c r="U44" s="430"/>
      <c r="V44" s="346">
        <f t="shared" ref="V44" si="299">IFERROR(U44*H44,0)*2</f>
        <v>0</v>
      </c>
      <c r="W44" s="348">
        <v>0.19800000000000001</v>
      </c>
      <c r="X44" s="349">
        <v>0.14399999999999999</v>
      </c>
      <c r="Y44" s="350">
        <f t="shared" ref="Y44" si="300">IFERROR((W44*H44)+((X44*H44)/2),0)</f>
        <v>7734.2741999999998</v>
      </c>
      <c r="Z44" s="94"/>
      <c r="AA44" s="218"/>
      <c r="AB44" s="376">
        <f t="shared" ref="AB44" si="301">SUM(N44,P44,R44,T44,V44,Y44)</f>
        <v>7734.2741999999998</v>
      </c>
      <c r="AC44" s="295">
        <f t="shared" ref="AC44" si="302">IFERROR((IF(AE44&lt;=AF44,AE44,IF(AE44&gt;AF44,AF44))),0)</f>
        <v>7734.2741999999998</v>
      </c>
      <c r="AE44" s="246">
        <f t="shared" ref="AE44" si="303">IF(AA44="Yes",AB44*2,AB44)</f>
        <v>7734.2741999999998</v>
      </c>
      <c r="AF44" s="416">
        <f t="shared" ref="AF44" si="304">H44*2</f>
        <v>57290.92</v>
      </c>
    </row>
    <row r="45" spans="1:32" s="68" customFormat="1" ht="15" customHeight="1" x14ac:dyDescent="0.2">
      <c r="A45" s="80">
        <f t="shared" ref="A45" si="305">IF(H45&gt;=0,0,1)</f>
        <v>0</v>
      </c>
      <c r="B45" s="363" t="str">
        <f>IF(ISBLANK(Materials!B45),"",Materials!B45)</f>
        <v>CFMF</v>
      </c>
      <c r="C45" s="352" t="str">
        <f>IF(ISBLANK(Materials!C45),"",Materials!C45)</f>
        <v>054000</v>
      </c>
      <c r="D45" s="352" t="str">
        <f>IF(ISBLANK(Materials!D45),"",Materials!D45)</f>
        <v/>
      </c>
      <c r="E45" s="364" t="str">
        <f>IF(ISBLANK(Materials!E45),"",Materials!E45)</f>
        <v>StiffClip AL &amp; CL, VertiClip SL &amp; SLS</v>
      </c>
      <c r="F45" s="436"/>
      <c r="G45" s="365" t="str">
        <f>IF(ISBLANK(Materials!F45),"",Materials!F45)</f>
        <v>TSN</v>
      </c>
      <c r="H45" s="342">
        <f>IF(ISBLANK(Materials!G45),"",Materials!G45)</f>
        <v>1724.1</v>
      </c>
      <c r="I45" s="223"/>
      <c r="J45" s="448"/>
      <c r="K45" s="233" t="str">
        <f t="shared" ref="K45" si="306">IF(J45="Manufacturer Declared",0.5,IF(J45="Third Party Verified",1,""))</f>
        <v/>
      </c>
      <c r="L45" s="84"/>
      <c r="M45" s="345"/>
      <c r="N45" s="346">
        <f t="shared" ref="N45" si="307">IF(M45&gt;0,(H45*0.5),0)</f>
        <v>0</v>
      </c>
      <c r="O45" s="425"/>
      <c r="P45" s="347">
        <f t="shared" ref="P45" si="308">IFERROR(O45*H45,0)*0.5</f>
        <v>0</v>
      </c>
      <c r="Q45" s="425"/>
      <c r="R45" s="347">
        <f t="shared" ref="R45" si="309">IFERROR(Q45*H45,0)</f>
        <v>0</v>
      </c>
      <c r="S45" s="427"/>
      <c r="T45" s="346">
        <f t="shared" ref="T45" si="310">IFERROR(S45*H45,0)</f>
        <v>0</v>
      </c>
      <c r="U45" s="430"/>
      <c r="V45" s="346">
        <f t="shared" ref="V45" si="311">IFERROR(U45*H45,0)*2</f>
        <v>0</v>
      </c>
      <c r="W45" s="348">
        <v>0.25</v>
      </c>
      <c r="X45" s="349">
        <v>0</v>
      </c>
      <c r="Y45" s="350">
        <f t="shared" ref="Y45" si="312">IFERROR((W45*H45)+((X45*H45)/2),0)</f>
        <v>431.02499999999998</v>
      </c>
      <c r="Z45" s="94"/>
      <c r="AA45" s="218"/>
      <c r="AB45" s="376">
        <f t="shared" ref="AB45" si="313">SUM(N45,P45,R45,T45,V45,Y45)</f>
        <v>431.02499999999998</v>
      </c>
      <c r="AC45" s="295">
        <f t="shared" ref="AC45" si="314">IFERROR((IF(AE45&lt;=AF45,AE45,IF(AE45&gt;AF45,AF45))),0)</f>
        <v>431.02499999999998</v>
      </c>
      <c r="AE45" s="246">
        <f t="shared" ref="AE45" si="315">IF(AA45="Yes",AB45*2,AB45)</f>
        <v>431.02499999999998</v>
      </c>
      <c r="AF45" s="416">
        <f t="shared" ref="AF45" si="316">H45*2</f>
        <v>3448.2</v>
      </c>
    </row>
    <row r="46" spans="1:32" s="68" customFormat="1" ht="15" customHeight="1" x14ac:dyDescent="0.2">
      <c r="A46" s="80">
        <f t="shared" ref="A46" si="317">IF(H46&gt;=0,0,1)</f>
        <v>0</v>
      </c>
      <c r="B46" s="363" t="str">
        <f>IF(ISBLANK(Materials!B46),"",Materials!B46)</f>
        <v xml:space="preserve">Architectural Hinges </v>
      </c>
      <c r="C46" s="352" t="str">
        <f>IF(ISBLANK(Materials!C46),"",Materials!C46)</f>
        <v>087100</v>
      </c>
      <c r="D46" s="352" t="str">
        <f>IF(ISBLANK(Materials!D46),"",Materials!D46)</f>
        <v/>
      </c>
      <c r="E46" s="364" t="str">
        <f>IF(ISBLANK(Materials!E46),"",Materials!E46)</f>
        <v>5BB1</v>
      </c>
      <c r="F46" s="436"/>
      <c r="G46" s="365" t="str">
        <f>IF(ISBLANK(Materials!F46),"",Materials!F46)</f>
        <v>Ives-Allegion</v>
      </c>
      <c r="H46" s="342">
        <f>IF(ISBLANK(Materials!G46),"",Materials!G46)</f>
        <v>3300</v>
      </c>
      <c r="I46" s="223"/>
      <c r="J46" s="448"/>
      <c r="K46" s="233" t="str">
        <f t="shared" ref="K46" si="318">IF(J46="Manufacturer Declared",0.5,IF(J46="Third Party Verified",1,""))</f>
        <v/>
      </c>
      <c r="L46" s="84"/>
      <c r="M46" s="345"/>
      <c r="N46" s="346">
        <f t="shared" ref="N46" si="319">IF(M46&gt;0,(H46*0.5),0)</f>
        <v>0</v>
      </c>
      <c r="O46" s="425"/>
      <c r="P46" s="347">
        <f t="shared" ref="P46" si="320">IFERROR(O46*H46,0)*0.5</f>
        <v>0</v>
      </c>
      <c r="Q46" s="425"/>
      <c r="R46" s="347">
        <f t="shared" ref="R46" si="321">IFERROR(Q46*H46,0)</f>
        <v>0</v>
      </c>
      <c r="S46" s="427"/>
      <c r="T46" s="346">
        <f t="shared" ref="T46" si="322">IFERROR(S46*H46,0)</f>
        <v>0</v>
      </c>
      <c r="U46" s="430"/>
      <c r="V46" s="346">
        <f t="shared" ref="V46" si="323">IFERROR(U46*H46,0)*2</f>
        <v>0</v>
      </c>
      <c r="W46" s="348">
        <v>0</v>
      </c>
      <c r="X46" s="349">
        <v>0</v>
      </c>
      <c r="Y46" s="350">
        <f t="shared" ref="Y46" si="324">IFERROR((W46*H46)+((X46*H46)/2),0)</f>
        <v>0</v>
      </c>
      <c r="Z46" s="94"/>
      <c r="AA46" s="218"/>
      <c r="AB46" s="376">
        <f t="shared" ref="AB46" si="325">SUM(N46,P46,R46,T46,V46,Y46)</f>
        <v>0</v>
      </c>
      <c r="AC46" s="295">
        <f t="shared" ref="AC46" si="326">IFERROR((IF(AE46&lt;=AF46,AE46,IF(AE46&gt;AF46,AF46))),0)</f>
        <v>0</v>
      </c>
      <c r="AE46" s="246">
        <f t="shared" ref="AE46" si="327">IF(AA46="Yes",AB46*2,AB46)</f>
        <v>0</v>
      </c>
      <c r="AF46" s="416">
        <f t="shared" ref="AF46" si="328">H46*2</f>
        <v>6600</v>
      </c>
    </row>
    <row r="47" spans="1:32" s="68" customFormat="1" ht="15" customHeight="1" x14ac:dyDescent="0.2">
      <c r="A47" s="80">
        <f t="shared" ref="A47" si="329">IF(H47&gt;=0,0,1)</f>
        <v>0</v>
      </c>
      <c r="B47" s="363" t="str">
        <f>IF(ISBLANK(Materials!B47),"",Materials!B47)</f>
        <v>Mortise Locks</v>
      </c>
      <c r="C47" s="352" t="str">
        <f>IF(ISBLANK(Materials!C47),"",Materials!C47)</f>
        <v>087100</v>
      </c>
      <c r="D47" s="352" t="str">
        <f>IF(ISBLANK(Materials!D47),"",Materials!D47)</f>
        <v/>
      </c>
      <c r="E47" s="364" t="str">
        <f>IF(ISBLANK(Materials!E47),"",Materials!E47)</f>
        <v>8205, 8204, 8217, 8215, 8237, KP9278, KP8278, KP8276</v>
      </c>
      <c r="F47" s="436"/>
      <c r="G47" s="365" t="str">
        <f>IF(ISBLANK(Materials!F47),"",Materials!F47)</f>
        <v>Sargent-ASSA ABLOY</v>
      </c>
      <c r="H47" s="342">
        <f>IF(ISBLANK(Materials!G47),"",Materials!G47)</f>
        <v>55665</v>
      </c>
      <c r="I47" s="223"/>
      <c r="J47" s="448"/>
      <c r="K47" s="233" t="str">
        <f t="shared" ref="K47" si="330">IF(J47="Manufacturer Declared",0.5,IF(J47="Third Party Verified",1,""))</f>
        <v/>
      </c>
      <c r="L47" s="84"/>
      <c r="M47" s="345" t="s">
        <v>262</v>
      </c>
      <c r="N47" s="346">
        <f t="shared" ref="N47" si="331">IF(M47&gt;0,(H47*0.5),0)</f>
        <v>27832.5</v>
      </c>
      <c r="O47" s="425"/>
      <c r="P47" s="347">
        <f t="shared" ref="P47" si="332">IFERROR(O47*H47,0)*0.5</f>
        <v>0</v>
      </c>
      <c r="Q47" s="425"/>
      <c r="R47" s="347">
        <f t="shared" ref="R47" si="333">IFERROR(Q47*H47,0)</f>
        <v>0</v>
      </c>
      <c r="S47" s="427"/>
      <c r="T47" s="346">
        <f t="shared" ref="T47" si="334">IFERROR(S47*H47,0)</f>
        <v>0</v>
      </c>
      <c r="U47" s="430"/>
      <c r="V47" s="346">
        <f t="shared" ref="V47" si="335">IFERROR(U47*H47,0)*2</f>
        <v>0</v>
      </c>
      <c r="W47" s="348">
        <v>0.59</v>
      </c>
      <c r="X47" s="349">
        <v>0</v>
      </c>
      <c r="Y47" s="350">
        <f t="shared" ref="Y47" si="336">IFERROR((W47*H47)+((X47*H47)/2),0)</f>
        <v>32842.35</v>
      </c>
      <c r="Z47" s="94"/>
      <c r="AA47" s="218"/>
      <c r="AB47" s="376">
        <f t="shared" ref="AB47" si="337">SUM(N47,P47,R47,T47,V47,Y47)</f>
        <v>60674.85</v>
      </c>
      <c r="AC47" s="295">
        <f t="shared" ref="AC47" si="338">IFERROR((IF(AE47&lt;=AF47,AE47,IF(AE47&gt;AF47,AF47))),0)</f>
        <v>60674.85</v>
      </c>
      <c r="AE47" s="246">
        <f t="shared" ref="AE47" si="339">IF(AA47="Yes",AB47*2,AB47)</f>
        <v>60674.85</v>
      </c>
      <c r="AF47" s="416">
        <f t="shared" ref="AF47" si="340">H47*2</f>
        <v>111330</v>
      </c>
    </row>
    <row r="48" spans="1:32" s="68" customFormat="1" ht="15" customHeight="1" x14ac:dyDescent="0.2">
      <c r="A48" s="80">
        <f t="shared" ref="A48" si="341">IF(H48&gt;=0,0,1)</f>
        <v>0</v>
      </c>
      <c r="B48" s="363" t="str">
        <f>IF(ISBLANK(Materials!B48),"",Materials!B48)</f>
        <v>Door Closer</v>
      </c>
      <c r="C48" s="352" t="str">
        <f>IF(ISBLANK(Materials!C48),"",Materials!C48)</f>
        <v>087100</v>
      </c>
      <c r="D48" s="352" t="str">
        <f>IF(ISBLANK(Materials!D48),"",Materials!D48)</f>
        <v/>
      </c>
      <c r="E48" s="364" t="str">
        <f>IF(ISBLANK(Materials!E48),"",Materials!E48)</f>
        <v>4040XP, 4642 lcn-allegion (cost included here for 904S, 105S, 104S)</v>
      </c>
      <c r="F48" s="436"/>
      <c r="G48" s="365" t="str">
        <f>IF(ISBLANK(Materials!F48),"",Materials!F48)</f>
        <v>LCN-Allegion</v>
      </c>
      <c r="H48" s="342">
        <f>IF(ISBLANK(Materials!G48),"",Materials!G48)</f>
        <v>13435</v>
      </c>
      <c r="I48" s="223"/>
      <c r="J48" s="448"/>
      <c r="K48" s="233" t="str">
        <f t="shared" ref="K48" si="342">IF(J48="Manufacturer Declared",0.5,IF(J48="Third Party Verified",1,""))</f>
        <v/>
      </c>
      <c r="L48" s="84"/>
      <c r="M48" s="345"/>
      <c r="N48" s="346">
        <f t="shared" ref="N48" si="343">IF(M48&gt;0,(H48*0.5),0)</f>
        <v>0</v>
      </c>
      <c r="O48" s="425"/>
      <c r="P48" s="347">
        <f t="shared" ref="P48" si="344">IFERROR(O48*H48,0)*0.5</f>
        <v>0</v>
      </c>
      <c r="Q48" s="425"/>
      <c r="R48" s="347">
        <f t="shared" ref="R48" si="345">IFERROR(Q48*H48,0)</f>
        <v>0</v>
      </c>
      <c r="S48" s="427"/>
      <c r="T48" s="346">
        <f t="shared" ref="T48" si="346">IFERROR(S48*H48,0)</f>
        <v>0</v>
      </c>
      <c r="U48" s="430"/>
      <c r="V48" s="346">
        <f t="shared" ref="V48" si="347">IFERROR(U48*H48,0)*2</f>
        <v>0</v>
      </c>
      <c r="W48" s="348">
        <v>0.56899999999999995</v>
      </c>
      <c r="X48" s="349">
        <v>0.314</v>
      </c>
      <c r="Y48" s="350">
        <f t="shared" ref="Y48" si="348">IFERROR((W48*H48)+((X48*H48)/2),0)</f>
        <v>9753.81</v>
      </c>
      <c r="Z48" s="94"/>
      <c r="AA48" s="218"/>
      <c r="AB48" s="376">
        <f t="shared" ref="AB48" si="349">SUM(N48,P48,R48,T48,V48,Y48)</f>
        <v>9753.81</v>
      </c>
      <c r="AC48" s="295">
        <f t="shared" ref="AC48" si="350">IFERROR((IF(AE48&lt;=AF48,AE48,IF(AE48&gt;AF48,AF48))),0)</f>
        <v>9753.81</v>
      </c>
      <c r="AE48" s="246">
        <f t="shared" ref="AE48" si="351">IF(AA48="Yes",AB48*2,AB48)</f>
        <v>9753.81</v>
      </c>
      <c r="AF48" s="416">
        <f t="shared" ref="AF48" si="352">H48*2</f>
        <v>26870</v>
      </c>
    </row>
    <row r="49" spans="1:32" s="68" customFormat="1" ht="15" customHeight="1" x14ac:dyDescent="0.2">
      <c r="A49" s="80">
        <f t="shared" ref="A49" si="353">IF(H49&gt;=0,0,1)</f>
        <v>0</v>
      </c>
      <c r="B49" s="363" t="str">
        <f>IF(ISBLANK(Materials!B49),"",Materials!B49)</f>
        <v>Kick Plates, Door Pull</v>
      </c>
      <c r="C49" s="352" t="str">
        <f>IF(ISBLANK(Materials!C49),"",Materials!C49)</f>
        <v>087100</v>
      </c>
      <c r="D49" s="352" t="str">
        <f>IF(ISBLANK(Materials!D49),"",Materials!D49)</f>
        <v/>
      </c>
      <c r="E49" s="364" t="str">
        <f>IF(ISBLANK(Materials!E49),"",Materials!E49)</f>
        <v>8400, 8190HD-0</v>
      </c>
      <c r="F49" s="436"/>
      <c r="G49" s="365" t="str">
        <f>IF(ISBLANK(Materials!F49),"",Materials!F49)</f>
        <v>Ives-Allegion</v>
      </c>
      <c r="H49" s="342">
        <f>IF(ISBLANK(Materials!G49),"",Materials!G49)</f>
        <v>1600</v>
      </c>
      <c r="I49" s="223"/>
      <c r="J49" s="448"/>
      <c r="K49" s="233" t="str">
        <f t="shared" ref="K49" si="354">IF(J49="Manufacturer Declared",0.5,IF(J49="Third Party Verified",1,""))</f>
        <v/>
      </c>
      <c r="L49" s="84"/>
      <c r="M49" s="345"/>
      <c r="N49" s="346">
        <f t="shared" ref="N49" si="355">IF(M49&gt;0,(H49*0.5),0)</f>
        <v>0</v>
      </c>
      <c r="O49" s="425"/>
      <c r="P49" s="347">
        <f t="shared" ref="P49" si="356">IFERROR(O49*H49,0)*0.5</f>
        <v>0</v>
      </c>
      <c r="Q49" s="425"/>
      <c r="R49" s="347">
        <f t="shared" ref="R49" si="357">IFERROR(Q49*H49,0)</f>
        <v>0</v>
      </c>
      <c r="S49" s="427"/>
      <c r="T49" s="346">
        <f t="shared" ref="T49" si="358">IFERROR(S49*H49,0)</f>
        <v>0</v>
      </c>
      <c r="U49" s="430"/>
      <c r="V49" s="346">
        <f t="shared" ref="V49" si="359">IFERROR(U49*H49,0)*2</f>
        <v>0</v>
      </c>
      <c r="W49" s="348">
        <v>0.56899999999999995</v>
      </c>
      <c r="X49" s="349">
        <v>0.314</v>
      </c>
      <c r="Y49" s="350">
        <f t="shared" ref="Y49" si="360">IFERROR((W49*H49)+((X49*H49)/2),0)</f>
        <v>1161.5999999999999</v>
      </c>
      <c r="Z49" s="94"/>
      <c r="AA49" s="218"/>
      <c r="AB49" s="376">
        <f t="shared" ref="AB49" si="361">SUM(N49,P49,R49,T49,V49,Y49)</f>
        <v>1161.5999999999999</v>
      </c>
      <c r="AC49" s="295">
        <f t="shared" ref="AC49" si="362">IFERROR((IF(AE49&lt;=AF49,AE49,IF(AE49&gt;AF49,AF49))),0)</f>
        <v>1161.5999999999999</v>
      </c>
      <c r="AE49" s="246">
        <f t="shared" ref="AE49" si="363">IF(AA49="Yes",AB49*2,AB49)</f>
        <v>1161.5999999999999</v>
      </c>
      <c r="AF49" s="416">
        <f t="shared" ref="AF49" si="364">H49*2</f>
        <v>3200</v>
      </c>
    </row>
    <row r="50" spans="1:32" s="68" customFormat="1" ht="15" customHeight="1" x14ac:dyDescent="0.2">
      <c r="A50" s="80">
        <f t="shared" ref="A50" si="365">IF(H50&gt;=0,0,1)</f>
        <v>0</v>
      </c>
      <c r="B50" s="363" t="str">
        <f>IF(ISBLANK(Materials!B50),"",Materials!B50)</f>
        <v>Wall Stops</v>
      </c>
      <c r="C50" s="352" t="str">
        <f>IF(ISBLANK(Materials!C50),"",Materials!C50)</f>
        <v>087100</v>
      </c>
      <c r="D50" s="352" t="str">
        <f>IF(ISBLANK(Materials!D50),"",Materials!D50)</f>
        <v/>
      </c>
      <c r="E50" s="364" t="str">
        <f>IF(ISBLANK(Materials!E50),"",Materials!E50)</f>
        <v>WS406/407CCV</v>
      </c>
      <c r="F50" s="436"/>
      <c r="G50" s="365" t="str">
        <f>IF(ISBLANK(Materials!F50),"",Materials!F50)</f>
        <v>Ives-Allegion</v>
      </c>
      <c r="H50" s="342">
        <f>IF(ISBLANK(Materials!G50),"",Materials!G50)</f>
        <v>250</v>
      </c>
      <c r="I50" s="223"/>
      <c r="J50" s="448"/>
      <c r="K50" s="233" t="str">
        <f t="shared" ref="K50" si="366">IF(J50="Manufacturer Declared",0.5,IF(J50="Third Party Verified",1,""))</f>
        <v/>
      </c>
      <c r="L50" s="84"/>
      <c r="M50" s="345"/>
      <c r="N50" s="346">
        <f t="shared" ref="N50" si="367">IF(M50&gt;0,(H50*0.5),0)</f>
        <v>0</v>
      </c>
      <c r="O50" s="425"/>
      <c r="P50" s="347">
        <f t="shared" ref="P50" si="368">IFERROR(O50*H50,0)*0.5</f>
        <v>0</v>
      </c>
      <c r="Q50" s="425"/>
      <c r="R50" s="347">
        <f t="shared" ref="R50" si="369">IFERROR(Q50*H50,0)</f>
        <v>0</v>
      </c>
      <c r="S50" s="427"/>
      <c r="T50" s="346">
        <f t="shared" ref="T50" si="370">IFERROR(S50*H50,0)</f>
        <v>0</v>
      </c>
      <c r="U50" s="430"/>
      <c r="V50" s="346">
        <f t="shared" ref="V50" si="371">IFERROR(U50*H50,0)*2</f>
        <v>0</v>
      </c>
      <c r="W50" s="348">
        <v>0.27</v>
      </c>
      <c r="X50" s="349">
        <v>0.104</v>
      </c>
      <c r="Y50" s="350">
        <f t="shared" ref="Y50" si="372">IFERROR((W50*H50)+((X50*H50)/2),0)</f>
        <v>80.5</v>
      </c>
      <c r="Z50" s="94"/>
      <c r="AA50" s="218"/>
      <c r="AB50" s="376">
        <f t="shared" ref="AB50" si="373">SUM(N50,P50,R50,T50,V50,Y50)</f>
        <v>80.5</v>
      </c>
      <c r="AC50" s="295">
        <f t="shared" ref="AC50" si="374">IFERROR((IF(AE50&lt;=AF50,AE50,IF(AE50&gt;AF50,AF50))),0)</f>
        <v>80.5</v>
      </c>
      <c r="AE50" s="246">
        <f t="shared" ref="AE50" si="375">IF(AA50="Yes",AB50*2,AB50)</f>
        <v>80.5</v>
      </c>
      <c r="AF50" s="416">
        <f t="shared" ref="AF50" si="376">H50*2</f>
        <v>500</v>
      </c>
    </row>
    <row r="51" spans="1:32" s="68" customFormat="1" ht="15" customHeight="1" x14ac:dyDescent="0.2">
      <c r="A51" s="80">
        <f t="shared" ref="A51" si="377">IF(H51&gt;=0,0,1)</f>
        <v>0</v>
      </c>
      <c r="B51" s="363" t="str">
        <f>IF(ISBLANK(Materials!B51),"",Materials!B51)</f>
        <v>Silicone Weatherstripping Door Seal</v>
      </c>
      <c r="C51" s="352" t="str">
        <f>IF(ISBLANK(Materials!C51),"",Materials!C51)</f>
        <v>087100</v>
      </c>
      <c r="D51" s="352" t="str">
        <f>IF(ISBLANK(Materials!D51),"",Materials!D51)</f>
        <v/>
      </c>
      <c r="E51" s="364" t="str">
        <f>IF(ISBLANK(Materials!E51),"",Materials!E51)</f>
        <v>188SBK (cost included here for 369AA, 119WB, 870AA, 322A, 328AA, 655A, 39A)</v>
      </c>
      <c r="F51" s="436"/>
      <c r="G51" s="365" t="str">
        <f>IF(ISBLANK(Materials!F51),"",Materials!F51)</f>
        <v>Zero-Allegion</v>
      </c>
      <c r="H51" s="342">
        <f>IF(ISBLANK(Materials!G51),"",Materials!G51)</f>
        <v>1900</v>
      </c>
      <c r="I51" s="223"/>
      <c r="J51" s="448"/>
      <c r="K51" s="233" t="str">
        <f t="shared" ref="K51" si="378">IF(J51="Manufacturer Declared",0.5,IF(J51="Third Party Verified",1,""))</f>
        <v/>
      </c>
      <c r="L51" s="84"/>
      <c r="M51" s="345"/>
      <c r="N51" s="346">
        <f t="shared" ref="N51" si="379">IF(M51&gt;0,(H51*0.5),0)</f>
        <v>0</v>
      </c>
      <c r="O51" s="425"/>
      <c r="P51" s="347">
        <f t="shared" ref="P51" si="380">IFERROR(O51*H51,0)*0.5</f>
        <v>0</v>
      </c>
      <c r="Q51" s="425"/>
      <c r="R51" s="347">
        <f t="shared" ref="R51" si="381">IFERROR(Q51*H51,0)</f>
        <v>0</v>
      </c>
      <c r="S51" s="427"/>
      <c r="T51" s="346">
        <f t="shared" ref="T51" si="382">IFERROR(S51*H51,0)</f>
        <v>0</v>
      </c>
      <c r="U51" s="430"/>
      <c r="V51" s="346">
        <f t="shared" ref="V51" si="383">IFERROR(U51*H51,0)*2</f>
        <v>0</v>
      </c>
      <c r="W51" s="348">
        <v>0.05</v>
      </c>
      <c r="X51" s="349">
        <v>0.12</v>
      </c>
      <c r="Y51" s="350">
        <f t="shared" ref="Y51" si="384">IFERROR((W51*H51)+((X51*H51)/2),0)</f>
        <v>209</v>
      </c>
      <c r="Z51" s="94"/>
      <c r="AA51" s="218"/>
      <c r="AB51" s="376">
        <f t="shared" ref="AB51" si="385">SUM(N51,P51,R51,T51,V51,Y51)</f>
        <v>209</v>
      </c>
      <c r="AC51" s="295">
        <f t="shared" ref="AC51" si="386">IFERROR((IF(AE51&lt;=AF51,AE51,IF(AE51&gt;AF51,AF51))),0)</f>
        <v>209</v>
      </c>
      <c r="AE51" s="246">
        <f t="shared" ref="AE51" si="387">IF(AA51="Yes",AB51*2,AB51)</f>
        <v>209</v>
      </c>
      <c r="AF51" s="416">
        <f t="shared" ref="AF51" si="388">H51*2</f>
        <v>3800</v>
      </c>
    </row>
    <row r="52" spans="1:32" s="68" customFormat="1" ht="15" customHeight="1" x14ac:dyDescent="0.2">
      <c r="A52" s="80">
        <f t="shared" ref="A52" si="389">IF(H52&gt;=0,0,1)</f>
        <v>0</v>
      </c>
      <c r="B52" s="363" t="str">
        <f>IF(ISBLANK(Materials!B52),"",Materials!B52)</f>
        <v>Auto Door Bottom, Bronze &amp; Aluminum Weatherstrip</v>
      </c>
      <c r="C52" s="352" t="str">
        <f>IF(ISBLANK(Materials!C52),"",Materials!C52)</f>
        <v>087100</v>
      </c>
      <c r="D52" s="352" t="str">
        <f>IF(ISBLANK(Materials!D52),"",Materials!D52)</f>
        <v/>
      </c>
      <c r="E52" s="364" t="str">
        <f>IF(ISBLANK(Materials!E52),"",Materials!E52)</f>
        <v>369AA, 119WB, 870AA, 322A, 328AA</v>
      </c>
      <c r="F52" s="436"/>
      <c r="G52" s="365" t="str">
        <f>IF(ISBLANK(Materials!F52),"",Materials!F52)</f>
        <v>Zero-Allegion</v>
      </c>
      <c r="H52" s="342" t="str">
        <f>IF(ISBLANK(Materials!G52),"",Materials!G52)</f>
        <v/>
      </c>
      <c r="I52" s="223"/>
      <c r="J52" s="448"/>
      <c r="K52" s="233" t="str">
        <f t="shared" ref="K52" si="390">IF(J52="Manufacturer Declared",0.5,IF(J52="Third Party Verified",1,""))</f>
        <v/>
      </c>
      <c r="L52" s="84"/>
      <c r="M52" s="345"/>
      <c r="N52" s="346">
        <f t="shared" ref="N52" si="391">IF(M52&gt;0,(H52*0.5),0)</f>
        <v>0</v>
      </c>
      <c r="O52" s="425"/>
      <c r="P52" s="347">
        <f t="shared" ref="P52" si="392">IFERROR(O52*H52,0)*0.5</f>
        <v>0</v>
      </c>
      <c r="Q52" s="425"/>
      <c r="R52" s="347">
        <f t="shared" ref="R52" si="393">IFERROR(Q52*H52,0)</f>
        <v>0</v>
      </c>
      <c r="S52" s="427"/>
      <c r="T52" s="346">
        <f t="shared" ref="T52" si="394">IFERROR(S52*H52,0)</f>
        <v>0</v>
      </c>
      <c r="U52" s="430"/>
      <c r="V52" s="346">
        <f t="shared" ref="V52" si="395">IFERROR(U52*H52,0)*2</f>
        <v>0</v>
      </c>
      <c r="W52" s="348">
        <v>0.05</v>
      </c>
      <c r="X52" s="349">
        <v>0.2</v>
      </c>
      <c r="Y52" s="350">
        <f t="shared" ref="Y52" si="396">IFERROR((W52*H52)+((X52*H52)/2),0)</f>
        <v>0</v>
      </c>
      <c r="Z52" s="94"/>
      <c r="AA52" s="218"/>
      <c r="AB52" s="376">
        <f t="shared" ref="AB52" si="397">SUM(N52,P52,R52,T52,V52,Y52)</f>
        <v>0</v>
      </c>
      <c r="AC52" s="295">
        <f t="shared" ref="AC52" si="398">IFERROR((IF(AE52&lt;=AF52,AE52,IF(AE52&gt;AF52,AF52))),0)</f>
        <v>0</v>
      </c>
      <c r="AE52" s="246">
        <f t="shared" ref="AE52" si="399">IF(AA52="Yes",AB52*2,AB52)</f>
        <v>0</v>
      </c>
      <c r="AF52" s="416" t="e">
        <f t="shared" ref="AF52" si="400">H52*2</f>
        <v>#VALUE!</v>
      </c>
    </row>
    <row r="53" spans="1:32" s="68" customFormat="1" ht="15" customHeight="1" x14ac:dyDescent="0.2">
      <c r="A53" s="80">
        <f t="shared" ref="A53" si="401">IF(H53&gt;=0,0,1)</f>
        <v>0</v>
      </c>
      <c r="B53" s="363" t="str">
        <f>IF(ISBLANK(Materials!B53),"",Materials!B53)</f>
        <v>Aluminum Threshold, Door Sweeps</v>
      </c>
      <c r="C53" s="352" t="str">
        <f>IF(ISBLANK(Materials!C53),"",Materials!C53)</f>
        <v>087100</v>
      </c>
      <c r="D53" s="352" t="str">
        <f>IF(ISBLANK(Materials!D53),"",Materials!D53)</f>
        <v/>
      </c>
      <c r="E53" s="364" t="str">
        <f>IF(ISBLANK(Materials!E53),"",Materials!E53)</f>
        <v>655A, 39A</v>
      </c>
      <c r="F53" s="436"/>
      <c r="G53" s="365" t="str">
        <f>IF(ISBLANK(Materials!F53),"",Materials!F53)</f>
        <v>Zero-Allegion</v>
      </c>
      <c r="H53" s="342" t="str">
        <f>IF(ISBLANK(Materials!G53),"",Materials!G53)</f>
        <v/>
      </c>
      <c r="I53" s="223"/>
      <c r="J53" s="448"/>
      <c r="K53" s="233" t="str">
        <f t="shared" ref="K53" si="402">IF(J53="Manufacturer Declared",0.5,IF(J53="Third Party Verified",1,""))</f>
        <v/>
      </c>
      <c r="L53" s="84"/>
      <c r="M53" s="345"/>
      <c r="N53" s="346">
        <f t="shared" ref="N53" si="403">IF(M53&gt;0,(H53*0.5),0)</f>
        <v>0</v>
      </c>
      <c r="O53" s="425"/>
      <c r="P53" s="347">
        <f t="shared" ref="P53" si="404">IFERROR(O53*H53,0)*0.5</f>
        <v>0</v>
      </c>
      <c r="Q53" s="425"/>
      <c r="R53" s="347">
        <f t="shared" ref="R53" si="405">IFERROR(Q53*H53,0)</f>
        <v>0</v>
      </c>
      <c r="S53" s="427"/>
      <c r="T53" s="346">
        <f t="shared" ref="T53" si="406">IFERROR(S53*H53,0)</f>
        <v>0</v>
      </c>
      <c r="U53" s="430"/>
      <c r="V53" s="346">
        <f t="shared" ref="V53" si="407">IFERROR(U53*H53,0)*2</f>
        <v>0</v>
      </c>
      <c r="W53" s="348">
        <v>0.05</v>
      </c>
      <c r="X53" s="349">
        <v>0.4</v>
      </c>
      <c r="Y53" s="350">
        <f t="shared" ref="Y53" si="408">IFERROR((W53*H53)+((X53*H53)/2),0)</f>
        <v>0</v>
      </c>
      <c r="Z53" s="94"/>
      <c r="AA53" s="218"/>
      <c r="AB53" s="376">
        <f t="shared" ref="AB53" si="409">SUM(N53,P53,R53,T53,V53,Y53)</f>
        <v>0</v>
      </c>
      <c r="AC53" s="295">
        <f t="shared" ref="AC53" si="410">IFERROR((IF(AE53&lt;=AF53,AE53,IF(AE53&gt;AF53,AF53))),0)</f>
        <v>0</v>
      </c>
      <c r="AE53" s="246">
        <f t="shared" ref="AE53" si="411">IF(AA53="Yes",AB53*2,AB53)</f>
        <v>0</v>
      </c>
      <c r="AF53" s="416" t="e">
        <f t="shared" ref="AF53" si="412">H53*2</f>
        <v>#VALUE!</v>
      </c>
    </row>
    <row r="54" spans="1:32" s="68" customFormat="1" ht="15" customHeight="1" x14ac:dyDescent="0.2">
      <c r="A54" s="80">
        <f t="shared" ref="A54" si="413">IF(H54&gt;=0,0,1)</f>
        <v>0</v>
      </c>
      <c r="B54" s="363" t="str">
        <f>IF(ISBLANK(Materials!B54),"",Materials!B54)</f>
        <v>Steel Overhead Door Stop</v>
      </c>
      <c r="C54" s="352" t="str">
        <f>IF(ISBLANK(Materials!C54),"",Materials!C54)</f>
        <v>087100</v>
      </c>
      <c r="D54" s="352" t="str">
        <f>IF(ISBLANK(Materials!D54),"",Materials!D54)</f>
        <v/>
      </c>
      <c r="E54" s="364" t="str">
        <f>IF(ISBLANK(Materials!E54),"",Materials!E54)</f>
        <v>904S</v>
      </c>
      <c r="F54" s="436"/>
      <c r="G54" s="365" t="str">
        <f>IF(ISBLANK(Materials!F54),"",Materials!F54)</f>
        <v>Glynn Johnson-Allegion</v>
      </c>
      <c r="H54" s="342" t="str">
        <f>IF(ISBLANK(Materials!G54),"",Materials!G54)</f>
        <v/>
      </c>
      <c r="I54" s="223"/>
      <c r="J54" s="448"/>
      <c r="K54" s="233" t="str">
        <f t="shared" ref="K54" si="414">IF(J54="Manufacturer Declared",0.5,IF(J54="Third Party Verified",1,""))</f>
        <v/>
      </c>
      <c r="L54" s="84"/>
      <c r="M54" s="345"/>
      <c r="N54" s="346">
        <f t="shared" ref="N54" si="415">IF(M54&gt;0,(H54*0.5),0)</f>
        <v>0</v>
      </c>
      <c r="O54" s="425"/>
      <c r="P54" s="347">
        <f t="shared" ref="P54" si="416">IFERROR(O54*H54,0)*0.5</f>
        <v>0</v>
      </c>
      <c r="Q54" s="425"/>
      <c r="R54" s="347">
        <f t="shared" ref="R54" si="417">IFERROR(Q54*H54,0)</f>
        <v>0</v>
      </c>
      <c r="S54" s="427"/>
      <c r="T54" s="346">
        <f t="shared" ref="T54" si="418">IFERROR(S54*H54,0)</f>
        <v>0</v>
      </c>
      <c r="U54" s="430"/>
      <c r="V54" s="346">
        <f t="shared" ref="V54" si="419">IFERROR(U54*H54,0)*2</f>
        <v>0</v>
      </c>
      <c r="W54" s="348">
        <v>0.56899999999999995</v>
      </c>
      <c r="X54" s="349">
        <v>0.314</v>
      </c>
      <c r="Y54" s="350">
        <f t="shared" ref="Y54" si="420">IFERROR((W54*H54)+((X54*H54)/2),0)</f>
        <v>0</v>
      </c>
      <c r="Z54" s="94"/>
      <c r="AA54" s="218"/>
      <c r="AB54" s="376">
        <f t="shared" ref="AB54" si="421">SUM(N54,P54,R54,T54,V54,Y54)</f>
        <v>0</v>
      </c>
      <c r="AC54" s="295">
        <f t="shared" ref="AC54" si="422">IFERROR((IF(AE54&lt;=AF54,AE54,IF(AE54&gt;AF54,AF54))),0)</f>
        <v>0</v>
      </c>
      <c r="AE54" s="246">
        <f t="shared" ref="AE54" si="423">IF(AA54="Yes",AB54*2,AB54)</f>
        <v>0</v>
      </c>
      <c r="AF54" s="416" t="e">
        <f t="shared" ref="AF54" si="424">H54*2</f>
        <v>#VALUE!</v>
      </c>
    </row>
    <row r="55" spans="1:32" s="68" customFormat="1" ht="15" customHeight="1" x14ac:dyDescent="0.2">
      <c r="A55" s="80">
        <f t="shared" ref="A55" si="425">IF(H55&gt;=0,0,1)</f>
        <v>0</v>
      </c>
      <c r="B55" s="363" t="str">
        <f>IF(ISBLANK(Materials!B55),"",Materials!B55)</f>
        <v>Steel Overhead Door Stop</v>
      </c>
      <c r="C55" s="352" t="str">
        <f>IF(ISBLANK(Materials!C55),"",Materials!C55)</f>
        <v>087100</v>
      </c>
      <c r="D55" s="352" t="str">
        <f>IF(ISBLANK(Materials!D55),"",Materials!D55)</f>
        <v/>
      </c>
      <c r="E55" s="364" t="str">
        <f>IF(ISBLANK(Materials!E55),"",Materials!E55)</f>
        <v>105S, 104S</v>
      </c>
      <c r="F55" s="436"/>
      <c r="G55" s="365" t="str">
        <f>IF(ISBLANK(Materials!F55),"",Materials!F55)</f>
        <v>Glynn Johnson-Allegion</v>
      </c>
      <c r="H55" s="342" t="str">
        <f>IF(ISBLANK(Materials!G55),"",Materials!G55)</f>
        <v/>
      </c>
      <c r="I55" s="223"/>
      <c r="J55" s="448"/>
      <c r="K55" s="233" t="str">
        <f t="shared" ref="K55" si="426">IF(J55="Manufacturer Declared",0.5,IF(J55="Third Party Verified",1,""))</f>
        <v/>
      </c>
      <c r="L55" s="84"/>
      <c r="M55" s="345"/>
      <c r="N55" s="346">
        <f t="shared" ref="N55" si="427">IF(M55&gt;0,(H55*0.5),0)</f>
        <v>0</v>
      </c>
      <c r="O55" s="425"/>
      <c r="P55" s="347">
        <f t="shared" ref="P55" si="428">IFERROR(O55*H55,0)*0.5</f>
        <v>0</v>
      </c>
      <c r="Q55" s="425"/>
      <c r="R55" s="347">
        <f t="shared" ref="R55" si="429">IFERROR(Q55*H55,0)</f>
        <v>0</v>
      </c>
      <c r="S55" s="427"/>
      <c r="T55" s="346">
        <f t="shared" ref="T55" si="430">IFERROR(S55*H55,0)</f>
        <v>0</v>
      </c>
      <c r="U55" s="430"/>
      <c r="V55" s="346">
        <f t="shared" ref="V55" si="431">IFERROR(U55*H55,0)*2</f>
        <v>0</v>
      </c>
      <c r="W55" s="348">
        <v>0.56899999999999995</v>
      </c>
      <c r="X55" s="349">
        <v>0.314</v>
      </c>
      <c r="Y55" s="350">
        <f t="shared" ref="Y55" si="432">IFERROR((W55*H55)+((X55*H55)/2),0)</f>
        <v>0</v>
      </c>
      <c r="Z55" s="94"/>
      <c r="AA55" s="218"/>
      <c r="AB55" s="376">
        <f t="shared" ref="AB55" si="433">SUM(N55,P55,R55,T55,V55,Y55)</f>
        <v>0</v>
      </c>
      <c r="AC55" s="295">
        <f t="shared" ref="AC55" si="434">IFERROR((IF(AE55&lt;=AF55,AE55,IF(AE55&gt;AF55,AF55))),0)</f>
        <v>0</v>
      </c>
      <c r="AE55" s="246">
        <f t="shared" ref="AE55" si="435">IF(AA55="Yes",AB55*2,AB55)</f>
        <v>0</v>
      </c>
      <c r="AF55" s="416" t="e">
        <f t="shared" ref="AF55" si="436">H55*2</f>
        <v>#VALUE!</v>
      </c>
    </row>
    <row r="56" spans="1:32" s="68" customFormat="1" ht="15" customHeight="1" x14ac:dyDescent="0.2">
      <c r="A56" s="80">
        <f t="shared" ref="A56" si="437">IF(H56&gt;=0,0,1)</f>
        <v>0</v>
      </c>
      <c r="B56" s="363" t="str">
        <f>IF(ISBLANK(Materials!B56),"",Materials!B56)</f>
        <v>Brass Overhead Door Stop</v>
      </c>
      <c r="C56" s="352" t="str">
        <f>IF(ISBLANK(Materials!C56),"",Materials!C56)</f>
        <v>087100</v>
      </c>
      <c r="D56" s="352" t="str">
        <f>IF(ISBLANK(Materials!D56),"",Materials!D56)</f>
        <v/>
      </c>
      <c r="E56" s="364" t="str">
        <f>IF(ISBLANK(Materials!E56),"",Materials!E56)</f>
        <v>794S</v>
      </c>
      <c r="F56" s="436"/>
      <c r="G56" s="365" t="str">
        <f>IF(ISBLANK(Materials!F56),"",Materials!F56)</f>
        <v>Glynn Johnson-Allegion</v>
      </c>
      <c r="H56" s="342">
        <f>IF(ISBLANK(Materials!G56),"",Materials!G56)</f>
        <v>300</v>
      </c>
      <c r="I56" s="223"/>
      <c r="J56" s="448"/>
      <c r="K56" s="233" t="str">
        <f t="shared" ref="K56" si="438">IF(J56="Manufacturer Declared",0.5,IF(J56="Third Party Verified",1,""))</f>
        <v/>
      </c>
      <c r="L56" s="84"/>
      <c r="M56" s="345"/>
      <c r="N56" s="346">
        <f t="shared" ref="N56" si="439">IF(M56&gt;0,(H56*0.5),0)</f>
        <v>0</v>
      </c>
      <c r="O56" s="425"/>
      <c r="P56" s="347">
        <f t="shared" ref="P56" si="440">IFERROR(O56*H56,0)*0.5</f>
        <v>0</v>
      </c>
      <c r="Q56" s="425"/>
      <c r="R56" s="347">
        <f t="shared" ref="R56" si="441">IFERROR(Q56*H56,0)</f>
        <v>0</v>
      </c>
      <c r="S56" s="427"/>
      <c r="T56" s="346">
        <f t="shared" ref="T56" si="442">IFERROR(S56*H56,0)</f>
        <v>0</v>
      </c>
      <c r="U56" s="430"/>
      <c r="V56" s="346">
        <f t="shared" ref="V56" si="443">IFERROR(U56*H56,0)*2</f>
        <v>0</v>
      </c>
      <c r="W56" s="348">
        <v>0.28399999999999997</v>
      </c>
      <c r="X56" s="349">
        <v>0.109</v>
      </c>
      <c r="Y56" s="350">
        <f t="shared" ref="Y56" si="444">IFERROR((W56*H56)+((X56*H56)/2),0)</f>
        <v>101.54999999999998</v>
      </c>
      <c r="Z56" s="94"/>
      <c r="AA56" s="218"/>
      <c r="AB56" s="376">
        <f t="shared" ref="AB56" si="445">SUM(N56,P56,R56,T56,V56,Y56)</f>
        <v>101.54999999999998</v>
      </c>
      <c r="AC56" s="295">
        <f t="shared" ref="AC56" si="446">IFERROR((IF(AE56&lt;=AF56,AE56,IF(AE56&gt;AF56,AF56))),0)</f>
        <v>101.54999999999998</v>
      </c>
      <c r="AE56" s="246">
        <f t="shared" ref="AE56" si="447">IF(AA56="Yes",AB56*2,AB56)</f>
        <v>101.54999999999998</v>
      </c>
      <c r="AF56" s="416">
        <f t="shared" ref="AF56" si="448">H56*2</f>
        <v>600</v>
      </c>
    </row>
    <row r="57" spans="1:32" s="68" customFormat="1" ht="15" customHeight="1" x14ac:dyDescent="0.2">
      <c r="A57" s="80">
        <f t="shared" ref="A57" si="449">IF(H57&gt;=0,0,1)</f>
        <v>0</v>
      </c>
      <c r="B57" s="363" t="str">
        <f>IF(ISBLANK(Materials!B57),"",Materials!B57)</f>
        <v>Exit Devices, Fire Exit Devices</v>
      </c>
      <c r="C57" s="352" t="str">
        <f>IF(ISBLANK(Materials!C57),"",Materials!C57)</f>
        <v>087100</v>
      </c>
      <c r="D57" s="352" t="str">
        <f>IF(ISBLANK(Materials!D57),"",Materials!D57)</f>
        <v/>
      </c>
      <c r="E57" s="364" t="str">
        <f>IF(ISBLANK(Materials!E57),"",Materials!E57)</f>
        <v>98L, 98NL, 98NL-F, 9849EO</v>
      </c>
      <c r="F57" s="436"/>
      <c r="G57" s="365" t="str">
        <f>IF(ISBLANK(Materials!F57),"",Materials!F57)</f>
        <v>Von Duprin-Allegion</v>
      </c>
      <c r="H57" s="342">
        <f>IF(ISBLANK(Materials!G57),"",Materials!G57)</f>
        <v>7500</v>
      </c>
      <c r="I57" s="223"/>
      <c r="J57" s="448"/>
      <c r="K57" s="233" t="str">
        <f t="shared" ref="K57" si="450">IF(J57="Manufacturer Declared",0.5,IF(J57="Third Party Verified",1,""))</f>
        <v/>
      </c>
      <c r="L57" s="84"/>
      <c r="M57" s="345"/>
      <c r="N57" s="346">
        <f t="shared" ref="N57" si="451">IF(M57&gt;0,(H57*0.5),0)</f>
        <v>0</v>
      </c>
      <c r="O57" s="425"/>
      <c r="P57" s="347">
        <f t="shared" ref="P57" si="452">IFERROR(O57*H57,0)*0.5</f>
        <v>0</v>
      </c>
      <c r="Q57" s="425"/>
      <c r="R57" s="347">
        <f t="shared" ref="R57" si="453">IFERROR(Q57*H57,0)</f>
        <v>0</v>
      </c>
      <c r="S57" s="427"/>
      <c r="T57" s="346">
        <f t="shared" ref="T57" si="454">IFERROR(S57*H57,0)</f>
        <v>0</v>
      </c>
      <c r="U57" s="430"/>
      <c r="V57" s="346">
        <f t="shared" ref="V57" si="455">IFERROR(U57*H57,0)*2</f>
        <v>0</v>
      </c>
      <c r="W57" s="348">
        <v>0.39900000000000002</v>
      </c>
      <c r="X57" s="349">
        <v>0.33600000000000002</v>
      </c>
      <c r="Y57" s="350">
        <f t="shared" ref="Y57" si="456">IFERROR((W57*H57)+((X57*H57)/2),0)</f>
        <v>4252.5</v>
      </c>
      <c r="Z57" s="94"/>
      <c r="AA57" s="218"/>
      <c r="AB57" s="376">
        <f t="shared" ref="AB57" si="457">SUM(N57,P57,R57,T57,V57,Y57)</f>
        <v>4252.5</v>
      </c>
      <c r="AC57" s="295">
        <f t="shared" ref="AC57" si="458">IFERROR((IF(AE57&lt;=AF57,AE57,IF(AE57&gt;AF57,AF57))),0)</f>
        <v>4252.5</v>
      </c>
      <c r="AE57" s="246">
        <f t="shared" ref="AE57" si="459">IF(AA57="Yes",AB57*2,AB57)</f>
        <v>4252.5</v>
      </c>
      <c r="AF57" s="416">
        <f t="shared" ref="AF57" si="460">H57*2</f>
        <v>15000</v>
      </c>
    </row>
    <row r="58" spans="1:32" s="68" customFormat="1" ht="15" customHeight="1" x14ac:dyDescent="0.2">
      <c r="A58" s="80">
        <f t="shared" ref="A58" si="461">IF(H58&gt;=0,0,1)</f>
        <v>0</v>
      </c>
      <c r="B58" s="363" t="str">
        <f>IF(ISBLANK(Materials!B58),"",Materials!B58)</f>
        <v>Magnetic Holder</v>
      </c>
      <c r="C58" s="352" t="str">
        <f>IF(ISBLANK(Materials!C58),"",Materials!C58)</f>
        <v>087100</v>
      </c>
      <c r="D58" s="352" t="str">
        <f>IF(ISBLANK(Materials!D58),"",Materials!D58)</f>
        <v/>
      </c>
      <c r="E58" s="364" t="str">
        <f>IF(ISBLANK(Materials!E58),"",Materials!E58)</f>
        <v>SEM 7850</v>
      </c>
      <c r="F58" s="436"/>
      <c r="G58" s="365" t="str">
        <f>IF(ISBLANK(Materials!F58),"",Materials!F58)</f>
        <v>LCN-Allegion</v>
      </c>
      <c r="H58" s="342">
        <f>IF(ISBLANK(Materials!G58),"",Materials!G58)</f>
        <v>1500</v>
      </c>
      <c r="I58" s="223"/>
      <c r="J58" s="448"/>
      <c r="K58" s="233" t="str">
        <f t="shared" ref="K58" si="462">IF(J58="Manufacturer Declared",0.5,IF(J58="Third Party Verified",1,""))</f>
        <v/>
      </c>
      <c r="L58" s="84"/>
      <c r="M58" s="345"/>
      <c r="N58" s="346">
        <f t="shared" ref="N58" si="463">IF(M58&gt;0,(H58*0.5),0)</f>
        <v>0</v>
      </c>
      <c r="O58" s="425"/>
      <c r="P58" s="347">
        <f t="shared" ref="P58" si="464">IFERROR(O58*H58,0)*0.5</f>
        <v>0</v>
      </c>
      <c r="Q58" s="425"/>
      <c r="R58" s="347">
        <f t="shared" ref="R58" si="465">IFERROR(Q58*H58,0)</f>
        <v>0</v>
      </c>
      <c r="S58" s="427"/>
      <c r="T58" s="346">
        <f t="shared" ref="T58" si="466">IFERROR(S58*H58,0)</f>
        <v>0</v>
      </c>
      <c r="U58" s="430"/>
      <c r="V58" s="346">
        <f t="shared" ref="V58" si="467">IFERROR(U58*H58,0)*2</f>
        <v>0</v>
      </c>
      <c r="W58" s="348">
        <v>0.311</v>
      </c>
      <c r="X58" s="349">
        <v>0.17100000000000001</v>
      </c>
      <c r="Y58" s="350">
        <f t="shared" ref="Y58" si="468">IFERROR((W58*H58)+((X58*H58)/2),0)</f>
        <v>594.75</v>
      </c>
      <c r="Z58" s="94"/>
      <c r="AA58" s="218"/>
      <c r="AB58" s="376">
        <f t="shared" ref="AB58" si="469">SUM(N58,P58,R58,T58,V58,Y58)</f>
        <v>594.75</v>
      </c>
      <c r="AC58" s="295">
        <f t="shared" ref="AC58" si="470">IFERROR((IF(AE58&lt;=AF58,AE58,IF(AE58&gt;AF58,AF58))),0)</f>
        <v>594.75</v>
      </c>
      <c r="AE58" s="246">
        <f t="shared" ref="AE58" si="471">IF(AA58="Yes",AB58*2,AB58)</f>
        <v>594.75</v>
      </c>
      <c r="AF58" s="416">
        <f t="shared" ref="AF58" si="472">H58*2</f>
        <v>3000</v>
      </c>
    </row>
    <row r="59" spans="1:32" s="68" customFormat="1" ht="15" customHeight="1" x14ac:dyDescent="0.2">
      <c r="A59" s="80">
        <f t="shared" ref="A59" si="473">IF(H59&gt;=0,0,1)</f>
        <v>0</v>
      </c>
      <c r="B59" s="363" t="str">
        <f>IF(ISBLANK(Materials!B59),"",Materials!B59)</f>
        <v>Cylinder Core, Cylinder Housing, Rim Cylinder Housing</v>
      </c>
      <c r="C59" s="352" t="str">
        <f>IF(ISBLANK(Materials!C59),"",Materials!C59)</f>
        <v>087100</v>
      </c>
      <c r="D59" s="352" t="str">
        <f>IF(ISBLANK(Materials!D59),"",Materials!D59)</f>
        <v/>
      </c>
      <c r="E59" s="364" t="str">
        <f>IF(ISBLANK(Materials!E59),"",Materials!E59)</f>
        <v>23-030, 20-740, 20-069, 20-079, 20-057</v>
      </c>
      <c r="F59" s="436"/>
      <c r="G59" s="365" t="str">
        <f>IF(ISBLANK(Materials!F59),"",Materials!F59)</f>
        <v>Schlage</v>
      </c>
      <c r="H59" s="342">
        <f>IF(ISBLANK(Materials!G59),"",Materials!G59)</f>
        <v>1500</v>
      </c>
      <c r="I59" s="223"/>
      <c r="J59" s="448"/>
      <c r="K59" s="233" t="str">
        <f t="shared" ref="K59" si="474">IF(J59="Manufacturer Declared",0.5,IF(J59="Third Party Verified",1,""))</f>
        <v/>
      </c>
      <c r="L59" s="84"/>
      <c r="M59" s="345"/>
      <c r="N59" s="346">
        <f t="shared" ref="N59" si="475">IF(M59&gt;0,(H59*0.5),0)</f>
        <v>0</v>
      </c>
      <c r="O59" s="425"/>
      <c r="P59" s="347">
        <f t="shared" ref="P59" si="476">IFERROR(O59*H59,0)*0.5</f>
        <v>0</v>
      </c>
      <c r="Q59" s="425"/>
      <c r="R59" s="347">
        <f t="shared" ref="R59" si="477">IFERROR(Q59*H59,0)</f>
        <v>0</v>
      </c>
      <c r="S59" s="427"/>
      <c r="T59" s="346">
        <f t="shared" ref="T59" si="478">IFERROR(S59*H59,0)</f>
        <v>0</v>
      </c>
      <c r="U59" s="430"/>
      <c r="V59" s="346">
        <f t="shared" ref="V59" si="479">IFERROR(U59*H59,0)*2</f>
        <v>0</v>
      </c>
      <c r="W59" s="348">
        <v>0.28399999999999997</v>
      </c>
      <c r="X59" s="349">
        <v>0.109</v>
      </c>
      <c r="Y59" s="350">
        <f t="shared" ref="Y59" si="480">IFERROR((W59*H59)+((X59*H59)/2),0)</f>
        <v>507.74999999999994</v>
      </c>
      <c r="Z59" s="94"/>
      <c r="AA59" s="218"/>
      <c r="AB59" s="376">
        <f t="shared" ref="AB59" si="481">SUM(N59,P59,R59,T59,V59,Y59)</f>
        <v>507.74999999999994</v>
      </c>
      <c r="AC59" s="295">
        <f t="shared" ref="AC59" si="482">IFERROR((IF(AE59&lt;=AF59,AE59,IF(AE59&gt;AF59,AF59))),0)</f>
        <v>507.74999999999994</v>
      </c>
      <c r="AE59" s="246">
        <f t="shared" ref="AE59" si="483">IF(AA59="Yes",AB59*2,AB59)</f>
        <v>507.74999999999994</v>
      </c>
      <c r="AF59" s="416">
        <f t="shared" ref="AF59" si="484">H59*2</f>
        <v>3000</v>
      </c>
    </row>
    <row r="60" spans="1:32" s="68" customFormat="1" ht="15" customHeight="1" x14ac:dyDescent="0.2">
      <c r="A60" s="80">
        <f t="shared" ref="A60" si="485">IF(H60&gt;=0,0,1)</f>
        <v>0</v>
      </c>
      <c r="B60" s="363" t="str">
        <f>IF(ISBLANK(Materials!B60),"",Materials!B60)</f>
        <v>Continuous Hinge</v>
      </c>
      <c r="C60" s="352" t="str">
        <f>IF(ISBLANK(Materials!C60),"",Materials!C60)</f>
        <v>087100</v>
      </c>
      <c r="D60" s="352" t="str">
        <f>IF(ISBLANK(Materials!D60),"",Materials!D60)</f>
        <v/>
      </c>
      <c r="E60" s="364" t="str">
        <f>IF(ISBLANK(Materials!E60),"",Materials!E60)</f>
        <v>112XY</v>
      </c>
      <c r="F60" s="436"/>
      <c r="G60" s="365" t="str">
        <f>IF(ISBLANK(Materials!F60),"",Materials!F60)</f>
        <v>Ives-Allegion</v>
      </c>
      <c r="H60" s="342">
        <f>IF(ISBLANK(Materials!G60),"",Materials!G60)</f>
        <v>600</v>
      </c>
      <c r="I60" s="223"/>
      <c r="J60" s="448"/>
      <c r="K60" s="233" t="str">
        <f t="shared" ref="K60" si="486">IF(J60="Manufacturer Declared",0.5,IF(J60="Third Party Verified",1,""))</f>
        <v/>
      </c>
      <c r="L60" s="84"/>
      <c r="M60" s="345"/>
      <c r="N60" s="346">
        <f t="shared" ref="N60" si="487">IF(M60&gt;0,(H60*0.5),0)</f>
        <v>0</v>
      </c>
      <c r="O60" s="425"/>
      <c r="P60" s="347">
        <f t="shared" ref="P60" si="488">IFERROR(O60*H60,0)*0.5</f>
        <v>0</v>
      </c>
      <c r="Q60" s="425"/>
      <c r="R60" s="347">
        <f t="shared" ref="R60" si="489">IFERROR(Q60*H60,0)</f>
        <v>0</v>
      </c>
      <c r="S60" s="427"/>
      <c r="T60" s="346">
        <f t="shared" ref="T60" si="490">IFERROR(S60*H60,0)</f>
        <v>0</v>
      </c>
      <c r="U60" s="430"/>
      <c r="V60" s="346">
        <f t="shared" ref="V60" si="491">IFERROR(U60*H60,0)*2</f>
        <v>0</v>
      </c>
      <c r="W60" s="348">
        <v>0.37</v>
      </c>
      <c r="X60" s="349">
        <v>0.55500000000000005</v>
      </c>
      <c r="Y60" s="350">
        <f t="shared" ref="Y60" si="492">IFERROR((W60*H60)+((X60*H60)/2),0)</f>
        <v>388.5</v>
      </c>
      <c r="Z60" s="94"/>
      <c r="AA60" s="218"/>
      <c r="AB60" s="376">
        <f t="shared" ref="AB60" si="493">SUM(N60,P60,R60,T60,V60,Y60)</f>
        <v>388.5</v>
      </c>
      <c r="AC60" s="295">
        <f t="shared" ref="AC60" si="494">IFERROR((IF(AE60&lt;=AF60,AE60,IF(AE60&gt;AF60,AF60))),0)</f>
        <v>388.5</v>
      </c>
      <c r="AE60" s="246">
        <f t="shared" ref="AE60" si="495">IF(AA60="Yes",AB60*2,AB60)</f>
        <v>388.5</v>
      </c>
      <c r="AF60" s="416">
        <f t="shared" ref="AF60" si="496">H60*2</f>
        <v>1200</v>
      </c>
    </row>
    <row r="61" spans="1:32" s="68" customFormat="1" ht="15" customHeight="1" x14ac:dyDescent="0.2">
      <c r="A61" s="80">
        <f t="shared" ref="A61" si="497">IF(H61&gt;=0,0,1)</f>
        <v>0</v>
      </c>
      <c r="B61" s="363" t="str">
        <f>IF(ISBLANK(Materials!B61),"",Materials!B61)</f>
        <v>Electromechanical Mortise Locks</v>
      </c>
      <c r="C61" s="352" t="str">
        <f>IF(ISBLANK(Materials!C61),"",Materials!C61)</f>
        <v>087100</v>
      </c>
      <c r="D61" s="352" t="str">
        <f>IF(ISBLANK(Materials!D61),"",Materials!D61)</f>
        <v/>
      </c>
      <c r="E61" s="364" t="str">
        <f>IF(ISBLANK(Materials!E61),"",Materials!E61)</f>
        <v>8270</v>
      </c>
      <c r="F61" s="436"/>
      <c r="G61" s="365" t="str">
        <f>IF(ISBLANK(Materials!F61),"",Materials!F61)</f>
        <v>Sargent-ASSA ABLOY</v>
      </c>
      <c r="H61" s="342">
        <f>IF(ISBLANK(Materials!G61),"",Materials!G61)</f>
        <v>9200</v>
      </c>
      <c r="I61" s="223"/>
      <c r="J61" s="448"/>
      <c r="K61" s="233" t="str">
        <f t="shared" ref="K61" si="498">IF(J61="Manufacturer Declared",0.5,IF(J61="Third Party Verified",1,""))</f>
        <v/>
      </c>
      <c r="L61" s="84"/>
      <c r="M61" s="345" t="s">
        <v>262</v>
      </c>
      <c r="N61" s="346">
        <f t="shared" ref="N61" si="499">IF(M61&gt;0,(H61*0.5),0)</f>
        <v>4600</v>
      </c>
      <c r="O61" s="425"/>
      <c r="P61" s="347">
        <f t="shared" ref="P61" si="500">IFERROR(O61*H61,0)*0.5</f>
        <v>0</v>
      </c>
      <c r="Q61" s="425"/>
      <c r="R61" s="347">
        <f t="shared" ref="R61" si="501">IFERROR(Q61*H61,0)</f>
        <v>0</v>
      </c>
      <c r="S61" s="427"/>
      <c r="T61" s="346">
        <f t="shared" ref="T61" si="502">IFERROR(S61*H61,0)</f>
        <v>0</v>
      </c>
      <c r="U61" s="430"/>
      <c r="V61" s="346">
        <f t="shared" ref="V61" si="503">IFERROR(U61*H61,0)*2</f>
        <v>0</v>
      </c>
      <c r="W61" s="348">
        <v>0.59</v>
      </c>
      <c r="X61" s="349">
        <v>0</v>
      </c>
      <c r="Y61" s="350">
        <f t="shared" ref="Y61" si="504">IFERROR((W61*H61)+((X61*H61)/2),0)</f>
        <v>5428</v>
      </c>
      <c r="Z61" s="94"/>
      <c r="AA61" s="218"/>
      <c r="AB61" s="376">
        <f t="shared" ref="AB61" si="505">SUM(N61,P61,R61,T61,V61,Y61)</f>
        <v>10028</v>
      </c>
      <c r="AC61" s="295">
        <f t="shared" ref="AC61" si="506">IFERROR((IF(AE61&lt;=AF61,AE61,IF(AE61&gt;AF61,AF61))),0)</f>
        <v>10028</v>
      </c>
      <c r="AE61" s="246">
        <f t="shared" ref="AE61" si="507">IF(AA61="Yes",AB61*2,AB61)</f>
        <v>10028</v>
      </c>
      <c r="AF61" s="416">
        <f t="shared" ref="AF61" si="508">H61*2</f>
        <v>18400</v>
      </c>
    </row>
    <row r="62" spans="1:32" s="68" customFormat="1" ht="15" customHeight="1" x14ac:dyDescent="0.2">
      <c r="A62" s="80">
        <f t="shared" ref="A62" si="509">IF(H62&gt;=0,0,1)</f>
        <v>0</v>
      </c>
      <c r="B62" s="363" t="str">
        <f>IF(ISBLANK(Materials!B62),"",Materials!B62)</f>
        <v>Power Supply</v>
      </c>
      <c r="C62" s="352" t="str">
        <f>IF(ISBLANK(Materials!C62),"",Materials!C62)</f>
        <v>087100</v>
      </c>
      <c r="D62" s="352" t="str">
        <f>IF(ISBLANK(Materials!D62),"",Materials!D62)</f>
        <v/>
      </c>
      <c r="E62" s="364" t="str">
        <f>IF(ISBLANK(Materials!E62),"",Materials!E62)</f>
        <v>PS902</v>
      </c>
      <c r="F62" s="436"/>
      <c r="G62" s="365" t="str">
        <f>IF(ISBLANK(Materials!F62),"",Materials!F62)</f>
        <v>Von Duprin-Schlage-Allegion</v>
      </c>
      <c r="H62" s="342">
        <f>IF(ISBLANK(Materials!G62),"",Materials!G62)</f>
        <v>225</v>
      </c>
      <c r="I62" s="223"/>
      <c r="J62" s="448"/>
      <c r="K62" s="233" t="str">
        <f t="shared" ref="K62" si="510">IF(J62="Manufacturer Declared",0.5,IF(J62="Third Party Verified",1,""))</f>
        <v/>
      </c>
      <c r="L62" s="84"/>
      <c r="M62" s="345"/>
      <c r="N62" s="346">
        <f t="shared" ref="N62" si="511">IF(M62&gt;0,(H62*0.5),0)</f>
        <v>0</v>
      </c>
      <c r="O62" s="425"/>
      <c r="P62" s="347">
        <f t="shared" ref="P62" si="512">IFERROR(O62*H62,0)*0.5</f>
        <v>0</v>
      </c>
      <c r="Q62" s="425"/>
      <c r="R62" s="347">
        <f t="shared" ref="R62" si="513">IFERROR(Q62*H62,0)</f>
        <v>0</v>
      </c>
      <c r="S62" s="427"/>
      <c r="T62" s="346">
        <f t="shared" ref="T62" si="514">IFERROR(S62*H62,0)</f>
        <v>0</v>
      </c>
      <c r="U62" s="430"/>
      <c r="V62" s="346">
        <f t="shared" ref="V62" si="515">IFERROR(U62*H62,0)*2</f>
        <v>0</v>
      </c>
      <c r="W62" s="348">
        <v>6.3E-2</v>
      </c>
      <c r="X62" s="349">
        <v>9.7000000000000003E-2</v>
      </c>
      <c r="Y62" s="350">
        <f t="shared" ref="Y62" si="516">IFERROR((W62*H62)+((X62*H62)/2),0)</f>
        <v>25.087499999999999</v>
      </c>
      <c r="Z62" s="94"/>
      <c r="AA62" s="218"/>
      <c r="AB62" s="376">
        <f t="shared" ref="AB62" si="517">SUM(N62,P62,R62,T62,V62,Y62)</f>
        <v>25.087499999999999</v>
      </c>
      <c r="AC62" s="295">
        <f t="shared" ref="AC62" si="518">IFERROR((IF(AE62&lt;=AF62,AE62,IF(AE62&gt;AF62,AF62))),0)</f>
        <v>25.087499999999999</v>
      </c>
      <c r="AE62" s="246">
        <f t="shared" ref="AE62" si="519">IF(AA62="Yes",AB62*2,AB62)</f>
        <v>25.087499999999999</v>
      </c>
      <c r="AF62" s="416">
        <f t="shared" ref="AF62" si="520">H62*2</f>
        <v>450</v>
      </c>
    </row>
    <row r="63" spans="1:32" s="68" customFormat="1" ht="15" customHeight="1" x14ac:dyDescent="0.2">
      <c r="A63" s="80">
        <f t="shared" ref="A63" si="521">IF(H63&gt;=0,0,1)</f>
        <v>0</v>
      </c>
      <c r="B63" s="363" t="str">
        <f>IF(ISBLANK(Materials!B63),"",Materials!B63)</f>
        <v xml:space="preserve">Void Cap </v>
      </c>
      <c r="C63" s="352" t="str">
        <f>IF(ISBLANK(Materials!C63),"",Materials!C63)</f>
        <v>033000</v>
      </c>
      <c r="D63" s="352" t="str">
        <f>IF(ISBLANK(Materials!D63),"",Materials!D63)</f>
        <v/>
      </c>
      <c r="E63" s="364" t="str">
        <f>IF(ISBLANK(Materials!E63),"",Materials!E63)</f>
        <v>Expansion Board Cap</v>
      </c>
      <c r="F63" s="436"/>
      <c r="G63" s="365" t="str">
        <f>IF(ISBLANK(Materials!F63),"",Materials!F63)</f>
        <v>BoMetals</v>
      </c>
      <c r="H63" s="342">
        <f>IF(ISBLANK(Materials!G63),"",Materials!G63)</f>
        <v>0</v>
      </c>
      <c r="I63" s="223"/>
      <c r="J63" s="448"/>
      <c r="K63" s="233" t="str">
        <f t="shared" ref="K63" si="522">IF(J63="Manufacturer Declared",0.5,IF(J63="Third Party Verified",1,""))</f>
        <v/>
      </c>
      <c r="L63" s="84"/>
      <c r="M63" s="345"/>
      <c r="N63" s="346">
        <f t="shared" ref="N63" si="523">IF(M63&gt;0,(H63*0.5),0)</f>
        <v>0</v>
      </c>
      <c r="O63" s="425"/>
      <c r="P63" s="347">
        <f t="shared" ref="P63" si="524">IFERROR(O63*H63,0)*0.5</f>
        <v>0</v>
      </c>
      <c r="Q63" s="425"/>
      <c r="R63" s="347">
        <f t="shared" ref="R63" si="525">IFERROR(Q63*H63,0)</f>
        <v>0</v>
      </c>
      <c r="S63" s="427"/>
      <c r="T63" s="346">
        <f t="shared" ref="T63" si="526">IFERROR(S63*H63,0)</f>
        <v>0</v>
      </c>
      <c r="U63" s="430"/>
      <c r="V63" s="346">
        <f t="shared" ref="V63" si="527">IFERROR(U63*H63,0)*2</f>
        <v>0</v>
      </c>
      <c r="W63" s="348">
        <v>0</v>
      </c>
      <c r="X63" s="349">
        <v>1</v>
      </c>
      <c r="Y63" s="350">
        <f t="shared" ref="Y63" si="528">IFERROR((W63*H63)+((X63*H63)/2),0)</f>
        <v>0</v>
      </c>
      <c r="Z63" s="94"/>
      <c r="AA63" s="218"/>
      <c r="AB63" s="376">
        <f t="shared" ref="AB63" si="529">SUM(N63,P63,R63,T63,V63,Y63)</f>
        <v>0</v>
      </c>
      <c r="AC63" s="295">
        <f t="shared" ref="AC63" si="530">IFERROR((IF(AE63&lt;=AF63,AE63,IF(AE63&gt;AF63,AF63))),0)</f>
        <v>0</v>
      </c>
      <c r="AE63" s="246">
        <f t="shared" ref="AE63" si="531">IF(AA63="Yes",AB63*2,AB63)</f>
        <v>0</v>
      </c>
      <c r="AF63" s="416">
        <f t="shared" ref="AF63" si="532">H63*2</f>
        <v>0</v>
      </c>
    </row>
    <row r="64" spans="1:32" s="68" customFormat="1" ht="15" customHeight="1" x14ac:dyDescent="0.2">
      <c r="A64" s="80">
        <f t="shared" ref="A64" si="533">IF(H64&gt;=0,0,1)</f>
        <v>0</v>
      </c>
      <c r="B64" s="363" t="str">
        <f>IF(ISBLANK(Materials!B64),"",Materials!B64)</f>
        <v>Steel Anchor</v>
      </c>
      <c r="C64" s="352" t="str">
        <f>IF(ISBLANK(Materials!C64),"",Materials!C64)</f>
        <v>033000</v>
      </c>
      <c r="D64" s="352" t="str">
        <f>IF(ISBLANK(Materials!D64),"",Materials!D64)</f>
        <v/>
      </c>
      <c r="E64" s="364" t="str">
        <f>IF(ISBLANK(Materials!E64),"",Materials!E64)</f>
        <v>Atomic+ Undercut, Screw-Bolt+, Snake+</v>
      </c>
      <c r="F64" s="436"/>
      <c r="G64" s="365" t="str">
        <f>IF(ISBLANK(Materials!F64),"",Materials!F64)</f>
        <v>Dewalt</v>
      </c>
      <c r="H64" s="342">
        <f>IF(ISBLANK(Materials!G64),"",Materials!G64)</f>
        <v>0</v>
      </c>
      <c r="I64" s="223"/>
      <c r="J64" s="448"/>
      <c r="K64" s="233" t="str">
        <f t="shared" ref="K64" si="534">IF(J64="Manufacturer Declared",0.5,IF(J64="Third Party Verified",1,""))</f>
        <v/>
      </c>
      <c r="L64" s="84"/>
      <c r="M64" s="345"/>
      <c r="N64" s="346">
        <f t="shared" ref="N64" si="535">IF(M64&gt;0,(H64*0.5),0)</f>
        <v>0</v>
      </c>
      <c r="O64" s="425"/>
      <c r="P64" s="347">
        <f t="shared" ref="P64" si="536">IFERROR(O64*H64,0)*0.5</f>
        <v>0</v>
      </c>
      <c r="Q64" s="425"/>
      <c r="R64" s="347">
        <f t="shared" ref="R64" si="537">IFERROR(Q64*H64,0)</f>
        <v>0</v>
      </c>
      <c r="S64" s="427"/>
      <c r="T64" s="346">
        <f t="shared" ref="T64" si="538">IFERROR(S64*H64,0)</f>
        <v>0</v>
      </c>
      <c r="U64" s="430"/>
      <c r="V64" s="346">
        <f t="shared" ref="V64" si="539">IFERROR(U64*H64,0)*2</f>
        <v>0</v>
      </c>
      <c r="W64" s="348">
        <v>0.25</v>
      </c>
      <c r="X64" s="349">
        <v>0</v>
      </c>
      <c r="Y64" s="350">
        <f t="shared" ref="Y64" si="540">IFERROR((W64*H64)+((X64*H64)/2),0)</f>
        <v>0</v>
      </c>
      <c r="Z64" s="94"/>
      <c r="AA64" s="218"/>
      <c r="AB64" s="376">
        <f t="shared" ref="AB64" si="541">SUM(N64,P64,R64,T64,V64,Y64)</f>
        <v>0</v>
      </c>
      <c r="AC64" s="295">
        <f t="shared" ref="AC64" si="542">IFERROR((IF(AE64&lt;=AF64,AE64,IF(AE64&gt;AF64,AF64))),0)</f>
        <v>0</v>
      </c>
      <c r="AE64" s="246">
        <f t="shared" ref="AE64" si="543">IF(AA64="Yes",AB64*2,AB64)</f>
        <v>0</v>
      </c>
      <c r="AF64" s="416">
        <f t="shared" ref="AF64" si="544">H64*2</f>
        <v>0</v>
      </c>
    </row>
    <row r="65" spans="1:32" s="68" customFormat="1" ht="15" customHeight="1" x14ac:dyDescent="0.2">
      <c r="A65" s="80">
        <f t="shared" ref="A65" si="545">IF(H65&gt;=0,0,1)</f>
        <v>0</v>
      </c>
      <c r="B65" s="363" t="str">
        <f>IF(ISBLANK(Materials!B65),"",Materials!B65)</f>
        <v xml:space="preserve">Concrete Mix </v>
      </c>
      <c r="C65" s="352" t="str">
        <f>IF(ISBLANK(Materials!C65),"",Materials!C65)</f>
        <v>033000</v>
      </c>
      <c r="D65" s="352" t="str">
        <f>IF(ISBLANK(Materials!D65),"",Materials!D65)</f>
        <v/>
      </c>
      <c r="E65" s="364" t="str">
        <f>IF(ISBLANK(Materials!E65),"",Materials!E65)</f>
        <v>3720DLS</v>
      </c>
      <c r="F65" s="436"/>
      <c r="G65" s="365" t="str">
        <f>IF(ISBLANK(Materials!F65),"",Materials!F65)</f>
        <v>Lauren Concrete</v>
      </c>
      <c r="H65" s="342">
        <f>IF(ISBLANK(Materials!G65),"",Materials!G65)</f>
        <v>1190</v>
      </c>
      <c r="I65" s="223"/>
      <c r="J65" s="448"/>
      <c r="K65" s="233" t="str">
        <f t="shared" ref="K65" si="546">IF(J65="Manufacturer Declared",0.5,IF(J65="Third Party Verified",1,""))</f>
        <v/>
      </c>
      <c r="L65" s="84"/>
      <c r="M65" s="345"/>
      <c r="N65" s="346">
        <f t="shared" ref="N65" si="547">IF(M65&gt;0,(H65*0.5),0)</f>
        <v>0</v>
      </c>
      <c r="O65" s="425"/>
      <c r="P65" s="347">
        <f t="shared" ref="P65" si="548">IFERROR(O65*H65,0)*0.5</f>
        <v>0</v>
      </c>
      <c r="Q65" s="425"/>
      <c r="R65" s="347">
        <f t="shared" ref="R65" si="549">IFERROR(Q65*H65,0)</f>
        <v>0</v>
      </c>
      <c r="S65" s="427"/>
      <c r="T65" s="346">
        <f t="shared" ref="T65" si="550">IFERROR(S65*H65,0)</f>
        <v>0</v>
      </c>
      <c r="U65" s="430"/>
      <c r="V65" s="346">
        <f t="shared" ref="V65" si="551">IFERROR(U65*H65,0)*2</f>
        <v>0</v>
      </c>
      <c r="W65" s="348">
        <v>0</v>
      </c>
      <c r="X65" s="349">
        <v>3.4099999999999998E-2</v>
      </c>
      <c r="Y65" s="350">
        <f t="shared" ref="Y65" si="552">IFERROR((W65*H65)+((X65*H65)/2),0)</f>
        <v>20.2895</v>
      </c>
      <c r="Z65" s="94"/>
      <c r="AA65" s="218"/>
      <c r="AB65" s="376">
        <f t="shared" ref="AB65" si="553">SUM(N65,P65,R65,T65,V65,Y65)</f>
        <v>20.2895</v>
      </c>
      <c r="AC65" s="295">
        <f t="shared" ref="AC65" si="554">IFERROR((IF(AE65&lt;=AF65,AE65,IF(AE65&gt;AF65,AF65))),0)</f>
        <v>20.2895</v>
      </c>
      <c r="AE65" s="246">
        <f t="shared" ref="AE65" si="555">IF(AA65="Yes",AB65*2,AB65)</f>
        <v>20.2895</v>
      </c>
      <c r="AF65" s="416">
        <f t="shared" ref="AF65" si="556">H65*2</f>
        <v>2380</v>
      </c>
    </row>
    <row r="66" spans="1:32" s="68" customFormat="1" ht="15" customHeight="1" x14ac:dyDescent="0.2">
      <c r="A66" s="80">
        <f t="shared" ref="A66" si="557">IF(H66&gt;=0,0,1)</f>
        <v>0</v>
      </c>
      <c r="B66" s="363" t="str">
        <f>IF(ISBLANK(Materials!B66),"",Materials!B66)</f>
        <v xml:space="preserve">Concrete Mix </v>
      </c>
      <c r="C66" s="352" t="str">
        <f>IF(ISBLANK(Materials!C66),"",Materials!C66)</f>
        <v>033000</v>
      </c>
      <c r="D66" s="352" t="str">
        <f>IF(ISBLANK(Materials!D66),"",Materials!D66)</f>
        <v/>
      </c>
      <c r="E66" s="364" t="str">
        <f>IF(ISBLANK(Materials!E66),"",Materials!E66)</f>
        <v>COA-CLSM</v>
      </c>
      <c r="F66" s="436"/>
      <c r="G66" s="365" t="str">
        <f>IF(ISBLANK(Materials!F66),"",Materials!F66)</f>
        <v>Lauren Concrete</v>
      </c>
      <c r="H66" s="342">
        <f>IF(ISBLANK(Materials!G66),"",Materials!G66)</f>
        <v>4717.5</v>
      </c>
      <c r="I66" s="223"/>
      <c r="J66" s="448"/>
      <c r="K66" s="233" t="str">
        <f t="shared" ref="K66" si="558">IF(J66="Manufacturer Declared",0.5,IF(J66="Third Party Verified",1,""))</f>
        <v/>
      </c>
      <c r="L66" s="84"/>
      <c r="M66" s="345"/>
      <c r="N66" s="346">
        <f t="shared" ref="N66" si="559">IF(M66&gt;0,(H66*0.5),0)</f>
        <v>0</v>
      </c>
      <c r="O66" s="425"/>
      <c r="P66" s="347">
        <f t="shared" ref="P66" si="560">IFERROR(O66*H66,0)*0.5</f>
        <v>0</v>
      </c>
      <c r="Q66" s="425"/>
      <c r="R66" s="347">
        <f t="shared" ref="R66" si="561">IFERROR(Q66*H66,0)</f>
        <v>0</v>
      </c>
      <c r="S66" s="427"/>
      <c r="T66" s="346">
        <f t="shared" ref="T66" si="562">IFERROR(S66*H66,0)</f>
        <v>0</v>
      </c>
      <c r="U66" s="430"/>
      <c r="V66" s="346">
        <f t="shared" ref="V66" si="563">IFERROR(U66*H66,0)*2</f>
        <v>0</v>
      </c>
      <c r="W66" s="348">
        <v>0</v>
      </c>
      <c r="X66" s="349">
        <v>2.3699999999999999E-2</v>
      </c>
      <c r="Y66" s="350">
        <f t="shared" ref="Y66" si="564">IFERROR((W66*H66)+((X66*H66)/2),0)</f>
        <v>55.902374999999999</v>
      </c>
      <c r="Z66" s="94"/>
      <c r="AA66" s="218"/>
      <c r="AB66" s="376">
        <f t="shared" ref="AB66" si="565">SUM(N66,P66,R66,T66,V66,Y66)</f>
        <v>55.902374999999999</v>
      </c>
      <c r="AC66" s="295">
        <f t="shared" ref="AC66" si="566">IFERROR((IF(AE66&lt;=AF66,AE66,IF(AE66&gt;AF66,AF66))),0)</f>
        <v>55.902374999999999</v>
      </c>
      <c r="AE66" s="246">
        <f t="shared" ref="AE66" si="567">IF(AA66="Yes",AB66*2,AB66)</f>
        <v>55.902374999999999</v>
      </c>
      <c r="AF66" s="416">
        <f t="shared" ref="AF66" si="568">H66*2</f>
        <v>9435</v>
      </c>
    </row>
    <row r="67" spans="1:32" s="68" customFormat="1" ht="15" customHeight="1" x14ac:dyDescent="0.2">
      <c r="A67" s="80">
        <f t="shared" ref="A67" si="569">IF(H67&gt;=0,0,1)</f>
        <v>0</v>
      </c>
      <c r="B67" s="363" t="str">
        <f>IF(ISBLANK(Materials!B67),"",Materials!B67)</f>
        <v xml:space="preserve">Brick </v>
      </c>
      <c r="C67" s="352" t="str">
        <f>IF(ISBLANK(Materials!C67),"",Materials!C67)</f>
        <v>042000</v>
      </c>
      <c r="D67" s="352" t="str">
        <f>IF(ISBLANK(Materials!D67),"",Materials!D67)</f>
        <v/>
      </c>
      <c r="E67" s="364" t="str">
        <f>IF(ISBLANK(Materials!E67),"",Materials!E67)</f>
        <v>Special Blend</v>
      </c>
      <c r="F67" s="436"/>
      <c r="G67" s="365" t="str">
        <f>IF(ISBLANK(Materials!F67),"",Materials!F67)</f>
        <v>Acme Brick</v>
      </c>
      <c r="H67" s="342">
        <f>IF(ISBLANK(Materials!G67),"",Materials!G67)</f>
        <v>56253</v>
      </c>
      <c r="I67" s="223"/>
      <c r="J67" s="448"/>
      <c r="K67" s="233" t="str">
        <f t="shared" ref="K67" si="570">IF(J67="Manufacturer Declared",0.5,IF(J67="Third Party Verified",1,""))</f>
        <v/>
      </c>
      <c r="L67" s="84"/>
      <c r="M67" s="345"/>
      <c r="N67" s="346">
        <f t="shared" ref="N67" si="571">IF(M67&gt;0,(H67*0.5),0)</f>
        <v>0</v>
      </c>
      <c r="O67" s="425"/>
      <c r="P67" s="347">
        <f t="shared" ref="P67" si="572">IFERROR(O67*H67,0)*0.5</f>
        <v>0</v>
      </c>
      <c r="Q67" s="425"/>
      <c r="R67" s="347">
        <f t="shared" ref="R67" si="573">IFERROR(Q67*H67,0)</f>
        <v>0</v>
      </c>
      <c r="S67" s="427"/>
      <c r="T67" s="346">
        <f t="shared" ref="T67" si="574">IFERROR(S67*H67,0)</f>
        <v>0</v>
      </c>
      <c r="U67" s="430"/>
      <c r="V67" s="346">
        <f t="shared" ref="V67" si="575">IFERROR(U67*H67,0)*2</f>
        <v>0</v>
      </c>
      <c r="W67" s="348"/>
      <c r="X67" s="349"/>
      <c r="Y67" s="350">
        <f t="shared" ref="Y67" si="576">IFERROR((W67*H67)+((X67*H67)/2),0)</f>
        <v>0</v>
      </c>
      <c r="Z67" s="94"/>
      <c r="AA67" s="218"/>
      <c r="AB67" s="376">
        <f t="shared" ref="AB67" si="577">SUM(N67,P67,R67,T67,V67,Y67)</f>
        <v>0</v>
      </c>
      <c r="AC67" s="295">
        <f t="shared" ref="AC67" si="578">IFERROR((IF(AE67&lt;=AF67,AE67,IF(AE67&gt;AF67,AF67))),0)</f>
        <v>0</v>
      </c>
      <c r="AE67" s="246">
        <f t="shared" ref="AE67" si="579">IF(AA67="Yes",AB67*2,AB67)</f>
        <v>0</v>
      </c>
      <c r="AF67" s="416">
        <f t="shared" ref="AF67" si="580">H67*2</f>
        <v>112506</v>
      </c>
    </row>
    <row r="68" spans="1:32" s="68" customFormat="1" ht="15" customHeight="1" x14ac:dyDescent="0.2">
      <c r="A68" s="80">
        <f t="shared" ref="A68" si="581">IF(H68&gt;=0,0,1)</f>
        <v>0</v>
      </c>
      <c r="B68" s="363" t="str">
        <f>IF(ISBLANK(Materials!B68),"",Materials!B68)</f>
        <v xml:space="preserve">Cast Stone Masonry </v>
      </c>
      <c r="C68" s="352" t="str">
        <f>IF(ISBLANK(Materials!C68),"",Materials!C68)</f>
        <v>047200</v>
      </c>
      <c r="D68" s="352" t="str">
        <f>IF(ISBLANK(Materials!D68),"",Materials!D68)</f>
        <v/>
      </c>
      <c r="E68" s="364" t="str">
        <f>IF(ISBLANK(Materials!E68),"",Materials!E68)</f>
        <v>SM250</v>
      </c>
      <c r="F68" s="436"/>
      <c r="G68" s="365" t="str">
        <f>IF(ISBLANK(Materials!F68),"",Materials!F68)</f>
        <v>Spec Mix</v>
      </c>
      <c r="H68" s="342">
        <f>IF(ISBLANK(Materials!G68),"",Materials!G68)</f>
        <v>0</v>
      </c>
      <c r="I68" s="223"/>
      <c r="J68" s="448"/>
      <c r="K68" s="233" t="str">
        <f t="shared" ref="K68" si="582">IF(J68="Manufacturer Declared",0.5,IF(J68="Third Party Verified",1,""))</f>
        <v/>
      </c>
      <c r="L68" s="84"/>
      <c r="M68" s="345"/>
      <c r="N68" s="346">
        <f t="shared" ref="N68" si="583">IF(M68&gt;0,(H68*0.5),0)</f>
        <v>0</v>
      </c>
      <c r="O68" s="425"/>
      <c r="P68" s="347">
        <f t="shared" ref="P68" si="584">IFERROR(O68*H68,0)*0.5</f>
        <v>0</v>
      </c>
      <c r="Q68" s="425"/>
      <c r="R68" s="347">
        <f t="shared" ref="R68" si="585">IFERROR(Q68*H68,0)</f>
        <v>0</v>
      </c>
      <c r="S68" s="427"/>
      <c r="T68" s="346">
        <f t="shared" ref="T68" si="586">IFERROR(S68*H68,0)</f>
        <v>0</v>
      </c>
      <c r="U68" s="430"/>
      <c r="V68" s="346">
        <f t="shared" ref="V68" si="587">IFERROR(U68*H68,0)*2</f>
        <v>0</v>
      </c>
      <c r="W68" s="348"/>
      <c r="X68" s="349"/>
      <c r="Y68" s="350">
        <f t="shared" ref="Y68" si="588">IFERROR((W68*H68)+((X68*H68)/2),0)</f>
        <v>0</v>
      </c>
      <c r="Z68" s="94"/>
      <c r="AA68" s="218"/>
      <c r="AB68" s="376">
        <f t="shared" ref="AB68" si="589">SUM(N68,P68,R68,T68,V68,Y68)</f>
        <v>0</v>
      </c>
      <c r="AC68" s="295">
        <f t="shared" ref="AC68" si="590">IFERROR((IF(AE68&lt;=AF68,AE68,IF(AE68&gt;AF68,AF68))),0)</f>
        <v>0</v>
      </c>
      <c r="AE68" s="246">
        <f t="shared" ref="AE68" si="591">IF(AA68="Yes",AB68*2,AB68)</f>
        <v>0</v>
      </c>
      <c r="AF68" s="416">
        <f t="shared" ref="AF68" si="592">H68*2</f>
        <v>0</v>
      </c>
    </row>
    <row r="69" spans="1:32" s="68" customFormat="1" ht="15" customHeight="1" x14ac:dyDescent="0.2">
      <c r="A69" s="80">
        <f t="shared" ref="A69" si="593">IF(H69&gt;=0,0,1)</f>
        <v>0</v>
      </c>
      <c r="B69" s="363" t="str">
        <f>IF(ISBLANK(Materials!B69),"",Materials!B69)</f>
        <v xml:space="preserve">Concrete Waterstop </v>
      </c>
      <c r="C69" s="352" t="str">
        <f>IF(ISBLANK(Materials!C69),"",Materials!C69)</f>
        <v>033000</v>
      </c>
      <c r="D69" s="352" t="str">
        <f>IF(ISBLANK(Materials!D69),"",Materials!D69)</f>
        <v/>
      </c>
      <c r="E69" s="364" t="str">
        <f>IF(ISBLANK(Materials!E69),"",Materials!E69)</f>
        <v>Waterstop-RX</v>
      </c>
      <c r="F69" s="436"/>
      <c r="G69" s="365" t="str">
        <f>IF(ISBLANK(Materials!F69),"",Materials!F69)</f>
        <v>Cetco</v>
      </c>
      <c r="H69" s="342">
        <f>IF(ISBLANK(Materials!G69),"",Materials!G69)</f>
        <v>0</v>
      </c>
      <c r="I69" s="223"/>
      <c r="J69" s="448"/>
      <c r="K69" s="233" t="str">
        <f t="shared" ref="K69" si="594">IF(J69="Manufacturer Declared",0.5,IF(J69="Third Party Verified",1,""))</f>
        <v/>
      </c>
      <c r="L69" s="84"/>
      <c r="M69" s="345"/>
      <c r="N69" s="346">
        <f t="shared" ref="N69" si="595">IF(M69&gt;0,(H69*0.5),0)</f>
        <v>0</v>
      </c>
      <c r="O69" s="425"/>
      <c r="P69" s="347">
        <f t="shared" ref="P69" si="596">IFERROR(O69*H69,0)*0.5</f>
        <v>0</v>
      </c>
      <c r="Q69" s="425"/>
      <c r="R69" s="347">
        <f t="shared" ref="R69" si="597">IFERROR(Q69*H69,0)</f>
        <v>0</v>
      </c>
      <c r="S69" s="427"/>
      <c r="T69" s="346">
        <f t="shared" ref="T69" si="598">IFERROR(S69*H69,0)</f>
        <v>0</v>
      </c>
      <c r="U69" s="430"/>
      <c r="V69" s="346">
        <f t="shared" ref="V69" si="599">IFERROR(U69*H69,0)*2</f>
        <v>0</v>
      </c>
      <c r="W69" s="348">
        <v>0</v>
      </c>
      <c r="X69" s="349">
        <v>0.03</v>
      </c>
      <c r="Y69" s="350">
        <f t="shared" ref="Y69" si="600">IFERROR((W69*H69)+((X69*H69)/2),0)</f>
        <v>0</v>
      </c>
      <c r="Z69" s="94"/>
      <c r="AA69" s="218"/>
      <c r="AB69" s="376">
        <f t="shared" ref="AB69" si="601">SUM(N69,P69,R69,T69,V69,Y69)</f>
        <v>0</v>
      </c>
      <c r="AC69" s="295">
        <f t="shared" ref="AC69" si="602">IFERROR((IF(AE69&lt;=AF69,AE69,IF(AE69&gt;AF69,AF69))),0)</f>
        <v>0</v>
      </c>
      <c r="AE69" s="246">
        <f t="shared" ref="AE69" si="603">IF(AA69="Yes",AB69*2,AB69)</f>
        <v>0</v>
      </c>
      <c r="AF69" s="416">
        <f t="shared" ref="AF69" si="604">H69*2</f>
        <v>0</v>
      </c>
    </row>
    <row r="70" spans="1:32" s="68" customFormat="1" ht="15" customHeight="1" x14ac:dyDescent="0.2">
      <c r="A70" s="80">
        <f t="shared" ref="A70" si="605">IF(H70&gt;=0,0,1)</f>
        <v>0</v>
      </c>
      <c r="B70" s="363" t="str">
        <f>IF(ISBLANK(Materials!B70),"",Materials!B70)</f>
        <v xml:space="preserve">Waterproofing </v>
      </c>
      <c r="C70" s="352" t="str">
        <f>IF(ISBLANK(Materials!C70),"",Materials!C70)</f>
        <v>071326</v>
      </c>
      <c r="D70" s="352" t="str">
        <f>IF(ISBLANK(Materials!D70),"",Materials!D70)</f>
        <v/>
      </c>
      <c r="E70" s="364" t="str">
        <f>IF(ISBLANK(Materials!E70),"",Materials!E70)</f>
        <v>Protection Course</v>
      </c>
      <c r="F70" s="436"/>
      <c r="G70" s="365" t="str">
        <f>IF(ISBLANK(Materials!F70),"",Materials!F70)</f>
        <v>W.R. Meadows</v>
      </c>
      <c r="H70" s="342">
        <f>IF(ISBLANK(Materials!G70),"",Materials!G70)</f>
        <v>0</v>
      </c>
      <c r="I70" s="223"/>
      <c r="J70" s="448"/>
      <c r="K70" s="233" t="str">
        <f t="shared" ref="K70" si="606">IF(J70="Manufacturer Declared",0.5,IF(J70="Third Party Verified",1,""))</f>
        <v/>
      </c>
      <c r="L70" s="84"/>
      <c r="M70" s="345"/>
      <c r="N70" s="346">
        <f t="shared" ref="N70" si="607">IF(M70&gt;0,(H70*0.5),0)</f>
        <v>0</v>
      </c>
      <c r="O70" s="425"/>
      <c r="P70" s="347">
        <f t="shared" ref="P70" si="608">IFERROR(O70*H70,0)*0.5</f>
        <v>0</v>
      </c>
      <c r="Q70" s="425"/>
      <c r="R70" s="347">
        <f t="shared" ref="R70" si="609">IFERROR(Q70*H70,0)</f>
        <v>0</v>
      </c>
      <c r="S70" s="427"/>
      <c r="T70" s="346">
        <f t="shared" ref="T70" si="610">IFERROR(S70*H70,0)</f>
        <v>0</v>
      </c>
      <c r="U70" s="430"/>
      <c r="V70" s="346">
        <f t="shared" ref="V70" si="611">IFERROR(U70*H70,0)*2</f>
        <v>0</v>
      </c>
      <c r="W70" s="348"/>
      <c r="X70" s="349"/>
      <c r="Y70" s="350">
        <f t="shared" ref="Y70" si="612">IFERROR((W70*H70)+((X70*H70)/2),0)</f>
        <v>0</v>
      </c>
      <c r="Z70" s="94"/>
      <c r="AA70" s="218"/>
      <c r="AB70" s="376">
        <f t="shared" ref="AB70" si="613">SUM(N70,P70,R70,T70,V70,Y70)</f>
        <v>0</v>
      </c>
      <c r="AC70" s="295">
        <f t="shared" ref="AC70" si="614">IFERROR((IF(AE70&lt;=AF70,AE70,IF(AE70&gt;AF70,AF70))),0)</f>
        <v>0</v>
      </c>
      <c r="AE70" s="246">
        <f t="shared" ref="AE70" si="615">IF(AA70="Yes",AB70*2,AB70)</f>
        <v>0</v>
      </c>
      <c r="AF70" s="416">
        <f t="shared" ref="AF70" si="616">H70*2</f>
        <v>0</v>
      </c>
    </row>
    <row r="71" spans="1:32" s="68" customFormat="1" ht="15" customHeight="1" x14ac:dyDescent="0.2">
      <c r="A71" s="80">
        <f t="shared" ref="A71" si="617">IF(H71&gt;=0,0,1)</f>
        <v>0</v>
      </c>
      <c r="B71" s="363" t="str">
        <f>IF(ISBLANK(Materials!B71),"",Materials!B71)</f>
        <v>Nonwoven Geotextile Fabric</v>
      </c>
      <c r="C71" s="352" t="str">
        <f>IF(ISBLANK(Materials!C71),"",Materials!C71)</f>
        <v>071326</v>
      </c>
      <c r="D71" s="352" t="str">
        <f>IF(ISBLANK(Materials!D71),"",Materials!D71)</f>
        <v/>
      </c>
      <c r="E71" s="364" t="str">
        <f>IF(ISBLANK(Materials!E71),"",Materials!E71)</f>
        <v>Detail Fabric</v>
      </c>
      <c r="F71" s="436"/>
      <c r="G71" s="365" t="str">
        <f>IF(ISBLANK(Materials!F71),"",Materials!F71)</f>
        <v>W.R. Meadows</v>
      </c>
      <c r="H71" s="342">
        <f>IF(ISBLANK(Materials!G71),"",Materials!G71)</f>
        <v>0</v>
      </c>
      <c r="I71" s="223"/>
      <c r="J71" s="448"/>
      <c r="K71" s="233" t="str">
        <f t="shared" ref="K71" si="618">IF(J71="Manufacturer Declared",0.5,IF(J71="Third Party Verified",1,""))</f>
        <v/>
      </c>
      <c r="L71" s="84"/>
      <c r="M71" s="345"/>
      <c r="N71" s="346">
        <f t="shared" ref="N71" si="619">IF(M71&gt;0,(H71*0.5),0)</f>
        <v>0</v>
      </c>
      <c r="O71" s="425"/>
      <c r="P71" s="347">
        <f t="shared" ref="P71" si="620">IFERROR(O71*H71,0)*0.5</f>
        <v>0</v>
      </c>
      <c r="Q71" s="425"/>
      <c r="R71" s="347">
        <f t="shared" ref="R71" si="621">IFERROR(Q71*H71,0)</f>
        <v>0</v>
      </c>
      <c r="S71" s="427"/>
      <c r="T71" s="346">
        <f t="shared" ref="T71" si="622">IFERROR(S71*H71,0)</f>
        <v>0</v>
      </c>
      <c r="U71" s="430"/>
      <c r="V71" s="346">
        <f t="shared" ref="V71" si="623">IFERROR(U71*H71,0)*2</f>
        <v>0</v>
      </c>
      <c r="W71" s="348"/>
      <c r="X71" s="349"/>
      <c r="Y71" s="350">
        <f t="shared" ref="Y71" si="624">IFERROR((W71*H71)+((X71*H71)/2),0)</f>
        <v>0</v>
      </c>
      <c r="Z71" s="94"/>
      <c r="AA71" s="218"/>
      <c r="AB71" s="376">
        <f t="shared" ref="AB71" si="625">SUM(N71,P71,R71,T71,V71,Y71)</f>
        <v>0</v>
      </c>
      <c r="AC71" s="295">
        <f t="shared" ref="AC71" si="626">IFERROR((IF(AE71&lt;=AF71,AE71,IF(AE71&gt;AF71,AF71))),0)</f>
        <v>0</v>
      </c>
      <c r="AE71" s="246">
        <f t="shared" ref="AE71" si="627">IF(AA71="Yes",AB71*2,AB71)</f>
        <v>0</v>
      </c>
      <c r="AF71" s="416">
        <f t="shared" ref="AF71" si="628">H71*2</f>
        <v>0</v>
      </c>
    </row>
    <row r="72" spans="1:32" s="68" customFormat="1" ht="15" customHeight="1" x14ac:dyDescent="0.2">
      <c r="A72" s="80">
        <f t="shared" ref="A72" si="629">IF(H72&gt;=0,0,1)</f>
        <v>0</v>
      </c>
      <c r="B72" s="363" t="str">
        <f>IF(ISBLANK(Materials!B72),"",Materials!B72)</f>
        <v>Termination Bar</v>
      </c>
      <c r="C72" s="352" t="str">
        <f>IF(ISBLANK(Materials!C72),"",Materials!C72)</f>
        <v>071326</v>
      </c>
      <c r="D72" s="352" t="str">
        <f>IF(ISBLANK(Materials!D72),"",Materials!D72)</f>
        <v/>
      </c>
      <c r="E72" s="364" t="str">
        <f>IF(ISBLANK(Materials!E72),"",Materials!E72)</f>
        <v>T2 Aluminum</v>
      </c>
      <c r="F72" s="436"/>
      <c r="G72" s="365" t="str">
        <f>IF(ISBLANK(Materials!F72),"",Materials!F72)</f>
        <v>Hohmann &amp; Barnard</v>
      </c>
      <c r="H72" s="342">
        <f>IF(ISBLANK(Materials!G72),"",Materials!G72)</f>
        <v>0</v>
      </c>
      <c r="I72" s="223"/>
      <c r="J72" s="448"/>
      <c r="K72" s="233" t="str">
        <f t="shared" ref="K72" si="630">IF(J72="Manufacturer Declared",0.5,IF(J72="Third Party Verified",1,""))</f>
        <v/>
      </c>
      <c r="L72" s="84"/>
      <c r="M72" s="345"/>
      <c r="N72" s="346">
        <f t="shared" ref="N72" si="631">IF(M72&gt;0,(H72*0.5),0)</f>
        <v>0</v>
      </c>
      <c r="O72" s="425"/>
      <c r="P72" s="347">
        <f t="shared" ref="P72" si="632">IFERROR(O72*H72,0)*0.5</f>
        <v>0</v>
      </c>
      <c r="Q72" s="425"/>
      <c r="R72" s="347">
        <f t="shared" ref="R72" si="633">IFERROR(Q72*H72,0)</f>
        <v>0</v>
      </c>
      <c r="S72" s="427"/>
      <c r="T72" s="346">
        <f t="shared" ref="T72" si="634">IFERROR(S72*H72,0)</f>
        <v>0</v>
      </c>
      <c r="U72" s="430"/>
      <c r="V72" s="346">
        <f t="shared" ref="V72" si="635">IFERROR(U72*H72,0)*2</f>
        <v>0</v>
      </c>
      <c r="W72" s="348">
        <v>0</v>
      </c>
      <c r="X72" s="349">
        <v>1</v>
      </c>
      <c r="Y72" s="350">
        <f t="shared" ref="Y72" si="636">IFERROR((W72*H72)+((X72*H72)/2),0)</f>
        <v>0</v>
      </c>
      <c r="Z72" s="94"/>
      <c r="AA72" s="218"/>
      <c r="AB72" s="376">
        <f t="shared" ref="AB72" si="637">SUM(N72,P72,R72,T72,V72,Y72)</f>
        <v>0</v>
      </c>
      <c r="AC72" s="295">
        <f t="shared" ref="AC72" si="638">IFERROR((IF(AE72&lt;=AF72,AE72,IF(AE72&gt;AF72,AF72))),0)</f>
        <v>0</v>
      </c>
      <c r="AE72" s="246">
        <f t="shared" ref="AE72" si="639">IF(AA72="Yes",AB72*2,AB72)</f>
        <v>0</v>
      </c>
      <c r="AF72" s="416">
        <f t="shared" ref="AF72" si="640">H72*2</f>
        <v>0</v>
      </c>
    </row>
    <row r="73" spans="1:32" s="68" customFormat="1" ht="15" customHeight="1" x14ac:dyDescent="0.2">
      <c r="A73" s="80">
        <f t="shared" ref="A73" si="641">IF(H73&gt;=0,0,1)</f>
        <v>0</v>
      </c>
      <c r="B73" s="363" t="str">
        <f>IF(ISBLANK(Materials!B73),"",Materials!B73)</f>
        <v xml:space="preserve">Fireproofing </v>
      </c>
      <c r="C73" s="352" t="str">
        <f>IF(ISBLANK(Materials!C73),"",Materials!C73)</f>
        <v>078100</v>
      </c>
      <c r="D73" s="352" t="str">
        <f>IF(ISBLANK(Materials!D73),"",Materials!D73)</f>
        <v/>
      </c>
      <c r="E73" s="364" t="str">
        <f>IF(ISBLANK(Materials!E73),"",Materials!E73)</f>
        <v>Monokote Z-106/hy</v>
      </c>
      <c r="F73" s="436"/>
      <c r="G73" s="365" t="str">
        <f>IF(ISBLANK(Materials!F73),"",Materials!F73)</f>
        <v>GCP</v>
      </c>
      <c r="H73" s="342">
        <f>IF(ISBLANK(Materials!G73),"",Materials!G73)</f>
        <v>5400</v>
      </c>
      <c r="I73" s="223"/>
      <c r="J73" s="448"/>
      <c r="K73" s="233" t="str">
        <f t="shared" ref="K73" si="642">IF(J73="Manufacturer Declared",0.5,IF(J73="Third Party Verified",1,""))</f>
        <v/>
      </c>
      <c r="L73" s="84"/>
      <c r="M73" s="345"/>
      <c r="N73" s="346">
        <f t="shared" ref="N73" si="643">IF(M73&gt;0,(H73*0.5),0)</f>
        <v>0</v>
      </c>
      <c r="O73" s="425"/>
      <c r="P73" s="347">
        <f t="shared" ref="P73" si="644">IFERROR(O73*H73,0)*0.5</f>
        <v>0</v>
      </c>
      <c r="Q73" s="425"/>
      <c r="R73" s="347">
        <f t="shared" ref="R73" si="645">IFERROR(Q73*H73,0)</f>
        <v>0</v>
      </c>
      <c r="S73" s="427"/>
      <c r="T73" s="346">
        <f t="shared" ref="T73" si="646">IFERROR(S73*H73,0)</f>
        <v>0</v>
      </c>
      <c r="U73" s="430"/>
      <c r="V73" s="346">
        <f t="shared" ref="V73" si="647">IFERROR(U73*H73,0)*2</f>
        <v>0</v>
      </c>
      <c r="W73" s="348">
        <v>5.0500000000000003E-2</v>
      </c>
      <c r="X73" s="349">
        <v>0</v>
      </c>
      <c r="Y73" s="350">
        <f t="shared" ref="Y73" si="648">IFERROR((W73*H73)+((X73*H73)/2),0)</f>
        <v>272.70000000000005</v>
      </c>
      <c r="Z73" s="94"/>
      <c r="AA73" s="218"/>
      <c r="AB73" s="376">
        <f t="shared" ref="AB73" si="649">SUM(N73,P73,R73,T73,V73,Y73)</f>
        <v>272.70000000000005</v>
      </c>
      <c r="AC73" s="295">
        <f t="shared" ref="AC73" si="650">IFERROR((IF(AE73&lt;=AF73,AE73,IF(AE73&gt;AF73,AF73))),0)</f>
        <v>272.70000000000005</v>
      </c>
      <c r="AE73" s="246">
        <f t="shared" ref="AE73" si="651">IF(AA73="Yes",AB73*2,AB73)</f>
        <v>272.70000000000005</v>
      </c>
      <c r="AF73" s="416">
        <f t="shared" ref="AF73" si="652">H73*2</f>
        <v>10800</v>
      </c>
    </row>
    <row r="74" spans="1:32" s="68" customFormat="1" ht="15" customHeight="1" x14ac:dyDescent="0.2">
      <c r="A74" s="80">
        <f t="shared" ref="A74" si="653">IF(H74&gt;=0,0,1)</f>
        <v>0</v>
      </c>
      <c r="B74" s="363" t="str">
        <f>IF(ISBLANK(Materials!B74),"",Materials!B74)</f>
        <v xml:space="preserve">CMU </v>
      </c>
      <c r="C74" s="352" t="str">
        <f>IF(ISBLANK(Materials!C74),"",Materials!C74)</f>
        <v>042000</v>
      </c>
      <c r="D74" s="352" t="str">
        <f>IF(ISBLANK(Materials!D74),"",Materials!D74)</f>
        <v/>
      </c>
      <c r="E74" s="364" t="str">
        <f>IF(ISBLANK(Materials!E74),"",Materials!E74)</f>
        <v>Ground Face Series</v>
      </c>
      <c r="F74" s="436"/>
      <c r="G74" s="365" t="str">
        <f>IF(ISBLANK(Materials!F74),"",Materials!F74)</f>
        <v>Best Block</v>
      </c>
      <c r="H74" s="342">
        <f>IF(ISBLANK(Materials!G74),"",Materials!G74)</f>
        <v>28055</v>
      </c>
      <c r="I74" s="223"/>
      <c r="J74" s="448"/>
      <c r="K74" s="233" t="str">
        <f t="shared" ref="K74" si="654">IF(J74="Manufacturer Declared",0.5,IF(J74="Third Party Verified",1,""))</f>
        <v/>
      </c>
      <c r="L74" s="84"/>
      <c r="M74" s="345"/>
      <c r="N74" s="346">
        <f t="shared" ref="N74" si="655">IF(M74&gt;0,(H74*0.5),0)</f>
        <v>0</v>
      </c>
      <c r="O74" s="425"/>
      <c r="P74" s="347">
        <f t="shared" ref="P74" si="656">IFERROR(O74*H74,0)*0.5</f>
        <v>0</v>
      </c>
      <c r="Q74" s="425"/>
      <c r="R74" s="347">
        <f t="shared" ref="R74" si="657">IFERROR(Q74*H74,0)</f>
        <v>0</v>
      </c>
      <c r="S74" s="427"/>
      <c r="T74" s="346">
        <f t="shared" ref="T74" si="658">IFERROR(S74*H74,0)</f>
        <v>0</v>
      </c>
      <c r="U74" s="430"/>
      <c r="V74" s="346">
        <f t="shared" ref="V74" si="659">IFERROR(U74*H74,0)*2</f>
        <v>0</v>
      </c>
      <c r="W74" s="348">
        <v>0.02</v>
      </c>
      <c r="X74" s="349">
        <v>0.43</v>
      </c>
      <c r="Y74" s="350">
        <f t="shared" ref="Y74" si="660">IFERROR((W74*H74)+((X74*H74)/2),0)</f>
        <v>6592.9250000000002</v>
      </c>
      <c r="Z74" s="94"/>
      <c r="AA74" s="218"/>
      <c r="AB74" s="376">
        <f t="shared" ref="AB74" si="661">SUM(N74,P74,R74,T74,V74,Y74)</f>
        <v>6592.9250000000002</v>
      </c>
      <c r="AC74" s="295">
        <f t="shared" ref="AC74" si="662">IFERROR((IF(AE74&lt;=AF74,AE74,IF(AE74&gt;AF74,AF74))),0)</f>
        <v>6592.9250000000002</v>
      </c>
      <c r="AE74" s="246">
        <f t="shared" ref="AE74" si="663">IF(AA74="Yes",AB74*2,AB74)</f>
        <v>6592.9250000000002</v>
      </c>
      <c r="AF74" s="416">
        <f t="shared" ref="AF74" si="664">H74*2</f>
        <v>56110</v>
      </c>
    </row>
    <row r="75" spans="1:32" s="68" customFormat="1" ht="15" customHeight="1" x14ac:dyDescent="0.2">
      <c r="A75" s="80">
        <f t="shared" ref="A75" si="665">IF(H75&gt;=0,0,1)</f>
        <v>0</v>
      </c>
      <c r="B75" s="363" t="str">
        <f>IF(ISBLANK(Materials!B75),"",Materials!B75)</f>
        <v xml:space="preserve">Mineral Wool Insulation </v>
      </c>
      <c r="C75" s="352" t="str">
        <f>IF(ISBLANK(Materials!C75),"",Materials!C75)</f>
        <v>072100, 074213</v>
      </c>
      <c r="D75" s="352" t="str">
        <f>IF(ISBLANK(Materials!D75),"",Materials!D75)</f>
        <v/>
      </c>
      <c r="E75" s="364" t="str">
        <f>IF(ISBLANK(Materials!E75),"",Materials!E75)</f>
        <v>Cavityrock</v>
      </c>
      <c r="F75" s="436"/>
      <c r="G75" s="365" t="str">
        <f>IF(ISBLANK(Materials!F75),"",Materials!F75)</f>
        <v>Rockwool</v>
      </c>
      <c r="H75" s="342">
        <f>IF(ISBLANK(Materials!G75),"",Materials!G75)</f>
        <v>0</v>
      </c>
      <c r="I75" s="223"/>
      <c r="J75" s="448"/>
      <c r="K75" s="233" t="str">
        <f t="shared" ref="K75" si="666">IF(J75="Manufacturer Declared",0.5,IF(J75="Third Party Verified",1,""))</f>
        <v/>
      </c>
      <c r="L75" s="84"/>
      <c r="M75" s="345"/>
      <c r="N75" s="346">
        <f t="shared" ref="N75" si="667">IF(M75&gt;0,(H75*0.5),0)</f>
        <v>0</v>
      </c>
      <c r="O75" s="425"/>
      <c r="P75" s="347">
        <f t="shared" ref="P75" si="668">IFERROR(O75*H75,0)*0.5</f>
        <v>0</v>
      </c>
      <c r="Q75" s="425"/>
      <c r="R75" s="347">
        <f t="shared" ref="R75" si="669">IFERROR(Q75*H75,0)</f>
        <v>0</v>
      </c>
      <c r="S75" s="427"/>
      <c r="T75" s="346">
        <f t="shared" ref="T75" si="670">IFERROR(S75*H75,0)</f>
        <v>0</v>
      </c>
      <c r="U75" s="430"/>
      <c r="V75" s="346">
        <f t="shared" ref="V75" si="671">IFERROR(U75*H75,0)*2</f>
        <v>0</v>
      </c>
      <c r="W75" s="348">
        <v>0</v>
      </c>
      <c r="X75" s="349">
        <v>0.2</v>
      </c>
      <c r="Y75" s="350">
        <f t="shared" ref="Y75" si="672">IFERROR((W75*H75)+((X75*H75)/2),0)</f>
        <v>0</v>
      </c>
      <c r="Z75" s="94"/>
      <c r="AA75" s="218"/>
      <c r="AB75" s="376">
        <f t="shared" ref="AB75" si="673">SUM(N75,P75,R75,T75,V75,Y75)</f>
        <v>0</v>
      </c>
      <c r="AC75" s="295">
        <f t="shared" ref="AC75" si="674">IFERROR((IF(AE75&lt;=AF75,AE75,IF(AE75&gt;AF75,AF75))),0)</f>
        <v>0</v>
      </c>
      <c r="AE75" s="246">
        <f t="shared" ref="AE75" si="675">IF(AA75="Yes",AB75*2,AB75)</f>
        <v>0</v>
      </c>
      <c r="AF75" s="416">
        <f t="shared" ref="AF75" si="676">H75*2</f>
        <v>0</v>
      </c>
    </row>
    <row r="76" spans="1:32" s="68" customFormat="1" ht="15" customHeight="1" x14ac:dyDescent="0.2">
      <c r="A76" s="80">
        <f t="shared" ref="A76" si="677">IF(H76&gt;=0,0,1)</f>
        <v>0</v>
      </c>
      <c r="B76" s="363" t="str">
        <f>IF(ISBLANK(Materials!B76),"",Materials!B76)</f>
        <v xml:space="preserve">Polyiso Insulation </v>
      </c>
      <c r="C76" s="352" t="str">
        <f>IF(ISBLANK(Materials!C76),"",Materials!C76)</f>
        <v>075216</v>
      </c>
      <c r="D76" s="352" t="str">
        <f>IF(ISBLANK(Materials!D76),"",Materials!D76)</f>
        <v/>
      </c>
      <c r="E76" s="364" t="str">
        <f>IF(ISBLANK(Materials!E76),"",Materials!E76)</f>
        <v>Energyguard, Energyguard Y Panel</v>
      </c>
      <c r="F76" s="436"/>
      <c r="G76" s="365" t="str">
        <f>IF(ISBLANK(Materials!F76),"",Materials!F76)</f>
        <v>GAF</v>
      </c>
      <c r="H76" s="342">
        <f>IF(ISBLANK(Materials!G76),"",Materials!G76)</f>
        <v>0</v>
      </c>
      <c r="I76" s="223"/>
      <c r="J76" s="448"/>
      <c r="K76" s="233" t="str">
        <f t="shared" ref="K76" si="678">IF(J76="Manufacturer Declared",0.5,IF(J76="Third Party Verified",1,""))</f>
        <v/>
      </c>
      <c r="L76" s="84"/>
      <c r="M76" s="345"/>
      <c r="N76" s="346">
        <f t="shared" ref="N76" si="679">IF(M76&gt;0,(H76*0.5),0)</f>
        <v>0</v>
      </c>
      <c r="O76" s="425"/>
      <c r="P76" s="347">
        <f t="shared" ref="P76" si="680">IFERROR(O76*H76,0)*0.5</f>
        <v>0</v>
      </c>
      <c r="Q76" s="425"/>
      <c r="R76" s="347">
        <f t="shared" ref="R76" si="681">IFERROR(Q76*H76,0)</f>
        <v>0</v>
      </c>
      <c r="S76" s="427"/>
      <c r="T76" s="346">
        <f t="shared" ref="T76" si="682">IFERROR(S76*H76,0)</f>
        <v>0</v>
      </c>
      <c r="U76" s="430"/>
      <c r="V76" s="346">
        <f t="shared" ref="V76" si="683">IFERROR(U76*H76,0)*2</f>
        <v>0</v>
      </c>
      <c r="W76" s="348">
        <v>0.20300000000000001</v>
      </c>
      <c r="X76" s="349">
        <v>9.2999999999999999E-2</v>
      </c>
      <c r="Y76" s="350">
        <f t="shared" ref="Y76" si="684">IFERROR((W76*H76)+((X76*H76)/2),0)</f>
        <v>0</v>
      </c>
      <c r="Z76" s="94"/>
      <c r="AA76" s="218"/>
      <c r="AB76" s="376">
        <f t="shared" ref="AB76" si="685">SUM(N76,P76,R76,T76,V76,Y76)</f>
        <v>0</v>
      </c>
      <c r="AC76" s="295">
        <f t="shared" ref="AC76" si="686">IFERROR((IF(AE76&lt;=AF76,AE76,IF(AE76&gt;AF76,AF76))),0)</f>
        <v>0</v>
      </c>
      <c r="AE76" s="246">
        <f t="shared" ref="AE76" si="687">IF(AA76="Yes",AB76*2,AB76)</f>
        <v>0</v>
      </c>
      <c r="AF76" s="416">
        <f t="shared" ref="AF76" si="688">H76*2</f>
        <v>0</v>
      </c>
    </row>
    <row r="77" spans="1:32" s="68" customFormat="1" ht="15" customHeight="1" x14ac:dyDescent="0.2">
      <c r="A77" s="80">
        <f t="shared" ref="A77" si="689">IF(H77&gt;=0,0,1)</f>
        <v>0</v>
      </c>
      <c r="B77" s="363" t="str">
        <f>IF(ISBLANK(Materials!B77),"",Materials!B77)</f>
        <v xml:space="preserve">Polyiso Insulation </v>
      </c>
      <c r="C77" s="352" t="str">
        <f>IF(ISBLANK(Materials!C77),"",Materials!C77)</f>
        <v>075216</v>
      </c>
      <c r="D77" s="352" t="str">
        <f>IF(ISBLANK(Materials!D77),"",Materials!D77)</f>
        <v/>
      </c>
      <c r="E77" s="364" t="str">
        <f>IF(ISBLANK(Materials!E77),"",Materials!E77)</f>
        <v>Energyguard X Panel</v>
      </c>
      <c r="F77" s="436"/>
      <c r="G77" s="365" t="str">
        <f>IF(ISBLANK(Materials!F77),"",Materials!F77)</f>
        <v>GAF</v>
      </c>
      <c r="H77" s="342">
        <f>IF(ISBLANK(Materials!G77),"",Materials!G77)</f>
        <v>0</v>
      </c>
      <c r="I77" s="223"/>
      <c r="J77" s="448"/>
      <c r="K77" s="233" t="str">
        <f t="shared" ref="K77" si="690">IF(J77="Manufacturer Declared",0.5,IF(J77="Third Party Verified",1,""))</f>
        <v/>
      </c>
      <c r="L77" s="84"/>
      <c r="M77" s="345"/>
      <c r="N77" s="346">
        <f t="shared" ref="N77" si="691">IF(M77&gt;0,(H77*0.5),0)</f>
        <v>0</v>
      </c>
      <c r="O77" s="425"/>
      <c r="P77" s="347">
        <f t="shared" ref="P77" si="692">IFERROR(O77*H77,0)*0.5</f>
        <v>0</v>
      </c>
      <c r="Q77" s="425"/>
      <c r="R77" s="347">
        <f t="shared" ref="R77" si="693">IFERROR(Q77*H77,0)</f>
        <v>0</v>
      </c>
      <c r="S77" s="427"/>
      <c r="T77" s="346">
        <f t="shared" ref="T77" si="694">IFERROR(S77*H77,0)</f>
        <v>0</v>
      </c>
      <c r="U77" s="430"/>
      <c r="V77" s="346">
        <f t="shared" ref="V77" si="695">IFERROR(U77*H77,0)*2</f>
        <v>0</v>
      </c>
      <c r="W77" s="348">
        <v>0.32600000000000001</v>
      </c>
      <c r="X77" s="349">
        <v>9.9000000000000005E-2</v>
      </c>
      <c r="Y77" s="350">
        <f t="shared" ref="Y77" si="696">IFERROR((W77*H77)+((X77*H77)/2),0)</f>
        <v>0</v>
      </c>
      <c r="Z77" s="94"/>
      <c r="AA77" s="218"/>
      <c r="AB77" s="376">
        <f t="shared" ref="AB77" si="697">SUM(N77,P77,R77,T77,V77,Y77)</f>
        <v>0</v>
      </c>
      <c r="AC77" s="295">
        <f t="shared" ref="AC77" si="698">IFERROR((IF(AE77&lt;=AF77,AE77,IF(AE77&gt;AF77,AF77))),0)</f>
        <v>0</v>
      </c>
      <c r="AE77" s="246">
        <f t="shared" ref="AE77" si="699">IF(AA77="Yes",AB77*2,AB77)</f>
        <v>0</v>
      </c>
      <c r="AF77" s="416">
        <f t="shared" ref="AF77" si="700">H77*2</f>
        <v>0</v>
      </c>
    </row>
    <row r="78" spans="1:32" s="68" customFormat="1" ht="15" customHeight="1" x14ac:dyDescent="0.2">
      <c r="A78" s="80">
        <f t="shared" ref="A78" si="701">IF(H78&gt;=0,0,1)</f>
        <v>0</v>
      </c>
      <c r="B78" s="363" t="str">
        <f>IF(ISBLANK(Materials!B78),"",Materials!B78)</f>
        <v xml:space="preserve">Polyiso Insulation </v>
      </c>
      <c r="C78" s="352" t="str">
        <f>IF(ISBLANK(Materials!C78),"",Materials!C78)</f>
        <v>075216</v>
      </c>
      <c r="D78" s="352" t="str">
        <f>IF(ISBLANK(Materials!D78),"",Materials!D78)</f>
        <v/>
      </c>
      <c r="E78" s="364" t="str">
        <f>IF(ISBLANK(Materials!E78),"",Materials!E78)</f>
        <v>Energyguard Q Panel</v>
      </c>
      <c r="F78" s="436"/>
      <c r="G78" s="365" t="str">
        <f>IF(ISBLANK(Materials!F78),"",Materials!F78)</f>
        <v>GAF</v>
      </c>
      <c r="H78" s="342">
        <f>IF(ISBLANK(Materials!G78),"",Materials!G78)</f>
        <v>0</v>
      </c>
      <c r="I78" s="223"/>
      <c r="J78" s="448"/>
      <c r="K78" s="233" t="str">
        <f t="shared" ref="K78" si="702">IF(J78="Manufacturer Declared",0.5,IF(J78="Third Party Verified",1,""))</f>
        <v/>
      </c>
      <c r="L78" s="84"/>
      <c r="M78" s="345"/>
      <c r="N78" s="346">
        <f t="shared" ref="N78" si="703">IF(M78&gt;0,(H78*0.5),0)</f>
        <v>0</v>
      </c>
      <c r="O78" s="425"/>
      <c r="P78" s="347">
        <f t="shared" ref="P78" si="704">IFERROR(O78*H78,0)*0.5</f>
        <v>0</v>
      </c>
      <c r="Q78" s="425"/>
      <c r="R78" s="347">
        <f t="shared" ref="R78" si="705">IFERROR(Q78*H78,0)</f>
        <v>0</v>
      </c>
      <c r="S78" s="427"/>
      <c r="T78" s="346">
        <f t="shared" ref="T78" si="706">IFERROR(S78*H78,0)</f>
        <v>0</v>
      </c>
      <c r="U78" s="430"/>
      <c r="V78" s="346">
        <f t="shared" ref="V78" si="707">IFERROR(U78*H78,0)*2</f>
        <v>0</v>
      </c>
      <c r="W78" s="348">
        <v>0.25</v>
      </c>
      <c r="X78" s="349">
        <v>9.5000000000000001E-2</v>
      </c>
      <c r="Y78" s="350">
        <f t="shared" ref="Y78" si="708">IFERROR((W78*H78)+((X78*H78)/2),0)</f>
        <v>0</v>
      </c>
      <c r="Z78" s="94"/>
      <c r="AA78" s="218"/>
      <c r="AB78" s="376">
        <f t="shared" ref="AB78" si="709">SUM(N78,P78,R78,T78,V78,Y78)</f>
        <v>0</v>
      </c>
      <c r="AC78" s="295">
        <f t="shared" ref="AC78" si="710">IFERROR((IF(AE78&lt;=AF78,AE78,IF(AE78&gt;AF78,AF78))),0)</f>
        <v>0</v>
      </c>
      <c r="AE78" s="246">
        <f t="shared" ref="AE78" si="711">IF(AA78="Yes",AB78*2,AB78)</f>
        <v>0</v>
      </c>
      <c r="AF78" s="416">
        <f t="shared" ref="AF78" si="712">H78*2</f>
        <v>0</v>
      </c>
    </row>
    <row r="79" spans="1:32" s="68" customFormat="1" ht="15" customHeight="1" x14ac:dyDescent="0.2">
      <c r="A79" s="80">
        <f t="shared" ref="A79" si="713">IF(H79&gt;=0,0,1)</f>
        <v>0</v>
      </c>
      <c r="B79" s="363" t="str">
        <f>IF(ISBLANK(Materials!B79),"",Materials!B79)</f>
        <v>SBS Modified Bitumen Membrane</v>
      </c>
      <c r="C79" s="352" t="str">
        <f>IF(ISBLANK(Materials!C79),"",Materials!C79)</f>
        <v>075216</v>
      </c>
      <c r="D79" s="352" t="str">
        <f>IF(ISBLANK(Materials!D79),"",Materials!D79)</f>
        <v/>
      </c>
      <c r="E79" s="364" t="str">
        <f>IF(ISBLANK(Materials!E79),"",Materials!E79)</f>
        <v>Ruberoid HW Smooth</v>
      </c>
      <c r="F79" s="436"/>
      <c r="G79" s="365" t="str">
        <f>IF(ISBLANK(Materials!F79),"",Materials!F79)</f>
        <v>GAF</v>
      </c>
      <c r="H79" s="342">
        <f>IF(ISBLANK(Materials!G79),"",Materials!G79)</f>
        <v>0</v>
      </c>
      <c r="I79" s="223"/>
      <c r="J79" s="448"/>
      <c r="K79" s="233" t="str">
        <f t="shared" ref="K79" si="714">IF(J79="Manufacturer Declared",0.5,IF(J79="Third Party Verified",1,""))</f>
        <v/>
      </c>
      <c r="L79" s="84"/>
      <c r="M79" s="345"/>
      <c r="N79" s="346">
        <f t="shared" ref="N79" si="715">IF(M79&gt;0,(H79*0.5),0)</f>
        <v>0</v>
      </c>
      <c r="O79" s="425"/>
      <c r="P79" s="347">
        <f t="shared" ref="P79" si="716">IFERROR(O79*H79,0)*0.5</f>
        <v>0</v>
      </c>
      <c r="Q79" s="425"/>
      <c r="R79" s="347">
        <f t="shared" ref="R79" si="717">IFERROR(Q79*H79,0)</f>
        <v>0</v>
      </c>
      <c r="S79" s="427"/>
      <c r="T79" s="346">
        <f t="shared" ref="T79" si="718">IFERROR(S79*H79,0)</f>
        <v>0</v>
      </c>
      <c r="U79" s="430"/>
      <c r="V79" s="346">
        <f t="shared" ref="V79" si="719">IFERROR(U79*H79,0)*2</f>
        <v>0</v>
      </c>
      <c r="W79" s="348">
        <v>0</v>
      </c>
      <c r="X79" s="349">
        <v>4.5999999999999999E-2</v>
      </c>
      <c r="Y79" s="350">
        <f t="shared" ref="Y79" si="720">IFERROR((W79*H79)+((X79*H79)/2),0)</f>
        <v>0</v>
      </c>
      <c r="Z79" s="94"/>
      <c r="AA79" s="218"/>
      <c r="AB79" s="376">
        <f t="shared" ref="AB79" si="721">SUM(N79,P79,R79,T79,V79,Y79)</f>
        <v>0</v>
      </c>
      <c r="AC79" s="295">
        <f t="shared" ref="AC79" si="722">IFERROR((IF(AE79&lt;=AF79,AE79,IF(AE79&gt;AF79,AF79))),0)</f>
        <v>0</v>
      </c>
      <c r="AE79" s="246">
        <f t="shared" ref="AE79" si="723">IF(AA79="Yes",AB79*2,AB79)</f>
        <v>0</v>
      </c>
      <c r="AF79" s="416">
        <f t="shared" ref="AF79" si="724">H79*2</f>
        <v>0</v>
      </c>
    </row>
    <row r="80" spans="1:32" s="68" customFormat="1" ht="15" customHeight="1" x14ac:dyDescent="0.2">
      <c r="A80" s="80">
        <f t="shared" ref="A80" si="725">IF(H80&gt;=0,0,1)</f>
        <v>0</v>
      </c>
      <c r="B80" s="363" t="str">
        <f>IF(ISBLANK(Materials!B80),"",Materials!B80)</f>
        <v>Fasteners &amp; Plates</v>
      </c>
      <c r="C80" s="352" t="str">
        <f>IF(ISBLANK(Materials!C80),"",Materials!C80)</f>
        <v>075216</v>
      </c>
      <c r="D80" s="352" t="str">
        <f>IF(ISBLANK(Materials!D80),"",Materials!D80)</f>
        <v/>
      </c>
      <c r="E80" s="364" t="str">
        <f>IF(ISBLANK(Materials!E80),"",Materials!E80)</f>
        <v>Drill-Tec</v>
      </c>
      <c r="F80" s="436"/>
      <c r="G80" s="365" t="str">
        <f>IF(ISBLANK(Materials!F80),"",Materials!F80)</f>
        <v>GAF</v>
      </c>
      <c r="H80" s="342">
        <f>IF(ISBLANK(Materials!G80),"",Materials!G80)</f>
        <v>0</v>
      </c>
      <c r="I80" s="223"/>
      <c r="J80" s="448"/>
      <c r="K80" s="233" t="str">
        <f t="shared" ref="K80" si="726">IF(J80="Manufacturer Declared",0.5,IF(J80="Third Party Verified",1,""))</f>
        <v/>
      </c>
      <c r="L80" s="84"/>
      <c r="M80" s="345"/>
      <c r="N80" s="346">
        <f t="shared" ref="N80" si="727">IF(M80&gt;0,(H80*0.5),0)</f>
        <v>0</v>
      </c>
      <c r="O80" s="425"/>
      <c r="P80" s="347">
        <f t="shared" ref="P80" si="728">IFERROR(O80*H80,0)*0.5</f>
        <v>0</v>
      </c>
      <c r="Q80" s="425"/>
      <c r="R80" s="347">
        <f t="shared" ref="R80" si="729">IFERROR(Q80*H80,0)</f>
        <v>0</v>
      </c>
      <c r="S80" s="427"/>
      <c r="T80" s="346">
        <f t="shared" ref="T80" si="730">IFERROR(S80*H80,0)</f>
        <v>0</v>
      </c>
      <c r="U80" s="430"/>
      <c r="V80" s="346">
        <f t="shared" ref="V80" si="731">IFERROR(U80*H80,0)*2</f>
        <v>0</v>
      </c>
      <c r="W80" s="348">
        <v>0.25</v>
      </c>
      <c r="X80" s="349">
        <v>0</v>
      </c>
      <c r="Y80" s="350">
        <f t="shared" ref="Y80" si="732">IFERROR((W80*H80)+((X80*H80)/2),0)</f>
        <v>0</v>
      </c>
      <c r="Z80" s="94"/>
      <c r="AA80" s="218"/>
      <c r="AB80" s="376">
        <f t="shared" ref="AB80" si="733">SUM(N80,P80,R80,T80,V80,Y80)</f>
        <v>0</v>
      </c>
      <c r="AC80" s="295">
        <f t="shared" ref="AC80" si="734">IFERROR((IF(AE80&lt;=AF80,AE80,IF(AE80&gt;AF80,AF80))),0)</f>
        <v>0</v>
      </c>
      <c r="AE80" s="246">
        <f t="shared" ref="AE80" si="735">IF(AA80="Yes",AB80*2,AB80)</f>
        <v>0</v>
      </c>
      <c r="AF80" s="416">
        <f t="shared" ref="AF80" si="736">H80*2</f>
        <v>0</v>
      </c>
    </row>
    <row r="81" spans="1:32" s="68" customFormat="1" ht="15" customHeight="1" x14ac:dyDescent="0.2">
      <c r="A81" s="80">
        <f t="shared" ref="A81" si="737">IF(H81&gt;=0,0,1)</f>
        <v>0</v>
      </c>
      <c r="B81" s="363" t="str">
        <f>IF(ISBLANK(Materials!B81),"",Materials!B81)</f>
        <v>Roof Insulation</v>
      </c>
      <c r="C81" s="352" t="str">
        <f>IF(ISBLANK(Materials!C81),"",Materials!C81)</f>
        <v>075216</v>
      </c>
      <c r="D81" s="352" t="str">
        <f>IF(ISBLANK(Materials!D81),"",Materials!D81)</f>
        <v/>
      </c>
      <c r="E81" s="364" t="str">
        <f>IF(ISBLANK(Materials!E81),"",Materials!E81)</f>
        <v>EnergyGuard Perlite Cant Strip</v>
      </c>
      <c r="F81" s="436"/>
      <c r="G81" s="365" t="str">
        <f>IF(ISBLANK(Materials!F81),"",Materials!F81)</f>
        <v>GAF</v>
      </c>
      <c r="H81" s="342">
        <f>IF(ISBLANK(Materials!G81),"",Materials!G81)</f>
        <v>0</v>
      </c>
      <c r="I81" s="223"/>
      <c r="J81" s="448"/>
      <c r="K81" s="233" t="str">
        <f t="shared" ref="K81" si="738">IF(J81="Manufacturer Declared",0.5,IF(J81="Third Party Verified",1,""))</f>
        <v/>
      </c>
      <c r="L81" s="84"/>
      <c r="M81" s="345"/>
      <c r="N81" s="346">
        <f t="shared" ref="N81" si="739">IF(M81&gt;0,(H81*0.5),0)</f>
        <v>0</v>
      </c>
      <c r="O81" s="425"/>
      <c r="P81" s="347">
        <f t="shared" ref="P81" si="740">IFERROR(O81*H81,0)*0.5</f>
        <v>0</v>
      </c>
      <c r="Q81" s="425"/>
      <c r="R81" s="347">
        <f t="shared" ref="R81" si="741">IFERROR(Q81*H81,0)</f>
        <v>0</v>
      </c>
      <c r="S81" s="427"/>
      <c r="T81" s="346">
        <f t="shared" ref="T81" si="742">IFERROR(S81*H81,0)</f>
        <v>0</v>
      </c>
      <c r="U81" s="430"/>
      <c r="V81" s="346">
        <f t="shared" ref="V81" si="743">IFERROR(U81*H81,0)*2</f>
        <v>0</v>
      </c>
      <c r="W81" s="348">
        <v>0.33</v>
      </c>
      <c r="X81" s="349">
        <v>0.02</v>
      </c>
      <c r="Y81" s="350">
        <f t="shared" ref="Y81" si="744">IFERROR((W81*H81)+((X81*H81)/2),0)</f>
        <v>0</v>
      </c>
      <c r="Z81" s="94"/>
      <c r="AA81" s="218"/>
      <c r="AB81" s="376">
        <f t="shared" ref="AB81" si="745">SUM(N81,P81,R81,T81,V81,Y81)</f>
        <v>0</v>
      </c>
      <c r="AC81" s="295">
        <f t="shared" ref="AC81" si="746">IFERROR((IF(AE81&lt;=AF81,AE81,IF(AE81&gt;AF81,AF81))),0)</f>
        <v>0</v>
      </c>
      <c r="AE81" s="246">
        <f t="shared" ref="AE81" si="747">IF(AA81="Yes",AB81*2,AB81)</f>
        <v>0</v>
      </c>
      <c r="AF81" s="416">
        <f t="shared" ref="AF81" si="748">H81*2</f>
        <v>0</v>
      </c>
    </row>
    <row r="82" spans="1:32" s="68" customFormat="1" ht="15" customHeight="1" x14ac:dyDescent="0.2">
      <c r="A82" s="80">
        <f t="shared" ref="A82" si="749">IF(H82&gt;=0,0,1)</f>
        <v>0</v>
      </c>
      <c r="B82" s="363" t="str">
        <f>IF(ISBLANK(Materials!B82),"",Materials!B82)</f>
        <v>SBS Modified Bitumen Membrane</v>
      </c>
      <c r="C82" s="352" t="str">
        <f>IF(ISBLANK(Materials!C82),"",Materials!C82)</f>
        <v>075216</v>
      </c>
      <c r="D82" s="352" t="str">
        <f>IF(ISBLANK(Materials!D82),"",Materials!D82)</f>
        <v/>
      </c>
      <c r="E82" s="364" t="str">
        <f>IF(ISBLANK(Materials!E82),"",Materials!E82)</f>
        <v>Ruberoid HW Plus Granule FR</v>
      </c>
      <c r="F82" s="436"/>
      <c r="G82" s="365" t="str">
        <f>IF(ISBLANK(Materials!F82),"",Materials!F82)</f>
        <v>GAF</v>
      </c>
      <c r="H82" s="342">
        <f>IF(ISBLANK(Materials!G82),"",Materials!G82)</f>
        <v>0</v>
      </c>
      <c r="I82" s="223"/>
      <c r="J82" s="448"/>
      <c r="K82" s="233" t="str">
        <f t="shared" ref="K82" si="750">IF(J82="Manufacturer Declared",0.5,IF(J82="Third Party Verified",1,""))</f>
        <v/>
      </c>
      <c r="L82" s="84"/>
      <c r="M82" s="345"/>
      <c r="N82" s="346">
        <f t="shared" ref="N82" si="751">IF(M82&gt;0,(H82*0.5),0)</f>
        <v>0</v>
      </c>
      <c r="O82" s="425"/>
      <c r="P82" s="347">
        <f t="shared" ref="P82" si="752">IFERROR(O82*H82,0)*0.5</f>
        <v>0</v>
      </c>
      <c r="Q82" s="425"/>
      <c r="R82" s="347">
        <f t="shared" ref="R82" si="753">IFERROR(Q82*H82,0)</f>
        <v>0</v>
      </c>
      <c r="S82" s="427"/>
      <c r="T82" s="346">
        <f t="shared" ref="T82" si="754">IFERROR(S82*H82,0)</f>
        <v>0</v>
      </c>
      <c r="U82" s="430"/>
      <c r="V82" s="346">
        <f t="shared" ref="V82" si="755">IFERROR(U82*H82,0)*2</f>
        <v>0</v>
      </c>
      <c r="W82" s="348">
        <v>0</v>
      </c>
      <c r="X82" s="349">
        <v>5.5E-2</v>
      </c>
      <c r="Y82" s="350">
        <f t="shared" ref="Y82" si="756">IFERROR((W82*H82)+((X82*H82)/2),0)</f>
        <v>0</v>
      </c>
      <c r="Z82" s="94"/>
      <c r="AA82" s="218"/>
      <c r="AB82" s="376">
        <f t="shared" ref="AB82" si="757">SUM(N82,P82,R82,T82,V82,Y82)</f>
        <v>0</v>
      </c>
      <c r="AC82" s="295">
        <f t="shared" ref="AC82" si="758">IFERROR((IF(AE82&lt;=AF82,AE82,IF(AE82&gt;AF82,AF82))),0)</f>
        <v>0</v>
      </c>
      <c r="AE82" s="246">
        <f t="shared" ref="AE82" si="759">IF(AA82="Yes",AB82*2,AB82)</f>
        <v>0</v>
      </c>
      <c r="AF82" s="416">
        <f t="shared" ref="AF82" si="760">H82*2</f>
        <v>0</v>
      </c>
    </row>
    <row r="83" spans="1:32" s="68" customFormat="1" ht="15" customHeight="1" x14ac:dyDescent="0.2">
      <c r="A83" s="80">
        <f t="shared" ref="A83" si="761">IF(H83&gt;=0,0,1)</f>
        <v>0</v>
      </c>
      <c r="B83" s="363" t="str">
        <f>IF(ISBLANK(Materials!B83),"",Materials!B83)</f>
        <v xml:space="preserve">Sheet Metal Flashing </v>
      </c>
      <c r="C83" s="352" t="str">
        <f>IF(ISBLANK(Materials!C83),"",Materials!C83)</f>
        <v>076200</v>
      </c>
      <c r="D83" s="352" t="str">
        <f>IF(ISBLANK(Materials!D83),"",Materials!D83)</f>
        <v/>
      </c>
      <c r="E83" s="364" t="str">
        <f>IF(ISBLANK(Materials!E83),"",Materials!E83)</f>
        <v>Type 304</v>
      </c>
      <c r="F83" s="436"/>
      <c r="G83" s="365" t="str">
        <f>IF(ISBLANK(Materials!F83),"",Materials!F83)</f>
        <v>AK Steel</v>
      </c>
      <c r="H83" s="342">
        <f>IF(ISBLANK(Materials!G83),"",Materials!G83)</f>
        <v>0</v>
      </c>
      <c r="I83" s="223"/>
      <c r="J83" s="448"/>
      <c r="K83" s="233" t="str">
        <f t="shared" ref="K83" si="762">IF(J83="Manufacturer Declared",0.5,IF(J83="Third Party Verified",1,""))</f>
        <v/>
      </c>
      <c r="L83" s="84"/>
      <c r="M83" s="345"/>
      <c r="N83" s="346">
        <f t="shared" ref="N83" si="763">IF(M83&gt;0,(H83*0.5),0)</f>
        <v>0</v>
      </c>
      <c r="O83" s="425"/>
      <c r="P83" s="347">
        <f t="shared" ref="P83" si="764">IFERROR(O83*H83,0)*0.5</f>
        <v>0</v>
      </c>
      <c r="Q83" s="425"/>
      <c r="R83" s="347">
        <f t="shared" ref="R83" si="765">IFERROR(Q83*H83,0)</f>
        <v>0</v>
      </c>
      <c r="S83" s="427"/>
      <c r="T83" s="346">
        <f t="shared" ref="T83" si="766">IFERROR(S83*H83,0)</f>
        <v>0</v>
      </c>
      <c r="U83" s="430"/>
      <c r="V83" s="346">
        <f t="shared" ref="V83" si="767">IFERROR(U83*H83,0)*2</f>
        <v>0</v>
      </c>
      <c r="W83" s="348">
        <v>0.25</v>
      </c>
      <c r="X83" s="349">
        <v>0</v>
      </c>
      <c r="Y83" s="350">
        <f t="shared" ref="Y83" si="768">IFERROR((W83*H83)+((X83*H83)/2),0)</f>
        <v>0</v>
      </c>
      <c r="Z83" s="94"/>
      <c r="AA83" s="218"/>
      <c r="AB83" s="376">
        <f t="shared" ref="AB83" si="769">SUM(N83,P83,R83,T83,V83,Y83)</f>
        <v>0</v>
      </c>
      <c r="AC83" s="295">
        <f t="shared" ref="AC83" si="770">IFERROR((IF(AE83&lt;=AF83,AE83,IF(AE83&gt;AF83,AF83))),0)</f>
        <v>0</v>
      </c>
      <c r="AE83" s="246">
        <f t="shared" ref="AE83" si="771">IF(AA83="Yes",AB83*2,AB83)</f>
        <v>0</v>
      </c>
      <c r="AF83" s="416">
        <f t="shared" ref="AF83" si="772">H83*2</f>
        <v>0</v>
      </c>
    </row>
    <row r="84" spans="1:32" s="68" customFormat="1" ht="15" customHeight="1" x14ac:dyDescent="0.2">
      <c r="A84" s="80">
        <f t="shared" ref="A84" si="773">IF(H84&gt;=0,0,1)</f>
        <v>0</v>
      </c>
      <c r="B84" s="363" t="str">
        <f>IF(ISBLANK(Materials!B84),"",Materials!B84)</f>
        <v xml:space="preserve">Sheet Metal Flashing, Formed Metal Wall Panels </v>
      </c>
      <c r="C84" s="352" t="str">
        <f>IF(ISBLANK(Materials!C84),"",Materials!C84)</f>
        <v>076200, 074213</v>
      </c>
      <c r="D84" s="352" t="str">
        <f>IF(ISBLANK(Materials!D84),"",Materials!D84)</f>
        <v/>
      </c>
      <c r="E84" s="364" t="str">
        <f>IF(ISBLANK(Materials!E84),"",Materials!E84)</f>
        <v>Gauge Galvalume, S-Deck Panel</v>
      </c>
      <c r="F84" s="436"/>
      <c r="G84" s="365" t="str">
        <f>IF(ISBLANK(Materials!F84),"",Materials!F84)</f>
        <v>Berridge</v>
      </c>
      <c r="H84" s="342">
        <f>IF(ISBLANK(Materials!G84),"",Materials!G84)</f>
        <v>0</v>
      </c>
      <c r="I84" s="223"/>
      <c r="J84" s="448"/>
      <c r="K84" s="233" t="str">
        <f t="shared" ref="K84" si="774">IF(J84="Manufacturer Declared",0.5,IF(J84="Third Party Verified",1,""))</f>
        <v/>
      </c>
      <c r="L84" s="84"/>
      <c r="M84" s="345"/>
      <c r="N84" s="346">
        <f t="shared" ref="N84" si="775">IF(M84&gt;0,(H84*0.5),0)</f>
        <v>0</v>
      </c>
      <c r="O84" s="425"/>
      <c r="P84" s="347">
        <f t="shared" ref="P84" si="776">IFERROR(O84*H84,0)*0.5</f>
        <v>0</v>
      </c>
      <c r="Q84" s="425"/>
      <c r="R84" s="347">
        <f t="shared" ref="R84" si="777">IFERROR(Q84*H84,0)</f>
        <v>0</v>
      </c>
      <c r="S84" s="427"/>
      <c r="T84" s="346">
        <f t="shared" ref="T84" si="778">IFERROR(S84*H84,0)</f>
        <v>0</v>
      </c>
      <c r="U84" s="430"/>
      <c r="V84" s="346">
        <f t="shared" ref="V84" si="779">IFERROR(U84*H84,0)*2</f>
        <v>0</v>
      </c>
      <c r="W84" s="348">
        <v>0.25600000000000001</v>
      </c>
      <c r="X84" s="349">
        <v>6.8000000000000005E-2</v>
      </c>
      <c r="Y84" s="350">
        <f t="shared" ref="Y84" si="780">IFERROR((W84*H84)+((X84*H84)/2),0)</f>
        <v>0</v>
      </c>
      <c r="Z84" s="94"/>
      <c r="AA84" s="218"/>
      <c r="AB84" s="376">
        <f t="shared" ref="AB84" si="781">SUM(N84,P84,R84,T84,V84,Y84)</f>
        <v>0</v>
      </c>
      <c r="AC84" s="295">
        <f t="shared" ref="AC84" si="782">IFERROR((IF(AE84&lt;=AF84,AE84,IF(AE84&gt;AF84,AF84))),0)</f>
        <v>0</v>
      </c>
      <c r="AE84" s="246">
        <f t="shared" ref="AE84" si="783">IF(AA84="Yes",AB84*2,AB84)</f>
        <v>0</v>
      </c>
      <c r="AF84" s="416">
        <f t="shared" ref="AF84" si="784">H84*2</f>
        <v>0</v>
      </c>
    </row>
    <row r="85" spans="1:32" s="68" customFormat="1" ht="15" customHeight="1" x14ac:dyDescent="0.2">
      <c r="A85" s="80">
        <f t="shared" ref="A85" si="785">IF(H85&gt;=0,0,1)</f>
        <v>0</v>
      </c>
      <c r="B85" s="363" t="str">
        <f>IF(ISBLANK(Materials!B85),"",Materials!B85)</f>
        <v xml:space="preserve">Expansion Joint Assemblies </v>
      </c>
      <c r="C85" s="352" t="str">
        <f>IF(ISBLANK(Materials!C85),"",Materials!C85)</f>
        <v>079513</v>
      </c>
      <c r="D85" s="352" t="str">
        <f>IF(ISBLANK(Materials!D85),"",Materials!D85)</f>
        <v/>
      </c>
      <c r="E85" s="364" t="str">
        <f>IF(ISBLANK(Materials!E85),"",Materials!E85)</f>
        <v>NBAF-2</v>
      </c>
      <c r="F85" s="436"/>
      <c r="G85" s="365" t="str">
        <f>IF(ISBLANK(Materials!F85),"",Materials!F85)</f>
        <v>Balco</v>
      </c>
      <c r="H85" s="342">
        <f>IF(ISBLANK(Materials!G85),"",Materials!G85)</f>
        <v>0</v>
      </c>
      <c r="I85" s="223"/>
      <c r="J85" s="448"/>
      <c r="K85" s="233" t="str">
        <f t="shared" ref="K85" si="786">IF(J85="Manufacturer Declared",0.5,IF(J85="Third Party Verified",1,""))</f>
        <v/>
      </c>
      <c r="L85" s="84"/>
      <c r="M85" s="345"/>
      <c r="N85" s="346">
        <f t="shared" ref="N85" si="787">IF(M85&gt;0,(H85*0.5),0)</f>
        <v>0</v>
      </c>
      <c r="O85" s="425"/>
      <c r="P85" s="347">
        <f t="shared" ref="P85" si="788">IFERROR(O85*H85,0)*0.5</f>
        <v>0</v>
      </c>
      <c r="Q85" s="425"/>
      <c r="R85" s="347">
        <f t="shared" ref="R85" si="789">IFERROR(Q85*H85,0)</f>
        <v>0</v>
      </c>
      <c r="S85" s="427"/>
      <c r="T85" s="346">
        <f t="shared" ref="T85" si="790">IFERROR(S85*H85,0)</f>
        <v>0</v>
      </c>
      <c r="U85" s="430"/>
      <c r="V85" s="346">
        <f t="shared" ref="V85" si="791">IFERROR(U85*H85,0)*2</f>
        <v>0</v>
      </c>
      <c r="W85" s="348">
        <v>0.25</v>
      </c>
      <c r="X85" s="349">
        <v>0.5</v>
      </c>
      <c r="Y85" s="350">
        <f t="shared" ref="Y85" si="792">IFERROR((W85*H85)+((X85*H85)/2),0)</f>
        <v>0</v>
      </c>
      <c r="Z85" s="94"/>
      <c r="AA85" s="218"/>
      <c r="AB85" s="376">
        <f t="shared" ref="AB85" si="793">SUM(N85,P85,R85,T85,V85,Y85)</f>
        <v>0</v>
      </c>
      <c r="AC85" s="295">
        <f t="shared" ref="AC85" si="794">IFERROR((IF(AE85&lt;=AF85,AE85,IF(AE85&gt;AF85,AF85))),0)</f>
        <v>0</v>
      </c>
      <c r="AE85" s="246">
        <f t="shared" ref="AE85" si="795">IF(AA85="Yes",AB85*2,AB85)</f>
        <v>0</v>
      </c>
      <c r="AF85" s="416">
        <f t="shared" ref="AF85" si="796">H85*2</f>
        <v>0</v>
      </c>
    </row>
    <row r="86" spans="1:32" s="68" customFormat="1" ht="15" customHeight="1" x14ac:dyDescent="0.2">
      <c r="A86" s="80">
        <f t="shared" ref="A86" si="797">IF(H86&gt;=0,0,1)</f>
        <v>0</v>
      </c>
      <c r="B86" s="363" t="str">
        <f>IF(ISBLANK(Materials!B86),"",Materials!B86)</f>
        <v xml:space="preserve">Expansion Joint Assemblies </v>
      </c>
      <c r="C86" s="352" t="str">
        <f>IF(ISBLANK(Materials!C86),"",Materials!C86)</f>
        <v>079513</v>
      </c>
      <c r="D86" s="352" t="str">
        <f>IF(ISBLANK(Materials!D86),"",Materials!D86)</f>
        <v/>
      </c>
      <c r="E86" s="364" t="str">
        <f>IF(ISBLANK(Materials!E86),"",Materials!E86)</f>
        <v>BCSW - 200</v>
      </c>
      <c r="F86" s="436"/>
      <c r="G86" s="365" t="str">
        <f>IF(ISBLANK(Materials!F86),"",Materials!F86)</f>
        <v>Balco</v>
      </c>
      <c r="H86" s="342">
        <f>IF(ISBLANK(Materials!G86),"",Materials!G86)</f>
        <v>0</v>
      </c>
      <c r="I86" s="223"/>
      <c r="J86" s="448"/>
      <c r="K86" s="233" t="str">
        <f t="shared" ref="K86" si="798">IF(J86="Manufacturer Declared",0.5,IF(J86="Third Party Verified",1,""))</f>
        <v/>
      </c>
      <c r="L86" s="84"/>
      <c r="M86" s="345"/>
      <c r="N86" s="346">
        <f t="shared" ref="N86" si="799">IF(M86&gt;0,(H86*0.5),0)</f>
        <v>0</v>
      </c>
      <c r="O86" s="425"/>
      <c r="P86" s="347">
        <f t="shared" ref="P86" si="800">IFERROR(O86*H86,0)*0.5</f>
        <v>0</v>
      </c>
      <c r="Q86" s="425"/>
      <c r="R86" s="347">
        <f t="shared" ref="R86" si="801">IFERROR(Q86*H86,0)</f>
        <v>0</v>
      </c>
      <c r="S86" s="427"/>
      <c r="T86" s="346">
        <f t="shared" ref="T86" si="802">IFERROR(S86*H86,0)</f>
        <v>0</v>
      </c>
      <c r="U86" s="430"/>
      <c r="V86" s="346">
        <f t="shared" ref="V86" si="803">IFERROR(U86*H86,0)*2</f>
        <v>0</v>
      </c>
      <c r="W86" s="348">
        <v>0.05</v>
      </c>
      <c r="X86" s="349">
        <v>0</v>
      </c>
      <c r="Y86" s="350">
        <f t="shared" ref="Y86" si="804">IFERROR((W86*H86)+((X86*H86)/2),0)</f>
        <v>0</v>
      </c>
      <c r="Z86" s="94"/>
      <c r="AA86" s="218"/>
      <c r="AB86" s="376">
        <f t="shared" ref="AB86" si="805">SUM(N86,P86,R86,T86,V86,Y86)</f>
        <v>0</v>
      </c>
      <c r="AC86" s="295">
        <f t="shared" ref="AC86" si="806">IFERROR((IF(AE86&lt;=AF86,AE86,IF(AE86&gt;AF86,AF86))),0)</f>
        <v>0</v>
      </c>
      <c r="AE86" s="246">
        <f t="shared" ref="AE86" si="807">IF(AA86="Yes",AB86*2,AB86)</f>
        <v>0</v>
      </c>
      <c r="AF86" s="416">
        <f t="shared" ref="AF86" si="808">H86*2</f>
        <v>0</v>
      </c>
    </row>
    <row r="87" spans="1:32" s="68" customFormat="1" ht="15" customHeight="1" x14ac:dyDescent="0.2">
      <c r="A87" s="80">
        <f t="shared" ref="A87" si="809">IF(H87&gt;=0,0,1)</f>
        <v>0</v>
      </c>
      <c r="B87" s="363" t="str">
        <f>IF(ISBLANK(Materials!B87),"",Materials!B87)</f>
        <v xml:space="preserve">Unit Masonry Anchors &amp; Ties </v>
      </c>
      <c r="C87" s="352" t="str">
        <f>IF(ISBLANK(Materials!C87),"",Materials!C87)</f>
        <v>042000</v>
      </c>
      <c r="D87" s="352" t="str">
        <f>IF(ISBLANK(Materials!D87),"",Materials!D87)</f>
        <v/>
      </c>
      <c r="E87" s="364" t="str">
        <f>IF(ISBLANK(Materials!E87),"",Materials!E87)</f>
        <v>315 Flexible Dovetail Brick Tie, HB-213-2X Veneer Anchors</v>
      </c>
      <c r="F87" s="436"/>
      <c r="G87" s="365" t="str">
        <f>IF(ISBLANK(Materials!F87),"",Materials!F87)</f>
        <v>Hohmann &amp; Barnard</v>
      </c>
      <c r="H87" s="342">
        <f>IF(ISBLANK(Materials!G87),"",Materials!G87)</f>
        <v>0</v>
      </c>
      <c r="I87" s="223"/>
      <c r="J87" s="448"/>
      <c r="K87" s="233" t="str">
        <f t="shared" ref="K87" si="810">IF(J87="Manufacturer Declared",0.5,IF(J87="Third Party Verified",1,""))</f>
        <v/>
      </c>
      <c r="L87" s="84"/>
      <c r="M87" s="345"/>
      <c r="N87" s="346">
        <f t="shared" ref="N87" si="811">IF(M87&gt;0,(H87*0.5),0)</f>
        <v>0</v>
      </c>
      <c r="O87" s="425"/>
      <c r="P87" s="347">
        <f t="shared" ref="P87" si="812">IFERROR(O87*H87,0)*0.5</f>
        <v>0</v>
      </c>
      <c r="Q87" s="425"/>
      <c r="R87" s="347">
        <f t="shared" ref="R87" si="813">IFERROR(Q87*H87,0)</f>
        <v>0</v>
      </c>
      <c r="S87" s="427"/>
      <c r="T87" s="346">
        <f t="shared" ref="T87" si="814">IFERROR(S87*H87,0)</f>
        <v>0</v>
      </c>
      <c r="U87" s="430"/>
      <c r="V87" s="346">
        <f t="shared" ref="V87" si="815">IFERROR(U87*H87,0)*2</f>
        <v>0</v>
      </c>
      <c r="W87" s="348">
        <v>0.7</v>
      </c>
      <c r="X87" s="349">
        <v>0.22</v>
      </c>
      <c r="Y87" s="350">
        <f t="shared" ref="Y87" si="816">IFERROR((W87*H87)+((X87*H87)/2),0)</f>
        <v>0</v>
      </c>
      <c r="Z87" s="94"/>
      <c r="AA87" s="218"/>
      <c r="AB87" s="376">
        <f t="shared" ref="AB87" si="817">SUM(N87,P87,R87,T87,V87,Y87)</f>
        <v>0</v>
      </c>
      <c r="AC87" s="295">
        <f t="shared" ref="AC87" si="818">IFERROR((IF(AE87&lt;=AF87,AE87,IF(AE87&gt;AF87,AF87))),0)</f>
        <v>0</v>
      </c>
      <c r="AE87" s="246">
        <f t="shared" ref="AE87" si="819">IF(AA87="Yes",AB87*2,AB87)</f>
        <v>0</v>
      </c>
      <c r="AF87" s="416">
        <f t="shared" ref="AF87" si="820">H87*2</f>
        <v>0</v>
      </c>
    </row>
    <row r="88" spans="1:32" s="68" customFormat="1" ht="15" customHeight="1" x14ac:dyDescent="0.2">
      <c r="A88" s="80">
        <f t="shared" ref="A88" si="821">IF(H88&gt;=0,0,1)</f>
        <v>0</v>
      </c>
      <c r="B88" s="363" t="str">
        <f>IF(ISBLANK(Materials!B88),"",Materials!B88)</f>
        <v>Metal Framing</v>
      </c>
      <c r="C88" s="352" t="str">
        <f>IF(ISBLANK(Materials!C88),"",Materials!C88)</f>
        <v>074213</v>
      </c>
      <c r="D88" s="352" t="str">
        <f>IF(ISBLANK(Materials!D88),"",Materials!D88)</f>
        <v/>
      </c>
      <c r="E88" s="364" t="str">
        <f>IF(ISBLANK(Materials!E88),"",Materials!E88)</f>
        <v>Custom Z-Furring Channel</v>
      </c>
      <c r="F88" s="436"/>
      <c r="G88" s="365" t="str">
        <f>IF(ISBLANK(Materials!F88),"",Materials!F88)</f>
        <v>ClarkDietrich</v>
      </c>
      <c r="H88" s="342">
        <f>IF(ISBLANK(Materials!G88),"",Materials!G88)</f>
        <v>0</v>
      </c>
      <c r="I88" s="223"/>
      <c r="J88" s="448"/>
      <c r="K88" s="233" t="str">
        <f t="shared" ref="K88" si="822">IF(J88="Manufacturer Declared",0.5,IF(J88="Third Party Verified",1,""))</f>
        <v/>
      </c>
      <c r="L88" s="84"/>
      <c r="M88" s="345"/>
      <c r="N88" s="346">
        <f t="shared" ref="N88" si="823">IF(M88&gt;0,(H88*0.5),0)</f>
        <v>0</v>
      </c>
      <c r="O88" s="425"/>
      <c r="P88" s="347">
        <f t="shared" ref="P88" si="824">IFERROR(O88*H88,0)*0.5</f>
        <v>0</v>
      </c>
      <c r="Q88" s="425"/>
      <c r="R88" s="347">
        <f t="shared" ref="R88" si="825">IFERROR(Q88*H88,0)</f>
        <v>0</v>
      </c>
      <c r="S88" s="427"/>
      <c r="T88" s="346">
        <f t="shared" ref="T88" si="826">IFERROR(S88*H88,0)</f>
        <v>0</v>
      </c>
      <c r="U88" s="430"/>
      <c r="V88" s="346">
        <f t="shared" ref="V88" si="827">IFERROR(U88*H88,0)*2</f>
        <v>0</v>
      </c>
      <c r="W88" s="348">
        <v>0.255</v>
      </c>
      <c r="X88" s="349">
        <v>6.8000000000000005E-2</v>
      </c>
      <c r="Y88" s="350">
        <f t="shared" ref="Y88" si="828">IFERROR((W88*H88)+((X88*H88)/2),0)</f>
        <v>0</v>
      </c>
      <c r="Z88" s="94"/>
      <c r="AA88" s="218"/>
      <c r="AB88" s="376">
        <f t="shared" ref="AB88" si="829">SUM(N88,P88,R88,T88,V88,Y88)</f>
        <v>0</v>
      </c>
      <c r="AC88" s="295">
        <f t="shared" ref="AC88" si="830">IFERROR((IF(AE88&lt;=AF88,AE88,IF(AE88&gt;AF88,AF88))),0)</f>
        <v>0</v>
      </c>
      <c r="AE88" s="246">
        <f t="shared" ref="AE88" si="831">IF(AA88="Yes",AB88*2,AB88)</f>
        <v>0</v>
      </c>
      <c r="AF88" s="416">
        <f t="shared" ref="AF88" si="832">H88*2</f>
        <v>0</v>
      </c>
    </row>
    <row r="89" spans="1:32" s="68" customFormat="1" ht="15" customHeight="1" x14ac:dyDescent="0.2">
      <c r="A89" s="80">
        <f t="shared" ref="A89" si="833">IF(H89&gt;=0,0,1)</f>
        <v>0</v>
      </c>
      <c r="B89" s="363" t="str">
        <f>IF(ISBLANK(Materials!B89),"",Materials!B89)</f>
        <v xml:space="preserve">Fasteners </v>
      </c>
      <c r="C89" s="352" t="str">
        <f>IF(ISBLANK(Materials!C89),"",Materials!C89)</f>
        <v>074213</v>
      </c>
      <c r="D89" s="352" t="str">
        <f>IF(ISBLANK(Materials!D89),"",Materials!D89)</f>
        <v/>
      </c>
      <c r="E89" s="364" t="str">
        <f>IF(ISBLANK(Materials!E89),"",Materials!E89)</f>
        <v>Concealor</v>
      </c>
      <c r="F89" s="436"/>
      <c r="G89" s="365" t="str">
        <f>IF(ISBLANK(Materials!F89),"",Materials!F89)</f>
        <v>Triangle Fastener</v>
      </c>
      <c r="H89" s="342">
        <f>IF(ISBLANK(Materials!G89),"",Materials!G89)</f>
        <v>0</v>
      </c>
      <c r="I89" s="223"/>
      <c r="J89" s="448"/>
      <c r="K89" s="233" t="str">
        <f t="shared" ref="K89" si="834">IF(J89="Manufacturer Declared",0.5,IF(J89="Third Party Verified",1,""))</f>
        <v/>
      </c>
      <c r="L89" s="84"/>
      <c r="M89" s="345"/>
      <c r="N89" s="346">
        <f t="shared" ref="N89" si="835">IF(M89&gt;0,(H89*0.5),0)</f>
        <v>0</v>
      </c>
      <c r="O89" s="425"/>
      <c r="P89" s="347">
        <f t="shared" ref="P89" si="836">IFERROR(O89*H89,0)*0.5</f>
        <v>0</v>
      </c>
      <c r="Q89" s="425"/>
      <c r="R89" s="347">
        <f t="shared" ref="R89" si="837">IFERROR(Q89*H89,0)</f>
        <v>0</v>
      </c>
      <c r="S89" s="427"/>
      <c r="T89" s="346">
        <f t="shared" ref="T89" si="838">IFERROR(S89*H89,0)</f>
        <v>0</v>
      </c>
      <c r="U89" s="430"/>
      <c r="V89" s="346">
        <f t="shared" ref="V89" si="839">IFERROR(U89*H89,0)*2</f>
        <v>0</v>
      </c>
      <c r="W89" s="348">
        <v>0</v>
      </c>
      <c r="X89" s="349">
        <v>0.1</v>
      </c>
      <c r="Y89" s="350">
        <f t="shared" ref="Y89" si="840">IFERROR((W89*H89)+((X89*H89)/2),0)</f>
        <v>0</v>
      </c>
      <c r="Z89" s="94"/>
      <c r="AA89" s="218"/>
      <c r="AB89" s="376">
        <f t="shared" ref="AB89" si="841">SUM(N89,P89,R89,T89,V89,Y89)</f>
        <v>0</v>
      </c>
      <c r="AC89" s="295">
        <f t="shared" ref="AC89" si="842">IFERROR((IF(AE89&lt;=AF89,AE89,IF(AE89&gt;AF89,AF89))),0)</f>
        <v>0</v>
      </c>
      <c r="AE89" s="246">
        <f t="shared" ref="AE89" si="843">IF(AA89="Yes",AB89*2,AB89)</f>
        <v>0</v>
      </c>
      <c r="AF89" s="416">
        <f t="shared" ref="AF89" si="844">H89*2</f>
        <v>0</v>
      </c>
    </row>
    <row r="90" spans="1:32" s="68" customFormat="1" ht="15" customHeight="1" x14ac:dyDescent="0.2">
      <c r="A90" s="80">
        <f t="shared" ref="A90" si="845">IF(H90&gt;=0,0,1)</f>
        <v>0</v>
      </c>
      <c r="B90" s="363" t="str">
        <f>IF(ISBLANK(Materials!B90),"",Materials!B90)</f>
        <v xml:space="preserve">Gypsum Roof Board </v>
      </c>
      <c r="C90" s="352" t="str">
        <f>IF(ISBLANK(Materials!C90),"",Materials!C90)</f>
        <v>075216</v>
      </c>
      <c r="D90" s="352" t="str">
        <f>IF(ISBLANK(Materials!D90),"",Materials!D90)</f>
        <v/>
      </c>
      <c r="E90" s="364" t="str">
        <f>IF(ISBLANK(Materials!E90),"",Materials!E90)</f>
        <v>Densdeck Prime</v>
      </c>
      <c r="F90" s="436"/>
      <c r="G90" s="365" t="str">
        <f>IF(ISBLANK(Materials!F90),"",Materials!F90)</f>
        <v>Georgia-Pacific</v>
      </c>
      <c r="H90" s="342">
        <f>IF(ISBLANK(Materials!G90),"",Materials!G90)</f>
        <v>0</v>
      </c>
      <c r="I90" s="223"/>
      <c r="J90" s="448"/>
      <c r="K90" s="233" t="str">
        <f t="shared" ref="K90" si="846">IF(J90="Manufacturer Declared",0.5,IF(J90="Third Party Verified",1,""))</f>
        <v/>
      </c>
      <c r="L90" s="84"/>
      <c r="M90" s="345"/>
      <c r="N90" s="346">
        <f t="shared" ref="N90" si="847">IF(M90&gt;0,(H90*0.5),0)</f>
        <v>0</v>
      </c>
      <c r="O90" s="425"/>
      <c r="P90" s="347">
        <f t="shared" ref="P90" si="848">IFERROR(O90*H90,0)*0.5</f>
        <v>0</v>
      </c>
      <c r="Q90" s="425"/>
      <c r="R90" s="347">
        <f t="shared" ref="R90" si="849">IFERROR(Q90*H90,0)</f>
        <v>0</v>
      </c>
      <c r="S90" s="427"/>
      <c r="T90" s="346">
        <f t="shared" ref="T90" si="850">IFERROR(S90*H90,0)</f>
        <v>0</v>
      </c>
      <c r="U90" s="430"/>
      <c r="V90" s="346">
        <f t="shared" ref="V90" si="851">IFERROR(U90*H90,0)*2</f>
        <v>0</v>
      </c>
      <c r="W90" s="348">
        <v>0</v>
      </c>
      <c r="X90" s="349">
        <v>0.3</v>
      </c>
      <c r="Y90" s="350">
        <f t="shared" ref="Y90" si="852">IFERROR((W90*H90)+((X90*H90)/2),0)</f>
        <v>0</v>
      </c>
      <c r="Z90" s="94"/>
      <c r="AA90" s="218"/>
      <c r="AB90" s="376">
        <f t="shared" ref="AB90" si="853">SUM(N90,P90,R90,T90,V90,Y90)</f>
        <v>0</v>
      </c>
      <c r="AC90" s="295">
        <f t="shared" ref="AC90" si="854">IFERROR((IF(AE90&lt;=AF90,AE90,IF(AE90&gt;AF90,AF90))),0)</f>
        <v>0</v>
      </c>
      <c r="AE90" s="246">
        <f t="shared" ref="AE90" si="855">IF(AA90="Yes",AB90*2,AB90)</f>
        <v>0</v>
      </c>
      <c r="AF90" s="416">
        <f t="shared" ref="AF90" si="856">H90*2</f>
        <v>0</v>
      </c>
    </row>
    <row r="91" spans="1:32" s="68" customFormat="1" ht="15" customHeight="1" x14ac:dyDescent="0.2">
      <c r="A91" s="80">
        <f t="shared" ref="A91" si="857">IF(H91&gt;=0,0,1)</f>
        <v>0</v>
      </c>
      <c r="B91" s="363" t="str">
        <f>IF(ISBLANK(Materials!B91),"",Materials!B91)</f>
        <v xml:space="preserve">Joint Firestopping </v>
      </c>
      <c r="C91" s="352" t="str">
        <f>IF(ISBLANK(Materials!C91),"",Materials!C91)</f>
        <v>078443</v>
      </c>
      <c r="D91" s="352" t="str">
        <f>IF(ISBLANK(Materials!D91),"",Materials!D91)</f>
        <v/>
      </c>
      <c r="E91" s="364" t="str">
        <f>IF(ISBLANK(Materials!E91),"",Materials!E91)</f>
        <v>SpecSeal AS200</v>
      </c>
      <c r="F91" s="436"/>
      <c r="G91" s="365" t="str">
        <f>IF(ISBLANK(Materials!F91),"",Materials!F91)</f>
        <v>STI</v>
      </c>
      <c r="H91" s="342">
        <f>IF(ISBLANK(Materials!G91),"",Materials!G91)</f>
        <v>0</v>
      </c>
      <c r="I91" s="223"/>
      <c r="J91" s="448"/>
      <c r="K91" s="233" t="str">
        <f t="shared" ref="K91" si="858">IF(J91="Manufacturer Declared",0.5,IF(J91="Third Party Verified",1,""))</f>
        <v/>
      </c>
      <c r="L91" s="84"/>
      <c r="M91" s="345"/>
      <c r="N91" s="346">
        <f t="shared" ref="N91" si="859">IF(M91&gt;0,(H91*0.5),0)</f>
        <v>0</v>
      </c>
      <c r="O91" s="425"/>
      <c r="P91" s="347">
        <f t="shared" ref="P91" si="860">IFERROR(O91*H91,0)*0.5</f>
        <v>0</v>
      </c>
      <c r="Q91" s="425"/>
      <c r="R91" s="347">
        <f t="shared" ref="R91" si="861">IFERROR(Q91*H91,0)</f>
        <v>0</v>
      </c>
      <c r="S91" s="427"/>
      <c r="T91" s="346">
        <f t="shared" ref="T91" si="862">IFERROR(S91*H91,0)</f>
        <v>0</v>
      </c>
      <c r="U91" s="430"/>
      <c r="V91" s="346">
        <f t="shared" ref="V91" si="863">IFERROR(U91*H91,0)*2</f>
        <v>0</v>
      </c>
      <c r="W91" s="348">
        <v>0.06</v>
      </c>
      <c r="X91" s="349">
        <v>0</v>
      </c>
      <c r="Y91" s="350">
        <f t="shared" ref="Y91" si="864">IFERROR((W91*H91)+((X91*H91)/2),0)</f>
        <v>0</v>
      </c>
      <c r="Z91" s="94"/>
      <c r="AA91" s="218"/>
      <c r="AB91" s="376">
        <f t="shared" ref="AB91" si="865">SUM(N91,P91,R91,T91,V91,Y91)</f>
        <v>0</v>
      </c>
      <c r="AC91" s="295">
        <f t="shared" ref="AC91" si="866">IFERROR((IF(AE91&lt;=AF91,AE91,IF(AE91&gt;AF91,AF91))),0)</f>
        <v>0</v>
      </c>
      <c r="AE91" s="246">
        <f t="shared" ref="AE91" si="867">IF(AA91="Yes",AB91*2,AB91)</f>
        <v>0</v>
      </c>
      <c r="AF91" s="416">
        <f t="shared" ref="AF91" si="868">H91*2</f>
        <v>0</v>
      </c>
    </row>
    <row r="92" spans="1:32" s="68" customFormat="1" ht="15" customHeight="1" x14ac:dyDescent="0.2">
      <c r="A92" s="80">
        <f t="shared" ref="A92" si="869">IF(H92&gt;=0,0,1)</f>
        <v>0</v>
      </c>
      <c r="B92" s="363" t="str">
        <f>IF(ISBLANK(Materials!B92),"",Materials!B92)</f>
        <v>Laminate</v>
      </c>
      <c r="C92" s="352" t="str">
        <f>IF(ISBLANK(Materials!C92),"",Materials!C92)</f>
        <v>081416</v>
      </c>
      <c r="D92" s="352" t="str">
        <f>IF(ISBLANK(Materials!D92),"",Materials!D92)</f>
        <v/>
      </c>
      <c r="E92" s="364" t="str">
        <f>IF(ISBLANK(Materials!E92),"",Materials!E92)</f>
        <v>Standard (cost included with wood door cost above)</v>
      </c>
      <c r="F92" s="436"/>
      <c r="G92" s="365" t="str">
        <f>IF(ISBLANK(Materials!F92),"",Materials!F92)</f>
        <v>Wilsonart</v>
      </c>
      <c r="H92" s="342" t="str">
        <f>IF(ISBLANK(Materials!G92),"",Materials!G92)</f>
        <v/>
      </c>
      <c r="I92" s="223"/>
      <c r="J92" s="448"/>
      <c r="K92" s="233" t="str">
        <f t="shared" ref="K92" si="870">IF(J92="Manufacturer Declared",0.5,IF(J92="Third Party Verified",1,""))</f>
        <v/>
      </c>
      <c r="L92" s="84"/>
      <c r="M92" s="345"/>
      <c r="N92" s="346">
        <f t="shared" ref="N92" si="871">IF(M92&gt;0,(H92*0.5),0)</f>
        <v>0</v>
      </c>
      <c r="O92" s="425"/>
      <c r="P92" s="347">
        <f t="shared" ref="P92" si="872">IFERROR(O92*H92,0)*0.5</f>
        <v>0</v>
      </c>
      <c r="Q92" s="425"/>
      <c r="R92" s="347">
        <f t="shared" ref="R92" si="873">IFERROR(Q92*H92,0)</f>
        <v>0</v>
      </c>
      <c r="S92" s="427"/>
      <c r="T92" s="346">
        <f t="shared" ref="T92" si="874">IFERROR(S92*H92,0)</f>
        <v>0</v>
      </c>
      <c r="U92" s="430"/>
      <c r="V92" s="346">
        <f t="shared" ref="V92" si="875">IFERROR(U92*H92,0)*2</f>
        <v>0</v>
      </c>
      <c r="W92" s="348">
        <v>0.17</v>
      </c>
      <c r="X92" s="349">
        <v>0</v>
      </c>
      <c r="Y92" s="350">
        <f t="shared" ref="Y92" si="876">IFERROR((W92*H92)+((X92*H92)/2),0)</f>
        <v>0</v>
      </c>
      <c r="Z92" s="94"/>
      <c r="AA92" s="218"/>
      <c r="AB92" s="376">
        <f t="shared" ref="AB92" si="877">SUM(N92,P92,R92,T92,V92,Y92)</f>
        <v>0</v>
      </c>
      <c r="AC92" s="295">
        <f t="shared" ref="AC92" si="878">IFERROR((IF(AE92&lt;=AF92,AE92,IF(AE92&gt;AF92,AF92))),0)</f>
        <v>0</v>
      </c>
      <c r="AE92" s="246">
        <f t="shared" ref="AE92" si="879">IF(AA92="Yes",AB92*2,AB92)</f>
        <v>0</v>
      </c>
      <c r="AF92" s="416" t="e">
        <f t="shared" ref="AF92" si="880">H92*2</f>
        <v>#VALUE!</v>
      </c>
    </row>
    <row r="93" spans="1:32" s="68" customFormat="1" ht="15" customHeight="1" x14ac:dyDescent="0.2">
      <c r="A93" s="80">
        <f t="shared" ref="A93" si="881">IF(H93&gt;=0,0,1)</f>
        <v>0</v>
      </c>
      <c r="B93" s="363" t="str">
        <f>IF(ISBLANK(Materials!B93),"",Materials!B93)</f>
        <v>Aluminum-Framed Storefronts, Entranes &amp; Curtain Wall</v>
      </c>
      <c r="C93" s="352" t="str">
        <f>IF(ISBLANK(Materials!C93),"",Materials!C93)</f>
        <v>084113, 084413</v>
      </c>
      <c r="D93" s="352" t="str">
        <f>IF(ISBLANK(Materials!D93),"",Materials!D93)</f>
        <v/>
      </c>
      <c r="E93" s="364" t="str">
        <f>IF(ISBLANK(Materials!E93),"",Materials!E93)</f>
        <v>Encore, 500 &amp; 1600 Wall System 1 and 1600 Wall System 2</v>
      </c>
      <c r="F93" s="436"/>
      <c r="G93" s="365" t="str">
        <f>IF(ISBLANK(Materials!F93),"",Materials!F93)</f>
        <v>Kawneer</v>
      </c>
      <c r="H93" s="342">
        <f>IF(ISBLANK(Materials!G93),"",Materials!G93)</f>
        <v>0</v>
      </c>
      <c r="I93" s="223"/>
      <c r="J93" s="448"/>
      <c r="K93" s="233" t="str">
        <f t="shared" ref="K93" si="882">IF(J93="Manufacturer Declared",0.5,IF(J93="Third Party Verified",1,""))</f>
        <v/>
      </c>
      <c r="L93" s="84"/>
      <c r="M93" s="345"/>
      <c r="N93" s="346">
        <f t="shared" ref="N93" si="883">IF(M93&gt;0,(H93*0.5),0)</f>
        <v>0</v>
      </c>
      <c r="O93" s="425"/>
      <c r="P93" s="347">
        <f t="shared" ref="P93" si="884">IFERROR(O93*H93,0)*0.5</f>
        <v>0</v>
      </c>
      <c r="Q93" s="425"/>
      <c r="R93" s="347">
        <f t="shared" ref="R93" si="885">IFERROR(Q93*H93,0)</f>
        <v>0</v>
      </c>
      <c r="S93" s="427"/>
      <c r="T93" s="346">
        <f t="shared" ref="T93" si="886">IFERROR(S93*H93,0)</f>
        <v>0</v>
      </c>
      <c r="U93" s="430"/>
      <c r="V93" s="346">
        <f t="shared" ref="V93" si="887">IFERROR(U93*H93,0)*2</f>
        <v>0</v>
      </c>
      <c r="W93" s="348">
        <v>0</v>
      </c>
      <c r="X93" s="349">
        <v>0.5</v>
      </c>
      <c r="Y93" s="350">
        <f t="shared" ref="Y93" si="888">IFERROR((W93*H93)+((X93*H93)/2),0)</f>
        <v>0</v>
      </c>
      <c r="Z93" s="94"/>
      <c r="AA93" s="218"/>
      <c r="AB93" s="376">
        <f t="shared" ref="AB93" si="889">SUM(N93,P93,R93,T93,V93,Y93)</f>
        <v>0</v>
      </c>
      <c r="AC93" s="295">
        <f t="shared" ref="AC93" si="890">IFERROR((IF(AE93&lt;=AF93,AE93,IF(AE93&gt;AF93,AF93))),0)</f>
        <v>0</v>
      </c>
      <c r="AE93" s="246">
        <f t="shared" ref="AE93" si="891">IF(AA93="Yes",AB93*2,AB93)</f>
        <v>0</v>
      </c>
      <c r="AF93" s="416">
        <f t="shared" ref="AF93" si="892">H93*2</f>
        <v>0</v>
      </c>
    </row>
    <row r="94" spans="1:32" s="68" customFormat="1" ht="15" customHeight="1" x14ac:dyDescent="0.2">
      <c r="A94" s="80">
        <f t="shared" ref="A94" si="893">IF(H94&gt;=0,0,1)</f>
        <v>0</v>
      </c>
      <c r="B94" s="363" t="str">
        <f>IF(ISBLANK(Materials!B94),"",Materials!B94)</f>
        <v>Automatic Closer</v>
      </c>
      <c r="C94" s="352" t="str">
        <f>IF(ISBLANK(Materials!C94),"",Materials!C94)</f>
        <v>087100</v>
      </c>
      <c r="D94" s="352" t="str">
        <f>IF(ISBLANK(Materials!D94),"",Materials!D94)</f>
        <v/>
      </c>
      <c r="E94" s="364" t="str">
        <f>IF(ISBLANK(Materials!E94),"",Materials!E94)</f>
        <v>Auto Equalizer 4642 (cost n/a)</v>
      </c>
      <c r="F94" s="436"/>
      <c r="G94" s="365" t="str">
        <f>IF(ISBLANK(Materials!F94),"",Materials!F94)</f>
        <v>LCN-Allegion</v>
      </c>
      <c r="H94" s="342" t="str">
        <f>IF(ISBLANK(Materials!G94),"",Materials!G94)</f>
        <v/>
      </c>
      <c r="I94" s="223"/>
      <c r="J94" s="448"/>
      <c r="K94" s="233" t="str">
        <f t="shared" ref="K94" si="894">IF(J94="Manufacturer Declared",0.5,IF(J94="Third Party Verified",1,""))</f>
        <v/>
      </c>
      <c r="L94" s="84"/>
      <c r="M94" s="345"/>
      <c r="N94" s="346">
        <f t="shared" ref="N94" si="895">IF(M94&gt;0,(H94*0.5),0)</f>
        <v>0</v>
      </c>
      <c r="O94" s="425"/>
      <c r="P94" s="347">
        <f t="shared" ref="P94" si="896">IFERROR(O94*H94,0)*0.5</f>
        <v>0</v>
      </c>
      <c r="Q94" s="425"/>
      <c r="R94" s="347">
        <f t="shared" ref="R94" si="897">IFERROR(Q94*H94,0)</f>
        <v>0</v>
      </c>
      <c r="S94" s="427"/>
      <c r="T94" s="346">
        <f t="shared" ref="T94" si="898">IFERROR(S94*H94,0)</f>
        <v>0</v>
      </c>
      <c r="U94" s="430"/>
      <c r="V94" s="346">
        <f t="shared" ref="V94" si="899">IFERROR(U94*H94,0)*2</f>
        <v>0</v>
      </c>
      <c r="W94" s="348">
        <v>0.49099999999999999</v>
      </c>
      <c r="X94" s="349">
        <v>0.32400000000000001</v>
      </c>
      <c r="Y94" s="350">
        <f t="shared" ref="Y94" si="900">IFERROR((W94*H94)+((X94*H94)/2),0)</f>
        <v>0</v>
      </c>
      <c r="Z94" s="94"/>
      <c r="AA94" s="218"/>
      <c r="AB94" s="376">
        <f t="shared" ref="AB94" si="901">SUM(N94,P94,R94,T94,V94,Y94)</f>
        <v>0</v>
      </c>
      <c r="AC94" s="295">
        <f t="shared" ref="AC94" si="902">IFERROR((IF(AE94&lt;=AF94,AE94,IF(AE94&gt;AF94,AF94))),0)</f>
        <v>0</v>
      </c>
      <c r="AE94" s="246">
        <f t="shared" ref="AE94" si="903">IF(AA94="Yes",AB94*2,AB94)</f>
        <v>0</v>
      </c>
      <c r="AF94" s="416" t="e">
        <f t="shared" ref="AF94" si="904">H94*2</f>
        <v>#VALUE!</v>
      </c>
    </row>
    <row r="95" spans="1:32" s="68" customFormat="1" ht="15" customHeight="1" x14ac:dyDescent="0.2">
      <c r="A95" s="80">
        <f t="shared" ref="A95" si="905">IF(H95&gt;=0,0,1)</f>
        <v>0</v>
      </c>
      <c r="B95" s="363" t="str">
        <f>IF(ISBLANK(Materials!B95),"",Materials!B95)</f>
        <v xml:space="preserve">Glazing </v>
      </c>
      <c r="C95" s="352" t="str">
        <f>IF(ISBLANK(Materials!C95),"",Materials!C95)</f>
        <v>088000</v>
      </c>
      <c r="D95" s="352" t="str">
        <f>IF(ISBLANK(Materials!D95),"",Materials!D95)</f>
        <v/>
      </c>
      <c r="E95" s="364" t="str">
        <f>IF(ISBLANK(Materials!E95),"",Materials!E95)</f>
        <v>Guardian Clear, Guardian SunGuard, Clear Insulated W/SNX 62/27, Insulated Spandrel W/SNX 62/27, Clear Tempered</v>
      </c>
      <c r="F95" s="436"/>
      <c r="G95" s="365" t="str">
        <f>IF(ISBLANK(Materials!F95),"",Materials!F95)</f>
        <v>OBE</v>
      </c>
      <c r="H95" s="342">
        <f>IF(ISBLANK(Materials!G95),"",Materials!G95)</f>
        <v>0</v>
      </c>
      <c r="I95" s="223"/>
      <c r="J95" s="448"/>
      <c r="K95" s="233" t="str">
        <f t="shared" ref="K95" si="906">IF(J95="Manufacturer Declared",0.5,IF(J95="Third Party Verified",1,""))</f>
        <v/>
      </c>
      <c r="L95" s="84"/>
      <c r="M95" s="345"/>
      <c r="N95" s="346">
        <f t="shared" ref="N95" si="907">IF(M95&gt;0,(H95*0.5),0)</f>
        <v>0</v>
      </c>
      <c r="O95" s="425"/>
      <c r="P95" s="347">
        <f t="shared" ref="P95" si="908">IFERROR(O95*H95,0)*0.5</f>
        <v>0</v>
      </c>
      <c r="Q95" s="425"/>
      <c r="R95" s="347">
        <f t="shared" ref="R95" si="909">IFERROR(Q95*H95,0)</f>
        <v>0</v>
      </c>
      <c r="S95" s="427"/>
      <c r="T95" s="346">
        <f t="shared" ref="T95" si="910">IFERROR(S95*H95,0)</f>
        <v>0</v>
      </c>
      <c r="U95" s="430"/>
      <c r="V95" s="346">
        <f t="shared" ref="V95" si="911">IFERROR(U95*H95,0)*2</f>
        <v>0</v>
      </c>
      <c r="W95" s="348">
        <v>0</v>
      </c>
      <c r="X95" s="349"/>
      <c r="Y95" s="350">
        <f t="shared" ref="Y95" si="912">IFERROR((W95*H95)+((X95*H95)/2),0)</f>
        <v>0</v>
      </c>
      <c r="Z95" s="94"/>
      <c r="AA95" s="218"/>
      <c r="AB95" s="376">
        <f t="shared" ref="AB95" si="913">SUM(N95,P95,R95,T95,V95,Y95)</f>
        <v>0</v>
      </c>
      <c r="AC95" s="295">
        <f t="shared" ref="AC95" si="914">IFERROR((IF(AE95&lt;=AF95,AE95,IF(AE95&gt;AF95,AF95))),0)</f>
        <v>0</v>
      </c>
      <c r="AE95" s="246">
        <f t="shared" ref="AE95" si="915">IF(AA95="Yes",AB95*2,AB95)</f>
        <v>0</v>
      </c>
      <c r="AF95" s="416">
        <f t="shared" ref="AF95" si="916">H95*2</f>
        <v>0</v>
      </c>
    </row>
    <row r="96" spans="1:32" s="68" customFormat="1" ht="15" customHeight="1" x14ac:dyDescent="0.2">
      <c r="A96" s="80">
        <f t="shared" ref="A96" si="917">IF(H96&gt;=0,0,1)</f>
        <v>0</v>
      </c>
      <c r="B96" s="363" t="str">
        <f>IF(ISBLANK(Materials!B96),"",Materials!B96)</f>
        <v xml:space="preserve">Metal Lath </v>
      </c>
      <c r="C96" s="352" t="str">
        <f>IF(ISBLANK(Materials!C96),"",Materials!C96)</f>
        <v>092400</v>
      </c>
      <c r="D96" s="352" t="str">
        <f>IF(ISBLANK(Materials!D96),"",Materials!D96)</f>
        <v/>
      </c>
      <c r="E96" s="364" t="str">
        <f>IF(ISBLANK(Materials!E96),"",Materials!E96)</f>
        <v>Self-Furred Diamond</v>
      </c>
      <c r="F96" s="436"/>
      <c r="G96" s="365" t="str">
        <f>IF(ISBLANK(Materials!F96),"",Materials!F96)</f>
        <v>Cemco</v>
      </c>
      <c r="H96" s="342">
        <f>IF(ISBLANK(Materials!G96),"",Materials!G96)</f>
        <v>0</v>
      </c>
      <c r="I96" s="223"/>
      <c r="J96" s="448"/>
      <c r="K96" s="233" t="str">
        <f t="shared" ref="K96" si="918">IF(J96="Manufacturer Declared",0.5,IF(J96="Third Party Verified",1,""))</f>
        <v/>
      </c>
      <c r="L96" s="84"/>
      <c r="M96" s="345"/>
      <c r="N96" s="346">
        <f t="shared" ref="N96" si="919">IF(M96&gt;0,(H96*0.5),0)</f>
        <v>0</v>
      </c>
      <c r="O96" s="425"/>
      <c r="P96" s="347">
        <f t="shared" ref="P96" si="920">IFERROR(O96*H96,0)*0.5</f>
        <v>0</v>
      </c>
      <c r="Q96" s="425"/>
      <c r="R96" s="347">
        <f t="shared" ref="R96" si="921">IFERROR(Q96*H96,0)</f>
        <v>0</v>
      </c>
      <c r="S96" s="427"/>
      <c r="T96" s="346">
        <f t="shared" ref="T96" si="922">IFERROR(S96*H96,0)</f>
        <v>0</v>
      </c>
      <c r="U96" s="430"/>
      <c r="V96" s="346">
        <f t="shared" ref="V96" si="923">IFERROR(U96*H96,0)*2</f>
        <v>0</v>
      </c>
      <c r="W96" s="348">
        <v>0.19800000000000001</v>
      </c>
      <c r="X96" s="349">
        <v>0.14399999999999999</v>
      </c>
      <c r="Y96" s="350">
        <f t="shared" ref="Y96" si="924">IFERROR((W96*H96)+((X96*H96)/2),0)</f>
        <v>0</v>
      </c>
      <c r="Z96" s="94"/>
      <c r="AA96" s="218"/>
      <c r="AB96" s="376">
        <f t="shared" ref="AB96" si="925">SUM(N96,P96,R96,T96,V96,Y96)</f>
        <v>0</v>
      </c>
      <c r="AC96" s="295">
        <f t="shared" ref="AC96" si="926">IFERROR((IF(AE96&lt;=AF96,AE96,IF(AE96&gt;AF96,AF96))),0)</f>
        <v>0</v>
      </c>
      <c r="AE96" s="246">
        <f t="shared" ref="AE96" si="927">IF(AA96="Yes",AB96*2,AB96)</f>
        <v>0</v>
      </c>
      <c r="AF96" s="416">
        <f t="shared" ref="AF96" si="928">H96*2</f>
        <v>0</v>
      </c>
    </row>
    <row r="97" spans="1:32" s="68" customFormat="1" ht="15" customHeight="1" x14ac:dyDescent="0.2">
      <c r="A97" s="80">
        <f t="shared" ref="A97" si="929">IF(H97&gt;=0,0,1)</f>
        <v>0</v>
      </c>
      <c r="B97" s="363" t="str">
        <f>IF(ISBLANK(Materials!B97),"",Materials!B97)</f>
        <v xml:space="preserve">Ceramic Wall Tiles </v>
      </c>
      <c r="C97" s="352" t="str">
        <f>IF(ISBLANK(Materials!C97),"",Materials!C97)</f>
        <v>093013</v>
      </c>
      <c r="D97" s="352" t="str">
        <f>IF(ISBLANK(Materials!D97),"",Materials!D97)</f>
        <v/>
      </c>
      <c r="E97" s="364" t="str">
        <f>IF(ISBLANK(Materials!E97),"",Materials!E97)</f>
        <v>?</v>
      </c>
      <c r="F97" s="436"/>
      <c r="G97" s="365" t="str">
        <f>IF(ISBLANK(Materials!F97),"",Materials!F97)</f>
        <v>Spec Mix?</v>
      </c>
      <c r="H97" s="342" t="str">
        <f>IF(ISBLANK(Materials!G97),"",Materials!G97)</f>
        <v/>
      </c>
      <c r="I97" s="223"/>
      <c r="J97" s="448"/>
      <c r="K97" s="233" t="str">
        <f t="shared" ref="K97" si="930">IF(J97="Manufacturer Declared",0.5,IF(J97="Third Party Verified",1,""))</f>
        <v/>
      </c>
      <c r="L97" s="84"/>
      <c r="M97" s="345"/>
      <c r="N97" s="346">
        <f t="shared" ref="N97" si="931">IF(M97&gt;0,(H97*0.5),0)</f>
        <v>0</v>
      </c>
      <c r="O97" s="425"/>
      <c r="P97" s="347">
        <f t="shared" ref="P97" si="932">IFERROR(O97*H97,0)*0.5</f>
        <v>0</v>
      </c>
      <c r="Q97" s="425"/>
      <c r="R97" s="347">
        <f t="shared" ref="R97" si="933">IFERROR(Q97*H97,0)</f>
        <v>0</v>
      </c>
      <c r="S97" s="427"/>
      <c r="T97" s="346">
        <f t="shared" ref="T97" si="934">IFERROR(S97*H97,0)</f>
        <v>0</v>
      </c>
      <c r="U97" s="430"/>
      <c r="V97" s="346">
        <f t="shared" ref="V97" si="935">IFERROR(U97*H97,0)*2</f>
        <v>0</v>
      </c>
      <c r="W97" s="348"/>
      <c r="X97" s="349"/>
      <c r="Y97" s="350">
        <f t="shared" ref="Y97" si="936">IFERROR((W97*H97)+((X97*H97)/2),0)</f>
        <v>0</v>
      </c>
      <c r="Z97" s="94"/>
      <c r="AA97" s="218"/>
      <c r="AB97" s="376">
        <f t="shared" ref="AB97" si="937">SUM(N97,P97,R97,T97,V97,Y97)</f>
        <v>0</v>
      </c>
      <c r="AC97" s="295">
        <f t="shared" ref="AC97" si="938">IFERROR((IF(AE97&lt;=AF97,AE97,IF(AE97&gt;AF97,AF97))),0)</f>
        <v>0</v>
      </c>
      <c r="AE97" s="246">
        <f t="shared" ref="AE97" si="939">IF(AA97="Yes",AB97*2,AB97)</f>
        <v>0</v>
      </c>
      <c r="AF97" s="416" t="e">
        <f t="shared" ref="AF97" si="940">H97*2</f>
        <v>#VALUE!</v>
      </c>
    </row>
    <row r="98" spans="1:32" s="68" customFormat="1" ht="15" customHeight="1" x14ac:dyDescent="0.2">
      <c r="A98" s="80">
        <f t="shared" ref="A98" si="941">IF(H98&gt;=0,0,1)</f>
        <v>0</v>
      </c>
      <c r="B98" s="363" t="str">
        <f>IF(ISBLANK(Materials!B98),"",Materials!B98)</f>
        <v>Grout</v>
      </c>
      <c r="C98" s="352" t="str">
        <f>IF(ISBLANK(Materials!C98),"",Materials!C98)</f>
        <v>093013</v>
      </c>
      <c r="D98" s="352" t="str">
        <f>IF(ISBLANK(Materials!D98),"",Materials!D98)</f>
        <v/>
      </c>
      <c r="E98" s="364" t="str">
        <f>IF(ISBLANK(Materials!E98),"",Materials!E98)</f>
        <v>?</v>
      </c>
      <c r="F98" s="436"/>
      <c r="G98" s="365" t="str">
        <f>IF(ISBLANK(Materials!F98),"",Materials!F98)</f>
        <v>Laticrete</v>
      </c>
      <c r="H98" s="342" t="str">
        <f>IF(ISBLANK(Materials!G98),"",Materials!G98)</f>
        <v/>
      </c>
      <c r="I98" s="223"/>
      <c r="J98" s="448"/>
      <c r="K98" s="233" t="str">
        <f t="shared" ref="K98" si="942">IF(J98="Manufacturer Declared",0.5,IF(J98="Third Party Verified",1,""))</f>
        <v/>
      </c>
      <c r="L98" s="84"/>
      <c r="M98" s="345"/>
      <c r="N98" s="346">
        <f t="shared" ref="N98" si="943">IF(M98&gt;0,(H98*0.5),0)</f>
        <v>0</v>
      </c>
      <c r="O98" s="425"/>
      <c r="P98" s="347">
        <f t="shared" ref="P98" si="944">IFERROR(O98*H98,0)*0.5</f>
        <v>0</v>
      </c>
      <c r="Q98" s="425"/>
      <c r="R98" s="347">
        <f t="shared" ref="R98" si="945">IFERROR(Q98*H98,0)</f>
        <v>0</v>
      </c>
      <c r="S98" s="427"/>
      <c r="T98" s="346">
        <f t="shared" ref="T98" si="946">IFERROR(S98*H98,0)</f>
        <v>0</v>
      </c>
      <c r="U98" s="430"/>
      <c r="V98" s="346">
        <f t="shared" ref="V98" si="947">IFERROR(U98*H98,0)*2</f>
        <v>0</v>
      </c>
      <c r="W98" s="348"/>
      <c r="X98" s="349"/>
      <c r="Y98" s="350">
        <f t="shared" ref="Y98" si="948">IFERROR((W98*H98)+((X98*H98)/2),0)</f>
        <v>0</v>
      </c>
      <c r="Z98" s="94"/>
      <c r="AA98" s="218"/>
      <c r="AB98" s="376">
        <f t="shared" ref="AB98" si="949">SUM(N98,P98,R98,T98,V98,Y98)</f>
        <v>0</v>
      </c>
      <c r="AC98" s="295">
        <f t="shared" ref="AC98" si="950">IFERROR((IF(AE98&lt;=AF98,AE98,IF(AE98&gt;AF98,AF98))),0)</f>
        <v>0</v>
      </c>
      <c r="AE98" s="246">
        <f t="shared" ref="AE98" si="951">IF(AA98="Yes",AB98*2,AB98)</f>
        <v>0</v>
      </c>
      <c r="AF98" s="416" t="e">
        <f t="shared" ref="AF98" si="952">H98*2</f>
        <v>#VALUE!</v>
      </c>
    </row>
    <row r="99" spans="1:32" s="68" customFormat="1" ht="15" customHeight="1" x14ac:dyDescent="0.2">
      <c r="A99" s="80">
        <f t="shared" ref="A99" si="953">IF(H99&gt;=0,0,1)</f>
        <v>0</v>
      </c>
      <c r="B99" s="363" t="str">
        <f>IF(ISBLANK(Materials!B99),"",Materials!B99)</f>
        <v>Ceramic Floor Tiles</v>
      </c>
      <c r="C99" s="352" t="str">
        <f>IF(ISBLANK(Materials!C99),"",Materials!C99)</f>
        <v>093013</v>
      </c>
      <c r="D99" s="352" t="str">
        <f>IF(ISBLANK(Materials!D99),"",Materials!D99)</f>
        <v/>
      </c>
      <c r="E99" s="364" t="str">
        <f>IF(ISBLANK(Materials!E99),"",Materials!E99)</f>
        <v>Union Mosaic Tile?, Marble Threshold?</v>
      </c>
      <c r="F99" s="436"/>
      <c r="G99" s="365" t="str">
        <f>IF(ISBLANK(Materials!F99),"",Materials!F99)</f>
        <v>?</v>
      </c>
      <c r="H99" s="342" t="str">
        <f>IF(ISBLANK(Materials!G99),"",Materials!G99)</f>
        <v/>
      </c>
      <c r="I99" s="223"/>
      <c r="J99" s="448"/>
      <c r="K99" s="233" t="str">
        <f t="shared" ref="K99" si="954">IF(J99="Manufacturer Declared",0.5,IF(J99="Third Party Verified",1,""))</f>
        <v/>
      </c>
      <c r="L99" s="84"/>
      <c r="M99" s="345"/>
      <c r="N99" s="346">
        <f t="shared" ref="N99" si="955">IF(M99&gt;0,(H99*0.5),0)</f>
        <v>0</v>
      </c>
      <c r="O99" s="425"/>
      <c r="P99" s="347">
        <f t="shared" ref="P99" si="956">IFERROR(O99*H99,0)*0.5</f>
        <v>0</v>
      </c>
      <c r="Q99" s="425"/>
      <c r="R99" s="347">
        <f t="shared" ref="R99" si="957">IFERROR(Q99*H99,0)</f>
        <v>0</v>
      </c>
      <c r="S99" s="427"/>
      <c r="T99" s="346">
        <f t="shared" ref="T99" si="958">IFERROR(S99*H99,0)</f>
        <v>0</v>
      </c>
      <c r="U99" s="430"/>
      <c r="V99" s="346">
        <f t="shared" ref="V99" si="959">IFERROR(U99*H99,0)*2</f>
        <v>0</v>
      </c>
      <c r="W99" s="348"/>
      <c r="X99" s="349"/>
      <c r="Y99" s="350">
        <f t="shared" ref="Y99" si="960">IFERROR((W99*H99)+((X99*H99)/2),0)</f>
        <v>0</v>
      </c>
      <c r="Z99" s="94"/>
      <c r="AA99" s="218"/>
      <c r="AB99" s="376">
        <f t="shared" ref="AB99" si="961">SUM(N99,P99,R99,T99,V99,Y99)</f>
        <v>0</v>
      </c>
      <c r="AC99" s="295">
        <f t="shared" ref="AC99" si="962">IFERROR((IF(AE99&lt;=AF99,AE99,IF(AE99&gt;AF99,AF99))),0)</f>
        <v>0</v>
      </c>
      <c r="AE99" s="246">
        <f t="shared" ref="AE99" si="963">IF(AA99="Yes",AB99*2,AB99)</f>
        <v>0</v>
      </c>
      <c r="AF99" s="416" t="e">
        <f t="shared" ref="AF99" si="964">H99*2</f>
        <v>#VALUE!</v>
      </c>
    </row>
    <row r="100" spans="1:32" s="68" customFormat="1" ht="15" customHeight="1" x14ac:dyDescent="0.2">
      <c r="A100" s="80">
        <f t="shared" ref="A100" si="965">IF(H100&gt;=0,0,1)</f>
        <v>0</v>
      </c>
      <c r="B100" s="363" t="str">
        <f>IF(ISBLANK(Materials!B100),"",Materials!B100)</f>
        <v xml:space="preserve">Porcelain Wall Tiles </v>
      </c>
      <c r="C100" s="352" t="str">
        <f>IF(ISBLANK(Materials!C100),"",Materials!C100)</f>
        <v>093013</v>
      </c>
      <c r="D100" s="352" t="str">
        <f>IF(ISBLANK(Materials!D100),"",Materials!D100)</f>
        <v/>
      </c>
      <c r="E100" s="364" t="str">
        <f>IF(ISBLANK(Materials!E100),"",Materials!E100)</f>
        <v>Simpatico</v>
      </c>
      <c r="F100" s="436"/>
      <c r="G100" s="365" t="str">
        <f>IF(ISBLANK(Materials!F100),"",Materials!F100)</f>
        <v>Crossville</v>
      </c>
      <c r="H100" s="342">
        <f>IF(ISBLANK(Materials!G100),"",Materials!G100)</f>
        <v>0</v>
      </c>
      <c r="I100" s="223"/>
      <c r="J100" s="448"/>
      <c r="K100" s="233" t="str">
        <f t="shared" ref="K100" si="966">IF(J100="Manufacturer Declared",0.5,IF(J100="Third Party Verified",1,""))</f>
        <v/>
      </c>
      <c r="L100" s="84"/>
      <c r="M100" s="345" t="s">
        <v>406</v>
      </c>
      <c r="N100" s="346">
        <f t="shared" ref="N100" si="967">IF(M100&gt;0,(H100*0.5),0)</f>
        <v>0</v>
      </c>
      <c r="O100" s="425"/>
      <c r="P100" s="347">
        <f t="shared" ref="P100" si="968">IFERROR(O100*H100,0)*0.5</f>
        <v>0</v>
      </c>
      <c r="Q100" s="425"/>
      <c r="R100" s="347">
        <f t="shared" ref="R100" si="969">IFERROR(Q100*H100,0)</f>
        <v>0</v>
      </c>
      <c r="S100" s="427"/>
      <c r="T100" s="346">
        <f t="shared" ref="T100" si="970">IFERROR(S100*H100,0)</f>
        <v>0</v>
      </c>
      <c r="U100" s="430"/>
      <c r="V100" s="346">
        <f t="shared" ref="V100" si="971">IFERROR(U100*H100,0)*2</f>
        <v>0</v>
      </c>
      <c r="W100" s="348">
        <v>0</v>
      </c>
      <c r="X100" s="349">
        <v>0.04</v>
      </c>
      <c r="Y100" s="350">
        <f t="shared" ref="Y100" si="972">IFERROR((W100*H100)+((X100*H100)/2),0)</f>
        <v>0</v>
      </c>
      <c r="Z100" s="94"/>
      <c r="AA100" s="218"/>
      <c r="AB100" s="376">
        <f t="shared" ref="AB100" si="973">SUM(N100,P100,R100,T100,V100,Y100)</f>
        <v>0</v>
      </c>
      <c r="AC100" s="295">
        <f t="shared" ref="AC100" si="974">IFERROR((IF(AE100&lt;=AF100,AE100,IF(AE100&gt;AF100,AF100))),0)</f>
        <v>0</v>
      </c>
      <c r="AE100" s="246">
        <f t="shared" ref="AE100" si="975">IF(AA100="Yes",AB100*2,AB100)</f>
        <v>0</v>
      </c>
      <c r="AF100" s="416">
        <f t="shared" ref="AF100" si="976">H100*2</f>
        <v>0</v>
      </c>
    </row>
    <row r="101" spans="1:32" s="68" customFormat="1" ht="15" customHeight="1" x14ac:dyDescent="0.2">
      <c r="A101" s="80">
        <f t="shared" ref="A101" si="977">IF(H101&gt;=0,0,1)</f>
        <v>0</v>
      </c>
      <c r="B101" s="363" t="str">
        <f>IF(ISBLANK(Materials!B101),"",Materials!B101)</f>
        <v xml:space="preserve">Rubber Wall Base </v>
      </c>
      <c r="C101" s="352" t="str">
        <f>IF(ISBLANK(Materials!C101),"",Materials!C101)</f>
        <v>096513</v>
      </c>
      <c r="D101" s="352" t="str">
        <f>IF(ISBLANK(Materials!D101),"",Materials!D101)</f>
        <v/>
      </c>
      <c r="E101" s="364" t="str">
        <f>IF(ISBLANK(Materials!E101),"",Materials!E101)</f>
        <v>BaseWorks TS</v>
      </c>
      <c r="F101" s="436"/>
      <c r="G101" s="365" t="str">
        <f>IF(ISBLANK(Materials!F101),"",Materials!F101)</f>
        <v>Tarkett</v>
      </c>
      <c r="H101" s="342">
        <f>IF(ISBLANK(Materials!G101),"",Materials!G101)</f>
        <v>4601</v>
      </c>
      <c r="I101" s="223"/>
      <c r="J101" s="448"/>
      <c r="K101" s="233" t="str">
        <f t="shared" ref="K101" si="978">IF(J101="Manufacturer Declared",0.5,IF(J101="Third Party Verified",1,""))</f>
        <v/>
      </c>
      <c r="L101" s="84"/>
      <c r="M101" s="345" t="s">
        <v>412</v>
      </c>
      <c r="N101" s="346">
        <f t="shared" ref="N101" si="979">IF(M101&gt;0,(H101*0.5),0)</f>
        <v>2300.5</v>
      </c>
      <c r="O101" s="425"/>
      <c r="P101" s="347">
        <f t="shared" ref="P101" si="980">IFERROR(O101*H101,0)*0.5</f>
        <v>0</v>
      </c>
      <c r="Q101" s="425"/>
      <c r="R101" s="347">
        <f t="shared" ref="R101" si="981">IFERROR(Q101*H101,0)</f>
        <v>0</v>
      </c>
      <c r="S101" s="427"/>
      <c r="T101" s="346">
        <f t="shared" ref="T101" si="982">IFERROR(S101*H101,0)</f>
        <v>0</v>
      </c>
      <c r="U101" s="430"/>
      <c r="V101" s="346">
        <f t="shared" ref="V101" si="983">IFERROR(U101*H101,0)*2</f>
        <v>0</v>
      </c>
      <c r="W101" s="348">
        <v>0</v>
      </c>
      <c r="X101" s="349">
        <v>0</v>
      </c>
      <c r="Y101" s="350">
        <f t="shared" ref="Y101" si="984">IFERROR((W101*H101)+((X101*H101)/2),0)</f>
        <v>0</v>
      </c>
      <c r="Z101" s="94"/>
      <c r="AA101" s="218"/>
      <c r="AB101" s="376">
        <f t="shared" ref="AB101" si="985">SUM(N101,P101,R101,T101,V101,Y101)</f>
        <v>2300.5</v>
      </c>
      <c r="AC101" s="295">
        <f t="shared" ref="AC101" si="986">IFERROR((IF(AE101&lt;=AF101,AE101,IF(AE101&gt;AF101,AF101))),0)</f>
        <v>2300.5</v>
      </c>
      <c r="AE101" s="246">
        <f t="shared" ref="AE101" si="987">IF(AA101="Yes",AB101*2,AB101)</f>
        <v>2300.5</v>
      </c>
      <c r="AF101" s="416">
        <f t="shared" ref="AF101" si="988">H101*2</f>
        <v>9202</v>
      </c>
    </row>
    <row r="102" spans="1:32" s="68" customFormat="1" ht="15" customHeight="1" x14ac:dyDescent="0.2">
      <c r="A102" s="80">
        <f t="shared" ref="A102" si="989">IF(H102&gt;=0,0,1)</f>
        <v>0</v>
      </c>
      <c r="B102" s="363" t="str">
        <f>IF(ISBLANK(Materials!B102),"",Materials!B102)</f>
        <v xml:space="preserve">Carpet Tiles </v>
      </c>
      <c r="C102" s="352" t="str">
        <f>IF(ISBLANK(Materials!C102),"",Materials!C102)</f>
        <v>096813</v>
      </c>
      <c r="D102" s="352" t="str">
        <f>IF(ISBLANK(Materials!D102),"",Materials!D102)</f>
        <v/>
      </c>
      <c r="E102" s="364" t="str">
        <f>IF(ISBLANK(Materials!E102),"",Materials!E102)</f>
        <v>Infinity Antron Lumena</v>
      </c>
      <c r="F102" s="436"/>
      <c r="G102" s="365" t="str">
        <f>IF(ISBLANK(Materials!F102),"",Materials!F102)</f>
        <v>Mannington</v>
      </c>
      <c r="H102" s="342">
        <f>IF(ISBLANK(Materials!G102),"",Materials!G102)</f>
        <v>50352</v>
      </c>
      <c r="I102" s="223"/>
      <c r="J102" s="448"/>
      <c r="K102" s="233" t="str">
        <f t="shared" ref="K102" si="990">IF(J102="Manufacturer Declared",0.5,IF(J102="Third Party Verified",1,""))</f>
        <v/>
      </c>
      <c r="L102" s="84"/>
      <c r="M102" s="345" t="s">
        <v>449</v>
      </c>
      <c r="N102" s="346">
        <f t="shared" ref="N102" si="991">IF(M102&gt;0,(H102*0.5),0)</f>
        <v>25176</v>
      </c>
      <c r="O102" s="425"/>
      <c r="P102" s="347">
        <f t="shared" ref="P102" si="992">IFERROR(O102*H102,0)*0.5</f>
        <v>0</v>
      </c>
      <c r="Q102" s="425"/>
      <c r="R102" s="347">
        <f t="shared" ref="R102" si="993">IFERROR(Q102*H102,0)</f>
        <v>0</v>
      </c>
      <c r="S102" s="427"/>
      <c r="T102" s="346">
        <f t="shared" ref="T102" si="994">IFERROR(S102*H102,0)</f>
        <v>0</v>
      </c>
      <c r="U102" s="430"/>
      <c r="V102" s="346">
        <f t="shared" ref="V102" si="995">IFERROR(U102*H102,0)*2</f>
        <v>0</v>
      </c>
      <c r="W102" s="348"/>
      <c r="X102" s="349"/>
      <c r="Y102" s="350">
        <f t="shared" ref="Y102" si="996">IFERROR((W102*H102)+((X102*H102)/2),0)</f>
        <v>0</v>
      </c>
      <c r="Z102" s="94"/>
      <c r="AA102" s="218"/>
      <c r="AB102" s="376">
        <f t="shared" ref="AB102" si="997">SUM(N102,P102,R102,T102,V102,Y102)</f>
        <v>25176</v>
      </c>
      <c r="AC102" s="295">
        <f t="shared" ref="AC102" si="998">IFERROR((IF(AE102&lt;=AF102,AE102,IF(AE102&gt;AF102,AF102))),0)</f>
        <v>25176</v>
      </c>
      <c r="AE102" s="246">
        <f t="shared" ref="AE102" si="999">IF(AA102="Yes",AB102*2,AB102)</f>
        <v>25176</v>
      </c>
      <c r="AF102" s="416">
        <f t="shared" ref="AF102" si="1000">H102*2</f>
        <v>100704</v>
      </c>
    </row>
    <row r="103" spans="1:32" s="68" customFormat="1" ht="15" customHeight="1" x14ac:dyDescent="0.2">
      <c r="A103" s="80">
        <f t="shared" ref="A103" si="1001">IF(H103&gt;=0,0,1)</f>
        <v>0</v>
      </c>
      <c r="B103" s="363" t="str">
        <f>IF(ISBLANK(Materials!B103),"",Materials!B103)</f>
        <v>Non-Flat, Flat</v>
      </c>
      <c r="C103" s="352" t="str">
        <f>IF(ISBLANK(Materials!C103),"",Materials!C103)</f>
        <v>099123</v>
      </c>
      <c r="D103" s="352" t="str">
        <f>IF(ISBLANK(Materials!D103),"",Materials!D103)</f>
        <v/>
      </c>
      <c r="E103" s="364" t="str">
        <f>IF(ISBLANK(Materials!E103),"",Materials!E103)</f>
        <v>B20W12651, B53W01153, B20W02653, PE3000451, B20T02654</v>
      </c>
      <c r="F103" s="436"/>
      <c r="G103" s="365" t="str">
        <f>IF(ISBLANK(Materials!F103),"",Materials!F103)</f>
        <v>Sherwin Williams</v>
      </c>
      <c r="H103" s="342" t="str">
        <f>IF(ISBLANK(Materials!G103),"",Materials!G103)</f>
        <v/>
      </c>
      <c r="I103" s="223"/>
      <c r="J103" s="448"/>
      <c r="K103" s="233" t="str">
        <f t="shared" ref="K103" si="1002">IF(J103="Manufacturer Declared",0.5,IF(J103="Third Party Verified",1,""))</f>
        <v/>
      </c>
      <c r="L103" s="84"/>
      <c r="M103" s="345"/>
      <c r="N103" s="346">
        <f t="shared" ref="N103" si="1003">IF(M103&gt;0,(H103*0.5),0)</f>
        <v>0</v>
      </c>
      <c r="O103" s="425"/>
      <c r="P103" s="347">
        <f t="shared" ref="P103" si="1004">IFERROR(O103*H103,0)*0.5</f>
        <v>0</v>
      </c>
      <c r="Q103" s="425"/>
      <c r="R103" s="347">
        <f t="shared" ref="R103" si="1005">IFERROR(Q103*H103,0)</f>
        <v>0</v>
      </c>
      <c r="S103" s="427"/>
      <c r="T103" s="346">
        <f t="shared" ref="T103" si="1006">IFERROR(S103*H103,0)</f>
        <v>0</v>
      </c>
      <c r="U103" s="430"/>
      <c r="V103" s="346">
        <f t="shared" ref="V103" si="1007">IFERROR(U103*H103,0)*2</f>
        <v>0</v>
      </c>
      <c r="W103" s="348">
        <v>0</v>
      </c>
      <c r="X103" s="349">
        <v>0</v>
      </c>
      <c r="Y103" s="350">
        <f t="shared" ref="Y103" si="1008">IFERROR((W103*H103)+((X103*H103)/2),0)</f>
        <v>0</v>
      </c>
      <c r="Z103" s="94"/>
      <c r="AA103" s="218"/>
      <c r="AB103" s="376">
        <f t="shared" ref="AB103" si="1009">SUM(N103,P103,R103,T103,V103,Y103)</f>
        <v>0</v>
      </c>
      <c r="AC103" s="295">
        <f t="shared" ref="AC103" si="1010">IFERROR((IF(AE103&lt;=AF103,AE103,IF(AE103&gt;AF103,AF103))),0)</f>
        <v>0</v>
      </c>
      <c r="AE103" s="246">
        <f t="shared" ref="AE103" si="1011">IF(AA103="Yes",AB103*2,AB103)</f>
        <v>0</v>
      </c>
      <c r="AF103" s="416" t="e">
        <f t="shared" ref="AF103" si="1012">H103*2</f>
        <v>#VALUE!</v>
      </c>
    </row>
    <row r="104" spans="1:32" s="68" customFormat="1" ht="15" customHeight="1" x14ac:dyDescent="0.2">
      <c r="A104" s="80">
        <f t="shared" ref="A104" si="1013">IF(H104&gt;=0,0,1)</f>
        <v>0</v>
      </c>
      <c r="B104" s="363" t="str">
        <f>IF(ISBLANK(Materials!B104),"",Materials!B104)</f>
        <v xml:space="preserve">Window Treatments </v>
      </c>
      <c r="C104" s="352" t="str">
        <f>IF(ISBLANK(Materials!C104),"",Materials!C104)</f>
        <v>122113, 122413</v>
      </c>
      <c r="D104" s="352" t="str">
        <f>IF(ISBLANK(Materials!D104),"",Materials!D104)</f>
        <v/>
      </c>
      <c r="E104" s="364" t="str">
        <f>IF(ISBLANK(Materials!E104),"",Materials!E104)</f>
        <v>Bali Classics Aluminum Blinds, EcoVeil 1350 Series</v>
      </c>
      <c r="F104" s="436"/>
      <c r="G104" s="365" t="str">
        <f>IF(ISBLANK(Materials!F104),"",Materials!F104)</f>
        <v>SWFcontract, Mecho</v>
      </c>
      <c r="H104" s="342" t="str">
        <f>IF(ISBLANK(Materials!G104),"",Materials!G104)</f>
        <v/>
      </c>
      <c r="I104" s="223"/>
      <c r="J104" s="448"/>
      <c r="K104" s="233" t="str">
        <f t="shared" ref="K104" si="1014">IF(J104="Manufacturer Declared",0.5,IF(J104="Third Party Verified",1,""))</f>
        <v/>
      </c>
      <c r="L104" s="84"/>
      <c r="M104" s="345"/>
      <c r="N104" s="346">
        <f t="shared" ref="N104" si="1015">IF(M104&gt;0,(H104*0.5),0)</f>
        <v>0</v>
      </c>
      <c r="O104" s="425"/>
      <c r="P104" s="347">
        <f t="shared" ref="P104" si="1016">IFERROR(O104*H104,0)*0.5</f>
        <v>0</v>
      </c>
      <c r="Q104" s="425"/>
      <c r="R104" s="347">
        <f t="shared" ref="R104" si="1017">IFERROR(Q104*H104,0)</f>
        <v>0</v>
      </c>
      <c r="S104" s="427"/>
      <c r="T104" s="346">
        <f t="shared" ref="T104" si="1018">IFERROR(S104*H104,0)</f>
        <v>0</v>
      </c>
      <c r="U104" s="430"/>
      <c r="V104" s="346">
        <f t="shared" ref="V104" si="1019">IFERROR(U104*H104,0)*2</f>
        <v>0</v>
      </c>
      <c r="W104" s="348">
        <v>0</v>
      </c>
      <c r="X104" s="349">
        <v>0</v>
      </c>
      <c r="Y104" s="350">
        <f t="shared" ref="Y104" si="1020">IFERROR((W104*H104)+((X104*H104)/2),0)</f>
        <v>0</v>
      </c>
      <c r="Z104" s="94"/>
      <c r="AA104" s="218"/>
      <c r="AB104" s="376">
        <f t="shared" ref="AB104" si="1021">SUM(N104,P104,R104,T104,V104,Y104)</f>
        <v>0</v>
      </c>
      <c r="AC104" s="295">
        <f t="shared" ref="AC104" si="1022">IFERROR((IF(AE104&lt;=AF104,AE104,IF(AE104&gt;AF104,AF104))),0)</f>
        <v>0</v>
      </c>
      <c r="AE104" s="246">
        <f t="shared" ref="AE104" si="1023">IF(AA104="Yes",AB104*2,AB104)</f>
        <v>0</v>
      </c>
      <c r="AF104" s="416" t="e">
        <f t="shared" ref="AF104" si="1024">H104*2</f>
        <v>#VALUE!</v>
      </c>
    </row>
    <row r="105" spans="1:32" s="68" customFormat="1" ht="15" customHeight="1" x14ac:dyDescent="0.2">
      <c r="A105" s="80">
        <f t="shared" ref="A105" si="1025">IF(H105&gt;=0,0,1)</f>
        <v>0</v>
      </c>
      <c r="B105" s="363" t="str">
        <f>IF(ISBLANK(Materials!B105),"",Materials!B105)</f>
        <v>Aluminum Louver Fences &amp; Gates</v>
      </c>
      <c r="C105" s="352" t="str">
        <f>IF(ISBLANK(Materials!C105),"",Materials!C105)</f>
        <v>323121</v>
      </c>
      <c r="D105" s="352" t="str">
        <f>IF(ISBLANK(Materials!D105),"",Materials!D105)</f>
        <v/>
      </c>
      <c r="E105" s="364" t="str">
        <f>IF(ISBLANK(Materials!E105),"",Materials!E105)</f>
        <v>Eclipse 100</v>
      </c>
      <c r="F105" s="436"/>
      <c r="G105" s="365" t="str">
        <f>IF(ISBLANK(Materials!F105),"",Materials!F105)</f>
        <v>Ametco</v>
      </c>
      <c r="H105" s="342">
        <f>IF(ISBLANK(Materials!G105),"",Materials!G105)</f>
        <v>0</v>
      </c>
      <c r="I105" s="223"/>
      <c r="J105" s="448"/>
      <c r="K105" s="233" t="str">
        <f t="shared" ref="K105" si="1026">IF(J105="Manufacturer Declared",0.5,IF(J105="Third Party Verified",1,""))</f>
        <v/>
      </c>
      <c r="L105" s="84"/>
      <c r="M105" s="345"/>
      <c r="N105" s="346">
        <f t="shared" ref="N105" si="1027">IF(M105&gt;0,(H105*0.5),0)</f>
        <v>0</v>
      </c>
      <c r="O105" s="425"/>
      <c r="P105" s="347">
        <f t="shared" ref="P105" si="1028">IFERROR(O105*H105,0)*0.5</f>
        <v>0</v>
      </c>
      <c r="Q105" s="425"/>
      <c r="R105" s="347">
        <f t="shared" ref="R105" si="1029">IFERROR(Q105*H105,0)</f>
        <v>0</v>
      </c>
      <c r="S105" s="427"/>
      <c r="T105" s="346">
        <f t="shared" ref="T105" si="1030">IFERROR(S105*H105,0)</f>
        <v>0</v>
      </c>
      <c r="U105" s="430"/>
      <c r="V105" s="346">
        <f t="shared" ref="V105" si="1031">IFERROR(U105*H105,0)*2</f>
        <v>0</v>
      </c>
      <c r="W105" s="348"/>
      <c r="X105" s="349"/>
      <c r="Y105" s="350">
        <f t="shared" ref="Y105" si="1032">IFERROR((W105*H105)+((X105*H105)/2),0)</f>
        <v>0</v>
      </c>
      <c r="Z105" s="94"/>
      <c r="AA105" s="218"/>
      <c r="AB105" s="376">
        <f t="shared" ref="AB105" si="1033">SUM(N105,P105,R105,T105,V105,Y105)</f>
        <v>0</v>
      </c>
      <c r="AC105" s="295">
        <f t="shared" ref="AC105" si="1034">IFERROR((IF(AE105&lt;=AF105,AE105,IF(AE105&gt;AF105,AF105))),0)</f>
        <v>0</v>
      </c>
      <c r="AE105" s="246">
        <f t="shared" ref="AE105" si="1035">IF(AA105="Yes",AB105*2,AB105)</f>
        <v>0</v>
      </c>
      <c r="AF105" s="416">
        <f t="shared" ref="AF105" si="1036">H105*2</f>
        <v>0</v>
      </c>
    </row>
    <row r="106" spans="1:32" s="68" customFormat="1" ht="15" customHeight="1" x14ac:dyDescent="0.2">
      <c r="A106" s="80">
        <f t="shared" ref="A106" si="1037">IF(H106&gt;=0,0,1)</f>
        <v>0</v>
      </c>
      <c r="B106" s="363" t="str">
        <f>IF(ISBLANK(Materials!B106),"",Materials!B106)</f>
        <v>Planting Accessories</v>
      </c>
      <c r="C106" s="352" t="str">
        <f>IF(ISBLANK(Materials!C106),"",Materials!C106)</f>
        <v>329000</v>
      </c>
      <c r="D106" s="352" t="str">
        <f>IF(ISBLANK(Materials!D106),"",Materials!D106)</f>
        <v/>
      </c>
      <c r="E106" s="364" t="str">
        <f>IF(ISBLANK(Materials!E106),"",Materials!E106)</f>
        <v>Steel Fence Posts &amp; Wire</v>
      </c>
      <c r="F106" s="436"/>
      <c r="G106" s="365" t="str">
        <f>IF(ISBLANK(Materials!F106),"",Materials!F106)</f>
        <v>Red &amp; White Greenery, AM Leonard</v>
      </c>
      <c r="H106" s="342">
        <f>IF(ISBLANK(Materials!G106),"",Materials!G106)</f>
        <v>64.259999999999991</v>
      </c>
      <c r="I106" s="223"/>
      <c r="J106" s="448"/>
      <c r="K106" s="233" t="str">
        <f t="shared" ref="K106" si="1038">IF(J106="Manufacturer Declared",0.5,IF(J106="Third Party Verified",1,""))</f>
        <v/>
      </c>
      <c r="L106" s="84"/>
      <c r="M106" s="345"/>
      <c r="N106" s="346">
        <f t="shared" ref="N106" si="1039">IF(M106&gt;0,(H106*0.5),0)</f>
        <v>0</v>
      </c>
      <c r="O106" s="425"/>
      <c r="P106" s="347">
        <f t="shared" ref="P106" si="1040">IFERROR(O106*H106,0)*0.5</f>
        <v>0</v>
      </c>
      <c r="Q106" s="425"/>
      <c r="R106" s="347">
        <f t="shared" ref="R106" si="1041">IFERROR(Q106*H106,0)</f>
        <v>0</v>
      </c>
      <c r="S106" s="427"/>
      <c r="T106" s="346">
        <f t="shared" ref="T106" si="1042">IFERROR(S106*H106,0)</f>
        <v>0</v>
      </c>
      <c r="U106" s="430"/>
      <c r="V106" s="346">
        <f t="shared" ref="V106" si="1043">IFERROR(U106*H106,0)*2</f>
        <v>0</v>
      </c>
      <c r="W106" s="348">
        <v>0.25</v>
      </c>
      <c r="X106" s="349">
        <v>0</v>
      </c>
      <c r="Y106" s="350">
        <f t="shared" ref="Y106" si="1044">IFERROR((W106*H106)+((X106*H106)/2),0)</f>
        <v>16.064999999999998</v>
      </c>
      <c r="Z106" s="94"/>
      <c r="AA106" s="218"/>
      <c r="AB106" s="376">
        <f t="shared" ref="AB106" si="1045">SUM(N106,P106,R106,T106,V106,Y106)</f>
        <v>16.064999999999998</v>
      </c>
      <c r="AC106" s="295">
        <f t="shared" ref="AC106" si="1046">IFERROR((IF(AE106&lt;=AF106,AE106,IF(AE106&gt;AF106,AF106))),0)</f>
        <v>16.064999999999998</v>
      </c>
      <c r="AE106" s="246">
        <f t="shared" ref="AE106" si="1047">IF(AA106="Yes",AB106*2,AB106)</f>
        <v>16.064999999999998</v>
      </c>
      <c r="AF106" s="416">
        <f t="shared" ref="AF106" si="1048">H106*2</f>
        <v>128.51999999999998</v>
      </c>
    </row>
    <row r="107" spans="1:32" s="68" customFormat="1" ht="15" customHeight="1" x14ac:dyDescent="0.2">
      <c r="A107" s="80">
        <f t="shared" ref="A107:A108" si="1049">IF(H107&gt;=0,0,1)</f>
        <v>0</v>
      </c>
      <c r="B107" s="363" t="str">
        <f>IF(ISBLANK(Materials!B107),"",Materials!B107)</f>
        <v>Metal Composite Panels</v>
      </c>
      <c r="C107" s="352" t="str">
        <f>IF(ISBLANK(Materials!C107),"",Materials!C107)</f>
        <v>074213</v>
      </c>
      <c r="D107" s="352" t="str">
        <f>IF(ISBLANK(Materials!D107),"",Materials!D107)</f>
        <v/>
      </c>
      <c r="E107" s="364" t="str">
        <f>IF(ISBLANK(Materials!E107),"",Materials!E107)</f>
        <v>4 mm ACM fr</v>
      </c>
      <c r="F107" s="436"/>
      <c r="G107" s="365" t="str">
        <f>IF(ISBLANK(Materials!F107),"",Materials!F107)</f>
        <v>ALPOLIC-Mitsubishi</v>
      </c>
      <c r="H107" s="342">
        <f>IF(ISBLANK(Materials!G107),"",Materials!G107)</f>
        <v>0</v>
      </c>
      <c r="I107" s="223"/>
      <c r="J107" s="448"/>
      <c r="K107" s="233" t="str">
        <f t="shared" ref="K107:K108" si="1050">IF(J107="Manufacturer Declared",0.5,IF(J107="Third Party Verified",1,""))</f>
        <v/>
      </c>
      <c r="L107" s="84"/>
      <c r="M107" s="345"/>
      <c r="N107" s="346">
        <f t="shared" ref="N107:N108" si="1051">IF(M107&gt;0,(H107*0.5),0)</f>
        <v>0</v>
      </c>
      <c r="O107" s="425"/>
      <c r="P107" s="347">
        <f t="shared" ref="P107:P108" si="1052">IFERROR(O107*H107,0)*0.5</f>
        <v>0</v>
      </c>
      <c r="Q107" s="425"/>
      <c r="R107" s="347">
        <f t="shared" ref="R107:R108" si="1053">IFERROR(Q107*H107,0)</f>
        <v>0</v>
      </c>
      <c r="S107" s="427"/>
      <c r="T107" s="346">
        <f t="shared" ref="T107:T108" si="1054">IFERROR(S107*H107,0)</f>
        <v>0</v>
      </c>
      <c r="U107" s="430"/>
      <c r="V107" s="346">
        <f t="shared" ref="V107:V108" si="1055">IFERROR(U107*H107,0)*2</f>
        <v>0</v>
      </c>
      <c r="W107" s="348">
        <v>2.1999999999999999E-2</v>
      </c>
      <c r="X107" s="349">
        <v>0.113</v>
      </c>
      <c r="Y107" s="350">
        <f t="shared" ref="Y107:Y108" si="1056">IFERROR((W107*H107)+((X107*H107)/2),0)</f>
        <v>0</v>
      </c>
      <c r="Z107" s="94"/>
      <c r="AA107" s="218"/>
      <c r="AB107" s="376">
        <f t="shared" ref="AB107:AB108" si="1057">SUM(N107,P107,R107,T107,V107,Y107)</f>
        <v>0</v>
      </c>
      <c r="AC107" s="295">
        <f t="shared" ref="AC107:AC108" si="1058">IFERROR((IF(AE107&lt;=AF107,AE107,IF(AE107&gt;AF107,AF107))),0)</f>
        <v>0</v>
      </c>
      <c r="AE107" s="246">
        <f t="shared" ref="AE107:AE108" si="1059">IF(AA107="Yes",AB107*2,AB107)</f>
        <v>0</v>
      </c>
      <c r="AF107" s="416">
        <f t="shared" ref="AF107:AF108" si="1060">H107*2</f>
        <v>0</v>
      </c>
    </row>
    <row r="108" spans="1:32" s="68" customFormat="1" ht="15" customHeight="1" x14ac:dyDescent="0.2">
      <c r="A108" s="80">
        <f t="shared" si="1049"/>
        <v>0</v>
      </c>
      <c r="B108" s="363" t="str">
        <f>IF(ISBLANK(Materials!B108),"",Materials!B108)</f>
        <v>VCT</v>
      </c>
      <c r="C108" s="352" t="str">
        <f>IF(ISBLANK(Materials!C108),"",Materials!C108)</f>
        <v>096519</v>
      </c>
      <c r="D108" s="352" t="str">
        <f>IF(ISBLANK(Materials!D108),"",Materials!D108)</f>
        <v/>
      </c>
      <c r="E108" s="364" t="str">
        <f>IF(ISBLANK(Materials!E108),"",Materials!E108)</f>
        <v>Striations BBT</v>
      </c>
      <c r="F108" s="436"/>
      <c r="G108" s="365" t="str">
        <f>IF(ISBLANK(Materials!F108),"",Materials!F108)</f>
        <v>Armstrong</v>
      </c>
      <c r="H108" s="342">
        <f>IF(ISBLANK(Materials!G108),"",Materials!G108)</f>
        <v>27507</v>
      </c>
      <c r="I108" s="223"/>
      <c r="J108" s="448"/>
      <c r="K108" s="233" t="str">
        <f t="shared" si="1050"/>
        <v/>
      </c>
      <c r="L108" s="84"/>
      <c r="M108" s="345" t="s">
        <v>447</v>
      </c>
      <c r="N108" s="346">
        <f t="shared" si="1051"/>
        <v>13753.5</v>
      </c>
      <c r="O108" s="425"/>
      <c r="P108" s="347">
        <f t="shared" si="1052"/>
        <v>0</v>
      </c>
      <c r="Q108" s="425"/>
      <c r="R108" s="347">
        <f t="shared" si="1053"/>
        <v>0</v>
      </c>
      <c r="S108" s="427"/>
      <c r="T108" s="346">
        <f t="shared" si="1054"/>
        <v>0</v>
      </c>
      <c r="U108" s="430"/>
      <c r="V108" s="346">
        <f t="shared" si="1055"/>
        <v>0</v>
      </c>
      <c r="W108" s="348"/>
      <c r="X108" s="349"/>
      <c r="Y108" s="350">
        <f t="shared" si="1056"/>
        <v>0</v>
      </c>
      <c r="Z108" s="94"/>
      <c r="AA108" s="218"/>
      <c r="AB108" s="376">
        <f t="shared" si="1057"/>
        <v>13753.5</v>
      </c>
      <c r="AC108" s="295">
        <f t="shared" si="1058"/>
        <v>13753.5</v>
      </c>
      <c r="AE108" s="246">
        <f t="shared" si="1059"/>
        <v>13753.5</v>
      </c>
      <c r="AF108" s="416">
        <f t="shared" si="1060"/>
        <v>55014</v>
      </c>
    </row>
    <row r="109" spans="1:32" s="68" customFormat="1" ht="15" customHeight="1" x14ac:dyDescent="0.2">
      <c r="A109" s="80"/>
      <c r="B109" s="363" t="str">
        <f>IF(ISBLANK(Materials!B109),"",Materials!B109)</f>
        <v>WM Carpet Tiles</v>
      </c>
      <c r="C109" s="352" t="str">
        <f>IF(ISBLANK(Materials!C109),"",Materials!C109)</f>
        <v>096813</v>
      </c>
      <c r="D109" s="352" t="str">
        <f>IF(ISBLANK(Materials!D109),"",Materials!D109)</f>
        <v/>
      </c>
      <c r="E109" s="364" t="str">
        <f>IF(ISBLANK(Materials!E109),"",Materials!E109)</f>
        <v>QL311 Step Up II</v>
      </c>
      <c r="F109" s="436"/>
      <c r="G109" s="365" t="str">
        <f>IF(ISBLANK(Materials!F109),"",Materials!F109)</f>
        <v>Mohawk</v>
      </c>
      <c r="H109" s="342">
        <f>IF(ISBLANK(Materials!G109),"",Materials!G109)</f>
        <v>0</v>
      </c>
      <c r="I109" s="223"/>
      <c r="J109" s="448"/>
      <c r="K109" s="233" t="str">
        <f t="shared" ref="K109" si="1061">IF(J109="Manufacturer Declared",0.5,IF(J109="Third Party Verified",1,""))</f>
        <v/>
      </c>
      <c r="L109" s="84"/>
      <c r="M109" s="345" t="s">
        <v>453</v>
      </c>
      <c r="N109" s="346">
        <f t="shared" si="4"/>
        <v>0</v>
      </c>
      <c r="O109" s="425"/>
      <c r="P109" s="347">
        <f t="shared" si="11"/>
        <v>0</v>
      </c>
      <c r="Q109" s="425"/>
      <c r="R109" s="347">
        <f t="shared" si="5"/>
        <v>0</v>
      </c>
      <c r="S109" s="427"/>
      <c r="T109" s="346">
        <f t="shared" si="6"/>
        <v>0</v>
      </c>
      <c r="U109" s="430"/>
      <c r="V109" s="346">
        <f t="shared" si="0"/>
        <v>0</v>
      </c>
      <c r="W109" s="348">
        <v>0</v>
      </c>
      <c r="X109" s="349">
        <v>0.53</v>
      </c>
      <c r="Y109" s="350">
        <f t="shared" si="1"/>
        <v>0</v>
      </c>
      <c r="Z109" s="94"/>
      <c r="AA109" s="218"/>
      <c r="AB109" s="376">
        <f t="shared" si="7"/>
        <v>0</v>
      </c>
      <c r="AC109" s="350">
        <f t="shared" si="8"/>
        <v>0</v>
      </c>
      <c r="AE109" s="246">
        <f t="shared" si="9"/>
        <v>0</v>
      </c>
      <c r="AF109" s="416">
        <f t="shared" si="10"/>
        <v>0</v>
      </c>
    </row>
    <row r="110" spans="1:32" s="68" customFormat="1" ht="15" customHeight="1" x14ac:dyDescent="0.2">
      <c r="A110" s="80"/>
      <c r="B110" s="366" t="str">
        <f>IF(ISBLANK(Materials!B110),"",Materials!B110)</f>
        <v/>
      </c>
      <c r="C110" s="353" t="str">
        <f>IF(ISBLANK(Materials!C110),"",Materials!C110)</f>
        <v/>
      </c>
      <c r="D110" s="353" t="str">
        <f>IF(ISBLANK(Materials!D110),"",Materials!D110)</f>
        <v/>
      </c>
      <c r="E110" s="353" t="str">
        <f>IF(ISBLANK(Materials!E110),"",Materials!E110)</f>
        <v/>
      </c>
      <c r="F110" s="437"/>
      <c r="G110" s="367" t="str">
        <f>IF(ISBLANK(Materials!F110),"",Materials!F110)</f>
        <v/>
      </c>
      <c r="H110" s="341" t="str">
        <f>IF(ISBLANK(Materials!G110),"",Materials!G110)</f>
        <v/>
      </c>
      <c r="I110" s="223"/>
      <c r="J110" s="448"/>
      <c r="K110" s="233" t="str">
        <f t="shared" ref="K110" si="1062">IF(J110="Manufacturer Declared",0.5,IF(J110="Third Party Verified",1,""))</f>
        <v/>
      </c>
      <c r="L110" s="84"/>
      <c r="M110" s="343"/>
      <c r="N110" s="306">
        <f t="shared" si="4"/>
        <v>0</v>
      </c>
      <c r="O110" s="426"/>
      <c r="P110" s="344">
        <f>IFERROR(O110*H110,0)*0.5</f>
        <v>0</v>
      </c>
      <c r="Q110" s="426"/>
      <c r="R110" s="344">
        <f t="shared" si="5"/>
        <v>0</v>
      </c>
      <c r="S110" s="428"/>
      <c r="T110" s="306">
        <f t="shared" si="6"/>
        <v>0</v>
      </c>
      <c r="U110" s="431"/>
      <c r="V110" s="306">
        <f t="shared" si="0"/>
        <v>0</v>
      </c>
      <c r="W110" s="299"/>
      <c r="X110" s="300"/>
      <c r="Y110" s="292">
        <f t="shared" si="1"/>
        <v>0</v>
      </c>
      <c r="Z110" s="94"/>
      <c r="AA110" s="261"/>
      <c r="AB110" s="377">
        <f t="shared" si="7"/>
        <v>0</v>
      </c>
      <c r="AC110" s="292">
        <f t="shared" si="8"/>
        <v>0</v>
      </c>
      <c r="AE110" s="246">
        <f t="shared" si="9"/>
        <v>0</v>
      </c>
      <c r="AF110" s="416" t="e">
        <f t="shared" si="10"/>
        <v>#VALUE!</v>
      </c>
    </row>
    <row r="111" spans="1:32" s="68" customFormat="1" ht="33" customHeight="1" x14ac:dyDescent="0.2">
      <c r="A111" s="216" t="s">
        <v>59</v>
      </c>
      <c r="B111" s="548"/>
      <c r="C111" s="549"/>
      <c r="D111" s="549"/>
      <c r="E111" s="549"/>
      <c r="F111" s="549"/>
      <c r="G111" s="549"/>
      <c r="H111" s="550"/>
      <c r="I111" s="210"/>
      <c r="J111" s="234" t="s">
        <v>44</v>
      </c>
      <c r="K111" s="235">
        <f>ROUNDDOWN(SUM(K9:K110),0)</f>
        <v>1</v>
      </c>
      <c r="L111" s="210"/>
      <c r="M111" s="260" t="s">
        <v>44</v>
      </c>
      <c r="N111" s="307">
        <f>SUM(N9:N110)</f>
        <v>73662.5</v>
      </c>
      <c r="O111" s="311"/>
      <c r="P111" s="310">
        <f>SUM(P9:P110)</f>
        <v>0</v>
      </c>
      <c r="Q111" s="311"/>
      <c r="R111" s="310">
        <f>SUM(R9:R110)</f>
        <v>0</v>
      </c>
      <c r="S111" s="308"/>
      <c r="T111" s="307">
        <f>SUM(T9:T110)</f>
        <v>0</v>
      </c>
      <c r="U111" s="308"/>
      <c r="V111" s="307">
        <f>SUM(V9:V110)</f>
        <v>0</v>
      </c>
      <c r="W111" s="538" t="s">
        <v>44</v>
      </c>
      <c r="X111" s="539"/>
      <c r="Y111" s="259">
        <f>SUM(Y9:Y110)</f>
        <v>426811.30432909873</v>
      </c>
      <c r="Z111" s="210"/>
      <c r="AA111" s="530" t="s">
        <v>55</v>
      </c>
      <c r="AB111" s="531"/>
      <c r="AC111" s="259">
        <f>SUM(AC9:AC110)</f>
        <v>500473.80432909873</v>
      </c>
    </row>
    <row r="112" spans="1:32" s="68" customFormat="1" ht="20.100000000000001" customHeight="1" x14ac:dyDescent="0.2">
      <c r="A112" s="207"/>
      <c r="B112" s="76"/>
      <c r="C112" s="76"/>
      <c r="D112" s="76"/>
      <c r="E112" s="76"/>
      <c r="F112" s="76"/>
      <c r="G112" s="76"/>
      <c r="H112" s="76"/>
      <c r="I112" s="76"/>
      <c r="J112" s="85" t="s">
        <v>65</v>
      </c>
      <c r="K112" s="76"/>
      <c r="L112" s="76"/>
      <c r="P112" s="76"/>
      <c r="Q112" s="76"/>
      <c r="R112" s="76"/>
      <c r="S112" s="76"/>
      <c r="T112" s="76"/>
      <c r="U112" s="76"/>
      <c r="V112" s="76"/>
      <c r="W112" s="76"/>
      <c r="X112" s="76"/>
      <c r="Y112" s="76"/>
      <c r="Z112" s="76"/>
    </row>
    <row r="113" spans="1:26" s="68" customFormat="1" ht="20.100000000000001" customHeight="1" x14ac:dyDescent="0.2">
      <c r="A113" s="207"/>
      <c r="B113" s="76"/>
      <c r="C113" s="76"/>
      <c r="D113" s="76"/>
      <c r="E113" s="76"/>
      <c r="F113" s="76"/>
      <c r="G113" s="76"/>
      <c r="H113" s="76"/>
      <c r="I113" s="76"/>
      <c r="J113" s="85"/>
      <c r="K113" s="76"/>
      <c r="L113" s="76"/>
      <c r="P113" s="76"/>
      <c r="Q113" s="76"/>
      <c r="R113" s="76"/>
      <c r="S113" s="76"/>
      <c r="T113" s="76"/>
      <c r="U113" s="76"/>
      <c r="V113" s="76"/>
      <c r="W113" s="76"/>
      <c r="X113" s="76"/>
      <c r="Y113" s="76"/>
      <c r="Z113" s="76"/>
    </row>
    <row r="114" spans="1:26" s="68" customFormat="1" ht="20.100000000000001" customHeight="1" x14ac:dyDescent="0.2">
      <c r="A114" s="207"/>
      <c r="B114" s="76"/>
      <c r="C114" s="76"/>
      <c r="D114" s="76"/>
      <c r="E114" s="76"/>
      <c r="F114" s="76"/>
      <c r="G114" s="76"/>
      <c r="H114" s="76"/>
      <c r="I114" s="76"/>
      <c r="J114" s="85"/>
      <c r="K114" s="76"/>
      <c r="L114" s="76"/>
      <c r="P114" s="296"/>
      <c r="Q114" s="296"/>
      <c r="R114" s="76"/>
      <c r="S114" s="76"/>
      <c r="T114" s="76"/>
      <c r="U114" s="76"/>
      <c r="V114" s="76"/>
      <c r="W114" s="76"/>
      <c r="X114" s="76"/>
      <c r="Y114" s="76"/>
      <c r="Z114" s="76"/>
    </row>
    <row r="115" spans="1:26" s="68" customFormat="1" x14ac:dyDescent="0.2">
      <c r="A115" s="207"/>
      <c r="B115" s="76"/>
      <c r="C115" s="76"/>
      <c r="D115" s="76"/>
      <c r="E115" s="76"/>
      <c r="F115" s="76"/>
      <c r="G115" s="76"/>
      <c r="H115" s="76"/>
      <c r="I115" s="76"/>
      <c r="J115" s="85"/>
      <c r="K115" s="76"/>
      <c r="L115" s="76"/>
      <c r="P115" s="76"/>
      <c r="Q115" s="76"/>
      <c r="R115" s="76"/>
      <c r="S115" s="76"/>
      <c r="T115" s="76"/>
      <c r="U115" s="76"/>
      <c r="V115" s="76"/>
      <c r="W115" s="76"/>
      <c r="X115" s="76"/>
      <c r="Y115" s="76"/>
      <c r="Z115" s="76"/>
    </row>
    <row r="116" spans="1:26" s="68" customFormat="1" x14ac:dyDescent="0.2">
      <c r="A116" s="207"/>
      <c r="B116" s="76"/>
      <c r="C116" s="76"/>
      <c r="D116" s="76"/>
      <c r="E116" s="76"/>
      <c r="F116" s="76"/>
      <c r="G116" s="76"/>
      <c r="H116" s="76"/>
      <c r="I116" s="76"/>
      <c r="J116" s="85"/>
      <c r="K116" s="76"/>
      <c r="L116" s="76"/>
      <c r="P116" s="76"/>
      <c r="Q116" s="76"/>
      <c r="R116" s="76"/>
      <c r="S116" s="76"/>
      <c r="T116" s="76"/>
      <c r="U116" s="76"/>
      <c r="V116" s="76"/>
      <c r="W116" s="76"/>
      <c r="X116" s="76"/>
      <c r="Y116" s="76"/>
      <c r="Z116" s="76"/>
    </row>
    <row r="117" spans="1:26" s="68" customFormat="1" x14ac:dyDescent="0.2">
      <c r="A117" s="207"/>
      <c r="B117" s="76"/>
      <c r="C117" s="76"/>
      <c r="D117" s="76"/>
      <c r="E117" s="76"/>
      <c r="F117" s="76"/>
      <c r="G117" s="76"/>
      <c r="H117" s="76"/>
      <c r="I117" s="76"/>
      <c r="J117" s="85"/>
      <c r="K117" s="76"/>
      <c r="L117" s="76"/>
      <c r="P117" s="76"/>
      <c r="Q117" s="76"/>
      <c r="R117" s="76"/>
      <c r="S117" s="76"/>
      <c r="T117" s="76"/>
      <c r="U117" s="76"/>
      <c r="V117" s="76"/>
      <c r="W117" s="76"/>
      <c r="X117" s="76"/>
      <c r="Y117" s="76"/>
      <c r="Z117" s="76"/>
    </row>
    <row r="118" spans="1:26" s="68" customFormat="1" x14ac:dyDescent="0.2">
      <c r="A118" s="207"/>
      <c r="B118" s="76"/>
      <c r="C118" s="76"/>
      <c r="D118" s="76"/>
      <c r="E118" s="76"/>
      <c r="F118" s="76"/>
      <c r="G118" s="76"/>
      <c r="H118" s="76"/>
      <c r="I118" s="76"/>
      <c r="J118" s="85"/>
      <c r="K118" s="76"/>
      <c r="L118" s="76"/>
      <c r="P118" s="76"/>
      <c r="Q118" s="76"/>
      <c r="R118" s="76"/>
      <c r="S118" s="76"/>
      <c r="T118" s="76"/>
      <c r="U118" s="76"/>
      <c r="V118" s="76"/>
      <c r="W118" s="76"/>
      <c r="X118" s="76"/>
      <c r="Y118" s="76"/>
      <c r="Z118" s="76"/>
    </row>
    <row r="119" spans="1:26" s="68" customFormat="1" x14ac:dyDescent="0.2">
      <c r="A119" s="207"/>
      <c r="B119" s="76"/>
      <c r="C119" s="76"/>
      <c r="D119" s="76"/>
      <c r="E119" s="76"/>
      <c r="F119" s="76"/>
      <c r="G119" s="76"/>
      <c r="H119" s="76"/>
      <c r="I119" s="76"/>
      <c r="J119" s="85"/>
      <c r="K119" s="76"/>
      <c r="L119" s="76"/>
      <c r="P119" s="76"/>
      <c r="Q119" s="76"/>
      <c r="R119" s="76"/>
      <c r="S119" s="76"/>
      <c r="T119" s="76"/>
      <c r="U119" s="76"/>
      <c r="V119" s="76"/>
      <c r="W119" s="76"/>
      <c r="X119" s="76"/>
      <c r="Y119" s="76"/>
      <c r="Z119" s="76"/>
    </row>
    <row r="120" spans="1:26" s="68" customFormat="1" x14ac:dyDescent="0.2">
      <c r="A120" s="207"/>
      <c r="B120" s="76"/>
      <c r="C120" s="76"/>
      <c r="D120" s="76"/>
      <c r="E120" s="76"/>
      <c r="F120" s="76"/>
      <c r="G120" s="76"/>
      <c r="H120" s="76"/>
      <c r="I120" s="76"/>
      <c r="J120" s="85"/>
      <c r="K120" s="76"/>
      <c r="L120" s="76"/>
      <c r="P120" s="76"/>
      <c r="Q120" s="76"/>
      <c r="R120" s="76"/>
      <c r="S120" s="76"/>
      <c r="T120" s="76"/>
      <c r="U120" s="76"/>
      <c r="V120" s="76"/>
      <c r="W120" s="76"/>
      <c r="X120" s="76"/>
      <c r="Y120" s="76"/>
      <c r="Z120" s="76"/>
    </row>
    <row r="121" spans="1:26" s="68" customFormat="1" x14ac:dyDescent="0.2">
      <c r="A121" s="207"/>
      <c r="B121" s="76"/>
      <c r="C121" s="76"/>
      <c r="D121" s="76"/>
      <c r="E121" s="76"/>
      <c r="F121" s="76"/>
      <c r="G121" s="76"/>
      <c r="H121" s="76"/>
      <c r="I121" s="76"/>
      <c r="J121" s="85"/>
      <c r="K121" s="76"/>
      <c r="L121" s="76"/>
      <c r="P121" s="76"/>
      <c r="Q121" s="76"/>
      <c r="R121" s="76"/>
      <c r="S121" s="76"/>
      <c r="T121" s="76"/>
      <c r="U121" s="76"/>
      <c r="V121" s="76"/>
      <c r="W121" s="76"/>
      <c r="X121" s="76"/>
      <c r="Y121" s="76"/>
      <c r="Z121" s="76"/>
    </row>
    <row r="122" spans="1:26" s="68" customFormat="1" x14ac:dyDescent="0.2">
      <c r="A122" s="207"/>
      <c r="B122" s="76"/>
      <c r="C122" s="76"/>
      <c r="D122" s="76"/>
      <c r="E122" s="76"/>
      <c r="F122" s="76"/>
      <c r="G122" s="76"/>
      <c r="H122" s="76"/>
      <c r="I122" s="76"/>
      <c r="J122" s="85"/>
      <c r="K122" s="76"/>
      <c r="L122" s="76"/>
      <c r="P122" s="76"/>
      <c r="Q122" s="76"/>
      <c r="R122" s="76"/>
      <c r="S122" s="76"/>
      <c r="T122" s="76"/>
      <c r="U122" s="76"/>
      <c r="V122" s="76"/>
      <c r="W122" s="76"/>
      <c r="X122" s="76"/>
      <c r="Y122" s="76"/>
      <c r="Z122" s="76"/>
    </row>
    <row r="123" spans="1:26" s="68" customFormat="1" x14ac:dyDescent="0.2">
      <c r="A123" s="207"/>
      <c r="B123" s="76"/>
      <c r="C123" s="76"/>
      <c r="D123" s="76"/>
      <c r="E123" s="76"/>
      <c r="F123" s="76"/>
      <c r="G123" s="76"/>
      <c r="H123" s="76"/>
      <c r="I123" s="76"/>
      <c r="J123" s="85"/>
      <c r="K123" s="76"/>
      <c r="L123" s="76"/>
      <c r="P123" s="76"/>
      <c r="Q123" s="76"/>
      <c r="R123" s="76"/>
      <c r="S123" s="76"/>
      <c r="T123" s="76"/>
      <c r="U123" s="76"/>
      <c r="V123" s="76"/>
      <c r="W123" s="76"/>
      <c r="X123" s="76"/>
      <c r="Y123" s="76"/>
      <c r="Z123" s="76"/>
    </row>
    <row r="124" spans="1:26" s="68" customFormat="1" x14ac:dyDescent="0.2">
      <c r="A124" s="207"/>
      <c r="B124" s="76"/>
      <c r="C124" s="76"/>
      <c r="D124" s="76"/>
      <c r="E124" s="76"/>
      <c r="F124" s="76"/>
      <c r="G124" s="76"/>
      <c r="H124" s="76"/>
      <c r="I124" s="76"/>
      <c r="J124" s="85"/>
      <c r="K124" s="76"/>
      <c r="L124" s="76"/>
      <c r="P124" s="76"/>
      <c r="Q124" s="76"/>
      <c r="R124" s="76"/>
      <c r="S124" s="76"/>
      <c r="T124" s="76"/>
      <c r="U124" s="76"/>
      <c r="V124" s="76"/>
      <c r="W124" s="76"/>
      <c r="X124" s="76"/>
      <c r="Y124" s="76"/>
      <c r="Z124" s="76"/>
    </row>
    <row r="125" spans="1:26" s="68" customFormat="1" x14ac:dyDescent="0.2">
      <c r="A125" s="207"/>
      <c r="B125" s="76"/>
      <c r="C125" s="76"/>
      <c r="D125" s="76"/>
      <c r="E125" s="76"/>
      <c r="F125" s="76"/>
      <c r="G125" s="76"/>
      <c r="H125" s="76"/>
      <c r="I125" s="76"/>
      <c r="J125" s="85"/>
      <c r="K125" s="76"/>
      <c r="L125" s="76"/>
      <c r="P125" s="76"/>
      <c r="Q125" s="76"/>
      <c r="R125" s="76"/>
      <c r="S125" s="76"/>
      <c r="T125" s="76"/>
      <c r="U125" s="76"/>
      <c r="V125" s="76"/>
      <c r="W125" s="76"/>
      <c r="X125" s="76"/>
      <c r="Y125" s="76"/>
      <c r="Z125" s="76"/>
    </row>
    <row r="126" spans="1:26" s="68" customFormat="1" x14ac:dyDescent="0.2">
      <c r="A126" s="207"/>
      <c r="B126" s="76"/>
      <c r="C126" s="76"/>
      <c r="D126" s="76"/>
      <c r="E126" s="76"/>
      <c r="F126" s="76"/>
      <c r="G126" s="76"/>
      <c r="H126" s="76"/>
      <c r="I126" s="76"/>
      <c r="J126" s="85"/>
      <c r="K126" s="76"/>
      <c r="L126" s="76"/>
      <c r="P126" s="76"/>
      <c r="Q126" s="76"/>
      <c r="R126" s="76"/>
      <c r="S126" s="76"/>
      <c r="T126" s="76"/>
      <c r="U126" s="76"/>
      <c r="V126" s="76"/>
      <c r="W126" s="76"/>
      <c r="X126" s="76"/>
      <c r="Y126" s="76"/>
      <c r="Z126" s="76"/>
    </row>
    <row r="127" spans="1:26" s="68" customFormat="1" x14ac:dyDescent="0.2">
      <c r="A127" s="207"/>
      <c r="B127" s="76"/>
      <c r="C127" s="76"/>
      <c r="D127" s="76"/>
      <c r="E127" s="76"/>
      <c r="F127" s="76"/>
      <c r="G127" s="76"/>
      <c r="H127" s="76"/>
      <c r="I127" s="76"/>
      <c r="J127" s="85"/>
      <c r="K127" s="76"/>
      <c r="L127" s="76"/>
      <c r="P127" s="76"/>
      <c r="Q127" s="76"/>
      <c r="R127" s="76"/>
      <c r="S127" s="76"/>
      <c r="T127" s="76"/>
      <c r="U127" s="76"/>
      <c r="V127" s="76"/>
      <c r="W127" s="76"/>
      <c r="X127" s="76"/>
      <c r="Y127" s="76"/>
      <c r="Z127" s="76"/>
    </row>
    <row r="128" spans="1:26" s="68" customFormat="1" x14ac:dyDescent="0.2">
      <c r="A128" s="207"/>
      <c r="B128" s="76"/>
      <c r="C128" s="76"/>
      <c r="D128" s="76"/>
      <c r="E128" s="76"/>
      <c r="F128" s="76"/>
      <c r="G128" s="76"/>
      <c r="H128" s="76"/>
      <c r="I128" s="76"/>
      <c r="J128" s="85"/>
      <c r="K128" s="76"/>
      <c r="L128" s="76"/>
      <c r="P128" s="76"/>
      <c r="Q128" s="76"/>
      <c r="R128" s="76"/>
      <c r="S128" s="76"/>
      <c r="T128" s="76"/>
      <c r="U128" s="76"/>
      <c r="V128" s="76"/>
      <c r="W128" s="76"/>
      <c r="X128" s="76"/>
      <c r="Y128" s="76"/>
      <c r="Z128" s="76"/>
    </row>
    <row r="129" spans="1:26" s="68" customFormat="1" x14ac:dyDescent="0.2">
      <c r="A129" s="207"/>
      <c r="B129" s="76"/>
      <c r="C129" s="76"/>
      <c r="D129" s="76"/>
      <c r="E129" s="76"/>
      <c r="F129" s="76"/>
      <c r="G129" s="76"/>
      <c r="H129" s="76"/>
      <c r="I129" s="76"/>
      <c r="J129" s="85"/>
      <c r="K129" s="76"/>
      <c r="L129" s="76"/>
      <c r="P129" s="76"/>
      <c r="Q129" s="76"/>
      <c r="R129" s="76"/>
      <c r="S129" s="76"/>
      <c r="T129" s="76"/>
      <c r="U129" s="76"/>
      <c r="V129" s="76"/>
      <c r="W129" s="76"/>
      <c r="X129" s="76"/>
      <c r="Y129" s="76"/>
      <c r="Z129" s="76"/>
    </row>
    <row r="130" spans="1:26" s="68" customFormat="1" ht="13.35" customHeight="1" x14ac:dyDescent="0.2">
      <c r="A130" s="207"/>
      <c r="B130" s="76"/>
      <c r="C130" s="76"/>
      <c r="D130" s="76"/>
      <c r="E130" s="76"/>
      <c r="F130" s="76"/>
      <c r="G130" s="76"/>
      <c r="H130" s="76"/>
      <c r="I130" s="76"/>
      <c r="J130" s="85"/>
      <c r="K130" s="76"/>
      <c r="L130" s="76"/>
      <c r="P130" s="76"/>
      <c r="Q130" s="76"/>
      <c r="R130" s="76"/>
      <c r="S130" s="76"/>
      <c r="T130" s="76"/>
      <c r="U130" s="76"/>
      <c r="V130" s="76"/>
      <c r="W130" s="76"/>
      <c r="X130" s="76"/>
      <c r="Y130" s="76"/>
      <c r="Z130" s="76"/>
    </row>
    <row r="131" spans="1:26" s="68" customFormat="1" x14ac:dyDescent="0.2">
      <c r="A131" s="207"/>
      <c r="B131" s="76"/>
      <c r="C131" s="76"/>
      <c r="D131" s="76"/>
      <c r="E131" s="76"/>
      <c r="F131" s="76"/>
      <c r="G131" s="76"/>
      <c r="H131" s="76"/>
      <c r="I131" s="76"/>
      <c r="J131" s="85"/>
      <c r="K131" s="76"/>
      <c r="L131" s="76"/>
      <c r="P131" s="76"/>
      <c r="Q131" s="76"/>
      <c r="R131" s="76"/>
      <c r="S131" s="76"/>
      <c r="T131" s="76"/>
      <c r="U131" s="76"/>
      <c r="V131" s="76"/>
      <c r="W131" s="76"/>
      <c r="X131" s="76"/>
      <c r="Y131" s="76"/>
      <c r="Z131" s="76"/>
    </row>
    <row r="132" spans="1:26" s="68" customFormat="1" x14ac:dyDescent="0.2">
      <c r="A132" s="207"/>
      <c r="B132" s="76"/>
      <c r="C132" s="76"/>
      <c r="D132" s="76"/>
      <c r="E132" s="76"/>
      <c r="F132" s="76"/>
      <c r="G132" s="76"/>
      <c r="H132" s="76"/>
      <c r="I132" s="76"/>
      <c r="J132" s="85"/>
      <c r="K132" s="76"/>
      <c r="L132" s="76"/>
      <c r="P132" s="76"/>
      <c r="Q132" s="76"/>
      <c r="R132" s="76"/>
      <c r="S132" s="76"/>
      <c r="T132" s="76"/>
      <c r="U132" s="76"/>
      <c r="V132" s="76"/>
      <c r="W132" s="76"/>
      <c r="X132" s="76"/>
      <c r="Y132" s="76"/>
      <c r="Z132" s="76"/>
    </row>
    <row r="133" spans="1:26" s="68" customFormat="1" x14ac:dyDescent="0.2">
      <c r="A133" s="207"/>
      <c r="B133" s="76"/>
      <c r="C133" s="76"/>
      <c r="D133" s="76"/>
      <c r="E133" s="76"/>
      <c r="F133" s="76"/>
      <c r="G133" s="76"/>
      <c r="H133" s="76"/>
      <c r="I133" s="76"/>
      <c r="J133" s="85"/>
      <c r="K133" s="76"/>
      <c r="L133" s="76"/>
      <c r="P133" s="76"/>
      <c r="Q133" s="76"/>
      <c r="R133" s="76"/>
      <c r="S133" s="76"/>
      <c r="T133" s="76"/>
      <c r="U133" s="76"/>
      <c r="V133" s="76"/>
      <c r="W133" s="76"/>
      <c r="X133" s="76"/>
      <c r="Y133" s="76"/>
      <c r="Z133" s="76"/>
    </row>
    <row r="134" spans="1:26" s="68" customFormat="1" x14ac:dyDescent="0.2">
      <c r="A134" s="207"/>
      <c r="B134" s="76"/>
      <c r="C134" s="76"/>
      <c r="D134" s="76"/>
      <c r="E134" s="76"/>
      <c r="F134" s="76"/>
      <c r="G134" s="76"/>
      <c r="H134" s="76"/>
      <c r="I134" s="76"/>
      <c r="J134" s="85"/>
      <c r="K134" s="76"/>
      <c r="L134" s="76"/>
      <c r="P134" s="76"/>
      <c r="Q134" s="76"/>
      <c r="R134" s="76"/>
      <c r="S134" s="76"/>
      <c r="T134" s="76"/>
      <c r="U134" s="76"/>
      <c r="V134" s="76"/>
      <c r="W134" s="76"/>
      <c r="X134" s="76"/>
      <c r="Y134" s="76"/>
      <c r="Z134" s="76"/>
    </row>
    <row r="135" spans="1:26" s="68" customFormat="1" x14ac:dyDescent="0.2">
      <c r="A135" s="207"/>
      <c r="B135" s="76"/>
      <c r="C135" s="76"/>
      <c r="D135" s="76"/>
      <c r="E135" s="76"/>
      <c r="F135" s="76"/>
      <c r="G135" s="76"/>
      <c r="H135" s="76"/>
      <c r="I135" s="76"/>
      <c r="J135" s="85"/>
      <c r="K135" s="76"/>
      <c r="L135" s="76"/>
      <c r="P135" s="76"/>
      <c r="Q135" s="76"/>
      <c r="R135" s="76"/>
      <c r="S135" s="76"/>
      <c r="T135" s="76"/>
      <c r="U135" s="76"/>
      <c r="V135" s="76"/>
      <c r="W135" s="76"/>
      <c r="X135" s="76"/>
      <c r="Y135" s="76"/>
      <c r="Z135" s="76"/>
    </row>
    <row r="136" spans="1:26" s="68" customFormat="1" x14ac:dyDescent="0.2">
      <c r="A136" s="207"/>
      <c r="B136" s="76"/>
      <c r="C136" s="76"/>
      <c r="D136" s="76"/>
      <c r="E136" s="76"/>
      <c r="F136" s="76"/>
      <c r="G136" s="76"/>
      <c r="H136" s="76"/>
      <c r="I136" s="76"/>
      <c r="J136" s="85"/>
      <c r="K136" s="76"/>
      <c r="L136" s="76"/>
      <c r="P136" s="76"/>
      <c r="Q136" s="76"/>
      <c r="R136" s="76"/>
      <c r="S136" s="76"/>
      <c r="T136" s="76"/>
      <c r="U136" s="76"/>
      <c r="V136" s="76"/>
      <c r="W136" s="76"/>
      <c r="X136" s="76"/>
      <c r="Y136" s="76"/>
      <c r="Z136" s="76"/>
    </row>
    <row r="137" spans="1:26" s="68" customFormat="1" x14ac:dyDescent="0.2">
      <c r="A137" s="207"/>
      <c r="B137" s="76"/>
      <c r="C137" s="76"/>
      <c r="D137" s="76"/>
      <c r="E137" s="76"/>
      <c r="F137" s="76"/>
      <c r="G137" s="76"/>
      <c r="H137" s="76"/>
      <c r="I137" s="76"/>
      <c r="J137" s="85"/>
      <c r="K137" s="76"/>
      <c r="L137" s="76"/>
      <c r="P137" s="76"/>
      <c r="Q137" s="76"/>
      <c r="R137" s="76"/>
      <c r="S137" s="76"/>
      <c r="T137" s="76"/>
      <c r="U137" s="76"/>
      <c r="V137" s="76"/>
      <c r="W137" s="76"/>
      <c r="X137" s="76"/>
      <c r="Y137" s="76"/>
      <c r="Z137" s="76"/>
    </row>
    <row r="138" spans="1:26" s="68" customFormat="1" x14ac:dyDescent="0.2">
      <c r="A138" s="207"/>
      <c r="B138" s="76"/>
      <c r="C138" s="76"/>
      <c r="D138" s="76"/>
      <c r="E138" s="76"/>
      <c r="F138" s="76"/>
      <c r="G138" s="76"/>
      <c r="H138" s="76"/>
      <c r="I138" s="76"/>
      <c r="J138" s="85"/>
      <c r="K138" s="76"/>
      <c r="L138" s="76"/>
      <c r="P138" s="76"/>
      <c r="Q138" s="76"/>
      <c r="R138" s="76"/>
      <c r="S138" s="76"/>
      <c r="T138" s="76"/>
      <c r="U138" s="76"/>
      <c r="V138" s="76"/>
      <c r="W138" s="76"/>
      <c r="X138" s="76"/>
      <c r="Y138" s="76"/>
      <c r="Z138" s="76"/>
    </row>
    <row r="139" spans="1:26" s="68" customFormat="1" x14ac:dyDescent="0.2">
      <c r="A139" s="207"/>
      <c r="B139" s="76"/>
      <c r="C139" s="76"/>
      <c r="D139" s="76"/>
      <c r="E139" s="76"/>
      <c r="F139" s="76"/>
      <c r="G139" s="76"/>
      <c r="H139" s="76"/>
      <c r="I139" s="76"/>
      <c r="J139" s="85"/>
      <c r="K139" s="76"/>
      <c r="L139" s="76"/>
      <c r="P139" s="76"/>
      <c r="Q139" s="76"/>
      <c r="R139" s="76"/>
      <c r="S139" s="76"/>
      <c r="T139" s="76"/>
      <c r="U139" s="76"/>
      <c r="V139" s="76"/>
      <c r="W139" s="76"/>
      <c r="X139" s="76"/>
      <c r="Y139" s="76"/>
      <c r="Z139" s="76"/>
    </row>
    <row r="140" spans="1:26" s="68" customFormat="1" x14ac:dyDescent="0.2">
      <c r="A140" s="207"/>
      <c r="B140" s="76"/>
      <c r="C140" s="76"/>
      <c r="D140" s="76"/>
      <c r="E140" s="76"/>
      <c r="F140" s="76"/>
      <c r="G140" s="76"/>
      <c r="H140" s="76"/>
      <c r="I140" s="76"/>
      <c r="J140" s="85"/>
      <c r="K140" s="76"/>
      <c r="L140" s="76"/>
      <c r="P140" s="76"/>
      <c r="Q140" s="76"/>
      <c r="R140" s="76"/>
      <c r="S140" s="76"/>
      <c r="T140" s="76"/>
      <c r="U140" s="76"/>
      <c r="V140" s="76"/>
      <c r="W140" s="76"/>
      <c r="X140" s="76"/>
      <c r="Y140" s="76"/>
      <c r="Z140" s="76"/>
    </row>
    <row r="141" spans="1:26" s="68" customFormat="1" x14ac:dyDescent="0.2">
      <c r="A141" s="207"/>
      <c r="B141" s="76"/>
      <c r="C141" s="76"/>
      <c r="D141" s="76"/>
      <c r="E141" s="76"/>
      <c r="F141" s="76"/>
      <c r="G141" s="76"/>
      <c r="H141" s="76"/>
      <c r="I141" s="76"/>
      <c r="J141" s="85"/>
      <c r="K141" s="76"/>
      <c r="L141" s="76"/>
      <c r="P141" s="76"/>
      <c r="Q141" s="76"/>
      <c r="R141" s="76"/>
      <c r="S141" s="76"/>
      <c r="T141" s="76"/>
      <c r="U141" s="76"/>
      <c r="V141" s="76"/>
      <c r="W141" s="76"/>
      <c r="X141" s="76"/>
      <c r="Y141" s="76"/>
      <c r="Z141" s="76"/>
    </row>
    <row r="142" spans="1:26" s="68" customFormat="1" x14ac:dyDescent="0.2">
      <c r="A142" s="207"/>
      <c r="B142" s="76"/>
      <c r="C142" s="76"/>
      <c r="D142" s="76"/>
      <c r="E142" s="76"/>
      <c r="F142" s="76"/>
      <c r="G142" s="76"/>
      <c r="H142" s="76"/>
      <c r="I142" s="76"/>
      <c r="J142" s="85"/>
      <c r="K142" s="76"/>
      <c r="L142" s="76"/>
      <c r="P142" s="76"/>
      <c r="Q142" s="76"/>
      <c r="R142" s="76"/>
      <c r="S142" s="76"/>
      <c r="T142" s="76"/>
      <c r="U142" s="76"/>
      <c r="V142" s="76"/>
      <c r="W142" s="76"/>
      <c r="X142" s="76"/>
      <c r="Y142" s="76"/>
      <c r="Z142" s="76"/>
    </row>
    <row r="143" spans="1:26" s="68" customFormat="1" x14ac:dyDescent="0.2">
      <c r="A143" s="207"/>
      <c r="B143" s="76"/>
      <c r="C143" s="76"/>
      <c r="D143" s="76"/>
      <c r="E143" s="76"/>
      <c r="F143" s="76"/>
      <c r="G143" s="76"/>
      <c r="H143" s="76"/>
      <c r="I143" s="76"/>
      <c r="J143" s="85"/>
      <c r="K143" s="76"/>
      <c r="L143" s="76"/>
      <c r="P143" s="76"/>
      <c r="Q143" s="76"/>
      <c r="R143" s="76"/>
      <c r="S143" s="76"/>
      <c r="T143" s="76"/>
      <c r="U143" s="76"/>
      <c r="V143" s="76"/>
      <c r="W143" s="76"/>
      <c r="X143" s="76"/>
      <c r="Y143" s="76"/>
      <c r="Z143" s="76"/>
    </row>
    <row r="144" spans="1:26" s="68" customFormat="1" x14ac:dyDescent="0.2">
      <c r="A144" s="207"/>
      <c r="B144" s="76"/>
      <c r="C144" s="76"/>
      <c r="D144" s="76"/>
      <c r="E144" s="76"/>
      <c r="F144" s="76"/>
      <c r="G144" s="76"/>
      <c r="H144" s="76"/>
      <c r="I144" s="76"/>
      <c r="J144" s="85"/>
      <c r="K144" s="76"/>
      <c r="L144" s="76"/>
      <c r="P144" s="76"/>
      <c r="Q144" s="76"/>
      <c r="R144" s="76"/>
      <c r="S144" s="76"/>
      <c r="T144" s="76"/>
      <c r="U144" s="76"/>
      <c r="V144" s="76"/>
      <c r="W144" s="76"/>
      <c r="X144" s="76"/>
      <c r="Y144" s="76"/>
      <c r="Z144" s="76"/>
    </row>
    <row r="145" spans="1:26" s="68" customFormat="1" x14ac:dyDescent="0.2">
      <c r="A145" s="207"/>
      <c r="B145" s="76"/>
      <c r="C145" s="76"/>
      <c r="D145" s="76"/>
      <c r="E145" s="76"/>
      <c r="F145" s="76"/>
      <c r="G145" s="76"/>
      <c r="H145" s="76"/>
      <c r="I145" s="76"/>
      <c r="J145" s="85"/>
      <c r="K145" s="76"/>
      <c r="L145" s="76"/>
      <c r="P145" s="76"/>
      <c r="Q145" s="76"/>
      <c r="R145" s="76"/>
      <c r="S145" s="76"/>
      <c r="T145" s="76"/>
      <c r="U145" s="76"/>
      <c r="V145" s="76"/>
      <c r="W145" s="76"/>
      <c r="X145" s="76"/>
      <c r="Y145" s="76"/>
      <c r="Z145" s="76"/>
    </row>
    <row r="146" spans="1:26" s="68" customFormat="1" ht="13.35" customHeight="1" x14ac:dyDescent="0.2">
      <c r="A146" s="207"/>
      <c r="B146" s="76"/>
      <c r="C146" s="76"/>
      <c r="D146" s="76"/>
      <c r="E146" s="76"/>
      <c r="F146" s="76"/>
      <c r="G146" s="76"/>
      <c r="H146" s="76"/>
      <c r="I146" s="76"/>
      <c r="J146" s="85"/>
      <c r="K146" s="76"/>
      <c r="L146" s="76"/>
      <c r="P146" s="76"/>
      <c r="Q146" s="76"/>
      <c r="R146" s="76"/>
      <c r="S146" s="76"/>
      <c r="T146" s="76"/>
      <c r="U146" s="76"/>
      <c r="V146" s="76"/>
      <c r="W146" s="76"/>
      <c r="X146" s="76"/>
      <c r="Y146" s="76"/>
      <c r="Z146" s="76"/>
    </row>
    <row r="147" spans="1:26" s="68" customFormat="1" x14ac:dyDescent="0.2">
      <c r="A147" s="207"/>
      <c r="B147" s="76"/>
      <c r="C147" s="76"/>
      <c r="D147" s="76"/>
      <c r="E147" s="76"/>
      <c r="F147" s="76"/>
      <c r="G147" s="76"/>
      <c r="H147" s="76"/>
      <c r="I147" s="76"/>
      <c r="J147" s="85"/>
      <c r="K147" s="76"/>
      <c r="L147" s="76"/>
      <c r="P147" s="76"/>
      <c r="Q147" s="76"/>
      <c r="R147" s="76"/>
      <c r="S147" s="76"/>
      <c r="T147" s="76"/>
      <c r="U147" s="76"/>
      <c r="V147" s="76"/>
      <c r="W147" s="76"/>
      <c r="X147" s="76"/>
      <c r="Y147" s="76"/>
      <c r="Z147" s="76"/>
    </row>
    <row r="148" spans="1:26" s="68" customFormat="1" x14ac:dyDescent="0.2">
      <c r="A148" s="207"/>
      <c r="B148" s="76"/>
      <c r="C148" s="76"/>
      <c r="D148" s="76"/>
      <c r="E148" s="76"/>
      <c r="F148" s="76"/>
      <c r="G148" s="76"/>
      <c r="H148" s="76"/>
      <c r="I148" s="76"/>
      <c r="J148" s="85"/>
      <c r="K148" s="76"/>
      <c r="L148" s="76"/>
      <c r="P148" s="76"/>
      <c r="Q148" s="76"/>
      <c r="R148" s="76"/>
      <c r="S148" s="76"/>
      <c r="T148" s="76"/>
      <c r="U148" s="76"/>
      <c r="V148" s="76"/>
      <c r="W148" s="76"/>
      <c r="X148" s="76"/>
      <c r="Y148" s="76"/>
      <c r="Z148" s="76"/>
    </row>
    <row r="149" spans="1:26" s="68" customFormat="1" x14ac:dyDescent="0.2">
      <c r="A149" s="207"/>
      <c r="B149" s="76"/>
      <c r="C149" s="76"/>
      <c r="D149" s="76"/>
      <c r="E149" s="76"/>
      <c r="F149" s="76"/>
      <c r="G149" s="76"/>
      <c r="H149" s="76"/>
      <c r="I149" s="76"/>
      <c r="J149" s="85"/>
      <c r="K149" s="76"/>
      <c r="L149" s="76"/>
      <c r="P149" s="76"/>
      <c r="Q149" s="76"/>
      <c r="R149" s="76"/>
      <c r="S149" s="76"/>
      <c r="T149" s="76"/>
      <c r="U149" s="76"/>
      <c r="V149" s="76"/>
      <c r="W149" s="76"/>
      <c r="X149" s="76"/>
      <c r="Y149" s="76"/>
      <c r="Z149" s="76"/>
    </row>
    <row r="150" spans="1:26" s="68" customFormat="1" x14ac:dyDescent="0.2">
      <c r="A150" s="207"/>
      <c r="B150" s="76"/>
      <c r="C150" s="76"/>
      <c r="D150" s="76"/>
      <c r="E150" s="76"/>
      <c r="F150" s="76"/>
      <c r="G150" s="76"/>
      <c r="H150" s="76"/>
      <c r="I150" s="76"/>
      <c r="J150" s="85"/>
      <c r="K150" s="76"/>
      <c r="L150" s="76"/>
      <c r="P150" s="76"/>
      <c r="Q150" s="76"/>
      <c r="R150" s="76"/>
      <c r="S150" s="76"/>
      <c r="T150" s="76"/>
      <c r="U150" s="76"/>
      <c r="V150" s="76"/>
      <c r="W150" s="76"/>
      <c r="X150" s="76"/>
      <c r="Y150" s="76"/>
      <c r="Z150" s="76"/>
    </row>
    <row r="151" spans="1:26" s="68" customFormat="1" x14ac:dyDescent="0.2">
      <c r="A151" s="207"/>
      <c r="B151" s="76"/>
      <c r="C151" s="76"/>
      <c r="D151" s="76"/>
      <c r="E151" s="76"/>
      <c r="F151" s="76"/>
      <c r="G151" s="76"/>
      <c r="H151" s="76"/>
      <c r="I151" s="76"/>
      <c r="J151" s="85"/>
      <c r="K151" s="76"/>
      <c r="L151" s="76"/>
      <c r="P151" s="76"/>
      <c r="Q151" s="76"/>
      <c r="R151" s="76"/>
      <c r="S151" s="76"/>
      <c r="T151" s="76"/>
      <c r="U151" s="76"/>
      <c r="V151" s="76"/>
      <c r="W151" s="76"/>
      <c r="X151" s="76"/>
      <c r="Y151" s="76"/>
      <c r="Z151" s="76"/>
    </row>
    <row r="152" spans="1:26" s="68" customFormat="1" x14ac:dyDescent="0.2">
      <c r="A152" s="207"/>
      <c r="B152" s="76"/>
      <c r="C152" s="76"/>
      <c r="D152" s="76"/>
      <c r="E152" s="76"/>
      <c r="F152" s="76"/>
      <c r="G152" s="76"/>
      <c r="H152" s="76"/>
      <c r="I152" s="76"/>
      <c r="J152" s="85"/>
      <c r="K152" s="76"/>
      <c r="L152" s="76"/>
      <c r="P152" s="76"/>
      <c r="Q152" s="76"/>
      <c r="R152" s="76"/>
      <c r="S152" s="76"/>
      <c r="T152" s="76"/>
      <c r="U152" s="76"/>
      <c r="V152" s="76"/>
      <c r="W152" s="76"/>
      <c r="X152" s="76"/>
      <c r="Y152" s="76"/>
      <c r="Z152" s="76"/>
    </row>
    <row r="153" spans="1:26" s="68" customFormat="1" x14ac:dyDescent="0.2">
      <c r="A153" s="207"/>
      <c r="B153" s="76"/>
      <c r="C153" s="76"/>
      <c r="D153" s="76"/>
      <c r="E153" s="76"/>
      <c r="F153" s="76"/>
      <c r="G153" s="76"/>
      <c r="H153" s="76"/>
      <c r="I153" s="76"/>
      <c r="J153" s="85"/>
      <c r="K153" s="76"/>
      <c r="L153" s="76"/>
      <c r="P153" s="76"/>
      <c r="Q153" s="76"/>
      <c r="R153" s="76"/>
      <c r="S153" s="76"/>
      <c r="T153" s="76"/>
      <c r="U153" s="76"/>
      <c r="V153" s="76"/>
      <c r="W153" s="76"/>
      <c r="X153" s="76"/>
      <c r="Y153" s="76"/>
      <c r="Z153" s="76"/>
    </row>
    <row r="154" spans="1:26" s="68" customFormat="1" x14ac:dyDescent="0.2">
      <c r="A154" s="207"/>
      <c r="B154" s="76"/>
      <c r="C154" s="76"/>
      <c r="D154" s="76"/>
      <c r="E154" s="76"/>
      <c r="F154" s="76"/>
      <c r="G154" s="76"/>
      <c r="H154" s="76"/>
      <c r="I154" s="76"/>
      <c r="J154" s="85"/>
      <c r="K154" s="76"/>
      <c r="L154" s="76"/>
      <c r="P154" s="76"/>
      <c r="Q154" s="76"/>
      <c r="R154" s="76"/>
      <c r="S154" s="76"/>
      <c r="T154" s="76"/>
      <c r="U154" s="76"/>
      <c r="V154" s="76"/>
      <c r="W154" s="76"/>
      <c r="X154" s="76"/>
      <c r="Y154" s="76"/>
      <c r="Z154" s="76"/>
    </row>
    <row r="155" spans="1:26" s="68" customFormat="1" x14ac:dyDescent="0.2">
      <c r="A155" s="207"/>
      <c r="B155" s="76"/>
      <c r="C155" s="76"/>
      <c r="D155" s="76"/>
      <c r="E155" s="76"/>
      <c r="F155" s="76"/>
      <c r="G155" s="76"/>
      <c r="H155" s="76"/>
      <c r="I155" s="76"/>
      <c r="J155" s="85"/>
      <c r="K155" s="76"/>
      <c r="L155" s="76"/>
      <c r="P155" s="76"/>
      <c r="Q155" s="76"/>
      <c r="R155" s="76"/>
      <c r="S155" s="76"/>
      <c r="T155" s="76"/>
      <c r="U155" s="76"/>
      <c r="V155" s="76"/>
      <c r="W155" s="76"/>
      <c r="X155" s="76"/>
      <c r="Y155" s="76"/>
      <c r="Z155" s="76"/>
    </row>
    <row r="156" spans="1:26" s="68" customFormat="1" x14ac:dyDescent="0.2">
      <c r="A156" s="207"/>
      <c r="B156" s="76"/>
      <c r="C156" s="76"/>
      <c r="D156" s="76"/>
      <c r="E156" s="76"/>
      <c r="F156" s="76"/>
      <c r="G156" s="76"/>
      <c r="H156" s="76"/>
      <c r="I156" s="76"/>
      <c r="J156" s="85"/>
      <c r="K156" s="76"/>
      <c r="L156" s="76"/>
      <c r="P156" s="76"/>
      <c r="Q156" s="76"/>
      <c r="R156" s="76"/>
      <c r="S156" s="76"/>
      <c r="T156" s="76"/>
      <c r="U156" s="76"/>
      <c r="V156" s="76"/>
      <c r="W156" s="76"/>
      <c r="X156" s="76"/>
      <c r="Y156" s="76"/>
      <c r="Z156" s="76"/>
    </row>
    <row r="157" spans="1:26" s="68" customFormat="1" x14ac:dyDescent="0.2">
      <c r="A157" s="207"/>
      <c r="B157" s="76"/>
      <c r="C157" s="76"/>
      <c r="D157" s="76"/>
      <c r="E157" s="76"/>
      <c r="F157" s="76"/>
      <c r="G157" s="76"/>
      <c r="H157" s="76"/>
      <c r="I157" s="76"/>
      <c r="J157" s="85"/>
      <c r="K157" s="76"/>
      <c r="L157" s="76"/>
      <c r="P157" s="76"/>
      <c r="Q157" s="76"/>
      <c r="R157" s="76"/>
      <c r="S157" s="76"/>
      <c r="T157" s="76"/>
      <c r="U157" s="76"/>
      <c r="V157" s="76"/>
      <c r="W157" s="76"/>
      <c r="X157" s="76"/>
      <c r="Y157" s="76"/>
      <c r="Z157" s="76"/>
    </row>
    <row r="158" spans="1:26" s="68" customFormat="1" x14ac:dyDescent="0.2">
      <c r="A158" s="207"/>
      <c r="B158" s="76"/>
      <c r="C158" s="76"/>
      <c r="D158" s="76"/>
      <c r="E158" s="76"/>
      <c r="F158" s="76"/>
      <c r="G158" s="76"/>
      <c r="H158" s="76"/>
      <c r="I158" s="76"/>
      <c r="J158" s="85"/>
      <c r="K158" s="76"/>
      <c r="L158" s="76"/>
      <c r="P158" s="76"/>
      <c r="Q158" s="76"/>
      <c r="R158" s="76"/>
      <c r="S158" s="76"/>
      <c r="T158" s="76"/>
      <c r="U158" s="76"/>
      <c r="V158" s="76"/>
      <c r="W158" s="76"/>
      <c r="X158" s="76"/>
      <c r="Y158" s="76"/>
      <c r="Z158" s="76"/>
    </row>
    <row r="159" spans="1:26" s="68" customFormat="1" x14ac:dyDescent="0.2">
      <c r="A159" s="207"/>
      <c r="B159" s="76"/>
      <c r="C159" s="76"/>
      <c r="D159" s="76"/>
      <c r="E159" s="76"/>
      <c r="F159" s="76"/>
      <c r="G159" s="76"/>
      <c r="H159" s="76"/>
      <c r="I159" s="76"/>
      <c r="J159" s="85"/>
      <c r="K159" s="76"/>
      <c r="L159" s="76"/>
      <c r="P159" s="76"/>
      <c r="Q159" s="76"/>
      <c r="R159" s="76"/>
      <c r="S159" s="76"/>
      <c r="T159" s="76"/>
      <c r="U159" s="76"/>
      <c r="V159" s="76"/>
      <c r="W159" s="76"/>
      <c r="X159" s="76"/>
      <c r="Y159" s="76"/>
      <c r="Z159" s="76"/>
    </row>
    <row r="160" spans="1:26" s="68" customFormat="1" x14ac:dyDescent="0.2">
      <c r="A160" s="207"/>
      <c r="B160" s="76"/>
      <c r="C160" s="76"/>
      <c r="D160" s="76"/>
      <c r="E160" s="76"/>
      <c r="F160" s="76"/>
      <c r="G160" s="76"/>
      <c r="H160" s="76"/>
      <c r="I160" s="76"/>
      <c r="J160" s="85"/>
      <c r="K160" s="76"/>
      <c r="L160" s="76"/>
      <c r="P160" s="76"/>
      <c r="Q160" s="76"/>
      <c r="R160" s="76"/>
      <c r="S160" s="76"/>
      <c r="T160" s="76"/>
      <c r="U160" s="76"/>
      <c r="V160" s="76"/>
      <c r="W160" s="76"/>
      <c r="X160" s="76"/>
      <c r="Y160" s="76"/>
      <c r="Z160" s="76"/>
    </row>
    <row r="161" spans="1:26" s="68" customFormat="1" x14ac:dyDescent="0.2">
      <c r="A161" s="207"/>
      <c r="B161" s="76"/>
      <c r="C161" s="76"/>
      <c r="D161" s="76"/>
      <c r="E161" s="76"/>
      <c r="F161" s="76"/>
      <c r="G161" s="76"/>
      <c r="H161" s="76"/>
      <c r="I161" s="76"/>
      <c r="J161" s="85"/>
      <c r="K161" s="76"/>
      <c r="L161" s="76"/>
      <c r="P161" s="76"/>
      <c r="Q161" s="76"/>
      <c r="R161" s="76"/>
      <c r="S161" s="76"/>
      <c r="T161" s="76"/>
      <c r="U161" s="76"/>
      <c r="V161" s="76"/>
      <c r="W161" s="76"/>
      <c r="X161" s="76"/>
      <c r="Y161" s="76"/>
      <c r="Z161" s="76"/>
    </row>
    <row r="162" spans="1:26" s="68" customFormat="1" ht="13.35" customHeight="1" x14ac:dyDescent="0.2">
      <c r="A162" s="207"/>
      <c r="B162" s="76"/>
      <c r="C162" s="76"/>
      <c r="D162" s="76"/>
      <c r="E162" s="76"/>
      <c r="F162" s="76"/>
      <c r="G162" s="76"/>
      <c r="H162" s="76"/>
      <c r="I162" s="76"/>
      <c r="J162" s="85"/>
      <c r="K162" s="76"/>
      <c r="L162" s="76"/>
      <c r="P162" s="76"/>
      <c r="Q162" s="76"/>
      <c r="R162" s="76"/>
      <c r="S162" s="76"/>
      <c r="T162" s="76"/>
      <c r="U162" s="76"/>
      <c r="V162" s="76"/>
      <c r="W162" s="76"/>
      <c r="X162" s="76"/>
      <c r="Y162" s="76"/>
      <c r="Z162" s="76"/>
    </row>
    <row r="163" spans="1:26" s="68" customFormat="1" x14ac:dyDescent="0.2">
      <c r="A163" s="207"/>
      <c r="B163" s="76"/>
      <c r="C163" s="76"/>
      <c r="D163" s="76"/>
      <c r="E163" s="76"/>
      <c r="F163" s="76"/>
      <c r="G163" s="76"/>
      <c r="H163" s="76"/>
      <c r="I163" s="76"/>
      <c r="J163" s="85"/>
      <c r="K163" s="76"/>
      <c r="L163" s="76"/>
      <c r="P163" s="76"/>
      <c r="Q163" s="76"/>
      <c r="R163" s="76"/>
      <c r="S163" s="76"/>
      <c r="T163" s="76"/>
      <c r="U163" s="76"/>
      <c r="V163" s="76"/>
      <c r="W163" s="76"/>
      <c r="X163" s="76"/>
      <c r="Y163" s="76"/>
      <c r="Z163" s="76"/>
    </row>
    <row r="164" spans="1:26" s="68" customFormat="1" x14ac:dyDescent="0.2">
      <c r="A164" s="207"/>
      <c r="B164" s="76"/>
      <c r="C164" s="76"/>
      <c r="D164" s="76"/>
      <c r="E164" s="76"/>
      <c r="F164" s="76"/>
      <c r="G164" s="76"/>
      <c r="H164" s="76"/>
      <c r="I164" s="76"/>
      <c r="J164" s="85"/>
      <c r="K164" s="76"/>
      <c r="L164" s="76"/>
      <c r="P164" s="76"/>
      <c r="Q164" s="76"/>
      <c r="R164" s="76"/>
      <c r="S164" s="76"/>
      <c r="T164" s="76"/>
      <c r="U164" s="76"/>
      <c r="V164" s="76"/>
      <c r="W164" s="76"/>
      <c r="X164" s="76"/>
      <c r="Y164" s="76"/>
      <c r="Z164" s="76"/>
    </row>
    <row r="165" spans="1:26" s="68" customFormat="1" x14ac:dyDescent="0.2">
      <c r="A165" s="207"/>
      <c r="B165" s="76"/>
      <c r="C165" s="76"/>
      <c r="D165" s="76"/>
      <c r="E165" s="76"/>
      <c r="F165" s="76"/>
      <c r="G165" s="76"/>
      <c r="H165" s="76"/>
      <c r="I165" s="76"/>
      <c r="J165" s="85"/>
      <c r="K165" s="76"/>
      <c r="L165" s="76"/>
      <c r="P165" s="76"/>
      <c r="Q165" s="76"/>
      <c r="R165" s="76"/>
      <c r="S165" s="76"/>
      <c r="T165" s="76"/>
      <c r="U165" s="76"/>
      <c r="V165" s="76"/>
      <c r="W165" s="76"/>
      <c r="X165" s="76"/>
      <c r="Y165" s="76"/>
      <c r="Z165" s="76"/>
    </row>
    <row r="166" spans="1:26" s="68" customFormat="1" x14ac:dyDescent="0.2">
      <c r="A166" s="207"/>
      <c r="B166" s="76"/>
      <c r="C166" s="76"/>
      <c r="D166" s="76"/>
      <c r="E166" s="76"/>
      <c r="F166" s="76"/>
      <c r="G166" s="76"/>
      <c r="H166" s="76"/>
      <c r="I166" s="76"/>
      <c r="J166" s="85"/>
      <c r="K166" s="76"/>
      <c r="L166" s="76"/>
      <c r="P166" s="76"/>
      <c r="Q166" s="76"/>
      <c r="R166" s="76"/>
      <c r="S166" s="76"/>
      <c r="T166" s="76"/>
      <c r="U166" s="76"/>
      <c r="V166" s="76"/>
      <c r="W166" s="76"/>
      <c r="X166" s="76"/>
      <c r="Y166" s="76"/>
      <c r="Z166" s="76"/>
    </row>
    <row r="167" spans="1:26" s="68" customFormat="1" x14ac:dyDescent="0.2">
      <c r="A167" s="207"/>
      <c r="B167" s="76"/>
      <c r="C167" s="76"/>
      <c r="D167" s="76"/>
      <c r="E167" s="76"/>
      <c r="F167" s="76"/>
      <c r="G167" s="76"/>
      <c r="H167" s="76"/>
      <c r="I167" s="76"/>
      <c r="J167" s="85"/>
      <c r="K167" s="76"/>
      <c r="L167" s="76"/>
      <c r="P167" s="76"/>
      <c r="Q167" s="76"/>
      <c r="R167" s="76"/>
      <c r="S167" s="76"/>
      <c r="T167" s="76"/>
      <c r="U167" s="76"/>
      <c r="V167" s="76"/>
      <c r="W167" s="76"/>
      <c r="X167" s="76"/>
      <c r="Y167" s="76"/>
      <c r="Z167" s="76"/>
    </row>
    <row r="168" spans="1:26" s="68" customFormat="1" x14ac:dyDescent="0.2">
      <c r="A168" s="207"/>
      <c r="B168" s="76"/>
      <c r="C168" s="76"/>
      <c r="D168" s="76"/>
      <c r="E168" s="76"/>
      <c r="F168" s="76"/>
      <c r="G168" s="76"/>
      <c r="H168" s="76"/>
      <c r="I168" s="76"/>
      <c r="J168" s="85"/>
      <c r="K168" s="76"/>
      <c r="L168" s="76"/>
      <c r="P168" s="76"/>
      <c r="Q168" s="76"/>
      <c r="R168" s="76"/>
      <c r="S168" s="76"/>
      <c r="T168" s="76"/>
      <c r="U168" s="76"/>
      <c r="V168" s="76"/>
      <c r="W168" s="76"/>
      <c r="X168" s="76"/>
      <c r="Y168" s="76"/>
      <c r="Z168" s="76"/>
    </row>
    <row r="169" spans="1:26" s="68" customFormat="1" x14ac:dyDescent="0.2">
      <c r="A169" s="207"/>
      <c r="B169" s="76"/>
      <c r="C169" s="76"/>
      <c r="D169" s="76"/>
      <c r="E169" s="76"/>
      <c r="F169" s="76"/>
      <c r="G169" s="76"/>
      <c r="H169" s="76"/>
      <c r="I169" s="76"/>
      <c r="J169" s="85"/>
      <c r="K169" s="76"/>
      <c r="L169" s="76"/>
      <c r="P169" s="76"/>
      <c r="Q169" s="76"/>
      <c r="R169" s="76"/>
      <c r="S169" s="76"/>
      <c r="T169" s="76"/>
      <c r="U169" s="76"/>
      <c r="V169" s="76"/>
      <c r="W169" s="76"/>
      <c r="X169" s="76"/>
      <c r="Y169" s="76"/>
      <c r="Z169" s="76"/>
    </row>
    <row r="170" spans="1:26" s="68" customFormat="1" x14ac:dyDescent="0.2">
      <c r="A170" s="207"/>
      <c r="B170" s="76"/>
      <c r="C170" s="76"/>
      <c r="D170" s="76"/>
      <c r="E170" s="76"/>
      <c r="F170" s="76"/>
      <c r="G170" s="76"/>
      <c r="H170" s="76"/>
      <c r="I170" s="76"/>
      <c r="J170" s="85"/>
      <c r="K170" s="76"/>
      <c r="L170" s="76"/>
      <c r="P170" s="76"/>
      <c r="Q170" s="76"/>
      <c r="R170" s="76"/>
      <c r="S170" s="76"/>
      <c r="T170" s="76"/>
      <c r="U170" s="76"/>
      <c r="V170" s="76"/>
      <c r="W170" s="76"/>
      <c r="X170" s="76"/>
      <c r="Y170" s="76"/>
      <c r="Z170" s="76"/>
    </row>
    <row r="171" spans="1:26" s="68" customFormat="1" x14ac:dyDescent="0.2">
      <c r="A171" s="207"/>
      <c r="B171" s="76"/>
      <c r="C171" s="76"/>
      <c r="D171" s="76"/>
      <c r="E171" s="76"/>
      <c r="F171" s="76"/>
      <c r="G171" s="76"/>
      <c r="H171" s="76"/>
      <c r="I171" s="76"/>
      <c r="J171" s="85"/>
      <c r="K171" s="76"/>
      <c r="L171" s="76"/>
      <c r="P171" s="76"/>
      <c r="Q171" s="76"/>
      <c r="R171" s="76"/>
      <c r="S171" s="76"/>
      <c r="T171" s="76"/>
      <c r="U171" s="76"/>
      <c r="V171" s="76"/>
      <c r="W171" s="76"/>
      <c r="X171" s="76"/>
      <c r="Y171" s="76"/>
      <c r="Z171" s="76"/>
    </row>
    <row r="172" spans="1:26" s="68" customFormat="1" x14ac:dyDescent="0.2">
      <c r="A172" s="207"/>
      <c r="B172" s="76"/>
      <c r="C172" s="76"/>
      <c r="D172" s="76"/>
      <c r="E172" s="76"/>
      <c r="F172" s="76"/>
      <c r="G172" s="76"/>
      <c r="H172" s="76"/>
      <c r="I172" s="76"/>
      <c r="J172" s="85"/>
      <c r="K172" s="76"/>
      <c r="L172" s="76"/>
      <c r="P172" s="76"/>
      <c r="Q172" s="76"/>
      <c r="R172" s="76"/>
      <c r="S172" s="76"/>
      <c r="T172" s="76"/>
      <c r="U172" s="76"/>
      <c r="V172" s="76"/>
      <c r="W172" s="76"/>
      <c r="X172" s="76"/>
      <c r="Y172" s="76"/>
      <c r="Z172" s="76"/>
    </row>
    <row r="173" spans="1:26" s="68" customFormat="1" x14ac:dyDescent="0.2">
      <c r="A173" s="207"/>
      <c r="B173" s="76"/>
      <c r="C173" s="76"/>
      <c r="D173" s="76"/>
      <c r="E173" s="76"/>
      <c r="F173" s="76"/>
      <c r="G173" s="76"/>
      <c r="H173" s="76"/>
      <c r="I173" s="76"/>
      <c r="J173" s="85"/>
      <c r="K173" s="76"/>
      <c r="L173" s="76"/>
      <c r="P173" s="76"/>
      <c r="Q173" s="76"/>
      <c r="R173" s="76"/>
      <c r="S173" s="76"/>
      <c r="T173" s="76"/>
      <c r="U173" s="76"/>
      <c r="V173" s="76"/>
      <c r="W173" s="76"/>
      <c r="X173" s="76"/>
      <c r="Y173" s="76"/>
      <c r="Z173" s="76"/>
    </row>
    <row r="174" spans="1:26" s="68" customFormat="1" x14ac:dyDescent="0.2">
      <c r="A174" s="207"/>
      <c r="B174" s="76"/>
      <c r="C174" s="76"/>
      <c r="D174" s="76"/>
      <c r="E174" s="76"/>
      <c r="F174" s="76"/>
      <c r="G174" s="76"/>
      <c r="H174" s="76"/>
      <c r="I174" s="76"/>
      <c r="J174" s="85"/>
      <c r="K174" s="76"/>
      <c r="L174" s="76"/>
      <c r="P174" s="76"/>
      <c r="Q174" s="76"/>
      <c r="R174" s="76"/>
      <c r="S174" s="76"/>
      <c r="T174" s="76"/>
      <c r="U174" s="76"/>
      <c r="V174" s="76"/>
      <c r="W174" s="76"/>
      <c r="X174" s="76"/>
      <c r="Y174" s="76"/>
      <c r="Z174" s="76"/>
    </row>
    <row r="175" spans="1:26" s="68" customFormat="1" x14ac:dyDescent="0.2">
      <c r="A175" s="207"/>
      <c r="B175" s="76"/>
      <c r="C175" s="76"/>
      <c r="D175" s="76"/>
      <c r="E175" s="76"/>
      <c r="F175" s="76"/>
      <c r="G175" s="76"/>
      <c r="H175" s="76"/>
      <c r="I175" s="76"/>
      <c r="J175" s="85"/>
      <c r="K175" s="76"/>
      <c r="L175" s="76"/>
      <c r="P175" s="76"/>
      <c r="Q175" s="76"/>
      <c r="R175" s="76"/>
      <c r="S175" s="76"/>
      <c r="T175" s="76"/>
      <c r="U175" s="76"/>
      <c r="V175" s="76"/>
      <c r="W175" s="76"/>
      <c r="X175" s="76"/>
      <c r="Y175" s="76"/>
      <c r="Z175" s="76"/>
    </row>
    <row r="176" spans="1:26" s="68" customFormat="1" x14ac:dyDescent="0.2">
      <c r="A176" s="207"/>
      <c r="B176" s="76"/>
      <c r="C176" s="76"/>
      <c r="D176" s="76"/>
      <c r="E176" s="76"/>
      <c r="F176" s="76"/>
      <c r="G176" s="76"/>
      <c r="H176" s="76"/>
      <c r="I176" s="76"/>
      <c r="J176" s="85"/>
      <c r="K176" s="76"/>
      <c r="L176" s="76"/>
      <c r="P176" s="76"/>
      <c r="Q176" s="76"/>
      <c r="R176" s="76"/>
      <c r="S176" s="76"/>
      <c r="T176" s="76"/>
      <c r="U176" s="76"/>
      <c r="V176" s="76"/>
      <c r="W176" s="76"/>
      <c r="X176" s="76"/>
      <c r="Y176" s="76"/>
      <c r="Z176" s="76"/>
    </row>
    <row r="177" spans="1:26" s="68" customFormat="1" x14ac:dyDescent="0.2">
      <c r="A177" s="207"/>
      <c r="B177" s="76"/>
      <c r="C177" s="76"/>
      <c r="D177" s="76"/>
      <c r="E177" s="76"/>
      <c r="F177" s="76"/>
      <c r="G177" s="76"/>
      <c r="H177" s="76"/>
      <c r="I177" s="76"/>
      <c r="J177" s="85"/>
      <c r="K177" s="76"/>
      <c r="L177" s="76"/>
      <c r="P177" s="76"/>
      <c r="Q177" s="76"/>
      <c r="R177" s="76"/>
      <c r="S177" s="76"/>
      <c r="T177" s="76"/>
      <c r="U177" s="76"/>
      <c r="V177" s="76"/>
      <c r="W177" s="76"/>
      <c r="X177" s="76"/>
      <c r="Y177" s="76"/>
      <c r="Z177" s="76"/>
    </row>
    <row r="178" spans="1:26" s="68" customFormat="1" ht="13.35" customHeight="1" x14ac:dyDescent="0.2">
      <c r="A178" s="207"/>
      <c r="B178" s="76"/>
      <c r="C178" s="76"/>
      <c r="D178" s="76"/>
      <c r="E178" s="76"/>
      <c r="F178" s="76"/>
      <c r="G178" s="76"/>
      <c r="H178" s="76"/>
      <c r="I178" s="76"/>
      <c r="J178" s="85"/>
      <c r="K178" s="76"/>
      <c r="L178" s="76"/>
      <c r="P178" s="76"/>
      <c r="Q178" s="76"/>
      <c r="R178" s="76"/>
      <c r="S178" s="76"/>
      <c r="T178" s="76"/>
      <c r="U178" s="76"/>
      <c r="V178" s="76"/>
      <c r="W178" s="76"/>
      <c r="X178" s="76"/>
      <c r="Y178" s="76"/>
      <c r="Z178" s="76"/>
    </row>
    <row r="179" spans="1:26" s="68" customFormat="1" x14ac:dyDescent="0.2">
      <c r="A179" s="207"/>
      <c r="B179" s="76"/>
      <c r="C179" s="76"/>
      <c r="D179" s="76"/>
      <c r="E179" s="76"/>
      <c r="F179" s="76"/>
      <c r="G179" s="76"/>
      <c r="H179" s="76"/>
      <c r="I179" s="76"/>
      <c r="J179" s="85"/>
      <c r="K179" s="76"/>
      <c r="L179" s="76"/>
      <c r="P179" s="76"/>
      <c r="Q179" s="76"/>
      <c r="R179" s="76"/>
      <c r="S179" s="76"/>
      <c r="T179" s="76"/>
      <c r="U179" s="76"/>
      <c r="V179" s="76"/>
      <c r="W179" s="76"/>
      <c r="X179" s="76"/>
      <c r="Y179" s="76"/>
      <c r="Z179" s="76"/>
    </row>
    <row r="180" spans="1:26" s="68" customFormat="1" x14ac:dyDescent="0.2">
      <c r="A180" s="207"/>
      <c r="B180" s="76"/>
      <c r="C180" s="76"/>
      <c r="D180" s="76"/>
      <c r="E180" s="76"/>
      <c r="F180" s="76"/>
      <c r="G180" s="76"/>
      <c r="H180" s="76"/>
      <c r="I180" s="76"/>
      <c r="J180" s="85"/>
      <c r="K180" s="76"/>
      <c r="L180" s="76"/>
      <c r="P180" s="76"/>
      <c r="Q180" s="76"/>
      <c r="R180" s="76"/>
      <c r="S180" s="76"/>
      <c r="T180" s="76"/>
      <c r="U180" s="76"/>
      <c r="V180" s="76"/>
      <c r="W180" s="76"/>
      <c r="X180" s="76"/>
      <c r="Y180" s="76"/>
      <c r="Z180" s="76"/>
    </row>
    <row r="181" spans="1:26" s="68" customFormat="1" x14ac:dyDescent="0.2">
      <c r="A181" s="207"/>
      <c r="B181" s="76"/>
      <c r="C181" s="76"/>
      <c r="D181" s="76"/>
      <c r="E181" s="76"/>
      <c r="F181" s="76"/>
      <c r="G181" s="76"/>
      <c r="H181" s="76"/>
      <c r="I181" s="76"/>
      <c r="J181" s="85"/>
      <c r="K181" s="76"/>
      <c r="L181" s="76"/>
      <c r="P181" s="76"/>
      <c r="Q181" s="76"/>
      <c r="R181" s="76"/>
      <c r="S181" s="76"/>
      <c r="T181" s="76"/>
      <c r="U181" s="76"/>
      <c r="V181" s="76"/>
      <c r="W181" s="76"/>
      <c r="X181" s="76"/>
      <c r="Y181" s="76"/>
      <c r="Z181" s="76"/>
    </row>
    <row r="182" spans="1:26" s="68" customFormat="1" x14ac:dyDescent="0.2">
      <c r="A182" s="207"/>
      <c r="B182" s="76"/>
      <c r="C182" s="76"/>
      <c r="D182" s="76"/>
      <c r="E182" s="76"/>
      <c r="F182" s="76"/>
      <c r="G182" s="76"/>
      <c r="H182" s="76"/>
      <c r="I182" s="76"/>
      <c r="J182" s="85"/>
      <c r="K182" s="76"/>
      <c r="L182" s="76"/>
      <c r="P182" s="76"/>
      <c r="Q182" s="76"/>
      <c r="R182" s="76"/>
      <c r="S182" s="76"/>
      <c r="T182" s="76"/>
      <c r="U182" s="76"/>
      <c r="V182" s="76"/>
      <c r="W182" s="76"/>
      <c r="X182" s="76"/>
      <c r="Y182" s="76"/>
      <c r="Z182" s="76"/>
    </row>
    <row r="183" spans="1:26" s="68" customFormat="1" x14ac:dyDescent="0.2">
      <c r="A183" s="207"/>
      <c r="B183" s="76"/>
      <c r="C183" s="76"/>
      <c r="D183" s="76"/>
      <c r="E183" s="76"/>
      <c r="F183" s="76"/>
      <c r="G183" s="76"/>
      <c r="H183" s="76"/>
      <c r="I183" s="76"/>
      <c r="J183" s="85"/>
      <c r="K183" s="76"/>
      <c r="L183" s="76"/>
      <c r="P183" s="76"/>
      <c r="Q183" s="76"/>
      <c r="R183" s="76"/>
      <c r="S183" s="76"/>
      <c r="T183" s="76"/>
      <c r="U183" s="76"/>
      <c r="V183" s="76"/>
      <c r="W183" s="76"/>
      <c r="X183" s="76"/>
      <c r="Y183" s="76"/>
      <c r="Z183" s="76"/>
    </row>
    <row r="184" spans="1:26" s="68" customFormat="1" x14ac:dyDescent="0.2">
      <c r="A184" s="207"/>
      <c r="B184" s="76"/>
      <c r="C184" s="76"/>
      <c r="D184" s="76"/>
      <c r="E184" s="76"/>
      <c r="F184" s="76"/>
      <c r="G184" s="76"/>
      <c r="H184" s="76"/>
      <c r="I184" s="76"/>
      <c r="J184" s="85"/>
      <c r="K184" s="76"/>
      <c r="L184" s="76"/>
      <c r="P184" s="76"/>
      <c r="Q184" s="76"/>
      <c r="R184" s="76"/>
      <c r="S184" s="76"/>
      <c r="T184" s="76"/>
      <c r="U184" s="76"/>
      <c r="V184" s="76"/>
      <c r="W184" s="76"/>
      <c r="X184" s="76"/>
      <c r="Y184" s="76"/>
      <c r="Z184" s="76"/>
    </row>
    <row r="185" spans="1:26" s="68" customFormat="1" x14ac:dyDescent="0.2">
      <c r="A185" s="207"/>
      <c r="B185" s="76"/>
      <c r="C185" s="76"/>
      <c r="D185" s="76"/>
      <c r="E185" s="76"/>
      <c r="F185" s="76"/>
      <c r="G185" s="76"/>
      <c r="H185" s="76"/>
      <c r="I185" s="76"/>
      <c r="J185" s="85"/>
      <c r="K185" s="76"/>
      <c r="L185" s="76"/>
      <c r="P185" s="76"/>
      <c r="Q185" s="76"/>
      <c r="R185" s="76"/>
      <c r="S185" s="76"/>
      <c r="T185" s="76"/>
      <c r="U185" s="76"/>
      <c r="V185" s="76"/>
      <c r="W185" s="76"/>
      <c r="X185" s="76"/>
      <c r="Y185" s="76"/>
      <c r="Z185" s="76"/>
    </row>
    <row r="186" spans="1:26" s="68" customFormat="1" x14ac:dyDescent="0.2">
      <c r="A186" s="207"/>
      <c r="B186" s="76"/>
      <c r="C186" s="76"/>
      <c r="D186" s="76"/>
      <c r="E186" s="76"/>
      <c r="F186" s="76"/>
      <c r="G186" s="76"/>
      <c r="H186" s="76"/>
      <c r="I186" s="76"/>
      <c r="J186" s="85"/>
      <c r="K186" s="76"/>
      <c r="L186" s="76"/>
      <c r="P186" s="76"/>
      <c r="Q186" s="76"/>
      <c r="R186" s="76"/>
      <c r="S186" s="76"/>
      <c r="T186" s="76"/>
      <c r="U186" s="76"/>
      <c r="V186" s="76"/>
      <c r="W186" s="76"/>
      <c r="X186" s="76"/>
      <c r="Y186" s="76"/>
      <c r="Z186" s="76"/>
    </row>
    <row r="187" spans="1:26" s="68" customFormat="1" x14ac:dyDescent="0.2">
      <c r="A187" s="207"/>
      <c r="B187" s="76"/>
      <c r="C187" s="76"/>
      <c r="D187" s="76"/>
      <c r="E187" s="76"/>
      <c r="F187" s="76"/>
      <c r="G187" s="76"/>
      <c r="H187" s="76"/>
      <c r="I187" s="76"/>
      <c r="J187" s="85"/>
      <c r="K187" s="76"/>
      <c r="L187" s="76"/>
      <c r="P187" s="76"/>
      <c r="Q187" s="76"/>
      <c r="R187" s="76"/>
      <c r="S187" s="76"/>
      <c r="T187" s="76"/>
      <c r="U187" s="76"/>
      <c r="V187" s="76"/>
      <c r="W187" s="76"/>
      <c r="X187" s="76"/>
      <c r="Y187" s="76"/>
      <c r="Z187" s="76"/>
    </row>
    <row r="188" spans="1:26" s="68" customFormat="1" x14ac:dyDescent="0.2">
      <c r="A188" s="207"/>
      <c r="B188" s="76"/>
      <c r="C188" s="76"/>
      <c r="D188" s="76"/>
      <c r="E188" s="76"/>
      <c r="F188" s="76"/>
      <c r="G188" s="76"/>
      <c r="H188" s="76"/>
      <c r="I188" s="76"/>
      <c r="J188" s="85"/>
      <c r="K188" s="76"/>
      <c r="L188" s="76"/>
      <c r="P188" s="76"/>
      <c r="Q188" s="76"/>
      <c r="R188" s="76"/>
      <c r="S188" s="76"/>
      <c r="T188" s="76"/>
      <c r="U188" s="76"/>
      <c r="V188" s="76"/>
      <c r="W188" s="76"/>
      <c r="X188" s="76"/>
      <c r="Y188" s="76"/>
      <c r="Z188" s="76"/>
    </row>
    <row r="189" spans="1:26" s="68" customFormat="1" x14ac:dyDescent="0.2">
      <c r="A189" s="207"/>
      <c r="B189" s="76"/>
      <c r="C189" s="76"/>
      <c r="D189" s="76"/>
      <c r="E189" s="76"/>
      <c r="F189" s="76"/>
      <c r="G189" s="76"/>
      <c r="H189" s="76"/>
      <c r="I189" s="76"/>
      <c r="J189" s="85"/>
      <c r="K189" s="76"/>
      <c r="L189" s="76"/>
      <c r="P189" s="76"/>
      <c r="Q189" s="76"/>
      <c r="R189" s="76"/>
      <c r="S189" s="76"/>
      <c r="T189" s="76"/>
      <c r="U189" s="76"/>
      <c r="V189" s="76"/>
      <c r="W189" s="76"/>
      <c r="X189" s="76"/>
      <c r="Y189" s="76"/>
      <c r="Z189" s="76"/>
    </row>
    <row r="190" spans="1:26" s="68" customFormat="1" x14ac:dyDescent="0.2">
      <c r="A190" s="207"/>
      <c r="B190" s="76"/>
      <c r="C190" s="76"/>
      <c r="D190" s="76"/>
      <c r="E190" s="76"/>
      <c r="F190" s="76"/>
      <c r="G190" s="76"/>
      <c r="H190" s="76"/>
      <c r="I190" s="76"/>
      <c r="J190" s="85"/>
      <c r="K190" s="76"/>
      <c r="L190" s="76"/>
      <c r="P190" s="76"/>
      <c r="Q190" s="76"/>
      <c r="R190" s="76"/>
      <c r="S190" s="76"/>
      <c r="T190" s="76"/>
      <c r="U190" s="76"/>
      <c r="V190" s="76"/>
      <c r="W190" s="76"/>
      <c r="X190" s="76"/>
      <c r="Y190" s="76"/>
      <c r="Z190" s="76"/>
    </row>
    <row r="191" spans="1:26" s="68" customFormat="1" x14ac:dyDescent="0.2">
      <c r="A191" s="207"/>
      <c r="B191" s="76"/>
      <c r="C191" s="76"/>
      <c r="D191" s="76"/>
      <c r="E191" s="76"/>
      <c r="F191" s="76"/>
      <c r="G191" s="76"/>
      <c r="H191" s="76"/>
      <c r="I191" s="76"/>
      <c r="J191" s="85"/>
      <c r="K191" s="76"/>
      <c r="L191" s="76"/>
      <c r="P191" s="76"/>
      <c r="Q191" s="76"/>
      <c r="R191" s="76"/>
      <c r="S191" s="76"/>
      <c r="T191" s="76"/>
      <c r="U191" s="76"/>
      <c r="V191" s="76"/>
      <c r="W191" s="76"/>
      <c r="X191" s="76"/>
      <c r="Y191" s="76"/>
      <c r="Z191" s="76"/>
    </row>
    <row r="192" spans="1:26" s="68" customFormat="1" x14ac:dyDescent="0.2">
      <c r="A192" s="207"/>
      <c r="B192" s="76"/>
      <c r="C192" s="76"/>
      <c r="D192" s="76"/>
      <c r="E192" s="76"/>
      <c r="F192" s="76"/>
      <c r="G192" s="76"/>
      <c r="H192" s="76"/>
      <c r="I192" s="76"/>
      <c r="J192" s="85"/>
      <c r="K192" s="76"/>
      <c r="L192" s="76"/>
      <c r="P192" s="76"/>
      <c r="Q192" s="76"/>
      <c r="R192" s="76"/>
      <c r="S192" s="76"/>
      <c r="T192" s="76"/>
      <c r="U192" s="76"/>
      <c r="V192" s="76"/>
      <c r="W192" s="76"/>
      <c r="X192" s="76"/>
      <c r="Y192" s="76"/>
      <c r="Z192" s="76"/>
    </row>
    <row r="193" spans="1:26" s="68" customFormat="1" x14ac:dyDescent="0.2">
      <c r="A193" s="207"/>
      <c r="B193" s="76"/>
      <c r="C193" s="76"/>
      <c r="D193" s="76"/>
      <c r="E193" s="76"/>
      <c r="F193" s="76"/>
      <c r="G193" s="76"/>
      <c r="H193" s="76"/>
      <c r="I193" s="76"/>
      <c r="J193" s="85"/>
      <c r="K193" s="76"/>
      <c r="L193" s="76"/>
      <c r="P193" s="76"/>
      <c r="Q193" s="76"/>
      <c r="R193" s="76"/>
      <c r="S193" s="76"/>
      <c r="T193" s="76"/>
      <c r="U193" s="76"/>
      <c r="V193" s="76"/>
      <c r="W193" s="76"/>
      <c r="X193" s="76"/>
      <c r="Y193" s="76"/>
      <c r="Z193" s="76"/>
    </row>
    <row r="194" spans="1:26" s="68" customFormat="1" ht="13.35" customHeight="1" x14ac:dyDescent="0.2">
      <c r="A194" s="207"/>
      <c r="B194" s="76"/>
      <c r="C194" s="76"/>
      <c r="D194" s="76"/>
      <c r="E194" s="76"/>
      <c r="F194" s="76"/>
      <c r="G194" s="76"/>
      <c r="H194" s="76"/>
      <c r="I194" s="76"/>
      <c r="J194" s="85"/>
      <c r="K194" s="76"/>
      <c r="L194" s="76"/>
      <c r="P194" s="76"/>
      <c r="Q194" s="76"/>
      <c r="R194" s="76"/>
      <c r="S194" s="76"/>
      <c r="T194" s="76"/>
      <c r="U194" s="76"/>
      <c r="V194" s="76"/>
      <c r="W194" s="76"/>
      <c r="X194" s="76"/>
      <c r="Y194" s="76"/>
      <c r="Z194" s="76"/>
    </row>
    <row r="195" spans="1:26" s="68" customFormat="1" x14ac:dyDescent="0.2">
      <c r="A195" s="207"/>
      <c r="B195" s="76"/>
      <c r="C195" s="76"/>
      <c r="D195" s="76"/>
      <c r="E195" s="76"/>
      <c r="F195" s="76"/>
      <c r="G195" s="76"/>
      <c r="H195" s="76"/>
      <c r="I195" s="76"/>
      <c r="J195" s="85"/>
      <c r="K195" s="76"/>
      <c r="L195" s="76"/>
      <c r="P195" s="76"/>
      <c r="Q195" s="76"/>
      <c r="R195" s="76"/>
      <c r="S195" s="76"/>
      <c r="T195" s="76"/>
      <c r="U195" s="76"/>
      <c r="V195" s="76"/>
      <c r="W195" s="76"/>
      <c r="X195" s="76"/>
      <c r="Y195" s="76"/>
      <c r="Z195" s="76"/>
    </row>
    <row r="196" spans="1:26" s="68" customFormat="1" x14ac:dyDescent="0.2">
      <c r="A196" s="207"/>
      <c r="B196" s="76"/>
      <c r="C196" s="76"/>
      <c r="D196" s="76"/>
      <c r="E196" s="76"/>
      <c r="F196" s="76"/>
      <c r="G196" s="76"/>
      <c r="H196" s="76"/>
      <c r="I196" s="76"/>
      <c r="J196" s="85"/>
      <c r="K196" s="76"/>
      <c r="L196" s="76"/>
      <c r="P196" s="76"/>
      <c r="Q196" s="76"/>
      <c r="R196" s="76"/>
      <c r="S196" s="76"/>
      <c r="T196" s="76"/>
      <c r="U196" s="76"/>
      <c r="V196" s="76"/>
      <c r="W196" s="76"/>
      <c r="X196" s="76"/>
      <c r="Y196" s="76"/>
      <c r="Z196" s="76"/>
    </row>
    <row r="197" spans="1:26" s="68" customFormat="1" x14ac:dyDescent="0.2">
      <c r="A197" s="207"/>
      <c r="B197" s="76"/>
      <c r="C197" s="76"/>
      <c r="D197" s="76"/>
      <c r="E197" s="76"/>
      <c r="F197" s="76"/>
      <c r="G197" s="76"/>
      <c r="H197" s="76"/>
      <c r="I197" s="76"/>
      <c r="J197" s="85"/>
      <c r="K197" s="76"/>
      <c r="L197" s="76"/>
      <c r="P197" s="76"/>
      <c r="Q197" s="76"/>
      <c r="R197" s="76"/>
      <c r="S197" s="76"/>
      <c r="T197" s="76"/>
      <c r="U197" s="76"/>
      <c r="V197" s="76"/>
      <c r="W197" s="76"/>
      <c r="X197" s="76"/>
      <c r="Y197" s="76"/>
      <c r="Z197" s="76"/>
    </row>
    <row r="198" spans="1:26" s="68" customFormat="1" x14ac:dyDescent="0.2">
      <c r="A198" s="207"/>
      <c r="B198" s="76"/>
      <c r="C198" s="76"/>
      <c r="D198" s="76"/>
      <c r="E198" s="76"/>
      <c r="F198" s="76"/>
      <c r="G198" s="76"/>
      <c r="H198" s="76"/>
      <c r="I198" s="76"/>
      <c r="J198" s="85"/>
      <c r="K198" s="76"/>
      <c r="L198" s="76"/>
      <c r="P198" s="76"/>
      <c r="Q198" s="76"/>
      <c r="R198" s="76"/>
      <c r="S198" s="76"/>
      <c r="T198" s="76"/>
      <c r="U198" s="76"/>
      <c r="V198" s="76"/>
      <c r="W198" s="76"/>
      <c r="X198" s="76"/>
      <c r="Y198" s="76"/>
      <c r="Z198" s="76"/>
    </row>
    <row r="199" spans="1:26" s="68" customFormat="1" x14ac:dyDescent="0.2">
      <c r="A199" s="207"/>
      <c r="B199" s="76"/>
      <c r="C199" s="76"/>
      <c r="D199" s="76"/>
      <c r="E199" s="76"/>
      <c r="F199" s="76"/>
      <c r="G199" s="76"/>
      <c r="H199" s="76"/>
      <c r="I199" s="76"/>
      <c r="J199" s="85"/>
      <c r="K199" s="76"/>
      <c r="L199" s="76"/>
      <c r="P199" s="76"/>
      <c r="Q199" s="76"/>
      <c r="R199" s="76"/>
      <c r="S199" s="76"/>
      <c r="T199" s="76"/>
      <c r="U199" s="76"/>
      <c r="V199" s="76"/>
      <c r="W199" s="76"/>
      <c r="X199" s="76"/>
      <c r="Y199" s="76"/>
      <c r="Z199" s="76"/>
    </row>
    <row r="200" spans="1:26" s="68" customFormat="1" x14ac:dyDescent="0.2">
      <c r="A200" s="207"/>
      <c r="B200" s="76"/>
      <c r="C200" s="76"/>
      <c r="D200" s="76"/>
      <c r="E200" s="76"/>
      <c r="F200" s="76"/>
      <c r="G200" s="76"/>
      <c r="H200" s="76"/>
      <c r="I200" s="76"/>
      <c r="J200" s="85"/>
      <c r="K200" s="76"/>
      <c r="L200" s="76"/>
      <c r="P200" s="76"/>
      <c r="Q200" s="76"/>
      <c r="R200" s="76"/>
      <c r="S200" s="76"/>
      <c r="T200" s="76"/>
      <c r="U200" s="76"/>
      <c r="V200" s="76"/>
      <c r="W200" s="76"/>
      <c r="X200" s="76"/>
      <c r="Y200" s="76"/>
      <c r="Z200" s="76"/>
    </row>
    <row r="201" spans="1:26" s="68" customFormat="1" x14ac:dyDescent="0.2">
      <c r="A201" s="207"/>
      <c r="B201" s="76"/>
      <c r="C201" s="76"/>
      <c r="D201" s="76"/>
      <c r="E201" s="76"/>
      <c r="F201" s="76"/>
      <c r="G201" s="76"/>
      <c r="H201" s="76"/>
      <c r="I201" s="76"/>
      <c r="J201" s="85"/>
      <c r="K201" s="76"/>
      <c r="L201" s="76"/>
      <c r="P201" s="76"/>
      <c r="Q201" s="76"/>
      <c r="R201" s="76"/>
      <c r="S201" s="76"/>
      <c r="T201" s="76"/>
      <c r="U201" s="76"/>
      <c r="V201" s="76"/>
      <c r="W201" s="76"/>
      <c r="X201" s="76"/>
      <c r="Y201" s="76"/>
      <c r="Z201" s="76"/>
    </row>
    <row r="202" spans="1:26" s="68" customFormat="1" x14ac:dyDescent="0.2">
      <c r="A202" s="207"/>
      <c r="B202" s="76"/>
      <c r="C202" s="76"/>
      <c r="D202" s="76"/>
      <c r="E202" s="76"/>
      <c r="F202" s="76"/>
      <c r="G202" s="76"/>
      <c r="H202" s="76"/>
      <c r="I202" s="76"/>
      <c r="J202" s="85"/>
      <c r="K202" s="76"/>
      <c r="L202" s="76"/>
      <c r="P202" s="76"/>
      <c r="Q202" s="76"/>
      <c r="R202" s="76"/>
      <c r="S202" s="76"/>
      <c r="T202" s="76"/>
      <c r="U202" s="76"/>
      <c r="V202" s="76"/>
      <c r="W202" s="76"/>
      <c r="X202" s="76"/>
      <c r="Y202" s="76"/>
      <c r="Z202" s="76"/>
    </row>
    <row r="203" spans="1:26" s="68" customFormat="1" x14ac:dyDescent="0.2">
      <c r="A203" s="207"/>
      <c r="B203" s="76"/>
      <c r="C203" s="76"/>
      <c r="D203" s="76"/>
      <c r="E203" s="76"/>
      <c r="F203" s="76"/>
      <c r="G203" s="76"/>
      <c r="H203" s="76"/>
      <c r="I203" s="76"/>
      <c r="J203" s="85"/>
      <c r="K203" s="76"/>
      <c r="L203" s="76"/>
      <c r="P203" s="76"/>
      <c r="Q203" s="76"/>
      <c r="R203" s="76"/>
      <c r="S203" s="76"/>
      <c r="T203" s="76"/>
      <c r="U203" s="76"/>
      <c r="V203" s="76"/>
      <c r="W203" s="76"/>
      <c r="X203" s="76"/>
      <c r="Y203" s="76"/>
      <c r="Z203" s="76"/>
    </row>
    <row r="204" spans="1:26" s="68" customFormat="1" x14ac:dyDescent="0.2">
      <c r="A204" s="207"/>
      <c r="B204" s="76"/>
      <c r="C204" s="76"/>
      <c r="D204" s="76"/>
      <c r="E204" s="76"/>
      <c r="F204" s="76"/>
      <c r="G204" s="76"/>
      <c r="H204" s="76"/>
      <c r="I204" s="76"/>
      <c r="J204" s="85"/>
      <c r="K204" s="76"/>
      <c r="L204" s="76"/>
      <c r="P204" s="76"/>
      <c r="Q204" s="76"/>
      <c r="R204" s="76"/>
      <c r="S204" s="76"/>
      <c r="T204" s="76"/>
      <c r="U204" s="76"/>
      <c r="V204" s="76"/>
      <c r="W204" s="76"/>
      <c r="X204" s="76"/>
      <c r="Y204" s="76"/>
      <c r="Z204" s="76"/>
    </row>
    <row r="205" spans="1:26" s="68" customFormat="1" x14ac:dyDescent="0.2">
      <c r="A205" s="207"/>
      <c r="B205" s="76"/>
      <c r="C205" s="76"/>
      <c r="D205" s="76"/>
      <c r="E205" s="76"/>
      <c r="F205" s="76"/>
      <c r="G205" s="76"/>
      <c r="H205" s="76"/>
      <c r="I205" s="76"/>
      <c r="J205" s="85"/>
      <c r="K205" s="76"/>
      <c r="L205" s="76"/>
      <c r="P205" s="76"/>
      <c r="Q205" s="76"/>
      <c r="R205" s="76"/>
      <c r="S205" s="76"/>
      <c r="T205" s="76"/>
      <c r="U205" s="76"/>
      <c r="V205" s="76"/>
      <c r="W205" s="76"/>
      <c r="X205" s="76"/>
      <c r="Y205" s="76"/>
      <c r="Z205" s="76"/>
    </row>
    <row r="206" spans="1:26" s="68" customFormat="1" x14ac:dyDescent="0.2">
      <c r="A206" s="207"/>
      <c r="B206" s="76"/>
      <c r="C206" s="76"/>
      <c r="D206" s="76"/>
      <c r="E206" s="76"/>
      <c r="F206" s="76"/>
      <c r="G206" s="76"/>
      <c r="H206" s="76"/>
      <c r="I206" s="76"/>
      <c r="J206" s="85"/>
      <c r="K206" s="76"/>
      <c r="L206" s="76"/>
      <c r="P206" s="76"/>
      <c r="Q206" s="76"/>
      <c r="R206" s="76"/>
      <c r="S206" s="76"/>
      <c r="T206" s="76"/>
      <c r="U206" s="76"/>
      <c r="V206" s="76"/>
      <c r="W206" s="76"/>
      <c r="X206" s="76"/>
      <c r="Y206" s="76"/>
      <c r="Z206" s="76"/>
    </row>
    <row r="207" spans="1:26" s="68" customFormat="1" x14ac:dyDescent="0.2">
      <c r="A207" s="207"/>
      <c r="B207" s="76"/>
      <c r="C207" s="76"/>
      <c r="D207" s="76"/>
      <c r="E207" s="76"/>
      <c r="F207" s="76"/>
      <c r="G207" s="76"/>
      <c r="H207" s="76"/>
      <c r="I207" s="76"/>
      <c r="J207" s="85"/>
      <c r="K207" s="76"/>
      <c r="L207" s="76"/>
      <c r="P207" s="76"/>
      <c r="Q207" s="76"/>
      <c r="R207" s="76"/>
      <c r="S207" s="76"/>
      <c r="T207" s="76"/>
      <c r="U207" s="76"/>
      <c r="V207" s="76"/>
      <c r="W207" s="76"/>
      <c r="X207" s="76"/>
      <c r="Y207" s="76"/>
      <c r="Z207" s="76"/>
    </row>
    <row r="208" spans="1:26" s="68" customFormat="1" x14ac:dyDescent="0.2">
      <c r="A208" s="207"/>
      <c r="B208" s="76"/>
      <c r="C208" s="76"/>
      <c r="D208" s="76"/>
      <c r="E208" s="76"/>
      <c r="F208" s="76"/>
      <c r="G208" s="76"/>
      <c r="H208" s="76"/>
      <c r="I208" s="76"/>
      <c r="J208" s="85"/>
      <c r="K208" s="76"/>
      <c r="L208" s="76"/>
      <c r="P208" s="76"/>
      <c r="Q208" s="76"/>
      <c r="R208" s="76"/>
      <c r="S208" s="76"/>
      <c r="T208" s="76"/>
      <c r="U208" s="76"/>
      <c r="V208" s="76"/>
      <c r="W208" s="76"/>
      <c r="X208" s="76"/>
      <c r="Y208" s="76"/>
      <c r="Z208" s="76"/>
    </row>
    <row r="209" spans="1:29" s="68" customFormat="1" x14ac:dyDescent="0.2">
      <c r="A209" s="207"/>
      <c r="B209" s="76"/>
      <c r="C209" s="76"/>
      <c r="D209" s="76"/>
      <c r="E209" s="76"/>
      <c r="F209" s="76"/>
      <c r="G209" s="76"/>
      <c r="H209" s="76"/>
      <c r="I209" s="76"/>
      <c r="J209" s="85"/>
      <c r="K209" s="76"/>
      <c r="L209" s="76"/>
      <c r="P209" s="76"/>
      <c r="Q209" s="76"/>
      <c r="R209" s="76"/>
      <c r="S209" s="76"/>
      <c r="T209" s="76"/>
      <c r="U209" s="76"/>
      <c r="V209" s="76"/>
      <c r="W209" s="76"/>
      <c r="X209" s="76"/>
      <c r="Y209" s="76"/>
      <c r="Z209" s="76"/>
    </row>
    <row r="210" spans="1:29" s="68" customFormat="1" ht="13.35" customHeight="1" x14ac:dyDescent="0.2">
      <c r="A210" s="207"/>
      <c r="B210" s="76"/>
      <c r="C210" s="76"/>
      <c r="D210" s="76"/>
      <c r="E210" s="76"/>
      <c r="F210" s="76"/>
      <c r="G210" s="76"/>
      <c r="H210" s="76"/>
      <c r="I210" s="76"/>
      <c r="J210" s="85"/>
      <c r="K210" s="76"/>
      <c r="L210" s="76"/>
      <c r="P210" s="76"/>
      <c r="Q210" s="76"/>
      <c r="R210" s="76"/>
      <c r="S210" s="76"/>
      <c r="T210" s="76"/>
      <c r="U210" s="76"/>
      <c r="V210" s="76"/>
      <c r="W210" s="76"/>
      <c r="X210" s="76"/>
      <c r="Y210" s="76"/>
      <c r="Z210" s="76"/>
    </row>
    <row r="211" spans="1:29" s="68" customFormat="1" x14ac:dyDescent="0.2">
      <c r="A211" s="207"/>
      <c r="B211" s="76"/>
      <c r="C211" s="76"/>
      <c r="D211" s="76"/>
      <c r="E211" s="76"/>
      <c r="F211" s="76"/>
      <c r="G211" s="76"/>
      <c r="H211" s="76"/>
      <c r="I211" s="76"/>
      <c r="J211" s="85"/>
      <c r="K211" s="76"/>
      <c r="L211" s="76"/>
      <c r="P211" s="76"/>
      <c r="Q211" s="76"/>
      <c r="R211" s="76"/>
      <c r="S211" s="76"/>
      <c r="T211" s="76"/>
      <c r="U211" s="76"/>
      <c r="V211" s="76"/>
      <c r="W211" s="76"/>
      <c r="X211" s="76"/>
      <c r="Y211" s="76"/>
      <c r="Z211" s="76"/>
    </row>
    <row r="212" spans="1:29" s="68" customFormat="1" x14ac:dyDescent="0.2">
      <c r="A212" s="207"/>
      <c r="B212" s="76"/>
      <c r="C212" s="76"/>
      <c r="D212" s="76"/>
      <c r="E212" s="76"/>
      <c r="F212" s="76"/>
      <c r="G212" s="76"/>
      <c r="H212" s="76"/>
      <c r="I212" s="76"/>
      <c r="J212" s="85"/>
      <c r="K212" s="76"/>
      <c r="L212" s="76"/>
      <c r="P212" s="76"/>
      <c r="Q212" s="76"/>
      <c r="R212" s="76"/>
      <c r="S212" s="76"/>
      <c r="T212" s="76"/>
      <c r="U212" s="76"/>
      <c r="V212" s="76"/>
      <c r="W212" s="76"/>
      <c r="X212" s="76"/>
      <c r="Y212" s="76"/>
      <c r="Z212" s="76"/>
    </row>
    <row r="213" spans="1:29" s="68" customFormat="1" x14ac:dyDescent="0.2">
      <c r="A213" s="207"/>
      <c r="B213" s="76"/>
      <c r="C213" s="76"/>
      <c r="D213" s="76"/>
      <c r="E213" s="76"/>
      <c r="F213" s="76"/>
      <c r="G213" s="76"/>
      <c r="H213" s="76"/>
      <c r="I213" s="76"/>
      <c r="J213" s="86"/>
      <c r="K213" s="76"/>
      <c r="L213" s="76"/>
      <c r="P213" s="76"/>
      <c r="Q213" s="76"/>
      <c r="R213" s="76"/>
      <c r="S213" s="76"/>
      <c r="T213" s="76"/>
      <c r="U213" s="76"/>
      <c r="V213" s="76"/>
      <c r="W213" s="76"/>
      <c r="X213" s="76"/>
      <c r="Y213" s="76"/>
      <c r="Z213" s="76"/>
      <c r="AA213" s="76"/>
      <c r="AB213" s="76"/>
      <c r="AC213" s="76"/>
    </row>
    <row r="214" spans="1:29" s="68" customFormat="1" x14ac:dyDescent="0.2">
      <c r="A214" s="207"/>
      <c r="B214" s="76"/>
      <c r="C214" s="76"/>
      <c r="D214" s="76"/>
      <c r="E214" s="76"/>
      <c r="F214" s="76"/>
      <c r="G214" s="76"/>
      <c r="H214" s="76"/>
      <c r="I214" s="76"/>
      <c r="J214" s="86"/>
      <c r="K214" s="76"/>
      <c r="L214" s="76"/>
      <c r="P214" s="76"/>
      <c r="Q214" s="76"/>
      <c r="R214" s="76"/>
      <c r="S214" s="76"/>
      <c r="T214" s="76"/>
      <c r="U214" s="76"/>
      <c r="V214" s="76"/>
      <c r="W214" s="76"/>
      <c r="X214" s="76"/>
      <c r="Y214" s="76"/>
      <c r="Z214" s="76"/>
      <c r="AA214" s="76"/>
      <c r="AB214" s="76"/>
      <c r="AC214" s="76"/>
    </row>
  </sheetData>
  <sheetProtection algorithmName="SHA-512" hashValue="pF7vKxtBoPbn67/fKosJgPvMELfHJ5pIAcDAC4T0r2+fiYR7sdpPUbgSRMEPIzNNZM2nLelKPfRXBdushVApXA==" saltValue="1oX0OFR9cpagSQWl2ZYkwg==" spinCount="100000" sheet="1" objects="1" scenarios="1" formatColumns="0" formatRows="0"/>
  <dataConsolidate/>
  <mergeCells count="24">
    <mergeCell ref="J6:K6"/>
    <mergeCell ref="J7:J8"/>
    <mergeCell ref="B111:H111"/>
    <mergeCell ref="G7:G8"/>
    <mergeCell ref="B6:H6"/>
    <mergeCell ref="B7:B8"/>
    <mergeCell ref="H7:H8"/>
    <mergeCell ref="K7:K8"/>
    <mergeCell ref="E7:E8"/>
    <mergeCell ref="C7:C8"/>
    <mergeCell ref="D7:D8"/>
    <mergeCell ref="F7:F8"/>
    <mergeCell ref="U7:V7"/>
    <mergeCell ref="M6:AC6"/>
    <mergeCell ref="AA111:AB111"/>
    <mergeCell ref="AC7:AC8"/>
    <mergeCell ref="AA7:AA8"/>
    <mergeCell ref="AB7:AB8"/>
    <mergeCell ref="W111:X111"/>
    <mergeCell ref="W7:Y7"/>
    <mergeCell ref="S7:T7"/>
    <mergeCell ref="M7:N7"/>
    <mergeCell ref="O7:P7"/>
    <mergeCell ref="Q7:R7"/>
  </mergeCells>
  <dataValidations count="2">
    <dataValidation type="list" allowBlank="1" showInputMessage="1" showErrorMessage="1" sqref="J9:J110" xr:uid="{00000000-0002-0000-0400-000000000000}">
      <formula1>"Manufacturer Declared, Third Party Verified"</formula1>
    </dataValidation>
    <dataValidation type="list" allowBlank="1" showInputMessage="1" showErrorMessage="1" sqref="AA9:AA110" xr:uid="{00000000-0002-0000-0400-000001000000}">
      <formula1>"Yes, No"</formula1>
    </dataValidation>
  </dataValidations>
  <pageMargins left="1" right="0.75" top="1" bottom="0.75" header="0.5" footer="0.5"/>
  <pageSetup orientation="portrait" r:id="rId1"/>
  <headerFooter alignWithMargins="0">
    <oddFooter>&amp;LU S Green Building Council&amp;C&amp;"Arial,Bold"&amp;A&amp;RLEED&amp;XTM&amp;X Material Tracker</oddFooter>
  </headerFooter>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outlinePr summaryBelow="0" summaryRight="0"/>
  </sheetPr>
  <dimension ref="A1:V229"/>
  <sheetViews>
    <sheetView showGridLines="0" showZeros="0" zoomScaleNormal="100" zoomScaleSheetLayoutView="100" zoomScalePageLayoutView="90" workbookViewId="0">
      <pane ySplit="8" topLeftCell="A9" activePane="bottomLeft" state="frozen"/>
      <selection pane="bottomLeft" activeCell="A107" sqref="A107:XFD107"/>
    </sheetView>
  </sheetViews>
  <sheetFormatPr defaultColWidth="9.140625" defaultRowHeight="11.25" x14ac:dyDescent="0.2"/>
  <cols>
    <col min="1" max="1" width="2.7109375" style="208" hidden="1" customWidth="1"/>
    <col min="2" max="5" width="18.7109375" style="76" customWidth="1"/>
    <col min="6" max="6" width="18.7109375" style="76" hidden="1" customWidth="1"/>
    <col min="7" max="7" width="18.7109375" style="76" customWidth="1"/>
    <col min="8" max="8" width="14.7109375" style="75" hidden="1" customWidth="1"/>
    <col min="9" max="9" width="2.85546875" style="75" hidden="1" customWidth="1"/>
    <col min="10" max="11" width="33.7109375" style="76" customWidth="1"/>
    <col min="12" max="12" width="33.7109375" style="76" hidden="1" customWidth="1"/>
    <col min="13" max="13" width="2.85546875" style="76" hidden="1" customWidth="1"/>
    <col min="14" max="14" width="34.7109375" style="76" hidden="1" customWidth="1"/>
    <col min="15" max="15" width="14.7109375" style="76" customWidth="1"/>
    <col min="16" max="16" width="22.140625" style="76" hidden="1" customWidth="1"/>
    <col min="17" max="17" width="37.7109375" style="76" hidden="1" customWidth="1"/>
    <col min="18" max="18" width="12.140625" style="76" hidden="1" customWidth="1"/>
    <col min="19" max="19" width="11.140625" style="76" hidden="1" customWidth="1"/>
    <col min="20" max="20" width="14.85546875" style="76" hidden="1" customWidth="1"/>
    <col min="21" max="22" width="0" style="76" hidden="1" customWidth="1"/>
    <col min="23" max="16384" width="9.140625" style="76"/>
  </cols>
  <sheetData>
    <row r="1" spans="1:22" s="50" customFormat="1" ht="15" hidden="1" customHeight="1" x14ac:dyDescent="0.2">
      <c r="A1" s="196"/>
      <c r="B1" s="49"/>
      <c r="C1" s="49"/>
      <c r="D1" s="49"/>
      <c r="E1" s="49"/>
      <c r="F1" s="49"/>
      <c r="G1" s="49"/>
      <c r="H1" s="48"/>
      <c r="I1" s="48"/>
      <c r="J1" s="48"/>
      <c r="K1" s="48"/>
      <c r="L1" s="48"/>
      <c r="M1" s="48"/>
      <c r="N1" s="48"/>
      <c r="O1" s="48"/>
      <c r="P1" s="48"/>
      <c r="Q1" s="48"/>
    </row>
    <row r="2" spans="1:22" s="50" customFormat="1" ht="21" hidden="1" customHeight="1" x14ac:dyDescent="0.2">
      <c r="A2" s="197"/>
      <c r="B2" s="303" t="s">
        <v>45</v>
      </c>
      <c r="C2" s="303"/>
      <c r="D2" s="303"/>
      <c r="E2" s="303"/>
      <c r="F2" s="303"/>
      <c r="G2" s="303"/>
      <c r="H2" s="303"/>
      <c r="I2" s="303"/>
      <c r="J2" s="303"/>
      <c r="K2" s="303"/>
      <c r="L2" s="303"/>
      <c r="M2" s="303"/>
      <c r="N2" s="303"/>
      <c r="O2" s="303"/>
      <c r="P2" s="303"/>
      <c r="Q2" s="303"/>
    </row>
    <row r="3" spans="1:22" s="50" customFormat="1" ht="14.25" hidden="1" customHeight="1" x14ac:dyDescent="0.2">
      <c r="A3" s="196"/>
      <c r="B3" s="48"/>
      <c r="C3" s="48"/>
      <c r="D3" s="48"/>
      <c r="E3" s="48"/>
      <c r="F3" s="48"/>
      <c r="G3" s="48"/>
      <c r="H3" s="48"/>
      <c r="I3" s="48"/>
      <c r="J3" s="48"/>
      <c r="K3" s="48"/>
      <c r="L3" s="48"/>
      <c r="M3" s="48"/>
      <c r="N3" s="48"/>
      <c r="O3" s="48"/>
      <c r="P3" s="48"/>
      <c r="Q3" s="48"/>
    </row>
    <row r="4" spans="1:22" s="51" customFormat="1" ht="21.95" hidden="1" customHeight="1" x14ac:dyDescent="0.2">
      <c r="A4" s="198"/>
      <c r="H4" s="54"/>
      <c r="I4" s="54"/>
      <c r="J4" s="66"/>
      <c r="K4" s="66"/>
      <c r="L4" s="66"/>
      <c r="M4" s="66"/>
    </row>
    <row r="5" spans="1:22" s="51" customFormat="1" ht="18" hidden="1" customHeight="1" x14ac:dyDescent="0.2">
      <c r="A5" s="198"/>
      <c r="B5" s="95" t="s">
        <v>27</v>
      </c>
      <c r="C5" s="95"/>
      <c r="D5" s="95"/>
      <c r="E5" s="95"/>
      <c r="F5" s="95"/>
      <c r="G5" s="95"/>
      <c r="H5" s="96"/>
      <c r="I5" s="96"/>
      <c r="J5" s="96"/>
      <c r="K5" s="96"/>
      <c r="L5" s="96"/>
      <c r="M5" s="96"/>
      <c r="N5" s="96"/>
      <c r="O5" s="96"/>
    </row>
    <row r="6" spans="1:22" s="51" customFormat="1" ht="41.25" hidden="1" customHeight="1" x14ac:dyDescent="0.2">
      <c r="A6" s="198"/>
      <c r="B6" s="569" t="s">
        <v>19</v>
      </c>
      <c r="C6" s="570"/>
      <c r="D6" s="570"/>
      <c r="E6" s="570"/>
      <c r="F6" s="570"/>
      <c r="G6" s="570"/>
      <c r="H6" s="571"/>
      <c r="I6" s="67"/>
      <c r="J6" s="581" t="s">
        <v>13</v>
      </c>
      <c r="K6" s="582"/>
      <c r="L6" s="583"/>
      <c r="M6" s="250"/>
      <c r="N6" s="588" t="s">
        <v>69</v>
      </c>
      <c r="O6" s="589"/>
      <c r="P6" s="589"/>
      <c r="Q6" s="590"/>
      <c r="R6" s="320"/>
      <c r="S6" s="400"/>
      <c r="T6" s="321"/>
      <c r="U6" s="391"/>
      <c r="V6" s="392"/>
    </row>
    <row r="7" spans="1:22" s="68" customFormat="1" ht="33" hidden="1" customHeight="1" x14ac:dyDescent="0.2">
      <c r="A7" s="207"/>
      <c r="B7" s="568" t="s">
        <v>62</v>
      </c>
      <c r="C7" s="560" t="s">
        <v>141</v>
      </c>
      <c r="D7" s="560" t="s">
        <v>63</v>
      </c>
      <c r="E7" s="572" t="s">
        <v>60</v>
      </c>
      <c r="F7" s="562" t="s">
        <v>152</v>
      </c>
      <c r="G7" s="572" t="s">
        <v>61</v>
      </c>
      <c r="H7" s="573" t="s">
        <v>91</v>
      </c>
      <c r="I7" s="69"/>
      <c r="J7" s="584" t="s">
        <v>126</v>
      </c>
      <c r="K7" s="586" t="s">
        <v>127</v>
      </c>
      <c r="L7" s="577" t="s">
        <v>108</v>
      </c>
      <c r="M7" s="70"/>
      <c r="N7" s="595" t="s">
        <v>128</v>
      </c>
      <c r="O7" s="599" t="s">
        <v>129</v>
      </c>
      <c r="P7" s="605" t="s">
        <v>148</v>
      </c>
      <c r="Q7" s="605" t="s">
        <v>139</v>
      </c>
      <c r="R7" s="601" t="s">
        <v>85</v>
      </c>
      <c r="S7" s="603" t="s">
        <v>109</v>
      </c>
      <c r="T7" s="597" t="s">
        <v>95</v>
      </c>
      <c r="U7" s="485" t="s">
        <v>147</v>
      </c>
      <c r="V7" s="486"/>
    </row>
    <row r="8" spans="1:22" s="71" customFormat="1" ht="61.5" customHeight="1" x14ac:dyDescent="0.2">
      <c r="A8" s="207"/>
      <c r="B8" s="513"/>
      <c r="C8" s="561"/>
      <c r="D8" s="561"/>
      <c r="E8" s="519"/>
      <c r="F8" s="563"/>
      <c r="G8" s="519"/>
      <c r="H8" s="504"/>
      <c r="I8" s="69"/>
      <c r="J8" s="585"/>
      <c r="K8" s="587"/>
      <c r="L8" s="578"/>
      <c r="M8" s="70"/>
      <c r="N8" s="596"/>
      <c r="O8" s="600"/>
      <c r="P8" s="498"/>
      <c r="Q8" s="498"/>
      <c r="R8" s="602"/>
      <c r="S8" s="604"/>
      <c r="T8" s="598"/>
      <c r="U8" s="487"/>
      <c r="V8" s="488"/>
    </row>
    <row r="9" spans="1:22" s="68" customFormat="1" ht="15.75" customHeight="1" x14ac:dyDescent="0.2">
      <c r="A9" s="80">
        <f>IF(H9&gt;=0,0,1)</f>
        <v>0</v>
      </c>
      <c r="B9" s="368" t="str">
        <f>IF(ISBLANK(Materials!B9),"",Materials!B9)</f>
        <v>Site Concrete</v>
      </c>
      <c r="C9" s="355" t="str">
        <f>IF(ISBLANK(Materials!C9),"",Materials!C9)</f>
        <v>033000</v>
      </c>
      <c r="D9" s="355" t="str">
        <f>IF(ISBLANK(Materials!D9),"",Materials!D9)</f>
        <v/>
      </c>
      <c r="E9" s="351" t="str">
        <f>IF(ISBLANK(Materials!E9),"",Materials!E9)</f>
        <v>CC4534DA6</v>
      </c>
      <c r="F9" s="432"/>
      <c r="G9" s="362" t="str">
        <f>IF(ISBLANK(Materials!F9),"",Materials!F9)</f>
        <v>Lauren Concrete</v>
      </c>
      <c r="H9" s="317">
        <f>IF(ISBLANK(Materials!G9),"",Materials!G9)</f>
        <v>11881</v>
      </c>
      <c r="I9" s="72"/>
      <c r="J9" s="278"/>
      <c r="K9" s="323"/>
      <c r="L9" s="325" t="str">
        <f>IF(K9="Yes",0.5,"")</f>
        <v/>
      </c>
      <c r="M9" s="258"/>
      <c r="N9" s="274"/>
      <c r="O9" s="263"/>
      <c r="P9" s="393">
        <f t="shared" ref="P9:P110" si="0">IF(V9&lt;=200,V9,IF(V9&gt;=201,200))*IFERROR(N9&lt;&gt;0,)</f>
        <v>0</v>
      </c>
      <c r="Q9" s="335" t="e">
        <f>IF(S9&lt;=1,S9,IF(S9&gt;2,S9-1,S9*1))</f>
        <v>#VALUE!</v>
      </c>
      <c r="R9" s="402" t="str">
        <f t="shared" ref="R9:R110" si="1">IF(N9="Material Ingredient Screening &amp; Optimisation Action Plan",0.5,IF(N9="Advanced Inventory &amp; Assessment",1,IF(N9="Material Ingredient Optimisation",1.5,IF(N9="REACH",1,IF(N9="Global Green Tag",1,"")))))</f>
        <v/>
      </c>
      <c r="S9" s="403" t="str">
        <f t="shared" ref="S9:S110" si="2">IF(O9="Yes",R9*2,R9)</f>
        <v/>
      </c>
      <c r="T9" s="398" t="b">
        <f t="shared" ref="T9:T110" si="3">IF(OR(N9="Material Ingredient Screening &amp; Optimisation Action Plan"),H9*0.5,IF(OR(N9="Advanced Inventory &amp; Assessment"),H9*1,IF(OR(N9="Material Ingredient Optimisation"),H9*1.5,IF(OR(N9="REACH"),H9*1,IF(OR(N9="Global Green Tag"),H9*1)))))</f>
        <v>0</v>
      </c>
      <c r="U9" s="396">
        <f>IF(N9="Material Ingredient Screening &amp; Optimisation Action Plan",H9*0.5/Materials!$G$112*100,IF(N9="Advanced Inventory &amp; Assessment",H9/Materials!$G$112*100,IF(N9="Material Ingredient Optimisation",H9*1.5/Materials!$G$112*100,IF(N9="REACH",H9*1/Materials!$G$112*100,IF(N9="Global Green Tag",H9*1/Materials!$G$112*100)))))*IFERROR(N9&lt;&gt;0,)</f>
        <v>0</v>
      </c>
      <c r="V9" s="397">
        <f t="shared" ref="V9:V110" si="4">IF(O9="Yes",U9*2,U9)</f>
        <v>0</v>
      </c>
    </row>
    <row r="10" spans="1:22" s="68" customFormat="1" ht="12.75" x14ac:dyDescent="0.2">
      <c r="A10" s="80">
        <f t="shared" ref="A10:A14" si="5">IF(H10&gt;=0,0,1)</f>
        <v>0</v>
      </c>
      <c r="B10" s="369" t="str">
        <f>IF(ISBLANK(Materials!B10),"",Materials!B10)</f>
        <v>Slab on Grade</v>
      </c>
      <c r="C10" s="355" t="str">
        <f>IF(ISBLANK(Materials!C10),"",Materials!C10)</f>
        <v>033000</v>
      </c>
      <c r="D10" s="355" t="str">
        <f>IF(ISBLANK(Materials!D10),"",Materials!D10)</f>
        <v/>
      </c>
      <c r="E10" s="370" t="str">
        <f>IF(ISBLANK(Materials!E10),"",Materials!E10)</f>
        <v>CC45LSR6</v>
      </c>
      <c r="F10" s="433"/>
      <c r="G10" s="371" t="str">
        <f>IF(ISBLANK(Materials!F10),"",Materials!F10)</f>
        <v>Lauren Concrete</v>
      </c>
      <c r="H10" s="293">
        <f>IF(ISBLANK(Materials!G10),"",Materials!G10)</f>
        <v>20085</v>
      </c>
      <c r="I10" s="72"/>
      <c r="J10" s="279"/>
      <c r="K10" s="275"/>
      <c r="L10" s="326" t="str">
        <f>IF(K10="Yes",0.5,"")</f>
        <v/>
      </c>
      <c r="M10" s="258"/>
      <c r="N10" s="276"/>
      <c r="O10" s="277"/>
      <c r="P10" s="393">
        <f t="shared" si="0"/>
        <v>0</v>
      </c>
      <c r="Q10" s="336" t="e">
        <f t="shared" ref="Q10:Q110" si="6">IF(S10&lt;=1,S10,IF(S10&gt;2,S10-1,S10*1))</f>
        <v>#VALUE!</v>
      </c>
      <c r="R10" s="404" t="str">
        <f t="shared" si="1"/>
        <v/>
      </c>
      <c r="S10" s="403" t="str">
        <f t="shared" si="2"/>
        <v/>
      </c>
      <c r="T10" s="398" t="b">
        <f t="shared" si="3"/>
        <v>0</v>
      </c>
      <c r="U10" s="396">
        <f>IF(N10="Material Ingredient Screening &amp; Optimisation Action Plan",H10*0.5/Materials!$G$112*100,IF(N10="Advanced Inventory &amp; Assessment",H10/Materials!$G$112*100,IF(N10="Material Ingredient Optimisation",H10*1.5/Materials!$G$112*100,IF(N10="REACH",H10*1/Materials!$G$112*100,IF(N10="Global Green Tag",H10*1/Materials!$G$112*100)))))*IFERROR(N10&lt;&gt;0,)</f>
        <v>0</v>
      </c>
      <c r="V10" s="397">
        <f t="shared" si="4"/>
        <v>0</v>
      </c>
    </row>
    <row r="11" spans="1:22" s="68" customFormat="1" ht="24" x14ac:dyDescent="0.2">
      <c r="A11" s="80">
        <f t="shared" si="5"/>
        <v>0</v>
      </c>
      <c r="B11" s="369" t="str">
        <f>IF(ISBLANK(Materials!B11),"",Materials!B11)</f>
        <v>Piers, Footings, Grade Beams</v>
      </c>
      <c r="C11" s="355" t="str">
        <f>IF(ISBLANK(Materials!C11),"",Materials!C11)</f>
        <v>033000</v>
      </c>
      <c r="D11" s="355" t="str">
        <f>IF(ISBLANK(Materials!D11),"",Materials!D11)</f>
        <v/>
      </c>
      <c r="E11" s="370" t="str">
        <f>IF(ISBLANK(Materials!E11),"",Materials!E11)</f>
        <v>4550LS</v>
      </c>
      <c r="F11" s="433"/>
      <c r="G11" s="371" t="str">
        <f>IF(ISBLANK(Materials!F11),"",Materials!F11)</f>
        <v>Lauren Concrete</v>
      </c>
      <c r="H11" s="293">
        <f>IF(ISBLANK(Materials!G11),"",Materials!G11)</f>
        <v>66281</v>
      </c>
      <c r="I11" s="72"/>
      <c r="J11" s="279"/>
      <c r="K11" s="275"/>
      <c r="L11" s="326" t="str">
        <f t="shared" ref="L11:L110" si="7">IF(K11="Yes",0.5,"")</f>
        <v/>
      </c>
      <c r="M11" s="258"/>
      <c r="N11" s="276"/>
      <c r="O11" s="277"/>
      <c r="P11" s="393">
        <f t="shared" si="0"/>
        <v>0</v>
      </c>
      <c r="Q11" s="336" t="e">
        <f t="shared" si="6"/>
        <v>#VALUE!</v>
      </c>
      <c r="R11" s="404" t="str">
        <f t="shared" si="1"/>
        <v/>
      </c>
      <c r="S11" s="403" t="str">
        <f t="shared" si="2"/>
        <v/>
      </c>
      <c r="T11" s="398" t="b">
        <f t="shared" si="3"/>
        <v>0</v>
      </c>
      <c r="U11" s="396">
        <f>IF(N11="Material Ingredient Screening &amp; Optimisation Action Plan",H11*0.5/Materials!$G$112*100,IF(N11="Advanced Inventory &amp; Assessment",H11/Materials!$G$112*100,IF(N11="Material Ingredient Optimisation",H11*1.5/Materials!$G$112*100,IF(N11="REACH",H11*1/Materials!$G$112*100,IF(N11="Global Green Tag",H11*1/Materials!$G$112*100)))))*IFERROR(N11&lt;&gt;0,)</f>
        <v>0</v>
      </c>
      <c r="V11" s="397">
        <f t="shared" si="4"/>
        <v>0</v>
      </c>
    </row>
    <row r="12" spans="1:22" s="68" customFormat="1" ht="24" x14ac:dyDescent="0.2">
      <c r="A12" s="80">
        <f t="shared" si="5"/>
        <v>0</v>
      </c>
      <c r="B12" s="369" t="str">
        <f>IF(ISBLANK(Materials!B12),"",Materials!B12)</f>
        <v>Elevated Concrete &amp; Columns</v>
      </c>
      <c r="C12" s="355" t="str">
        <f>IF(ISBLANK(Materials!C12),"",Materials!C12)</f>
        <v>033000</v>
      </c>
      <c r="D12" s="355" t="str">
        <f>IF(ISBLANK(Materials!D12),"",Materials!D12)</f>
        <v/>
      </c>
      <c r="E12" s="370" t="str">
        <f>IF(ISBLANK(Materials!E12),"",Materials!E12)</f>
        <v>CC45LS6</v>
      </c>
      <c r="F12" s="433"/>
      <c r="G12" s="371" t="str">
        <f>IF(ISBLANK(Materials!F12),"",Materials!F12)</f>
        <v>Lauren Concrete</v>
      </c>
      <c r="H12" s="293">
        <f>IF(ISBLANK(Materials!G12),"",Materials!G12)</f>
        <v>155033</v>
      </c>
      <c r="I12" s="72"/>
      <c r="J12" s="279"/>
      <c r="K12" s="275"/>
      <c r="L12" s="326" t="str">
        <f t="shared" si="7"/>
        <v/>
      </c>
      <c r="M12" s="258"/>
      <c r="N12" s="276"/>
      <c r="O12" s="277"/>
      <c r="P12" s="393">
        <f t="shared" si="0"/>
        <v>0</v>
      </c>
      <c r="Q12" s="336" t="e">
        <f t="shared" si="6"/>
        <v>#VALUE!</v>
      </c>
      <c r="R12" s="404" t="str">
        <f t="shared" si="1"/>
        <v/>
      </c>
      <c r="S12" s="403" t="str">
        <f t="shared" si="2"/>
        <v/>
      </c>
      <c r="T12" s="398" t="b">
        <f t="shared" si="3"/>
        <v>0</v>
      </c>
      <c r="U12" s="396">
        <f>IF(N12="Material Ingredient Screening &amp; Optimisation Action Plan",H12*0.5/Materials!$G$112*100,IF(N12="Advanced Inventory &amp; Assessment",H12/Materials!$G$112*100,IF(N12="Material Ingredient Optimisation",H12*1.5/Materials!$G$112*100,IF(N12="REACH",H12*1/Materials!$G$112*100,IF(N12="Global Green Tag",H12*1/Materials!$G$112*100)))))*IFERROR(N12&lt;&gt;0,)</f>
        <v>0</v>
      </c>
      <c r="V12" s="397">
        <f t="shared" si="4"/>
        <v>0</v>
      </c>
    </row>
    <row r="13" spans="1:22" s="68" customFormat="1" ht="24" x14ac:dyDescent="0.2">
      <c r="A13" s="80">
        <f t="shared" si="5"/>
        <v>0</v>
      </c>
      <c r="B13" s="369" t="str">
        <f>IF(ISBLANK(Materials!B13),"",Materials!B13)</f>
        <v xml:space="preserve">Concrete Reinforcing Steel </v>
      </c>
      <c r="C13" s="355" t="str">
        <f>IF(ISBLANK(Materials!C13),"",Materials!C13)</f>
        <v>032000</v>
      </c>
      <c r="D13" s="355" t="str">
        <f>IF(ISBLANK(Materials!D13),"",Materials!D13)</f>
        <v/>
      </c>
      <c r="E13" s="370" t="str">
        <f>IF(ISBLANK(Materials!E13),"",Materials!E13)</f>
        <v>Rebar</v>
      </c>
      <c r="F13" s="433"/>
      <c r="G13" s="371" t="str">
        <f>IF(ISBLANK(Materials!F13),"",Materials!F13)</f>
        <v>CMC</v>
      </c>
      <c r="H13" s="293">
        <f>IF(ISBLANK(Materials!G13),"",Materials!G13)</f>
        <v>208700</v>
      </c>
      <c r="I13" s="72"/>
      <c r="J13" s="279"/>
      <c r="K13" s="275"/>
      <c r="L13" s="326" t="str">
        <f t="shared" si="7"/>
        <v/>
      </c>
      <c r="M13" s="258"/>
      <c r="N13" s="276"/>
      <c r="O13" s="277"/>
      <c r="P13" s="393">
        <f t="shared" si="0"/>
        <v>0</v>
      </c>
      <c r="Q13" s="336" t="e">
        <f t="shared" si="6"/>
        <v>#VALUE!</v>
      </c>
      <c r="R13" s="404" t="str">
        <f t="shared" si="1"/>
        <v/>
      </c>
      <c r="S13" s="403" t="str">
        <f t="shared" si="2"/>
        <v/>
      </c>
      <c r="T13" s="398" t="b">
        <f t="shared" si="3"/>
        <v>0</v>
      </c>
      <c r="U13" s="396">
        <f>IF(N13="Material Ingredient Screening &amp; Optimisation Action Plan",H13*0.5/Materials!$G$112*100,IF(N13="Advanced Inventory &amp; Assessment",H13/Materials!$G$112*100,IF(N13="Material Ingredient Optimisation",H13*1.5/Materials!$G$112*100,IF(N13="REACH",H13*1/Materials!$G$112*100,IF(N13="Global Green Tag",H13*1/Materials!$G$112*100)))))*IFERROR(N13&lt;&gt;0,)</f>
        <v>0</v>
      </c>
      <c r="V13" s="397">
        <f t="shared" si="4"/>
        <v>0</v>
      </c>
    </row>
    <row r="14" spans="1:22" s="68" customFormat="1" ht="12.75" x14ac:dyDescent="0.2">
      <c r="A14" s="80">
        <f t="shared" si="5"/>
        <v>0</v>
      </c>
      <c r="B14" s="369" t="str">
        <f>IF(ISBLANK(Materials!B14),"",Materials!B14)</f>
        <v xml:space="preserve">Concrete Mix </v>
      </c>
      <c r="C14" s="355" t="str">
        <f>IF(ISBLANK(Materials!C14),"",Materials!C14)</f>
        <v>033000</v>
      </c>
      <c r="D14" s="355" t="str">
        <f>IF(ISBLANK(Materials!D14),"",Materials!D14)</f>
        <v/>
      </c>
      <c r="E14" s="370" t="str">
        <f>IF(ISBLANK(Materials!E14),"",Materials!E14)</f>
        <v>CC4434D6</v>
      </c>
      <c r="F14" s="433"/>
      <c r="G14" s="371" t="str">
        <f>IF(ISBLANK(Materials!F14),"",Materials!F14)</f>
        <v>Lauren Concrete</v>
      </c>
      <c r="H14" s="293">
        <f>IF(ISBLANK(Materials!G14),"",Materials!G14)</f>
        <v>2640</v>
      </c>
      <c r="I14" s="72"/>
      <c r="J14" s="279"/>
      <c r="K14" s="275"/>
      <c r="L14" s="326" t="str">
        <f t="shared" si="7"/>
        <v/>
      </c>
      <c r="M14" s="258"/>
      <c r="N14" s="276"/>
      <c r="O14" s="277"/>
      <c r="P14" s="393">
        <f t="shared" si="0"/>
        <v>0</v>
      </c>
      <c r="Q14" s="336" t="e">
        <f t="shared" si="6"/>
        <v>#VALUE!</v>
      </c>
      <c r="R14" s="404" t="str">
        <f t="shared" si="1"/>
        <v/>
      </c>
      <c r="S14" s="403" t="str">
        <f t="shared" si="2"/>
        <v/>
      </c>
      <c r="T14" s="398" t="b">
        <f t="shared" si="3"/>
        <v>0</v>
      </c>
      <c r="U14" s="396">
        <f>IF(N14="Material Ingredient Screening &amp; Optimisation Action Plan",H14*0.5/Materials!$G$112*100,IF(N14="Advanced Inventory &amp; Assessment",H14/Materials!$G$112*100,IF(N14="Material Ingredient Optimisation",H14*1.5/Materials!$G$112*100,IF(N14="REACH",H14*1/Materials!$G$112*100,IF(N14="Global Green Tag",H14*1/Materials!$G$112*100)))))*IFERROR(N14&lt;&gt;0,)</f>
        <v>0</v>
      </c>
      <c r="V14" s="397">
        <f t="shared" si="4"/>
        <v>0</v>
      </c>
    </row>
    <row r="15" spans="1:22" s="68" customFormat="1" ht="24" x14ac:dyDescent="0.2">
      <c r="A15" s="80">
        <f t="shared" ref="A15" si="8">IF(H15&gt;=0,0,1)</f>
        <v>0</v>
      </c>
      <c r="B15" s="369" t="str">
        <f>IF(ISBLANK(Materials!B15),"",Materials!B15)</f>
        <v>Cast in Place Concrete</v>
      </c>
      <c r="C15" s="355" t="str">
        <f>IF(ISBLANK(Materials!C15),"",Materials!C15)</f>
        <v>03 Concrete</v>
      </c>
      <c r="D15" s="355" t="str">
        <f>IF(ISBLANK(Materials!D15),"",Materials!D15)</f>
        <v/>
      </c>
      <c r="E15" s="370" t="str">
        <f>IF(ISBLANK(Materials!E15),"",Materials!E15)</f>
        <v>Steel Anchors Bolts &amp; Embeds</v>
      </c>
      <c r="F15" s="433"/>
      <c r="G15" s="371" t="str">
        <f>IF(ISBLANK(Materials!F15),"",Materials!F15)</f>
        <v>Myrex Industries</v>
      </c>
      <c r="H15" s="293">
        <f>IF(ISBLANK(Materials!G15),"",Materials!G15)</f>
        <v>0</v>
      </c>
      <c r="I15" s="72"/>
      <c r="J15" s="279"/>
      <c r="K15" s="275"/>
      <c r="L15" s="326" t="str">
        <f t="shared" si="7"/>
        <v/>
      </c>
      <c r="M15" s="258"/>
      <c r="N15" s="276"/>
      <c r="O15" s="277"/>
      <c r="P15" s="393">
        <f t="shared" si="0"/>
        <v>0</v>
      </c>
      <c r="Q15" s="336" t="e">
        <f t="shared" si="6"/>
        <v>#VALUE!</v>
      </c>
      <c r="R15" s="404" t="str">
        <f t="shared" si="1"/>
        <v/>
      </c>
      <c r="S15" s="403" t="str">
        <f t="shared" si="2"/>
        <v/>
      </c>
      <c r="T15" s="398" t="b">
        <f t="shared" si="3"/>
        <v>0</v>
      </c>
      <c r="U15" s="396">
        <f>IF(N15="Material Ingredient Screening &amp; Optimisation Action Plan",H15*0.5/Materials!$G$112*100,IF(N15="Advanced Inventory &amp; Assessment",H15/Materials!$G$112*100,IF(N15="Material Ingredient Optimisation",H15*1.5/Materials!$G$112*100,IF(N15="REACH",H15*1/Materials!$G$112*100,IF(N15="Global Green Tag",H15*1/Materials!$G$112*100)))))*IFERROR(N15&lt;&gt;0,)</f>
        <v>0</v>
      </c>
      <c r="V15" s="397">
        <f t="shared" si="4"/>
        <v>0</v>
      </c>
    </row>
    <row r="16" spans="1:22" s="68" customFormat="1" ht="12.75" x14ac:dyDescent="0.2">
      <c r="A16" s="80">
        <f t="shared" ref="A16" si="9">IF(H16&gt;=0,0,1)</f>
        <v>0</v>
      </c>
      <c r="B16" s="369" t="str">
        <f>IF(ISBLANK(Materials!B16),"",Materials!B16)</f>
        <v xml:space="preserve">Steel Decking </v>
      </c>
      <c r="C16" s="355" t="str">
        <f>IF(ISBLANK(Materials!C16),"",Materials!C16)</f>
        <v>053100</v>
      </c>
      <c r="D16" s="355" t="str">
        <f>IF(ISBLANK(Materials!D16),"",Materials!D16)</f>
        <v/>
      </c>
      <c r="E16" s="370" t="str">
        <f>IF(ISBLANK(Materials!E16),"",Materials!E16)</f>
        <v>1.0 C, CSV Conform</v>
      </c>
      <c r="F16" s="433"/>
      <c r="G16" s="371" t="str">
        <f>IF(ISBLANK(Materials!F16),"",Materials!F16)</f>
        <v>Myrex-Vulcraft-Nucor</v>
      </c>
      <c r="H16" s="293">
        <f>IF(ISBLANK(Materials!G16),"",Materials!G16)</f>
        <v>9772</v>
      </c>
      <c r="I16" s="72"/>
      <c r="J16" s="279"/>
      <c r="K16" s="275"/>
      <c r="L16" s="326" t="str">
        <f t="shared" si="7"/>
        <v/>
      </c>
      <c r="M16" s="258"/>
      <c r="N16" s="276"/>
      <c r="O16" s="277"/>
      <c r="P16" s="393">
        <f t="shared" si="0"/>
        <v>0</v>
      </c>
      <c r="Q16" s="336" t="e">
        <f t="shared" si="6"/>
        <v>#VALUE!</v>
      </c>
      <c r="R16" s="404" t="str">
        <f t="shared" si="1"/>
        <v/>
      </c>
      <c r="S16" s="403" t="str">
        <f t="shared" si="2"/>
        <v/>
      </c>
      <c r="T16" s="398" t="b">
        <f t="shared" si="3"/>
        <v>0</v>
      </c>
      <c r="U16" s="396">
        <f>IF(N16="Material Ingredient Screening &amp; Optimisation Action Plan",H16*0.5/Materials!$G$112*100,IF(N16="Advanced Inventory &amp; Assessment",H16/Materials!$G$112*100,IF(N16="Material Ingredient Optimisation",H16*1.5/Materials!$G$112*100,IF(N16="REACH",H16*1/Materials!$G$112*100,IF(N16="Global Green Tag",H16*1/Materials!$G$112*100)))))*IFERROR(N16&lt;&gt;0,)</f>
        <v>0</v>
      </c>
      <c r="V16" s="397">
        <f t="shared" si="4"/>
        <v>0</v>
      </c>
    </row>
    <row r="17" spans="1:22" s="68" customFormat="1" ht="36" x14ac:dyDescent="0.2">
      <c r="A17" s="80">
        <f t="shared" ref="A17" si="10">IF(H17&gt;=0,0,1)</f>
        <v>0</v>
      </c>
      <c r="B17" s="369" t="str">
        <f>IF(ISBLANK(Materials!B17),"",Materials!B17)</f>
        <v xml:space="preserve">Structural Steel Framing &amp; Metal Fabrications </v>
      </c>
      <c r="C17" s="355" t="str">
        <f>IF(ISBLANK(Materials!C17),"",Materials!C17)</f>
        <v>051200, 055000</v>
      </c>
      <c r="D17" s="355" t="str">
        <f>IF(ISBLANK(Materials!D17),"",Materials!D17)</f>
        <v/>
      </c>
      <c r="E17" s="370" t="str">
        <f>IF(ISBLANK(Materials!E17),"",Materials!E17)</f>
        <v>Wide Flange &amp; Angles</v>
      </c>
      <c r="F17" s="433"/>
      <c r="G17" s="371" t="str">
        <f>IF(ISBLANK(Materials!F17),"",Materials!F17)</f>
        <v>Myrex Industries</v>
      </c>
      <c r="H17" s="293">
        <f>IF(ISBLANK(Materials!G17),"",Materials!G17)</f>
        <v>39398</v>
      </c>
      <c r="I17" s="72"/>
      <c r="J17" s="279"/>
      <c r="K17" s="275"/>
      <c r="L17" s="326" t="str">
        <f t="shared" ref="L17" si="11">IF(K17="Yes",0.5,"")</f>
        <v/>
      </c>
      <c r="M17" s="258"/>
      <c r="N17" s="276"/>
      <c r="O17" s="277"/>
      <c r="P17" s="393">
        <f t="shared" ref="P17" si="12">IF(V17&lt;=200,V17,IF(V17&gt;=201,200))*IFERROR(N17&lt;&gt;0,)</f>
        <v>0</v>
      </c>
      <c r="Q17" s="336" t="e">
        <f t="shared" ref="Q17" si="13">IF(S17&lt;=1,S17,IF(S17&gt;2,S17-1,S17*1))</f>
        <v>#VALUE!</v>
      </c>
      <c r="R17" s="404" t="str">
        <f t="shared" ref="R17" si="14">IF(N17="Material Ingredient Screening &amp; Optimisation Action Plan",0.5,IF(N17="Advanced Inventory &amp; Assessment",1,IF(N17="Material Ingredient Optimisation",1.5,IF(N17="REACH",1,IF(N17="Global Green Tag",1,"")))))</f>
        <v/>
      </c>
      <c r="S17" s="403" t="str">
        <f t="shared" ref="S17" si="15">IF(O17="Yes",R17*2,R17)</f>
        <v/>
      </c>
      <c r="T17" s="398" t="b">
        <f t="shared" ref="T17" si="16">IF(OR(N17="Material Ingredient Screening &amp; Optimisation Action Plan"),H17*0.5,IF(OR(N17="Advanced Inventory &amp; Assessment"),H17*1,IF(OR(N17="Material Ingredient Optimisation"),H17*1.5,IF(OR(N17="REACH"),H17*1,IF(OR(N17="Global Green Tag"),H17*1)))))</f>
        <v>0</v>
      </c>
      <c r="U17" s="396">
        <f>IF(N17="Material Ingredient Screening &amp; Optimisation Action Plan",H17*0.5/Materials!$G$112*100,IF(N17="Advanced Inventory &amp; Assessment",H17/Materials!$G$112*100,IF(N17="Material Ingredient Optimisation",H17*1.5/Materials!$G$112*100,IF(N17="REACH",H17*1/Materials!$G$112*100,IF(N17="Global Green Tag",H17*1/Materials!$G$112*100)))))*IFERROR(N17&lt;&gt;0,)</f>
        <v>0</v>
      </c>
      <c r="V17" s="397">
        <f t="shared" ref="V17" si="17">IF(O17="Yes",U17*2,U17)</f>
        <v>0</v>
      </c>
    </row>
    <row r="18" spans="1:22" s="68" customFormat="1" ht="36" x14ac:dyDescent="0.2">
      <c r="A18" s="80">
        <f t="shared" ref="A18:A22" si="18">IF(H18&gt;=0,0,1)</f>
        <v>0</v>
      </c>
      <c r="B18" s="369" t="str">
        <f>IF(ISBLANK(Materials!B18),"",Materials!B18)</f>
        <v xml:space="preserve">Structural Steel Framing &amp; Metal Fabrications </v>
      </c>
      <c r="C18" s="355" t="str">
        <f>IF(ISBLANK(Materials!C18),"",Materials!C18)</f>
        <v>051200, 055000</v>
      </c>
      <c r="D18" s="355" t="str">
        <f>IF(ISBLANK(Materials!D18),"",Materials!D18)</f>
        <v/>
      </c>
      <c r="E18" s="370" t="str">
        <f>IF(ISBLANK(Materials!E18),"",Materials!E18)</f>
        <v>Tube &amp; Plates</v>
      </c>
      <c r="F18" s="433"/>
      <c r="G18" s="371" t="str">
        <f>IF(ISBLANK(Materials!F18),"",Materials!F18)</f>
        <v>Myrex Industries</v>
      </c>
      <c r="H18" s="293">
        <f>IF(ISBLANK(Materials!G18),"",Materials!G18)</f>
        <v>34734</v>
      </c>
      <c r="I18" s="72"/>
      <c r="J18" s="279"/>
      <c r="K18" s="275"/>
      <c r="L18" s="326" t="str">
        <f t="shared" ref="L18:L22" si="19">IF(K18="Yes",0.5,"")</f>
        <v/>
      </c>
      <c r="M18" s="258"/>
      <c r="N18" s="276"/>
      <c r="O18" s="277"/>
      <c r="P18" s="393">
        <f t="shared" ref="P18:P22" si="20">IF(V18&lt;=200,V18,IF(V18&gt;=201,200))*IFERROR(N18&lt;&gt;0,)</f>
        <v>0</v>
      </c>
      <c r="Q18" s="336" t="e">
        <f t="shared" ref="Q18:Q22" si="21">IF(S18&lt;=1,S18,IF(S18&gt;2,S18-1,S18*1))</f>
        <v>#VALUE!</v>
      </c>
      <c r="R18" s="404" t="str">
        <f t="shared" ref="R18:R22" si="22">IF(N18="Material Ingredient Screening &amp; Optimisation Action Plan",0.5,IF(N18="Advanced Inventory &amp; Assessment",1,IF(N18="Material Ingredient Optimisation",1.5,IF(N18="REACH",1,IF(N18="Global Green Tag",1,"")))))</f>
        <v/>
      </c>
      <c r="S18" s="403" t="str">
        <f t="shared" ref="S18:S22" si="23">IF(O18="Yes",R18*2,R18)</f>
        <v/>
      </c>
      <c r="T18" s="398" t="b">
        <f t="shared" ref="T18:T22" si="24">IF(OR(N18="Material Ingredient Screening &amp; Optimisation Action Plan"),H18*0.5,IF(OR(N18="Advanced Inventory &amp; Assessment"),H18*1,IF(OR(N18="Material Ingredient Optimisation"),H18*1.5,IF(OR(N18="REACH"),H18*1,IF(OR(N18="Global Green Tag"),H18*1)))))</f>
        <v>0</v>
      </c>
      <c r="U18" s="396">
        <f>IF(N18="Material Ingredient Screening &amp; Optimisation Action Plan",H18*0.5/Materials!$G$112*100,IF(N18="Advanced Inventory &amp; Assessment",H18/Materials!$G$112*100,IF(N18="Material Ingredient Optimisation",H18*1.5/Materials!$G$112*100,IF(N18="REACH",H18*1/Materials!$G$112*100,IF(N18="Global Green Tag",H18*1/Materials!$G$112*100)))))*IFERROR(N18&lt;&gt;0,)</f>
        <v>0</v>
      </c>
      <c r="V18" s="397">
        <f t="shared" ref="V18:V22" si="25">IF(O18="Yes",U18*2,U18)</f>
        <v>0</v>
      </c>
    </row>
    <row r="19" spans="1:22" s="68" customFormat="1" ht="12.75" x14ac:dyDescent="0.2">
      <c r="A19" s="80">
        <f t="shared" si="18"/>
        <v>0</v>
      </c>
      <c r="B19" s="369" t="str">
        <f>IF(ISBLANK(Materials!B19),"",Materials!B19)</f>
        <v xml:space="preserve">Steel Joist </v>
      </c>
      <c r="C19" s="355" t="str">
        <f>IF(ISBLANK(Materials!C19),"",Materials!C19)</f>
        <v>052123</v>
      </c>
      <c r="D19" s="355" t="str">
        <f>IF(ISBLANK(Materials!D19),"",Materials!D19)</f>
        <v/>
      </c>
      <c r="E19" s="370" t="str">
        <f>IF(ISBLANK(Materials!E19),"",Materials!E19)</f>
        <v>Vulcraft Joist</v>
      </c>
      <c r="F19" s="433"/>
      <c r="G19" s="371" t="str">
        <f>IF(ISBLANK(Materials!F19),"",Materials!F19)</f>
        <v>Myrex-Vulcraft-Nucor</v>
      </c>
      <c r="H19" s="293">
        <f>IF(ISBLANK(Materials!G19),"",Materials!G19)</f>
        <v>1120</v>
      </c>
      <c r="I19" s="72"/>
      <c r="J19" s="279"/>
      <c r="K19" s="275"/>
      <c r="L19" s="326" t="str">
        <f t="shared" si="19"/>
        <v/>
      </c>
      <c r="M19" s="258"/>
      <c r="N19" s="276"/>
      <c r="O19" s="277"/>
      <c r="P19" s="393">
        <f t="shared" si="20"/>
        <v>0</v>
      </c>
      <c r="Q19" s="336" t="e">
        <f t="shared" si="21"/>
        <v>#VALUE!</v>
      </c>
      <c r="R19" s="404" t="str">
        <f t="shared" si="22"/>
        <v/>
      </c>
      <c r="S19" s="403" t="str">
        <f t="shared" si="23"/>
        <v/>
      </c>
      <c r="T19" s="398" t="b">
        <f t="shared" si="24"/>
        <v>0</v>
      </c>
      <c r="U19" s="396">
        <f>IF(N19="Material Ingredient Screening &amp; Optimisation Action Plan",H19*0.5/Materials!$G$112*100,IF(N19="Advanced Inventory &amp; Assessment",H19/Materials!$G$112*100,IF(N19="Material Ingredient Optimisation",H19*1.5/Materials!$G$112*100,IF(N19="REACH",H19*1/Materials!$G$112*100,IF(N19="Global Green Tag",H19*1/Materials!$G$112*100)))))*IFERROR(N19&lt;&gt;0,)</f>
        <v>0</v>
      </c>
      <c r="V19" s="397">
        <f t="shared" si="25"/>
        <v>0</v>
      </c>
    </row>
    <row r="20" spans="1:22" s="68" customFormat="1" ht="12.75" x14ac:dyDescent="0.2">
      <c r="A20" s="80">
        <f t="shared" si="18"/>
        <v>0</v>
      </c>
      <c r="B20" s="369" t="str">
        <f>IF(ISBLANK(Materials!B20),"",Materials!B20)</f>
        <v xml:space="preserve">Fasteners </v>
      </c>
      <c r="C20" s="355" t="str">
        <f>IF(ISBLANK(Materials!C20),"",Materials!C20)</f>
        <v>055113</v>
      </c>
      <c r="D20" s="355" t="str">
        <f>IF(ISBLANK(Materials!D20),"",Materials!D20)</f>
        <v/>
      </c>
      <c r="E20" s="370" t="str">
        <f>IF(ISBLANK(Materials!E20),"",Materials!E20)</f>
        <v>Kwik Bolt TZ</v>
      </c>
      <c r="F20" s="433"/>
      <c r="G20" s="371" t="str">
        <f>IF(ISBLANK(Materials!F20),"",Materials!F20)</f>
        <v>Hilti</v>
      </c>
      <c r="H20" s="293">
        <f>IF(ISBLANK(Materials!G20),"",Materials!G20)</f>
        <v>0</v>
      </c>
      <c r="I20" s="72"/>
      <c r="J20" s="279"/>
      <c r="K20" s="275"/>
      <c r="L20" s="326" t="str">
        <f t="shared" si="19"/>
        <v/>
      </c>
      <c r="M20" s="258"/>
      <c r="N20" s="276"/>
      <c r="O20" s="277"/>
      <c r="P20" s="393">
        <f t="shared" si="20"/>
        <v>0</v>
      </c>
      <c r="Q20" s="336" t="e">
        <f t="shared" si="21"/>
        <v>#VALUE!</v>
      </c>
      <c r="R20" s="404" t="str">
        <f t="shared" si="22"/>
        <v/>
      </c>
      <c r="S20" s="403" t="str">
        <f t="shared" si="23"/>
        <v/>
      </c>
      <c r="T20" s="398" t="b">
        <f t="shared" si="24"/>
        <v>0</v>
      </c>
      <c r="U20" s="396">
        <f>IF(N20="Material Ingredient Screening &amp; Optimisation Action Plan",H20*0.5/Materials!$G$112*100,IF(N20="Advanced Inventory &amp; Assessment",H20/Materials!$G$112*100,IF(N20="Material Ingredient Optimisation",H20*1.5/Materials!$G$112*100,IF(N20="REACH",H20*1/Materials!$G$112*100,IF(N20="Global Green Tag",H20*1/Materials!$G$112*100)))))*IFERROR(N20&lt;&gt;0,)</f>
        <v>0</v>
      </c>
      <c r="V20" s="397">
        <f t="shared" si="25"/>
        <v>0</v>
      </c>
    </row>
    <row r="21" spans="1:22" s="68" customFormat="1" ht="72" x14ac:dyDescent="0.2">
      <c r="A21" s="80">
        <f t="shared" si="18"/>
        <v>0</v>
      </c>
      <c r="B21" s="369" t="str">
        <f>IF(ISBLANK(Materials!B21),"",Materials!B21)</f>
        <v xml:space="preserve">Vapor Barrier &amp; Tape, Air &amp; Vapor Barrier Membrane, Sealant, Adhesive Primer, Roofing Underlayment </v>
      </c>
      <c r="C21" s="355" t="str">
        <f>IF(ISBLANK(Materials!C21),"",Materials!C21)</f>
        <v>072726, 074213</v>
      </c>
      <c r="D21" s="355" t="str">
        <f>IF(ISBLANK(Materials!D21),"",Materials!D21)</f>
        <v/>
      </c>
      <c r="E21" s="370" t="str">
        <f>IF(ISBLANK(Materials!E21),"",Materials!E21)</f>
        <v>Husky Yellow Guard 15-mil, Exoair 120, ExoAir 110AT, Tremflex 834, Dymonic 100, ExoAir TWF, ExoAir Primer, WIP 300HT</v>
      </c>
      <c r="F21" s="433"/>
      <c r="G21" s="371" t="str">
        <f>IF(ISBLANK(Materials!F21),"",Materials!F21)</f>
        <v>Poly-America, Tremco, Carlisle</v>
      </c>
      <c r="H21" s="293" t="str">
        <f>IF(ISBLANK(Materials!G21),"",Materials!G21)</f>
        <v/>
      </c>
      <c r="I21" s="72"/>
      <c r="J21" s="279"/>
      <c r="K21" s="275"/>
      <c r="L21" s="326" t="str">
        <f t="shared" si="19"/>
        <v/>
      </c>
      <c r="M21" s="258"/>
      <c r="N21" s="276"/>
      <c r="O21" s="277"/>
      <c r="P21" s="393">
        <f t="shared" si="20"/>
        <v>0</v>
      </c>
      <c r="Q21" s="336" t="e">
        <f t="shared" si="21"/>
        <v>#VALUE!</v>
      </c>
      <c r="R21" s="404" t="str">
        <f t="shared" si="22"/>
        <v/>
      </c>
      <c r="S21" s="403" t="str">
        <f t="shared" si="23"/>
        <v/>
      </c>
      <c r="T21" s="398" t="b">
        <f t="shared" si="24"/>
        <v>0</v>
      </c>
      <c r="U21" s="396">
        <f>IF(N21="Material Ingredient Screening &amp; Optimisation Action Plan",H21*0.5/Materials!$G$112*100,IF(N21="Advanced Inventory &amp; Assessment",H21/Materials!$G$112*100,IF(N21="Material Ingredient Optimisation",H21*1.5/Materials!$G$112*100,IF(N21="REACH",H21*1/Materials!$G$112*100,IF(N21="Global Green Tag",H21*1/Materials!$G$112*100)))))*IFERROR(N21&lt;&gt;0,)</f>
        <v>0</v>
      </c>
      <c r="V21" s="397">
        <f t="shared" si="25"/>
        <v>0</v>
      </c>
    </row>
    <row r="22" spans="1:22" s="68" customFormat="1" ht="12.75" x14ac:dyDescent="0.2">
      <c r="A22" s="80">
        <f t="shared" si="18"/>
        <v>0</v>
      </c>
      <c r="B22" s="369" t="str">
        <f>IF(ISBLANK(Materials!B22),"",Materials!B22)</f>
        <v xml:space="preserve">Concrete Sealer </v>
      </c>
      <c r="C22" s="355" t="str">
        <f>IF(ISBLANK(Materials!C22),"",Materials!C22)</f>
        <v>033513</v>
      </c>
      <c r="D22" s="355" t="str">
        <f>IF(ISBLANK(Materials!D22),"",Materials!D22)</f>
        <v/>
      </c>
      <c r="E22" s="370" t="str">
        <f>IF(ISBLANK(Materials!E22),"",Materials!E22)</f>
        <v>Euco Diamond Hard</v>
      </c>
      <c r="F22" s="433"/>
      <c r="G22" s="371" t="str">
        <f>IF(ISBLANK(Materials!F22),"",Materials!F22)</f>
        <v>Euclid</v>
      </c>
      <c r="H22" s="293" t="str">
        <f>IF(ISBLANK(Materials!G22),"",Materials!G22)</f>
        <v/>
      </c>
      <c r="I22" s="72"/>
      <c r="J22" s="279" t="s">
        <v>188</v>
      </c>
      <c r="K22" s="275" t="s">
        <v>189</v>
      </c>
      <c r="L22" s="326" t="str">
        <f t="shared" si="19"/>
        <v/>
      </c>
      <c r="M22" s="258"/>
      <c r="N22" s="276"/>
      <c r="O22" s="277"/>
      <c r="P22" s="393">
        <f t="shared" si="20"/>
        <v>0</v>
      </c>
      <c r="Q22" s="336" t="e">
        <f t="shared" si="21"/>
        <v>#VALUE!</v>
      </c>
      <c r="R22" s="404" t="str">
        <f t="shared" si="22"/>
        <v/>
      </c>
      <c r="S22" s="403" t="str">
        <f t="shared" si="23"/>
        <v/>
      </c>
      <c r="T22" s="398" t="b">
        <f t="shared" si="24"/>
        <v>0</v>
      </c>
      <c r="U22" s="396">
        <f>IF(N22="Material Ingredient Screening &amp; Optimisation Action Plan",H22*0.5/Materials!$G$112*100,IF(N22="Advanced Inventory &amp; Assessment",H22/Materials!$G$112*100,IF(N22="Material Ingredient Optimisation",H22*1.5/Materials!$G$112*100,IF(N22="REACH",H22*1/Materials!$G$112*100,IF(N22="Global Green Tag",H22*1/Materials!$G$112*100)))))*IFERROR(N22&lt;&gt;0,)</f>
        <v>0</v>
      </c>
      <c r="V22" s="397">
        <f t="shared" si="25"/>
        <v>0</v>
      </c>
    </row>
    <row r="23" spans="1:22" s="68" customFormat="1" ht="24" x14ac:dyDescent="0.2">
      <c r="A23" s="80">
        <f t="shared" ref="A23" si="26">IF(H23&gt;=0,0,1)</f>
        <v>0</v>
      </c>
      <c r="B23" s="369" t="str">
        <f>IF(ISBLANK(Materials!B23),"",Materials!B23)</f>
        <v>HM Door</v>
      </c>
      <c r="C23" s="355" t="str">
        <f>IF(ISBLANK(Materials!C23),"",Materials!C23)</f>
        <v>081113</v>
      </c>
      <c r="D23" s="355" t="str">
        <f>IF(ISBLANK(Materials!D23),"",Materials!D23)</f>
        <v/>
      </c>
      <c r="E23" s="370" t="str">
        <f>IF(ISBLANK(Materials!E23),"",Materials!E23)</f>
        <v>Legion Polystyrene Core</v>
      </c>
      <c r="F23" s="433"/>
      <c r="G23" s="371" t="str">
        <f>IF(ISBLANK(Materials!F23),"",Materials!F23)</f>
        <v>Ceco Door-ASSA ABLOY</v>
      </c>
      <c r="H23" s="293">
        <f>IF(ISBLANK(Materials!G23),"",Materials!G23)</f>
        <v>4000</v>
      </c>
      <c r="I23" s="72"/>
      <c r="J23" s="279" t="s">
        <v>188</v>
      </c>
      <c r="K23" s="275" t="s">
        <v>189</v>
      </c>
      <c r="L23" s="326" t="str">
        <f t="shared" ref="L23" si="27">IF(K23="Yes",0.5,"")</f>
        <v/>
      </c>
      <c r="M23" s="258"/>
      <c r="N23" s="276"/>
      <c r="O23" s="277"/>
      <c r="P23" s="393">
        <f t="shared" ref="P23" si="28">IF(V23&lt;=200,V23,IF(V23&gt;=201,200))*IFERROR(N23&lt;&gt;0,)</f>
        <v>0</v>
      </c>
      <c r="Q23" s="336" t="e">
        <f t="shared" ref="Q23" si="29">IF(S23&lt;=1,S23,IF(S23&gt;2,S23-1,S23*1))</f>
        <v>#VALUE!</v>
      </c>
      <c r="R23" s="404" t="str">
        <f t="shared" ref="R23" si="30">IF(N23="Material Ingredient Screening &amp; Optimisation Action Plan",0.5,IF(N23="Advanced Inventory &amp; Assessment",1,IF(N23="Material Ingredient Optimisation",1.5,IF(N23="REACH",1,IF(N23="Global Green Tag",1,"")))))</f>
        <v/>
      </c>
      <c r="S23" s="403" t="str">
        <f t="shared" ref="S23" si="31">IF(O23="Yes",R23*2,R23)</f>
        <v/>
      </c>
      <c r="T23" s="398" t="b">
        <f t="shared" ref="T23" si="32">IF(OR(N23="Material Ingredient Screening &amp; Optimisation Action Plan"),H23*0.5,IF(OR(N23="Advanced Inventory &amp; Assessment"),H23*1,IF(OR(N23="Material Ingredient Optimisation"),H23*1.5,IF(OR(N23="REACH"),H23*1,IF(OR(N23="Global Green Tag"),H23*1)))))</f>
        <v>0</v>
      </c>
      <c r="U23" s="396">
        <f>IF(N23="Material Ingredient Screening &amp; Optimisation Action Plan",H23*0.5/Materials!$G$112*100,IF(N23="Advanced Inventory &amp; Assessment",H23/Materials!$G$112*100,IF(N23="Material Ingredient Optimisation",H23*1.5/Materials!$G$112*100,IF(N23="REACH",H23*1/Materials!$G$112*100,IF(N23="Global Green Tag",H23*1/Materials!$G$112*100)))))*IFERROR(N23&lt;&gt;0,)</f>
        <v>0</v>
      </c>
      <c r="V23" s="397">
        <f t="shared" ref="V23" si="33">IF(O23="Yes",U23*2,U23)</f>
        <v>0</v>
      </c>
    </row>
    <row r="24" spans="1:22" s="68" customFormat="1" ht="12.75" x14ac:dyDescent="0.2">
      <c r="A24" s="80">
        <f t="shared" ref="A24" si="34">IF(H24&gt;=0,0,1)</f>
        <v>0</v>
      </c>
      <c r="B24" s="369" t="str">
        <f>IF(ISBLANK(Materials!B24),"",Materials!B24)</f>
        <v xml:space="preserve">Flush Wood Door </v>
      </c>
      <c r="C24" s="355" t="str">
        <f>IF(ISBLANK(Materials!C24),"",Materials!C24)</f>
        <v>081416</v>
      </c>
      <c r="D24" s="355" t="str">
        <f>IF(ISBLANK(Materials!D24),"",Materials!D24)</f>
        <v/>
      </c>
      <c r="E24" s="370" t="str">
        <f>IF(ISBLANK(Materials!E24),"",Materials!E24)</f>
        <v>808 HPL SCLC 5 Ply, STC (cost for FD-5 included here)</v>
      </c>
      <c r="F24" s="433"/>
      <c r="G24" s="371" t="str">
        <f>IF(ISBLANK(Materials!F24),"",Materials!F24)</f>
        <v>VT Industries</v>
      </c>
      <c r="H24" s="293">
        <f>IF(ISBLANK(Materials!G24),"",Materials!G24)</f>
        <v>42565</v>
      </c>
      <c r="I24" s="72"/>
      <c r="J24" s="279" t="s">
        <v>188</v>
      </c>
      <c r="K24" s="275" t="s">
        <v>189</v>
      </c>
      <c r="L24" s="326" t="str">
        <f t="shared" ref="L24" si="35">IF(K24="Yes",0.5,"")</f>
        <v/>
      </c>
      <c r="M24" s="258"/>
      <c r="N24" s="276"/>
      <c r="O24" s="277"/>
      <c r="P24" s="393">
        <f t="shared" ref="P24" si="36">IF(V24&lt;=200,V24,IF(V24&gt;=201,200))*IFERROR(N24&lt;&gt;0,)</f>
        <v>0</v>
      </c>
      <c r="Q24" s="336" t="e">
        <f t="shared" ref="Q24" si="37">IF(S24&lt;=1,S24,IF(S24&gt;2,S24-1,S24*1))</f>
        <v>#VALUE!</v>
      </c>
      <c r="R24" s="404" t="str">
        <f t="shared" ref="R24" si="38">IF(N24="Material Ingredient Screening &amp; Optimisation Action Plan",0.5,IF(N24="Advanced Inventory &amp; Assessment",1,IF(N24="Material Ingredient Optimisation",1.5,IF(N24="REACH",1,IF(N24="Global Green Tag",1,"")))))</f>
        <v/>
      </c>
      <c r="S24" s="403" t="str">
        <f t="shared" ref="S24" si="39">IF(O24="Yes",R24*2,R24)</f>
        <v/>
      </c>
      <c r="T24" s="398" t="b">
        <f t="shared" ref="T24" si="40">IF(OR(N24="Material Ingredient Screening &amp; Optimisation Action Plan"),H24*0.5,IF(OR(N24="Advanced Inventory &amp; Assessment"),H24*1,IF(OR(N24="Material Ingredient Optimisation"),H24*1.5,IF(OR(N24="REACH"),H24*1,IF(OR(N24="Global Green Tag"),H24*1)))))</f>
        <v>0</v>
      </c>
      <c r="U24" s="396">
        <f>IF(N24="Material Ingredient Screening &amp; Optimisation Action Plan",H24*0.5/Materials!$G$112*100,IF(N24="Advanced Inventory &amp; Assessment",H24/Materials!$G$112*100,IF(N24="Material Ingredient Optimisation",H24*1.5/Materials!$G$112*100,IF(N24="REACH",H24*1/Materials!$G$112*100,IF(N24="Global Green Tag",H24*1/Materials!$G$112*100)))))*IFERROR(N24&lt;&gt;0,)</f>
        <v>0</v>
      </c>
      <c r="V24" s="397">
        <f t="shared" ref="V24" si="41">IF(O24="Yes",U24*2,U24)</f>
        <v>0</v>
      </c>
    </row>
    <row r="25" spans="1:22" s="68" customFormat="1" ht="24" x14ac:dyDescent="0.2">
      <c r="A25" s="80">
        <f t="shared" ref="A25" si="42">IF(H25&gt;=0,0,1)</f>
        <v>0</v>
      </c>
      <c r="B25" s="369" t="str">
        <f>IF(ISBLANK(Materials!B25),"",Materials!B25)</f>
        <v>HM Frame</v>
      </c>
      <c r="C25" s="355" t="str">
        <f>IF(ISBLANK(Materials!C25),"",Materials!C25)</f>
        <v>081113</v>
      </c>
      <c r="D25" s="355" t="str">
        <f>IF(ISBLANK(Materials!D25),"",Materials!D25)</f>
        <v/>
      </c>
      <c r="E25" s="370" t="str">
        <f>IF(ISBLANK(Materials!E25),"",Materials!E25)</f>
        <v>Series SQ</v>
      </c>
      <c r="F25" s="433"/>
      <c r="G25" s="371" t="str">
        <f>IF(ISBLANK(Materials!F25),"",Materials!F25)</f>
        <v>Ceco Door-ASSA ABLOY</v>
      </c>
      <c r="H25" s="293">
        <f>IF(ISBLANK(Materials!G25),"",Materials!G25)</f>
        <v>58350</v>
      </c>
      <c r="I25" s="72"/>
      <c r="J25" s="279" t="s">
        <v>188</v>
      </c>
      <c r="K25" s="275" t="s">
        <v>203</v>
      </c>
      <c r="L25" s="326">
        <f t="shared" ref="L25" si="43">IF(K25="Yes",0.5,"")</f>
        <v>0.5</v>
      </c>
      <c r="M25" s="258"/>
      <c r="N25" s="276"/>
      <c r="O25" s="277"/>
      <c r="P25" s="393">
        <f t="shared" ref="P25" si="44">IF(V25&lt;=200,V25,IF(V25&gt;=201,200))*IFERROR(N25&lt;&gt;0,)</f>
        <v>0</v>
      </c>
      <c r="Q25" s="336" t="e">
        <f t="shared" ref="Q25" si="45">IF(S25&lt;=1,S25,IF(S25&gt;2,S25-1,S25*1))</f>
        <v>#VALUE!</v>
      </c>
      <c r="R25" s="404" t="str">
        <f t="shared" ref="R25" si="46">IF(N25="Material Ingredient Screening &amp; Optimisation Action Plan",0.5,IF(N25="Advanced Inventory &amp; Assessment",1,IF(N25="Material Ingredient Optimisation",1.5,IF(N25="REACH",1,IF(N25="Global Green Tag",1,"")))))</f>
        <v/>
      </c>
      <c r="S25" s="403" t="str">
        <f t="shared" ref="S25" si="47">IF(O25="Yes",R25*2,R25)</f>
        <v/>
      </c>
      <c r="T25" s="398" t="b">
        <f t="shared" ref="T25" si="48">IF(OR(N25="Material Ingredient Screening &amp; Optimisation Action Plan"),H25*0.5,IF(OR(N25="Advanced Inventory &amp; Assessment"),H25*1,IF(OR(N25="Material Ingredient Optimisation"),H25*1.5,IF(OR(N25="REACH"),H25*1,IF(OR(N25="Global Green Tag"),H25*1)))))</f>
        <v>0</v>
      </c>
      <c r="U25" s="396">
        <f>IF(N25="Material Ingredient Screening &amp; Optimisation Action Plan",H25*0.5/Materials!$G$112*100,IF(N25="Advanced Inventory &amp; Assessment",H25/Materials!$G$112*100,IF(N25="Material Ingredient Optimisation",H25*1.5/Materials!$G$112*100,IF(N25="REACH",H25*1/Materials!$G$112*100,IF(N25="Global Green Tag",H25*1/Materials!$G$112*100)))))*IFERROR(N25&lt;&gt;0,)</f>
        <v>0</v>
      </c>
      <c r="V25" s="397">
        <f t="shared" ref="V25" si="49">IF(O25="Yes",U25*2,U25)</f>
        <v>0</v>
      </c>
    </row>
    <row r="26" spans="1:22" s="68" customFormat="1" ht="12.75" x14ac:dyDescent="0.2">
      <c r="A26" s="80">
        <f t="shared" ref="A26" si="50">IF(H26&gt;=0,0,1)</f>
        <v>0</v>
      </c>
      <c r="B26" s="369" t="str">
        <f>IF(ISBLANK(Materials!B26),"",Materials!B26)</f>
        <v xml:space="preserve">Flush Wood Door </v>
      </c>
      <c r="C26" s="355" t="str">
        <f>IF(ISBLANK(Materials!C26),"",Materials!C26)</f>
        <v>081416</v>
      </c>
      <c r="D26" s="355" t="str">
        <f>IF(ISBLANK(Materials!D26),"",Materials!D26)</f>
        <v/>
      </c>
      <c r="E26" s="370" t="str">
        <f>IF(ISBLANK(Materials!E26),"",Materials!E26)</f>
        <v>FD-5</v>
      </c>
      <c r="F26" s="433"/>
      <c r="G26" s="371" t="str">
        <f>IF(ISBLANK(Materials!F26),"",Materials!F26)</f>
        <v>VT Industries</v>
      </c>
      <c r="H26" s="293" t="str">
        <f>IF(ISBLANK(Materials!G26),"",Materials!G26)</f>
        <v/>
      </c>
      <c r="I26" s="72"/>
      <c r="J26" s="279" t="s">
        <v>188</v>
      </c>
      <c r="K26" s="275" t="s">
        <v>189</v>
      </c>
      <c r="L26" s="326" t="str">
        <f t="shared" ref="L26" si="51">IF(K26="Yes",0.5,"")</f>
        <v/>
      </c>
      <c r="M26" s="258"/>
      <c r="N26" s="276"/>
      <c r="O26" s="277"/>
      <c r="P26" s="393">
        <f t="shared" ref="P26" si="52">IF(V26&lt;=200,V26,IF(V26&gt;=201,200))*IFERROR(N26&lt;&gt;0,)</f>
        <v>0</v>
      </c>
      <c r="Q26" s="336" t="e">
        <f t="shared" ref="Q26" si="53">IF(S26&lt;=1,S26,IF(S26&gt;2,S26-1,S26*1))</f>
        <v>#VALUE!</v>
      </c>
      <c r="R26" s="404" t="str">
        <f t="shared" ref="R26" si="54">IF(N26="Material Ingredient Screening &amp; Optimisation Action Plan",0.5,IF(N26="Advanced Inventory &amp; Assessment",1,IF(N26="Material Ingredient Optimisation",1.5,IF(N26="REACH",1,IF(N26="Global Green Tag",1,"")))))</f>
        <v/>
      </c>
      <c r="S26" s="403" t="str">
        <f t="shared" ref="S26" si="55">IF(O26="Yes",R26*2,R26)</f>
        <v/>
      </c>
      <c r="T26" s="398" t="b">
        <f t="shared" ref="T26" si="56">IF(OR(N26="Material Ingredient Screening &amp; Optimisation Action Plan"),H26*0.5,IF(OR(N26="Advanced Inventory &amp; Assessment"),H26*1,IF(OR(N26="Material Ingredient Optimisation"),H26*1.5,IF(OR(N26="REACH"),H26*1,IF(OR(N26="Global Green Tag"),H26*1)))))</f>
        <v>0</v>
      </c>
      <c r="U26" s="396">
        <f>IF(N26="Material Ingredient Screening &amp; Optimisation Action Plan",H26*0.5/Materials!$G$112*100,IF(N26="Advanced Inventory &amp; Assessment",H26/Materials!$G$112*100,IF(N26="Material Ingredient Optimisation",H26*1.5/Materials!$G$112*100,IF(N26="REACH",H26*1/Materials!$G$112*100,IF(N26="Global Green Tag",H26*1/Materials!$G$112*100)))))*IFERROR(N26&lt;&gt;0,)</f>
        <v>0</v>
      </c>
      <c r="V26" s="397">
        <f t="shared" ref="V26" si="57">IF(O26="Yes",U26*2,U26)</f>
        <v>0</v>
      </c>
    </row>
    <row r="27" spans="1:22" s="68" customFormat="1" ht="12.75" x14ac:dyDescent="0.2">
      <c r="A27" s="80">
        <f t="shared" ref="A27" si="58">IF(H27&gt;=0,0,1)</f>
        <v>0</v>
      </c>
      <c r="B27" s="369" t="str">
        <f>IF(ISBLANK(Materials!B27),"",Materials!B27)</f>
        <v xml:space="preserve">Insulation </v>
      </c>
      <c r="C27" s="355" t="str">
        <f>IF(ISBLANK(Materials!C27),"",Materials!C27)</f>
        <v>072100</v>
      </c>
      <c r="D27" s="355" t="str">
        <f>IF(ISBLANK(Materials!D27),"",Materials!D27)</f>
        <v/>
      </c>
      <c r="E27" s="370" t="str">
        <f>IF(ISBLANK(Materials!E27),"",Materials!E27)</f>
        <v>EcoTouch Pink Batt Unfaced</v>
      </c>
      <c r="F27" s="433"/>
      <c r="G27" s="371" t="str">
        <f>IF(ISBLANK(Materials!F27),"",Materials!F27)</f>
        <v>Owens Corning</v>
      </c>
      <c r="H27" s="293">
        <f>IF(ISBLANK(Materials!G27),"",Materials!G27)</f>
        <v>14000</v>
      </c>
      <c r="I27" s="72"/>
      <c r="J27" s="279" t="s">
        <v>188</v>
      </c>
      <c r="K27" s="275" t="s">
        <v>203</v>
      </c>
      <c r="L27" s="326">
        <f t="shared" ref="L27" si="59">IF(K27="Yes",0.5,"")</f>
        <v>0.5</v>
      </c>
      <c r="M27" s="258"/>
      <c r="N27" s="276"/>
      <c r="O27" s="277"/>
      <c r="P27" s="393">
        <f t="shared" ref="P27" si="60">IF(V27&lt;=200,V27,IF(V27&gt;=201,200))*IFERROR(N27&lt;&gt;0,)</f>
        <v>0</v>
      </c>
      <c r="Q27" s="336" t="e">
        <f t="shared" ref="Q27" si="61">IF(S27&lt;=1,S27,IF(S27&gt;2,S27-1,S27*1))</f>
        <v>#VALUE!</v>
      </c>
      <c r="R27" s="404" t="str">
        <f t="shared" ref="R27" si="62">IF(N27="Material Ingredient Screening &amp; Optimisation Action Plan",0.5,IF(N27="Advanced Inventory &amp; Assessment",1,IF(N27="Material Ingredient Optimisation",1.5,IF(N27="REACH",1,IF(N27="Global Green Tag",1,"")))))</f>
        <v/>
      </c>
      <c r="S27" s="403" t="str">
        <f t="shared" ref="S27" si="63">IF(O27="Yes",R27*2,R27)</f>
        <v/>
      </c>
      <c r="T27" s="398" t="b">
        <f t="shared" ref="T27" si="64">IF(OR(N27="Material Ingredient Screening &amp; Optimisation Action Plan"),H27*0.5,IF(OR(N27="Advanced Inventory &amp; Assessment"),H27*1,IF(OR(N27="Material Ingredient Optimisation"),H27*1.5,IF(OR(N27="REACH"),H27*1,IF(OR(N27="Global Green Tag"),H27*1)))))</f>
        <v>0</v>
      </c>
      <c r="U27" s="396">
        <f>IF(N27="Material Ingredient Screening &amp; Optimisation Action Plan",H27*0.5/Materials!$G$112*100,IF(N27="Advanced Inventory &amp; Assessment",H27/Materials!$G$112*100,IF(N27="Material Ingredient Optimisation",H27*1.5/Materials!$G$112*100,IF(N27="REACH",H27*1/Materials!$G$112*100,IF(N27="Global Green Tag",H27*1/Materials!$G$112*100)))))*IFERROR(N27&lt;&gt;0,)</f>
        <v>0</v>
      </c>
      <c r="V27" s="397">
        <f t="shared" ref="V27" si="65">IF(O27="Yes",U27*2,U27)</f>
        <v>0</v>
      </c>
    </row>
    <row r="28" spans="1:22" s="68" customFormat="1" ht="24" x14ac:dyDescent="0.2">
      <c r="A28" s="80">
        <f t="shared" ref="A28" si="66">IF(H28&gt;=0,0,1)</f>
        <v>0</v>
      </c>
      <c r="B28" s="369" t="str">
        <f>IF(ISBLANK(Materials!B28),"",Materials!B28)</f>
        <v xml:space="preserve">Mineral Wool Insulation </v>
      </c>
      <c r="C28" s="355" t="str">
        <f>IF(ISBLANK(Materials!C28),"",Materials!C28)</f>
        <v>072100, 078413, 078443</v>
      </c>
      <c r="D28" s="355" t="str">
        <f>IF(ISBLANK(Materials!D28),"",Materials!D28)</f>
        <v/>
      </c>
      <c r="E28" s="370" t="str">
        <f>IF(ISBLANK(Materials!E28),"",Materials!E28)</f>
        <v>Thermafiber SAFB, Safing &amp; Firespan 90</v>
      </c>
      <c r="F28" s="433"/>
      <c r="G28" s="371" t="str">
        <f>IF(ISBLANK(Materials!F28),"",Materials!F28)</f>
        <v>Owens Corning</v>
      </c>
      <c r="H28" s="293">
        <f>IF(ISBLANK(Materials!G28),"",Materials!G28)</f>
        <v>2500</v>
      </c>
      <c r="I28" s="72"/>
      <c r="J28" s="279" t="s">
        <v>188</v>
      </c>
      <c r="K28" s="275" t="s">
        <v>189</v>
      </c>
      <c r="L28" s="326" t="str">
        <f t="shared" ref="L28" si="67">IF(K28="Yes",0.5,"")</f>
        <v/>
      </c>
      <c r="M28" s="258"/>
      <c r="N28" s="276"/>
      <c r="O28" s="277"/>
      <c r="P28" s="393">
        <f t="shared" ref="P28" si="68">IF(V28&lt;=200,V28,IF(V28&gt;=201,200))*IFERROR(N28&lt;&gt;0,)</f>
        <v>0</v>
      </c>
      <c r="Q28" s="336" t="e">
        <f t="shared" ref="Q28" si="69">IF(S28&lt;=1,S28,IF(S28&gt;2,S28-1,S28*1))</f>
        <v>#VALUE!</v>
      </c>
      <c r="R28" s="404" t="str">
        <f t="shared" ref="R28" si="70">IF(N28="Material Ingredient Screening &amp; Optimisation Action Plan",0.5,IF(N28="Advanced Inventory &amp; Assessment",1,IF(N28="Material Ingredient Optimisation",1.5,IF(N28="REACH",1,IF(N28="Global Green Tag",1,"")))))</f>
        <v/>
      </c>
      <c r="S28" s="403" t="str">
        <f t="shared" ref="S28" si="71">IF(O28="Yes",R28*2,R28)</f>
        <v/>
      </c>
      <c r="T28" s="398" t="b">
        <f t="shared" ref="T28" si="72">IF(OR(N28="Material Ingredient Screening &amp; Optimisation Action Plan"),H28*0.5,IF(OR(N28="Advanced Inventory &amp; Assessment"),H28*1,IF(OR(N28="Material Ingredient Optimisation"),H28*1.5,IF(OR(N28="REACH"),H28*1,IF(OR(N28="Global Green Tag"),H28*1)))))</f>
        <v>0</v>
      </c>
      <c r="U28" s="396">
        <f>IF(N28="Material Ingredient Screening &amp; Optimisation Action Plan",H28*0.5/Materials!$G$112*100,IF(N28="Advanced Inventory &amp; Assessment",H28/Materials!$G$112*100,IF(N28="Material Ingredient Optimisation",H28*1.5/Materials!$G$112*100,IF(N28="REACH",H28*1/Materials!$G$112*100,IF(N28="Global Green Tag",H28*1/Materials!$G$112*100)))))*IFERROR(N28&lt;&gt;0,)</f>
        <v>0</v>
      </c>
      <c r="V28" s="397">
        <f t="shared" ref="V28" si="73">IF(O28="Yes",U28*2,U28)</f>
        <v>0</v>
      </c>
    </row>
    <row r="29" spans="1:22" s="68" customFormat="1" ht="12.75" x14ac:dyDescent="0.2">
      <c r="A29" s="80">
        <f t="shared" ref="A29" si="74">IF(H29&gt;=0,0,1)</f>
        <v>0</v>
      </c>
      <c r="B29" s="369" t="str">
        <f>IF(ISBLANK(Materials!B29),"",Materials!B29)</f>
        <v xml:space="preserve">Gypsum Board </v>
      </c>
      <c r="C29" s="355" t="str">
        <f>IF(ISBLANK(Materials!C29),"",Materials!C29)</f>
        <v>092116</v>
      </c>
      <c r="D29" s="355" t="str">
        <f>IF(ISBLANK(Materials!D29),"",Materials!D29)</f>
        <v/>
      </c>
      <c r="E29" s="370" t="str">
        <f>IF(ISBLANK(Materials!E29),"",Materials!E29)</f>
        <v>Sheetrock Gypsum Liner Panels</v>
      </c>
      <c r="F29" s="433"/>
      <c r="G29" s="371" t="str">
        <f>IF(ISBLANK(Materials!F29),"",Materials!F29)</f>
        <v>USG</v>
      </c>
      <c r="H29" s="293">
        <f>IF(ISBLANK(Materials!G29),"",Materials!G29)</f>
        <v>1847.2</v>
      </c>
      <c r="I29" s="72"/>
      <c r="J29" s="279" t="s">
        <v>188</v>
      </c>
      <c r="K29" s="275" t="s">
        <v>189</v>
      </c>
      <c r="L29" s="326" t="str">
        <f t="shared" ref="L29" si="75">IF(K29="Yes",0.5,"")</f>
        <v/>
      </c>
      <c r="M29" s="258"/>
      <c r="N29" s="276"/>
      <c r="O29" s="277"/>
      <c r="P29" s="393">
        <f t="shared" ref="P29" si="76">IF(V29&lt;=200,V29,IF(V29&gt;=201,200))*IFERROR(N29&lt;&gt;0,)</f>
        <v>0</v>
      </c>
      <c r="Q29" s="336" t="e">
        <f t="shared" ref="Q29" si="77">IF(S29&lt;=1,S29,IF(S29&gt;2,S29-1,S29*1))</f>
        <v>#VALUE!</v>
      </c>
      <c r="R29" s="404" t="str">
        <f t="shared" ref="R29" si="78">IF(N29="Material Ingredient Screening &amp; Optimisation Action Plan",0.5,IF(N29="Advanced Inventory &amp; Assessment",1,IF(N29="Material Ingredient Optimisation",1.5,IF(N29="REACH",1,IF(N29="Global Green Tag",1,"")))))</f>
        <v/>
      </c>
      <c r="S29" s="403" t="str">
        <f t="shared" ref="S29" si="79">IF(O29="Yes",R29*2,R29)</f>
        <v/>
      </c>
      <c r="T29" s="398" t="b">
        <f t="shared" ref="T29" si="80">IF(OR(N29="Material Ingredient Screening &amp; Optimisation Action Plan"),H29*0.5,IF(OR(N29="Advanced Inventory &amp; Assessment"),H29*1,IF(OR(N29="Material Ingredient Optimisation"),H29*1.5,IF(OR(N29="REACH"),H29*1,IF(OR(N29="Global Green Tag"),H29*1)))))</f>
        <v>0</v>
      </c>
      <c r="U29" s="396">
        <f>IF(N29="Material Ingredient Screening &amp; Optimisation Action Plan",H29*0.5/Materials!$G$112*100,IF(N29="Advanced Inventory &amp; Assessment",H29/Materials!$G$112*100,IF(N29="Material Ingredient Optimisation",H29*1.5/Materials!$G$112*100,IF(N29="REACH",H29*1/Materials!$G$112*100,IF(N29="Global Green Tag",H29*1/Materials!$G$112*100)))))*IFERROR(N29&lt;&gt;0,)</f>
        <v>0</v>
      </c>
      <c r="V29" s="397">
        <f t="shared" ref="V29" si="81">IF(O29="Yes",U29*2,U29)</f>
        <v>0</v>
      </c>
    </row>
    <row r="30" spans="1:22" s="68" customFormat="1" ht="24" x14ac:dyDescent="0.2">
      <c r="A30" s="80">
        <f t="shared" ref="A30" si="82">IF(H30&gt;=0,0,1)</f>
        <v>0</v>
      </c>
      <c r="B30" s="369" t="str">
        <f>IF(ISBLANK(Materials!B30),"",Materials!B30)</f>
        <v xml:space="preserve">Non-Structural Metal Framing </v>
      </c>
      <c r="C30" s="355" t="str">
        <f>IF(ISBLANK(Materials!C30),"",Materials!C30)</f>
        <v>092216</v>
      </c>
      <c r="D30" s="355" t="str">
        <f>IF(ISBLANK(Materials!D30),"",Materials!D30)</f>
        <v/>
      </c>
      <c r="E30" s="370" t="str">
        <f>IF(ISBLANK(Materials!E30),"",Materials!E30)</f>
        <v>Viperstud, Vipertrack, Angle, Hat-Shaped Channel, L-Metal, Cornerbead, Zinc Control Joint,</v>
      </c>
      <c r="F30" s="433"/>
      <c r="G30" s="371" t="str">
        <f>IF(ISBLANK(Materials!F30),"",Materials!F30)</f>
        <v>Cemco</v>
      </c>
      <c r="H30" s="293">
        <f>IF(ISBLANK(Materials!G30),"",Materials!G30)</f>
        <v>56689.52</v>
      </c>
      <c r="I30" s="72"/>
      <c r="J30" s="279" t="s">
        <v>188</v>
      </c>
      <c r="K30" s="275" t="s">
        <v>189</v>
      </c>
      <c r="L30" s="326" t="str">
        <f t="shared" ref="L30" si="83">IF(K30="Yes",0.5,"")</f>
        <v/>
      </c>
      <c r="M30" s="258"/>
      <c r="N30" s="276"/>
      <c r="O30" s="277"/>
      <c r="P30" s="393">
        <f t="shared" ref="P30" si="84">IF(V30&lt;=200,V30,IF(V30&gt;=201,200))*IFERROR(N30&lt;&gt;0,)</f>
        <v>0</v>
      </c>
      <c r="Q30" s="336" t="e">
        <f t="shared" ref="Q30" si="85">IF(S30&lt;=1,S30,IF(S30&gt;2,S30-1,S30*1))</f>
        <v>#VALUE!</v>
      </c>
      <c r="R30" s="404" t="str">
        <f t="shared" ref="R30" si="86">IF(N30="Material Ingredient Screening &amp; Optimisation Action Plan",0.5,IF(N30="Advanced Inventory &amp; Assessment",1,IF(N30="Material Ingredient Optimisation",1.5,IF(N30="REACH",1,IF(N30="Global Green Tag",1,"")))))</f>
        <v/>
      </c>
      <c r="S30" s="403" t="str">
        <f t="shared" ref="S30" si="87">IF(O30="Yes",R30*2,R30)</f>
        <v/>
      </c>
      <c r="T30" s="398" t="b">
        <f t="shared" ref="T30" si="88">IF(OR(N30="Material Ingredient Screening &amp; Optimisation Action Plan"),H30*0.5,IF(OR(N30="Advanced Inventory &amp; Assessment"),H30*1,IF(OR(N30="Material Ingredient Optimisation"),H30*1.5,IF(OR(N30="REACH"),H30*1,IF(OR(N30="Global Green Tag"),H30*1)))))</f>
        <v>0</v>
      </c>
      <c r="U30" s="396">
        <f>IF(N30="Material Ingredient Screening &amp; Optimisation Action Plan",H30*0.5/Materials!$G$112*100,IF(N30="Advanced Inventory &amp; Assessment",H30/Materials!$G$112*100,IF(N30="Material Ingredient Optimisation",H30*1.5/Materials!$G$112*100,IF(N30="REACH",H30*1/Materials!$G$112*100,IF(N30="Global Green Tag",H30*1/Materials!$G$112*100)))))*IFERROR(N30&lt;&gt;0,)</f>
        <v>0</v>
      </c>
      <c r="V30" s="397">
        <f t="shared" ref="V30" si="89">IF(O30="Yes",U30*2,U30)</f>
        <v>0</v>
      </c>
    </row>
    <row r="31" spans="1:22" s="68" customFormat="1" ht="24" x14ac:dyDescent="0.2">
      <c r="A31" s="80">
        <f t="shared" ref="A31" si="90">IF(H31&gt;=0,0,1)</f>
        <v>0</v>
      </c>
      <c r="B31" s="369" t="str">
        <f>IF(ISBLANK(Materials!B31),"",Materials!B31)</f>
        <v xml:space="preserve">Non-Structural Metal Framing </v>
      </c>
      <c r="C31" s="355" t="str">
        <f>IF(ISBLANK(Materials!C31),"",Materials!C31)</f>
        <v>092216</v>
      </c>
      <c r="D31" s="355" t="str">
        <f>IF(ISBLANK(Materials!D31),"",Materials!D31)</f>
        <v/>
      </c>
      <c r="E31" s="370" t="str">
        <f>IF(ISBLANK(Materials!E31),"",Materials!E31)</f>
        <v>CST</v>
      </c>
      <c r="F31" s="433"/>
      <c r="G31" s="371" t="str">
        <f>IF(ISBLANK(Materials!F31),"",Materials!F31)</f>
        <v>Cemco</v>
      </c>
      <c r="H31" s="293" t="str">
        <f>IF(ISBLANK(Materials!G31),"",Materials!G31)</f>
        <v/>
      </c>
      <c r="I31" s="72"/>
      <c r="J31" s="279" t="s">
        <v>188</v>
      </c>
      <c r="K31" s="275" t="s">
        <v>189</v>
      </c>
      <c r="L31" s="326" t="str">
        <f t="shared" ref="L31" si="91">IF(K31="Yes",0.5,"")</f>
        <v/>
      </c>
      <c r="M31" s="258"/>
      <c r="N31" s="276"/>
      <c r="O31" s="277"/>
      <c r="P31" s="393">
        <f t="shared" ref="P31" si="92">IF(V31&lt;=200,V31,IF(V31&gt;=201,200))*IFERROR(N31&lt;&gt;0,)</f>
        <v>0</v>
      </c>
      <c r="Q31" s="336" t="e">
        <f t="shared" ref="Q31" si="93">IF(S31&lt;=1,S31,IF(S31&gt;2,S31-1,S31*1))</f>
        <v>#VALUE!</v>
      </c>
      <c r="R31" s="404" t="str">
        <f t="shared" ref="R31" si="94">IF(N31="Material Ingredient Screening &amp; Optimisation Action Plan",0.5,IF(N31="Advanced Inventory &amp; Assessment",1,IF(N31="Material Ingredient Optimisation",1.5,IF(N31="REACH",1,IF(N31="Global Green Tag",1,"")))))</f>
        <v/>
      </c>
      <c r="S31" s="403" t="str">
        <f t="shared" ref="S31" si="95">IF(O31="Yes",R31*2,R31)</f>
        <v/>
      </c>
      <c r="T31" s="398" t="b">
        <f t="shared" ref="T31" si="96">IF(OR(N31="Material Ingredient Screening &amp; Optimisation Action Plan"),H31*0.5,IF(OR(N31="Advanced Inventory &amp; Assessment"),H31*1,IF(OR(N31="Material Ingredient Optimisation"),H31*1.5,IF(OR(N31="REACH"),H31*1,IF(OR(N31="Global Green Tag"),H31*1)))))</f>
        <v>0</v>
      </c>
      <c r="U31" s="396">
        <f>IF(N31="Material Ingredient Screening &amp; Optimisation Action Plan",H31*0.5/Materials!$G$112*100,IF(N31="Advanced Inventory &amp; Assessment",H31/Materials!$G$112*100,IF(N31="Material Ingredient Optimisation",H31*1.5/Materials!$G$112*100,IF(N31="REACH",H31*1/Materials!$G$112*100,IF(N31="Global Green Tag",H31*1/Materials!$G$112*100)))))*IFERROR(N31&lt;&gt;0,)</f>
        <v>0</v>
      </c>
      <c r="V31" s="397">
        <f t="shared" ref="V31" si="97">IF(O31="Yes",U31*2,U31)</f>
        <v>0</v>
      </c>
    </row>
    <row r="32" spans="1:22" s="68" customFormat="1" ht="24" x14ac:dyDescent="0.2">
      <c r="A32" s="80">
        <f t="shared" ref="A32" si="98">IF(H32&gt;=0,0,1)</f>
        <v>0</v>
      </c>
      <c r="B32" s="369" t="str">
        <f>IF(ISBLANK(Materials!B32),"",Materials!B32)</f>
        <v xml:space="preserve">Non-Structural Metal Framing </v>
      </c>
      <c r="C32" s="355" t="str">
        <f>IF(ISBLANK(Materials!C32),"",Materials!C32)</f>
        <v>092216</v>
      </c>
      <c r="D32" s="355" t="str">
        <f>IF(ISBLANK(Materials!D32),"",Materials!D32)</f>
        <v/>
      </c>
      <c r="E32" s="370" t="str">
        <f>IF(ISBLANK(Materials!E32),"",Materials!E32)</f>
        <v>CH Shaft Wall Studs, J-Runner</v>
      </c>
      <c r="F32" s="433"/>
      <c r="G32" s="371" t="str">
        <f>IF(ISBLANK(Materials!F32),"",Materials!F32)</f>
        <v>Cemco</v>
      </c>
      <c r="H32" s="293">
        <f>IF(ISBLANK(Materials!G32),"",Materials!G32)</f>
        <v>3032</v>
      </c>
      <c r="I32" s="72"/>
      <c r="J32" s="279" t="s">
        <v>188</v>
      </c>
      <c r="K32" s="275" t="s">
        <v>189</v>
      </c>
      <c r="L32" s="326" t="str">
        <f t="shared" ref="L32" si="99">IF(K32="Yes",0.5,"")</f>
        <v/>
      </c>
      <c r="M32" s="258"/>
      <c r="N32" s="276"/>
      <c r="O32" s="277"/>
      <c r="P32" s="393">
        <f t="shared" ref="P32" si="100">IF(V32&lt;=200,V32,IF(V32&gt;=201,200))*IFERROR(N32&lt;&gt;0,)</f>
        <v>0</v>
      </c>
      <c r="Q32" s="336" t="e">
        <f t="shared" ref="Q32" si="101">IF(S32&lt;=1,S32,IF(S32&gt;2,S32-1,S32*1))</f>
        <v>#VALUE!</v>
      </c>
      <c r="R32" s="404" t="str">
        <f t="shared" ref="R32" si="102">IF(N32="Material Ingredient Screening &amp; Optimisation Action Plan",0.5,IF(N32="Advanced Inventory &amp; Assessment",1,IF(N32="Material Ingredient Optimisation",1.5,IF(N32="REACH",1,IF(N32="Global Green Tag",1,"")))))</f>
        <v/>
      </c>
      <c r="S32" s="403" t="str">
        <f t="shared" ref="S32" si="103">IF(O32="Yes",R32*2,R32)</f>
        <v/>
      </c>
      <c r="T32" s="398" t="b">
        <f t="shared" ref="T32" si="104">IF(OR(N32="Material Ingredient Screening &amp; Optimisation Action Plan"),H32*0.5,IF(OR(N32="Advanced Inventory &amp; Assessment"),H32*1,IF(OR(N32="Material Ingredient Optimisation"),H32*1.5,IF(OR(N32="REACH"),H32*1,IF(OR(N32="Global Green Tag"),H32*1)))))</f>
        <v>0</v>
      </c>
      <c r="U32" s="396">
        <f>IF(N32="Material Ingredient Screening &amp; Optimisation Action Plan",H32*0.5/Materials!$G$112*100,IF(N32="Advanced Inventory &amp; Assessment",H32/Materials!$G$112*100,IF(N32="Material Ingredient Optimisation",H32*1.5/Materials!$G$112*100,IF(N32="REACH",H32*1/Materials!$G$112*100,IF(N32="Global Green Tag",H32*1/Materials!$G$112*100)))))*IFERROR(N32&lt;&gt;0,)</f>
        <v>0</v>
      </c>
      <c r="V32" s="397">
        <f t="shared" ref="V32" si="105">IF(O32="Yes",U32*2,U32)</f>
        <v>0</v>
      </c>
    </row>
    <row r="33" spans="1:22" s="68" customFormat="1" ht="12.75" x14ac:dyDescent="0.2">
      <c r="A33" s="80">
        <f t="shared" ref="A33" si="106">IF(H33&gt;=0,0,1)</f>
        <v>0</v>
      </c>
      <c r="B33" s="369" t="str">
        <f>IF(ISBLANK(Materials!B33),"",Materials!B33)</f>
        <v xml:space="preserve">Gypsum Board </v>
      </c>
      <c r="C33" s="355" t="str">
        <f>IF(ISBLANK(Materials!C33),"",Materials!C33)</f>
        <v>092900</v>
      </c>
      <c r="D33" s="355" t="str">
        <f>IF(ISBLANK(Materials!D33),"",Materials!D33)</f>
        <v/>
      </c>
      <c r="E33" s="370" t="str">
        <f>IF(ISBLANK(Materials!E33),"",Materials!E33)</f>
        <v>Durock Glass-Mat Tile Backerboard</v>
      </c>
      <c r="F33" s="433"/>
      <c r="G33" s="371" t="str">
        <f>IF(ISBLANK(Materials!F33),"",Materials!F33)</f>
        <v>USG</v>
      </c>
      <c r="H33" s="293">
        <f>IF(ISBLANK(Materials!G33),"",Materials!G33)</f>
        <v>1945.6</v>
      </c>
      <c r="I33" s="72"/>
      <c r="J33" s="279" t="s">
        <v>188</v>
      </c>
      <c r="K33" s="275" t="s">
        <v>189</v>
      </c>
      <c r="L33" s="326" t="str">
        <f t="shared" ref="L33" si="107">IF(K33="Yes",0.5,"")</f>
        <v/>
      </c>
      <c r="M33" s="258"/>
      <c r="N33" s="276"/>
      <c r="O33" s="277"/>
      <c r="P33" s="393">
        <f t="shared" ref="P33" si="108">IF(V33&lt;=200,V33,IF(V33&gt;=201,200))*IFERROR(N33&lt;&gt;0,)</f>
        <v>0</v>
      </c>
      <c r="Q33" s="336" t="e">
        <f t="shared" ref="Q33" si="109">IF(S33&lt;=1,S33,IF(S33&gt;2,S33-1,S33*1))</f>
        <v>#VALUE!</v>
      </c>
      <c r="R33" s="404" t="str">
        <f t="shared" ref="R33" si="110">IF(N33="Material Ingredient Screening &amp; Optimisation Action Plan",0.5,IF(N33="Advanced Inventory &amp; Assessment",1,IF(N33="Material Ingredient Optimisation",1.5,IF(N33="REACH",1,IF(N33="Global Green Tag",1,"")))))</f>
        <v/>
      </c>
      <c r="S33" s="403" t="str">
        <f t="shared" ref="S33" si="111">IF(O33="Yes",R33*2,R33)</f>
        <v/>
      </c>
      <c r="T33" s="398" t="b">
        <f t="shared" ref="T33" si="112">IF(OR(N33="Material Ingredient Screening &amp; Optimisation Action Plan"),H33*0.5,IF(OR(N33="Advanced Inventory &amp; Assessment"),H33*1,IF(OR(N33="Material Ingredient Optimisation"),H33*1.5,IF(OR(N33="REACH"),H33*1,IF(OR(N33="Global Green Tag"),H33*1)))))</f>
        <v>0</v>
      </c>
      <c r="U33" s="396">
        <f>IF(N33="Material Ingredient Screening &amp; Optimisation Action Plan",H33*0.5/Materials!$G$112*100,IF(N33="Advanced Inventory &amp; Assessment",H33/Materials!$G$112*100,IF(N33="Material Ingredient Optimisation",H33*1.5/Materials!$G$112*100,IF(N33="REACH",H33*1/Materials!$G$112*100,IF(N33="Global Green Tag",H33*1/Materials!$G$112*100)))))*IFERROR(N33&lt;&gt;0,)</f>
        <v>0</v>
      </c>
      <c r="V33" s="397">
        <f t="shared" ref="V33" si="113">IF(O33="Yes",U33*2,U33)</f>
        <v>0</v>
      </c>
    </row>
    <row r="34" spans="1:22" s="68" customFormat="1" ht="12.75" x14ac:dyDescent="0.2">
      <c r="A34" s="80">
        <f t="shared" ref="A34" si="114">IF(H34&gt;=0,0,1)</f>
        <v>0</v>
      </c>
      <c r="B34" s="369" t="str">
        <f>IF(ISBLANK(Materials!B34),"",Materials!B34)</f>
        <v xml:space="preserve">Gypsum Board </v>
      </c>
      <c r="C34" s="355" t="str">
        <f>IF(ISBLANK(Materials!C34),"",Materials!C34)</f>
        <v>092900</v>
      </c>
      <c r="D34" s="355" t="str">
        <f>IF(ISBLANK(Materials!D34),"",Materials!D34)</f>
        <v/>
      </c>
      <c r="E34" s="370" t="str">
        <f>IF(ISBLANK(Materials!E34),"",Materials!E34)</f>
        <v>Sheetrock Firecode X Panels</v>
      </c>
      <c r="F34" s="433"/>
      <c r="G34" s="371" t="str">
        <f>IF(ISBLANK(Materials!F34),"",Materials!F34)</f>
        <v>USG</v>
      </c>
      <c r="H34" s="293">
        <f>IF(ISBLANK(Materials!G34),"",Materials!G34)</f>
        <v>33862</v>
      </c>
      <c r="I34" s="72"/>
      <c r="J34" s="279" t="s">
        <v>188</v>
      </c>
      <c r="K34" s="275" t="s">
        <v>189</v>
      </c>
      <c r="L34" s="326" t="str">
        <f t="shared" ref="L34" si="115">IF(K34="Yes",0.5,"")</f>
        <v/>
      </c>
      <c r="M34" s="258"/>
      <c r="N34" s="276"/>
      <c r="O34" s="277"/>
      <c r="P34" s="393">
        <f t="shared" ref="P34" si="116">IF(V34&lt;=200,V34,IF(V34&gt;=201,200))*IFERROR(N34&lt;&gt;0,)</f>
        <v>0</v>
      </c>
      <c r="Q34" s="336" t="e">
        <f t="shared" ref="Q34" si="117">IF(S34&lt;=1,S34,IF(S34&gt;2,S34-1,S34*1))</f>
        <v>#VALUE!</v>
      </c>
      <c r="R34" s="404" t="str">
        <f t="shared" ref="R34" si="118">IF(N34="Material Ingredient Screening &amp; Optimisation Action Plan",0.5,IF(N34="Advanced Inventory &amp; Assessment",1,IF(N34="Material Ingredient Optimisation",1.5,IF(N34="REACH",1,IF(N34="Global Green Tag",1,"")))))</f>
        <v/>
      </c>
      <c r="S34" s="403" t="str">
        <f t="shared" ref="S34" si="119">IF(O34="Yes",R34*2,R34)</f>
        <v/>
      </c>
      <c r="T34" s="398" t="b">
        <f t="shared" ref="T34" si="120">IF(OR(N34="Material Ingredient Screening &amp; Optimisation Action Plan"),H34*0.5,IF(OR(N34="Advanced Inventory &amp; Assessment"),H34*1,IF(OR(N34="Material Ingredient Optimisation"),H34*1.5,IF(OR(N34="REACH"),H34*1,IF(OR(N34="Global Green Tag"),H34*1)))))</f>
        <v>0</v>
      </c>
      <c r="U34" s="396">
        <f>IF(N34="Material Ingredient Screening &amp; Optimisation Action Plan",H34*0.5/Materials!$G$112*100,IF(N34="Advanced Inventory &amp; Assessment",H34/Materials!$G$112*100,IF(N34="Material Ingredient Optimisation",H34*1.5/Materials!$G$112*100,IF(N34="REACH",H34*1/Materials!$G$112*100,IF(N34="Global Green Tag",H34*1/Materials!$G$112*100)))))*IFERROR(N34&lt;&gt;0,)</f>
        <v>0</v>
      </c>
      <c r="V34" s="397">
        <f t="shared" ref="V34" si="121">IF(O34="Yes",U34*2,U34)</f>
        <v>0</v>
      </c>
    </row>
    <row r="35" spans="1:22" s="68" customFormat="1" ht="12.75" x14ac:dyDescent="0.2">
      <c r="A35" s="80">
        <f t="shared" ref="A35" si="122">IF(H35&gt;=0,0,1)</f>
        <v>0</v>
      </c>
      <c r="B35" s="369" t="str">
        <f>IF(ISBLANK(Materials!B35),"",Materials!B35)</f>
        <v xml:space="preserve">Gypsum Board </v>
      </c>
      <c r="C35" s="355" t="str">
        <f>IF(ISBLANK(Materials!C35),"",Materials!C35)</f>
        <v>092900</v>
      </c>
      <c r="D35" s="355" t="str">
        <f>IF(ISBLANK(Materials!D35),"",Materials!D35)</f>
        <v/>
      </c>
      <c r="E35" s="370" t="str">
        <f>IF(ISBLANK(Materials!E35),"",Materials!E35)</f>
        <v>Sheetrock Mold Tough Firecode X Panels</v>
      </c>
      <c r="F35" s="433"/>
      <c r="G35" s="371" t="str">
        <f>IF(ISBLANK(Materials!F35),"",Materials!F35)</f>
        <v>USG</v>
      </c>
      <c r="H35" s="293">
        <f>IF(ISBLANK(Materials!G35),"",Materials!G35)</f>
        <v>364</v>
      </c>
      <c r="I35" s="72"/>
      <c r="J35" s="279" t="s">
        <v>188</v>
      </c>
      <c r="K35" s="275" t="s">
        <v>189</v>
      </c>
      <c r="L35" s="326" t="str">
        <f t="shared" ref="L35" si="123">IF(K35="Yes",0.5,"")</f>
        <v/>
      </c>
      <c r="M35" s="258"/>
      <c r="N35" s="276"/>
      <c r="O35" s="277"/>
      <c r="P35" s="393">
        <f t="shared" ref="P35" si="124">IF(V35&lt;=200,V35,IF(V35&gt;=201,200))*IFERROR(N35&lt;&gt;0,)</f>
        <v>0</v>
      </c>
      <c r="Q35" s="336" t="e">
        <f t="shared" ref="Q35" si="125">IF(S35&lt;=1,S35,IF(S35&gt;2,S35-1,S35*1))</f>
        <v>#VALUE!</v>
      </c>
      <c r="R35" s="404" t="str">
        <f t="shared" ref="R35" si="126">IF(N35="Material Ingredient Screening &amp; Optimisation Action Plan",0.5,IF(N35="Advanced Inventory &amp; Assessment",1,IF(N35="Material Ingredient Optimisation",1.5,IF(N35="REACH",1,IF(N35="Global Green Tag",1,"")))))</f>
        <v/>
      </c>
      <c r="S35" s="403" t="str">
        <f t="shared" ref="S35" si="127">IF(O35="Yes",R35*2,R35)</f>
        <v/>
      </c>
      <c r="T35" s="398" t="b">
        <f t="shared" ref="T35" si="128">IF(OR(N35="Material Ingredient Screening &amp; Optimisation Action Plan"),H35*0.5,IF(OR(N35="Advanced Inventory &amp; Assessment"),H35*1,IF(OR(N35="Material Ingredient Optimisation"),H35*1.5,IF(OR(N35="REACH"),H35*1,IF(OR(N35="Global Green Tag"),H35*1)))))</f>
        <v>0</v>
      </c>
      <c r="U35" s="396">
        <f>IF(N35="Material Ingredient Screening &amp; Optimisation Action Plan",H35*0.5/Materials!$G$112*100,IF(N35="Advanced Inventory &amp; Assessment",H35/Materials!$G$112*100,IF(N35="Material Ingredient Optimisation",H35*1.5/Materials!$G$112*100,IF(N35="REACH",H35*1/Materials!$G$112*100,IF(N35="Global Green Tag",H35*1/Materials!$G$112*100)))))*IFERROR(N35&lt;&gt;0,)</f>
        <v>0</v>
      </c>
      <c r="V35" s="397">
        <f t="shared" ref="V35" si="129">IF(O35="Yes",U35*2,U35)</f>
        <v>0</v>
      </c>
    </row>
    <row r="36" spans="1:22" s="68" customFormat="1" ht="12.75" x14ac:dyDescent="0.2">
      <c r="A36" s="80">
        <f t="shared" ref="A36" si="130">IF(H36&gt;=0,0,1)</f>
        <v>0</v>
      </c>
      <c r="B36" s="369" t="str">
        <f>IF(ISBLANK(Materials!B36),"",Materials!B36)</f>
        <v xml:space="preserve">ACT </v>
      </c>
      <c r="C36" s="355" t="str">
        <f>IF(ISBLANK(Materials!C36),"",Materials!C36)</f>
        <v>095113</v>
      </c>
      <c r="D36" s="355" t="str">
        <f>IF(ISBLANK(Materials!D36),"",Materials!D36)</f>
        <v/>
      </c>
      <c r="E36" s="370" t="str">
        <f>IF(ISBLANK(Materials!E36),"",Materials!E36)</f>
        <v>Mars HRC</v>
      </c>
      <c r="F36" s="433"/>
      <c r="G36" s="371" t="str">
        <f>IF(ISBLANK(Materials!F36),"",Materials!F36)</f>
        <v>USG</v>
      </c>
      <c r="H36" s="293">
        <f>IF(ISBLANK(Materials!G36),"",Materials!G36)</f>
        <v>49019.199999999997</v>
      </c>
      <c r="I36" s="72"/>
      <c r="J36" s="279" t="s">
        <v>188</v>
      </c>
      <c r="K36" s="275" t="s">
        <v>189</v>
      </c>
      <c r="L36" s="326" t="str">
        <f t="shared" ref="L36" si="131">IF(K36="Yes",0.5,"")</f>
        <v/>
      </c>
      <c r="M36" s="258"/>
      <c r="N36" s="276"/>
      <c r="O36" s="277"/>
      <c r="P36" s="393">
        <f t="shared" ref="P36" si="132">IF(V36&lt;=200,V36,IF(V36&gt;=201,200))*IFERROR(N36&lt;&gt;0,)</f>
        <v>0</v>
      </c>
      <c r="Q36" s="336" t="e">
        <f t="shared" ref="Q36" si="133">IF(S36&lt;=1,S36,IF(S36&gt;2,S36-1,S36*1))</f>
        <v>#VALUE!</v>
      </c>
      <c r="R36" s="404" t="str">
        <f t="shared" ref="R36" si="134">IF(N36="Material Ingredient Screening &amp; Optimisation Action Plan",0.5,IF(N36="Advanced Inventory &amp; Assessment",1,IF(N36="Material Ingredient Optimisation",1.5,IF(N36="REACH",1,IF(N36="Global Green Tag",1,"")))))</f>
        <v/>
      </c>
      <c r="S36" s="403" t="str">
        <f t="shared" ref="S36" si="135">IF(O36="Yes",R36*2,R36)</f>
        <v/>
      </c>
      <c r="T36" s="398" t="b">
        <f t="shared" ref="T36" si="136">IF(OR(N36="Material Ingredient Screening &amp; Optimisation Action Plan"),H36*0.5,IF(OR(N36="Advanced Inventory &amp; Assessment"),H36*1,IF(OR(N36="Material Ingredient Optimisation"),H36*1.5,IF(OR(N36="REACH"),H36*1,IF(OR(N36="Global Green Tag"),H36*1)))))</f>
        <v>0</v>
      </c>
      <c r="U36" s="396">
        <f>IF(N36="Material Ingredient Screening &amp; Optimisation Action Plan",H36*0.5/Materials!$G$112*100,IF(N36="Advanced Inventory &amp; Assessment",H36/Materials!$G$112*100,IF(N36="Material Ingredient Optimisation",H36*1.5/Materials!$G$112*100,IF(N36="REACH",H36*1/Materials!$G$112*100,IF(N36="Global Green Tag",H36*1/Materials!$G$112*100)))))*IFERROR(N36&lt;&gt;0,)</f>
        <v>0</v>
      </c>
      <c r="V36" s="397">
        <f t="shared" ref="V36" si="137">IF(O36="Yes",U36*2,U36)</f>
        <v>0</v>
      </c>
    </row>
    <row r="37" spans="1:22" s="68" customFormat="1" ht="24" x14ac:dyDescent="0.2">
      <c r="A37" s="80">
        <f t="shared" ref="A37" si="138">IF(H37&gt;=0,0,1)</f>
        <v>0</v>
      </c>
      <c r="B37" s="369" t="str">
        <f>IF(ISBLANK(Materials!B37),"",Materials!B37)</f>
        <v>Ceiling Suspension System</v>
      </c>
      <c r="C37" s="355" t="str">
        <f>IF(ISBLANK(Materials!C37),"",Materials!C37)</f>
        <v>095113</v>
      </c>
      <c r="D37" s="355" t="str">
        <f>IF(ISBLANK(Materials!D37),"",Materials!D37)</f>
        <v/>
      </c>
      <c r="E37" s="370" t="str">
        <f>IF(ISBLANK(Materials!E37),"",Materials!E37)</f>
        <v>Donn DX/DXL</v>
      </c>
      <c r="F37" s="433"/>
      <c r="G37" s="371" t="str">
        <f>IF(ISBLANK(Materials!F37),"",Materials!F37)</f>
        <v>USG</v>
      </c>
      <c r="H37" s="293">
        <f>IF(ISBLANK(Materials!G37),"",Materials!G37)</f>
        <v>16824.7</v>
      </c>
      <c r="I37" s="72"/>
      <c r="J37" s="279" t="s">
        <v>188</v>
      </c>
      <c r="K37" s="275" t="s">
        <v>189</v>
      </c>
      <c r="L37" s="326" t="str">
        <f t="shared" ref="L37" si="139">IF(K37="Yes",0.5,"")</f>
        <v/>
      </c>
      <c r="M37" s="258"/>
      <c r="N37" s="276"/>
      <c r="O37" s="277"/>
      <c r="P37" s="393">
        <f t="shared" ref="P37" si="140">IF(V37&lt;=200,V37,IF(V37&gt;=201,200))*IFERROR(N37&lt;&gt;0,)</f>
        <v>0</v>
      </c>
      <c r="Q37" s="336" t="e">
        <f t="shared" ref="Q37" si="141">IF(S37&lt;=1,S37,IF(S37&gt;2,S37-1,S37*1))</f>
        <v>#VALUE!</v>
      </c>
      <c r="R37" s="404" t="str">
        <f t="shared" ref="R37" si="142">IF(N37="Material Ingredient Screening &amp; Optimisation Action Plan",0.5,IF(N37="Advanced Inventory &amp; Assessment",1,IF(N37="Material Ingredient Optimisation",1.5,IF(N37="REACH",1,IF(N37="Global Green Tag",1,"")))))</f>
        <v/>
      </c>
      <c r="S37" s="403" t="str">
        <f t="shared" ref="S37" si="143">IF(O37="Yes",R37*2,R37)</f>
        <v/>
      </c>
      <c r="T37" s="398" t="b">
        <f t="shared" ref="T37" si="144">IF(OR(N37="Material Ingredient Screening &amp; Optimisation Action Plan"),H37*0.5,IF(OR(N37="Advanced Inventory &amp; Assessment"),H37*1,IF(OR(N37="Material Ingredient Optimisation"),H37*1.5,IF(OR(N37="REACH"),H37*1,IF(OR(N37="Global Green Tag"),H37*1)))))</f>
        <v>0</v>
      </c>
      <c r="U37" s="396">
        <f>IF(N37="Material Ingredient Screening &amp; Optimisation Action Plan",H37*0.5/Materials!$G$112*100,IF(N37="Advanced Inventory &amp; Assessment",H37/Materials!$G$112*100,IF(N37="Material Ingredient Optimisation",H37*1.5/Materials!$G$112*100,IF(N37="REACH",H37*1/Materials!$G$112*100,IF(N37="Global Green Tag",H37*1/Materials!$G$112*100)))))*IFERROR(N37&lt;&gt;0,)</f>
        <v>0</v>
      </c>
      <c r="V37" s="397">
        <f t="shared" ref="V37" si="145">IF(O37="Yes",U37*2,U37)</f>
        <v>0</v>
      </c>
    </row>
    <row r="38" spans="1:22" s="68" customFormat="1" ht="24" x14ac:dyDescent="0.2">
      <c r="A38" s="80">
        <f t="shared" ref="A38" si="146">IF(H38&gt;=0,0,1)</f>
        <v>0</v>
      </c>
      <c r="B38" s="369" t="str">
        <f>IF(ISBLANK(Materials!B38),"",Materials!B38)</f>
        <v>Ceiling Suspension System</v>
      </c>
      <c r="C38" s="355" t="str">
        <f>IF(ISBLANK(Materials!C38),"",Materials!C38)</f>
        <v>095113</v>
      </c>
      <c r="D38" s="355" t="str">
        <f>IF(ISBLANK(Materials!D38),"",Materials!D38)</f>
        <v/>
      </c>
      <c r="E38" s="370" t="str">
        <f>IF(ISBLANK(Materials!E38),"",Materials!E38)</f>
        <v>Drywall Suspension System</v>
      </c>
      <c r="F38" s="433"/>
      <c r="G38" s="371" t="str">
        <f>IF(ISBLANK(Materials!F38),"",Materials!F38)</f>
        <v>USG</v>
      </c>
      <c r="H38" s="293">
        <f>IF(ISBLANK(Materials!G38),"",Materials!G38)</f>
        <v>464.64</v>
      </c>
      <c r="I38" s="72"/>
      <c r="J38" s="279" t="s">
        <v>188</v>
      </c>
      <c r="K38" s="275" t="s">
        <v>189</v>
      </c>
      <c r="L38" s="326" t="str">
        <f t="shared" ref="L38" si="147">IF(K38="Yes",0.5,"")</f>
        <v/>
      </c>
      <c r="M38" s="258"/>
      <c r="N38" s="276"/>
      <c r="O38" s="277"/>
      <c r="P38" s="393">
        <f t="shared" ref="P38" si="148">IF(V38&lt;=200,V38,IF(V38&gt;=201,200))*IFERROR(N38&lt;&gt;0,)</f>
        <v>0</v>
      </c>
      <c r="Q38" s="336" t="e">
        <f t="shared" ref="Q38" si="149">IF(S38&lt;=1,S38,IF(S38&gt;2,S38-1,S38*1))</f>
        <v>#VALUE!</v>
      </c>
      <c r="R38" s="404" t="str">
        <f t="shared" ref="R38" si="150">IF(N38="Material Ingredient Screening &amp; Optimisation Action Plan",0.5,IF(N38="Advanced Inventory &amp; Assessment",1,IF(N38="Material Ingredient Optimisation",1.5,IF(N38="REACH",1,IF(N38="Global Green Tag",1,"")))))</f>
        <v/>
      </c>
      <c r="S38" s="403" t="str">
        <f t="shared" ref="S38" si="151">IF(O38="Yes",R38*2,R38)</f>
        <v/>
      </c>
      <c r="T38" s="398" t="b">
        <f t="shared" ref="T38" si="152">IF(OR(N38="Material Ingredient Screening &amp; Optimisation Action Plan"),H38*0.5,IF(OR(N38="Advanced Inventory &amp; Assessment"),H38*1,IF(OR(N38="Material Ingredient Optimisation"),H38*1.5,IF(OR(N38="REACH"),H38*1,IF(OR(N38="Global Green Tag"),H38*1)))))</f>
        <v>0</v>
      </c>
      <c r="U38" s="396">
        <f>IF(N38="Material Ingredient Screening &amp; Optimisation Action Plan",H38*0.5/Materials!$G$112*100,IF(N38="Advanced Inventory &amp; Assessment",H38/Materials!$G$112*100,IF(N38="Material Ingredient Optimisation",H38*1.5/Materials!$G$112*100,IF(N38="REACH",H38*1/Materials!$G$112*100,IF(N38="Global Green Tag",H38*1/Materials!$G$112*100)))))*IFERROR(N38&lt;&gt;0,)</f>
        <v>0</v>
      </c>
      <c r="V38" s="397">
        <f t="shared" ref="V38" si="153">IF(O38="Yes",U38*2,U38)</f>
        <v>0</v>
      </c>
    </row>
    <row r="39" spans="1:22" s="68" customFormat="1" ht="12.75" x14ac:dyDescent="0.2">
      <c r="A39" s="80">
        <f t="shared" ref="A39" si="154">IF(H39&gt;=0,0,1)</f>
        <v>0</v>
      </c>
      <c r="B39" s="369" t="str">
        <f>IF(ISBLANK(Materials!B39),"",Materials!B39)</f>
        <v xml:space="preserve">Sheathing </v>
      </c>
      <c r="C39" s="355" t="str">
        <f>IF(ISBLANK(Materials!C39),"",Materials!C39)</f>
        <v>061600</v>
      </c>
      <c r="D39" s="355" t="str">
        <f>IF(ISBLANK(Materials!D39),"",Materials!D39)</f>
        <v/>
      </c>
      <c r="E39" s="370" t="str">
        <f>IF(ISBLANK(Materials!E39),"",Materials!E39)</f>
        <v>Densglass</v>
      </c>
      <c r="F39" s="433"/>
      <c r="G39" s="371" t="str">
        <f>IF(ISBLANK(Materials!F39),"",Materials!F39)</f>
        <v>Georgia-Pacific</v>
      </c>
      <c r="H39" s="293">
        <f>IF(ISBLANK(Materials!G39),"",Materials!G39)</f>
        <v>6757.08</v>
      </c>
      <c r="I39" s="72"/>
      <c r="J39" s="279"/>
      <c r="K39" s="275"/>
      <c r="L39" s="326" t="str">
        <f t="shared" ref="L39" si="155">IF(K39="Yes",0.5,"")</f>
        <v/>
      </c>
      <c r="M39" s="258"/>
      <c r="N39" s="276"/>
      <c r="O39" s="277"/>
      <c r="P39" s="393">
        <f t="shared" ref="P39" si="156">IF(V39&lt;=200,V39,IF(V39&gt;=201,200))*IFERROR(N39&lt;&gt;0,)</f>
        <v>0</v>
      </c>
      <c r="Q39" s="336" t="e">
        <f t="shared" ref="Q39" si="157">IF(S39&lt;=1,S39,IF(S39&gt;2,S39-1,S39*1))</f>
        <v>#VALUE!</v>
      </c>
      <c r="R39" s="404" t="str">
        <f t="shared" ref="R39" si="158">IF(N39="Material Ingredient Screening &amp; Optimisation Action Plan",0.5,IF(N39="Advanced Inventory &amp; Assessment",1,IF(N39="Material Ingredient Optimisation",1.5,IF(N39="REACH",1,IF(N39="Global Green Tag",1,"")))))</f>
        <v/>
      </c>
      <c r="S39" s="403" t="str">
        <f t="shared" ref="S39" si="159">IF(O39="Yes",R39*2,R39)</f>
        <v/>
      </c>
      <c r="T39" s="398" t="b">
        <f t="shared" ref="T39" si="160">IF(OR(N39="Material Ingredient Screening &amp; Optimisation Action Plan"),H39*0.5,IF(OR(N39="Advanced Inventory &amp; Assessment"),H39*1,IF(OR(N39="Material Ingredient Optimisation"),H39*1.5,IF(OR(N39="REACH"),H39*1,IF(OR(N39="Global Green Tag"),H39*1)))))</f>
        <v>0</v>
      </c>
      <c r="U39" s="396">
        <f>IF(N39="Material Ingredient Screening &amp; Optimisation Action Plan",H39*0.5/Materials!$G$112*100,IF(N39="Advanced Inventory &amp; Assessment",H39/Materials!$G$112*100,IF(N39="Material Ingredient Optimisation",H39*1.5/Materials!$G$112*100,IF(N39="REACH",H39*1/Materials!$G$112*100,IF(N39="Global Green Tag",H39*1/Materials!$G$112*100)))))*IFERROR(N39&lt;&gt;0,)</f>
        <v>0</v>
      </c>
      <c r="V39" s="397">
        <f t="shared" ref="V39" si="161">IF(O39="Yes",U39*2,U39)</f>
        <v>0</v>
      </c>
    </row>
    <row r="40" spans="1:22" s="68" customFormat="1" ht="12.75" x14ac:dyDescent="0.2">
      <c r="A40" s="80">
        <f t="shared" ref="A40" si="162">IF(H40&gt;=0,0,1)</f>
        <v>0</v>
      </c>
      <c r="B40" s="369" t="str">
        <f>IF(ISBLANK(Materials!B40),"",Materials!B40)</f>
        <v>Joint Reinforcement</v>
      </c>
      <c r="C40" s="355" t="str">
        <f>IF(ISBLANK(Materials!C40),"",Materials!C40)</f>
        <v>042000</v>
      </c>
      <c r="D40" s="355" t="str">
        <f>IF(ISBLANK(Materials!D40),"",Materials!D40)</f>
        <v/>
      </c>
      <c r="E40" s="370" t="str">
        <f>IF(ISBLANK(Materials!E40),"",Materials!E40)</f>
        <v>270-2X Ladder Eye-Wire &amp; 220 Ladder-Mesh</v>
      </c>
      <c r="F40" s="433"/>
      <c r="G40" s="371" t="str">
        <f>IF(ISBLANK(Materials!F40),"",Materials!F40)</f>
        <v>Hohmann &amp; Barnard</v>
      </c>
      <c r="H40" s="293">
        <f>IF(ISBLANK(Materials!G40),"",Materials!G40)</f>
        <v>722.1</v>
      </c>
      <c r="I40" s="72"/>
      <c r="J40" s="279" t="s">
        <v>188</v>
      </c>
      <c r="K40" s="275" t="s">
        <v>189</v>
      </c>
      <c r="L40" s="326" t="str">
        <f t="shared" ref="L40" si="163">IF(K40="Yes",0.5,"")</f>
        <v/>
      </c>
      <c r="M40" s="258"/>
      <c r="N40" s="276"/>
      <c r="O40" s="277"/>
      <c r="P40" s="393">
        <f t="shared" ref="P40" si="164">IF(V40&lt;=200,V40,IF(V40&gt;=201,200))*IFERROR(N40&lt;&gt;0,)</f>
        <v>0</v>
      </c>
      <c r="Q40" s="336" t="e">
        <f t="shared" ref="Q40" si="165">IF(S40&lt;=1,S40,IF(S40&gt;2,S40-1,S40*1))</f>
        <v>#VALUE!</v>
      </c>
      <c r="R40" s="404" t="str">
        <f t="shared" ref="R40" si="166">IF(N40="Material Ingredient Screening &amp; Optimisation Action Plan",0.5,IF(N40="Advanced Inventory &amp; Assessment",1,IF(N40="Material Ingredient Optimisation",1.5,IF(N40="REACH",1,IF(N40="Global Green Tag",1,"")))))</f>
        <v/>
      </c>
      <c r="S40" s="403" t="str">
        <f t="shared" ref="S40" si="167">IF(O40="Yes",R40*2,R40)</f>
        <v/>
      </c>
      <c r="T40" s="398" t="b">
        <f t="shared" ref="T40" si="168">IF(OR(N40="Material Ingredient Screening &amp; Optimisation Action Plan"),H40*0.5,IF(OR(N40="Advanced Inventory &amp; Assessment"),H40*1,IF(OR(N40="Material Ingredient Optimisation"),H40*1.5,IF(OR(N40="REACH"),H40*1,IF(OR(N40="Global Green Tag"),H40*1)))))</f>
        <v>0</v>
      </c>
      <c r="U40" s="396">
        <f>IF(N40="Material Ingredient Screening &amp; Optimisation Action Plan",H40*0.5/Materials!$G$112*100,IF(N40="Advanced Inventory &amp; Assessment",H40/Materials!$G$112*100,IF(N40="Material Ingredient Optimisation",H40*1.5/Materials!$G$112*100,IF(N40="REACH",H40*1/Materials!$G$112*100,IF(N40="Global Green Tag",H40*1/Materials!$G$112*100)))))*IFERROR(N40&lt;&gt;0,)</f>
        <v>0</v>
      </c>
      <c r="V40" s="397">
        <f t="shared" ref="V40" si="169">IF(O40="Yes",U40*2,U40)</f>
        <v>0</v>
      </c>
    </row>
    <row r="41" spans="1:22" s="68" customFormat="1" ht="24" x14ac:dyDescent="0.2">
      <c r="A41" s="80">
        <f t="shared" ref="A41" si="170">IF(H41&gt;=0,0,1)</f>
        <v>0</v>
      </c>
      <c r="B41" s="369" t="str">
        <f>IF(ISBLANK(Materials!B41),"",Materials!B41)</f>
        <v>Rubber Control Joint, Weep Holes/Vents</v>
      </c>
      <c r="C41" s="355" t="str">
        <f>IF(ISBLANK(Materials!C41),"",Materials!C41)</f>
        <v>042000</v>
      </c>
      <c r="D41" s="355" t="str">
        <f>IF(ISBLANK(Materials!D41),"",Materials!D41)</f>
        <v/>
      </c>
      <c r="E41" s="370" t="str">
        <f>IF(ISBLANK(Materials!E41),"",Materials!E41)</f>
        <v>RS Series, QV - Quadro-Vent</v>
      </c>
      <c r="F41" s="433"/>
      <c r="G41" s="371" t="str">
        <f>IF(ISBLANK(Materials!F41),"",Materials!F41)</f>
        <v>Hohmann &amp; Barnard</v>
      </c>
      <c r="H41" s="293">
        <f>IF(ISBLANK(Materials!G41),"",Materials!G41)</f>
        <v>5130.29</v>
      </c>
      <c r="I41" s="72"/>
      <c r="J41" s="279"/>
      <c r="K41" s="275"/>
      <c r="L41" s="326" t="str">
        <f t="shared" ref="L41" si="171">IF(K41="Yes",0.5,"")</f>
        <v/>
      </c>
      <c r="M41" s="258"/>
      <c r="N41" s="276"/>
      <c r="O41" s="277"/>
      <c r="P41" s="393">
        <f t="shared" ref="P41" si="172">IF(V41&lt;=200,V41,IF(V41&gt;=201,200))*IFERROR(N41&lt;&gt;0,)</f>
        <v>0</v>
      </c>
      <c r="Q41" s="336" t="e">
        <f t="shared" ref="Q41" si="173">IF(S41&lt;=1,S41,IF(S41&gt;2,S41-1,S41*1))</f>
        <v>#VALUE!</v>
      </c>
      <c r="R41" s="404" t="str">
        <f t="shared" ref="R41" si="174">IF(N41="Material Ingredient Screening &amp; Optimisation Action Plan",0.5,IF(N41="Advanced Inventory &amp; Assessment",1,IF(N41="Material Ingredient Optimisation",1.5,IF(N41="REACH",1,IF(N41="Global Green Tag",1,"")))))</f>
        <v/>
      </c>
      <c r="S41" s="403" t="str">
        <f t="shared" ref="S41" si="175">IF(O41="Yes",R41*2,R41)</f>
        <v/>
      </c>
      <c r="T41" s="398" t="b">
        <f t="shared" ref="T41" si="176">IF(OR(N41="Material Ingredient Screening &amp; Optimisation Action Plan"),H41*0.5,IF(OR(N41="Advanced Inventory &amp; Assessment"),H41*1,IF(OR(N41="Material Ingredient Optimisation"),H41*1.5,IF(OR(N41="REACH"),H41*1,IF(OR(N41="Global Green Tag"),H41*1)))))</f>
        <v>0</v>
      </c>
      <c r="U41" s="396">
        <f>IF(N41="Material Ingredient Screening &amp; Optimisation Action Plan",H41*0.5/Materials!$G$112*100,IF(N41="Advanced Inventory &amp; Assessment",H41/Materials!$G$112*100,IF(N41="Material Ingredient Optimisation",H41*1.5/Materials!$G$112*100,IF(N41="REACH",H41*1/Materials!$G$112*100,IF(N41="Global Green Tag",H41*1/Materials!$G$112*100)))))*IFERROR(N41&lt;&gt;0,)</f>
        <v>0</v>
      </c>
      <c r="V41" s="397">
        <f t="shared" ref="V41" si="177">IF(O41="Yes",U41*2,U41)</f>
        <v>0</v>
      </c>
    </row>
    <row r="42" spans="1:22" s="68" customFormat="1" ht="12.75" x14ac:dyDescent="0.2">
      <c r="A42" s="80">
        <f t="shared" ref="A42" si="178">IF(H42&gt;=0,0,1)</f>
        <v>0</v>
      </c>
      <c r="B42" s="369" t="str">
        <f>IF(ISBLANK(Materials!B42),"",Materials!B42)</f>
        <v>Rebar Positioner</v>
      </c>
      <c r="C42" s="355" t="str">
        <f>IF(ISBLANK(Materials!C42),"",Materials!C42)</f>
        <v>042000</v>
      </c>
      <c r="D42" s="355" t="str">
        <f>IF(ISBLANK(Materials!D42),"",Materials!D42)</f>
        <v/>
      </c>
      <c r="E42" s="370" t="str">
        <f>IF(ISBLANK(Materials!E42),"",Materials!E42)</f>
        <v>RB</v>
      </c>
      <c r="F42" s="433"/>
      <c r="G42" s="371" t="str">
        <f>IF(ISBLANK(Materials!F42),"",Materials!F42)</f>
        <v>Hohmann &amp; Barnard</v>
      </c>
      <c r="H42" s="293">
        <f>IF(ISBLANK(Materials!G42),"",Materials!G42)</f>
        <v>3739.16</v>
      </c>
      <c r="I42" s="72"/>
      <c r="J42" s="279"/>
      <c r="K42" s="275"/>
      <c r="L42" s="326" t="str">
        <f t="shared" ref="L42" si="179">IF(K42="Yes",0.5,"")</f>
        <v/>
      </c>
      <c r="M42" s="258"/>
      <c r="N42" s="276"/>
      <c r="O42" s="277"/>
      <c r="P42" s="393">
        <f t="shared" ref="P42" si="180">IF(V42&lt;=200,V42,IF(V42&gt;=201,200))*IFERROR(N42&lt;&gt;0,)</f>
        <v>0</v>
      </c>
      <c r="Q42" s="336" t="e">
        <f t="shared" ref="Q42" si="181">IF(S42&lt;=1,S42,IF(S42&gt;2,S42-1,S42*1))</f>
        <v>#VALUE!</v>
      </c>
      <c r="R42" s="404" t="str">
        <f t="shared" ref="R42" si="182">IF(N42="Material Ingredient Screening &amp; Optimisation Action Plan",0.5,IF(N42="Advanced Inventory &amp; Assessment",1,IF(N42="Material Ingredient Optimisation",1.5,IF(N42="REACH",1,IF(N42="Global Green Tag",1,"")))))</f>
        <v/>
      </c>
      <c r="S42" s="403" t="str">
        <f t="shared" ref="S42" si="183">IF(O42="Yes",R42*2,R42)</f>
        <v/>
      </c>
      <c r="T42" s="398" t="b">
        <f t="shared" ref="T42" si="184">IF(OR(N42="Material Ingredient Screening &amp; Optimisation Action Plan"),H42*0.5,IF(OR(N42="Advanced Inventory &amp; Assessment"),H42*1,IF(OR(N42="Material Ingredient Optimisation"),H42*1.5,IF(OR(N42="REACH"),H42*1,IF(OR(N42="Global Green Tag"),H42*1)))))</f>
        <v>0</v>
      </c>
      <c r="U42" s="396">
        <f>IF(N42="Material Ingredient Screening &amp; Optimisation Action Plan",H42*0.5/Materials!$G$112*100,IF(N42="Advanced Inventory &amp; Assessment",H42/Materials!$G$112*100,IF(N42="Material Ingredient Optimisation",H42*1.5/Materials!$G$112*100,IF(N42="REACH",H42*1/Materials!$G$112*100,IF(N42="Global Green Tag",H42*1/Materials!$G$112*100)))))*IFERROR(N42&lt;&gt;0,)</f>
        <v>0</v>
      </c>
      <c r="V42" s="397">
        <f t="shared" ref="V42" si="185">IF(O42="Yes",U42*2,U42)</f>
        <v>0</v>
      </c>
    </row>
    <row r="43" spans="1:22" s="68" customFormat="1" ht="12.75" x14ac:dyDescent="0.2">
      <c r="A43" s="80">
        <f t="shared" ref="A43" si="186">IF(H43&gt;=0,0,1)</f>
        <v>0</v>
      </c>
      <c r="B43" s="369" t="str">
        <f>IF(ISBLANK(Materials!B43),"",Materials!B43)</f>
        <v>Mortar System</v>
      </c>
      <c r="C43" s="355" t="str">
        <f>IF(ISBLANK(Materials!C43),"",Materials!C43)</f>
        <v>042000</v>
      </c>
      <c r="D43" s="355" t="str">
        <f>IF(ISBLANK(Materials!D43),"",Materials!D43)</f>
        <v/>
      </c>
      <c r="E43" s="370" t="str">
        <f>IF(ISBLANK(Materials!E43),"",Materials!E43)</f>
        <v>Mortar Trap</v>
      </c>
      <c r="F43" s="433"/>
      <c r="G43" s="371" t="str">
        <f>IF(ISBLANK(Materials!F43),"",Materials!F43)</f>
        <v>Hohmann &amp; Barnard</v>
      </c>
      <c r="H43" s="293">
        <f>IF(ISBLANK(Materials!G43),"",Materials!G43)</f>
        <v>2963.31</v>
      </c>
      <c r="I43" s="72"/>
      <c r="J43" s="279" t="s">
        <v>188</v>
      </c>
      <c r="K43" s="275" t="s">
        <v>189</v>
      </c>
      <c r="L43" s="326" t="str">
        <f t="shared" ref="L43" si="187">IF(K43="Yes",0.5,"")</f>
        <v/>
      </c>
      <c r="M43" s="258"/>
      <c r="N43" s="276"/>
      <c r="O43" s="277"/>
      <c r="P43" s="393">
        <f t="shared" ref="P43" si="188">IF(V43&lt;=200,V43,IF(V43&gt;=201,200))*IFERROR(N43&lt;&gt;0,)</f>
        <v>0</v>
      </c>
      <c r="Q43" s="336" t="e">
        <f t="shared" ref="Q43" si="189">IF(S43&lt;=1,S43,IF(S43&gt;2,S43-1,S43*1))</f>
        <v>#VALUE!</v>
      </c>
      <c r="R43" s="404" t="str">
        <f t="shared" ref="R43" si="190">IF(N43="Material Ingredient Screening &amp; Optimisation Action Plan",0.5,IF(N43="Advanced Inventory &amp; Assessment",1,IF(N43="Material Ingredient Optimisation",1.5,IF(N43="REACH",1,IF(N43="Global Green Tag",1,"")))))</f>
        <v/>
      </c>
      <c r="S43" s="403" t="str">
        <f t="shared" ref="S43" si="191">IF(O43="Yes",R43*2,R43)</f>
        <v/>
      </c>
      <c r="T43" s="398" t="b">
        <f t="shared" ref="T43" si="192">IF(OR(N43="Material Ingredient Screening &amp; Optimisation Action Plan"),H43*0.5,IF(OR(N43="Advanced Inventory &amp; Assessment"),H43*1,IF(OR(N43="Material Ingredient Optimisation"),H43*1.5,IF(OR(N43="REACH"),H43*1,IF(OR(N43="Global Green Tag"),H43*1)))))</f>
        <v>0</v>
      </c>
      <c r="U43" s="396">
        <f>IF(N43="Material Ingredient Screening &amp; Optimisation Action Plan",H43*0.5/Materials!$G$112*100,IF(N43="Advanced Inventory &amp; Assessment",H43/Materials!$G$112*100,IF(N43="Material Ingredient Optimisation",H43*1.5/Materials!$G$112*100,IF(N43="REACH",H43*1/Materials!$G$112*100,IF(N43="Global Green Tag",H43*1/Materials!$G$112*100)))))*IFERROR(N43&lt;&gt;0,)</f>
        <v>0</v>
      </c>
      <c r="V43" s="397">
        <f t="shared" ref="V43" si="193">IF(O43="Yes",U43*2,U43)</f>
        <v>0</v>
      </c>
    </row>
    <row r="44" spans="1:22" s="68" customFormat="1" ht="12.75" x14ac:dyDescent="0.2">
      <c r="A44" s="80">
        <f t="shared" ref="A44" si="194">IF(H44&gt;=0,0,1)</f>
        <v>0</v>
      </c>
      <c r="B44" s="369" t="str">
        <f>IF(ISBLANK(Materials!B44),"",Materials!B44)</f>
        <v>C-Studs &amp; Track</v>
      </c>
      <c r="C44" s="355" t="str">
        <f>IF(ISBLANK(Materials!C44),"",Materials!C44)</f>
        <v>054000</v>
      </c>
      <c r="D44" s="355" t="str">
        <f>IF(ISBLANK(Materials!D44),"",Materials!D44)</f>
        <v/>
      </c>
      <c r="E44" s="370" t="str">
        <f>IF(ISBLANK(Materials!E44),"",Materials!E44)</f>
        <v>600S162-43, 600S200-43, 600S300-54, 600S300-97, 600S350-118, 600S350-68, 600S350-97, 600T125-43, 600T125-68, 600T200-54, 600T200-97</v>
      </c>
      <c r="F44" s="433"/>
      <c r="G44" s="371" t="str">
        <f>IF(ISBLANK(Materials!F44),"",Materials!F44)</f>
        <v>Cemco</v>
      </c>
      <c r="H44" s="293">
        <f>IF(ISBLANK(Materials!G44),"",Materials!G44)</f>
        <v>28645.46</v>
      </c>
      <c r="I44" s="72"/>
      <c r="J44" s="279" t="s">
        <v>188</v>
      </c>
      <c r="K44" s="275" t="s">
        <v>189</v>
      </c>
      <c r="L44" s="326" t="str">
        <f t="shared" ref="L44" si="195">IF(K44="Yes",0.5,"")</f>
        <v/>
      </c>
      <c r="M44" s="258"/>
      <c r="N44" s="276"/>
      <c r="O44" s="277"/>
      <c r="P44" s="393">
        <f t="shared" ref="P44" si="196">IF(V44&lt;=200,V44,IF(V44&gt;=201,200))*IFERROR(N44&lt;&gt;0,)</f>
        <v>0</v>
      </c>
      <c r="Q44" s="336" t="e">
        <f t="shared" ref="Q44" si="197">IF(S44&lt;=1,S44,IF(S44&gt;2,S44-1,S44*1))</f>
        <v>#VALUE!</v>
      </c>
      <c r="R44" s="404" t="str">
        <f t="shared" ref="R44" si="198">IF(N44="Material Ingredient Screening &amp; Optimisation Action Plan",0.5,IF(N44="Advanced Inventory &amp; Assessment",1,IF(N44="Material Ingredient Optimisation",1.5,IF(N44="REACH",1,IF(N44="Global Green Tag",1,"")))))</f>
        <v/>
      </c>
      <c r="S44" s="403" t="str">
        <f t="shared" ref="S44" si="199">IF(O44="Yes",R44*2,R44)</f>
        <v/>
      </c>
      <c r="T44" s="398" t="b">
        <f t="shared" ref="T44" si="200">IF(OR(N44="Material Ingredient Screening &amp; Optimisation Action Plan"),H44*0.5,IF(OR(N44="Advanced Inventory &amp; Assessment"),H44*1,IF(OR(N44="Material Ingredient Optimisation"),H44*1.5,IF(OR(N44="REACH"),H44*1,IF(OR(N44="Global Green Tag"),H44*1)))))</f>
        <v>0</v>
      </c>
      <c r="U44" s="396">
        <f>IF(N44="Material Ingredient Screening &amp; Optimisation Action Plan",H44*0.5/Materials!$G$112*100,IF(N44="Advanced Inventory &amp; Assessment",H44/Materials!$G$112*100,IF(N44="Material Ingredient Optimisation",H44*1.5/Materials!$G$112*100,IF(N44="REACH",H44*1/Materials!$G$112*100,IF(N44="Global Green Tag",H44*1/Materials!$G$112*100)))))*IFERROR(N44&lt;&gt;0,)</f>
        <v>0</v>
      </c>
      <c r="V44" s="397">
        <f t="shared" ref="V44" si="201">IF(O44="Yes",U44*2,U44)</f>
        <v>0</v>
      </c>
    </row>
    <row r="45" spans="1:22" s="68" customFormat="1" ht="12.75" x14ac:dyDescent="0.2">
      <c r="A45" s="80">
        <f t="shared" ref="A45" si="202">IF(H45&gt;=0,0,1)</f>
        <v>0</v>
      </c>
      <c r="B45" s="369" t="str">
        <f>IF(ISBLANK(Materials!B45),"",Materials!B45)</f>
        <v>CFMF</v>
      </c>
      <c r="C45" s="355" t="str">
        <f>IF(ISBLANK(Materials!C45),"",Materials!C45)</f>
        <v>054000</v>
      </c>
      <c r="D45" s="355" t="str">
        <f>IF(ISBLANK(Materials!D45),"",Materials!D45)</f>
        <v/>
      </c>
      <c r="E45" s="370" t="str">
        <f>IF(ISBLANK(Materials!E45),"",Materials!E45)</f>
        <v>StiffClip AL &amp; CL, VertiClip SL &amp; SLS</v>
      </c>
      <c r="F45" s="433"/>
      <c r="G45" s="371" t="str">
        <f>IF(ISBLANK(Materials!F45),"",Materials!F45)</f>
        <v>TSN</v>
      </c>
      <c r="H45" s="293">
        <f>IF(ISBLANK(Materials!G45),"",Materials!G45)</f>
        <v>1724.1</v>
      </c>
      <c r="I45" s="72"/>
      <c r="J45" s="279"/>
      <c r="K45" s="275"/>
      <c r="L45" s="326" t="str">
        <f t="shared" ref="L45" si="203">IF(K45="Yes",0.5,"")</f>
        <v/>
      </c>
      <c r="M45" s="258"/>
      <c r="N45" s="276"/>
      <c r="O45" s="277"/>
      <c r="P45" s="393">
        <f t="shared" ref="P45" si="204">IF(V45&lt;=200,V45,IF(V45&gt;=201,200))*IFERROR(N45&lt;&gt;0,)</f>
        <v>0</v>
      </c>
      <c r="Q45" s="336" t="e">
        <f t="shared" ref="Q45" si="205">IF(S45&lt;=1,S45,IF(S45&gt;2,S45-1,S45*1))</f>
        <v>#VALUE!</v>
      </c>
      <c r="R45" s="404" t="str">
        <f t="shared" ref="R45" si="206">IF(N45="Material Ingredient Screening &amp; Optimisation Action Plan",0.5,IF(N45="Advanced Inventory &amp; Assessment",1,IF(N45="Material Ingredient Optimisation",1.5,IF(N45="REACH",1,IF(N45="Global Green Tag",1,"")))))</f>
        <v/>
      </c>
      <c r="S45" s="403" t="str">
        <f t="shared" ref="S45" si="207">IF(O45="Yes",R45*2,R45)</f>
        <v/>
      </c>
      <c r="T45" s="398" t="b">
        <f t="shared" ref="T45" si="208">IF(OR(N45="Material Ingredient Screening &amp; Optimisation Action Plan"),H45*0.5,IF(OR(N45="Advanced Inventory &amp; Assessment"),H45*1,IF(OR(N45="Material Ingredient Optimisation"),H45*1.5,IF(OR(N45="REACH"),H45*1,IF(OR(N45="Global Green Tag"),H45*1)))))</f>
        <v>0</v>
      </c>
      <c r="U45" s="396">
        <f>IF(N45="Material Ingredient Screening &amp; Optimisation Action Plan",H45*0.5/Materials!$G$112*100,IF(N45="Advanced Inventory &amp; Assessment",H45/Materials!$G$112*100,IF(N45="Material Ingredient Optimisation",H45*1.5/Materials!$G$112*100,IF(N45="REACH",H45*1/Materials!$G$112*100,IF(N45="Global Green Tag",H45*1/Materials!$G$112*100)))))*IFERROR(N45&lt;&gt;0,)</f>
        <v>0</v>
      </c>
      <c r="V45" s="397">
        <f t="shared" ref="V45" si="209">IF(O45="Yes",U45*2,U45)</f>
        <v>0</v>
      </c>
    </row>
    <row r="46" spans="1:22" s="68" customFormat="1" ht="12.75" x14ac:dyDescent="0.2">
      <c r="A46" s="80">
        <f t="shared" ref="A46" si="210">IF(H46&gt;=0,0,1)</f>
        <v>0</v>
      </c>
      <c r="B46" s="369" t="str">
        <f>IF(ISBLANK(Materials!B46),"",Materials!B46)</f>
        <v xml:space="preserve">Architectural Hinges </v>
      </c>
      <c r="C46" s="355" t="str">
        <f>IF(ISBLANK(Materials!C46),"",Materials!C46)</f>
        <v>087100</v>
      </c>
      <c r="D46" s="355" t="str">
        <f>IF(ISBLANK(Materials!D46),"",Materials!D46)</f>
        <v/>
      </c>
      <c r="E46" s="370" t="str">
        <f>IF(ISBLANK(Materials!E46),"",Materials!E46)</f>
        <v>5BB1</v>
      </c>
      <c r="F46" s="433"/>
      <c r="G46" s="371" t="str">
        <f>IF(ISBLANK(Materials!F46),"",Materials!F46)</f>
        <v>Ives-Allegion</v>
      </c>
      <c r="H46" s="293">
        <f>IF(ISBLANK(Materials!G46),"",Materials!G46)</f>
        <v>3300</v>
      </c>
      <c r="I46" s="72"/>
      <c r="J46" s="279" t="s">
        <v>188</v>
      </c>
      <c r="K46" s="275" t="s">
        <v>189</v>
      </c>
      <c r="L46" s="326" t="str">
        <f t="shared" ref="L46" si="211">IF(K46="Yes",0.5,"")</f>
        <v/>
      </c>
      <c r="M46" s="258"/>
      <c r="N46" s="276"/>
      <c r="O46" s="277"/>
      <c r="P46" s="393">
        <f t="shared" ref="P46" si="212">IF(V46&lt;=200,V46,IF(V46&gt;=201,200))*IFERROR(N46&lt;&gt;0,)</f>
        <v>0</v>
      </c>
      <c r="Q46" s="336" t="e">
        <f t="shared" ref="Q46" si="213">IF(S46&lt;=1,S46,IF(S46&gt;2,S46-1,S46*1))</f>
        <v>#VALUE!</v>
      </c>
      <c r="R46" s="404" t="str">
        <f t="shared" ref="R46" si="214">IF(N46="Material Ingredient Screening &amp; Optimisation Action Plan",0.5,IF(N46="Advanced Inventory &amp; Assessment",1,IF(N46="Material Ingredient Optimisation",1.5,IF(N46="REACH",1,IF(N46="Global Green Tag",1,"")))))</f>
        <v/>
      </c>
      <c r="S46" s="403" t="str">
        <f t="shared" ref="S46" si="215">IF(O46="Yes",R46*2,R46)</f>
        <v/>
      </c>
      <c r="T46" s="398" t="b">
        <f t="shared" ref="T46" si="216">IF(OR(N46="Material Ingredient Screening &amp; Optimisation Action Plan"),H46*0.5,IF(OR(N46="Advanced Inventory &amp; Assessment"),H46*1,IF(OR(N46="Material Ingredient Optimisation"),H46*1.5,IF(OR(N46="REACH"),H46*1,IF(OR(N46="Global Green Tag"),H46*1)))))</f>
        <v>0</v>
      </c>
      <c r="U46" s="396">
        <f>IF(N46="Material Ingredient Screening &amp; Optimisation Action Plan",H46*0.5/Materials!$G$112*100,IF(N46="Advanced Inventory &amp; Assessment",H46/Materials!$G$112*100,IF(N46="Material Ingredient Optimisation",H46*1.5/Materials!$G$112*100,IF(N46="REACH",H46*1/Materials!$G$112*100,IF(N46="Global Green Tag",H46*1/Materials!$G$112*100)))))*IFERROR(N46&lt;&gt;0,)</f>
        <v>0</v>
      </c>
      <c r="V46" s="397">
        <f t="shared" ref="V46" si="217">IF(O46="Yes",U46*2,U46)</f>
        <v>0</v>
      </c>
    </row>
    <row r="47" spans="1:22" s="68" customFormat="1" ht="12.75" x14ac:dyDescent="0.2">
      <c r="A47" s="80">
        <f t="shared" ref="A47" si="218">IF(H47&gt;=0,0,1)</f>
        <v>0</v>
      </c>
      <c r="B47" s="369" t="str">
        <f>IF(ISBLANK(Materials!B47),"",Materials!B47)</f>
        <v>Mortise Locks</v>
      </c>
      <c r="C47" s="355" t="str">
        <f>IF(ISBLANK(Materials!C47),"",Materials!C47)</f>
        <v>087100</v>
      </c>
      <c r="D47" s="355" t="str">
        <f>IF(ISBLANK(Materials!D47),"",Materials!D47)</f>
        <v/>
      </c>
      <c r="E47" s="370" t="str">
        <f>IF(ISBLANK(Materials!E47),"",Materials!E47)</f>
        <v>8205, 8204, 8217, 8215, 8237, KP9278, KP8278, KP8276</v>
      </c>
      <c r="F47" s="433"/>
      <c r="G47" s="371" t="str">
        <f>IF(ISBLANK(Materials!F47),"",Materials!F47)</f>
        <v>Sargent-ASSA ABLOY</v>
      </c>
      <c r="H47" s="293">
        <f>IF(ISBLANK(Materials!G47),"",Materials!G47)</f>
        <v>55665</v>
      </c>
      <c r="I47" s="72"/>
      <c r="J47" s="279"/>
      <c r="K47" s="275"/>
      <c r="L47" s="326" t="str">
        <f t="shared" ref="L47" si="219">IF(K47="Yes",0.5,"")</f>
        <v/>
      </c>
      <c r="M47" s="258"/>
      <c r="N47" s="276"/>
      <c r="O47" s="277"/>
      <c r="P47" s="393">
        <f t="shared" ref="P47" si="220">IF(V47&lt;=200,V47,IF(V47&gt;=201,200))*IFERROR(N47&lt;&gt;0,)</f>
        <v>0</v>
      </c>
      <c r="Q47" s="336" t="e">
        <f t="shared" ref="Q47" si="221">IF(S47&lt;=1,S47,IF(S47&gt;2,S47-1,S47*1))</f>
        <v>#VALUE!</v>
      </c>
      <c r="R47" s="404" t="str">
        <f t="shared" ref="R47" si="222">IF(N47="Material Ingredient Screening &amp; Optimisation Action Plan",0.5,IF(N47="Advanced Inventory &amp; Assessment",1,IF(N47="Material Ingredient Optimisation",1.5,IF(N47="REACH",1,IF(N47="Global Green Tag",1,"")))))</f>
        <v/>
      </c>
      <c r="S47" s="403" t="str">
        <f t="shared" ref="S47" si="223">IF(O47="Yes",R47*2,R47)</f>
        <v/>
      </c>
      <c r="T47" s="398" t="b">
        <f t="shared" ref="T47" si="224">IF(OR(N47="Material Ingredient Screening &amp; Optimisation Action Plan"),H47*0.5,IF(OR(N47="Advanced Inventory &amp; Assessment"),H47*1,IF(OR(N47="Material Ingredient Optimisation"),H47*1.5,IF(OR(N47="REACH"),H47*1,IF(OR(N47="Global Green Tag"),H47*1)))))</f>
        <v>0</v>
      </c>
      <c r="U47" s="396">
        <f>IF(N47="Material Ingredient Screening &amp; Optimisation Action Plan",H47*0.5/Materials!$G$112*100,IF(N47="Advanced Inventory &amp; Assessment",H47/Materials!$G$112*100,IF(N47="Material Ingredient Optimisation",H47*1.5/Materials!$G$112*100,IF(N47="REACH",H47*1/Materials!$G$112*100,IF(N47="Global Green Tag",H47*1/Materials!$G$112*100)))))*IFERROR(N47&lt;&gt;0,)</f>
        <v>0</v>
      </c>
      <c r="V47" s="397">
        <f t="shared" ref="V47" si="225">IF(O47="Yes",U47*2,U47)</f>
        <v>0</v>
      </c>
    </row>
    <row r="48" spans="1:22" s="68" customFormat="1" ht="12.75" x14ac:dyDescent="0.2">
      <c r="A48" s="80">
        <f t="shared" ref="A48" si="226">IF(H48&gt;=0,0,1)</f>
        <v>0</v>
      </c>
      <c r="B48" s="369" t="str">
        <f>IF(ISBLANK(Materials!B48),"",Materials!B48)</f>
        <v>Door Closer</v>
      </c>
      <c r="C48" s="355" t="str">
        <f>IF(ISBLANK(Materials!C48),"",Materials!C48)</f>
        <v>087100</v>
      </c>
      <c r="D48" s="355" t="str">
        <f>IF(ISBLANK(Materials!D48),"",Materials!D48)</f>
        <v/>
      </c>
      <c r="E48" s="370" t="str">
        <f>IF(ISBLANK(Materials!E48),"",Materials!E48)</f>
        <v>4040XP, 4642 lcn-allegion (cost included here for 904S, 105S, 104S)</v>
      </c>
      <c r="F48" s="433"/>
      <c r="G48" s="371" t="str">
        <f>IF(ISBLANK(Materials!F48),"",Materials!F48)</f>
        <v>LCN-Allegion</v>
      </c>
      <c r="H48" s="293">
        <f>IF(ISBLANK(Materials!G48),"",Materials!G48)</f>
        <v>13435</v>
      </c>
      <c r="I48" s="72"/>
      <c r="J48" s="279"/>
      <c r="K48" s="275"/>
      <c r="L48" s="326" t="str">
        <f t="shared" ref="L48" si="227">IF(K48="Yes",0.5,"")</f>
        <v/>
      </c>
      <c r="M48" s="258"/>
      <c r="N48" s="276"/>
      <c r="O48" s="277"/>
      <c r="P48" s="393">
        <f t="shared" ref="P48" si="228">IF(V48&lt;=200,V48,IF(V48&gt;=201,200))*IFERROR(N48&lt;&gt;0,)</f>
        <v>0</v>
      </c>
      <c r="Q48" s="336" t="e">
        <f t="shared" ref="Q48" si="229">IF(S48&lt;=1,S48,IF(S48&gt;2,S48-1,S48*1))</f>
        <v>#VALUE!</v>
      </c>
      <c r="R48" s="404" t="str">
        <f t="shared" ref="R48" si="230">IF(N48="Material Ingredient Screening &amp; Optimisation Action Plan",0.5,IF(N48="Advanced Inventory &amp; Assessment",1,IF(N48="Material Ingredient Optimisation",1.5,IF(N48="REACH",1,IF(N48="Global Green Tag",1,"")))))</f>
        <v/>
      </c>
      <c r="S48" s="403" t="str">
        <f t="shared" ref="S48" si="231">IF(O48="Yes",R48*2,R48)</f>
        <v/>
      </c>
      <c r="T48" s="398" t="b">
        <f t="shared" ref="T48" si="232">IF(OR(N48="Material Ingredient Screening &amp; Optimisation Action Plan"),H48*0.5,IF(OR(N48="Advanced Inventory &amp; Assessment"),H48*1,IF(OR(N48="Material Ingredient Optimisation"),H48*1.5,IF(OR(N48="REACH"),H48*1,IF(OR(N48="Global Green Tag"),H48*1)))))</f>
        <v>0</v>
      </c>
      <c r="U48" s="396">
        <f>IF(N48="Material Ingredient Screening &amp; Optimisation Action Plan",H48*0.5/Materials!$G$112*100,IF(N48="Advanced Inventory &amp; Assessment",H48/Materials!$G$112*100,IF(N48="Material Ingredient Optimisation",H48*1.5/Materials!$G$112*100,IF(N48="REACH",H48*1/Materials!$G$112*100,IF(N48="Global Green Tag",H48*1/Materials!$G$112*100)))))*IFERROR(N48&lt;&gt;0,)</f>
        <v>0</v>
      </c>
      <c r="V48" s="397">
        <f t="shared" ref="V48" si="233">IF(O48="Yes",U48*2,U48)</f>
        <v>0</v>
      </c>
    </row>
    <row r="49" spans="1:22" s="68" customFormat="1" ht="12.75" x14ac:dyDescent="0.2">
      <c r="A49" s="80">
        <f t="shared" ref="A49" si="234">IF(H49&gt;=0,0,1)</f>
        <v>0</v>
      </c>
      <c r="B49" s="369" t="str">
        <f>IF(ISBLANK(Materials!B49),"",Materials!B49)</f>
        <v>Kick Plates, Door Pull</v>
      </c>
      <c r="C49" s="355" t="str">
        <f>IF(ISBLANK(Materials!C49),"",Materials!C49)</f>
        <v>087100</v>
      </c>
      <c r="D49" s="355" t="str">
        <f>IF(ISBLANK(Materials!D49),"",Materials!D49)</f>
        <v/>
      </c>
      <c r="E49" s="370" t="str">
        <f>IF(ISBLANK(Materials!E49),"",Materials!E49)</f>
        <v>8400, 8190HD-0</v>
      </c>
      <c r="F49" s="433"/>
      <c r="G49" s="371" t="str">
        <f>IF(ISBLANK(Materials!F49),"",Materials!F49)</f>
        <v>Ives-Allegion</v>
      </c>
      <c r="H49" s="293">
        <f>IF(ISBLANK(Materials!G49),"",Materials!G49)</f>
        <v>1600</v>
      </c>
      <c r="I49" s="72"/>
      <c r="J49" s="279"/>
      <c r="K49" s="275"/>
      <c r="L49" s="326" t="str">
        <f t="shared" ref="L49" si="235">IF(K49="Yes",0.5,"")</f>
        <v/>
      </c>
      <c r="M49" s="258"/>
      <c r="N49" s="276"/>
      <c r="O49" s="277"/>
      <c r="P49" s="393">
        <f t="shared" ref="P49" si="236">IF(V49&lt;=200,V49,IF(V49&gt;=201,200))*IFERROR(N49&lt;&gt;0,)</f>
        <v>0</v>
      </c>
      <c r="Q49" s="336" t="e">
        <f t="shared" ref="Q49" si="237">IF(S49&lt;=1,S49,IF(S49&gt;2,S49-1,S49*1))</f>
        <v>#VALUE!</v>
      </c>
      <c r="R49" s="404" t="str">
        <f t="shared" ref="R49" si="238">IF(N49="Material Ingredient Screening &amp; Optimisation Action Plan",0.5,IF(N49="Advanced Inventory &amp; Assessment",1,IF(N49="Material Ingredient Optimisation",1.5,IF(N49="REACH",1,IF(N49="Global Green Tag",1,"")))))</f>
        <v/>
      </c>
      <c r="S49" s="403" t="str">
        <f t="shared" ref="S49" si="239">IF(O49="Yes",R49*2,R49)</f>
        <v/>
      </c>
      <c r="T49" s="398" t="b">
        <f t="shared" ref="T49" si="240">IF(OR(N49="Material Ingredient Screening &amp; Optimisation Action Plan"),H49*0.5,IF(OR(N49="Advanced Inventory &amp; Assessment"),H49*1,IF(OR(N49="Material Ingredient Optimisation"),H49*1.5,IF(OR(N49="REACH"),H49*1,IF(OR(N49="Global Green Tag"),H49*1)))))</f>
        <v>0</v>
      </c>
      <c r="U49" s="396">
        <f>IF(N49="Material Ingredient Screening &amp; Optimisation Action Plan",H49*0.5/Materials!$G$112*100,IF(N49="Advanced Inventory &amp; Assessment",H49/Materials!$G$112*100,IF(N49="Material Ingredient Optimisation",H49*1.5/Materials!$G$112*100,IF(N49="REACH",H49*1/Materials!$G$112*100,IF(N49="Global Green Tag",H49*1/Materials!$G$112*100)))))*IFERROR(N49&lt;&gt;0,)</f>
        <v>0</v>
      </c>
      <c r="V49" s="397">
        <f t="shared" ref="V49" si="241">IF(O49="Yes",U49*2,U49)</f>
        <v>0</v>
      </c>
    </row>
    <row r="50" spans="1:22" s="68" customFormat="1" ht="12.75" x14ac:dyDescent="0.2">
      <c r="A50" s="80">
        <f t="shared" ref="A50" si="242">IF(H50&gt;=0,0,1)</f>
        <v>0</v>
      </c>
      <c r="B50" s="369" t="str">
        <f>IF(ISBLANK(Materials!B50),"",Materials!B50)</f>
        <v>Wall Stops</v>
      </c>
      <c r="C50" s="355" t="str">
        <f>IF(ISBLANK(Materials!C50),"",Materials!C50)</f>
        <v>087100</v>
      </c>
      <c r="D50" s="355" t="str">
        <f>IF(ISBLANK(Materials!D50),"",Materials!D50)</f>
        <v/>
      </c>
      <c r="E50" s="370" t="str">
        <f>IF(ISBLANK(Materials!E50),"",Materials!E50)</f>
        <v>WS406/407CCV</v>
      </c>
      <c r="F50" s="433"/>
      <c r="G50" s="371" t="str">
        <f>IF(ISBLANK(Materials!F50),"",Materials!F50)</f>
        <v>Ives-Allegion</v>
      </c>
      <c r="H50" s="293">
        <f>IF(ISBLANK(Materials!G50),"",Materials!G50)</f>
        <v>250</v>
      </c>
      <c r="I50" s="72"/>
      <c r="J50" s="279"/>
      <c r="K50" s="275"/>
      <c r="L50" s="326" t="str">
        <f t="shared" ref="L50" si="243">IF(K50="Yes",0.5,"")</f>
        <v/>
      </c>
      <c r="M50" s="258"/>
      <c r="N50" s="276"/>
      <c r="O50" s="277"/>
      <c r="P50" s="393">
        <f t="shared" ref="P50" si="244">IF(V50&lt;=200,V50,IF(V50&gt;=201,200))*IFERROR(N50&lt;&gt;0,)</f>
        <v>0</v>
      </c>
      <c r="Q50" s="336" t="e">
        <f t="shared" ref="Q50" si="245">IF(S50&lt;=1,S50,IF(S50&gt;2,S50-1,S50*1))</f>
        <v>#VALUE!</v>
      </c>
      <c r="R50" s="404" t="str">
        <f t="shared" ref="R50" si="246">IF(N50="Material Ingredient Screening &amp; Optimisation Action Plan",0.5,IF(N50="Advanced Inventory &amp; Assessment",1,IF(N50="Material Ingredient Optimisation",1.5,IF(N50="REACH",1,IF(N50="Global Green Tag",1,"")))))</f>
        <v/>
      </c>
      <c r="S50" s="403" t="str">
        <f t="shared" ref="S50" si="247">IF(O50="Yes",R50*2,R50)</f>
        <v/>
      </c>
      <c r="T50" s="398" t="b">
        <f t="shared" ref="T50" si="248">IF(OR(N50="Material Ingredient Screening &amp; Optimisation Action Plan"),H50*0.5,IF(OR(N50="Advanced Inventory &amp; Assessment"),H50*1,IF(OR(N50="Material Ingredient Optimisation"),H50*1.5,IF(OR(N50="REACH"),H50*1,IF(OR(N50="Global Green Tag"),H50*1)))))</f>
        <v>0</v>
      </c>
      <c r="U50" s="396">
        <f>IF(N50="Material Ingredient Screening &amp; Optimisation Action Plan",H50*0.5/Materials!$G$112*100,IF(N50="Advanced Inventory &amp; Assessment",H50/Materials!$G$112*100,IF(N50="Material Ingredient Optimisation",H50*1.5/Materials!$G$112*100,IF(N50="REACH",H50*1/Materials!$G$112*100,IF(N50="Global Green Tag",H50*1/Materials!$G$112*100)))))*IFERROR(N50&lt;&gt;0,)</f>
        <v>0</v>
      </c>
      <c r="V50" s="397">
        <f t="shared" ref="V50" si="249">IF(O50="Yes",U50*2,U50)</f>
        <v>0</v>
      </c>
    </row>
    <row r="51" spans="1:22" s="68" customFormat="1" ht="36" x14ac:dyDescent="0.2">
      <c r="A51" s="80">
        <f t="shared" ref="A51" si="250">IF(H51&gt;=0,0,1)</f>
        <v>0</v>
      </c>
      <c r="B51" s="369" t="str">
        <f>IF(ISBLANK(Materials!B51),"",Materials!B51)</f>
        <v>Silicone Weatherstripping Door Seal</v>
      </c>
      <c r="C51" s="355" t="str">
        <f>IF(ISBLANK(Materials!C51),"",Materials!C51)</f>
        <v>087100</v>
      </c>
      <c r="D51" s="355" t="str">
        <f>IF(ISBLANK(Materials!D51),"",Materials!D51)</f>
        <v/>
      </c>
      <c r="E51" s="370" t="str">
        <f>IF(ISBLANK(Materials!E51),"",Materials!E51)</f>
        <v>188SBK (cost included here for 369AA, 119WB, 870AA, 322A, 328AA, 655A, 39A)</v>
      </c>
      <c r="F51" s="433"/>
      <c r="G51" s="371" t="str">
        <f>IF(ISBLANK(Materials!F51),"",Materials!F51)</f>
        <v>Zero-Allegion</v>
      </c>
      <c r="H51" s="293">
        <f>IF(ISBLANK(Materials!G51),"",Materials!G51)</f>
        <v>1900</v>
      </c>
      <c r="I51" s="72"/>
      <c r="J51" s="279"/>
      <c r="K51" s="275"/>
      <c r="L51" s="326" t="str">
        <f t="shared" ref="L51" si="251">IF(K51="Yes",0.5,"")</f>
        <v/>
      </c>
      <c r="M51" s="258"/>
      <c r="N51" s="276"/>
      <c r="O51" s="277"/>
      <c r="P51" s="393">
        <f t="shared" ref="P51" si="252">IF(V51&lt;=200,V51,IF(V51&gt;=201,200))*IFERROR(N51&lt;&gt;0,)</f>
        <v>0</v>
      </c>
      <c r="Q51" s="336" t="e">
        <f t="shared" ref="Q51" si="253">IF(S51&lt;=1,S51,IF(S51&gt;2,S51-1,S51*1))</f>
        <v>#VALUE!</v>
      </c>
      <c r="R51" s="404" t="str">
        <f t="shared" ref="R51" si="254">IF(N51="Material Ingredient Screening &amp; Optimisation Action Plan",0.5,IF(N51="Advanced Inventory &amp; Assessment",1,IF(N51="Material Ingredient Optimisation",1.5,IF(N51="REACH",1,IF(N51="Global Green Tag",1,"")))))</f>
        <v/>
      </c>
      <c r="S51" s="403" t="str">
        <f t="shared" ref="S51" si="255">IF(O51="Yes",R51*2,R51)</f>
        <v/>
      </c>
      <c r="T51" s="398" t="b">
        <f t="shared" ref="T51" si="256">IF(OR(N51="Material Ingredient Screening &amp; Optimisation Action Plan"),H51*0.5,IF(OR(N51="Advanced Inventory &amp; Assessment"),H51*1,IF(OR(N51="Material Ingredient Optimisation"),H51*1.5,IF(OR(N51="REACH"),H51*1,IF(OR(N51="Global Green Tag"),H51*1)))))</f>
        <v>0</v>
      </c>
      <c r="U51" s="396">
        <f>IF(N51="Material Ingredient Screening &amp; Optimisation Action Plan",H51*0.5/Materials!$G$112*100,IF(N51="Advanced Inventory &amp; Assessment",H51/Materials!$G$112*100,IF(N51="Material Ingredient Optimisation",H51*1.5/Materials!$G$112*100,IF(N51="REACH",H51*1/Materials!$G$112*100,IF(N51="Global Green Tag",H51*1/Materials!$G$112*100)))))*IFERROR(N51&lt;&gt;0,)</f>
        <v>0</v>
      </c>
      <c r="V51" s="397">
        <f t="shared" ref="V51" si="257">IF(O51="Yes",U51*2,U51)</f>
        <v>0</v>
      </c>
    </row>
    <row r="52" spans="1:22" s="68" customFormat="1" ht="36" x14ac:dyDescent="0.2">
      <c r="A52" s="80">
        <f t="shared" ref="A52" si="258">IF(H52&gt;=0,0,1)</f>
        <v>0</v>
      </c>
      <c r="B52" s="369" t="str">
        <f>IF(ISBLANK(Materials!B52),"",Materials!B52)</f>
        <v>Auto Door Bottom, Bronze &amp; Aluminum Weatherstrip</v>
      </c>
      <c r="C52" s="355" t="str">
        <f>IF(ISBLANK(Materials!C52),"",Materials!C52)</f>
        <v>087100</v>
      </c>
      <c r="D52" s="355" t="str">
        <f>IF(ISBLANK(Materials!D52),"",Materials!D52)</f>
        <v/>
      </c>
      <c r="E52" s="370" t="str">
        <f>IF(ISBLANK(Materials!E52),"",Materials!E52)</f>
        <v>369AA, 119WB, 870AA, 322A, 328AA</v>
      </c>
      <c r="F52" s="433"/>
      <c r="G52" s="371" t="str">
        <f>IF(ISBLANK(Materials!F52),"",Materials!F52)</f>
        <v>Zero-Allegion</v>
      </c>
      <c r="H52" s="293" t="str">
        <f>IF(ISBLANK(Materials!G52),"",Materials!G52)</f>
        <v/>
      </c>
      <c r="I52" s="72"/>
      <c r="J52" s="279"/>
      <c r="K52" s="275"/>
      <c r="L52" s="326" t="str">
        <f t="shared" ref="L52" si="259">IF(K52="Yes",0.5,"")</f>
        <v/>
      </c>
      <c r="M52" s="258"/>
      <c r="N52" s="276"/>
      <c r="O52" s="277"/>
      <c r="P52" s="393">
        <f t="shared" ref="P52" si="260">IF(V52&lt;=200,V52,IF(V52&gt;=201,200))*IFERROR(N52&lt;&gt;0,)</f>
        <v>0</v>
      </c>
      <c r="Q52" s="336" t="e">
        <f t="shared" ref="Q52" si="261">IF(S52&lt;=1,S52,IF(S52&gt;2,S52-1,S52*1))</f>
        <v>#VALUE!</v>
      </c>
      <c r="R52" s="404" t="str">
        <f t="shared" ref="R52" si="262">IF(N52="Material Ingredient Screening &amp; Optimisation Action Plan",0.5,IF(N52="Advanced Inventory &amp; Assessment",1,IF(N52="Material Ingredient Optimisation",1.5,IF(N52="REACH",1,IF(N52="Global Green Tag",1,"")))))</f>
        <v/>
      </c>
      <c r="S52" s="403" t="str">
        <f t="shared" ref="S52" si="263">IF(O52="Yes",R52*2,R52)</f>
        <v/>
      </c>
      <c r="T52" s="398" t="b">
        <f t="shared" ref="T52" si="264">IF(OR(N52="Material Ingredient Screening &amp; Optimisation Action Plan"),H52*0.5,IF(OR(N52="Advanced Inventory &amp; Assessment"),H52*1,IF(OR(N52="Material Ingredient Optimisation"),H52*1.5,IF(OR(N52="REACH"),H52*1,IF(OR(N52="Global Green Tag"),H52*1)))))</f>
        <v>0</v>
      </c>
      <c r="U52" s="396">
        <f>IF(N52="Material Ingredient Screening &amp; Optimisation Action Plan",H52*0.5/Materials!$G$112*100,IF(N52="Advanced Inventory &amp; Assessment",H52/Materials!$G$112*100,IF(N52="Material Ingredient Optimisation",H52*1.5/Materials!$G$112*100,IF(N52="REACH",H52*1/Materials!$G$112*100,IF(N52="Global Green Tag",H52*1/Materials!$G$112*100)))))*IFERROR(N52&lt;&gt;0,)</f>
        <v>0</v>
      </c>
      <c r="V52" s="397">
        <f t="shared" ref="V52" si="265">IF(O52="Yes",U52*2,U52)</f>
        <v>0</v>
      </c>
    </row>
    <row r="53" spans="1:22" s="68" customFormat="1" ht="24" x14ac:dyDescent="0.2">
      <c r="A53" s="80">
        <f t="shared" ref="A53" si="266">IF(H53&gt;=0,0,1)</f>
        <v>0</v>
      </c>
      <c r="B53" s="369" t="str">
        <f>IF(ISBLANK(Materials!B53),"",Materials!B53)</f>
        <v>Aluminum Threshold, Door Sweeps</v>
      </c>
      <c r="C53" s="355" t="str">
        <f>IF(ISBLANK(Materials!C53),"",Materials!C53)</f>
        <v>087100</v>
      </c>
      <c r="D53" s="355" t="str">
        <f>IF(ISBLANK(Materials!D53),"",Materials!D53)</f>
        <v/>
      </c>
      <c r="E53" s="370" t="str">
        <f>IF(ISBLANK(Materials!E53),"",Materials!E53)</f>
        <v>655A, 39A</v>
      </c>
      <c r="F53" s="433"/>
      <c r="G53" s="371" t="str">
        <f>IF(ISBLANK(Materials!F53),"",Materials!F53)</f>
        <v>Zero-Allegion</v>
      </c>
      <c r="H53" s="293" t="str">
        <f>IF(ISBLANK(Materials!G53),"",Materials!G53)</f>
        <v/>
      </c>
      <c r="I53" s="72"/>
      <c r="J53" s="279"/>
      <c r="K53" s="275"/>
      <c r="L53" s="326" t="str">
        <f t="shared" ref="L53" si="267">IF(K53="Yes",0.5,"")</f>
        <v/>
      </c>
      <c r="M53" s="258"/>
      <c r="N53" s="276"/>
      <c r="O53" s="277"/>
      <c r="P53" s="393">
        <f t="shared" ref="P53" si="268">IF(V53&lt;=200,V53,IF(V53&gt;=201,200))*IFERROR(N53&lt;&gt;0,)</f>
        <v>0</v>
      </c>
      <c r="Q53" s="336" t="e">
        <f t="shared" ref="Q53" si="269">IF(S53&lt;=1,S53,IF(S53&gt;2,S53-1,S53*1))</f>
        <v>#VALUE!</v>
      </c>
      <c r="R53" s="404" t="str">
        <f t="shared" ref="R53" si="270">IF(N53="Material Ingredient Screening &amp; Optimisation Action Plan",0.5,IF(N53="Advanced Inventory &amp; Assessment",1,IF(N53="Material Ingredient Optimisation",1.5,IF(N53="REACH",1,IF(N53="Global Green Tag",1,"")))))</f>
        <v/>
      </c>
      <c r="S53" s="403" t="str">
        <f t="shared" ref="S53" si="271">IF(O53="Yes",R53*2,R53)</f>
        <v/>
      </c>
      <c r="T53" s="398" t="b">
        <f t="shared" ref="T53" si="272">IF(OR(N53="Material Ingredient Screening &amp; Optimisation Action Plan"),H53*0.5,IF(OR(N53="Advanced Inventory &amp; Assessment"),H53*1,IF(OR(N53="Material Ingredient Optimisation"),H53*1.5,IF(OR(N53="REACH"),H53*1,IF(OR(N53="Global Green Tag"),H53*1)))))</f>
        <v>0</v>
      </c>
      <c r="U53" s="396">
        <f>IF(N53="Material Ingredient Screening &amp; Optimisation Action Plan",H53*0.5/Materials!$G$112*100,IF(N53="Advanced Inventory &amp; Assessment",H53/Materials!$G$112*100,IF(N53="Material Ingredient Optimisation",H53*1.5/Materials!$G$112*100,IF(N53="REACH",H53*1/Materials!$G$112*100,IF(N53="Global Green Tag",H53*1/Materials!$G$112*100)))))*IFERROR(N53&lt;&gt;0,)</f>
        <v>0</v>
      </c>
      <c r="V53" s="397">
        <f t="shared" ref="V53" si="273">IF(O53="Yes",U53*2,U53)</f>
        <v>0</v>
      </c>
    </row>
    <row r="54" spans="1:22" s="68" customFormat="1" ht="24" x14ac:dyDescent="0.2">
      <c r="A54" s="80">
        <f t="shared" ref="A54" si="274">IF(H54&gt;=0,0,1)</f>
        <v>0</v>
      </c>
      <c r="B54" s="369" t="str">
        <f>IF(ISBLANK(Materials!B54),"",Materials!B54)</f>
        <v>Steel Overhead Door Stop</v>
      </c>
      <c r="C54" s="355" t="str">
        <f>IF(ISBLANK(Materials!C54),"",Materials!C54)</f>
        <v>087100</v>
      </c>
      <c r="D54" s="355" t="str">
        <f>IF(ISBLANK(Materials!D54),"",Materials!D54)</f>
        <v/>
      </c>
      <c r="E54" s="370" t="str">
        <f>IF(ISBLANK(Materials!E54),"",Materials!E54)</f>
        <v>904S</v>
      </c>
      <c r="F54" s="433"/>
      <c r="G54" s="371" t="str">
        <f>IF(ISBLANK(Materials!F54),"",Materials!F54)</f>
        <v>Glynn Johnson-Allegion</v>
      </c>
      <c r="H54" s="293" t="str">
        <f>IF(ISBLANK(Materials!G54),"",Materials!G54)</f>
        <v/>
      </c>
      <c r="I54" s="72"/>
      <c r="J54" s="279"/>
      <c r="K54" s="275"/>
      <c r="L54" s="326" t="str">
        <f t="shared" ref="L54" si="275">IF(K54="Yes",0.5,"")</f>
        <v/>
      </c>
      <c r="M54" s="258"/>
      <c r="N54" s="276"/>
      <c r="O54" s="277"/>
      <c r="P54" s="393">
        <f t="shared" ref="P54" si="276">IF(V54&lt;=200,V54,IF(V54&gt;=201,200))*IFERROR(N54&lt;&gt;0,)</f>
        <v>0</v>
      </c>
      <c r="Q54" s="336" t="e">
        <f t="shared" ref="Q54" si="277">IF(S54&lt;=1,S54,IF(S54&gt;2,S54-1,S54*1))</f>
        <v>#VALUE!</v>
      </c>
      <c r="R54" s="404" t="str">
        <f t="shared" ref="R54" si="278">IF(N54="Material Ingredient Screening &amp; Optimisation Action Plan",0.5,IF(N54="Advanced Inventory &amp; Assessment",1,IF(N54="Material Ingredient Optimisation",1.5,IF(N54="REACH",1,IF(N54="Global Green Tag",1,"")))))</f>
        <v/>
      </c>
      <c r="S54" s="403" t="str">
        <f t="shared" ref="S54" si="279">IF(O54="Yes",R54*2,R54)</f>
        <v/>
      </c>
      <c r="T54" s="398" t="b">
        <f t="shared" ref="T54" si="280">IF(OR(N54="Material Ingredient Screening &amp; Optimisation Action Plan"),H54*0.5,IF(OR(N54="Advanced Inventory &amp; Assessment"),H54*1,IF(OR(N54="Material Ingredient Optimisation"),H54*1.5,IF(OR(N54="REACH"),H54*1,IF(OR(N54="Global Green Tag"),H54*1)))))</f>
        <v>0</v>
      </c>
      <c r="U54" s="396">
        <f>IF(N54="Material Ingredient Screening &amp; Optimisation Action Plan",H54*0.5/Materials!$G$112*100,IF(N54="Advanced Inventory &amp; Assessment",H54/Materials!$G$112*100,IF(N54="Material Ingredient Optimisation",H54*1.5/Materials!$G$112*100,IF(N54="REACH",H54*1/Materials!$G$112*100,IF(N54="Global Green Tag",H54*1/Materials!$G$112*100)))))*IFERROR(N54&lt;&gt;0,)</f>
        <v>0</v>
      </c>
      <c r="V54" s="397">
        <f t="shared" ref="V54" si="281">IF(O54="Yes",U54*2,U54)</f>
        <v>0</v>
      </c>
    </row>
    <row r="55" spans="1:22" s="68" customFormat="1" ht="24" x14ac:dyDescent="0.2">
      <c r="A55" s="80">
        <f t="shared" ref="A55" si="282">IF(H55&gt;=0,0,1)</f>
        <v>0</v>
      </c>
      <c r="B55" s="369" t="str">
        <f>IF(ISBLANK(Materials!B55),"",Materials!B55)</f>
        <v>Steel Overhead Door Stop</v>
      </c>
      <c r="C55" s="355" t="str">
        <f>IF(ISBLANK(Materials!C55),"",Materials!C55)</f>
        <v>087100</v>
      </c>
      <c r="D55" s="355" t="str">
        <f>IF(ISBLANK(Materials!D55),"",Materials!D55)</f>
        <v/>
      </c>
      <c r="E55" s="370" t="str">
        <f>IF(ISBLANK(Materials!E55),"",Materials!E55)</f>
        <v>105S, 104S</v>
      </c>
      <c r="F55" s="433"/>
      <c r="G55" s="371" t="str">
        <f>IF(ISBLANK(Materials!F55),"",Materials!F55)</f>
        <v>Glynn Johnson-Allegion</v>
      </c>
      <c r="H55" s="293" t="str">
        <f>IF(ISBLANK(Materials!G55),"",Materials!G55)</f>
        <v/>
      </c>
      <c r="I55" s="72"/>
      <c r="J55" s="279" t="s">
        <v>188</v>
      </c>
      <c r="K55" s="275" t="s">
        <v>189</v>
      </c>
      <c r="L55" s="326" t="str">
        <f t="shared" ref="L55" si="283">IF(K55="Yes",0.5,"")</f>
        <v/>
      </c>
      <c r="M55" s="258"/>
      <c r="N55" s="276"/>
      <c r="O55" s="277"/>
      <c r="P55" s="393">
        <f t="shared" ref="P55" si="284">IF(V55&lt;=200,V55,IF(V55&gt;=201,200))*IFERROR(N55&lt;&gt;0,)</f>
        <v>0</v>
      </c>
      <c r="Q55" s="336" t="e">
        <f t="shared" ref="Q55" si="285">IF(S55&lt;=1,S55,IF(S55&gt;2,S55-1,S55*1))</f>
        <v>#VALUE!</v>
      </c>
      <c r="R55" s="404" t="str">
        <f t="shared" ref="R55" si="286">IF(N55="Material Ingredient Screening &amp; Optimisation Action Plan",0.5,IF(N55="Advanced Inventory &amp; Assessment",1,IF(N55="Material Ingredient Optimisation",1.5,IF(N55="REACH",1,IF(N55="Global Green Tag",1,"")))))</f>
        <v/>
      </c>
      <c r="S55" s="403" t="str">
        <f t="shared" ref="S55" si="287">IF(O55="Yes",R55*2,R55)</f>
        <v/>
      </c>
      <c r="T55" s="398" t="b">
        <f t="shared" ref="T55" si="288">IF(OR(N55="Material Ingredient Screening &amp; Optimisation Action Plan"),H55*0.5,IF(OR(N55="Advanced Inventory &amp; Assessment"),H55*1,IF(OR(N55="Material Ingredient Optimisation"),H55*1.5,IF(OR(N55="REACH"),H55*1,IF(OR(N55="Global Green Tag"),H55*1)))))</f>
        <v>0</v>
      </c>
      <c r="U55" s="396">
        <f>IF(N55="Material Ingredient Screening &amp; Optimisation Action Plan",H55*0.5/Materials!$G$112*100,IF(N55="Advanced Inventory &amp; Assessment",H55/Materials!$G$112*100,IF(N55="Material Ingredient Optimisation",H55*1.5/Materials!$G$112*100,IF(N55="REACH",H55*1/Materials!$G$112*100,IF(N55="Global Green Tag",H55*1/Materials!$G$112*100)))))*IFERROR(N55&lt;&gt;0,)</f>
        <v>0</v>
      </c>
      <c r="V55" s="397">
        <f t="shared" ref="V55" si="289">IF(O55="Yes",U55*2,U55)</f>
        <v>0</v>
      </c>
    </row>
    <row r="56" spans="1:22" s="68" customFormat="1" ht="24" x14ac:dyDescent="0.2">
      <c r="A56" s="80">
        <f t="shared" ref="A56" si="290">IF(H56&gt;=0,0,1)</f>
        <v>0</v>
      </c>
      <c r="B56" s="369" t="str">
        <f>IF(ISBLANK(Materials!B56),"",Materials!B56)</f>
        <v>Brass Overhead Door Stop</v>
      </c>
      <c r="C56" s="355" t="str">
        <f>IF(ISBLANK(Materials!C56),"",Materials!C56)</f>
        <v>087100</v>
      </c>
      <c r="D56" s="355" t="str">
        <f>IF(ISBLANK(Materials!D56),"",Materials!D56)</f>
        <v/>
      </c>
      <c r="E56" s="370" t="str">
        <f>IF(ISBLANK(Materials!E56),"",Materials!E56)</f>
        <v>794S</v>
      </c>
      <c r="F56" s="433"/>
      <c r="G56" s="371" t="str">
        <f>IF(ISBLANK(Materials!F56),"",Materials!F56)</f>
        <v>Glynn Johnson-Allegion</v>
      </c>
      <c r="H56" s="293">
        <f>IF(ISBLANK(Materials!G56),"",Materials!G56)</f>
        <v>300</v>
      </c>
      <c r="I56" s="72"/>
      <c r="J56" s="279"/>
      <c r="K56" s="275"/>
      <c r="L56" s="326" t="str">
        <f t="shared" ref="L56" si="291">IF(K56="Yes",0.5,"")</f>
        <v/>
      </c>
      <c r="M56" s="258"/>
      <c r="N56" s="276"/>
      <c r="O56" s="277"/>
      <c r="P56" s="393">
        <f t="shared" ref="P56" si="292">IF(V56&lt;=200,V56,IF(V56&gt;=201,200))*IFERROR(N56&lt;&gt;0,)</f>
        <v>0</v>
      </c>
      <c r="Q56" s="336" t="e">
        <f t="shared" ref="Q56" si="293">IF(S56&lt;=1,S56,IF(S56&gt;2,S56-1,S56*1))</f>
        <v>#VALUE!</v>
      </c>
      <c r="R56" s="404" t="str">
        <f t="shared" ref="R56" si="294">IF(N56="Material Ingredient Screening &amp; Optimisation Action Plan",0.5,IF(N56="Advanced Inventory &amp; Assessment",1,IF(N56="Material Ingredient Optimisation",1.5,IF(N56="REACH",1,IF(N56="Global Green Tag",1,"")))))</f>
        <v/>
      </c>
      <c r="S56" s="403" t="str">
        <f t="shared" ref="S56" si="295">IF(O56="Yes",R56*2,R56)</f>
        <v/>
      </c>
      <c r="T56" s="398" t="b">
        <f t="shared" ref="T56" si="296">IF(OR(N56="Material Ingredient Screening &amp; Optimisation Action Plan"),H56*0.5,IF(OR(N56="Advanced Inventory &amp; Assessment"),H56*1,IF(OR(N56="Material Ingredient Optimisation"),H56*1.5,IF(OR(N56="REACH"),H56*1,IF(OR(N56="Global Green Tag"),H56*1)))))</f>
        <v>0</v>
      </c>
      <c r="U56" s="396">
        <f>IF(N56="Material Ingredient Screening &amp; Optimisation Action Plan",H56*0.5/Materials!$G$112*100,IF(N56="Advanced Inventory &amp; Assessment",H56/Materials!$G$112*100,IF(N56="Material Ingredient Optimisation",H56*1.5/Materials!$G$112*100,IF(N56="REACH",H56*1/Materials!$G$112*100,IF(N56="Global Green Tag",H56*1/Materials!$G$112*100)))))*IFERROR(N56&lt;&gt;0,)</f>
        <v>0</v>
      </c>
      <c r="V56" s="397">
        <f t="shared" ref="V56" si="297">IF(O56="Yes",U56*2,U56)</f>
        <v>0</v>
      </c>
    </row>
    <row r="57" spans="1:22" s="68" customFormat="1" ht="24" x14ac:dyDescent="0.2">
      <c r="A57" s="80">
        <f t="shared" ref="A57" si="298">IF(H57&gt;=0,0,1)</f>
        <v>0</v>
      </c>
      <c r="B57" s="369" t="str">
        <f>IF(ISBLANK(Materials!B57),"",Materials!B57)</f>
        <v>Exit Devices, Fire Exit Devices</v>
      </c>
      <c r="C57" s="355" t="str">
        <f>IF(ISBLANK(Materials!C57),"",Materials!C57)</f>
        <v>087100</v>
      </c>
      <c r="D57" s="355" t="str">
        <f>IF(ISBLANK(Materials!D57),"",Materials!D57)</f>
        <v/>
      </c>
      <c r="E57" s="370" t="str">
        <f>IF(ISBLANK(Materials!E57),"",Materials!E57)</f>
        <v>98L, 98NL, 98NL-F, 9849EO</v>
      </c>
      <c r="F57" s="433"/>
      <c r="G57" s="371" t="str">
        <f>IF(ISBLANK(Materials!F57),"",Materials!F57)</f>
        <v>Von Duprin-Allegion</v>
      </c>
      <c r="H57" s="293">
        <f>IF(ISBLANK(Materials!G57),"",Materials!G57)</f>
        <v>7500</v>
      </c>
      <c r="I57" s="72"/>
      <c r="J57" s="279" t="s">
        <v>188</v>
      </c>
      <c r="K57" s="275" t="s">
        <v>189</v>
      </c>
      <c r="L57" s="326" t="str">
        <f t="shared" ref="L57" si="299">IF(K57="Yes",0.5,"")</f>
        <v/>
      </c>
      <c r="M57" s="258"/>
      <c r="N57" s="276"/>
      <c r="O57" s="277"/>
      <c r="P57" s="393">
        <f t="shared" ref="P57" si="300">IF(V57&lt;=200,V57,IF(V57&gt;=201,200))*IFERROR(N57&lt;&gt;0,)</f>
        <v>0</v>
      </c>
      <c r="Q57" s="336" t="e">
        <f t="shared" ref="Q57" si="301">IF(S57&lt;=1,S57,IF(S57&gt;2,S57-1,S57*1))</f>
        <v>#VALUE!</v>
      </c>
      <c r="R57" s="404" t="str">
        <f t="shared" ref="R57" si="302">IF(N57="Material Ingredient Screening &amp; Optimisation Action Plan",0.5,IF(N57="Advanced Inventory &amp; Assessment",1,IF(N57="Material Ingredient Optimisation",1.5,IF(N57="REACH",1,IF(N57="Global Green Tag",1,"")))))</f>
        <v/>
      </c>
      <c r="S57" s="403" t="str">
        <f t="shared" ref="S57" si="303">IF(O57="Yes",R57*2,R57)</f>
        <v/>
      </c>
      <c r="T57" s="398" t="b">
        <f t="shared" ref="T57" si="304">IF(OR(N57="Material Ingredient Screening &amp; Optimisation Action Plan"),H57*0.5,IF(OR(N57="Advanced Inventory &amp; Assessment"),H57*1,IF(OR(N57="Material Ingredient Optimisation"),H57*1.5,IF(OR(N57="REACH"),H57*1,IF(OR(N57="Global Green Tag"),H57*1)))))</f>
        <v>0</v>
      </c>
      <c r="U57" s="396">
        <f>IF(N57="Material Ingredient Screening &amp; Optimisation Action Plan",H57*0.5/Materials!$G$112*100,IF(N57="Advanced Inventory &amp; Assessment",H57/Materials!$G$112*100,IF(N57="Material Ingredient Optimisation",H57*1.5/Materials!$G$112*100,IF(N57="REACH",H57*1/Materials!$G$112*100,IF(N57="Global Green Tag",H57*1/Materials!$G$112*100)))))*IFERROR(N57&lt;&gt;0,)</f>
        <v>0</v>
      </c>
      <c r="V57" s="397">
        <f t="shared" ref="V57" si="305">IF(O57="Yes",U57*2,U57)</f>
        <v>0</v>
      </c>
    </row>
    <row r="58" spans="1:22" s="68" customFormat="1" ht="12.75" x14ac:dyDescent="0.2">
      <c r="A58" s="80">
        <f t="shared" ref="A58" si="306">IF(H58&gt;=0,0,1)</f>
        <v>0</v>
      </c>
      <c r="B58" s="369" t="str">
        <f>IF(ISBLANK(Materials!B58),"",Materials!B58)</f>
        <v>Magnetic Holder</v>
      </c>
      <c r="C58" s="355" t="str">
        <f>IF(ISBLANK(Materials!C58),"",Materials!C58)</f>
        <v>087100</v>
      </c>
      <c r="D58" s="355" t="str">
        <f>IF(ISBLANK(Materials!D58),"",Materials!D58)</f>
        <v/>
      </c>
      <c r="E58" s="370" t="str">
        <f>IF(ISBLANK(Materials!E58),"",Materials!E58)</f>
        <v>SEM 7850</v>
      </c>
      <c r="F58" s="433"/>
      <c r="G58" s="371" t="str">
        <f>IF(ISBLANK(Materials!F58),"",Materials!F58)</f>
        <v>LCN-Allegion</v>
      </c>
      <c r="H58" s="293">
        <f>IF(ISBLANK(Materials!G58),"",Materials!G58)</f>
        <v>1500</v>
      </c>
      <c r="I58" s="72"/>
      <c r="J58" s="279"/>
      <c r="K58" s="275"/>
      <c r="L58" s="326" t="str">
        <f t="shared" ref="L58" si="307">IF(K58="Yes",0.5,"")</f>
        <v/>
      </c>
      <c r="M58" s="258"/>
      <c r="N58" s="276"/>
      <c r="O58" s="277"/>
      <c r="P58" s="393">
        <f t="shared" ref="P58" si="308">IF(V58&lt;=200,V58,IF(V58&gt;=201,200))*IFERROR(N58&lt;&gt;0,)</f>
        <v>0</v>
      </c>
      <c r="Q58" s="336" t="e">
        <f t="shared" ref="Q58" si="309">IF(S58&lt;=1,S58,IF(S58&gt;2,S58-1,S58*1))</f>
        <v>#VALUE!</v>
      </c>
      <c r="R58" s="404" t="str">
        <f t="shared" ref="R58" si="310">IF(N58="Material Ingredient Screening &amp; Optimisation Action Plan",0.5,IF(N58="Advanced Inventory &amp; Assessment",1,IF(N58="Material Ingredient Optimisation",1.5,IF(N58="REACH",1,IF(N58="Global Green Tag",1,"")))))</f>
        <v/>
      </c>
      <c r="S58" s="403" t="str">
        <f t="shared" ref="S58" si="311">IF(O58="Yes",R58*2,R58)</f>
        <v/>
      </c>
      <c r="T58" s="398" t="b">
        <f t="shared" ref="T58" si="312">IF(OR(N58="Material Ingredient Screening &amp; Optimisation Action Plan"),H58*0.5,IF(OR(N58="Advanced Inventory &amp; Assessment"),H58*1,IF(OR(N58="Material Ingredient Optimisation"),H58*1.5,IF(OR(N58="REACH"),H58*1,IF(OR(N58="Global Green Tag"),H58*1)))))</f>
        <v>0</v>
      </c>
      <c r="U58" s="396">
        <f>IF(N58="Material Ingredient Screening &amp; Optimisation Action Plan",H58*0.5/Materials!$G$112*100,IF(N58="Advanced Inventory &amp; Assessment",H58/Materials!$G$112*100,IF(N58="Material Ingredient Optimisation",H58*1.5/Materials!$G$112*100,IF(N58="REACH",H58*1/Materials!$G$112*100,IF(N58="Global Green Tag",H58*1/Materials!$G$112*100)))))*IFERROR(N58&lt;&gt;0,)</f>
        <v>0</v>
      </c>
      <c r="V58" s="397">
        <f t="shared" ref="V58" si="313">IF(O58="Yes",U58*2,U58)</f>
        <v>0</v>
      </c>
    </row>
    <row r="59" spans="1:22" s="68" customFormat="1" ht="36" x14ac:dyDescent="0.2">
      <c r="A59" s="80">
        <f t="shared" ref="A59" si="314">IF(H59&gt;=0,0,1)</f>
        <v>0</v>
      </c>
      <c r="B59" s="369" t="str">
        <f>IF(ISBLANK(Materials!B59),"",Materials!B59)</f>
        <v>Cylinder Core, Cylinder Housing, Rim Cylinder Housing</v>
      </c>
      <c r="C59" s="355" t="str">
        <f>IF(ISBLANK(Materials!C59),"",Materials!C59)</f>
        <v>087100</v>
      </c>
      <c r="D59" s="355" t="str">
        <f>IF(ISBLANK(Materials!D59),"",Materials!D59)</f>
        <v/>
      </c>
      <c r="E59" s="370" t="str">
        <f>IF(ISBLANK(Materials!E59),"",Materials!E59)</f>
        <v>23-030, 20-740, 20-069, 20-079, 20-057</v>
      </c>
      <c r="F59" s="433"/>
      <c r="G59" s="371" t="str">
        <f>IF(ISBLANK(Materials!F59),"",Materials!F59)</f>
        <v>Schlage</v>
      </c>
      <c r="H59" s="293">
        <f>IF(ISBLANK(Materials!G59),"",Materials!G59)</f>
        <v>1500</v>
      </c>
      <c r="I59" s="72"/>
      <c r="J59" s="279"/>
      <c r="K59" s="275"/>
      <c r="L59" s="326" t="str">
        <f t="shared" ref="L59" si="315">IF(K59="Yes",0.5,"")</f>
        <v/>
      </c>
      <c r="M59" s="258"/>
      <c r="N59" s="276"/>
      <c r="O59" s="277"/>
      <c r="P59" s="393">
        <f t="shared" ref="P59" si="316">IF(V59&lt;=200,V59,IF(V59&gt;=201,200))*IFERROR(N59&lt;&gt;0,)</f>
        <v>0</v>
      </c>
      <c r="Q59" s="336" t="e">
        <f t="shared" ref="Q59" si="317">IF(S59&lt;=1,S59,IF(S59&gt;2,S59-1,S59*1))</f>
        <v>#VALUE!</v>
      </c>
      <c r="R59" s="404" t="str">
        <f t="shared" ref="R59" si="318">IF(N59="Material Ingredient Screening &amp; Optimisation Action Plan",0.5,IF(N59="Advanced Inventory &amp; Assessment",1,IF(N59="Material Ingredient Optimisation",1.5,IF(N59="REACH",1,IF(N59="Global Green Tag",1,"")))))</f>
        <v/>
      </c>
      <c r="S59" s="403" t="str">
        <f t="shared" ref="S59" si="319">IF(O59="Yes",R59*2,R59)</f>
        <v/>
      </c>
      <c r="T59" s="398" t="b">
        <f t="shared" ref="T59" si="320">IF(OR(N59="Material Ingredient Screening &amp; Optimisation Action Plan"),H59*0.5,IF(OR(N59="Advanced Inventory &amp; Assessment"),H59*1,IF(OR(N59="Material Ingredient Optimisation"),H59*1.5,IF(OR(N59="REACH"),H59*1,IF(OR(N59="Global Green Tag"),H59*1)))))</f>
        <v>0</v>
      </c>
      <c r="U59" s="396">
        <f>IF(N59="Material Ingredient Screening &amp; Optimisation Action Plan",H59*0.5/Materials!$G$112*100,IF(N59="Advanced Inventory &amp; Assessment",H59/Materials!$G$112*100,IF(N59="Material Ingredient Optimisation",H59*1.5/Materials!$G$112*100,IF(N59="REACH",H59*1/Materials!$G$112*100,IF(N59="Global Green Tag",H59*1/Materials!$G$112*100)))))*IFERROR(N59&lt;&gt;0,)</f>
        <v>0</v>
      </c>
      <c r="V59" s="397">
        <f t="shared" ref="V59" si="321">IF(O59="Yes",U59*2,U59)</f>
        <v>0</v>
      </c>
    </row>
    <row r="60" spans="1:22" s="68" customFormat="1" ht="12.75" x14ac:dyDescent="0.2">
      <c r="A60" s="80">
        <f t="shared" ref="A60" si="322">IF(H60&gt;=0,0,1)</f>
        <v>0</v>
      </c>
      <c r="B60" s="369" t="str">
        <f>IF(ISBLANK(Materials!B60),"",Materials!B60)</f>
        <v>Continuous Hinge</v>
      </c>
      <c r="C60" s="355" t="str">
        <f>IF(ISBLANK(Materials!C60),"",Materials!C60)</f>
        <v>087100</v>
      </c>
      <c r="D60" s="355" t="str">
        <f>IF(ISBLANK(Materials!D60),"",Materials!D60)</f>
        <v/>
      </c>
      <c r="E60" s="370" t="str">
        <f>IF(ISBLANK(Materials!E60),"",Materials!E60)</f>
        <v>112XY</v>
      </c>
      <c r="F60" s="433"/>
      <c r="G60" s="371" t="str">
        <f>IF(ISBLANK(Materials!F60),"",Materials!F60)</f>
        <v>Ives-Allegion</v>
      </c>
      <c r="H60" s="293">
        <f>IF(ISBLANK(Materials!G60),"",Materials!G60)</f>
        <v>600</v>
      </c>
      <c r="I60" s="72"/>
      <c r="J60" s="279"/>
      <c r="K60" s="275"/>
      <c r="L60" s="326" t="str">
        <f t="shared" ref="L60" si="323">IF(K60="Yes",0.5,"")</f>
        <v/>
      </c>
      <c r="M60" s="258"/>
      <c r="N60" s="276"/>
      <c r="O60" s="277"/>
      <c r="P60" s="393">
        <f t="shared" ref="P60" si="324">IF(V60&lt;=200,V60,IF(V60&gt;=201,200))*IFERROR(N60&lt;&gt;0,)</f>
        <v>0</v>
      </c>
      <c r="Q60" s="336" t="e">
        <f t="shared" ref="Q60" si="325">IF(S60&lt;=1,S60,IF(S60&gt;2,S60-1,S60*1))</f>
        <v>#VALUE!</v>
      </c>
      <c r="R60" s="404" t="str">
        <f t="shared" ref="R60" si="326">IF(N60="Material Ingredient Screening &amp; Optimisation Action Plan",0.5,IF(N60="Advanced Inventory &amp; Assessment",1,IF(N60="Material Ingredient Optimisation",1.5,IF(N60="REACH",1,IF(N60="Global Green Tag",1,"")))))</f>
        <v/>
      </c>
      <c r="S60" s="403" t="str">
        <f t="shared" ref="S60" si="327">IF(O60="Yes",R60*2,R60)</f>
        <v/>
      </c>
      <c r="T60" s="398" t="b">
        <f t="shared" ref="T60" si="328">IF(OR(N60="Material Ingredient Screening &amp; Optimisation Action Plan"),H60*0.5,IF(OR(N60="Advanced Inventory &amp; Assessment"),H60*1,IF(OR(N60="Material Ingredient Optimisation"),H60*1.5,IF(OR(N60="REACH"),H60*1,IF(OR(N60="Global Green Tag"),H60*1)))))</f>
        <v>0</v>
      </c>
      <c r="U60" s="396">
        <f>IF(N60="Material Ingredient Screening &amp; Optimisation Action Plan",H60*0.5/Materials!$G$112*100,IF(N60="Advanced Inventory &amp; Assessment",H60/Materials!$G$112*100,IF(N60="Material Ingredient Optimisation",H60*1.5/Materials!$G$112*100,IF(N60="REACH",H60*1/Materials!$G$112*100,IF(N60="Global Green Tag",H60*1/Materials!$G$112*100)))))*IFERROR(N60&lt;&gt;0,)</f>
        <v>0</v>
      </c>
      <c r="V60" s="397">
        <f t="shared" ref="V60" si="329">IF(O60="Yes",U60*2,U60)</f>
        <v>0</v>
      </c>
    </row>
    <row r="61" spans="1:22" s="68" customFormat="1" ht="24" x14ac:dyDescent="0.2">
      <c r="A61" s="80">
        <f t="shared" ref="A61" si="330">IF(H61&gt;=0,0,1)</f>
        <v>0</v>
      </c>
      <c r="B61" s="369" t="str">
        <f>IF(ISBLANK(Materials!B61),"",Materials!B61)</f>
        <v>Electromechanical Mortise Locks</v>
      </c>
      <c r="C61" s="355" t="str">
        <f>IF(ISBLANK(Materials!C61),"",Materials!C61)</f>
        <v>087100</v>
      </c>
      <c r="D61" s="355" t="str">
        <f>IF(ISBLANK(Materials!D61),"",Materials!D61)</f>
        <v/>
      </c>
      <c r="E61" s="370" t="str">
        <f>IF(ISBLANK(Materials!E61),"",Materials!E61)</f>
        <v>8270</v>
      </c>
      <c r="F61" s="433"/>
      <c r="G61" s="371" t="str">
        <f>IF(ISBLANK(Materials!F61),"",Materials!F61)</f>
        <v>Sargent-ASSA ABLOY</v>
      </c>
      <c r="H61" s="293">
        <f>IF(ISBLANK(Materials!G61),"",Materials!G61)</f>
        <v>9200</v>
      </c>
      <c r="I61" s="72"/>
      <c r="J61" s="279"/>
      <c r="K61" s="275"/>
      <c r="L61" s="326" t="str">
        <f t="shared" ref="L61" si="331">IF(K61="Yes",0.5,"")</f>
        <v/>
      </c>
      <c r="M61" s="258"/>
      <c r="N61" s="276"/>
      <c r="O61" s="277"/>
      <c r="P61" s="393">
        <f t="shared" ref="P61" si="332">IF(V61&lt;=200,V61,IF(V61&gt;=201,200))*IFERROR(N61&lt;&gt;0,)</f>
        <v>0</v>
      </c>
      <c r="Q61" s="336" t="e">
        <f t="shared" ref="Q61" si="333">IF(S61&lt;=1,S61,IF(S61&gt;2,S61-1,S61*1))</f>
        <v>#VALUE!</v>
      </c>
      <c r="R61" s="404" t="str">
        <f t="shared" ref="R61" si="334">IF(N61="Material Ingredient Screening &amp; Optimisation Action Plan",0.5,IF(N61="Advanced Inventory &amp; Assessment",1,IF(N61="Material Ingredient Optimisation",1.5,IF(N61="REACH",1,IF(N61="Global Green Tag",1,"")))))</f>
        <v/>
      </c>
      <c r="S61" s="403" t="str">
        <f t="shared" ref="S61" si="335">IF(O61="Yes",R61*2,R61)</f>
        <v/>
      </c>
      <c r="T61" s="398" t="b">
        <f t="shared" ref="T61" si="336">IF(OR(N61="Material Ingredient Screening &amp; Optimisation Action Plan"),H61*0.5,IF(OR(N61="Advanced Inventory &amp; Assessment"),H61*1,IF(OR(N61="Material Ingredient Optimisation"),H61*1.5,IF(OR(N61="REACH"),H61*1,IF(OR(N61="Global Green Tag"),H61*1)))))</f>
        <v>0</v>
      </c>
      <c r="U61" s="396">
        <f>IF(N61="Material Ingredient Screening &amp; Optimisation Action Plan",H61*0.5/Materials!$G$112*100,IF(N61="Advanced Inventory &amp; Assessment",H61/Materials!$G$112*100,IF(N61="Material Ingredient Optimisation",H61*1.5/Materials!$G$112*100,IF(N61="REACH",H61*1/Materials!$G$112*100,IF(N61="Global Green Tag",H61*1/Materials!$G$112*100)))))*IFERROR(N61&lt;&gt;0,)</f>
        <v>0</v>
      </c>
      <c r="V61" s="397">
        <f t="shared" ref="V61" si="337">IF(O61="Yes",U61*2,U61)</f>
        <v>0</v>
      </c>
    </row>
    <row r="62" spans="1:22" s="68" customFormat="1" ht="24" x14ac:dyDescent="0.2">
      <c r="A62" s="80">
        <f t="shared" ref="A62" si="338">IF(H62&gt;=0,0,1)</f>
        <v>0</v>
      </c>
      <c r="B62" s="369" t="str">
        <f>IF(ISBLANK(Materials!B62),"",Materials!B62)</f>
        <v>Power Supply</v>
      </c>
      <c r="C62" s="355" t="str">
        <f>IF(ISBLANK(Materials!C62),"",Materials!C62)</f>
        <v>087100</v>
      </c>
      <c r="D62" s="355" t="str">
        <f>IF(ISBLANK(Materials!D62),"",Materials!D62)</f>
        <v/>
      </c>
      <c r="E62" s="370" t="str">
        <f>IF(ISBLANK(Materials!E62),"",Materials!E62)</f>
        <v>PS902</v>
      </c>
      <c r="F62" s="433"/>
      <c r="G62" s="371" t="str">
        <f>IF(ISBLANK(Materials!F62),"",Materials!F62)</f>
        <v>Von Duprin-Schlage-Allegion</v>
      </c>
      <c r="H62" s="293">
        <f>IF(ISBLANK(Materials!G62),"",Materials!G62)</f>
        <v>225</v>
      </c>
      <c r="I62" s="72"/>
      <c r="J62" s="279" t="s">
        <v>188</v>
      </c>
      <c r="K62" s="275" t="s">
        <v>189</v>
      </c>
      <c r="L62" s="326" t="str">
        <f t="shared" ref="L62" si="339">IF(K62="Yes",0.5,"")</f>
        <v/>
      </c>
      <c r="M62" s="258"/>
      <c r="N62" s="276"/>
      <c r="O62" s="277"/>
      <c r="P62" s="393">
        <f t="shared" ref="P62" si="340">IF(V62&lt;=200,V62,IF(V62&gt;=201,200))*IFERROR(N62&lt;&gt;0,)</f>
        <v>0</v>
      </c>
      <c r="Q62" s="336" t="e">
        <f t="shared" ref="Q62" si="341">IF(S62&lt;=1,S62,IF(S62&gt;2,S62-1,S62*1))</f>
        <v>#VALUE!</v>
      </c>
      <c r="R62" s="404" t="str">
        <f t="shared" ref="R62" si="342">IF(N62="Material Ingredient Screening &amp; Optimisation Action Plan",0.5,IF(N62="Advanced Inventory &amp; Assessment",1,IF(N62="Material Ingredient Optimisation",1.5,IF(N62="REACH",1,IF(N62="Global Green Tag",1,"")))))</f>
        <v/>
      </c>
      <c r="S62" s="403" t="str">
        <f t="shared" ref="S62" si="343">IF(O62="Yes",R62*2,R62)</f>
        <v/>
      </c>
      <c r="T62" s="398" t="b">
        <f t="shared" ref="T62" si="344">IF(OR(N62="Material Ingredient Screening &amp; Optimisation Action Plan"),H62*0.5,IF(OR(N62="Advanced Inventory &amp; Assessment"),H62*1,IF(OR(N62="Material Ingredient Optimisation"),H62*1.5,IF(OR(N62="REACH"),H62*1,IF(OR(N62="Global Green Tag"),H62*1)))))</f>
        <v>0</v>
      </c>
      <c r="U62" s="396">
        <f>IF(N62="Material Ingredient Screening &amp; Optimisation Action Plan",H62*0.5/Materials!$G$112*100,IF(N62="Advanced Inventory &amp; Assessment",H62/Materials!$G$112*100,IF(N62="Material Ingredient Optimisation",H62*1.5/Materials!$G$112*100,IF(N62="REACH",H62*1/Materials!$G$112*100,IF(N62="Global Green Tag",H62*1/Materials!$G$112*100)))))*IFERROR(N62&lt;&gt;0,)</f>
        <v>0</v>
      </c>
      <c r="V62" s="397">
        <f t="shared" ref="V62" si="345">IF(O62="Yes",U62*2,U62)</f>
        <v>0</v>
      </c>
    </row>
    <row r="63" spans="1:22" s="68" customFormat="1" ht="12.75" x14ac:dyDescent="0.2">
      <c r="A63" s="80">
        <f t="shared" ref="A63" si="346">IF(H63&gt;=0,0,1)</f>
        <v>0</v>
      </c>
      <c r="B63" s="369" t="str">
        <f>IF(ISBLANK(Materials!B63),"",Materials!B63)</f>
        <v xml:space="preserve">Void Cap </v>
      </c>
      <c r="C63" s="355" t="str">
        <f>IF(ISBLANK(Materials!C63),"",Materials!C63)</f>
        <v>033000</v>
      </c>
      <c r="D63" s="355" t="str">
        <f>IF(ISBLANK(Materials!D63),"",Materials!D63)</f>
        <v/>
      </c>
      <c r="E63" s="370" t="str">
        <f>IF(ISBLANK(Materials!E63),"",Materials!E63)</f>
        <v>Expansion Board Cap</v>
      </c>
      <c r="F63" s="433"/>
      <c r="G63" s="371" t="str">
        <f>IF(ISBLANK(Materials!F63),"",Materials!F63)</f>
        <v>BoMetals</v>
      </c>
      <c r="H63" s="293">
        <f>IF(ISBLANK(Materials!G63),"",Materials!G63)</f>
        <v>0</v>
      </c>
      <c r="I63" s="72"/>
      <c r="J63" s="279"/>
      <c r="K63" s="275"/>
      <c r="L63" s="326" t="str">
        <f t="shared" ref="L63" si="347">IF(K63="Yes",0.5,"")</f>
        <v/>
      </c>
      <c r="M63" s="258"/>
      <c r="N63" s="276"/>
      <c r="O63" s="277"/>
      <c r="P63" s="393">
        <f t="shared" ref="P63" si="348">IF(V63&lt;=200,V63,IF(V63&gt;=201,200))*IFERROR(N63&lt;&gt;0,)</f>
        <v>0</v>
      </c>
      <c r="Q63" s="336" t="e">
        <f t="shared" ref="Q63" si="349">IF(S63&lt;=1,S63,IF(S63&gt;2,S63-1,S63*1))</f>
        <v>#VALUE!</v>
      </c>
      <c r="R63" s="404" t="str">
        <f t="shared" ref="R63" si="350">IF(N63="Material Ingredient Screening &amp; Optimisation Action Plan",0.5,IF(N63="Advanced Inventory &amp; Assessment",1,IF(N63="Material Ingredient Optimisation",1.5,IF(N63="REACH",1,IF(N63="Global Green Tag",1,"")))))</f>
        <v/>
      </c>
      <c r="S63" s="403" t="str">
        <f t="shared" ref="S63" si="351">IF(O63="Yes",R63*2,R63)</f>
        <v/>
      </c>
      <c r="T63" s="398" t="b">
        <f t="shared" ref="T63" si="352">IF(OR(N63="Material Ingredient Screening &amp; Optimisation Action Plan"),H63*0.5,IF(OR(N63="Advanced Inventory &amp; Assessment"),H63*1,IF(OR(N63="Material Ingredient Optimisation"),H63*1.5,IF(OR(N63="REACH"),H63*1,IF(OR(N63="Global Green Tag"),H63*1)))))</f>
        <v>0</v>
      </c>
      <c r="U63" s="396">
        <f>IF(N63="Material Ingredient Screening &amp; Optimisation Action Plan",H63*0.5/Materials!$G$112*100,IF(N63="Advanced Inventory &amp; Assessment",H63/Materials!$G$112*100,IF(N63="Material Ingredient Optimisation",H63*1.5/Materials!$G$112*100,IF(N63="REACH",H63*1/Materials!$G$112*100,IF(N63="Global Green Tag",H63*1/Materials!$G$112*100)))))*IFERROR(N63&lt;&gt;0,)</f>
        <v>0</v>
      </c>
      <c r="V63" s="397">
        <f t="shared" ref="V63" si="353">IF(O63="Yes",U63*2,U63)</f>
        <v>0</v>
      </c>
    </row>
    <row r="64" spans="1:22" s="68" customFormat="1" ht="12.75" x14ac:dyDescent="0.2">
      <c r="A64" s="80">
        <f t="shared" ref="A64" si="354">IF(H64&gt;=0,0,1)</f>
        <v>0</v>
      </c>
      <c r="B64" s="369" t="str">
        <f>IF(ISBLANK(Materials!B64),"",Materials!B64)</f>
        <v>Steel Anchor</v>
      </c>
      <c r="C64" s="355" t="str">
        <f>IF(ISBLANK(Materials!C64),"",Materials!C64)</f>
        <v>033000</v>
      </c>
      <c r="D64" s="355" t="str">
        <f>IF(ISBLANK(Materials!D64),"",Materials!D64)</f>
        <v/>
      </c>
      <c r="E64" s="370" t="str">
        <f>IF(ISBLANK(Materials!E64),"",Materials!E64)</f>
        <v>Atomic+ Undercut, Screw-Bolt+, Snake+</v>
      </c>
      <c r="F64" s="433"/>
      <c r="G64" s="371" t="str">
        <f>IF(ISBLANK(Materials!F64),"",Materials!F64)</f>
        <v>Dewalt</v>
      </c>
      <c r="H64" s="293">
        <f>IF(ISBLANK(Materials!G64),"",Materials!G64)</f>
        <v>0</v>
      </c>
      <c r="I64" s="72"/>
      <c r="J64" s="279"/>
      <c r="K64" s="275"/>
      <c r="L64" s="326" t="str">
        <f t="shared" ref="L64" si="355">IF(K64="Yes",0.5,"")</f>
        <v/>
      </c>
      <c r="M64" s="258"/>
      <c r="N64" s="276"/>
      <c r="O64" s="277"/>
      <c r="P64" s="393">
        <f t="shared" ref="P64" si="356">IF(V64&lt;=200,V64,IF(V64&gt;=201,200))*IFERROR(N64&lt;&gt;0,)</f>
        <v>0</v>
      </c>
      <c r="Q64" s="336" t="e">
        <f t="shared" ref="Q64" si="357">IF(S64&lt;=1,S64,IF(S64&gt;2,S64-1,S64*1))</f>
        <v>#VALUE!</v>
      </c>
      <c r="R64" s="404" t="str">
        <f t="shared" ref="R64" si="358">IF(N64="Material Ingredient Screening &amp; Optimisation Action Plan",0.5,IF(N64="Advanced Inventory &amp; Assessment",1,IF(N64="Material Ingredient Optimisation",1.5,IF(N64="REACH",1,IF(N64="Global Green Tag",1,"")))))</f>
        <v/>
      </c>
      <c r="S64" s="403" t="str">
        <f t="shared" ref="S64" si="359">IF(O64="Yes",R64*2,R64)</f>
        <v/>
      </c>
      <c r="T64" s="398" t="b">
        <f t="shared" ref="T64" si="360">IF(OR(N64="Material Ingredient Screening &amp; Optimisation Action Plan"),H64*0.5,IF(OR(N64="Advanced Inventory &amp; Assessment"),H64*1,IF(OR(N64="Material Ingredient Optimisation"),H64*1.5,IF(OR(N64="REACH"),H64*1,IF(OR(N64="Global Green Tag"),H64*1)))))</f>
        <v>0</v>
      </c>
      <c r="U64" s="396">
        <f>IF(N64="Material Ingredient Screening &amp; Optimisation Action Plan",H64*0.5/Materials!$G$112*100,IF(N64="Advanced Inventory &amp; Assessment",H64/Materials!$G$112*100,IF(N64="Material Ingredient Optimisation",H64*1.5/Materials!$G$112*100,IF(N64="REACH",H64*1/Materials!$G$112*100,IF(N64="Global Green Tag",H64*1/Materials!$G$112*100)))))*IFERROR(N64&lt;&gt;0,)</f>
        <v>0</v>
      </c>
      <c r="V64" s="397">
        <f t="shared" ref="V64" si="361">IF(O64="Yes",U64*2,U64)</f>
        <v>0</v>
      </c>
    </row>
    <row r="65" spans="1:22" s="68" customFormat="1" ht="12.75" x14ac:dyDescent="0.2">
      <c r="A65" s="80">
        <f t="shared" ref="A65" si="362">IF(H65&gt;=0,0,1)</f>
        <v>0</v>
      </c>
      <c r="B65" s="369" t="str">
        <f>IF(ISBLANK(Materials!B65),"",Materials!B65)</f>
        <v xml:space="preserve">Concrete Mix </v>
      </c>
      <c r="C65" s="355" t="str">
        <f>IF(ISBLANK(Materials!C65),"",Materials!C65)</f>
        <v>033000</v>
      </c>
      <c r="D65" s="355" t="str">
        <f>IF(ISBLANK(Materials!D65),"",Materials!D65)</f>
        <v/>
      </c>
      <c r="E65" s="370" t="str">
        <f>IF(ISBLANK(Materials!E65),"",Materials!E65)</f>
        <v>3720DLS</v>
      </c>
      <c r="F65" s="433"/>
      <c r="G65" s="371" t="str">
        <f>IF(ISBLANK(Materials!F65),"",Materials!F65)</f>
        <v>Lauren Concrete</v>
      </c>
      <c r="H65" s="293">
        <f>IF(ISBLANK(Materials!G65),"",Materials!G65)</f>
        <v>1190</v>
      </c>
      <c r="I65" s="72"/>
      <c r="J65" s="279"/>
      <c r="K65" s="275"/>
      <c r="L65" s="326" t="str">
        <f t="shared" ref="L65" si="363">IF(K65="Yes",0.5,"")</f>
        <v/>
      </c>
      <c r="M65" s="258"/>
      <c r="N65" s="276"/>
      <c r="O65" s="277"/>
      <c r="P65" s="393">
        <f t="shared" ref="P65" si="364">IF(V65&lt;=200,V65,IF(V65&gt;=201,200))*IFERROR(N65&lt;&gt;0,)</f>
        <v>0</v>
      </c>
      <c r="Q65" s="336" t="e">
        <f t="shared" ref="Q65" si="365">IF(S65&lt;=1,S65,IF(S65&gt;2,S65-1,S65*1))</f>
        <v>#VALUE!</v>
      </c>
      <c r="R65" s="404" t="str">
        <f t="shared" ref="R65" si="366">IF(N65="Material Ingredient Screening &amp; Optimisation Action Plan",0.5,IF(N65="Advanced Inventory &amp; Assessment",1,IF(N65="Material Ingredient Optimisation",1.5,IF(N65="REACH",1,IF(N65="Global Green Tag",1,"")))))</f>
        <v/>
      </c>
      <c r="S65" s="403" t="str">
        <f t="shared" ref="S65" si="367">IF(O65="Yes",R65*2,R65)</f>
        <v/>
      </c>
      <c r="T65" s="398" t="b">
        <f t="shared" ref="T65" si="368">IF(OR(N65="Material Ingredient Screening &amp; Optimisation Action Plan"),H65*0.5,IF(OR(N65="Advanced Inventory &amp; Assessment"),H65*1,IF(OR(N65="Material Ingredient Optimisation"),H65*1.5,IF(OR(N65="REACH"),H65*1,IF(OR(N65="Global Green Tag"),H65*1)))))</f>
        <v>0</v>
      </c>
      <c r="U65" s="396">
        <f>IF(N65="Material Ingredient Screening &amp; Optimisation Action Plan",H65*0.5/Materials!$G$112*100,IF(N65="Advanced Inventory &amp; Assessment",H65/Materials!$G$112*100,IF(N65="Material Ingredient Optimisation",H65*1.5/Materials!$G$112*100,IF(N65="REACH",H65*1/Materials!$G$112*100,IF(N65="Global Green Tag",H65*1/Materials!$G$112*100)))))*IFERROR(N65&lt;&gt;0,)</f>
        <v>0</v>
      </c>
      <c r="V65" s="397">
        <f t="shared" ref="V65" si="369">IF(O65="Yes",U65*2,U65)</f>
        <v>0</v>
      </c>
    </row>
    <row r="66" spans="1:22" s="68" customFormat="1" ht="12.75" x14ac:dyDescent="0.2">
      <c r="A66" s="80">
        <f t="shared" ref="A66" si="370">IF(H66&gt;=0,0,1)</f>
        <v>0</v>
      </c>
      <c r="B66" s="369" t="str">
        <f>IF(ISBLANK(Materials!B66),"",Materials!B66)</f>
        <v xml:space="preserve">Concrete Mix </v>
      </c>
      <c r="C66" s="355" t="str">
        <f>IF(ISBLANK(Materials!C66),"",Materials!C66)</f>
        <v>033000</v>
      </c>
      <c r="D66" s="355" t="str">
        <f>IF(ISBLANK(Materials!D66),"",Materials!D66)</f>
        <v/>
      </c>
      <c r="E66" s="370" t="str">
        <f>IF(ISBLANK(Materials!E66),"",Materials!E66)</f>
        <v>COA-CLSM</v>
      </c>
      <c r="F66" s="433"/>
      <c r="G66" s="371" t="str">
        <f>IF(ISBLANK(Materials!F66),"",Materials!F66)</f>
        <v>Lauren Concrete</v>
      </c>
      <c r="H66" s="293">
        <f>IF(ISBLANK(Materials!G66),"",Materials!G66)</f>
        <v>4717.5</v>
      </c>
      <c r="I66" s="72"/>
      <c r="J66" s="279"/>
      <c r="K66" s="275"/>
      <c r="L66" s="326" t="str">
        <f t="shared" ref="L66" si="371">IF(K66="Yes",0.5,"")</f>
        <v/>
      </c>
      <c r="M66" s="258"/>
      <c r="N66" s="276"/>
      <c r="O66" s="277"/>
      <c r="P66" s="393">
        <f t="shared" ref="P66" si="372">IF(V66&lt;=200,V66,IF(V66&gt;=201,200))*IFERROR(N66&lt;&gt;0,)</f>
        <v>0</v>
      </c>
      <c r="Q66" s="336" t="e">
        <f t="shared" ref="Q66" si="373">IF(S66&lt;=1,S66,IF(S66&gt;2,S66-1,S66*1))</f>
        <v>#VALUE!</v>
      </c>
      <c r="R66" s="404" t="str">
        <f t="shared" ref="R66" si="374">IF(N66="Material Ingredient Screening &amp; Optimisation Action Plan",0.5,IF(N66="Advanced Inventory &amp; Assessment",1,IF(N66="Material Ingredient Optimisation",1.5,IF(N66="REACH",1,IF(N66="Global Green Tag",1,"")))))</f>
        <v/>
      </c>
      <c r="S66" s="403" t="str">
        <f t="shared" ref="S66" si="375">IF(O66="Yes",R66*2,R66)</f>
        <v/>
      </c>
      <c r="T66" s="398" t="b">
        <f t="shared" ref="T66" si="376">IF(OR(N66="Material Ingredient Screening &amp; Optimisation Action Plan"),H66*0.5,IF(OR(N66="Advanced Inventory &amp; Assessment"),H66*1,IF(OR(N66="Material Ingredient Optimisation"),H66*1.5,IF(OR(N66="REACH"),H66*1,IF(OR(N66="Global Green Tag"),H66*1)))))</f>
        <v>0</v>
      </c>
      <c r="U66" s="396">
        <f>IF(N66="Material Ingredient Screening &amp; Optimisation Action Plan",H66*0.5/Materials!$G$112*100,IF(N66="Advanced Inventory &amp; Assessment",H66/Materials!$G$112*100,IF(N66="Material Ingredient Optimisation",H66*1.5/Materials!$G$112*100,IF(N66="REACH",H66*1/Materials!$G$112*100,IF(N66="Global Green Tag",H66*1/Materials!$G$112*100)))))*IFERROR(N66&lt;&gt;0,)</f>
        <v>0</v>
      </c>
      <c r="V66" s="397">
        <f t="shared" ref="V66" si="377">IF(O66="Yes",U66*2,U66)</f>
        <v>0</v>
      </c>
    </row>
    <row r="67" spans="1:22" s="68" customFormat="1" ht="12.75" x14ac:dyDescent="0.2">
      <c r="A67" s="80">
        <f t="shared" ref="A67" si="378">IF(H67&gt;=0,0,1)</f>
        <v>0</v>
      </c>
      <c r="B67" s="369" t="str">
        <f>IF(ISBLANK(Materials!B67),"",Materials!B67)</f>
        <v xml:space="preserve">Brick </v>
      </c>
      <c r="C67" s="355" t="str">
        <f>IF(ISBLANK(Materials!C67),"",Materials!C67)</f>
        <v>042000</v>
      </c>
      <c r="D67" s="355" t="str">
        <f>IF(ISBLANK(Materials!D67),"",Materials!D67)</f>
        <v/>
      </c>
      <c r="E67" s="370" t="str">
        <f>IF(ISBLANK(Materials!E67),"",Materials!E67)</f>
        <v>Special Blend</v>
      </c>
      <c r="F67" s="433"/>
      <c r="G67" s="371" t="str">
        <f>IF(ISBLANK(Materials!F67),"",Materials!F67)</f>
        <v>Acme Brick</v>
      </c>
      <c r="H67" s="293">
        <f>IF(ISBLANK(Materials!G67),"",Materials!G67)</f>
        <v>56253</v>
      </c>
      <c r="I67" s="72"/>
      <c r="J67" s="279"/>
      <c r="K67" s="275"/>
      <c r="L67" s="326" t="str">
        <f t="shared" ref="L67" si="379">IF(K67="Yes",0.5,"")</f>
        <v/>
      </c>
      <c r="M67" s="258"/>
      <c r="N67" s="276"/>
      <c r="O67" s="277"/>
      <c r="P67" s="393">
        <f t="shared" ref="P67" si="380">IF(V67&lt;=200,V67,IF(V67&gt;=201,200))*IFERROR(N67&lt;&gt;0,)</f>
        <v>0</v>
      </c>
      <c r="Q67" s="336" t="e">
        <f t="shared" ref="Q67" si="381">IF(S67&lt;=1,S67,IF(S67&gt;2,S67-1,S67*1))</f>
        <v>#VALUE!</v>
      </c>
      <c r="R67" s="404" t="str">
        <f t="shared" ref="R67" si="382">IF(N67="Material Ingredient Screening &amp; Optimisation Action Plan",0.5,IF(N67="Advanced Inventory &amp; Assessment",1,IF(N67="Material Ingredient Optimisation",1.5,IF(N67="REACH",1,IF(N67="Global Green Tag",1,"")))))</f>
        <v/>
      </c>
      <c r="S67" s="403" t="str">
        <f t="shared" ref="S67" si="383">IF(O67="Yes",R67*2,R67)</f>
        <v/>
      </c>
      <c r="T67" s="398" t="b">
        <f t="shared" ref="T67" si="384">IF(OR(N67="Material Ingredient Screening &amp; Optimisation Action Plan"),H67*0.5,IF(OR(N67="Advanced Inventory &amp; Assessment"),H67*1,IF(OR(N67="Material Ingredient Optimisation"),H67*1.5,IF(OR(N67="REACH"),H67*1,IF(OR(N67="Global Green Tag"),H67*1)))))</f>
        <v>0</v>
      </c>
      <c r="U67" s="396">
        <f>IF(N67="Material Ingredient Screening &amp; Optimisation Action Plan",H67*0.5/Materials!$G$112*100,IF(N67="Advanced Inventory &amp; Assessment",H67/Materials!$G$112*100,IF(N67="Material Ingredient Optimisation",H67*1.5/Materials!$G$112*100,IF(N67="REACH",H67*1/Materials!$G$112*100,IF(N67="Global Green Tag",H67*1/Materials!$G$112*100)))))*IFERROR(N67&lt;&gt;0,)</f>
        <v>0</v>
      </c>
      <c r="V67" s="397">
        <f t="shared" ref="V67" si="385">IF(O67="Yes",U67*2,U67)</f>
        <v>0</v>
      </c>
    </row>
    <row r="68" spans="1:22" s="68" customFormat="1" ht="12.75" x14ac:dyDescent="0.2">
      <c r="A68" s="80">
        <f t="shared" ref="A68" si="386">IF(H68&gt;=0,0,1)</f>
        <v>0</v>
      </c>
      <c r="B68" s="369" t="str">
        <f>IF(ISBLANK(Materials!B68),"",Materials!B68)</f>
        <v xml:space="preserve">Cast Stone Masonry </v>
      </c>
      <c r="C68" s="355" t="str">
        <f>IF(ISBLANK(Materials!C68),"",Materials!C68)</f>
        <v>047200</v>
      </c>
      <c r="D68" s="355" t="str">
        <f>IF(ISBLANK(Materials!D68),"",Materials!D68)</f>
        <v/>
      </c>
      <c r="E68" s="370" t="str">
        <f>IF(ISBLANK(Materials!E68),"",Materials!E68)</f>
        <v>SM250</v>
      </c>
      <c r="F68" s="433"/>
      <c r="G68" s="371" t="str">
        <f>IF(ISBLANK(Materials!F68),"",Materials!F68)</f>
        <v>Spec Mix</v>
      </c>
      <c r="H68" s="293">
        <f>IF(ISBLANK(Materials!G68),"",Materials!G68)</f>
        <v>0</v>
      </c>
      <c r="I68" s="72"/>
      <c r="J68" s="279"/>
      <c r="K68" s="275"/>
      <c r="L68" s="326" t="str">
        <f t="shared" ref="L68" si="387">IF(K68="Yes",0.5,"")</f>
        <v/>
      </c>
      <c r="M68" s="258"/>
      <c r="N68" s="276"/>
      <c r="O68" s="277"/>
      <c r="P68" s="393">
        <f t="shared" ref="P68" si="388">IF(V68&lt;=200,V68,IF(V68&gt;=201,200))*IFERROR(N68&lt;&gt;0,)</f>
        <v>0</v>
      </c>
      <c r="Q68" s="336" t="e">
        <f t="shared" ref="Q68" si="389">IF(S68&lt;=1,S68,IF(S68&gt;2,S68-1,S68*1))</f>
        <v>#VALUE!</v>
      </c>
      <c r="R68" s="404" t="str">
        <f t="shared" ref="R68" si="390">IF(N68="Material Ingredient Screening &amp; Optimisation Action Plan",0.5,IF(N68="Advanced Inventory &amp; Assessment",1,IF(N68="Material Ingredient Optimisation",1.5,IF(N68="REACH",1,IF(N68="Global Green Tag",1,"")))))</f>
        <v/>
      </c>
      <c r="S68" s="403" t="str">
        <f t="shared" ref="S68" si="391">IF(O68="Yes",R68*2,R68)</f>
        <v/>
      </c>
      <c r="T68" s="398" t="b">
        <f t="shared" ref="T68" si="392">IF(OR(N68="Material Ingredient Screening &amp; Optimisation Action Plan"),H68*0.5,IF(OR(N68="Advanced Inventory &amp; Assessment"),H68*1,IF(OR(N68="Material Ingredient Optimisation"),H68*1.5,IF(OR(N68="REACH"),H68*1,IF(OR(N68="Global Green Tag"),H68*1)))))</f>
        <v>0</v>
      </c>
      <c r="U68" s="396">
        <f>IF(N68="Material Ingredient Screening &amp; Optimisation Action Plan",H68*0.5/Materials!$G$112*100,IF(N68="Advanced Inventory &amp; Assessment",H68/Materials!$G$112*100,IF(N68="Material Ingredient Optimisation",H68*1.5/Materials!$G$112*100,IF(N68="REACH",H68*1/Materials!$G$112*100,IF(N68="Global Green Tag",H68*1/Materials!$G$112*100)))))*IFERROR(N68&lt;&gt;0,)</f>
        <v>0</v>
      </c>
      <c r="V68" s="397">
        <f t="shared" ref="V68" si="393">IF(O68="Yes",U68*2,U68)</f>
        <v>0</v>
      </c>
    </row>
    <row r="69" spans="1:22" s="68" customFormat="1" ht="12.75" x14ac:dyDescent="0.2">
      <c r="A69" s="80">
        <f t="shared" ref="A69" si="394">IF(H69&gt;=0,0,1)</f>
        <v>0</v>
      </c>
      <c r="B69" s="369" t="str">
        <f>IF(ISBLANK(Materials!B69),"",Materials!B69)</f>
        <v xml:space="preserve">Concrete Waterstop </v>
      </c>
      <c r="C69" s="355" t="str">
        <f>IF(ISBLANK(Materials!C69),"",Materials!C69)</f>
        <v>033000</v>
      </c>
      <c r="D69" s="355" t="str">
        <f>IF(ISBLANK(Materials!D69),"",Materials!D69)</f>
        <v/>
      </c>
      <c r="E69" s="370" t="str">
        <f>IF(ISBLANK(Materials!E69),"",Materials!E69)</f>
        <v>Waterstop-RX</v>
      </c>
      <c r="F69" s="433"/>
      <c r="G69" s="371" t="str">
        <f>IF(ISBLANK(Materials!F69),"",Materials!F69)</f>
        <v>Cetco</v>
      </c>
      <c r="H69" s="293">
        <f>IF(ISBLANK(Materials!G69),"",Materials!G69)</f>
        <v>0</v>
      </c>
      <c r="I69" s="72"/>
      <c r="J69" s="279"/>
      <c r="K69" s="275"/>
      <c r="L69" s="326" t="str">
        <f t="shared" ref="L69" si="395">IF(K69="Yes",0.5,"")</f>
        <v/>
      </c>
      <c r="M69" s="258"/>
      <c r="N69" s="276"/>
      <c r="O69" s="277"/>
      <c r="P69" s="393">
        <f t="shared" ref="P69" si="396">IF(V69&lt;=200,V69,IF(V69&gt;=201,200))*IFERROR(N69&lt;&gt;0,)</f>
        <v>0</v>
      </c>
      <c r="Q69" s="336" t="e">
        <f t="shared" ref="Q69" si="397">IF(S69&lt;=1,S69,IF(S69&gt;2,S69-1,S69*1))</f>
        <v>#VALUE!</v>
      </c>
      <c r="R69" s="404" t="str">
        <f t="shared" ref="R69" si="398">IF(N69="Material Ingredient Screening &amp; Optimisation Action Plan",0.5,IF(N69="Advanced Inventory &amp; Assessment",1,IF(N69="Material Ingredient Optimisation",1.5,IF(N69="REACH",1,IF(N69="Global Green Tag",1,"")))))</f>
        <v/>
      </c>
      <c r="S69" s="403" t="str">
        <f t="shared" ref="S69" si="399">IF(O69="Yes",R69*2,R69)</f>
        <v/>
      </c>
      <c r="T69" s="398" t="b">
        <f t="shared" ref="T69" si="400">IF(OR(N69="Material Ingredient Screening &amp; Optimisation Action Plan"),H69*0.5,IF(OR(N69="Advanced Inventory &amp; Assessment"),H69*1,IF(OR(N69="Material Ingredient Optimisation"),H69*1.5,IF(OR(N69="REACH"),H69*1,IF(OR(N69="Global Green Tag"),H69*1)))))</f>
        <v>0</v>
      </c>
      <c r="U69" s="396">
        <f>IF(N69="Material Ingredient Screening &amp; Optimisation Action Plan",H69*0.5/Materials!$G$112*100,IF(N69="Advanced Inventory &amp; Assessment",H69/Materials!$G$112*100,IF(N69="Material Ingredient Optimisation",H69*1.5/Materials!$G$112*100,IF(N69="REACH",H69*1/Materials!$G$112*100,IF(N69="Global Green Tag",H69*1/Materials!$G$112*100)))))*IFERROR(N69&lt;&gt;0,)</f>
        <v>0</v>
      </c>
      <c r="V69" s="397">
        <f t="shared" ref="V69" si="401">IF(O69="Yes",U69*2,U69)</f>
        <v>0</v>
      </c>
    </row>
    <row r="70" spans="1:22" s="68" customFormat="1" ht="12.75" x14ac:dyDescent="0.2">
      <c r="A70" s="80">
        <f t="shared" ref="A70" si="402">IF(H70&gt;=0,0,1)</f>
        <v>0</v>
      </c>
      <c r="B70" s="369" t="str">
        <f>IF(ISBLANK(Materials!B70),"",Materials!B70)</f>
        <v xml:space="preserve">Waterproofing </v>
      </c>
      <c r="C70" s="355" t="str">
        <f>IF(ISBLANK(Materials!C70),"",Materials!C70)</f>
        <v>071326</v>
      </c>
      <c r="D70" s="355" t="str">
        <f>IF(ISBLANK(Materials!D70),"",Materials!D70)</f>
        <v/>
      </c>
      <c r="E70" s="370" t="str">
        <f>IF(ISBLANK(Materials!E70),"",Materials!E70)</f>
        <v>Protection Course</v>
      </c>
      <c r="F70" s="433"/>
      <c r="G70" s="371" t="str">
        <f>IF(ISBLANK(Materials!F70),"",Materials!F70)</f>
        <v>W.R. Meadows</v>
      </c>
      <c r="H70" s="293">
        <f>IF(ISBLANK(Materials!G70),"",Materials!G70)</f>
        <v>0</v>
      </c>
      <c r="I70" s="72"/>
      <c r="J70" s="279"/>
      <c r="K70" s="275"/>
      <c r="L70" s="326" t="str">
        <f t="shared" ref="L70" si="403">IF(K70="Yes",0.5,"")</f>
        <v/>
      </c>
      <c r="M70" s="258"/>
      <c r="N70" s="276"/>
      <c r="O70" s="277"/>
      <c r="P70" s="393">
        <f t="shared" ref="P70" si="404">IF(V70&lt;=200,V70,IF(V70&gt;=201,200))*IFERROR(N70&lt;&gt;0,)</f>
        <v>0</v>
      </c>
      <c r="Q70" s="336" t="e">
        <f t="shared" ref="Q70" si="405">IF(S70&lt;=1,S70,IF(S70&gt;2,S70-1,S70*1))</f>
        <v>#VALUE!</v>
      </c>
      <c r="R70" s="404" t="str">
        <f t="shared" ref="R70" si="406">IF(N70="Material Ingredient Screening &amp; Optimisation Action Plan",0.5,IF(N70="Advanced Inventory &amp; Assessment",1,IF(N70="Material Ingredient Optimisation",1.5,IF(N70="REACH",1,IF(N70="Global Green Tag",1,"")))))</f>
        <v/>
      </c>
      <c r="S70" s="403" t="str">
        <f t="shared" ref="S70" si="407">IF(O70="Yes",R70*2,R70)</f>
        <v/>
      </c>
      <c r="T70" s="398" t="b">
        <f t="shared" ref="T70" si="408">IF(OR(N70="Material Ingredient Screening &amp; Optimisation Action Plan"),H70*0.5,IF(OR(N70="Advanced Inventory &amp; Assessment"),H70*1,IF(OR(N70="Material Ingredient Optimisation"),H70*1.5,IF(OR(N70="REACH"),H70*1,IF(OR(N70="Global Green Tag"),H70*1)))))</f>
        <v>0</v>
      </c>
      <c r="U70" s="396">
        <f>IF(N70="Material Ingredient Screening &amp; Optimisation Action Plan",H70*0.5/Materials!$G$112*100,IF(N70="Advanced Inventory &amp; Assessment",H70/Materials!$G$112*100,IF(N70="Material Ingredient Optimisation",H70*1.5/Materials!$G$112*100,IF(N70="REACH",H70*1/Materials!$G$112*100,IF(N70="Global Green Tag",H70*1/Materials!$G$112*100)))))*IFERROR(N70&lt;&gt;0,)</f>
        <v>0</v>
      </c>
      <c r="V70" s="397">
        <f t="shared" ref="V70" si="409">IF(O70="Yes",U70*2,U70)</f>
        <v>0</v>
      </c>
    </row>
    <row r="71" spans="1:22" s="68" customFormat="1" ht="24" x14ac:dyDescent="0.2">
      <c r="A71" s="80">
        <f t="shared" ref="A71" si="410">IF(H71&gt;=0,0,1)</f>
        <v>0</v>
      </c>
      <c r="B71" s="369" t="str">
        <f>IF(ISBLANK(Materials!B71),"",Materials!B71)</f>
        <v>Nonwoven Geotextile Fabric</v>
      </c>
      <c r="C71" s="355" t="str">
        <f>IF(ISBLANK(Materials!C71),"",Materials!C71)</f>
        <v>071326</v>
      </c>
      <c r="D71" s="355" t="str">
        <f>IF(ISBLANK(Materials!D71),"",Materials!D71)</f>
        <v/>
      </c>
      <c r="E71" s="370" t="str">
        <f>IF(ISBLANK(Materials!E71),"",Materials!E71)</f>
        <v>Detail Fabric</v>
      </c>
      <c r="F71" s="433"/>
      <c r="G71" s="371" t="str">
        <f>IF(ISBLANK(Materials!F71),"",Materials!F71)</f>
        <v>W.R. Meadows</v>
      </c>
      <c r="H71" s="293">
        <f>IF(ISBLANK(Materials!G71),"",Materials!G71)</f>
        <v>0</v>
      </c>
      <c r="I71" s="72"/>
      <c r="J71" s="279"/>
      <c r="K71" s="275"/>
      <c r="L71" s="326" t="str">
        <f t="shared" ref="L71" si="411">IF(K71="Yes",0.5,"")</f>
        <v/>
      </c>
      <c r="M71" s="258"/>
      <c r="N71" s="276"/>
      <c r="O71" s="277"/>
      <c r="P71" s="393">
        <f t="shared" ref="P71" si="412">IF(V71&lt;=200,V71,IF(V71&gt;=201,200))*IFERROR(N71&lt;&gt;0,)</f>
        <v>0</v>
      </c>
      <c r="Q71" s="336" t="e">
        <f t="shared" ref="Q71" si="413">IF(S71&lt;=1,S71,IF(S71&gt;2,S71-1,S71*1))</f>
        <v>#VALUE!</v>
      </c>
      <c r="R71" s="404" t="str">
        <f t="shared" ref="R71" si="414">IF(N71="Material Ingredient Screening &amp; Optimisation Action Plan",0.5,IF(N71="Advanced Inventory &amp; Assessment",1,IF(N71="Material Ingredient Optimisation",1.5,IF(N71="REACH",1,IF(N71="Global Green Tag",1,"")))))</f>
        <v/>
      </c>
      <c r="S71" s="403" t="str">
        <f t="shared" ref="S71" si="415">IF(O71="Yes",R71*2,R71)</f>
        <v/>
      </c>
      <c r="T71" s="398" t="b">
        <f t="shared" ref="T71" si="416">IF(OR(N71="Material Ingredient Screening &amp; Optimisation Action Plan"),H71*0.5,IF(OR(N71="Advanced Inventory &amp; Assessment"),H71*1,IF(OR(N71="Material Ingredient Optimisation"),H71*1.5,IF(OR(N71="REACH"),H71*1,IF(OR(N71="Global Green Tag"),H71*1)))))</f>
        <v>0</v>
      </c>
      <c r="U71" s="396">
        <f>IF(N71="Material Ingredient Screening &amp; Optimisation Action Plan",H71*0.5/Materials!$G$112*100,IF(N71="Advanced Inventory &amp; Assessment",H71/Materials!$G$112*100,IF(N71="Material Ingredient Optimisation",H71*1.5/Materials!$G$112*100,IF(N71="REACH",H71*1/Materials!$G$112*100,IF(N71="Global Green Tag",H71*1/Materials!$G$112*100)))))*IFERROR(N71&lt;&gt;0,)</f>
        <v>0</v>
      </c>
      <c r="V71" s="397">
        <f t="shared" ref="V71" si="417">IF(O71="Yes",U71*2,U71)</f>
        <v>0</v>
      </c>
    </row>
    <row r="72" spans="1:22" s="68" customFormat="1" ht="12.75" x14ac:dyDescent="0.2">
      <c r="A72" s="80">
        <f t="shared" ref="A72" si="418">IF(H72&gt;=0,0,1)</f>
        <v>0</v>
      </c>
      <c r="B72" s="369" t="str">
        <f>IF(ISBLANK(Materials!B72),"",Materials!B72)</f>
        <v>Termination Bar</v>
      </c>
      <c r="C72" s="355" t="str">
        <f>IF(ISBLANK(Materials!C72),"",Materials!C72)</f>
        <v>071326</v>
      </c>
      <c r="D72" s="355" t="str">
        <f>IF(ISBLANK(Materials!D72),"",Materials!D72)</f>
        <v/>
      </c>
      <c r="E72" s="370" t="str">
        <f>IF(ISBLANK(Materials!E72),"",Materials!E72)</f>
        <v>T2 Aluminum</v>
      </c>
      <c r="F72" s="433"/>
      <c r="G72" s="371" t="str">
        <f>IF(ISBLANK(Materials!F72),"",Materials!F72)</f>
        <v>Hohmann &amp; Barnard</v>
      </c>
      <c r="H72" s="293">
        <f>IF(ISBLANK(Materials!G72),"",Materials!G72)</f>
        <v>0</v>
      </c>
      <c r="I72" s="72"/>
      <c r="J72" s="279"/>
      <c r="K72" s="275"/>
      <c r="L72" s="326" t="str">
        <f t="shared" ref="L72" si="419">IF(K72="Yes",0.5,"")</f>
        <v/>
      </c>
      <c r="M72" s="258"/>
      <c r="N72" s="276"/>
      <c r="O72" s="277"/>
      <c r="P72" s="393">
        <f t="shared" ref="P72" si="420">IF(V72&lt;=200,V72,IF(V72&gt;=201,200))*IFERROR(N72&lt;&gt;0,)</f>
        <v>0</v>
      </c>
      <c r="Q72" s="336" t="e">
        <f t="shared" ref="Q72" si="421">IF(S72&lt;=1,S72,IF(S72&gt;2,S72-1,S72*1))</f>
        <v>#VALUE!</v>
      </c>
      <c r="R72" s="404" t="str">
        <f t="shared" ref="R72" si="422">IF(N72="Material Ingredient Screening &amp; Optimisation Action Plan",0.5,IF(N72="Advanced Inventory &amp; Assessment",1,IF(N72="Material Ingredient Optimisation",1.5,IF(N72="REACH",1,IF(N72="Global Green Tag",1,"")))))</f>
        <v/>
      </c>
      <c r="S72" s="403" t="str">
        <f t="shared" ref="S72" si="423">IF(O72="Yes",R72*2,R72)</f>
        <v/>
      </c>
      <c r="T72" s="398" t="b">
        <f t="shared" ref="T72" si="424">IF(OR(N72="Material Ingredient Screening &amp; Optimisation Action Plan"),H72*0.5,IF(OR(N72="Advanced Inventory &amp; Assessment"),H72*1,IF(OR(N72="Material Ingredient Optimisation"),H72*1.5,IF(OR(N72="REACH"),H72*1,IF(OR(N72="Global Green Tag"),H72*1)))))</f>
        <v>0</v>
      </c>
      <c r="U72" s="396">
        <f>IF(N72="Material Ingredient Screening &amp; Optimisation Action Plan",H72*0.5/Materials!$G$112*100,IF(N72="Advanced Inventory &amp; Assessment",H72/Materials!$G$112*100,IF(N72="Material Ingredient Optimisation",H72*1.5/Materials!$G$112*100,IF(N72="REACH",H72*1/Materials!$G$112*100,IF(N72="Global Green Tag",H72*1/Materials!$G$112*100)))))*IFERROR(N72&lt;&gt;0,)</f>
        <v>0</v>
      </c>
      <c r="V72" s="397">
        <f t="shared" ref="V72" si="425">IF(O72="Yes",U72*2,U72)</f>
        <v>0</v>
      </c>
    </row>
    <row r="73" spans="1:22" s="68" customFormat="1" ht="12.75" x14ac:dyDescent="0.2">
      <c r="A73" s="80">
        <f t="shared" ref="A73" si="426">IF(H73&gt;=0,0,1)</f>
        <v>0</v>
      </c>
      <c r="B73" s="369" t="str">
        <f>IF(ISBLANK(Materials!B73),"",Materials!B73)</f>
        <v xml:space="preserve">Fireproofing </v>
      </c>
      <c r="C73" s="355" t="str">
        <f>IF(ISBLANK(Materials!C73),"",Materials!C73)</f>
        <v>078100</v>
      </c>
      <c r="D73" s="355" t="str">
        <f>IF(ISBLANK(Materials!D73),"",Materials!D73)</f>
        <v/>
      </c>
      <c r="E73" s="370" t="str">
        <f>IF(ISBLANK(Materials!E73),"",Materials!E73)</f>
        <v>Monokote Z-106/hy</v>
      </c>
      <c r="F73" s="433"/>
      <c r="G73" s="371" t="str">
        <f>IF(ISBLANK(Materials!F73),"",Materials!F73)</f>
        <v>GCP</v>
      </c>
      <c r="H73" s="293">
        <f>IF(ISBLANK(Materials!G73),"",Materials!G73)</f>
        <v>5400</v>
      </c>
      <c r="I73" s="72"/>
      <c r="J73" s="279"/>
      <c r="K73" s="275"/>
      <c r="L73" s="326" t="str">
        <f t="shared" ref="L73" si="427">IF(K73="Yes",0.5,"")</f>
        <v/>
      </c>
      <c r="M73" s="258"/>
      <c r="N73" s="276"/>
      <c r="O73" s="277"/>
      <c r="P73" s="393">
        <f t="shared" ref="P73" si="428">IF(V73&lt;=200,V73,IF(V73&gt;=201,200))*IFERROR(N73&lt;&gt;0,)</f>
        <v>0</v>
      </c>
      <c r="Q73" s="336" t="e">
        <f t="shared" ref="Q73" si="429">IF(S73&lt;=1,S73,IF(S73&gt;2,S73-1,S73*1))</f>
        <v>#VALUE!</v>
      </c>
      <c r="R73" s="404" t="str">
        <f t="shared" ref="R73" si="430">IF(N73="Material Ingredient Screening &amp; Optimisation Action Plan",0.5,IF(N73="Advanced Inventory &amp; Assessment",1,IF(N73="Material Ingredient Optimisation",1.5,IF(N73="REACH",1,IF(N73="Global Green Tag",1,"")))))</f>
        <v/>
      </c>
      <c r="S73" s="403" t="str">
        <f t="shared" ref="S73" si="431">IF(O73="Yes",R73*2,R73)</f>
        <v/>
      </c>
      <c r="T73" s="398" t="b">
        <f t="shared" ref="T73" si="432">IF(OR(N73="Material Ingredient Screening &amp; Optimisation Action Plan"),H73*0.5,IF(OR(N73="Advanced Inventory &amp; Assessment"),H73*1,IF(OR(N73="Material Ingredient Optimisation"),H73*1.5,IF(OR(N73="REACH"),H73*1,IF(OR(N73="Global Green Tag"),H73*1)))))</f>
        <v>0</v>
      </c>
      <c r="U73" s="396">
        <f>IF(N73="Material Ingredient Screening &amp; Optimisation Action Plan",H73*0.5/Materials!$G$112*100,IF(N73="Advanced Inventory &amp; Assessment",H73/Materials!$G$112*100,IF(N73="Material Ingredient Optimisation",H73*1.5/Materials!$G$112*100,IF(N73="REACH",H73*1/Materials!$G$112*100,IF(N73="Global Green Tag",H73*1/Materials!$G$112*100)))))*IFERROR(N73&lt;&gt;0,)</f>
        <v>0</v>
      </c>
      <c r="V73" s="397">
        <f t="shared" ref="V73" si="433">IF(O73="Yes",U73*2,U73)</f>
        <v>0</v>
      </c>
    </row>
    <row r="74" spans="1:22" s="68" customFormat="1" ht="12.75" x14ac:dyDescent="0.2">
      <c r="A74" s="80">
        <f t="shared" ref="A74" si="434">IF(H74&gt;=0,0,1)</f>
        <v>0</v>
      </c>
      <c r="B74" s="369" t="str">
        <f>IF(ISBLANK(Materials!B74),"",Materials!B74)</f>
        <v xml:space="preserve">CMU </v>
      </c>
      <c r="C74" s="355" t="str">
        <f>IF(ISBLANK(Materials!C74),"",Materials!C74)</f>
        <v>042000</v>
      </c>
      <c r="D74" s="355" t="str">
        <f>IF(ISBLANK(Materials!D74),"",Materials!D74)</f>
        <v/>
      </c>
      <c r="E74" s="370" t="str">
        <f>IF(ISBLANK(Materials!E74),"",Materials!E74)</f>
        <v>Ground Face Series</v>
      </c>
      <c r="F74" s="433"/>
      <c r="G74" s="371" t="str">
        <f>IF(ISBLANK(Materials!F74),"",Materials!F74)</f>
        <v>Best Block</v>
      </c>
      <c r="H74" s="293">
        <f>IF(ISBLANK(Materials!G74),"",Materials!G74)</f>
        <v>28055</v>
      </c>
      <c r="I74" s="72"/>
      <c r="J74" s="279"/>
      <c r="K74" s="275"/>
      <c r="L74" s="326" t="str">
        <f t="shared" ref="L74" si="435">IF(K74="Yes",0.5,"")</f>
        <v/>
      </c>
      <c r="M74" s="258"/>
      <c r="N74" s="276"/>
      <c r="O74" s="277"/>
      <c r="P74" s="393">
        <f t="shared" ref="P74" si="436">IF(V74&lt;=200,V74,IF(V74&gt;=201,200))*IFERROR(N74&lt;&gt;0,)</f>
        <v>0</v>
      </c>
      <c r="Q74" s="336" t="e">
        <f t="shared" ref="Q74" si="437">IF(S74&lt;=1,S74,IF(S74&gt;2,S74-1,S74*1))</f>
        <v>#VALUE!</v>
      </c>
      <c r="R74" s="404" t="str">
        <f t="shared" ref="R74" si="438">IF(N74="Material Ingredient Screening &amp; Optimisation Action Plan",0.5,IF(N74="Advanced Inventory &amp; Assessment",1,IF(N74="Material Ingredient Optimisation",1.5,IF(N74="REACH",1,IF(N74="Global Green Tag",1,"")))))</f>
        <v/>
      </c>
      <c r="S74" s="403" t="str">
        <f t="shared" ref="S74" si="439">IF(O74="Yes",R74*2,R74)</f>
        <v/>
      </c>
      <c r="T74" s="398" t="b">
        <f t="shared" ref="T74" si="440">IF(OR(N74="Material Ingredient Screening &amp; Optimisation Action Plan"),H74*0.5,IF(OR(N74="Advanced Inventory &amp; Assessment"),H74*1,IF(OR(N74="Material Ingredient Optimisation"),H74*1.5,IF(OR(N74="REACH"),H74*1,IF(OR(N74="Global Green Tag"),H74*1)))))</f>
        <v>0</v>
      </c>
      <c r="U74" s="396">
        <f>IF(N74="Material Ingredient Screening &amp; Optimisation Action Plan",H74*0.5/Materials!$G$112*100,IF(N74="Advanced Inventory &amp; Assessment",H74/Materials!$G$112*100,IF(N74="Material Ingredient Optimisation",H74*1.5/Materials!$G$112*100,IF(N74="REACH",H74*1/Materials!$G$112*100,IF(N74="Global Green Tag",H74*1/Materials!$G$112*100)))))*IFERROR(N74&lt;&gt;0,)</f>
        <v>0</v>
      </c>
      <c r="V74" s="397">
        <f t="shared" ref="V74" si="441">IF(O74="Yes",U74*2,U74)</f>
        <v>0</v>
      </c>
    </row>
    <row r="75" spans="1:22" s="68" customFormat="1" ht="24" x14ac:dyDescent="0.2">
      <c r="A75" s="80">
        <f t="shared" ref="A75" si="442">IF(H75&gt;=0,0,1)</f>
        <v>0</v>
      </c>
      <c r="B75" s="369" t="str">
        <f>IF(ISBLANK(Materials!B75),"",Materials!B75)</f>
        <v xml:space="preserve">Mineral Wool Insulation </v>
      </c>
      <c r="C75" s="355" t="str">
        <f>IF(ISBLANK(Materials!C75),"",Materials!C75)</f>
        <v>072100, 074213</v>
      </c>
      <c r="D75" s="355" t="str">
        <f>IF(ISBLANK(Materials!D75),"",Materials!D75)</f>
        <v/>
      </c>
      <c r="E75" s="370" t="str">
        <f>IF(ISBLANK(Materials!E75),"",Materials!E75)</f>
        <v>Cavityrock</v>
      </c>
      <c r="F75" s="433"/>
      <c r="G75" s="371" t="str">
        <f>IF(ISBLANK(Materials!F75),"",Materials!F75)</f>
        <v>Rockwool</v>
      </c>
      <c r="H75" s="293">
        <f>IF(ISBLANK(Materials!G75),"",Materials!G75)</f>
        <v>0</v>
      </c>
      <c r="I75" s="72"/>
      <c r="J75" s="279"/>
      <c r="K75" s="275"/>
      <c r="L75" s="326" t="str">
        <f t="shared" ref="L75" si="443">IF(K75="Yes",0.5,"")</f>
        <v/>
      </c>
      <c r="M75" s="258"/>
      <c r="N75" s="276"/>
      <c r="O75" s="277"/>
      <c r="P75" s="393">
        <f t="shared" ref="P75" si="444">IF(V75&lt;=200,V75,IF(V75&gt;=201,200))*IFERROR(N75&lt;&gt;0,)</f>
        <v>0</v>
      </c>
      <c r="Q75" s="336" t="e">
        <f t="shared" ref="Q75" si="445">IF(S75&lt;=1,S75,IF(S75&gt;2,S75-1,S75*1))</f>
        <v>#VALUE!</v>
      </c>
      <c r="R75" s="404" t="str">
        <f t="shared" ref="R75" si="446">IF(N75="Material Ingredient Screening &amp; Optimisation Action Plan",0.5,IF(N75="Advanced Inventory &amp; Assessment",1,IF(N75="Material Ingredient Optimisation",1.5,IF(N75="REACH",1,IF(N75="Global Green Tag",1,"")))))</f>
        <v/>
      </c>
      <c r="S75" s="403" t="str">
        <f t="shared" ref="S75" si="447">IF(O75="Yes",R75*2,R75)</f>
        <v/>
      </c>
      <c r="T75" s="398" t="b">
        <f t="shared" ref="T75" si="448">IF(OR(N75="Material Ingredient Screening &amp; Optimisation Action Plan"),H75*0.5,IF(OR(N75="Advanced Inventory &amp; Assessment"),H75*1,IF(OR(N75="Material Ingredient Optimisation"),H75*1.5,IF(OR(N75="REACH"),H75*1,IF(OR(N75="Global Green Tag"),H75*1)))))</f>
        <v>0</v>
      </c>
      <c r="U75" s="396">
        <f>IF(N75="Material Ingredient Screening &amp; Optimisation Action Plan",H75*0.5/Materials!$G$112*100,IF(N75="Advanced Inventory &amp; Assessment",H75/Materials!$G$112*100,IF(N75="Material Ingredient Optimisation",H75*1.5/Materials!$G$112*100,IF(N75="REACH",H75*1/Materials!$G$112*100,IF(N75="Global Green Tag",H75*1/Materials!$G$112*100)))))*IFERROR(N75&lt;&gt;0,)</f>
        <v>0</v>
      </c>
      <c r="V75" s="397">
        <f t="shared" ref="V75" si="449">IF(O75="Yes",U75*2,U75)</f>
        <v>0</v>
      </c>
    </row>
    <row r="76" spans="1:22" s="68" customFormat="1" ht="12.75" x14ac:dyDescent="0.2">
      <c r="A76" s="80">
        <f t="shared" ref="A76" si="450">IF(H76&gt;=0,0,1)</f>
        <v>0</v>
      </c>
      <c r="B76" s="369" t="str">
        <f>IF(ISBLANK(Materials!B76),"",Materials!B76)</f>
        <v xml:space="preserve">Polyiso Insulation </v>
      </c>
      <c r="C76" s="355" t="str">
        <f>IF(ISBLANK(Materials!C76),"",Materials!C76)</f>
        <v>075216</v>
      </c>
      <c r="D76" s="355" t="str">
        <f>IF(ISBLANK(Materials!D76),"",Materials!D76)</f>
        <v/>
      </c>
      <c r="E76" s="370" t="str">
        <f>IF(ISBLANK(Materials!E76),"",Materials!E76)</f>
        <v>Energyguard, Energyguard Y Panel</v>
      </c>
      <c r="F76" s="433"/>
      <c r="G76" s="371" t="str">
        <f>IF(ISBLANK(Materials!F76),"",Materials!F76)</f>
        <v>GAF</v>
      </c>
      <c r="H76" s="293">
        <f>IF(ISBLANK(Materials!G76),"",Materials!G76)</f>
        <v>0</v>
      </c>
      <c r="I76" s="72"/>
      <c r="J76" s="279"/>
      <c r="K76" s="275"/>
      <c r="L76" s="326" t="str">
        <f t="shared" ref="L76" si="451">IF(K76="Yes",0.5,"")</f>
        <v/>
      </c>
      <c r="M76" s="258"/>
      <c r="N76" s="276"/>
      <c r="O76" s="277"/>
      <c r="P76" s="393">
        <f t="shared" ref="P76" si="452">IF(V76&lt;=200,V76,IF(V76&gt;=201,200))*IFERROR(N76&lt;&gt;0,)</f>
        <v>0</v>
      </c>
      <c r="Q76" s="336" t="e">
        <f t="shared" ref="Q76" si="453">IF(S76&lt;=1,S76,IF(S76&gt;2,S76-1,S76*1))</f>
        <v>#VALUE!</v>
      </c>
      <c r="R76" s="404" t="str">
        <f t="shared" ref="R76" si="454">IF(N76="Material Ingredient Screening &amp; Optimisation Action Plan",0.5,IF(N76="Advanced Inventory &amp; Assessment",1,IF(N76="Material Ingredient Optimisation",1.5,IF(N76="REACH",1,IF(N76="Global Green Tag",1,"")))))</f>
        <v/>
      </c>
      <c r="S76" s="403" t="str">
        <f t="shared" ref="S76" si="455">IF(O76="Yes",R76*2,R76)</f>
        <v/>
      </c>
      <c r="T76" s="398" t="b">
        <f t="shared" ref="T76" si="456">IF(OR(N76="Material Ingredient Screening &amp; Optimisation Action Plan"),H76*0.5,IF(OR(N76="Advanced Inventory &amp; Assessment"),H76*1,IF(OR(N76="Material Ingredient Optimisation"),H76*1.5,IF(OR(N76="REACH"),H76*1,IF(OR(N76="Global Green Tag"),H76*1)))))</f>
        <v>0</v>
      </c>
      <c r="U76" s="396">
        <f>IF(N76="Material Ingredient Screening &amp; Optimisation Action Plan",H76*0.5/Materials!$G$112*100,IF(N76="Advanced Inventory &amp; Assessment",H76/Materials!$G$112*100,IF(N76="Material Ingredient Optimisation",H76*1.5/Materials!$G$112*100,IF(N76="REACH",H76*1/Materials!$G$112*100,IF(N76="Global Green Tag",H76*1/Materials!$G$112*100)))))*IFERROR(N76&lt;&gt;0,)</f>
        <v>0</v>
      </c>
      <c r="V76" s="397">
        <f t="shared" ref="V76" si="457">IF(O76="Yes",U76*2,U76)</f>
        <v>0</v>
      </c>
    </row>
    <row r="77" spans="1:22" s="68" customFormat="1" ht="12.75" x14ac:dyDescent="0.2">
      <c r="A77" s="80">
        <f t="shared" ref="A77" si="458">IF(H77&gt;=0,0,1)</f>
        <v>0</v>
      </c>
      <c r="B77" s="369" t="str">
        <f>IF(ISBLANK(Materials!B77),"",Materials!B77)</f>
        <v xml:space="preserve">Polyiso Insulation </v>
      </c>
      <c r="C77" s="355" t="str">
        <f>IF(ISBLANK(Materials!C77),"",Materials!C77)</f>
        <v>075216</v>
      </c>
      <c r="D77" s="355" t="str">
        <f>IF(ISBLANK(Materials!D77),"",Materials!D77)</f>
        <v/>
      </c>
      <c r="E77" s="370" t="str">
        <f>IF(ISBLANK(Materials!E77),"",Materials!E77)</f>
        <v>Energyguard X Panel</v>
      </c>
      <c r="F77" s="433"/>
      <c r="G77" s="371" t="str">
        <f>IF(ISBLANK(Materials!F77),"",Materials!F77)</f>
        <v>GAF</v>
      </c>
      <c r="H77" s="293">
        <f>IF(ISBLANK(Materials!G77),"",Materials!G77)</f>
        <v>0</v>
      </c>
      <c r="I77" s="72"/>
      <c r="J77" s="279"/>
      <c r="K77" s="275"/>
      <c r="L77" s="326" t="str">
        <f t="shared" ref="L77" si="459">IF(K77="Yes",0.5,"")</f>
        <v/>
      </c>
      <c r="M77" s="258"/>
      <c r="N77" s="276"/>
      <c r="O77" s="277"/>
      <c r="P77" s="393">
        <f t="shared" ref="P77" si="460">IF(V77&lt;=200,V77,IF(V77&gt;=201,200))*IFERROR(N77&lt;&gt;0,)</f>
        <v>0</v>
      </c>
      <c r="Q77" s="336" t="e">
        <f t="shared" ref="Q77" si="461">IF(S77&lt;=1,S77,IF(S77&gt;2,S77-1,S77*1))</f>
        <v>#VALUE!</v>
      </c>
      <c r="R77" s="404" t="str">
        <f t="shared" ref="R77" si="462">IF(N77="Material Ingredient Screening &amp; Optimisation Action Plan",0.5,IF(N77="Advanced Inventory &amp; Assessment",1,IF(N77="Material Ingredient Optimisation",1.5,IF(N77="REACH",1,IF(N77="Global Green Tag",1,"")))))</f>
        <v/>
      </c>
      <c r="S77" s="403" t="str">
        <f t="shared" ref="S77" si="463">IF(O77="Yes",R77*2,R77)</f>
        <v/>
      </c>
      <c r="T77" s="398" t="b">
        <f t="shared" ref="T77" si="464">IF(OR(N77="Material Ingredient Screening &amp; Optimisation Action Plan"),H77*0.5,IF(OR(N77="Advanced Inventory &amp; Assessment"),H77*1,IF(OR(N77="Material Ingredient Optimisation"),H77*1.5,IF(OR(N77="REACH"),H77*1,IF(OR(N77="Global Green Tag"),H77*1)))))</f>
        <v>0</v>
      </c>
      <c r="U77" s="396">
        <f>IF(N77="Material Ingredient Screening &amp; Optimisation Action Plan",H77*0.5/Materials!$G$112*100,IF(N77="Advanced Inventory &amp; Assessment",H77/Materials!$G$112*100,IF(N77="Material Ingredient Optimisation",H77*1.5/Materials!$G$112*100,IF(N77="REACH",H77*1/Materials!$G$112*100,IF(N77="Global Green Tag",H77*1/Materials!$G$112*100)))))*IFERROR(N77&lt;&gt;0,)</f>
        <v>0</v>
      </c>
      <c r="V77" s="397">
        <f t="shared" ref="V77" si="465">IF(O77="Yes",U77*2,U77)</f>
        <v>0</v>
      </c>
    </row>
    <row r="78" spans="1:22" s="68" customFormat="1" ht="12.75" x14ac:dyDescent="0.2">
      <c r="A78" s="80">
        <f t="shared" ref="A78" si="466">IF(H78&gt;=0,0,1)</f>
        <v>0</v>
      </c>
      <c r="B78" s="369" t="str">
        <f>IF(ISBLANK(Materials!B78),"",Materials!B78)</f>
        <v xml:space="preserve">Polyiso Insulation </v>
      </c>
      <c r="C78" s="355" t="str">
        <f>IF(ISBLANK(Materials!C78),"",Materials!C78)</f>
        <v>075216</v>
      </c>
      <c r="D78" s="355" t="str">
        <f>IF(ISBLANK(Materials!D78),"",Materials!D78)</f>
        <v/>
      </c>
      <c r="E78" s="370" t="str">
        <f>IF(ISBLANK(Materials!E78),"",Materials!E78)</f>
        <v>Energyguard Q Panel</v>
      </c>
      <c r="F78" s="433"/>
      <c r="G78" s="371" t="str">
        <f>IF(ISBLANK(Materials!F78),"",Materials!F78)</f>
        <v>GAF</v>
      </c>
      <c r="H78" s="293">
        <f>IF(ISBLANK(Materials!G78),"",Materials!G78)</f>
        <v>0</v>
      </c>
      <c r="I78" s="72"/>
      <c r="J78" s="279"/>
      <c r="K78" s="275"/>
      <c r="L78" s="326" t="str">
        <f t="shared" ref="L78" si="467">IF(K78="Yes",0.5,"")</f>
        <v/>
      </c>
      <c r="M78" s="258"/>
      <c r="N78" s="276"/>
      <c r="O78" s="277"/>
      <c r="P78" s="393">
        <f t="shared" ref="P78" si="468">IF(V78&lt;=200,V78,IF(V78&gt;=201,200))*IFERROR(N78&lt;&gt;0,)</f>
        <v>0</v>
      </c>
      <c r="Q78" s="336" t="e">
        <f t="shared" ref="Q78" si="469">IF(S78&lt;=1,S78,IF(S78&gt;2,S78-1,S78*1))</f>
        <v>#VALUE!</v>
      </c>
      <c r="R78" s="404" t="str">
        <f t="shared" ref="R78" si="470">IF(N78="Material Ingredient Screening &amp; Optimisation Action Plan",0.5,IF(N78="Advanced Inventory &amp; Assessment",1,IF(N78="Material Ingredient Optimisation",1.5,IF(N78="REACH",1,IF(N78="Global Green Tag",1,"")))))</f>
        <v/>
      </c>
      <c r="S78" s="403" t="str">
        <f t="shared" ref="S78" si="471">IF(O78="Yes",R78*2,R78)</f>
        <v/>
      </c>
      <c r="T78" s="398" t="b">
        <f t="shared" ref="T78" si="472">IF(OR(N78="Material Ingredient Screening &amp; Optimisation Action Plan"),H78*0.5,IF(OR(N78="Advanced Inventory &amp; Assessment"),H78*1,IF(OR(N78="Material Ingredient Optimisation"),H78*1.5,IF(OR(N78="REACH"),H78*1,IF(OR(N78="Global Green Tag"),H78*1)))))</f>
        <v>0</v>
      </c>
      <c r="U78" s="396">
        <f>IF(N78="Material Ingredient Screening &amp; Optimisation Action Plan",H78*0.5/Materials!$G$112*100,IF(N78="Advanced Inventory &amp; Assessment",H78/Materials!$G$112*100,IF(N78="Material Ingredient Optimisation",H78*1.5/Materials!$G$112*100,IF(N78="REACH",H78*1/Materials!$G$112*100,IF(N78="Global Green Tag",H78*1/Materials!$G$112*100)))))*IFERROR(N78&lt;&gt;0,)</f>
        <v>0</v>
      </c>
      <c r="V78" s="397">
        <f t="shared" ref="V78" si="473">IF(O78="Yes",U78*2,U78)</f>
        <v>0</v>
      </c>
    </row>
    <row r="79" spans="1:22" s="68" customFormat="1" ht="24" x14ac:dyDescent="0.2">
      <c r="A79" s="80">
        <f t="shared" ref="A79" si="474">IF(H79&gt;=0,0,1)</f>
        <v>0</v>
      </c>
      <c r="B79" s="369" t="str">
        <f>IF(ISBLANK(Materials!B79),"",Materials!B79)</f>
        <v>SBS Modified Bitumen Membrane</v>
      </c>
      <c r="C79" s="355" t="str">
        <f>IF(ISBLANK(Materials!C79),"",Materials!C79)</f>
        <v>075216</v>
      </c>
      <c r="D79" s="355" t="str">
        <f>IF(ISBLANK(Materials!D79),"",Materials!D79)</f>
        <v/>
      </c>
      <c r="E79" s="370" t="str">
        <f>IF(ISBLANK(Materials!E79),"",Materials!E79)</f>
        <v>Ruberoid HW Smooth</v>
      </c>
      <c r="F79" s="433"/>
      <c r="G79" s="371" t="str">
        <f>IF(ISBLANK(Materials!F79),"",Materials!F79)</f>
        <v>GAF</v>
      </c>
      <c r="H79" s="293">
        <f>IF(ISBLANK(Materials!G79),"",Materials!G79)</f>
        <v>0</v>
      </c>
      <c r="I79" s="72"/>
      <c r="J79" s="279"/>
      <c r="K79" s="275"/>
      <c r="L79" s="326" t="str">
        <f t="shared" ref="L79" si="475">IF(K79="Yes",0.5,"")</f>
        <v/>
      </c>
      <c r="M79" s="258"/>
      <c r="N79" s="276"/>
      <c r="O79" s="277"/>
      <c r="P79" s="393">
        <f t="shared" ref="P79" si="476">IF(V79&lt;=200,V79,IF(V79&gt;=201,200))*IFERROR(N79&lt;&gt;0,)</f>
        <v>0</v>
      </c>
      <c r="Q79" s="336" t="e">
        <f t="shared" ref="Q79" si="477">IF(S79&lt;=1,S79,IF(S79&gt;2,S79-1,S79*1))</f>
        <v>#VALUE!</v>
      </c>
      <c r="R79" s="404" t="str">
        <f t="shared" ref="R79" si="478">IF(N79="Material Ingredient Screening &amp; Optimisation Action Plan",0.5,IF(N79="Advanced Inventory &amp; Assessment",1,IF(N79="Material Ingredient Optimisation",1.5,IF(N79="REACH",1,IF(N79="Global Green Tag",1,"")))))</f>
        <v/>
      </c>
      <c r="S79" s="403" t="str">
        <f t="shared" ref="S79" si="479">IF(O79="Yes",R79*2,R79)</f>
        <v/>
      </c>
      <c r="T79" s="398" t="b">
        <f t="shared" ref="T79" si="480">IF(OR(N79="Material Ingredient Screening &amp; Optimisation Action Plan"),H79*0.5,IF(OR(N79="Advanced Inventory &amp; Assessment"),H79*1,IF(OR(N79="Material Ingredient Optimisation"),H79*1.5,IF(OR(N79="REACH"),H79*1,IF(OR(N79="Global Green Tag"),H79*1)))))</f>
        <v>0</v>
      </c>
      <c r="U79" s="396">
        <f>IF(N79="Material Ingredient Screening &amp; Optimisation Action Plan",H79*0.5/Materials!$G$112*100,IF(N79="Advanced Inventory &amp; Assessment",H79/Materials!$G$112*100,IF(N79="Material Ingredient Optimisation",H79*1.5/Materials!$G$112*100,IF(N79="REACH",H79*1/Materials!$G$112*100,IF(N79="Global Green Tag",H79*1/Materials!$G$112*100)))))*IFERROR(N79&lt;&gt;0,)</f>
        <v>0</v>
      </c>
      <c r="V79" s="397">
        <f t="shared" ref="V79" si="481">IF(O79="Yes",U79*2,U79)</f>
        <v>0</v>
      </c>
    </row>
    <row r="80" spans="1:22" s="68" customFormat="1" ht="12.75" x14ac:dyDescent="0.2">
      <c r="A80" s="80">
        <f t="shared" ref="A80" si="482">IF(H80&gt;=0,0,1)</f>
        <v>0</v>
      </c>
      <c r="B80" s="369" t="str">
        <f>IF(ISBLANK(Materials!B80),"",Materials!B80)</f>
        <v>Fasteners &amp; Plates</v>
      </c>
      <c r="C80" s="355" t="str">
        <f>IF(ISBLANK(Materials!C80),"",Materials!C80)</f>
        <v>075216</v>
      </c>
      <c r="D80" s="355" t="str">
        <f>IF(ISBLANK(Materials!D80),"",Materials!D80)</f>
        <v/>
      </c>
      <c r="E80" s="370" t="str">
        <f>IF(ISBLANK(Materials!E80),"",Materials!E80)</f>
        <v>Drill-Tec</v>
      </c>
      <c r="F80" s="433"/>
      <c r="G80" s="371" t="str">
        <f>IF(ISBLANK(Materials!F80),"",Materials!F80)</f>
        <v>GAF</v>
      </c>
      <c r="H80" s="293">
        <f>IF(ISBLANK(Materials!G80),"",Materials!G80)</f>
        <v>0</v>
      </c>
      <c r="I80" s="72"/>
      <c r="J80" s="279"/>
      <c r="K80" s="275"/>
      <c r="L80" s="326" t="str">
        <f t="shared" ref="L80" si="483">IF(K80="Yes",0.5,"")</f>
        <v/>
      </c>
      <c r="M80" s="258"/>
      <c r="N80" s="276"/>
      <c r="O80" s="277"/>
      <c r="P80" s="393">
        <f t="shared" ref="P80" si="484">IF(V80&lt;=200,V80,IF(V80&gt;=201,200))*IFERROR(N80&lt;&gt;0,)</f>
        <v>0</v>
      </c>
      <c r="Q80" s="336" t="e">
        <f t="shared" ref="Q80" si="485">IF(S80&lt;=1,S80,IF(S80&gt;2,S80-1,S80*1))</f>
        <v>#VALUE!</v>
      </c>
      <c r="R80" s="404" t="str">
        <f t="shared" ref="R80" si="486">IF(N80="Material Ingredient Screening &amp; Optimisation Action Plan",0.5,IF(N80="Advanced Inventory &amp; Assessment",1,IF(N80="Material Ingredient Optimisation",1.5,IF(N80="REACH",1,IF(N80="Global Green Tag",1,"")))))</f>
        <v/>
      </c>
      <c r="S80" s="403" t="str">
        <f t="shared" ref="S80" si="487">IF(O80="Yes",R80*2,R80)</f>
        <v/>
      </c>
      <c r="T80" s="398" t="b">
        <f t="shared" ref="T80" si="488">IF(OR(N80="Material Ingredient Screening &amp; Optimisation Action Plan"),H80*0.5,IF(OR(N80="Advanced Inventory &amp; Assessment"),H80*1,IF(OR(N80="Material Ingredient Optimisation"),H80*1.5,IF(OR(N80="REACH"),H80*1,IF(OR(N80="Global Green Tag"),H80*1)))))</f>
        <v>0</v>
      </c>
      <c r="U80" s="396">
        <f>IF(N80="Material Ingredient Screening &amp; Optimisation Action Plan",H80*0.5/Materials!$G$112*100,IF(N80="Advanced Inventory &amp; Assessment",H80/Materials!$G$112*100,IF(N80="Material Ingredient Optimisation",H80*1.5/Materials!$G$112*100,IF(N80="REACH",H80*1/Materials!$G$112*100,IF(N80="Global Green Tag",H80*1/Materials!$G$112*100)))))*IFERROR(N80&lt;&gt;0,)</f>
        <v>0</v>
      </c>
      <c r="V80" s="397">
        <f t="shared" ref="V80" si="489">IF(O80="Yes",U80*2,U80)</f>
        <v>0</v>
      </c>
    </row>
    <row r="81" spans="1:22" s="68" customFormat="1" ht="12.75" x14ac:dyDescent="0.2">
      <c r="A81" s="80">
        <f t="shared" ref="A81" si="490">IF(H81&gt;=0,0,1)</f>
        <v>0</v>
      </c>
      <c r="B81" s="369" t="str">
        <f>IF(ISBLANK(Materials!B81),"",Materials!B81)</f>
        <v>Roof Insulation</v>
      </c>
      <c r="C81" s="355" t="str">
        <f>IF(ISBLANK(Materials!C81),"",Materials!C81)</f>
        <v>075216</v>
      </c>
      <c r="D81" s="355" t="str">
        <f>IF(ISBLANK(Materials!D81),"",Materials!D81)</f>
        <v/>
      </c>
      <c r="E81" s="370" t="str">
        <f>IF(ISBLANK(Materials!E81),"",Materials!E81)</f>
        <v>EnergyGuard Perlite Cant Strip</v>
      </c>
      <c r="F81" s="433"/>
      <c r="G81" s="371" t="str">
        <f>IF(ISBLANK(Materials!F81),"",Materials!F81)</f>
        <v>GAF</v>
      </c>
      <c r="H81" s="293">
        <f>IF(ISBLANK(Materials!G81),"",Materials!G81)</f>
        <v>0</v>
      </c>
      <c r="I81" s="72"/>
      <c r="J81" s="279"/>
      <c r="K81" s="275"/>
      <c r="L81" s="326" t="str">
        <f t="shared" ref="L81" si="491">IF(K81="Yes",0.5,"")</f>
        <v/>
      </c>
      <c r="M81" s="258"/>
      <c r="N81" s="276"/>
      <c r="O81" s="277"/>
      <c r="P81" s="393">
        <f t="shared" ref="P81" si="492">IF(V81&lt;=200,V81,IF(V81&gt;=201,200))*IFERROR(N81&lt;&gt;0,)</f>
        <v>0</v>
      </c>
      <c r="Q81" s="336" t="e">
        <f t="shared" ref="Q81" si="493">IF(S81&lt;=1,S81,IF(S81&gt;2,S81-1,S81*1))</f>
        <v>#VALUE!</v>
      </c>
      <c r="R81" s="404" t="str">
        <f t="shared" ref="R81" si="494">IF(N81="Material Ingredient Screening &amp; Optimisation Action Plan",0.5,IF(N81="Advanced Inventory &amp; Assessment",1,IF(N81="Material Ingredient Optimisation",1.5,IF(N81="REACH",1,IF(N81="Global Green Tag",1,"")))))</f>
        <v/>
      </c>
      <c r="S81" s="403" t="str">
        <f t="shared" ref="S81" si="495">IF(O81="Yes",R81*2,R81)</f>
        <v/>
      </c>
      <c r="T81" s="398" t="b">
        <f t="shared" ref="T81" si="496">IF(OR(N81="Material Ingredient Screening &amp; Optimisation Action Plan"),H81*0.5,IF(OR(N81="Advanced Inventory &amp; Assessment"),H81*1,IF(OR(N81="Material Ingredient Optimisation"),H81*1.5,IF(OR(N81="REACH"),H81*1,IF(OR(N81="Global Green Tag"),H81*1)))))</f>
        <v>0</v>
      </c>
      <c r="U81" s="396">
        <f>IF(N81="Material Ingredient Screening &amp; Optimisation Action Plan",H81*0.5/Materials!$G$112*100,IF(N81="Advanced Inventory &amp; Assessment",H81/Materials!$G$112*100,IF(N81="Material Ingredient Optimisation",H81*1.5/Materials!$G$112*100,IF(N81="REACH",H81*1/Materials!$G$112*100,IF(N81="Global Green Tag",H81*1/Materials!$G$112*100)))))*IFERROR(N81&lt;&gt;0,)</f>
        <v>0</v>
      </c>
      <c r="V81" s="397">
        <f t="shared" ref="V81" si="497">IF(O81="Yes",U81*2,U81)</f>
        <v>0</v>
      </c>
    </row>
    <row r="82" spans="1:22" s="68" customFormat="1" ht="24" x14ac:dyDescent="0.2">
      <c r="A82" s="80">
        <f t="shared" ref="A82" si="498">IF(H82&gt;=0,0,1)</f>
        <v>0</v>
      </c>
      <c r="B82" s="369" t="str">
        <f>IF(ISBLANK(Materials!B82),"",Materials!B82)</f>
        <v>SBS Modified Bitumen Membrane</v>
      </c>
      <c r="C82" s="355" t="str">
        <f>IF(ISBLANK(Materials!C82),"",Materials!C82)</f>
        <v>075216</v>
      </c>
      <c r="D82" s="355" t="str">
        <f>IF(ISBLANK(Materials!D82),"",Materials!D82)</f>
        <v/>
      </c>
      <c r="E82" s="370" t="str">
        <f>IF(ISBLANK(Materials!E82),"",Materials!E82)</f>
        <v>Ruberoid HW Plus Granule FR</v>
      </c>
      <c r="F82" s="433"/>
      <c r="G82" s="371" t="str">
        <f>IF(ISBLANK(Materials!F82),"",Materials!F82)</f>
        <v>GAF</v>
      </c>
      <c r="H82" s="293">
        <f>IF(ISBLANK(Materials!G82),"",Materials!G82)</f>
        <v>0</v>
      </c>
      <c r="I82" s="72"/>
      <c r="J82" s="279"/>
      <c r="K82" s="275"/>
      <c r="L82" s="326" t="str">
        <f t="shared" ref="L82" si="499">IF(K82="Yes",0.5,"")</f>
        <v/>
      </c>
      <c r="M82" s="258"/>
      <c r="N82" s="276"/>
      <c r="O82" s="277"/>
      <c r="P82" s="393">
        <f t="shared" ref="P82" si="500">IF(V82&lt;=200,V82,IF(V82&gt;=201,200))*IFERROR(N82&lt;&gt;0,)</f>
        <v>0</v>
      </c>
      <c r="Q82" s="336" t="e">
        <f t="shared" ref="Q82" si="501">IF(S82&lt;=1,S82,IF(S82&gt;2,S82-1,S82*1))</f>
        <v>#VALUE!</v>
      </c>
      <c r="R82" s="404" t="str">
        <f t="shared" ref="R82" si="502">IF(N82="Material Ingredient Screening &amp; Optimisation Action Plan",0.5,IF(N82="Advanced Inventory &amp; Assessment",1,IF(N82="Material Ingredient Optimisation",1.5,IF(N82="REACH",1,IF(N82="Global Green Tag",1,"")))))</f>
        <v/>
      </c>
      <c r="S82" s="403" t="str">
        <f t="shared" ref="S82" si="503">IF(O82="Yes",R82*2,R82)</f>
        <v/>
      </c>
      <c r="T82" s="398" t="b">
        <f t="shared" ref="T82" si="504">IF(OR(N82="Material Ingredient Screening &amp; Optimisation Action Plan"),H82*0.5,IF(OR(N82="Advanced Inventory &amp; Assessment"),H82*1,IF(OR(N82="Material Ingredient Optimisation"),H82*1.5,IF(OR(N82="REACH"),H82*1,IF(OR(N82="Global Green Tag"),H82*1)))))</f>
        <v>0</v>
      </c>
      <c r="U82" s="396">
        <f>IF(N82="Material Ingredient Screening &amp; Optimisation Action Plan",H82*0.5/Materials!$G$112*100,IF(N82="Advanced Inventory &amp; Assessment",H82/Materials!$G$112*100,IF(N82="Material Ingredient Optimisation",H82*1.5/Materials!$G$112*100,IF(N82="REACH",H82*1/Materials!$G$112*100,IF(N82="Global Green Tag",H82*1/Materials!$G$112*100)))))*IFERROR(N82&lt;&gt;0,)</f>
        <v>0</v>
      </c>
      <c r="V82" s="397">
        <f t="shared" ref="V82" si="505">IF(O82="Yes",U82*2,U82)</f>
        <v>0</v>
      </c>
    </row>
    <row r="83" spans="1:22" s="68" customFormat="1" ht="12.75" x14ac:dyDescent="0.2">
      <c r="A83" s="80">
        <f t="shared" ref="A83" si="506">IF(H83&gt;=0,0,1)</f>
        <v>0</v>
      </c>
      <c r="B83" s="369" t="str">
        <f>IF(ISBLANK(Materials!B83),"",Materials!B83)</f>
        <v xml:space="preserve">Sheet Metal Flashing </v>
      </c>
      <c r="C83" s="355" t="str">
        <f>IF(ISBLANK(Materials!C83),"",Materials!C83)</f>
        <v>076200</v>
      </c>
      <c r="D83" s="355" t="str">
        <f>IF(ISBLANK(Materials!D83),"",Materials!D83)</f>
        <v/>
      </c>
      <c r="E83" s="370" t="str">
        <f>IF(ISBLANK(Materials!E83),"",Materials!E83)</f>
        <v>Type 304</v>
      </c>
      <c r="F83" s="433"/>
      <c r="G83" s="371" t="str">
        <f>IF(ISBLANK(Materials!F83),"",Materials!F83)</f>
        <v>AK Steel</v>
      </c>
      <c r="H83" s="293">
        <f>IF(ISBLANK(Materials!G83),"",Materials!G83)</f>
        <v>0</v>
      </c>
      <c r="I83" s="72"/>
      <c r="J83" s="279"/>
      <c r="K83" s="275"/>
      <c r="L83" s="326" t="str">
        <f t="shared" ref="L83" si="507">IF(K83="Yes",0.5,"")</f>
        <v/>
      </c>
      <c r="M83" s="258"/>
      <c r="N83" s="276"/>
      <c r="O83" s="277"/>
      <c r="P83" s="393">
        <f t="shared" ref="P83" si="508">IF(V83&lt;=200,V83,IF(V83&gt;=201,200))*IFERROR(N83&lt;&gt;0,)</f>
        <v>0</v>
      </c>
      <c r="Q83" s="336" t="e">
        <f t="shared" ref="Q83" si="509">IF(S83&lt;=1,S83,IF(S83&gt;2,S83-1,S83*1))</f>
        <v>#VALUE!</v>
      </c>
      <c r="R83" s="404" t="str">
        <f t="shared" ref="R83" si="510">IF(N83="Material Ingredient Screening &amp; Optimisation Action Plan",0.5,IF(N83="Advanced Inventory &amp; Assessment",1,IF(N83="Material Ingredient Optimisation",1.5,IF(N83="REACH",1,IF(N83="Global Green Tag",1,"")))))</f>
        <v/>
      </c>
      <c r="S83" s="403" t="str">
        <f t="shared" ref="S83" si="511">IF(O83="Yes",R83*2,R83)</f>
        <v/>
      </c>
      <c r="T83" s="398" t="b">
        <f t="shared" ref="T83" si="512">IF(OR(N83="Material Ingredient Screening &amp; Optimisation Action Plan"),H83*0.5,IF(OR(N83="Advanced Inventory &amp; Assessment"),H83*1,IF(OR(N83="Material Ingredient Optimisation"),H83*1.5,IF(OR(N83="REACH"),H83*1,IF(OR(N83="Global Green Tag"),H83*1)))))</f>
        <v>0</v>
      </c>
      <c r="U83" s="396">
        <f>IF(N83="Material Ingredient Screening &amp; Optimisation Action Plan",H83*0.5/Materials!$G$112*100,IF(N83="Advanced Inventory &amp; Assessment",H83/Materials!$G$112*100,IF(N83="Material Ingredient Optimisation",H83*1.5/Materials!$G$112*100,IF(N83="REACH",H83*1/Materials!$G$112*100,IF(N83="Global Green Tag",H83*1/Materials!$G$112*100)))))*IFERROR(N83&lt;&gt;0,)</f>
        <v>0</v>
      </c>
      <c r="V83" s="397">
        <f t="shared" ref="V83" si="513">IF(O83="Yes",U83*2,U83)</f>
        <v>0</v>
      </c>
    </row>
    <row r="84" spans="1:22" s="68" customFormat="1" ht="36" x14ac:dyDescent="0.2">
      <c r="A84" s="80">
        <f t="shared" ref="A84" si="514">IF(H84&gt;=0,0,1)</f>
        <v>0</v>
      </c>
      <c r="B84" s="369" t="str">
        <f>IF(ISBLANK(Materials!B84),"",Materials!B84)</f>
        <v xml:space="preserve">Sheet Metal Flashing, Formed Metal Wall Panels </v>
      </c>
      <c r="C84" s="355" t="str">
        <f>IF(ISBLANK(Materials!C84),"",Materials!C84)</f>
        <v>076200, 074213</v>
      </c>
      <c r="D84" s="355" t="str">
        <f>IF(ISBLANK(Materials!D84),"",Materials!D84)</f>
        <v/>
      </c>
      <c r="E84" s="370" t="str">
        <f>IF(ISBLANK(Materials!E84),"",Materials!E84)</f>
        <v>Gauge Galvalume, S-Deck Panel</v>
      </c>
      <c r="F84" s="433"/>
      <c r="G84" s="371" t="str">
        <f>IF(ISBLANK(Materials!F84),"",Materials!F84)</f>
        <v>Berridge</v>
      </c>
      <c r="H84" s="293">
        <f>IF(ISBLANK(Materials!G84),"",Materials!G84)</f>
        <v>0</v>
      </c>
      <c r="I84" s="72"/>
      <c r="J84" s="279"/>
      <c r="K84" s="275"/>
      <c r="L84" s="326" t="str">
        <f t="shared" ref="L84" si="515">IF(K84="Yes",0.5,"")</f>
        <v/>
      </c>
      <c r="M84" s="258"/>
      <c r="N84" s="276"/>
      <c r="O84" s="277"/>
      <c r="P84" s="393">
        <f t="shared" ref="P84" si="516">IF(V84&lt;=200,V84,IF(V84&gt;=201,200))*IFERROR(N84&lt;&gt;0,)</f>
        <v>0</v>
      </c>
      <c r="Q84" s="336" t="e">
        <f t="shared" ref="Q84" si="517">IF(S84&lt;=1,S84,IF(S84&gt;2,S84-1,S84*1))</f>
        <v>#VALUE!</v>
      </c>
      <c r="R84" s="404" t="str">
        <f t="shared" ref="R84" si="518">IF(N84="Material Ingredient Screening &amp; Optimisation Action Plan",0.5,IF(N84="Advanced Inventory &amp; Assessment",1,IF(N84="Material Ingredient Optimisation",1.5,IF(N84="REACH",1,IF(N84="Global Green Tag",1,"")))))</f>
        <v/>
      </c>
      <c r="S84" s="403" t="str">
        <f t="shared" ref="S84" si="519">IF(O84="Yes",R84*2,R84)</f>
        <v/>
      </c>
      <c r="T84" s="398" t="b">
        <f t="shared" ref="T84" si="520">IF(OR(N84="Material Ingredient Screening &amp; Optimisation Action Plan"),H84*0.5,IF(OR(N84="Advanced Inventory &amp; Assessment"),H84*1,IF(OR(N84="Material Ingredient Optimisation"),H84*1.5,IF(OR(N84="REACH"),H84*1,IF(OR(N84="Global Green Tag"),H84*1)))))</f>
        <v>0</v>
      </c>
      <c r="U84" s="396">
        <f>IF(N84="Material Ingredient Screening &amp; Optimisation Action Plan",H84*0.5/Materials!$G$112*100,IF(N84="Advanced Inventory &amp; Assessment",H84/Materials!$G$112*100,IF(N84="Material Ingredient Optimisation",H84*1.5/Materials!$G$112*100,IF(N84="REACH",H84*1/Materials!$G$112*100,IF(N84="Global Green Tag",H84*1/Materials!$G$112*100)))))*IFERROR(N84&lt;&gt;0,)</f>
        <v>0</v>
      </c>
      <c r="V84" s="397">
        <f t="shared" ref="V84" si="521">IF(O84="Yes",U84*2,U84)</f>
        <v>0</v>
      </c>
    </row>
    <row r="85" spans="1:22" s="68" customFormat="1" ht="24" x14ac:dyDescent="0.2">
      <c r="A85" s="80">
        <f t="shared" ref="A85" si="522">IF(H85&gt;=0,0,1)</f>
        <v>0</v>
      </c>
      <c r="B85" s="369" t="str">
        <f>IF(ISBLANK(Materials!B85),"",Materials!B85)</f>
        <v xml:space="preserve">Expansion Joint Assemblies </v>
      </c>
      <c r="C85" s="355" t="str">
        <f>IF(ISBLANK(Materials!C85),"",Materials!C85)</f>
        <v>079513</v>
      </c>
      <c r="D85" s="355" t="str">
        <f>IF(ISBLANK(Materials!D85),"",Materials!D85)</f>
        <v/>
      </c>
      <c r="E85" s="370" t="str">
        <f>IF(ISBLANK(Materials!E85),"",Materials!E85)</f>
        <v>NBAF-2</v>
      </c>
      <c r="F85" s="433"/>
      <c r="G85" s="371" t="str">
        <f>IF(ISBLANK(Materials!F85),"",Materials!F85)</f>
        <v>Balco</v>
      </c>
      <c r="H85" s="293">
        <f>IF(ISBLANK(Materials!G85),"",Materials!G85)</f>
        <v>0</v>
      </c>
      <c r="I85" s="72"/>
      <c r="J85" s="279"/>
      <c r="K85" s="275"/>
      <c r="L85" s="326" t="str">
        <f t="shared" ref="L85" si="523">IF(K85="Yes",0.5,"")</f>
        <v/>
      </c>
      <c r="M85" s="258"/>
      <c r="N85" s="276"/>
      <c r="O85" s="277"/>
      <c r="P85" s="393">
        <f t="shared" ref="P85" si="524">IF(V85&lt;=200,V85,IF(V85&gt;=201,200))*IFERROR(N85&lt;&gt;0,)</f>
        <v>0</v>
      </c>
      <c r="Q85" s="336" t="e">
        <f t="shared" ref="Q85" si="525">IF(S85&lt;=1,S85,IF(S85&gt;2,S85-1,S85*1))</f>
        <v>#VALUE!</v>
      </c>
      <c r="R85" s="404" t="str">
        <f t="shared" ref="R85" si="526">IF(N85="Material Ingredient Screening &amp; Optimisation Action Plan",0.5,IF(N85="Advanced Inventory &amp; Assessment",1,IF(N85="Material Ingredient Optimisation",1.5,IF(N85="REACH",1,IF(N85="Global Green Tag",1,"")))))</f>
        <v/>
      </c>
      <c r="S85" s="403" t="str">
        <f t="shared" ref="S85" si="527">IF(O85="Yes",R85*2,R85)</f>
        <v/>
      </c>
      <c r="T85" s="398" t="b">
        <f t="shared" ref="T85" si="528">IF(OR(N85="Material Ingredient Screening &amp; Optimisation Action Plan"),H85*0.5,IF(OR(N85="Advanced Inventory &amp; Assessment"),H85*1,IF(OR(N85="Material Ingredient Optimisation"),H85*1.5,IF(OR(N85="REACH"),H85*1,IF(OR(N85="Global Green Tag"),H85*1)))))</f>
        <v>0</v>
      </c>
      <c r="U85" s="396">
        <f>IF(N85="Material Ingredient Screening &amp; Optimisation Action Plan",H85*0.5/Materials!$G$112*100,IF(N85="Advanced Inventory &amp; Assessment",H85/Materials!$G$112*100,IF(N85="Material Ingredient Optimisation",H85*1.5/Materials!$G$112*100,IF(N85="REACH",H85*1/Materials!$G$112*100,IF(N85="Global Green Tag",H85*1/Materials!$G$112*100)))))*IFERROR(N85&lt;&gt;0,)</f>
        <v>0</v>
      </c>
      <c r="V85" s="397">
        <f t="shared" ref="V85" si="529">IF(O85="Yes",U85*2,U85)</f>
        <v>0</v>
      </c>
    </row>
    <row r="86" spans="1:22" s="68" customFormat="1" ht="24" x14ac:dyDescent="0.2">
      <c r="A86" s="80">
        <f t="shared" ref="A86" si="530">IF(H86&gt;=0,0,1)</f>
        <v>0</v>
      </c>
      <c r="B86" s="369" t="str">
        <f>IF(ISBLANK(Materials!B86),"",Materials!B86)</f>
        <v xml:space="preserve">Expansion Joint Assemblies </v>
      </c>
      <c r="C86" s="355" t="str">
        <f>IF(ISBLANK(Materials!C86),"",Materials!C86)</f>
        <v>079513</v>
      </c>
      <c r="D86" s="355" t="str">
        <f>IF(ISBLANK(Materials!D86),"",Materials!D86)</f>
        <v/>
      </c>
      <c r="E86" s="370" t="str">
        <f>IF(ISBLANK(Materials!E86),"",Materials!E86)</f>
        <v>BCSW - 200</v>
      </c>
      <c r="F86" s="433"/>
      <c r="G86" s="371" t="str">
        <f>IF(ISBLANK(Materials!F86),"",Materials!F86)</f>
        <v>Balco</v>
      </c>
      <c r="H86" s="293">
        <f>IF(ISBLANK(Materials!G86),"",Materials!G86)</f>
        <v>0</v>
      </c>
      <c r="I86" s="72"/>
      <c r="J86" s="279"/>
      <c r="K86" s="275"/>
      <c r="L86" s="326" t="str">
        <f t="shared" ref="L86" si="531">IF(K86="Yes",0.5,"")</f>
        <v/>
      </c>
      <c r="M86" s="258"/>
      <c r="N86" s="276"/>
      <c r="O86" s="277"/>
      <c r="P86" s="393">
        <f t="shared" ref="P86" si="532">IF(V86&lt;=200,V86,IF(V86&gt;=201,200))*IFERROR(N86&lt;&gt;0,)</f>
        <v>0</v>
      </c>
      <c r="Q86" s="336" t="e">
        <f t="shared" ref="Q86" si="533">IF(S86&lt;=1,S86,IF(S86&gt;2,S86-1,S86*1))</f>
        <v>#VALUE!</v>
      </c>
      <c r="R86" s="404" t="str">
        <f t="shared" ref="R86" si="534">IF(N86="Material Ingredient Screening &amp; Optimisation Action Plan",0.5,IF(N86="Advanced Inventory &amp; Assessment",1,IF(N86="Material Ingredient Optimisation",1.5,IF(N86="REACH",1,IF(N86="Global Green Tag",1,"")))))</f>
        <v/>
      </c>
      <c r="S86" s="403" t="str">
        <f t="shared" ref="S86" si="535">IF(O86="Yes",R86*2,R86)</f>
        <v/>
      </c>
      <c r="T86" s="398" t="b">
        <f t="shared" ref="T86" si="536">IF(OR(N86="Material Ingredient Screening &amp; Optimisation Action Plan"),H86*0.5,IF(OR(N86="Advanced Inventory &amp; Assessment"),H86*1,IF(OR(N86="Material Ingredient Optimisation"),H86*1.5,IF(OR(N86="REACH"),H86*1,IF(OR(N86="Global Green Tag"),H86*1)))))</f>
        <v>0</v>
      </c>
      <c r="U86" s="396">
        <f>IF(N86="Material Ingredient Screening &amp; Optimisation Action Plan",H86*0.5/Materials!$G$112*100,IF(N86="Advanced Inventory &amp; Assessment",H86/Materials!$G$112*100,IF(N86="Material Ingredient Optimisation",H86*1.5/Materials!$G$112*100,IF(N86="REACH",H86*1/Materials!$G$112*100,IF(N86="Global Green Tag",H86*1/Materials!$G$112*100)))))*IFERROR(N86&lt;&gt;0,)</f>
        <v>0</v>
      </c>
      <c r="V86" s="397">
        <f t="shared" ref="V86" si="537">IF(O86="Yes",U86*2,U86)</f>
        <v>0</v>
      </c>
    </row>
    <row r="87" spans="1:22" s="68" customFormat="1" ht="24" x14ac:dyDescent="0.2">
      <c r="A87" s="80">
        <f t="shared" ref="A87" si="538">IF(H87&gt;=0,0,1)</f>
        <v>0</v>
      </c>
      <c r="B87" s="369" t="str">
        <f>IF(ISBLANK(Materials!B87),"",Materials!B87)</f>
        <v xml:space="preserve">Unit Masonry Anchors &amp; Ties </v>
      </c>
      <c r="C87" s="355" t="str">
        <f>IF(ISBLANK(Materials!C87),"",Materials!C87)</f>
        <v>042000</v>
      </c>
      <c r="D87" s="355" t="str">
        <f>IF(ISBLANK(Materials!D87),"",Materials!D87)</f>
        <v/>
      </c>
      <c r="E87" s="370" t="str">
        <f>IF(ISBLANK(Materials!E87),"",Materials!E87)</f>
        <v>315 Flexible Dovetail Brick Tie, HB-213-2X Veneer Anchors</v>
      </c>
      <c r="F87" s="433"/>
      <c r="G87" s="371" t="str">
        <f>IF(ISBLANK(Materials!F87),"",Materials!F87)</f>
        <v>Hohmann &amp; Barnard</v>
      </c>
      <c r="H87" s="293">
        <f>IF(ISBLANK(Materials!G87),"",Materials!G87)</f>
        <v>0</v>
      </c>
      <c r="I87" s="72"/>
      <c r="J87" s="279"/>
      <c r="K87" s="275"/>
      <c r="L87" s="326" t="str">
        <f t="shared" ref="L87" si="539">IF(K87="Yes",0.5,"")</f>
        <v/>
      </c>
      <c r="M87" s="258"/>
      <c r="N87" s="276"/>
      <c r="O87" s="277"/>
      <c r="P87" s="393">
        <f t="shared" ref="P87" si="540">IF(V87&lt;=200,V87,IF(V87&gt;=201,200))*IFERROR(N87&lt;&gt;0,)</f>
        <v>0</v>
      </c>
      <c r="Q87" s="336" t="e">
        <f t="shared" ref="Q87" si="541">IF(S87&lt;=1,S87,IF(S87&gt;2,S87-1,S87*1))</f>
        <v>#VALUE!</v>
      </c>
      <c r="R87" s="404" t="str">
        <f t="shared" ref="R87" si="542">IF(N87="Material Ingredient Screening &amp; Optimisation Action Plan",0.5,IF(N87="Advanced Inventory &amp; Assessment",1,IF(N87="Material Ingredient Optimisation",1.5,IF(N87="REACH",1,IF(N87="Global Green Tag",1,"")))))</f>
        <v/>
      </c>
      <c r="S87" s="403" t="str">
        <f t="shared" ref="S87" si="543">IF(O87="Yes",R87*2,R87)</f>
        <v/>
      </c>
      <c r="T87" s="398" t="b">
        <f t="shared" ref="T87" si="544">IF(OR(N87="Material Ingredient Screening &amp; Optimisation Action Plan"),H87*0.5,IF(OR(N87="Advanced Inventory &amp; Assessment"),H87*1,IF(OR(N87="Material Ingredient Optimisation"),H87*1.5,IF(OR(N87="REACH"),H87*1,IF(OR(N87="Global Green Tag"),H87*1)))))</f>
        <v>0</v>
      </c>
      <c r="U87" s="396">
        <f>IF(N87="Material Ingredient Screening &amp; Optimisation Action Plan",H87*0.5/Materials!$G$112*100,IF(N87="Advanced Inventory &amp; Assessment",H87/Materials!$G$112*100,IF(N87="Material Ingredient Optimisation",H87*1.5/Materials!$G$112*100,IF(N87="REACH",H87*1/Materials!$G$112*100,IF(N87="Global Green Tag",H87*1/Materials!$G$112*100)))))*IFERROR(N87&lt;&gt;0,)</f>
        <v>0</v>
      </c>
      <c r="V87" s="397">
        <f t="shared" ref="V87" si="545">IF(O87="Yes",U87*2,U87)</f>
        <v>0</v>
      </c>
    </row>
    <row r="88" spans="1:22" s="68" customFormat="1" ht="12.75" x14ac:dyDescent="0.2">
      <c r="A88" s="80">
        <f t="shared" ref="A88" si="546">IF(H88&gt;=0,0,1)</f>
        <v>0</v>
      </c>
      <c r="B88" s="369" t="str">
        <f>IF(ISBLANK(Materials!B88),"",Materials!B88)</f>
        <v>Metal Framing</v>
      </c>
      <c r="C88" s="355" t="str">
        <f>IF(ISBLANK(Materials!C88),"",Materials!C88)</f>
        <v>074213</v>
      </c>
      <c r="D88" s="355" t="str">
        <f>IF(ISBLANK(Materials!D88),"",Materials!D88)</f>
        <v/>
      </c>
      <c r="E88" s="370" t="str">
        <f>IF(ISBLANK(Materials!E88),"",Materials!E88)</f>
        <v>Custom Z-Furring Channel</v>
      </c>
      <c r="F88" s="433"/>
      <c r="G88" s="371" t="str">
        <f>IF(ISBLANK(Materials!F88),"",Materials!F88)</f>
        <v>ClarkDietrich</v>
      </c>
      <c r="H88" s="293">
        <f>IF(ISBLANK(Materials!G88),"",Materials!G88)</f>
        <v>0</v>
      </c>
      <c r="I88" s="72"/>
      <c r="J88" s="279"/>
      <c r="K88" s="275"/>
      <c r="L88" s="326" t="str">
        <f t="shared" ref="L88" si="547">IF(K88="Yes",0.5,"")</f>
        <v/>
      </c>
      <c r="M88" s="258"/>
      <c r="N88" s="276"/>
      <c r="O88" s="277"/>
      <c r="P88" s="393">
        <f t="shared" ref="P88" si="548">IF(V88&lt;=200,V88,IF(V88&gt;=201,200))*IFERROR(N88&lt;&gt;0,)</f>
        <v>0</v>
      </c>
      <c r="Q88" s="336" t="e">
        <f t="shared" ref="Q88" si="549">IF(S88&lt;=1,S88,IF(S88&gt;2,S88-1,S88*1))</f>
        <v>#VALUE!</v>
      </c>
      <c r="R88" s="404" t="str">
        <f t="shared" ref="R88" si="550">IF(N88="Material Ingredient Screening &amp; Optimisation Action Plan",0.5,IF(N88="Advanced Inventory &amp; Assessment",1,IF(N88="Material Ingredient Optimisation",1.5,IF(N88="REACH",1,IF(N88="Global Green Tag",1,"")))))</f>
        <v/>
      </c>
      <c r="S88" s="403" t="str">
        <f t="shared" ref="S88" si="551">IF(O88="Yes",R88*2,R88)</f>
        <v/>
      </c>
      <c r="T88" s="398" t="b">
        <f t="shared" ref="T88" si="552">IF(OR(N88="Material Ingredient Screening &amp; Optimisation Action Plan"),H88*0.5,IF(OR(N88="Advanced Inventory &amp; Assessment"),H88*1,IF(OR(N88="Material Ingredient Optimisation"),H88*1.5,IF(OR(N88="REACH"),H88*1,IF(OR(N88="Global Green Tag"),H88*1)))))</f>
        <v>0</v>
      </c>
      <c r="U88" s="396">
        <f>IF(N88="Material Ingredient Screening &amp; Optimisation Action Plan",H88*0.5/Materials!$G$112*100,IF(N88="Advanced Inventory &amp; Assessment",H88/Materials!$G$112*100,IF(N88="Material Ingredient Optimisation",H88*1.5/Materials!$G$112*100,IF(N88="REACH",H88*1/Materials!$G$112*100,IF(N88="Global Green Tag",H88*1/Materials!$G$112*100)))))*IFERROR(N88&lt;&gt;0,)</f>
        <v>0</v>
      </c>
      <c r="V88" s="397">
        <f t="shared" ref="V88" si="553">IF(O88="Yes",U88*2,U88)</f>
        <v>0</v>
      </c>
    </row>
    <row r="89" spans="1:22" s="68" customFormat="1" ht="12.75" x14ac:dyDescent="0.2">
      <c r="A89" s="80">
        <f t="shared" ref="A89" si="554">IF(H89&gt;=0,0,1)</f>
        <v>0</v>
      </c>
      <c r="B89" s="369" t="str">
        <f>IF(ISBLANK(Materials!B89),"",Materials!B89)</f>
        <v xml:space="preserve">Fasteners </v>
      </c>
      <c r="C89" s="355" t="str">
        <f>IF(ISBLANK(Materials!C89),"",Materials!C89)</f>
        <v>074213</v>
      </c>
      <c r="D89" s="355" t="str">
        <f>IF(ISBLANK(Materials!D89),"",Materials!D89)</f>
        <v/>
      </c>
      <c r="E89" s="370" t="str">
        <f>IF(ISBLANK(Materials!E89),"",Materials!E89)</f>
        <v>Concealor</v>
      </c>
      <c r="F89" s="433"/>
      <c r="G89" s="371" t="str">
        <f>IF(ISBLANK(Materials!F89),"",Materials!F89)</f>
        <v>Triangle Fastener</v>
      </c>
      <c r="H89" s="293">
        <f>IF(ISBLANK(Materials!G89),"",Materials!G89)</f>
        <v>0</v>
      </c>
      <c r="I89" s="72"/>
      <c r="J89" s="279"/>
      <c r="K89" s="275"/>
      <c r="L89" s="326" t="str">
        <f t="shared" ref="L89" si="555">IF(K89="Yes",0.5,"")</f>
        <v/>
      </c>
      <c r="M89" s="258"/>
      <c r="N89" s="276"/>
      <c r="O89" s="277"/>
      <c r="P89" s="393">
        <f t="shared" ref="P89" si="556">IF(V89&lt;=200,V89,IF(V89&gt;=201,200))*IFERROR(N89&lt;&gt;0,)</f>
        <v>0</v>
      </c>
      <c r="Q89" s="336" t="e">
        <f t="shared" ref="Q89" si="557">IF(S89&lt;=1,S89,IF(S89&gt;2,S89-1,S89*1))</f>
        <v>#VALUE!</v>
      </c>
      <c r="R89" s="404" t="str">
        <f t="shared" ref="R89" si="558">IF(N89="Material Ingredient Screening &amp; Optimisation Action Plan",0.5,IF(N89="Advanced Inventory &amp; Assessment",1,IF(N89="Material Ingredient Optimisation",1.5,IF(N89="REACH",1,IF(N89="Global Green Tag",1,"")))))</f>
        <v/>
      </c>
      <c r="S89" s="403" t="str">
        <f t="shared" ref="S89" si="559">IF(O89="Yes",R89*2,R89)</f>
        <v/>
      </c>
      <c r="T89" s="398" t="b">
        <f t="shared" ref="T89" si="560">IF(OR(N89="Material Ingredient Screening &amp; Optimisation Action Plan"),H89*0.5,IF(OR(N89="Advanced Inventory &amp; Assessment"),H89*1,IF(OR(N89="Material Ingredient Optimisation"),H89*1.5,IF(OR(N89="REACH"),H89*1,IF(OR(N89="Global Green Tag"),H89*1)))))</f>
        <v>0</v>
      </c>
      <c r="U89" s="396">
        <f>IF(N89="Material Ingredient Screening &amp; Optimisation Action Plan",H89*0.5/Materials!$G$112*100,IF(N89="Advanced Inventory &amp; Assessment",H89/Materials!$G$112*100,IF(N89="Material Ingredient Optimisation",H89*1.5/Materials!$G$112*100,IF(N89="REACH",H89*1/Materials!$G$112*100,IF(N89="Global Green Tag",H89*1/Materials!$G$112*100)))))*IFERROR(N89&lt;&gt;0,)</f>
        <v>0</v>
      </c>
      <c r="V89" s="397">
        <f t="shared" ref="V89" si="561">IF(O89="Yes",U89*2,U89)</f>
        <v>0</v>
      </c>
    </row>
    <row r="90" spans="1:22" s="68" customFormat="1" ht="12.75" x14ac:dyDescent="0.2">
      <c r="A90" s="80">
        <f t="shared" ref="A90" si="562">IF(H90&gt;=0,0,1)</f>
        <v>0</v>
      </c>
      <c r="B90" s="369" t="str">
        <f>IF(ISBLANK(Materials!B90),"",Materials!B90)</f>
        <v xml:space="preserve">Gypsum Roof Board </v>
      </c>
      <c r="C90" s="355" t="str">
        <f>IF(ISBLANK(Materials!C90),"",Materials!C90)</f>
        <v>075216</v>
      </c>
      <c r="D90" s="355" t="str">
        <f>IF(ISBLANK(Materials!D90),"",Materials!D90)</f>
        <v/>
      </c>
      <c r="E90" s="370" t="str">
        <f>IF(ISBLANK(Materials!E90),"",Materials!E90)</f>
        <v>Densdeck Prime</v>
      </c>
      <c r="F90" s="433"/>
      <c r="G90" s="371" t="str">
        <f>IF(ISBLANK(Materials!F90),"",Materials!F90)</f>
        <v>Georgia-Pacific</v>
      </c>
      <c r="H90" s="293">
        <f>IF(ISBLANK(Materials!G90),"",Materials!G90)</f>
        <v>0</v>
      </c>
      <c r="I90" s="72"/>
      <c r="J90" s="279"/>
      <c r="K90" s="275"/>
      <c r="L90" s="326" t="str">
        <f t="shared" ref="L90" si="563">IF(K90="Yes",0.5,"")</f>
        <v/>
      </c>
      <c r="M90" s="258"/>
      <c r="N90" s="276"/>
      <c r="O90" s="277"/>
      <c r="P90" s="393">
        <f t="shared" ref="P90" si="564">IF(V90&lt;=200,V90,IF(V90&gt;=201,200))*IFERROR(N90&lt;&gt;0,)</f>
        <v>0</v>
      </c>
      <c r="Q90" s="336" t="e">
        <f t="shared" ref="Q90" si="565">IF(S90&lt;=1,S90,IF(S90&gt;2,S90-1,S90*1))</f>
        <v>#VALUE!</v>
      </c>
      <c r="R90" s="404" t="str">
        <f t="shared" ref="R90" si="566">IF(N90="Material Ingredient Screening &amp; Optimisation Action Plan",0.5,IF(N90="Advanced Inventory &amp; Assessment",1,IF(N90="Material Ingredient Optimisation",1.5,IF(N90="REACH",1,IF(N90="Global Green Tag",1,"")))))</f>
        <v/>
      </c>
      <c r="S90" s="403" t="str">
        <f t="shared" ref="S90" si="567">IF(O90="Yes",R90*2,R90)</f>
        <v/>
      </c>
      <c r="T90" s="398" t="b">
        <f t="shared" ref="T90" si="568">IF(OR(N90="Material Ingredient Screening &amp; Optimisation Action Plan"),H90*0.5,IF(OR(N90="Advanced Inventory &amp; Assessment"),H90*1,IF(OR(N90="Material Ingredient Optimisation"),H90*1.5,IF(OR(N90="REACH"),H90*1,IF(OR(N90="Global Green Tag"),H90*1)))))</f>
        <v>0</v>
      </c>
      <c r="U90" s="396">
        <f>IF(N90="Material Ingredient Screening &amp; Optimisation Action Plan",H90*0.5/Materials!$G$112*100,IF(N90="Advanced Inventory &amp; Assessment",H90/Materials!$G$112*100,IF(N90="Material Ingredient Optimisation",H90*1.5/Materials!$G$112*100,IF(N90="REACH",H90*1/Materials!$G$112*100,IF(N90="Global Green Tag",H90*1/Materials!$G$112*100)))))*IFERROR(N90&lt;&gt;0,)</f>
        <v>0</v>
      </c>
      <c r="V90" s="397">
        <f t="shared" ref="V90" si="569">IF(O90="Yes",U90*2,U90)</f>
        <v>0</v>
      </c>
    </row>
    <row r="91" spans="1:22" s="68" customFormat="1" ht="12.75" x14ac:dyDescent="0.2">
      <c r="A91" s="80">
        <f t="shared" ref="A91" si="570">IF(H91&gt;=0,0,1)</f>
        <v>0</v>
      </c>
      <c r="B91" s="369" t="str">
        <f>IF(ISBLANK(Materials!B91),"",Materials!B91)</f>
        <v xml:space="preserve">Joint Firestopping </v>
      </c>
      <c r="C91" s="355" t="str">
        <f>IF(ISBLANK(Materials!C91),"",Materials!C91)</f>
        <v>078443</v>
      </c>
      <c r="D91" s="355" t="str">
        <f>IF(ISBLANK(Materials!D91),"",Materials!D91)</f>
        <v/>
      </c>
      <c r="E91" s="370" t="str">
        <f>IF(ISBLANK(Materials!E91),"",Materials!E91)</f>
        <v>SpecSeal AS200</v>
      </c>
      <c r="F91" s="433"/>
      <c r="G91" s="371" t="str">
        <f>IF(ISBLANK(Materials!F91),"",Materials!F91)</f>
        <v>STI</v>
      </c>
      <c r="H91" s="293">
        <f>IF(ISBLANK(Materials!G91),"",Materials!G91)</f>
        <v>0</v>
      </c>
      <c r="I91" s="72"/>
      <c r="J91" s="279"/>
      <c r="K91" s="275"/>
      <c r="L91" s="326" t="str">
        <f t="shared" ref="L91" si="571">IF(K91="Yes",0.5,"")</f>
        <v/>
      </c>
      <c r="M91" s="258"/>
      <c r="N91" s="276"/>
      <c r="O91" s="277"/>
      <c r="P91" s="393">
        <f t="shared" ref="P91" si="572">IF(V91&lt;=200,V91,IF(V91&gt;=201,200))*IFERROR(N91&lt;&gt;0,)</f>
        <v>0</v>
      </c>
      <c r="Q91" s="336" t="e">
        <f t="shared" ref="Q91" si="573">IF(S91&lt;=1,S91,IF(S91&gt;2,S91-1,S91*1))</f>
        <v>#VALUE!</v>
      </c>
      <c r="R91" s="404" t="str">
        <f t="shared" ref="R91" si="574">IF(N91="Material Ingredient Screening &amp; Optimisation Action Plan",0.5,IF(N91="Advanced Inventory &amp; Assessment",1,IF(N91="Material Ingredient Optimisation",1.5,IF(N91="REACH",1,IF(N91="Global Green Tag",1,"")))))</f>
        <v/>
      </c>
      <c r="S91" s="403" t="str">
        <f t="shared" ref="S91" si="575">IF(O91="Yes",R91*2,R91)</f>
        <v/>
      </c>
      <c r="T91" s="398" t="b">
        <f t="shared" ref="T91" si="576">IF(OR(N91="Material Ingredient Screening &amp; Optimisation Action Plan"),H91*0.5,IF(OR(N91="Advanced Inventory &amp; Assessment"),H91*1,IF(OR(N91="Material Ingredient Optimisation"),H91*1.5,IF(OR(N91="REACH"),H91*1,IF(OR(N91="Global Green Tag"),H91*1)))))</f>
        <v>0</v>
      </c>
      <c r="U91" s="396">
        <f>IF(N91="Material Ingredient Screening &amp; Optimisation Action Plan",H91*0.5/Materials!$G$112*100,IF(N91="Advanced Inventory &amp; Assessment",H91/Materials!$G$112*100,IF(N91="Material Ingredient Optimisation",H91*1.5/Materials!$G$112*100,IF(N91="REACH",H91*1/Materials!$G$112*100,IF(N91="Global Green Tag",H91*1/Materials!$G$112*100)))))*IFERROR(N91&lt;&gt;0,)</f>
        <v>0</v>
      </c>
      <c r="V91" s="397">
        <f t="shared" ref="V91" si="577">IF(O91="Yes",U91*2,U91)</f>
        <v>0</v>
      </c>
    </row>
    <row r="92" spans="1:22" s="68" customFormat="1" ht="12.75" x14ac:dyDescent="0.2">
      <c r="A92" s="80">
        <f t="shared" ref="A92" si="578">IF(H92&gt;=0,0,1)</f>
        <v>0</v>
      </c>
      <c r="B92" s="369" t="str">
        <f>IF(ISBLANK(Materials!B92),"",Materials!B92)</f>
        <v>Laminate</v>
      </c>
      <c r="C92" s="355" t="str">
        <f>IF(ISBLANK(Materials!C92),"",Materials!C92)</f>
        <v>081416</v>
      </c>
      <c r="D92" s="355" t="str">
        <f>IF(ISBLANK(Materials!D92),"",Materials!D92)</f>
        <v/>
      </c>
      <c r="E92" s="370" t="str">
        <f>IF(ISBLANK(Materials!E92),"",Materials!E92)</f>
        <v>Standard (cost included with wood door cost above)</v>
      </c>
      <c r="F92" s="433"/>
      <c r="G92" s="371" t="str">
        <f>IF(ISBLANK(Materials!F92),"",Materials!F92)</f>
        <v>Wilsonart</v>
      </c>
      <c r="H92" s="293" t="str">
        <f>IF(ISBLANK(Materials!G92),"",Materials!G92)</f>
        <v/>
      </c>
      <c r="I92" s="72"/>
      <c r="J92" s="279"/>
      <c r="K92" s="275"/>
      <c r="L92" s="326" t="str">
        <f t="shared" ref="L92" si="579">IF(K92="Yes",0.5,"")</f>
        <v/>
      </c>
      <c r="M92" s="258"/>
      <c r="N92" s="276"/>
      <c r="O92" s="277"/>
      <c r="P92" s="393">
        <f t="shared" ref="P92" si="580">IF(V92&lt;=200,V92,IF(V92&gt;=201,200))*IFERROR(N92&lt;&gt;0,)</f>
        <v>0</v>
      </c>
      <c r="Q92" s="336" t="e">
        <f t="shared" ref="Q92" si="581">IF(S92&lt;=1,S92,IF(S92&gt;2,S92-1,S92*1))</f>
        <v>#VALUE!</v>
      </c>
      <c r="R92" s="404" t="str">
        <f t="shared" ref="R92" si="582">IF(N92="Material Ingredient Screening &amp; Optimisation Action Plan",0.5,IF(N92="Advanced Inventory &amp; Assessment",1,IF(N92="Material Ingredient Optimisation",1.5,IF(N92="REACH",1,IF(N92="Global Green Tag",1,"")))))</f>
        <v/>
      </c>
      <c r="S92" s="403" t="str">
        <f t="shared" ref="S92" si="583">IF(O92="Yes",R92*2,R92)</f>
        <v/>
      </c>
      <c r="T92" s="398" t="b">
        <f t="shared" ref="T92" si="584">IF(OR(N92="Material Ingredient Screening &amp; Optimisation Action Plan"),H92*0.5,IF(OR(N92="Advanced Inventory &amp; Assessment"),H92*1,IF(OR(N92="Material Ingredient Optimisation"),H92*1.5,IF(OR(N92="REACH"),H92*1,IF(OR(N92="Global Green Tag"),H92*1)))))</f>
        <v>0</v>
      </c>
      <c r="U92" s="396">
        <f>IF(N92="Material Ingredient Screening &amp; Optimisation Action Plan",H92*0.5/Materials!$G$112*100,IF(N92="Advanced Inventory &amp; Assessment",H92/Materials!$G$112*100,IF(N92="Material Ingredient Optimisation",H92*1.5/Materials!$G$112*100,IF(N92="REACH",H92*1/Materials!$G$112*100,IF(N92="Global Green Tag",H92*1/Materials!$G$112*100)))))*IFERROR(N92&lt;&gt;0,)</f>
        <v>0</v>
      </c>
      <c r="V92" s="397">
        <f t="shared" ref="V92" si="585">IF(O92="Yes",U92*2,U92)</f>
        <v>0</v>
      </c>
    </row>
    <row r="93" spans="1:22" s="68" customFormat="1" ht="36" x14ac:dyDescent="0.2">
      <c r="A93" s="80">
        <f t="shared" ref="A93" si="586">IF(H93&gt;=0,0,1)</f>
        <v>0</v>
      </c>
      <c r="B93" s="369" t="str">
        <f>IF(ISBLANK(Materials!B93),"",Materials!B93)</f>
        <v>Aluminum-Framed Storefronts, Entranes &amp; Curtain Wall</v>
      </c>
      <c r="C93" s="355" t="str">
        <f>IF(ISBLANK(Materials!C93),"",Materials!C93)</f>
        <v>084113, 084413</v>
      </c>
      <c r="D93" s="355" t="str">
        <f>IF(ISBLANK(Materials!D93),"",Materials!D93)</f>
        <v/>
      </c>
      <c r="E93" s="370" t="str">
        <f>IF(ISBLANK(Materials!E93),"",Materials!E93)</f>
        <v>Encore, 500 &amp; 1600 Wall System 1 and 1600 Wall System 2</v>
      </c>
      <c r="F93" s="433"/>
      <c r="G93" s="371" t="str">
        <f>IF(ISBLANK(Materials!F93),"",Materials!F93)</f>
        <v>Kawneer</v>
      </c>
      <c r="H93" s="293">
        <f>IF(ISBLANK(Materials!G93),"",Materials!G93)</f>
        <v>0</v>
      </c>
      <c r="I93" s="72"/>
      <c r="J93" s="279"/>
      <c r="K93" s="275"/>
      <c r="L93" s="326" t="str">
        <f t="shared" ref="L93" si="587">IF(K93="Yes",0.5,"")</f>
        <v/>
      </c>
      <c r="M93" s="258"/>
      <c r="N93" s="276"/>
      <c r="O93" s="277"/>
      <c r="P93" s="393">
        <f t="shared" ref="P93" si="588">IF(V93&lt;=200,V93,IF(V93&gt;=201,200))*IFERROR(N93&lt;&gt;0,)</f>
        <v>0</v>
      </c>
      <c r="Q93" s="336" t="e">
        <f t="shared" ref="Q93" si="589">IF(S93&lt;=1,S93,IF(S93&gt;2,S93-1,S93*1))</f>
        <v>#VALUE!</v>
      </c>
      <c r="R93" s="404" t="str">
        <f t="shared" ref="R93" si="590">IF(N93="Material Ingredient Screening &amp; Optimisation Action Plan",0.5,IF(N93="Advanced Inventory &amp; Assessment",1,IF(N93="Material Ingredient Optimisation",1.5,IF(N93="REACH",1,IF(N93="Global Green Tag",1,"")))))</f>
        <v/>
      </c>
      <c r="S93" s="403" t="str">
        <f t="shared" ref="S93" si="591">IF(O93="Yes",R93*2,R93)</f>
        <v/>
      </c>
      <c r="T93" s="398" t="b">
        <f t="shared" ref="T93" si="592">IF(OR(N93="Material Ingredient Screening &amp; Optimisation Action Plan"),H93*0.5,IF(OR(N93="Advanced Inventory &amp; Assessment"),H93*1,IF(OR(N93="Material Ingredient Optimisation"),H93*1.5,IF(OR(N93="REACH"),H93*1,IF(OR(N93="Global Green Tag"),H93*1)))))</f>
        <v>0</v>
      </c>
      <c r="U93" s="396">
        <f>IF(N93="Material Ingredient Screening &amp; Optimisation Action Plan",H93*0.5/Materials!$G$112*100,IF(N93="Advanced Inventory &amp; Assessment",H93/Materials!$G$112*100,IF(N93="Material Ingredient Optimisation",H93*1.5/Materials!$G$112*100,IF(N93="REACH",H93*1/Materials!$G$112*100,IF(N93="Global Green Tag",H93*1/Materials!$G$112*100)))))*IFERROR(N93&lt;&gt;0,)</f>
        <v>0</v>
      </c>
      <c r="V93" s="397">
        <f t="shared" ref="V93" si="593">IF(O93="Yes",U93*2,U93)</f>
        <v>0</v>
      </c>
    </row>
    <row r="94" spans="1:22" s="68" customFormat="1" ht="12.75" x14ac:dyDescent="0.2">
      <c r="A94" s="80">
        <f t="shared" ref="A94" si="594">IF(H94&gt;=0,0,1)</f>
        <v>0</v>
      </c>
      <c r="B94" s="369" t="str">
        <f>IF(ISBLANK(Materials!B94),"",Materials!B94)</f>
        <v>Automatic Closer</v>
      </c>
      <c r="C94" s="355" t="str">
        <f>IF(ISBLANK(Materials!C94),"",Materials!C94)</f>
        <v>087100</v>
      </c>
      <c r="D94" s="355" t="str">
        <f>IF(ISBLANK(Materials!D94),"",Materials!D94)</f>
        <v/>
      </c>
      <c r="E94" s="370" t="str">
        <f>IF(ISBLANK(Materials!E94),"",Materials!E94)</f>
        <v>Auto Equalizer 4642 (cost n/a)</v>
      </c>
      <c r="F94" s="433"/>
      <c r="G94" s="371" t="str">
        <f>IF(ISBLANK(Materials!F94),"",Materials!F94)</f>
        <v>LCN-Allegion</v>
      </c>
      <c r="H94" s="293" t="str">
        <f>IF(ISBLANK(Materials!G94),"",Materials!G94)</f>
        <v/>
      </c>
      <c r="I94" s="72"/>
      <c r="J94" s="279"/>
      <c r="K94" s="275"/>
      <c r="L94" s="326" t="str">
        <f t="shared" ref="L94" si="595">IF(K94="Yes",0.5,"")</f>
        <v/>
      </c>
      <c r="M94" s="258"/>
      <c r="N94" s="276"/>
      <c r="O94" s="277"/>
      <c r="P94" s="393">
        <f t="shared" ref="P94" si="596">IF(V94&lt;=200,V94,IF(V94&gt;=201,200))*IFERROR(N94&lt;&gt;0,)</f>
        <v>0</v>
      </c>
      <c r="Q94" s="336" t="e">
        <f t="shared" ref="Q94" si="597">IF(S94&lt;=1,S94,IF(S94&gt;2,S94-1,S94*1))</f>
        <v>#VALUE!</v>
      </c>
      <c r="R94" s="404" t="str">
        <f t="shared" ref="R94" si="598">IF(N94="Material Ingredient Screening &amp; Optimisation Action Plan",0.5,IF(N94="Advanced Inventory &amp; Assessment",1,IF(N94="Material Ingredient Optimisation",1.5,IF(N94="REACH",1,IF(N94="Global Green Tag",1,"")))))</f>
        <v/>
      </c>
      <c r="S94" s="403" t="str">
        <f t="shared" ref="S94" si="599">IF(O94="Yes",R94*2,R94)</f>
        <v/>
      </c>
      <c r="T94" s="398" t="b">
        <f t="shared" ref="T94" si="600">IF(OR(N94="Material Ingredient Screening &amp; Optimisation Action Plan"),H94*0.5,IF(OR(N94="Advanced Inventory &amp; Assessment"),H94*1,IF(OR(N94="Material Ingredient Optimisation"),H94*1.5,IF(OR(N94="REACH"),H94*1,IF(OR(N94="Global Green Tag"),H94*1)))))</f>
        <v>0</v>
      </c>
      <c r="U94" s="396">
        <f>IF(N94="Material Ingredient Screening &amp; Optimisation Action Plan",H94*0.5/Materials!$G$112*100,IF(N94="Advanced Inventory &amp; Assessment",H94/Materials!$G$112*100,IF(N94="Material Ingredient Optimisation",H94*1.5/Materials!$G$112*100,IF(N94="REACH",H94*1/Materials!$G$112*100,IF(N94="Global Green Tag",H94*1/Materials!$G$112*100)))))*IFERROR(N94&lt;&gt;0,)</f>
        <v>0</v>
      </c>
      <c r="V94" s="397">
        <f t="shared" ref="V94" si="601">IF(O94="Yes",U94*2,U94)</f>
        <v>0</v>
      </c>
    </row>
    <row r="95" spans="1:22" s="68" customFormat="1" ht="12.75" x14ac:dyDescent="0.2">
      <c r="A95" s="80">
        <f t="shared" ref="A95" si="602">IF(H95&gt;=0,0,1)</f>
        <v>0</v>
      </c>
      <c r="B95" s="369" t="str">
        <f>IF(ISBLANK(Materials!B95),"",Materials!B95)</f>
        <v xml:space="preserve">Glazing </v>
      </c>
      <c r="C95" s="355" t="str">
        <f>IF(ISBLANK(Materials!C95),"",Materials!C95)</f>
        <v>088000</v>
      </c>
      <c r="D95" s="355" t="str">
        <f>IF(ISBLANK(Materials!D95),"",Materials!D95)</f>
        <v/>
      </c>
      <c r="E95" s="370" t="str">
        <f>IF(ISBLANK(Materials!E95),"",Materials!E95)</f>
        <v>Guardian Clear, Guardian SunGuard, Clear Insulated W/SNX 62/27, Insulated Spandrel W/SNX 62/27, Clear Tempered</v>
      </c>
      <c r="F95" s="433"/>
      <c r="G95" s="371" t="str">
        <f>IF(ISBLANK(Materials!F95),"",Materials!F95)</f>
        <v>OBE</v>
      </c>
      <c r="H95" s="293">
        <f>IF(ISBLANK(Materials!G95),"",Materials!G95)</f>
        <v>0</v>
      </c>
      <c r="I95" s="72"/>
      <c r="J95" s="279"/>
      <c r="K95" s="275"/>
      <c r="L95" s="326" t="str">
        <f t="shared" ref="L95" si="603">IF(K95="Yes",0.5,"")</f>
        <v/>
      </c>
      <c r="M95" s="258"/>
      <c r="N95" s="276"/>
      <c r="O95" s="277"/>
      <c r="P95" s="393">
        <f t="shared" ref="P95" si="604">IF(V95&lt;=200,V95,IF(V95&gt;=201,200))*IFERROR(N95&lt;&gt;0,)</f>
        <v>0</v>
      </c>
      <c r="Q95" s="336" t="e">
        <f t="shared" ref="Q95" si="605">IF(S95&lt;=1,S95,IF(S95&gt;2,S95-1,S95*1))</f>
        <v>#VALUE!</v>
      </c>
      <c r="R95" s="404" t="str">
        <f t="shared" ref="R95" si="606">IF(N95="Material Ingredient Screening &amp; Optimisation Action Plan",0.5,IF(N95="Advanced Inventory &amp; Assessment",1,IF(N95="Material Ingredient Optimisation",1.5,IF(N95="REACH",1,IF(N95="Global Green Tag",1,"")))))</f>
        <v/>
      </c>
      <c r="S95" s="403" t="str">
        <f t="shared" ref="S95" si="607">IF(O95="Yes",R95*2,R95)</f>
        <v/>
      </c>
      <c r="T95" s="398" t="b">
        <f t="shared" ref="T95" si="608">IF(OR(N95="Material Ingredient Screening &amp; Optimisation Action Plan"),H95*0.5,IF(OR(N95="Advanced Inventory &amp; Assessment"),H95*1,IF(OR(N95="Material Ingredient Optimisation"),H95*1.5,IF(OR(N95="REACH"),H95*1,IF(OR(N95="Global Green Tag"),H95*1)))))</f>
        <v>0</v>
      </c>
      <c r="U95" s="396">
        <f>IF(N95="Material Ingredient Screening &amp; Optimisation Action Plan",H95*0.5/Materials!$G$112*100,IF(N95="Advanced Inventory &amp; Assessment",H95/Materials!$G$112*100,IF(N95="Material Ingredient Optimisation",H95*1.5/Materials!$G$112*100,IF(N95="REACH",H95*1/Materials!$G$112*100,IF(N95="Global Green Tag",H95*1/Materials!$G$112*100)))))*IFERROR(N95&lt;&gt;0,)</f>
        <v>0</v>
      </c>
      <c r="V95" s="397">
        <f t="shared" ref="V95" si="609">IF(O95="Yes",U95*2,U95)</f>
        <v>0</v>
      </c>
    </row>
    <row r="96" spans="1:22" s="68" customFormat="1" ht="12.75" x14ac:dyDescent="0.2">
      <c r="A96" s="80">
        <f t="shared" ref="A96" si="610">IF(H96&gt;=0,0,1)</f>
        <v>0</v>
      </c>
      <c r="B96" s="369" t="str">
        <f>IF(ISBLANK(Materials!B96),"",Materials!B96)</f>
        <v xml:space="preserve">Metal Lath </v>
      </c>
      <c r="C96" s="355" t="str">
        <f>IF(ISBLANK(Materials!C96),"",Materials!C96)</f>
        <v>092400</v>
      </c>
      <c r="D96" s="355" t="str">
        <f>IF(ISBLANK(Materials!D96),"",Materials!D96)</f>
        <v/>
      </c>
      <c r="E96" s="370" t="str">
        <f>IF(ISBLANK(Materials!E96),"",Materials!E96)</f>
        <v>Self-Furred Diamond</v>
      </c>
      <c r="F96" s="433"/>
      <c r="G96" s="371" t="str">
        <f>IF(ISBLANK(Materials!F96),"",Materials!F96)</f>
        <v>Cemco</v>
      </c>
      <c r="H96" s="293">
        <f>IF(ISBLANK(Materials!G96),"",Materials!G96)</f>
        <v>0</v>
      </c>
      <c r="I96" s="72"/>
      <c r="J96" s="279"/>
      <c r="K96" s="275"/>
      <c r="L96" s="326" t="str">
        <f t="shared" ref="L96" si="611">IF(K96="Yes",0.5,"")</f>
        <v/>
      </c>
      <c r="M96" s="258"/>
      <c r="N96" s="276"/>
      <c r="O96" s="277"/>
      <c r="P96" s="393">
        <f t="shared" ref="P96" si="612">IF(V96&lt;=200,V96,IF(V96&gt;=201,200))*IFERROR(N96&lt;&gt;0,)</f>
        <v>0</v>
      </c>
      <c r="Q96" s="336" t="e">
        <f t="shared" ref="Q96" si="613">IF(S96&lt;=1,S96,IF(S96&gt;2,S96-1,S96*1))</f>
        <v>#VALUE!</v>
      </c>
      <c r="R96" s="404" t="str">
        <f t="shared" ref="R96" si="614">IF(N96="Material Ingredient Screening &amp; Optimisation Action Plan",0.5,IF(N96="Advanced Inventory &amp; Assessment",1,IF(N96="Material Ingredient Optimisation",1.5,IF(N96="REACH",1,IF(N96="Global Green Tag",1,"")))))</f>
        <v/>
      </c>
      <c r="S96" s="403" t="str">
        <f t="shared" ref="S96" si="615">IF(O96="Yes",R96*2,R96)</f>
        <v/>
      </c>
      <c r="T96" s="398" t="b">
        <f t="shared" ref="T96" si="616">IF(OR(N96="Material Ingredient Screening &amp; Optimisation Action Plan"),H96*0.5,IF(OR(N96="Advanced Inventory &amp; Assessment"),H96*1,IF(OR(N96="Material Ingredient Optimisation"),H96*1.5,IF(OR(N96="REACH"),H96*1,IF(OR(N96="Global Green Tag"),H96*1)))))</f>
        <v>0</v>
      </c>
      <c r="U96" s="396">
        <f>IF(N96="Material Ingredient Screening &amp; Optimisation Action Plan",H96*0.5/Materials!$G$112*100,IF(N96="Advanced Inventory &amp; Assessment",H96/Materials!$G$112*100,IF(N96="Material Ingredient Optimisation",H96*1.5/Materials!$G$112*100,IF(N96="REACH",H96*1/Materials!$G$112*100,IF(N96="Global Green Tag",H96*1/Materials!$G$112*100)))))*IFERROR(N96&lt;&gt;0,)</f>
        <v>0</v>
      </c>
      <c r="V96" s="397">
        <f t="shared" ref="V96" si="617">IF(O96="Yes",U96*2,U96)</f>
        <v>0</v>
      </c>
    </row>
    <row r="97" spans="1:22" s="68" customFormat="1" ht="12.75" x14ac:dyDescent="0.2">
      <c r="A97" s="80">
        <f t="shared" ref="A97" si="618">IF(H97&gt;=0,0,1)</f>
        <v>0</v>
      </c>
      <c r="B97" s="369" t="str">
        <f>IF(ISBLANK(Materials!B97),"",Materials!B97)</f>
        <v xml:space="preserve">Ceramic Wall Tiles </v>
      </c>
      <c r="C97" s="355" t="str">
        <f>IF(ISBLANK(Materials!C97),"",Materials!C97)</f>
        <v>093013</v>
      </c>
      <c r="D97" s="355" t="str">
        <f>IF(ISBLANK(Materials!D97),"",Materials!D97)</f>
        <v/>
      </c>
      <c r="E97" s="370" t="str">
        <f>IF(ISBLANK(Materials!E97),"",Materials!E97)</f>
        <v>?</v>
      </c>
      <c r="F97" s="433"/>
      <c r="G97" s="371" t="str">
        <f>IF(ISBLANK(Materials!F97),"",Materials!F97)</f>
        <v>Spec Mix?</v>
      </c>
      <c r="H97" s="293" t="str">
        <f>IF(ISBLANK(Materials!G97),"",Materials!G97)</f>
        <v/>
      </c>
      <c r="I97" s="72"/>
      <c r="J97" s="279"/>
      <c r="K97" s="275"/>
      <c r="L97" s="326" t="str">
        <f t="shared" ref="L97" si="619">IF(K97="Yes",0.5,"")</f>
        <v/>
      </c>
      <c r="M97" s="258"/>
      <c r="N97" s="276"/>
      <c r="O97" s="277"/>
      <c r="P97" s="393">
        <f t="shared" ref="P97" si="620">IF(V97&lt;=200,V97,IF(V97&gt;=201,200))*IFERROR(N97&lt;&gt;0,)</f>
        <v>0</v>
      </c>
      <c r="Q97" s="336" t="e">
        <f t="shared" ref="Q97" si="621">IF(S97&lt;=1,S97,IF(S97&gt;2,S97-1,S97*1))</f>
        <v>#VALUE!</v>
      </c>
      <c r="R97" s="404" t="str">
        <f t="shared" ref="R97" si="622">IF(N97="Material Ingredient Screening &amp; Optimisation Action Plan",0.5,IF(N97="Advanced Inventory &amp; Assessment",1,IF(N97="Material Ingredient Optimisation",1.5,IF(N97="REACH",1,IF(N97="Global Green Tag",1,"")))))</f>
        <v/>
      </c>
      <c r="S97" s="403" t="str">
        <f t="shared" ref="S97" si="623">IF(O97="Yes",R97*2,R97)</f>
        <v/>
      </c>
      <c r="T97" s="398" t="b">
        <f t="shared" ref="T97" si="624">IF(OR(N97="Material Ingredient Screening &amp; Optimisation Action Plan"),H97*0.5,IF(OR(N97="Advanced Inventory &amp; Assessment"),H97*1,IF(OR(N97="Material Ingredient Optimisation"),H97*1.5,IF(OR(N97="REACH"),H97*1,IF(OR(N97="Global Green Tag"),H97*1)))))</f>
        <v>0</v>
      </c>
      <c r="U97" s="396">
        <f>IF(N97="Material Ingredient Screening &amp; Optimisation Action Plan",H97*0.5/Materials!$G$112*100,IF(N97="Advanced Inventory &amp; Assessment",H97/Materials!$G$112*100,IF(N97="Material Ingredient Optimisation",H97*1.5/Materials!$G$112*100,IF(N97="REACH",H97*1/Materials!$G$112*100,IF(N97="Global Green Tag",H97*1/Materials!$G$112*100)))))*IFERROR(N97&lt;&gt;0,)</f>
        <v>0</v>
      </c>
      <c r="V97" s="397">
        <f t="shared" ref="V97" si="625">IF(O97="Yes",U97*2,U97)</f>
        <v>0</v>
      </c>
    </row>
    <row r="98" spans="1:22" s="68" customFormat="1" ht="12.75" x14ac:dyDescent="0.2">
      <c r="A98" s="80">
        <f t="shared" ref="A98" si="626">IF(H98&gt;=0,0,1)</f>
        <v>0</v>
      </c>
      <c r="B98" s="369" t="str">
        <f>IF(ISBLANK(Materials!B98),"",Materials!B98)</f>
        <v>Grout</v>
      </c>
      <c r="C98" s="355" t="str">
        <f>IF(ISBLANK(Materials!C98),"",Materials!C98)</f>
        <v>093013</v>
      </c>
      <c r="D98" s="355" t="str">
        <f>IF(ISBLANK(Materials!D98),"",Materials!D98)</f>
        <v/>
      </c>
      <c r="E98" s="370" t="str">
        <f>IF(ISBLANK(Materials!E98),"",Materials!E98)</f>
        <v>?</v>
      </c>
      <c r="F98" s="433"/>
      <c r="G98" s="371" t="str">
        <f>IF(ISBLANK(Materials!F98),"",Materials!F98)</f>
        <v>Laticrete</v>
      </c>
      <c r="H98" s="293" t="str">
        <f>IF(ISBLANK(Materials!G98),"",Materials!G98)</f>
        <v/>
      </c>
      <c r="I98" s="72"/>
      <c r="J98" s="279"/>
      <c r="K98" s="275"/>
      <c r="L98" s="326" t="str">
        <f t="shared" ref="L98" si="627">IF(K98="Yes",0.5,"")</f>
        <v/>
      </c>
      <c r="M98" s="258"/>
      <c r="N98" s="276"/>
      <c r="O98" s="277"/>
      <c r="P98" s="393">
        <f t="shared" ref="P98" si="628">IF(V98&lt;=200,V98,IF(V98&gt;=201,200))*IFERROR(N98&lt;&gt;0,)</f>
        <v>0</v>
      </c>
      <c r="Q98" s="336" t="e">
        <f t="shared" ref="Q98" si="629">IF(S98&lt;=1,S98,IF(S98&gt;2,S98-1,S98*1))</f>
        <v>#VALUE!</v>
      </c>
      <c r="R98" s="404" t="str">
        <f t="shared" ref="R98" si="630">IF(N98="Material Ingredient Screening &amp; Optimisation Action Plan",0.5,IF(N98="Advanced Inventory &amp; Assessment",1,IF(N98="Material Ingredient Optimisation",1.5,IF(N98="REACH",1,IF(N98="Global Green Tag",1,"")))))</f>
        <v/>
      </c>
      <c r="S98" s="403" t="str">
        <f t="shared" ref="S98" si="631">IF(O98="Yes",R98*2,R98)</f>
        <v/>
      </c>
      <c r="T98" s="398" t="b">
        <f t="shared" ref="T98" si="632">IF(OR(N98="Material Ingredient Screening &amp; Optimisation Action Plan"),H98*0.5,IF(OR(N98="Advanced Inventory &amp; Assessment"),H98*1,IF(OR(N98="Material Ingredient Optimisation"),H98*1.5,IF(OR(N98="REACH"),H98*1,IF(OR(N98="Global Green Tag"),H98*1)))))</f>
        <v>0</v>
      </c>
      <c r="U98" s="396">
        <f>IF(N98="Material Ingredient Screening &amp; Optimisation Action Plan",H98*0.5/Materials!$G$112*100,IF(N98="Advanced Inventory &amp; Assessment",H98/Materials!$G$112*100,IF(N98="Material Ingredient Optimisation",H98*1.5/Materials!$G$112*100,IF(N98="REACH",H98*1/Materials!$G$112*100,IF(N98="Global Green Tag",H98*1/Materials!$G$112*100)))))*IFERROR(N98&lt;&gt;0,)</f>
        <v>0</v>
      </c>
      <c r="V98" s="397">
        <f t="shared" ref="V98" si="633">IF(O98="Yes",U98*2,U98)</f>
        <v>0</v>
      </c>
    </row>
    <row r="99" spans="1:22" s="68" customFormat="1" ht="12.75" x14ac:dyDescent="0.2">
      <c r="A99" s="80">
        <f t="shared" ref="A99" si="634">IF(H99&gt;=0,0,1)</f>
        <v>0</v>
      </c>
      <c r="B99" s="369" t="str">
        <f>IF(ISBLANK(Materials!B99),"",Materials!B99)</f>
        <v>Ceramic Floor Tiles</v>
      </c>
      <c r="C99" s="355" t="str">
        <f>IF(ISBLANK(Materials!C99),"",Materials!C99)</f>
        <v>093013</v>
      </c>
      <c r="D99" s="355" t="str">
        <f>IF(ISBLANK(Materials!D99),"",Materials!D99)</f>
        <v/>
      </c>
      <c r="E99" s="370" t="str">
        <f>IF(ISBLANK(Materials!E99),"",Materials!E99)</f>
        <v>Union Mosaic Tile?, Marble Threshold?</v>
      </c>
      <c r="F99" s="433"/>
      <c r="G99" s="371" t="str">
        <f>IF(ISBLANK(Materials!F99),"",Materials!F99)</f>
        <v>?</v>
      </c>
      <c r="H99" s="293" t="str">
        <f>IF(ISBLANK(Materials!G99),"",Materials!G99)</f>
        <v/>
      </c>
      <c r="I99" s="72"/>
      <c r="J99" s="279"/>
      <c r="K99" s="275"/>
      <c r="L99" s="326" t="str">
        <f t="shared" ref="L99" si="635">IF(K99="Yes",0.5,"")</f>
        <v/>
      </c>
      <c r="M99" s="258"/>
      <c r="N99" s="276"/>
      <c r="O99" s="277"/>
      <c r="P99" s="393">
        <f t="shared" ref="P99" si="636">IF(V99&lt;=200,V99,IF(V99&gt;=201,200))*IFERROR(N99&lt;&gt;0,)</f>
        <v>0</v>
      </c>
      <c r="Q99" s="336" t="e">
        <f t="shared" ref="Q99" si="637">IF(S99&lt;=1,S99,IF(S99&gt;2,S99-1,S99*1))</f>
        <v>#VALUE!</v>
      </c>
      <c r="R99" s="404" t="str">
        <f t="shared" ref="R99" si="638">IF(N99="Material Ingredient Screening &amp; Optimisation Action Plan",0.5,IF(N99="Advanced Inventory &amp; Assessment",1,IF(N99="Material Ingredient Optimisation",1.5,IF(N99="REACH",1,IF(N99="Global Green Tag",1,"")))))</f>
        <v/>
      </c>
      <c r="S99" s="403" t="str">
        <f t="shared" ref="S99" si="639">IF(O99="Yes",R99*2,R99)</f>
        <v/>
      </c>
      <c r="T99" s="398" t="b">
        <f t="shared" ref="T99" si="640">IF(OR(N99="Material Ingredient Screening &amp; Optimisation Action Plan"),H99*0.5,IF(OR(N99="Advanced Inventory &amp; Assessment"),H99*1,IF(OR(N99="Material Ingredient Optimisation"),H99*1.5,IF(OR(N99="REACH"),H99*1,IF(OR(N99="Global Green Tag"),H99*1)))))</f>
        <v>0</v>
      </c>
      <c r="U99" s="396">
        <f>IF(N99="Material Ingredient Screening &amp; Optimisation Action Plan",H99*0.5/Materials!$G$112*100,IF(N99="Advanced Inventory &amp; Assessment",H99/Materials!$G$112*100,IF(N99="Material Ingredient Optimisation",H99*1.5/Materials!$G$112*100,IF(N99="REACH",H99*1/Materials!$G$112*100,IF(N99="Global Green Tag",H99*1/Materials!$G$112*100)))))*IFERROR(N99&lt;&gt;0,)</f>
        <v>0</v>
      </c>
      <c r="V99" s="397">
        <f t="shared" ref="V99" si="641">IF(O99="Yes",U99*2,U99)</f>
        <v>0</v>
      </c>
    </row>
    <row r="100" spans="1:22" s="68" customFormat="1" ht="12.75" x14ac:dyDescent="0.2">
      <c r="A100" s="80">
        <f t="shared" ref="A100" si="642">IF(H100&gt;=0,0,1)</f>
        <v>0</v>
      </c>
      <c r="B100" s="369" t="str">
        <f>IF(ISBLANK(Materials!B100),"",Materials!B100)</f>
        <v xml:space="preserve">Porcelain Wall Tiles </v>
      </c>
      <c r="C100" s="355" t="str">
        <f>IF(ISBLANK(Materials!C100),"",Materials!C100)</f>
        <v>093013</v>
      </c>
      <c r="D100" s="355" t="str">
        <f>IF(ISBLANK(Materials!D100),"",Materials!D100)</f>
        <v/>
      </c>
      <c r="E100" s="370" t="str">
        <f>IF(ISBLANK(Materials!E100),"",Materials!E100)</f>
        <v>Simpatico</v>
      </c>
      <c r="F100" s="433"/>
      <c r="G100" s="371" t="str">
        <f>IF(ISBLANK(Materials!F100),"",Materials!F100)</f>
        <v>Crossville</v>
      </c>
      <c r="H100" s="293">
        <f>IF(ISBLANK(Materials!G100),"",Materials!G100)</f>
        <v>0</v>
      </c>
      <c r="I100" s="72"/>
      <c r="J100" s="279"/>
      <c r="K100" s="275"/>
      <c r="L100" s="326" t="str">
        <f t="shared" ref="L100" si="643">IF(K100="Yes",0.5,"")</f>
        <v/>
      </c>
      <c r="M100" s="258"/>
      <c r="N100" s="276"/>
      <c r="O100" s="277"/>
      <c r="P100" s="393">
        <f t="shared" ref="P100" si="644">IF(V100&lt;=200,V100,IF(V100&gt;=201,200))*IFERROR(N100&lt;&gt;0,)</f>
        <v>0</v>
      </c>
      <c r="Q100" s="336" t="e">
        <f t="shared" ref="Q100" si="645">IF(S100&lt;=1,S100,IF(S100&gt;2,S100-1,S100*1))</f>
        <v>#VALUE!</v>
      </c>
      <c r="R100" s="404" t="str">
        <f t="shared" ref="R100" si="646">IF(N100="Material Ingredient Screening &amp; Optimisation Action Plan",0.5,IF(N100="Advanced Inventory &amp; Assessment",1,IF(N100="Material Ingredient Optimisation",1.5,IF(N100="REACH",1,IF(N100="Global Green Tag",1,"")))))</f>
        <v/>
      </c>
      <c r="S100" s="403" t="str">
        <f t="shared" ref="S100" si="647">IF(O100="Yes",R100*2,R100)</f>
        <v/>
      </c>
      <c r="T100" s="398" t="b">
        <f t="shared" ref="T100" si="648">IF(OR(N100="Material Ingredient Screening &amp; Optimisation Action Plan"),H100*0.5,IF(OR(N100="Advanced Inventory &amp; Assessment"),H100*1,IF(OR(N100="Material Ingredient Optimisation"),H100*1.5,IF(OR(N100="REACH"),H100*1,IF(OR(N100="Global Green Tag"),H100*1)))))</f>
        <v>0</v>
      </c>
      <c r="U100" s="396">
        <f>IF(N100="Material Ingredient Screening &amp; Optimisation Action Plan",H100*0.5/Materials!$G$112*100,IF(N100="Advanced Inventory &amp; Assessment",H100/Materials!$G$112*100,IF(N100="Material Ingredient Optimisation",H100*1.5/Materials!$G$112*100,IF(N100="REACH",H100*1/Materials!$G$112*100,IF(N100="Global Green Tag",H100*1/Materials!$G$112*100)))))*IFERROR(N100&lt;&gt;0,)</f>
        <v>0</v>
      </c>
      <c r="V100" s="397">
        <f t="shared" ref="V100" si="649">IF(O100="Yes",U100*2,U100)</f>
        <v>0</v>
      </c>
    </row>
    <row r="101" spans="1:22" s="68" customFormat="1" ht="12.75" x14ac:dyDescent="0.2">
      <c r="A101" s="80">
        <f t="shared" ref="A101" si="650">IF(H101&gt;=0,0,1)</f>
        <v>0</v>
      </c>
      <c r="B101" s="369" t="str">
        <f>IF(ISBLANK(Materials!B101),"",Materials!B101)</f>
        <v xml:space="preserve">Rubber Wall Base </v>
      </c>
      <c r="C101" s="355" t="str">
        <f>IF(ISBLANK(Materials!C101),"",Materials!C101)</f>
        <v>096513</v>
      </c>
      <c r="D101" s="355" t="str">
        <f>IF(ISBLANK(Materials!D101),"",Materials!D101)</f>
        <v/>
      </c>
      <c r="E101" s="370" t="str">
        <f>IF(ISBLANK(Materials!E101),"",Materials!E101)</f>
        <v>BaseWorks TS</v>
      </c>
      <c r="F101" s="433"/>
      <c r="G101" s="371" t="str">
        <f>IF(ISBLANK(Materials!F101),"",Materials!F101)</f>
        <v>Tarkett</v>
      </c>
      <c r="H101" s="293">
        <f>IF(ISBLANK(Materials!G101),"",Materials!G101)</f>
        <v>4601</v>
      </c>
      <c r="I101" s="72"/>
      <c r="J101" s="279"/>
      <c r="K101" s="275"/>
      <c r="L101" s="326" t="str">
        <f t="shared" ref="L101" si="651">IF(K101="Yes",0.5,"")</f>
        <v/>
      </c>
      <c r="M101" s="258"/>
      <c r="N101" s="276"/>
      <c r="O101" s="277"/>
      <c r="P101" s="393">
        <f t="shared" ref="P101" si="652">IF(V101&lt;=200,V101,IF(V101&gt;=201,200))*IFERROR(N101&lt;&gt;0,)</f>
        <v>0</v>
      </c>
      <c r="Q101" s="336" t="e">
        <f t="shared" ref="Q101" si="653">IF(S101&lt;=1,S101,IF(S101&gt;2,S101-1,S101*1))</f>
        <v>#VALUE!</v>
      </c>
      <c r="R101" s="404" t="str">
        <f t="shared" ref="R101" si="654">IF(N101="Material Ingredient Screening &amp; Optimisation Action Plan",0.5,IF(N101="Advanced Inventory &amp; Assessment",1,IF(N101="Material Ingredient Optimisation",1.5,IF(N101="REACH",1,IF(N101="Global Green Tag",1,"")))))</f>
        <v/>
      </c>
      <c r="S101" s="403" t="str">
        <f t="shared" ref="S101" si="655">IF(O101="Yes",R101*2,R101)</f>
        <v/>
      </c>
      <c r="T101" s="398" t="b">
        <f t="shared" ref="T101" si="656">IF(OR(N101="Material Ingredient Screening &amp; Optimisation Action Plan"),H101*0.5,IF(OR(N101="Advanced Inventory &amp; Assessment"),H101*1,IF(OR(N101="Material Ingredient Optimisation"),H101*1.5,IF(OR(N101="REACH"),H101*1,IF(OR(N101="Global Green Tag"),H101*1)))))</f>
        <v>0</v>
      </c>
      <c r="U101" s="396">
        <f>IF(N101="Material Ingredient Screening &amp; Optimisation Action Plan",H101*0.5/Materials!$G$112*100,IF(N101="Advanced Inventory &amp; Assessment",H101/Materials!$G$112*100,IF(N101="Material Ingredient Optimisation",H101*1.5/Materials!$G$112*100,IF(N101="REACH",H101*1/Materials!$G$112*100,IF(N101="Global Green Tag",H101*1/Materials!$G$112*100)))))*IFERROR(N101&lt;&gt;0,)</f>
        <v>0</v>
      </c>
      <c r="V101" s="397">
        <f t="shared" ref="V101" si="657">IF(O101="Yes",U101*2,U101)</f>
        <v>0</v>
      </c>
    </row>
    <row r="102" spans="1:22" s="68" customFormat="1" ht="12.75" x14ac:dyDescent="0.2">
      <c r="A102" s="80">
        <f t="shared" ref="A102" si="658">IF(H102&gt;=0,0,1)</f>
        <v>0</v>
      </c>
      <c r="B102" s="369" t="str">
        <f>IF(ISBLANK(Materials!B102),"",Materials!B102)</f>
        <v xml:space="preserve">Carpet Tiles </v>
      </c>
      <c r="C102" s="355" t="str">
        <f>IF(ISBLANK(Materials!C102),"",Materials!C102)</f>
        <v>096813</v>
      </c>
      <c r="D102" s="355" t="str">
        <f>IF(ISBLANK(Materials!D102),"",Materials!D102)</f>
        <v/>
      </c>
      <c r="E102" s="370" t="str">
        <f>IF(ISBLANK(Materials!E102),"",Materials!E102)</f>
        <v>Infinity Antron Lumena</v>
      </c>
      <c r="F102" s="433"/>
      <c r="G102" s="371" t="str">
        <f>IF(ISBLANK(Materials!F102),"",Materials!F102)</f>
        <v>Mannington</v>
      </c>
      <c r="H102" s="293">
        <f>IF(ISBLANK(Materials!G102),"",Materials!G102)</f>
        <v>50352</v>
      </c>
      <c r="I102" s="72"/>
      <c r="J102" s="279"/>
      <c r="K102" s="275"/>
      <c r="L102" s="326" t="str">
        <f t="shared" ref="L102" si="659">IF(K102="Yes",0.5,"")</f>
        <v/>
      </c>
      <c r="M102" s="258"/>
      <c r="N102" s="276"/>
      <c r="O102" s="277"/>
      <c r="P102" s="393">
        <f t="shared" ref="P102" si="660">IF(V102&lt;=200,V102,IF(V102&gt;=201,200))*IFERROR(N102&lt;&gt;0,)</f>
        <v>0</v>
      </c>
      <c r="Q102" s="336" t="e">
        <f t="shared" ref="Q102" si="661">IF(S102&lt;=1,S102,IF(S102&gt;2,S102-1,S102*1))</f>
        <v>#VALUE!</v>
      </c>
      <c r="R102" s="404" t="str">
        <f t="shared" ref="R102" si="662">IF(N102="Material Ingredient Screening &amp; Optimisation Action Plan",0.5,IF(N102="Advanced Inventory &amp; Assessment",1,IF(N102="Material Ingredient Optimisation",1.5,IF(N102="REACH",1,IF(N102="Global Green Tag",1,"")))))</f>
        <v/>
      </c>
      <c r="S102" s="403" t="str">
        <f t="shared" ref="S102" si="663">IF(O102="Yes",R102*2,R102)</f>
        <v/>
      </c>
      <c r="T102" s="398" t="b">
        <f t="shared" ref="T102" si="664">IF(OR(N102="Material Ingredient Screening &amp; Optimisation Action Plan"),H102*0.5,IF(OR(N102="Advanced Inventory &amp; Assessment"),H102*1,IF(OR(N102="Material Ingredient Optimisation"),H102*1.5,IF(OR(N102="REACH"),H102*1,IF(OR(N102="Global Green Tag"),H102*1)))))</f>
        <v>0</v>
      </c>
      <c r="U102" s="396">
        <f>IF(N102="Material Ingredient Screening &amp; Optimisation Action Plan",H102*0.5/Materials!$G$112*100,IF(N102="Advanced Inventory &amp; Assessment",H102/Materials!$G$112*100,IF(N102="Material Ingredient Optimisation",H102*1.5/Materials!$G$112*100,IF(N102="REACH",H102*1/Materials!$G$112*100,IF(N102="Global Green Tag",H102*1/Materials!$G$112*100)))))*IFERROR(N102&lt;&gt;0,)</f>
        <v>0</v>
      </c>
      <c r="V102" s="397">
        <f t="shared" ref="V102" si="665">IF(O102="Yes",U102*2,U102)</f>
        <v>0</v>
      </c>
    </row>
    <row r="103" spans="1:22" s="68" customFormat="1" ht="12.75" x14ac:dyDescent="0.2">
      <c r="A103" s="80">
        <f t="shared" ref="A103" si="666">IF(H103&gt;=0,0,1)</f>
        <v>0</v>
      </c>
      <c r="B103" s="369" t="str">
        <f>IF(ISBLANK(Materials!B103),"",Materials!B103)</f>
        <v>Non-Flat, Flat</v>
      </c>
      <c r="C103" s="355" t="str">
        <f>IF(ISBLANK(Materials!C103),"",Materials!C103)</f>
        <v>099123</v>
      </c>
      <c r="D103" s="355" t="str">
        <f>IF(ISBLANK(Materials!D103),"",Materials!D103)</f>
        <v/>
      </c>
      <c r="E103" s="370" t="str">
        <f>IF(ISBLANK(Materials!E103),"",Materials!E103)</f>
        <v>B20W12651, B53W01153, B20W02653, PE3000451, B20T02654</v>
      </c>
      <c r="F103" s="433"/>
      <c r="G103" s="371" t="str">
        <f>IF(ISBLANK(Materials!F103),"",Materials!F103)</f>
        <v>Sherwin Williams</v>
      </c>
      <c r="H103" s="293" t="str">
        <f>IF(ISBLANK(Materials!G103),"",Materials!G103)</f>
        <v/>
      </c>
      <c r="I103" s="72"/>
      <c r="J103" s="279"/>
      <c r="K103" s="275"/>
      <c r="L103" s="326" t="str">
        <f t="shared" ref="L103" si="667">IF(K103="Yes",0.5,"")</f>
        <v/>
      </c>
      <c r="M103" s="258"/>
      <c r="N103" s="276"/>
      <c r="O103" s="277"/>
      <c r="P103" s="393">
        <f t="shared" ref="P103" si="668">IF(V103&lt;=200,V103,IF(V103&gt;=201,200))*IFERROR(N103&lt;&gt;0,)</f>
        <v>0</v>
      </c>
      <c r="Q103" s="336" t="e">
        <f t="shared" ref="Q103" si="669">IF(S103&lt;=1,S103,IF(S103&gt;2,S103-1,S103*1))</f>
        <v>#VALUE!</v>
      </c>
      <c r="R103" s="404" t="str">
        <f t="shared" ref="R103" si="670">IF(N103="Material Ingredient Screening &amp; Optimisation Action Plan",0.5,IF(N103="Advanced Inventory &amp; Assessment",1,IF(N103="Material Ingredient Optimisation",1.5,IF(N103="REACH",1,IF(N103="Global Green Tag",1,"")))))</f>
        <v/>
      </c>
      <c r="S103" s="403" t="str">
        <f t="shared" ref="S103" si="671">IF(O103="Yes",R103*2,R103)</f>
        <v/>
      </c>
      <c r="T103" s="398" t="b">
        <f t="shared" ref="T103" si="672">IF(OR(N103="Material Ingredient Screening &amp; Optimisation Action Plan"),H103*0.5,IF(OR(N103="Advanced Inventory &amp; Assessment"),H103*1,IF(OR(N103="Material Ingredient Optimisation"),H103*1.5,IF(OR(N103="REACH"),H103*1,IF(OR(N103="Global Green Tag"),H103*1)))))</f>
        <v>0</v>
      </c>
      <c r="U103" s="396">
        <f>IF(N103="Material Ingredient Screening &amp; Optimisation Action Plan",H103*0.5/Materials!$G$112*100,IF(N103="Advanced Inventory &amp; Assessment",H103/Materials!$G$112*100,IF(N103="Material Ingredient Optimisation",H103*1.5/Materials!$G$112*100,IF(N103="REACH",H103*1/Materials!$G$112*100,IF(N103="Global Green Tag",H103*1/Materials!$G$112*100)))))*IFERROR(N103&lt;&gt;0,)</f>
        <v>0</v>
      </c>
      <c r="V103" s="397">
        <f t="shared" ref="V103" si="673">IF(O103="Yes",U103*2,U103)</f>
        <v>0</v>
      </c>
    </row>
    <row r="104" spans="1:22" s="68" customFormat="1" ht="12.75" x14ac:dyDescent="0.2">
      <c r="A104" s="80">
        <f t="shared" ref="A104" si="674">IF(H104&gt;=0,0,1)</f>
        <v>0</v>
      </c>
      <c r="B104" s="369" t="str">
        <f>IF(ISBLANK(Materials!B104),"",Materials!B104)</f>
        <v xml:space="preserve">Window Treatments </v>
      </c>
      <c r="C104" s="355" t="str">
        <f>IF(ISBLANK(Materials!C104),"",Materials!C104)</f>
        <v>122113, 122413</v>
      </c>
      <c r="D104" s="355" t="str">
        <f>IF(ISBLANK(Materials!D104),"",Materials!D104)</f>
        <v/>
      </c>
      <c r="E104" s="370" t="str">
        <f>IF(ISBLANK(Materials!E104),"",Materials!E104)</f>
        <v>Bali Classics Aluminum Blinds, EcoVeil 1350 Series</v>
      </c>
      <c r="F104" s="433"/>
      <c r="G104" s="371" t="str">
        <f>IF(ISBLANK(Materials!F104),"",Materials!F104)</f>
        <v>SWFcontract, Mecho</v>
      </c>
      <c r="H104" s="293" t="str">
        <f>IF(ISBLANK(Materials!G104),"",Materials!G104)</f>
        <v/>
      </c>
      <c r="I104" s="72"/>
      <c r="J104" s="279"/>
      <c r="K104" s="275"/>
      <c r="L104" s="326" t="str">
        <f t="shared" ref="L104" si="675">IF(K104="Yes",0.5,"")</f>
        <v/>
      </c>
      <c r="M104" s="258"/>
      <c r="N104" s="276"/>
      <c r="O104" s="277"/>
      <c r="P104" s="393">
        <f t="shared" ref="P104" si="676">IF(V104&lt;=200,V104,IF(V104&gt;=201,200))*IFERROR(N104&lt;&gt;0,)</f>
        <v>0</v>
      </c>
      <c r="Q104" s="336" t="e">
        <f t="shared" ref="Q104" si="677">IF(S104&lt;=1,S104,IF(S104&gt;2,S104-1,S104*1))</f>
        <v>#VALUE!</v>
      </c>
      <c r="R104" s="404" t="str">
        <f t="shared" ref="R104" si="678">IF(N104="Material Ingredient Screening &amp; Optimisation Action Plan",0.5,IF(N104="Advanced Inventory &amp; Assessment",1,IF(N104="Material Ingredient Optimisation",1.5,IF(N104="REACH",1,IF(N104="Global Green Tag",1,"")))))</f>
        <v/>
      </c>
      <c r="S104" s="403" t="str">
        <f t="shared" ref="S104" si="679">IF(O104="Yes",R104*2,R104)</f>
        <v/>
      </c>
      <c r="T104" s="398" t="b">
        <f t="shared" ref="T104" si="680">IF(OR(N104="Material Ingredient Screening &amp; Optimisation Action Plan"),H104*0.5,IF(OR(N104="Advanced Inventory &amp; Assessment"),H104*1,IF(OR(N104="Material Ingredient Optimisation"),H104*1.5,IF(OR(N104="REACH"),H104*1,IF(OR(N104="Global Green Tag"),H104*1)))))</f>
        <v>0</v>
      </c>
      <c r="U104" s="396">
        <f>IF(N104="Material Ingredient Screening &amp; Optimisation Action Plan",H104*0.5/Materials!$G$112*100,IF(N104="Advanced Inventory &amp; Assessment",H104/Materials!$G$112*100,IF(N104="Material Ingredient Optimisation",H104*1.5/Materials!$G$112*100,IF(N104="REACH",H104*1/Materials!$G$112*100,IF(N104="Global Green Tag",H104*1/Materials!$G$112*100)))))*IFERROR(N104&lt;&gt;0,)</f>
        <v>0</v>
      </c>
      <c r="V104" s="397">
        <f t="shared" ref="V104" si="681">IF(O104="Yes",U104*2,U104)</f>
        <v>0</v>
      </c>
    </row>
    <row r="105" spans="1:22" s="68" customFormat="1" ht="24" x14ac:dyDescent="0.2">
      <c r="A105" s="80">
        <f t="shared" ref="A105" si="682">IF(H105&gt;=0,0,1)</f>
        <v>0</v>
      </c>
      <c r="B105" s="369" t="str">
        <f>IF(ISBLANK(Materials!B105),"",Materials!B105)</f>
        <v>Aluminum Louver Fences &amp; Gates</v>
      </c>
      <c r="C105" s="355" t="str">
        <f>IF(ISBLANK(Materials!C105),"",Materials!C105)</f>
        <v>323121</v>
      </c>
      <c r="D105" s="355" t="str">
        <f>IF(ISBLANK(Materials!D105),"",Materials!D105)</f>
        <v/>
      </c>
      <c r="E105" s="370" t="str">
        <f>IF(ISBLANK(Materials!E105),"",Materials!E105)</f>
        <v>Eclipse 100</v>
      </c>
      <c r="F105" s="433"/>
      <c r="G105" s="371" t="str">
        <f>IF(ISBLANK(Materials!F105),"",Materials!F105)</f>
        <v>Ametco</v>
      </c>
      <c r="H105" s="293">
        <f>IF(ISBLANK(Materials!G105),"",Materials!G105)</f>
        <v>0</v>
      </c>
      <c r="I105" s="72"/>
      <c r="J105" s="279"/>
      <c r="K105" s="275"/>
      <c r="L105" s="326" t="str">
        <f t="shared" ref="L105" si="683">IF(K105="Yes",0.5,"")</f>
        <v/>
      </c>
      <c r="M105" s="258"/>
      <c r="N105" s="276"/>
      <c r="O105" s="277"/>
      <c r="P105" s="393">
        <f t="shared" ref="P105" si="684">IF(V105&lt;=200,V105,IF(V105&gt;=201,200))*IFERROR(N105&lt;&gt;0,)</f>
        <v>0</v>
      </c>
      <c r="Q105" s="336" t="e">
        <f t="shared" ref="Q105" si="685">IF(S105&lt;=1,S105,IF(S105&gt;2,S105-1,S105*1))</f>
        <v>#VALUE!</v>
      </c>
      <c r="R105" s="404" t="str">
        <f t="shared" ref="R105" si="686">IF(N105="Material Ingredient Screening &amp; Optimisation Action Plan",0.5,IF(N105="Advanced Inventory &amp; Assessment",1,IF(N105="Material Ingredient Optimisation",1.5,IF(N105="REACH",1,IF(N105="Global Green Tag",1,"")))))</f>
        <v/>
      </c>
      <c r="S105" s="403" t="str">
        <f t="shared" ref="S105" si="687">IF(O105="Yes",R105*2,R105)</f>
        <v/>
      </c>
      <c r="T105" s="398" t="b">
        <f t="shared" ref="T105" si="688">IF(OR(N105="Material Ingredient Screening &amp; Optimisation Action Plan"),H105*0.5,IF(OR(N105="Advanced Inventory &amp; Assessment"),H105*1,IF(OR(N105="Material Ingredient Optimisation"),H105*1.5,IF(OR(N105="REACH"),H105*1,IF(OR(N105="Global Green Tag"),H105*1)))))</f>
        <v>0</v>
      </c>
      <c r="U105" s="396">
        <f>IF(N105="Material Ingredient Screening &amp; Optimisation Action Plan",H105*0.5/Materials!$G$112*100,IF(N105="Advanced Inventory &amp; Assessment",H105/Materials!$G$112*100,IF(N105="Material Ingredient Optimisation",H105*1.5/Materials!$G$112*100,IF(N105="REACH",H105*1/Materials!$G$112*100,IF(N105="Global Green Tag",H105*1/Materials!$G$112*100)))))*IFERROR(N105&lt;&gt;0,)</f>
        <v>0</v>
      </c>
      <c r="V105" s="397">
        <f t="shared" ref="V105" si="689">IF(O105="Yes",U105*2,U105)</f>
        <v>0</v>
      </c>
    </row>
    <row r="106" spans="1:22" s="68" customFormat="1" ht="24" x14ac:dyDescent="0.2">
      <c r="A106" s="80">
        <f t="shared" ref="A106" si="690">IF(H106&gt;=0,0,1)</f>
        <v>0</v>
      </c>
      <c r="B106" s="369" t="str">
        <f>IF(ISBLANK(Materials!B106),"",Materials!B106)</f>
        <v>Planting Accessories</v>
      </c>
      <c r="C106" s="355" t="str">
        <f>IF(ISBLANK(Materials!C106),"",Materials!C106)</f>
        <v>329000</v>
      </c>
      <c r="D106" s="355" t="str">
        <f>IF(ISBLANK(Materials!D106),"",Materials!D106)</f>
        <v/>
      </c>
      <c r="E106" s="370" t="str">
        <f>IF(ISBLANK(Materials!E106),"",Materials!E106)</f>
        <v>Steel Fence Posts &amp; Wire</v>
      </c>
      <c r="F106" s="433"/>
      <c r="G106" s="371" t="str">
        <f>IF(ISBLANK(Materials!F106),"",Materials!F106)</f>
        <v>Red &amp; White Greenery, AM Leonard</v>
      </c>
      <c r="H106" s="293">
        <f>IF(ISBLANK(Materials!G106),"",Materials!G106)</f>
        <v>64.259999999999991</v>
      </c>
      <c r="I106" s="72"/>
      <c r="J106" s="279"/>
      <c r="K106" s="275"/>
      <c r="L106" s="326" t="str">
        <f t="shared" ref="L106" si="691">IF(K106="Yes",0.5,"")</f>
        <v/>
      </c>
      <c r="M106" s="258"/>
      <c r="N106" s="276"/>
      <c r="O106" s="277"/>
      <c r="P106" s="393">
        <f t="shared" ref="P106" si="692">IF(V106&lt;=200,V106,IF(V106&gt;=201,200))*IFERROR(N106&lt;&gt;0,)</f>
        <v>0</v>
      </c>
      <c r="Q106" s="336" t="e">
        <f t="shared" ref="Q106" si="693">IF(S106&lt;=1,S106,IF(S106&gt;2,S106-1,S106*1))</f>
        <v>#VALUE!</v>
      </c>
      <c r="R106" s="404" t="str">
        <f t="shared" ref="R106" si="694">IF(N106="Material Ingredient Screening &amp; Optimisation Action Plan",0.5,IF(N106="Advanced Inventory &amp; Assessment",1,IF(N106="Material Ingredient Optimisation",1.5,IF(N106="REACH",1,IF(N106="Global Green Tag",1,"")))))</f>
        <v/>
      </c>
      <c r="S106" s="403" t="str">
        <f t="shared" ref="S106" si="695">IF(O106="Yes",R106*2,R106)</f>
        <v/>
      </c>
      <c r="T106" s="398" t="b">
        <f t="shared" ref="T106" si="696">IF(OR(N106="Material Ingredient Screening &amp; Optimisation Action Plan"),H106*0.5,IF(OR(N106="Advanced Inventory &amp; Assessment"),H106*1,IF(OR(N106="Material Ingredient Optimisation"),H106*1.5,IF(OR(N106="REACH"),H106*1,IF(OR(N106="Global Green Tag"),H106*1)))))</f>
        <v>0</v>
      </c>
      <c r="U106" s="396">
        <f>IF(N106="Material Ingredient Screening &amp; Optimisation Action Plan",H106*0.5/Materials!$G$112*100,IF(N106="Advanced Inventory &amp; Assessment",H106/Materials!$G$112*100,IF(N106="Material Ingredient Optimisation",H106*1.5/Materials!$G$112*100,IF(N106="REACH",H106*1/Materials!$G$112*100,IF(N106="Global Green Tag",H106*1/Materials!$G$112*100)))))*IFERROR(N106&lt;&gt;0,)</f>
        <v>0</v>
      </c>
      <c r="V106" s="397">
        <f t="shared" ref="V106" si="697">IF(O106="Yes",U106*2,U106)</f>
        <v>0</v>
      </c>
    </row>
    <row r="107" spans="1:22" s="68" customFormat="1" ht="24" x14ac:dyDescent="0.2">
      <c r="A107" s="80">
        <f t="shared" ref="A107:A108" si="698">IF(H107&gt;=0,0,1)</f>
        <v>0</v>
      </c>
      <c r="B107" s="369" t="str">
        <f>IF(ISBLANK(Materials!B107),"",Materials!B107)</f>
        <v>Metal Composite Panels</v>
      </c>
      <c r="C107" s="355" t="str">
        <f>IF(ISBLANK(Materials!C107),"",Materials!C107)</f>
        <v>074213</v>
      </c>
      <c r="D107" s="355" t="str">
        <f>IF(ISBLANK(Materials!D107),"",Materials!D107)</f>
        <v/>
      </c>
      <c r="E107" s="370" t="str">
        <f>IF(ISBLANK(Materials!E107),"",Materials!E107)</f>
        <v>4 mm ACM fr</v>
      </c>
      <c r="F107" s="433"/>
      <c r="G107" s="371" t="str">
        <f>IF(ISBLANK(Materials!F107),"",Materials!F107)</f>
        <v>ALPOLIC-Mitsubishi</v>
      </c>
      <c r="H107" s="293">
        <f>IF(ISBLANK(Materials!G107),"",Materials!G107)</f>
        <v>0</v>
      </c>
      <c r="I107" s="72"/>
      <c r="J107" s="279"/>
      <c r="K107" s="275"/>
      <c r="L107" s="326" t="str">
        <f t="shared" ref="L107:L108" si="699">IF(K107="Yes",0.5,"")</f>
        <v/>
      </c>
      <c r="M107" s="258"/>
      <c r="N107" s="276"/>
      <c r="O107" s="277"/>
      <c r="P107" s="393">
        <f t="shared" ref="P107:P108" si="700">IF(V107&lt;=200,V107,IF(V107&gt;=201,200))*IFERROR(N107&lt;&gt;0,)</f>
        <v>0</v>
      </c>
      <c r="Q107" s="336" t="e">
        <f t="shared" ref="Q107:Q108" si="701">IF(S107&lt;=1,S107,IF(S107&gt;2,S107-1,S107*1))</f>
        <v>#VALUE!</v>
      </c>
      <c r="R107" s="404" t="str">
        <f t="shared" ref="R107:R108" si="702">IF(N107="Material Ingredient Screening &amp; Optimisation Action Plan",0.5,IF(N107="Advanced Inventory &amp; Assessment",1,IF(N107="Material Ingredient Optimisation",1.5,IF(N107="REACH",1,IF(N107="Global Green Tag",1,"")))))</f>
        <v/>
      </c>
      <c r="S107" s="403" t="str">
        <f t="shared" ref="S107:S108" si="703">IF(O107="Yes",R107*2,R107)</f>
        <v/>
      </c>
      <c r="T107" s="398" t="b">
        <f t="shared" ref="T107:T108" si="704">IF(OR(N107="Material Ingredient Screening &amp; Optimisation Action Plan"),H107*0.5,IF(OR(N107="Advanced Inventory &amp; Assessment"),H107*1,IF(OR(N107="Material Ingredient Optimisation"),H107*1.5,IF(OR(N107="REACH"),H107*1,IF(OR(N107="Global Green Tag"),H107*1)))))</f>
        <v>0</v>
      </c>
      <c r="U107" s="396">
        <f>IF(N107="Material Ingredient Screening &amp; Optimisation Action Plan",H107*0.5/Materials!$G$112*100,IF(N107="Advanced Inventory &amp; Assessment",H107/Materials!$G$112*100,IF(N107="Material Ingredient Optimisation",H107*1.5/Materials!$G$112*100,IF(N107="REACH",H107*1/Materials!$G$112*100,IF(N107="Global Green Tag",H107*1/Materials!$G$112*100)))))*IFERROR(N107&lt;&gt;0,)</f>
        <v>0</v>
      </c>
      <c r="V107" s="397">
        <f t="shared" ref="V107:V108" si="705">IF(O107="Yes",U107*2,U107)</f>
        <v>0</v>
      </c>
    </row>
    <row r="108" spans="1:22" s="68" customFormat="1" ht="12.75" x14ac:dyDescent="0.2">
      <c r="A108" s="80">
        <f t="shared" si="698"/>
        <v>0</v>
      </c>
      <c r="B108" s="369" t="str">
        <f>IF(ISBLANK(Materials!B108),"",Materials!B108)</f>
        <v>VCT</v>
      </c>
      <c r="C108" s="355" t="str">
        <f>IF(ISBLANK(Materials!C108),"",Materials!C108)</f>
        <v>096519</v>
      </c>
      <c r="D108" s="355" t="str">
        <f>IF(ISBLANK(Materials!D108),"",Materials!D108)</f>
        <v/>
      </c>
      <c r="E108" s="370" t="str">
        <f>IF(ISBLANK(Materials!E108),"",Materials!E108)</f>
        <v>Striations BBT</v>
      </c>
      <c r="F108" s="433"/>
      <c r="G108" s="371" t="str">
        <f>IF(ISBLANK(Materials!F108),"",Materials!F108)</f>
        <v>Armstrong</v>
      </c>
      <c r="H108" s="293">
        <f>IF(ISBLANK(Materials!G108),"",Materials!G108)</f>
        <v>27507</v>
      </c>
      <c r="I108" s="72"/>
      <c r="J108" s="279"/>
      <c r="K108" s="275"/>
      <c r="L108" s="326" t="str">
        <f t="shared" si="699"/>
        <v/>
      </c>
      <c r="M108" s="258"/>
      <c r="N108" s="276"/>
      <c r="O108" s="277"/>
      <c r="P108" s="393">
        <f t="shared" si="700"/>
        <v>0</v>
      </c>
      <c r="Q108" s="336" t="e">
        <f t="shared" si="701"/>
        <v>#VALUE!</v>
      </c>
      <c r="R108" s="404" t="str">
        <f t="shared" si="702"/>
        <v/>
      </c>
      <c r="S108" s="403" t="str">
        <f t="shared" si="703"/>
        <v/>
      </c>
      <c r="T108" s="398" t="b">
        <f t="shared" si="704"/>
        <v>0</v>
      </c>
      <c r="U108" s="396">
        <f>IF(N108="Material Ingredient Screening &amp; Optimisation Action Plan",H108*0.5/Materials!$G$112*100,IF(N108="Advanced Inventory &amp; Assessment",H108/Materials!$G$112*100,IF(N108="Material Ingredient Optimisation",H108*1.5/Materials!$G$112*100,IF(N108="REACH",H108*1/Materials!$G$112*100,IF(N108="Global Green Tag",H108*1/Materials!$G$112*100)))))*IFERROR(N108&lt;&gt;0,)</f>
        <v>0</v>
      </c>
      <c r="V108" s="397">
        <f t="shared" si="705"/>
        <v>0</v>
      </c>
    </row>
    <row r="109" spans="1:22" s="68" customFormat="1" ht="12.75" x14ac:dyDescent="0.2">
      <c r="A109" s="80"/>
      <c r="B109" s="369" t="str">
        <f>IF(ISBLANK(Materials!B109),"",Materials!B109)</f>
        <v>WM Carpet Tiles</v>
      </c>
      <c r="C109" s="355" t="str">
        <f>IF(ISBLANK(Materials!C109),"",Materials!C109)</f>
        <v>096813</v>
      </c>
      <c r="D109" s="355" t="str">
        <f>IF(ISBLANK(Materials!D109),"",Materials!D109)</f>
        <v/>
      </c>
      <c r="E109" s="370" t="str">
        <f>IF(ISBLANK(Materials!E109),"",Materials!E109)</f>
        <v>QL311 Step Up II</v>
      </c>
      <c r="F109" s="433"/>
      <c r="G109" s="371" t="str">
        <f>IF(ISBLANK(Materials!F109),"",Materials!F109)</f>
        <v>Mohawk</v>
      </c>
      <c r="H109" s="293">
        <f>IF(ISBLANK(Materials!G109),"",Materials!G109)</f>
        <v>0</v>
      </c>
      <c r="I109" s="72"/>
      <c r="J109" s="279"/>
      <c r="K109" s="275"/>
      <c r="L109" s="326" t="str">
        <f t="shared" si="7"/>
        <v/>
      </c>
      <c r="M109" s="258"/>
      <c r="N109" s="276"/>
      <c r="O109" s="277"/>
      <c r="P109" s="393">
        <f t="shared" si="0"/>
        <v>0</v>
      </c>
      <c r="Q109" s="336" t="e">
        <f t="shared" si="6"/>
        <v>#VALUE!</v>
      </c>
      <c r="R109" s="404" t="str">
        <f t="shared" si="1"/>
        <v/>
      </c>
      <c r="S109" s="403" t="str">
        <f t="shared" si="2"/>
        <v/>
      </c>
      <c r="T109" s="398" t="b">
        <f t="shared" si="3"/>
        <v>0</v>
      </c>
      <c r="U109" s="396">
        <f>IF(N109="Material Ingredient Screening &amp; Optimisation Action Plan",H109*0.5/Materials!$G$112*100,IF(N109="Advanced Inventory &amp; Assessment",H109/Materials!$G$112*100,IF(N109="Material Ingredient Optimisation",H109*1.5/Materials!$G$112*100,IF(N109="REACH",H109*1/Materials!$G$112*100,IF(N109="Global Green Tag",H109*1/Materials!$G$112*100)))))*IFERROR(N109&lt;&gt;0,)</f>
        <v>0</v>
      </c>
      <c r="V109" s="397">
        <f t="shared" si="4"/>
        <v>0</v>
      </c>
    </row>
    <row r="110" spans="1:22" s="68" customFormat="1" ht="12.75" x14ac:dyDescent="0.2">
      <c r="A110" s="80"/>
      <c r="B110" s="372" t="str">
        <f>IF(ISBLANK(Materials!B110),"",Materials!B110)</f>
        <v/>
      </c>
      <c r="C110" s="373" t="str">
        <f>IF(ISBLANK(Materials!C110),"",Materials!C110)</f>
        <v/>
      </c>
      <c r="D110" s="373" t="str">
        <f>IF(ISBLANK(Materials!D110),"",Materials!D110)</f>
        <v/>
      </c>
      <c r="E110" s="374" t="str">
        <f>IF(ISBLANK(Materials!E110),"",Materials!E110)</f>
        <v/>
      </c>
      <c r="F110" s="434"/>
      <c r="G110" s="375" t="str">
        <f>IF(ISBLANK(Materials!F110),"",Materials!F110)</f>
        <v/>
      </c>
      <c r="H110" s="316" t="str">
        <f>IF(ISBLANK(Materials!G110),"",Materials!G110)</f>
        <v/>
      </c>
      <c r="I110" s="72"/>
      <c r="J110" s="380"/>
      <c r="K110" s="381"/>
      <c r="L110" s="327" t="str">
        <f t="shared" si="7"/>
        <v/>
      </c>
      <c r="M110" s="258"/>
      <c r="N110" s="379"/>
      <c r="O110" s="312"/>
      <c r="P110" s="393">
        <f t="shared" si="0"/>
        <v>0</v>
      </c>
      <c r="Q110" s="337" t="e">
        <f t="shared" si="6"/>
        <v>#VALUE!</v>
      </c>
      <c r="R110" s="405" t="str">
        <f t="shared" si="1"/>
        <v/>
      </c>
      <c r="S110" s="406" t="str">
        <f t="shared" si="2"/>
        <v/>
      </c>
      <c r="T110" s="399" t="b">
        <f t="shared" si="3"/>
        <v>0</v>
      </c>
      <c r="U110" s="396">
        <f>IF(N110="Material Ingredient Screening &amp; Optimisation Action Plan",H110*0.5/Materials!$G$112*100,IF(N110="Advanced Inventory &amp; Assessment",H110/Materials!$G$112*100,IF(N110="Material Ingredient Optimisation",H110*1.5/Materials!$G$112*100,IF(N110="REACH",H110*1/Materials!$G$112*100,IF(N110="Global Green Tag",H110*1/Materials!$G$112*100)))))*IFERROR(N110&lt;&gt;0,)</f>
        <v>0</v>
      </c>
      <c r="V110" s="397">
        <f t="shared" si="4"/>
        <v>0</v>
      </c>
    </row>
    <row r="111" spans="1:22" s="68" customFormat="1" ht="58.9" customHeight="1" x14ac:dyDescent="0.2">
      <c r="A111" s="216" t="s">
        <v>59</v>
      </c>
      <c r="B111" s="313"/>
      <c r="C111" s="314"/>
      <c r="D111" s="314"/>
      <c r="E111" s="314"/>
      <c r="F111" s="314"/>
      <c r="G111" s="314"/>
      <c r="H111" s="315"/>
      <c r="I111" s="47"/>
      <c r="J111" s="412" t="s">
        <v>46</v>
      </c>
      <c r="K111" s="579"/>
      <c r="L111" s="413" t="s">
        <v>107</v>
      </c>
      <c r="M111" s="47"/>
      <c r="N111" s="530" t="s">
        <v>55</v>
      </c>
      <c r="O111" s="567"/>
      <c r="P111" s="329">
        <f t="array" ref="P111">SUM(IFERROR(P9:P110,0))</f>
        <v>0</v>
      </c>
      <c r="Q111" s="330">
        <f t="array" ref="Q111">SUM(IFERROR(Q9:Q110,0))</f>
        <v>0</v>
      </c>
      <c r="R111" s="407"/>
      <c r="S111" s="408"/>
      <c r="T111" s="409"/>
      <c r="U111" s="410"/>
      <c r="V111" s="411"/>
    </row>
    <row r="112" spans="1:22" s="68" customFormat="1" ht="33" customHeight="1" x14ac:dyDescent="0.2">
      <c r="A112" s="207"/>
      <c r="B112" s="220"/>
      <c r="C112" s="221"/>
      <c r="D112" s="221"/>
      <c r="E112" s="221"/>
      <c r="F112" s="221"/>
      <c r="G112" s="221"/>
      <c r="H112" s="222"/>
      <c r="I112" s="219"/>
      <c r="J112" s="280">
        <f>COUNTIF(J9:J110,"&lt;&gt;")</f>
        <v>24</v>
      </c>
      <c r="K112" s="580"/>
      <c r="L112" s="262">
        <f>SUM(L9:L110)+J112</f>
        <v>25</v>
      </c>
      <c r="M112" s="219"/>
      <c r="N112" s="591"/>
      <c r="O112" s="592"/>
      <c r="P112" s="593"/>
      <c r="Q112" s="594"/>
      <c r="R112" s="301"/>
      <c r="S112" s="401"/>
      <c r="T112" s="322"/>
    </row>
    <row r="113" spans="1:18" s="68" customFormat="1" ht="12" customHeight="1" x14ac:dyDescent="0.2">
      <c r="A113" s="207"/>
      <c r="B113" s="74"/>
      <c r="C113" s="74"/>
      <c r="D113" s="74"/>
      <c r="E113" s="74"/>
      <c r="F113" s="74"/>
      <c r="G113" s="74"/>
      <c r="H113" s="75"/>
      <c r="I113" s="75"/>
      <c r="J113" s="574"/>
      <c r="K113" s="575"/>
      <c r="L113" s="255"/>
      <c r="M113" s="73"/>
      <c r="N113" s="56"/>
    </row>
    <row r="114" spans="1:18" s="68" customFormat="1" ht="12" customHeight="1" x14ac:dyDescent="0.2">
      <c r="A114" s="207"/>
      <c r="B114" s="236"/>
      <c r="C114" s="236"/>
      <c r="D114" s="236"/>
      <c r="E114" s="74"/>
      <c r="F114" s="74"/>
      <c r="G114" s="74"/>
      <c r="H114" s="75"/>
      <c r="I114" s="75"/>
      <c r="J114" s="576"/>
      <c r="K114" s="576"/>
      <c r="L114" s="256"/>
      <c r="M114" s="73"/>
      <c r="N114" s="56"/>
    </row>
    <row r="115" spans="1:18" s="68" customFormat="1" ht="54" customHeight="1" x14ac:dyDescent="0.2">
      <c r="A115" s="207"/>
      <c r="H115" s="75"/>
      <c r="I115" s="75"/>
      <c r="J115" s="73"/>
      <c r="K115" s="73"/>
      <c r="L115" s="73"/>
      <c r="M115" s="73"/>
      <c r="P115" s="420" t="s">
        <v>70</v>
      </c>
      <c r="Q115" s="565" t="s">
        <v>74</v>
      </c>
      <c r="R115" s="565"/>
    </row>
    <row r="116" spans="1:18" s="68" customFormat="1" ht="37.5" customHeight="1" x14ac:dyDescent="0.2">
      <c r="A116" s="207"/>
      <c r="H116" s="75"/>
      <c r="I116" s="75"/>
      <c r="J116" s="73"/>
      <c r="K116" s="73"/>
      <c r="L116" s="73"/>
      <c r="M116" s="73"/>
      <c r="P116" s="564" t="s">
        <v>71</v>
      </c>
      <c r="Q116" s="565" t="s">
        <v>75</v>
      </c>
      <c r="R116" s="565"/>
    </row>
    <row r="117" spans="1:18" s="68" customFormat="1" ht="25.5" customHeight="1" x14ac:dyDescent="0.2">
      <c r="A117" s="207"/>
      <c r="H117" s="75"/>
      <c r="I117" s="75"/>
      <c r="J117" s="73"/>
      <c r="K117" s="73"/>
      <c r="L117" s="73"/>
      <c r="M117" s="73"/>
      <c r="P117" s="564"/>
      <c r="Q117" s="565" t="s">
        <v>76</v>
      </c>
      <c r="R117" s="565"/>
    </row>
    <row r="118" spans="1:18" s="68" customFormat="1" ht="36.75" customHeight="1" x14ac:dyDescent="0.2">
      <c r="A118" s="207"/>
      <c r="H118" s="75"/>
      <c r="I118" s="75"/>
      <c r="J118" s="73"/>
      <c r="K118" s="73"/>
      <c r="L118" s="73"/>
      <c r="M118" s="73"/>
      <c r="P118" s="564"/>
      <c r="Q118" s="565" t="s">
        <v>77</v>
      </c>
      <c r="R118" s="565"/>
    </row>
    <row r="119" spans="1:18" s="68" customFormat="1" ht="22.5" customHeight="1" x14ac:dyDescent="0.2">
      <c r="A119" s="207"/>
      <c r="H119" s="75"/>
      <c r="I119" s="75"/>
      <c r="P119" s="564"/>
      <c r="Q119" s="565" t="s">
        <v>78</v>
      </c>
      <c r="R119" s="565"/>
    </row>
    <row r="120" spans="1:18" s="68" customFormat="1" ht="23.25" customHeight="1" x14ac:dyDescent="0.2">
      <c r="A120" s="207"/>
      <c r="H120" s="75"/>
      <c r="I120" s="75"/>
      <c r="P120" s="564"/>
      <c r="Q120" s="565" t="s">
        <v>79</v>
      </c>
      <c r="R120" s="565"/>
    </row>
    <row r="121" spans="1:18" s="68" customFormat="1" ht="26.25" customHeight="1" x14ac:dyDescent="0.2">
      <c r="A121" s="207"/>
      <c r="H121" s="75"/>
      <c r="I121" s="75"/>
      <c r="P121" s="564"/>
      <c r="Q121" s="565" t="s">
        <v>103</v>
      </c>
      <c r="R121" s="565"/>
    </row>
    <row r="122" spans="1:18" s="68" customFormat="1" ht="40.5" customHeight="1" x14ac:dyDescent="0.2">
      <c r="A122" s="207"/>
      <c r="H122" s="75"/>
      <c r="I122" s="75"/>
      <c r="J122" s="77"/>
      <c r="K122" s="77"/>
      <c r="L122" s="77"/>
      <c r="M122" s="77"/>
      <c r="P122" s="564"/>
      <c r="Q122" s="565" t="s">
        <v>104</v>
      </c>
      <c r="R122" s="565"/>
    </row>
    <row r="123" spans="1:18" s="77" customFormat="1" ht="36" customHeight="1" x14ac:dyDescent="0.2">
      <c r="A123" s="209"/>
      <c r="H123" s="75"/>
      <c r="I123" s="75"/>
      <c r="J123" s="68"/>
      <c r="K123" s="68"/>
      <c r="L123" s="68"/>
      <c r="M123" s="68"/>
      <c r="P123" s="564" t="s">
        <v>72</v>
      </c>
      <c r="Q123" s="565" t="s">
        <v>80</v>
      </c>
      <c r="R123" s="565"/>
    </row>
    <row r="124" spans="1:18" s="68" customFormat="1" ht="24.75" customHeight="1" x14ac:dyDescent="0.2">
      <c r="A124" s="207"/>
      <c r="H124" s="75"/>
      <c r="I124" s="75"/>
      <c r="P124" s="564"/>
      <c r="Q124" s="565" t="s">
        <v>81</v>
      </c>
      <c r="R124" s="565"/>
    </row>
    <row r="125" spans="1:18" s="68" customFormat="1" ht="22.5" customHeight="1" x14ac:dyDescent="0.2">
      <c r="A125" s="207"/>
      <c r="H125" s="75"/>
      <c r="I125" s="75"/>
      <c r="P125" s="564"/>
      <c r="Q125" s="565" t="s">
        <v>105</v>
      </c>
      <c r="R125" s="565"/>
    </row>
    <row r="126" spans="1:18" s="68" customFormat="1" ht="42.75" customHeight="1" x14ac:dyDescent="0.2">
      <c r="A126" s="207"/>
      <c r="H126" s="75"/>
      <c r="I126" s="75"/>
      <c r="P126" s="564"/>
      <c r="Q126" s="565" t="s">
        <v>106</v>
      </c>
      <c r="R126" s="565"/>
    </row>
    <row r="127" spans="1:18" s="68" customFormat="1" ht="48.75" customHeight="1" x14ac:dyDescent="0.2">
      <c r="A127" s="207"/>
      <c r="H127" s="75"/>
      <c r="I127" s="75"/>
      <c r="P127" s="564"/>
      <c r="Q127" s="565" t="s">
        <v>82</v>
      </c>
      <c r="R127" s="565"/>
    </row>
    <row r="128" spans="1:18" s="68" customFormat="1" ht="12.6" customHeight="1" x14ac:dyDescent="0.2">
      <c r="A128" s="207"/>
      <c r="H128" s="75"/>
      <c r="I128" s="75"/>
      <c r="P128" s="564" t="s">
        <v>73</v>
      </c>
      <c r="Q128" s="565" t="s">
        <v>83</v>
      </c>
      <c r="R128" s="565"/>
    </row>
    <row r="129" spans="1:18" s="68" customFormat="1" ht="51.75" customHeight="1" x14ac:dyDescent="0.2">
      <c r="A129" s="207"/>
      <c r="H129" s="75"/>
      <c r="I129" s="75"/>
      <c r="P129" s="564"/>
      <c r="Q129" s="566" t="s">
        <v>84</v>
      </c>
      <c r="R129" s="566"/>
    </row>
    <row r="130" spans="1:18" s="68" customFormat="1" ht="12.95" customHeight="1" x14ac:dyDescent="0.2">
      <c r="A130" s="207"/>
      <c r="H130" s="75"/>
      <c r="I130" s="75"/>
      <c r="N130"/>
      <c r="O130"/>
    </row>
    <row r="131" spans="1:18" s="68" customFormat="1" ht="12.95" customHeight="1" x14ac:dyDescent="0.2">
      <c r="A131" s="207"/>
      <c r="H131" s="75"/>
      <c r="I131" s="75"/>
      <c r="N131" s="378"/>
      <c r="O131" s="414"/>
    </row>
    <row r="132" spans="1:18" s="68" customFormat="1" x14ac:dyDescent="0.2">
      <c r="A132" s="207"/>
      <c r="B132" s="76"/>
      <c r="C132" s="76"/>
      <c r="D132" s="76"/>
      <c r="E132" s="76"/>
      <c r="F132" s="76"/>
      <c r="G132" s="76"/>
      <c r="H132" s="75"/>
      <c r="I132" s="75"/>
    </row>
    <row r="133" spans="1:18" s="68" customFormat="1" x14ac:dyDescent="0.2">
      <c r="A133" s="207"/>
      <c r="B133" s="76"/>
      <c r="C133" s="76"/>
      <c r="D133" s="76"/>
      <c r="E133" s="76"/>
      <c r="F133" s="76"/>
      <c r="G133" s="76"/>
      <c r="H133" s="75"/>
      <c r="I133" s="75"/>
    </row>
    <row r="134" spans="1:18" s="68" customFormat="1" x14ac:dyDescent="0.2">
      <c r="A134" s="207"/>
      <c r="B134" s="76"/>
      <c r="C134" s="76"/>
      <c r="D134" s="76"/>
      <c r="E134" s="76"/>
      <c r="F134" s="76"/>
      <c r="G134" s="76"/>
      <c r="H134" s="75"/>
      <c r="I134" s="75"/>
    </row>
    <row r="135" spans="1:18" s="68" customFormat="1" x14ac:dyDescent="0.2">
      <c r="A135" s="207"/>
      <c r="B135" s="76"/>
      <c r="C135" s="76"/>
      <c r="D135" s="76"/>
      <c r="E135" s="76"/>
      <c r="F135" s="76"/>
      <c r="G135" s="76"/>
      <c r="H135" s="75"/>
      <c r="I135" s="75"/>
    </row>
    <row r="136" spans="1:18" s="68" customFormat="1" x14ac:dyDescent="0.2">
      <c r="A136" s="207"/>
      <c r="B136" s="76"/>
      <c r="C136" s="76"/>
      <c r="D136" s="76"/>
      <c r="E136" s="76"/>
      <c r="F136" s="76"/>
      <c r="G136" s="76"/>
      <c r="H136" s="75"/>
      <c r="I136" s="75"/>
    </row>
    <row r="137" spans="1:18" s="68" customFormat="1" x14ac:dyDescent="0.2">
      <c r="A137" s="207"/>
      <c r="B137" s="76"/>
      <c r="C137" s="76"/>
      <c r="D137" s="76"/>
      <c r="E137" s="76"/>
      <c r="F137" s="76"/>
      <c r="G137" s="76"/>
      <c r="H137" s="75"/>
      <c r="I137" s="75"/>
    </row>
    <row r="138" spans="1:18" s="68" customFormat="1" x14ac:dyDescent="0.2">
      <c r="A138" s="207"/>
      <c r="B138" s="76"/>
      <c r="C138" s="76"/>
      <c r="D138" s="76"/>
      <c r="E138" s="76"/>
      <c r="F138" s="76"/>
      <c r="G138" s="76"/>
      <c r="H138" s="75"/>
      <c r="I138" s="75"/>
    </row>
    <row r="139" spans="1:18" s="68" customFormat="1" x14ac:dyDescent="0.2">
      <c r="A139" s="207"/>
      <c r="B139" s="76"/>
      <c r="C139" s="76"/>
      <c r="D139" s="76"/>
      <c r="E139" s="76"/>
      <c r="F139" s="76"/>
      <c r="G139" s="76"/>
      <c r="H139" s="75"/>
      <c r="I139" s="75"/>
    </row>
    <row r="140" spans="1:18" s="68" customFormat="1" x14ac:dyDescent="0.2">
      <c r="A140" s="207"/>
      <c r="B140" s="76"/>
      <c r="C140" s="76"/>
      <c r="D140" s="76"/>
      <c r="E140" s="76"/>
      <c r="F140" s="76"/>
      <c r="G140" s="76"/>
      <c r="H140" s="75"/>
      <c r="I140" s="75"/>
    </row>
    <row r="141" spans="1:18" s="68" customFormat="1" x14ac:dyDescent="0.2">
      <c r="A141" s="207"/>
      <c r="B141" s="76"/>
      <c r="C141" s="76"/>
      <c r="D141" s="76"/>
      <c r="E141" s="76"/>
      <c r="F141" s="76"/>
      <c r="G141" s="76"/>
      <c r="H141" s="75"/>
      <c r="I141" s="75"/>
    </row>
    <row r="142" spans="1:18" s="68" customFormat="1" x14ac:dyDescent="0.2">
      <c r="A142" s="207"/>
      <c r="B142" s="76"/>
      <c r="C142" s="76"/>
      <c r="D142" s="76"/>
      <c r="E142" s="76"/>
      <c r="F142" s="76"/>
      <c r="G142" s="76"/>
      <c r="H142" s="75"/>
      <c r="I142" s="75"/>
    </row>
    <row r="143" spans="1:18" s="68" customFormat="1" x14ac:dyDescent="0.2">
      <c r="A143" s="207"/>
      <c r="B143" s="76"/>
      <c r="C143" s="76"/>
      <c r="D143" s="76"/>
      <c r="E143" s="76"/>
      <c r="F143" s="76"/>
      <c r="G143" s="76"/>
      <c r="H143" s="75"/>
      <c r="I143" s="75"/>
    </row>
    <row r="144" spans="1:18" s="68" customFormat="1" x14ac:dyDescent="0.2">
      <c r="A144" s="207"/>
      <c r="B144" s="76"/>
      <c r="C144" s="76"/>
      <c r="D144" s="76"/>
      <c r="E144" s="76"/>
      <c r="F144" s="76"/>
      <c r="G144" s="76"/>
      <c r="H144" s="75"/>
      <c r="I144" s="75"/>
    </row>
    <row r="145" spans="1:9" s="68" customFormat="1" ht="13.35" customHeight="1" x14ac:dyDescent="0.2">
      <c r="A145" s="207"/>
      <c r="B145" s="76"/>
      <c r="C145" s="76"/>
      <c r="D145" s="76"/>
      <c r="E145" s="76"/>
      <c r="F145" s="76"/>
      <c r="G145" s="76"/>
      <c r="H145" s="75"/>
      <c r="I145" s="75"/>
    </row>
    <row r="146" spans="1:9" s="68" customFormat="1" x14ac:dyDescent="0.2">
      <c r="A146" s="207"/>
      <c r="B146" s="76"/>
      <c r="C146" s="76"/>
      <c r="D146" s="76"/>
      <c r="E146" s="76"/>
      <c r="F146" s="76"/>
      <c r="G146" s="76"/>
      <c r="H146" s="75"/>
      <c r="I146" s="75"/>
    </row>
    <row r="147" spans="1:9" s="68" customFormat="1" x14ac:dyDescent="0.2">
      <c r="A147" s="207"/>
      <c r="B147" s="76"/>
      <c r="C147" s="76"/>
      <c r="D147" s="76"/>
      <c r="E147" s="76"/>
      <c r="F147" s="76"/>
      <c r="G147" s="76"/>
      <c r="H147" s="75"/>
      <c r="I147" s="75"/>
    </row>
    <row r="148" spans="1:9" s="68" customFormat="1" x14ac:dyDescent="0.2">
      <c r="A148" s="207"/>
      <c r="B148" s="76"/>
      <c r="C148" s="76"/>
      <c r="D148" s="76"/>
      <c r="E148" s="76"/>
      <c r="F148" s="76"/>
      <c r="G148" s="76"/>
      <c r="H148" s="75"/>
      <c r="I148" s="75"/>
    </row>
    <row r="149" spans="1:9" s="68" customFormat="1" x14ac:dyDescent="0.2">
      <c r="A149" s="207"/>
      <c r="B149" s="76"/>
      <c r="C149" s="76"/>
      <c r="D149" s="76"/>
      <c r="E149" s="76"/>
      <c r="F149" s="76"/>
      <c r="G149" s="76"/>
      <c r="H149" s="75"/>
      <c r="I149" s="75"/>
    </row>
    <row r="150" spans="1:9" s="68" customFormat="1" x14ac:dyDescent="0.2">
      <c r="A150" s="207"/>
      <c r="B150" s="76"/>
      <c r="C150" s="76"/>
      <c r="D150" s="76"/>
      <c r="E150" s="76"/>
      <c r="F150" s="76"/>
      <c r="G150" s="76"/>
      <c r="H150" s="75"/>
      <c r="I150" s="75"/>
    </row>
    <row r="151" spans="1:9" s="68" customFormat="1" x14ac:dyDescent="0.2">
      <c r="A151" s="207"/>
      <c r="B151" s="76"/>
      <c r="C151" s="76"/>
      <c r="D151" s="76"/>
      <c r="E151" s="76"/>
      <c r="F151" s="76"/>
      <c r="G151" s="76"/>
      <c r="H151" s="75"/>
      <c r="I151" s="75"/>
    </row>
    <row r="152" spans="1:9" s="68" customFormat="1" x14ac:dyDescent="0.2">
      <c r="A152" s="207"/>
      <c r="B152" s="76"/>
      <c r="C152" s="76"/>
      <c r="D152" s="76"/>
      <c r="E152" s="76"/>
      <c r="F152" s="76"/>
      <c r="G152" s="76"/>
      <c r="H152" s="75"/>
      <c r="I152" s="75"/>
    </row>
    <row r="153" spans="1:9" s="68" customFormat="1" x14ac:dyDescent="0.2">
      <c r="A153" s="207"/>
      <c r="B153" s="76"/>
      <c r="C153" s="76"/>
      <c r="D153" s="76"/>
      <c r="E153" s="76"/>
      <c r="F153" s="76"/>
      <c r="G153" s="76"/>
      <c r="H153" s="75"/>
      <c r="I153" s="75"/>
    </row>
    <row r="154" spans="1:9" s="68" customFormat="1" x14ac:dyDescent="0.2">
      <c r="A154" s="207"/>
      <c r="B154" s="76"/>
      <c r="C154" s="76"/>
      <c r="D154" s="76"/>
      <c r="E154" s="76"/>
      <c r="F154" s="76"/>
      <c r="G154" s="76"/>
      <c r="H154" s="75"/>
      <c r="I154" s="75"/>
    </row>
    <row r="155" spans="1:9" s="68" customFormat="1" x14ac:dyDescent="0.2">
      <c r="A155" s="207"/>
      <c r="B155" s="76"/>
      <c r="C155" s="76"/>
      <c r="D155" s="76"/>
      <c r="E155" s="76"/>
      <c r="F155" s="76"/>
      <c r="G155" s="76"/>
      <c r="H155" s="75"/>
      <c r="I155" s="75"/>
    </row>
    <row r="156" spans="1:9" s="68" customFormat="1" x14ac:dyDescent="0.2">
      <c r="A156" s="207"/>
      <c r="B156" s="76"/>
      <c r="C156" s="76"/>
      <c r="D156" s="76"/>
      <c r="E156" s="76"/>
      <c r="F156" s="76"/>
      <c r="G156" s="76"/>
      <c r="H156" s="75"/>
      <c r="I156" s="75"/>
    </row>
    <row r="157" spans="1:9" s="68" customFormat="1" x14ac:dyDescent="0.2">
      <c r="A157" s="207"/>
      <c r="B157" s="76"/>
      <c r="C157" s="76"/>
      <c r="D157" s="76"/>
      <c r="E157" s="76"/>
      <c r="F157" s="76"/>
      <c r="G157" s="76"/>
      <c r="H157" s="75"/>
      <c r="I157" s="75"/>
    </row>
    <row r="158" spans="1:9" s="68" customFormat="1" x14ac:dyDescent="0.2">
      <c r="A158" s="207"/>
      <c r="B158" s="76"/>
      <c r="C158" s="76"/>
      <c r="D158" s="76"/>
      <c r="E158" s="76"/>
      <c r="F158" s="76"/>
      <c r="G158" s="76"/>
      <c r="H158" s="75"/>
      <c r="I158" s="75"/>
    </row>
    <row r="159" spans="1:9" s="68" customFormat="1" x14ac:dyDescent="0.2">
      <c r="A159" s="207"/>
      <c r="B159" s="76"/>
      <c r="C159" s="76"/>
      <c r="D159" s="76"/>
      <c r="E159" s="76"/>
      <c r="F159" s="76"/>
      <c r="G159" s="76"/>
      <c r="H159" s="75"/>
      <c r="I159" s="75"/>
    </row>
    <row r="160" spans="1:9" s="68" customFormat="1" x14ac:dyDescent="0.2">
      <c r="A160" s="207"/>
      <c r="B160" s="76"/>
      <c r="C160" s="76"/>
      <c r="D160" s="76"/>
      <c r="E160" s="76"/>
      <c r="F160" s="76"/>
      <c r="G160" s="76"/>
      <c r="H160" s="75"/>
      <c r="I160" s="75"/>
    </row>
    <row r="161" spans="1:9" s="68" customFormat="1" ht="13.35" customHeight="1" x14ac:dyDescent="0.2">
      <c r="A161" s="207"/>
      <c r="B161" s="76"/>
      <c r="C161" s="76"/>
      <c r="D161" s="76"/>
      <c r="E161" s="76"/>
      <c r="F161" s="76"/>
      <c r="G161" s="76"/>
      <c r="H161" s="75"/>
      <c r="I161" s="75"/>
    </row>
    <row r="162" spans="1:9" s="68" customFormat="1" x14ac:dyDescent="0.2">
      <c r="A162" s="207"/>
      <c r="B162" s="76"/>
      <c r="C162" s="76"/>
      <c r="D162" s="76"/>
      <c r="E162" s="76"/>
      <c r="F162" s="76"/>
      <c r="G162" s="76"/>
      <c r="H162" s="75"/>
      <c r="I162" s="75"/>
    </row>
    <row r="163" spans="1:9" s="68" customFormat="1" x14ac:dyDescent="0.2">
      <c r="A163" s="207"/>
      <c r="B163" s="76"/>
      <c r="C163" s="76"/>
      <c r="D163" s="76"/>
      <c r="E163" s="76"/>
      <c r="F163" s="76"/>
      <c r="G163" s="76"/>
      <c r="H163" s="75"/>
      <c r="I163" s="75"/>
    </row>
    <row r="164" spans="1:9" s="68" customFormat="1" x14ac:dyDescent="0.2">
      <c r="A164" s="207"/>
      <c r="B164" s="76"/>
      <c r="C164" s="76"/>
      <c r="D164" s="76"/>
      <c r="E164" s="76"/>
      <c r="F164" s="76"/>
      <c r="G164" s="76"/>
      <c r="H164" s="75"/>
      <c r="I164" s="75"/>
    </row>
    <row r="165" spans="1:9" s="68" customFormat="1" x14ac:dyDescent="0.2">
      <c r="A165" s="207"/>
      <c r="B165" s="76"/>
      <c r="C165" s="76"/>
      <c r="D165" s="76"/>
      <c r="E165" s="76"/>
      <c r="F165" s="76"/>
      <c r="G165" s="76"/>
      <c r="H165" s="75"/>
      <c r="I165" s="75"/>
    </row>
    <row r="166" spans="1:9" s="68" customFormat="1" x14ac:dyDescent="0.2">
      <c r="A166" s="207"/>
      <c r="B166" s="76"/>
      <c r="C166" s="76"/>
      <c r="D166" s="76"/>
      <c r="E166" s="76"/>
      <c r="F166" s="76"/>
      <c r="G166" s="76"/>
      <c r="H166" s="75"/>
      <c r="I166" s="75"/>
    </row>
    <row r="167" spans="1:9" s="68" customFormat="1" x14ac:dyDescent="0.2">
      <c r="A167" s="207"/>
      <c r="B167" s="76"/>
      <c r="C167" s="76"/>
      <c r="D167" s="76"/>
      <c r="E167" s="76"/>
      <c r="F167" s="76"/>
      <c r="G167" s="76"/>
      <c r="H167" s="75"/>
      <c r="I167" s="75"/>
    </row>
    <row r="168" spans="1:9" s="68" customFormat="1" x14ac:dyDescent="0.2">
      <c r="A168" s="207"/>
      <c r="B168" s="76"/>
      <c r="C168" s="76"/>
      <c r="D168" s="76"/>
      <c r="E168" s="76"/>
      <c r="F168" s="76"/>
      <c r="G168" s="76"/>
      <c r="H168" s="75"/>
      <c r="I168" s="75"/>
    </row>
    <row r="169" spans="1:9" s="68" customFormat="1" x14ac:dyDescent="0.2">
      <c r="A169" s="207"/>
      <c r="B169" s="76"/>
      <c r="C169" s="76"/>
      <c r="D169" s="76"/>
      <c r="E169" s="76"/>
      <c r="F169" s="76"/>
      <c r="G169" s="76"/>
      <c r="H169" s="75"/>
      <c r="I169" s="75"/>
    </row>
    <row r="170" spans="1:9" s="68" customFormat="1" x14ac:dyDescent="0.2">
      <c r="A170" s="207"/>
      <c r="B170" s="76"/>
      <c r="C170" s="76"/>
      <c r="D170" s="76"/>
      <c r="E170" s="76"/>
      <c r="F170" s="76"/>
      <c r="G170" s="76"/>
      <c r="H170" s="75"/>
      <c r="I170" s="75"/>
    </row>
    <row r="171" spans="1:9" s="68" customFormat="1" x14ac:dyDescent="0.2">
      <c r="A171" s="207"/>
      <c r="B171" s="76"/>
      <c r="C171" s="76"/>
      <c r="D171" s="76"/>
      <c r="E171" s="76"/>
      <c r="F171" s="76"/>
      <c r="G171" s="76"/>
      <c r="H171" s="75"/>
      <c r="I171" s="75"/>
    </row>
    <row r="172" spans="1:9" s="68" customFormat="1" x14ac:dyDescent="0.2">
      <c r="A172" s="207"/>
      <c r="B172" s="76"/>
      <c r="C172" s="76"/>
      <c r="D172" s="76"/>
      <c r="E172" s="76"/>
      <c r="F172" s="76"/>
      <c r="G172" s="76"/>
      <c r="H172" s="75"/>
      <c r="I172" s="75"/>
    </row>
    <row r="173" spans="1:9" s="68" customFormat="1" x14ac:dyDescent="0.2">
      <c r="A173" s="207"/>
      <c r="B173" s="76"/>
      <c r="C173" s="76"/>
      <c r="D173" s="76"/>
      <c r="E173" s="76"/>
      <c r="F173" s="76"/>
      <c r="G173" s="76"/>
      <c r="H173" s="75"/>
      <c r="I173" s="75"/>
    </row>
    <row r="174" spans="1:9" s="68" customFormat="1" x14ac:dyDescent="0.2">
      <c r="A174" s="207"/>
      <c r="B174" s="76"/>
      <c r="C174" s="76"/>
      <c r="D174" s="76"/>
      <c r="E174" s="76"/>
      <c r="F174" s="76"/>
      <c r="G174" s="76"/>
      <c r="H174" s="75"/>
      <c r="I174" s="75"/>
    </row>
    <row r="175" spans="1:9" s="68" customFormat="1" x14ac:dyDescent="0.2">
      <c r="A175" s="207"/>
      <c r="B175" s="76"/>
      <c r="C175" s="76"/>
      <c r="D175" s="76"/>
      <c r="E175" s="76"/>
      <c r="F175" s="76"/>
      <c r="G175" s="76"/>
      <c r="H175" s="75"/>
      <c r="I175" s="75"/>
    </row>
    <row r="176" spans="1:9" s="68" customFormat="1" x14ac:dyDescent="0.2">
      <c r="A176" s="207"/>
      <c r="B176" s="76"/>
      <c r="C176" s="76"/>
      <c r="D176" s="76"/>
      <c r="E176" s="76"/>
      <c r="F176" s="76"/>
      <c r="G176" s="76"/>
      <c r="H176" s="75"/>
      <c r="I176" s="75"/>
    </row>
    <row r="177" spans="1:9" s="68" customFormat="1" ht="13.35" customHeight="1" x14ac:dyDescent="0.2">
      <c r="A177" s="207"/>
      <c r="B177" s="76"/>
      <c r="C177" s="76"/>
      <c r="D177" s="76"/>
      <c r="E177" s="76"/>
      <c r="F177" s="76"/>
      <c r="G177" s="76"/>
      <c r="H177" s="75"/>
      <c r="I177" s="75"/>
    </row>
    <row r="178" spans="1:9" s="68" customFormat="1" x14ac:dyDescent="0.2">
      <c r="A178" s="207"/>
      <c r="B178" s="76"/>
      <c r="C178" s="76"/>
      <c r="D178" s="76"/>
      <c r="E178" s="76"/>
      <c r="F178" s="76"/>
      <c r="G178" s="76"/>
      <c r="H178" s="75"/>
      <c r="I178" s="75"/>
    </row>
    <row r="179" spans="1:9" s="68" customFormat="1" x14ac:dyDescent="0.2">
      <c r="A179" s="207"/>
      <c r="B179" s="76"/>
      <c r="C179" s="76"/>
      <c r="D179" s="76"/>
      <c r="E179" s="76"/>
      <c r="F179" s="76"/>
      <c r="G179" s="76"/>
      <c r="H179" s="75"/>
      <c r="I179" s="75"/>
    </row>
    <row r="180" spans="1:9" s="68" customFormat="1" x14ac:dyDescent="0.2">
      <c r="A180" s="207"/>
      <c r="B180" s="76"/>
      <c r="C180" s="76"/>
      <c r="D180" s="76"/>
      <c r="E180" s="76"/>
      <c r="F180" s="76"/>
      <c r="G180" s="76"/>
      <c r="H180" s="75"/>
      <c r="I180" s="75"/>
    </row>
    <row r="181" spans="1:9" s="68" customFormat="1" x14ac:dyDescent="0.2">
      <c r="A181" s="207"/>
      <c r="B181" s="76"/>
      <c r="C181" s="76"/>
      <c r="D181" s="76"/>
      <c r="E181" s="76"/>
      <c r="F181" s="76"/>
      <c r="G181" s="76"/>
      <c r="H181" s="75"/>
      <c r="I181" s="75"/>
    </row>
    <row r="182" spans="1:9" s="68" customFormat="1" x14ac:dyDescent="0.2">
      <c r="A182" s="207"/>
      <c r="B182" s="76"/>
      <c r="C182" s="76"/>
      <c r="D182" s="76"/>
      <c r="E182" s="76"/>
      <c r="F182" s="76"/>
      <c r="G182" s="76"/>
      <c r="H182" s="75"/>
      <c r="I182" s="75"/>
    </row>
    <row r="183" spans="1:9" s="68" customFormat="1" x14ac:dyDescent="0.2">
      <c r="A183" s="207"/>
      <c r="B183" s="76"/>
      <c r="C183" s="76"/>
      <c r="D183" s="76"/>
      <c r="E183" s="76"/>
      <c r="F183" s="76"/>
      <c r="G183" s="76"/>
      <c r="H183" s="75"/>
      <c r="I183" s="75"/>
    </row>
    <row r="184" spans="1:9" s="68" customFormat="1" x14ac:dyDescent="0.2">
      <c r="A184" s="207"/>
      <c r="B184" s="76"/>
      <c r="C184" s="76"/>
      <c r="D184" s="76"/>
      <c r="E184" s="76"/>
      <c r="F184" s="76"/>
      <c r="G184" s="76"/>
      <c r="H184" s="75"/>
      <c r="I184" s="75"/>
    </row>
    <row r="185" spans="1:9" s="68" customFormat="1" x14ac:dyDescent="0.2">
      <c r="A185" s="207"/>
      <c r="B185" s="76"/>
      <c r="C185" s="76"/>
      <c r="D185" s="76"/>
      <c r="E185" s="76"/>
      <c r="F185" s="76"/>
      <c r="G185" s="76"/>
      <c r="H185" s="75"/>
      <c r="I185" s="75"/>
    </row>
    <row r="186" spans="1:9" s="68" customFormat="1" x14ac:dyDescent="0.2">
      <c r="A186" s="207"/>
      <c r="B186" s="76"/>
      <c r="C186" s="76"/>
      <c r="D186" s="76"/>
      <c r="E186" s="76"/>
      <c r="F186" s="76"/>
      <c r="G186" s="76"/>
      <c r="H186" s="75"/>
      <c r="I186" s="75"/>
    </row>
    <row r="187" spans="1:9" s="68" customFormat="1" x14ac:dyDescent="0.2">
      <c r="A187" s="207"/>
      <c r="B187" s="76"/>
      <c r="C187" s="76"/>
      <c r="D187" s="76"/>
      <c r="E187" s="76"/>
      <c r="F187" s="76"/>
      <c r="G187" s="76"/>
      <c r="H187" s="75"/>
      <c r="I187" s="75"/>
    </row>
    <row r="188" spans="1:9" s="68" customFormat="1" x14ac:dyDescent="0.2">
      <c r="A188" s="207"/>
      <c r="B188" s="76"/>
      <c r="C188" s="76"/>
      <c r="D188" s="76"/>
      <c r="E188" s="76"/>
      <c r="F188" s="76"/>
      <c r="G188" s="76"/>
      <c r="H188" s="75"/>
      <c r="I188" s="75"/>
    </row>
    <row r="189" spans="1:9" s="68" customFormat="1" x14ac:dyDescent="0.2">
      <c r="A189" s="207"/>
      <c r="B189" s="76"/>
      <c r="C189" s="76"/>
      <c r="D189" s="76"/>
      <c r="E189" s="76"/>
      <c r="F189" s="76"/>
      <c r="G189" s="76"/>
      <c r="H189" s="75"/>
      <c r="I189" s="75"/>
    </row>
    <row r="190" spans="1:9" s="68" customFormat="1" x14ac:dyDescent="0.2">
      <c r="A190" s="207"/>
      <c r="B190" s="76"/>
      <c r="C190" s="76"/>
      <c r="D190" s="76"/>
      <c r="E190" s="76"/>
      <c r="F190" s="76"/>
      <c r="G190" s="76"/>
      <c r="H190" s="75"/>
      <c r="I190" s="75"/>
    </row>
    <row r="191" spans="1:9" s="68" customFormat="1" x14ac:dyDescent="0.2">
      <c r="A191" s="207"/>
      <c r="B191" s="76"/>
      <c r="C191" s="76"/>
      <c r="D191" s="76"/>
      <c r="E191" s="76"/>
      <c r="F191" s="76"/>
      <c r="G191" s="76"/>
      <c r="H191" s="75"/>
      <c r="I191" s="75"/>
    </row>
    <row r="192" spans="1:9" s="68" customFormat="1" x14ac:dyDescent="0.2">
      <c r="A192" s="207"/>
      <c r="B192" s="76"/>
      <c r="C192" s="76"/>
      <c r="D192" s="76"/>
      <c r="E192" s="76"/>
      <c r="F192" s="76"/>
      <c r="G192" s="76"/>
      <c r="H192" s="75"/>
      <c r="I192" s="75"/>
    </row>
    <row r="193" spans="1:9" s="68" customFormat="1" ht="13.35" customHeight="1" x14ac:dyDescent="0.2">
      <c r="A193" s="207"/>
      <c r="B193" s="76"/>
      <c r="C193" s="76"/>
      <c r="D193" s="76"/>
      <c r="E193" s="76"/>
      <c r="F193" s="76"/>
      <c r="G193" s="76"/>
      <c r="H193" s="75"/>
      <c r="I193" s="75"/>
    </row>
    <row r="194" spans="1:9" s="68" customFormat="1" x14ac:dyDescent="0.2">
      <c r="A194" s="207"/>
      <c r="B194" s="76"/>
      <c r="C194" s="76"/>
      <c r="D194" s="76"/>
      <c r="E194" s="76"/>
      <c r="F194" s="76"/>
      <c r="G194" s="76"/>
      <c r="H194" s="75"/>
      <c r="I194" s="75"/>
    </row>
    <row r="195" spans="1:9" s="68" customFormat="1" x14ac:dyDescent="0.2">
      <c r="A195" s="207"/>
      <c r="B195" s="76"/>
      <c r="C195" s="76"/>
      <c r="D195" s="76"/>
      <c r="E195" s="76"/>
      <c r="F195" s="76"/>
      <c r="G195" s="76"/>
      <c r="H195" s="75"/>
      <c r="I195" s="75"/>
    </row>
    <row r="196" spans="1:9" s="68" customFormat="1" x14ac:dyDescent="0.2">
      <c r="A196" s="207"/>
      <c r="B196" s="76"/>
      <c r="C196" s="76"/>
      <c r="D196" s="76"/>
      <c r="E196" s="76"/>
      <c r="F196" s="76"/>
      <c r="G196" s="76"/>
      <c r="H196" s="75"/>
      <c r="I196" s="75"/>
    </row>
    <row r="197" spans="1:9" s="68" customFormat="1" x14ac:dyDescent="0.2">
      <c r="A197" s="207"/>
      <c r="B197" s="76"/>
      <c r="C197" s="76"/>
      <c r="D197" s="76"/>
      <c r="E197" s="76"/>
      <c r="F197" s="76"/>
      <c r="G197" s="76"/>
      <c r="H197" s="75"/>
      <c r="I197" s="75"/>
    </row>
    <row r="198" spans="1:9" s="68" customFormat="1" x14ac:dyDescent="0.2">
      <c r="A198" s="207"/>
      <c r="B198" s="76"/>
      <c r="C198" s="76"/>
      <c r="D198" s="76"/>
      <c r="E198" s="76"/>
      <c r="F198" s="76"/>
      <c r="G198" s="76"/>
      <c r="H198" s="75"/>
      <c r="I198" s="75"/>
    </row>
    <row r="199" spans="1:9" s="68" customFormat="1" x14ac:dyDescent="0.2">
      <c r="A199" s="207"/>
      <c r="B199" s="76"/>
      <c r="C199" s="76"/>
      <c r="D199" s="76"/>
      <c r="E199" s="76"/>
      <c r="F199" s="76"/>
      <c r="G199" s="76"/>
      <c r="H199" s="75"/>
      <c r="I199" s="75"/>
    </row>
    <row r="200" spans="1:9" s="68" customFormat="1" x14ac:dyDescent="0.2">
      <c r="A200" s="207"/>
      <c r="B200" s="76"/>
      <c r="C200" s="76"/>
      <c r="D200" s="76"/>
      <c r="E200" s="76"/>
      <c r="F200" s="76"/>
      <c r="G200" s="76"/>
      <c r="H200" s="75"/>
      <c r="I200" s="75"/>
    </row>
    <row r="201" spans="1:9" s="68" customFormat="1" x14ac:dyDescent="0.2">
      <c r="A201" s="207"/>
      <c r="B201" s="76"/>
      <c r="C201" s="76"/>
      <c r="D201" s="76"/>
      <c r="E201" s="76"/>
      <c r="F201" s="76"/>
      <c r="G201" s="76"/>
      <c r="H201" s="75"/>
      <c r="I201" s="75"/>
    </row>
    <row r="202" spans="1:9" s="68" customFormat="1" x14ac:dyDescent="0.2">
      <c r="A202" s="207"/>
      <c r="B202" s="76"/>
      <c r="C202" s="76"/>
      <c r="D202" s="76"/>
      <c r="E202" s="76"/>
      <c r="F202" s="76"/>
      <c r="G202" s="76"/>
      <c r="H202" s="75"/>
      <c r="I202" s="75"/>
    </row>
    <row r="203" spans="1:9" s="68" customFormat="1" x14ac:dyDescent="0.2">
      <c r="A203" s="207"/>
      <c r="B203" s="76"/>
      <c r="C203" s="76"/>
      <c r="D203" s="76"/>
      <c r="E203" s="76"/>
      <c r="F203" s="76"/>
      <c r="G203" s="76"/>
      <c r="H203" s="75"/>
      <c r="I203" s="75"/>
    </row>
    <row r="204" spans="1:9" s="68" customFormat="1" x14ac:dyDescent="0.2">
      <c r="A204" s="207"/>
      <c r="B204" s="76"/>
      <c r="C204" s="76"/>
      <c r="D204" s="76"/>
      <c r="E204" s="76"/>
      <c r="F204" s="76"/>
      <c r="G204" s="76"/>
      <c r="H204" s="75"/>
      <c r="I204" s="75"/>
    </row>
    <row r="205" spans="1:9" s="68" customFormat="1" x14ac:dyDescent="0.2">
      <c r="A205" s="207"/>
      <c r="B205" s="76"/>
      <c r="C205" s="76"/>
      <c r="D205" s="76"/>
      <c r="E205" s="76"/>
      <c r="F205" s="76"/>
      <c r="G205" s="76"/>
      <c r="H205" s="75"/>
      <c r="I205" s="75"/>
    </row>
    <row r="206" spans="1:9" s="68" customFormat="1" x14ac:dyDescent="0.2">
      <c r="A206" s="207"/>
      <c r="B206" s="76"/>
      <c r="C206" s="76"/>
      <c r="D206" s="76"/>
      <c r="E206" s="76"/>
      <c r="F206" s="76"/>
      <c r="G206" s="76"/>
      <c r="H206" s="75"/>
      <c r="I206" s="75"/>
    </row>
    <row r="207" spans="1:9" s="68" customFormat="1" x14ac:dyDescent="0.2">
      <c r="A207" s="207"/>
      <c r="B207" s="76"/>
      <c r="C207" s="76"/>
      <c r="D207" s="76"/>
      <c r="E207" s="76"/>
      <c r="F207" s="76"/>
      <c r="G207" s="76"/>
      <c r="H207" s="75"/>
      <c r="I207" s="75"/>
    </row>
    <row r="208" spans="1:9" s="68" customFormat="1" x14ac:dyDescent="0.2">
      <c r="A208" s="207"/>
      <c r="B208" s="76"/>
      <c r="C208" s="76"/>
      <c r="D208" s="76"/>
      <c r="E208" s="76"/>
      <c r="F208" s="76"/>
      <c r="G208" s="76"/>
      <c r="H208" s="75"/>
      <c r="I208" s="75"/>
    </row>
    <row r="209" spans="1:9" s="68" customFormat="1" ht="13.35" customHeight="1" x14ac:dyDescent="0.2">
      <c r="A209" s="207"/>
      <c r="B209" s="76"/>
      <c r="C209" s="76"/>
      <c r="D209" s="76"/>
      <c r="E209" s="76"/>
      <c r="F209" s="76"/>
      <c r="G209" s="76"/>
      <c r="H209" s="75"/>
      <c r="I209" s="75"/>
    </row>
    <row r="210" spans="1:9" s="68" customFormat="1" x14ac:dyDescent="0.2">
      <c r="A210" s="207"/>
      <c r="B210" s="76"/>
      <c r="C210" s="76"/>
      <c r="D210" s="76"/>
      <c r="E210" s="76"/>
      <c r="F210" s="76"/>
      <c r="G210" s="76"/>
      <c r="H210" s="75"/>
      <c r="I210" s="75"/>
    </row>
    <row r="211" spans="1:9" s="68" customFormat="1" x14ac:dyDescent="0.2">
      <c r="A211" s="207"/>
      <c r="B211" s="76"/>
      <c r="C211" s="76"/>
      <c r="D211" s="76"/>
      <c r="E211" s="76"/>
      <c r="F211" s="76"/>
      <c r="G211" s="76"/>
      <c r="H211" s="75"/>
      <c r="I211" s="75"/>
    </row>
    <row r="212" spans="1:9" s="68" customFormat="1" x14ac:dyDescent="0.2">
      <c r="A212" s="207"/>
      <c r="B212" s="76"/>
      <c r="C212" s="76"/>
      <c r="D212" s="76"/>
      <c r="E212" s="76"/>
      <c r="F212" s="76"/>
      <c r="G212" s="76"/>
      <c r="H212" s="75"/>
      <c r="I212" s="75"/>
    </row>
    <row r="213" spans="1:9" s="68" customFormat="1" x14ac:dyDescent="0.2">
      <c r="A213" s="207"/>
      <c r="B213" s="76"/>
      <c r="C213" s="76"/>
      <c r="D213" s="76"/>
      <c r="E213" s="76"/>
      <c r="F213" s="76"/>
      <c r="G213" s="76"/>
      <c r="H213" s="75"/>
      <c r="I213" s="75"/>
    </row>
    <row r="214" spans="1:9" s="68" customFormat="1" x14ac:dyDescent="0.2">
      <c r="A214" s="207"/>
      <c r="B214" s="76"/>
      <c r="C214" s="76"/>
      <c r="D214" s="76"/>
      <c r="E214" s="76"/>
      <c r="F214" s="76"/>
      <c r="G214" s="76"/>
      <c r="H214" s="75"/>
      <c r="I214" s="75"/>
    </row>
    <row r="215" spans="1:9" s="68" customFormat="1" x14ac:dyDescent="0.2">
      <c r="A215" s="207"/>
      <c r="B215" s="76"/>
      <c r="C215" s="76"/>
      <c r="D215" s="76"/>
      <c r="E215" s="76"/>
      <c r="F215" s="76"/>
      <c r="G215" s="76"/>
      <c r="H215" s="75"/>
      <c r="I215" s="75"/>
    </row>
    <row r="216" spans="1:9" s="68" customFormat="1" x14ac:dyDescent="0.2">
      <c r="A216" s="207"/>
      <c r="B216" s="76"/>
      <c r="C216" s="76"/>
      <c r="D216" s="76"/>
      <c r="E216" s="76"/>
      <c r="F216" s="76"/>
      <c r="G216" s="76"/>
      <c r="H216" s="75"/>
      <c r="I216" s="75"/>
    </row>
    <row r="217" spans="1:9" s="68" customFormat="1" x14ac:dyDescent="0.2">
      <c r="A217" s="207"/>
      <c r="B217" s="76"/>
      <c r="C217" s="76"/>
      <c r="D217" s="76"/>
      <c r="E217" s="76"/>
      <c r="F217" s="76"/>
      <c r="G217" s="76"/>
      <c r="H217" s="75"/>
      <c r="I217" s="75"/>
    </row>
    <row r="218" spans="1:9" s="68" customFormat="1" x14ac:dyDescent="0.2">
      <c r="A218" s="207"/>
      <c r="B218" s="76"/>
      <c r="C218" s="76"/>
      <c r="D218" s="76"/>
      <c r="E218" s="76"/>
      <c r="F218" s="76"/>
      <c r="G218" s="76"/>
      <c r="H218" s="75"/>
      <c r="I218" s="75"/>
    </row>
    <row r="219" spans="1:9" s="68" customFormat="1" x14ac:dyDescent="0.2">
      <c r="A219" s="207"/>
      <c r="B219" s="76"/>
      <c r="C219" s="76"/>
      <c r="D219" s="76"/>
      <c r="E219" s="76"/>
      <c r="F219" s="76"/>
      <c r="G219" s="76"/>
      <c r="H219" s="75"/>
      <c r="I219" s="75"/>
    </row>
    <row r="220" spans="1:9" s="68" customFormat="1" x14ac:dyDescent="0.2">
      <c r="A220" s="207"/>
      <c r="B220" s="76"/>
      <c r="C220" s="76"/>
      <c r="D220" s="76"/>
      <c r="E220" s="76"/>
      <c r="F220" s="76"/>
      <c r="G220" s="76"/>
      <c r="H220" s="75"/>
      <c r="I220" s="75"/>
    </row>
    <row r="221" spans="1:9" s="68" customFormat="1" x14ac:dyDescent="0.2">
      <c r="A221" s="207"/>
      <c r="B221" s="76"/>
      <c r="C221" s="76"/>
      <c r="D221" s="76"/>
      <c r="E221" s="76"/>
      <c r="F221" s="76"/>
      <c r="G221" s="76"/>
      <c r="H221" s="75"/>
      <c r="I221" s="75"/>
    </row>
    <row r="222" spans="1:9" s="68" customFormat="1" x14ac:dyDescent="0.2">
      <c r="A222" s="207"/>
      <c r="B222" s="76"/>
      <c r="C222" s="76"/>
      <c r="D222" s="76"/>
      <c r="E222" s="76"/>
      <c r="F222" s="76"/>
      <c r="G222" s="76"/>
      <c r="H222" s="75"/>
      <c r="I222" s="75"/>
    </row>
    <row r="223" spans="1:9" s="68" customFormat="1" x14ac:dyDescent="0.2">
      <c r="A223" s="207"/>
      <c r="B223" s="76"/>
      <c r="C223" s="76"/>
      <c r="D223" s="76"/>
      <c r="E223" s="76"/>
      <c r="F223" s="76"/>
      <c r="G223" s="76"/>
      <c r="H223" s="75"/>
      <c r="I223" s="75"/>
    </row>
    <row r="224" spans="1:9" s="68" customFormat="1" x14ac:dyDescent="0.2">
      <c r="A224" s="207"/>
      <c r="B224" s="76"/>
      <c r="C224" s="76"/>
      <c r="D224" s="76"/>
      <c r="E224" s="76"/>
      <c r="F224" s="76"/>
      <c r="G224" s="76"/>
      <c r="H224" s="75"/>
      <c r="I224" s="75"/>
    </row>
    <row r="225" spans="1:13" s="68" customFormat="1" ht="13.35" customHeight="1" x14ac:dyDescent="0.2">
      <c r="A225" s="207"/>
      <c r="B225" s="76"/>
      <c r="C225" s="76"/>
      <c r="D225" s="76"/>
      <c r="E225" s="76"/>
      <c r="F225" s="76"/>
      <c r="G225" s="76"/>
      <c r="H225" s="75"/>
      <c r="I225" s="75"/>
    </row>
    <row r="226" spans="1:13" s="68" customFormat="1" x14ac:dyDescent="0.2">
      <c r="A226" s="207"/>
      <c r="B226" s="76"/>
      <c r="C226" s="76"/>
      <c r="D226" s="76"/>
      <c r="E226" s="76"/>
      <c r="F226" s="76"/>
      <c r="G226" s="76"/>
      <c r="H226" s="75"/>
      <c r="I226" s="75"/>
    </row>
    <row r="227" spans="1:13" s="68" customFormat="1" x14ac:dyDescent="0.2">
      <c r="A227" s="207"/>
      <c r="B227" s="76"/>
      <c r="C227" s="76"/>
      <c r="D227" s="76"/>
      <c r="E227" s="76"/>
      <c r="F227" s="76"/>
      <c r="G227" s="76"/>
      <c r="H227" s="75"/>
      <c r="I227" s="75"/>
    </row>
    <row r="228" spans="1:13" s="68" customFormat="1" x14ac:dyDescent="0.2">
      <c r="A228" s="207"/>
      <c r="B228" s="76"/>
      <c r="C228" s="76"/>
      <c r="D228" s="76"/>
      <c r="E228" s="76"/>
      <c r="F228" s="76"/>
      <c r="G228" s="76"/>
      <c r="H228" s="75"/>
      <c r="I228" s="75"/>
    </row>
    <row r="229" spans="1:13" s="68" customFormat="1" x14ac:dyDescent="0.2">
      <c r="A229" s="207"/>
      <c r="B229" s="76"/>
      <c r="C229" s="76"/>
      <c r="D229" s="76"/>
      <c r="E229" s="76"/>
      <c r="F229" s="76"/>
      <c r="G229" s="76"/>
      <c r="H229" s="75"/>
      <c r="I229" s="75"/>
      <c r="J229" s="76"/>
      <c r="K229" s="76"/>
      <c r="L229" s="76"/>
      <c r="M229" s="76"/>
    </row>
  </sheetData>
  <sheetProtection algorithmName="SHA-512" hashValue="8802z4xBSnqISQ0yHv7yv87H9LDpef9RFAiszbGG7/QbtwzUJwIAEqUotZ/oVdmNPGv85U0j4dQ8SzY9qJt1bA==" saltValue="234FPPq3AoLdTDaQwdpfGQ==" spinCount="100000" sheet="1" objects="1" scenarios="1" formatColumns="0" formatRows="0"/>
  <dataConsolidate/>
  <mergeCells count="43">
    <mergeCell ref="U7:V8"/>
    <mergeCell ref="J113:K114"/>
    <mergeCell ref="L7:L8"/>
    <mergeCell ref="K111:K112"/>
    <mergeCell ref="J6:L6"/>
    <mergeCell ref="J7:J8"/>
    <mergeCell ref="K7:K8"/>
    <mergeCell ref="N6:Q6"/>
    <mergeCell ref="N112:Q112"/>
    <mergeCell ref="N7:N8"/>
    <mergeCell ref="T7:T8"/>
    <mergeCell ref="O7:O8"/>
    <mergeCell ref="R7:R8"/>
    <mergeCell ref="S7:S8"/>
    <mergeCell ref="P7:P8"/>
    <mergeCell ref="Q7:Q8"/>
    <mergeCell ref="N111:O111"/>
    <mergeCell ref="P116:P122"/>
    <mergeCell ref="P123:P127"/>
    <mergeCell ref="B7:B8"/>
    <mergeCell ref="B6:H6"/>
    <mergeCell ref="E7:E8"/>
    <mergeCell ref="G7:G8"/>
    <mergeCell ref="H7:H8"/>
    <mergeCell ref="C7:C8"/>
    <mergeCell ref="D7:D8"/>
    <mergeCell ref="F7:F8"/>
    <mergeCell ref="P128:P129"/>
    <mergeCell ref="Q115:R115"/>
    <mergeCell ref="Q122:R122"/>
    <mergeCell ref="Q121:R121"/>
    <mergeCell ref="Q120:R120"/>
    <mergeCell ref="Q119:R119"/>
    <mergeCell ref="Q118:R118"/>
    <mergeCell ref="Q117:R117"/>
    <mergeCell ref="Q116:R116"/>
    <mergeCell ref="Q129:R129"/>
    <mergeCell ref="Q128:R128"/>
    <mergeCell ref="Q127:R127"/>
    <mergeCell ref="Q126:R126"/>
    <mergeCell ref="Q125:R125"/>
    <mergeCell ref="Q124:R124"/>
    <mergeCell ref="Q123:R123"/>
  </mergeCells>
  <phoneticPr fontId="0" type="noConversion"/>
  <conditionalFormatting sqref="T9:T110">
    <cfRule type="cellIs" dxfId="3" priority="14" operator="equal">
      <formula>FALSE</formula>
    </cfRule>
  </conditionalFormatting>
  <conditionalFormatting sqref="Q9:Q110 S9:S110">
    <cfRule type="expression" dxfId="2" priority="9">
      <formula>ISERROR(Q9)</formula>
    </cfRule>
  </conditionalFormatting>
  <conditionalFormatting sqref="T9:T110">
    <cfRule type="containsErrors" dxfId="1" priority="1">
      <formula>ISERROR(T9)</formula>
    </cfRule>
  </conditionalFormatting>
  <dataValidations count="3">
    <dataValidation type="list" allowBlank="1" showInputMessage="1" showErrorMessage="1" sqref="O9:O110 K9:K110" xr:uid="{00000000-0002-0000-0500-000000000000}">
      <formula1>"Yes, No"</formula1>
    </dataValidation>
    <dataValidation type="list" allowBlank="1" showInputMessage="1" showErrorMessage="1" sqref="N9:N110" xr:uid="{00000000-0002-0000-0500-000001000000}">
      <formula1>"Material Ingredient Screening &amp; Optimisation Action Plan, Advanced Inventory &amp; Assessment, Material Ingredient Optimisation, REACH, Global Green Tag"</formula1>
    </dataValidation>
    <dataValidation type="list" allowBlank="1" showInputMessage="1" showErrorMessage="1" sqref="J9:J110" xr:uid="{00000000-0002-0000-0500-000002000000}">
      <formula1>"Manufacturer Inventory, Health Product Declaration,Cradle to Cradle Material Health Certificate, Cradle to Cradle v3 (with Material Health achievement), Declare, Living Product Challenge, ANSI/BIFMA e3, Product Lens certification,Facts:NSF/ANSI 336"</formula1>
    </dataValidation>
  </dataValidations>
  <pageMargins left="1" right="0.75" top="1" bottom="0.75" header="0.5" footer="0.5"/>
  <pageSetup orientation="portrait"/>
  <headerFooter alignWithMargins="0">
    <oddFooter>&amp;LU S Green Building Council&amp;C&amp;"Arial,Bold"&amp;A&amp;RLEED&amp;XTM&amp;X Material Tracker</oddFooter>
  </headerFooter>
  <ignoredErrors>
    <ignoredError sqref="Q109:Q110 Q10:Q14 Q15:Q16" evalError="1"/>
  </ignoredErrors>
  <drawing r:id="rId1"/>
  <legacyDrawing r:id="rId2"/>
  <oleObjects>
    <mc:AlternateContent xmlns:mc="http://schemas.openxmlformats.org/markup-compatibility/2006">
      <mc:Choice Requires="x14">
        <oleObject progId="MSPhotoEd.3" shapeId="2" r:id="rId3">
          <objectPr defaultSize="0" autoPict="0" r:id="rId4">
            <anchor moveWithCells="1" sizeWithCells="1">
              <from>
                <xdr:col>9</xdr:col>
                <xdr:colOff>0</xdr:colOff>
                <xdr:row>0</xdr:row>
                <xdr:rowOff>0</xdr:rowOff>
              </from>
              <to>
                <xdr:col>9</xdr:col>
                <xdr:colOff>0</xdr:colOff>
                <xdr:row>0</xdr:row>
                <xdr:rowOff>0</xdr:rowOff>
              </to>
            </anchor>
          </objectPr>
        </oleObject>
      </mc:Choice>
      <mc:Fallback>
        <oleObject progId="MSPhotoEd.3" shapeId="1059" r:id="rId3"/>
      </mc:Fallback>
    </mc:AlternateContent>
  </oleObjec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B2:K69"/>
  <sheetViews>
    <sheetView showGridLines="0" tabSelected="1" zoomScale="70" zoomScaleNormal="70" zoomScalePageLayoutView="90" workbookViewId="0">
      <selection activeCell="H6" sqref="H6"/>
    </sheetView>
  </sheetViews>
  <sheetFormatPr defaultColWidth="8.85546875" defaultRowHeight="15" customHeight="1" x14ac:dyDescent="0.2"/>
  <cols>
    <col min="1" max="2" width="2.7109375" style="9" customWidth="1"/>
    <col min="3" max="3" width="7" style="9" customWidth="1"/>
    <col min="4" max="4" width="2.42578125" style="9" customWidth="1"/>
    <col min="5" max="5" width="5.7109375" style="9" customWidth="1"/>
    <col min="6" max="6" width="69.140625" style="9" customWidth="1"/>
    <col min="7" max="7" width="12.5703125" style="9" customWidth="1"/>
    <col min="8" max="8" width="19.140625" style="104" customWidth="1"/>
    <col min="9" max="9" width="2.7109375" style="9" customWidth="1"/>
    <col min="10" max="10" width="2.42578125" style="9" customWidth="1"/>
    <col min="11" max="11" width="28.7109375" style="9" customWidth="1"/>
    <col min="12" max="16384" width="8.85546875" style="9"/>
  </cols>
  <sheetData>
    <row r="2" spans="2:11" ht="15" customHeight="1" x14ac:dyDescent="0.2">
      <c r="B2" s="6"/>
      <c r="C2" s="7"/>
      <c r="D2" s="7"/>
      <c r="E2" s="7"/>
      <c r="F2" s="7"/>
      <c r="G2" s="7"/>
      <c r="H2" s="97"/>
      <c r="I2" s="8"/>
    </row>
    <row r="3" spans="2:11" ht="24.75" customHeight="1" x14ac:dyDescent="0.2">
      <c r="B3" s="10"/>
      <c r="C3" s="11" t="s">
        <v>14</v>
      </c>
      <c r="D3" s="2"/>
      <c r="E3" s="2"/>
      <c r="F3" s="1"/>
      <c r="G3" s="1"/>
      <c r="H3" s="98"/>
      <c r="I3" s="12"/>
      <c r="J3" s="13"/>
      <c r="K3" s="13"/>
    </row>
    <row r="4" spans="2:11" ht="15" customHeight="1" x14ac:dyDescent="0.2">
      <c r="B4" s="10"/>
      <c r="C4" s="14" t="s">
        <v>28</v>
      </c>
      <c r="D4" s="2"/>
      <c r="E4" s="15"/>
      <c r="F4" s="16"/>
      <c r="G4" s="16"/>
      <c r="H4" s="98"/>
      <c r="I4" s="17"/>
      <c r="K4" s="18"/>
    </row>
    <row r="5" spans="2:11" ht="9" customHeight="1" x14ac:dyDescent="0.2">
      <c r="B5" s="10"/>
      <c r="C5" s="2"/>
      <c r="D5" s="19"/>
      <c r="E5" s="16"/>
      <c r="F5" s="16"/>
      <c r="G5" s="16"/>
      <c r="H5" s="99"/>
      <c r="I5" s="17"/>
      <c r="K5" s="18"/>
    </row>
    <row r="6" spans="2:11" ht="15" customHeight="1" x14ac:dyDescent="0.2">
      <c r="B6" s="10"/>
      <c r="C6" s="20" t="s">
        <v>96</v>
      </c>
      <c r="D6" s="1"/>
      <c r="E6" s="1"/>
      <c r="F6" s="1"/>
      <c r="G6" s="2"/>
      <c r="H6" s="449">
        <f>IF('Instructions BD+C'!G32&gt;1,'Instructions BD+C'!G32,IF('Instructions BD+C'!G32=0,'Instructions ID+C'!G22))</f>
        <v>2441575.8000000003</v>
      </c>
      <c r="I6" s="4"/>
      <c r="K6" s="43"/>
    </row>
    <row r="7" spans="2:11" ht="21" customHeight="1" x14ac:dyDescent="0.2">
      <c r="B7" s="249"/>
      <c r="C7"/>
      <c r="D7"/>
      <c r="E7"/>
      <c r="F7"/>
      <c r="G7"/>
      <c r="H7"/>
      <c r="I7" s="17"/>
      <c r="K7" s="42"/>
    </row>
    <row r="8" spans="2:11" s="3" customFormat="1" ht="21.75" customHeight="1" x14ac:dyDescent="0.2">
      <c r="B8" s="44"/>
      <c r="C8" s="45"/>
      <c r="D8" s="46"/>
      <c r="E8" s="44"/>
      <c r="F8" s="46"/>
      <c r="G8" s="44"/>
      <c r="H8" s="100"/>
      <c r="I8" s="44"/>
      <c r="K8" s="42"/>
    </row>
    <row r="9" spans="2:11" s="3" customFormat="1" ht="25.5" customHeight="1" x14ac:dyDescent="0.2">
      <c r="B9" s="6"/>
      <c r="C9" s="21" t="s">
        <v>21</v>
      </c>
      <c r="D9" s="7"/>
      <c r="E9" s="7"/>
      <c r="F9" s="7"/>
      <c r="G9" s="7"/>
      <c r="H9" s="97"/>
      <c r="I9" s="8"/>
      <c r="J9" s="9"/>
    </row>
    <row r="10" spans="2:11" s="3" customFormat="1" ht="15" customHeight="1" x14ac:dyDescent="0.2">
      <c r="B10" s="10"/>
      <c r="C10" s="22"/>
      <c r="D10" s="2"/>
      <c r="E10" s="2"/>
      <c r="F10" s="2"/>
      <c r="G10" s="2"/>
      <c r="H10" s="98"/>
      <c r="I10" s="17"/>
      <c r="J10" s="9"/>
      <c r="K10" s="23"/>
    </row>
    <row r="11" spans="2:11" s="3" customFormat="1" ht="18" customHeight="1" x14ac:dyDescent="0.2">
      <c r="B11" s="10"/>
      <c r="C11" s="24" t="s">
        <v>36</v>
      </c>
      <c r="D11" s="20"/>
      <c r="E11" s="20"/>
      <c r="F11" s="2"/>
      <c r="G11" s="2"/>
      <c r="H11" s="98"/>
      <c r="I11" s="17"/>
      <c r="J11" s="9"/>
      <c r="K11" s="23"/>
    </row>
    <row r="12" spans="2:11" s="3" customFormat="1" ht="15" customHeight="1" x14ac:dyDescent="0.2">
      <c r="B12" s="10"/>
      <c r="C12" s="25"/>
      <c r="D12" s="20"/>
      <c r="E12" s="20"/>
      <c r="F12" s="2"/>
      <c r="G12" s="2"/>
      <c r="H12" s="98"/>
      <c r="I12" s="17"/>
      <c r="J12" s="9"/>
      <c r="K12" s="23"/>
    </row>
    <row r="13" spans="2:11" s="3" customFormat="1" ht="15" customHeight="1" x14ac:dyDescent="0.2">
      <c r="B13" s="10"/>
      <c r="C13" s="20" t="s">
        <v>18</v>
      </c>
      <c r="D13" s="20"/>
      <c r="E13" s="2"/>
      <c r="F13" s="27"/>
      <c r="G13" s="2"/>
      <c r="H13" s="226">
        <f>'Environ. Product Declarations'!L111</f>
        <v>28</v>
      </c>
      <c r="I13" s="17"/>
      <c r="K13" s="43"/>
    </row>
    <row r="14" spans="2:11" s="3" customFormat="1" ht="15" customHeight="1" x14ac:dyDescent="0.2">
      <c r="B14" s="10"/>
      <c r="C14" s="28"/>
      <c r="D14" s="28"/>
      <c r="E14" s="2"/>
      <c r="F14" s="29"/>
      <c r="G14" s="2"/>
      <c r="H14" s="101"/>
      <c r="I14" s="17"/>
      <c r="K14" s="42"/>
    </row>
    <row r="15" spans="2:11" s="3" customFormat="1" ht="22.5" customHeight="1" x14ac:dyDescent="0.2">
      <c r="B15" s="10"/>
      <c r="C15" s="30" t="s">
        <v>30</v>
      </c>
      <c r="D15" s="31"/>
      <c r="E15" s="31"/>
      <c r="F15" s="32"/>
      <c r="G15" s="32"/>
      <c r="H15" s="102"/>
      <c r="I15" s="17"/>
      <c r="J15" s="9"/>
      <c r="K15" s="42"/>
    </row>
    <row r="16" spans="2:11" s="3" customFormat="1" ht="15" customHeight="1" x14ac:dyDescent="0.2">
      <c r="B16" s="10"/>
      <c r="C16" s="25"/>
      <c r="D16" s="20"/>
      <c r="E16" s="20"/>
      <c r="F16" s="2"/>
      <c r="G16" s="2"/>
      <c r="H16" s="98"/>
      <c r="I16" s="17"/>
      <c r="J16" s="9"/>
      <c r="K16" s="33"/>
    </row>
    <row r="17" spans="2:11" s="3" customFormat="1" ht="15" customHeight="1" x14ac:dyDescent="0.2">
      <c r="B17" s="10"/>
      <c r="C17" s="20" t="s">
        <v>89</v>
      </c>
      <c r="D17" s="20"/>
      <c r="E17" s="2"/>
      <c r="F17" s="27"/>
      <c r="G17" s="2"/>
      <c r="H17" s="331">
        <f>'Environ. Product Declarations'!P111/100</f>
        <v>0</v>
      </c>
      <c r="I17" s="17"/>
      <c r="K17" s="42"/>
    </row>
    <row r="18" spans="2:11" s="3" customFormat="1" ht="9" customHeight="1" x14ac:dyDescent="0.2">
      <c r="B18" s="10"/>
      <c r="C18" s="26"/>
      <c r="D18" s="26"/>
      <c r="E18" s="2"/>
      <c r="F18" s="2"/>
      <c r="G18" s="2"/>
      <c r="H18" s="98"/>
      <c r="I18" s="17"/>
      <c r="K18" s="42"/>
    </row>
    <row r="19" spans="2:11" s="3" customFormat="1" ht="15" customHeight="1" x14ac:dyDescent="0.2">
      <c r="B19" s="10"/>
      <c r="C19" s="20" t="s">
        <v>143</v>
      </c>
      <c r="D19" s="20"/>
      <c r="E19" s="2"/>
      <c r="F19" s="27"/>
      <c r="G19" s="2"/>
      <c r="H19" s="328">
        <f>'Environ. Product Declarations'!Q111</f>
        <v>0</v>
      </c>
      <c r="I19" s="17"/>
      <c r="K19" s="43"/>
    </row>
    <row r="20" spans="2:11" s="3" customFormat="1" ht="21.75" customHeight="1" x14ac:dyDescent="0.2">
      <c r="B20" s="10"/>
      <c r="C20" s="28"/>
      <c r="D20" s="29"/>
      <c r="E20" s="2"/>
      <c r="F20" s="29"/>
      <c r="G20" s="2"/>
      <c r="H20" s="101"/>
      <c r="I20" s="17"/>
      <c r="K20" s="42"/>
    </row>
    <row r="21" spans="2:11" s="3" customFormat="1" ht="21.75" customHeight="1" x14ac:dyDescent="0.2">
      <c r="B21" s="44"/>
      <c r="C21" s="45"/>
      <c r="D21" s="46"/>
      <c r="E21" s="44"/>
      <c r="F21" s="46"/>
      <c r="G21" s="44"/>
      <c r="H21" s="100"/>
      <c r="I21" s="44"/>
      <c r="K21" s="42"/>
    </row>
    <row r="22" spans="2:11" s="3" customFormat="1" ht="26.25" customHeight="1" x14ac:dyDescent="0.2">
      <c r="B22" s="6"/>
      <c r="C22" s="21" t="s">
        <v>68</v>
      </c>
      <c r="D22" s="7"/>
      <c r="E22" s="7"/>
      <c r="F22" s="7"/>
      <c r="G22" s="7"/>
      <c r="H22" s="97"/>
      <c r="I22" s="8"/>
      <c r="J22" s="35"/>
      <c r="K22" s="35"/>
    </row>
    <row r="23" spans="2:11" s="3" customFormat="1" ht="15" customHeight="1" x14ac:dyDescent="0.2">
      <c r="B23" s="10"/>
      <c r="C23" s="30"/>
      <c r="D23" s="31"/>
      <c r="E23" s="31"/>
      <c r="F23" s="32"/>
      <c r="G23" s="32"/>
      <c r="H23" s="102"/>
      <c r="I23" s="17"/>
      <c r="J23" s="9"/>
      <c r="K23" s="42"/>
    </row>
    <row r="24" spans="2:11" s="3" customFormat="1" ht="18" customHeight="1" x14ac:dyDescent="0.2">
      <c r="B24" s="10"/>
      <c r="C24" s="20" t="s">
        <v>90</v>
      </c>
      <c r="D24" s="2"/>
      <c r="E24" s="26"/>
      <c r="F24" s="2"/>
      <c r="G24" s="2"/>
      <c r="H24" s="247">
        <f>IFERROR('Sourcing of Raw Materials'!AC111,0)</f>
        <v>500473.80432909873</v>
      </c>
      <c r="I24" s="17"/>
      <c r="K24" s="34"/>
    </row>
    <row r="25" spans="2:11" s="3" customFormat="1" ht="15" customHeight="1" x14ac:dyDescent="0.2">
      <c r="B25" s="10"/>
      <c r="C25" s="26"/>
      <c r="D25" s="2"/>
      <c r="E25" s="26"/>
      <c r="F25" s="2"/>
      <c r="G25" s="2"/>
      <c r="H25" s="98"/>
      <c r="I25" s="17"/>
      <c r="K25" s="34"/>
    </row>
    <row r="26" spans="2:11" s="3" customFormat="1" ht="18" customHeight="1" x14ac:dyDescent="0.2">
      <c r="B26" s="10"/>
      <c r="C26" s="20" t="s">
        <v>34</v>
      </c>
      <c r="D26" s="2"/>
      <c r="E26" s="20"/>
      <c r="F26" s="27"/>
      <c r="G26" s="2"/>
      <c r="H26" s="332">
        <f>IFERROR(H24/H6,0)</f>
        <v>0.20497983487921967</v>
      </c>
      <c r="I26" s="17"/>
      <c r="K26" s="43"/>
    </row>
    <row r="27" spans="2:11" s="3" customFormat="1" ht="21.75" customHeight="1" x14ac:dyDescent="0.2">
      <c r="B27" s="10"/>
      <c r="C27" s="28"/>
      <c r="D27" s="29"/>
      <c r="E27" s="2"/>
      <c r="F27" s="29"/>
      <c r="G27" s="2"/>
      <c r="H27" s="101"/>
      <c r="I27" s="17"/>
      <c r="K27" s="42"/>
    </row>
    <row r="28" spans="2:11" s="3" customFormat="1" ht="15" customHeight="1" x14ac:dyDescent="0.2">
      <c r="B28" s="44"/>
      <c r="C28" s="45"/>
      <c r="D28" s="46"/>
      <c r="E28" s="44"/>
      <c r="F28" s="46"/>
      <c r="G28" s="44"/>
      <c r="H28" s="100"/>
      <c r="I28" s="44"/>
      <c r="J28" s="35"/>
      <c r="K28" s="42"/>
    </row>
    <row r="29" spans="2:11" s="3" customFormat="1" ht="25.5" customHeight="1" x14ac:dyDescent="0.2">
      <c r="B29" s="6"/>
      <c r="C29" s="21" t="s">
        <v>22</v>
      </c>
      <c r="D29" s="7"/>
      <c r="E29" s="7"/>
      <c r="F29" s="7"/>
      <c r="G29" s="7"/>
      <c r="H29" s="97"/>
      <c r="I29" s="8"/>
      <c r="J29" s="35"/>
      <c r="K29" s="35"/>
    </row>
    <row r="30" spans="2:11" s="3" customFormat="1" ht="15" customHeight="1" x14ac:dyDescent="0.2">
      <c r="B30" s="10"/>
      <c r="C30" s="2"/>
      <c r="D30" s="2"/>
      <c r="E30" s="2"/>
      <c r="F30" s="2"/>
      <c r="G30" s="2"/>
      <c r="H30" s="98"/>
      <c r="I30" s="17"/>
      <c r="J30" s="35"/>
      <c r="K30" s="36"/>
    </row>
    <row r="31" spans="2:11" s="3" customFormat="1" ht="18" customHeight="1" x14ac:dyDescent="0.2">
      <c r="B31" s="10"/>
      <c r="C31" s="24" t="s">
        <v>15</v>
      </c>
      <c r="D31" s="20"/>
      <c r="E31" s="20"/>
      <c r="F31" s="2"/>
      <c r="G31" s="2"/>
      <c r="H31" s="98"/>
      <c r="I31" s="17"/>
      <c r="J31" s="9"/>
      <c r="K31" s="33"/>
    </row>
    <row r="32" spans="2:11" s="3" customFormat="1" ht="15" customHeight="1" x14ac:dyDescent="0.2">
      <c r="B32" s="10"/>
      <c r="C32" s="24"/>
      <c r="D32" s="20"/>
      <c r="E32" s="20"/>
      <c r="F32" s="2"/>
      <c r="G32" s="2"/>
      <c r="H32" s="98"/>
      <c r="I32" s="17"/>
      <c r="J32" s="9"/>
      <c r="K32" s="33"/>
    </row>
    <row r="33" spans="2:11" s="3" customFormat="1" ht="18" customHeight="1" x14ac:dyDescent="0.2">
      <c r="B33" s="10"/>
      <c r="C33" s="65" t="s">
        <v>16</v>
      </c>
      <c r="D33" s="2"/>
      <c r="E33" s="26"/>
      <c r="F33" s="2"/>
      <c r="G33" s="2"/>
      <c r="H33" s="239">
        <f>'Material Ingredients'!L112</f>
        <v>25</v>
      </c>
      <c r="I33" s="17"/>
      <c r="K33" s="43"/>
    </row>
    <row r="34" spans="2:11" s="3" customFormat="1" ht="15" customHeight="1" x14ac:dyDescent="0.2">
      <c r="B34" s="10"/>
      <c r="C34" s="37"/>
      <c r="D34" s="2"/>
      <c r="E34" s="29"/>
      <c r="F34" s="29"/>
      <c r="G34" s="2"/>
      <c r="H34" s="101"/>
      <c r="I34" s="17"/>
      <c r="K34" s="42"/>
    </row>
    <row r="35" spans="2:11" s="3" customFormat="1" ht="22.5" customHeight="1" x14ac:dyDescent="0.2">
      <c r="B35" s="10"/>
      <c r="C35" s="30" t="s">
        <v>29</v>
      </c>
      <c r="D35" s="31"/>
      <c r="E35" s="31"/>
      <c r="F35" s="32"/>
      <c r="G35" s="32"/>
      <c r="H35" s="102"/>
      <c r="I35" s="17"/>
      <c r="J35" s="9"/>
      <c r="K35" s="42"/>
    </row>
    <row r="36" spans="2:11" s="3" customFormat="1" ht="15" customHeight="1" x14ac:dyDescent="0.2">
      <c r="B36" s="10"/>
      <c r="C36" s="25"/>
      <c r="D36" s="20"/>
      <c r="E36" s="20"/>
      <c r="F36" s="2"/>
      <c r="G36" s="2"/>
      <c r="H36" s="98"/>
      <c r="I36" s="17"/>
      <c r="J36" s="9"/>
      <c r="K36" s="33"/>
    </row>
    <row r="37" spans="2:11" s="3" customFormat="1" ht="18" customHeight="1" x14ac:dyDescent="0.2">
      <c r="B37" s="10"/>
      <c r="C37" s="20" t="s">
        <v>151</v>
      </c>
      <c r="D37" s="2"/>
      <c r="E37" s="20"/>
      <c r="F37" s="27"/>
      <c r="G37" s="2"/>
      <c r="H37" s="332">
        <f>'Material Ingredients'!P111/100</f>
        <v>0</v>
      </c>
      <c r="I37" s="17"/>
      <c r="K37" s="34"/>
    </row>
    <row r="38" spans="2:11" s="3" customFormat="1" ht="15" customHeight="1" x14ac:dyDescent="0.2">
      <c r="B38" s="10"/>
      <c r="C38" s="26"/>
      <c r="D38" s="2"/>
      <c r="E38" s="26"/>
      <c r="F38" s="2"/>
      <c r="G38" s="2"/>
      <c r="H38" s="98"/>
      <c r="I38" s="17"/>
      <c r="K38" s="34"/>
    </row>
    <row r="39" spans="2:11" s="3" customFormat="1" ht="18" customHeight="1" x14ac:dyDescent="0.2">
      <c r="B39" s="10"/>
      <c r="C39" s="20" t="s">
        <v>56</v>
      </c>
      <c r="D39" s="2"/>
      <c r="E39" s="26"/>
      <c r="F39" s="2"/>
      <c r="G39" s="2"/>
      <c r="H39" s="239">
        <f>'Material Ingredients'!Q111</f>
        <v>0</v>
      </c>
      <c r="I39" s="17"/>
      <c r="K39" s="43"/>
    </row>
    <row r="40" spans="2:11" s="3" customFormat="1" ht="21.75" customHeight="1" x14ac:dyDescent="0.2">
      <c r="B40" s="38"/>
      <c r="C40" s="105"/>
      <c r="D40" s="106"/>
      <c r="E40" s="5"/>
      <c r="F40" s="106"/>
      <c r="G40" s="5"/>
      <c r="H40" s="107"/>
      <c r="I40" s="39"/>
      <c r="K40" s="42"/>
    </row>
    <row r="41" spans="2:11" s="3" customFormat="1" ht="15" customHeight="1" x14ac:dyDescent="0.2">
      <c r="D41" s="191"/>
      <c r="E41" s="191"/>
      <c r="F41" s="40"/>
      <c r="G41" s="41"/>
      <c r="H41" s="103"/>
      <c r="J41" s="35"/>
      <c r="K41" s="108"/>
    </row>
    <row r="42" spans="2:11" s="3" customFormat="1" ht="15" customHeight="1" x14ac:dyDescent="0.2">
      <c r="D42" s="606"/>
      <c r="E42" s="606"/>
      <c r="F42" s="40"/>
      <c r="H42" s="103"/>
      <c r="J42" s="35"/>
      <c r="K42" s="607"/>
    </row>
    <row r="43" spans="2:11" s="3" customFormat="1" ht="15" customHeight="1" x14ac:dyDescent="0.2">
      <c r="K43" s="607"/>
    </row>
    <row r="44" spans="2:11" s="3" customFormat="1" ht="15" customHeight="1" x14ac:dyDescent="0.2">
      <c r="H44" s="103"/>
      <c r="J44" s="35"/>
      <c r="K44" s="108"/>
    </row>
    <row r="45" spans="2:11" s="3" customFormat="1" ht="15" customHeight="1" x14ac:dyDescent="0.2">
      <c r="H45" s="103"/>
      <c r="J45" s="35"/>
      <c r="K45" s="35"/>
    </row>
    <row r="46" spans="2:11" s="3" customFormat="1" ht="15" customHeight="1" x14ac:dyDescent="0.2">
      <c r="H46" s="103"/>
    </row>
    <row r="47" spans="2:11" s="3" customFormat="1" ht="15" customHeight="1" x14ac:dyDescent="0.2">
      <c r="H47" s="103"/>
    </row>
    <row r="48" spans="2:11" s="3" customFormat="1" ht="15" customHeight="1" x14ac:dyDescent="0.2">
      <c r="H48" s="103"/>
    </row>
    <row r="49" spans="8:8" s="3" customFormat="1" ht="15" customHeight="1" x14ac:dyDescent="0.2">
      <c r="H49" s="103"/>
    </row>
    <row r="50" spans="8:8" s="3" customFormat="1" ht="15" customHeight="1" x14ac:dyDescent="0.2">
      <c r="H50" s="103"/>
    </row>
    <row r="51" spans="8:8" s="3" customFormat="1" ht="15" customHeight="1" x14ac:dyDescent="0.2">
      <c r="H51" s="103"/>
    </row>
    <row r="52" spans="8:8" s="3" customFormat="1" ht="15" customHeight="1" x14ac:dyDescent="0.2">
      <c r="H52" s="103"/>
    </row>
    <row r="53" spans="8:8" s="3" customFormat="1" ht="15" customHeight="1" x14ac:dyDescent="0.2">
      <c r="H53" s="103"/>
    </row>
    <row r="54" spans="8:8" s="3" customFormat="1" ht="15" customHeight="1" x14ac:dyDescent="0.2">
      <c r="H54" s="103"/>
    </row>
    <row r="55" spans="8:8" s="3" customFormat="1" ht="15" customHeight="1" x14ac:dyDescent="0.2">
      <c r="H55" s="103"/>
    </row>
    <row r="56" spans="8:8" s="3" customFormat="1" ht="15" customHeight="1" x14ac:dyDescent="0.2">
      <c r="H56" s="103"/>
    </row>
    <row r="57" spans="8:8" s="3" customFormat="1" ht="15" customHeight="1" x14ac:dyDescent="0.2">
      <c r="H57" s="103"/>
    </row>
    <row r="58" spans="8:8" s="3" customFormat="1" ht="15" customHeight="1" x14ac:dyDescent="0.2">
      <c r="H58" s="103"/>
    </row>
    <row r="59" spans="8:8" s="3" customFormat="1" ht="15" customHeight="1" x14ac:dyDescent="0.2">
      <c r="H59" s="103"/>
    </row>
    <row r="60" spans="8:8" s="3" customFormat="1" ht="15" customHeight="1" x14ac:dyDescent="0.2">
      <c r="H60" s="103"/>
    </row>
    <row r="61" spans="8:8" s="3" customFormat="1" ht="15" customHeight="1" x14ac:dyDescent="0.2">
      <c r="H61" s="103"/>
    </row>
    <row r="62" spans="8:8" s="3" customFormat="1" ht="15" customHeight="1" x14ac:dyDescent="0.2">
      <c r="H62" s="103"/>
    </row>
    <row r="63" spans="8:8" s="3" customFormat="1" ht="15" customHeight="1" x14ac:dyDescent="0.2">
      <c r="H63" s="103"/>
    </row>
    <row r="64" spans="8:8" s="3" customFormat="1" ht="15" customHeight="1" x14ac:dyDescent="0.2">
      <c r="H64" s="103"/>
    </row>
    <row r="65" spans="3:11" s="3" customFormat="1" ht="15" customHeight="1" x14ac:dyDescent="0.2">
      <c r="H65" s="103"/>
    </row>
    <row r="66" spans="3:11" s="3" customFormat="1" ht="15" customHeight="1" x14ac:dyDescent="0.2">
      <c r="H66" s="103"/>
    </row>
    <row r="67" spans="3:11" ht="15" customHeight="1" x14ac:dyDescent="0.2">
      <c r="C67" s="3"/>
      <c r="D67" s="3"/>
      <c r="E67" s="3"/>
      <c r="F67" s="3"/>
      <c r="G67" s="3"/>
      <c r="H67" s="103"/>
      <c r="J67" s="3"/>
      <c r="K67" s="3"/>
    </row>
    <row r="68" spans="3:11" ht="15" customHeight="1" x14ac:dyDescent="0.2">
      <c r="J68" s="3"/>
      <c r="K68" s="3"/>
    </row>
    <row r="69" spans="3:11" ht="15" customHeight="1" x14ac:dyDescent="0.2">
      <c r="J69" s="3"/>
      <c r="K69" s="3"/>
    </row>
  </sheetData>
  <sheetProtection algorithmName="SHA-512" hashValue="aOPRgPT/ASUMO/j8F8WE9JIOLF9GYdqisWA6T9zbOZPkNt42UBTqPNrwGu0VcgwTgu1WYPjElyyCQirztdI3ew==" saltValue="H1Y+afsXs4WEkzZp8mrg3A==" spinCount="100000" sheet="1" objects="1" scenarios="1"/>
  <mergeCells count="2">
    <mergeCell ref="D42:E42"/>
    <mergeCell ref="K42:K43"/>
  </mergeCells>
  <conditionalFormatting sqref="H17">
    <cfRule type="containsErrors" dxfId="0" priority="1">
      <formula>ISERROR(H17)</formula>
    </cfRule>
  </conditionalFormatting>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F8408D-E3E3-4A5A-9440-5423E4B91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AFF3D1-5A3A-4F57-9BF5-28956B5E3BD3}">
  <ds:schemaRefs>
    <ds:schemaRef ds:uri="http://schemas.microsoft.com/sharepoint/v3"/>
    <ds:schemaRef ds:uri="http://schemas.microsoft.com/office/2006/documentManagement/types"/>
    <ds:schemaRef ds:uri="ce537f1a-68b8-4212-8072-4597f22b4385"/>
    <ds:schemaRef ds:uri="http://purl.org/dc/elements/1.1/"/>
    <ds:schemaRef ds:uri="http://purl.org/dc/dcmitype/"/>
    <ds:schemaRef ds:uri="http://purl.org/dc/terms/"/>
    <ds:schemaRef ds:uri="http://schemas.openxmlformats.org/package/2006/metadata/core-properties"/>
    <ds:schemaRef ds:uri="http://schemas.microsoft.com/office/infopath/2007/PartnerControls"/>
    <ds:schemaRef ds:uri="ba895b08-f796-4204-acce-b11d769937f4"/>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2E46F007-2589-4F46-A7CB-9025E6A4142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Instructions BD+C</vt:lpstr>
      <vt:lpstr>Instructions ID+C</vt:lpstr>
      <vt:lpstr>Materials</vt:lpstr>
      <vt:lpstr>Environ. Product Declarations</vt:lpstr>
      <vt:lpstr>Sourcing of Raw Materials</vt:lpstr>
      <vt:lpstr>Material Ingredients</vt:lpstr>
      <vt:lpstr>Summary</vt:lpstr>
      <vt:lpstr>Materials!EPD</vt:lpstr>
      <vt:lpstr>Materials!MateialType</vt:lpstr>
      <vt:lpstr>Materials!MaterialType</vt:lpstr>
      <vt:lpstr>Materials!MaterialType1</vt:lpstr>
      <vt:lpstr>'Instructions BD+C'!Print_Area</vt:lpstr>
      <vt:lpstr>'Instructions ID+C'!Print_Area</vt:lpstr>
      <vt:lpstr>'Environ. Product Declarations'!Print_Titles</vt:lpstr>
      <vt:lpstr>'Material Ingredients'!Print_Titles</vt:lpstr>
      <vt:lpstr>Materials!Print_Titles</vt:lpstr>
      <vt:lpstr>'Sourcing of Raw Materials'!Print_Titles</vt:lpstr>
      <vt:lpstr>Materials!YesNo</vt:lpstr>
    </vt:vector>
  </TitlesOfParts>
  <Company>USGBC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PCGH</cp:lastModifiedBy>
  <cp:lastPrinted>2010-10-11T23:47:34Z</cp:lastPrinted>
  <dcterms:created xsi:type="dcterms:W3CDTF">2002-04-04T14:19:14Z</dcterms:created>
  <dcterms:modified xsi:type="dcterms:W3CDTF">2022-01-20T18:35:16Z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