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\\bsalifestructures.com\indy1\BSA\1583\15830011\Sustainability\_EA\p2 Minimum Energy Performance\"/>
    </mc:Choice>
  </mc:AlternateContent>
  <xr:revisionPtr revIDLastSave="0" documentId="13_ncr:1_{2BEF5C7F-1842-41AA-8E7C-284B0A12D3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S Points for LEED" sheetId="2" r:id="rId1"/>
    <sheet name="LEEDv4 Points" sheetId="1" r:id="rId2"/>
    <sheet name="Example Calcul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0" i="3" l="1"/>
  <c r="D26" i="3"/>
  <c r="D27" i="3" s="1"/>
  <c r="C26" i="3"/>
  <c r="C27" i="3" s="1"/>
  <c r="D31" i="3" s="1"/>
  <c r="D25" i="3"/>
  <c r="C25" i="3"/>
  <c r="D23" i="3"/>
  <c r="C23" i="3"/>
  <c r="D21" i="3"/>
  <c r="C21" i="3"/>
  <c r="D19" i="3"/>
  <c r="C19" i="3"/>
  <c r="D11" i="3"/>
  <c r="D13" i="3" s="1"/>
  <c r="D34" i="3" l="1"/>
  <c r="D36" i="3" s="1"/>
  <c r="D33" i="3"/>
  <c r="C26" i="2"/>
  <c r="C27" i="2" s="1"/>
  <c r="C23" i="2"/>
  <c r="C21" i="2"/>
  <c r="C19" i="2"/>
  <c r="C25" i="2"/>
  <c r="D30" i="2"/>
  <c r="D26" i="2"/>
  <c r="D27" i="2" s="1"/>
  <c r="D11" i="2"/>
  <c r="D13" i="2" s="1"/>
  <c r="D25" i="2"/>
  <c r="D23" i="2"/>
  <c r="D21" i="2"/>
  <c r="D19" i="2"/>
  <c r="D31" i="2" l="1"/>
  <c r="D33" i="2" s="1"/>
  <c r="D34" i="2" l="1"/>
  <c r="D36" i="2" s="1"/>
</calcChain>
</file>

<file path=xl/sharedStrings.xml><?xml version="1.0" encoding="utf-8"?>
<sst xmlns="http://schemas.openxmlformats.org/spreadsheetml/2006/main" count="112" uniqueCount="54">
  <si>
    <t>CS</t>
  </si>
  <si>
    <t>Points (Healthcare)</t>
  </si>
  <si>
    <t>Points (ID&amp;C)</t>
  </si>
  <si>
    <t>Prerequisite</t>
  </si>
  <si>
    <t>NC</t>
  </si>
  <si>
    <t>IDC</t>
  </si>
  <si>
    <t>HC</t>
  </si>
  <si>
    <t>HomesMR</t>
  </si>
  <si>
    <t>(same rate as non-PEER electric)</t>
  </si>
  <si>
    <t>Points (except schools, Healthcare)</t>
  </si>
  <si>
    <t>Points (Schools)</t>
  </si>
  <si>
    <t>Points (Multifamily Midrise)</t>
  </si>
  <si>
    <t>BD&amp;C Existing Building Renovations (except MF MR) / ID&amp;C</t>
  </si>
  <si>
    <t>New Buildings (except MR)</t>
  </si>
  <si>
    <t>Multifamily Midrise</t>
  </si>
  <si>
    <t>ASHRAE 90.1-2010 Performance</t>
  </si>
  <si>
    <t>Baseline</t>
  </si>
  <si>
    <t>Proposed</t>
  </si>
  <si>
    <t>Legend</t>
  </si>
  <si>
    <t>% of total</t>
  </si>
  <si>
    <t>User Input - from PEER results</t>
  </si>
  <si>
    <t>User input - from LEED energy model</t>
  </si>
  <si>
    <t>DES Performance</t>
  </si>
  <si>
    <t>SEE</t>
  </si>
  <si>
    <t>SEI</t>
  </si>
  <si>
    <t>DES Performance Improvement Above Benchmark</t>
  </si>
  <si>
    <t>Input</t>
  </si>
  <si>
    <t>Total Cost</t>
  </si>
  <si>
    <t>PEER-certified CHW Cost</t>
  </si>
  <si>
    <t>PEER-certified HHW Cost</t>
  </si>
  <si>
    <t>PEER-certified Steam Cost</t>
  </si>
  <si>
    <t>PEER-certified Elec Generation Cost</t>
  </si>
  <si>
    <t>Total Purchased Energy Cost</t>
  </si>
  <si>
    <t>LEED Points for PEER Certified DES Performance</t>
  </si>
  <si>
    <t>Results</t>
  </si>
  <si>
    <t>LEED Points for PEER DES</t>
  </si>
  <si>
    <t>AEI</t>
  </si>
  <si>
    <t>LEED Cost Percent Improvement</t>
  </si>
  <si>
    <t>Total LEED Points (points from PEER + LEED)</t>
  </si>
  <si>
    <t>DES Performance Weightings</t>
  </si>
  <si>
    <t>Weighted DES performance above benchmark</t>
  </si>
  <si>
    <t>LEED BD+C Points achieved without DES Point Contribution</t>
  </si>
  <si>
    <t>Max points from PEER DES</t>
  </si>
  <si>
    <t>DES % Contribution</t>
  </si>
  <si>
    <t>LEED Points from DES - PEER certified</t>
  </si>
  <si>
    <t>LEED Points from DES - PEER score</t>
  </si>
  <si>
    <t>Is DES PEER certified?</t>
  </si>
  <si>
    <t>No</t>
  </si>
  <si>
    <t>User input</t>
  </si>
  <si>
    <t>Max points available in EA Credit: Optimize Energy Performance</t>
  </si>
  <si>
    <t>Calculated value (do not edit)</t>
  </si>
  <si>
    <t>Fixed value (do not edit)</t>
  </si>
  <si>
    <t>BD+C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</si>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</sst>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_(* #,##0_);_(* \(#,##0\);_(* &quot;-&quot;??_);_(@_)"/>
    <numFmt numFmtId="166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</font>
    <font>
      <sz val="1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9" fontId="7" fillId="0" borderId="3" xfId="0" applyNumberFormat="1" applyFont="1" applyBorder="1" applyAlignment="1">
      <alignment vertical="center" wrapText="1"/>
    </xf>
    <xf numFmtId="9" fontId="7" fillId="0" borderId="4" xfId="0" applyNumberFormat="1" applyFont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9" fontId="7" fillId="4" borderId="4" xfId="0" applyNumberFormat="1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9" fontId="7" fillId="2" borderId="4" xfId="0" applyNumberFormat="1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165" fontId="2" fillId="0" borderId="0" xfId="1" applyNumberFormat="1" applyFont="1" applyFill="1" applyBorder="1"/>
    <xf numFmtId="165" fontId="0" fillId="0" borderId="0" xfId="1" applyNumberFormat="1" applyFont="1" applyFill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6" xfId="0" applyFont="1" applyBorder="1" applyAlignment="1">
      <alignment horizontal="left" vertical="center"/>
    </xf>
    <xf numFmtId="0" fontId="2" fillId="5" borderId="10" xfId="0" applyFont="1" applyFill="1" applyBorder="1" applyAlignment="1">
      <alignment horizontal="center" vertical="center"/>
    </xf>
    <xf numFmtId="9" fontId="0" fillId="2" borderId="12" xfId="0" applyNumberFormat="1" applyFont="1" applyFill="1" applyBorder="1" applyAlignment="1">
      <alignment vertical="center"/>
    </xf>
    <xf numFmtId="0" fontId="0" fillId="0" borderId="11" xfId="0" applyFont="1" applyBorder="1" applyAlignment="1">
      <alignment horizontal="left" vertical="center" indent="2"/>
    </xf>
    <xf numFmtId="0" fontId="0" fillId="0" borderId="13" xfId="0" applyFont="1" applyBorder="1" applyAlignment="1">
      <alignment horizontal="left" vertical="center" indent="2"/>
    </xf>
    <xf numFmtId="164" fontId="9" fillId="0" borderId="12" xfId="2" applyNumberFormat="1" applyFont="1" applyFill="1" applyBorder="1" applyAlignment="1">
      <alignment vertical="center"/>
    </xf>
    <xf numFmtId="0" fontId="2" fillId="5" borderId="16" xfId="0" applyFont="1" applyFill="1" applyBorder="1" applyAlignment="1">
      <alignment horizontal="center" vertical="center"/>
    </xf>
    <xf numFmtId="0" fontId="0" fillId="4" borderId="20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0" borderId="20" xfId="0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0" fontId="2" fillId="5" borderId="5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vertical="center"/>
    </xf>
    <xf numFmtId="166" fontId="0" fillId="0" borderId="12" xfId="0" applyNumberFormat="1" applyFont="1" applyFill="1" applyBorder="1" applyAlignment="1">
      <alignment vertical="center"/>
    </xf>
    <xf numFmtId="9" fontId="9" fillId="0" borderId="12" xfId="0" applyNumberFormat="1" applyFont="1" applyFill="1" applyBorder="1" applyAlignment="1">
      <alignment vertical="center"/>
    </xf>
    <xf numFmtId="165" fontId="1" fillId="0" borderId="12" xfId="1" applyNumberFormat="1" applyFont="1" applyFill="1" applyBorder="1" applyAlignment="1">
      <alignment vertical="center"/>
    </xf>
    <xf numFmtId="165" fontId="1" fillId="0" borderId="15" xfId="1" applyNumberFormat="1" applyFont="1" applyFill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2" fillId="5" borderId="17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23" xfId="0" applyFont="1" applyBorder="1" applyAlignment="1">
      <alignment vertical="center"/>
    </xf>
    <xf numFmtId="0" fontId="0" fillId="0" borderId="24" xfId="0" applyFont="1" applyBorder="1" applyAlignment="1">
      <alignment vertical="center"/>
    </xf>
    <xf numFmtId="165" fontId="1" fillId="0" borderId="25" xfId="1" applyNumberFormat="1" applyFont="1" applyFill="1" applyBorder="1" applyAlignment="1">
      <alignment vertical="center"/>
    </xf>
    <xf numFmtId="0" fontId="0" fillId="6" borderId="20" xfId="0" applyFill="1" applyBorder="1" applyAlignment="1">
      <alignment vertical="center"/>
    </xf>
    <xf numFmtId="0" fontId="2" fillId="0" borderId="0" xfId="0" applyFont="1" applyBorder="1" applyAlignment="1">
      <alignment vertical="center"/>
    </xf>
    <xf numFmtId="166" fontId="0" fillId="0" borderId="12" xfId="0" applyNumberFormat="1" applyFont="1" applyFill="1" applyBorder="1" applyAlignment="1" applyProtection="1">
      <alignment vertical="center"/>
    </xf>
    <xf numFmtId="165" fontId="0" fillId="0" borderId="15" xfId="1" applyNumberFormat="1" applyFont="1" applyFill="1" applyBorder="1" applyAlignment="1" applyProtection="1">
      <alignment vertical="center"/>
    </xf>
    <xf numFmtId="9" fontId="0" fillId="0" borderId="6" xfId="0" applyNumberFormat="1" applyFont="1" applyFill="1" applyBorder="1" applyAlignment="1" applyProtection="1">
      <alignment vertical="center"/>
    </xf>
    <xf numFmtId="9" fontId="0" fillId="0" borderId="12" xfId="0" applyNumberFormat="1" applyFont="1" applyFill="1" applyBorder="1" applyAlignment="1" applyProtection="1">
      <alignment vertical="center"/>
    </xf>
    <xf numFmtId="164" fontId="9" fillId="0" borderId="6" xfId="2" applyNumberFormat="1" applyFont="1" applyFill="1" applyBorder="1" applyAlignment="1" applyProtection="1">
      <alignment vertical="center"/>
    </xf>
    <xf numFmtId="9" fontId="9" fillId="0" borderId="14" xfId="0" applyNumberFormat="1" applyFont="1" applyFill="1" applyBorder="1" applyAlignment="1" applyProtection="1">
      <alignment vertical="center"/>
    </xf>
    <xf numFmtId="9" fontId="9" fillId="0" borderId="15" xfId="0" applyNumberFormat="1" applyFont="1" applyFill="1" applyBorder="1" applyAlignment="1" applyProtection="1">
      <alignment vertical="center"/>
    </xf>
    <xf numFmtId="166" fontId="0" fillId="4" borderId="12" xfId="0" applyNumberFormat="1" applyFont="1" applyFill="1" applyBorder="1" applyAlignment="1" applyProtection="1">
      <alignment vertical="center"/>
      <protection locked="0"/>
    </xf>
    <xf numFmtId="165" fontId="0" fillId="6" borderId="25" xfId="1" applyNumberFormat="1" applyFont="1" applyFill="1" applyBorder="1" applyAlignment="1" applyProtection="1">
      <alignment vertical="center"/>
      <protection locked="0"/>
    </xf>
    <xf numFmtId="164" fontId="0" fillId="3" borderId="6" xfId="2" applyNumberFormat="1" applyFont="1" applyFill="1" applyBorder="1" applyAlignment="1" applyProtection="1">
      <alignment vertical="center"/>
      <protection locked="0"/>
    </xf>
    <xf numFmtId="164" fontId="1" fillId="3" borderId="12" xfId="2" applyNumberFormat="1" applyFont="1" applyFill="1" applyBorder="1" applyAlignment="1" applyProtection="1">
      <alignment vertical="center"/>
      <protection locked="0"/>
    </xf>
    <xf numFmtId="164" fontId="1" fillId="3" borderId="6" xfId="2" applyNumberFormat="1" applyFont="1" applyFill="1" applyBorder="1" applyAlignment="1" applyProtection="1">
      <alignment vertical="center"/>
      <protection locked="0"/>
    </xf>
    <xf numFmtId="165" fontId="1" fillId="6" borderId="12" xfId="1" applyNumberFormat="1" applyFont="1" applyFill="1" applyBorder="1" applyAlignment="1" applyProtection="1">
      <alignment vertical="center"/>
      <protection locked="0"/>
    </xf>
    <xf numFmtId="165" fontId="1" fillId="6" borderId="25" xfId="1" applyNumberFormat="1" applyFont="1" applyFill="1" applyBorder="1" applyAlignment="1" applyProtection="1">
      <alignment horizontal="center" vertical="center"/>
      <protection locked="0"/>
    </xf>
    <xf numFmtId="0" fontId="0" fillId="0" borderId="11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22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11" xfId="0" applyFont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0" borderId="18" xfId="0" applyFont="1" applyBorder="1" applyAlignment="1">
      <alignment horizontal="left" vertical="center"/>
    </xf>
    <xf numFmtId="0" fontId="0" fillId="0" borderId="19" xfId="0" applyFont="1" applyBorder="1" applyAlignment="1">
      <alignment horizontal="left" vertical="center"/>
    </xf>
    <xf numFmtId="0" fontId="0" fillId="0" borderId="11" xfId="0" applyFont="1" applyBorder="1" applyAlignment="1">
      <alignment vertical="center"/>
    </xf>
    <xf numFmtId="0" fontId="0" fillId="0" borderId="6" xfId="0" applyFont="1" applyBorder="1" applyAlignment="1">
      <alignment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0"/>
  <sheetViews>
    <sheetView tabSelected="1" zoomScaleNormal="100" workbookViewId="0">
      <selection activeCell="D33" sqref="D33"/>
    </sheetView>
  </sheetViews>
  <sheetFormatPr defaultColWidth="8.85546875" defaultRowHeight="15" x14ac:dyDescent="0.25"/>
  <cols>
    <col min="1" max="1" width="8.85546875" style="22"/>
    <col min="2" max="2" width="40.5703125" style="22" customWidth="1"/>
    <col min="3" max="3" width="17.85546875" style="22" customWidth="1"/>
    <col min="4" max="4" width="16.140625" style="22" customWidth="1"/>
    <col min="5" max="5" width="5.85546875" style="22" customWidth="1"/>
    <col min="6" max="6" width="33" style="22" customWidth="1"/>
    <col min="7" max="16384" width="8.85546875" style="22"/>
  </cols>
  <sheetData>
    <row r="1" spans="2:6" s="48" customFormat="1" x14ac:dyDescent="0.25"/>
    <row r="2" spans="2:6" s="48" customFormat="1" ht="23.25" x14ac:dyDescent="0.25">
      <c r="B2" s="49" t="s">
        <v>35</v>
      </c>
    </row>
    <row r="3" spans="2:6" ht="15.75" thickBot="1" x14ac:dyDescent="0.3"/>
    <row r="4" spans="2:6" ht="23.45" customHeight="1" x14ac:dyDescent="0.25">
      <c r="B4" s="77" t="s">
        <v>22</v>
      </c>
      <c r="C4" s="78"/>
      <c r="D4" s="30" t="s">
        <v>26</v>
      </c>
      <c r="F4" s="40" t="s">
        <v>18</v>
      </c>
    </row>
    <row r="5" spans="2:6" x14ac:dyDescent="0.25">
      <c r="B5" s="76" t="s">
        <v>25</v>
      </c>
      <c r="C5" s="28" t="s">
        <v>23</v>
      </c>
      <c r="D5" s="63">
        <v>0.23</v>
      </c>
      <c r="F5" s="36" t="s">
        <v>20</v>
      </c>
    </row>
    <row r="6" spans="2:6" x14ac:dyDescent="0.25">
      <c r="B6" s="76"/>
      <c r="C6" s="28" t="s">
        <v>24</v>
      </c>
      <c r="D6" s="63">
        <v>0.23</v>
      </c>
      <c r="E6" s="26"/>
      <c r="F6" s="37" t="s">
        <v>21</v>
      </c>
    </row>
    <row r="7" spans="2:6" x14ac:dyDescent="0.25">
      <c r="B7" s="76"/>
      <c r="C7" s="29" t="s">
        <v>36</v>
      </c>
      <c r="D7" s="63">
        <v>0.74299999999999999</v>
      </c>
      <c r="E7" s="23"/>
      <c r="F7" s="54" t="s">
        <v>48</v>
      </c>
    </row>
    <row r="8" spans="2:6" x14ac:dyDescent="0.25">
      <c r="B8" s="76" t="s">
        <v>39</v>
      </c>
      <c r="C8" s="28" t="s">
        <v>23</v>
      </c>
      <c r="D8" s="31">
        <v>0.2</v>
      </c>
      <c r="E8" s="26"/>
      <c r="F8" s="38" t="s">
        <v>50</v>
      </c>
    </row>
    <row r="9" spans="2:6" ht="15.75" thickBot="1" x14ac:dyDescent="0.3">
      <c r="B9" s="76"/>
      <c r="C9" s="29" t="s">
        <v>24</v>
      </c>
      <c r="D9" s="31">
        <v>0.45</v>
      </c>
      <c r="E9" s="23"/>
      <c r="F9" s="39" t="s">
        <v>51</v>
      </c>
    </row>
    <row r="10" spans="2:6" x14ac:dyDescent="0.25">
      <c r="B10" s="76"/>
      <c r="C10" s="28" t="s">
        <v>36</v>
      </c>
      <c r="D10" s="31">
        <v>0.35</v>
      </c>
      <c r="E10" s="26"/>
    </row>
    <row r="11" spans="2:6" x14ac:dyDescent="0.25">
      <c r="B11" s="81" t="s">
        <v>40</v>
      </c>
      <c r="C11" s="82"/>
      <c r="D11" s="56">
        <f>SUM(D5*D8,D6*D9,D7*D10)</f>
        <v>0.40955000000000003</v>
      </c>
    </row>
    <row r="12" spans="2:6" x14ac:dyDescent="0.25">
      <c r="B12" s="51" t="s">
        <v>49</v>
      </c>
      <c r="C12" s="52"/>
      <c r="D12" s="64">
        <v>18</v>
      </c>
    </row>
    <row r="13" spans="2:6" ht="15.75" thickBot="1" x14ac:dyDescent="0.3">
      <c r="B13" s="79" t="s">
        <v>42</v>
      </c>
      <c r="C13" s="80"/>
      <c r="D13" s="57">
        <f>MIN(IF(D11&gt;0.12,(D11-0.12)/0.02+1,0),D12)</f>
        <v>15.477500000000001</v>
      </c>
      <c r="F13" s="50"/>
    </row>
    <row r="15" spans="2:6" ht="15.75" thickBot="1" x14ac:dyDescent="0.3">
      <c r="C15" s="23"/>
    </row>
    <row r="16" spans="2:6" ht="22.35" customHeight="1" x14ac:dyDescent="0.25">
      <c r="B16" s="35" t="s">
        <v>15</v>
      </c>
      <c r="C16" s="47" t="s">
        <v>16</v>
      </c>
      <c r="D16" s="30" t="s">
        <v>17</v>
      </c>
    </row>
    <row r="17" spans="2:5" ht="15" customHeight="1" x14ac:dyDescent="0.25">
      <c r="B17" s="41" t="s">
        <v>27</v>
      </c>
      <c r="C17" s="65">
        <v>59142</v>
      </c>
      <c r="D17" s="66">
        <v>53001</v>
      </c>
    </row>
    <row r="18" spans="2:5" ht="15" customHeight="1" x14ac:dyDescent="0.25">
      <c r="B18" s="41" t="s">
        <v>28</v>
      </c>
      <c r="C18" s="67">
        <v>26920</v>
      </c>
      <c r="D18" s="66">
        <v>24213</v>
      </c>
    </row>
    <row r="19" spans="2:5" ht="16.350000000000001" customHeight="1" x14ac:dyDescent="0.25">
      <c r="B19" s="32" t="s">
        <v>19</v>
      </c>
      <c r="C19" s="58">
        <f>IFERROR(C18/C$17,"")</f>
        <v>0.45517567887457305</v>
      </c>
      <c r="D19" s="59">
        <f>IFERROR(D18/D$17,"")</f>
        <v>0.45684043697288729</v>
      </c>
    </row>
    <row r="20" spans="2:5" ht="15" customHeight="1" x14ac:dyDescent="0.25">
      <c r="B20" s="41" t="s">
        <v>29</v>
      </c>
      <c r="C20" s="67">
        <v>0</v>
      </c>
      <c r="D20" s="66">
        <v>0</v>
      </c>
    </row>
    <row r="21" spans="2:5" ht="15" customHeight="1" x14ac:dyDescent="0.25">
      <c r="B21" s="32" t="s">
        <v>19</v>
      </c>
      <c r="C21" s="58">
        <f>IFERROR(C20/C$17,"")</f>
        <v>0</v>
      </c>
      <c r="D21" s="59">
        <f>IFERROR(D20/D$17,"")</f>
        <v>0</v>
      </c>
    </row>
    <row r="22" spans="2:5" ht="15" customHeight="1" x14ac:dyDescent="0.25">
      <c r="B22" s="41" t="s">
        <v>30</v>
      </c>
      <c r="C22" s="67">
        <v>1381</v>
      </c>
      <c r="D22" s="66">
        <v>929</v>
      </c>
    </row>
    <row r="23" spans="2:5" ht="15" customHeight="1" x14ac:dyDescent="0.25">
      <c r="B23" s="32" t="s">
        <v>19</v>
      </c>
      <c r="C23" s="58">
        <f>IFERROR(C22/C$17,"")</f>
        <v>2.3350579960096041E-2</v>
      </c>
      <c r="D23" s="59">
        <f>IFERROR(D22/D$17,"")</f>
        <v>1.7527971170355275E-2</v>
      </c>
    </row>
    <row r="24" spans="2:5" ht="15" customHeight="1" x14ac:dyDescent="0.25">
      <c r="B24" s="41" t="s">
        <v>31</v>
      </c>
      <c r="C24" s="67">
        <v>30841</v>
      </c>
      <c r="D24" s="66">
        <v>27859</v>
      </c>
    </row>
    <row r="25" spans="2:5" ht="15" customHeight="1" x14ac:dyDescent="0.25">
      <c r="B25" s="41" t="s">
        <v>8</v>
      </c>
      <c r="C25" s="58">
        <f>IFERROR(C24/C$17,"")</f>
        <v>0.52147374116533085</v>
      </c>
      <c r="D25" s="59">
        <f>IFERROR(D24/D$17,"")</f>
        <v>0.52563159185675745</v>
      </c>
    </row>
    <row r="26" spans="2:5" ht="15" customHeight="1" x14ac:dyDescent="0.25">
      <c r="B26" s="46" t="s">
        <v>32</v>
      </c>
      <c r="C26" s="60">
        <f>SUM(C18,C20,C22, C24)</f>
        <v>59142</v>
      </c>
      <c r="D26" s="34">
        <f>SUM(D18,D20,D22,D24)</f>
        <v>53001</v>
      </c>
    </row>
    <row r="27" spans="2:5" ht="15" customHeight="1" thickBot="1" x14ac:dyDescent="0.3">
      <c r="B27" s="33" t="s">
        <v>19</v>
      </c>
      <c r="C27" s="61">
        <f>IFERROR(C26/C$17,"")</f>
        <v>1</v>
      </c>
      <c r="D27" s="62">
        <f>IFERROR(D26/D$17,"")</f>
        <v>1</v>
      </c>
    </row>
    <row r="28" spans="2:5" ht="15.75" thickBot="1" x14ac:dyDescent="0.3">
      <c r="E28" s="26"/>
    </row>
    <row r="29" spans="2:5" ht="22.35" customHeight="1" x14ac:dyDescent="0.25">
      <c r="B29" s="77" t="s">
        <v>33</v>
      </c>
      <c r="C29" s="78"/>
      <c r="D29" s="30" t="s">
        <v>34</v>
      </c>
      <c r="E29" s="55" t="s">
        <v>52</v>
      </c>
    </row>
    <row r="30" spans="2:5" x14ac:dyDescent="0.25">
      <c r="B30" s="72" t="s">
        <v>37</v>
      </c>
      <c r="C30" s="73"/>
      <c r="D30" s="42">
        <f>IFERROR(1-D17/C17,"")</f>
        <v>0.10383483818606065</v>
      </c>
      <c r="E30" s="26"/>
    </row>
    <row r="31" spans="2:5" x14ac:dyDescent="0.25">
      <c r="B31" s="72" t="s">
        <v>43</v>
      </c>
      <c r="C31" s="73"/>
      <c r="D31" s="43">
        <f>MIN(C27,D27)</f>
        <v>1</v>
      </c>
      <c r="E31" s="26"/>
    </row>
    <row r="32" spans="2:5" x14ac:dyDescent="0.25">
      <c r="B32" s="72" t="s">
        <v>41</v>
      </c>
      <c r="C32" s="73"/>
      <c r="D32" s="68">
        <v>3</v>
      </c>
    </row>
    <row r="33" spans="1:5" x14ac:dyDescent="0.25">
      <c r="B33" s="72" t="s">
        <v>44</v>
      </c>
      <c r="C33" s="73"/>
      <c r="D33" s="44">
        <f>ROUNDDOWN(D13*D31,0)</f>
        <v>15</v>
      </c>
      <c r="E33" s="27"/>
    </row>
    <row r="34" spans="1:5" x14ac:dyDescent="0.25">
      <c r="B34" s="51" t="s">
        <v>45</v>
      </c>
      <c r="C34" s="52"/>
      <c r="D34" s="53">
        <f>ROUNDDOWN(D13*D31/2,0)</f>
        <v>7</v>
      </c>
      <c r="E34" s="27"/>
    </row>
    <row r="35" spans="1:5" x14ac:dyDescent="0.25">
      <c r="B35" s="51" t="s">
        <v>46</v>
      </c>
      <c r="C35" s="52"/>
      <c r="D35" s="69" t="s">
        <v>53</v>
      </c>
      <c r="E35" s="27"/>
    </row>
    <row r="36" spans="1:5" ht="15.75" thickBot="1" x14ac:dyDescent="0.3">
      <c r="A36" s="25"/>
      <c r="B36" s="74" t="s">
        <v>38</v>
      </c>
      <c r="C36" s="75"/>
      <c r="D36" s="45">
        <f>IFERROR(IF(D35="Yes",MIN(D32+D33,D12),MIN(D32+D34,D12)),"")</f>
        <v>18</v>
      </c>
      <c r="E36" s="25"/>
    </row>
    <row r="47" spans="1:5" x14ac:dyDescent="0.25">
      <c r="C47" s="24"/>
    </row>
    <row r="48" spans="1:5" x14ac:dyDescent="0.25">
      <c r="C48" s="24"/>
    </row>
    <row r="49" spans="3:3" x14ac:dyDescent="0.25">
      <c r="C49" s="24"/>
    </row>
    <row r="50" spans="3:3" x14ac:dyDescent="0.25">
      <c r="C50" s="24"/>
    </row>
  </sheetData>
  <sheetProtection algorithmName="SHA-512" hashValue="oyMb72qjWQa1N4DrOhbOD0LucbSYb9ZlvPKGVknWh+jgMo9vv81KuLZfINKzGZSW/Avl4Mvx8uB4w1yKs5l30A==" saltValue="KQugU9iBx1JU2Qz3ZLyDyQ==" spinCount="100000" sheet="1" objects="1" scenarios="1"/>
  <mergeCells count="11">
    <mergeCell ref="B33:C33"/>
    <mergeCell ref="B36:C36"/>
    <mergeCell ref="B5:B7"/>
    <mergeCell ref="B8:B10"/>
    <mergeCell ref="B4:C4"/>
    <mergeCell ref="B13:C13"/>
    <mergeCell ref="B11:C11"/>
    <mergeCell ref="B29:C29"/>
    <mergeCell ref="B30:C30"/>
    <mergeCell ref="B31:C31"/>
    <mergeCell ref="B32:C32"/>
  </mergeCells>
  <dataValidations count="1">
    <dataValidation type="list" allowBlank="1" showInputMessage="1" showErrorMessage="1" sqref="D35" xr:uid="{00000000-0002-0000-0000-000000000000}">
      <formula1>"Yes,No"</formula1>
    </dataValidation>
  </dataValidation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60"/>
  <sheetViews>
    <sheetView workbookViewId="0">
      <selection activeCell="D4" sqref="D4"/>
    </sheetView>
  </sheetViews>
  <sheetFormatPr defaultRowHeight="15" x14ac:dyDescent="0.25"/>
  <cols>
    <col min="1" max="2" width="10.85546875" customWidth="1"/>
    <col min="3" max="3" width="17.42578125" customWidth="1"/>
    <col min="4" max="4" width="12.140625" customWidth="1"/>
    <col min="5" max="5" width="14" customWidth="1"/>
    <col min="6" max="6" width="12.140625" customWidth="1"/>
    <col min="7" max="7" width="10.85546875" customWidth="1"/>
    <col min="8" max="8" width="14" customWidth="1"/>
    <col min="9" max="9" width="15.5703125" customWidth="1"/>
    <col min="10" max="10" width="8.85546875" customWidth="1"/>
  </cols>
  <sheetData>
    <row r="1" spans="1:9" ht="15" customHeight="1" thickBot="1" x14ac:dyDescent="0.3">
      <c r="A1" t="s">
        <v>4</v>
      </c>
      <c r="B1" t="s">
        <v>0</v>
      </c>
      <c r="C1" t="s">
        <v>5</v>
      </c>
      <c r="D1" t="s">
        <v>4</v>
      </c>
      <c r="E1" t="s">
        <v>6</v>
      </c>
      <c r="F1" t="s">
        <v>4</v>
      </c>
      <c r="G1" t="s">
        <v>5</v>
      </c>
      <c r="I1" t="s">
        <v>7</v>
      </c>
    </row>
    <row r="2" spans="1:9" ht="79.5" thickBot="1" x14ac:dyDescent="0.3">
      <c r="A2" s="1" t="s">
        <v>13</v>
      </c>
      <c r="B2" s="2" t="s">
        <v>0</v>
      </c>
      <c r="C2" s="11" t="s">
        <v>12</v>
      </c>
      <c r="D2" s="5" t="s">
        <v>9</v>
      </c>
      <c r="E2" s="5" t="s">
        <v>1</v>
      </c>
      <c r="F2" s="5" t="s">
        <v>10</v>
      </c>
      <c r="G2" s="13" t="s">
        <v>2</v>
      </c>
      <c r="H2" s="17" t="s">
        <v>14</v>
      </c>
      <c r="I2" s="3" t="s">
        <v>11</v>
      </c>
    </row>
    <row r="3" spans="1:9" ht="16.350000000000001" customHeight="1" thickBot="1" x14ac:dyDescent="0.3">
      <c r="A3" s="7">
        <v>4.99E-2</v>
      </c>
      <c r="B3" s="8">
        <v>0.02</v>
      </c>
      <c r="C3" s="12">
        <v>0.03</v>
      </c>
      <c r="D3" s="6" t="s">
        <v>3</v>
      </c>
      <c r="E3" s="6" t="s">
        <v>3</v>
      </c>
      <c r="F3" s="6" t="s">
        <v>3</v>
      </c>
      <c r="G3" s="14" t="s">
        <v>3</v>
      </c>
      <c r="H3" s="18">
        <v>0.05</v>
      </c>
      <c r="I3" s="4" t="s">
        <v>3</v>
      </c>
    </row>
    <row r="4" spans="1:9" ht="16.5" thickBot="1" x14ac:dyDescent="0.3">
      <c r="A4" s="7">
        <v>5.9900000000000002E-2</v>
      </c>
      <c r="B4" s="8">
        <v>0.03</v>
      </c>
      <c r="C4" s="12">
        <v>0.04</v>
      </c>
      <c r="D4" s="9">
        <v>1</v>
      </c>
      <c r="E4" s="9">
        <v>3</v>
      </c>
      <c r="F4" s="9">
        <v>1</v>
      </c>
      <c r="G4" s="15">
        <v>4</v>
      </c>
      <c r="H4" s="18">
        <v>0.06</v>
      </c>
      <c r="I4" s="16">
        <v>1</v>
      </c>
    </row>
    <row r="5" spans="1:9" ht="16.350000000000001" hidden="1" customHeight="1" thickBot="1" x14ac:dyDescent="0.3">
      <c r="A5" s="7"/>
      <c r="B5" s="8"/>
      <c r="C5" s="12">
        <v>0.05</v>
      </c>
      <c r="D5" s="9"/>
      <c r="E5" s="9"/>
      <c r="F5" s="9"/>
      <c r="G5" s="15">
        <v>6</v>
      </c>
      <c r="H5" s="18"/>
      <c r="I5" s="16"/>
    </row>
    <row r="6" spans="1:9" ht="16.5" thickBot="1" x14ac:dyDescent="0.3">
      <c r="A6" s="7">
        <v>7.9899999999999999E-2</v>
      </c>
      <c r="B6" s="8">
        <v>0.05</v>
      </c>
      <c r="C6" s="12">
        <v>0.06</v>
      </c>
      <c r="D6" s="9">
        <v>2</v>
      </c>
      <c r="E6" s="9">
        <v>4</v>
      </c>
      <c r="F6" s="9">
        <v>2</v>
      </c>
      <c r="G6" s="15">
        <v>8</v>
      </c>
      <c r="H6" s="18">
        <v>0.08</v>
      </c>
      <c r="I6" s="16">
        <v>3</v>
      </c>
    </row>
    <row r="7" spans="1:9" ht="16.350000000000001" hidden="1" customHeight="1" thickBot="1" x14ac:dyDescent="0.3">
      <c r="A7" s="7"/>
      <c r="B7" s="8"/>
      <c r="C7" s="12">
        <v>7.0000000000000007E-2</v>
      </c>
      <c r="D7" s="9"/>
      <c r="E7" s="9"/>
      <c r="F7" s="9"/>
      <c r="G7" s="15">
        <v>10</v>
      </c>
      <c r="H7" s="18"/>
      <c r="I7" s="16"/>
    </row>
    <row r="8" spans="1:9" ht="16.5" thickBot="1" x14ac:dyDescent="0.3">
      <c r="A8" s="7">
        <v>9.9900000000000003E-2</v>
      </c>
      <c r="B8" s="8">
        <v>7.0000000000000007E-2</v>
      </c>
      <c r="C8" s="12">
        <v>0.08</v>
      </c>
      <c r="D8" s="9">
        <v>3</v>
      </c>
      <c r="E8" s="9">
        <v>5</v>
      </c>
      <c r="F8" s="9">
        <v>3</v>
      </c>
      <c r="G8" s="15">
        <v>11</v>
      </c>
      <c r="H8" s="18">
        <v>0.1</v>
      </c>
      <c r="I8" s="16">
        <v>5</v>
      </c>
    </row>
    <row r="9" spans="1:9" ht="16.350000000000001" hidden="1" customHeight="1" thickBot="1" x14ac:dyDescent="0.3">
      <c r="A9" s="7"/>
      <c r="B9" s="8"/>
      <c r="C9" s="12">
        <v>0.09</v>
      </c>
      <c r="D9" s="9"/>
      <c r="E9" s="9"/>
      <c r="F9" s="9"/>
      <c r="G9" s="15">
        <v>12</v>
      </c>
      <c r="H9" s="18"/>
      <c r="I9" s="16"/>
    </row>
    <row r="10" spans="1:9" ht="16.5" thickBot="1" x14ac:dyDescent="0.3">
      <c r="A10" s="7">
        <v>0.11990000000000001</v>
      </c>
      <c r="B10" s="8">
        <v>0.09</v>
      </c>
      <c r="C10" s="12">
        <v>0.1</v>
      </c>
      <c r="D10" s="9">
        <v>4</v>
      </c>
      <c r="E10" s="9">
        <v>6</v>
      </c>
      <c r="F10" s="9">
        <v>4</v>
      </c>
      <c r="G10" s="15">
        <v>13</v>
      </c>
      <c r="H10" s="18">
        <v>0.12</v>
      </c>
      <c r="I10" s="16">
        <v>7</v>
      </c>
    </row>
    <row r="11" spans="1:9" ht="16.350000000000001" hidden="1" customHeight="1" thickBot="1" x14ac:dyDescent="0.3">
      <c r="A11" s="7"/>
      <c r="B11" s="8"/>
      <c r="C11" s="12">
        <v>0.11</v>
      </c>
      <c r="D11" s="9"/>
      <c r="E11" s="9"/>
      <c r="F11" s="9"/>
      <c r="G11" s="15">
        <v>14</v>
      </c>
      <c r="H11" s="18"/>
      <c r="I11" s="16"/>
    </row>
    <row r="12" spans="1:9" ht="16.5" thickBot="1" x14ac:dyDescent="0.3">
      <c r="A12" s="7">
        <v>0.1399</v>
      </c>
      <c r="B12" s="8">
        <v>0.11</v>
      </c>
      <c r="C12" s="12">
        <v>0.12</v>
      </c>
      <c r="D12" s="9">
        <v>5</v>
      </c>
      <c r="E12" s="9">
        <v>7</v>
      </c>
      <c r="F12" s="9">
        <v>5</v>
      </c>
      <c r="G12" s="15">
        <v>15</v>
      </c>
      <c r="H12" s="18">
        <v>0.14000000000000001</v>
      </c>
      <c r="I12" s="16">
        <v>9</v>
      </c>
    </row>
    <row r="13" spans="1:9" ht="16.350000000000001" hidden="1" customHeight="1" thickBot="1" x14ac:dyDescent="0.3">
      <c r="A13" s="7"/>
      <c r="B13" s="8"/>
      <c r="C13" s="12">
        <v>0.13</v>
      </c>
      <c r="D13" s="9"/>
      <c r="E13" s="9"/>
      <c r="F13" s="9"/>
      <c r="G13" s="15">
        <v>16</v>
      </c>
      <c r="H13" s="18"/>
      <c r="I13" s="16"/>
    </row>
    <row r="14" spans="1:9" ht="16.5" thickBot="1" x14ac:dyDescent="0.3">
      <c r="A14" s="7">
        <v>0.15989999999999999</v>
      </c>
      <c r="B14" s="8">
        <v>0.13</v>
      </c>
      <c r="C14" s="12">
        <v>0.14000000000000001</v>
      </c>
      <c r="D14" s="9">
        <v>6</v>
      </c>
      <c r="E14" s="9">
        <v>8</v>
      </c>
      <c r="F14" s="9">
        <v>6</v>
      </c>
      <c r="G14" s="15">
        <v>17</v>
      </c>
      <c r="H14" s="18">
        <v>0.16</v>
      </c>
      <c r="I14" s="16">
        <v>11</v>
      </c>
    </row>
    <row r="15" spans="1:9" ht="16.350000000000001" hidden="1" customHeight="1" thickBot="1" x14ac:dyDescent="0.3">
      <c r="A15" s="7"/>
      <c r="B15" s="8"/>
      <c r="C15" s="12">
        <v>0.15</v>
      </c>
      <c r="D15" s="9"/>
      <c r="E15" s="9"/>
      <c r="F15" s="9"/>
      <c r="G15" s="15">
        <v>18</v>
      </c>
      <c r="H15" s="18"/>
      <c r="I15" s="16"/>
    </row>
    <row r="16" spans="1:9" ht="16.5" thickBot="1" x14ac:dyDescent="0.3">
      <c r="A16" s="7">
        <v>0.1799</v>
      </c>
      <c r="B16" s="8">
        <v>0.15</v>
      </c>
      <c r="C16" s="12">
        <v>0.16</v>
      </c>
      <c r="D16" s="9">
        <v>7</v>
      </c>
      <c r="E16" s="9">
        <v>9</v>
      </c>
      <c r="F16" s="9">
        <v>7</v>
      </c>
      <c r="G16" s="15">
        <v>19</v>
      </c>
      <c r="H16" s="18">
        <v>0.18</v>
      </c>
      <c r="I16" s="16">
        <v>13</v>
      </c>
    </row>
    <row r="17" spans="1:9" ht="16.350000000000001" hidden="1" customHeight="1" thickBot="1" x14ac:dyDescent="0.3">
      <c r="A17" s="7"/>
      <c r="B17" s="8"/>
      <c r="C17" s="12"/>
      <c r="D17" s="9"/>
      <c r="E17" s="9"/>
      <c r="F17" s="9"/>
      <c r="G17" s="15">
        <v>20</v>
      </c>
      <c r="H17" s="18"/>
      <c r="I17" s="16"/>
    </row>
    <row r="18" spans="1:9" ht="16.5" thickBot="1" x14ac:dyDescent="0.3">
      <c r="A18" s="7">
        <v>0.19989999999999999</v>
      </c>
      <c r="B18" s="8">
        <v>0.17</v>
      </c>
      <c r="C18" s="12">
        <v>0.18</v>
      </c>
      <c r="D18" s="9">
        <v>8</v>
      </c>
      <c r="E18" s="9">
        <v>10</v>
      </c>
      <c r="F18" s="9">
        <v>8</v>
      </c>
      <c r="G18" s="15">
        <v>21</v>
      </c>
      <c r="H18" s="18">
        <v>0.2</v>
      </c>
      <c r="I18" s="16">
        <v>15</v>
      </c>
    </row>
    <row r="19" spans="1:9" ht="16.5" thickBot="1" x14ac:dyDescent="0.3">
      <c r="A19" s="7">
        <v>0.21990000000000001</v>
      </c>
      <c r="B19" s="8">
        <v>0.19</v>
      </c>
      <c r="C19" s="12">
        <v>0.2</v>
      </c>
      <c r="D19" s="9">
        <v>9</v>
      </c>
      <c r="E19" s="9">
        <v>11</v>
      </c>
      <c r="F19" s="9">
        <v>9</v>
      </c>
      <c r="G19" s="15">
        <v>22</v>
      </c>
      <c r="H19" s="18">
        <v>0.22</v>
      </c>
      <c r="I19" s="16">
        <v>16</v>
      </c>
    </row>
    <row r="20" spans="1:9" ht="16.5" thickBot="1" x14ac:dyDescent="0.3">
      <c r="A20" s="7">
        <v>0.2399</v>
      </c>
      <c r="B20" s="8">
        <v>0.21</v>
      </c>
      <c r="C20" s="12">
        <v>0.22</v>
      </c>
      <c r="D20" s="9">
        <v>10</v>
      </c>
      <c r="E20" s="9">
        <v>12</v>
      </c>
      <c r="F20" s="9">
        <v>10</v>
      </c>
      <c r="G20" s="15">
        <v>23</v>
      </c>
      <c r="H20" s="18">
        <v>0.26</v>
      </c>
      <c r="I20" s="16">
        <v>18</v>
      </c>
    </row>
    <row r="21" spans="1:9" ht="16.5" thickBot="1" x14ac:dyDescent="0.3">
      <c r="A21" s="7">
        <v>0.25900000000000001</v>
      </c>
      <c r="B21" s="8">
        <v>0.23</v>
      </c>
      <c r="C21" s="12">
        <v>0.24</v>
      </c>
      <c r="D21" s="9">
        <v>11</v>
      </c>
      <c r="E21" s="9">
        <v>13</v>
      </c>
      <c r="F21" s="9">
        <v>11</v>
      </c>
      <c r="G21" s="15">
        <v>24</v>
      </c>
      <c r="H21" s="18">
        <v>0.3</v>
      </c>
      <c r="I21" s="16">
        <v>20</v>
      </c>
    </row>
    <row r="22" spans="1:9" ht="16.5" thickBot="1" x14ac:dyDescent="0.3">
      <c r="A22" s="7">
        <v>0.28989999999999999</v>
      </c>
      <c r="B22" s="8">
        <v>0.25</v>
      </c>
      <c r="C22" s="12">
        <v>0.26</v>
      </c>
      <c r="D22" s="9">
        <v>12</v>
      </c>
      <c r="E22" s="9">
        <v>14</v>
      </c>
      <c r="F22" s="9">
        <v>12</v>
      </c>
      <c r="G22" s="15"/>
      <c r="H22" s="18">
        <v>0.33</v>
      </c>
      <c r="I22" s="16">
        <v>21</v>
      </c>
    </row>
    <row r="23" spans="1:9" ht="16.5" thickBot="1" x14ac:dyDescent="0.3">
      <c r="A23" s="7">
        <v>0.31990000000000002</v>
      </c>
      <c r="B23" s="8">
        <v>0.27</v>
      </c>
      <c r="C23" s="12">
        <v>0.28000000000000003</v>
      </c>
      <c r="D23" s="9">
        <v>13</v>
      </c>
      <c r="E23" s="9">
        <v>15</v>
      </c>
      <c r="F23" s="9">
        <v>13</v>
      </c>
      <c r="G23" s="15">
        <v>25</v>
      </c>
      <c r="H23" s="18">
        <v>0.36</v>
      </c>
      <c r="I23" s="16">
        <v>22</v>
      </c>
    </row>
    <row r="24" spans="1:9" ht="16.5" thickBot="1" x14ac:dyDescent="0.3">
      <c r="A24" s="7">
        <v>0.34989999999999999</v>
      </c>
      <c r="B24" s="8">
        <v>0.28999999999999998</v>
      </c>
      <c r="C24" s="12">
        <v>0.3</v>
      </c>
      <c r="D24" s="9">
        <v>14</v>
      </c>
      <c r="E24" s="9">
        <v>16</v>
      </c>
      <c r="F24" s="9">
        <v>14</v>
      </c>
      <c r="G24" s="15"/>
      <c r="H24" s="18">
        <v>0.42</v>
      </c>
      <c r="I24" s="16">
        <v>24</v>
      </c>
    </row>
    <row r="25" spans="1:9" ht="16.5" thickBot="1" x14ac:dyDescent="0.3">
      <c r="A25" s="7">
        <v>0.37990000000000002</v>
      </c>
      <c r="B25" s="8">
        <v>0.31</v>
      </c>
      <c r="C25" s="12">
        <v>0.32</v>
      </c>
      <c r="D25" s="9">
        <v>15</v>
      </c>
      <c r="E25" s="9">
        <v>17</v>
      </c>
      <c r="F25" s="9">
        <v>15</v>
      </c>
      <c r="G25" s="15"/>
      <c r="H25" s="18">
        <v>0.48</v>
      </c>
      <c r="I25" s="16">
        <v>26</v>
      </c>
    </row>
    <row r="26" spans="1:9" ht="16.5" thickBot="1" x14ac:dyDescent="0.3">
      <c r="A26" s="7">
        <v>0.4199</v>
      </c>
      <c r="B26" s="8">
        <v>0.33</v>
      </c>
      <c r="C26" s="12">
        <v>0.34</v>
      </c>
      <c r="D26" s="9">
        <v>16</v>
      </c>
      <c r="E26" s="9">
        <v>18</v>
      </c>
      <c r="F26" s="9">
        <v>16</v>
      </c>
      <c r="G26" s="15"/>
      <c r="H26" s="18">
        <v>0.54</v>
      </c>
      <c r="I26" s="16">
        <v>28</v>
      </c>
    </row>
    <row r="27" spans="1:9" ht="16.5" thickBot="1" x14ac:dyDescent="0.3">
      <c r="A27" s="7">
        <v>0.45989999999999998</v>
      </c>
      <c r="B27" s="10"/>
      <c r="C27" s="12">
        <v>0.36</v>
      </c>
      <c r="D27" s="9">
        <v>17</v>
      </c>
      <c r="E27" s="9">
        <v>19</v>
      </c>
      <c r="F27" s="9"/>
      <c r="G27" s="15"/>
      <c r="H27" s="18">
        <v>0.6</v>
      </c>
      <c r="I27" s="16">
        <v>30</v>
      </c>
    </row>
    <row r="28" spans="1:9" ht="16.5" thickBot="1" x14ac:dyDescent="0.3">
      <c r="A28" s="7">
        <v>0.49990000000000001</v>
      </c>
      <c r="B28" s="10"/>
      <c r="C28" s="12">
        <v>0.38</v>
      </c>
      <c r="D28" s="9">
        <v>18</v>
      </c>
      <c r="E28" s="9">
        <v>20</v>
      </c>
      <c r="F28" s="9"/>
      <c r="G28" s="15"/>
      <c r="H28" s="19"/>
      <c r="I28" s="16"/>
    </row>
    <row r="56" spans="3:3" x14ac:dyDescent="0.25">
      <c r="C56" s="20"/>
    </row>
    <row r="57" spans="3:3" x14ac:dyDescent="0.25">
      <c r="C57" s="21"/>
    </row>
    <row r="58" spans="3:3" x14ac:dyDescent="0.25">
      <c r="C58" s="20"/>
    </row>
    <row r="59" spans="3:3" x14ac:dyDescent="0.25">
      <c r="C59" s="21"/>
    </row>
    <row r="60" spans="3:3" x14ac:dyDescent="0.25">
      <c r="C60" s="20"/>
    </row>
  </sheetData>
  <sheetProtection algorithmName="SHA-512" hashValue="UDV6UJlez3zgh9A2wBdDuF7P0ZEFf4UwrUwArJEFJ0uX6xt3sJRv0wEl2lRINVlpiZGlZncQ0VmIpn2Kqi+I1A==" saltValue="A7RBLdNysY6d9WvMe6aN8g==" spinCount="100000" sheet="1" objects="1" scenario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topLeftCell="A5" workbookViewId="0">
      <selection activeCell="F19" sqref="F19"/>
    </sheetView>
  </sheetViews>
  <sheetFormatPr defaultRowHeight="15" x14ac:dyDescent="0.25"/>
  <cols>
    <col min="2" max="2" width="34.140625" customWidth="1"/>
    <col min="3" max="3" width="21.42578125" customWidth="1"/>
    <col min="4" max="4" width="19.28515625" customWidth="1"/>
    <col min="6" max="6" width="34" customWidth="1"/>
  </cols>
  <sheetData>
    <row r="1" spans="1:7" x14ac:dyDescent="0.25">
      <c r="A1" s="48"/>
      <c r="B1" s="48"/>
      <c r="C1" s="48"/>
      <c r="D1" s="48"/>
      <c r="E1" s="48"/>
      <c r="F1" s="48"/>
      <c r="G1" s="48"/>
    </row>
    <row r="2" spans="1:7" ht="23.25" x14ac:dyDescent="0.25">
      <c r="A2" s="48"/>
      <c r="B2" s="49" t="s">
        <v>35</v>
      </c>
      <c r="C2" s="48"/>
      <c r="D2" s="48"/>
      <c r="E2" s="48"/>
      <c r="F2" s="48"/>
      <c r="G2" s="48"/>
    </row>
    <row r="3" spans="1:7" ht="15.75" thickBot="1" x14ac:dyDescent="0.3">
      <c r="A3" s="22"/>
      <c r="B3" s="22"/>
      <c r="C3" s="22"/>
      <c r="D3" s="22"/>
      <c r="E3" s="22"/>
      <c r="F3" s="22"/>
      <c r="G3" s="22"/>
    </row>
    <row r="4" spans="1:7" x14ac:dyDescent="0.25">
      <c r="A4" s="22"/>
      <c r="B4" s="77" t="s">
        <v>22</v>
      </c>
      <c r="C4" s="78"/>
      <c r="D4" s="30" t="s">
        <v>26</v>
      </c>
      <c r="E4" s="22"/>
      <c r="F4" s="40" t="s">
        <v>18</v>
      </c>
      <c r="G4" s="22"/>
    </row>
    <row r="5" spans="1:7" x14ac:dyDescent="0.25">
      <c r="A5" s="22"/>
      <c r="B5" s="76" t="s">
        <v>25</v>
      </c>
      <c r="C5" s="71" t="s">
        <v>23</v>
      </c>
      <c r="D5" s="63">
        <v>0.14199999999999999</v>
      </c>
      <c r="E5" s="22"/>
      <c r="F5" s="36" t="s">
        <v>20</v>
      </c>
      <c r="G5" s="22"/>
    </row>
    <row r="6" spans="1:7" x14ac:dyDescent="0.25">
      <c r="A6" s="22"/>
      <c r="B6" s="76"/>
      <c r="C6" s="71" t="s">
        <v>24</v>
      </c>
      <c r="D6" s="63">
        <v>0.16600000000000001</v>
      </c>
      <c r="E6" s="55"/>
      <c r="F6" s="37" t="s">
        <v>21</v>
      </c>
      <c r="G6" s="22"/>
    </row>
    <row r="7" spans="1:7" x14ac:dyDescent="0.25">
      <c r="A7" s="22"/>
      <c r="B7" s="76"/>
      <c r="C7" s="29" t="s">
        <v>36</v>
      </c>
      <c r="D7" s="63">
        <v>0.72899999999999998</v>
      </c>
      <c r="E7" s="23"/>
      <c r="F7" s="54" t="s">
        <v>48</v>
      </c>
      <c r="G7" s="22"/>
    </row>
    <row r="8" spans="1:7" x14ac:dyDescent="0.25">
      <c r="A8" s="22"/>
      <c r="B8" s="76" t="s">
        <v>39</v>
      </c>
      <c r="C8" s="71" t="s">
        <v>23</v>
      </c>
      <c r="D8" s="31">
        <v>0.2</v>
      </c>
      <c r="E8" s="55"/>
      <c r="F8" s="38" t="s">
        <v>50</v>
      </c>
      <c r="G8" s="22"/>
    </row>
    <row r="9" spans="1:7" ht="15.75" thickBot="1" x14ac:dyDescent="0.3">
      <c r="A9" s="22"/>
      <c r="B9" s="76"/>
      <c r="C9" s="29" t="s">
        <v>24</v>
      </c>
      <c r="D9" s="31">
        <v>0.45</v>
      </c>
      <c r="E9" s="23"/>
      <c r="F9" s="39" t="s">
        <v>51</v>
      </c>
      <c r="G9" s="22"/>
    </row>
    <row r="10" spans="1:7" x14ac:dyDescent="0.25">
      <c r="A10" s="22"/>
      <c r="B10" s="76"/>
      <c r="C10" s="71" t="s">
        <v>36</v>
      </c>
      <c r="D10" s="31">
        <v>0.35</v>
      </c>
      <c r="E10" s="55"/>
      <c r="F10" s="22"/>
      <c r="G10" s="22"/>
    </row>
    <row r="11" spans="1:7" x14ac:dyDescent="0.25">
      <c r="A11" s="22"/>
      <c r="B11" s="81" t="s">
        <v>40</v>
      </c>
      <c r="C11" s="82"/>
      <c r="D11" s="56">
        <f>SUM(D5*D8,D6*D9,D7*D10)</f>
        <v>0.35824999999999996</v>
      </c>
      <c r="E11" s="22"/>
      <c r="F11" s="22"/>
      <c r="G11" s="22"/>
    </row>
    <row r="12" spans="1:7" x14ac:dyDescent="0.25">
      <c r="A12" s="22"/>
      <c r="B12" s="51" t="s">
        <v>49</v>
      </c>
      <c r="C12" s="52"/>
      <c r="D12" s="64">
        <v>18</v>
      </c>
      <c r="E12" s="22"/>
      <c r="F12" s="22"/>
      <c r="G12" s="22"/>
    </row>
    <row r="13" spans="1:7" ht="15.75" thickBot="1" x14ac:dyDescent="0.3">
      <c r="A13" s="22"/>
      <c r="B13" s="79" t="s">
        <v>42</v>
      </c>
      <c r="C13" s="80"/>
      <c r="D13" s="57">
        <f>MIN(IF(D11&gt;0.12,(D11-0.12)/0.02+1,0),D12)</f>
        <v>12.912499999999998</v>
      </c>
      <c r="E13" s="22"/>
      <c r="F13" s="50"/>
      <c r="G13" s="22"/>
    </row>
    <row r="14" spans="1:7" x14ac:dyDescent="0.25">
      <c r="A14" s="22"/>
      <c r="B14" s="22"/>
      <c r="C14" s="22"/>
      <c r="D14" s="22"/>
      <c r="E14" s="22"/>
      <c r="F14" s="22"/>
      <c r="G14" s="22"/>
    </row>
    <row r="15" spans="1:7" ht="15.75" thickBot="1" x14ac:dyDescent="0.3">
      <c r="A15" s="22"/>
      <c r="B15" s="22"/>
      <c r="C15" s="23"/>
      <c r="D15" s="22"/>
      <c r="E15" s="22"/>
      <c r="F15" s="22"/>
      <c r="G15" s="22"/>
    </row>
    <row r="16" spans="1:7" x14ac:dyDescent="0.25">
      <c r="A16" s="22"/>
      <c r="B16" s="35" t="s">
        <v>15</v>
      </c>
      <c r="C16" s="47" t="s">
        <v>16</v>
      </c>
      <c r="D16" s="30" t="s">
        <v>17</v>
      </c>
      <c r="E16" s="22"/>
      <c r="F16" s="22"/>
      <c r="G16" s="22"/>
    </row>
    <row r="17" spans="1:7" x14ac:dyDescent="0.25">
      <c r="A17" s="22"/>
      <c r="B17" s="70" t="s">
        <v>27</v>
      </c>
      <c r="C17" s="65">
        <v>101885.75</v>
      </c>
      <c r="D17" s="66">
        <v>85337.81</v>
      </c>
      <c r="E17" s="22"/>
      <c r="F17" s="22"/>
      <c r="G17" s="22"/>
    </row>
    <row r="18" spans="1:7" x14ac:dyDescent="0.25">
      <c r="A18" s="22"/>
      <c r="B18" s="70" t="s">
        <v>28</v>
      </c>
      <c r="C18" s="67">
        <v>28252</v>
      </c>
      <c r="D18" s="66">
        <v>24829.33</v>
      </c>
      <c r="E18" s="22"/>
      <c r="F18" s="22"/>
      <c r="G18" s="22"/>
    </row>
    <row r="19" spans="1:7" x14ac:dyDescent="0.25">
      <c r="A19" s="22"/>
      <c r="B19" s="32" t="s">
        <v>19</v>
      </c>
      <c r="C19" s="58">
        <f>IFERROR(C18/C$17,"")</f>
        <v>0.27729098524572865</v>
      </c>
      <c r="D19" s="59">
        <f>IFERROR(D18/D$17,"")</f>
        <v>0.2909534472468886</v>
      </c>
      <c r="E19" s="22"/>
      <c r="F19" s="22"/>
      <c r="G19" s="22"/>
    </row>
    <row r="20" spans="1:7" x14ac:dyDescent="0.25">
      <c r="A20" s="22"/>
      <c r="B20" s="70" t="s">
        <v>29</v>
      </c>
      <c r="C20" s="67"/>
      <c r="D20" s="66"/>
      <c r="E20" s="22"/>
      <c r="F20" s="22"/>
      <c r="G20" s="22"/>
    </row>
    <row r="21" spans="1:7" x14ac:dyDescent="0.25">
      <c r="A21" s="22"/>
      <c r="B21" s="32" t="s">
        <v>19</v>
      </c>
      <c r="C21" s="58">
        <f>IFERROR(C20/C$17,"")</f>
        <v>0</v>
      </c>
      <c r="D21" s="59">
        <f>IFERROR(D20/D$17,"")</f>
        <v>0</v>
      </c>
      <c r="E21" s="22"/>
      <c r="F21" s="22"/>
      <c r="G21" s="22"/>
    </row>
    <row r="22" spans="1:7" x14ac:dyDescent="0.25">
      <c r="A22" s="22"/>
      <c r="B22" s="70" t="s">
        <v>30</v>
      </c>
      <c r="C22" s="67">
        <v>8603.75</v>
      </c>
      <c r="D22" s="66">
        <v>3064.22</v>
      </c>
      <c r="E22" s="22"/>
      <c r="F22" s="22"/>
      <c r="G22" s="22"/>
    </row>
    <row r="23" spans="1:7" x14ac:dyDescent="0.25">
      <c r="A23" s="22"/>
      <c r="B23" s="32" t="s">
        <v>19</v>
      </c>
      <c r="C23" s="58">
        <f>IFERROR(C22/C$17,"")</f>
        <v>8.4445076961204096E-2</v>
      </c>
      <c r="D23" s="59">
        <f>IFERROR(D22/D$17,"")</f>
        <v>3.5906944413033333E-2</v>
      </c>
      <c r="E23" s="22"/>
      <c r="F23" s="22"/>
      <c r="G23" s="22"/>
    </row>
    <row r="24" spans="1:7" x14ac:dyDescent="0.25">
      <c r="A24" s="22"/>
      <c r="B24" s="70" t="s">
        <v>31</v>
      </c>
      <c r="C24" s="67">
        <v>36855.75</v>
      </c>
      <c r="D24" s="66">
        <v>27893.55</v>
      </c>
      <c r="E24" s="22"/>
      <c r="F24" s="22"/>
      <c r="G24" s="22"/>
    </row>
    <row r="25" spans="1:7" x14ac:dyDescent="0.25">
      <c r="A25" s="22"/>
      <c r="B25" s="70" t="s">
        <v>8</v>
      </c>
      <c r="C25" s="58">
        <f>IFERROR(C24/C$17,"")</f>
        <v>0.36173606220693277</v>
      </c>
      <c r="D25" s="59">
        <f>IFERROR(D24/D$17,"")</f>
        <v>0.32686039165992192</v>
      </c>
      <c r="E25" s="22"/>
      <c r="F25" s="22"/>
      <c r="G25" s="22"/>
    </row>
    <row r="26" spans="1:7" x14ac:dyDescent="0.25">
      <c r="A26" s="22"/>
      <c r="B26" s="46" t="s">
        <v>32</v>
      </c>
      <c r="C26" s="60">
        <f>SUM(C18,C20,C22, C24)</f>
        <v>73711.5</v>
      </c>
      <c r="D26" s="34">
        <f>SUM(D18,D20,D22,D24)</f>
        <v>55787.100000000006</v>
      </c>
      <c r="E26" s="22"/>
      <c r="F26" s="22"/>
      <c r="G26" s="22"/>
    </row>
    <row r="27" spans="1:7" ht="15.75" thickBot="1" x14ac:dyDescent="0.3">
      <c r="A27" s="22"/>
      <c r="B27" s="33" t="s">
        <v>19</v>
      </c>
      <c r="C27" s="61">
        <f>IFERROR(C26/C$17,"")</f>
        <v>0.72347212441386555</v>
      </c>
      <c r="D27" s="62">
        <f>IFERROR(D26/D$17,"")</f>
        <v>0.65372078331984385</v>
      </c>
      <c r="E27" s="22"/>
      <c r="F27" s="22"/>
      <c r="G27" s="22"/>
    </row>
    <row r="28" spans="1:7" ht="15.75" thickBot="1" x14ac:dyDescent="0.3">
      <c r="A28" s="22"/>
      <c r="B28" s="22"/>
      <c r="C28" s="22"/>
      <c r="D28" s="22"/>
      <c r="E28" s="55"/>
      <c r="F28" s="22"/>
      <c r="G28" s="22"/>
    </row>
    <row r="29" spans="1:7" x14ac:dyDescent="0.25">
      <c r="A29" s="22"/>
      <c r="B29" s="77" t="s">
        <v>33</v>
      </c>
      <c r="C29" s="78"/>
      <c r="D29" s="30" t="s">
        <v>34</v>
      </c>
      <c r="E29" s="55" t="s">
        <v>52</v>
      </c>
      <c r="F29" s="22"/>
      <c r="G29" s="22"/>
    </row>
    <row r="30" spans="1:7" x14ac:dyDescent="0.25">
      <c r="A30" s="22"/>
      <c r="B30" s="72" t="s">
        <v>37</v>
      </c>
      <c r="C30" s="73"/>
      <c r="D30" s="42">
        <f>IFERROR(1-D17/C17,"")</f>
        <v>0.16241662842939275</v>
      </c>
      <c r="E30" s="55"/>
      <c r="F30" s="22"/>
      <c r="G30" s="22"/>
    </row>
    <row r="31" spans="1:7" x14ac:dyDescent="0.25">
      <c r="A31" s="22"/>
      <c r="B31" s="72" t="s">
        <v>43</v>
      </c>
      <c r="C31" s="73"/>
      <c r="D31" s="43">
        <f>MIN(C27,D27)</f>
        <v>0.65372078331984385</v>
      </c>
      <c r="E31" s="55"/>
      <c r="F31" s="22"/>
      <c r="G31" s="22"/>
    </row>
    <row r="32" spans="1:7" x14ac:dyDescent="0.25">
      <c r="A32" s="22"/>
      <c r="B32" s="72" t="s">
        <v>41</v>
      </c>
      <c r="C32" s="73"/>
      <c r="D32" s="68">
        <v>6</v>
      </c>
      <c r="E32" s="22"/>
      <c r="F32" s="22"/>
      <c r="G32" s="22"/>
    </row>
    <row r="33" spans="1:7" x14ac:dyDescent="0.25">
      <c r="A33" s="22"/>
      <c r="B33" s="72" t="s">
        <v>44</v>
      </c>
      <c r="C33" s="73"/>
      <c r="D33" s="44">
        <f>ROUNDDOWN(D13*D31,0)</f>
        <v>8</v>
      </c>
      <c r="E33" s="27"/>
      <c r="F33" s="22"/>
      <c r="G33" s="22"/>
    </row>
    <row r="34" spans="1:7" x14ac:dyDescent="0.25">
      <c r="A34" s="22"/>
      <c r="B34" s="51" t="s">
        <v>45</v>
      </c>
      <c r="C34" s="52"/>
      <c r="D34" s="53">
        <f>ROUNDDOWN(D13*D31/2,0)</f>
        <v>4</v>
      </c>
      <c r="E34" s="27"/>
      <c r="F34" s="22"/>
      <c r="G34" s="22"/>
    </row>
    <row r="35" spans="1:7" x14ac:dyDescent="0.25">
      <c r="A35" s="22"/>
      <c r="B35" s="51" t="s">
        <v>46</v>
      </c>
      <c r="C35" s="52"/>
      <c r="D35" s="69" t="s">
        <v>47</v>
      </c>
      <c r="E35" s="27"/>
      <c r="F35" s="22"/>
      <c r="G35" s="22"/>
    </row>
    <row r="36" spans="1:7" ht="15.75" thickBot="1" x14ac:dyDescent="0.3">
      <c r="A36" s="25"/>
      <c r="B36" s="74" t="s">
        <v>38</v>
      </c>
      <c r="C36" s="75"/>
      <c r="D36" s="45">
        <f>IFERROR(IF(D35="Yes",MIN(D32+D33,D12),MIN(D32+D34,D12)),"")</f>
        <v>10</v>
      </c>
      <c r="E36" s="25"/>
      <c r="F36" s="22"/>
      <c r="G36" s="22"/>
    </row>
  </sheetData>
  <mergeCells count="11">
    <mergeCell ref="B30:C30"/>
    <mergeCell ref="B31:C31"/>
    <mergeCell ref="B32:C32"/>
    <mergeCell ref="B33:C33"/>
    <mergeCell ref="B36:C36"/>
    <mergeCell ref="B29:C29"/>
    <mergeCell ref="B4:C4"/>
    <mergeCell ref="B5:B7"/>
    <mergeCell ref="B8:B10"/>
    <mergeCell ref="B11:C11"/>
    <mergeCell ref="B13:C13"/>
  </mergeCells>
  <dataValidations count="1">
    <dataValidation type="list" allowBlank="1" showInputMessage="1" showErrorMessage="1" sqref="D35" xr:uid="{00000000-0002-0000-02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 Points for LEED</vt:lpstr>
      <vt:lpstr>LEEDv4 Points</vt:lpstr>
      <vt:lpstr>Example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Gail Hampsmire</dc:creator>
  <cp:lastModifiedBy>Lilliestierna, Noble</cp:lastModifiedBy>
  <dcterms:created xsi:type="dcterms:W3CDTF">2016-06-22T17:14:19Z</dcterms:created>
  <dcterms:modified xsi:type="dcterms:W3CDTF">2022-01-03T23:43:53Z</dcterms:modified>
</cp:coreProperties>
</file>