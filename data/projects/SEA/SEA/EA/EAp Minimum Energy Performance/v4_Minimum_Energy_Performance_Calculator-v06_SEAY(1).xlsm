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9.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0.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1.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1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13.xml" ContentType="application/vnd.openxmlformats-officedocument.drawing+xml"/>
  <Override PartName="/xl/ctrlProps/ctrlProp78.xml" ContentType="application/vnd.ms-excel.controlproperties+xml"/>
  <Override PartName="/xl/ctrlProps/ctrlProp79.xml" ContentType="application/vnd.ms-excel.controlproperties+xml"/>
  <Override PartName="/xl/comments1.xml" ContentType="application/vnd.openxmlformats-officedocument.spreadsheetml.comments+xml"/>
  <Override PartName="/xl/drawings/drawing14.xml" ContentType="application/vnd.openxmlformats-officedocument.drawing+xml"/>
  <Override PartName="/xl/ctrlProps/ctrlProp80.xml" ContentType="application/vnd.ms-excel.controlproperties+xml"/>
  <Override PartName="/xl/ctrlProps/ctrlProp81.xml" ContentType="application/vnd.ms-excel.controlproperties+xml"/>
  <Override PartName="/xl/drawings/drawing15.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2.xml" ContentType="application/vnd.openxmlformats-officedocument.spreadsheetml.comments+xml"/>
  <Override PartName="/xl/drawings/drawing16.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01" codeName="{B6124F1A-AFFB-F854-7757-9A1D4C6FC43C}"/>
  <workbookPr codeName="ThisWorkbook" autoCompressPictures="0" defaultThemeVersion="124226"/>
  <mc:AlternateContent xmlns:mc="http://schemas.openxmlformats.org/markup-compatibility/2006">
    <mc:Choice Requires="x15">
      <x15ac:absPath xmlns:x15ac="http://schemas.microsoft.com/office/spreadsheetml/2010/11/ac" url="\\bsalifestructures.com\indy1\BSA\1583\15830011\Sustainability\_EA\p2 Minimum Energy Performance\"/>
    </mc:Choice>
  </mc:AlternateContent>
  <xr:revisionPtr revIDLastSave="0" documentId="13_ncr:1_{80D9A9BA-6860-4124-A075-EE56E029C9FD}" xr6:coauthVersionLast="47" xr6:coauthVersionMax="47" xr10:uidLastSave="{00000000-0000-0000-0000-000000000000}"/>
  <workbookProtection workbookAlgorithmName="SHA-512" workbookHashValue="srxKqZLHz0OPUqSu2k3dNZvYfhSTICarJ8pF1IKwcr6iz2TNPINGW1iTGbP0x3HXWQAIhG8S8ojfXxXrwBh81A==" workbookSaltValue="Uru0cBOAwyNUxPQM69ZHBQ==" workbookSpinCount="100000" lockStructure="1"/>
  <bookViews>
    <workbookView xWindow="-120" yWindow="-120" windowWidth="29040" windowHeight="15840" tabRatio="906" firstSheet="5" activeTab="19" xr2:uid="{00000000-000D-0000-FFFF-FFFF00000000}"/>
  </bookViews>
  <sheets>
    <sheet name="Instructions" sheetId="1" r:id="rId1"/>
    <sheet name="Definitions" sheetId="30" r:id="rId2"/>
    <sheet name="General Information" sheetId="2" r:id="rId3"/>
    <sheet name="Multiple Buildings Details" sheetId="3" state="hidden" r:id="rId4"/>
    <sheet name="Schedules" sheetId="5" r:id="rId5"/>
    <sheet name="EFLH Calculator" sheetId="29" r:id="rId6"/>
    <sheet name="Multifamily Details" sheetId="4" state="hidden" r:id="rId7"/>
    <sheet name="Opaque Assemblies" sheetId="7" r:id="rId8"/>
    <sheet name="Shading and Fenestration" sheetId="8" r:id="rId9"/>
    <sheet name="Envelope Assumptions" sheetId="9" state="hidden" r:id="rId10"/>
    <sheet name="Lighting" sheetId="10" r:id="rId11"/>
    <sheet name="Lighting Assumptions" sheetId="11" state="hidden" r:id="rId12"/>
    <sheet name="Process Loads" sheetId="12" r:id="rId13"/>
    <sheet name="Service Water Heating" sheetId="13" r:id="rId14"/>
    <sheet name="General HVAC" sheetId="14" r:id="rId15"/>
    <sheet name="Air-Side HVAC" sheetId="15" r:id="rId16"/>
    <sheet name="Water-Side HVAC" sheetId="16" r:id="rId17"/>
    <sheet name="Results from eQuest" sheetId="31" state="hidden" r:id="rId18"/>
    <sheet name="Results from Trace" sheetId="32" r:id="rId19"/>
    <sheet name="Performance_Outputs_1" sheetId="22" r:id="rId20"/>
    <sheet name="Performance_Outputs_0" sheetId="26" state="hidden" r:id="rId21"/>
    <sheet name="Performance_Outputs_Summary" sheetId="27" state="hidden" r:id="rId22"/>
    <sheet name="Summary" sheetId="18" r:id="rId23"/>
    <sheet name="DropdownData" sheetId="19" state="hidden" r:id="rId24"/>
    <sheet name="HVAC Lookup" sheetId="21" state="hidden" r:id="rId25"/>
    <sheet name="District Energy Path 3" sheetId="23" state="hidden" r:id="rId26"/>
  </sheets>
  <functionGroups builtInGroupCount="19"/>
  <externalReferences>
    <externalReference r:id="rId27"/>
  </externalReferences>
  <definedNames>
    <definedName name="AddPowAnchor">Lighting!$76:$76</definedName>
    <definedName name="AHVAC_Base_CoolingCap">'Air-Side HVAC'!$J$17:$M$17</definedName>
    <definedName name="AHVAC_Base_FanFlow">'Air-Side HVAC'!$J$25:$M$25</definedName>
    <definedName name="AHVAC_Base_FanPower">'Air-Side HVAC'!$J$36:$M$36</definedName>
    <definedName name="AHVAC_Base_HeatingCap">'Air-Side HVAC'!$J$21:$M$21</definedName>
    <definedName name="AHVAC_Base_ID">'Air-Side HVAC'!$J$10:$M$10</definedName>
    <definedName name="AHVAC_Base_OAFlow">'Air-Side HVAC'!$J$26:$M$26</definedName>
    <definedName name="AHVAC_BaseSystemList">'Air-Side HVAC'!$AD$12,'Air-Side HVAC'!$K$12</definedName>
    <definedName name="AHVAC_Design_CoolingCap">'Air-Side HVAC'!$M$17:$P$17</definedName>
    <definedName name="AHVAC_Design_FanFlow">'Air-Side HVAC'!$M$25:$P$25</definedName>
    <definedName name="AHVAC_Design_FanPower">'Air-Side HVAC'!$M$35:$P$35</definedName>
    <definedName name="AHVAC_Design_HeatingCap">'Air-Side HVAC'!$M$21:$P$21</definedName>
    <definedName name="AHVAC_Design_ID">'Air-Side HVAC'!$M$10:$P$10</definedName>
    <definedName name="AHVAC_Design_OAFlow">'Air-Side HVAC'!$M$26:$P$26</definedName>
    <definedName name="AreaUnits">DropdownData!$Q$2:$Q$3</definedName>
    <definedName name="AshraeClimate">DropdownData!$AX$2:$AX$19</definedName>
    <definedName name="AshraeCZ" localSheetId="23">DropdownData!$AX$2:$AX$19</definedName>
    <definedName name="Avg_Bedroom_Area">'Multifamily Details'!$U$17</definedName>
    <definedName name="Avg_Bedrooms">'Multifamily Details'!$U$16</definedName>
    <definedName name="BAequipTable">'Process Loads'!$18:$33</definedName>
    <definedName name="BAManchor">Lighting!$33:$33</definedName>
    <definedName name="BAMCategories">'Lighting Assumptions'!$A$3:$A$35</definedName>
    <definedName name="BaselineAnchor">'Air-Side HVAC'!$M:$M</definedName>
    <definedName name="BaselineHVACModeled">'General HVAC'!$D$29:$D$32</definedName>
    <definedName name="BaselineHVACSystems">OFFSET('HVAC Lookup'!$H$10,0,0,COUNTIF('HVAC Lookup'!$H$10:$H$19,"&gt;*"),1)</definedName>
    <definedName name="BaselineOrientationExemptions">DropdownData!$CS$2:$CS$5</definedName>
    <definedName name="BaselineSecondarySystems">OFFSET('HVAC Lookup'!$I$10,0,0,COUNTIF('HVAC Lookup'!$I$10:$I$29,"&gt;*"),1)</definedName>
    <definedName name="Building_ID_Entry" localSheetId="15">'Air-Side HVAC'!$J$10:$P$10</definedName>
    <definedName name="Building_ID_Entry" localSheetId="14">'General HVAC'!$B$20:$B$22,'General HVAC'!$B$29:$B$32</definedName>
    <definedName name="Building_ID_Entry" localSheetId="10">Lighting!$B$58:$B$62,Lighting!$B$76:$B$81,Lighting!$B$104:$B$106,Lighting!$B$33:$B$35</definedName>
    <definedName name="Building_ID_Entry" localSheetId="6">'Multifamily Details'!$B$34:$B$35,'Multifamily Details'!$B$59:$B$62</definedName>
    <definedName name="Building_ID_Entry" localSheetId="7">'Opaque Assemblies'!$B$34:$B$36,'Opaque Assemblies'!$B$44:$B$46,'Opaque Assemblies'!$B$54:$B$56,'Opaque Assemblies'!$B$64:$B$66,'Opaque Assemblies'!$B$74:$B$76,'Opaque Assemblies'!$B$84:$B$86</definedName>
    <definedName name="Building_ID_Entry" localSheetId="12">'Process Loads'!$B$23:$B$28,'Process Loads'!$B$40:$B$46,'Process Loads'!$B$67:$B$70,'Process Loads'!$B$78:$B$79</definedName>
    <definedName name="Building_ID_Entry" localSheetId="13">'Service Water Heating'!$B$36:$B$39</definedName>
    <definedName name="Building_ID_Entry" localSheetId="8">'Shading and Fenestration'!$B$45:$B$47,'Shading and Fenestration'!$B$55:$B$57</definedName>
    <definedName name="Building_ID_Entry" localSheetId="16">'Water-Side HVAC'!$I$10:$K$10</definedName>
    <definedName name="BuildingIDLookup">OFFSET(DropdownData!$DR$3:$DR$42,0,0,DropdownData!$DR$2,1)</definedName>
    <definedName name="BuildingIDLookupAlt">OFFSET(DropdownData!$DR$3:$DR$42,0,0,DropdownData!$DR$2-1,1)</definedName>
    <definedName name="BuildingNames">DropdownData!$CM$2:$CM$4</definedName>
    <definedName name="BuildingNames2">DropdownData!$CM$3:$CM$4</definedName>
    <definedName name="BuildingOrientationExemptionRange">'Shading and Fenestration'!$32:$35</definedName>
    <definedName name="BuildingRotationModeled">'Shading and Fenestration'!$L$9</definedName>
    <definedName name="BvPUnregCheck" localSheetId="20">Performance_Outputs_0!$Y$171:$Y$218</definedName>
    <definedName name="BvPUnregCheck" localSheetId="21">Performance_Outputs_Summary!$Y$20:$Y$67</definedName>
    <definedName name="BvPUnregCheck">Performance_Outputs_1!$Y$171:$Y$218</definedName>
    <definedName name="CaliforniaClimate">DropdownData!$AY$2:$AY$17</definedName>
    <definedName name="CampusEndUses">DropdownData!$BE$31:$BE$38</definedName>
    <definedName name="CAZones">DropdownData!$AY$2:$AY$17</definedName>
    <definedName name="ClimateZone">DropdownData!$BB$2:$BB$19</definedName>
    <definedName name="CodeUsed">'General Information'!$C$44:$F$44</definedName>
    <definedName name="ConsumptionUnits">DropdownData!$E$2:$E$8</definedName>
    <definedName name="Datacenter_Avg">'General Information'!$K$66</definedName>
    <definedName name="DD_GH_BaseSysList">DropdownData!$DO$2:$DO$4</definedName>
    <definedName name="DemandTable">DropdownData!$K$2:$M$9</definedName>
    <definedName name="DemandUnits">DropdownData!$K$2:$K$9</definedName>
    <definedName name="DESBaseCHWTable">'District Energy Path 3'!$B$60:$Q$65</definedName>
    <definedName name="DESBaseHHWTable">'District Energy Path 3'!$B$116:$I$118</definedName>
    <definedName name="DESInputsInGeneralInformation">'General Information'!$D$60:$F$62</definedName>
    <definedName name="DESPath">DropdownData!$C$90</definedName>
    <definedName name="DESPath3_Cooling_COP">'District Energy Path 3'!$C$73</definedName>
    <definedName name="DESPath3_Heating_eCOP">'District Energy Path 3'!$F$126</definedName>
    <definedName name="DESPath3_Heating_fCOP">'District Energy Path 3'!$C$126</definedName>
    <definedName name="DistrictCooling">DropdownData!$C$98</definedName>
    <definedName name="DistrictHeating">DropdownData!$C$96</definedName>
    <definedName name="EFLH_Fraction_Abbreviated" localSheetId="5">'EFLH Calculator'!$B$50:$AB$58</definedName>
    <definedName name="EFLH_Fraction_Detailed" localSheetId="5">'EFLH Calculator'!$B$70:$AB$83</definedName>
    <definedName name="EFLH_On_Off_Abbreviated" localSheetId="5">'EFLH Calculator'!$B$20:$AB$28</definedName>
    <definedName name="EFLH_ON_OFF_Detailed" localSheetId="5">'EFLH Calculator'!$B$31:$AB$44</definedName>
    <definedName name="EndUses">DropdownData!$BE$2:$BE$22</definedName>
    <definedName name="EnergyCode">DropdownData!$AT$2:$AT$4</definedName>
    <definedName name="EnergyModelPhase">'General Information'!$C$37</definedName>
    <definedName name="EnergyModelPhaseOther">'General Information'!$38:$40</definedName>
    <definedName name="EnergySources">DropdownData!$B$101:$B$107</definedName>
    <definedName name="EnergyUnitsTable">DropdownData!$E$2:$G$8</definedName>
    <definedName name="EnvelopeCopyRange" localSheetId="23">DropdownData!$203:$218</definedName>
    <definedName name="EquipAnchor">'Process Loads'!$40:$40</definedName>
    <definedName name="EquipBAanchor">'Process Loads'!$23:$23</definedName>
    <definedName name="Fanslookup">'HVAC Lookup'!$A$10:$O$29</definedName>
    <definedName name="FinishedAnchor">'Air-Side HVAC'!$J:$J</definedName>
    <definedName name="FormulaProposed1" localSheetId="20">Performance_Outputs_0!$AE$171:$AH$218</definedName>
    <definedName name="FormulaProposed1" localSheetId="19">Performance_Outputs_1!$AE$171:$AH$218</definedName>
    <definedName name="FormulaProposed1" localSheetId="21">Performance_Outputs_Summary!$AE$20:$AH$67</definedName>
    <definedName name="FuelTable">DropdownData!$B$2:$C$14</definedName>
    <definedName name="FuelTypes">DropdownData!$B$2:$B$14</definedName>
    <definedName name="FuelTypesTable">DropdownData!$B$2:$C$14</definedName>
    <definedName name="GenHVACformatref">'General HVAC'!$J$29:$J$32</definedName>
    <definedName name="GHVAC_BaseSystemList">'General HVAC'!$D$28:$D$32</definedName>
    <definedName name="GHVAC_BHVACST_Index">'General HVAC'!$B$27:$B$32</definedName>
    <definedName name="GHVAC_BSysType_Hdr">'General HVAC'!$B$28:$G$28</definedName>
    <definedName name="GHVAC_BSysType_Index">'General HVAC'!$B$28:$B$32</definedName>
    <definedName name="GHVAC_BSysType_Table">'General HVAC'!$B$28:$G$32</definedName>
    <definedName name="GHVAC_PHVACST_Index">'General HVAC'!$B$19:$B$22</definedName>
    <definedName name="GI_BldgArea">'General Information'!$F$27</definedName>
    <definedName name="GI_DES_ModelingMethod">'General Information'!$D$60</definedName>
    <definedName name="GI_DES_Path1Boolean">'General Information'!$I$60</definedName>
    <definedName name="GI_DESPath">'General Information'!$D$61</definedName>
    <definedName name="GI_Project_Name">'General Information'!$E$8</definedName>
    <definedName name="GI_Project_Number">'General Information'!$E$6</definedName>
    <definedName name="GI_RSV_DataCenterMethod">'General Information'!$E$66</definedName>
    <definedName name="Homes_DwellingEqpList">DropdownData!$CU$2:$CU$11</definedName>
    <definedName name="Homes_DwellingEqpLookup">DropdownData!$CU$2:$DH$11</definedName>
    <definedName name="Homes_DwellingNonResEPDList">DropdownData!$DJ$2:$DJ$7</definedName>
    <definedName name="Homes_DwellingNonResEPDLookup">DropdownData!$DJ$2:$DL$7</definedName>
    <definedName name="Homes_GeneralInformation" hidden="1">'General Information'!$30:$31</definedName>
    <definedName name="Homes_LaundryEqpList">DropdownData!$CU$17:$CU$19</definedName>
    <definedName name="Homes_LaundryEqpLookup">DropdownData!$CU$17:$DH$19</definedName>
    <definedName name="Homes_Point_Adjustment">'Multifamily Details'!$U$19</definedName>
    <definedName name="HomesEqpCalc">'Process Loads'!$A$53:$H$59</definedName>
    <definedName name="HomesInGeneralInformation">'General Information'!$30:$31</definedName>
    <definedName name="L_BAM_Area_Total">Lighting!$D$36</definedName>
    <definedName name="L_BAM_ButtonRow">Lighting!$38:$38</definedName>
    <definedName name="L_BAM_SumHdr">Lighting!$B$42:$Q$42</definedName>
    <definedName name="L_BAM_SumIndex">Lighting!$B$42:$B$43</definedName>
    <definedName name="L_BAM_SumTable">Lighting!$B$42:$O$43</definedName>
    <definedName name="L_BAMInput_Index">Lighting!$B$31:$B$35</definedName>
    <definedName name="L_ELR_Response">Lighting!$P$111</definedName>
    <definedName name="L_ExtSum_Hdr">Lighting!$B$147:$Q$147</definedName>
    <definedName name="L_ExtSum_Index">Lighting!$B$147:$I$148</definedName>
    <definedName name="L_ExtSum_Table">Lighting!$B$147:$Q$148</definedName>
    <definedName name="L_IL_SumHdr">Lighting!$B$97:$Q$97</definedName>
    <definedName name="L_IL_SumIndex">Lighting!$B$97:$B$98</definedName>
    <definedName name="L_IL_SumTable">Lighting!$B$97:$P$98</definedName>
    <definedName name="L_IPL_Index">Lighting!$B$103:$B$106</definedName>
    <definedName name="L_LPDmethod">Lighting!$Z$24</definedName>
    <definedName name="L_LtgZone_Hdr">Lighting!$B$115:$Q$115</definedName>
    <definedName name="L_LtgZone_Index">Lighting!$B$115:$B$116</definedName>
    <definedName name="L_LtgZone_Table">Lighting!$B$115:$Q$116</definedName>
    <definedName name="L_NTSurface_Hdr">Lighting!$B$136:$Q$136</definedName>
    <definedName name="L_NTSurface_Index">Lighting!$B$136:$B$143</definedName>
    <definedName name="L_NTSurface_Table">Lighting!$B$136:$Q$143</definedName>
    <definedName name="L_SxS_Area_Total">Lighting!$D$63</definedName>
    <definedName name="L_SxS_SumHdr">Lighting!$B$68:$Q$68</definedName>
    <definedName name="L_SxS_SumIndex">Lighting!$B$68:$B$69</definedName>
    <definedName name="L_SxS_SumTable">Lighting!$B$68:$O$69</definedName>
    <definedName name="L_SxSALP_ButtonRow">Lighting!$87:$87</definedName>
    <definedName name="L_SxSALP_SumHdr">Lighting!$B$89:$Q$89</definedName>
    <definedName name="L_SXSALP_SumIndex">Lighting!$B$89:$B$90</definedName>
    <definedName name="L_SxSALP_SumTable">Lighting!$B$89:$L$90</definedName>
    <definedName name="L_SxSALPInput_Hdr">Lighting!$B$75:$Q$75</definedName>
    <definedName name="L_SxSALPInput_Index">Lighting!$B$75:$B$81</definedName>
    <definedName name="L_SxSInput_Index">Lighting!$B$56:$B$62</definedName>
    <definedName name="L_SxSM_ButtonRow">Lighting!$65:$65</definedName>
    <definedName name="LastBaseline">'Air-Side HVAC'!$K:$K</definedName>
    <definedName name="LastProposed">'Air-Side HVAC'!$N:$N</definedName>
    <definedName name="Lighting_Residential_Hdr">Lighting!$B$31:$Q$31</definedName>
    <definedName name="Lighting_Residential_Index">Lighting!$B$31:$B$32</definedName>
    <definedName name="Lighting_Residential_Table">Lighting!$B$31:$L$32</definedName>
    <definedName name="Lighting_SxS_Residential_Hdr">Lighting!$B$56:$P$56</definedName>
    <definedName name="Lighting_SxS_Residential_Index">Lighting!$B$56:$B$57</definedName>
    <definedName name="Lighting_SxS_Residential_Table">Lighting!$B$56:$P$57</definedName>
    <definedName name="MBD_BS_Hdr">'Multiple Buildings Details'!$B$22:$K$22</definedName>
    <definedName name="MBD_BS_Index">'Multiple Buildings Details'!$B$22:$B$24</definedName>
    <definedName name="MBD_BS_Table">'Multiple Buildings Details'!$B$22:$K$24</definedName>
    <definedName name="MBD_BSTotal_Index">'Multiple Buildings Details'!$B$22:$B$25</definedName>
    <definedName name="MBD_EMI_Hdr">'Multiple Buildings Details'!$B$16:$K$16</definedName>
    <definedName name="MBD_EMI_Index">'Multiple Buildings Details'!$B$16:$B$17</definedName>
    <definedName name="MBD_EMI_Table">'Multiple Buildings Details'!$B$16:$K$17</definedName>
    <definedName name="MBD_EMSubsetRange" localSheetId="3">'Multiple Buildings Details'!$D$23:$K$23</definedName>
    <definedName name="MBD_LEEDNDEMSubsetExist">'Multiple Buildings Details'!$O$12</definedName>
    <definedName name="MBD_rbModelMethod">'Multiple Buildings Details'!$O$6</definedName>
    <definedName name="MD_BUS_Hdr">'Multifamily Details'!$B$11:$U$11</definedName>
    <definedName name="MD_BUS_Index">'Multifamily Details'!$B$11:$B$12</definedName>
    <definedName name="MD_BUS_SumHdr">'Multifamily Details'!$B$21:$U$21</definedName>
    <definedName name="MD_BUS_SumIndex">'Multifamily Details'!$B$21:$B$22</definedName>
    <definedName name="MD_BUS_SumTable">'Multifamily Details'!$B$21:$U$22</definedName>
    <definedName name="MD_BUS_Table">'Multifamily Details'!$B$11:$U$12</definedName>
    <definedName name="MD_HDUEC_Hdr">'Multifamily Details'!$B$31:$U$31</definedName>
    <definedName name="MD_HDUEC_Index">'Multifamily Details'!$B$31:$B$35</definedName>
    <definedName name="MD_HDUEC_Table">'Multifamily Details'!$B$31:$U$35</definedName>
    <definedName name="MD_HDUEMS_Table">'Multifamily Details'!$B$47:$U$48</definedName>
    <definedName name="MD_HLREMS_Index">'Multifamily Details'!$B$74:$B$75</definedName>
    <definedName name="MD_HLREMS_Table">'Multifamily Details'!$B$74:$U$75</definedName>
    <definedName name="MD_HSWHLS_Table">'Multifamily Details'!$B$90:$U$91</definedName>
    <definedName name="MD_Laundry_Hdr">'Multifamily Details'!$B$58:$U$58</definedName>
    <definedName name="MD_Laundry_Index">'Multifamily Details'!$B$58:$B$62</definedName>
    <definedName name="MD_Laundry_Table">'Multifamily Details'!$B$58:$U$62</definedName>
    <definedName name="MD_SWH_Profile" localSheetId="6">'Multifamily Details'!$B$81:$B$83</definedName>
    <definedName name="ModelingMethod">DropdownData!$BH$2:$BH$3</definedName>
    <definedName name="Motor_Horsepower">'HVAC Lookup'!$Q$10:$T$29</definedName>
    <definedName name="Motor_Horsepower_Nominal_Efficiency_IP">'HVAC Lookup'!$Q$10:$U$29</definedName>
    <definedName name="Motor_Horsepower_Nominal_Efficiency_SI">'HVAC Lookup'!$R$10:$U$29</definedName>
    <definedName name="MultipleBuildingsExist">'General Information'!$F$20</definedName>
    <definedName name="Natural_Gas">DropdownData!$B$3:$B$11</definedName>
    <definedName name="NewExisting">OFFSET('[1]Envelope Lookup'!$BS$2,0,0,COUNTIF('[1]Envelope Lookup'!$BS$2:$BS$3,"&gt;*"),1)</definedName>
    <definedName name="OA_AGEWC_hdr">'Opaque Assemblies'!$B$43:$R$43</definedName>
    <definedName name="OA_AGEWC_Index">'Opaque Assemblies'!$B$43:$B$46</definedName>
    <definedName name="OA_AGEWC_table">'Opaque Assemblies'!$B$44:$R$47</definedName>
    <definedName name="OA_BGEWC_hdr">'Opaque Assemblies'!$B$53:$R$53</definedName>
    <definedName name="OA_BGEWC_Index">'Opaque Assemblies'!$B$53:$B$56</definedName>
    <definedName name="OA_BGEWC_table">'Opaque Assemblies'!$B$54:$R$57</definedName>
    <definedName name="OA_EFC_hdr">'Opaque Assemblies'!$B$63:$R$63</definedName>
    <definedName name="OA_EFC_Index">'Opaque Assemblies'!$B$63:$B$66</definedName>
    <definedName name="OA_EFC_table">'Opaque Assemblies'!$B$64:$R$67</definedName>
    <definedName name="OA_OBEC_hdr">'Opaque Assemblies'!$B$33:$R$33</definedName>
    <definedName name="OA_OBEC_Index">'Opaque Assemblies'!$B$33:$B$36</definedName>
    <definedName name="OA_OBEC_table">'Opaque Assemblies'!$B$34:$R$37</definedName>
    <definedName name="OA_OD_hdr">'Opaque Assemblies'!$B$83:$R$83</definedName>
    <definedName name="OA_OD_Index">'Opaque Assemblies'!$B$83:$B$86</definedName>
    <definedName name="OA_OD_table">'Opaque Assemblies'!$B$84:$R$87</definedName>
    <definedName name="OA_SOGF_hdr">'Opaque Assemblies'!$B$73:$R$73</definedName>
    <definedName name="OA_SOGF_Index">'Opaque Assemblies'!$B$73:$B$76</definedName>
    <definedName name="OA_SOGF_table">'Opaque Assemblies'!$B$74:$R$77</definedName>
    <definedName name="OutputSheetNames">DropdownData!$CL$3:$CL$4</definedName>
    <definedName name="pctNew">'General Information'!$F$14</definedName>
    <definedName name="PctRenovation">'General Information'!$F$16</definedName>
    <definedName name="PL_BAEPD_Hdr">'Process Loads'!$B$20:$I$20</definedName>
    <definedName name="PL_BAEPD_Index">'Process Loads'!$B$20:$B$22</definedName>
    <definedName name="PL_BAEPD_Table">'Process Loads'!$B$20:$I$22</definedName>
    <definedName name="PL_BAEPDInput_Index">'Process Loads'!$B$21:$B$28</definedName>
    <definedName name="PL_EPD_SumHdr">'Process Loads'!$B$61:$I$61</definedName>
    <definedName name="PL_EPD_SumIndex">'Process Loads'!$B$61:$B$62</definedName>
    <definedName name="PL_EPD_SumTable">'Process Loads'!$B$61:$I$62</definedName>
    <definedName name="PL_GFPC_Index">'Process Loads'!$B$77:$B$79</definedName>
    <definedName name="PL_GFPC_Table">'Process Loads'!$B$77:$I$79</definedName>
    <definedName name="PL_NRPEInput_Index">'Process Loads'!$B$66:$B$70</definedName>
    <definedName name="PL_REMM_BAMBoolean">'Process Loads'!$M$16</definedName>
    <definedName name="PL_REMM_Description">'Process Loads'!$B$16</definedName>
    <definedName name="PL_REMM_SxSBoolean">'Process Loads'!$N$16</definedName>
    <definedName name="PL_SxSEPD_Hdr">'Process Loads'!$B$37:$I$37</definedName>
    <definedName name="PL_SxSEPD_Index">'Process Loads'!$B$37:$B$39</definedName>
    <definedName name="PL_SxSEPD_Table">'Process Loads'!$B$37:$I$39</definedName>
    <definedName name="PL_SxSEPDInput_Index">'Process Loads'!$B$38:$B$46</definedName>
    <definedName name="PO_base_Add_EndUses" localSheetId="20">Performance_Outputs_0!$B$133:$C$144</definedName>
    <definedName name="PO_base_Add_EndUses" localSheetId="19">Performance_Outputs_1!$B$133:$C$144</definedName>
    <definedName name="PO_baseline_hdr" localSheetId="20">Performance_Outputs_0!$B$96:$S$96</definedName>
    <definedName name="PO_baseline_hdr" localSheetId="19">Performance_Outputs_1!$B$96:$S$96</definedName>
    <definedName name="PO_baseline_index" localSheetId="20">Performance_Outputs_0!$B$97:$B$144</definedName>
    <definedName name="PO_baseline_index" localSheetId="19">Performance_Outputs_1!$B$97:$B$144</definedName>
    <definedName name="PO_Baseline_Subtotal_table" localSheetId="20">Performance_Outputs_0!$E$224:$G$227</definedName>
    <definedName name="PO_Baseline_Subtotal_table" localSheetId="19">Performance_Outputs_1!$E$224:$G$227</definedName>
    <definedName name="PO_Baseline_Subtotal_table" localSheetId="21">Performance_Outputs_Summary!$E$73:$G$76</definedName>
    <definedName name="PO_baseline_table" localSheetId="20">Performance_Outputs_0!$B$97:$S$144</definedName>
    <definedName name="PO_baseline_table">Performance_Outputs_1!$B$97:$S$144</definedName>
    <definedName name="PO_BaselineSection" localSheetId="20">Performance_Outputs_0!$87:$161</definedName>
    <definedName name="PO_BaselineSection" localSheetId="19">Performance_Outputs_1!$87:$161</definedName>
    <definedName name="PO_Datacenter_averaged_tables" localSheetId="20">Performance_Outputs_0!$268:$296</definedName>
    <definedName name="PO_Datacenter_averaged_tables" localSheetId="19">Performance_Outputs_1!$268:$296</definedName>
    <definedName name="PO_Datacenter_averaged_tables" localSheetId="21">Performance_Outputs_Summary!$94:$103</definedName>
    <definedName name="PO_Datacenter_PUE_table" localSheetId="20">Performance_Outputs_0!$308:$319</definedName>
    <definedName name="PO_Datacenter_PUE_table" localSheetId="19">Performance_Outputs_1!$308:$319</definedName>
    <definedName name="PO_Datacenter_text1" localSheetId="20">Performance_Outputs_0!$49:$49</definedName>
    <definedName name="PO_Datacenter_text1" localSheetId="19">Performance_Outputs_1!$49:$49</definedName>
    <definedName name="PO_Datacenter_text2" localSheetId="20">Performance_Outputs_0!$92:$92</definedName>
    <definedName name="PO_Datacenter_text2" localSheetId="19">Performance_Outputs_1!$92:$92</definedName>
    <definedName name="PO_Datacenter_text3" localSheetId="20">Performance_Outputs_0!$166:$166</definedName>
    <definedName name="PO_Datacenter_text3" localSheetId="19">Performance_Outputs_1!$166:$166</definedName>
    <definedName name="PO_DES_PRM_Section" localSheetId="20">Performance_Outputs_0!$246:$267</definedName>
    <definedName name="PO_DES_PRM_Section" localSheetId="19">Performance_Outputs_1!$246:$267</definedName>
    <definedName name="PO_DESbase_Enrgy_Hdr" localSheetId="20">Performance_Outputs_0!$B$250:$R$250</definedName>
    <definedName name="PO_DESbase_Enrgy_Hdr" localSheetId="19">Performance_Outputs_1!$B$250:$R$250</definedName>
    <definedName name="PO_DESbase_Enrgy_Index" localSheetId="20">Performance_Outputs_0!$B$250:$B$253</definedName>
    <definedName name="PO_DESbase_Enrgy_Index" localSheetId="19">Performance_Outputs_1!$B$250:$B$253</definedName>
    <definedName name="PO_DESbase_Enrgy_Table" localSheetId="20">Performance_Outputs_0!$B$252:$R$253</definedName>
    <definedName name="PO_DESbase_Enrgy_Table" localSheetId="19">Performance_Outputs_1!$B$252:$R$253</definedName>
    <definedName name="PO_DESdesign_Enrgy_Hdr" localSheetId="20">Performance_Outputs_0!$B$254:$M$254</definedName>
    <definedName name="PO_DESdesign_Enrgy_Hdr" localSheetId="19">Performance_Outputs_1!$B$254:$M$254</definedName>
    <definedName name="PO_DESdesign_Enrgy_Index" localSheetId="20">Performance_Outputs_0!$B$254:$B$257</definedName>
    <definedName name="PO_DESdesign_Enrgy_Index" localSheetId="19">Performance_Outputs_1!$B$254:$B$257</definedName>
    <definedName name="PO_DESdesign_Enrgy_Table" localSheetId="20">Performance_Outputs_0!$B$256:$R$257</definedName>
    <definedName name="PO_DESdesign_Enrgy_Table" localSheetId="19">Performance_Outputs_1!$B$256:$R$257</definedName>
    <definedName name="PO_design_Add_EndUses" localSheetId="20">Performance_Outputs_0!$B$207:$B$218</definedName>
    <definedName name="PO_design_Add_EndUses" localSheetId="19">Performance_Outputs_1!$B$207:$B$218</definedName>
    <definedName name="PO_design_Add_EndUses" localSheetId="21">Performance_Outputs_Summary!$B$56:$B$67</definedName>
    <definedName name="PO_design_hdr" localSheetId="20">Performance_Outputs_0!$B$170:$T$170</definedName>
    <definedName name="PO_design_hdr" localSheetId="19">Performance_Outputs_1!$B$170:$T$170</definedName>
    <definedName name="PO_design_hdr" localSheetId="21">Performance_Outputs_Summary!$B$19:$R$19</definedName>
    <definedName name="PO_design_index" localSheetId="20">Performance_Outputs_0!$B$170:$B$218</definedName>
    <definedName name="PO_design_index" localSheetId="19">Performance_Outputs_1!$B$170:$B$218</definedName>
    <definedName name="PO_design_index" localSheetId="21">Performance_Outputs_Summary!$B$19:$B$67</definedName>
    <definedName name="PO_design_table" localSheetId="20">Performance_Outputs_0!$B$171:$T$218</definedName>
    <definedName name="PO_design_table" localSheetId="19">Performance_Outputs_1!$B$171:$T$218</definedName>
    <definedName name="PO_design_table" localSheetId="21">Performance_Outputs_Summary!$B$20:$R$67</definedName>
    <definedName name="PO_DesignOutputs_Section" localSheetId="21">Performance_Outputs_Summary!$16:$67</definedName>
    <definedName name="PO_DESPath1_text1" localSheetId="20">Performance_Outputs_0!$10:$10</definedName>
    <definedName name="PO_DESPath1_text1" localSheetId="19">Performance_Outputs_1!$10:$10</definedName>
    <definedName name="PO_DESPath1_text2" localSheetId="20">Performance_Outputs_0!$89:$89</definedName>
    <definedName name="PO_DESPath1_text2" localSheetId="19">Performance_Outputs_1!$89:$89</definedName>
    <definedName name="PO_DESPath1_text3" localSheetId="20">Performance_Outputs_0!$163:$163</definedName>
    <definedName name="PO_DESPath1_text3" localSheetId="19">Performance_Outputs_1!$163:$163</definedName>
    <definedName name="PO_DESPath2_text1" localSheetId="20">Performance_Outputs_0!$11:$11</definedName>
    <definedName name="PO_DESPath2_text1" localSheetId="19">Performance_Outputs_1!$11:$11</definedName>
    <definedName name="PO_DESPath2_text2" localSheetId="20">Performance_Outputs_0!$90:$90</definedName>
    <definedName name="PO_DESPath2_text2" localSheetId="19">Performance_Outputs_1!$90:$90</definedName>
    <definedName name="PO_DESpath2_text3" localSheetId="20">Performance_Outputs_0!$164:$164</definedName>
    <definedName name="PO_DESpath2_text3" localSheetId="19">Performance_Outputs_1!$164:$164</definedName>
    <definedName name="PO_DESPath3_tables" localSheetId="20">Performance_Outputs_0!$246:$267</definedName>
    <definedName name="PO_DESPath3_tables" localSheetId="19">Performance_Outputs_1!$246:$267</definedName>
    <definedName name="PO_DESPath3_text1" localSheetId="20">Performance_Outputs_0!$12:$12</definedName>
    <definedName name="PO_DESPath3_text1" localSheetId="19">Performance_Outputs_1!$12:$12</definedName>
    <definedName name="PO_DESPath3_text2" localSheetId="20">Performance_Outputs_0!$91:$91</definedName>
    <definedName name="PO_DESPath3_text2" localSheetId="19">Performance_Outputs_1!$91:$91</definedName>
    <definedName name="PO_DESPath3_text3" localSheetId="20">Performance_Outputs_0!$165:$165</definedName>
    <definedName name="PO_DESPath3_text3" localSheetId="19">Performance_Outputs_1!$165:$165</definedName>
    <definedName name="PO_DESPath3outputs" localSheetId="21">Performance_Outputs_Summary!$95:$102</definedName>
    <definedName name="PO_EnergyEndUses" localSheetId="20">Performance_Outputs_0!$B$207:$C$218</definedName>
    <definedName name="PO_EnergyEndUses" localSheetId="19">Performance_Outputs_1!$B$207:$C$218</definedName>
    <definedName name="PO_EnergyEndUses" localSheetId="21">Performance_Outputs_Summary!$B$56:$C$67</definedName>
    <definedName name="PO_EnergyReportingMethod" localSheetId="20">Performance_Outputs_0!$R$77</definedName>
    <definedName name="PO_EnergyReportingMethod" localSheetId="19">Performance_Outputs_1!$R$77</definedName>
    <definedName name="PO_EnergySources_Section" localSheetId="21">Performance_Outputs_Summary!$5:$15</definedName>
    <definedName name="PO_EnergyType" localSheetId="20">Performance_Outputs_0!$B$17:$C$18</definedName>
    <definedName name="PO_EnergyType" localSheetId="19">Performance_Outputs_1!$B$17:$C$18</definedName>
    <definedName name="PO_EnergyType" localSheetId="21">Performance_Outputs_Summary!$B$10:$C$11</definedName>
    <definedName name="PO_Enrgy_1_Hdr" localSheetId="20">Performance_Outputs_0!$B$16:$R$16</definedName>
    <definedName name="PO_Enrgy_1_Hdr" localSheetId="19">Performance_Outputs_1!$B$16:$R$16</definedName>
    <definedName name="PO_Enrgy_1_Hdr" localSheetId="21">Performance_Outputs_Summary!$B$9:$R$9</definedName>
    <definedName name="PO_Enrgy_1_Index" localSheetId="20">Performance_Outputs_0!$B$16:$B$19</definedName>
    <definedName name="PO_Enrgy_1_Index" localSheetId="19">Performance_Outputs_1!$B$16:$B$19</definedName>
    <definedName name="PO_Enrgy_1_Index" localSheetId="21">Performance_Outputs_Summary!$B$9:$B$12</definedName>
    <definedName name="PO_Enrgy_1_Table" localSheetId="20">Performance_Outputs_0!$B$17:$R$19</definedName>
    <definedName name="PO_Enrgy_1_Table" localSheetId="19">Performance_Outputs_1!$B$17:$R$19</definedName>
    <definedName name="PO_Enrgy_1_Table" localSheetId="21">Performance_Outputs_Summary!$B$10:$R$12</definedName>
    <definedName name="PO_Enrgy_10_Hdr" localSheetId="20">Performance_Outputs_0!$B$262:$R$262</definedName>
    <definedName name="PO_Enrgy_10_Hdr" localSheetId="19">Performance_Outputs_1!$B$262:$R$262</definedName>
    <definedName name="PO_Enrgy_10_Index" localSheetId="20">Performance_Outputs_0!$B$262:$R$265</definedName>
    <definedName name="PO_Enrgy_10_Index" localSheetId="19">Performance_Outputs_1!$B$262:$R$265</definedName>
    <definedName name="PO_Enrgy_10_Table" localSheetId="20">Performance_Outputs_0!$B$263:$R$265</definedName>
    <definedName name="PO_Enrgy_10_Table" localSheetId="19">Performance_Outputs_1!$B$263:$R$265</definedName>
    <definedName name="PO_Enrgy_11_Hdr" localSheetId="20">Performance_Outputs_0!$B$273:$R$273</definedName>
    <definedName name="PO_Enrgy_11_Hdr" localSheetId="19">Performance_Outputs_1!$B$273:$R$273</definedName>
    <definedName name="PO_Enrgy_11_Index" localSheetId="20">Performance_Outputs_0!$B$273:$B$276</definedName>
    <definedName name="PO_Enrgy_11_Index" localSheetId="19">Performance_Outputs_1!$B$273:$B$276</definedName>
    <definedName name="PO_Enrgy_11_Table" localSheetId="20">Performance_Outputs_0!$B$274:$R$276</definedName>
    <definedName name="PO_Enrgy_11_Table" localSheetId="19">Performance_Outputs_1!$B$274:$R$276</definedName>
    <definedName name="PO_Enrgy_12_Hdr" localSheetId="20">Performance_Outputs_0!$B$282:$R$282</definedName>
    <definedName name="PO_Enrgy_12_Hdr" localSheetId="19">Performance_Outputs_1!$B$282:$R$282</definedName>
    <definedName name="PO_Enrgy_12_Index" localSheetId="20">Performance_Outputs_0!$B$282:$B$285</definedName>
    <definedName name="PO_Enrgy_12_Index" localSheetId="19">Performance_Outputs_1!$B$282:$B$285</definedName>
    <definedName name="PO_Enrgy_12_Table" localSheetId="20">Performance_Outputs_0!$B$283:$R$285</definedName>
    <definedName name="PO_Enrgy_12_Table" localSheetId="19">Performance_Outputs_1!$B$283:$R$285</definedName>
    <definedName name="PO_Enrgy_13_Hdr" localSheetId="20">Performance_Outputs_0!$B$291:$R$291</definedName>
    <definedName name="PO_Enrgy_13_Hdr" localSheetId="19">Performance_Outputs_1!$B$291:$R$291</definedName>
    <definedName name="PO_Enrgy_13_Hdr" localSheetId="21">Performance_Outputs_Summary!$B$98:$R$98</definedName>
    <definedName name="PO_Enrgy_13_Index" localSheetId="20">Performance_Outputs_0!$B$291:$B$294</definedName>
    <definedName name="PO_Enrgy_13_Index" localSheetId="19">Performance_Outputs_1!$B$291:$B$294</definedName>
    <definedName name="PO_Enrgy_13_Index" localSheetId="21">Performance_Outputs_Summary!$B$98:$B$101</definedName>
    <definedName name="PO_Enrgy_13_Table" localSheetId="20">Performance_Outputs_0!$B$292:$R$294</definedName>
    <definedName name="PO_Enrgy_13_Table" localSheetId="19">Performance_Outputs_1!$B$292:$R$294</definedName>
    <definedName name="PO_Enrgy_13_Table" localSheetId="21">Performance_Outputs_Summary!$B$99:$R$101</definedName>
    <definedName name="PO_Enrgy_14_Hdr" localSheetId="20">Performance_Outputs_0!$B$302:$R$302</definedName>
    <definedName name="PO_Enrgy_14_Hdr" localSheetId="19">Performance_Outputs_1!$B$302:$S$302</definedName>
    <definedName name="PO_Enrgy_14_Hdr" localSheetId="21">Performance_Outputs_Summary!$B$109:$R$109</definedName>
    <definedName name="PO_Enrgy_14_Index" localSheetId="20">Performance_Outputs_0!$B$302:$B$305</definedName>
    <definedName name="PO_Enrgy_14_Index" localSheetId="19">Performance_Outputs_1!$B$302:$B$305</definedName>
    <definedName name="PO_Enrgy_14_Index" localSheetId="21">Performance_Outputs_Summary!$B$109:$B$112</definedName>
    <definedName name="PO_Enrgy_14_Table" localSheetId="20">Performance_Outputs_0!$B$303:$S$305</definedName>
    <definedName name="PO_Enrgy_14_Table" localSheetId="19">Performance_Outputs_1!$B$303:$S$305</definedName>
    <definedName name="PO_Enrgy_14_Table" localSheetId="21">Performance_Outputs_Summary!$B$110:$S$112</definedName>
    <definedName name="PO_Enrgy_15_Hdr" localSheetId="20">Performance_Outputs_0!$B$312:$R$312</definedName>
    <definedName name="PO_Enrgy_15_Hdr" localSheetId="19">Performance_Outputs_1!$B$312:$R$312</definedName>
    <definedName name="PO_Enrgy_15_Index" localSheetId="20">Performance_Outputs_0!$B$312:$B$317</definedName>
    <definedName name="PO_Enrgy_15_Index" localSheetId="19">Performance_Outputs_1!$B$312:$B$317</definedName>
    <definedName name="PO_Enrgy_15_Table" localSheetId="20">Performance_Outputs_0!$B$315:$R$317</definedName>
    <definedName name="PO_Enrgy_15_Table" localSheetId="19">Performance_Outputs_1!$B$315:$R$317</definedName>
    <definedName name="PO_Enrgy_16_Hdr" localSheetId="20">Performance_Outputs_0!$B$323:$R$323</definedName>
    <definedName name="PO_Enrgy_16_Hdr" localSheetId="19">Performance_Outputs_1!$B$323:$R$323</definedName>
    <definedName name="PO_Enrgy_16_Hdr" localSheetId="21">Performance_Outputs_Summary!$B$118:$R$118</definedName>
    <definedName name="PO_Enrgy_16_Index" localSheetId="20">Performance_Outputs_0!$B$323:$R$326</definedName>
    <definedName name="PO_Enrgy_16_Index" localSheetId="19">Performance_Outputs_1!$B$323:$R$326</definedName>
    <definedName name="PO_Enrgy_16_Index" localSheetId="21">Performance_Outputs_Summary!$B$118:$R$121</definedName>
    <definedName name="PO_Enrgy_16_Table" localSheetId="20">Performance_Outputs_0!$B$324:$R$326</definedName>
    <definedName name="PO_Enrgy_16_Table" localSheetId="19">Performance_Outputs_1!$B$324:$R$326</definedName>
    <definedName name="PO_Enrgy_16_Table" localSheetId="21">Performance_Outputs_Summary!$B$119:$R$121</definedName>
    <definedName name="PO_Enrgy_2_Hdr" localSheetId="20">Performance_Outputs_0!$B$38:$R$38</definedName>
    <definedName name="PO_Enrgy_2_Hdr" localSheetId="19">Performance_Outputs_1!$B$38:$R$38</definedName>
    <definedName name="PO_Enrgy_2_Index" localSheetId="20">Performance_Outputs_0!$B$38:$B$41</definedName>
    <definedName name="PO_Enrgy_2_Index" localSheetId="19">Performance_Outputs_1!$B$38:$B$41</definedName>
    <definedName name="PO_Enrgy_2_Table" localSheetId="20">Performance_Outputs_0!$B$39:$R$41</definedName>
    <definedName name="PO_Enrgy_2_Table" localSheetId="19">Performance_Outputs_1!$B$39:$R$41</definedName>
    <definedName name="PO_Enrgy_3_Hdr" localSheetId="20">Performance_Outputs_0!$B$62:$R$62</definedName>
    <definedName name="PO_Enrgy_3_Hdr" localSheetId="19">Performance_Outputs_1!$B$62:$R$62</definedName>
    <definedName name="PO_Enrgy_3_Index" localSheetId="20">Performance_Outputs_0!$B$62:$B$65</definedName>
    <definedName name="PO_Enrgy_3_Index" localSheetId="19">Performance_Outputs_1!$B$62:$B$65</definedName>
    <definedName name="PO_Enrgy_3_Table" localSheetId="20">Performance_Outputs_0!$B$63:$R$65</definedName>
    <definedName name="PO_Enrgy_3_Table" localSheetId="19">Performance_Outputs_1!$B$63:$R$65</definedName>
    <definedName name="PO_Enrgy_4_Hdr" localSheetId="20">Performance_Outputs_0!$B$67:$R$67</definedName>
    <definedName name="PO_Enrgy_4_Hdr" localSheetId="19">Performance_Outputs_1!$B$67:$R$67</definedName>
    <definedName name="PO_Enrgy_4_Index" localSheetId="20">Performance_Outputs_0!$B$67:$B$70</definedName>
    <definedName name="PO_Enrgy_4_Index" localSheetId="19">Performance_Outputs_1!$B$67:$B$70</definedName>
    <definedName name="PO_Enrgy_4_Table" localSheetId="20">Performance_Outputs_0!$B$68:$R$70</definedName>
    <definedName name="PO_Enrgy_4_Table" localSheetId="19">Performance_Outputs_1!$B$68:$R$70</definedName>
    <definedName name="PO_Enrgy_5_Hdr" localSheetId="20">Performance_Outputs_0!$E$145:$R$145</definedName>
    <definedName name="PO_Enrgy_5_Hdr" localSheetId="19">Performance_Outputs_1!$E$145:$R$145</definedName>
    <definedName name="PO_Enrgy_5_Index" localSheetId="20">Performance_Outputs_0!$E$145:$E$148</definedName>
    <definedName name="PO_Enrgy_5_Index" localSheetId="19">Performance_Outputs_1!$E$145:$E$148</definedName>
    <definedName name="PO_Enrgy_5_Table" localSheetId="20">Performance_Outputs_0!$E$146:$R$148</definedName>
    <definedName name="PO_Enrgy_5_Table" localSheetId="19">Performance_Outputs_1!$E$146:$R$148</definedName>
    <definedName name="PO_Enrgy_6_Hdr" localSheetId="20">Performance_Outputs_0!$B$154:$R$154</definedName>
    <definedName name="PO_Enrgy_6_Hdr" localSheetId="19">Performance_Outputs_1!$B$154:$R$154</definedName>
    <definedName name="PO_Enrgy_6_Index" localSheetId="20">Performance_Outputs_0!$B$154:$B$157</definedName>
    <definedName name="PO_Enrgy_6_Index" localSheetId="19">Performance_Outputs_1!$B$154:$B$157</definedName>
    <definedName name="PO_Enrgy_6_Table" localSheetId="20">Performance_Outputs_0!$B$155:$R$157</definedName>
    <definedName name="PO_Enrgy_6_Table" localSheetId="19">Performance_Outputs_1!$B$155:$R$157</definedName>
    <definedName name="PO_Enrgy_7_Hdr" localSheetId="20">Performance_Outputs_0!$B$223:$R$223</definedName>
    <definedName name="PO_Enrgy_7_Hdr" localSheetId="19">Performance_Outputs_1!$B$223:$R$223</definedName>
    <definedName name="PO_Enrgy_7_Hdr" localSheetId="21">Performance_Outputs_Summary!$B$72:$R$72</definedName>
    <definedName name="PO_Enrgy_7_Index" localSheetId="20">Performance_Outputs_0!$B$223:$B$226</definedName>
    <definedName name="PO_Enrgy_7_Index" localSheetId="19">Performance_Outputs_1!$B$223:$B$226</definedName>
    <definedName name="PO_Enrgy_7_Index" localSheetId="21">Performance_Outputs_Summary!$B$72:$B$75</definedName>
    <definedName name="PO_Enrgy_7_Table" localSheetId="20">Performance_Outputs_0!$B$224:$R$226</definedName>
    <definedName name="PO_Enrgy_7_Table" localSheetId="19">Performance_Outputs_1!$B$224:$R$226</definedName>
    <definedName name="PO_Enrgy_7_Table" localSheetId="21">Performance_Outputs_Summary!$B$73:$R$75</definedName>
    <definedName name="PO_Enrgy_8_Hdr" localSheetId="20">Performance_Outputs_0!$B$232:$R$232</definedName>
    <definedName name="PO_Enrgy_8_Hdr" localSheetId="19">Performance_Outputs_1!$B$232:$R$232</definedName>
    <definedName name="PO_Enrgy_8_Hdr" localSheetId="21">Performance_Outputs_Summary!$B$81:$R$81</definedName>
    <definedName name="PO_Enrgy_8_Index" localSheetId="20">Performance_Outputs_0!$B$232:$B$235</definedName>
    <definedName name="PO_Enrgy_8_Index" localSheetId="19">Performance_Outputs_1!$B$232:$B$235</definedName>
    <definedName name="PO_Enrgy_8_Index" localSheetId="21">Performance_Outputs_Summary!$B$81:$B$84</definedName>
    <definedName name="PO_Enrgy_8_Table" localSheetId="20">Performance_Outputs_0!$B$233:$R$235</definedName>
    <definedName name="PO_Enrgy_8_Table" localSheetId="19">Performance_Outputs_1!$B$233:$R$235</definedName>
    <definedName name="PO_Enrgy_8_Table" localSheetId="21">Performance_Outputs_Summary!$B$82:$R$84</definedName>
    <definedName name="PO_Enrgy_9_Hdr" localSheetId="20">Performance_Outputs_0!$B$240:$R$240</definedName>
    <definedName name="PO_Enrgy_9_Hdr" localSheetId="19">Performance_Outputs_1!$B$240:$R$240</definedName>
    <definedName name="PO_Enrgy_9_Hdr" localSheetId="21">Performance_Outputs_Summary!$B$89:$R$89</definedName>
    <definedName name="PO_Enrgy_9_Index" localSheetId="20">Performance_Outputs_0!$B$240:$B$243</definedName>
    <definedName name="PO_Enrgy_9_Index" localSheetId="19">Performance_Outputs_1!$B$240:$B$243</definedName>
    <definedName name="PO_Enrgy_9_Index" localSheetId="21">Performance_Outputs_Summary!$B$89:$B$92</definedName>
    <definedName name="PO_Enrgy_9_Table" localSheetId="20">Performance_Outputs_0!$B$241:$R$243</definedName>
    <definedName name="PO_Enrgy_9_Table" localSheetId="19">Performance_Outputs_1!$B$241:$R$243</definedName>
    <definedName name="PO_Enrgy_9_Table" localSheetId="21">Performance_Outputs_Summary!$B$90:$R$92</definedName>
    <definedName name="PO_eQUESTOutputColumn" localSheetId="20">Performance_Outputs_0!$BF$95</definedName>
    <definedName name="PO_eQUESTOutputColumn" localSheetId="19">Performance_Outputs_1!$BF$95</definedName>
    <definedName name="PO_ExCalc_Hdr" localSheetId="20">Performance_Outputs_0!$B$56:$U$56</definedName>
    <definedName name="PO_ExCalc_Hdr" localSheetId="19">Performance_Outputs_1!$B$56:$U$56</definedName>
    <definedName name="PO_ExCalc_Table" localSheetId="20">Performance_Outputs_0!$B$57:$U$61</definedName>
    <definedName name="PO_ExCalc_Table" localSheetId="19">Performance_Outputs_1!$B$57:$U$61</definedName>
    <definedName name="PO_ExCalcOutputs" localSheetId="20">Performance_Outputs_0!$237:$245</definedName>
    <definedName name="PO_ExCalcOutputs" localSheetId="19">Performance_Outputs_1!$237:$245</definedName>
    <definedName name="PO_ExCalcOutputs" localSheetId="21">Performance_Outputs_Summary!$86:$93</definedName>
    <definedName name="PO_ExCalcSection" localSheetId="20">Performance_Outputs_0!$51:$74</definedName>
    <definedName name="PO_ExCalcSection" localSheetId="19">Performance_Outputs_1!$51:$74</definedName>
    <definedName name="PO_ExLBaseAnchor" localSheetId="20">Performance_Outputs_0!$B$99</definedName>
    <definedName name="PO_ExLBaseAnchor">Performance_Outputs_1!$B$99</definedName>
    <definedName name="PO_ModelID" localSheetId="20">Performance_Outputs_0!$H$5</definedName>
    <definedName name="PO_ModelID" localSheetId="19">Performance_Outputs_1!$H$5</definedName>
    <definedName name="PO_ModelID" localSheetId="21">Performance_Outputs_Summary!#REF!</definedName>
    <definedName name="PO_ModelSubtotal" localSheetId="20">Performance_Outputs_0!$227:$227</definedName>
    <definedName name="PO_ModelSubtotal" localSheetId="19">Performance_Outputs_1!$227:$227</definedName>
    <definedName name="PO_ModelSubtotal" localSheetId="21">Performance_Outputs_Summary!$76:$76</definedName>
    <definedName name="PO_ModelSubtotals" localSheetId="20">Performance_Outputs_0!$B$224:$AI$225</definedName>
    <definedName name="PO_ModelSubtotals" localSheetId="19">Performance_Outputs_1!$B$224:$AI$225</definedName>
    <definedName name="PO_ModelSubtotals" localSheetId="21">Performance_Outputs_Summary!$B$73:$AI$74</definedName>
    <definedName name="PO_Multiplier" localSheetId="20">Performance_Outputs_0!$Q$5</definedName>
    <definedName name="PO_Multiplier" localSheetId="19">Performance_Outputs_1!$Q$5</definedName>
    <definedName name="PO_PRM_Total_Section" localSheetId="20">Performance_Outputs_0!$320:$325</definedName>
    <definedName name="PO_PRM_Total_Section" localSheetId="19">Performance_Outputs_1!$320:$325</definedName>
    <definedName name="PO_PRM_Total_Section" localSheetId="21">Performance_Outputs_Summary!$115:$120</definedName>
    <definedName name="PO_QA_BaseExtLtgDem" localSheetId="19">Performance_Outputs_1!$C$348</definedName>
    <definedName name="PO_QA_DesignExtLtgDem" localSheetId="19">Performance_Outputs_1!$D$348</definedName>
    <definedName name="PO_QACheck" localSheetId="20">Performance_Outputs_0!$B$358:$M$388</definedName>
    <definedName name="PO_QACheck" localSheetId="19">Performance_Outputs_1!$B$360:$M$391</definedName>
    <definedName name="PO_qcrenewtablelookup" localSheetId="20">Performance_Outputs_0!$B$31:$B$34</definedName>
    <definedName name="PO_qcrenewtablelookup" localSheetId="19">Performance_Outputs_1!$B$31:$B$34</definedName>
    <definedName name="PO_QCvirtuallookup" localSheetId="20">Performance_Outputs_0!$B$232:$M$234</definedName>
    <definedName name="PO_QCvirtuallookup" localSheetId="19">Performance_Outputs_1!$B$232:$M$234</definedName>
    <definedName name="PO_QCvirtuallookup" localSheetId="21">Performance_Outputs_Summary!$B$81:$M$83</definedName>
    <definedName name="PO_QCvirtualratetable" localSheetId="20">Performance_Outputs_0!$B$230:$L$234</definedName>
    <definedName name="PO_QCvirtualratetable" localSheetId="19">Performance_Outputs_1!$B$230:$L$234</definedName>
    <definedName name="PO_QCvirtualratetable" localSheetId="21">Performance_Outputs_Summary!$B$79:$L$83</definedName>
    <definedName name="PO_renewable_hdr" localSheetId="20">Performance_Outputs_0!$B$32:$U$32</definedName>
    <definedName name="PO_renewable_hdr" localSheetId="19">Performance_Outputs_1!$B$32:$U$32</definedName>
    <definedName name="PO_renewable_Index" localSheetId="20">Performance_Outputs_0!$B$32:$B$34</definedName>
    <definedName name="PO_renewable_Index" localSheetId="19">Performance_Outputs_1!$B$32:$B$34</definedName>
    <definedName name="PO_renewable_table" localSheetId="20">Performance_Outputs_0!$B$33:$U$35</definedName>
    <definedName name="PO_renewable_table" localSheetId="19">Performance_Outputs_1!$B$33:$U$35</definedName>
    <definedName name="PO_RenewableEnergyTotal" localSheetId="20">Performance_Outputs_0!$B$39:$K$42</definedName>
    <definedName name="PO_RenewableEnergyTotal" localSheetId="19">Performance_Outputs_1!$B$39:$K$42</definedName>
    <definedName name="PO_RenewableOutputs" localSheetId="20">Performance_Outputs_0!$299:$307</definedName>
    <definedName name="PO_RenewableOutputs" localSheetId="19">Performance_Outputs_1!$299:$307</definedName>
    <definedName name="PO_RenewableOutputs" localSheetId="21">Performance_Outputs_Summary!$106:$114</definedName>
    <definedName name="PO_RenewableRange" localSheetId="20">Performance_Outputs_0!$28:$45</definedName>
    <definedName name="PO_RenewableRange" localSheetId="19">Performance_Outputs_1!$28:$45</definedName>
    <definedName name="PO_Retail_text1" localSheetId="20">Performance_Outputs_0!$93:$93</definedName>
    <definedName name="PO_Retail_text1" localSheetId="19">Performance_Outputs_1!$93:$93</definedName>
    <definedName name="PO_Retail_text2" localSheetId="20">Performance_Outputs_0!$167:$167</definedName>
    <definedName name="PO_Retail_text2" localSheetId="19">Performance_Outputs_1!$167:$167</definedName>
    <definedName name="PO_Section_Baseline" localSheetId="20">Performance_Outputs_0!$87:$159</definedName>
    <definedName name="PO_Section_Baseline" localSheetId="19">Performance_Outputs_1!$87:$159</definedName>
    <definedName name="PO_SectionExCalc" localSheetId="20">Performance_Outputs_0!$51:$74</definedName>
    <definedName name="PO_SectionExCalc" localSheetId="19">Performance_Outputs_1!$51:$74</definedName>
    <definedName name="PO_SectionUnmetLoads" localSheetId="20">Performance_Outputs_0!$330:$337</definedName>
    <definedName name="PO_SectionUnmetLoads" localSheetId="19">Performance_Outputs_1!$330:$337</definedName>
    <definedName name="PO_ShowExCalc" localSheetId="20">Performance_Outputs_0!$T$47</definedName>
    <definedName name="PO_ShowExCalc" localSheetId="19">Performance_Outputs_1!$T$47</definedName>
    <definedName name="PO_SiteRenewable" localSheetId="20">Performance_Outputs_0!$AD$26</definedName>
    <definedName name="PO_SiteRenewable" localSheetId="19">Performance_Outputs_1!$AD$26</definedName>
    <definedName name="PO_SiteUnits" localSheetId="20">Performance_Outputs_0!$L$20</definedName>
    <definedName name="PO_SiteUnits" localSheetId="19">Performance_Outputs_1!$L$20</definedName>
    <definedName name="PO_SiteUnits" localSheetId="21">Performance_Outputs_Summary!$L$13</definedName>
    <definedName name="PO_SourceUnits" localSheetId="20">Performance_Outputs_0!$L$21</definedName>
    <definedName name="PO_SourceUnits" localSheetId="19">Performance_Outputs_1!$L$21</definedName>
    <definedName name="PO_SourceUnits" localSheetId="21">Performance_Outputs_Summary!$L$14</definedName>
    <definedName name="PO_TableExceptionalCalc" localSheetId="20">Performance_Outputs_0!$C$57:$M$60</definedName>
    <definedName name="PO_TableExceptionalCalc" localSheetId="19">Performance_Outputs_1!$C$57:$M$60</definedName>
    <definedName name="PO_TableSiteRenewable" localSheetId="20">Performance_Outputs_0!$B$33:$U$34</definedName>
    <definedName name="PO_TableSiteRenewable" localSheetId="19">Performance_Outputs_1!$B$33:$U$34</definedName>
    <definedName name="PO_TraceOutputColumns" localSheetId="20">Performance_Outputs_0!$BG$95:$BI$95</definedName>
    <definedName name="PO_TraceOutputColumns" localSheetId="19">Performance_Outputs_1!$BG$95:$BI$95</definedName>
    <definedName name="PO_VirtualEnergyRate" localSheetId="20">Performance_Outputs_0!$E$233:$J$234</definedName>
    <definedName name="PO_VirtualEnergyRate" localSheetId="19">Performance_Outputs_1!$E$233:$J$234</definedName>
    <definedName name="PO_VR_hdr" localSheetId="20">Performance_Outputs_0!$B$232:$T$232</definedName>
    <definedName name="PO_VR_hdr" localSheetId="19">Performance_Outputs_1!$B$232:$U$232</definedName>
    <definedName name="PO_VR_table" localSheetId="20">Performance_Outputs_0!$B$233:$T$236</definedName>
    <definedName name="PO_VR_table" localSheetId="19">Performance_Outputs_1!$B$233:$U$236</definedName>
    <definedName name="_xlnm.Print_Area" localSheetId="20">Performance_Outputs_0!$B$4:$M$337</definedName>
    <definedName name="_xlnm.Print_Area" localSheetId="19">Performance_Outputs_1!$B$4:$M$337</definedName>
    <definedName name="_xlnm.Print_Area" localSheetId="21">Performance_Outputs_Summary!$B$4:$M$125</definedName>
    <definedName name="proj_RatingSystem">'General Information'!$I$10</definedName>
    <definedName name="ProjectEnergyTypes2">DropdownData!$B$102:$B$106</definedName>
    <definedName name="ProjectEnergyTypeTable2">DropdownData!$B$102:$D$106</definedName>
    <definedName name="ProjectPhaseCompleteness">Instructions!$I$82:$I$85</definedName>
    <definedName name="ProposedAnchor">'Air-Side HVAC'!$P:$P</definedName>
    <definedName name="ProposedHVACModeled">'General HVAC'!$C$20:$C$22</definedName>
    <definedName name="QA_Check" localSheetId="20">Performance_Outputs_0!$B$392:$M$394</definedName>
    <definedName name="QA_Check" localSheetId="19">Performance_Outputs_1!$394:$396</definedName>
    <definedName name="QA_Check" localSheetId="21">Performance_Outputs_Summary!$125:$135</definedName>
    <definedName name="QCConsumptionConvert">DropdownData!$CO$3:$CP$9</definedName>
    <definedName name="QCDemandConvert">DropdownData!$CO$11:$CP$18</definedName>
    <definedName name="QCEnSaveRank" localSheetId="20">Performance_Outputs_0!$AC$171:$AD$218</definedName>
    <definedName name="QCEnSaveRank" localSheetId="21">Performance_Outputs_Summary!$AC$20:$AD$67</definedName>
    <definedName name="QCEnSaveRank">Performance_Outputs_1!$AC$171:$AD$218</definedName>
    <definedName name="qcExCalcbasediff" localSheetId="20">Performance_Outputs_0!$AM$241:$AM$242</definedName>
    <definedName name="qcExCalcbasediff" localSheetId="19">Performance_Outputs_1!$AM$241:$AM$242</definedName>
    <definedName name="qcExCalcbasediff" localSheetId="21">Performance_Outputs_Summary!$AM$90:$AM$91</definedName>
    <definedName name="qcExCalcbasediff2" localSheetId="20">Performance_Outputs_0!$AN$241:$AN$242</definedName>
    <definedName name="qcExCalcbasediff2" localSheetId="21">Performance_Outputs_Summary!$AN$90:$AN$91</definedName>
    <definedName name="qcExCalcbasediff2">Performance_Outputs_1!$AN$241:$AN$242</definedName>
    <definedName name="qcExLPerfAnchor" localSheetId="20">Performance_Outputs_0!$B$173</definedName>
    <definedName name="qcExLPerfAnchor" localSheetId="21">Performance_Outputs_Summary!$B$22</definedName>
    <definedName name="qcExLPerfAnchor">Performance_Outputs_1!$B$173</definedName>
    <definedName name="qcnontrade">Lighting!$Y$137:$Y$142</definedName>
    <definedName name="Qty_Bedrooms">'Multifamily Details'!$U$14</definedName>
    <definedName name="Qty_Res_Units">'Multifamily Details'!$U$13</definedName>
    <definedName name="RatingSystem">Instructions!$I$67:$I$79</definedName>
    <definedName name="RatingSystem_IDC">'General Information'!$I$65</definedName>
    <definedName name="RatingSystemSelection">'General Information'!$E$10</definedName>
    <definedName name="rbOutputReporting">DropdownData!$CB$2</definedName>
    <definedName name="RenewableSource">DropdownData!$AN$2:$AN$14</definedName>
    <definedName name="Res_Usage_Profile_Table">'Multifamily Details'!$B$81:$U$83</definedName>
    <definedName name="ResDwellingUnitsExist">'General Information'!$F$29</definedName>
    <definedName name="RNvsVIRTqcCheck" localSheetId="20">Performance_Outputs_0!$AP$303:$AP$304</definedName>
    <definedName name="RNvsVIRTqcCheck" localSheetId="21">Performance_Outputs_Summary!$AP$110:$AP$111</definedName>
    <definedName name="RNvsVIRTqcCheck">Performance_Outputs_1!$AP$303:$AP$304</definedName>
    <definedName name="S_ResDwellingSchedule">Schedules!$12:$12</definedName>
    <definedName name="S_S_TotalPoints">Summary!$20:$20</definedName>
    <definedName name="S_Sched_Hdr">Schedules!$B$11:$R$11</definedName>
    <definedName name="S_Sched_Index">Schedules!$B$11:$B$20</definedName>
    <definedName name="S_Sched_Table">Schedules!$B$11:$R$20</definedName>
    <definedName name="SbSanchor">Lighting!$58:$58</definedName>
    <definedName name="SbSequipTable">'Process Loads'!$35:$51</definedName>
    <definedName name="SelectedSxS">Lighting!$C$56:$C$62</definedName>
    <definedName name="SF_BMZ_Table">'Shading and Fenestration'!$16:$31</definedName>
    <definedName name="SF_qc40BaseFenestration">'Shading and Fenestration'!$Q$33</definedName>
    <definedName name="SF_qcVerticalGlazingDiff">'Shading and Fenestration'!$P$33</definedName>
    <definedName name="SF_S_hdr">'Shading and Fenestration'!$B$54:$S$54</definedName>
    <definedName name="SF_S_Index">'Shading and Fenestration'!$B$54:$B$57</definedName>
    <definedName name="SF_S_table">'Shading and Fenestration'!$B$55:$S$58</definedName>
    <definedName name="SF_VG_hdr">'Shading and Fenestration'!$B$44:$S$44</definedName>
    <definedName name="SF_VG_Index">'Shading and Fenestration'!$B$44:$B$47</definedName>
    <definedName name="SF_VG_table">'Shading and Fenestration'!$B$45:$S$48</definedName>
    <definedName name="SI_IP_Units">'General Information'!$I$12</definedName>
    <definedName name="SimProgram">DropdownData!$AQ$2:$AQ$8</definedName>
    <definedName name="SimTool">'General Information'!$C$42</definedName>
    <definedName name="SimulationProgram">DropdownData!$AQ$2:$AQ$8</definedName>
    <definedName name="SkyLightDescs">'Envelope Assumptions'!$AY$2:$BJ$2</definedName>
    <definedName name="SpaceConditioningCategory">OFFSET('[1]Envelope Lookup'!$BT$2,0,0,COUNTIF('[1]Envelope Lookup'!$BT$2:$BT$5,"&gt;*"),1)</definedName>
    <definedName name="SWH_Fixture_Hdr">'Service Water Heating'!$B$35:$AA$35</definedName>
    <definedName name="SWH_Fixture_Index">'Service Water Heating'!$B$35:$B$39</definedName>
    <definedName name="SWH_Fixture_Table">'Service Water Heating'!$B$35:$AA$39</definedName>
    <definedName name="SWH_Flow_Hdr">'Service Water Heating'!$B$43:$M$43</definedName>
    <definedName name="SWH_Flow_Index">'Service Water Heating'!$B$43:$B$44</definedName>
    <definedName name="SWH_Flow_Table">'Service Water Heating'!$B$43:$M$44</definedName>
    <definedName name="SWH_Heater_Hdr">'Service Water Heating'!$B$10:$M$10</definedName>
    <definedName name="SWH_Heater_Rows">'Service Water Heating'!$11:$22</definedName>
    <definedName name="SWH_Heater_Table">'Service Water Heating'!$B$8:$M$22</definedName>
    <definedName name="SxSCategories">'Lighting Assumptions'!$D$3:$D$97</definedName>
    <definedName name="tableBAM">Lighting!$26:$39</definedName>
    <definedName name="tablesSxS">Lighting!$45:$65,Lighting!$70:$87</definedName>
    <definedName name="tableSxS">Lighting!$45:$91</definedName>
    <definedName name="TemplateBaseline">'Air-Side HVAC'!$AD:$AD</definedName>
    <definedName name="TemplateProposed">'Air-Side HVAC'!$AE:$AE</definedName>
    <definedName name="ThermalTable">DropdownData!$B$12:$C$14</definedName>
    <definedName name="ThermalTypes">DropdownData!$B$12:$B$14</definedName>
    <definedName name="TradableSurfaces">'Lighting Assumptions'!$I$4:$I$17</definedName>
    <definedName name="UfactorMethod" localSheetId="8">'Shading and Fenestration'!$H$67:$H$72</definedName>
    <definedName name="UtilityRateStructure">DropdownData!$S$2:$S$14</definedName>
    <definedName name="VertGlazeDescs">'Envelope Assumptions'!$AT$2:$AW$2</definedName>
    <definedName name="WSHVAC_Base_System">'Water-Side HVAC'!$G:$G</definedName>
    <definedName name="WSHVAC_Proposed_System">'Water-Side HVAC'!$J:$J</definedName>
    <definedName name="Z_75D6F8CE_A4F4_4FDD_BA92_7996F9E19FA9_.wvu.Cols" localSheetId="15" hidden="1">'Air-Side HVAC'!$AD:$AE</definedName>
    <definedName name="Z_75D6F8CE_A4F4_4FDD_BA92_7996F9E19FA9_.wvu.Rows" localSheetId="14" hidden="1">'General HVAC'!$20:$20,'General HVAC'!$29:$29</definedName>
    <definedName name="Z_75D6F8CE_A4F4_4FDD_BA92_7996F9E19FA9_.wvu.Rows" localSheetId="2" hidden="1">'General Information'!$38:$40</definedName>
    <definedName name="Z_75D6F8CE_A4F4_4FDD_BA92_7996F9E19FA9_.wvu.Rows" localSheetId="10" hidden="1">Lighting!$26:$44,Lighting!$56:$56,Lighting!$58:$58,Lighting!$76:$76,Lighting!$124:$124</definedName>
    <definedName name="Z_75D6F8CE_A4F4_4FDD_BA92_7996F9E19FA9_.wvu.Rows" localSheetId="6" hidden="1">'Multifamily Details'!$32:$32,'Multifamily Details'!$59:$59</definedName>
    <definedName name="Z_75D6F8CE_A4F4_4FDD_BA92_7996F9E19FA9_.wvu.Rows" localSheetId="3" hidden="1">'Multiple Buildings Details'!$16:$16,'Multiple Buildings Details'!#REF!,'Multiple Buildings Details'!$23:$23</definedName>
    <definedName name="Z_75D6F8CE_A4F4_4FDD_BA92_7996F9E19FA9_.wvu.Rows" localSheetId="7" hidden="1">'Opaque Assemblies'!$44:$44,'Opaque Assemblies'!$54:$54,'Opaque Assemblies'!$64:$64,'Opaque Assemblies'!$74:$74,'Opaque Assemblies'!$84:$84</definedName>
    <definedName name="Z_75D6F8CE_A4F4_4FDD_BA92_7996F9E19FA9_.wvu.Rows" localSheetId="12" hidden="1">'Process Loads'!$23:$23,'Process Loads'!$40:$40,'Process Loads'!$53:$59,'Process Loads'!$67:$67,'Process Loads'!$78:$78</definedName>
    <definedName name="Z_75D6F8CE_A4F4_4FDD_BA92_7996F9E19FA9_.wvu.Rows" localSheetId="13" hidden="1">'Service Water Heating'!$36:$36</definedName>
    <definedName name="Z_75D6F8CE_A4F4_4FDD_BA92_7996F9E19FA9_.wvu.Rows" localSheetId="8" hidden="1">'Shading and Fenestration'!$32:$35,'Shading and Fenestration'!$45:$45,'Shading and Fenestration'!$55:$55,'Shading and Fenestration'!$66:$73</definedName>
    <definedName name="Zone">'Lighting Assumptions'!$V$3:$V$7</definedName>
    <definedName name="ZoneTable">'Lighting Assumptions'!$I$1:$T$17</definedName>
  </definedNames>
  <calcPr calcId="191029"/>
  <customWorkbookViews>
    <customWorkbookView name="Luke McGuire - Personal View" guid="{75D6F8CE-A4F4-4FDD-BA92-7996F9E19FA9}" mergeInterval="0" personalView="1" maximized="1" xWindow="103" yWindow="-8" windowWidth="1345" windowHeight="916" tabRatio="91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2" i="15" l="1"/>
  <c r="L17" i="15"/>
  <c r="O17" i="15" l="1"/>
  <c r="O35" i="15"/>
  <c r="O31" i="15"/>
  <c r="L25" i="15"/>
  <c r="L36" i="15" s="1"/>
  <c r="L68" i="15"/>
  <c r="L63" i="15"/>
  <c r="L61" i="15"/>
  <c r="L47" i="15"/>
  <c r="L45" i="15"/>
  <c r="L41" i="15"/>
  <c r="L66" i="15" s="1"/>
  <c r="L35" i="15"/>
  <c r="L31" i="15"/>
  <c r="F28" i="8" l="1"/>
  <c r="F21" i="8"/>
  <c r="G24" i="8"/>
  <c r="F24" i="8"/>
  <c r="F23" i="8"/>
  <c r="F22" i="8"/>
  <c r="G22" i="8"/>
  <c r="G21" i="8"/>
  <c r="AA66" i="29" l="1"/>
  <c r="AB66" i="29" s="1"/>
  <c r="AA65" i="29"/>
  <c r="AB65" i="29" s="1"/>
  <c r="AA64" i="29"/>
  <c r="AB64" i="29" s="1"/>
  <c r="AB67" i="29" l="1"/>
  <c r="M37" i="13" l="1"/>
  <c r="M38" i="13"/>
  <c r="M39" i="13"/>
  <c r="M36" i="13"/>
  <c r="I37" i="13"/>
  <c r="I38" i="13"/>
  <c r="I39" i="13"/>
  <c r="I36" i="13"/>
  <c r="B133" i="22" l="1"/>
  <c r="B135" i="22"/>
  <c r="B137" i="22"/>
  <c r="B139" i="22"/>
  <c r="D358" i="22" l="1"/>
  <c r="BJ12" i="31" l="1"/>
  <c r="BB12" i="31"/>
  <c r="X12" i="31"/>
  <c r="B32" i="14" l="1"/>
  <c r="B31" i="14"/>
  <c r="B30" i="14"/>
  <c r="B29" i="14"/>
  <c r="B22" i="14"/>
  <c r="B21" i="14"/>
  <c r="B20" i="14"/>
  <c r="B39" i="13"/>
  <c r="B38" i="13"/>
  <c r="B37" i="13"/>
  <c r="B36" i="13"/>
  <c r="B79" i="12"/>
  <c r="B78" i="12"/>
  <c r="B70" i="12"/>
  <c r="B69" i="12"/>
  <c r="B68" i="12"/>
  <c r="B67" i="12"/>
  <c r="B46" i="12"/>
  <c r="B45" i="12"/>
  <c r="B44" i="12"/>
  <c r="B43" i="12"/>
  <c r="B42" i="12"/>
  <c r="B41" i="12"/>
  <c r="B40" i="12"/>
  <c r="B28" i="12"/>
  <c r="B27" i="12"/>
  <c r="B26" i="12"/>
  <c r="B25" i="12"/>
  <c r="B24" i="12"/>
  <c r="B23" i="12"/>
  <c r="B106" i="10"/>
  <c r="B105" i="10"/>
  <c r="B104" i="10"/>
  <c r="B81" i="10"/>
  <c r="B80" i="10"/>
  <c r="B79" i="10"/>
  <c r="B78" i="10"/>
  <c r="B77" i="10"/>
  <c r="B76" i="10"/>
  <c r="B62" i="10"/>
  <c r="B61" i="10"/>
  <c r="B60" i="10"/>
  <c r="B59" i="10"/>
  <c r="B58" i="10"/>
  <c r="B35" i="10"/>
  <c r="B34" i="10"/>
  <c r="B33" i="10"/>
  <c r="B57" i="8"/>
  <c r="B56" i="8"/>
  <c r="B55" i="8"/>
  <c r="B47" i="8"/>
  <c r="B46" i="8"/>
  <c r="B45" i="8"/>
  <c r="B86" i="7"/>
  <c r="B85" i="7"/>
  <c r="B84" i="7"/>
  <c r="B76" i="7"/>
  <c r="B75" i="7"/>
  <c r="B74" i="7"/>
  <c r="B66" i="7"/>
  <c r="B65" i="7"/>
  <c r="B64" i="7"/>
  <c r="B56" i="7"/>
  <c r="B55" i="7"/>
  <c r="B54" i="7"/>
  <c r="B46" i="7"/>
  <c r="B45" i="7"/>
  <c r="B44" i="7"/>
  <c r="B36" i="7"/>
  <c r="B35" i="7"/>
  <c r="B34" i="7"/>
  <c r="B20" i="5"/>
  <c r="B19" i="5"/>
  <c r="B18" i="5"/>
  <c r="B17" i="5"/>
  <c r="B16" i="5"/>
  <c r="B15" i="5"/>
  <c r="B62" i="4"/>
  <c r="B61" i="4"/>
  <c r="B60" i="4"/>
  <c r="B59" i="4"/>
  <c r="B35" i="4"/>
  <c r="B34" i="4"/>
  <c r="B33" i="4"/>
  <c r="B32" i="4"/>
  <c r="B24" i="3"/>
  <c r="B17" i="3" s="1"/>
  <c r="H33" i="3"/>
  <c r="G33" i="3"/>
  <c r="I10" i="2" l="1"/>
  <c r="B5" i="5" s="1"/>
  <c r="O37" i="13"/>
  <c r="O36" i="13"/>
  <c r="O38" i="13"/>
  <c r="O39" i="13"/>
  <c r="Q47" i="8"/>
  <c r="Q45" i="8"/>
  <c r="H45" i="8" s="1"/>
  <c r="BG224" i="26"/>
  <c r="BH224" i="26"/>
  <c r="BF224" i="26"/>
  <c r="BG223" i="26"/>
  <c r="BH223" i="26"/>
  <c r="BF223" i="26"/>
  <c r="BG222" i="26"/>
  <c r="BH222" i="26"/>
  <c r="BF222" i="26"/>
  <c r="BG221" i="26"/>
  <c r="BH221" i="26"/>
  <c r="BF221" i="26"/>
  <c r="BG220" i="26"/>
  <c r="BH220" i="26"/>
  <c r="BF220" i="26"/>
  <c r="BG219" i="26"/>
  <c r="BH219" i="26"/>
  <c r="BF219" i="26"/>
  <c r="BG218" i="26"/>
  <c r="BH218" i="26"/>
  <c r="BF218" i="26"/>
  <c r="BG217" i="26"/>
  <c r="BH217" i="26"/>
  <c r="BF217" i="26"/>
  <c r="BG216" i="26"/>
  <c r="BH216" i="26"/>
  <c r="BF216" i="26"/>
  <c r="BG215" i="26"/>
  <c r="BH215" i="26"/>
  <c r="BF215" i="26"/>
  <c r="BG214" i="26"/>
  <c r="BH214" i="26"/>
  <c r="BF214" i="26"/>
  <c r="BG213" i="26"/>
  <c r="BH213" i="26"/>
  <c r="BF213" i="26"/>
  <c r="BG212" i="26"/>
  <c r="BH212" i="26"/>
  <c r="BF212" i="26"/>
  <c r="BG211" i="26"/>
  <c r="BH211" i="26"/>
  <c r="BF211" i="26"/>
  <c r="BG210" i="26"/>
  <c r="BH210" i="26"/>
  <c r="BF210" i="26"/>
  <c r="BG209" i="26"/>
  <c r="BH209" i="26"/>
  <c r="BF209" i="26"/>
  <c r="BG208" i="26"/>
  <c r="BH208" i="26"/>
  <c r="BF208" i="26"/>
  <c r="BG207" i="26"/>
  <c r="BH207" i="26"/>
  <c r="BF207" i="26"/>
  <c r="BG206" i="26"/>
  <c r="BH206" i="26"/>
  <c r="BF206" i="26"/>
  <c r="BG205" i="26"/>
  <c r="BH205" i="26"/>
  <c r="BF205" i="26"/>
  <c r="BG204" i="26"/>
  <c r="BH204" i="26"/>
  <c r="BF204" i="26"/>
  <c r="BG203" i="26"/>
  <c r="BH203" i="26"/>
  <c r="BF203" i="26"/>
  <c r="BG202" i="26"/>
  <c r="BH202" i="26"/>
  <c r="BF202" i="26"/>
  <c r="BG201" i="26"/>
  <c r="BH201" i="26"/>
  <c r="BF201" i="26"/>
  <c r="BG200" i="26"/>
  <c r="BH200" i="26"/>
  <c r="BF200" i="26"/>
  <c r="BG199" i="26"/>
  <c r="BH199" i="26"/>
  <c r="BF199" i="26"/>
  <c r="BG198" i="26"/>
  <c r="BH198" i="26"/>
  <c r="BF198" i="26"/>
  <c r="BG197" i="26"/>
  <c r="BH197" i="26"/>
  <c r="BF197" i="26"/>
  <c r="BG196" i="26"/>
  <c r="BH196" i="26"/>
  <c r="BF196" i="26"/>
  <c r="BG195" i="26"/>
  <c r="BH195" i="26"/>
  <c r="BF195" i="26"/>
  <c r="BG194" i="26"/>
  <c r="BH194" i="26"/>
  <c r="BF194" i="26"/>
  <c r="BG193" i="26"/>
  <c r="BH193" i="26"/>
  <c r="BF193" i="26"/>
  <c r="BG192" i="26"/>
  <c r="BH192" i="26"/>
  <c r="BF192" i="26"/>
  <c r="BG191" i="26"/>
  <c r="BH191" i="26"/>
  <c r="BF191" i="26"/>
  <c r="BG190" i="26"/>
  <c r="BH190" i="26"/>
  <c r="BF190" i="26"/>
  <c r="BG189" i="26"/>
  <c r="BH189" i="26"/>
  <c r="BF189" i="26"/>
  <c r="BG188" i="26"/>
  <c r="BH188" i="26"/>
  <c r="BF188" i="26"/>
  <c r="BG187" i="26"/>
  <c r="BH187" i="26"/>
  <c r="BF187" i="26"/>
  <c r="BG186" i="26"/>
  <c r="BH186" i="26"/>
  <c r="BF186" i="26"/>
  <c r="BG185" i="26"/>
  <c r="BH185" i="26"/>
  <c r="BF185" i="26"/>
  <c r="BG184" i="26"/>
  <c r="BH184" i="26"/>
  <c r="BF184" i="26"/>
  <c r="BG183" i="26"/>
  <c r="BH183" i="26"/>
  <c r="BF183" i="26"/>
  <c r="BG182" i="26"/>
  <c r="BH182" i="26"/>
  <c r="BF182" i="26"/>
  <c r="BG181" i="26"/>
  <c r="BH181" i="26"/>
  <c r="BF181" i="26"/>
  <c r="BG180" i="26"/>
  <c r="BH180" i="26"/>
  <c r="BF180" i="26"/>
  <c r="BG179" i="26"/>
  <c r="BH179" i="26"/>
  <c r="BF179" i="26"/>
  <c r="BG178" i="26"/>
  <c r="BH178" i="26"/>
  <c r="BF178" i="26"/>
  <c r="BG177" i="26"/>
  <c r="BH177" i="26"/>
  <c r="BF177" i="26"/>
  <c r="BG176" i="26"/>
  <c r="BH176" i="26"/>
  <c r="BF176" i="26"/>
  <c r="BG175" i="26"/>
  <c r="BH175" i="26"/>
  <c r="BF175" i="26"/>
  <c r="BG174" i="26"/>
  <c r="BH174" i="26"/>
  <c r="BF174" i="26"/>
  <c r="BG173" i="26"/>
  <c r="BH173" i="26"/>
  <c r="BF173" i="26"/>
  <c r="BG172" i="26"/>
  <c r="BH172" i="26"/>
  <c r="BF172" i="26"/>
  <c r="BG171" i="26"/>
  <c r="BI171" i="26" s="1"/>
  <c r="BH171" i="26"/>
  <c r="BF171" i="26"/>
  <c r="BG224" i="22"/>
  <c r="BH224" i="22"/>
  <c r="BF224" i="22"/>
  <c r="BG223" i="22"/>
  <c r="BH223" i="22"/>
  <c r="BF223" i="22"/>
  <c r="BG222" i="22"/>
  <c r="BH222" i="22"/>
  <c r="BF222" i="22"/>
  <c r="BG221" i="22"/>
  <c r="BH221" i="22"/>
  <c r="BF221" i="22"/>
  <c r="BG220" i="22"/>
  <c r="BH220" i="22"/>
  <c r="BF220" i="22"/>
  <c r="BG219" i="22"/>
  <c r="BH219" i="22"/>
  <c r="BF219" i="22"/>
  <c r="BG218" i="22"/>
  <c r="BH218" i="22"/>
  <c r="BF218" i="22"/>
  <c r="BG217" i="22"/>
  <c r="BH217" i="22"/>
  <c r="BF217" i="22"/>
  <c r="BG216" i="22"/>
  <c r="BH216" i="22"/>
  <c r="BF216" i="22"/>
  <c r="BG215" i="22"/>
  <c r="BH215" i="22"/>
  <c r="BF215" i="22"/>
  <c r="BG214" i="22"/>
  <c r="BH214" i="22"/>
  <c r="BF214" i="22"/>
  <c r="BG213" i="22"/>
  <c r="BH213" i="22"/>
  <c r="BF213" i="22"/>
  <c r="BG212" i="22"/>
  <c r="BH212" i="22"/>
  <c r="BF212" i="22"/>
  <c r="BG211" i="22"/>
  <c r="BH211" i="22"/>
  <c r="BF211" i="22"/>
  <c r="BG210" i="22"/>
  <c r="BH210" i="22"/>
  <c r="BF210" i="22"/>
  <c r="BG209" i="22"/>
  <c r="BH209" i="22"/>
  <c r="BF209" i="22"/>
  <c r="BG208" i="22"/>
  <c r="BH208" i="22"/>
  <c r="BF208" i="22"/>
  <c r="BG207" i="22"/>
  <c r="BH207" i="22"/>
  <c r="BF207" i="22"/>
  <c r="BG206" i="22"/>
  <c r="BH206" i="22"/>
  <c r="BF206" i="22"/>
  <c r="BG205" i="22"/>
  <c r="BH205" i="22"/>
  <c r="BF205" i="22"/>
  <c r="BG204" i="22"/>
  <c r="BH204" i="22"/>
  <c r="BF204" i="22"/>
  <c r="BG203" i="22"/>
  <c r="BH203" i="22"/>
  <c r="BF203" i="22"/>
  <c r="BG202" i="22"/>
  <c r="BH202" i="22"/>
  <c r="BF202" i="22"/>
  <c r="BG201" i="22"/>
  <c r="BH201" i="22"/>
  <c r="BF201" i="22"/>
  <c r="BG200" i="22"/>
  <c r="BH200" i="22"/>
  <c r="BF200" i="22"/>
  <c r="BG199" i="22"/>
  <c r="BH199" i="22"/>
  <c r="BF199" i="22"/>
  <c r="BG198" i="22"/>
  <c r="BH198" i="22"/>
  <c r="BF198" i="22"/>
  <c r="BG197" i="22"/>
  <c r="BH197" i="22"/>
  <c r="BF197" i="22"/>
  <c r="BG196" i="22"/>
  <c r="BH196" i="22"/>
  <c r="BF196" i="22"/>
  <c r="BG195" i="22"/>
  <c r="BH195" i="22"/>
  <c r="BF195" i="22"/>
  <c r="BG194" i="22"/>
  <c r="BH194" i="22"/>
  <c r="BF194" i="22"/>
  <c r="BG193" i="22"/>
  <c r="BH193" i="22"/>
  <c r="BF193" i="22"/>
  <c r="BG192" i="22"/>
  <c r="BH192" i="22"/>
  <c r="BF192" i="22"/>
  <c r="BG191" i="22"/>
  <c r="BH191" i="22"/>
  <c r="BF191" i="22"/>
  <c r="BG190" i="22"/>
  <c r="BH190" i="22"/>
  <c r="BF190" i="22"/>
  <c r="BG189" i="22"/>
  <c r="BH189" i="22"/>
  <c r="BF189" i="22"/>
  <c r="BG188" i="22"/>
  <c r="BH188" i="22"/>
  <c r="BF188" i="22"/>
  <c r="BG187" i="22"/>
  <c r="BH187" i="22"/>
  <c r="BF187" i="22"/>
  <c r="BG186" i="22"/>
  <c r="BH186" i="22"/>
  <c r="BF186" i="22"/>
  <c r="BG185" i="22"/>
  <c r="BH185" i="22"/>
  <c r="BF185" i="22"/>
  <c r="BG184" i="22"/>
  <c r="BH184" i="22"/>
  <c r="BF184" i="22"/>
  <c r="BG183" i="22"/>
  <c r="BH183" i="22"/>
  <c r="BF183" i="22"/>
  <c r="BG182" i="22"/>
  <c r="BH182" i="22"/>
  <c r="BF182" i="22"/>
  <c r="BG181" i="22"/>
  <c r="BH181" i="22"/>
  <c r="BF181" i="22"/>
  <c r="BG180" i="22"/>
  <c r="BH180" i="22"/>
  <c r="BF180" i="22"/>
  <c r="BG179" i="22"/>
  <c r="BH179" i="22"/>
  <c r="BF179" i="22"/>
  <c r="BG178" i="22"/>
  <c r="BH178" i="22"/>
  <c r="BF178" i="22"/>
  <c r="BG177" i="22"/>
  <c r="BH177" i="22"/>
  <c r="BF177" i="22"/>
  <c r="BG176" i="22"/>
  <c r="BH176" i="22"/>
  <c r="BF176" i="22"/>
  <c r="BG175" i="22"/>
  <c r="BH175" i="22"/>
  <c r="BF175" i="22"/>
  <c r="BG174" i="22"/>
  <c r="BH174" i="22"/>
  <c r="BF174" i="22"/>
  <c r="BG173" i="22"/>
  <c r="BH173" i="22"/>
  <c r="BF173" i="22"/>
  <c r="BG172" i="22"/>
  <c r="BH172" i="22"/>
  <c r="BF172" i="22"/>
  <c r="BG171" i="22"/>
  <c r="BH171" i="22"/>
  <c r="BF171" i="2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2" i="32"/>
  <c r="L21" i="32"/>
  <c r="G21" i="32"/>
  <c r="L20" i="32"/>
  <c r="G20" i="32"/>
  <c r="L19" i="32"/>
  <c r="G19" i="32"/>
  <c r="L18" i="32"/>
  <c r="G18" i="32"/>
  <c r="L17" i="32"/>
  <c r="G17" i="32"/>
  <c r="L16" i="32"/>
  <c r="G16" i="32"/>
  <c r="L15" i="32"/>
  <c r="G15" i="32"/>
  <c r="L14" i="32"/>
  <c r="G14" i="32"/>
  <c r="L13" i="32"/>
  <c r="G13" i="32"/>
  <c r="L12" i="32"/>
  <c r="G12" i="32"/>
  <c r="L11" i="32"/>
  <c r="G11" i="32"/>
  <c r="L10" i="32"/>
  <c r="G10" i="32"/>
  <c r="L9" i="32"/>
  <c r="G9" i="32"/>
  <c r="L8" i="32"/>
  <c r="G8" i="32"/>
  <c r="L7" i="32"/>
  <c r="G7" i="32"/>
  <c r="BX12" i="31"/>
  <c r="BW12" i="31"/>
  <c r="BV12" i="31"/>
  <c r="BU12" i="31"/>
  <c r="BT12" i="31"/>
  <c r="BS12" i="31"/>
  <c r="BR12" i="31"/>
  <c r="BQ12" i="31"/>
  <c r="BP12" i="31"/>
  <c r="BO12" i="31"/>
  <c r="BN12" i="31"/>
  <c r="BM12" i="31"/>
  <c r="BL12" i="31"/>
  <c r="BK12" i="31"/>
  <c r="BI12" i="31"/>
  <c r="BH12" i="31"/>
  <c r="BG12" i="31"/>
  <c r="BF12" i="31"/>
  <c r="BE12" i="31"/>
  <c r="BD12" i="31"/>
  <c r="BC12" i="31"/>
  <c r="BA12" i="31"/>
  <c r="AZ12" i="31"/>
  <c r="AY12" i="31"/>
  <c r="AX12" i="31"/>
  <c r="AW12" i="31"/>
  <c r="AV12" i="31"/>
  <c r="AU12" i="31"/>
  <c r="AT12" i="31"/>
  <c r="AS12" i="31"/>
  <c r="AR12" i="31"/>
  <c r="AQ12" i="31"/>
  <c r="AP12" i="31"/>
  <c r="AO12" i="31"/>
  <c r="AN12" i="31"/>
  <c r="AM12" i="31"/>
  <c r="AL12" i="31"/>
  <c r="AK12" i="31"/>
  <c r="AJ12" i="31"/>
  <c r="AI12" i="31"/>
  <c r="AH12" i="31"/>
  <c r="AG12" i="31"/>
  <c r="AF12" i="31"/>
  <c r="AE12" i="31"/>
  <c r="AD12" i="31"/>
  <c r="AC12" i="31"/>
  <c r="AB12" i="31"/>
  <c r="AA12" i="31"/>
  <c r="Z12" i="31"/>
  <c r="Y12" i="31"/>
  <c r="W12" i="31"/>
  <c r="V12" i="31"/>
  <c r="U12" i="31"/>
  <c r="T12" i="31"/>
  <c r="S12" i="31"/>
  <c r="R12" i="31"/>
  <c r="Q12" i="31"/>
  <c r="P12" i="31"/>
  <c r="O12" i="31"/>
  <c r="N12" i="31"/>
  <c r="M12" i="31"/>
  <c r="L12" i="31"/>
  <c r="K12" i="31"/>
  <c r="I60" i="2"/>
  <c r="J60" i="2"/>
  <c r="K60" i="2"/>
  <c r="B5" i="21" s="1"/>
  <c r="L60" i="2"/>
  <c r="C96" i="19"/>
  <c r="B39" i="12"/>
  <c r="J122" i="27"/>
  <c r="G122" i="27"/>
  <c r="J41" i="22"/>
  <c r="J102" i="27"/>
  <c r="G102" i="27"/>
  <c r="F102" i="27"/>
  <c r="I102" i="27"/>
  <c r="AD36" i="15"/>
  <c r="R217" i="22"/>
  <c r="Q215" i="22"/>
  <c r="F213" i="22"/>
  <c r="F212" i="22"/>
  <c r="S212" i="22" s="1"/>
  <c r="F209" i="22"/>
  <c r="F208" i="22"/>
  <c r="T208" i="22" s="1"/>
  <c r="F205" i="22"/>
  <c r="F204" i="22"/>
  <c r="S204" i="22" s="1"/>
  <c r="F201" i="22"/>
  <c r="F200" i="22"/>
  <c r="F197" i="22"/>
  <c r="F195" i="22"/>
  <c r="F194" i="22"/>
  <c r="F192" i="22"/>
  <c r="T192" i="22" s="1"/>
  <c r="F190" i="22"/>
  <c r="F187" i="22"/>
  <c r="F185" i="22"/>
  <c r="F184" i="22"/>
  <c r="S184" i="22" s="1"/>
  <c r="F181" i="22"/>
  <c r="F179" i="22"/>
  <c r="F178" i="22"/>
  <c r="F176" i="22"/>
  <c r="F173" i="22"/>
  <c r="F172" i="22"/>
  <c r="T172" i="22" s="1"/>
  <c r="Y217" i="22"/>
  <c r="Y215" i="22"/>
  <c r="Y213" i="22"/>
  <c r="Y211" i="22"/>
  <c r="Y209" i="22"/>
  <c r="Y207" i="22"/>
  <c r="Y205" i="22"/>
  <c r="Y187" i="22"/>
  <c r="Y183" i="22"/>
  <c r="Y181" i="22"/>
  <c r="Y179" i="22"/>
  <c r="Y177" i="22"/>
  <c r="Y175" i="22"/>
  <c r="Y173" i="22"/>
  <c r="Y171" i="22"/>
  <c r="AD217" i="22"/>
  <c r="AD215" i="22"/>
  <c r="AD213" i="22"/>
  <c r="AD211" i="22"/>
  <c r="AD209" i="22"/>
  <c r="AD207" i="22"/>
  <c r="M121" i="27"/>
  <c r="K121" i="27"/>
  <c r="M101" i="27"/>
  <c r="K101" i="27"/>
  <c r="M92" i="27"/>
  <c r="K92" i="27"/>
  <c r="M75" i="27"/>
  <c r="K75" i="27"/>
  <c r="J12" i="27"/>
  <c r="I12" i="27"/>
  <c r="H12" i="27"/>
  <c r="G12" i="27"/>
  <c r="F12" i="27"/>
  <c r="E12" i="27"/>
  <c r="D12" i="27"/>
  <c r="C12" i="27"/>
  <c r="B12" i="27"/>
  <c r="B92" i="27" s="1"/>
  <c r="M276" i="26"/>
  <c r="K276" i="26"/>
  <c r="K157" i="26"/>
  <c r="H19" i="26"/>
  <c r="F19" i="26"/>
  <c r="E19" i="26"/>
  <c r="C19" i="26"/>
  <c r="B19" i="26"/>
  <c r="B317" i="26" s="1"/>
  <c r="B326" i="22"/>
  <c r="C326" i="22" s="1"/>
  <c r="D326" i="22" s="1"/>
  <c r="B317" i="22"/>
  <c r="C317" i="22" s="1"/>
  <c r="D317" i="22" s="1"/>
  <c r="B305" i="22"/>
  <c r="B294" i="22"/>
  <c r="C294" i="22" s="1"/>
  <c r="D294" i="22" s="1"/>
  <c r="B285" i="22"/>
  <c r="C285" i="22"/>
  <c r="D285" i="22" s="1"/>
  <c r="M276" i="22"/>
  <c r="K276" i="22"/>
  <c r="B276" i="22"/>
  <c r="B265" i="22"/>
  <c r="C265" i="22" s="1"/>
  <c r="D265" i="22" s="1"/>
  <c r="B243" i="22"/>
  <c r="C243" i="22" s="1"/>
  <c r="D243" i="22" s="1"/>
  <c r="B235" i="22"/>
  <c r="C235" i="22" s="1"/>
  <c r="D235" i="22" s="1"/>
  <c r="B226" i="22"/>
  <c r="K157" i="22"/>
  <c r="B157" i="22"/>
  <c r="F157" i="22" s="1"/>
  <c r="E148" i="22"/>
  <c r="F148" i="22" s="1"/>
  <c r="B70" i="22"/>
  <c r="G70" i="22" s="1"/>
  <c r="B65" i="22"/>
  <c r="L65" i="22" s="1"/>
  <c r="B41" i="22"/>
  <c r="F41" i="22" s="1"/>
  <c r="H70" i="22"/>
  <c r="B326" i="26"/>
  <c r="E41" i="22"/>
  <c r="B84" i="27"/>
  <c r="B305" i="26"/>
  <c r="B285" i="26"/>
  <c r="B265" i="26"/>
  <c r="B65" i="26"/>
  <c r="M65" i="26" s="1"/>
  <c r="B157" i="26"/>
  <c r="C305" i="22"/>
  <c r="D305" i="22" s="1"/>
  <c r="C276" i="22"/>
  <c r="D276" i="22" s="1"/>
  <c r="C226" i="22"/>
  <c r="D226" i="22" s="1"/>
  <c r="M148" i="22"/>
  <c r="M70" i="22"/>
  <c r="B339" i="22"/>
  <c r="D356" i="26"/>
  <c r="C356" i="26"/>
  <c r="K354" i="26"/>
  <c r="J354" i="26"/>
  <c r="I354" i="26"/>
  <c r="H354" i="26"/>
  <c r="G354" i="26"/>
  <c r="F354" i="26"/>
  <c r="D354" i="26"/>
  <c r="R373" i="26" s="1"/>
  <c r="C354" i="26"/>
  <c r="F350" i="26"/>
  <c r="D348" i="26"/>
  <c r="I346" i="26"/>
  <c r="G346" i="26"/>
  <c r="H58" i="26"/>
  <c r="Q58" i="26"/>
  <c r="R58" i="26"/>
  <c r="H58" i="22"/>
  <c r="I58" i="22"/>
  <c r="J58" i="22"/>
  <c r="Q58" i="22"/>
  <c r="R58" i="22"/>
  <c r="E23" i="3"/>
  <c r="P30" i="8" a="1"/>
  <c r="P30" i="8" s="1"/>
  <c r="R390" i="26"/>
  <c r="R392" i="22"/>
  <c r="H128" i="27"/>
  <c r="R136" i="27" s="1"/>
  <c r="J30" i="14"/>
  <c r="Q62" i="10"/>
  <c r="Q61" i="10"/>
  <c r="Q60" i="10"/>
  <c r="Q59" i="10"/>
  <c r="Q57" i="10"/>
  <c r="Q58" i="10"/>
  <c r="E217" i="26"/>
  <c r="E215" i="26"/>
  <c r="E213" i="26"/>
  <c r="E211" i="26"/>
  <c r="E209" i="26"/>
  <c r="E207" i="26"/>
  <c r="E205" i="26"/>
  <c r="E203" i="26"/>
  <c r="E201" i="26"/>
  <c r="E199" i="26"/>
  <c r="E197" i="26"/>
  <c r="E195" i="26"/>
  <c r="E193" i="26"/>
  <c r="E191" i="26"/>
  <c r="E189" i="26"/>
  <c r="E187" i="26"/>
  <c r="E185" i="26"/>
  <c r="E183" i="26"/>
  <c r="F183" i="26" s="1"/>
  <c r="E181" i="26"/>
  <c r="E179" i="26"/>
  <c r="E177" i="26"/>
  <c r="F178" i="26" s="1"/>
  <c r="S178" i="26" s="1"/>
  <c r="E175" i="26"/>
  <c r="E173" i="26"/>
  <c r="E171" i="26"/>
  <c r="D217" i="26"/>
  <c r="Y217" i="26" s="1"/>
  <c r="D215" i="26"/>
  <c r="Y215" i="26" s="1"/>
  <c r="D213" i="26"/>
  <c r="Y213" i="26" s="1"/>
  <c r="D211" i="26"/>
  <c r="Y211" i="26" s="1"/>
  <c r="D209" i="26"/>
  <c r="Y209" i="26" s="1"/>
  <c r="D207" i="26"/>
  <c r="Y207" i="26" s="1"/>
  <c r="D205" i="26"/>
  <c r="Y205" i="26" s="1"/>
  <c r="D203" i="26"/>
  <c r="D201" i="26"/>
  <c r="D199" i="26"/>
  <c r="D197" i="26"/>
  <c r="D195" i="26"/>
  <c r="D193" i="26"/>
  <c r="D191" i="26"/>
  <c r="D189" i="26"/>
  <c r="D187" i="26"/>
  <c r="Y187" i="26" s="1"/>
  <c r="D185" i="26"/>
  <c r="D183" i="26"/>
  <c r="Y183" i="26" s="1"/>
  <c r="D181" i="26"/>
  <c r="Y181" i="26" s="1"/>
  <c r="D179" i="26"/>
  <c r="Y179" i="26" s="1"/>
  <c r="D177" i="26"/>
  <c r="Y177" i="26" s="1"/>
  <c r="D175" i="26"/>
  <c r="Y175" i="26" s="1"/>
  <c r="D173" i="26"/>
  <c r="Y173" i="26" s="1"/>
  <c r="D171" i="26"/>
  <c r="Y171" i="26" s="1"/>
  <c r="B217" i="26"/>
  <c r="B215" i="26"/>
  <c r="AD215" i="26" s="1"/>
  <c r="B213" i="26"/>
  <c r="AD213" i="26" s="1"/>
  <c r="B211" i="26"/>
  <c r="AD211" i="26" s="1"/>
  <c r="B209" i="26"/>
  <c r="AD209" i="26" s="1"/>
  <c r="B207" i="26"/>
  <c r="AD207" i="26" s="1"/>
  <c r="B10" i="27"/>
  <c r="B11" i="27"/>
  <c r="B100" i="27" s="1"/>
  <c r="K156" i="26"/>
  <c r="K155" i="26"/>
  <c r="B17" i="26"/>
  <c r="C17" i="26"/>
  <c r="E17" i="26"/>
  <c r="K97" i="26"/>
  <c r="G171" i="26" s="1"/>
  <c r="K98" i="26"/>
  <c r="G172" i="26" s="1"/>
  <c r="K99" i="26"/>
  <c r="G173" i="26" s="1"/>
  <c r="H346" i="26" s="1"/>
  <c r="K100" i="26"/>
  <c r="G174" i="26" s="1"/>
  <c r="C348" i="26" s="1"/>
  <c r="K101" i="26"/>
  <c r="G175" i="26" s="1"/>
  <c r="I175" i="26" s="1"/>
  <c r="K102" i="26"/>
  <c r="G176" i="26" s="1"/>
  <c r="K103" i="26"/>
  <c r="G177" i="26" s="1"/>
  <c r="K104" i="26"/>
  <c r="G178" i="26"/>
  <c r="I178" i="26" s="1"/>
  <c r="K105" i="26"/>
  <c r="G179" i="26" s="1"/>
  <c r="K348" i="26" s="1"/>
  <c r="K106" i="26"/>
  <c r="G180" i="26"/>
  <c r="I180" i="26" s="1"/>
  <c r="K107" i="26"/>
  <c r="G181" i="26" s="1"/>
  <c r="K108" i="26"/>
  <c r="G182" i="26"/>
  <c r="I182" i="26" s="1"/>
  <c r="K109" i="26"/>
  <c r="G183" i="26" s="1"/>
  <c r="I183" i="26" s="1"/>
  <c r="K110" i="26"/>
  <c r="G184" i="26" s="1"/>
  <c r="K111" i="26"/>
  <c r="G185" i="26" s="1"/>
  <c r="K112" i="26"/>
  <c r="G186" i="26" s="1"/>
  <c r="I186" i="26" s="1"/>
  <c r="K113" i="26"/>
  <c r="G187" i="26" s="1"/>
  <c r="K114" i="26"/>
  <c r="G188" i="26" s="1"/>
  <c r="I188" i="26" s="1"/>
  <c r="K115" i="26"/>
  <c r="G189" i="26" s="1"/>
  <c r="I189" i="26" s="1"/>
  <c r="K116" i="26"/>
  <c r="K117" i="26"/>
  <c r="G191" i="26" s="1"/>
  <c r="I191" i="26" s="1"/>
  <c r="K118" i="26"/>
  <c r="G192" i="26" s="1"/>
  <c r="I192" i="26" s="1"/>
  <c r="K119" i="26"/>
  <c r="G193" i="26" s="1"/>
  <c r="K120" i="26"/>
  <c r="G194" i="26" s="1"/>
  <c r="K121" i="26"/>
  <c r="G195" i="26" s="1"/>
  <c r="I195" i="26" s="1"/>
  <c r="K122" i="26"/>
  <c r="G196" i="26" s="1"/>
  <c r="K123" i="26"/>
  <c r="G197" i="26" s="1"/>
  <c r="I197" i="26" s="1"/>
  <c r="K124" i="26"/>
  <c r="G198" i="26" s="1"/>
  <c r="I198" i="26" s="1"/>
  <c r="K125" i="26"/>
  <c r="G199" i="26" s="1"/>
  <c r="K126" i="26"/>
  <c r="G200" i="26" s="1"/>
  <c r="K127" i="26"/>
  <c r="G201" i="26"/>
  <c r="I201" i="26" s="1"/>
  <c r="K128" i="26"/>
  <c r="G202" i="26" s="1"/>
  <c r="I202" i="26" s="1"/>
  <c r="K129" i="26"/>
  <c r="G203" i="26"/>
  <c r="K130" i="26"/>
  <c r="G204" i="26" s="1"/>
  <c r="K131" i="26"/>
  <c r="G205" i="26" s="1"/>
  <c r="I205" i="26" s="1"/>
  <c r="K132" i="26"/>
  <c r="G206" i="26" s="1"/>
  <c r="K134" i="26"/>
  <c r="G208" i="26" s="1"/>
  <c r="K136" i="26"/>
  <c r="G210" i="26" s="1"/>
  <c r="K138" i="26"/>
  <c r="G212" i="26" s="1"/>
  <c r="I212" i="26" s="1"/>
  <c r="K140" i="26"/>
  <c r="G214" i="26" s="1"/>
  <c r="I214" i="26" s="1"/>
  <c r="K141" i="26"/>
  <c r="G215" i="26"/>
  <c r="I215" i="26" s="1"/>
  <c r="K142" i="26"/>
  <c r="G216" i="26" s="1"/>
  <c r="I216" i="26" s="1"/>
  <c r="K143" i="26"/>
  <c r="G217" i="26" s="1"/>
  <c r="K144" i="26"/>
  <c r="G218" i="26" s="1"/>
  <c r="B18" i="26"/>
  <c r="B40" i="26" s="1"/>
  <c r="E40" i="26" s="1"/>
  <c r="C18" i="26"/>
  <c r="E18" i="26"/>
  <c r="F141" i="26"/>
  <c r="S141" i="26" s="1"/>
  <c r="F142" i="26"/>
  <c r="S142" i="26" s="1"/>
  <c r="F143" i="26"/>
  <c r="S143" i="26" s="1"/>
  <c r="F144" i="26"/>
  <c r="S144" i="26" s="1"/>
  <c r="K156" i="22"/>
  <c r="K155" i="22"/>
  <c r="B224" i="22"/>
  <c r="B225" i="22"/>
  <c r="C225" i="22" s="1"/>
  <c r="D225" i="22" s="1"/>
  <c r="B63" i="22"/>
  <c r="B64" i="22"/>
  <c r="L64" i="22" s="1"/>
  <c r="B241" i="22"/>
  <c r="C241" i="22" s="1"/>
  <c r="D241" i="22" s="1"/>
  <c r="B242" i="22"/>
  <c r="C242" i="22" s="1"/>
  <c r="D242" i="22" s="1"/>
  <c r="B233" i="22"/>
  <c r="L58" i="22" s="1"/>
  <c r="B234" i="22"/>
  <c r="B68" i="22"/>
  <c r="L68" i="22" s="1"/>
  <c r="B69" i="22"/>
  <c r="L69" i="22" s="1"/>
  <c r="B256" i="22"/>
  <c r="C256" i="22" s="1"/>
  <c r="D256" i="22" s="1"/>
  <c r="B263" i="22"/>
  <c r="C263" i="22"/>
  <c r="D263" i="22" s="1"/>
  <c r="B264" i="22"/>
  <c r="B283" i="22"/>
  <c r="C283" i="22" s="1"/>
  <c r="D283" i="22" s="1"/>
  <c r="B284" i="22"/>
  <c r="C284" i="22" s="1"/>
  <c r="D284" i="22" s="1"/>
  <c r="B292" i="22"/>
  <c r="C292" i="22" s="1"/>
  <c r="D292" i="22" s="1"/>
  <c r="B293" i="22"/>
  <c r="C293" i="22" s="1"/>
  <c r="D293" i="22" s="1"/>
  <c r="B39" i="22"/>
  <c r="B40" i="22"/>
  <c r="F40" i="22" s="1"/>
  <c r="B303" i="22"/>
  <c r="C303" i="22" s="1"/>
  <c r="D303" i="22" s="1"/>
  <c r="B304" i="22"/>
  <c r="C304" i="22"/>
  <c r="D304" i="22" s="1"/>
  <c r="F98" i="22"/>
  <c r="S98" i="22" s="1"/>
  <c r="F100" i="22"/>
  <c r="S100" i="22" s="1"/>
  <c r="F102" i="22"/>
  <c r="S102" i="22" s="1"/>
  <c r="F104" i="22"/>
  <c r="S104" i="22" s="1"/>
  <c r="F97" i="22"/>
  <c r="F99" i="22"/>
  <c r="F101" i="22"/>
  <c r="F103" i="22"/>
  <c r="F105" i="22"/>
  <c r="F106" i="22"/>
  <c r="S106" i="22" s="1"/>
  <c r="F107" i="22"/>
  <c r="F108" i="22"/>
  <c r="S108" i="22" s="1"/>
  <c r="F109" i="22"/>
  <c r="F110" i="22"/>
  <c r="S110" i="22" s="1"/>
  <c r="F111" i="22"/>
  <c r="F112" i="22"/>
  <c r="S112" i="22" s="1"/>
  <c r="F113" i="22"/>
  <c r="F114" i="22"/>
  <c r="S114" i="22" s="1"/>
  <c r="F115" i="22"/>
  <c r="F116" i="22"/>
  <c r="S116" i="22" s="1"/>
  <c r="F117" i="22"/>
  <c r="F118" i="22"/>
  <c r="S118" i="22" s="1"/>
  <c r="F119" i="22"/>
  <c r="F120" i="22"/>
  <c r="S120" i="22" s="1"/>
  <c r="F121" i="22"/>
  <c r="F122" i="22"/>
  <c r="S122" i="22" s="1"/>
  <c r="F123" i="22"/>
  <c r="F124" i="22"/>
  <c r="S124" i="22" s="1"/>
  <c r="F125" i="22"/>
  <c r="F126" i="22"/>
  <c r="S126" i="22" s="1"/>
  <c r="F127" i="22"/>
  <c r="F128" i="22"/>
  <c r="S128" i="22" s="1"/>
  <c r="F129" i="22"/>
  <c r="F130" i="22"/>
  <c r="S130" i="22" s="1"/>
  <c r="F131" i="22"/>
  <c r="F132" i="22"/>
  <c r="S132" i="22" s="1"/>
  <c r="F133" i="22"/>
  <c r="F134" i="22"/>
  <c r="S134" i="22" s="1"/>
  <c r="F135" i="22"/>
  <c r="F136" i="22"/>
  <c r="S136" i="22" s="1"/>
  <c r="F137" i="22"/>
  <c r="F138" i="22"/>
  <c r="S138" i="22" s="1"/>
  <c r="F139" i="22"/>
  <c r="F140" i="22"/>
  <c r="S140" i="22" s="1"/>
  <c r="F141" i="22"/>
  <c r="S141" i="22" s="1"/>
  <c r="F142" i="22"/>
  <c r="S142" i="22" s="1"/>
  <c r="F143" i="22"/>
  <c r="S143" i="22" s="1"/>
  <c r="F144" i="22"/>
  <c r="S144" i="22" s="1"/>
  <c r="C39" i="12"/>
  <c r="I48" i="12"/>
  <c r="F29" i="12"/>
  <c r="B31" i="10"/>
  <c r="B32" i="10"/>
  <c r="M143" i="10"/>
  <c r="W139" i="10"/>
  <c r="W140" i="10"/>
  <c r="M116" i="10"/>
  <c r="M128" i="10"/>
  <c r="M148" i="10" s="1"/>
  <c r="D16" i="8"/>
  <c r="C31" i="10"/>
  <c r="W138" i="10"/>
  <c r="W141" i="10"/>
  <c r="W142" i="10"/>
  <c r="B68" i="10"/>
  <c r="B89" i="10"/>
  <c r="C89" i="10"/>
  <c r="P59" i="4"/>
  <c r="P60" i="4"/>
  <c r="P61" i="4"/>
  <c r="P62" i="4"/>
  <c r="O59" i="4"/>
  <c r="O60" i="4"/>
  <c r="O61" i="4"/>
  <c r="O62" i="4"/>
  <c r="K59" i="4"/>
  <c r="K60" i="4"/>
  <c r="K61" i="4"/>
  <c r="K62" i="4"/>
  <c r="J59" i="4"/>
  <c r="J60" i="4"/>
  <c r="J61" i="4"/>
  <c r="J62" i="4"/>
  <c r="I66" i="2"/>
  <c r="K66" i="2" s="1"/>
  <c r="M136" i="10"/>
  <c r="F136" i="10"/>
  <c r="H136" i="10"/>
  <c r="I136" i="10"/>
  <c r="J136" i="10"/>
  <c r="B97" i="10"/>
  <c r="H18" i="26"/>
  <c r="F18" i="26"/>
  <c r="H17" i="26"/>
  <c r="F17" i="26"/>
  <c r="R389" i="26"/>
  <c r="F335" i="26"/>
  <c r="I335" i="26"/>
  <c r="C337" i="26" s="1"/>
  <c r="AD217" i="26"/>
  <c r="R386" i="26"/>
  <c r="J25" i="8"/>
  <c r="F25" i="8"/>
  <c r="I25" i="8" s="1"/>
  <c r="G25" i="8"/>
  <c r="B359" i="26"/>
  <c r="B339" i="26"/>
  <c r="B313" i="26"/>
  <c r="I313" i="26" s="1"/>
  <c r="D313" i="26"/>
  <c r="J277" i="26"/>
  <c r="G277" i="26"/>
  <c r="M275" i="26"/>
  <c r="K275" i="26"/>
  <c r="M274" i="26"/>
  <c r="K274" i="26"/>
  <c r="J227" i="26"/>
  <c r="V218" i="26"/>
  <c r="R218" i="26"/>
  <c r="Q218" i="26"/>
  <c r="V217" i="26"/>
  <c r="V216" i="26"/>
  <c r="R216" i="26"/>
  <c r="Q216" i="26"/>
  <c r="V215" i="26"/>
  <c r="V214" i="26"/>
  <c r="R214" i="26"/>
  <c r="Q214" i="26"/>
  <c r="V213" i="26"/>
  <c r="V212" i="26"/>
  <c r="R212" i="26"/>
  <c r="Q212" i="26"/>
  <c r="V211" i="26"/>
  <c r="V210" i="26"/>
  <c r="R210" i="26"/>
  <c r="Q210" i="26"/>
  <c r="V209" i="26"/>
  <c r="V208" i="26"/>
  <c r="R208" i="26"/>
  <c r="Q208" i="26"/>
  <c r="V207" i="26"/>
  <c r="V206" i="26"/>
  <c r="R206" i="26"/>
  <c r="Q206" i="26"/>
  <c r="AD205" i="26"/>
  <c r="V205" i="26"/>
  <c r="V204" i="26"/>
  <c r="R204" i="26"/>
  <c r="Q204" i="26"/>
  <c r="AD203" i="26"/>
  <c r="V203" i="26"/>
  <c r="V202" i="26"/>
  <c r="R202" i="26"/>
  <c r="Q202" i="26"/>
  <c r="AD201" i="26"/>
  <c r="V201" i="26"/>
  <c r="V200" i="26"/>
  <c r="R200" i="26"/>
  <c r="Q200" i="26"/>
  <c r="AD199" i="26"/>
  <c r="V199" i="26"/>
  <c r="V198" i="26"/>
  <c r="R198" i="26"/>
  <c r="Q198" i="26"/>
  <c r="AD197" i="26"/>
  <c r="V197" i="26"/>
  <c r="V196" i="26"/>
  <c r="R196" i="26"/>
  <c r="Q196" i="26"/>
  <c r="AD195" i="26"/>
  <c r="V195" i="26"/>
  <c r="V194" i="26"/>
  <c r="R194" i="26"/>
  <c r="Q194" i="26"/>
  <c r="AD193" i="26"/>
  <c r="V193" i="26"/>
  <c r="V192" i="26"/>
  <c r="R192" i="26"/>
  <c r="Q192" i="26"/>
  <c r="AD191" i="26"/>
  <c r="V191" i="26"/>
  <c r="V190" i="26"/>
  <c r="R190" i="26"/>
  <c r="Q190" i="26"/>
  <c r="AD189" i="26"/>
  <c r="V189" i="26"/>
  <c r="V188" i="26"/>
  <c r="R188" i="26"/>
  <c r="Q188" i="26"/>
  <c r="AD187" i="26"/>
  <c r="V187" i="26"/>
  <c r="V186" i="26"/>
  <c r="R186" i="26"/>
  <c r="Q186" i="26"/>
  <c r="AD185" i="26"/>
  <c r="V185" i="26"/>
  <c r="V184" i="26"/>
  <c r="R184" i="26"/>
  <c r="Q184" i="26"/>
  <c r="AD183" i="26"/>
  <c r="V183" i="26"/>
  <c r="V182" i="26"/>
  <c r="R182" i="26"/>
  <c r="Q182" i="26"/>
  <c r="AD181" i="26"/>
  <c r="V181" i="26"/>
  <c r="V180" i="26"/>
  <c r="R180" i="26"/>
  <c r="Q180" i="26"/>
  <c r="AD179" i="26"/>
  <c r="V179" i="26"/>
  <c r="V178" i="26"/>
  <c r="R178" i="26"/>
  <c r="Q178" i="26"/>
  <c r="AD177" i="26"/>
  <c r="V177" i="26"/>
  <c r="V176" i="26"/>
  <c r="R176" i="26"/>
  <c r="Q176" i="26"/>
  <c r="AD175" i="26"/>
  <c r="V175" i="26"/>
  <c r="V174" i="26"/>
  <c r="R174" i="26"/>
  <c r="Q174" i="26"/>
  <c r="AD173" i="26"/>
  <c r="V173" i="26"/>
  <c r="V172" i="26"/>
  <c r="R172" i="26"/>
  <c r="Q172" i="26"/>
  <c r="AD171" i="26"/>
  <c r="V171" i="26"/>
  <c r="M158" i="26"/>
  <c r="L158" i="26"/>
  <c r="J158" i="26"/>
  <c r="I158" i="26"/>
  <c r="H158" i="26"/>
  <c r="G158" i="26"/>
  <c r="S145" i="26"/>
  <c r="R144" i="26"/>
  <c r="Q144" i="26"/>
  <c r="R143" i="26"/>
  <c r="Q143" i="26"/>
  <c r="R142" i="26"/>
  <c r="Q142" i="26"/>
  <c r="R141" i="26"/>
  <c r="Q141" i="26"/>
  <c r="R140" i="26"/>
  <c r="Q140" i="26"/>
  <c r="R138" i="26"/>
  <c r="Q138" i="26"/>
  <c r="R136" i="26"/>
  <c r="Q136" i="26"/>
  <c r="R134" i="26"/>
  <c r="Q134" i="26"/>
  <c r="R132" i="26"/>
  <c r="Q132" i="26"/>
  <c r="R130" i="26"/>
  <c r="Q130" i="26"/>
  <c r="R128" i="26"/>
  <c r="Q128" i="26"/>
  <c r="R126" i="26"/>
  <c r="Q126" i="26"/>
  <c r="R124" i="26"/>
  <c r="Q124" i="26"/>
  <c r="R122" i="26"/>
  <c r="Q122" i="26"/>
  <c r="R120" i="26"/>
  <c r="Q120" i="26"/>
  <c r="R118" i="26"/>
  <c r="Q118" i="26"/>
  <c r="R116" i="26"/>
  <c r="Q116" i="26"/>
  <c r="R114" i="26"/>
  <c r="Q114" i="26"/>
  <c r="R112" i="26"/>
  <c r="Q112" i="26"/>
  <c r="R110" i="26"/>
  <c r="Q110" i="26"/>
  <c r="R108" i="26"/>
  <c r="Q108" i="26"/>
  <c r="R106" i="26"/>
  <c r="Q106" i="26"/>
  <c r="R104" i="26"/>
  <c r="Q104" i="26"/>
  <c r="R102" i="26"/>
  <c r="Q102" i="26"/>
  <c r="R100" i="26"/>
  <c r="Q100" i="26"/>
  <c r="R98" i="26"/>
  <c r="Q98" i="26"/>
  <c r="R60" i="26"/>
  <c r="Q60" i="26"/>
  <c r="H60" i="26"/>
  <c r="R59" i="26"/>
  <c r="Q59" i="26"/>
  <c r="H59" i="26"/>
  <c r="R57" i="26"/>
  <c r="Q57" i="26"/>
  <c r="H57" i="26"/>
  <c r="I42" i="26"/>
  <c r="I33" i="3"/>
  <c r="J33" i="3" s="1"/>
  <c r="B4" i="21"/>
  <c r="B6" i="21"/>
  <c r="F8" i="21" s="1"/>
  <c r="R172" i="22"/>
  <c r="R174" i="22"/>
  <c r="R176" i="22"/>
  <c r="R178" i="22"/>
  <c r="R180" i="22"/>
  <c r="R182" i="22"/>
  <c r="R184" i="22"/>
  <c r="R186" i="22"/>
  <c r="R188" i="22"/>
  <c r="R190" i="22"/>
  <c r="R192" i="22"/>
  <c r="R194" i="22"/>
  <c r="R196" i="22"/>
  <c r="R198" i="22"/>
  <c r="R200" i="22"/>
  <c r="R202" i="22"/>
  <c r="R204" i="22"/>
  <c r="R206" i="22"/>
  <c r="R208" i="22"/>
  <c r="R210" i="22"/>
  <c r="R212" i="22"/>
  <c r="R214" i="22"/>
  <c r="R216" i="22"/>
  <c r="R218" i="22"/>
  <c r="C98" i="19"/>
  <c r="Q57" i="8"/>
  <c r="H57" i="8" s="1"/>
  <c r="Q55" i="8"/>
  <c r="S55" i="8" s="1"/>
  <c r="P57" i="8"/>
  <c r="G57" i="8" s="1"/>
  <c r="P55" i="8"/>
  <c r="R55" i="8" s="1"/>
  <c r="H47" i="8"/>
  <c r="P47" i="8"/>
  <c r="G47" i="8" s="1"/>
  <c r="P45" i="8"/>
  <c r="G45" i="8" s="1"/>
  <c r="P86" i="7"/>
  <c r="P84" i="7"/>
  <c r="R84" i="7" s="1"/>
  <c r="O86" i="7"/>
  <c r="F86" i="7" s="1"/>
  <c r="O85" i="7"/>
  <c r="Q85" i="7" s="1"/>
  <c r="O84" i="7"/>
  <c r="F84" i="7" s="1"/>
  <c r="P75" i="7"/>
  <c r="G75" i="7" s="1"/>
  <c r="O76" i="7"/>
  <c r="F76" i="7" s="1"/>
  <c r="P74" i="7"/>
  <c r="G74" i="7" s="1"/>
  <c r="O74" i="7"/>
  <c r="F74" i="7" s="1"/>
  <c r="P66" i="7"/>
  <c r="G66" i="7" s="1"/>
  <c r="P65" i="7"/>
  <c r="G65" i="7" s="1"/>
  <c r="P64" i="7"/>
  <c r="R64" i="7" s="1"/>
  <c r="O65" i="7"/>
  <c r="F65" i="7"/>
  <c r="O64" i="7"/>
  <c r="F64" i="7" s="1"/>
  <c r="P55" i="7"/>
  <c r="P54" i="7"/>
  <c r="G54" i="7" s="1"/>
  <c r="O56" i="7"/>
  <c r="F56" i="7" s="1"/>
  <c r="O55" i="7"/>
  <c r="F55" i="7" s="1"/>
  <c r="O54" i="7"/>
  <c r="Q54" i="7" s="1"/>
  <c r="P46" i="7"/>
  <c r="G46" i="7" s="1"/>
  <c r="P45" i="7"/>
  <c r="G45" i="7" s="1"/>
  <c r="P44" i="7"/>
  <c r="R44" i="7" s="1"/>
  <c r="O46" i="7"/>
  <c r="F46" i="7" s="1"/>
  <c r="O44" i="7"/>
  <c r="Q44" i="7" s="1"/>
  <c r="P36" i="7"/>
  <c r="G36" i="7" s="1"/>
  <c r="P34" i="7"/>
  <c r="R34" i="7" s="1"/>
  <c r="O36" i="7"/>
  <c r="F36" i="7" s="1"/>
  <c r="O35" i="7"/>
  <c r="F35" i="7" s="1"/>
  <c r="O34" i="7"/>
  <c r="F34" i="7"/>
  <c r="B21" i="2"/>
  <c r="F12" i="5"/>
  <c r="E12" i="5"/>
  <c r="D12" i="5"/>
  <c r="AA501" i="29"/>
  <c r="AB501" i="29" s="1"/>
  <c r="AA502" i="29"/>
  <c r="AB502" i="29"/>
  <c r="AA503" i="29"/>
  <c r="AB503" i="29" s="1"/>
  <c r="AA504" i="29"/>
  <c r="AB504" i="29"/>
  <c r="AA492" i="29"/>
  <c r="AB492" i="29" s="1"/>
  <c r="AA493" i="29"/>
  <c r="AB493" i="29" s="1"/>
  <c r="AA494" i="29"/>
  <c r="AB494" i="29" s="1"/>
  <c r="AA495" i="29"/>
  <c r="AB495" i="29"/>
  <c r="AA483" i="29"/>
  <c r="AB483" i="29" s="1"/>
  <c r="AA484" i="29"/>
  <c r="AB484" i="29" s="1"/>
  <c r="AA485" i="29"/>
  <c r="AB485" i="29" s="1"/>
  <c r="AA486" i="29"/>
  <c r="AB486" i="29"/>
  <c r="AA474" i="29"/>
  <c r="AB474" i="29" s="1"/>
  <c r="AA475" i="29"/>
  <c r="AB475" i="29" s="1"/>
  <c r="AA476" i="29"/>
  <c r="AB476" i="29" s="1"/>
  <c r="AA477" i="29"/>
  <c r="AB477" i="29" s="1"/>
  <c r="AA465" i="29"/>
  <c r="AB465" i="29" s="1"/>
  <c r="AA466" i="29"/>
  <c r="AB466" i="29" s="1"/>
  <c r="AA467" i="29"/>
  <c r="AB467" i="29" s="1"/>
  <c r="AA468" i="29"/>
  <c r="AB468" i="29" s="1"/>
  <c r="AA454" i="29"/>
  <c r="AB454" i="29"/>
  <c r="AA455" i="29"/>
  <c r="AB455" i="29" s="1"/>
  <c r="AA456" i="29"/>
  <c r="AB456" i="29"/>
  <c r="AA457" i="29"/>
  <c r="AB457" i="29" s="1"/>
  <c r="AA445" i="29"/>
  <c r="AB445" i="29" s="1"/>
  <c r="AA446" i="29"/>
  <c r="AB446" i="29" s="1"/>
  <c r="AA447" i="29"/>
  <c r="AB447" i="29"/>
  <c r="AA448" i="29"/>
  <c r="AB448" i="29" s="1"/>
  <c r="AA436" i="29"/>
  <c r="AB436" i="29"/>
  <c r="AA437" i="29"/>
  <c r="AB437" i="29" s="1"/>
  <c r="AA438" i="29"/>
  <c r="AB438" i="29"/>
  <c r="AA439" i="29"/>
  <c r="AB439" i="29" s="1"/>
  <c r="AA427" i="29"/>
  <c r="AB427" i="29" s="1"/>
  <c r="AA428" i="29"/>
  <c r="AB428" i="29" s="1"/>
  <c r="AA429" i="29"/>
  <c r="AB429" i="29"/>
  <c r="AA430" i="29"/>
  <c r="AB430" i="29" s="1"/>
  <c r="AA418" i="29"/>
  <c r="AB418" i="29" s="1"/>
  <c r="AA419" i="29"/>
  <c r="AB419" i="29" s="1"/>
  <c r="AA420" i="29"/>
  <c r="AB420" i="29"/>
  <c r="AA421" i="29"/>
  <c r="AB421" i="29" s="1"/>
  <c r="AA409" i="29"/>
  <c r="AB409" i="29" s="1"/>
  <c r="AA410" i="29"/>
  <c r="AB410" i="29" s="1"/>
  <c r="AA411" i="29"/>
  <c r="AB411" i="29" s="1"/>
  <c r="AA412" i="29"/>
  <c r="AB412" i="29" s="1"/>
  <c r="AA398" i="29"/>
  <c r="AB398" i="29" s="1"/>
  <c r="AA399" i="29"/>
  <c r="AB399" i="29" s="1"/>
  <c r="AA400" i="29"/>
  <c r="AB400" i="29"/>
  <c r="AA401" i="29"/>
  <c r="AB401" i="29" s="1"/>
  <c r="AA389" i="29"/>
  <c r="AB389" i="29" s="1"/>
  <c r="AA390" i="29"/>
  <c r="AB390" i="29"/>
  <c r="AA391" i="29"/>
  <c r="AB391" i="29" s="1"/>
  <c r="AA392" i="29"/>
  <c r="AB392" i="29"/>
  <c r="AA380" i="29"/>
  <c r="AB380" i="29" s="1"/>
  <c r="AA381" i="29"/>
  <c r="AB381" i="29" s="1"/>
  <c r="AA382" i="29"/>
  <c r="AB382" i="29" s="1"/>
  <c r="AA383" i="29"/>
  <c r="AB383" i="29" s="1"/>
  <c r="AA371" i="29"/>
  <c r="AB371" i="29" s="1"/>
  <c r="AA372" i="29"/>
  <c r="AB372" i="29"/>
  <c r="AA373" i="29"/>
  <c r="AB373" i="29" s="1"/>
  <c r="AA374" i="29"/>
  <c r="AB374" i="29"/>
  <c r="AA362" i="29"/>
  <c r="AB362" i="29" s="1"/>
  <c r="AA363" i="29"/>
  <c r="AB363" i="29" s="1"/>
  <c r="AA364" i="29"/>
  <c r="AB364" i="29" s="1"/>
  <c r="AA365" i="29"/>
  <c r="AB365" i="29" s="1"/>
  <c r="AA351" i="29"/>
  <c r="AB351" i="29" s="1"/>
  <c r="AA352" i="29"/>
  <c r="AB352" i="29"/>
  <c r="AA353" i="29"/>
  <c r="AB353" i="29" s="1"/>
  <c r="AA354" i="29"/>
  <c r="AB354" i="29"/>
  <c r="AA342" i="29"/>
  <c r="AB342" i="29" s="1"/>
  <c r="AA343" i="29"/>
  <c r="AB343" i="29" s="1"/>
  <c r="AA344" i="29"/>
  <c r="AB344" i="29" s="1"/>
  <c r="AA345" i="29"/>
  <c r="AB345" i="29" s="1"/>
  <c r="AA333" i="29"/>
  <c r="AB333" i="29" s="1"/>
  <c r="AA334" i="29"/>
  <c r="AB334" i="29"/>
  <c r="AA335" i="29"/>
  <c r="AB335" i="29" s="1"/>
  <c r="AA336" i="29"/>
  <c r="AB336" i="29"/>
  <c r="AA324" i="29"/>
  <c r="AB324" i="29" s="1"/>
  <c r="AA325" i="29"/>
  <c r="AB325" i="29" s="1"/>
  <c r="AA326" i="29"/>
  <c r="AB326" i="29" s="1"/>
  <c r="AA327" i="29"/>
  <c r="AB327" i="29" s="1"/>
  <c r="AA315" i="29"/>
  <c r="AB315" i="29" s="1"/>
  <c r="AA316" i="29"/>
  <c r="AB316" i="29"/>
  <c r="AA317" i="29"/>
  <c r="AB317" i="29" s="1"/>
  <c r="AA318" i="29"/>
  <c r="AB318" i="29"/>
  <c r="AA306" i="29"/>
  <c r="AB306" i="29" s="1"/>
  <c r="AA307" i="29"/>
  <c r="AB307" i="29" s="1"/>
  <c r="AA308" i="29"/>
  <c r="AB308" i="29" s="1"/>
  <c r="AA309" i="29"/>
  <c r="AB309" i="29" s="1"/>
  <c r="AA295" i="29"/>
  <c r="AB295" i="29" s="1"/>
  <c r="AA296" i="29"/>
  <c r="AB296" i="29"/>
  <c r="AA297" i="29"/>
  <c r="AB297" i="29" s="1"/>
  <c r="AA298" i="29"/>
  <c r="AB298" i="29"/>
  <c r="AA286" i="29"/>
  <c r="AB286" i="29" s="1"/>
  <c r="AA287" i="29"/>
  <c r="AB287" i="29" s="1"/>
  <c r="AA288" i="29"/>
  <c r="AB288" i="29" s="1"/>
  <c r="AA289" i="29"/>
  <c r="AB289" i="29" s="1"/>
  <c r="AA277" i="29"/>
  <c r="AB277" i="29" s="1"/>
  <c r="AA278" i="29"/>
  <c r="AB278" i="29"/>
  <c r="AB281" i="29" s="1"/>
  <c r="AA279" i="29"/>
  <c r="AB279" i="29" s="1"/>
  <c r="AA280" i="29"/>
  <c r="AB280" i="29"/>
  <c r="AA268" i="29"/>
  <c r="AB268" i="29" s="1"/>
  <c r="AA269" i="29"/>
  <c r="AB269" i="29" s="1"/>
  <c r="AA270" i="29"/>
  <c r="AB270" i="29" s="1"/>
  <c r="AA271" i="29"/>
  <c r="AB271" i="29" s="1"/>
  <c r="AA259" i="29"/>
  <c r="AB259" i="29" s="1"/>
  <c r="AA260" i="29"/>
  <c r="AB260" i="29"/>
  <c r="AA261" i="29"/>
  <c r="AB261" i="29" s="1"/>
  <c r="AA262" i="29"/>
  <c r="AB262" i="29"/>
  <c r="AA250" i="29"/>
  <c r="AB250" i="29" s="1"/>
  <c r="AA251" i="29"/>
  <c r="AB251" i="29" s="1"/>
  <c r="AA252" i="29"/>
  <c r="AB252" i="29" s="1"/>
  <c r="AA253" i="29"/>
  <c r="AB253" i="29" s="1"/>
  <c r="AA239" i="29"/>
  <c r="AB239" i="29" s="1"/>
  <c r="AA240" i="29"/>
  <c r="AB240" i="29"/>
  <c r="AA241" i="29"/>
  <c r="AB241" i="29" s="1"/>
  <c r="AA242" i="29"/>
  <c r="AB242" i="29"/>
  <c r="AA230" i="29"/>
  <c r="AB230" i="29" s="1"/>
  <c r="AA231" i="29"/>
  <c r="AB231" i="29" s="1"/>
  <c r="AA232" i="29"/>
  <c r="AB232" i="29" s="1"/>
  <c r="AA233" i="29"/>
  <c r="AB233" i="29"/>
  <c r="AA221" i="29"/>
  <c r="AB221" i="29" s="1"/>
  <c r="AA222" i="29"/>
  <c r="AB222" i="29"/>
  <c r="AA223" i="29"/>
  <c r="AB223" i="29" s="1"/>
  <c r="AA224" i="29"/>
  <c r="AB224" i="29"/>
  <c r="AA212" i="29"/>
  <c r="AB212" i="29" s="1"/>
  <c r="AA213" i="29"/>
  <c r="AB213" i="29" s="1"/>
  <c r="AA214" i="29"/>
  <c r="AB214" i="29" s="1"/>
  <c r="AA215" i="29"/>
  <c r="AB215" i="29"/>
  <c r="AA203" i="29"/>
  <c r="AB203" i="29" s="1"/>
  <c r="AA204" i="29"/>
  <c r="AB204" i="29" s="1"/>
  <c r="AA205" i="29"/>
  <c r="AB205" i="29" s="1"/>
  <c r="AA206" i="29"/>
  <c r="AB206" i="29"/>
  <c r="AA194" i="29"/>
  <c r="AB194" i="29" s="1"/>
  <c r="AA195" i="29"/>
  <c r="AB195" i="29" s="1"/>
  <c r="AA196" i="29"/>
  <c r="AB196" i="29" s="1"/>
  <c r="AA197" i="29"/>
  <c r="AB197" i="29" s="1"/>
  <c r="AA183" i="29"/>
  <c r="AB183" i="29" s="1"/>
  <c r="AA184" i="29"/>
  <c r="AB184" i="29" s="1"/>
  <c r="AA185" i="29"/>
  <c r="AB185" i="29" s="1"/>
  <c r="AA186" i="29"/>
  <c r="AB186" i="29" s="1"/>
  <c r="AA174" i="29"/>
  <c r="AB174" i="29" s="1"/>
  <c r="AA175" i="29"/>
  <c r="AB175" i="29" s="1"/>
  <c r="AA176" i="29"/>
  <c r="AB176" i="29" s="1"/>
  <c r="AA177" i="29"/>
  <c r="AB177" i="29"/>
  <c r="AA165" i="29"/>
  <c r="AB165" i="29" s="1"/>
  <c r="AA166" i="29"/>
  <c r="AB166" i="29" s="1"/>
  <c r="AA167" i="29"/>
  <c r="AB167" i="29" s="1"/>
  <c r="AA168" i="29"/>
  <c r="AB168" i="29" s="1"/>
  <c r="AB169" i="29" s="1"/>
  <c r="AA156" i="29"/>
  <c r="AB156" i="29" s="1"/>
  <c r="AA157" i="29"/>
  <c r="AB157" i="29" s="1"/>
  <c r="AA158" i="29"/>
  <c r="AB158" i="29" s="1"/>
  <c r="AA159" i="29"/>
  <c r="AB159" i="29" s="1"/>
  <c r="AA147" i="29"/>
  <c r="AB147" i="29" s="1"/>
  <c r="AA148" i="29"/>
  <c r="AB148" i="29"/>
  <c r="AA149" i="29"/>
  <c r="AB149" i="29" s="1"/>
  <c r="AA150" i="29"/>
  <c r="AB150" i="29" s="1"/>
  <c r="AA138" i="29"/>
  <c r="AB138" i="29" s="1"/>
  <c r="AA139" i="29"/>
  <c r="AB139" i="29" s="1"/>
  <c r="AA140" i="29"/>
  <c r="AB140" i="29" s="1"/>
  <c r="AA141" i="29"/>
  <c r="AB141" i="29"/>
  <c r="AA124" i="29"/>
  <c r="AB124" i="29" s="1"/>
  <c r="AA125" i="29"/>
  <c r="AB125" i="29" s="1"/>
  <c r="AA126" i="29"/>
  <c r="AB126" i="29" s="1"/>
  <c r="AA116" i="29"/>
  <c r="AB116" i="29" s="1"/>
  <c r="AA117" i="29"/>
  <c r="AB117" i="29" s="1"/>
  <c r="AA118" i="29"/>
  <c r="AB118" i="29" s="1"/>
  <c r="AA108" i="29"/>
  <c r="AB108" i="29" s="1"/>
  <c r="AA109" i="29"/>
  <c r="AB109" i="29"/>
  <c r="AA110" i="29"/>
  <c r="AB110" i="29" s="1"/>
  <c r="AA100" i="29"/>
  <c r="AB100" i="29"/>
  <c r="AA101" i="29"/>
  <c r="AB101" i="29" s="1"/>
  <c r="AA102" i="29"/>
  <c r="AB102" i="29" s="1"/>
  <c r="AA74" i="29"/>
  <c r="AB74" i="29" s="1"/>
  <c r="AA75" i="29"/>
  <c r="AB75" i="29" s="1"/>
  <c r="AA76" i="29"/>
  <c r="AB76" i="29" s="1"/>
  <c r="AA77" i="29"/>
  <c r="AB77" i="29"/>
  <c r="AA78" i="29"/>
  <c r="AB78" i="29" s="1"/>
  <c r="AA79" i="29"/>
  <c r="AB79" i="29" s="1"/>
  <c r="AA80" i="29"/>
  <c r="AB80" i="29" s="1"/>
  <c r="AA81" i="29"/>
  <c r="AB81" i="29" s="1"/>
  <c r="AA54" i="29"/>
  <c r="AB54" i="29" s="1"/>
  <c r="AA55" i="29"/>
  <c r="AB55" i="29" s="1"/>
  <c r="AA56" i="29"/>
  <c r="AB56" i="29" s="1"/>
  <c r="AA35" i="29"/>
  <c r="AB35" i="29"/>
  <c r="AA36" i="29"/>
  <c r="AB36" i="29" s="1"/>
  <c r="AA37" i="29"/>
  <c r="AB37" i="29" s="1"/>
  <c r="AA38" i="29"/>
  <c r="AB38" i="29" s="1"/>
  <c r="AA39" i="29"/>
  <c r="AB39" i="29" s="1"/>
  <c r="AA40" i="29"/>
  <c r="AB40" i="29" s="1"/>
  <c r="AA41" i="29"/>
  <c r="AB41" i="29" s="1"/>
  <c r="AA42" i="29"/>
  <c r="AB42" i="29" s="1"/>
  <c r="AA24" i="29"/>
  <c r="AB24" i="29" s="1"/>
  <c r="AA25" i="29"/>
  <c r="AB25" i="29" s="1"/>
  <c r="AA26" i="29"/>
  <c r="AB26" i="29" s="1"/>
  <c r="C16" i="29"/>
  <c r="B27" i="13"/>
  <c r="D28" i="14"/>
  <c r="B28" i="14"/>
  <c r="C28" i="14"/>
  <c r="D352" i="26" s="1"/>
  <c r="DR2" i="19"/>
  <c r="I12" i="2"/>
  <c r="R95" i="29" s="1"/>
  <c r="K3" i="11"/>
  <c r="L3" i="11"/>
  <c r="I126" i="10" s="1"/>
  <c r="J126" i="10" s="1"/>
  <c r="M3" i="11"/>
  <c r="N3" i="11"/>
  <c r="B42" i="10"/>
  <c r="K28" i="8"/>
  <c r="H28" i="8"/>
  <c r="I65" i="2"/>
  <c r="W17" i="18"/>
  <c r="X17" i="18"/>
  <c r="Y17" i="18"/>
  <c r="Z17" i="18"/>
  <c r="W18" i="18"/>
  <c r="X18" i="18"/>
  <c r="Y18" i="18"/>
  <c r="K22" i="8"/>
  <c r="K23" i="8"/>
  <c r="K24" i="8"/>
  <c r="K21" i="8"/>
  <c r="H22" i="8"/>
  <c r="H23" i="8"/>
  <c r="H24" i="8"/>
  <c r="H21" i="8"/>
  <c r="R391" i="22"/>
  <c r="R388" i="22"/>
  <c r="S145" i="22"/>
  <c r="G34" i="22"/>
  <c r="F28" i="14"/>
  <c r="E28" i="14"/>
  <c r="B361" i="22"/>
  <c r="J76" i="27"/>
  <c r="G76" i="27"/>
  <c r="M74" i="27"/>
  <c r="M73" i="27"/>
  <c r="V67" i="27"/>
  <c r="R67" i="27"/>
  <c r="Q67" i="27"/>
  <c r="I67" i="27"/>
  <c r="AD66" i="27"/>
  <c r="Y66" i="27"/>
  <c r="V66" i="27"/>
  <c r="I66" i="27"/>
  <c r="V65" i="27"/>
  <c r="R65" i="27"/>
  <c r="Q65" i="27"/>
  <c r="I65" i="27"/>
  <c r="AD64" i="27"/>
  <c r="Y64" i="27"/>
  <c r="V64" i="27"/>
  <c r="I64" i="27"/>
  <c r="V63" i="27"/>
  <c r="R63" i="27"/>
  <c r="Q63" i="27"/>
  <c r="I63" i="27"/>
  <c r="AD62" i="27"/>
  <c r="Y62" i="27"/>
  <c r="V62" i="27"/>
  <c r="I62" i="27"/>
  <c r="V61" i="27"/>
  <c r="R61" i="27"/>
  <c r="Q61" i="27"/>
  <c r="I61" i="27"/>
  <c r="AD60" i="27"/>
  <c r="Y60" i="27"/>
  <c r="V60" i="27"/>
  <c r="I60" i="27"/>
  <c r="V59" i="27"/>
  <c r="R59" i="27"/>
  <c r="Q59" i="27"/>
  <c r="I59" i="27"/>
  <c r="AD58" i="27"/>
  <c r="Y58" i="27"/>
  <c r="V58" i="27"/>
  <c r="I58" i="27"/>
  <c r="V57" i="27"/>
  <c r="R57" i="27"/>
  <c r="Q57" i="27"/>
  <c r="I57" i="27"/>
  <c r="AD56" i="27"/>
  <c r="Y56" i="27"/>
  <c r="V56" i="27"/>
  <c r="I56" i="27"/>
  <c r="V55" i="27"/>
  <c r="R55" i="27"/>
  <c r="Q55" i="27"/>
  <c r="I55" i="27"/>
  <c r="AD54" i="27"/>
  <c r="Y54" i="27"/>
  <c r="V54" i="27"/>
  <c r="I54" i="27"/>
  <c r="V53" i="27"/>
  <c r="R53" i="27"/>
  <c r="Q53" i="27"/>
  <c r="I53" i="27"/>
  <c r="AD52" i="27"/>
  <c r="Y52" i="27"/>
  <c r="V52" i="27"/>
  <c r="I52" i="27"/>
  <c r="V51" i="27"/>
  <c r="R51" i="27"/>
  <c r="Q51" i="27"/>
  <c r="I51" i="27"/>
  <c r="AD50" i="27"/>
  <c r="Y50" i="27"/>
  <c r="V50" i="27"/>
  <c r="I50" i="27"/>
  <c r="V49" i="27"/>
  <c r="R49" i="27"/>
  <c r="Q49" i="27"/>
  <c r="I49" i="27"/>
  <c r="AD48" i="27"/>
  <c r="Y48" i="27"/>
  <c r="V48" i="27"/>
  <c r="I48" i="27"/>
  <c r="V47" i="27"/>
  <c r="R47" i="27"/>
  <c r="Q47" i="27"/>
  <c r="I47" i="27"/>
  <c r="AD46" i="27"/>
  <c r="Y46" i="27"/>
  <c r="V46" i="27"/>
  <c r="I46" i="27"/>
  <c r="V45" i="27"/>
  <c r="R45" i="27"/>
  <c r="Q45" i="27"/>
  <c r="I45" i="27"/>
  <c r="AD44" i="27"/>
  <c r="Y44" i="27"/>
  <c r="V44" i="27"/>
  <c r="I44" i="27"/>
  <c r="V43" i="27"/>
  <c r="R43" i="27"/>
  <c r="Q43" i="27"/>
  <c r="I43" i="27"/>
  <c r="AD42" i="27"/>
  <c r="Y42" i="27"/>
  <c r="V42" i="27"/>
  <c r="I42" i="27"/>
  <c r="V41" i="27"/>
  <c r="R41" i="27"/>
  <c r="Q41" i="27"/>
  <c r="I41" i="27"/>
  <c r="AD40" i="27"/>
  <c r="Y40" i="27"/>
  <c r="V40" i="27"/>
  <c r="I40" i="27"/>
  <c r="V39" i="27"/>
  <c r="R39" i="27"/>
  <c r="Q39" i="27"/>
  <c r="I39" i="27"/>
  <c r="AD38" i="27"/>
  <c r="Y38" i="27"/>
  <c r="V38" i="27"/>
  <c r="I38" i="27"/>
  <c r="V37" i="27"/>
  <c r="R37" i="27"/>
  <c r="Q37" i="27"/>
  <c r="I37" i="27"/>
  <c r="AD36" i="27"/>
  <c r="Y36" i="27"/>
  <c r="V36" i="27"/>
  <c r="I36" i="27"/>
  <c r="V35" i="27"/>
  <c r="R35" i="27"/>
  <c r="Q35" i="27"/>
  <c r="I35" i="27"/>
  <c r="AD34" i="27"/>
  <c r="Y34" i="27"/>
  <c r="V34" i="27"/>
  <c r="I34" i="27"/>
  <c r="V33" i="27"/>
  <c r="R33" i="27"/>
  <c r="Q33" i="27"/>
  <c r="I33" i="27"/>
  <c r="AD32" i="27"/>
  <c r="Y32" i="27"/>
  <c r="V32" i="27"/>
  <c r="I32" i="27"/>
  <c r="V31" i="27"/>
  <c r="R31" i="27"/>
  <c r="Q31" i="27"/>
  <c r="I31" i="27"/>
  <c r="AD30" i="27"/>
  <c r="Y30" i="27"/>
  <c r="V30" i="27"/>
  <c r="I30" i="27"/>
  <c r="V29" i="27"/>
  <c r="R29" i="27"/>
  <c r="Q29" i="27"/>
  <c r="I29" i="27"/>
  <c r="AD28" i="27"/>
  <c r="Y28" i="27"/>
  <c r="V28" i="27"/>
  <c r="I28" i="27"/>
  <c r="V27" i="27"/>
  <c r="R27" i="27"/>
  <c r="Q27" i="27"/>
  <c r="I27" i="27"/>
  <c r="AD26" i="27"/>
  <c r="Y26" i="27"/>
  <c r="V26" i="27"/>
  <c r="I26" i="27"/>
  <c r="V25" i="27"/>
  <c r="R25" i="27"/>
  <c r="Q25" i="27"/>
  <c r="I25" i="27"/>
  <c r="AD24" i="27"/>
  <c r="Y24" i="27"/>
  <c r="V24" i="27"/>
  <c r="I24" i="27"/>
  <c r="V23" i="27"/>
  <c r="R23" i="27"/>
  <c r="Q23" i="27"/>
  <c r="I23" i="27"/>
  <c r="AD22" i="27"/>
  <c r="Y22" i="27"/>
  <c r="V22" i="27"/>
  <c r="I22" i="27"/>
  <c r="V21" i="27"/>
  <c r="R21" i="27"/>
  <c r="Q21" i="27"/>
  <c r="I21" i="27"/>
  <c r="AD20" i="27"/>
  <c r="Y20" i="27"/>
  <c r="V20" i="27"/>
  <c r="I20" i="27"/>
  <c r="M14" i="27"/>
  <c r="M13" i="27"/>
  <c r="J11" i="27"/>
  <c r="I11" i="27"/>
  <c r="H11" i="27"/>
  <c r="G11" i="27"/>
  <c r="F11" i="27"/>
  <c r="E11" i="27"/>
  <c r="F59" i="27" s="1"/>
  <c r="D11" i="27"/>
  <c r="C11" i="27"/>
  <c r="J10" i="27"/>
  <c r="I10" i="27"/>
  <c r="H10" i="27"/>
  <c r="G10" i="27"/>
  <c r="F10" i="27"/>
  <c r="E10" i="27"/>
  <c r="D10" i="27"/>
  <c r="C10" i="27"/>
  <c r="B120" i="27"/>
  <c r="C120" i="27" s="1"/>
  <c r="D120" i="27" s="1"/>
  <c r="B90" i="27"/>
  <c r="O103" i="10"/>
  <c r="L103" i="10"/>
  <c r="G103" i="10"/>
  <c r="C103" i="10"/>
  <c r="B103" i="10"/>
  <c r="I75" i="10"/>
  <c r="G75" i="10"/>
  <c r="C75" i="10"/>
  <c r="B75" i="10"/>
  <c r="L54" i="8"/>
  <c r="K54" i="8"/>
  <c r="J54" i="8"/>
  <c r="D54" i="8"/>
  <c r="C54" i="8"/>
  <c r="B54" i="8"/>
  <c r="L44" i="8"/>
  <c r="K44" i="8"/>
  <c r="J44" i="8"/>
  <c r="I44" i="8"/>
  <c r="F44" i="8"/>
  <c r="D44" i="8"/>
  <c r="C44" i="8"/>
  <c r="B44" i="8"/>
  <c r="I83" i="7"/>
  <c r="G83" i="7"/>
  <c r="D83" i="7"/>
  <c r="C83" i="7"/>
  <c r="B83" i="7"/>
  <c r="I73" i="7"/>
  <c r="G73" i="7"/>
  <c r="D73" i="7"/>
  <c r="C73" i="7"/>
  <c r="B73" i="7"/>
  <c r="I63" i="7"/>
  <c r="G63" i="7"/>
  <c r="D63" i="7"/>
  <c r="C63" i="7"/>
  <c r="B63" i="7"/>
  <c r="I53" i="7"/>
  <c r="G53" i="7"/>
  <c r="D53" i="7"/>
  <c r="C53" i="7"/>
  <c r="B53" i="7"/>
  <c r="I43" i="7"/>
  <c r="G43" i="7"/>
  <c r="D43" i="7"/>
  <c r="C43" i="7"/>
  <c r="B43" i="7"/>
  <c r="L33" i="7"/>
  <c r="K33" i="7"/>
  <c r="I33" i="7"/>
  <c r="G33" i="7"/>
  <c r="C33" i="7"/>
  <c r="D33" i="7"/>
  <c r="B33" i="7"/>
  <c r="B13" i="5"/>
  <c r="K74" i="27"/>
  <c r="G113" i="27"/>
  <c r="K73" i="27"/>
  <c r="M90" i="27"/>
  <c r="J93" i="27"/>
  <c r="B12" i="5"/>
  <c r="C22" i="12"/>
  <c r="K90" i="27"/>
  <c r="G93" i="27"/>
  <c r="K91" i="27"/>
  <c r="M91" i="27"/>
  <c r="J59" i="22"/>
  <c r="J60" i="22"/>
  <c r="J57" i="22"/>
  <c r="I59" i="22"/>
  <c r="I60" i="22"/>
  <c r="I57" i="22"/>
  <c r="K100" i="27"/>
  <c r="B325" i="22"/>
  <c r="C325" i="22" s="1"/>
  <c r="D325" i="22" s="1"/>
  <c r="B324" i="22"/>
  <c r="C324" i="22" s="1"/>
  <c r="D324" i="22" s="1"/>
  <c r="B316" i="22"/>
  <c r="C316" i="22" s="1"/>
  <c r="D316" i="22" s="1"/>
  <c r="B315" i="22"/>
  <c r="C315" i="22" s="1"/>
  <c r="D315" i="22" s="1"/>
  <c r="B275" i="22"/>
  <c r="C275" i="22" s="1"/>
  <c r="D275" i="22" s="1"/>
  <c r="B274" i="22"/>
  <c r="C274" i="22" s="1"/>
  <c r="D274" i="22" s="1"/>
  <c r="M100" i="27"/>
  <c r="K99" i="27"/>
  <c r="M99" i="27"/>
  <c r="M120" i="27"/>
  <c r="J113" i="27"/>
  <c r="K120" i="27"/>
  <c r="K119" i="27"/>
  <c r="M119" i="27"/>
  <c r="J142" i="10"/>
  <c r="Y142" i="10"/>
  <c r="J141" i="10"/>
  <c r="Y141" i="10" s="1"/>
  <c r="J138" i="10"/>
  <c r="Y138" i="10"/>
  <c r="H118" i="23"/>
  <c r="G118" i="23"/>
  <c r="B118" i="23"/>
  <c r="H117" i="23"/>
  <c r="G117" i="23"/>
  <c r="B117" i="23"/>
  <c r="H116" i="23"/>
  <c r="G116" i="23"/>
  <c r="F105" i="23"/>
  <c r="C106" i="23" s="1"/>
  <c r="G65" i="23"/>
  <c r="C65" i="23"/>
  <c r="B65" i="23"/>
  <c r="G64" i="23"/>
  <c r="C64" i="23"/>
  <c r="B64" i="23"/>
  <c r="G63" i="23"/>
  <c r="C63" i="23"/>
  <c r="B63" i="23"/>
  <c r="G62" i="23"/>
  <c r="C62" i="23"/>
  <c r="B62" i="23"/>
  <c r="G61" i="23"/>
  <c r="C61" i="23"/>
  <c r="B61" i="23"/>
  <c r="G60" i="23"/>
  <c r="P56" i="23"/>
  <c r="F51" i="23"/>
  <c r="C52" i="23"/>
  <c r="F45" i="23"/>
  <c r="C46" i="23" s="1"/>
  <c r="F39" i="23"/>
  <c r="C40" i="23" s="1"/>
  <c r="L60" i="23" s="1"/>
  <c r="Q32" i="23"/>
  <c r="M32" i="23"/>
  <c r="C30" i="23"/>
  <c r="F32" i="23" s="1"/>
  <c r="C33" i="23"/>
  <c r="I29" i="23"/>
  <c r="K23" i="23"/>
  <c r="M23" i="23" s="1"/>
  <c r="J23" i="23"/>
  <c r="G23" i="23"/>
  <c r="I23" i="23" s="1"/>
  <c r="D23" i="23"/>
  <c r="F23" i="23" s="1"/>
  <c r="K22" i="23"/>
  <c r="L23" i="23" s="1"/>
  <c r="J22" i="23"/>
  <c r="G22" i="23"/>
  <c r="H23" i="23" s="1"/>
  <c r="D22" i="23"/>
  <c r="E23" i="23"/>
  <c r="K21" i="23"/>
  <c r="L22" i="23" s="1"/>
  <c r="J21" i="23"/>
  <c r="G21" i="23"/>
  <c r="H22" i="23"/>
  <c r="D21" i="23"/>
  <c r="E22" i="23" s="1"/>
  <c r="I335" i="22"/>
  <c r="F335" i="22"/>
  <c r="D313" i="22"/>
  <c r="B313" i="22"/>
  <c r="J277" i="22"/>
  <c r="G277" i="22"/>
  <c r="M275" i="22"/>
  <c r="K275" i="22"/>
  <c r="M274" i="22"/>
  <c r="K274" i="22"/>
  <c r="J227" i="22"/>
  <c r="Q218" i="22"/>
  <c r="Q216" i="22"/>
  <c r="Q214" i="22"/>
  <c r="Q212" i="22"/>
  <c r="Q210" i="22"/>
  <c r="Q208" i="22"/>
  <c r="Q206" i="22"/>
  <c r="AD205" i="22"/>
  <c r="Q204" i="22"/>
  <c r="AD203" i="22"/>
  <c r="Q202" i="22"/>
  <c r="AD201" i="22"/>
  <c r="Q200" i="22"/>
  <c r="AD199" i="22"/>
  <c r="Q198" i="22"/>
  <c r="AD197" i="22"/>
  <c r="Q196" i="22"/>
  <c r="AD195" i="22"/>
  <c r="Q194" i="22"/>
  <c r="AD193" i="22"/>
  <c r="Q192" i="22"/>
  <c r="AD191" i="22"/>
  <c r="Q190" i="22"/>
  <c r="AD189" i="22"/>
  <c r="Q188" i="22"/>
  <c r="AD187" i="22"/>
  <c r="Q186" i="22"/>
  <c r="AD185" i="22"/>
  <c r="Q184" i="22"/>
  <c r="AD183" i="22"/>
  <c r="Q182" i="22"/>
  <c r="AD181" i="22"/>
  <c r="Q180" i="22"/>
  <c r="AD179" i="22"/>
  <c r="Q178" i="22"/>
  <c r="AD177" i="22"/>
  <c r="Q176" i="22"/>
  <c r="AD175" i="22"/>
  <c r="Q174" i="22"/>
  <c r="AD173" i="22"/>
  <c r="Q172" i="22"/>
  <c r="AD171" i="22"/>
  <c r="M158" i="22"/>
  <c r="L158" i="22"/>
  <c r="J158" i="22"/>
  <c r="I158" i="22"/>
  <c r="H158" i="22"/>
  <c r="G158" i="22"/>
  <c r="B156" i="22"/>
  <c r="F156" i="22"/>
  <c r="B155" i="22"/>
  <c r="F155" i="22" s="1"/>
  <c r="E147" i="22"/>
  <c r="F147" i="22"/>
  <c r="E146" i="22"/>
  <c r="R144" i="22"/>
  <c r="Q144" i="22"/>
  <c r="R143" i="22"/>
  <c r="Q143" i="22"/>
  <c r="R142" i="22"/>
  <c r="Q142" i="22"/>
  <c r="R141" i="22"/>
  <c r="Q141" i="22"/>
  <c r="R140" i="22"/>
  <c r="Q140" i="22"/>
  <c r="R138" i="22"/>
  <c r="Q138" i="22"/>
  <c r="R136" i="22"/>
  <c r="Q136" i="22"/>
  <c r="R134" i="22"/>
  <c r="Q134" i="22"/>
  <c r="R132" i="22"/>
  <c r="Q132" i="22"/>
  <c r="R130" i="22"/>
  <c r="Q130" i="22"/>
  <c r="R128" i="22"/>
  <c r="Q128" i="22"/>
  <c r="R126" i="22"/>
  <c r="Q126" i="22"/>
  <c r="R124" i="22"/>
  <c r="Q124" i="22"/>
  <c r="R122" i="22"/>
  <c r="Q122" i="22"/>
  <c r="R120" i="22"/>
  <c r="Q120" i="22"/>
  <c r="R118" i="22"/>
  <c r="Q118" i="22"/>
  <c r="R116" i="22"/>
  <c r="Q116" i="22"/>
  <c r="R114" i="22"/>
  <c r="Q114" i="22"/>
  <c r="R112" i="22"/>
  <c r="Q112" i="22"/>
  <c r="R110" i="22"/>
  <c r="Q110" i="22"/>
  <c r="R108" i="22"/>
  <c r="Q108" i="22"/>
  <c r="R106" i="22"/>
  <c r="Q106" i="22"/>
  <c r="R104" i="22"/>
  <c r="Q104" i="22"/>
  <c r="R102" i="22"/>
  <c r="Q102" i="22"/>
  <c r="R100" i="22"/>
  <c r="Q100" i="22"/>
  <c r="R98" i="22"/>
  <c r="Q98" i="22"/>
  <c r="R60" i="22"/>
  <c r="Q60" i="22"/>
  <c r="H60" i="22"/>
  <c r="H59" i="22"/>
  <c r="H57" i="22"/>
  <c r="I42" i="22"/>
  <c r="I34" i="22"/>
  <c r="I33" i="22"/>
  <c r="G33" i="22"/>
  <c r="D36" i="10"/>
  <c r="B34" i="8"/>
  <c r="R59" i="22"/>
  <c r="R57" i="22"/>
  <c r="C57" i="10"/>
  <c r="J24" i="3"/>
  <c r="E29" i="12"/>
  <c r="E47" i="12"/>
  <c r="J23" i="3"/>
  <c r="S62" i="4"/>
  <c r="U62" i="4" s="1"/>
  <c r="R62" i="4"/>
  <c r="T62" i="4" s="1"/>
  <c r="R60" i="4"/>
  <c r="T60" i="4" s="1"/>
  <c r="S60" i="4"/>
  <c r="U60" i="4"/>
  <c r="B80" i="12"/>
  <c r="S61" i="4"/>
  <c r="U61" i="4" s="1"/>
  <c r="R61" i="4"/>
  <c r="T61" i="4" s="1"/>
  <c r="J94" i="16"/>
  <c r="J81" i="16"/>
  <c r="J64" i="16"/>
  <c r="J45" i="16"/>
  <c r="J32" i="16"/>
  <c r="L88" i="10"/>
  <c r="O67" i="10"/>
  <c r="L67" i="10"/>
  <c r="O96" i="10"/>
  <c r="L96" i="10"/>
  <c r="B94" i="10"/>
  <c r="O41" i="10"/>
  <c r="L41" i="10"/>
  <c r="B44" i="13"/>
  <c r="C44" i="13"/>
  <c r="I42" i="13"/>
  <c r="H33" i="13"/>
  <c r="B26" i="13"/>
  <c r="B18" i="13"/>
  <c r="DH17" i="19"/>
  <c r="DB16" i="19"/>
  <c r="CW16" i="19"/>
  <c r="CW11" i="19"/>
  <c r="CW10" i="19"/>
  <c r="CW9" i="19"/>
  <c r="D28" i="4"/>
  <c r="F77" i="12"/>
  <c r="C62" i="12"/>
  <c r="D63" i="10"/>
  <c r="G82" i="10"/>
  <c r="K36" i="10"/>
  <c r="M63" i="10"/>
  <c r="G31" i="10"/>
  <c r="K57" i="10"/>
  <c r="K58" i="10"/>
  <c r="F33" i="3"/>
  <c r="J31" i="14"/>
  <c r="J32" i="14"/>
  <c r="J29" i="14"/>
  <c r="K59" i="10"/>
  <c r="E31" i="10"/>
  <c r="I31" i="10"/>
  <c r="J31" i="10"/>
  <c r="L31" i="10"/>
  <c r="H36" i="10"/>
  <c r="C32" i="10"/>
  <c r="S81" i="4"/>
  <c r="S59" i="4"/>
  <c r="U59" i="4" s="1"/>
  <c r="R59" i="4"/>
  <c r="T59" i="4" s="1"/>
  <c r="H91" i="4"/>
  <c r="Q87" i="4"/>
  <c r="O87" i="4"/>
  <c r="M87" i="4"/>
  <c r="I87" i="4"/>
  <c r="F87" i="4"/>
  <c r="D87" i="4"/>
  <c r="H56" i="4"/>
  <c r="R55" i="4"/>
  <c r="T83" i="4"/>
  <c r="T82" i="4"/>
  <c r="T81" i="4"/>
  <c r="T71" i="4"/>
  <c r="D71" i="4"/>
  <c r="T44" i="4"/>
  <c r="D44" i="4"/>
  <c r="B47" i="4"/>
  <c r="M29" i="4"/>
  <c r="H29" i="4"/>
  <c r="R28" i="4"/>
  <c r="DA6" i="19"/>
  <c r="DH4" i="19"/>
  <c r="DG4" i="19"/>
  <c r="DB1" i="19"/>
  <c r="DA1" i="19"/>
  <c r="CW1" i="19"/>
  <c r="CV1" i="19"/>
  <c r="N11" i="5"/>
  <c r="E11" i="5"/>
  <c r="F11" i="5"/>
  <c r="G11" i="5"/>
  <c r="H11" i="5"/>
  <c r="I11" i="5"/>
  <c r="J11" i="5"/>
  <c r="K11" i="5"/>
  <c r="L11" i="5"/>
  <c r="M11" i="5"/>
  <c r="O9" i="5"/>
  <c r="O11" i="5"/>
  <c r="P9" i="5"/>
  <c r="P11" i="5" s="1"/>
  <c r="Q9" i="5"/>
  <c r="Q11" i="5"/>
  <c r="R9" i="5"/>
  <c r="R11" i="5" s="1"/>
  <c r="D11" i="5"/>
  <c r="C11" i="5"/>
  <c r="B11" i="5"/>
  <c r="B18" i="4"/>
  <c r="L41" i="12"/>
  <c r="L42" i="12"/>
  <c r="L40" i="12"/>
  <c r="B32" i="12"/>
  <c r="B50" i="12"/>
  <c r="L43" i="12"/>
  <c r="F125" i="10"/>
  <c r="F16" i="2"/>
  <c r="C17" i="18" s="1"/>
  <c r="D17" i="18" s="1"/>
  <c r="L24" i="12"/>
  <c r="O3" i="11"/>
  <c r="P3" i="11"/>
  <c r="Q3" i="11"/>
  <c r="R3" i="11"/>
  <c r="S3" i="11"/>
  <c r="T3" i="11"/>
  <c r="F124" i="10"/>
  <c r="L68" i="12"/>
  <c r="L69" i="12"/>
  <c r="L70" i="12"/>
  <c r="L67" i="12"/>
  <c r="L44" i="12"/>
  <c r="L45" i="12"/>
  <c r="L46" i="12"/>
  <c r="L25" i="12"/>
  <c r="L26" i="12"/>
  <c r="L27" i="12"/>
  <c r="L28" i="12"/>
  <c r="L23" i="12"/>
  <c r="I44" i="2"/>
  <c r="M66" i="2"/>
  <c r="X138" i="10"/>
  <c r="X139" i="10"/>
  <c r="X140" i="10"/>
  <c r="X141" i="10"/>
  <c r="X142" i="10"/>
  <c r="X137" i="10"/>
  <c r="X143" i="10" s="1"/>
  <c r="AE35" i="15"/>
  <c r="AE31" i="15"/>
  <c r="AD35" i="15"/>
  <c r="AD31" i="15"/>
  <c r="K31" i="15"/>
  <c r="J8" i="19"/>
  <c r="J7" i="19"/>
  <c r="J6" i="19"/>
  <c r="J5" i="19"/>
  <c r="J4" i="19"/>
  <c r="J3" i="19"/>
  <c r="J2" i="19"/>
  <c r="I26" i="15"/>
  <c r="H26" i="15"/>
  <c r="I25" i="15"/>
  <c r="H25" i="15"/>
  <c r="I21" i="15"/>
  <c r="H21" i="15"/>
  <c r="K35" i="15"/>
  <c r="H35" i="15" s="1"/>
  <c r="I17" i="15"/>
  <c r="H17" i="15"/>
  <c r="F82" i="10"/>
  <c r="AD61" i="15"/>
  <c r="AD45" i="15"/>
  <c r="U12" i="21"/>
  <c r="U28" i="21"/>
  <c r="M217" i="19"/>
  <c r="I217" i="19"/>
  <c r="F217" i="19"/>
  <c r="K214" i="19"/>
  <c r="J214" i="19"/>
  <c r="M214" i="19" s="1"/>
  <c r="H214" i="19"/>
  <c r="M213" i="19"/>
  <c r="I213" i="19"/>
  <c r="F213" i="19"/>
  <c r="M212" i="19"/>
  <c r="I212" i="19"/>
  <c r="F212" i="19"/>
  <c r="M211" i="19"/>
  <c r="I211" i="19"/>
  <c r="F211" i="19"/>
  <c r="M210" i="19"/>
  <c r="I210" i="19"/>
  <c r="F210" i="19"/>
  <c r="AY19" i="19"/>
  <c r="AY18" i="19"/>
  <c r="CE10" i="19"/>
  <c r="CF10" i="19"/>
  <c r="CE9" i="19"/>
  <c r="CG9" i="19" s="1"/>
  <c r="CE8" i="19"/>
  <c r="CF8" i="19"/>
  <c r="CG7" i="19"/>
  <c r="CF7" i="19"/>
  <c r="CE6" i="19"/>
  <c r="CG6" i="19"/>
  <c r="CG5" i="19"/>
  <c r="CH5" i="19" s="1"/>
  <c r="CH6" i="19" s="1"/>
  <c r="CH7" i="19" s="1"/>
  <c r="CH8" i="19" s="1"/>
  <c r="CF5" i="19"/>
  <c r="N35" i="15"/>
  <c r="I35" i="15" s="1"/>
  <c r="K61" i="10"/>
  <c r="K62" i="10"/>
  <c r="K60" i="10"/>
  <c r="B45" i="10"/>
  <c r="C53" i="10" s="1"/>
  <c r="F27" i="2"/>
  <c r="C340" i="26" s="1"/>
  <c r="F126" i="10"/>
  <c r="F127" i="10"/>
  <c r="I61" i="2"/>
  <c r="J61" i="2"/>
  <c r="B2" i="21"/>
  <c r="B1" i="21"/>
  <c r="C116" i="10"/>
  <c r="D11" i="21"/>
  <c r="E11" i="21"/>
  <c r="F11" i="21"/>
  <c r="F12" i="21"/>
  <c r="D13" i="21"/>
  <c r="E13" i="21"/>
  <c r="F13" i="21"/>
  <c r="F14" i="21"/>
  <c r="D15" i="21"/>
  <c r="E15" i="21"/>
  <c r="F15" i="21"/>
  <c r="F16" i="21"/>
  <c r="D17" i="21"/>
  <c r="E17" i="21"/>
  <c r="F17" i="21"/>
  <c r="F18" i="21"/>
  <c r="D19" i="21"/>
  <c r="E19" i="21"/>
  <c r="F19" i="21"/>
  <c r="B20" i="21"/>
  <c r="F20" i="21"/>
  <c r="B21" i="21"/>
  <c r="F21" i="21"/>
  <c r="B22" i="21"/>
  <c r="F22" i="21"/>
  <c r="B23" i="21"/>
  <c r="F23" i="21"/>
  <c r="B24" i="21"/>
  <c r="F24" i="21"/>
  <c r="B25" i="21"/>
  <c r="F25" i="21"/>
  <c r="B26" i="21"/>
  <c r="F26" i="21"/>
  <c r="B27" i="21"/>
  <c r="F27" i="21"/>
  <c r="B28" i="21"/>
  <c r="C28" i="21"/>
  <c r="F28" i="21"/>
  <c r="B29" i="21"/>
  <c r="C29" i="21"/>
  <c r="F29" i="21"/>
  <c r="E69" i="16"/>
  <c r="F63" i="15"/>
  <c r="AD68" i="15"/>
  <c r="F41" i="15"/>
  <c r="F57" i="15"/>
  <c r="F58" i="15"/>
  <c r="E70" i="16"/>
  <c r="F67" i="15"/>
  <c r="F68" i="15" s="1"/>
  <c r="F56" i="15"/>
  <c r="F47" i="15"/>
  <c r="E71" i="16"/>
  <c r="U21" i="21"/>
  <c r="F40" i="15"/>
  <c r="F42" i="15"/>
  <c r="E68" i="16"/>
  <c r="B27" i="2"/>
  <c r="U26" i="21"/>
  <c r="K61" i="15"/>
  <c r="U27" i="21"/>
  <c r="E16" i="16"/>
  <c r="K41" i="15"/>
  <c r="K47" i="15"/>
  <c r="U11" i="21"/>
  <c r="U17" i="21"/>
  <c r="U23" i="21"/>
  <c r="U24" i="21"/>
  <c r="F22" i="15"/>
  <c r="AD41" i="15"/>
  <c r="B17" i="4"/>
  <c r="B15" i="4"/>
  <c r="F44" i="15"/>
  <c r="F45" i="15"/>
  <c r="F61" i="15"/>
  <c r="F46" i="15"/>
  <c r="F62" i="15"/>
  <c r="F51" i="15"/>
  <c r="F66" i="15"/>
  <c r="E17" i="16"/>
  <c r="E22" i="16"/>
  <c r="K63" i="15"/>
  <c r="K68" i="15"/>
  <c r="U29" i="21"/>
  <c r="U13" i="21"/>
  <c r="U18" i="21"/>
  <c r="U19" i="21"/>
  <c r="U20" i="21"/>
  <c r="AD47" i="15"/>
  <c r="AD63" i="15"/>
  <c r="F60" i="15"/>
  <c r="B23" i="2"/>
  <c r="E20" i="12"/>
  <c r="F48" i="15"/>
  <c r="F64" i="15"/>
  <c r="F49" i="15"/>
  <c r="F65" i="15"/>
  <c r="F50" i="15"/>
  <c r="F39" i="15"/>
  <c r="F55" i="15"/>
  <c r="E26" i="16"/>
  <c r="E41" i="16"/>
  <c r="E36" i="16"/>
  <c r="E37" i="16"/>
  <c r="F20" i="12"/>
  <c r="F25" i="15"/>
  <c r="F52" i="15"/>
  <c r="F26" i="15"/>
  <c r="F53" i="15"/>
  <c r="F38" i="15"/>
  <c r="F54" i="15"/>
  <c r="F43" i="15"/>
  <c r="F59" i="15"/>
  <c r="E50" i="16"/>
  <c r="E51" i="16"/>
  <c r="E56" i="16"/>
  <c r="E67" i="16"/>
  <c r="B25" i="2"/>
  <c r="Q39" i="15"/>
  <c r="Q41" i="15"/>
  <c r="K45" i="15"/>
  <c r="K66" i="15" s="1"/>
  <c r="K36" i="15" s="1"/>
  <c r="U25" i="21"/>
  <c r="U10" i="21"/>
  <c r="U14" i="21"/>
  <c r="U15" i="21"/>
  <c r="U16" i="21"/>
  <c r="F21" i="15"/>
  <c r="F65" i="12"/>
  <c r="K33" i="13"/>
  <c r="L42" i="13"/>
  <c r="J96" i="10"/>
  <c r="M33" i="13"/>
  <c r="J67" i="10"/>
  <c r="E37" i="12"/>
  <c r="B16" i="13"/>
  <c r="D33" i="13"/>
  <c r="G42" i="13"/>
  <c r="G41" i="10"/>
  <c r="M53" i="10"/>
  <c r="I139" i="10"/>
  <c r="J139" i="10" s="1"/>
  <c r="Y139" i="10" s="1"/>
  <c r="S83" i="4"/>
  <c r="M56" i="4"/>
  <c r="K87" i="4"/>
  <c r="T87" i="4"/>
  <c r="E77" i="12"/>
  <c r="CV9" i="19"/>
  <c r="CV11" i="19"/>
  <c r="DA16" i="19"/>
  <c r="B14" i="13"/>
  <c r="G33" i="13"/>
  <c r="L33" i="13"/>
  <c r="H42" i="13"/>
  <c r="M42" i="13"/>
  <c r="J41" i="10"/>
  <c r="DH3" i="19"/>
  <c r="F37" i="12"/>
  <c r="D53" i="10"/>
  <c r="G54" i="10"/>
  <c r="F73" i="10"/>
  <c r="F75" i="10" s="1"/>
  <c r="I140" i="10"/>
  <c r="J140" i="10" s="1"/>
  <c r="Y140" i="10" s="1"/>
  <c r="F53" i="10"/>
  <c r="I54" i="10"/>
  <c r="H121" i="10"/>
  <c r="G77" i="12"/>
  <c r="CV10" i="19"/>
  <c r="CV16" i="19"/>
  <c r="DG17" i="19"/>
  <c r="B17" i="13"/>
  <c r="B29" i="13"/>
  <c r="I33" i="13"/>
  <c r="D42" i="13"/>
  <c r="K42" i="13"/>
  <c r="G96" i="10"/>
  <c r="G67" i="10"/>
  <c r="G88" i="10"/>
  <c r="DG3" i="19"/>
  <c r="S82" i="4"/>
  <c r="H29" i="10"/>
  <c r="H31" i="10" s="1"/>
  <c r="L53" i="10"/>
  <c r="J54" i="10"/>
  <c r="I137" i="10"/>
  <c r="J137" i="10" s="1"/>
  <c r="Y137" i="10" s="1"/>
  <c r="H122" i="10"/>
  <c r="C224" i="22"/>
  <c r="D224" i="22" s="1"/>
  <c r="Q57" i="22"/>
  <c r="Q59" i="22"/>
  <c r="C48" i="4"/>
  <c r="C264" i="22"/>
  <c r="D264" i="22" s="1"/>
  <c r="F76" i="27"/>
  <c r="I76" i="27"/>
  <c r="I93" i="27"/>
  <c r="I122" i="27"/>
  <c r="I113" i="27"/>
  <c r="F122" i="27"/>
  <c r="F113" i="27"/>
  <c r="F93" i="27"/>
  <c r="DR3" i="19" a="1"/>
  <c r="DR49" i="19" s="1"/>
  <c r="B48" i="4"/>
  <c r="J94" i="29"/>
  <c r="U94" i="29"/>
  <c r="G95" i="29"/>
  <c r="G64" i="7"/>
  <c r="B69" i="4"/>
  <c r="M46" i="4"/>
  <c r="F46" i="4"/>
  <c r="O10" i="4"/>
  <c r="G10" i="4"/>
  <c r="I46" i="4"/>
  <c r="I10" i="4"/>
  <c r="P73" i="4"/>
  <c r="I73" i="4"/>
  <c r="U10" i="4"/>
  <c r="M10" i="4"/>
  <c r="E10" i="4"/>
  <c r="P46" i="4"/>
  <c r="Q10" i="4"/>
  <c r="F21" i="3"/>
  <c r="M73" i="4"/>
  <c r="F73" i="4"/>
  <c r="S10" i="4"/>
  <c r="K10" i="4"/>
  <c r="F31" i="3"/>
  <c r="C341" i="26"/>
  <c r="C341" i="22"/>
  <c r="C339" i="22"/>
  <c r="I26" i="8"/>
  <c r="F26" i="8"/>
  <c r="G20" i="8"/>
  <c r="I19" i="8"/>
  <c r="J20" i="8"/>
  <c r="G27" i="8"/>
  <c r="F19" i="8"/>
  <c r="J27" i="8"/>
  <c r="C94" i="29"/>
  <c r="N94" i="29"/>
  <c r="Y94" i="29"/>
  <c r="K95" i="29"/>
  <c r="V95" i="29"/>
  <c r="R55" i="7"/>
  <c r="G55" i="7"/>
  <c r="E94" i="29"/>
  <c r="O94" i="29"/>
  <c r="Z94" i="29"/>
  <c r="M95" i="29"/>
  <c r="W95" i="29"/>
  <c r="R66" i="7"/>
  <c r="G84" i="7"/>
  <c r="E39" i="22"/>
  <c r="E303" i="22" s="1"/>
  <c r="CG8" i="19"/>
  <c r="I94" i="29"/>
  <c r="S94" i="29"/>
  <c r="F95" i="29"/>
  <c r="Q95" i="29"/>
  <c r="B42" i="4"/>
  <c r="R86" i="7"/>
  <c r="G86" i="7"/>
  <c r="Q76" i="7"/>
  <c r="O66" i="7"/>
  <c r="F66" i="7" s="1"/>
  <c r="O75" i="7"/>
  <c r="Q56" i="8"/>
  <c r="H56" i="8" s="1"/>
  <c r="P56" i="7"/>
  <c r="G56" i="7" s="1"/>
  <c r="P56" i="8"/>
  <c r="W137" i="10"/>
  <c r="Q65" i="7"/>
  <c r="O45" i="7"/>
  <c r="P35" i="7"/>
  <c r="R35" i="7" s="1"/>
  <c r="P76" i="7"/>
  <c r="P85" i="7"/>
  <c r="G85" i="7" s="1"/>
  <c r="R46" i="7"/>
  <c r="Q46" i="7"/>
  <c r="Q35" i="7"/>
  <c r="H148" i="22"/>
  <c r="J148" i="22"/>
  <c r="G148" i="22"/>
  <c r="K148" i="22"/>
  <c r="I148" i="22"/>
  <c r="R65" i="7"/>
  <c r="H69" i="22"/>
  <c r="L60" i="22"/>
  <c r="T58" i="22"/>
  <c r="U58" i="22" s="1"/>
  <c r="G63" i="22"/>
  <c r="B110" i="27"/>
  <c r="Q36" i="7"/>
  <c r="T60" i="22"/>
  <c r="Q40" i="15"/>
  <c r="M63" i="22"/>
  <c r="F64" i="27"/>
  <c r="Q53" i="10"/>
  <c r="F94" i="29"/>
  <c r="K94" i="29"/>
  <c r="Q94" i="29"/>
  <c r="V94" i="29"/>
  <c r="C95" i="29"/>
  <c r="I95" i="29"/>
  <c r="N95" i="29"/>
  <c r="S95" i="29"/>
  <c r="Y95" i="29"/>
  <c r="S91" i="4"/>
  <c r="Q56" i="7"/>
  <c r="L64" i="23"/>
  <c r="CF6" i="19"/>
  <c r="G94" i="29"/>
  <c r="M94" i="29"/>
  <c r="R94" i="29"/>
  <c r="W94" i="29"/>
  <c r="E95" i="29"/>
  <c r="J95" i="29"/>
  <c r="O95" i="29"/>
  <c r="U95" i="29"/>
  <c r="Z95" i="29"/>
  <c r="L59" i="22"/>
  <c r="I30" i="12"/>
  <c r="T57" i="22"/>
  <c r="H64" i="22"/>
  <c r="C233" i="22"/>
  <c r="D233" i="22" s="1"/>
  <c r="C234" i="22"/>
  <c r="D234" i="22" s="1"/>
  <c r="M64" i="22"/>
  <c r="L57" i="22"/>
  <c r="T59" i="22"/>
  <c r="G64" i="22"/>
  <c r="F47" i="12"/>
  <c r="F38" i="27"/>
  <c r="B316" i="26"/>
  <c r="C316" i="26" s="1"/>
  <c r="D316" i="26" s="1"/>
  <c r="B156" i="26"/>
  <c r="B225" i="26"/>
  <c r="AA17" i="18"/>
  <c r="AB17" i="18"/>
  <c r="Z18" i="18"/>
  <c r="AA18" i="18"/>
  <c r="AB18" i="18"/>
  <c r="AC18" i="18"/>
  <c r="AC17" i="18"/>
  <c r="B5" i="29"/>
  <c r="F39" i="22"/>
  <c r="M69" i="22"/>
  <c r="F66" i="27"/>
  <c r="M147" i="22"/>
  <c r="B111" i="27"/>
  <c r="C111" i="27" s="1"/>
  <c r="D111" i="27" s="1"/>
  <c r="B263" i="26"/>
  <c r="F99" i="26"/>
  <c r="B74" i="27"/>
  <c r="C74" i="27" s="1"/>
  <c r="D74" i="27" s="1"/>
  <c r="B73" i="27"/>
  <c r="C73" i="27" s="1"/>
  <c r="D73" i="27" s="1"/>
  <c r="G69" i="22"/>
  <c r="B91" i="27"/>
  <c r="L147" i="22"/>
  <c r="M68" i="22"/>
  <c r="H68" i="22"/>
  <c r="F42" i="27"/>
  <c r="S34" i="22"/>
  <c r="B274" i="26"/>
  <c r="B233" i="26"/>
  <c r="B315" i="26"/>
  <c r="F128" i="26"/>
  <c r="F107" i="26"/>
  <c r="B304" i="26"/>
  <c r="B292" i="26"/>
  <c r="B256" i="26"/>
  <c r="B242" i="26"/>
  <c r="C242" i="26" s="1"/>
  <c r="D242" i="26" s="1"/>
  <c r="B224" i="26"/>
  <c r="F48" i="27"/>
  <c r="F52" i="27"/>
  <c r="I59" i="26"/>
  <c r="E146" i="26"/>
  <c r="E147" i="26"/>
  <c r="G34" i="26"/>
  <c r="F127" i="26"/>
  <c r="F115" i="26"/>
  <c r="F111" i="26"/>
  <c r="F102" i="26"/>
  <c r="B284" i="26"/>
  <c r="C284" i="26" s="1"/>
  <c r="D284" i="26" s="1"/>
  <c r="B69" i="26"/>
  <c r="M69" i="26" s="1"/>
  <c r="B241" i="26"/>
  <c r="F112" i="26"/>
  <c r="S112" i="26" s="1"/>
  <c r="F20" i="27"/>
  <c r="B275" i="26"/>
  <c r="B325" i="26"/>
  <c r="F131" i="26"/>
  <c r="F126" i="26"/>
  <c r="S126" i="26" s="1"/>
  <c r="F114" i="26"/>
  <c r="S114" i="26" s="1"/>
  <c r="F101" i="26"/>
  <c r="B283" i="26"/>
  <c r="B68" i="26"/>
  <c r="S57" i="8"/>
  <c r="S47" i="8"/>
  <c r="K69" i="14"/>
  <c r="O8" i="5"/>
  <c r="AD17" i="18"/>
  <c r="AE17" i="18"/>
  <c r="AF17" i="18"/>
  <c r="B10" i="8"/>
  <c r="B19" i="7"/>
  <c r="R47" i="8"/>
  <c r="AB366" i="29"/>
  <c r="O63" i="23"/>
  <c r="CG10" i="19"/>
  <c r="Q34" i="7"/>
  <c r="R36" i="7"/>
  <c r="J46" i="14"/>
  <c r="I46" i="14" s="1"/>
  <c r="I214" i="19"/>
  <c r="B218" i="19" s="1"/>
  <c r="R57" i="8"/>
  <c r="F336" i="26"/>
  <c r="R388" i="26"/>
  <c r="L20" i="22"/>
  <c r="K18" i="22" s="1"/>
  <c r="L21" i="22"/>
  <c r="F290" i="22" s="1"/>
  <c r="L21" i="26"/>
  <c r="I281" i="26" s="1"/>
  <c r="F61" i="10"/>
  <c r="L61" i="10" s="1"/>
  <c r="K29" i="10"/>
  <c r="K31" i="10" s="1"/>
  <c r="L20" i="26"/>
  <c r="F58" i="10"/>
  <c r="L58" i="10" s="1"/>
  <c r="F62" i="10"/>
  <c r="L62" i="10" s="1"/>
  <c r="F33" i="10"/>
  <c r="F29" i="10"/>
  <c r="F31" i="10" s="1"/>
  <c r="F59" i="10"/>
  <c r="L59" i="10" s="1"/>
  <c r="F34" i="10"/>
  <c r="C66" i="10"/>
  <c r="C68" i="10"/>
  <c r="F60" i="10"/>
  <c r="L60" i="10" s="1"/>
  <c r="F35" i="10"/>
  <c r="D29" i="10"/>
  <c r="D31" i="10"/>
  <c r="CU11" i="19"/>
  <c r="C339" i="26"/>
  <c r="CU9" i="19"/>
  <c r="D94" i="29"/>
  <c r="H94" i="29"/>
  <c r="L94" i="29"/>
  <c r="P94" i="29"/>
  <c r="T94" i="29"/>
  <c r="X94" i="29"/>
  <c r="D95" i="29"/>
  <c r="H95" i="29"/>
  <c r="L95" i="29"/>
  <c r="P95" i="29"/>
  <c r="T95" i="29"/>
  <c r="X95" i="29"/>
  <c r="B85" i="4"/>
  <c r="Q21" i="4"/>
  <c r="R45" i="7"/>
  <c r="CU10" i="19"/>
  <c r="N21" i="4"/>
  <c r="F119" i="26"/>
  <c r="F103" i="26"/>
  <c r="F109" i="26"/>
  <c r="F117" i="26"/>
  <c r="F129" i="26"/>
  <c r="B64" i="26"/>
  <c r="H64" i="26" s="1"/>
  <c r="B234" i="26"/>
  <c r="B264" i="26"/>
  <c r="C264" i="26" s="1"/>
  <c r="D264" i="26" s="1"/>
  <c r="B293" i="26"/>
  <c r="C283" i="26"/>
  <c r="D283" i="26" s="1"/>
  <c r="L147" i="26"/>
  <c r="R379" i="26"/>
  <c r="R378" i="26"/>
  <c r="M17" i="22"/>
  <c r="R233" i="22" s="1"/>
  <c r="I261" i="22"/>
  <c r="I281" i="22"/>
  <c r="J55" i="22"/>
  <c r="B306" i="22"/>
  <c r="B227" i="22"/>
  <c r="K18" i="26"/>
  <c r="Q304" i="26" s="1"/>
  <c r="G37" i="26"/>
  <c r="M17" i="26"/>
  <c r="R179" i="26" s="1"/>
  <c r="M18" i="26"/>
  <c r="R175" i="26" s="1"/>
  <c r="I222" i="26"/>
  <c r="I322" i="26"/>
  <c r="F322" i="26"/>
  <c r="F311" i="26"/>
  <c r="R121" i="26"/>
  <c r="R111" i="26"/>
  <c r="C84" i="27"/>
  <c r="D84" i="27" s="1"/>
  <c r="K66" i="14"/>
  <c r="J71" i="14"/>
  <c r="I71" i="14" s="1"/>
  <c r="J70" i="14"/>
  <c r="I70" i="14" s="1"/>
  <c r="J57" i="14"/>
  <c r="I57" i="14" s="1"/>
  <c r="J58" i="14"/>
  <c r="I58" i="14" s="1"/>
  <c r="J69" i="14"/>
  <c r="J76" i="14"/>
  <c r="I76" i="14" s="1"/>
  <c r="H342" i="22"/>
  <c r="G128" i="27"/>
  <c r="J342" i="26"/>
  <c r="H55" i="8"/>
  <c r="S45" i="8"/>
  <c r="F85" i="7"/>
  <c r="R54" i="7"/>
  <c r="F54" i="7"/>
  <c r="B3" i="21"/>
  <c r="M226" i="22"/>
  <c r="C15" i="18"/>
  <c r="AD18" i="18"/>
  <c r="AE18" i="18"/>
  <c r="AF18" i="18"/>
  <c r="AG18" i="18"/>
  <c r="K158" i="26"/>
  <c r="K139" i="26"/>
  <c r="G213" i="26" s="1"/>
  <c r="F186" i="26"/>
  <c r="T186" i="26" s="1"/>
  <c r="F218" i="26"/>
  <c r="T218" i="26" s="1"/>
  <c r="K137" i="26"/>
  <c r="G211" i="26" s="1"/>
  <c r="K135" i="26"/>
  <c r="G209" i="26" s="1"/>
  <c r="I209" i="26" s="1"/>
  <c r="F179" i="26"/>
  <c r="K133" i="26"/>
  <c r="G207" i="26" s="1"/>
  <c r="I207" i="26" s="1"/>
  <c r="F193" i="26"/>
  <c r="R217" i="26"/>
  <c r="Q217" i="26"/>
  <c r="I185" i="26"/>
  <c r="Q215" i="26"/>
  <c r="F191" i="26"/>
  <c r="I196" i="26"/>
  <c r="I203" i="26"/>
  <c r="I187" i="26"/>
  <c r="I208" i="26"/>
  <c r="F207" i="26"/>
  <c r="F175" i="26"/>
  <c r="F208" i="26"/>
  <c r="I199" i="26"/>
  <c r="I200" i="26"/>
  <c r="I177" i="26"/>
  <c r="I184" i="26"/>
  <c r="D350" i="26"/>
  <c r="I217" i="26"/>
  <c r="I193" i="26"/>
  <c r="I174" i="26"/>
  <c r="I206" i="26"/>
  <c r="F187" i="26"/>
  <c r="F171" i="26"/>
  <c r="F174" i="26"/>
  <c r="S174" i="26" s="1"/>
  <c r="G190" i="26"/>
  <c r="I190" i="26" s="1"/>
  <c r="F172" i="26"/>
  <c r="T172" i="26" s="1"/>
  <c r="F204" i="26"/>
  <c r="T204" i="26" s="1"/>
  <c r="F205" i="26"/>
  <c r="I171" i="26"/>
  <c r="F198" i="26"/>
  <c r="S198" i="26" s="1"/>
  <c r="I210" i="26"/>
  <c r="I204" i="26"/>
  <c r="I176" i="26"/>
  <c r="I179" i="26"/>
  <c r="F213" i="26"/>
  <c r="I173" i="26"/>
  <c r="F203" i="22"/>
  <c r="F211" i="22"/>
  <c r="B10" i="3"/>
  <c r="R193" i="26"/>
  <c r="R123" i="26"/>
  <c r="K33" i="4"/>
  <c r="K19" i="22"/>
  <c r="Q317" i="22" s="1"/>
  <c r="B295" i="22"/>
  <c r="G37" i="22"/>
  <c r="I55" i="22"/>
  <c r="L13" i="27"/>
  <c r="B113" i="27" s="1"/>
  <c r="K17" i="22"/>
  <c r="Q133" i="22" s="1"/>
  <c r="B286" i="22"/>
  <c r="B244" i="22"/>
  <c r="B277" i="22"/>
  <c r="S32" i="4"/>
  <c r="U32" i="4" s="1"/>
  <c r="R35" i="4"/>
  <c r="T35" i="4" s="1"/>
  <c r="I218" i="26"/>
  <c r="I194" i="26"/>
  <c r="I181" i="26"/>
  <c r="R113" i="26"/>
  <c r="O25" i="8"/>
  <c r="O30" i="8"/>
  <c r="H5" i="22"/>
  <c r="B90" i="10"/>
  <c r="B22" i="4"/>
  <c r="B22" i="12"/>
  <c r="B75" i="4"/>
  <c r="B91" i="4"/>
  <c r="N91" i="4" s="1"/>
  <c r="B12" i="4"/>
  <c r="U14" i="4" s="1" a="1"/>
  <c r="U14" i="4" s="1"/>
  <c r="B57" i="10"/>
  <c r="B98" i="10"/>
  <c r="B43" i="10"/>
  <c r="G10" i="16"/>
  <c r="G64" i="16" s="1"/>
  <c r="B62" i="12"/>
  <c r="I62" i="12" s="1"/>
  <c r="B69" i="10"/>
  <c r="Y189" i="26"/>
  <c r="Y197" i="26"/>
  <c r="Q274" i="22"/>
  <c r="F274" i="22" s="1"/>
  <c r="Q123" i="22"/>
  <c r="Q117" i="22"/>
  <c r="Q121" i="22"/>
  <c r="Q203" i="22"/>
  <c r="Q97" i="22"/>
  <c r="Q129" i="22"/>
  <c r="Q125" i="22"/>
  <c r="Q127" i="22"/>
  <c r="Q241" i="22"/>
  <c r="Q263" i="22"/>
  <c r="Q99" i="22"/>
  <c r="Q256" i="22"/>
  <c r="Q146" i="22"/>
  <c r="M149" i="22" s="1"/>
  <c r="Q315" i="22"/>
  <c r="Q131" i="22"/>
  <c r="Q303" i="22"/>
  <c r="U13" i="4"/>
  <c r="U17" i="4" s="1"/>
  <c r="F22" i="4"/>
  <c r="I91" i="4" s="1"/>
  <c r="J91" i="4" s="1"/>
  <c r="B76" i="27"/>
  <c r="Q5" i="26"/>
  <c r="J124" i="22"/>
  <c r="H123" i="22"/>
  <c r="H108" i="22"/>
  <c r="I121" i="22"/>
  <c r="I124" i="22"/>
  <c r="I102" i="22"/>
  <c r="I130" i="22"/>
  <c r="H104" i="22"/>
  <c r="G134" i="22"/>
  <c r="I128" i="22"/>
  <c r="J140" i="22"/>
  <c r="G127" i="22"/>
  <c r="I104" i="22"/>
  <c r="H140" i="22"/>
  <c r="J104" i="22"/>
  <c r="I116" i="22"/>
  <c r="I129" i="22"/>
  <c r="G138" i="22"/>
  <c r="I134" i="22"/>
  <c r="J106" i="22"/>
  <c r="G130" i="22"/>
  <c r="J108" i="22"/>
  <c r="H130" i="22"/>
  <c r="G122" i="22"/>
  <c r="H114" i="22"/>
  <c r="G132" i="22"/>
  <c r="G143" i="22"/>
  <c r="H120" i="22"/>
  <c r="I131" i="22"/>
  <c r="H127" i="22"/>
  <c r="J129" i="22"/>
  <c r="G144" i="22"/>
  <c r="J114" i="22"/>
  <c r="G104" i="22"/>
  <c r="I117" i="22"/>
  <c r="J118" i="22"/>
  <c r="G126" i="22"/>
  <c r="J121" i="22"/>
  <c r="J130" i="22"/>
  <c r="J128" i="22"/>
  <c r="J102" i="22"/>
  <c r="H102" i="22"/>
  <c r="H117" i="22"/>
  <c r="I100" i="22"/>
  <c r="I120" i="22"/>
  <c r="J123" i="22"/>
  <c r="I106" i="22"/>
  <c r="H131" i="22"/>
  <c r="G108" i="22"/>
  <c r="G129" i="22"/>
  <c r="H134" i="22"/>
  <c r="I136" i="22"/>
  <c r="H98" i="22"/>
  <c r="H106" i="22"/>
  <c r="G131" i="22"/>
  <c r="G118" i="22"/>
  <c r="H116" i="22"/>
  <c r="H125" i="22"/>
  <c r="I98" i="22"/>
  <c r="I125" i="22"/>
  <c r="I143" i="22"/>
  <c r="G140" i="22"/>
  <c r="G123" i="22"/>
  <c r="G112" i="22"/>
  <c r="G133" i="22"/>
  <c r="J132" i="22"/>
  <c r="I132" i="22"/>
  <c r="H100" i="22"/>
  <c r="H132" i="22"/>
  <c r="J110" i="22"/>
  <c r="I122" i="22"/>
  <c r="I108" i="22"/>
  <c r="J116" i="22"/>
  <c r="J133" i="22"/>
  <c r="G141" i="22"/>
  <c r="H110" i="22"/>
  <c r="I112" i="22"/>
  <c r="I127" i="22"/>
  <c r="G102" i="22"/>
  <c r="J120" i="22"/>
  <c r="I126" i="22"/>
  <c r="I133" i="22"/>
  <c r="J144" i="22"/>
  <c r="I123" i="22"/>
  <c r="J136" i="22"/>
  <c r="H121" i="22"/>
  <c r="J141" i="22"/>
  <c r="J98" i="22"/>
  <c r="I118" i="22"/>
  <c r="J143" i="22"/>
  <c r="G136" i="22"/>
  <c r="G98" i="22"/>
  <c r="H143" i="22"/>
  <c r="G117" i="22"/>
  <c r="G121" i="22"/>
  <c r="H112" i="22"/>
  <c r="J125" i="22"/>
  <c r="I142" i="22"/>
  <c r="J127" i="22"/>
  <c r="G124" i="22"/>
  <c r="I114" i="22"/>
  <c r="H124" i="22"/>
  <c r="H118" i="22"/>
  <c r="J117" i="22"/>
  <c r="H129" i="22"/>
  <c r="J122" i="22"/>
  <c r="G120" i="22"/>
  <c r="H133" i="22"/>
  <c r="J142" i="22"/>
  <c r="G142" i="22"/>
  <c r="I140" i="22"/>
  <c r="J131" i="22"/>
  <c r="I144" i="22"/>
  <c r="H126" i="22"/>
  <c r="I141" i="22"/>
  <c r="H122" i="22"/>
  <c r="J126" i="22"/>
  <c r="G125" i="22"/>
  <c r="G128" i="22"/>
  <c r="G110" i="22"/>
  <c r="H138" i="22"/>
  <c r="G106" i="22"/>
  <c r="I138" i="22"/>
  <c r="H144" i="22"/>
  <c r="H136" i="22"/>
  <c r="G100" i="22"/>
  <c r="J134" i="22"/>
  <c r="H142" i="22"/>
  <c r="H128" i="22"/>
  <c r="J112" i="22"/>
  <c r="I110" i="22"/>
  <c r="G114" i="22"/>
  <c r="J100" i="22"/>
  <c r="J138" i="22"/>
  <c r="H141" i="22"/>
  <c r="G116" i="22"/>
  <c r="U57" i="22" l="1"/>
  <c r="BI180" i="26"/>
  <c r="BI113" i="22"/>
  <c r="F184" i="26"/>
  <c r="Y193" i="26"/>
  <c r="F209" i="26"/>
  <c r="T209" i="26" s="1"/>
  <c r="R264" i="26"/>
  <c r="R275" i="26"/>
  <c r="S204" i="26"/>
  <c r="L64" i="26"/>
  <c r="F210" i="26"/>
  <c r="T210" i="26" s="1"/>
  <c r="F177" i="26"/>
  <c r="S186" i="26"/>
  <c r="M277" i="22"/>
  <c r="T198" i="26"/>
  <c r="BI196" i="26"/>
  <c r="BI212" i="26"/>
  <c r="BI176" i="26"/>
  <c r="BI192" i="26"/>
  <c r="BI208" i="26"/>
  <c r="BI200" i="26"/>
  <c r="BI172" i="26"/>
  <c r="BI188" i="26"/>
  <c r="BI204" i="26"/>
  <c r="BI184" i="22"/>
  <c r="BI220" i="26"/>
  <c r="BI216" i="22"/>
  <c r="BI200" i="22"/>
  <c r="BI184" i="26"/>
  <c r="C358" i="22"/>
  <c r="C43" i="10"/>
  <c r="C342" i="26"/>
  <c r="R359" i="26" s="1"/>
  <c r="O69" i="10"/>
  <c r="Q63" i="10"/>
  <c r="K25" i="8"/>
  <c r="H25" i="8"/>
  <c r="AB310" i="29"/>
  <c r="AB413" i="29"/>
  <c r="AB127" i="29"/>
  <c r="D8" i="21"/>
  <c r="E8" i="21"/>
  <c r="C8" i="21"/>
  <c r="A25" i="21" s="1"/>
  <c r="C90" i="19"/>
  <c r="Q84" i="7"/>
  <c r="G34" i="7"/>
  <c r="S56" i="8"/>
  <c r="R75" i="7"/>
  <c r="G44" i="7"/>
  <c r="G35" i="7"/>
  <c r="R85" i="7"/>
  <c r="R33" i="4"/>
  <c r="T33" i="4" s="1"/>
  <c r="J32" i="4"/>
  <c r="O35" i="4"/>
  <c r="G76" i="7"/>
  <c r="R76" i="7"/>
  <c r="M146" i="22"/>
  <c r="L146" i="22"/>
  <c r="F146" i="22"/>
  <c r="K60" i="23"/>
  <c r="K61" i="23"/>
  <c r="O62" i="23"/>
  <c r="O61" i="23"/>
  <c r="O60" i="23"/>
  <c r="O64" i="23"/>
  <c r="O65" i="23"/>
  <c r="K64" i="23"/>
  <c r="K65" i="23"/>
  <c r="F39" i="27"/>
  <c r="F23" i="27"/>
  <c r="F27" i="27"/>
  <c r="F35" i="27"/>
  <c r="F41" i="27"/>
  <c r="F55" i="27"/>
  <c r="F45" i="27"/>
  <c r="F31" i="27"/>
  <c r="F49" i="27"/>
  <c r="P32" i="4"/>
  <c r="T75" i="4"/>
  <c r="K34" i="4"/>
  <c r="R201" i="26"/>
  <c r="O32" i="4"/>
  <c r="J33" i="4"/>
  <c r="R103" i="26"/>
  <c r="Q211" i="26"/>
  <c r="Q187" i="26"/>
  <c r="R207" i="26"/>
  <c r="Q113" i="26"/>
  <c r="B150" i="26"/>
  <c r="F261" i="26"/>
  <c r="F272" i="26"/>
  <c r="R32" i="4"/>
  <c r="T32" i="4" s="1"/>
  <c r="K17" i="26"/>
  <c r="K19" i="26"/>
  <c r="Q70" i="26" s="1"/>
  <c r="B277" i="26"/>
  <c r="K15" i="26"/>
  <c r="B295" i="26"/>
  <c r="I55" i="26"/>
  <c r="F43" i="27"/>
  <c r="K62" i="23"/>
  <c r="G56" i="8"/>
  <c r="R56" i="8"/>
  <c r="D128" i="27"/>
  <c r="H342" i="26"/>
  <c r="R185" i="26"/>
  <c r="S34" i="4"/>
  <c r="U34" i="4" s="1"/>
  <c r="S35" i="4"/>
  <c r="U35" i="4" s="1"/>
  <c r="H36" i="26"/>
  <c r="F281" i="26"/>
  <c r="B306" i="26"/>
  <c r="P35" i="4"/>
  <c r="F29" i="27"/>
  <c r="F156" i="26"/>
  <c r="R156" i="26"/>
  <c r="Q156" i="26"/>
  <c r="F45" i="7"/>
  <c r="Q45" i="7"/>
  <c r="AD66" i="15"/>
  <c r="R137" i="26"/>
  <c r="R34" i="26"/>
  <c r="Q284" i="26"/>
  <c r="Q101" i="26"/>
  <c r="Q213" i="26"/>
  <c r="Q175" i="26"/>
  <c r="C337" i="22"/>
  <c r="F336" i="22"/>
  <c r="L65" i="23"/>
  <c r="L61" i="23"/>
  <c r="L62" i="23"/>
  <c r="L63" i="23"/>
  <c r="N65" i="23"/>
  <c r="L90" i="10"/>
  <c r="C90" i="10"/>
  <c r="G90" i="10" s="1"/>
  <c r="R69" i="26"/>
  <c r="O33" i="4"/>
  <c r="O34" i="4"/>
  <c r="Q242" i="26"/>
  <c r="R315" i="26"/>
  <c r="R177" i="26"/>
  <c r="R203" i="26"/>
  <c r="R173" i="26"/>
  <c r="R33" i="26"/>
  <c r="R197" i="26"/>
  <c r="R68" i="26"/>
  <c r="R117" i="26"/>
  <c r="M19" i="26"/>
  <c r="F301" i="26"/>
  <c r="I261" i="26"/>
  <c r="J311" i="26"/>
  <c r="F239" i="26"/>
  <c r="M15" i="26"/>
  <c r="I272" i="26"/>
  <c r="I290" i="26"/>
  <c r="I239" i="26"/>
  <c r="F290" i="26"/>
  <c r="F222" i="26"/>
  <c r="J55" i="26"/>
  <c r="I301" i="26"/>
  <c r="F147" i="26"/>
  <c r="M147" i="26"/>
  <c r="F37" i="27"/>
  <c r="K63" i="23"/>
  <c r="F75" i="7"/>
  <c r="Q75" i="7"/>
  <c r="J62" i="14"/>
  <c r="I62" i="14" s="1"/>
  <c r="J47" i="14"/>
  <c r="I47" i="14" s="1"/>
  <c r="J78" i="14"/>
  <c r="I78" i="14" s="1"/>
  <c r="J61" i="14"/>
  <c r="I61" i="14" s="1"/>
  <c r="J49" i="14"/>
  <c r="J54" i="14"/>
  <c r="I54" i="14" s="1"/>
  <c r="J72" i="14"/>
  <c r="I72" i="14" s="1"/>
  <c r="J59" i="14"/>
  <c r="I59" i="14" s="1"/>
  <c r="J73" i="14"/>
  <c r="I73" i="14" s="1"/>
  <c r="J67" i="14"/>
  <c r="K68" i="14"/>
  <c r="J60" i="14"/>
  <c r="I60" i="14" s="1"/>
  <c r="K49" i="14"/>
  <c r="J63" i="14"/>
  <c r="I63" i="14" s="1"/>
  <c r="J74" i="14"/>
  <c r="I74" i="14" s="1"/>
  <c r="J66" i="14"/>
  <c r="J45" i="14"/>
  <c r="I45" i="14" s="1"/>
  <c r="K67" i="14"/>
  <c r="J68" i="14"/>
  <c r="J75" i="14"/>
  <c r="I75" i="14" s="1"/>
  <c r="K35" i="4"/>
  <c r="C352" i="26"/>
  <c r="R372" i="26" s="1"/>
  <c r="I124" i="10"/>
  <c r="J124" i="10" s="1"/>
  <c r="I127" i="10"/>
  <c r="J127" i="10" s="1"/>
  <c r="E40" i="22"/>
  <c r="E304" i="22" s="1"/>
  <c r="Q86" i="7"/>
  <c r="Q74" i="7"/>
  <c r="AB431" i="29"/>
  <c r="AB440" i="29"/>
  <c r="Q64" i="7"/>
  <c r="I125" i="10"/>
  <c r="J125" i="10" s="1"/>
  <c r="R74" i="7"/>
  <c r="J143" i="10"/>
  <c r="F128" i="27" s="1"/>
  <c r="R135" i="27" s="1"/>
  <c r="G55" i="8"/>
  <c r="CF9" i="19"/>
  <c r="CH9" i="19" s="1"/>
  <c r="CH10" i="19" s="1"/>
  <c r="M65" i="23"/>
  <c r="V17" i="18"/>
  <c r="V18" i="18"/>
  <c r="L63" i="22"/>
  <c r="H63" i="22"/>
  <c r="S33" i="4"/>
  <c r="U33" i="4" s="1"/>
  <c r="U48" i="4" s="1"/>
  <c r="J34" i="4"/>
  <c r="R34" i="4"/>
  <c r="T34" i="4" s="1"/>
  <c r="J35" i="4"/>
  <c r="T171" i="26"/>
  <c r="D346" i="26" s="1"/>
  <c r="Y201" i="26"/>
  <c r="F44" i="7"/>
  <c r="R45" i="8"/>
  <c r="F239" i="22"/>
  <c r="I322" i="22"/>
  <c r="Q55" i="7"/>
  <c r="F214" i="19"/>
  <c r="G68" i="22"/>
  <c r="M91" i="4"/>
  <c r="L148" i="22"/>
  <c r="BI109" i="26"/>
  <c r="BI174" i="22"/>
  <c r="BI178" i="22"/>
  <c r="BI182" i="22"/>
  <c r="BI186" i="22"/>
  <c r="BI190" i="22"/>
  <c r="BI194" i="22"/>
  <c r="BI198" i="22"/>
  <c r="BI202" i="22"/>
  <c r="BI206" i="22"/>
  <c r="BI210" i="22"/>
  <c r="BI214" i="22"/>
  <c r="BI218" i="22"/>
  <c r="BI222" i="22"/>
  <c r="G65" i="22"/>
  <c r="BI103" i="22"/>
  <c r="BI173" i="22"/>
  <c r="BI177" i="22"/>
  <c r="BI181" i="22"/>
  <c r="BI185" i="22"/>
  <c r="BI189" i="22"/>
  <c r="BI193" i="22"/>
  <c r="BI197" i="22"/>
  <c r="BI201" i="22"/>
  <c r="BI205" i="22"/>
  <c r="BI209" i="22"/>
  <c r="BI213" i="22"/>
  <c r="BI217" i="22"/>
  <c r="BI221" i="22"/>
  <c r="BI175" i="26"/>
  <c r="BI179" i="26"/>
  <c r="BI183" i="26"/>
  <c r="BI187" i="26"/>
  <c r="BI191" i="26"/>
  <c r="BI195" i="26"/>
  <c r="BI199" i="26"/>
  <c r="BI203" i="26"/>
  <c r="BI207" i="26"/>
  <c r="BI211" i="26"/>
  <c r="BI215" i="26"/>
  <c r="BI219" i="26"/>
  <c r="BI223" i="26"/>
  <c r="BI216" i="26"/>
  <c r="B243" i="26"/>
  <c r="B75" i="27"/>
  <c r="H65" i="22"/>
  <c r="B70" i="26"/>
  <c r="BI171" i="22"/>
  <c r="BI172" i="22"/>
  <c r="BI176" i="22"/>
  <c r="BI180" i="22"/>
  <c r="BI188" i="22"/>
  <c r="BI192" i="22"/>
  <c r="BI196" i="22"/>
  <c r="BI204" i="22"/>
  <c r="BI208" i="22"/>
  <c r="BI212" i="22"/>
  <c r="BI220" i="22"/>
  <c r="BI224" i="22"/>
  <c r="BI173" i="26"/>
  <c r="BI174" i="26"/>
  <c r="BI177" i="26"/>
  <c r="BI178" i="26"/>
  <c r="BI181" i="26"/>
  <c r="BI182" i="26"/>
  <c r="BI185" i="26"/>
  <c r="BI186" i="26"/>
  <c r="BI189" i="26"/>
  <c r="BI190" i="26"/>
  <c r="BI193" i="26"/>
  <c r="BI194" i="26"/>
  <c r="BI197" i="26"/>
  <c r="BI198" i="26"/>
  <c r="BI201" i="26"/>
  <c r="BI202" i="26"/>
  <c r="BI205" i="26"/>
  <c r="BI206" i="26"/>
  <c r="BI209" i="26"/>
  <c r="BI210" i="26"/>
  <c r="BI213" i="26"/>
  <c r="BI214" i="26"/>
  <c r="BI217" i="26"/>
  <c r="BI218" i="26"/>
  <c r="BI221" i="26"/>
  <c r="BI222" i="26"/>
  <c r="S33" i="22"/>
  <c r="R390" i="22"/>
  <c r="F138" i="26"/>
  <c r="S138" i="26" s="1"/>
  <c r="M65" i="22"/>
  <c r="BI107" i="26"/>
  <c r="BI101" i="26"/>
  <c r="BI175" i="22"/>
  <c r="BI179" i="22"/>
  <c r="BI183" i="22"/>
  <c r="BI187" i="22"/>
  <c r="BI191" i="22"/>
  <c r="BI195" i="22"/>
  <c r="BI199" i="22"/>
  <c r="BI203" i="22"/>
  <c r="BI207" i="22"/>
  <c r="BI211" i="22"/>
  <c r="BI215" i="22"/>
  <c r="BI219" i="22"/>
  <c r="BI223" i="22"/>
  <c r="BI224" i="26"/>
  <c r="M113" i="27"/>
  <c r="AB225" i="29"/>
  <c r="AB111" i="29"/>
  <c r="AB198" i="29"/>
  <c r="AB216" i="29"/>
  <c r="AB234" i="29"/>
  <c r="AB151" i="29"/>
  <c r="AB187" i="29"/>
  <c r="AB207" i="29"/>
  <c r="AB243" i="29"/>
  <c r="AB263" i="29"/>
  <c r="AB272" i="29"/>
  <c r="AB290" i="29"/>
  <c r="AB328" i="29"/>
  <c r="AB355" i="29"/>
  <c r="AB384" i="29"/>
  <c r="AB449" i="29"/>
  <c r="AB469" i="29"/>
  <c r="AB487" i="29"/>
  <c r="AB142" i="29"/>
  <c r="AB178" i="29"/>
  <c r="AB254" i="29"/>
  <c r="AB299" i="29"/>
  <c r="AB319" i="29"/>
  <c r="AB337" i="29"/>
  <c r="AB346" i="29"/>
  <c r="AB375" i="29"/>
  <c r="AB402" i="29"/>
  <c r="AB422" i="29"/>
  <c r="AB458" i="29"/>
  <c r="AB57" i="29"/>
  <c r="AB103" i="29"/>
  <c r="AB478" i="29"/>
  <c r="AB496" i="29"/>
  <c r="AB160" i="29"/>
  <c r="AB393" i="29"/>
  <c r="AB505" i="29"/>
  <c r="Q34" i="22"/>
  <c r="Q264" i="22"/>
  <c r="Q209" i="22"/>
  <c r="T48" i="4"/>
  <c r="I342" i="22"/>
  <c r="M64" i="23"/>
  <c r="M63" i="23"/>
  <c r="H65" i="23"/>
  <c r="H64" i="23"/>
  <c r="I64" i="23"/>
  <c r="H63" i="23"/>
  <c r="P63" i="23" s="1"/>
  <c r="Q63" i="23" s="1"/>
  <c r="H60" i="23"/>
  <c r="P60" i="23" s="1"/>
  <c r="Q60" i="23" s="1"/>
  <c r="I65" i="23"/>
  <c r="H61" i="23"/>
  <c r="P61" i="23" s="1"/>
  <c r="Q61" i="23" s="1"/>
  <c r="H62" i="23"/>
  <c r="P62" i="23" s="1"/>
  <c r="Q62" i="23" s="1"/>
  <c r="I63" i="23"/>
  <c r="J65" i="23"/>
  <c r="F118" i="23"/>
  <c r="I118" i="23" s="1"/>
  <c r="F116" i="23"/>
  <c r="I116" i="23" s="1"/>
  <c r="F117" i="23"/>
  <c r="I117" i="23" s="1"/>
  <c r="AB82" i="29"/>
  <c r="AB119" i="29"/>
  <c r="Q129" i="26"/>
  <c r="Q131" i="26"/>
  <c r="Q119" i="26"/>
  <c r="Q205" i="26"/>
  <c r="Q313" i="26"/>
  <c r="AB27" i="29"/>
  <c r="AB43" i="29"/>
  <c r="C40" i="10"/>
  <c r="C42" i="10" s="1"/>
  <c r="F18" i="15"/>
  <c r="S171" i="26"/>
  <c r="C346" i="26" s="1"/>
  <c r="R213" i="26"/>
  <c r="A14" i="21"/>
  <c r="Q316" i="26"/>
  <c r="Q147" i="26"/>
  <c r="R101" i="26"/>
  <c r="B227" i="26"/>
  <c r="B266" i="26"/>
  <c r="B318" i="26"/>
  <c r="B149" i="22"/>
  <c r="P34" i="4"/>
  <c r="Q66" i="7"/>
  <c r="J77" i="14"/>
  <c r="I77" i="14" s="1"/>
  <c r="D18" i="18"/>
  <c r="E18" i="18" s="1"/>
  <c r="F18" i="18" s="1"/>
  <c r="G18" i="18" s="1"/>
  <c r="H18" i="18" s="1"/>
  <c r="I18" i="18" s="1"/>
  <c r="J18" i="18" s="1"/>
  <c r="K18" i="18" s="1"/>
  <c r="L18" i="18" s="1"/>
  <c r="M18" i="18" s="1"/>
  <c r="N18" i="18" s="1"/>
  <c r="O18" i="18" s="1"/>
  <c r="P18" i="18" s="1"/>
  <c r="Q18" i="18" s="1"/>
  <c r="R18" i="18" s="1"/>
  <c r="S18" i="18" s="1"/>
  <c r="T18" i="18" s="1"/>
  <c r="U18" i="18" s="1"/>
  <c r="M225" i="22"/>
  <c r="Q148" i="22"/>
  <c r="S209" i="26"/>
  <c r="R187" i="26"/>
  <c r="S218" i="26"/>
  <c r="B8" i="21"/>
  <c r="Q34" i="26"/>
  <c r="Q225" i="26"/>
  <c r="R316" i="26"/>
  <c r="R284" i="26"/>
  <c r="B149" i="26"/>
  <c r="B244" i="26"/>
  <c r="B286" i="26"/>
  <c r="B266" i="22"/>
  <c r="P33" i="4"/>
  <c r="R56" i="7"/>
  <c r="W143" i="10"/>
  <c r="Y143" i="10" s="1"/>
  <c r="C90" i="27"/>
  <c r="D90" i="27" s="1"/>
  <c r="M71" i="22"/>
  <c r="K91" i="4"/>
  <c r="R147" i="26"/>
  <c r="K32" i="4"/>
  <c r="Q256" i="26"/>
  <c r="U22" i="21"/>
  <c r="J12" i="2"/>
  <c r="F57" i="10"/>
  <c r="L57" i="10" s="1"/>
  <c r="L69" i="10" s="1"/>
  <c r="F32" i="10"/>
  <c r="F36" i="10" s="1"/>
  <c r="J342" i="22"/>
  <c r="C285" i="26"/>
  <c r="D285" i="26" s="1"/>
  <c r="F196" i="26"/>
  <c r="S196" i="26" s="1"/>
  <c r="F203" i="26"/>
  <c r="F211" i="26"/>
  <c r="G305" i="22"/>
  <c r="M277" i="26"/>
  <c r="J242" i="22"/>
  <c r="Y185" i="26"/>
  <c r="F181" i="26"/>
  <c r="R189" i="26"/>
  <c r="G65" i="26"/>
  <c r="L65" i="26"/>
  <c r="R305" i="26"/>
  <c r="E305" i="22"/>
  <c r="F252" i="22"/>
  <c r="I253" i="26"/>
  <c r="B252" i="22"/>
  <c r="C252" i="22" s="1"/>
  <c r="F257" i="22"/>
  <c r="I252" i="26"/>
  <c r="J241" i="22"/>
  <c r="Y195" i="26"/>
  <c r="Y203" i="26"/>
  <c r="G243" i="22"/>
  <c r="L70" i="22"/>
  <c r="J243" i="22" s="1"/>
  <c r="BI97" i="22"/>
  <c r="BI105" i="22"/>
  <c r="BI115" i="22"/>
  <c r="BI103" i="26"/>
  <c r="BI113" i="26"/>
  <c r="BI99" i="22"/>
  <c r="BI107" i="22"/>
  <c r="BI97" i="26"/>
  <c r="BI105" i="26"/>
  <c r="BI115" i="26"/>
  <c r="Y191" i="26"/>
  <c r="R326" i="26"/>
  <c r="BI101" i="22"/>
  <c r="BI109" i="22"/>
  <c r="BI99" i="26"/>
  <c r="I274" i="22"/>
  <c r="B309" i="22"/>
  <c r="E315" i="26"/>
  <c r="B309" i="26"/>
  <c r="E316" i="22"/>
  <c r="E317" i="26"/>
  <c r="E316" i="26"/>
  <c r="F316" i="26" s="1"/>
  <c r="E317" i="22"/>
  <c r="E315" i="22"/>
  <c r="E17" i="18"/>
  <c r="F17" i="18" s="1"/>
  <c r="G17" i="18" s="1"/>
  <c r="H17" i="18" s="1"/>
  <c r="I17" i="18" s="1"/>
  <c r="J17" i="18" s="1"/>
  <c r="K17" i="18" s="1"/>
  <c r="L17" i="18" s="1"/>
  <c r="M17" i="18" s="1"/>
  <c r="N17" i="18" s="1"/>
  <c r="O17" i="18" s="1"/>
  <c r="P17" i="18" s="1"/>
  <c r="Q17" i="18" s="1"/>
  <c r="R17" i="18" s="1"/>
  <c r="S17" i="18" s="1"/>
  <c r="T17" i="18" s="1"/>
  <c r="U17" i="18" s="1"/>
  <c r="I64" i="2"/>
  <c r="L66" i="2"/>
  <c r="L63" i="10"/>
  <c r="K44" i="13"/>
  <c r="G242" i="22"/>
  <c r="Q217" i="22"/>
  <c r="Q173" i="22"/>
  <c r="F174" i="22"/>
  <c r="F198" i="22"/>
  <c r="S198" i="22" s="1"/>
  <c r="F175" i="22"/>
  <c r="S194" i="22"/>
  <c r="T194" i="22"/>
  <c r="S176" i="22"/>
  <c r="T176" i="22"/>
  <c r="S200" i="22"/>
  <c r="T200" i="22"/>
  <c r="F189" i="22"/>
  <c r="F199" i="22"/>
  <c r="Q193" i="22"/>
  <c r="Q205" i="22"/>
  <c r="F182" i="22"/>
  <c r="S182" i="22" s="1"/>
  <c r="Q181" i="22"/>
  <c r="Q199" i="22"/>
  <c r="F206" i="22"/>
  <c r="F188" i="22"/>
  <c r="S188" i="22" s="1"/>
  <c r="F193" i="22"/>
  <c r="Q175" i="22"/>
  <c r="F216" i="22"/>
  <c r="R179" i="22"/>
  <c r="F217" i="22"/>
  <c r="F186" i="22"/>
  <c r="S186" i="22" s="1"/>
  <c r="T184" i="22"/>
  <c r="F210" i="22"/>
  <c r="S210" i="22" s="1"/>
  <c r="F207" i="22"/>
  <c r="T178" i="22"/>
  <c r="S178" i="22"/>
  <c r="S190" i="22"/>
  <c r="T190" i="22"/>
  <c r="Q171" i="22"/>
  <c r="S208" i="22"/>
  <c r="S172" i="22"/>
  <c r="Q213" i="22"/>
  <c r="F196" i="22"/>
  <c r="S196" i="22" s="1"/>
  <c r="Q177" i="22"/>
  <c r="S192" i="22"/>
  <c r="F177" i="22"/>
  <c r="F202" i="22"/>
  <c r="F214" i="22"/>
  <c r="F171" i="22"/>
  <c r="R183" i="22"/>
  <c r="U60" i="22"/>
  <c r="Q195" i="22"/>
  <c r="Q183" i="22"/>
  <c r="R171" i="22"/>
  <c r="F218" i="22"/>
  <c r="F183" i="22"/>
  <c r="F191" i="22"/>
  <c r="F180" i="22"/>
  <c r="S180" i="22" s="1"/>
  <c r="U59" i="22"/>
  <c r="H84" i="27"/>
  <c r="M122" i="27"/>
  <c r="M123" i="27" s="1"/>
  <c r="M102" i="27"/>
  <c r="K104" i="27" s="1"/>
  <c r="M70" i="26"/>
  <c r="Q115" i="26"/>
  <c r="R195" i="22"/>
  <c r="T207" i="26"/>
  <c r="Q101" i="22"/>
  <c r="Q127" i="26"/>
  <c r="Q173" i="26"/>
  <c r="L149" i="22"/>
  <c r="Q63" i="22"/>
  <c r="Q185" i="22"/>
  <c r="Q191" i="22"/>
  <c r="Q197" i="22"/>
  <c r="Q33" i="22"/>
  <c r="Q105" i="22"/>
  <c r="Q115" i="22"/>
  <c r="Q283" i="22"/>
  <c r="Q109" i="22"/>
  <c r="Q313" i="22"/>
  <c r="Q224" i="22"/>
  <c r="Q201" i="22"/>
  <c r="T212" i="22"/>
  <c r="S172" i="26"/>
  <c r="C256" i="26"/>
  <c r="D256" i="26" s="1"/>
  <c r="R201" i="22"/>
  <c r="Q187" i="22"/>
  <c r="R207" i="22"/>
  <c r="Q207" i="22"/>
  <c r="Q189" i="26"/>
  <c r="F195" i="26"/>
  <c r="Q203" i="26"/>
  <c r="Q195" i="26"/>
  <c r="Q325" i="22"/>
  <c r="R256" i="26"/>
  <c r="F272" i="22"/>
  <c r="Q234" i="26"/>
  <c r="R234" i="26"/>
  <c r="C275" i="26"/>
  <c r="D275" i="26" s="1"/>
  <c r="Q275" i="26"/>
  <c r="S102" i="26"/>
  <c r="S101" i="26"/>
  <c r="Q292" i="26"/>
  <c r="C315" i="26"/>
  <c r="D315" i="26" s="1"/>
  <c r="Q315" i="26"/>
  <c r="C263" i="26"/>
  <c r="D263" i="26" s="1"/>
  <c r="R263" i="26"/>
  <c r="F346" i="26"/>
  <c r="I172" i="26"/>
  <c r="F202" i="26"/>
  <c r="F192" i="26"/>
  <c r="F130" i="26"/>
  <c r="F200" i="26"/>
  <c r="F215" i="22"/>
  <c r="R215" i="22"/>
  <c r="Q263" i="26"/>
  <c r="Q123" i="26"/>
  <c r="Q99" i="26"/>
  <c r="Q117" i="26"/>
  <c r="Q199" i="26"/>
  <c r="Q185" i="26"/>
  <c r="Q233" i="26"/>
  <c r="Q107" i="26"/>
  <c r="Q121" i="26"/>
  <c r="Q183" i="26"/>
  <c r="Q191" i="26"/>
  <c r="Q103" i="26"/>
  <c r="Q109" i="26"/>
  <c r="Q179" i="26"/>
  <c r="Q201" i="26"/>
  <c r="Q193" i="26"/>
  <c r="Q293" i="22"/>
  <c r="Q113" i="22"/>
  <c r="Q316" i="22"/>
  <c r="Q69" i="22"/>
  <c r="I69" i="22" s="1"/>
  <c r="Q234" i="22"/>
  <c r="Q304" i="22"/>
  <c r="Q284" i="22"/>
  <c r="Q64" i="22"/>
  <c r="K64" i="22" s="1"/>
  <c r="Q147" i="22"/>
  <c r="R103" i="22"/>
  <c r="R146" i="22"/>
  <c r="R241" i="22"/>
  <c r="R97" i="22"/>
  <c r="R193" i="22"/>
  <c r="R211" i="26"/>
  <c r="F212" i="26"/>
  <c r="R205" i="22"/>
  <c r="R181" i="22"/>
  <c r="Q197" i="26"/>
  <c r="R107" i="22"/>
  <c r="Q97" i="26"/>
  <c r="S128" i="26"/>
  <c r="S127" i="26"/>
  <c r="Q181" i="26"/>
  <c r="Q292" i="22"/>
  <c r="Q189" i="22"/>
  <c r="Q103" i="22"/>
  <c r="Q39" i="22"/>
  <c r="G39" i="22" s="1"/>
  <c r="Q111" i="22"/>
  <c r="Q233" i="22"/>
  <c r="Q68" i="22"/>
  <c r="Q324" i="22"/>
  <c r="Q179" i="22"/>
  <c r="Q119" i="22"/>
  <c r="Q155" i="22"/>
  <c r="Q107" i="22"/>
  <c r="R70" i="26"/>
  <c r="R177" i="22"/>
  <c r="R199" i="22"/>
  <c r="F182" i="26"/>
  <c r="R195" i="26"/>
  <c r="F190" i="26"/>
  <c r="T178" i="26"/>
  <c r="R115" i="22"/>
  <c r="Q40" i="22"/>
  <c r="Q283" i="26"/>
  <c r="R125" i="26"/>
  <c r="R241" i="26"/>
  <c r="R97" i="26"/>
  <c r="R99" i="26"/>
  <c r="R119" i="26"/>
  <c r="R171" i="26"/>
  <c r="R131" i="26"/>
  <c r="R205" i="26"/>
  <c r="R199" i="26"/>
  <c r="R146" i="26"/>
  <c r="R191" i="26"/>
  <c r="G64" i="26"/>
  <c r="M64" i="26"/>
  <c r="Q64" i="26"/>
  <c r="R64" i="26"/>
  <c r="M19" i="22"/>
  <c r="L14" i="27"/>
  <c r="F301" i="22"/>
  <c r="I239" i="22"/>
  <c r="I301" i="22"/>
  <c r="F261" i="22"/>
  <c r="J311" i="22"/>
  <c r="F311" i="22"/>
  <c r="H36" i="22"/>
  <c r="I272" i="22"/>
  <c r="F322" i="22"/>
  <c r="I290" i="22"/>
  <c r="L68" i="26"/>
  <c r="J241" i="26" s="1"/>
  <c r="H68" i="26"/>
  <c r="M68" i="26"/>
  <c r="G68" i="26"/>
  <c r="Q68" i="26"/>
  <c r="G69" i="26"/>
  <c r="L69" i="26"/>
  <c r="J242" i="26" s="1"/>
  <c r="Q69" i="26"/>
  <c r="K158" i="22"/>
  <c r="Q211" i="22"/>
  <c r="R209" i="26"/>
  <c r="Q264" i="26"/>
  <c r="R242" i="26"/>
  <c r="R40" i="26"/>
  <c r="H40" i="26" s="1"/>
  <c r="B318" i="22"/>
  <c r="K15" i="22"/>
  <c r="S111" i="26"/>
  <c r="C304" i="26"/>
  <c r="D304" i="26" s="1"/>
  <c r="R304" i="26"/>
  <c r="R225" i="26"/>
  <c r="M76" i="27"/>
  <c r="R135" i="26"/>
  <c r="R183" i="26"/>
  <c r="C75" i="27"/>
  <c r="D75" i="27" s="1"/>
  <c r="T183" i="26"/>
  <c r="C350" i="26" s="1"/>
  <c r="C325" i="26"/>
  <c r="D325" i="26" s="1"/>
  <c r="R325" i="26"/>
  <c r="Q325" i="26"/>
  <c r="F40" i="26"/>
  <c r="Q40" i="26"/>
  <c r="G40" i="26" s="1"/>
  <c r="B99" i="27"/>
  <c r="M110" i="27" s="1"/>
  <c r="B119" i="27"/>
  <c r="F25" i="27"/>
  <c r="F21" i="27"/>
  <c r="F57" i="27"/>
  <c r="F63" i="27"/>
  <c r="F28" i="27"/>
  <c r="F53" i="27"/>
  <c r="F51" i="27"/>
  <c r="F33" i="27"/>
  <c r="F47" i="27"/>
  <c r="F32" i="27"/>
  <c r="C100" i="27"/>
  <c r="D100" i="27" s="1"/>
  <c r="B82" i="27"/>
  <c r="F46" i="27"/>
  <c r="Q64" i="27"/>
  <c r="F61" i="27"/>
  <c r="Y199" i="26"/>
  <c r="F216" i="26"/>
  <c r="T216" i="26" s="1"/>
  <c r="C92" i="27"/>
  <c r="D92" i="27" s="1"/>
  <c r="Q157" i="26"/>
  <c r="I58" i="26"/>
  <c r="F180" i="26"/>
  <c r="S179" i="26" s="1"/>
  <c r="E148" i="26"/>
  <c r="B226" i="26"/>
  <c r="B294" i="26"/>
  <c r="Q226" i="22"/>
  <c r="Q285" i="22"/>
  <c r="R370" i="26"/>
  <c r="T174" i="26"/>
  <c r="T177" i="26"/>
  <c r="S177" i="26"/>
  <c r="B93" i="27"/>
  <c r="B102" i="27"/>
  <c r="K11" i="27"/>
  <c r="Q100" i="27" s="1"/>
  <c r="K8" i="27"/>
  <c r="Q243" i="22"/>
  <c r="Q326" i="22"/>
  <c r="K12" i="27"/>
  <c r="Q92" i="27" s="1"/>
  <c r="S183" i="26"/>
  <c r="M348" i="26" s="1"/>
  <c r="S184" i="26"/>
  <c r="T184" i="26"/>
  <c r="Q305" i="22"/>
  <c r="Q65" i="22"/>
  <c r="Q265" i="22"/>
  <c r="Q294" i="22"/>
  <c r="Q41" i="22"/>
  <c r="G41" i="22" s="1"/>
  <c r="Q70" i="22"/>
  <c r="Q157" i="22"/>
  <c r="Q276" i="22"/>
  <c r="S207" i="26"/>
  <c r="S208" i="26"/>
  <c r="I211" i="26"/>
  <c r="S211" i="26"/>
  <c r="R215" i="26"/>
  <c r="F215" i="26"/>
  <c r="R387" i="26"/>
  <c r="Q235" i="22"/>
  <c r="K10" i="27"/>
  <c r="Q40" i="27" s="1"/>
  <c r="T208" i="26"/>
  <c r="I213" i="26"/>
  <c r="R292" i="26"/>
  <c r="C292" i="26"/>
  <c r="D292" i="26" s="1"/>
  <c r="Q274" i="26"/>
  <c r="C274" i="26"/>
  <c r="D274" i="26" s="1"/>
  <c r="R274" i="26"/>
  <c r="R173" i="22"/>
  <c r="R129" i="22"/>
  <c r="R155" i="22"/>
  <c r="R303" i="22"/>
  <c r="F303" i="22" s="1"/>
  <c r="R39" i="22"/>
  <c r="H39" i="22" s="1"/>
  <c r="R109" i="22"/>
  <c r="R313" i="22"/>
  <c r="F313" i="22" s="1"/>
  <c r="R283" i="22"/>
  <c r="R68" i="22"/>
  <c r="R125" i="22"/>
  <c r="R63" i="22"/>
  <c r="J63" i="22" s="1"/>
  <c r="R133" i="22"/>
  <c r="R127" i="22"/>
  <c r="R119" i="22"/>
  <c r="R105" i="22"/>
  <c r="R131" i="22"/>
  <c r="R117" i="22"/>
  <c r="R256" i="22"/>
  <c r="R121" i="22"/>
  <c r="R123" i="22"/>
  <c r="R99" i="22"/>
  <c r="C293" i="26"/>
  <c r="D293" i="26" s="1"/>
  <c r="R293" i="26"/>
  <c r="Q293" i="26"/>
  <c r="R294" i="22"/>
  <c r="L146" i="26"/>
  <c r="F146" i="26"/>
  <c r="Q146" i="26"/>
  <c r="M146" i="26"/>
  <c r="C224" i="26"/>
  <c r="D224" i="26" s="1"/>
  <c r="R224" i="26"/>
  <c r="I64" i="22"/>
  <c r="R189" i="22"/>
  <c r="T204" i="22"/>
  <c r="R185" i="22"/>
  <c r="R263" i="22"/>
  <c r="R33" i="22"/>
  <c r="R111" i="22"/>
  <c r="R274" i="22"/>
  <c r="M148" i="26"/>
  <c r="H148" i="26"/>
  <c r="F148" i="26"/>
  <c r="J148" i="26"/>
  <c r="I148" i="26"/>
  <c r="R197" i="22"/>
  <c r="R191" i="22"/>
  <c r="R324" i="22"/>
  <c r="R224" i="22"/>
  <c r="R315" i="22"/>
  <c r="R292" i="22"/>
  <c r="Q224" i="26"/>
  <c r="R233" i="26"/>
  <c r="C233" i="26"/>
  <c r="D233" i="26" s="1"/>
  <c r="R107" i="26"/>
  <c r="R115" i="26"/>
  <c r="R109" i="26"/>
  <c r="R313" i="26"/>
  <c r="Q139" i="22"/>
  <c r="Q137" i="22"/>
  <c r="Q135" i="22"/>
  <c r="R283" i="26"/>
  <c r="M93" i="27"/>
  <c r="F54" i="27"/>
  <c r="F40" i="27"/>
  <c r="F44" i="27"/>
  <c r="F22" i="27"/>
  <c r="F26" i="27"/>
  <c r="F56" i="27"/>
  <c r="F50" i="27"/>
  <c r="F30" i="27"/>
  <c r="F34" i="27"/>
  <c r="F58" i="27"/>
  <c r="F36" i="27"/>
  <c r="F24" i="27"/>
  <c r="F60" i="27"/>
  <c r="F62" i="27"/>
  <c r="F134" i="26"/>
  <c r="S134" i="26" s="1"/>
  <c r="F139" i="26"/>
  <c r="C326" i="26"/>
  <c r="D326" i="26" s="1"/>
  <c r="J58" i="26"/>
  <c r="F108" i="26"/>
  <c r="I60" i="26"/>
  <c r="F214" i="26"/>
  <c r="Q209" i="26"/>
  <c r="F206" i="26"/>
  <c r="S205" i="26" s="1"/>
  <c r="F201" i="26"/>
  <c r="F197" i="26"/>
  <c r="F194" i="26"/>
  <c r="F189" i="26"/>
  <c r="F185" i="26"/>
  <c r="R181" i="26"/>
  <c r="Q171" i="26"/>
  <c r="F137" i="26"/>
  <c r="F140" i="26"/>
  <c r="S140" i="26" s="1"/>
  <c r="F133" i="26"/>
  <c r="Q139" i="26"/>
  <c r="Q137" i="26"/>
  <c r="Q135" i="26"/>
  <c r="Q133" i="26"/>
  <c r="C305" i="26"/>
  <c r="D305" i="26" s="1"/>
  <c r="F157" i="26"/>
  <c r="C225" i="26"/>
  <c r="D225" i="26" s="1"/>
  <c r="B39" i="26"/>
  <c r="F124" i="26"/>
  <c r="S124" i="26" s="1"/>
  <c r="F118" i="26"/>
  <c r="J57" i="26"/>
  <c r="F116" i="26"/>
  <c r="J60" i="26"/>
  <c r="F122" i="26"/>
  <c r="S122" i="26" s="1"/>
  <c r="F106" i="26"/>
  <c r="S106" i="26" s="1"/>
  <c r="B303" i="26"/>
  <c r="I33" i="26"/>
  <c r="F104" i="26"/>
  <c r="S104" i="26" s="1"/>
  <c r="B155" i="26"/>
  <c r="I34" i="26"/>
  <c r="S34" i="26" s="1"/>
  <c r="F100" i="26"/>
  <c r="B63" i="26"/>
  <c r="F97" i="26"/>
  <c r="F121" i="26"/>
  <c r="R129" i="26"/>
  <c r="R105" i="26"/>
  <c r="F188" i="26"/>
  <c r="Q177" i="26"/>
  <c r="F135" i="26"/>
  <c r="B324" i="26"/>
  <c r="G33" i="26"/>
  <c r="F98" i="26"/>
  <c r="S98" i="26" s="1"/>
  <c r="F113" i="26"/>
  <c r="I57" i="26"/>
  <c r="F132" i="26"/>
  <c r="F123" i="26"/>
  <c r="J59" i="26"/>
  <c r="F120" i="26"/>
  <c r="F110" i="26"/>
  <c r="F105" i="26"/>
  <c r="F125" i="26"/>
  <c r="S125" i="26" s="1"/>
  <c r="Q65" i="26"/>
  <c r="H69" i="26"/>
  <c r="C234" i="26"/>
  <c r="D234" i="26" s="1"/>
  <c r="F176" i="26"/>
  <c r="Q156" i="22"/>
  <c r="Q225" i="22"/>
  <c r="Q275" i="22"/>
  <c r="Q242" i="22"/>
  <c r="Q105" i="26"/>
  <c r="Q125" i="26"/>
  <c r="Q33" i="26"/>
  <c r="Q111" i="26"/>
  <c r="R127" i="26"/>
  <c r="M18" i="22"/>
  <c r="B150" i="22"/>
  <c r="F281" i="22"/>
  <c r="M15" i="22"/>
  <c r="I222" i="22"/>
  <c r="F222" i="22"/>
  <c r="C241" i="26"/>
  <c r="D241" i="26" s="1"/>
  <c r="Q241" i="26"/>
  <c r="C91" i="27"/>
  <c r="D91" i="27" s="1"/>
  <c r="C110" i="27"/>
  <c r="D110" i="27" s="1"/>
  <c r="H65" i="26"/>
  <c r="C265" i="26"/>
  <c r="D265" i="26" s="1"/>
  <c r="R133" i="26"/>
  <c r="F136" i="26"/>
  <c r="S136" i="26" s="1"/>
  <c r="F217" i="26"/>
  <c r="G350" i="22"/>
  <c r="R382" i="22" s="1"/>
  <c r="R139" i="26"/>
  <c r="F173" i="26"/>
  <c r="F199" i="26"/>
  <c r="Q207" i="26"/>
  <c r="R64" i="27"/>
  <c r="B121" i="27"/>
  <c r="C121" i="27" s="1"/>
  <c r="D121" i="27" s="1"/>
  <c r="B112" i="27"/>
  <c r="B101" i="27"/>
  <c r="R66" i="27"/>
  <c r="Q66" i="27"/>
  <c r="F65" i="27"/>
  <c r="F67" i="27"/>
  <c r="H70" i="26"/>
  <c r="L70" i="26"/>
  <c r="G70" i="26"/>
  <c r="C243" i="26"/>
  <c r="D243" i="26" s="1"/>
  <c r="C317" i="26"/>
  <c r="D317" i="26" s="1"/>
  <c r="R203" i="22"/>
  <c r="B83" i="27"/>
  <c r="B41" i="26"/>
  <c r="B235" i="26"/>
  <c r="W213" i="26" s="1"/>
  <c r="B276" i="26"/>
  <c r="K123" i="22"/>
  <c r="W197" i="22" s="1"/>
  <c r="U75" i="4"/>
  <c r="G32" i="16"/>
  <c r="G44" i="13"/>
  <c r="L43" i="10"/>
  <c r="AF20" i="27" s="1"/>
  <c r="D22" i="4"/>
  <c r="N22" i="4" s="1"/>
  <c r="C340" i="22"/>
  <c r="D352" i="22"/>
  <c r="K354" i="22"/>
  <c r="C352" i="22"/>
  <c r="C356" i="22"/>
  <c r="Q5" i="22"/>
  <c r="I354" i="22"/>
  <c r="D356" i="22"/>
  <c r="H354" i="22"/>
  <c r="F354" i="22"/>
  <c r="C354" i="22"/>
  <c r="D354" i="22"/>
  <c r="J354" i="22"/>
  <c r="G354" i="22"/>
  <c r="H44" i="13"/>
  <c r="I44" i="13" s="1"/>
  <c r="L44" i="13"/>
  <c r="M44" i="13" s="1"/>
  <c r="DR57" i="19"/>
  <c r="DR33" i="19"/>
  <c r="DR86" i="19"/>
  <c r="DR20" i="19"/>
  <c r="DR32" i="19"/>
  <c r="DR10" i="19"/>
  <c r="DR56" i="19"/>
  <c r="DR40" i="19"/>
  <c r="DR44" i="19"/>
  <c r="U15" i="4" a="1"/>
  <c r="U15" i="4" s="1"/>
  <c r="DR39" i="19"/>
  <c r="DR37" i="19"/>
  <c r="DR65" i="19"/>
  <c r="DR81" i="19"/>
  <c r="DR87" i="19"/>
  <c r="DR51" i="19"/>
  <c r="DR92" i="19"/>
  <c r="DR99" i="19"/>
  <c r="DR54" i="19"/>
  <c r="DR42" i="19"/>
  <c r="I66" i="14"/>
  <c r="DR90" i="19"/>
  <c r="DR29" i="19"/>
  <c r="DR66" i="19"/>
  <c r="DR3" i="19"/>
  <c r="DR43" i="19"/>
  <c r="DR100" i="19"/>
  <c r="K108" i="22"/>
  <c r="W182" i="22" s="1"/>
  <c r="R377" i="26"/>
  <c r="J43" i="10"/>
  <c r="G45" i="16"/>
  <c r="C69" i="10"/>
  <c r="O43" i="10"/>
  <c r="O98" i="10" s="1"/>
  <c r="F342" i="22" s="1"/>
  <c r="H22" i="4"/>
  <c r="D48" i="4" s="1"/>
  <c r="G94" i="16"/>
  <c r="K110" i="22"/>
  <c r="D350" i="22" s="1"/>
  <c r="K112" i="22"/>
  <c r="C342" i="22"/>
  <c r="G81" i="16"/>
  <c r="K130" i="22"/>
  <c r="W204" i="22" s="1"/>
  <c r="U16" i="4"/>
  <c r="U18" i="4" s="1"/>
  <c r="U19" i="4" s="1"/>
  <c r="R376" i="26"/>
  <c r="K98" i="22"/>
  <c r="K124" i="22"/>
  <c r="K136" i="22"/>
  <c r="K133" i="22"/>
  <c r="K132" i="22"/>
  <c r="W206" i="22" s="1"/>
  <c r="DR80" i="19"/>
  <c r="DR84" i="19"/>
  <c r="DR75" i="19"/>
  <c r="DR58" i="19"/>
  <c r="DR13" i="19"/>
  <c r="DR30" i="19"/>
  <c r="DR55" i="19"/>
  <c r="DR27" i="19"/>
  <c r="DR59" i="19"/>
  <c r="DR95" i="19"/>
  <c r="DR71" i="19"/>
  <c r="DR34" i="19"/>
  <c r="DR7" i="19"/>
  <c r="DR73" i="19"/>
  <c r="DR26" i="19"/>
  <c r="DR38" i="19"/>
  <c r="DR46" i="19"/>
  <c r="DR93" i="19"/>
  <c r="DR23" i="19"/>
  <c r="DR82" i="19"/>
  <c r="DR17" i="19"/>
  <c r="DR79" i="19"/>
  <c r="DR62" i="19"/>
  <c r="DR67" i="19"/>
  <c r="DR6" i="19"/>
  <c r="DR25" i="19"/>
  <c r="DR72" i="19"/>
  <c r="DR63" i="19"/>
  <c r="DR64" i="19"/>
  <c r="DR15" i="19"/>
  <c r="DR8" i="19"/>
  <c r="DR91" i="19"/>
  <c r="DR31" i="19"/>
  <c r="DR5" i="19"/>
  <c r="DR76" i="19"/>
  <c r="DR11" i="19"/>
  <c r="DR41" i="19"/>
  <c r="DR50" i="19"/>
  <c r="DR19" i="19"/>
  <c r="DR60" i="19"/>
  <c r="DR21" i="19"/>
  <c r="DR83" i="19"/>
  <c r="K128" i="22"/>
  <c r="W202" i="22" s="1"/>
  <c r="K140" i="22"/>
  <c r="W214" i="22" s="1"/>
  <c r="K143" i="22"/>
  <c r="W217" i="22" s="1"/>
  <c r="DR28" i="19"/>
  <c r="DR85" i="19"/>
  <c r="DR14" i="19"/>
  <c r="DR78" i="19"/>
  <c r="DR24" i="19"/>
  <c r="DR35" i="19"/>
  <c r="DR22" i="19"/>
  <c r="DR94" i="19"/>
  <c r="DR70" i="19"/>
  <c r="DR36" i="19"/>
  <c r="DR4" i="19"/>
  <c r="DR89" i="19"/>
  <c r="DR45" i="19"/>
  <c r="DR88" i="19"/>
  <c r="DR61" i="19"/>
  <c r="DR53" i="19"/>
  <c r="DR18" i="19"/>
  <c r="DR68" i="19"/>
  <c r="DR48" i="19"/>
  <c r="DR74" i="19"/>
  <c r="DR96" i="19"/>
  <c r="DR97" i="19"/>
  <c r="DR47" i="19"/>
  <c r="DR52" i="19"/>
  <c r="DR77" i="19"/>
  <c r="DR69" i="19"/>
  <c r="DR12" i="19"/>
  <c r="DR98" i="19"/>
  <c r="DR9" i="19"/>
  <c r="DR16" i="19"/>
  <c r="K117" i="22"/>
  <c r="I69" i="14"/>
  <c r="K121" i="22"/>
  <c r="K134" i="22"/>
  <c r="K100" i="22"/>
  <c r="K120" i="22"/>
  <c r="K127" i="22"/>
  <c r="K104" i="22"/>
  <c r="W178" i="22" s="1"/>
  <c r="K131" i="22"/>
  <c r="K138" i="22"/>
  <c r="K142" i="22"/>
  <c r="W216" i="22" s="1"/>
  <c r="K116" i="22"/>
  <c r="W190" i="22" s="1"/>
  <c r="K144" i="22"/>
  <c r="W218" i="22" s="1"/>
  <c r="K106" i="22"/>
  <c r="K102" i="22"/>
  <c r="K129" i="22"/>
  <c r="K118" i="22"/>
  <c r="K114" i="22"/>
  <c r="K122" i="22"/>
  <c r="K141" i="22"/>
  <c r="K125" i="22"/>
  <c r="K126" i="22"/>
  <c r="W200" i="22" s="1"/>
  <c r="R368" i="26"/>
  <c r="R365" i="26"/>
  <c r="F344" i="26"/>
  <c r="R391" i="26" s="1"/>
  <c r="C344" i="26"/>
  <c r="R360" i="26" s="1"/>
  <c r="C344" i="22"/>
  <c r="R362" i="22" s="1"/>
  <c r="D344" i="26"/>
  <c r="R361" i="26" s="1"/>
  <c r="F344" i="22"/>
  <c r="R393" i="22" s="1"/>
  <c r="D344" i="22"/>
  <c r="R363" i="22" s="1"/>
  <c r="M350" i="26"/>
  <c r="M350" i="22"/>
  <c r="D130" i="27"/>
  <c r="H201" i="22"/>
  <c r="H105" i="22"/>
  <c r="H99" i="22"/>
  <c r="H111" i="22"/>
  <c r="J115" i="22"/>
  <c r="J103" i="22"/>
  <c r="H107" i="22"/>
  <c r="G113" i="22"/>
  <c r="J105" i="22"/>
  <c r="I107" i="22"/>
  <c r="G109" i="22"/>
  <c r="G101" i="22"/>
  <c r="H211" i="22"/>
  <c r="I97" i="22"/>
  <c r="J113" i="22"/>
  <c r="H197" i="22"/>
  <c r="H217" i="22"/>
  <c r="H101" i="22"/>
  <c r="H214" i="22"/>
  <c r="G139" i="22"/>
  <c r="I99" i="22"/>
  <c r="G97" i="22"/>
  <c r="H113" i="22"/>
  <c r="H182" i="22"/>
  <c r="I135" i="22"/>
  <c r="H137" i="22"/>
  <c r="I115" i="22"/>
  <c r="I139" i="22"/>
  <c r="H213" i="22"/>
  <c r="H115" i="22"/>
  <c r="H202" i="22"/>
  <c r="J107" i="22"/>
  <c r="I113" i="22"/>
  <c r="I101" i="22"/>
  <c r="H119" i="22"/>
  <c r="I109" i="22"/>
  <c r="H135" i="22"/>
  <c r="J119" i="22"/>
  <c r="H109" i="22"/>
  <c r="H194" i="22"/>
  <c r="J139" i="22"/>
  <c r="H186" i="22"/>
  <c r="H193" i="22"/>
  <c r="J111" i="22"/>
  <c r="H216" i="22"/>
  <c r="H103" i="22"/>
  <c r="G115" i="22"/>
  <c r="H198" i="22"/>
  <c r="H205" i="22"/>
  <c r="J101" i="22"/>
  <c r="H199" i="22"/>
  <c r="I111" i="22"/>
  <c r="H139" i="22"/>
  <c r="G105" i="22"/>
  <c r="H212" i="22"/>
  <c r="J97" i="22"/>
  <c r="G135" i="22"/>
  <c r="H196" i="22"/>
  <c r="H185" i="22"/>
  <c r="H192" i="22"/>
  <c r="I105" i="22"/>
  <c r="H200" i="22"/>
  <c r="G107" i="22"/>
  <c r="J137" i="22"/>
  <c r="H187" i="22"/>
  <c r="J135" i="22"/>
  <c r="I119" i="22"/>
  <c r="H97" i="22"/>
  <c r="H218" i="22"/>
  <c r="H191" i="22"/>
  <c r="H195" i="22"/>
  <c r="J99" i="22"/>
  <c r="H188" i="22"/>
  <c r="J109" i="22"/>
  <c r="G103" i="22"/>
  <c r="G99" i="22"/>
  <c r="H206" i="22"/>
  <c r="G111" i="22"/>
  <c r="H181" i="22"/>
  <c r="G137" i="22"/>
  <c r="H215" i="22"/>
  <c r="I103" i="22"/>
  <c r="G119" i="22"/>
  <c r="I137" i="22"/>
  <c r="Q74" i="27" l="1"/>
  <c r="T181" i="26"/>
  <c r="M150" i="26"/>
  <c r="S210" i="26"/>
  <c r="S216" i="26"/>
  <c r="G40" i="22"/>
  <c r="G42" i="22" s="1"/>
  <c r="S195" i="26"/>
  <c r="S121" i="26"/>
  <c r="Q265" i="26"/>
  <c r="Q305" i="26"/>
  <c r="Q326" i="26"/>
  <c r="S133" i="26"/>
  <c r="F315" i="26"/>
  <c r="K119" i="22"/>
  <c r="S193" i="22" s="1"/>
  <c r="K113" i="22"/>
  <c r="K111" i="22"/>
  <c r="Y185" i="22" s="1"/>
  <c r="K135" i="22"/>
  <c r="K137" i="22"/>
  <c r="K139" i="22"/>
  <c r="W213" i="22" s="1"/>
  <c r="F350" i="22"/>
  <c r="R379" i="22" s="1"/>
  <c r="X184" i="22"/>
  <c r="V184" i="22"/>
  <c r="G147" i="22"/>
  <c r="K101" i="22"/>
  <c r="I175" i="22" s="1"/>
  <c r="J147" i="22"/>
  <c r="I147" i="22"/>
  <c r="H147" i="22"/>
  <c r="V179" i="22"/>
  <c r="X179" i="22"/>
  <c r="V218" i="22"/>
  <c r="X218" i="22"/>
  <c r="V175" i="22"/>
  <c r="X175" i="22"/>
  <c r="V217" i="22"/>
  <c r="X217" i="22"/>
  <c r="V214" i="22"/>
  <c r="X214" i="22"/>
  <c r="X213" i="22"/>
  <c r="V213" i="22"/>
  <c r="V210" i="22"/>
  <c r="X210" i="22"/>
  <c r="T209" i="22"/>
  <c r="X209" i="22"/>
  <c r="V209" i="22"/>
  <c r="X206" i="22"/>
  <c r="V206" i="22"/>
  <c r="V212" i="22"/>
  <c r="X212" i="22"/>
  <c r="V205" i="22"/>
  <c r="X205" i="22"/>
  <c r="V202" i="22"/>
  <c r="X202" i="22"/>
  <c r="V208" i="22"/>
  <c r="X208" i="22"/>
  <c r="V201" i="22"/>
  <c r="X201" i="22"/>
  <c r="X198" i="22"/>
  <c r="V198" i="22"/>
  <c r="K107" i="22"/>
  <c r="S107" i="22" s="1"/>
  <c r="X204" i="22"/>
  <c r="V204" i="22"/>
  <c r="V197" i="22"/>
  <c r="X197" i="22"/>
  <c r="X194" i="22"/>
  <c r="V194" i="22"/>
  <c r="K99" i="22"/>
  <c r="S173" i="22" s="1"/>
  <c r="J346" i="22" s="1"/>
  <c r="X215" i="22"/>
  <c r="V215" i="22"/>
  <c r="V196" i="22"/>
  <c r="X196" i="22"/>
  <c r="V193" i="22"/>
  <c r="X193" i="22"/>
  <c r="V190" i="22"/>
  <c r="X190" i="22"/>
  <c r="X183" i="22"/>
  <c r="V183" i="22"/>
  <c r="X211" i="22"/>
  <c r="T211" i="22"/>
  <c r="V211" i="22"/>
  <c r="X192" i="22"/>
  <c r="V192" i="22"/>
  <c r="X189" i="22"/>
  <c r="V189" i="22"/>
  <c r="X186" i="22"/>
  <c r="V186" i="22"/>
  <c r="X207" i="22"/>
  <c r="V207" i="22"/>
  <c r="X188" i="22"/>
  <c r="V188" i="22"/>
  <c r="V185" i="22"/>
  <c r="X185" i="22"/>
  <c r="X182" i="22"/>
  <c r="V182" i="22"/>
  <c r="K115" i="22"/>
  <c r="S115" i="22" s="1"/>
  <c r="T203" i="22"/>
  <c r="X203" i="22"/>
  <c r="V203" i="22"/>
  <c r="V180" i="22"/>
  <c r="X180" i="22"/>
  <c r="X181" i="22"/>
  <c r="V181" i="22"/>
  <c r="X178" i="22"/>
  <c r="V178" i="22"/>
  <c r="K105" i="22"/>
  <c r="I179" i="22" s="1"/>
  <c r="X199" i="22"/>
  <c r="V199" i="22"/>
  <c r="X176" i="22"/>
  <c r="V176" i="22"/>
  <c r="X177" i="22"/>
  <c r="V177" i="22"/>
  <c r="X174" i="22"/>
  <c r="V174" i="22"/>
  <c r="D348" i="22"/>
  <c r="I146" i="22"/>
  <c r="I149" i="22" s="1"/>
  <c r="H146" i="22"/>
  <c r="H149" i="22" s="1"/>
  <c r="J146" i="22"/>
  <c r="G146" i="22"/>
  <c r="G149" i="22" s="1"/>
  <c r="K97" i="22"/>
  <c r="W171" i="22" s="1"/>
  <c r="X195" i="22"/>
  <c r="V195" i="22"/>
  <c r="V172" i="22"/>
  <c r="X172" i="22"/>
  <c r="G346" i="22"/>
  <c r="V173" i="22"/>
  <c r="I346" i="22"/>
  <c r="X173" i="22"/>
  <c r="V200" i="22"/>
  <c r="X200" i="22"/>
  <c r="K109" i="22"/>
  <c r="S109" i="22" s="1"/>
  <c r="X191" i="22"/>
  <c r="V191" i="22"/>
  <c r="I313" i="22"/>
  <c r="J313" i="22" s="1"/>
  <c r="X171" i="22"/>
  <c r="V171" i="22"/>
  <c r="K103" i="22"/>
  <c r="S177" i="22" s="1"/>
  <c r="X216" i="22"/>
  <c r="V216" i="22"/>
  <c r="V187" i="22"/>
  <c r="X187" i="22"/>
  <c r="T207" i="22"/>
  <c r="T199" i="22"/>
  <c r="T171" i="22"/>
  <c r="D346" i="22" s="1"/>
  <c r="T189" i="22"/>
  <c r="T201" i="22"/>
  <c r="I180" i="22"/>
  <c r="T177" i="22"/>
  <c r="I193" i="22"/>
  <c r="I192" i="22"/>
  <c r="I174" i="22"/>
  <c r="I186" i="22"/>
  <c r="T193" i="22"/>
  <c r="T175" i="22"/>
  <c r="T191" i="22"/>
  <c r="T205" i="22"/>
  <c r="T173" i="22"/>
  <c r="K346" i="22" s="1"/>
  <c r="I210" i="22"/>
  <c r="I342" i="26"/>
  <c r="R394" i="26" s="1"/>
  <c r="J98" i="10"/>
  <c r="P25" i="8"/>
  <c r="P33" i="8" s="1"/>
  <c r="Q25" i="8"/>
  <c r="Q33" i="8" s="1"/>
  <c r="Q60" i="27"/>
  <c r="Q56" i="27"/>
  <c r="C99" i="27"/>
  <c r="E84" i="27"/>
  <c r="K84" i="27" s="1"/>
  <c r="F256" i="22"/>
  <c r="A26" i="21"/>
  <c r="F257" i="26"/>
  <c r="A23" i="21"/>
  <c r="B253" i="22"/>
  <c r="G265" i="22" s="1"/>
  <c r="G285" i="22" s="1"/>
  <c r="G294" i="22" s="1"/>
  <c r="G326" i="22" s="1"/>
  <c r="B253" i="26"/>
  <c r="Q253" i="26" s="1"/>
  <c r="F252" i="26"/>
  <c r="I256" i="26"/>
  <c r="I253" i="22"/>
  <c r="I257" i="22"/>
  <c r="A29" i="21"/>
  <c r="I256" i="22"/>
  <c r="I252" i="22"/>
  <c r="J252" i="22" s="1"/>
  <c r="A27" i="21"/>
  <c r="A11" i="21"/>
  <c r="A16" i="21"/>
  <c r="A17" i="21"/>
  <c r="A18" i="21"/>
  <c r="L71" i="22"/>
  <c r="A22" i="21"/>
  <c r="A15" i="21"/>
  <c r="A21" i="21"/>
  <c r="A13" i="21"/>
  <c r="A10" i="21"/>
  <c r="A20" i="21"/>
  <c r="R385" i="22"/>
  <c r="A19" i="21"/>
  <c r="A12" i="21"/>
  <c r="A24" i="21"/>
  <c r="A28" i="21"/>
  <c r="J244" i="22"/>
  <c r="I257" i="26"/>
  <c r="F256" i="26"/>
  <c r="B105" i="19"/>
  <c r="B106" i="19"/>
  <c r="B252" i="26"/>
  <c r="H253" i="26" s="1"/>
  <c r="B269" i="22"/>
  <c r="B269" i="26"/>
  <c r="I68" i="14"/>
  <c r="I49" i="14"/>
  <c r="O91" i="4"/>
  <c r="Q91" i="4" s="1"/>
  <c r="T91" i="4" s="1"/>
  <c r="R362" i="26"/>
  <c r="I67" i="14"/>
  <c r="R65" i="26"/>
  <c r="J65" i="26" s="1"/>
  <c r="R265" i="26"/>
  <c r="R285" i="26"/>
  <c r="R317" i="26"/>
  <c r="F317" i="26" s="1"/>
  <c r="R157" i="26"/>
  <c r="Q317" i="26"/>
  <c r="E318" i="26" s="1"/>
  <c r="Q285" i="26"/>
  <c r="S137" i="26"/>
  <c r="J68" i="22"/>
  <c r="T195" i="26"/>
  <c r="T196" i="26"/>
  <c r="M242" i="22"/>
  <c r="S305" i="22"/>
  <c r="P64" i="23"/>
  <c r="Q64" i="23" s="1"/>
  <c r="L91" i="4"/>
  <c r="P91" i="4" s="1"/>
  <c r="R91" i="4" s="1"/>
  <c r="U91" i="4" s="1"/>
  <c r="T181" i="22"/>
  <c r="K22" i="4"/>
  <c r="F62" i="4" s="1"/>
  <c r="M62" i="4" s="1"/>
  <c r="R243" i="26"/>
  <c r="Q243" i="26"/>
  <c r="S105" i="26"/>
  <c r="F63" i="10"/>
  <c r="R363" i="26"/>
  <c r="J128" i="10"/>
  <c r="J148" i="10" s="1"/>
  <c r="R396" i="22"/>
  <c r="X188" i="26"/>
  <c r="L149" i="26"/>
  <c r="M149" i="26"/>
  <c r="E252" i="22"/>
  <c r="V252" i="22" s="1"/>
  <c r="H253" i="22"/>
  <c r="R252" i="22"/>
  <c r="H252" i="22"/>
  <c r="Q252" i="22"/>
  <c r="T203" i="26"/>
  <c r="S203" i="26"/>
  <c r="F61" i="4"/>
  <c r="X190" i="26"/>
  <c r="T179" i="26"/>
  <c r="M243" i="22"/>
  <c r="P65" i="23"/>
  <c r="Q65" i="23" s="1"/>
  <c r="X210" i="26"/>
  <c r="Q46" i="8"/>
  <c r="P46" i="8"/>
  <c r="G43" i="10"/>
  <c r="Q22" i="4"/>
  <c r="AD22" i="4" s="1"/>
  <c r="F59" i="4"/>
  <c r="F35" i="4"/>
  <c r="F33" i="4"/>
  <c r="F34" i="4"/>
  <c r="F32" i="4"/>
  <c r="F60" i="4"/>
  <c r="W187" i="26"/>
  <c r="X179" i="26"/>
  <c r="G252" i="22"/>
  <c r="E318" i="22"/>
  <c r="F315" i="22"/>
  <c r="AG17" i="18"/>
  <c r="Q28" i="27"/>
  <c r="W65" i="27"/>
  <c r="T197" i="22"/>
  <c r="T187" i="22"/>
  <c r="T188" i="22"/>
  <c r="T198" i="22"/>
  <c r="T182" i="22"/>
  <c r="S174" i="22"/>
  <c r="T174" i="22"/>
  <c r="T206" i="22"/>
  <c r="S206" i="22"/>
  <c r="T195" i="22"/>
  <c r="T185" i="22"/>
  <c r="T186" i="22"/>
  <c r="T216" i="22"/>
  <c r="S216" i="22"/>
  <c r="E226" i="22"/>
  <c r="G235" i="22" s="1"/>
  <c r="T210" i="22"/>
  <c r="T217" i="22"/>
  <c r="S217" i="22"/>
  <c r="T196" i="22"/>
  <c r="T214" i="22"/>
  <c r="S214" i="22"/>
  <c r="T183" i="22"/>
  <c r="C350" i="22" s="1"/>
  <c r="T213" i="22"/>
  <c r="T179" i="22"/>
  <c r="T180" i="22"/>
  <c r="T218" i="22"/>
  <c r="S218" i="22"/>
  <c r="S202" i="22"/>
  <c r="T202" i="22"/>
  <c r="Q58" i="27"/>
  <c r="Q36" i="27"/>
  <c r="Q111" i="27"/>
  <c r="Q24" i="27"/>
  <c r="Q84" i="27"/>
  <c r="Q101" i="27"/>
  <c r="Q121" i="27"/>
  <c r="Q83" i="27"/>
  <c r="R374" i="26"/>
  <c r="R294" i="26"/>
  <c r="Q294" i="26"/>
  <c r="H82" i="27"/>
  <c r="E82" i="27"/>
  <c r="C119" i="27"/>
  <c r="D119" i="27" s="1"/>
  <c r="R317" i="22"/>
  <c r="F317" i="22" s="1"/>
  <c r="R276" i="22"/>
  <c r="R148" i="22"/>
  <c r="R265" i="22"/>
  <c r="R65" i="22"/>
  <c r="J65" i="22" s="1"/>
  <c r="R285" i="22"/>
  <c r="R70" i="22"/>
  <c r="J70" i="22" s="1"/>
  <c r="R157" i="22"/>
  <c r="R305" i="22"/>
  <c r="F305" i="22" s="1"/>
  <c r="R326" i="22"/>
  <c r="R226" i="22"/>
  <c r="K64" i="26"/>
  <c r="J64" i="26"/>
  <c r="I64" i="26"/>
  <c r="S190" i="26"/>
  <c r="T190" i="26"/>
  <c r="K68" i="22"/>
  <c r="I68" i="22"/>
  <c r="T212" i="26"/>
  <c r="S212" i="26"/>
  <c r="S191" i="26"/>
  <c r="T192" i="26"/>
  <c r="S192" i="26"/>
  <c r="T191" i="26"/>
  <c r="Q30" i="27"/>
  <c r="C294" i="26"/>
  <c r="D294" i="26" s="1"/>
  <c r="S123" i="26"/>
  <c r="X203" i="26"/>
  <c r="L59" i="26"/>
  <c r="X213" i="26"/>
  <c r="X187" i="26"/>
  <c r="R243" i="22"/>
  <c r="Q226" i="26"/>
  <c r="R226" i="26"/>
  <c r="J68" i="26"/>
  <c r="I68" i="26"/>
  <c r="K68" i="26"/>
  <c r="T215" i="22"/>
  <c r="S215" i="22"/>
  <c r="T202" i="26"/>
  <c r="S202" i="26"/>
  <c r="T211" i="26"/>
  <c r="Q119" i="27"/>
  <c r="Q110" i="27"/>
  <c r="K111" i="27"/>
  <c r="C226" i="26"/>
  <c r="D226" i="26" s="1"/>
  <c r="X205" i="26"/>
  <c r="T58" i="26"/>
  <c r="U58" i="26" s="1"/>
  <c r="R41" i="22"/>
  <c r="H41" i="22" s="1"/>
  <c r="F226" i="22"/>
  <c r="W211" i="26"/>
  <c r="G148" i="26"/>
  <c r="R148" i="26"/>
  <c r="Q148" i="26"/>
  <c r="T182" i="26"/>
  <c r="S182" i="26"/>
  <c r="T200" i="26"/>
  <c r="S200" i="26"/>
  <c r="H226" i="22"/>
  <c r="K110" i="27"/>
  <c r="I226" i="22"/>
  <c r="I225" i="22"/>
  <c r="H225" i="22"/>
  <c r="H242" i="22" s="1"/>
  <c r="R375" i="26"/>
  <c r="I224" i="22"/>
  <c r="H224" i="22"/>
  <c r="I233" i="22" s="1"/>
  <c r="M111" i="27"/>
  <c r="C82" i="27"/>
  <c r="D82" i="27" s="1"/>
  <c r="J243" i="26"/>
  <c r="J244" i="26" s="1"/>
  <c r="X186" i="26"/>
  <c r="X174" i="26"/>
  <c r="L57" i="26"/>
  <c r="K148" i="26"/>
  <c r="L148" i="26"/>
  <c r="L150" i="26"/>
  <c r="R235" i="22"/>
  <c r="E306" i="22"/>
  <c r="D252" i="22"/>
  <c r="T180" i="26"/>
  <c r="S180" i="26"/>
  <c r="G227" i="22"/>
  <c r="M227" i="22" s="1"/>
  <c r="G241" i="22"/>
  <c r="M224" i="22"/>
  <c r="I69" i="26"/>
  <c r="K69" i="26"/>
  <c r="J69" i="26"/>
  <c r="I88" i="27"/>
  <c r="I97" i="27"/>
  <c r="F71" i="27"/>
  <c r="M11" i="27"/>
  <c r="F97" i="27"/>
  <c r="F117" i="27"/>
  <c r="M8" i="27"/>
  <c r="M12" i="27"/>
  <c r="R112" i="27" s="1"/>
  <c r="M10" i="27"/>
  <c r="I71" i="27"/>
  <c r="F88" i="27"/>
  <c r="I108" i="27"/>
  <c r="I117" i="27"/>
  <c r="F108" i="27"/>
  <c r="S129" i="26"/>
  <c r="S130" i="26"/>
  <c r="I275" i="26"/>
  <c r="F275" i="26"/>
  <c r="I63" i="22"/>
  <c r="K63" i="22"/>
  <c r="K69" i="22"/>
  <c r="S181" i="26"/>
  <c r="C276" i="26"/>
  <c r="D276" i="26" s="1"/>
  <c r="Q276" i="26"/>
  <c r="H277" i="26" s="1"/>
  <c r="R276" i="26"/>
  <c r="S116" i="26"/>
  <c r="S115" i="26"/>
  <c r="T197" i="26"/>
  <c r="S197" i="26"/>
  <c r="F313" i="26"/>
  <c r="J313" i="26"/>
  <c r="F274" i="26"/>
  <c r="I274" i="26"/>
  <c r="I276" i="22"/>
  <c r="F276" i="22"/>
  <c r="W29" i="27"/>
  <c r="X23" i="27"/>
  <c r="W38" i="27"/>
  <c r="W67" i="27"/>
  <c r="W23" i="27"/>
  <c r="X37" i="27"/>
  <c r="W20" i="27"/>
  <c r="W54" i="27"/>
  <c r="X33" i="27"/>
  <c r="W49" i="27"/>
  <c r="W39" i="27"/>
  <c r="X40" i="27"/>
  <c r="X38" i="27"/>
  <c r="W42" i="27"/>
  <c r="X20" i="27"/>
  <c r="W60" i="27"/>
  <c r="W40" i="27"/>
  <c r="W62" i="27"/>
  <c r="W32" i="27"/>
  <c r="X50" i="27"/>
  <c r="W21" i="27"/>
  <c r="W66" i="27"/>
  <c r="X48" i="27"/>
  <c r="X56" i="27"/>
  <c r="W48" i="27"/>
  <c r="W44" i="27"/>
  <c r="X60" i="27"/>
  <c r="W63" i="27"/>
  <c r="C83" i="27"/>
  <c r="D83" i="27" s="1"/>
  <c r="X46" i="27"/>
  <c r="X39" i="27"/>
  <c r="W43" i="27"/>
  <c r="W26" i="27"/>
  <c r="X47" i="27"/>
  <c r="X65" i="27"/>
  <c r="X58" i="27"/>
  <c r="W52" i="27"/>
  <c r="W47" i="27"/>
  <c r="X63" i="27"/>
  <c r="X51" i="27"/>
  <c r="X62" i="27"/>
  <c r="X25" i="27"/>
  <c r="W64" i="27"/>
  <c r="W61" i="27"/>
  <c r="X29" i="27"/>
  <c r="X64" i="27"/>
  <c r="X28" i="27"/>
  <c r="W33" i="27"/>
  <c r="X31" i="27"/>
  <c r="X21" i="27"/>
  <c r="X34" i="27"/>
  <c r="W34" i="27"/>
  <c r="W25" i="27"/>
  <c r="X55" i="27"/>
  <c r="X42" i="27"/>
  <c r="X32" i="27"/>
  <c r="W57" i="27"/>
  <c r="X27" i="27"/>
  <c r="W51" i="27"/>
  <c r="W45" i="27"/>
  <c r="W58" i="27"/>
  <c r="E83" i="27"/>
  <c r="X61" i="27"/>
  <c r="X67" i="27"/>
  <c r="X66" i="27"/>
  <c r="W50" i="27"/>
  <c r="X49" i="27"/>
  <c r="W36" i="27"/>
  <c r="X26" i="27"/>
  <c r="W27" i="27"/>
  <c r="W46" i="27"/>
  <c r="X43" i="27"/>
  <c r="X45" i="27"/>
  <c r="W28" i="27"/>
  <c r="X53" i="27"/>
  <c r="W22" i="27"/>
  <c r="W53" i="27"/>
  <c r="W55" i="27"/>
  <c r="X41" i="27"/>
  <c r="X59" i="27"/>
  <c r="W30" i="27"/>
  <c r="X52" i="27"/>
  <c r="X36" i="27"/>
  <c r="X24" i="27"/>
  <c r="W56" i="27"/>
  <c r="W24" i="27"/>
  <c r="W59" i="27"/>
  <c r="X44" i="27"/>
  <c r="X35" i="27"/>
  <c r="X22" i="27"/>
  <c r="K64" i="27"/>
  <c r="W35" i="27"/>
  <c r="W41" i="27"/>
  <c r="W37" i="27"/>
  <c r="W31" i="27"/>
  <c r="X30" i="27"/>
  <c r="X54" i="27"/>
  <c r="K66" i="27"/>
  <c r="X57" i="27"/>
  <c r="H83" i="27"/>
  <c r="G252" i="26"/>
  <c r="C112" i="27"/>
  <c r="D112" i="27" s="1"/>
  <c r="M112" i="27"/>
  <c r="K112" i="27"/>
  <c r="R137" i="22"/>
  <c r="R139" i="22"/>
  <c r="R135" i="22"/>
  <c r="R242" i="22"/>
  <c r="R156" i="22"/>
  <c r="R284" i="22"/>
  <c r="R40" i="22"/>
  <c r="H40" i="22" s="1"/>
  <c r="R225" i="22"/>
  <c r="R64" i="22"/>
  <c r="J64" i="22" s="1"/>
  <c r="R316" i="22"/>
  <c r="F316" i="22" s="1"/>
  <c r="R304" i="22"/>
  <c r="F304" i="22" s="1"/>
  <c r="R34" i="22"/>
  <c r="R264" i="22"/>
  <c r="R69" i="22"/>
  <c r="J69" i="22" s="1"/>
  <c r="R293" i="22"/>
  <c r="R147" i="22"/>
  <c r="R101" i="22"/>
  <c r="R275" i="22"/>
  <c r="R213" i="22"/>
  <c r="R325" i="22"/>
  <c r="R113" i="22"/>
  <c r="R175" i="22"/>
  <c r="R187" i="22"/>
  <c r="R209" i="22"/>
  <c r="R211" i="22"/>
  <c r="R234" i="22"/>
  <c r="T176" i="26"/>
  <c r="S176" i="26"/>
  <c r="S175" i="26"/>
  <c r="T175" i="26"/>
  <c r="J147" i="26"/>
  <c r="S113" i="26"/>
  <c r="G147" i="26"/>
  <c r="K147" i="26"/>
  <c r="H147" i="26"/>
  <c r="I147" i="26"/>
  <c r="S135" i="26"/>
  <c r="S100" i="26"/>
  <c r="S99" i="26"/>
  <c r="S33" i="26"/>
  <c r="G350" i="26" s="1"/>
  <c r="R380" i="26" s="1"/>
  <c r="S193" i="26"/>
  <c r="T193" i="26"/>
  <c r="T194" i="26"/>
  <c r="S194" i="26"/>
  <c r="W171" i="26"/>
  <c r="X172" i="26"/>
  <c r="X206" i="26"/>
  <c r="X209" i="26"/>
  <c r="X196" i="26"/>
  <c r="L60" i="26"/>
  <c r="X181" i="26"/>
  <c r="X193" i="26"/>
  <c r="X194" i="26"/>
  <c r="X197" i="26"/>
  <c r="X176" i="26"/>
  <c r="X180" i="26"/>
  <c r="X214" i="26"/>
  <c r="W176" i="26"/>
  <c r="S103" i="26"/>
  <c r="Q112" i="27"/>
  <c r="Q75" i="27"/>
  <c r="T199" i="26"/>
  <c r="S199" i="26"/>
  <c r="C303" i="26"/>
  <c r="D303" i="26" s="1"/>
  <c r="Q303" i="26"/>
  <c r="R303" i="26"/>
  <c r="E39" i="26"/>
  <c r="E303" i="26" s="1"/>
  <c r="R39" i="26"/>
  <c r="Q39" i="26"/>
  <c r="F39" i="26"/>
  <c r="E304" i="26"/>
  <c r="F304" i="26" s="1"/>
  <c r="T214" i="26"/>
  <c r="S214" i="26"/>
  <c r="C235" i="26"/>
  <c r="D235" i="26" s="1"/>
  <c r="X215" i="26"/>
  <c r="X208" i="26"/>
  <c r="W182" i="26"/>
  <c r="W180" i="26"/>
  <c r="W183" i="26"/>
  <c r="W189" i="26"/>
  <c r="W200" i="26"/>
  <c r="W184" i="26"/>
  <c r="W206" i="26"/>
  <c r="W192" i="26"/>
  <c r="W205" i="26"/>
  <c r="W202" i="26"/>
  <c r="J252" i="26"/>
  <c r="W196" i="26"/>
  <c r="W175" i="26"/>
  <c r="W185" i="26"/>
  <c r="W191" i="26"/>
  <c r="W172" i="26"/>
  <c r="W193" i="26"/>
  <c r="W216" i="26"/>
  <c r="W186" i="26"/>
  <c r="W197" i="26"/>
  <c r="Q235" i="26"/>
  <c r="W218" i="26"/>
  <c r="W181" i="26"/>
  <c r="W188" i="26"/>
  <c r="X189" i="26"/>
  <c r="X178" i="26"/>
  <c r="W203" i="26"/>
  <c r="W208" i="26"/>
  <c r="W174" i="26"/>
  <c r="W214" i="26"/>
  <c r="W198" i="26"/>
  <c r="W201" i="26"/>
  <c r="W173" i="26"/>
  <c r="W207" i="26"/>
  <c r="W217" i="26"/>
  <c r="W179" i="26"/>
  <c r="R235" i="26"/>
  <c r="W215" i="26"/>
  <c r="X218" i="26"/>
  <c r="W178" i="26"/>
  <c r="W194" i="26"/>
  <c r="W209" i="26"/>
  <c r="W190" i="26"/>
  <c r="X217" i="26"/>
  <c r="W177" i="26"/>
  <c r="F226" i="26"/>
  <c r="H225" i="26"/>
  <c r="E225" i="26"/>
  <c r="E242" i="26" s="1"/>
  <c r="E264" i="26" s="1"/>
  <c r="I226" i="26"/>
  <c r="T173" i="26"/>
  <c r="K346" i="26" s="1"/>
  <c r="H224" i="26"/>
  <c r="S173" i="26"/>
  <c r="J346" i="26" s="1"/>
  <c r="I224" i="26"/>
  <c r="E226" i="26"/>
  <c r="E243" i="26" s="1"/>
  <c r="E265" i="26" s="1"/>
  <c r="F224" i="26"/>
  <c r="E224" i="26"/>
  <c r="I225" i="26"/>
  <c r="F225" i="26"/>
  <c r="H226" i="26"/>
  <c r="U235" i="26" s="1"/>
  <c r="T217" i="26"/>
  <c r="S217" i="26"/>
  <c r="S110" i="26"/>
  <c r="S109" i="26"/>
  <c r="S131" i="26"/>
  <c r="S132" i="26"/>
  <c r="T188" i="26"/>
  <c r="S188" i="26"/>
  <c r="H146" i="26"/>
  <c r="S97" i="26"/>
  <c r="I146" i="26"/>
  <c r="K146" i="26"/>
  <c r="G146" i="26"/>
  <c r="J146" i="26"/>
  <c r="F155" i="26"/>
  <c r="G226" i="26"/>
  <c r="R155" i="26"/>
  <c r="Q155" i="26"/>
  <c r="G225" i="26"/>
  <c r="T185" i="26"/>
  <c r="S185" i="26"/>
  <c r="S201" i="26"/>
  <c r="T201" i="26"/>
  <c r="S139" i="26"/>
  <c r="X173" i="26"/>
  <c r="X184" i="26"/>
  <c r="W212" i="26"/>
  <c r="X192" i="26"/>
  <c r="L58" i="26"/>
  <c r="T57" i="26"/>
  <c r="U57" i="26" s="1"/>
  <c r="X199" i="26"/>
  <c r="X200" i="26"/>
  <c r="T59" i="26"/>
  <c r="U59" i="26" s="1"/>
  <c r="X191" i="26"/>
  <c r="X177" i="26"/>
  <c r="X195" i="26"/>
  <c r="X204" i="26"/>
  <c r="J253" i="26"/>
  <c r="X182" i="26"/>
  <c r="S187" i="26"/>
  <c r="T215" i="26"/>
  <c r="S215" i="26"/>
  <c r="T213" i="26"/>
  <c r="Q62" i="27"/>
  <c r="Q91" i="27"/>
  <c r="Q120" i="27"/>
  <c r="E41" i="26"/>
  <c r="E305" i="26" s="1"/>
  <c r="F305" i="26" s="1"/>
  <c r="F41" i="26"/>
  <c r="R41" i="26"/>
  <c r="Q41" i="26"/>
  <c r="J41" i="26"/>
  <c r="G305" i="26" s="1"/>
  <c r="I70" i="26"/>
  <c r="J70" i="26"/>
  <c r="K70" i="26"/>
  <c r="C101" i="27"/>
  <c r="D101" i="27" s="1"/>
  <c r="W210" i="26"/>
  <c r="F275" i="22"/>
  <c r="E277" i="22"/>
  <c r="I275" i="22"/>
  <c r="H277" i="22"/>
  <c r="K65" i="26"/>
  <c r="I65" i="26"/>
  <c r="S120" i="26"/>
  <c r="S119" i="26"/>
  <c r="R324" i="26"/>
  <c r="C324" i="26"/>
  <c r="D324" i="26" s="1"/>
  <c r="Q324" i="26"/>
  <c r="H63" i="26"/>
  <c r="M63" i="26"/>
  <c r="M71" i="26" s="1"/>
  <c r="L63" i="26"/>
  <c r="L71" i="26" s="1"/>
  <c r="G63" i="26"/>
  <c r="Q63" i="26"/>
  <c r="R63" i="26"/>
  <c r="S117" i="26"/>
  <c r="S118" i="26"/>
  <c r="S189" i="26"/>
  <c r="T189" i="26"/>
  <c r="S206" i="26"/>
  <c r="T206" i="26"/>
  <c r="T205" i="26"/>
  <c r="S108" i="26"/>
  <c r="S107" i="26"/>
  <c r="X171" i="26"/>
  <c r="X212" i="26"/>
  <c r="W204" i="26"/>
  <c r="X216" i="26"/>
  <c r="W195" i="26"/>
  <c r="X202" i="26"/>
  <c r="X175" i="26"/>
  <c r="X183" i="26"/>
  <c r="X185" i="26"/>
  <c r="X207" i="26"/>
  <c r="X201" i="26"/>
  <c r="X211" i="26"/>
  <c r="X198" i="26"/>
  <c r="W199" i="26"/>
  <c r="G224" i="26"/>
  <c r="T187" i="26"/>
  <c r="Q52" i="27"/>
  <c r="Q82" i="27"/>
  <c r="Q99" i="27"/>
  <c r="E102" i="27" s="1"/>
  <c r="Q90" i="27"/>
  <c r="Q38" i="27"/>
  <c r="Q73" i="27"/>
  <c r="Q34" i="27"/>
  <c r="Q42" i="27"/>
  <c r="Q44" i="27"/>
  <c r="Q48" i="27"/>
  <c r="Q22" i="27"/>
  <c r="Q20" i="27"/>
  <c r="Q26" i="27"/>
  <c r="Q46" i="27"/>
  <c r="Q50" i="27"/>
  <c r="Q54" i="27"/>
  <c r="Q32" i="27"/>
  <c r="K70" i="22"/>
  <c r="I70" i="22"/>
  <c r="K65" i="22"/>
  <c r="I65" i="22"/>
  <c r="T60" i="26"/>
  <c r="U60" i="26" s="1"/>
  <c r="S213" i="26"/>
  <c r="I197" i="22"/>
  <c r="Y197" i="22"/>
  <c r="N62" i="4"/>
  <c r="I62" i="4"/>
  <c r="H62" i="4"/>
  <c r="AF171" i="26"/>
  <c r="R374" i="22"/>
  <c r="R361" i="22"/>
  <c r="R375" i="22"/>
  <c r="R380" i="22"/>
  <c r="R381" i="22"/>
  <c r="F342" i="26"/>
  <c r="Y193" i="22"/>
  <c r="I206" i="22"/>
  <c r="I204" i="22"/>
  <c r="S131" i="22"/>
  <c r="I182" i="22"/>
  <c r="I214" i="22"/>
  <c r="S129" i="22"/>
  <c r="I184" i="22"/>
  <c r="W205" i="22"/>
  <c r="I217" i="22"/>
  <c r="W174" i="22"/>
  <c r="W184" i="22"/>
  <c r="I178" i="22"/>
  <c r="S175" i="22"/>
  <c r="W180" i="22"/>
  <c r="S179" i="22"/>
  <c r="S185" i="22"/>
  <c r="W192" i="22"/>
  <c r="S123" i="22"/>
  <c r="W186" i="22"/>
  <c r="W193" i="22"/>
  <c r="S101" i="22"/>
  <c r="S117" i="22"/>
  <c r="G98" i="10"/>
  <c r="L98" i="10"/>
  <c r="G69" i="10"/>
  <c r="J69" i="10"/>
  <c r="I211" i="22"/>
  <c r="W211" i="22"/>
  <c r="W210" i="22"/>
  <c r="C348" i="22"/>
  <c r="I216" i="22"/>
  <c r="I218" i="22"/>
  <c r="S211" i="22"/>
  <c r="I202" i="22"/>
  <c r="W215" i="22"/>
  <c r="I215" i="22"/>
  <c r="I200" i="22"/>
  <c r="W185" i="22"/>
  <c r="I185" i="22"/>
  <c r="I196" i="22"/>
  <c r="W196" i="22"/>
  <c r="I212" i="22"/>
  <c r="W212" i="22"/>
  <c r="S127" i="22"/>
  <c r="W179" i="22"/>
  <c r="K348" i="22"/>
  <c r="S135" i="22"/>
  <c r="W208" i="22"/>
  <c r="I208" i="22"/>
  <c r="S113" i="22"/>
  <c r="I190" i="22"/>
  <c r="S137" i="22"/>
  <c r="W207" i="22"/>
  <c r="R389" i="22"/>
  <c r="I207" i="22"/>
  <c r="S207" i="22"/>
  <c r="S125" i="22"/>
  <c r="I188" i="22"/>
  <c r="W188" i="22"/>
  <c r="I176" i="22"/>
  <c r="W176" i="22"/>
  <c r="I194" i="22"/>
  <c r="W194" i="22"/>
  <c r="S121" i="22"/>
  <c r="S187" i="22"/>
  <c r="I187" i="22"/>
  <c r="W187" i="22"/>
  <c r="S133" i="22"/>
  <c r="I172" i="22"/>
  <c r="W172" i="22"/>
  <c r="F346" i="22"/>
  <c r="S191" i="22"/>
  <c r="Y191" i="22"/>
  <c r="I191" i="22"/>
  <c r="W191" i="22"/>
  <c r="I203" i="22"/>
  <c r="Y203" i="22"/>
  <c r="S203" i="22"/>
  <c r="W203" i="22"/>
  <c r="W198" i="22"/>
  <c r="I198" i="22"/>
  <c r="S197" i="22"/>
  <c r="K350" i="22"/>
  <c r="C130" i="27"/>
  <c r="K350" i="26"/>
  <c r="I27" i="21" a="1"/>
  <c r="I25" i="21" a="1"/>
  <c r="H29" i="21" a="1"/>
  <c r="I16" i="21" a="1"/>
  <c r="I18" i="21" a="1"/>
  <c r="H21" i="21" a="1"/>
  <c r="I15" i="21" a="1"/>
  <c r="H18" i="21" a="1"/>
  <c r="H11" i="21" a="1"/>
  <c r="H12" i="21" a="1"/>
  <c r="I29" i="21" a="1"/>
  <c r="H19" i="21" a="1"/>
  <c r="I20" i="21" a="1"/>
  <c r="H13" i="21" a="1"/>
  <c r="H15" i="21" a="1"/>
  <c r="I12" i="21" a="1"/>
  <c r="I11" i="21" a="1"/>
  <c r="H10" i="21" a="1"/>
  <c r="H26" i="21" a="1"/>
  <c r="H28" i="21" a="1"/>
  <c r="H17" i="21" a="1"/>
  <c r="H16" i="21" a="1"/>
  <c r="I19" i="21" a="1"/>
  <c r="H23" i="21" a="1"/>
  <c r="I14" i="21" a="1"/>
  <c r="I10" i="21" a="1"/>
  <c r="I22" i="21" a="1"/>
  <c r="I24" i="21" a="1"/>
  <c r="H27" i="21" a="1"/>
  <c r="H22" i="21" a="1"/>
  <c r="I17" i="21" a="1"/>
  <c r="I21" i="21" a="1"/>
  <c r="I28" i="21" a="1"/>
  <c r="I26" i="21" a="1"/>
  <c r="I23" i="21" a="1"/>
  <c r="H20" i="21" a="1"/>
  <c r="I13" i="21" a="1"/>
  <c r="H24" i="21" a="1"/>
  <c r="H14" i="21" a="1"/>
  <c r="H25" i="21" a="1"/>
  <c r="S119" i="22" l="1"/>
  <c r="S111" i="22"/>
  <c r="R378" i="22"/>
  <c r="S105" i="22"/>
  <c r="S99" i="22"/>
  <c r="H42" i="22"/>
  <c r="F318" i="26"/>
  <c r="G318" i="26" s="1"/>
  <c r="I177" i="22"/>
  <c r="W177" i="22"/>
  <c r="S97" i="22"/>
  <c r="J150" i="22"/>
  <c r="S171" i="22"/>
  <c r="C346" i="22" s="1"/>
  <c r="R364" i="22" s="1"/>
  <c r="I171" i="22"/>
  <c r="K146" i="22"/>
  <c r="J149" i="22"/>
  <c r="H76" i="27"/>
  <c r="M56" i="27" s="1"/>
  <c r="C253" i="26"/>
  <c r="D253" i="26" s="1"/>
  <c r="R253" i="26"/>
  <c r="G264" i="22"/>
  <c r="G284" i="22" s="1"/>
  <c r="G293" i="22" s="1"/>
  <c r="G325" i="22" s="1"/>
  <c r="B257" i="26"/>
  <c r="C257" i="26" s="1"/>
  <c r="C126" i="23"/>
  <c r="F243" i="26"/>
  <c r="I213" i="22"/>
  <c r="S213" i="22"/>
  <c r="G235" i="26"/>
  <c r="S139" i="22"/>
  <c r="G150" i="22"/>
  <c r="K147" i="22"/>
  <c r="H150" i="22"/>
  <c r="H346" i="22"/>
  <c r="R367" i="22" s="1"/>
  <c r="W173" i="22"/>
  <c r="I173" i="22"/>
  <c r="S103" i="22"/>
  <c r="AF171" i="22"/>
  <c r="W175" i="22"/>
  <c r="R101" i="27"/>
  <c r="I241" i="22"/>
  <c r="J253" i="22"/>
  <c r="B257" i="22"/>
  <c r="H264" i="22" s="1"/>
  <c r="I264" i="22" s="1"/>
  <c r="R253" i="22"/>
  <c r="C253" i="22"/>
  <c r="D253" i="22" s="1"/>
  <c r="Q253" i="22"/>
  <c r="H252" i="26"/>
  <c r="E252" i="26"/>
  <c r="I10" i="21"/>
  <c r="I26" i="21"/>
  <c r="I13" i="21"/>
  <c r="I15" i="21"/>
  <c r="I21" i="21"/>
  <c r="H15" i="21"/>
  <c r="I18" i="21"/>
  <c r="H11" i="21"/>
  <c r="H12" i="21"/>
  <c r="H25" i="21"/>
  <c r="I11" i="21"/>
  <c r="H26" i="21"/>
  <c r="H14" i="21"/>
  <c r="I20" i="21"/>
  <c r="I27" i="21"/>
  <c r="H20" i="21"/>
  <c r="H28" i="21"/>
  <c r="H18" i="21"/>
  <c r="H17" i="21"/>
  <c r="H29" i="21"/>
  <c r="I28" i="21"/>
  <c r="H10" i="21"/>
  <c r="I16" i="21"/>
  <c r="H27" i="21"/>
  <c r="H23" i="21"/>
  <c r="H22" i="21"/>
  <c r="H13" i="21"/>
  <c r="I19" i="21"/>
  <c r="H24" i="21"/>
  <c r="H21" i="21"/>
  <c r="I25" i="21"/>
  <c r="I24" i="21"/>
  <c r="I14" i="21"/>
  <c r="I29" i="21"/>
  <c r="I17" i="21"/>
  <c r="I22" i="21"/>
  <c r="I12" i="21"/>
  <c r="H16" i="21"/>
  <c r="H19" i="21"/>
  <c r="I23" i="21"/>
  <c r="C252" i="26"/>
  <c r="R252" i="26"/>
  <c r="Q252" i="26"/>
  <c r="F306" i="22"/>
  <c r="G342" i="26"/>
  <c r="R393" i="26" s="1"/>
  <c r="Y148" i="10"/>
  <c r="G342" i="22"/>
  <c r="R395" i="22" s="1"/>
  <c r="C128" i="27"/>
  <c r="R134" i="27" s="1"/>
  <c r="M32" i="4"/>
  <c r="N32" i="4"/>
  <c r="H32" i="4"/>
  <c r="I32" i="4"/>
  <c r="N61" i="4"/>
  <c r="H61" i="4"/>
  <c r="I61" i="4"/>
  <c r="M61" i="4"/>
  <c r="I34" i="4"/>
  <c r="H34" i="4"/>
  <c r="M34" i="4"/>
  <c r="N34" i="4"/>
  <c r="H59" i="4"/>
  <c r="I59" i="4"/>
  <c r="N59" i="4"/>
  <c r="M59" i="4"/>
  <c r="F277" i="22"/>
  <c r="M33" i="4"/>
  <c r="N33" i="4"/>
  <c r="I33" i="4"/>
  <c r="H33" i="4"/>
  <c r="H46" i="8"/>
  <c r="S46" i="8"/>
  <c r="I150" i="22"/>
  <c r="W252" i="22"/>
  <c r="I60" i="4"/>
  <c r="I75" i="4" s="1"/>
  <c r="M60" i="4"/>
  <c r="N60" i="4"/>
  <c r="H60" i="4"/>
  <c r="G75" i="4" s="1"/>
  <c r="N35" i="4"/>
  <c r="H35" i="4"/>
  <c r="I35" i="4"/>
  <c r="M35" i="4"/>
  <c r="G46" i="8"/>
  <c r="R46" i="8"/>
  <c r="E93" i="27"/>
  <c r="F318" i="22"/>
  <c r="G318" i="22" s="1"/>
  <c r="T235" i="22"/>
  <c r="E243" i="22"/>
  <c r="E265" i="22" s="1"/>
  <c r="C70" i="23"/>
  <c r="C73" i="23" s="1"/>
  <c r="I71" i="22"/>
  <c r="F235" i="22"/>
  <c r="E235" i="22"/>
  <c r="I243" i="26"/>
  <c r="E122" i="27"/>
  <c r="H102" i="27"/>
  <c r="K102" i="27" s="1"/>
  <c r="K46" i="27"/>
  <c r="K20" i="27"/>
  <c r="K40" i="27"/>
  <c r="I227" i="22"/>
  <c r="J234" i="22"/>
  <c r="H233" i="22"/>
  <c r="G256" i="22" s="1"/>
  <c r="J233" i="22"/>
  <c r="H241" i="22"/>
  <c r="H263" i="22" s="1"/>
  <c r="H234" i="22"/>
  <c r="T34" i="22" s="1"/>
  <c r="H227" i="22"/>
  <c r="R398" i="22" s="1"/>
  <c r="I242" i="22"/>
  <c r="U233" i="22"/>
  <c r="E76" i="27"/>
  <c r="R99" i="27"/>
  <c r="R20" i="27"/>
  <c r="R30" i="27"/>
  <c r="R44" i="27"/>
  <c r="R48" i="27"/>
  <c r="R38" i="27"/>
  <c r="R73" i="27"/>
  <c r="R110" i="27"/>
  <c r="R26" i="27"/>
  <c r="R90" i="27"/>
  <c r="R40" i="27"/>
  <c r="R28" i="27"/>
  <c r="R52" i="27"/>
  <c r="R56" i="27"/>
  <c r="R34" i="27"/>
  <c r="R42" i="27"/>
  <c r="R22" i="27"/>
  <c r="R54" i="27"/>
  <c r="R32" i="27"/>
  <c r="R50" i="27"/>
  <c r="R46" i="27"/>
  <c r="K52" i="27"/>
  <c r="K30" i="27"/>
  <c r="K48" i="27"/>
  <c r="K54" i="27"/>
  <c r="K22" i="27"/>
  <c r="H122" i="27"/>
  <c r="F242" i="26"/>
  <c r="J71" i="22"/>
  <c r="R62" i="27"/>
  <c r="R100" i="27"/>
  <c r="R83" i="27"/>
  <c r="R24" i="27"/>
  <c r="R74" i="27"/>
  <c r="R36" i="27"/>
  <c r="R91" i="27"/>
  <c r="R58" i="27"/>
  <c r="R120" i="27"/>
  <c r="R60" i="27"/>
  <c r="R111" i="27"/>
  <c r="G244" i="22"/>
  <c r="M244" i="22" s="1"/>
  <c r="M241" i="22"/>
  <c r="G263" i="22"/>
  <c r="K38" i="27"/>
  <c r="I235" i="22"/>
  <c r="H243" i="22"/>
  <c r="H235" i="22"/>
  <c r="J235" i="22"/>
  <c r="K226" i="22"/>
  <c r="U235" i="22"/>
  <c r="K26" i="27"/>
  <c r="K50" i="27"/>
  <c r="R119" i="27"/>
  <c r="I234" i="22"/>
  <c r="K71" i="22"/>
  <c r="K277" i="22"/>
  <c r="I242" i="26"/>
  <c r="F235" i="26"/>
  <c r="F243" i="22"/>
  <c r="K32" i="27"/>
  <c r="K34" i="27"/>
  <c r="R84" i="27"/>
  <c r="R92" i="27"/>
  <c r="R75" i="27"/>
  <c r="K82" i="27"/>
  <c r="H93" i="27"/>
  <c r="U234" i="22"/>
  <c r="R121" i="27"/>
  <c r="E113" i="27"/>
  <c r="K56" i="27"/>
  <c r="I243" i="22"/>
  <c r="K28" i="27"/>
  <c r="K42" i="27"/>
  <c r="K44" i="27"/>
  <c r="R82" i="27"/>
  <c r="R383" i="26"/>
  <c r="M225" i="26"/>
  <c r="E234" i="26"/>
  <c r="G242" i="26"/>
  <c r="G234" i="26"/>
  <c r="F234" i="26"/>
  <c r="T234" i="26"/>
  <c r="I149" i="26"/>
  <c r="I150" i="26"/>
  <c r="F227" i="26"/>
  <c r="I234" i="26"/>
  <c r="H242" i="26"/>
  <c r="H234" i="26"/>
  <c r="U234" i="26"/>
  <c r="J234" i="26"/>
  <c r="K225" i="26"/>
  <c r="C123" i="23"/>
  <c r="F126" i="23" s="1"/>
  <c r="J149" i="26"/>
  <c r="J150" i="26"/>
  <c r="E285" i="26"/>
  <c r="F265" i="26"/>
  <c r="E306" i="26"/>
  <c r="F303" i="26"/>
  <c r="F306" i="26" s="1"/>
  <c r="M224" i="26"/>
  <c r="G227" i="26"/>
  <c r="M227" i="26" s="1"/>
  <c r="E233" i="26"/>
  <c r="F233" i="26"/>
  <c r="T233" i="26"/>
  <c r="G233" i="26"/>
  <c r="G241" i="26"/>
  <c r="M226" i="26"/>
  <c r="G243" i="26"/>
  <c r="K150" i="26"/>
  <c r="K149" i="26"/>
  <c r="E241" i="26"/>
  <c r="E227" i="26"/>
  <c r="R367" i="26"/>
  <c r="R366" i="26"/>
  <c r="E284" i="26"/>
  <c r="F264" i="26"/>
  <c r="J235" i="26"/>
  <c r="T235" i="26"/>
  <c r="K83" i="27"/>
  <c r="H243" i="26"/>
  <c r="K226" i="26"/>
  <c r="K224" i="26"/>
  <c r="I233" i="26"/>
  <c r="H241" i="26"/>
  <c r="J233" i="26"/>
  <c r="U233" i="26"/>
  <c r="H233" i="26"/>
  <c r="H227" i="26"/>
  <c r="I276" i="26"/>
  <c r="I277" i="26" s="1"/>
  <c r="F276" i="26"/>
  <c r="F277" i="26" s="1"/>
  <c r="H113" i="27"/>
  <c r="K113" i="27" s="1"/>
  <c r="S305" i="26"/>
  <c r="I235" i="26"/>
  <c r="H235" i="26"/>
  <c r="K58" i="27"/>
  <c r="K36" i="27"/>
  <c r="K24" i="27"/>
  <c r="K60" i="27"/>
  <c r="K62" i="27"/>
  <c r="K63" i="26"/>
  <c r="K71" i="26" s="1"/>
  <c r="I63" i="26"/>
  <c r="I71" i="26" s="1"/>
  <c r="J63" i="26"/>
  <c r="J71" i="26" s="1"/>
  <c r="I277" i="22"/>
  <c r="H41" i="26"/>
  <c r="G41" i="26"/>
  <c r="G149" i="26"/>
  <c r="G150" i="26"/>
  <c r="H150" i="26"/>
  <c r="H149" i="26"/>
  <c r="I227" i="26"/>
  <c r="I241" i="26"/>
  <c r="E235" i="26"/>
  <c r="H39" i="26"/>
  <c r="G39" i="26"/>
  <c r="L150" i="22"/>
  <c r="M150" i="22"/>
  <c r="E277" i="26"/>
  <c r="K277" i="26" s="1"/>
  <c r="H75" i="4"/>
  <c r="Q75" i="4"/>
  <c r="I205" i="22"/>
  <c r="S205" i="22"/>
  <c r="F224" i="22"/>
  <c r="F241" i="22" s="1"/>
  <c r="D342" i="26"/>
  <c r="R364" i="26" s="1"/>
  <c r="D342" i="22"/>
  <c r="R366" i="22" s="1"/>
  <c r="E224" i="22"/>
  <c r="F233" i="22" s="1"/>
  <c r="S181" i="22"/>
  <c r="W181" i="22"/>
  <c r="I181" i="22"/>
  <c r="I209" i="22"/>
  <c r="F225" i="22"/>
  <c r="F242" i="22" s="1"/>
  <c r="E225" i="22"/>
  <c r="S209" i="22"/>
  <c r="W209" i="22"/>
  <c r="Y195" i="22"/>
  <c r="S195" i="22"/>
  <c r="W195" i="22"/>
  <c r="I195" i="22"/>
  <c r="W199" i="22"/>
  <c r="S199" i="22"/>
  <c r="Y199" i="22"/>
  <c r="I199" i="22"/>
  <c r="W183" i="22"/>
  <c r="S183" i="22"/>
  <c r="M348" i="22" s="1"/>
  <c r="I183" i="22"/>
  <c r="Y201" i="22"/>
  <c r="I201" i="22"/>
  <c r="W201" i="22"/>
  <c r="S201" i="22"/>
  <c r="R368" i="22"/>
  <c r="R369" i="22"/>
  <c r="I189" i="22"/>
  <c r="Y189" i="22"/>
  <c r="W189" i="22"/>
  <c r="S189" i="22"/>
  <c r="M46" i="27" l="1"/>
  <c r="M58" i="27"/>
  <c r="M22" i="27"/>
  <c r="M40" i="27"/>
  <c r="M52" i="27"/>
  <c r="M34" i="27"/>
  <c r="M62" i="27"/>
  <c r="M38" i="27"/>
  <c r="M66" i="27"/>
  <c r="M30" i="27"/>
  <c r="M28" i="27"/>
  <c r="M36" i="27"/>
  <c r="M54" i="27"/>
  <c r="M20" i="27"/>
  <c r="M24" i="27"/>
  <c r="M64" i="27"/>
  <c r="M44" i="27"/>
  <c r="M48" i="27"/>
  <c r="K150" i="22"/>
  <c r="R365" i="22"/>
  <c r="K149" i="22"/>
  <c r="R370" i="22"/>
  <c r="J265" i="26"/>
  <c r="J285" i="26" s="1"/>
  <c r="J294" i="26" s="1"/>
  <c r="M26" i="27"/>
  <c r="M60" i="27"/>
  <c r="M42" i="27"/>
  <c r="M32" i="27"/>
  <c r="M50" i="27"/>
  <c r="Q257" i="26"/>
  <c r="K76" i="27"/>
  <c r="W253" i="26"/>
  <c r="R257" i="26"/>
  <c r="V253" i="26"/>
  <c r="G257" i="26"/>
  <c r="AL257" i="26" s="1"/>
  <c r="J264" i="26"/>
  <c r="J284" i="26" s="1"/>
  <c r="J293" i="26" s="1"/>
  <c r="J257" i="26"/>
  <c r="AM257" i="26" s="1"/>
  <c r="H284" i="22"/>
  <c r="I284" i="22" s="1"/>
  <c r="V253" i="22"/>
  <c r="V251" i="22" s="1"/>
  <c r="W253" i="22"/>
  <c r="W251" i="22" s="1"/>
  <c r="H265" i="22"/>
  <c r="H266" i="22" s="1"/>
  <c r="Q257" i="22"/>
  <c r="R257" i="22"/>
  <c r="J264" i="22"/>
  <c r="J265" i="22"/>
  <c r="J257" i="22"/>
  <c r="AM257" i="22" s="1"/>
  <c r="G257" i="22"/>
  <c r="AL257" i="22" s="1"/>
  <c r="C257" i="22"/>
  <c r="D252" i="26"/>
  <c r="W252" i="26"/>
  <c r="V252" i="26"/>
  <c r="R133" i="27"/>
  <c r="R394" i="22"/>
  <c r="R392" i="26"/>
  <c r="P75" i="4"/>
  <c r="D257" i="26"/>
  <c r="V257" i="26"/>
  <c r="W257" i="26"/>
  <c r="K122" i="27"/>
  <c r="K93" i="27"/>
  <c r="K48" i="4"/>
  <c r="I48" i="4"/>
  <c r="J48" i="4"/>
  <c r="F48" i="4"/>
  <c r="H48" i="4"/>
  <c r="G48" i="4"/>
  <c r="K75" i="4"/>
  <c r="F75" i="4"/>
  <c r="R48" i="4"/>
  <c r="Q48" i="4"/>
  <c r="P48" i="4"/>
  <c r="R75" i="4"/>
  <c r="J75" i="4"/>
  <c r="M75" i="4"/>
  <c r="N75" i="4"/>
  <c r="O75" i="4"/>
  <c r="O48" i="4"/>
  <c r="N48" i="4"/>
  <c r="M48" i="4"/>
  <c r="I244" i="26"/>
  <c r="K235" i="22"/>
  <c r="H42" i="26"/>
  <c r="I244" i="22"/>
  <c r="J46" i="27"/>
  <c r="Z46" i="27" s="1"/>
  <c r="J38" i="27"/>
  <c r="Z38" i="27" s="1"/>
  <c r="J22" i="27"/>
  <c r="Z22" i="27" s="1"/>
  <c r="J48" i="27"/>
  <c r="Z48" i="27" s="1"/>
  <c r="J58" i="27"/>
  <c r="Z58" i="27" s="1"/>
  <c r="J66" i="27"/>
  <c r="Z66" i="27" s="1"/>
  <c r="M181" i="22"/>
  <c r="K34" i="22"/>
  <c r="M185" i="22"/>
  <c r="M215" i="22"/>
  <c r="M34" i="22"/>
  <c r="K33" i="22"/>
  <c r="M201" i="22"/>
  <c r="M175" i="22"/>
  <c r="W256" i="22"/>
  <c r="M205" i="22"/>
  <c r="I263" i="22"/>
  <c r="M173" i="22"/>
  <c r="M33" i="22"/>
  <c r="V256" i="22"/>
  <c r="M209" i="22"/>
  <c r="M211" i="22"/>
  <c r="M191" i="22"/>
  <c r="J33" i="22"/>
  <c r="J39" i="22" s="1"/>
  <c r="G303" i="22" s="1"/>
  <c r="S303" i="22" s="1"/>
  <c r="M189" i="22"/>
  <c r="J348" i="22"/>
  <c r="M217" i="22"/>
  <c r="J256" i="22"/>
  <c r="J263" i="22" s="1"/>
  <c r="I350" i="22"/>
  <c r="R386" i="22" s="1"/>
  <c r="M199" i="22"/>
  <c r="G348" i="22"/>
  <c r="M207" i="22"/>
  <c r="M187" i="22"/>
  <c r="M203" i="22"/>
  <c r="M171" i="22"/>
  <c r="H283" i="22"/>
  <c r="I283" i="22" s="1"/>
  <c r="T33" i="22"/>
  <c r="L33" i="22"/>
  <c r="M177" i="22"/>
  <c r="M197" i="22"/>
  <c r="M195" i="22"/>
  <c r="M213" i="22"/>
  <c r="M179" i="22"/>
  <c r="M193" i="22"/>
  <c r="M183" i="22"/>
  <c r="J350" i="22"/>
  <c r="R387" i="22" s="1"/>
  <c r="L34" i="22"/>
  <c r="J34" i="22"/>
  <c r="U34" i="22" s="1"/>
  <c r="J42" i="27"/>
  <c r="Z42" i="27" s="1"/>
  <c r="K235" i="26"/>
  <c r="K243" i="22"/>
  <c r="G283" i="22"/>
  <c r="G266" i="22"/>
  <c r="J54" i="27"/>
  <c r="Z54" i="27" s="1"/>
  <c r="J52" i="27"/>
  <c r="Z52" i="27" s="1"/>
  <c r="J36" i="27"/>
  <c r="Z36" i="27" s="1"/>
  <c r="J26" i="27"/>
  <c r="Z26" i="27" s="1"/>
  <c r="J30" i="27"/>
  <c r="Z30" i="27" s="1"/>
  <c r="J24" i="27"/>
  <c r="Z24" i="27" s="1"/>
  <c r="J50" i="27"/>
  <c r="Z50" i="27" s="1"/>
  <c r="J40" i="27"/>
  <c r="Z40" i="27" s="1"/>
  <c r="J32" i="27"/>
  <c r="Z32" i="27" s="1"/>
  <c r="J44" i="27"/>
  <c r="Z44" i="27" s="1"/>
  <c r="J60" i="27"/>
  <c r="Z60" i="27" s="1"/>
  <c r="H244" i="22"/>
  <c r="J34" i="27"/>
  <c r="Z34" i="27" s="1"/>
  <c r="J62" i="27"/>
  <c r="Z62" i="27" s="1"/>
  <c r="J56" i="27"/>
  <c r="Z56" i="27" s="1"/>
  <c r="J20" i="27"/>
  <c r="Z20" i="27" s="1"/>
  <c r="J64" i="27"/>
  <c r="Z64" i="27" s="1"/>
  <c r="J28" i="27"/>
  <c r="Z28" i="27" s="1"/>
  <c r="G42" i="26"/>
  <c r="F265" i="22"/>
  <c r="E285" i="22"/>
  <c r="F348" i="26"/>
  <c r="I348" i="26"/>
  <c r="G265" i="26"/>
  <c r="M243" i="26"/>
  <c r="I350" i="26"/>
  <c r="R384" i="26" s="1"/>
  <c r="J256" i="26"/>
  <c r="T33" i="26"/>
  <c r="W256" i="26"/>
  <c r="K233" i="26"/>
  <c r="V256" i="26"/>
  <c r="K33" i="26"/>
  <c r="G256" i="26"/>
  <c r="J33" i="26"/>
  <c r="L33" i="26"/>
  <c r="M33" i="26"/>
  <c r="G263" i="26"/>
  <c r="G244" i="26"/>
  <c r="M244" i="26" s="1"/>
  <c r="M241" i="26"/>
  <c r="J34" i="26"/>
  <c r="K234" i="26"/>
  <c r="M34" i="26"/>
  <c r="J350" i="26"/>
  <c r="R385" i="26" s="1"/>
  <c r="L34" i="26"/>
  <c r="T34" i="26"/>
  <c r="K34" i="26"/>
  <c r="K242" i="26"/>
  <c r="H264" i="26"/>
  <c r="G264" i="26"/>
  <c r="M242" i="26"/>
  <c r="G348" i="26"/>
  <c r="M179" i="26"/>
  <c r="M181" i="26"/>
  <c r="M173" i="26"/>
  <c r="M213" i="26"/>
  <c r="M193" i="26"/>
  <c r="M185" i="26"/>
  <c r="M205" i="26"/>
  <c r="M183" i="26"/>
  <c r="M197" i="26"/>
  <c r="M201" i="26"/>
  <c r="M207" i="26"/>
  <c r="M195" i="26"/>
  <c r="M171" i="26"/>
  <c r="J348" i="26"/>
  <c r="M211" i="26"/>
  <c r="M189" i="26"/>
  <c r="M203" i="26"/>
  <c r="M217" i="26"/>
  <c r="M177" i="26"/>
  <c r="M199" i="26"/>
  <c r="M209" i="26"/>
  <c r="M187" i="26"/>
  <c r="M175" i="26"/>
  <c r="M191" i="26"/>
  <c r="K227" i="26"/>
  <c r="M215" i="26"/>
  <c r="K241" i="26"/>
  <c r="H263" i="26"/>
  <c r="H244" i="26"/>
  <c r="H265" i="26"/>
  <c r="K243" i="26"/>
  <c r="E293" i="26"/>
  <c r="F284" i="26"/>
  <c r="E263" i="26"/>
  <c r="E244" i="26"/>
  <c r="F285" i="26"/>
  <c r="E294" i="26"/>
  <c r="F241" i="26"/>
  <c r="F244" i="26" s="1"/>
  <c r="G233" i="22"/>
  <c r="E233" i="22"/>
  <c r="K233" i="22" s="1"/>
  <c r="F244" i="22"/>
  <c r="E241" i="22"/>
  <c r="E263" i="22" s="1"/>
  <c r="E227" i="22"/>
  <c r="R397" i="22" s="1"/>
  <c r="T233" i="22"/>
  <c r="F227" i="22"/>
  <c r="K224" i="22"/>
  <c r="R372" i="22"/>
  <c r="R377" i="22"/>
  <c r="R376" i="22"/>
  <c r="K225" i="22"/>
  <c r="E234" i="22"/>
  <c r="K234" i="22" s="1"/>
  <c r="T234" i="22"/>
  <c r="F234" i="22"/>
  <c r="E242" i="22"/>
  <c r="G234" i="22"/>
  <c r="K265" i="22" l="1"/>
  <c r="J266" i="22"/>
  <c r="M266" i="22" s="1"/>
  <c r="V251" i="26"/>
  <c r="I265" i="22"/>
  <c r="I266" i="22" s="1"/>
  <c r="W251" i="26"/>
  <c r="W255" i="26"/>
  <c r="I316" i="22"/>
  <c r="J316" i="22" s="1"/>
  <c r="H293" i="22"/>
  <c r="I293" i="22" s="1"/>
  <c r="H285" i="22"/>
  <c r="H294" i="22" s="1"/>
  <c r="V257" i="22"/>
  <c r="V255" i="22" s="1"/>
  <c r="D257" i="22"/>
  <c r="W257" i="22"/>
  <c r="W255" i="22" s="1"/>
  <c r="J285" i="22"/>
  <c r="M265" i="22"/>
  <c r="J284" i="22"/>
  <c r="M264" i="22"/>
  <c r="V255" i="26"/>
  <c r="AB64" i="27"/>
  <c r="AB46" i="27"/>
  <c r="AB54" i="27"/>
  <c r="AB34" i="27"/>
  <c r="AB32" i="27"/>
  <c r="AB38" i="27"/>
  <c r="AB50" i="27"/>
  <c r="AB36" i="27"/>
  <c r="AB56" i="27"/>
  <c r="AB22" i="27"/>
  <c r="AB44" i="27"/>
  <c r="AB40" i="27"/>
  <c r="AB26" i="27"/>
  <c r="AB42" i="27"/>
  <c r="U33" i="22"/>
  <c r="R384" i="22" s="1"/>
  <c r="F348" i="22"/>
  <c r="R371" i="22" s="1"/>
  <c r="E244" i="22"/>
  <c r="K244" i="22" s="1"/>
  <c r="I315" i="22"/>
  <c r="H292" i="22"/>
  <c r="I292" i="22" s="1"/>
  <c r="J40" i="22"/>
  <c r="J42" i="22"/>
  <c r="AB62" i="27"/>
  <c r="AB52" i="27"/>
  <c r="AB30" i="27"/>
  <c r="AB66" i="27"/>
  <c r="G292" i="22"/>
  <c r="G286" i="22"/>
  <c r="AB28" i="27"/>
  <c r="AB24" i="27"/>
  <c r="AB20" i="27"/>
  <c r="AC20" i="27" s="1"/>
  <c r="AB60" i="27"/>
  <c r="AB58" i="27"/>
  <c r="AB48" i="27"/>
  <c r="H266" i="26"/>
  <c r="I263" i="26"/>
  <c r="K263" i="26"/>
  <c r="H283" i="26"/>
  <c r="G284" i="26"/>
  <c r="M264" i="26"/>
  <c r="G266" i="26"/>
  <c r="G283" i="26"/>
  <c r="R381" i="26"/>
  <c r="G285" i="26"/>
  <c r="M265" i="26"/>
  <c r="H285" i="26"/>
  <c r="I265" i="26"/>
  <c r="K265" i="26"/>
  <c r="F294" i="26"/>
  <c r="E326" i="26"/>
  <c r="F326" i="26" s="1"/>
  <c r="K244" i="26"/>
  <c r="J305" i="26"/>
  <c r="R369" i="26"/>
  <c r="F293" i="26"/>
  <c r="E325" i="26"/>
  <c r="F325" i="26" s="1"/>
  <c r="H284" i="26"/>
  <c r="I264" i="26"/>
  <c r="K264" i="26"/>
  <c r="U34" i="26"/>
  <c r="J40" i="26"/>
  <c r="G304" i="26" s="1"/>
  <c r="S304" i="26" s="1"/>
  <c r="U33" i="26"/>
  <c r="J42" i="26"/>
  <c r="J39" i="26"/>
  <c r="G303" i="26" s="1"/>
  <c r="E294" i="22"/>
  <c r="F285" i="22"/>
  <c r="E283" i="26"/>
  <c r="E266" i="26"/>
  <c r="F263" i="26"/>
  <c r="F266" i="26" s="1"/>
  <c r="J263" i="26"/>
  <c r="R371" i="26"/>
  <c r="R383" i="22"/>
  <c r="K227" i="22"/>
  <c r="K241" i="22"/>
  <c r="I348" i="22"/>
  <c r="R373" i="22" s="1"/>
  <c r="J283" i="22"/>
  <c r="M283" i="22" s="1"/>
  <c r="M263" i="22"/>
  <c r="K242" i="22"/>
  <c r="E264" i="22"/>
  <c r="E266" i="22" s="1"/>
  <c r="K266" i="22" s="1"/>
  <c r="F263" i="22"/>
  <c r="E283" i="22"/>
  <c r="K263" i="22"/>
  <c r="J43" i="22" l="1"/>
  <c r="H286" i="22"/>
  <c r="K285" i="22"/>
  <c r="I285" i="22"/>
  <c r="I286" i="22" s="1"/>
  <c r="H304" i="22"/>
  <c r="H325" i="22" s="1"/>
  <c r="I325" i="22" s="1"/>
  <c r="I317" i="22"/>
  <c r="J317" i="22" s="1"/>
  <c r="J293" i="22"/>
  <c r="M293" i="22" s="1"/>
  <c r="M284" i="22"/>
  <c r="J294" i="22"/>
  <c r="M285" i="22"/>
  <c r="AC22" i="27"/>
  <c r="AC38" i="27"/>
  <c r="AC54" i="27"/>
  <c r="AC28" i="27"/>
  <c r="AC44" i="27"/>
  <c r="AC26" i="27"/>
  <c r="AC58" i="27"/>
  <c r="AC48" i="27"/>
  <c r="AC32" i="27"/>
  <c r="AC66" i="27"/>
  <c r="AC64" i="27"/>
  <c r="AC62" i="27"/>
  <c r="J315" i="22"/>
  <c r="H295" i="22"/>
  <c r="H303" i="22"/>
  <c r="H324" i="22" s="1"/>
  <c r="G304" i="22"/>
  <c r="G306" i="22" s="1"/>
  <c r="AC42" i="27"/>
  <c r="AC36" i="27"/>
  <c r="AC60" i="27"/>
  <c r="AC40" i="27"/>
  <c r="AC52" i="27"/>
  <c r="I294" i="22"/>
  <c r="I295" i="22" s="1"/>
  <c r="H305" i="22"/>
  <c r="K305" i="22" s="1"/>
  <c r="AC56" i="27"/>
  <c r="AC30" i="27"/>
  <c r="AC46" i="27"/>
  <c r="AC24" i="27"/>
  <c r="AC50" i="27"/>
  <c r="AC34" i="27"/>
  <c r="I266" i="26"/>
  <c r="G295" i="22"/>
  <c r="G324" i="22"/>
  <c r="G327" i="22" s="1"/>
  <c r="J326" i="26"/>
  <c r="G306" i="26"/>
  <c r="S303" i="26"/>
  <c r="R382" i="26"/>
  <c r="I317" i="26"/>
  <c r="J317" i="26" s="1"/>
  <c r="H294" i="26"/>
  <c r="K285" i="26"/>
  <c r="I285" i="26"/>
  <c r="J304" i="26"/>
  <c r="G286" i="26"/>
  <c r="G292" i="26"/>
  <c r="H292" i="26"/>
  <c r="H286" i="26"/>
  <c r="I283" i="26"/>
  <c r="K283" i="26"/>
  <c r="I315" i="26"/>
  <c r="E326" i="22"/>
  <c r="F294" i="22"/>
  <c r="K294" i="22"/>
  <c r="K284" i="26"/>
  <c r="I316" i="26"/>
  <c r="J316" i="26" s="1"/>
  <c r="I284" i="26"/>
  <c r="H293" i="26"/>
  <c r="E286" i="26"/>
  <c r="E292" i="26"/>
  <c r="F283" i="26"/>
  <c r="F286" i="26" s="1"/>
  <c r="G294" i="26"/>
  <c r="M285" i="26"/>
  <c r="J266" i="26"/>
  <c r="M266" i="26" s="1"/>
  <c r="J283" i="26"/>
  <c r="M263" i="26"/>
  <c r="G293" i="26"/>
  <c r="M284" i="26"/>
  <c r="K266" i="26"/>
  <c r="J286" i="22"/>
  <c r="M286" i="22" s="1"/>
  <c r="J292" i="22"/>
  <c r="K264" i="22"/>
  <c r="E284" i="22"/>
  <c r="E286" i="22" s="1"/>
  <c r="F264" i="22"/>
  <c r="F266" i="22" s="1"/>
  <c r="F283" i="22"/>
  <c r="E292" i="22"/>
  <c r="K283" i="22"/>
  <c r="K286" i="22" l="1"/>
  <c r="I318" i="22"/>
  <c r="J318" i="22"/>
  <c r="K318" i="22" s="1"/>
  <c r="J295" i="22"/>
  <c r="M295" i="22" s="1"/>
  <c r="K297" i="22" s="1"/>
  <c r="AF6" i="18" s="1"/>
  <c r="J304" i="22"/>
  <c r="J325" i="22" s="1"/>
  <c r="M325" i="22" s="1"/>
  <c r="I304" i="22"/>
  <c r="J305" i="22"/>
  <c r="M294" i="22"/>
  <c r="I303" i="22"/>
  <c r="H306" i="22"/>
  <c r="S304" i="22"/>
  <c r="H326" i="22"/>
  <c r="I326" i="22" s="1"/>
  <c r="I305" i="22"/>
  <c r="I286" i="26"/>
  <c r="G325" i="26"/>
  <c r="M293" i="26"/>
  <c r="F292" i="26"/>
  <c r="F295" i="26" s="1"/>
  <c r="E295" i="26"/>
  <c r="E324" i="26"/>
  <c r="J43" i="26"/>
  <c r="K286" i="26"/>
  <c r="G326" i="26"/>
  <c r="M326" i="26" s="1"/>
  <c r="M294" i="26"/>
  <c r="J315" i="26"/>
  <c r="J318" i="26" s="1"/>
  <c r="K318" i="26" s="1"/>
  <c r="I318" i="26"/>
  <c r="M283" i="26"/>
  <c r="J292" i="26"/>
  <c r="J286" i="26"/>
  <c r="M286" i="26" s="1"/>
  <c r="G295" i="26"/>
  <c r="G324" i="26"/>
  <c r="I294" i="26"/>
  <c r="H305" i="26"/>
  <c r="K294" i="26"/>
  <c r="F326" i="22"/>
  <c r="M304" i="26"/>
  <c r="J325" i="26"/>
  <c r="K293" i="26"/>
  <c r="H304" i="26"/>
  <c r="I293" i="26"/>
  <c r="K292" i="26"/>
  <c r="I292" i="26"/>
  <c r="H295" i="26"/>
  <c r="H303" i="26"/>
  <c r="M305" i="26"/>
  <c r="J303" i="22"/>
  <c r="M292" i="22"/>
  <c r="K284" i="22"/>
  <c r="E293" i="22"/>
  <c r="E295" i="22" s="1"/>
  <c r="F284" i="22"/>
  <c r="F286" i="22" s="1"/>
  <c r="I324" i="22"/>
  <c r="E324" i="22"/>
  <c r="F292" i="22"/>
  <c r="K292" i="22"/>
  <c r="K303" i="22"/>
  <c r="M304" i="22" l="1"/>
  <c r="J306" i="22"/>
  <c r="M306" i="22" s="1"/>
  <c r="J326" i="22"/>
  <c r="M326" i="22" s="1"/>
  <c r="M305" i="22"/>
  <c r="G327" i="26"/>
  <c r="M325" i="26"/>
  <c r="I327" i="22"/>
  <c r="H327" i="22"/>
  <c r="K326" i="22"/>
  <c r="I306" i="22"/>
  <c r="I303" i="26"/>
  <c r="K303" i="26"/>
  <c r="H306" i="26"/>
  <c r="K306" i="26" s="1"/>
  <c r="H324" i="26"/>
  <c r="K305" i="26"/>
  <c r="I305" i="26"/>
  <c r="H326" i="26"/>
  <c r="K295" i="26"/>
  <c r="I304" i="26"/>
  <c r="K304" i="26"/>
  <c r="H325" i="26"/>
  <c r="J295" i="26"/>
  <c r="M295" i="26" s="1"/>
  <c r="K297" i="26" s="1"/>
  <c r="M292" i="26"/>
  <c r="J303" i="26"/>
  <c r="I295" i="26"/>
  <c r="F324" i="26"/>
  <c r="F327" i="26" s="1"/>
  <c r="E327" i="26"/>
  <c r="J324" i="22"/>
  <c r="M324" i="22" s="1"/>
  <c r="M303" i="22"/>
  <c r="K304" i="22"/>
  <c r="F293" i="22"/>
  <c r="F295" i="22" s="1"/>
  <c r="K293" i="22"/>
  <c r="E325" i="22"/>
  <c r="E327" i="22" s="1"/>
  <c r="K295" i="22"/>
  <c r="K306" i="22"/>
  <c r="F324" i="22"/>
  <c r="K324" i="22"/>
  <c r="I325" i="26" l="1"/>
  <c r="K325" i="26"/>
  <c r="M303" i="26"/>
  <c r="J306" i="26"/>
  <c r="M306" i="26" s="1"/>
  <c r="J324" i="26"/>
  <c r="I306" i="26"/>
  <c r="I324" i="26"/>
  <c r="K324" i="26"/>
  <c r="H327" i="26"/>
  <c r="K327" i="26" s="1"/>
  <c r="K326" i="26"/>
  <c r="I326" i="26"/>
  <c r="J327" i="22"/>
  <c r="K199" i="22" s="1"/>
  <c r="K325" i="22"/>
  <c r="F325" i="22"/>
  <c r="F327" i="22" s="1"/>
  <c r="J171" i="22"/>
  <c r="Z171" i="22" s="1"/>
  <c r="J201" i="22"/>
  <c r="Z201" i="22" s="1"/>
  <c r="J211" i="22"/>
  <c r="Z211" i="22" s="1"/>
  <c r="J217" i="22"/>
  <c r="Z217" i="22" s="1"/>
  <c r="J199" i="22"/>
  <c r="Z199" i="22" s="1"/>
  <c r="J185" i="22"/>
  <c r="Z185" i="22" s="1"/>
  <c r="J195" i="22"/>
  <c r="Z195" i="22" s="1"/>
  <c r="J197" i="22"/>
  <c r="Z197" i="22" s="1"/>
  <c r="J213" i="22"/>
  <c r="Z213" i="22" s="1"/>
  <c r="J183" i="22"/>
  <c r="Z183" i="22" s="1"/>
  <c r="J177" i="22"/>
  <c r="Z177" i="22" s="1"/>
  <c r="J215" i="22"/>
  <c r="Z215" i="22" s="1"/>
  <c r="J179" i="22"/>
  <c r="Z179" i="22" s="1"/>
  <c r="J203" i="22"/>
  <c r="Z203" i="22" s="1"/>
  <c r="J209" i="22"/>
  <c r="Z209" i="22" s="1"/>
  <c r="J175" i="22"/>
  <c r="Z175" i="22" s="1"/>
  <c r="J191" i="22"/>
  <c r="Z191" i="22" s="1"/>
  <c r="J187" i="22"/>
  <c r="Z187" i="22" s="1"/>
  <c r="J181" i="22"/>
  <c r="Z181" i="22" s="1"/>
  <c r="J193" i="22"/>
  <c r="Z193" i="22" s="1"/>
  <c r="J189" i="22"/>
  <c r="Z189" i="22" s="1"/>
  <c r="J207" i="22"/>
  <c r="Z207" i="22" s="1"/>
  <c r="J205" i="22"/>
  <c r="Z205" i="22" s="1"/>
  <c r="J173" i="22"/>
  <c r="Z173" i="22" s="1"/>
  <c r="K327" i="22"/>
  <c r="J191" i="26" l="1"/>
  <c r="Z191" i="26" s="1"/>
  <c r="J213" i="26"/>
  <c r="Z213" i="26" s="1"/>
  <c r="J183" i="26"/>
  <c r="Z183" i="26" s="1"/>
  <c r="J201" i="26"/>
  <c r="Z201" i="26" s="1"/>
  <c r="J203" i="26"/>
  <c r="Z203" i="26" s="1"/>
  <c r="J205" i="26"/>
  <c r="Z205" i="26" s="1"/>
  <c r="J179" i="26"/>
  <c r="Z179" i="26" s="1"/>
  <c r="J173" i="26"/>
  <c r="Z173" i="26" s="1"/>
  <c r="J207" i="26"/>
  <c r="Z207" i="26" s="1"/>
  <c r="I327" i="26"/>
  <c r="J211" i="26"/>
  <c r="Z211" i="26" s="1"/>
  <c r="J209" i="26"/>
  <c r="Z209" i="26" s="1"/>
  <c r="J215" i="26"/>
  <c r="Z215" i="26" s="1"/>
  <c r="J181" i="26"/>
  <c r="Z181" i="26" s="1"/>
  <c r="J195" i="26"/>
  <c r="Z195" i="26" s="1"/>
  <c r="J185" i="26"/>
  <c r="Z185" i="26" s="1"/>
  <c r="J217" i="26"/>
  <c r="Z217" i="26" s="1"/>
  <c r="J175" i="26"/>
  <c r="Z175" i="26" s="1"/>
  <c r="J189" i="26"/>
  <c r="Z189" i="26" s="1"/>
  <c r="J187" i="26"/>
  <c r="Z187" i="26" s="1"/>
  <c r="J193" i="26"/>
  <c r="Z193" i="26" s="1"/>
  <c r="J197" i="26"/>
  <c r="Z197" i="26" s="1"/>
  <c r="J177" i="26"/>
  <c r="Z177" i="26" s="1"/>
  <c r="J199" i="26"/>
  <c r="Z199" i="26" s="1"/>
  <c r="J171" i="26"/>
  <c r="Z171" i="26" s="1"/>
  <c r="J327" i="26"/>
  <c r="M324" i="26"/>
  <c r="K197" i="22"/>
  <c r="K203" i="22"/>
  <c r="K195" i="22"/>
  <c r="K217" i="22"/>
  <c r="M327" i="22"/>
  <c r="M328" i="22" s="1"/>
  <c r="AF11" i="18" s="1"/>
  <c r="AF20" i="18" s="1"/>
  <c r="K185" i="22"/>
  <c r="K189" i="22"/>
  <c r="K207" i="22"/>
  <c r="K201" i="22"/>
  <c r="K177" i="22"/>
  <c r="K191" i="22"/>
  <c r="K183" i="22"/>
  <c r="K171" i="22"/>
  <c r="K187" i="22"/>
  <c r="K193" i="22"/>
  <c r="K215" i="22"/>
  <c r="K211" i="22"/>
  <c r="K181" i="22"/>
  <c r="K175" i="22"/>
  <c r="K213" i="22"/>
  <c r="K173" i="22"/>
  <c r="K205" i="22"/>
  <c r="K179" i="22"/>
  <c r="K209" i="22"/>
  <c r="AB173" i="22"/>
  <c r="AB193" i="22"/>
  <c r="AB175" i="22"/>
  <c r="AB215" i="22"/>
  <c r="AB197" i="22"/>
  <c r="AB217" i="22"/>
  <c r="AB205" i="22"/>
  <c r="AB181" i="22"/>
  <c r="AB209" i="22"/>
  <c r="AB177" i="22"/>
  <c r="AB195" i="22"/>
  <c r="AB211" i="22"/>
  <c r="AB207" i="22"/>
  <c r="AB187" i="22"/>
  <c r="AB203" i="22"/>
  <c r="AB183" i="22"/>
  <c r="AB185" i="22"/>
  <c r="AB201" i="22"/>
  <c r="AB189" i="22"/>
  <c r="AB191" i="22"/>
  <c r="AB179" i="22"/>
  <c r="AB213" i="22"/>
  <c r="AB199" i="22"/>
  <c r="AB171" i="22"/>
  <c r="AC171" i="22" s="1"/>
  <c r="AB171" i="26" l="1"/>
  <c r="AC171" i="26" s="1"/>
  <c r="AB193" i="26"/>
  <c r="AB203" i="26"/>
  <c r="AB217" i="26"/>
  <c r="AB207" i="26"/>
  <c r="AB215" i="26"/>
  <c r="AB199" i="26"/>
  <c r="AB187" i="26"/>
  <c r="AB209" i="26"/>
  <c r="AB185" i="26"/>
  <c r="AB173" i="26"/>
  <c r="AB191" i="26"/>
  <c r="AB177" i="26"/>
  <c r="AB183" i="26"/>
  <c r="AB189" i="26"/>
  <c r="AB195" i="26"/>
  <c r="AB205" i="26"/>
  <c r="AB201" i="26"/>
  <c r="M327" i="26"/>
  <c r="M328" i="26" s="1"/>
  <c r="K211" i="26"/>
  <c r="K199" i="26"/>
  <c r="K175" i="26"/>
  <c r="K187" i="26"/>
  <c r="K193" i="26"/>
  <c r="K177" i="26"/>
  <c r="K189" i="26"/>
  <c r="K215" i="26"/>
  <c r="K217" i="26"/>
  <c r="K209" i="26"/>
  <c r="K183" i="26"/>
  <c r="K197" i="26"/>
  <c r="K195" i="26"/>
  <c r="K201" i="26"/>
  <c r="K185" i="26"/>
  <c r="K213" i="26"/>
  <c r="K181" i="26"/>
  <c r="K171" i="26"/>
  <c r="K207" i="26"/>
  <c r="K205" i="26"/>
  <c r="K173" i="26"/>
  <c r="K179" i="26"/>
  <c r="K191" i="26"/>
  <c r="K203" i="26"/>
  <c r="AB197" i="26"/>
  <c r="AB179" i="26"/>
  <c r="AB175" i="26"/>
  <c r="AB181" i="26"/>
  <c r="AB213" i="26"/>
  <c r="AB211" i="26"/>
  <c r="AC191" i="22"/>
  <c r="AC183" i="22"/>
  <c r="AC211" i="22"/>
  <c r="AC181" i="22"/>
  <c r="AC215" i="22"/>
  <c r="AC189" i="22"/>
  <c r="AC203" i="22"/>
  <c r="AC195" i="22"/>
  <c r="AC205" i="22"/>
  <c r="AC175" i="22"/>
  <c r="AC199" i="22"/>
  <c r="AC201" i="22"/>
  <c r="AC187" i="22"/>
  <c r="AC177" i="22"/>
  <c r="AC217" i="22"/>
  <c r="AC193" i="22"/>
  <c r="AC213" i="22"/>
  <c r="AC179" i="22"/>
  <c r="AC185" i="22"/>
  <c r="AC207" i="22"/>
  <c r="AC209" i="22"/>
  <c r="AC197" i="22"/>
  <c r="AC173" i="22"/>
  <c r="AC173" i="26" l="1"/>
  <c r="AC181" i="26"/>
  <c r="AC189" i="26"/>
  <c r="AC203" i="26"/>
  <c r="AC175" i="26"/>
  <c r="AC183" i="26"/>
  <c r="AC185" i="26"/>
  <c r="AC215" i="26"/>
  <c r="AC193" i="26"/>
  <c r="AC211" i="26"/>
  <c r="AC179" i="26"/>
  <c r="AC213" i="26"/>
  <c r="AC197" i="26"/>
  <c r="AC195" i="26"/>
  <c r="AC191" i="26"/>
  <c r="AC187" i="26"/>
  <c r="AC217" i="26"/>
  <c r="AC199" i="26"/>
  <c r="AC201" i="26"/>
  <c r="AC205" i="26"/>
  <c r="AC177" i="26"/>
  <c r="AC209" i="26"/>
  <c r="AC207" i="26"/>
  <c r="B391" i="22"/>
  <c r="B389" i="2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K13" authorId="0" shapeId="0" xr:uid="{00000000-0006-0000-0F00-000001000000}">
      <text>
        <r>
          <rPr>
            <sz val="10"/>
            <color indexed="81"/>
            <rFont val="Arial"/>
            <family val="2"/>
          </rPr>
          <t>Enter the designation for the Baseline system (or all designations for a group of similar systems) consistent with the energy model (example: AHU-1)</t>
        </r>
      </text>
    </comment>
    <comment ref="L13" authorId="0" shapeId="0" xr:uid="{11DE517D-07DA-4035-990F-575C3AFD46AA}">
      <text>
        <r>
          <rPr>
            <sz val="10"/>
            <color indexed="81"/>
            <rFont val="Arial"/>
            <family val="2"/>
          </rPr>
          <t>Enter the designation for the Baseline system (or all designations for a group of similar systems) consistent with the energy model (example: AHU-1)</t>
        </r>
      </text>
    </comment>
    <comment ref="N13" authorId="0" shapeId="0" xr:uid="{00000000-0006-0000-0F00-000002000000}">
      <text>
        <r>
          <rPr>
            <sz val="10"/>
            <color indexed="81"/>
            <rFont val="Arial"/>
            <family val="2"/>
          </rPr>
          <t>Enter the designation for the Proposed system (or all designations for a group of similar systems) consistent with the energy model (example: AHU-1)</t>
        </r>
      </text>
    </comment>
    <comment ref="O13" authorId="0" shapeId="0" xr:uid="{DFB5B086-CE5F-4043-9967-FFAE58CD1BF3}">
      <text>
        <r>
          <rPr>
            <sz val="10"/>
            <color indexed="81"/>
            <rFont val="Arial"/>
            <family val="2"/>
          </rPr>
          <t>Enter the designation for the Proposed system (or all designations for a group of similar systems) consistent with the energy model (example: AHU-1)</t>
        </r>
      </text>
    </comment>
    <comment ref="AD13" authorId="0" shapeId="0" xr:uid="{00000000-0006-0000-0F00-000003000000}">
      <text>
        <r>
          <rPr>
            <sz val="10"/>
            <color indexed="81"/>
            <rFont val="Arial"/>
            <family val="2"/>
          </rPr>
          <t>Enter the designation for the Baseline system (or all designations for a group of similar systems) consistent with the energy model (example: AHU-1)</t>
        </r>
      </text>
    </comment>
    <comment ref="AE13" authorId="0" shapeId="0" xr:uid="{00000000-0006-0000-0F00-000004000000}">
      <text>
        <r>
          <rPr>
            <sz val="10"/>
            <color indexed="81"/>
            <rFont val="Arial"/>
            <family val="2"/>
          </rPr>
          <t>Enter the designation for the Proposed system (or all designations for a group of similar systems) consistent with the energy model (example: AHU-1)</t>
        </r>
      </text>
    </comment>
    <comment ref="K15" authorId="0" shapeId="0" xr:uid="{00000000-0006-0000-0F00-000005000000}">
      <text>
        <r>
          <rPr>
            <sz val="10"/>
            <color indexed="81"/>
            <rFont val="Arial"/>
            <family val="2"/>
          </rPr>
          <t>Enter the total number of similar HVAC systems in the Baseline model. If this is a single, unique HVAC system, enter 1.</t>
        </r>
      </text>
    </comment>
    <comment ref="L15" authorId="0" shapeId="0" xr:uid="{6319729D-CB74-476A-A4ED-AA9DBC8842C0}">
      <text>
        <r>
          <rPr>
            <sz val="10"/>
            <color indexed="81"/>
            <rFont val="Arial"/>
            <family val="2"/>
          </rPr>
          <t>Enter the total number of similar HVAC systems in the Baseline model. If this is a single, unique HVAC system, enter 1.</t>
        </r>
      </text>
    </comment>
    <comment ref="N15" authorId="0" shapeId="0" xr:uid="{00000000-0006-0000-0F00-000006000000}">
      <text>
        <r>
          <rPr>
            <sz val="10"/>
            <color indexed="81"/>
            <rFont val="Arial"/>
            <family val="2"/>
          </rPr>
          <t>Enter the total number of similar HVAC systems in the Proposed model. If this is a single, unique HVAC system, enter 1.</t>
        </r>
      </text>
    </comment>
    <comment ref="O15" authorId="0" shapeId="0" xr:uid="{2CA7430A-DB46-45CF-95B9-6D1862E28511}">
      <text>
        <r>
          <rPr>
            <sz val="10"/>
            <color indexed="81"/>
            <rFont val="Arial"/>
            <family val="2"/>
          </rPr>
          <t>Enter the total number of similar HVAC systems in the Proposed model. If this is a single, unique HVAC system, enter 1.</t>
        </r>
      </text>
    </comment>
    <comment ref="AD15" authorId="0" shapeId="0" xr:uid="{00000000-0006-0000-0F00-000007000000}">
      <text>
        <r>
          <rPr>
            <sz val="10"/>
            <color indexed="81"/>
            <rFont val="Arial"/>
            <family val="2"/>
          </rPr>
          <t>Enter the total number of similar HVAC systems in the Baseline model. If this is a single, unique HVAC system, enter 1.</t>
        </r>
      </text>
    </comment>
    <comment ref="AE15" authorId="0" shapeId="0" xr:uid="{00000000-0006-0000-0F00-000008000000}">
      <text>
        <r>
          <rPr>
            <sz val="10"/>
            <color indexed="81"/>
            <rFont val="Arial"/>
            <family val="2"/>
          </rPr>
          <t>Enter the total number of similar HVAC systems in the Proposed model. If this is a single, unique HVAC system, enter 1.</t>
        </r>
      </text>
    </comment>
    <comment ref="B38" authorId="0" shapeId="0" xr:uid="{00000000-0006-0000-0F00-000009000000}">
      <text>
        <r>
          <rPr>
            <sz val="10"/>
            <color indexed="81"/>
            <rFont val="Arial"/>
            <family val="2"/>
          </rPr>
          <t>For each pressure drop adjustment claimed, input the design airflow rate, CFMD, through each applicable device.</t>
        </r>
      </text>
    </comment>
    <comment ref="F38" authorId="0" shapeId="0" xr:uid="{00000000-0006-0000-0F00-00000A000000}">
      <text>
        <r>
          <rPr>
            <sz val="10"/>
            <color indexed="81"/>
            <rFont val="Arial"/>
            <family val="2"/>
          </rPr>
          <t>Airflow rate through device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B32" authorId="0" shapeId="0" xr:uid="{00000000-0006-0000-1300-000001000000}">
      <text>
        <r>
          <rPr>
            <sz val="10"/>
            <color indexed="81"/>
            <rFont val="Arial"/>
            <family val="2"/>
          </rPr>
          <t>Select the site-generated renewable energy source. Eligible biofuels (untreated wood waste, agricultural crops or waste, animal and organic waste, and landfill gas) must be located on or near the project site, and not transported to the site to qualify.</t>
        </r>
      </text>
    </comment>
    <comment ref="F32" authorId="0" shapeId="0" xr:uid="{00000000-0006-0000-1300-000002000000}">
      <text>
        <r>
          <rPr>
            <sz val="10"/>
            <color indexed="81"/>
            <rFont val="Arial"/>
            <family val="2"/>
          </rPr>
          <t>Enter the rated capacity of the renewable source including the units (e.g. for photovoltaics 10 kW). Include all relevant capacities (i.e for solar thermal, both the storage tank capacity and the solar thermal panel capacity)</t>
        </r>
      </text>
    </comment>
    <comment ref="J32" authorId="0" shapeId="0" xr:uid="{00000000-0006-0000-1300-000003000000}">
      <text>
        <r>
          <rPr>
            <sz val="10"/>
            <color indexed="81"/>
            <rFont val="Arial"/>
            <family val="2"/>
          </rPr>
          <t>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B32" authorId="0" shapeId="0" xr:uid="{00000000-0006-0000-1400-000001000000}">
      <text>
        <r>
          <rPr>
            <sz val="10"/>
            <color indexed="81"/>
            <rFont val="Arial"/>
            <family val="2"/>
          </rPr>
          <t>Select the site-generated renewable energy source. Eligible biofuels (untreated wood waste, agricultural crops or waste, animal and organic waste, and landfill gas) must be located on or near the project site, and not transported to the site to qualify.</t>
        </r>
      </text>
    </comment>
    <comment ref="F32" authorId="0" shapeId="0" xr:uid="{00000000-0006-0000-1400-000002000000}">
      <text>
        <r>
          <rPr>
            <sz val="10"/>
            <color indexed="81"/>
            <rFont val="Arial"/>
            <family val="2"/>
          </rPr>
          <t>Enter the rated capacity of the renewable source including the units (e.g. for photovoltaics 10 kW). Include all relevant capacities (i.e for solar thermal, both the storage tank capacity and the solar thermal panel capacity)</t>
        </r>
      </text>
    </comment>
    <comment ref="J32" authorId="0" shapeId="0" xr:uid="{00000000-0006-0000-1400-000003000000}">
      <text>
        <r>
          <rPr>
            <sz val="10"/>
            <color indexed="81"/>
            <rFont val="Arial"/>
            <family val="2"/>
          </rPr>
          <t>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AL4" authorId="0" shapeId="0" xr:uid="{00000000-0006-0000-1700-000001000000}">
      <text>
        <r>
          <rPr>
            <sz val="10"/>
            <color indexed="81"/>
            <rFont val="Tahoma"/>
            <family val="2"/>
          </rPr>
          <t>This formula is different than the remaining formulas below for Core &amp; Shell projects.</t>
        </r>
      </text>
    </comment>
  </commentList>
</comments>
</file>

<file path=xl/sharedStrings.xml><?xml version="1.0" encoding="utf-8"?>
<sst xmlns="http://schemas.openxmlformats.org/spreadsheetml/2006/main" count="9224" uniqueCount="2308">
  <si>
    <t>Model Input Parameter</t>
  </si>
  <si>
    <t>Slab-On-Grade Floors</t>
  </si>
  <si>
    <t>Opaque Doors</t>
  </si>
  <si>
    <t>Description</t>
  </si>
  <si>
    <t>Roof Constructions</t>
  </si>
  <si>
    <t>Baseline Case</t>
  </si>
  <si>
    <t>Proposed Case</t>
  </si>
  <si>
    <t>Above-Grade Exterior Wall Constructions</t>
  </si>
  <si>
    <t>Below-Grade Exterior Wall Constructions</t>
  </si>
  <si>
    <t>Vertical Glazing</t>
  </si>
  <si>
    <t>Skylights</t>
  </si>
  <si>
    <t>SHGC</t>
  </si>
  <si>
    <t>VLT</t>
  </si>
  <si>
    <t>Vertical Glazing Area</t>
  </si>
  <si>
    <t>North</t>
  </si>
  <si>
    <t>East</t>
  </si>
  <si>
    <t>South</t>
  </si>
  <si>
    <t>West</t>
  </si>
  <si>
    <t>Total</t>
  </si>
  <si>
    <t>Orientation</t>
  </si>
  <si>
    <t>(%)</t>
  </si>
  <si>
    <t>Exposed Floor Constructions</t>
  </si>
  <si>
    <t>Space-Conditioning Category</t>
  </si>
  <si>
    <t>Additional notes:</t>
  </si>
  <si>
    <t>Nonresidential</t>
  </si>
  <si>
    <t>Yes</t>
  </si>
  <si>
    <t>Residential</t>
  </si>
  <si>
    <t>Skylight Area</t>
  </si>
  <si>
    <t>NFRC testing for site-assembled fenestration</t>
  </si>
  <si>
    <t>Table A8.2 (windows) and Table A8.1 (skylights)</t>
  </si>
  <si>
    <t>LBNL Window 5 or Window 6 calculations</t>
  </si>
  <si>
    <t>NFRC testing for manufactured fenestration assemblies</t>
  </si>
  <si>
    <t>Energy simulation includes separate frame and glazing</t>
  </si>
  <si>
    <t>Nonmetal framing (all)</t>
  </si>
  <si>
    <t>Metal framing (curtainwall/storefront)</t>
  </si>
  <si>
    <t>Metal framing (entrance door)</t>
  </si>
  <si>
    <t>Metal framing (all other)</t>
  </si>
  <si>
    <t>Skylight with Curb, Glass, 0%-2.0%</t>
  </si>
  <si>
    <t>Skylight with Curb, Glass, 2.1%-5.0%</t>
  </si>
  <si>
    <t>Skylight with Curb, Plastic, 0%-2.0%</t>
  </si>
  <si>
    <t>Skylight with Curb, Plastic, 2.1%-5.0%</t>
  </si>
  <si>
    <t>Skylight without Curb, All, 0%-2.0%</t>
  </si>
  <si>
    <t>Skylight without Curb, All, 2.1%-5.0%</t>
  </si>
  <si>
    <t>Climate Zone</t>
  </si>
  <si>
    <t>1A</t>
  </si>
  <si>
    <t>1B</t>
  </si>
  <si>
    <t>2A</t>
  </si>
  <si>
    <t>2B</t>
  </si>
  <si>
    <t>3A</t>
  </si>
  <si>
    <t>3B</t>
  </si>
  <si>
    <t>3C</t>
  </si>
  <si>
    <t>4A</t>
  </si>
  <si>
    <t>4B</t>
  </si>
  <si>
    <t>4C</t>
  </si>
  <si>
    <t>5A</t>
  </si>
  <si>
    <t>5B</t>
  </si>
  <si>
    <t>5C</t>
  </si>
  <si>
    <t>6A</t>
  </si>
  <si>
    <t>6B</t>
  </si>
  <si>
    <t>Semiheated</t>
  </si>
  <si>
    <t>Automotive facility</t>
  </si>
  <si>
    <t>Convention center</t>
  </si>
  <si>
    <t>Courthouse</t>
  </si>
  <si>
    <t>Dining: bar lounge/leisure</t>
  </si>
  <si>
    <t>Dining: cafeteria/fast food</t>
  </si>
  <si>
    <t>Dining: family</t>
  </si>
  <si>
    <t>Dormitory</t>
  </si>
  <si>
    <t>Exercise center</t>
  </si>
  <si>
    <t>Gymnasium</t>
  </si>
  <si>
    <t>Health-care clinic</t>
  </si>
  <si>
    <t>Hospital</t>
  </si>
  <si>
    <t>Hotel</t>
  </si>
  <si>
    <t>Library</t>
  </si>
  <si>
    <t>Manufacturing facility</t>
  </si>
  <si>
    <t>Motel</t>
  </si>
  <si>
    <t>Motion picture theater</t>
  </si>
  <si>
    <t>Multifamily</t>
  </si>
  <si>
    <t>Museum</t>
  </si>
  <si>
    <t>Office</t>
  </si>
  <si>
    <t>Parking garage</t>
  </si>
  <si>
    <t>Penitentiary</t>
  </si>
  <si>
    <t>Performing arts theater</t>
  </si>
  <si>
    <t>Post office</t>
  </si>
  <si>
    <t>Religious building</t>
  </si>
  <si>
    <t>Retail</t>
  </si>
  <si>
    <t>School/university</t>
  </si>
  <si>
    <t>Sports arena</t>
  </si>
  <si>
    <t>Town hall</t>
  </si>
  <si>
    <t>Transportation</t>
  </si>
  <si>
    <t>Warehouse</t>
  </si>
  <si>
    <t>Workshop</t>
  </si>
  <si>
    <t>Restrooms</t>
  </si>
  <si>
    <t>Building Area Method Categories</t>
  </si>
  <si>
    <t>Space by Space Categories</t>
  </si>
  <si>
    <t>Daylighting Controls</t>
  </si>
  <si>
    <t>Table 9.6.1 Space Type</t>
  </si>
  <si>
    <t>Categorization Procedure</t>
  </si>
  <si>
    <t>Walkways less than 10 ft wide</t>
  </si>
  <si>
    <t>Walkways 10 ft wide or greater</t>
  </si>
  <si>
    <t>Plaza areas</t>
  </si>
  <si>
    <t>Special feature areas</t>
  </si>
  <si>
    <t>Stairways</t>
  </si>
  <si>
    <t>Main entries</t>
  </si>
  <si>
    <t>Other doors</t>
  </si>
  <si>
    <t>Street frontage for vehicle sales lots</t>
  </si>
  <si>
    <t>Building facades</t>
  </si>
  <si>
    <t>Entrances and gatehouse inspection stations at guarded facilities</t>
  </si>
  <si>
    <t>Loading areas for law enforcement, fire, ambulance, and other emergency service vehicles</t>
  </si>
  <si>
    <t>Drive-through windows at fast food restaurants</t>
  </si>
  <si>
    <t>Parking near 24-hour retail entrances</t>
  </si>
  <si>
    <t>Area</t>
  </si>
  <si>
    <t>Length</t>
  </si>
  <si>
    <t>Required Input (Area or Length)</t>
  </si>
  <si>
    <t>Tradable Surfaces</t>
  </si>
  <si>
    <t>Nontradable Surfaces</t>
  </si>
  <si>
    <t>Required Input</t>
  </si>
  <si>
    <t>Uncovered Area</t>
  </si>
  <si>
    <t>Number of ATMs</t>
  </si>
  <si>
    <t>Quantity of Required Input for Project</t>
  </si>
  <si>
    <t>Drive-throughs</t>
  </si>
  <si>
    <t>Main Entries</t>
  </si>
  <si>
    <t>Input Parameter</t>
  </si>
  <si>
    <t>Table 9.4.5 Tradable Exterior Lighting Application</t>
  </si>
  <si>
    <t>Table 9.4.5 Nontradable Exterior Lighting Application</t>
  </si>
  <si>
    <t>Equipment Included in Power Density</t>
  </si>
  <si>
    <t>Modeled Identically In Baseline?</t>
  </si>
  <si>
    <t>ATMs and night depositories</t>
  </si>
  <si>
    <t>Receptacle Equipment Modeling Method</t>
  </si>
  <si>
    <t>Building Type</t>
  </si>
  <si>
    <t>Building Average Equipment Power Density</t>
  </si>
  <si>
    <t>Space by Space Equipment Power Densities</t>
  </si>
  <si>
    <t>Modeling Parameters</t>
  </si>
  <si>
    <t>Service Water Heaters</t>
  </si>
  <si>
    <t>Fixture Type</t>
  </si>
  <si>
    <t>Section 9.2.2.3 Exemption</t>
  </si>
  <si>
    <t>Allowed LPD</t>
  </si>
  <si>
    <t>System 1 - PTAC</t>
  </si>
  <si>
    <t>System 2 - PTHP</t>
  </si>
  <si>
    <t>System 3 - PSZ-AC</t>
  </si>
  <si>
    <t>System 4 - PSZ-HP</t>
  </si>
  <si>
    <t>System 5 - Packaged VAV with Reheat</t>
  </si>
  <si>
    <t>System 6 - Packaged VAV with PFP Boxes</t>
  </si>
  <si>
    <t>System 7 - VAV with Reheat</t>
  </si>
  <si>
    <t>System 8 - VAV with PFP Boxes</t>
  </si>
  <si>
    <t>System 9 - Heating and Ventilation</t>
  </si>
  <si>
    <t>System 10 - Heating and Ventilation</t>
  </si>
  <si>
    <t>Spaces Modeled</t>
  </si>
  <si>
    <t>Totals</t>
  </si>
  <si>
    <t>G3.1.1 Exception 
(or Semiconditioned Capacity and Area)</t>
  </si>
  <si>
    <t>Table G3.1.1A System Type 
(or Semiconditioned System Description)</t>
  </si>
  <si>
    <t>System Description</t>
  </si>
  <si>
    <t>Other (Describe)</t>
  </si>
  <si>
    <t>Proposed HVAC System Type(s)</t>
  </si>
  <si>
    <t>Baseline HVAC System Type(s)</t>
  </si>
  <si>
    <t>Efficiency (EF, SL, %, etc.)</t>
  </si>
  <si>
    <t>Condenser heat recovery</t>
  </si>
  <si>
    <t>HVAC Modeling Requirements</t>
  </si>
  <si>
    <t>Describe the California Title-24 Baseline System Type</t>
  </si>
  <si>
    <t>District Cooling</t>
  </si>
  <si>
    <t>District Heating</t>
  </si>
  <si>
    <t>System 3 (District Cooling) - 2-pipe CV AHU with Fossil Fuel Furnace</t>
  </si>
  <si>
    <t>System 4 (District Cooling) - 2-pipe CV AHU with Fossil Fuel Furnace</t>
  </si>
  <si>
    <t>System 5 (District Cooling) - Change to System 7 - VAV with Reheat</t>
  </si>
  <si>
    <t>System 6 (District Cooling) - Change to System 8 - VAV with PFP Boxes</t>
  </si>
  <si>
    <t>System 7 (District Cooling) - VAV with Reheat</t>
  </si>
  <si>
    <t>System 1 (District Heating) - PTAC</t>
  </si>
  <si>
    <t>System 3 (District Heating) - PSZ-AC with District Heating</t>
  </si>
  <si>
    <t>System 5 (District Heating) - Packaged VAV with Reheat</t>
  </si>
  <si>
    <t>System 7 (District Heating) - VAV with Reheat</t>
  </si>
  <si>
    <t>System 9 (District Heating) - Heating and Ventilation</t>
  </si>
  <si>
    <t>System 3 (District Heating &amp; Cooling) - 4-pipe CV AHU</t>
  </si>
  <si>
    <t>System 5 (District Heating &amp; Cooling) - Change to System 7 - VAV with Reheat</t>
  </si>
  <si>
    <t>Chilled Water</t>
  </si>
  <si>
    <t>Units</t>
  </si>
  <si>
    <t>#</t>
  </si>
  <si>
    <t>CW ΔT</t>
  </si>
  <si>
    <t>HHW ΔT</t>
  </si>
  <si>
    <t>Opaque Building Envelope Requirements</t>
  </si>
  <si>
    <t>For existing spaces, have there been any changes to the space conditioning category (for example, previously unconditioned spaces becoming fully conditioned)?</t>
  </si>
  <si>
    <t>Opaque Building Envelope Constructions</t>
  </si>
  <si>
    <t>Interior Lighting Requirements</t>
  </si>
  <si>
    <t>Exterior Lighting Requirements</t>
  </si>
  <si>
    <t>U-0.063</t>
  </si>
  <si>
    <t>U-0.048</t>
  </si>
  <si>
    <t>U-0.218</t>
  </si>
  <si>
    <t>U-0.124</t>
  </si>
  <si>
    <t>U-0.352</t>
  </si>
  <si>
    <t>U-0.350</t>
  </si>
  <si>
    <t>F-0.730</t>
  </si>
  <si>
    <t>U-0.700</t>
  </si>
  <si>
    <t>U-1.450</t>
  </si>
  <si>
    <t>U-0.064</t>
  </si>
  <si>
    <t>U-0.052</t>
  </si>
  <si>
    <t>U-0.069</t>
  </si>
  <si>
    <t>U-0.500</t>
  </si>
  <si>
    <t>U-0.173</t>
  </si>
  <si>
    <t>U-0.084</t>
  </si>
  <si>
    <t>C-1.140</t>
  </si>
  <si>
    <t>C-0.119</t>
  </si>
  <si>
    <t>U-0.038</t>
  </si>
  <si>
    <t>F-0.540</t>
  </si>
  <si>
    <t>U-1.500</t>
  </si>
  <si>
    <t>U-0.119</t>
  </si>
  <si>
    <t>U- 0.052</t>
  </si>
  <si>
    <t>U-0.093</t>
  </si>
  <si>
    <t>U-0.032</t>
  </si>
  <si>
    <t>F-0.520</t>
  </si>
  <si>
    <t>U-0.042</t>
  </si>
  <si>
    <t>C-0.092</t>
  </si>
  <si>
    <t>U-0.037</t>
  </si>
  <si>
    <t>C-0.075</t>
  </si>
  <si>
    <t>F-0.510</t>
  </si>
  <si>
    <t>steel-joist with no insulation with a U-factor of 0.350</t>
  </si>
  <si>
    <t>steel-joist with R-19 insulation with a U-factor of 0.052</t>
  </si>
  <si>
    <t>steel-joist with R-13 insulation with a U-factor of 0.069</t>
  </si>
  <si>
    <t>steel-joist with R-30 insulation with a U-factor of 0.038</t>
  </si>
  <si>
    <t>steel-joist with R-38 insulation with a U-factor of 0.032</t>
  </si>
  <si>
    <t>6" concrete slabs with no insulation with an F-factor of 0.730</t>
  </si>
  <si>
    <t>6" concrete slabs with R-10 insulation for 24 in. with an F-factor of 0.540</t>
  </si>
  <si>
    <t>6" concrete slabs with R-15 insulation for 24 in. with an F-factor of 0.520</t>
  </si>
  <si>
    <t>6" concrete slabs with R-20 insulation for 24 in. with an F-factor of 0.510</t>
  </si>
  <si>
    <t>U-factor of 0.700</t>
  </si>
  <si>
    <t>U-factor of 1.450</t>
  </si>
  <si>
    <t>U-factor of 0.500</t>
  </si>
  <si>
    <t>R-15 insulation entirely above deck with a U-factor of 0.063</t>
  </si>
  <si>
    <t>R-20 insulation entirely above deck with a U-factor of 0.048</t>
  </si>
  <si>
    <t>R-3.8 insulation entirely above deck with a U-factor of 0.218</t>
  </si>
  <si>
    <t>R-5.0 insulation entirely above deck with a U-factor of 0.173</t>
  </si>
  <si>
    <t>R-7.6 insulation entirely above deck with a U-factor of 0.119</t>
  </si>
  <si>
    <t>R-10.0 insulation entirely above deck with a U-factor of 0.093</t>
  </si>
  <si>
    <t>R-15.0 insulation entirely above deck with a U-factor of 0.063</t>
  </si>
  <si>
    <t>steel-framed with R-13 cavity insulation with a U-factor of 0.124</t>
  </si>
  <si>
    <t>steel-framed with no insulation with a U-factor of 0.352</t>
  </si>
  <si>
    <t>steel-framed with R-13 cavity and R-7.5 continuous insulation with a U-factor of 0.064</t>
  </si>
  <si>
    <t>steel-framed with R-13 cavity and R-3.8 continuous insulation with a U-factor of 0.084</t>
  </si>
  <si>
    <t>steel-framed with R-13 cavity and R-15.6 continuous insulation with a U-factor of 0.042</t>
  </si>
  <si>
    <t>steel-framed with R-13 cavity and R-18.8 continuous insulation with a U-factor of 0.037</t>
  </si>
  <si>
    <t>8" medium weight concrete block with solid grouted cores and no insulation with a C-factor of 1.140</t>
  </si>
  <si>
    <t>8" medium weight concrete block with solid grouted cores and R-7.5 insulation with a C-factor of 0.119</t>
  </si>
  <si>
    <t>8" medium weight concrete block with solid grouted cores and R-10.0 insulation with a C-factor of 0.092</t>
  </si>
  <si>
    <t>8" medium weight concrete block with solid grouted cores and R-12.5 insulation with a C-factor of 0.075</t>
  </si>
  <si>
    <t>Interior Process Lighting (if applicable)</t>
  </si>
  <si>
    <t>All receptacle equipment and other process equipment designed or anticipated for the building have been accounted for in the energy models.</t>
  </si>
  <si>
    <t>kW</t>
  </si>
  <si>
    <t>Kilowatt</t>
  </si>
  <si>
    <t>Btuh</t>
  </si>
  <si>
    <t>British thermal unit per hour</t>
  </si>
  <si>
    <t>(British thermal unit per hour) x 1,000</t>
  </si>
  <si>
    <t>tons</t>
  </si>
  <si>
    <t>Fully ducted return and/or exhaust air systems</t>
  </si>
  <si>
    <t>Return and/or exhaust airflow control devices</t>
  </si>
  <si>
    <t>Carbon and other gas-phase air cleaners</t>
  </si>
  <si>
    <t>Evaporative humidifier/cooler in series with another cooling coil</t>
  </si>
  <si>
    <t>Min. Nominal Full-load Efficiency*</t>
  </si>
  <si>
    <t>Next Motor Size Up HP</t>
  </si>
  <si>
    <t>Quantity of CHP generators</t>
  </si>
  <si>
    <t>Total capacity of CHP generators (kW) at design conditions</t>
  </si>
  <si>
    <t>W/gpm</t>
  </si>
  <si>
    <t>7A</t>
  </si>
  <si>
    <t>7B</t>
  </si>
  <si>
    <t>Geoexchange loop design fluid supply temperature - cooling</t>
  </si>
  <si>
    <t>Geoexchange loop design fluid supply temperature -heating</t>
  </si>
  <si>
    <t>Geothermal source design temperature - summer</t>
  </si>
  <si>
    <t>Geothermal source design temperature - winter</t>
  </si>
  <si>
    <t>Geothermal energy transfer effect</t>
  </si>
  <si>
    <t>Geoexchange loop - operating temperature</t>
  </si>
  <si>
    <t>Geothermal Loop</t>
  </si>
  <si>
    <t>Proposed HVAC Requirements</t>
  </si>
  <si>
    <t>Baseline Air-Side HVAC Requirements</t>
  </si>
  <si>
    <t>Baseline Water-Side HVAC Requirements</t>
  </si>
  <si>
    <t>Fire Station</t>
  </si>
  <si>
    <t>Police station</t>
  </si>
  <si>
    <t>Laboratory - classroom</t>
  </si>
  <si>
    <t>Laboratory - medical/industrial/research</t>
  </si>
  <si>
    <t>Office - enclosed</t>
  </si>
  <si>
    <t>Office - open plan</t>
  </si>
  <si>
    <t>Stairway</t>
  </si>
  <si>
    <t>Storage</t>
  </si>
  <si>
    <t>Automotive - service/repair</t>
  </si>
  <si>
    <t>If not all the process equipment has been accounted for in the energy model, indicated as "No" above, the project does not likely comply with LEED modeling requirements. It is recommended that the project team pursue a "Credit Interpretation Ruling" to justify the modeling approach. Please also provide any further information below to justify the modeling approach used.</t>
  </si>
  <si>
    <t>Fenestration</t>
  </si>
  <si>
    <t>Interior Lighting</t>
  </si>
  <si>
    <t>Exterior Lighting</t>
  </si>
  <si>
    <t>Service Water Heating</t>
  </si>
  <si>
    <t>General HVAC</t>
  </si>
  <si>
    <t>Water-Side HVAC System Schedule</t>
  </si>
  <si>
    <t>Table 9.4.3A Exterior Lighting Zone</t>
  </si>
  <si>
    <t>Zone Description</t>
  </si>
  <si>
    <t>Zone 1</t>
  </si>
  <si>
    <t>Zone 2</t>
  </si>
  <si>
    <t>Zone 3</t>
  </si>
  <si>
    <t>Zone 4</t>
  </si>
  <si>
    <t>Developed areas of national parks, state parks, forest land, and rural areas</t>
  </si>
  <si>
    <t>All other areas</t>
  </si>
  <si>
    <t>High activity commercial districts in major metropolitan areas as designated by the local jurisdiction</t>
  </si>
  <si>
    <t>Areas predominantly consisting of residential zoning, neighborhood business districts, light industrial with limited nighttime use and residential mixed use areas</t>
  </si>
  <si>
    <t>Lighting Zone</t>
  </si>
  <si>
    <t>Zone 0</t>
  </si>
  <si>
    <t>Undeveloped areas within national parks, state parks, forest land, rural areas, and other undeveloped areas as defined by the authority having jurisdiction</t>
  </si>
  <si>
    <t>Step 1.</t>
  </si>
  <si>
    <t>Step 2.</t>
  </si>
  <si>
    <t>Lighting</t>
  </si>
  <si>
    <t>Step 3.</t>
  </si>
  <si>
    <t>New or 
Existing
Construction</t>
  </si>
  <si>
    <t>For each item entered as “No” above, describe the applicable ASHRAE 90.1 Appendix G exception(s) that apply, or the circumstances preventing the opaque envelope parameters from being modeled as required. If the energy simulation software is not capable of modeling the required parameters, describe the adjustments that were made to provide a thermodynamically similar representation or provide a narrative justifying why the predicted energy performance results will not be influenced.</t>
  </si>
  <si>
    <t>General Information</t>
  </si>
  <si>
    <t>New or 
Existing Construction</t>
  </si>
  <si>
    <t>Assembly 
U-factor</t>
  </si>
  <si>
    <t>UfactorMethod</t>
  </si>
  <si>
    <t>For each item entered as “No” above, describe the applicable ASHRAE 90.1 Appendix G exception(s) that apply, or the circumstances preventing the lighting parameters from being modeled as required. If the energy simulation software is not capable of modeling the required parameters, describe the adjustments that were made to provide a similar representation or provide a narrative justifying why the predicted energy performance results will not be influenced.</t>
  </si>
  <si>
    <t>Automatic Lighting 
Controls and Space Types</t>
  </si>
  <si>
    <t>Table G3.2 Power 
Adjustment</t>
  </si>
  <si>
    <r>
      <rPr>
        <b/>
        <sz val="10"/>
        <color theme="1"/>
        <rFont val="Arial"/>
        <family val="2"/>
      </rPr>
      <t>Instructions:</t>
    </r>
    <r>
      <rPr>
        <sz val="10"/>
        <color theme="1"/>
        <rFont val="Arial"/>
        <family val="2"/>
      </rPr>
      <t xml:space="preserve"> Select the applicable exterior lighting categories and then complete the corresponding lighting table(s). An example of the expected level of detail has been provided for each input. Please refer to the column header notes for information about Appendix G modeling protocol. For any information not applicable to the project, simply enter "N/A".</t>
    </r>
  </si>
  <si>
    <t>Base Allowance 
(W)</t>
  </si>
  <si>
    <t>Total Process Lighting Power (W)</t>
  </si>
  <si>
    <t>Total tradable surface lighting allowance</t>
  </si>
  <si>
    <t>Lighting Power Allowance 
(W)</t>
  </si>
  <si>
    <t>Design Lighting Power 
(W)</t>
  </si>
  <si>
    <t>Parking areas and drives</t>
  </si>
  <si>
    <t>270 W + 90 W per additional</t>
  </si>
  <si>
    <t>Total nontradable surface lighting allowance</t>
  </si>
  <si>
    <t>Summary</t>
  </si>
  <si>
    <t>Baseline Modeled Identically</t>
  </si>
  <si>
    <t>Total power modeled using building average method (kW)</t>
  </si>
  <si>
    <t>Note: Any credit for improved receptacle equipment must be submitted using the Exceptional Calculation Method.</t>
  </si>
  <si>
    <t>Total power modeled using space by space method (kW)</t>
  </si>
  <si>
    <t xml:space="preserve">Equipment Type </t>
  </si>
  <si>
    <t>Energy 
Source</t>
  </si>
  <si>
    <t>Indicate whether the receptacle equipment was modeled using an average equipment power density for the building, equipment power densities by space type, or by entering the power associated with specific devices in each space.  (select all that apply)</t>
  </si>
  <si>
    <t>Percent
Hot Water
(%)</t>
  </si>
  <si>
    <t>Note: Any credit for improved service hot water pumps must be submitted using the Exceptional Calculation Method.</t>
  </si>
  <si>
    <t>The district energy system includes (select all that apply)</t>
  </si>
  <si>
    <t>General HVAC drop-down</t>
  </si>
  <si>
    <t>All equipment in the unfinished spaces not included in the project scope of work has been modeled identically in the Baseline and Proposed case using the Baseline modeling requirements</t>
  </si>
  <si>
    <t>Credit has been modeled in the Proposed case for energy efficiency measures that are specifically identified in signed tenant sales and lease agreements (LEED Core &amp; Shell only.  New Construction must be modeled identically in the Baseline and Proposed Case).</t>
  </si>
  <si>
    <t>If using the DES Path 2 or 3 and the Modeling Method, describe how the average efficiency was determined. Include information about how the thermal distribution losses and distribution pump energy was accounted for. If using the modeling method, upload summary simulation files or spreadsheet calculations as supporting documentation.</t>
  </si>
  <si>
    <t>For DES Paths 2 or 3, identify the method for evaluating the district plant average efficiency.</t>
  </si>
  <si>
    <t>n/a</t>
  </si>
  <si>
    <t>Exhaust filters, scrubbers, or other exhaust treatment</t>
  </si>
  <si>
    <t>Biosafety cabinet</t>
  </si>
  <si>
    <t>Energy recovery device, other than coil runaround loop</t>
  </si>
  <si>
    <t>Coil runaround loop</t>
  </si>
  <si>
    <t xml:space="preserve">Exhaust system serving fume hoods </t>
  </si>
  <si>
    <t>Laboratory and vivarium exhaust systems in high-rise buildings</t>
  </si>
  <si>
    <t>Fan Power</t>
  </si>
  <si>
    <t>* Table 6.8.1 Unitary Cooling (Systems 1 through 6)</t>
  </si>
  <si>
    <t>* Table 6.8.1 Unitary Heating (Systems 2, 3, 4, and 9)</t>
  </si>
  <si>
    <t>Baseline</t>
  </si>
  <si>
    <t>Proposed</t>
  </si>
  <si>
    <t>Air-Side HVAC System Schedule</t>
  </si>
  <si>
    <r>
      <t xml:space="preserve">CHW </t>
    </r>
    <r>
      <rPr>
        <sz val="10"/>
        <color indexed="8"/>
        <rFont val="Arial"/>
        <family val="2"/>
      </rPr>
      <t>ΔT</t>
    </r>
  </si>
  <si>
    <t>Cooling Tower and Condenser Water</t>
  </si>
  <si>
    <t>Hot Water or Steam</t>
  </si>
  <si>
    <t>Combined Heat and Power (CHP)</t>
  </si>
  <si>
    <t>Other</t>
  </si>
  <si>
    <t>Full DES (Path 2)</t>
  </si>
  <si>
    <t>Streamlined DES (Path 3)</t>
  </si>
  <si>
    <t>ASHRAE 90.1-2010 (Path 1)</t>
  </si>
  <si>
    <t>California Title-24 (Path 4)</t>
  </si>
  <si>
    <t>California Title-24 Baseline default efficiencies (Path 4)</t>
  </si>
  <si>
    <t>Type of geothermal system</t>
  </si>
  <si>
    <t>Soil conductivity (if applicable)</t>
  </si>
  <si>
    <t>Geothermal loop pumping configuration</t>
  </si>
  <si>
    <t>Number of geothermal loop pumps</t>
  </si>
  <si>
    <t>Geothermal loop pump control</t>
  </si>
  <si>
    <t xml:space="preserve">Geothermal pump power </t>
  </si>
  <si>
    <t>Geothermal loop flow</t>
  </si>
  <si>
    <t>Geothermal air-side efficiency curves</t>
  </si>
  <si>
    <t>Number and type of boilers</t>
  </si>
  <si>
    <t>Purchased heating rate (cost per unit energy)</t>
  </si>
  <si>
    <t>Total boiler capacity</t>
  </si>
  <si>
    <t>Boiler efficiency</t>
  </si>
  <si>
    <t>Hot water or steam (HHW) supply temp</t>
  </si>
  <si>
    <t>HHW temp reset parameters</t>
  </si>
  <si>
    <t>HHW loop configuration</t>
  </si>
  <si>
    <t>Thermal efficiency (%) at design conditions</t>
  </si>
  <si>
    <t>Electrical efficiency (%) at design conditions</t>
  </si>
  <si>
    <t>Controls or schedule</t>
  </si>
  <si>
    <t>Fuel Source</t>
  </si>
  <si>
    <t>Where is the recovered heat used? (e.g. gas absorption chillers, hot water distribution loop, etc.)</t>
  </si>
  <si>
    <t>Backup heat source when waste heat from CHP is unavailable? (e.g. fossil fuel boilers)</t>
  </si>
  <si>
    <t>Parasitic losses (e.g. air handling unit to cool the intake air)</t>
  </si>
  <si>
    <t>Type of generator</t>
  </si>
  <si>
    <t>CW pump control</t>
  </si>
  <si>
    <t>CW pump flow</t>
  </si>
  <si>
    <t>CW pump power</t>
  </si>
  <si>
    <t>Number of CW pumps</t>
  </si>
  <si>
    <t>CW loop temp reset parameters</t>
  </si>
  <si>
    <t>Condenser water (CW) leaving temp</t>
  </si>
  <si>
    <t>Cooling tower fan control</t>
  </si>
  <si>
    <t>Cooling tower fan power</t>
  </si>
  <si>
    <t>Number of cooling towers or fluid coolers</t>
  </si>
  <si>
    <t>Water-side energy recovery</t>
  </si>
  <si>
    <t xml:space="preserve">Water-side economizer </t>
  </si>
  <si>
    <t>CHW loop configuration</t>
  </si>
  <si>
    <t>CHW supply temp reset parameters</t>
  </si>
  <si>
    <t>Chilled water (CHW) supply temp</t>
  </si>
  <si>
    <t>Chiller efficiency - part load</t>
  </si>
  <si>
    <t>Chiller efficiency - full load</t>
  </si>
  <si>
    <t>Total chiller capacity</t>
  </si>
  <si>
    <t>Purchased chilled water rate (cost per unit energy)</t>
  </si>
  <si>
    <r>
      <t xml:space="preserve">Number and type of chillers </t>
    </r>
    <r>
      <rPr>
        <sz val="10"/>
        <color indexed="8"/>
        <rFont val="Arial"/>
        <family val="2"/>
      </rPr>
      <t>(and capacity per chiller if more than one type or size of chiller)</t>
    </r>
  </si>
  <si>
    <t xml:space="preserve">Total cooling capacity </t>
  </si>
  <si>
    <t>Table 6.8.1 unitary cooling capacity range</t>
  </si>
  <si>
    <t xml:space="preserve">Unitary cooling efficiency </t>
  </si>
  <si>
    <t xml:space="preserve">Unitary cooling part-load efficiency (if applicable) </t>
  </si>
  <si>
    <t xml:space="preserve">Total heating capacity </t>
  </si>
  <si>
    <t>Table 6.8.1 unitary heating capacity range</t>
  </si>
  <si>
    <t xml:space="preserve">Unitary heating efficiency </t>
  </si>
  <si>
    <t>* Fan control</t>
  </si>
  <si>
    <t xml:space="preserve">Supply airflow </t>
  </si>
  <si>
    <t>Outdoor airflow</t>
  </si>
  <si>
    <t>Demand control ventilation</t>
  </si>
  <si>
    <t>* Supply air temperature reset</t>
  </si>
  <si>
    <t>Exhaust air energy recovery effectiveness or 6.5.6.1 exception claimed</t>
  </si>
  <si>
    <t>Supply fan power</t>
  </si>
  <si>
    <t xml:space="preserve">Return or relief fan power </t>
  </si>
  <si>
    <t>Exhaust fan power</t>
  </si>
  <si>
    <t>System fan power</t>
  </si>
  <si>
    <t>Allowed fan power</t>
  </si>
  <si>
    <t>Particulate filtration credit: MERV 9 through 12</t>
  </si>
  <si>
    <t>Particulate filtration credit: MERV 13 through 15</t>
  </si>
  <si>
    <t>Particulate filtration credit: MERV 16 and greater and electronically enhanced filters</t>
  </si>
  <si>
    <t>Sound attenuation section</t>
  </si>
  <si>
    <t>System type and fuel</t>
  </si>
  <si>
    <t>Number of pumps</t>
  </si>
  <si>
    <t>Type of pump</t>
  </si>
  <si>
    <t>Refrigeration equipment</t>
  </si>
  <si>
    <t>Roof and skylight area</t>
  </si>
  <si>
    <t>Number of similar systems</t>
  </si>
  <si>
    <t>System designation(s)</t>
  </si>
  <si>
    <t>* System type</t>
  </si>
  <si>
    <t>Other (describe)</t>
  </si>
  <si>
    <t>All spaces qualifying as semiheated are not defined as heated per Table 3.1 or indirectly conditioned (see Section 3.2 definition of space).</t>
  </si>
  <si>
    <t>New</t>
  </si>
  <si>
    <t>This table is only required to be completed if Tradable Exterior Lighting is selected above.</t>
  </si>
  <si>
    <t>This table is only required to be completed if Nontradable Exterior Lighting is selected above.</t>
  </si>
  <si>
    <t>Existing</t>
  </si>
  <si>
    <t>Unconditioned</t>
  </si>
  <si>
    <t>Issue</t>
  </si>
  <si>
    <t>Project Team Response</t>
  </si>
  <si>
    <t>Compliance</t>
  </si>
  <si>
    <t>Number of hours cooling loads not met</t>
  </si>
  <si>
    <t>Number of hours heating loads not met</t>
  </si>
  <si>
    <t>Energy Type</t>
  </si>
  <si>
    <t>Total:</t>
  </si>
  <si>
    <t>Cost</t>
  </si>
  <si>
    <t>Site Energy Use</t>
  </si>
  <si>
    <t>Percent Savings</t>
  </si>
  <si>
    <t>Cost Savings</t>
  </si>
  <si>
    <t xml:space="preserve">Site Energy Use Savings </t>
  </si>
  <si>
    <t>Percent Cost Savings</t>
  </si>
  <si>
    <t>On-Site Renewable Savings</t>
  </si>
  <si>
    <t xml:space="preserve">District Cooling </t>
  </si>
  <si>
    <t>Proposed Building Energy Consumption 
with Exceptional Calculation Methods</t>
  </si>
  <si>
    <t>Percent Variance</t>
  </si>
  <si>
    <t>Unregulated?</t>
  </si>
  <si>
    <t>End Use</t>
  </si>
  <si>
    <t>Complete the table below, providing information on energy consumption and demand by end-use. If an end-use has two energy types (e.g. proposed case space heating includes both fossil fuel and electric), enter the end-use twice in the table, and list the two different energy types.</t>
  </si>
  <si>
    <t>Baseline Design Total</t>
  </si>
  <si>
    <t>Baseline 270° rotation</t>
  </si>
  <si>
    <t>Baseline 180° rotation</t>
  </si>
  <si>
    <t>Baseline 90° rotation</t>
  </si>
  <si>
    <t>Baseline 0° rotation</t>
  </si>
  <si>
    <t>Electricity</t>
  </si>
  <si>
    <t>x</t>
  </si>
  <si>
    <t>Elevators and escalators</t>
  </si>
  <si>
    <t>Industrial Process</t>
  </si>
  <si>
    <t>Cooking</t>
  </si>
  <si>
    <t>Fans - Kitchen Ventilation</t>
  </si>
  <si>
    <t>Interior lighting - process</t>
  </si>
  <si>
    <t>IT equipment</t>
  </si>
  <si>
    <t>Receptacle equipment</t>
  </si>
  <si>
    <t>Service water heating</t>
  </si>
  <si>
    <t>Fans - parking garage</t>
  </si>
  <si>
    <t>Fans - interior ventilation</t>
  </si>
  <si>
    <t>Heat rejection</t>
  </si>
  <si>
    <t>Pumps</t>
  </si>
  <si>
    <t>Natural Gas</t>
  </si>
  <si>
    <t>Space cooling</t>
  </si>
  <si>
    <t>Space heating</t>
  </si>
  <si>
    <t>Exterior lighting</t>
  </si>
  <si>
    <t>Interior lighting</t>
  </si>
  <si>
    <t>Baseline Design Total
 (Average of 4 rotations)</t>
  </si>
  <si>
    <t>Add to Baseline?
Subtract from Proposed?</t>
  </si>
  <si>
    <t>Energy Type(s)</t>
  </si>
  <si>
    <t>Annual Site Energy Generated</t>
  </si>
  <si>
    <t>Renewable Source</t>
  </si>
  <si>
    <t>kWh</t>
  </si>
  <si>
    <t>Btu x 10^6</t>
  </si>
  <si>
    <t>therm</t>
  </si>
  <si>
    <t>Utility Rate Structure</t>
  </si>
  <si>
    <t>Utility Rate Name</t>
  </si>
  <si>
    <t>Demand Units</t>
  </si>
  <si>
    <t>Energy Consumption Units</t>
  </si>
  <si>
    <r>
      <rPr>
        <b/>
        <sz val="10"/>
        <rFont val="Arial"/>
        <family val="2"/>
      </rPr>
      <t xml:space="preserve">Compliant energy simulation software. </t>
    </r>
    <r>
      <rPr>
        <sz val="10"/>
        <rFont val="Arial"/>
        <family val="2"/>
      </rPr>
      <t>The energy simulation software used for this project has all capabilities described in EITHER section "G2 Simulation General Requirements" in Appendix G of ASHRAE 90.1-2010 OR the analogous section of the alternative qualifying energy code used.</t>
    </r>
  </si>
  <si>
    <t>Simulation program</t>
  </si>
  <si>
    <t>Energy code used</t>
  </si>
  <si>
    <t xml:space="preserve">Simulation weather file </t>
  </si>
  <si>
    <t>Trace</t>
  </si>
  <si>
    <t>IES</t>
  </si>
  <si>
    <t>HAP</t>
  </si>
  <si>
    <t>eQuest</t>
  </si>
  <si>
    <t>EnergyPro</t>
  </si>
  <si>
    <t>EnergyPlus</t>
  </si>
  <si>
    <t>Other approved code</t>
  </si>
  <si>
    <t>California Title-24 2013, Part 6</t>
  </si>
  <si>
    <t>ASHRAE 90.1 2010 Appendix G</t>
  </si>
  <si>
    <r>
      <t>(ft</t>
    </r>
    <r>
      <rPr>
        <b/>
        <vertAlign val="superscript"/>
        <sz val="10"/>
        <color indexed="9"/>
        <rFont val="Calibri"/>
        <family val="2"/>
      </rPr>
      <t>2</t>
    </r>
    <r>
      <rPr>
        <b/>
        <sz val="10"/>
        <color indexed="9"/>
        <rFont val="Calibri"/>
        <family val="2"/>
      </rPr>
      <t>)</t>
    </r>
  </si>
  <si>
    <r>
      <t>Roof Area (ft</t>
    </r>
    <r>
      <rPr>
        <b/>
        <vertAlign val="superscript"/>
        <sz val="10"/>
        <color indexed="9"/>
        <rFont val="Calibri"/>
        <family val="2"/>
      </rPr>
      <t>2</t>
    </r>
    <r>
      <rPr>
        <b/>
        <sz val="10"/>
        <color indexed="9"/>
        <rFont val="Calibri"/>
        <family val="2"/>
      </rPr>
      <t>)</t>
    </r>
  </si>
  <si>
    <t>Roof &amp; Skylight Area</t>
  </si>
  <si>
    <r>
      <t>Above-Grade Wall Area (ft</t>
    </r>
    <r>
      <rPr>
        <b/>
        <vertAlign val="superscript"/>
        <sz val="10"/>
        <color indexed="9"/>
        <rFont val="Calibri"/>
        <family val="2"/>
      </rPr>
      <t>2</t>
    </r>
    <r>
      <rPr>
        <b/>
        <sz val="10"/>
        <color indexed="9"/>
        <rFont val="Calibri"/>
        <family val="2"/>
      </rPr>
      <t>)</t>
    </r>
  </si>
  <si>
    <t>Above-Grade Wall &amp; Vertical Glazing Area by Orientation</t>
  </si>
  <si>
    <t>The Baseline building is modeled with the same shape and orientation as the Proposed building, and for new construction rotated 90°, 180°, and 270°</t>
  </si>
  <si>
    <t>Building Shape &amp; Orientation</t>
  </si>
  <si>
    <t>Any shading by adjacent structures and terrain has been modeled identically to the Proposed case (if applicable)</t>
  </si>
  <si>
    <t xml:space="preserve">
</t>
  </si>
  <si>
    <t>No shading projections, manual shading devices, or self-shading have been modeled for the Baseline building</t>
  </si>
  <si>
    <t>Shading Devices</t>
  </si>
  <si>
    <t>Building:</t>
  </si>
  <si>
    <t>District energy sources</t>
  </si>
  <si>
    <t>Standard energy sources</t>
  </si>
  <si>
    <t>ENERGY SOURCES 1</t>
  </si>
  <si>
    <t>DistrictCooling</t>
  </si>
  <si>
    <t>DistrictHeating</t>
  </si>
  <si>
    <t>3 = Streamlined DES Accounting Method (Path3)</t>
  </si>
  <si>
    <t>2 = Full DES Performance Accounting Method (Path 2)</t>
  </si>
  <si>
    <t>1 = ASHRAE 90.1 without Addenda (Path 1)</t>
  </si>
  <si>
    <t>0 = No DES</t>
  </si>
  <si>
    <t>DESPath</t>
  </si>
  <si>
    <t>Campus Cogen - Parasitic energy</t>
  </si>
  <si>
    <t>Campus Cogen - Fuel Input</t>
  </si>
  <si>
    <t>Tons (wood)</t>
  </si>
  <si>
    <t>Campus Cogen - Electricity generated</t>
  </si>
  <si>
    <t>Pounds (wood)</t>
  </si>
  <si>
    <t>Lbs (wood)</t>
  </si>
  <si>
    <t>Campus pumps: Heating</t>
  </si>
  <si>
    <t>Tons (coke)</t>
  </si>
  <si>
    <t>Campus space heating</t>
  </si>
  <si>
    <t>(Pounds coke) x 1,000,000</t>
  </si>
  <si>
    <t>MLbs (coke)</t>
  </si>
  <si>
    <t>Campus pumps: Cooling &amp; Heat Rejection</t>
  </si>
  <si>
    <t>(Pounds coke) x 1,000</t>
  </si>
  <si>
    <t>kLbs (coke)</t>
  </si>
  <si>
    <t>Campus heat rejection</t>
  </si>
  <si>
    <t>Pounds (coke)</t>
  </si>
  <si>
    <t>Lbs (coke)</t>
  </si>
  <si>
    <t>Campus space cooling</t>
  </si>
  <si>
    <t>Tons (Bituminous Coal)</t>
  </si>
  <si>
    <t>Tons (bit. coal)</t>
  </si>
  <si>
    <t>Campus Plant End Uses</t>
  </si>
  <si>
    <t>(Pounds Bituminous Coal) x 1,000,000</t>
  </si>
  <si>
    <t>MLbs (bit. coal)</t>
  </si>
  <si>
    <t>(Pounds Bituminous Coal) x 1,000</t>
  </si>
  <si>
    <t>kLbs (bit. coal)</t>
  </si>
  <si>
    <t>Pounds (Bituminous Coal)</t>
  </si>
  <si>
    <t>Lbs (bit. coal)</t>
  </si>
  <si>
    <t>Tons (Anthracite Coal)</t>
  </si>
  <si>
    <t>Tons (anth. coal)</t>
  </si>
  <si>
    <t>(Pounds Anthracite Coal) x 1,000,000</t>
  </si>
  <si>
    <t>MLbs (anth. coal)</t>
  </si>
  <si>
    <t>(Pounds Anthracite Coal) x 1,000</t>
  </si>
  <si>
    <t>kLbs (anth. coal)</t>
  </si>
  <si>
    <t>Pounds (Anthracite Coal)</t>
  </si>
  <si>
    <t>Lbs (anth. coal)</t>
  </si>
  <si>
    <t>liters (propane)</t>
  </si>
  <si>
    <t>gallons (propane)</t>
  </si>
  <si>
    <t>Cogen - Parasitic energy</t>
  </si>
  <si>
    <t>gallons (fuel oil no. 5 or no. 6)</t>
  </si>
  <si>
    <t>Cogen - Fuel Input</t>
  </si>
  <si>
    <t>liters (fuel oil no. 5 or no. 6)</t>
  </si>
  <si>
    <t>Cogen - Electricity generated</t>
  </si>
  <si>
    <t>gallons (fuel oil/diesel)</t>
  </si>
  <si>
    <t>liters (fuel oil/diesel)</t>
  </si>
  <si>
    <t>CZ16</t>
  </si>
  <si>
    <t>(Pounds) x 1,000,000</t>
  </si>
  <si>
    <t>MLbs (District Steam)</t>
  </si>
  <si>
    <t>CZ15</t>
  </si>
  <si>
    <t>(Pounds) x 1,000</t>
  </si>
  <si>
    <t>kLbs (District Steam)</t>
  </si>
  <si>
    <t>CZ14</t>
  </si>
  <si>
    <t>Pounds (District Steam)</t>
  </si>
  <si>
    <t>Lbs (District Steam)</t>
  </si>
  <si>
    <t>CZ13</t>
  </si>
  <si>
    <t>On-site landfill gas - electric</t>
  </si>
  <si>
    <t>Block charges per unit of consumption and demand varying seasonally</t>
  </si>
  <si>
    <t>(cubic feet) x 1,000,000</t>
  </si>
  <si>
    <t>Mcf (Natural Gas)</t>
  </si>
  <si>
    <t>CZ12</t>
  </si>
  <si>
    <t>On-site landfill gas - thermal</t>
  </si>
  <si>
    <t>Block charges per unit of consumption varying seasonally</t>
  </si>
  <si>
    <t>(cubic feet) x 1,000</t>
  </si>
  <si>
    <t>kcf (Natural Gas)</t>
  </si>
  <si>
    <t>District Hot Water</t>
  </si>
  <si>
    <t>CZ11</t>
  </si>
  <si>
    <t>On-site animal or organic waste - electric</t>
  </si>
  <si>
    <t>Block charges per unit of consumption and demand</t>
  </si>
  <si>
    <t>(cubic feet) x 100</t>
  </si>
  <si>
    <t>ccf (Natural Gas)</t>
  </si>
  <si>
    <t>District Steam</t>
  </si>
  <si>
    <t>CZ10</t>
  </si>
  <si>
    <t>On-site animal or organic waste - thermal</t>
  </si>
  <si>
    <t>Block Charges per unit of consumptoin</t>
  </si>
  <si>
    <t>cubic feet</t>
  </si>
  <si>
    <t>cf (Natural Gas)</t>
  </si>
  <si>
    <t>Wood</t>
  </si>
  <si>
    <t>Outputs(1) Building Performance</t>
  </si>
  <si>
    <t>CZ9</t>
  </si>
  <si>
    <t>On-site agricultural crops or waste - electric</t>
  </si>
  <si>
    <t>Time of Use Rates per unit of consumption and demand varying seasonally</t>
  </si>
  <si>
    <t>Coke</t>
  </si>
  <si>
    <t>CZ8</t>
  </si>
  <si>
    <t>On-site agricultural crops or waste - thermal</t>
  </si>
  <si>
    <t>Time of Use Rates per unit of consumption varying seasonally</t>
  </si>
  <si>
    <t>ton</t>
  </si>
  <si>
    <t>Coal (bituminous)</t>
  </si>
  <si>
    <t>CZ7</t>
  </si>
  <si>
    <t>On-site untreated wood waste - electric generator</t>
  </si>
  <si>
    <t>Time of Use Rates per unit of consumption and demand</t>
  </si>
  <si>
    <t>(British thermal unit per hour) x 1,000,000</t>
  </si>
  <si>
    <t>MMBTUH</t>
  </si>
  <si>
    <t>Ton Hours</t>
  </si>
  <si>
    <t>Coal (anthracite)</t>
  </si>
  <si>
    <t>CZ6</t>
  </si>
  <si>
    <t>On-site untreated wood waste - thermal</t>
  </si>
  <si>
    <t>Time of Use Rates per unit of consumption</t>
  </si>
  <si>
    <t>Btuh x 10^6</t>
  </si>
  <si>
    <t>(Joules) x 1,000,000</t>
  </si>
  <si>
    <t>MJ</t>
  </si>
  <si>
    <t>Kerosene</t>
  </si>
  <si>
    <t>Project EAp2 Summary</t>
  </si>
  <si>
    <t>rbDESAvg</t>
  </si>
  <si>
    <t>CZ5</t>
  </si>
  <si>
    <t>Geothermal electric system</t>
  </si>
  <si>
    <t>Fixed Rates per unit of consumption and demand varying seasonally</t>
  </si>
  <si>
    <t>Btuh x 10^3</t>
  </si>
  <si>
    <t>(British thermal unit) x 1,000,000</t>
  </si>
  <si>
    <t>Fuel Oil (No. 5 &amp; No.6)</t>
  </si>
  <si>
    <t>rbDESguide</t>
  </si>
  <si>
    <t>CZ4</t>
  </si>
  <si>
    <t>Geothermal heating system (not geoexchange)</t>
  </si>
  <si>
    <t>Fixed Rates per unit of consumption and demand</t>
  </si>
  <si>
    <t>MBH</t>
  </si>
  <si>
    <t>Propane</t>
  </si>
  <si>
    <t>PRM_Outputs(2)</t>
  </si>
  <si>
    <t>TargetRow</t>
  </si>
  <si>
    <t>End Row</t>
  </si>
  <si>
    <t>Range Start Row</t>
  </si>
  <si>
    <t>Start Row</t>
  </si>
  <si>
    <t>Sheet</t>
  </si>
  <si>
    <t>rbDES</t>
  </si>
  <si>
    <t>A district cooling plant serves the buildings in this project, or an on-campus cooling plant provides heating to buildings outside of this project</t>
  </si>
  <si>
    <t>A district heating plant serves the buildings in this project, or an on-campus heating plant provides heating to buildings outside of this project</t>
  </si>
  <si>
    <t>CZ3</t>
  </si>
  <si>
    <t>Solar thermal system</t>
  </si>
  <si>
    <t>Fixed Rates per unit of consumption varying seasonally</t>
  </si>
  <si>
    <t>(British thermal unit) x 1,000</t>
  </si>
  <si>
    <t>kBtu</t>
  </si>
  <si>
    <t>Fuel Oil / Diesel</t>
  </si>
  <si>
    <t>PRM_Outputs(1)</t>
  </si>
  <si>
    <t>NumBuildings</t>
  </si>
  <si>
    <t>rbSiteRenewable</t>
  </si>
  <si>
    <t>A central cooling plant serves only the buildings in this project</t>
  </si>
  <si>
    <t>A central heating plant serves only buildings in this project</t>
  </si>
  <si>
    <t>One energy model. Submeter buildings</t>
  </si>
  <si>
    <t>CZ2</t>
  </si>
  <si>
    <t>Wind energy system</t>
  </si>
  <si>
    <t>Fixed Rates per unit of consumption</t>
  </si>
  <si>
    <t>square meters</t>
  </si>
  <si>
    <t>Megawatt</t>
  </si>
  <si>
    <t>MW</t>
  </si>
  <si>
    <t>Megawatt hour</t>
  </si>
  <si>
    <t>MWh</t>
  </si>
  <si>
    <t>All</t>
  </si>
  <si>
    <t>Number of Energy Sources</t>
  </si>
  <si>
    <t>rbOutputReporting</t>
  </si>
  <si>
    <t>Each building generates its own cooling</t>
  </si>
  <si>
    <t>Each building generates its own heating</t>
  </si>
  <si>
    <t>One model per building</t>
  </si>
  <si>
    <t>CZ1</t>
  </si>
  <si>
    <t>Photovoltaic system</t>
  </si>
  <si>
    <t>Default EIA Rates</t>
  </si>
  <si>
    <t>square feet</t>
  </si>
  <si>
    <t>Kilowatt hour</t>
  </si>
  <si>
    <t>BuildingNames</t>
  </si>
  <si>
    <t>Output Sheet Names</t>
  </si>
  <si>
    <t>Start Cells for Utility Data:</t>
  </si>
  <si>
    <t>Option Buttons:</t>
  </si>
  <si>
    <t>Energy Modeling Method:</t>
  </si>
  <si>
    <t>Energy End-Uses</t>
  </si>
  <si>
    <t>ClimateZones</t>
  </si>
  <si>
    <t>California Climate Zones</t>
  </si>
  <si>
    <t>ASHRAE Climate Zones</t>
  </si>
  <si>
    <t>Energy Code</t>
  </si>
  <si>
    <t>Simulation Program</t>
  </si>
  <si>
    <t>LEED Rating System</t>
  </si>
  <si>
    <t>Area Units</t>
  </si>
  <si>
    <t>Multiplier to convert to MBH</t>
  </si>
  <si>
    <t>Energy Demand Units</t>
  </si>
  <si>
    <t>Multiplier to convert to kBtu</t>
  </si>
  <si>
    <r>
      <t xml:space="preserve">Considered "Gas" for District Plant Path 3 Calcs? </t>
    </r>
    <r>
      <rPr>
        <sz val="10"/>
        <color theme="9" tint="-0.249977111117893"/>
        <rFont val="Arial"/>
        <family val="2"/>
      </rPr>
      <t>(Note: Coal,coke, and wood are selected as gas to allow the lower efficiencies).</t>
    </r>
  </si>
  <si>
    <t>Site-to-source ratio</t>
  </si>
  <si>
    <t>Fuel Types</t>
  </si>
  <si>
    <t>Average Electrical COP</t>
  </si>
  <si>
    <t>Average Fuel COP</t>
  </si>
  <si>
    <t>Average District Heating Plant Efficiency for Project based on Building District Heating Peak Load (includes boilers, pumps). Use Max efficiency if central plant fuel source isn't defined, or maximum capacity is not listed.</t>
  </si>
  <si>
    <t>Building CHW Peak Baseline Load from PRM Outputs (use 1,200 tons if not yet entered, or if units are not entered for District Chilled Water Demand)</t>
  </si>
  <si>
    <t>BUILDING SPECIFIC DES CHW Average Efficiency:</t>
  </si>
  <si>
    <t>Oil-Fired</t>
  </si>
  <si>
    <t>Gas-Fired</t>
  </si>
  <si>
    <t>Fuel-type</t>
  </si>
  <si>
    <t>PHHWP</t>
  </si>
  <si>
    <t>Average Pump Efficiency 
(electricity kWh/chilled water kWh)</t>
  </si>
  <si>
    <t>Average Fuel Efficiency</t>
  </si>
  <si>
    <t>Min HHW Peak Load in this Range</t>
  </si>
  <si>
    <t>Oversize factor</t>
  </si>
  <si>
    <t>*Peak HHW Load assumes baseline HHW water system is 25% oversized, so it is 25% less than the chiller equipment thresholds in ASHRAE 90.1 Table 6.8</t>
  </si>
  <si>
    <t>Boiler and HHW Loop Pump Average Efficiency</t>
  </si>
  <si>
    <t>kW/kW</t>
  </si>
  <si>
    <t>1000 W/kW</t>
  </si>
  <si>
    <t>/</t>
  </si>
  <si>
    <t>gpm/kW</t>
  </si>
  <si>
    <t>=</t>
  </si>
  <si>
    <t>Calculated</t>
  </si>
  <si>
    <t>.</t>
  </si>
  <si>
    <t>HHW Pump Power</t>
  </si>
  <si>
    <t>84% Ec</t>
  </si>
  <si>
    <t>&gt;=2500000</t>
  </si>
  <si>
    <t>82% Et</t>
  </si>
  <si>
    <t>300,000 to 2,500,000</t>
  </si>
  <si>
    <t>80% AFUE</t>
  </si>
  <si>
    <t>&lt;300,000 Btuh</t>
  </si>
  <si>
    <t>Oil-Fired:</t>
  </si>
  <si>
    <t>82% Ec</t>
  </si>
  <si>
    <t>80% Et</t>
  </si>
  <si>
    <t>Gas-Fired:</t>
  </si>
  <si>
    <t>Boiler Efficiencies:</t>
  </si>
  <si>
    <t>Riding the pump curve for buildings less than 120,000 square feet</t>
  </si>
  <si>
    <t>Variable speed pumps for buildings with 120,000 square feet or more</t>
  </si>
  <si>
    <t>Variable primary pumping</t>
  </si>
  <si>
    <t>19 W/gpm pump power</t>
  </si>
  <si>
    <t>Relevant ASHRAE 90.1-2010 Requirements:</t>
  </si>
  <si>
    <t>Assume a capacity of 300,000 Btuh is roughly equivalent to a building size of 120,000 square feet (to allow average efficiency based on capacity range only rather than building size)</t>
  </si>
  <si>
    <t>Assume average part-load performance of 42% for secondary CHW pumps with VSD (above 300 tons capacity)</t>
  </si>
  <si>
    <t>Assume average part-load performance of 72% for secondary CHW pumps riding the curve (up to 300 tons capacity)</t>
  </si>
  <si>
    <t>Assume Average thermal efficiency (including part-load operation) = AFUE = Et = Ec)</t>
  </si>
  <si>
    <t>40 gpm / (Btuh*10^6) hot water flow (or 0.1366 gpm/kW) (based on 50 deg. loop delta T required by ASHRAE 90.1-2010)</t>
  </si>
  <si>
    <t>1500 Equivalent full load hours of HHW operation per year</t>
  </si>
  <si>
    <t>3,000 Hours of HHW Plant Operation per year</t>
  </si>
  <si>
    <t>Hot Water Assumptions Used to Derive Average Efficiencies:</t>
  </si>
  <si>
    <t>COP</t>
  </si>
  <si>
    <t>Average CHW Plant Efficiency for Project based on Building CHW Peak Load (includes chillers, cooling towers, condenser water pumps and chilled water pumps)</t>
  </si>
  <si>
    <t>Centrifugal</t>
  </si>
  <si>
    <t>Screw</t>
  </si>
  <si>
    <t>Tower Fans</t>
  </si>
  <si>
    <t>CWP3</t>
  </si>
  <si>
    <t>CWP2</t>
  </si>
  <si>
    <t>CWP1</t>
  </si>
  <si>
    <t>SCHWP</t>
  </si>
  <si>
    <t>PCHWP3</t>
  </si>
  <si>
    <t>PCHWP2</t>
  </si>
  <si>
    <t>PCHWP1</t>
  </si>
  <si>
    <t>Chillers</t>
  </si>
  <si>
    <t>IPLV (kW/kW)</t>
  </si>
  <si>
    <t>Type Chillers</t>
  </si>
  <si>
    <t>Qty Chillers</t>
  </si>
  <si>
    <t>Average COP</t>
  </si>
  <si>
    <t>Average chilled water system efficiency Cooling Energy Input Ratio (kWh/kWh)</t>
  </si>
  <si>
    <t>Min CHW Peak Load in this Range</t>
  </si>
  <si>
    <t>*columns below include conversion factor of 0.2844 to convert from kWh/ton-hr to kWh/kWh</t>
  </si>
  <si>
    <t>*Peak CHW Load assumes baseline chilled water system is 15% oversized, so it is 15% less than the chiller equipment thresholds in ASHRAE 90.1 Table 6.8</t>
  </si>
  <si>
    <t>Chiller Type, Quantity, and Efficiency, and Pump Consumption</t>
  </si>
  <si>
    <t>kW/ton</t>
  </si>
  <si>
    <t>gpm/ton</t>
  </si>
  <si>
    <t>-</t>
  </si>
  <si>
    <t>Secondary CHW Pump Power</t>
  </si>
  <si>
    <t>Primary CHW Pump Power</t>
  </si>
  <si>
    <t>CW Pump Power</t>
  </si>
  <si>
    <t>kWh/ton-hr</t>
  </si>
  <si>
    <t>Equivalent Full Load Hours of Operation</t>
  </si>
  <si>
    <t>Hours of Operation</t>
  </si>
  <si>
    <t>Average efficiency</t>
  </si>
  <si>
    <t>kW/hp</t>
  </si>
  <si>
    <t>fan motor efficiency</t>
  </si>
  <si>
    <t>gpm/hp</t>
  </si>
  <si>
    <t>Cooling Tower Fans</t>
  </si>
  <si>
    <t>ASHRAE 90.1 Appendix G requirement (assume Chiller Path A, Use IPLV)</t>
  </si>
  <si>
    <t>3 Chillers</t>
  </si>
  <si>
    <t>2 Chillers</t>
  </si>
  <si>
    <t>1 Chiller</t>
  </si>
  <si>
    <t>CWP3+</t>
  </si>
  <si>
    <t>PCHWP3+</t>
  </si>
  <si>
    <t>Chiller 3</t>
  </si>
  <si>
    <t>Chiller 2</t>
  </si>
  <si>
    <t>Chiller 1</t>
  </si>
  <si>
    <t>EFLH:</t>
  </si>
  <si>
    <t>Total Annual Hours:</t>
  </si>
  <si>
    <t>Hours of Operation Assumed:</t>
  </si>
  <si>
    <t>Assume 50% of CHW pump power is used in primary loop, 50% in secondary loop</t>
  </si>
  <si>
    <t xml:space="preserve">   (source: VSDs and their Effect on System Components (http://www.trane.com/Commercial/Uploads/PDF/ContinuingEducation/ENL_VSDsystemeffects_handouts.pdf)</t>
  </si>
  <si>
    <t>Assume 2-speed cooling towers use 38% of the energy that a 1-speed cooling tower would use</t>
  </si>
  <si>
    <t>Assume IPLV = Average chiller efficiency (kWh/ton-hr)</t>
  </si>
  <si>
    <t>3 gpm/ton Chilled Water (ARI conditions)</t>
  </si>
  <si>
    <t>90% fan motor efficiency for cooling tower</t>
  </si>
  <si>
    <t>2 gpm/ton Chilled Water (ARI conditions)</t>
  </si>
  <si>
    <t>1500 Equivalent full load hours of CHW operation per year</t>
  </si>
  <si>
    <t>3,000 Hours of CHW Plant Operation per year</t>
  </si>
  <si>
    <t>Chilled Water Assumptions Used to Derive Average Efficiencies:</t>
  </si>
  <si>
    <t>Quality Assurance Checks</t>
  </si>
  <si>
    <t>9.6.2 (a) or 9.6.2 (b)</t>
  </si>
  <si>
    <t xml:space="preserve">Lighting equipment is installed in sales area for highlighting merchandise </t>
  </si>
  <si>
    <t xml:space="preserve">* Economizer high-limit shutoff </t>
  </si>
  <si>
    <t>Opaque Envelope - Construction</t>
  </si>
  <si>
    <t>Opaque Envelope - Space Conditioning</t>
  </si>
  <si>
    <t>Assembly
C-factor</t>
  </si>
  <si>
    <t>Assembly 
F-factor</t>
  </si>
  <si>
    <t>IP</t>
  </si>
  <si>
    <t>SI</t>
  </si>
  <si>
    <t>R-2.6 c.i. insulation entirely above deck with a U-factor of 0.360</t>
  </si>
  <si>
    <t>R-3.5 c.i. insulation entirely above deck with a U-factor of 0.273</t>
  </si>
  <si>
    <t>R-0.7 c.i. insulation entirely above deck with a U-factor of 1.240</t>
  </si>
  <si>
    <t>1A (IP)</t>
  </si>
  <si>
    <t>1A (SI)</t>
  </si>
  <si>
    <t>steel-framed with R-2.3 cavity insulation with a U-factor of 0.705</t>
  </si>
  <si>
    <t>steel-framed with no insulation with a U-factor of 1.998</t>
  </si>
  <si>
    <t>205 mm medium weight concrete block with solid grouted cores and no insulation with a C-factor of 6.473</t>
  </si>
  <si>
    <t>steel-joist with no insulation with a U-factor of 1.986</t>
  </si>
  <si>
    <t>150 mm concrete slabs with no insulation with an F-factor of 1.264</t>
  </si>
  <si>
    <t>U-factor of 3.975</t>
  </si>
  <si>
    <t>U-factor of 8.233</t>
  </si>
  <si>
    <t>U-0.360</t>
  </si>
  <si>
    <t>U-0.273</t>
  </si>
  <si>
    <t>U-1.240</t>
  </si>
  <si>
    <t>U-0.705</t>
  </si>
  <si>
    <t>U-1.998</t>
  </si>
  <si>
    <t>C-6.473</t>
  </si>
  <si>
    <t>U-1.986</t>
  </si>
  <si>
    <t>F-1.264</t>
  </si>
  <si>
    <t>U-3.975</t>
  </si>
  <si>
    <t>U-8.233</t>
  </si>
  <si>
    <t>steel-framed with R-2.3 cavity and R-1.3 continuous insulation with a U-factor of 0.365</t>
  </si>
  <si>
    <t>steel-joist with R-3.3 insulation with a U-factor of 0.296</t>
  </si>
  <si>
    <t>steel-joist with R-2.3 insulation with a U-factor of 0.390</t>
  </si>
  <si>
    <t>U-factor of 2.839</t>
  </si>
  <si>
    <t>U-0.365</t>
  </si>
  <si>
    <t>U-0.296</t>
  </si>
  <si>
    <t>U-0.390</t>
  </si>
  <si>
    <t>U-2.839</t>
  </si>
  <si>
    <t>R-0.9 c.i. insulation entirely above deck with a U-factor of 0.982</t>
  </si>
  <si>
    <t>steel-framed with R-2.3 cavity and R-0.7 continuous insulation with a U-factor of 0.479</t>
  </si>
  <si>
    <t>U-0.982</t>
  </si>
  <si>
    <t>U-0.479</t>
  </si>
  <si>
    <t>205 mm medium weight concrete block with solid grouted cores and R-1.3 continuous insulation with a C-factor of 0.678</t>
  </si>
  <si>
    <t>steel-joist with R-5.3 insulation with a U-factor of 0.214</t>
  </si>
  <si>
    <t>150 mm concrete slabs with R-1.8 insulation for 600 mm with an F-factor of 0.935</t>
  </si>
  <si>
    <t>C-0.678</t>
  </si>
  <si>
    <t>U-0.214</t>
  </si>
  <si>
    <t>F-0.935</t>
  </si>
  <si>
    <t>R-1.3 c.i. insulation entirely above deck with a U-factor of 0.667</t>
  </si>
  <si>
    <t>U-0.677</t>
  </si>
  <si>
    <t>U- 0.296</t>
  </si>
  <si>
    <t>R-1.8 insulation entirely above deck with a U-factor of 0.527</t>
  </si>
  <si>
    <t>steel-joist with R-6.7 insulation with a U-factor of 0.183</t>
  </si>
  <si>
    <t>150 mm concrete slabs with R-2.6 insulation for 600 mm with an F-factor of 0.900</t>
  </si>
  <si>
    <t>U-0.527</t>
  </si>
  <si>
    <t>U-0.183</t>
  </si>
  <si>
    <t>F-0.900</t>
  </si>
  <si>
    <t>steel-framed with R-2.3 cavity and R-2.7 continuous insulation with a U-factor of 0.240</t>
  </si>
  <si>
    <t>205 mm medium weight concrete block with solid grouted cores and R-1.8 continuous insulation with a C-factor of 0.522</t>
  </si>
  <si>
    <t>U-0.240</t>
  </si>
  <si>
    <t>C-0.522</t>
  </si>
  <si>
    <t>steel-framed with R-2.3 cavity and R-3.3 continuous insulation with a U-factor of 0.212</t>
  </si>
  <si>
    <t>205 mm medium weight concrete block with solid grouted cores and R-2.2 continuous insulation with a C-factor of 0.425</t>
  </si>
  <si>
    <t>150 mm concrete slabs with R-3.5 insulation for 600 mm with an F-factor of 0.883</t>
  </si>
  <si>
    <t>U-0.212</t>
  </si>
  <si>
    <t>C-0.425</t>
  </si>
  <si>
    <t>F-0.883</t>
  </si>
  <si>
    <t>NR</t>
  </si>
  <si>
    <t>1B (IP)</t>
  </si>
  <si>
    <t>2A (IP)</t>
  </si>
  <si>
    <t>2B (IP)</t>
  </si>
  <si>
    <t>3A (IP)</t>
  </si>
  <si>
    <t>3B (IP)</t>
  </si>
  <si>
    <t>3C (IP)</t>
  </si>
  <si>
    <t>4A (IP)</t>
  </si>
  <si>
    <t>4B (IP)</t>
  </si>
  <si>
    <t>4C (IP)</t>
  </si>
  <si>
    <t>5A (IP)</t>
  </si>
  <si>
    <t>5B (IP)</t>
  </si>
  <si>
    <t>5C (IP)</t>
  </si>
  <si>
    <t>6A (IP)</t>
  </si>
  <si>
    <t>6B (IP)</t>
  </si>
  <si>
    <t>7A (IP)</t>
  </si>
  <si>
    <t>7B (IP)</t>
  </si>
  <si>
    <t>8 (IP)</t>
  </si>
  <si>
    <t>8 (SI)</t>
  </si>
  <si>
    <t>7B (SI)</t>
  </si>
  <si>
    <t>7A (SI)</t>
  </si>
  <si>
    <t>6B (SI)</t>
  </si>
  <si>
    <t>6A (SI)</t>
  </si>
  <si>
    <t>5C (SI)</t>
  </si>
  <si>
    <t>5B (SI)</t>
  </si>
  <si>
    <t>5A (SI)</t>
  </si>
  <si>
    <t>4C (SI)</t>
  </si>
  <si>
    <t>4B (SI)</t>
  </si>
  <si>
    <t>4A (SI)</t>
  </si>
  <si>
    <t>3C (SI)</t>
  </si>
  <si>
    <t>3B (SI)</t>
  </si>
  <si>
    <t>3A (SI)</t>
  </si>
  <si>
    <t>2B (SI)</t>
  </si>
  <si>
    <t>2A (SI)</t>
  </si>
  <si>
    <t>1B (SI)</t>
  </si>
  <si>
    <t>Opaque Doors - Swinging</t>
  </si>
  <si>
    <t>Opaque Doors - Nonswinging</t>
  </si>
  <si>
    <t>Opaque Doors - Nonwwinging</t>
  </si>
  <si>
    <t>A</t>
  </si>
  <si>
    <t>Above-grade wall and vertical glazing area by orientation</t>
  </si>
  <si>
    <t>B</t>
  </si>
  <si>
    <t>C</t>
  </si>
  <si>
    <t>D</t>
  </si>
  <si>
    <t>E</t>
  </si>
  <si>
    <t>F</t>
  </si>
  <si>
    <t>(W/sq ft)</t>
  </si>
  <si>
    <t>Table 9.5.1 LPD</t>
  </si>
  <si>
    <t>(W/sq m)</t>
  </si>
  <si>
    <t>Base Allowance
(W)</t>
  </si>
  <si>
    <t>Atrium - first 40 ft (13 m) in height</t>
  </si>
  <si>
    <t>Atirum - height above 40 ft (13 m)</t>
  </si>
  <si>
    <t>Dining area - bar lounge/leisure dining</t>
  </si>
  <si>
    <t>Dining area - family dining</t>
  </si>
  <si>
    <t>Classroom/lecture/training</t>
  </si>
  <si>
    <t>Conference/meeting/multipurpose</t>
  </si>
  <si>
    <t>Corridor/transition</t>
  </si>
  <si>
    <t>Electrical/mechanical</t>
  </si>
  <si>
    <t>Food preparation</t>
  </si>
  <si>
    <t>Lobby- elevator</t>
  </si>
  <si>
    <t>Lobby - performing arts theater</t>
  </si>
  <si>
    <t>Lobby - motion picture theater</t>
  </si>
  <si>
    <t>Locker room</t>
  </si>
  <si>
    <t>Lounge/recreation</t>
  </si>
  <si>
    <t>Sales area</t>
  </si>
  <si>
    <t>Bank/office - banking activity area</t>
  </si>
  <si>
    <t>Convention center - audience seating</t>
  </si>
  <si>
    <t>Convention center - exhibit space</t>
  </si>
  <si>
    <t>Dormitory - living quarters</t>
  </si>
  <si>
    <t>Fire station - engine room</t>
  </si>
  <si>
    <t>Fire station - sleeping quarters</t>
  </si>
  <si>
    <t>Gymnasium/fitness center - playing area</t>
  </si>
  <si>
    <t>Hospital - corridor/transition</t>
  </si>
  <si>
    <t>Hospital - emergency</t>
  </si>
  <si>
    <t>Hospital - exam/treatment</t>
  </si>
  <si>
    <t>Hospital - laundry/washing</t>
  </si>
  <si>
    <t>Hospital - lounge/recreation</t>
  </si>
  <si>
    <t>Hospital - medical supply</t>
  </si>
  <si>
    <t>Hospital - nursery</t>
  </si>
  <si>
    <t>Hospital - nurses' station</t>
  </si>
  <si>
    <t>Hospital - operating room</t>
  </si>
  <si>
    <t>Hospital - patient room</t>
  </si>
  <si>
    <t>Hospital - pharmacy</t>
  </si>
  <si>
    <t>Hospital - physical therapy</t>
  </si>
  <si>
    <t>Hospital - radiology/imaging</t>
  </si>
  <si>
    <t>Hospital - recovery</t>
  </si>
  <si>
    <t>Library - card file and cataloging</t>
  </si>
  <si>
    <t>Library - reading area</t>
  </si>
  <si>
    <t>Library - stacks</t>
  </si>
  <si>
    <t xml:space="preserve">Manufacturing - corridor/transition </t>
  </si>
  <si>
    <t xml:space="preserve">Manufacturing - detailed manufacturing </t>
  </si>
  <si>
    <t xml:space="preserve">Manufacturing - equipment room </t>
  </si>
  <si>
    <t xml:space="preserve">Museum - general exhibition </t>
  </si>
  <si>
    <t>Museum - restoration</t>
  </si>
  <si>
    <t>Parking garage - garage area</t>
  </si>
  <si>
    <t>Post office - sorting area</t>
  </si>
  <si>
    <t xml:space="preserve">Religious buildings - audience seating </t>
  </si>
  <si>
    <t xml:space="preserve">Religious buildings - fellowship hall </t>
  </si>
  <si>
    <t>Religious buildings - worship pulpit, choir</t>
  </si>
  <si>
    <t xml:space="preserve">Retail - dressing/fitting room </t>
  </si>
  <si>
    <t xml:space="preserve">Retail - mall concourse </t>
  </si>
  <si>
    <t xml:space="preserve">Sports arena - audience seating </t>
  </si>
  <si>
    <t xml:space="preserve">Sports arena - court sports arena—class 4 </t>
  </si>
  <si>
    <t xml:space="preserve">Sports arena - court sports arena—class 3 </t>
  </si>
  <si>
    <t xml:space="preserve">Sports arena - court sports arena—class 2 </t>
  </si>
  <si>
    <t xml:space="preserve">Sports arena - court sports arena—class 1 </t>
  </si>
  <si>
    <t>Sports arena - ring sports arena</t>
  </si>
  <si>
    <t xml:space="preserve">Transportation - air/train/bus—baggage area </t>
  </si>
  <si>
    <t xml:space="preserve">Transportation - airport—concourse </t>
  </si>
  <si>
    <t xml:space="preserve">Transportation - audience seating </t>
  </si>
  <si>
    <t>Transportation - terminal—ticket counter</t>
  </si>
  <si>
    <t>Warehouse - fine material storage</t>
  </si>
  <si>
    <t>Warehouse - medium/bulky material storage</t>
  </si>
  <si>
    <t>Baseline and proposed lighting is modeled using the automatic and manual controls in Section 9.4 including automated shutoff controls, daylighting controls, occupant sensor controls, etc.  The energy modeling schedules account for these mandatory control requirements.</t>
  </si>
  <si>
    <t>Mandatory step controls are included in the proposed, and modeled in the baseline for all spaces enclosed by ceiling height partitions per Sections 9.4.1.2a.</t>
  </si>
  <si>
    <t>Required for all systems</t>
  </si>
  <si>
    <t>Required for Systems 1-4</t>
  </si>
  <si>
    <t>Required for Systems 5-8</t>
  </si>
  <si>
    <t>Required for Systems 9 and 10</t>
  </si>
  <si>
    <t>Required for Systems 1-8</t>
  </si>
  <si>
    <t>Required for Systems 5 and 7</t>
  </si>
  <si>
    <t>Required for Systems 6 and 8</t>
  </si>
  <si>
    <t>Note: Any credit for improved process equipment must be submitted using the Exceptional Calculation Method.</t>
  </si>
  <si>
    <t>Non-Receptacle Process Equipment</t>
  </si>
  <si>
    <t>Total pump power (kW)</t>
  </si>
  <si>
    <t>Air-Side HVAC adjustment drop-down (IP)</t>
  </si>
  <si>
    <t>Primary or DES plant CHW pump power</t>
  </si>
  <si>
    <t>Primary or DES plant CHW pump flow</t>
  </si>
  <si>
    <t>Primary or DES plant CHW pump control</t>
  </si>
  <si>
    <t>Number of secondary or building booster CHW pumps</t>
  </si>
  <si>
    <t>Secondary or building booster CHW pump power</t>
  </si>
  <si>
    <t>Secondary or building booster CHW pump flow</t>
  </si>
  <si>
    <t>Secondary or building booster CHW pump control</t>
  </si>
  <si>
    <t>Number of primary or DES plant HHW pumps</t>
  </si>
  <si>
    <t>Primary or DES plant HHW pump power</t>
  </si>
  <si>
    <t>Primary or DES plant HHW pump flow</t>
  </si>
  <si>
    <t>Primary or DES plant HHW pump control</t>
  </si>
  <si>
    <t>Number of secondary or building booster HHW pumps</t>
  </si>
  <si>
    <t>Secondary or building booster HHW pump power</t>
  </si>
  <si>
    <t>Secondary or building booster HHW pump flow</t>
  </si>
  <si>
    <t>Secondary or building booster HHW pump control</t>
  </si>
  <si>
    <t>$</t>
  </si>
  <si>
    <t>Number of primary or DES plant CHW pumps</t>
  </si>
  <si>
    <t>Applicability to Project</t>
  </si>
  <si>
    <t>Project-Specific 
Secondary System</t>
  </si>
  <si>
    <t>Project-Specific 
Primary Systems</t>
  </si>
  <si>
    <t>• No DES
• ASHRAE 90.1 (Path 1)
• Full DES (Path 2)</t>
  </si>
  <si>
    <t>• ASHRAE 90.1 (Path 1)
• Streamlined DES (Path 3)
• District Cooling Only</t>
  </si>
  <si>
    <t>• ASHRAE 90.1 (Path 1)
• Streamlined DES (Path 3)
• District Heating Only</t>
  </si>
  <si>
    <t>• ASHRAE 90.1 (Path 1)
• Streamlined DES (Path 3)
• District Cooling and Heating</t>
  </si>
  <si>
    <t>Systems</t>
  </si>
  <si>
    <t>Multiplier 
x Motor Efficiency</t>
  </si>
  <si>
    <t>Motor Horsepower Nominal Efficiency</t>
  </si>
  <si>
    <t>Energy Model Information</t>
  </si>
  <si>
    <t>Unit of measurement</t>
  </si>
  <si>
    <t>Opaque Assemblies</t>
  </si>
  <si>
    <t>Shading and Fenestration</t>
  </si>
  <si>
    <t>Process Loads</t>
  </si>
  <si>
    <t>Required for Systems 1, 5, 7, and 8
Required for all Systems if District Heating and/or Cooling has been selected on the General Information tab</t>
  </si>
  <si>
    <t>Refer to the Teant Lease and Sales Agreement section of the LEED Reference Guide. Upload all required documentation to substantiate the savings claimed for the unfinished spaces.</t>
  </si>
  <si>
    <t>Unfinished Spaces</t>
  </si>
  <si>
    <t>System 7 (District Heating &amp; Cooling) - VAV with Reheat</t>
  </si>
  <si>
    <t>System 1 (District Cooling) - 4-pipe CV Fan Coil with HW Boiler</t>
  </si>
  <si>
    <t>System 2 (District Cooling) - 4-pipe CV Fan Coil with HW Boiler</t>
  </si>
  <si>
    <t>System 1 (District Heating &amp; Cooling) - 4-pipe CV Fan Coil</t>
  </si>
  <si>
    <t>Required for Systems 3-8</t>
  </si>
  <si>
    <t>Water-Side HVAC</t>
  </si>
  <si>
    <t>Air-Side HVAC</t>
  </si>
  <si>
    <t>* Pressure Drop Adjustments (Systems 3 through 8)</t>
  </si>
  <si>
    <t>Trigger</t>
  </si>
  <si>
    <t/>
  </si>
  <si>
    <t>Enclosed parking garage ventilation systems automatically detect contaminant levels and modulate fan airflows rates to 50% or less of design capacity per Section 6.4.3.4.5</t>
  </si>
  <si>
    <t>Rating System Variation</t>
  </si>
  <si>
    <t>Ocupant sensors or timer switches are included in the proposed, and modeled in the baseline for classrooms, lecture halls, confrence rooms, meeting rooms, training rooms, employee lunch and break rooms, storage and supply rooms between 50 to 1,000 sq ft (15.24 to 304.8 sq m), copying and printing rooms, office spaces up to 250 sq ft (76.2 sq m), restrooms, dresssing rooms, locker rooms, fitting rooms, and parking garages per Section 9.4.1.2b and 9.4.1.3b.</t>
  </si>
  <si>
    <t>Mandatory automatic daylighting controls are included in the proposed, and modeled in the baseline for primary sidelighted areas in enclosed spaces greater than 250 sq ft (23 sq m), and  top lighted areas greater than 900 sq ft (84 sq m), and parking garages as applicable per Sections 9.4.1.4, 9.4.1.5, and 9.4.1.3 respectively.</t>
  </si>
  <si>
    <t>District Energy Systems</t>
  </si>
  <si>
    <t>At least 50% of all 125 volt 15 and 20 Amper receptacles installed in private offices, open offices, and computer classrooms shall be controlled by an automatic device which functions on a scheduled basis, an occupant sensor, or a signal from another control system that indicates the area is unoccupied, in accordance with Section 8.4.2.</t>
  </si>
  <si>
    <r>
      <t>Instructions:</t>
    </r>
    <r>
      <rPr>
        <sz val="10"/>
        <color indexed="8"/>
        <rFont val="Arial"/>
        <family val="2"/>
      </rPr>
      <t xml:space="preserve"> Provide the following shading and orientation information. An example of the expected level of detail has been provided for each input. For any information not applicable to the project, simply enter "N/A".</t>
    </r>
  </si>
  <si>
    <r>
      <t xml:space="preserve">Instructions: </t>
    </r>
    <r>
      <rPr>
        <sz val="10"/>
        <color indexed="8"/>
        <rFont val="Arial"/>
        <family val="2"/>
      </rPr>
      <t xml:space="preserve">Confirm that the energy model complies with the Interior lighting requirements listed, and provide a narrative explaining any discrepancies. Select the interior lighting categorization procedure, and then complete the corresponding lighting table(s). Please refer to the column header notes for information about Appendix G modeling protocol. For any information not applicable to the project, simply enter "N/A". </t>
    </r>
  </si>
  <si>
    <r>
      <t xml:space="preserve">Instructions: </t>
    </r>
    <r>
      <rPr>
        <sz val="10"/>
        <color indexed="8"/>
        <rFont val="Arial"/>
        <family val="2"/>
      </rPr>
      <t>Select the method(s) used to model receptacle equipment, and then complete the corresponding receptacle equipment table(s). Non-receptacle process equipment should be reported in the last table. Please refer to the column header notes for information about Appendix G modeling protocol. For any information not applicable to the project, simply enter "N/A".</t>
    </r>
  </si>
  <si>
    <r>
      <t>Instructions:</t>
    </r>
    <r>
      <rPr>
        <sz val="10"/>
        <color indexed="8"/>
        <rFont val="Arial"/>
        <family val="2"/>
      </rPr>
      <t xml:space="preserve"> Confirm that the energy model complies with the General HVAC requirements listed, and provide a narrative explaining any discrepancies. Select the types of water-side systems that are installed on the project site (proposed). Describe each type of HVAC system in the proposed. Select the applicable baseline HVAC system type(s). Confirm that each of the HVAC modeling requirements have been incorporated into the energy models. Please refer to the column header notes for information about Appendix G modeling protocol. For any information not applicable to the project, simply enter "N/A". </t>
    </r>
  </si>
  <si>
    <t>Process Load Requirements</t>
  </si>
  <si>
    <t>Building Area Method</t>
  </si>
  <si>
    <t>Table 9.5.1 
Building Area Type</t>
  </si>
  <si>
    <t>Complete the table below in accordance with the Building Area Procedure.</t>
  </si>
  <si>
    <t>Section 9.6.2 Additional Lighting Power (if applicable)</t>
  </si>
  <si>
    <r>
      <t xml:space="preserve">Section 9.6.3 Room Geometry Adjustment 
</t>
    </r>
    <r>
      <rPr>
        <i/>
        <sz val="10"/>
        <rFont val="Arial"/>
        <family val="2"/>
      </rPr>
      <t>(Only complete for spaces where credit is taken for room geometry)</t>
    </r>
  </si>
  <si>
    <t>Room Cavity Ratio</t>
  </si>
  <si>
    <t>Describe Automatic Lighting Controls</t>
  </si>
  <si>
    <t>Section 9.6.2(c) Control Factor Adjustment</t>
  </si>
  <si>
    <t>Lighting Power Under Control (W)</t>
  </si>
  <si>
    <t xml:space="preserve">Table 9.6.1 RCR Threshold </t>
  </si>
  <si>
    <t>N/A</t>
  </si>
  <si>
    <t>Lobby</t>
  </si>
  <si>
    <t>A/A</t>
  </si>
  <si>
    <t>conditional final t/f</t>
  </si>
  <si>
    <t>number search 1</t>
  </si>
  <si>
    <t>number search 2</t>
  </si>
  <si>
    <t>New Construction</t>
  </si>
  <si>
    <t>Site-generated renewable energy?</t>
  </si>
  <si>
    <t>Exceptional Calculations?</t>
  </si>
  <si>
    <t>(</t>
  </si>
  <si>
    <t>Units Spelled Out</t>
  </si>
  <si>
    <t>Thresholds per Rating System:</t>
  </si>
  <si>
    <t>NC</t>
  </si>
  <si>
    <t>CS</t>
  </si>
  <si>
    <t>Core and Shell</t>
  </si>
  <si>
    <t>Schools - New Construction</t>
  </si>
  <si>
    <t>Retail - New Construction</t>
  </si>
  <si>
    <t>Data Centers - New Construction</t>
  </si>
  <si>
    <t>Warehouses and Distribution Centers - New Construction</t>
  </si>
  <si>
    <t>Hospitality - New Construction</t>
  </si>
  <si>
    <t>Healthcare</t>
  </si>
  <si>
    <t>Heat Pump Supplementary</t>
  </si>
  <si>
    <t>contribution rank</t>
  </si>
  <si>
    <t>Rank with ties</t>
  </si>
  <si>
    <t>rank no ties</t>
  </si>
  <si>
    <t>multiplier to convert to therm</t>
  </si>
  <si>
    <t>Fan power adjustments (Systems 9 through 10)</t>
  </si>
  <si>
    <t>Non-mechanical cooling fan - additional fan power allowance</t>
  </si>
  <si>
    <t>System Number</t>
  </si>
  <si>
    <t>cfm (IP)</t>
  </si>
  <si>
    <t>L/s (SI)</t>
  </si>
  <si>
    <t>Motor Horsepower (IP)</t>
  </si>
  <si>
    <t>Motor 
Kilowatts (SI)</t>
  </si>
  <si>
    <t>Fan Power Multiplier (p)</t>
  </si>
  <si>
    <t>Q = fan flow</t>
  </si>
  <si>
    <t>Allowed Fan Power: Power = p x Q + A</t>
  </si>
  <si>
    <t>Total Table 6.5.3.1.1B pressure drop adjustment (A)</t>
  </si>
  <si>
    <t>Multiply
x A</t>
  </si>
  <si>
    <t>Additional fan power for non-mechanical coolling</t>
  </si>
  <si>
    <t>Multiplier to convert from input power to allowable fan power</t>
  </si>
  <si>
    <t>All residential spaces (guest rooms, living quarters, private living space, in-patient rooms, and sleeping quarters) have been modeled with the required residential construction types from Table 5.5</t>
  </si>
  <si>
    <t>Total modeled exterior lighting power, including base allowance, based on inputs above (kW)</t>
  </si>
  <si>
    <t>Additional Power Allowance (W)</t>
  </si>
  <si>
    <t>Additional Lighting Power Description or Additional Control Method</t>
  </si>
  <si>
    <t xml:space="preserve">Rated Capacity </t>
  </si>
  <si>
    <t>Total building consumption by end-use</t>
  </si>
  <si>
    <t>Site energy consumption units used to report energy consumption totals (sum of energy types)</t>
  </si>
  <si>
    <t>Source energy consumption units used to report energy consumption totals (sum of energy types)</t>
  </si>
  <si>
    <t>Site Energy Use (Units shown per energy type)</t>
  </si>
  <si>
    <r>
      <t>PUE</t>
    </r>
    <r>
      <rPr>
        <vertAlign val="subscript"/>
        <sz val="10"/>
        <rFont val="Arial"/>
        <family val="2"/>
      </rPr>
      <t>3</t>
    </r>
  </si>
  <si>
    <t>Energy Modeling Output Reporting Method</t>
  </si>
  <si>
    <t>Performance Rating Method Compliance Report</t>
  </si>
  <si>
    <t>Unmet Loads</t>
  </si>
  <si>
    <t>Table: Streamlined DES Accounting Method (DES Path 3) - District Energy Allocation to Project Based on Average Efficiencies</t>
  </si>
  <si>
    <t>Data Center - Performance Rating Method Results</t>
  </si>
  <si>
    <t>Data Center Avg.</t>
  </si>
  <si>
    <t>Data Center</t>
  </si>
  <si>
    <t>Energy Sources</t>
  </si>
  <si>
    <t>Exceptional Calculation Methods</t>
  </si>
  <si>
    <r>
      <rPr>
        <b/>
        <i/>
        <sz val="10"/>
        <rFont val="Arial"/>
        <family val="2"/>
      </rPr>
      <t>DES Path 1:</t>
    </r>
    <r>
      <rPr>
        <b/>
        <sz val="10"/>
        <rFont val="Arial"/>
        <family val="2"/>
      </rPr>
      <t xml:space="preserve"> </t>
    </r>
    <r>
      <rPr>
        <sz val="10"/>
        <rFont val="Arial"/>
        <family val="2"/>
      </rPr>
      <t xml:space="preserve">If the project is using campus or district thermal energy using </t>
    </r>
    <r>
      <rPr>
        <i/>
        <sz val="10"/>
        <rFont val="Arial"/>
        <family val="2"/>
      </rPr>
      <t>ASHRAE 90.1-2010 without Addenda (District Energy Modeling Path 1)</t>
    </r>
    <r>
      <rPr>
        <sz val="10"/>
        <rFont val="Arial"/>
        <family val="2"/>
      </rPr>
      <t xml:space="preserve">, select District Cooling, District Hot Water, or District Steam as applicable and all other energy sources serving the building </t>
    </r>
    <r>
      <rPr>
        <b/>
        <i/>
        <sz val="12"/>
        <color rgb="FFFF0000"/>
        <rFont val="Calibri"/>
        <family val="2"/>
      </rPr>
      <t/>
    </r>
  </si>
  <si>
    <r>
      <rPr>
        <b/>
        <i/>
        <sz val="10"/>
        <rFont val="Arial"/>
        <family val="2"/>
      </rPr>
      <t>DES Path 3:</t>
    </r>
    <r>
      <rPr>
        <b/>
        <sz val="10"/>
        <rFont val="Arial"/>
        <family val="2"/>
      </rPr>
      <t xml:space="preserve"> </t>
    </r>
    <r>
      <rPr>
        <sz val="10"/>
        <rFont val="Arial"/>
        <family val="2"/>
      </rPr>
      <t xml:space="preserve">If the project is modeling campus or district thermal energy using the </t>
    </r>
    <r>
      <rPr>
        <i/>
        <sz val="10"/>
        <rFont val="Arial"/>
        <family val="2"/>
      </rPr>
      <t>Streamlined DES Accounting Method (District Energy Modeling Path 3)</t>
    </r>
    <r>
      <rPr>
        <sz val="10"/>
        <rFont val="Arial"/>
        <family val="2"/>
      </rPr>
      <t xml:space="preserve">, select District Cooling, District Hot Water, or District Steam as applicable, AND each energy source serving the building, AND each energy source in the district or campus plant if different from the energy sources serving the building (e.g. electricity, natural gas, etc.).
</t>
    </r>
    <r>
      <rPr>
        <b/>
        <i/>
        <sz val="12"/>
        <color rgb="FFFF0000"/>
        <rFont val="Calibri"/>
        <family val="2"/>
      </rPr>
      <t/>
    </r>
  </si>
  <si>
    <t>Select how any unfinished spaces have been modeled</t>
  </si>
  <si>
    <t>Skylights - Ufactor</t>
  </si>
  <si>
    <t>Skylights - SHGC</t>
  </si>
  <si>
    <t>Air handling and fan coil units with chilled water cooling coils and with supply fans motors greater than or equal to 5 hp (4 kW) have their supply fans controlled by two-speed motors or variable speed drives per Section 6.4.3.10.</t>
  </si>
  <si>
    <r>
      <t xml:space="preserve">All </t>
    </r>
    <r>
      <rPr>
        <b/>
        <i/>
        <sz val="10"/>
        <color indexed="8"/>
        <rFont val="Arial"/>
        <family val="2"/>
      </rPr>
      <t>proposed</t>
    </r>
    <r>
      <rPr>
        <sz val="10"/>
        <color indexed="8"/>
        <rFont val="Arial"/>
        <family val="2"/>
      </rPr>
      <t xml:space="preserve"> roofs, above-grade exterior walls, below-grade exterior walls, exposed floors, slab-on-grade floors, and opaque doors were modeled as-designed and with assembly U-factors, C-factors, and F-factors consistent with Appendix A values.</t>
    </r>
  </si>
  <si>
    <t>Infiltration rates and schedules have been modeled identically in the baseline and proposed.</t>
  </si>
  <si>
    <t>How were the proposed framed assembly fenestration U-factors determined?</t>
  </si>
  <si>
    <r>
      <t xml:space="preserve">Instructions: </t>
    </r>
    <r>
      <rPr>
        <sz val="10"/>
        <color indexed="8"/>
        <rFont val="Arial"/>
        <family val="2"/>
      </rPr>
      <t>Complete the Opaque Building Envelope Requirements section, then describe each unique opaque building envelope construction on a separate row in the Opaque Building Envelope Constructions table. Please refer to the column header notes for information about Appendix G modeling protocol. For any information not applicable to the project, simply enter "N/A". Baseline information will autogenerate for new construction when the space conditioning category is selected.</t>
    </r>
  </si>
  <si>
    <t>Identical to baseline</t>
  </si>
  <si>
    <r>
      <t xml:space="preserve">Instructions: </t>
    </r>
    <r>
      <rPr>
        <sz val="10"/>
        <color indexed="8"/>
        <rFont val="Arial"/>
        <family val="2"/>
      </rPr>
      <t>Describe each unique fenestration assembly on a separate row in the following table. Please refer to the column header notes for information about Appendix G modeling protocol. For any information not applicable to the project, simply enter "N/A". Baseline information will autogenerate for new construction.</t>
    </r>
  </si>
  <si>
    <t>All lighting schedules have been modeled identically in the baseline and proposed and reflect the anticipated operating schedules of each space.</t>
  </si>
  <si>
    <t>The proposed lighting power includes all lighting system components shown or provided for on the plans (including lamps and ballasts and task and furniture-mounted fixtures except where specifically exempted).</t>
  </si>
  <si>
    <t>Select the categorization procedure used to determine the lighting power density (LPD) in the proposed and baseline</t>
  </si>
  <si>
    <t>Additional lighting power has been modeled identically in the baseline and proposed up to the value allowed in Section 9.6.2</t>
  </si>
  <si>
    <r>
      <t xml:space="preserve">All </t>
    </r>
    <r>
      <rPr>
        <b/>
        <i/>
        <sz val="10"/>
        <rFont val="Arial"/>
        <family val="2"/>
      </rPr>
      <t>baseline</t>
    </r>
    <r>
      <rPr>
        <sz val="10"/>
        <rFont val="Arial"/>
        <family val="2"/>
      </rPr>
      <t xml:space="preserve"> single zone systems have been modeled with a separate HVAC system for each thermal block per G3.1.1.</t>
    </r>
  </si>
  <si>
    <r>
      <t xml:space="preserve">All </t>
    </r>
    <r>
      <rPr>
        <b/>
        <i/>
        <sz val="10"/>
        <rFont val="Arial"/>
        <family val="2"/>
      </rPr>
      <t>baseline</t>
    </r>
    <r>
      <rPr>
        <sz val="10"/>
        <rFont val="Arial"/>
        <family val="2"/>
      </rPr>
      <t xml:space="preserve"> VAV systems have been modeled with an HVAC system per floor, or one system per group of thermodynamically similar floors per G3.1.1.</t>
    </r>
  </si>
  <si>
    <r>
      <t xml:space="preserve">All </t>
    </r>
    <r>
      <rPr>
        <b/>
        <i/>
        <sz val="10"/>
        <rFont val="Arial"/>
        <family val="2"/>
      </rPr>
      <t>baseline</t>
    </r>
    <r>
      <rPr>
        <sz val="10"/>
        <rFont val="Arial"/>
        <family val="2"/>
      </rPr>
      <t xml:space="preserve"> heating and ventilation systems have been modeled with an HVAC system per floor or one system per group of thermodynamically similar floors per G3.1.1.</t>
    </r>
  </si>
  <si>
    <r>
      <t xml:space="preserve">All applicable </t>
    </r>
    <r>
      <rPr>
        <b/>
        <i/>
        <sz val="10"/>
        <rFont val="Arial"/>
        <family val="2"/>
      </rPr>
      <t>baseline</t>
    </r>
    <r>
      <rPr>
        <sz val="10"/>
        <rFont val="Arial"/>
        <family val="2"/>
      </rPr>
      <t xml:space="preserve"> exceptions to G3.1.1 have been implemented. Note that these exceptions are required, not optional.</t>
    </r>
  </si>
  <si>
    <r>
      <t xml:space="preserve">Where </t>
    </r>
    <r>
      <rPr>
        <b/>
        <i/>
        <sz val="10"/>
        <rFont val="Arial"/>
        <family val="2"/>
      </rPr>
      <t xml:space="preserve">baseline or proposed </t>
    </r>
    <r>
      <rPr>
        <sz val="10"/>
        <rFont val="Arial"/>
        <family val="2"/>
      </rPr>
      <t>efficiency ratings for DX cooling equipment, such as EER and COP, include fan energy, the descriptor is broken down into its components so that supply fan energy can be modeled separately per G3.1.2.1.</t>
    </r>
  </si>
  <si>
    <r>
      <t xml:space="preserve">All </t>
    </r>
    <r>
      <rPr>
        <b/>
        <i/>
        <sz val="10"/>
        <rFont val="Arial"/>
        <family val="2"/>
      </rPr>
      <t>baseline</t>
    </r>
    <r>
      <rPr>
        <sz val="10"/>
        <rFont val="Arial"/>
        <family val="2"/>
      </rPr>
      <t xml:space="preserve"> system cooling capacities auto-sized with 15% oversizing per G3.1.2.2 (at the system or plant level, but not both).</t>
    </r>
  </si>
  <si>
    <r>
      <t xml:space="preserve">All </t>
    </r>
    <r>
      <rPr>
        <b/>
        <i/>
        <sz val="10"/>
        <rFont val="Arial"/>
        <family val="2"/>
      </rPr>
      <t>baseline</t>
    </r>
    <r>
      <rPr>
        <sz val="10"/>
        <rFont val="Arial"/>
        <family val="2"/>
      </rPr>
      <t xml:space="preserve"> system heating capacities auto-sized with 25% oversizing per G3.1.2.2 (at the system or plant level, but not both).</t>
    </r>
  </si>
  <si>
    <r>
      <t xml:space="preserve">If the </t>
    </r>
    <r>
      <rPr>
        <b/>
        <i/>
        <sz val="10"/>
        <rFont val="Arial"/>
        <family val="2"/>
      </rPr>
      <t>proposed</t>
    </r>
    <r>
      <rPr>
        <sz val="10"/>
        <rFont val="Arial"/>
        <family val="2"/>
      </rPr>
      <t xml:space="preserve"> system has a preheat coil, it has been modeled and controlled in the same manner in the </t>
    </r>
    <r>
      <rPr>
        <b/>
        <i/>
        <sz val="10"/>
        <rFont val="Arial"/>
        <family val="2"/>
      </rPr>
      <t>baseline</t>
    </r>
    <r>
      <rPr>
        <sz val="10"/>
        <rFont val="Arial"/>
        <family val="2"/>
      </rPr>
      <t xml:space="preserve"> system per G3.1.2.4.</t>
    </r>
  </si>
  <si>
    <r>
      <t xml:space="preserve">All </t>
    </r>
    <r>
      <rPr>
        <b/>
        <i/>
        <sz val="10"/>
        <rFont val="Arial"/>
        <family val="2"/>
      </rPr>
      <t>baseline</t>
    </r>
    <r>
      <rPr>
        <sz val="10"/>
        <rFont val="Arial"/>
        <family val="2"/>
      </rPr>
      <t xml:space="preserve"> supply and return fans operate continuously when spaces are occupied and cycle when unoccupied per G3.1.2.5.</t>
    </r>
  </si>
  <si>
    <r>
      <t xml:space="preserve">Demand control ventilation is modeled in the </t>
    </r>
    <r>
      <rPr>
        <b/>
        <i/>
        <sz val="10"/>
        <rFont val="Arial"/>
        <family val="2"/>
      </rPr>
      <t>baseline</t>
    </r>
    <r>
      <rPr>
        <sz val="10"/>
        <rFont val="Arial"/>
        <family val="2"/>
      </rPr>
      <t xml:space="preserve"> case for all spaces larger than 500 sq ft (50 sq m) that have a design occupancy for ventilation of greater than 40 people per 1,000 sq ft (100 sq m) of floor area (except for spaces served by </t>
    </r>
    <r>
      <rPr>
        <b/>
        <i/>
        <sz val="10"/>
        <rFont val="Arial"/>
        <family val="2"/>
      </rPr>
      <t>baseline</t>
    </r>
    <r>
      <rPr>
        <sz val="10"/>
        <rFont val="Arial"/>
        <family val="2"/>
      </rPr>
      <t xml:space="preserve"> systems that do not have one of the following: an air-side economizer, automatic modulating control of the outdoor air damper, or a design outdoor airflow of greater than 3,000 cfm (1,400 L/s)) per G3.1.2.6 / 6.4.3.9.</t>
    </r>
  </si>
  <si>
    <r>
      <t xml:space="preserve">All </t>
    </r>
    <r>
      <rPr>
        <b/>
        <i/>
        <sz val="10"/>
        <rFont val="Arial"/>
        <family val="2"/>
      </rPr>
      <t>baseline</t>
    </r>
    <r>
      <rPr>
        <sz val="10"/>
        <rFont val="Arial"/>
        <family val="2"/>
      </rPr>
      <t xml:space="preserve"> systems are modeled with zero outside airflow when fans are cycled to meet unoccupied setback temperatures.</t>
    </r>
  </si>
  <si>
    <r>
      <t xml:space="preserve">All </t>
    </r>
    <r>
      <rPr>
        <b/>
        <i/>
        <sz val="10"/>
        <rFont val="Arial"/>
        <family val="2"/>
      </rPr>
      <t>baseline</t>
    </r>
    <r>
      <rPr>
        <sz val="10"/>
        <rFont val="Arial"/>
        <family val="2"/>
      </rPr>
      <t xml:space="preserve"> supply airflows for Systems 1-8 have been auto-sized based on a 20°F (11.1°C) supply-air-to-room-air cooling temperature difference (or the airflow rate required to comply with applicable codes/standards, whichever is greater) per G3.1.2.9.1. Exception: Laboratory spaces have been modeled with a 17°F (9.4°C) supply-air-to-room air temperature difference or the required ventilation air or makeup air, whichever is greater.</t>
    </r>
  </si>
  <si>
    <r>
      <t>All</t>
    </r>
    <r>
      <rPr>
        <b/>
        <i/>
        <sz val="10"/>
        <rFont val="Arial"/>
        <family val="2"/>
      </rPr>
      <t xml:space="preserve"> baseline</t>
    </r>
    <r>
      <rPr>
        <sz val="10"/>
        <rFont val="Arial"/>
        <family val="2"/>
      </rPr>
      <t xml:space="preserve"> supply airflows for systems 9-10 have been autosized based on the difference between a supply air temperature set point of 105°F (40.6°C) and the design space heating temperature set point (or the airflow rate required to comply with applicable codes/standards, whichever is greater) per G3.1.2.9.2.</t>
    </r>
  </si>
  <si>
    <r>
      <t xml:space="preserve">All </t>
    </r>
    <r>
      <rPr>
        <b/>
        <i/>
        <sz val="10"/>
        <rFont val="Arial"/>
        <family val="2"/>
      </rPr>
      <t>baseline</t>
    </r>
    <r>
      <rPr>
        <sz val="10"/>
        <rFont val="Arial"/>
        <family val="2"/>
      </rPr>
      <t xml:space="preserve"> heat pumps modeled with electric auxiliary heat only energized below 40°F (4°C) and as the last thermostat stage per G3.1.3.1 (compressor still enabled below 40°F (4°C)). The compressor continues to operate in conjunction with the electric auxiliary heat as low as 17°F(-8.3°C), in accordance with the Baseline equipment efficiency ratings from ASHRAE 90.1 Section 6.8.  See ASHRAE Interpretation 90.1-2007-09 for more information.</t>
    </r>
  </si>
  <si>
    <r>
      <t xml:space="preserve">All </t>
    </r>
    <r>
      <rPr>
        <b/>
        <i/>
        <sz val="10"/>
        <rFont val="Arial"/>
        <family val="2"/>
      </rPr>
      <t>baseline</t>
    </r>
    <r>
      <rPr>
        <sz val="10"/>
        <rFont val="Arial"/>
        <family val="2"/>
      </rPr>
      <t xml:space="preserve"> VAV systems modeled with supply air temperature reset of 5°F (2.3°C) under minimum cooling load conditions per G3.1.3.12.</t>
    </r>
  </si>
  <si>
    <r>
      <t xml:space="preserve">All </t>
    </r>
    <r>
      <rPr>
        <b/>
        <i/>
        <sz val="10"/>
        <rFont val="Arial"/>
        <family val="2"/>
      </rPr>
      <t>baseline</t>
    </r>
    <r>
      <rPr>
        <sz val="10"/>
        <rFont val="Arial"/>
        <family val="2"/>
      </rPr>
      <t xml:space="preserve"> VAV reheat boxes modeled with a minimum flow setpoint of 30% of peak zone flow (or minimum outdoor airflow rate or code required rate) per G3.1.3.13.</t>
    </r>
  </si>
  <si>
    <r>
      <t xml:space="preserve">All </t>
    </r>
    <r>
      <rPr>
        <b/>
        <i/>
        <sz val="10"/>
        <rFont val="Arial"/>
        <family val="2"/>
      </rPr>
      <t>baseline</t>
    </r>
    <r>
      <rPr>
        <sz val="10"/>
        <rFont val="Arial"/>
        <family val="2"/>
      </rPr>
      <t xml:space="preserve"> fans in parallel VAV fan-powered boxes sized for 50% of peak primary airflow and modeled with 0.35 W/cfm (0.74 W/L/s) fan power and a minimum flow setpoint of 30% of peak (or minimum ventilation rate) per G3.1.3.14.</t>
    </r>
  </si>
  <si>
    <r>
      <t xml:space="preserve">All </t>
    </r>
    <r>
      <rPr>
        <b/>
        <i/>
        <sz val="10"/>
        <rFont val="Arial"/>
        <family val="2"/>
      </rPr>
      <t>baseline</t>
    </r>
    <r>
      <rPr>
        <sz val="10"/>
        <rFont val="Arial"/>
        <family val="2"/>
      </rPr>
      <t xml:space="preserve"> VAV fans (Systems 5-8) are modeled with VAV part-load performance curves consistent with Table G3.1.3.15 Method 1 or Method 2.</t>
    </r>
  </si>
  <si>
    <t>For each item entered as “No” above, describe the applicable ASHRAE 90.1 Appendix G exception(s) that apply, or the circumstances preventing the HVAC parameters from being modeled as required, or for proposed parameters, details confirming that the proposed model appropriately represents the actual building design. If the energy simulation software is not capable of modeling the required parameters, describe the adjustments that were made to provide a thermodynamically similar representation of the system or provide a narrative justifying why the predicted energy performance results will not be influenced.</t>
  </si>
  <si>
    <r>
      <rPr>
        <b/>
        <sz val="10"/>
        <color theme="1"/>
        <rFont val="Arial"/>
        <family val="2"/>
      </rPr>
      <t>Instructions:</t>
    </r>
    <r>
      <rPr>
        <sz val="10"/>
        <color theme="1"/>
        <rFont val="Arial"/>
        <family val="2"/>
      </rPr>
      <t xml:space="preserve"> Enter all applicable input parameters for the baseline and proposed air-side HVAC systems below. All systems included in the model should be entered. Each individual system may be entered separately, or multiple systems may be grouped together if all input parameters identified with an (*) are similar. The table is set up for two unique HVAC systems (or two groups of similar systems), and additional systems (or groups of similar systems) should be added as necessary using the Add Baseline or Add Proposed button. For any information not applicable to the project, simply enter "N/A".  Note: All baseline systems must be identified in the General HVAC Tab in order to display the relevant baseline inputs below. If General HVAC system types are changed, system types must be reselected in this tab.
</t>
    </r>
  </si>
  <si>
    <r>
      <t xml:space="preserve">Instructions: </t>
    </r>
    <r>
      <rPr>
        <sz val="10"/>
        <color indexed="8"/>
        <rFont val="Arial"/>
        <family val="2"/>
      </rPr>
      <t>Enter all applicable input parameters for the baseline and proposed water-side HVAC systems below. All systems included in the model should be entered. Please refer to the row header notes for information about Appendix G modeling protocol. For any information not applicable to the project, simply enter "N/A". If taking credit for a campus or district plant efficiency using the DES Path 2 or 3 Guidance, please include all relevant information regarding the District Plant equipment in the proposed Case.</t>
    </r>
  </si>
  <si>
    <t>Complete the baseline results for each of the four building orientations, in addition to the proposed results.</t>
  </si>
  <si>
    <t>Report the averaged baseline results, in addition to the proposed results. In the EAp2 form uploads, provide simulation output summaries from the simulation output software that include the energy consumption by end-use, total energy consumption by energy type, and total energy cost by energy type, reported separately  for each of the four baseline rotations, and the average baseline energy consumption by end-use, energy consumption by energy type, and energy cost by energy type. (The simulation software must report this average as a standard report in order to use this option).</t>
  </si>
  <si>
    <t xml:space="preserve">The project is not required to simulate four baseline orientations because (a) the vertical fenestration area on each orientation varies by less than 5%, (b) the energy code used does not require simulation of four baseline orientations, or (c) the building is more than 50% existing based on conditioned floor area. Report the non-rotated baseline results, in addition to the proposed results.
</t>
  </si>
  <si>
    <t>The project is not required to simulate four baseline orientations because the building orientation is dictated by site consideration, as allowed by Table G3.1.5 (a) (baseline) Exception 1. Report the non-rotated baseline results, in addition to the proposed results.</t>
  </si>
  <si>
    <t>Complete the table below for the proposed, providing information on baseline energy consumption and peak demand by end-use. This data will be used to autopopulate the Performance tables below. If an end-use has two energy types (e.g. proposed space heating includes both fossil fuel and electric), enter the end-use twice in the table, and list the two different energy types.</t>
  </si>
  <si>
    <r>
      <rPr>
        <b/>
        <sz val="10"/>
        <rFont val="Arial"/>
        <family val="2"/>
      </rPr>
      <t xml:space="preserve">Full DES Performance Accounting method (District Energy Modeling Path 2): </t>
    </r>
    <r>
      <rPr>
        <sz val="10"/>
        <rFont val="Arial"/>
        <family val="2"/>
      </rPr>
      <t xml:space="preserve">Report the baseline energy as if the thermal energy is produced in the building.  Report the proposed energy used to generate and distribute the district thermal energy serving the building based on calculated average district thermal efficiencies (e.g. report the electricity used to generate and distribute chilled water to the building).
</t>
    </r>
    <r>
      <rPr>
        <b/>
        <sz val="10"/>
        <rFont val="Arial"/>
        <family val="2"/>
      </rPr>
      <t/>
    </r>
  </si>
  <si>
    <r>
      <rPr>
        <b/>
        <sz val="10"/>
        <rFont val="Arial"/>
        <family val="2"/>
      </rPr>
      <t>Data Centers:</t>
    </r>
    <r>
      <rPr>
        <sz val="10"/>
        <rFont val="Arial"/>
        <family val="2"/>
      </rPr>
      <t xml:space="preserve"> The energy consumption for IT equipment must be metered and reported separately from other end-uses in the energy model, and in the tables below to allow the proper determination of the PUE. Complete the table below for the baseline using the full build-out IT loads for the proposed design.
</t>
    </r>
    <r>
      <rPr>
        <b/>
        <sz val="10"/>
        <rFont val="Arial"/>
        <family val="2"/>
      </rPr>
      <t/>
    </r>
  </si>
  <si>
    <t>Proposed Energy Consumption 
with Exceptional Calculation Methods</t>
  </si>
  <si>
    <t>Proposed with On-Site Renewable Energy</t>
  </si>
  <si>
    <r>
      <t xml:space="preserve">Opaque envelope assemblies separating conditioned space from unconditioned or semiheated space in the baseline are modeled using semiheated envelope assemblies per the </t>
    </r>
    <r>
      <rPr>
        <i/>
        <sz val="10"/>
        <rFont val="Arial"/>
        <family val="2"/>
      </rPr>
      <t>ASHRAE 90.1-2010 User's Manual</t>
    </r>
    <r>
      <rPr>
        <sz val="10"/>
        <rFont val="Arial"/>
        <family val="2"/>
      </rPr>
      <t xml:space="preserve">, Section 5.1.2, </t>
    </r>
    <r>
      <rPr>
        <i/>
        <sz val="10"/>
        <rFont val="Arial"/>
        <family val="2"/>
      </rPr>
      <t xml:space="preserve">Space Conditioning Categories </t>
    </r>
    <r>
      <rPr>
        <sz val="10"/>
        <rFont val="Arial"/>
        <family val="2"/>
      </rPr>
      <t>(Page 5-2). Refer to Figure 5-B.</t>
    </r>
  </si>
  <si>
    <r>
      <t xml:space="preserve">All </t>
    </r>
    <r>
      <rPr>
        <b/>
        <i/>
        <sz val="10"/>
        <color indexed="8"/>
        <rFont val="Arial"/>
        <family val="2"/>
      </rPr>
      <t xml:space="preserve">baseline new construction </t>
    </r>
    <r>
      <rPr>
        <sz val="10"/>
        <color indexed="8"/>
        <rFont val="Arial"/>
        <family val="2"/>
      </rPr>
      <t>opaque envelope assemblies were modeled as required by Table 5.5 for the project's climate zone and Table G3.1#5(b) as lightweight assembly types.</t>
    </r>
  </si>
  <si>
    <t>Roof Solar Reflectance and Thermal Emittance</t>
  </si>
  <si>
    <t>No additional lighting power allowance has been claimed in the baseline for surfaces that are not provided with lighting in the actual design and lighting fixtures have not been double-counted for different exterior surfaces</t>
  </si>
  <si>
    <t>Spaces larger than 500 square feet (50 square meters), with occupancy of greater than 40 people per 1,000 square feet (100 square meters), and are served by systems that have one of the following: an air-side economizer, automatic modulating control of the outdoor air damper, or a design outdoor airflow of greater than 3,000 cfm (1,400 L/s), have been designed with demand control ventilation per Section 6.4.3.9.</t>
  </si>
  <si>
    <t>* Energy Recovery per 6.5.6.1</t>
  </si>
  <si>
    <t>Outdoor Open sales areas (including vehicle sales lots)</t>
  </si>
  <si>
    <t>Entry Canopies</t>
  </si>
  <si>
    <t>Pedestrian tunnels</t>
  </si>
  <si>
    <t>Landscaping</t>
  </si>
  <si>
    <t>Sales Canopies (free standing, attached and overhangs)</t>
  </si>
  <si>
    <t>Other (Please Specify)</t>
  </si>
  <si>
    <t>Conversions for QC</t>
  </si>
  <si>
    <t>convert to kWh</t>
  </si>
  <si>
    <t>IDC</t>
  </si>
  <si>
    <t>For Baseline, any individual systems where supply airflow rate exceeds value in Table 6.5.6.1 based on climate zone and percent outdoor air? For proposed, indicate if energy recovery is modeled.</t>
  </si>
  <si>
    <t>% energy recovery effectiveness</t>
  </si>
  <si>
    <r>
      <rPr>
        <b/>
        <sz val="10"/>
        <rFont val="Arial"/>
        <family val="2"/>
      </rPr>
      <t>ASHRAE 90.1-2010 without Addenda (District Energy Modeling Path 1):</t>
    </r>
    <r>
      <rPr>
        <sz val="10"/>
        <rFont val="Arial"/>
        <family val="2"/>
      </rPr>
      <t xml:space="preserve"> Report the district energy type (District Cooling, District Hot Water, or District Steam) for the cooling and heating end-uses as applicable for both the baseline and proposed.  </t>
    </r>
    <r>
      <rPr>
        <b/>
        <sz val="10"/>
        <rFont val="Arial"/>
        <family val="2"/>
      </rPr>
      <t/>
    </r>
  </si>
  <si>
    <r>
      <rPr>
        <b/>
        <sz val="10"/>
        <rFont val="Arial"/>
        <family val="2"/>
      </rPr>
      <t>ASHRAE 90.1-2010 without Addenda (District Energy Modeling Path 1):</t>
    </r>
    <r>
      <rPr>
        <sz val="10"/>
        <rFont val="Arial"/>
        <family val="2"/>
      </rPr>
      <t xml:space="preserve"> Report the district energy type (District Cooling, District Hot Water, or District Steam) for the cooling and heating end-uses as applicable for both the baseline and proposed.</t>
    </r>
    <r>
      <rPr>
        <b/>
        <sz val="10"/>
        <rFont val="Arial"/>
        <family val="2"/>
      </rPr>
      <t/>
    </r>
  </si>
  <si>
    <r>
      <rPr>
        <b/>
        <i/>
        <sz val="10"/>
        <rFont val="Arial"/>
        <family val="2"/>
      </rPr>
      <t>DES Path 2:</t>
    </r>
    <r>
      <rPr>
        <b/>
        <sz val="10"/>
        <rFont val="Arial"/>
        <family val="2"/>
      </rPr>
      <t xml:space="preserve"> </t>
    </r>
    <r>
      <rPr>
        <sz val="10"/>
        <rFont val="Arial"/>
        <family val="2"/>
      </rPr>
      <t xml:space="preserve">If the project is modeling campus or district thermal energy using the </t>
    </r>
    <r>
      <rPr>
        <i/>
        <sz val="10"/>
        <rFont val="Arial"/>
        <family val="2"/>
      </rPr>
      <t>Full DES Performance Accounting method (District Energy Modeling Path 2)</t>
    </r>
    <r>
      <rPr>
        <sz val="10"/>
        <rFont val="Arial"/>
        <family val="2"/>
      </rPr>
      <t xml:space="preserve"> include each energy source serving the building except District Energy, AND include each energy source in the district or campus plant (e.g. electricity, natural gas, etc.) if different from the energy sources serving the building. Do not select District Cooling, District Hot Water, or District Steam. </t>
    </r>
    <r>
      <rPr>
        <b/>
        <i/>
        <sz val="12"/>
        <color rgb="FFFF0000"/>
        <rFont val="Calibri"/>
        <family val="2"/>
      </rPr>
      <t/>
    </r>
  </si>
  <si>
    <r>
      <rPr>
        <b/>
        <sz val="10"/>
        <rFont val="Arial"/>
        <family val="2"/>
      </rPr>
      <t>Streamlined DES Accounting Method (District Energy Modeling Path 3):</t>
    </r>
    <r>
      <rPr>
        <sz val="10"/>
        <rFont val="Arial"/>
        <family val="2"/>
      </rPr>
      <t xml:space="preserve"> Report the energy type (District Cooling, District Hot Water, or District Steam for the cooling and heating end-uses as applicable for both the baseline and proposed. </t>
    </r>
    <r>
      <rPr>
        <b/>
        <sz val="10"/>
        <rFont val="Arial"/>
        <family val="2"/>
      </rPr>
      <t/>
    </r>
  </si>
  <si>
    <t>Select the fossil fuel energy type used to generate any district heating or cooling.  Enter the proposed average District Cooling and District Heating efficiencies as applicable. For District Cooling, include chillers, cooling towers, chilled water and condenser water pumps, thermal distribution losses, and any other end-uses contributing towards the energy used to generate and distribute chilled water to the building. For District Heating, include boilers, pumps, thermal distribution losses, and any other end-uses contributing towards the energy used to generate and distribute heating to the building. In the Uploads section of the form, provide details regarding the calculations and or monitoring used to determine the proposed District Energy average efficiency, including any energy simulation outputs for the district plant if using the modeling method.
* Average DES efficiency (COP) per energy source is equal to one unit of thermal energy divided by the input energy for the energy source associated with generating one unit of thermal energy and delivering it to the building. Baseline average efficiency is determined based on chilled water or hot water capacity and ASHRAE 90.1 Appendix G Baseline requirements for on-site CHW and HHW generation equipment (see District Energy Path 3 tab for details).</t>
  </si>
  <si>
    <t>BUILDING SPECIFIC DES Heating Average Efficiency:</t>
  </si>
  <si>
    <t>Building Heating Peak Baseline Load from PRM Outputs (use 2,000,000 Btuh if not yet entered, or if units are not entered for District Heating Demand)</t>
  </si>
  <si>
    <t>Elec</t>
  </si>
  <si>
    <t>Fuel</t>
  </si>
  <si>
    <t>Total Baseline</t>
  </si>
  <si>
    <t>Total Proposed</t>
  </si>
  <si>
    <t>Cost/Unit District Cooling</t>
  </si>
  <si>
    <t>Cost/Unit District Heating</t>
  </si>
  <si>
    <t>Adjusted Baseline (equal to lesser of proposed or baseline allowance)</t>
  </si>
  <si>
    <t>value is True if the base allowance plus adjusted baseline is less than proposed</t>
  </si>
  <si>
    <t>The issues listed below were automatically generated based upon information provided in the input and output sections. The intent is to address common review issues before submitting for certification via changing the model and/or actual design. This section is not meant to catch all potential issues present within the submittal. Although responses are not required, the project team is strongly encouraged to address each issue noted, as this will reduce the number of review comments and increase the likelihood of awarding this prerequisite at the preliminary review stage.</t>
  </si>
  <si>
    <r>
      <rPr>
        <sz val="16"/>
        <rFont val="Arial Black"/>
        <family val="2"/>
      </rPr>
      <t xml:space="preserve">Minimum Energy Performance Calculator
</t>
    </r>
    <r>
      <rPr>
        <sz val="9"/>
        <rFont val="Arial"/>
        <family val="2"/>
      </rPr>
      <t>LEED v4 EA Prerequisite Minimum Energy Performance and EA Credit Optimize Energy Performance</t>
    </r>
  </si>
  <si>
    <t>Note: This calculator is for use with Excel for Mac 2011 and Excel 2007 or later.</t>
  </si>
  <si>
    <t>Enable macros.</t>
  </si>
  <si>
    <t>LEED v4 BD+C: New Construction</t>
  </si>
  <si>
    <t>LEED v4 BD+C: Core and Shell</t>
  </si>
  <si>
    <t>LEED v4 BD+C: Schools</t>
  </si>
  <si>
    <t>LEED v4 BD+C: Retail</t>
  </si>
  <si>
    <t>LEED v4 BD+C: Data Centers</t>
  </si>
  <si>
    <t>LEED v4 BD+C: Warehouses and Distribution Centers</t>
  </si>
  <si>
    <t>LEED v4 BD+C: Hospitality</t>
  </si>
  <si>
    <t>LEED v4 BD+C: Healthcare</t>
  </si>
  <si>
    <t>LEED v4 ID+C: Commercial Interiors</t>
  </si>
  <si>
    <t>LEED v4 ID+C: Retail</t>
  </si>
  <si>
    <t>LEED v4 ID+C: Hospitality</t>
  </si>
  <si>
    <t>Rating system</t>
  </si>
  <si>
    <r>
      <t xml:space="preserve">The project is connected to a district or campus thermal energy system. </t>
    </r>
    <r>
      <rPr>
        <sz val="10"/>
        <color theme="1"/>
        <rFont val="Arial"/>
        <family val="2"/>
      </rPr>
      <t xml:space="preserve">For projects connected to a district or campus thermal energy system where thermal energy is produced for or distributed to multiple buildings, complete the applicable fields below. </t>
    </r>
  </si>
  <si>
    <t>Note: The selections above must match the rating system and unit of measurement chosen during project registration.</t>
  </si>
  <si>
    <t>Climate zone</t>
  </si>
  <si>
    <t>An ID+C rating system has been selected. Provide a detailed narrative reagarding the method for assigning relative contribution of base building HVAC and service water heating systems. Refer to the LEED v4 ID+C Reference Guide for additional information.</t>
  </si>
  <si>
    <t>The BD+C: Data Center rating system has been selected. By default, the full buildout IT loads are used to determine prerequisite and credit compliance. Select "Avg of Full IT Load + Startup IT Load" to the right in order to use the average of the energy modeling results for the full buildout IT loads and the energy modeling results for the startup IT loads to determine prerequisite and credit compliance.</t>
  </si>
  <si>
    <t xml:space="preserve">Table 9.6.1 
LPD </t>
  </si>
  <si>
    <r>
      <t xml:space="preserve">The </t>
    </r>
    <r>
      <rPr>
        <b/>
        <i/>
        <sz val="10"/>
        <rFont val="Arial"/>
        <family val="2"/>
      </rPr>
      <t>baseline</t>
    </r>
    <r>
      <rPr>
        <sz val="10"/>
        <rFont val="Arial"/>
        <family val="2"/>
      </rPr>
      <t xml:space="preserve"> boiler(s) have been modeled as natural draft per G3.1.3.2.</t>
    </r>
  </si>
  <si>
    <r>
      <t xml:space="preserve">The </t>
    </r>
    <r>
      <rPr>
        <b/>
        <i/>
        <sz val="10"/>
        <rFont val="Arial"/>
        <family val="2"/>
      </rPr>
      <t>baseline</t>
    </r>
    <r>
      <rPr>
        <sz val="10"/>
        <rFont val="Arial"/>
        <family val="2"/>
      </rPr>
      <t xml:space="preserve"> hot water design supply temperature has been modeled as 180°F (82°C)with a return temperature of 130°F (54°C) per G3.1.3.3.</t>
    </r>
  </si>
  <si>
    <r>
      <t xml:space="preserve">The </t>
    </r>
    <r>
      <rPr>
        <b/>
        <i/>
        <sz val="10"/>
        <rFont val="Arial"/>
        <family val="2"/>
      </rPr>
      <t>baseline</t>
    </r>
    <r>
      <rPr>
        <sz val="10"/>
        <rFont val="Arial"/>
        <family val="2"/>
      </rPr>
      <t xml:space="preserve"> hot water supply temperature reset schedule has been modeled as 180°F (82°C) at outdoor temperatures 20°F (-7°C) and below, 150°F (66°C) at outdoor temperatures 50°F (10°C) and above, and ramped linearly between 180°F (82°C) and 150°F (66°C) at outdoor temperatures between 20°F (-7°C) and 50°F (10°C) per G3.1.3.4.</t>
    </r>
  </si>
  <si>
    <r>
      <t xml:space="preserve">The </t>
    </r>
    <r>
      <rPr>
        <b/>
        <i/>
        <sz val="10"/>
        <rFont val="Arial"/>
        <family val="2"/>
      </rPr>
      <t>baseline</t>
    </r>
    <r>
      <rPr>
        <sz val="10"/>
        <rFont val="Arial"/>
        <family val="2"/>
      </rPr>
      <t xml:space="preserve"> hot water pump power has been modeled as 19 W/gpm (301 kW/1,000 L/s) per G3.1.3.5.</t>
    </r>
  </si>
  <si>
    <r>
      <t xml:space="preserve">Piping losses have not been modeled in the </t>
    </r>
    <r>
      <rPr>
        <b/>
        <i/>
        <sz val="10"/>
        <rFont val="Arial"/>
        <family val="2"/>
      </rPr>
      <t>baseline</t>
    </r>
    <r>
      <rPr>
        <sz val="10"/>
        <rFont val="Arial"/>
        <family val="2"/>
      </rPr>
      <t xml:space="preserve"> for hot or chilled water per G3.1.3.6.</t>
    </r>
  </si>
  <si>
    <r>
      <t xml:space="preserve">The </t>
    </r>
    <r>
      <rPr>
        <b/>
        <i/>
        <sz val="10"/>
        <rFont val="Arial"/>
        <family val="2"/>
      </rPr>
      <t xml:space="preserve">baseline </t>
    </r>
    <r>
      <rPr>
        <sz val="10"/>
        <rFont val="Arial"/>
        <family val="2"/>
      </rPr>
      <t>chiller(s) quantity and type have been modeled as indicated in Table G3.1.3.7 per G3.1.3.7</t>
    </r>
  </si>
  <si>
    <r>
      <t xml:space="preserve">The </t>
    </r>
    <r>
      <rPr>
        <b/>
        <i/>
        <sz val="10"/>
        <rFont val="Arial"/>
        <family val="2"/>
      </rPr>
      <t>baseline</t>
    </r>
    <r>
      <rPr>
        <sz val="10"/>
        <rFont val="Arial"/>
        <family val="2"/>
      </rPr>
      <t xml:space="preserve"> chilled water design supply temperature has been modeled as 44°F (6.7°C) with a return temperature of 56°F (13°C) per G3.1.3.8.</t>
    </r>
  </si>
  <si>
    <r>
      <t xml:space="preserve">The </t>
    </r>
    <r>
      <rPr>
        <b/>
        <i/>
        <sz val="10"/>
        <rFont val="Arial"/>
        <family val="2"/>
      </rPr>
      <t>baseline</t>
    </r>
    <r>
      <rPr>
        <sz val="10"/>
        <rFont val="Arial"/>
        <family val="2"/>
      </rPr>
      <t xml:space="preserve"> chilled water supply temperature reset schedule has been modeled as 44°F (7°C) at outdoor temperatures 80°F (27°C) and above, 54°F (12°C) at outdoor temperatures 60°F (16°C) and below, and ramped linearly between 44°F (7°C) and 54°F (12°C) at outdoor temperatures between 80°F (27°C) and 60°F (16°C) per G3.1.3.9.</t>
    </r>
  </si>
  <si>
    <r>
      <t xml:space="preserve">The </t>
    </r>
    <r>
      <rPr>
        <b/>
        <i/>
        <sz val="10"/>
        <rFont val="Arial"/>
        <family val="2"/>
      </rPr>
      <t>baseline</t>
    </r>
    <r>
      <rPr>
        <sz val="10"/>
        <rFont val="Arial"/>
        <family val="2"/>
      </rPr>
      <t xml:space="preserve"> chilled water pump power has been modeled as 22 W/gpm (349 kW/1,000 L/s) per G3.1.3.10. Recommended that the pump power be split as one-third (primary) and two-thirds (secondary).</t>
    </r>
  </si>
  <si>
    <r>
      <t xml:space="preserve">The </t>
    </r>
    <r>
      <rPr>
        <b/>
        <i/>
        <sz val="10"/>
        <rFont val="Arial"/>
        <family val="2"/>
      </rPr>
      <t>baseline</t>
    </r>
    <r>
      <rPr>
        <sz val="10"/>
        <rFont val="Arial"/>
        <family val="2"/>
      </rPr>
      <t xml:space="preserve"> cooling tower has been modeled with a two-speed axial fan per G3.1.3.11 with fan power per Table 6.8.1G.</t>
    </r>
  </si>
  <si>
    <r>
      <t xml:space="preserve">The </t>
    </r>
    <r>
      <rPr>
        <b/>
        <i/>
        <sz val="10"/>
        <rFont val="Arial"/>
        <family val="2"/>
      </rPr>
      <t>baseline</t>
    </r>
    <r>
      <rPr>
        <sz val="10"/>
        <rFont val="Arial"/>
        <family val="2"/>
      </rPr>
      <t xml:space="preserve"> condenser water design supply temperature has been modeled as 85°F (29°C) or 10°F (5.6°C) approaching design wet-bulb temperature, whichever is lower, with a design temperature rise of 10°F (5.6°C) per G3.1.3.11.</t>
    </r>
  </si>
  <si>
    <r>
      <t xml:space="preserve">The </t>
    </r>
    <r>
      <rPr>
        <b/>
        <i/>
        <sz val="10"/>
        <rFont val="Arial"/>
        <family val="2"/>
      </rPr>
      <t>baseline</t>
    </r>
    <r>
      <rPr>
        <sz val="10"/>
        <rFont val="Arial"/>
        <family val="2"/>
      </rPr>
      <t xml:space="preserve"> condenser water temperature reset schedule has been modeled to maintain a 70°F (21°C) leaving water temperature where weather permits, floating up to a leaving water temperature at design conditions per G3.1.3.11.</t>
    </r>
  </si>
  <si>
    <r>
      <t xml:space="preserve">The </t>
    </r>
    <r>
      <rPr>
        <b/>
        <i/>
        <sz val="10"/>
        <rFont val="Arial"/>
        <family val="2"/>
      </rPr>
      <t>baseline</t>
    </r>
    <r>
      <rPr>
        <sz val="10"/>
        <rFont val="Arial"/>
        <family val="2"/>
      </rPr>
      <t xml:space="preserve"> condenser water pump power has been modeled as 19 W/gpm (301 kW/1,000 L/s) per G3.1.3.11.</t>
    </r>
  </si>
  <si>
    <r>
      <t xml:space="preserve">All </t>
    </r>
    <r>
      <rPr>
        <b/>
        <i/>
        <sz val="10"/>
        <rFont val="Arial"/>
        <family val="2"/>
      </rPr>
      <t>proposed</t>
    </r>
    <r>
      <rPr>
        <sz val="10"/>
        <rFont val="Arial"/>
        <family val="2"/>
      </rPr>
      <t xml:space="preserve"> HVAC systems and related parameters, such as equipment capacities, efficiencies, airflows, fans, etc. have been modeled as designed and are consistent with supporting documentation.</t>
    </r>
  </si>
  <si>
    <r>
      <t xml:space="preserve">Each </t>
    </r>
    <r>
      <rPr>
        <b/>
        <i/>
        <sz val="10"/>
        <rFont val="Arial"/>
        <family val="2"/>
      </rPr>
      <t>proposed</t>
    </r>
    <r>
      <rPr>
        <sz val="10"/>
        <rFont val="Arial"/>
        <family val="2"/>
      </rPr>
      <t xml:space="preserve"> HVAC thermal zone has been modeled as a separate thermal block except as allowed by Table G3.1#7.</t>
    </r>
  </si>
  <si>
    <r>
      <t xml:space="preserve">All </t>
    </r>
    <r>
      <rPr>
        <b/>
        <i/>
        <sz val="10"/>
        <rFont val="Arial"/>
        <family val="2"/>
      </rPr>
      <t>proposed</t>
    </r>
    <r>
      <rPr>
        <sz val="10"/>
        <rFont val="Arial"/>
        <family val="2"/>
      </rPr>
      <t xml:space="preserve"> HVAC systems serving conditioned spaces have been modeled with heating and cooling as required by Table G3.1#1(b), with heating and/or cooling added as necessary identically to the </t>
    </r>
    <r>
      <rPr>
        <b/>
        <i/>
        <sz val="10"/>
        <rFont val="Arial"/>
        <family val="2"/>
      </rPr>
      <t>baseline</t>
    </r>
    <r>
      <rPr>
        <sz val="10"/>
        <rFont val="Arial"/>
        <family val="2"/>
      </rPr>
      <t xml:space="preserve"> per Table G3.1#10(c&amp;d) except where System types (9) or (10) have been modeled.</t>
    </r>
  </si>
  <si>
    <r>
      <t xml:space="preserve">All </t>
    </r>
    <r>
      <rPr>
        <b/>
        <i/>
        <sz val="10"/>
        <rFont val="Arial"/>
        <family val="2"/>
      </rPr>
      <t>proposed</t>
    </r>
    <r>
      <rPr>
        <sz val="10"/>
        <rFont val="Arial"/>
        <family val="2"/>
      </rPr>
      <t xml:space="preserve"> HVAC systems and related parameters can be modeled directly in the energy simulation program used.</t>
    </r>
  </si>
  <si>
    <r>
      <t xml:space="preserve">All </t>
    </r>
    <r>
      <rPr>
        <b/>
        <i/>
        <sz val="10"/>
        <rFont val="Arial"/>
        <family val="2"/>
      </rPr>
      <t>proposed</t>
    </r>
    <r>
      <rPr>
        <sz val="10"/>
        <rFont val="Arial"/>
        <family val="2"/>
      </rPr>
      <t xml:space="preserve"> fan part-load efficiency curves for variable volume fans have been modeled identically to the </t>
    </r>
    <r>
      <rPr>
        <b/>
        <i/>
        <sz val="10"/>
        <rFont val="Arial"/>
        <family val="2"/>
      </rPr>
      <t>baseline</t>
    </r>
    <r>
      <rPr>
        <sz val="10"/>
        <rFont val="Arial"/>
        <family val="2"/>
      </rPr>
      <t xml:space="preserve"> curves for variable volume fans (if not, provide a description of the fan curves used in the space at the bottom of this table, and confirm that the proposed curves are representative of the actual building design).</t>
    </r>
  </si>
  <si>
    <t>All proposed and baseline HVAC system types must be entered above to generate the correct modeling requirements below. Identify each applicable item (indicated in gray) as "Yes" or "No", and provide a further description for any items marked as "No".</t>
  </si>
  <si>
    <t>Required for Systems 1-6
Required for Systems 1, 3, and 5 if District Heating has been selected on the General Information tab
Not required if District Cooling has been slected</t>
  </si>
  <si>
    <t>Required for Systems 2 and 4
Not required if District Heating and/or Cooling has been selected on the General Information tab</t>
  </si>
  <si>
    <t>Required for Systems 7 and 8
Not required if District Cooling has been selected on the General Information tab</t>
  </si>
  <si>
    <t>Required for Systems 1, 5, and 7
Required for Systems 1-2 and 5-8 if District Cooling has been selected on the General Information tab
Not required if District Heating has been selected</t>
  </si>
  <si>
    <t>Offset 
Energy Type</t>
  </si>
  <si>
    <t>Annual Energy Cost Offset with 
Site-Generated Renewables 
($/year)</t>
  </si>
  <si>
    <t>Percent renewable energy (by cost)</t>
  </si>
  <si>
    <t>The building energy analysis includes exceptional calculation methods. (Optional)</t>
  </si>
  <si>
    <t>Table: Exceptional calculation methods energy summary</t>
  </si>
  <si>
    <t>Exceptional 
Calculation 
Method ID</t>
  </si>
  <si>
    <t>Annual Energy Difference by Energy Type</t>
  </si>
  <si>
    <r>
      <rPr>
        <b/>
        <sz val="10"/>
        <rFont val="Arial"/>
        <family val="2"/>
      </rPr>
      <t>Select one of the following before entering any simulation output data:</t>
    </r>
    <r>
      <rPr>
        <sz val="10"/>
        <rFont val="Arial"/>
        <family val="2"/>
      </rPr>
      <t xml:space="preserve">
</t>
    </r>
    <r>
      <rPr>
        <sz val="9"/>
        <rFont val="Arial"/>
        <family val="2"/>
      </rPr>
      <t>Note: If this is selected after data has been entered in the tables below, the energy types, baseline energy by end use, and baseline cost data will be cleared from these tables.</t>
    </r>
  </si>
  <si>
    <t xml:space="preserve">Total energy consumption by energy type </t>
  </si>
  <si>
    <t xml:space="preserve">Table: Baseline building annual energy cost by energy type </t>
  </si>
  <si>
    <t>Table: Baseline energy summary by end use</t>
  </si>
  <si>
    <t>Baseline annual energy cost</t>
  </si>
  <si>
    <t>Table: Proposed energy summary by end use</t>
  </si>
  <si>
    <t>Units of 
Annual Energy and Peak Demand</t>
  </si>
  <si>
    <t>Energy / Demand Savings 
per End-Use</t>
  </si>
  <si>
    <t>End Use 
Percent Contribution to Total Energy Savings</t>
  </si>
  <si>
    <t>Percent of Total Proposed  
Site Energy Consumption</t>
  </si>
  <si>
    <t>Table: Performance rating energy consumption and cost by fuel type</t>
  </si>
  <si>
    <t>Table: Virtual rate (average energy cost per unit energy)</t>
  </si>
  <si>
    <t>Table: Exceptional calculation methods</t>
  </si>
  <si>
    <t>Baseline Energy Consumption 
with Exceptional Calculation Methods</t>
  </si>
  <si>
    <t>Table: Renewable energy production</t>
  </si>
  <si>
    <t>Table: Total energy usage</t>
  </si>
  <si>
    <t>Subtotals added to baseline</t>
  </si>
  <si>
    <t>Subtotals subtracted from proposed</t>
  </si>
  <si>
    <t>End Use 
Percent 
Contribution to 
Total Cost Savings</t>
  </si>
  <si>
    <t>Issue Applicable to Project</t>
  </si>
  <si>
    <t xml:space="preserve">Summary </t>
  </si>
  <si>
    <t xml:space="preserve">Note: All information in this section is READ-ONLY. To edit, see previous tabs. </t>
  </si>
  <si>
    <t>For projects pursuing EA Credit Optimize Energy Performance</t>
  </si>
  <si>
    <t>Performance Threshold</t>
  </si>
  <si>
    <t>Total energy cost savings (excluding site-generated renewable energy) (%)</t>
  </si>
  <si>
    <t>Total energy cost savings (including site-generated renewable energy) (%)</t>
  </si>
  <si>
    <t>Y</t>
  </si>
  <si>
    <t>Performance Improvement  Threshold</t>
  </si>
  <si>
    <r>
      <rPr>
        <b/>
        <sz val="10"/>
        <rFont val="Arial"/>
        <family val="2"/>
      </rPr>
      <t xml:space="preserve">Upload: Exceptional calculation </t>
    </r>
    <r>
      <rPr>
        <sz val="10"/>
        <rFont val="Arial"/>
        <family val="2"/>
      </rPr>
      <t xml:space="preserve">
Provide a detailed narrative explaining the exceptional calculation method(s) performed, including all end-uses affected by the exceptional calculation method. If more than one exceptional calculation method is used, the exceptional calculation ID in the narrative must match the values listed in the table above.  The exceptional calculation method must include:
•  Step-by-step documentation of the exceptional calculation method(s) performed detailed enough to reproduce the results
•  Copies of all spreadsheets used to perform the calculations, or simulation energy model input and output summaries documenting the calculations performed
•  For methods that significantly impact HVAC or refrigeration energy, the calculations shall be performed on a time step basis consistent with the simulation program used
•  The Performance Rating calculated with and without the exceptional calculation method
•  Documentation of the baseline and proposed assumptions. Documentation of baseline assumptions verify that the efficiency measure is not conventional practice by including, but not limited to:
    ○  a recently published study (published within five years of the project registration date) with researched tabulations or monitored data establishing standard practice for the given application in similar newly constructed facilities
    ○  a new construction utility or government program that incentivizes the measure
    ○  a document showing the systems used to perform the same function in other newly constructed facilities (for example, three similar facilities built within the past five years). These systems would be treated as the baseline system in the analysis, and evidence must be provided to demonstrate how the energy for the baseline and proposed buildings are determined 
    ○  use any of the prescriptive requirements from 90.1-2010 as the baseline requirement without further justification to substantiate conventional practice, but only for the specific component addressed by the prescriptive requirement</t>
    </r>
  </si>
  <si>
    <r>
      <t>Table: Data center PUE</t>
    </r>
    <r>
      <rPr>
        <b/>
        <vertAlign val="subscript"/>
        <sz val="10"/>
        <rFont val="Arial"/>
        <family val="2"/>
      </rPr>
      <t>3</t>
    </r>
    <r>
      <rPr>
        <b/>
        <sz val="10"/>
        <rFont val="Arial"/>
        <family val="2"/>
      </rPr>
      <t xml:space="preserve"> of startup and full buildout IT loads </t>
    </r>
  </si>
  <si>
    <r>
      <rPr>
        <b/>
        <sz val="10"/>
        <rFont val="Arial"/>
        <family val="2"/>
      </rPr>
      <t xml:space="preserve">Data Centers:  </t>
    </r>
    <r>
      <rPr>
        <sz val="10"/>
        <rFont val="Arial"/>
        <family val="2"/>
      </rPr>
      <t xml:space="preserve">If using the Data Center Calculator to document energy improvements in IT loads, the checkbox stating that the building energy analysis includes exceptional calculation methods must be checked.  In the table below, select the checkbox “Apply to Baseline?” for each end-use impacted, and provide:
•  The completed Data Center Calculator (found under the prerequisite's "Resources" tab in the Credit Library), as well as copies of any other spreadsheets used to perform the calculations
•  If energy efficiency credit is applied for any future IT equipment, electrical infrastructure, and/or for future server room cooling equipment that will serve unfinished spaces (meaning that the IT equipment, electrical infrastructure, and/or unfinished space cooling equipment will not be installed during Startup Occupancy), provide a binding Owner commitment letter and (for any tenants) sample lease agreements with binding tenant requirements that confirms that the future installed IT equipment will be at least as efficient as the equipment modeled in the Data Center Calculator. Note that the future equipment may not be modeled as being more efficient than the equipment installed for Startup occupancy.
•  If taking credit for the impact of IT equipment load reductions on HVAC energy consumption, upload the simulation input summary and simulation output reports, and Performance Rating summary with the baseline model revised to include the baseline IT and electrical infrastructure from the Data Center Calculator.
</t>
    </r>
    <r>
      <rPr>
        <b/>
        <sz val="10"/>
        <rFont val="Arial"/>
        <family val="2"/>
      </rPr>
      <t/>
    </r>
  </si>
  <si>
    <r>
      <rPr>
        <b/>
        <sz val="10"/>
        <rFont val="Arial"/>
        <family val="2"/>
      </rPr>
      <t>Retail:</t>
    </r>
    <r>
      <rPr>
        <sz val="10"/>
        <rFont val="Arial"/>
        <family val="2"/>
      </rPr>
      <t xml:space="preserve"> The energy consumption for cooking, refrigeration, and kitchen ventilation fans must be metered and reported separately from other end-uses in the energy model and in the tables below. Energy savings or consumption attributable to unregulated equipment, other than Commercial Kitchen Equipment, Supermarket Refrigeration, Walk-in Coolers and Freezers, or Commercial Kitchen Ventilation listed in Tables 1 – 4 of the LEED v4 BD+C: Retail and ID+C: Retail Rating System Appendix 3 must be claimed via Exceptional Calculation Methodology.</t>
    </r>
  </si>
  <si>
    <r>
      <rPr>
        <b/>
        <sz val="10"/>
        <rFont val="Arial"/>
        <family val="2"/>
      </rPr>
      <t>Retail:</t>
    </r>
    <r>
      <rPr>
        <sz val="10"/>
        <rFont val="Arial"/>
        <family val="2"/>
      </rPr>
      <t xml:space="preserve"> The energy consumption for cooking, refrigeration, and kitchen ventilation fans must be metered and reported separately from other end-uses in the energy model and in the tables below. Energy savings or consumption attributable to unregulated equipment, other than Commercial Kitchen Equipment, Supermarket Refrigeration, Walk-in Coolers and Freezers, or Commercial Kitchen Ventilation listed in Tables 1 – 4 of the LEED v4 BD+C:Retail and ID+C: Retail Rating System Appendix 3 must be claimed via Exceptional Calculation Methodology.</t>
    </r>
  </si>
  <si>
    <r>
      <rPr>
        <b/>
        <sz val="10"/>
        <rFont val="Arial"/>
        <family val="2"/>
      </rPr>
      <t>Startup IT Loads</t>
    </r>
    <r>
      <rPr>
        <sz val="10"/>
        <rFont val="Arial"/>
        <family val="2"/>
      </rPr>
      <t xml:space="preserve">
Building energy consumption with Startup IT loads 
including Data Center Calculator and exceptional calculation measures</t>
    </r>
  </si>
  <si>
    <r>
      <rPr>
        <b/>
        <sz val="10"/>
        <rFont val="Arial"/>
        <family val="2"/>
      </rPr>
      <t>Full Buildout IT Loads</t>
    </r>
    <r>
      <rPr>
        <sz val="10"/>
        <rFont val="Arial"/>
        <family val="2"/>
      </rPr>
      <t xml:space="preserve">
Building energy consumption with Full Buildout IT loads 
including Data Center Calculator and exceptional calculation measures</t>
    </r>
  </si>
  <si>
    <t>ASHRAE 90.1 Addenda used in the energy model(s), if any.  Addenda are not required to be used for the project. However, each addenda must be used in its entirety if applied to the project, and must be consistent across all relevant LEED Credits.</t>
  </si>
  <si>
    <r>
      <rPr>
        <b/>
        <sz val="10"/>
        <rFont val="Arial"/>
        <family val="2"/>
      </rPr>
      <t xml:space="preserve">Compliant energy modeling methodology.   </t>
    </r>
    <r>
      <rPr>
        <sz val="10"/>
        <rFont val="Arial"/>
        <family val="2"/>
      </rPr>
      <t>Energy simulation runs for both the baseline and proposed use the assumptions and modeling methodology described in EITHER ASHRAE 90.1-2010 Appendix G OR the analogous section of the alternative qualifying energy code used.</t>
    </r>
  </si>
  <si>
    <t>Are adjustments being taken for room geometry in the baseline? (Optional)</t>
  </si>
  <si>
    <t>Are adjustments being taken for automatic lighting controls beyond what is required by Section 9.4.1 in the proposed? (Optional)</t>
  </si>
  <si>
    <r>
      <t xml:space="preserve">If attempting to take additional credit/adjustments in the baseline for room geometry and/or in the proposed for automatic lighting controls, further work will be required.  Taking the additional credit is optional.
</t>
    </r>
    <r>
      <rPr>
        <sz val="9"/>
        <color theme="1"/>
        <rFont val="Arial"/>
        <family val="2"/>
      </rPr>
      <t xml:space="preserve">Note: This method employs Addendum cg to 90.1-2010 due to contradictions in the originally published standard. If the project team does not wish to apply the addendum, provide a substantially similar spreadsheet to verify the inputs for the interior lighting power. </t>
    </r>
  </si>
  <si>
    <t>Performance Rating Method Outputs</t>
  </si>
  <si>
    <t>G</t>
  </si>
  <si>
    <t>Average 
Efficiency 
(COP)*</t>
  </si>
  <si>
    <t>Site Energy Use 
(Units shown per energy type)</t>
  </si>
  <si>
    <r>
      <t>Baseline Energy Consumption 
with District Energy Average Efficiencies</t>
    </r>
    <r>
      <rPr>
        <i/>
        <sz val="10"/>
        <rFont val="Arial"/>
        <family val="2"/>
      </rPr>
      <t xml:space="preserve"> 
(if DES Path 3 is used)</t>
    </r>
  </si>
  <si>
    <r>
      <t xml:space="preserve">Proposed Energy Consumption 
with District Energy Average Efficiencies 
</t>
    </r>
    <r>
      <rPr>
        <i/>
        <sz val="10"/>
        <rFont val="Arial"/>
        <family val="2"/>
      </rPr>
      <t>(if DES Path 3 is used)</t>
    </r>
  </si>
  <si>
    <t>Table: Performance rating data center - Startup IT loads</t>
  </si>
  <si>
    <t>Table: Performance rating data center - Full load IT loads (tabulated from spreadsheet data entered above)</t>
  </si>
  <si>
    <t>Table: Performance rating data center - Average between full Load IT loads and startup IT loads</t>
  </si>
  <si>
    <t>Baseline Building Energy Consumption 
with Exceptional Calculation Methods</t>
  </si>
  <si>
    <t>The total exterior lighting power allowance, including the base site allowance, is less than the designed lighting power as reported in the Lighting tab, violating mandatory Section 9.4.3. Verify that the inputs are accurate and modify the exterior lighting design as necessary to show compliance.</t>
  </si>
  <si>
    <t>The total baseline and proposed air flow rates differ by more than 35% (as reported in the Air-Side HVAC sheet), making it unclear whether the baseline fan air flow rate was sized based on a 20 deg. F supply-air-to-room-air temperature difference, as required by G3.1.2.9.1 for each baseline system. Verify that the proposed has been modeled as designed in accordance with Table G3.1.10(b) (proposed) and that the baseline has been correctly sized in accordance with Appendix G requirements.</t>
  </si>
  <si>
    <t>The total baseline and proposed capacities for the cooling and/or heating (as reported in the Air-Side HVAC tab) differ by more than 35%, making it unclear whether the baseline cooling and heating capacities have been met the G3.1.2.2 requirement for oversizing by 15% for cooling and 25% for heating. Verify that the proposed has been modeled as designed in accordance with Table G3.1.10(b) (proposed) and that the baseline has been sized in accordance with Appendix G requirements. Additionally, verify that the baseline capacities were oversized either at the system level or plant level, but not both, and that any other safety factors have been excluded from the baseline.</t>
  </si>
  <si>
    <t>The outdoor airflow rate is higher in the baseline model compared to the proposed (as reported in the Air-Side HVAC tab). Section G3.1.2.6 exception (c) requires that if the proposed design has more outdoor air than required by the rating authority (in this case USGBC/GBCI), then the baseline must be modeled with the amount required per EQ Prerequisite Minimum Indoor Air Quality Performance, and will be less than the rate modeled in the proposed. Ensure that the baseline outdoor airflow rate is consistent with that required by EQ Prerequisite Minimum Indoor Air Quality Performance. If applying G3.1.2.6 exception (b), and using an Ez value of 1.0 for the Baseline Case, upload baseline design ventilation rate procedure calculations as described in Standard 62.1 and as required by ASHRAE 90.1 in order to claim credit for this exception.</t>
  </si>
  <si>
    <t>The baseline vertical glazing area is greater than 40% (as reported in the Shading and Fenestration tab, Shading section), which is inconsistent with the requirement of Table G3.1.5(c) (baseline).  Please correct or provide justification.</t>
  </si>
  <si>
    <t>The baseline and/or proposed interior lighting equivalent full load hours (determined by dividing the total annual lighting consumption by the total lighting power as reported in the Performance Outputs tab) is greater than 4,000 hours/year, which is unexpectedly high. Ensure that the lighting models reflect all mandatory controls from Section 9 and reflect the anticipated schedule of operation for the building.</t>
  </si>
  <si>
    <t>The baseline and/or proposed interior lighting equivalent full load hours (determined by dividing the total annual lighting consumption by the total lighting power as reported in the Performance Outputs tab) differs by more than 10%, which is unexpected.</t>
  </si>
  <si>
    <t>The interior lighting demand (as reported in the Performance Outputs tab for the baseline and/or proposed) exceeds the lighting power as reported in the Lighting sheet (Summary section) by more than 5%. Ensure that the values reflected in the Lighting sheet are accurate and appropriately reflect the modeled interior lighting power density.</t>
  </si>
  <si>
    <t>The Performance Outputs tab shows zero consumption for exterior lighting power in the baseline and/or proposed model.  Confirm that no exterior lighting is included in the building site. Verify that the proposed exterior lighting reflects the actual building design, and the baseline reflects the allowed lighting power from Section 9.4.3. Ensure that no credit is taken in the proposed for lighting reductions on non‐tradable surfaces.  (Note that additional lighting power allowance cannot be claimed in the baseline for surfaces that are not provided with lighting in the actual design, and that lighting fixtures cannot be double counted for different exterior surfaces).</t>
  </si>
  <si>
    <t>The baseline and/or proposed exterior lighting equivalent full load hours (determined by dividing the total annual lighting consumption by the total lighting power as reported in the Performance Outputs tab) is greater than 5,110 hours/year (approximately 14 hours per day) or less than 3,650 hours/year (approximately 10 hours per day). Ensure that the lighting models reflect all mandatory controls from Section 9.4.1.7.</t>
  </si>
  <si>
    <t>The baseline and/or proposed exterior lighting equivalent full load hours (determined by dividing the total annual lighting consumption by the total lighting power as reported in the Performance Outputs tab) differs by more than 5%, which is unexpected. Please correct or provide justification.</t>
  </si>
  <si>
    <t>The baseline and proposed exterior lighting consumption values are within 1% of each other, as reported in the Performance Outputs tab, indicating that the lighting has been modeled nearly identically. Verify that the proposed exterior lighting reflects the actual building design, and the baseline reflects the allowed lighting power from Section 9.4.3. Ensure that no credit is taken in the proposed for lighting reductions on non‐tradable surfaces. (Note that additional lighting power allowance cannot be claimed in the baseline for surfaces that are not provided with lighting in the actual design, and  that lighting fixtures cannot be double counted for different exterior surfaces.)</t>
  </si>
  <si>
    <t>The exterior lighting demand as reported in the Performance Outputs tab for the baseline and/or proposed exceeds the lighting power reported on the Lighting sheet (Summary section) by more than 5%. Ensure that the values reflected in the Lighting sheet are accurate and appropriately reflect the modeled exterior lighting power density.</t>
  </si>
  <si>
    <t>The receptacle equipment consumption for the baseline and/or proposed building (as reported in the Performance Outputs tab) is greater than 40% (less than 10%) of the total building site energy usage, which is unexpectedly high (low). This check was made using the Performance rating energy consumption and cost by fuel type table (i.e. before adjustments were made for renewable energy production or an exceptional calculation method). Verify that the receptacle equipment has been modeled as accurately as possible.</t>
  </si>
  <si>
    <t>One (or more) of the unregulated end uses differs by more than 3% between the baseline and proposed as reported in the Performance Outputs tab. If savings are being attempted for an unregulated end use, the Exceptional Calculation Method must be followed.</t>
  </si>
  <si>
    <t>The service water heating consumption for the baseline and/or proposed building constitutes more than 15% of the total building site energy usage (as reported in the Performance Outputs tab), which is unexpected. This check was made using the Performance Rating - Energy Consumption and Cost by Fuel Type table (i.e. before any adjustments were made for renewable energy production or an exceptional calculation method). Verify that the service water heating has been modeled as designed, in accordance with Table G3.1.11 (b) (proposed) and that the schedule is typical of the building type in accordance with Table G3.1.4 (proposed).</t>
  </si>
  <si>
    <t xml:space="preserve">The baseline and/or proposed fans equivalent full load hours (determined by dividing the total annual fan consumption by the total fan power as reported in the Performance Outputs tab) is greater than 4,000 hours/year, which is unexpectedly high. Ensure that the HVAC system models reflect all mandatory controls from Section 6, and reflect the anticipated schedule of operation for the building. </t>
  </si>
  <si>
    <t xml:space="preserve">The baseline and/or proposed fan equivalent full load hours (determined by dividing the total annual fan consumption by the total fan power as reported in the Performance Outputs tab) differs by more than 25%, which is unexpected. Ensure that the HVAC system models reflect all mandatory controls from Section 6, and reflect the anticipated schedule of operation for the building. </t>
  </si>
  <si>
    <t>The fan demand (as reported in the Performance Outputs tab) for the baseline and/or proposed exceeds the fan power as reported in the Air-Side HVAC tab (total system fan power) by more than 5%. Ensure that the values reflected in the Air-Side HVAC sheet are accurate and appropriately reflect the modeled fans.</t>
  </si>
  <si>
    <t>The fan demand (as reported in the Performance Outputs tab) for the baseline and/or proposed is 60% less than the fan power as reported in the Air-Side HVAC tab, which is unexpected. Ensure that the values reflected in the Air-Side HVAC tab are accurate and appropriately reflect the modeled fans.</t>
  </si>
  <si>
    <t>The equivalent full load hours (determined by dividing the total annual consumption by the total rated capacity/power as reported in the Performance Outputs tab) for the photovoltaic system is greater than 1,500 hours/year, which is unexpectedly high. Provide documentation explaining the calculation method used to estimate the annual energy generated, and indicate all factors influencing the performance, such as derate factor, tilt, orientation, etc.</t>
  </si>
  <si>
    <t>The virtual energy rate for one or more of the energy types varies by more than 10% (as reported in the Performance Outputs tab). Ensure that the energy rates have been determined using either actual rates or state average energy prices published by DOE's Energy Information Administration. Provide information regarding the utility rate structure including all demand and energy charges and the seasonal and time-of-use structure of the utility tariff.</t>
  </si>
  <si>
    <t>The virtual energy rate for the renewable energy varies from the virtual energy rate for the proposed by more than 5% (as reported in the Performance Outputs tab), which is unexpected.  Please correct or provide justification.</t>
  </si>
  <si>
    <t>The proposed virtual energy rate for electricity is less than $0.06 per kWh or greater than $0.25 per kWh (as reported in the Performance Outputs tab), which is unexpected. Please correct or provide justification.</t>
  </si>
  <si>
    <t>The Energy Modeling Output Reporting Method (as reported in the Performance Outputs tab) indicates that the baseline has not been rotated because the building orientation is dictated by site considerations, as allowed by Table G3.1.5 (a) (baseline) Exception 1. Provide a detailed narrative (and additional documentation as necessary) describing why this exception has been applied.</t>
  </si>
  <si>
    <t>Two different types of heating consumption (e.g. electricity and natural gas) are reported in the baseline results in the Performance Outputs tab, which is unexpected. If modeling system type 3, note that there should be no crankcase heating or electric space heaters modeled in the baseline. If modeling system type 1, 5, or 7, note that the hot water boiler must be modeled as a natural draft boiler and there should be no electric space heaters modeled in the baseline. Please note that there are some exceptions (e.g. G3.1.1 (a)) which allow this situation; therefore, please be cautious before changing the model as a result of this comment.</t>
  </si>
  <si>
    <t>The unmet load hours exceed 300 hours for the baseline and/or proposed (as reported in the Performance Outputs tab), which is not in compliance with G3.1.2.3.  Please correct.</t>
  </si>
  <si>
    <r>
      <t xml:space="preserve">Copyright </t>
    </r>
    <r>
      <rPr>
        <sz val="9"/>
        <color theme="0" tint="-0.499984740745262"/>
        <rFont val="Arial"/>
        <family val="2"/>
      </rPr>
      <t>©</t>
    </r>
    <r>
      <rPr>
        <sz val="8"/>
        <color theme="0" tint="-0.499984740745262"/>
        <rFont val="Arial"/>
        <family val="2"/>
      </rPr>
      <t xml:space="preserve"> 2012</t>
    </r>
  </si>
  <si>
    <t>U.S. Green Building Council</t>
  </si>
  <si>
    <t>All Rights Reserved</t>
  </si>
  <si>
    <t>The value for nontradable exterior lighting power (building facades, ATMs and night depositories, entrances and gatehouse inspection stations at guarded facilities, loading areas for law enforcement, fire, ambulance, and other emergency service vehicles, drive-through windows at fast food restaurants, and/or parking near 24-hour retail entrances) is less than the designed lighting power after adding in the unrestricted lighting power allowance as reported in the Lighting sheet, violating mandatory Section 9.4.3. Verify that the inputs are accurate and modify the exterior lighting design as necessary to show compliance.</t>
  </si>
  <si>
    <t>Number of floors</t>
  </si>
  <si>
    <t>Homes</t>
  </si>
  <si>
    <t>Energy model based on</t>
  </si>
  <si>
    <t>Energy modeler</t>
  </si>
  <si>
    <t>LEED project phase completeness</t>
  </si>
  <si>
    <t>90% Construction Documents</t>
  </si>
  <si>
    <t>100% Construction Documents</t>
  </si>
  <si>
    <t>As-built Construction Documents</t>
  </si>
  <si>
    <t>Other - Please Describe</t>
  </si>
  <si>
    <t>Please describe the phase in which the Energy model is based on</t>
  </si>
  <si>
    <t>LEED v4 BD+C: Multifamily Midrise</t>
  </si>
  <si>
    <t>Vertical Fenestration varies by less than 5%</t>
  </si>
  <si>
    <t>Energy code does not require four orientations</t>
  </si>
  <si>
    <t>Building is more than 50% existing based on floor area</t>
  </si>
  <si>
    <t>Baseline Orientation Exemptions</t>
  </si>
  <si>
    <t>Design is dictated by site consideration*</t>
  </si>
  <si>
    <t>Project has residential Dwelling Units?</t>
  </si>
  <si>
    <t>Residential Equipment Calculator</t>
  </si>
  <si>
    <t>Load Soure</t>
  </si>
  <si>
    <t>Building ID</t>
  </si>
  <si>
    <t>Studio</t>
  </si>
  <si>
    <t>1 Bedroom</t>
  </si>
  <si>
    <t>2 Bedrooms</t>
  </si>
  <si>
    <t>3 Bedrooms</t>
  </si>
  <si>
    <t>4 Bedrooms</t>
  </si>
  <si>
    <t>5 Bedrooms</t>
  </si>
  <si>
    <t>6 Bedrooms</t>
  </si>
  <si>
    <t>Total number of units</t>
  </si>
  <si>
    <t>Total number of bedrooms</t>
  </si>
  <si>
    <t>Baseline Residential Usage per person
Excluding Clothes / Dish Washers</t>
  </si>
  <si>
    <t>Low</t>
  </si>
  <si>
    <t>Demographics such as all occupants working, seniors, middle income, and higher population density.</t>
  </si>
  <si>
    <t>Medium</t>
  </si>
  <si>
    <t>Demographics such as mixture of working / non-working occupants, mixture of age groups, medium population densities.</t>
  </si>
  <si>
    <t>High</t>
  </si>
  <si>
    <t>Demographics such high percentages of children, low income, public assistance, or no occupants working.</t>
  </si>
  <si>
    <t>Quantity</t>
  </si>
  <si>
    <t>7 Bedrooms</t>
  </si>
  <si>
    <t>8 Bedrooms</t>
  </si>
  <si>
    <t>Average Number of Bedrooms Per Unit</t>
  </si>
  <si>
    <t>Multifamily Home Details</t>
  </si>
  <si>
    <t xml:space="preserve">Complete the table for each building in the project.  Input the number of units and the average floor area for units with the corresponding bedroom number. </t>
  </si>
  <si>
    <t>Point Adjustment (1 point credit per 4% reduction in floor area versus reference; 1 point deduction per 4% increase in floor area versus reference).</t>
  </si>
  <si>
    <t>IP units</t>
  </si>
  <si>
    <r>
      <rPr>
        <b/>
        <sz val="10"/>
        <color theme="1"/>
        <rFont val="Arial"/>
        <family val="2"/>
      </rPr>
      <t>Instructions:</t>
    </r>
    <r>
      <rPr>
        <sz val="10"/>
        <color indexed="8"/>
        <rFont val="Arial"/>
        <family val="2"/>
      </rPr>
      <t xml:space="preserve"> Complete the Service Water Heaters table for each unique type of system in the project. Use the Add System button for more than one type of system. If the project includes service hot water circulation pumps, complete the Service Hot Water Pumps table. Please refer to the column header notes for information about Appendix G modeling protocol. Complete the Service Hot Water Fixtures table if credit is modeled for low-flow fixtures in the proposed. For any information not applicable to the project, simply enter "N/A".</t>
    </r>
  </si>
  <si>
    <t>* Percentage based on  floor area</t>
  </si>
  <si>
    <t>Total points documented:</t>
  </si>
  <si>
    <t>Energy Star</t>
  </si>
  <si>
    <t>EFLH</t>
  </si>
  <si>
    <t>S_Area</t>
  </si>
  <si>
    <t>1B_Unit</t>
  </si>
  <si>
    <t>1B_Area</t>
  </si>
  <si>
    <t>2B_Unit</t>
  </si>
  <si>
    <t>S_Unit</t>
  </si>
  <si>
    <t>2B_Area</t>
  </si>
  <si>
    <t>3B_Unit</t>
  </si>
  <si>
    <t>3B_Area</t>
  </si>
  <si>
    <t>4B_Unit</t>
  </si>
  <si>
    <t>4B_Area</t>
  </si>
  <si>
    <t>5B_Unit</t>
  </si>
  <si>
    <t>5B_Area</t>
  </si>
  <si>
    <t>6B_Unit</t>
  </si>
  <si>
    <t>6B_Area</t>
  </si>
  <si>
    <t>7B_Unit</t>
  </si>
  <si>
    <t>7B_Area</t>
  </si>
  <si>
    <t>8B_Unit</t>
  </si>
  <si>
    <t>8B_Area</t>
  </si>
  <si>
    <t>Qty</t>
  </si>
  <si>
    <t>Total Number of Bedrroms</t>
  </si>
  <si>
    <t>Total Area of Dwelling Units (square feet)</t>
  </si>
  <si>
    <t>Total Number of Units</t>
  </si>
  <si>
    <t>Homes Dwelling Unit Equipment Calculator</t>
  </si>
  <si>
    <t>Building Unit summary</t>
  </si>
  <si>
    <t>Schedules</t>
  </si>
  <si>
    <t>Note: The EFLH Calculator tab in this spreadsheet may be used as an optional tool for determining Equivalent Full Load hours of operation</t>
  </si>
  <si>
    <t>Areas Served</t>
  </si>
  <si>
    <t>Equivalent Full Load Hours of Operation Per Year (maximum of 8,760). 
Leave blank or enter N/A if not applicable.</t>
  </si>
  <si>
    <t>HVAC:
hours per year fans running continuously</t>
  </si>
  <si>
    <t>Setback Mode Setpoint</t>
  </si>
  <si>
    <t>Receptacle Equipment and Appliances</t>
  </si>
  <si>
    <t>Refriger-ation</t>
  </si>
  <si>
    <t>Server Equip-ment</t>
  </si>
  <si>
    <t>Cooking Equip-ment</t>
  </si>
  <si>
    <t>Elevators / Escalators</t>
  </si>
  <si>
    <t>Other Loads (Indicate Loads)</t>
  </si>
  <si>
    <t>Dwelling Units</t>
  </si>
  <si>
    <t>Main Building Schedules</t>
  </si>
  <si>
    <t>Days per Year</t>
  </si>
  <si>
    <t>Monday</t>
  </si>
  <si>
    <t>Tuesday</t>
  </si>
  <si>
    <t>Wednesday</t>
  </si>
  <si>
    <t>Thursday</t>
  </si>
  <si>
    <t>Friday</t>
  </si>
  <si>
    <t>Saturday</t>
  </si>
  <si>
    <t>Sunday</t>
  </si>
  <si>
    <t>Enter 1 for "On", 0 for "Off.</t>
  </si>
  <si>
    <t>Schedule Name:</t>
  </si>
  <si>
    <t>12-1AM</t>
  </si>
  <si>
    <t>1-2AM</t>
  </si>
  <si>
    <t>2-3AM</t>
  </si>
  <si>
    <t>3-4AM</t>
  </si>
  <si>
    <t>4-5AM</t>
  </si>
  <si>
    <t>5-6AM</t>
  </si>
  <si>
    <t>6-7AM</t>
  </si>
  <si>
    <t>7-8AM</t>
  </si>
  <si>
    <t>8-9 AM</t>
  </si>
  <si>
    <t>9-10AM</t>
  </si>
  <si>
    <t>10-11AM</t>
  </si>
  <si>
    <t>11AM-12PM</t>
  </si>
  <si>
    <t>12-1PM</t>
  </si>
  <si>
    <t>1-2PM</t>
  </si>
  <si>
    <t>2-3PM</t>
  </si>
  <si>
    <t>3-4PM</t>
  </si>
  <si>
    <t>4-5PM</t>
  </si>
  <si>
    <t>5-6PM</t>
  </si>
  <si>
    <t>6-7PM</t>
  </si>
  <si>
    <t>7-8PM</t>
  </si>
  <si>
    <t>8-9PM</t>
  </si>
  <si>
    <t>9-10PM</t>
  </si>
  <si>
    <t>10-11PM</t>
  </si>
  <si>
    <t>11-12PM</t>
  </si>
  <si>
    <t>Hours/day</t>
  </si>
  <si>
    <t>Hours/year</t>
  </si>
  <si>
    <t>Weekday</t>
  </si>
  <si>
    <t>Weekend</t>
  </si>
  <si>
    <t>Holiday</t>
  </si>
  <si>
    <t>Total hours of operation per year</t>
  </si>
  <si>
    <t>Enter a percentage value between 0% and 100%</t>
  </si>
  <si>
    <t>EFLH/day</t>
  </si>
  <si>
    <t>EFLH/year</t>
  </si>
  <si>
    <t>Total Equivalent Full Load Hours of Operation per Year</t>
  </si>
  <si>
    <t>Daily Heating Setpoint</t>
  </si>
  <si>
    <t>Daily Cooling Setpoint</t>
  </si>
  <si>
    <t>Multifamily Dwelling Unit Equipment List</t>
  </si>
  <si>
    <t>Refrigerator</t>
  </si>
  <si>
    <t>Dishwasher</t>
  </si>
  <si>
    <t>Latent Ratio</t>
  </si>
  <si>
    <t>Sensible Ratio</t>
  </si>
  <si>
    <t>Load Source</t>
  </si>
  <si>
    <t>Multifamily Non-Dwelling Unit Plug Loads</t>
  </si>
  <si>
    <t>Corridors</t>
  </si>
  <si>
    <t>Stairs</t>
  </si>
  <si>
    <t>Support areas</t>
  </si>
  <si>
    <t>Offices</t>
  </si>
  <si>
    <t>w/sf</t>
  </si>
  <si>
    <t>kwh/sf</t>
  </si>
  <si>
    <t>Clothes Washer (Commercial)</t>
  </si>
  <si>
    <t>Clothes Washer (In-unit)</t>
  </si>
  <si>
    <t>Cooking (electric stove/range)</t>
  </si>
  <si>
    <t>Cooking (gas stove/range)</t>
  </si>
  <si>
    <t>Clothes Dryer (In-unit electric)</t>
  </si>
  <si>
    <t>Clothes Dryer (Commercial electric)</t>
  </si>
  <si>
    <t>Clothes Dryer (In-unit gas)</t>
  </si>
  <si>
    <t>Clothes Dryer (Commercial gas)</t>
  </si>
  <si>
    <t>Sensible ratio gas</t>
  </si>
  <si>
    <t>Latent Ratio gas</t>
  </si>
  <si>
    <t>Sensible ratio electric</t>
  </si>
  <si>
    <t>Latent Ratio electric</t>
  </si>
  <si>
    <t>Energy Star Eqp?</t>
  </si>
  <si>
    <t>Project has multiple buildings?</t>
  </si>
  <si>
    <t>Multiple Building Energy Model Information</t>
  </si>
  <si>
    <t>Conditioned</t>
  </si>
  <si>
    <t>Percent Construction</t>
  </si>
  <si>
    <t>Renovation/Existing</t>
  </si>
  <si>
    <t>Project Summary</t>
  </si>
  <si>
    <t>Building Massing and Zoning</t>
  </si>
  <si>
    <t>Semi-heated</t>
  </si>
  <si>
    <t>Multiplier</t>
  </si>
  <si>
    <t>Total Buildings</t>
  </si>
  <si>
    <t>Average bedrooms per dwelling unit</t>
  </si>
  <si>
    <t>Electric Loads</t>
  </si>
  <si>
    <t>Elec Nbr Multiplier</t>
  </si>
  <si>
    <t>Gas Nbr Multiplier</t>
  </si>
  <si>
    <t>base Hot Water Load</t>
  </si>
  <si>
    <t>Energy Star Hot Water Load</t>
  </si>
  <si>
    <t>418</t>
  </si>
  <si>
    <t>Natural Gas Loads</t>
  </si>
  <si>
    <t>Blank1</t>
  </si>
  <si>
    <t>Blank2</t>
  </si>
  <si>
    <t>Blank3</t>
  </si>
  <si>
    <t>Proposed Per Equipment</t>
  </si>
  <si>
    <t>Baseline Per Equipment</t>
  </si>
  <si>
    <t>Baseline Total</t>
  </si>
  <si>
    <t>Proposed Total</t>
  </si>
  <si>
    <t>Homes Dwelling Unit Equipment Modeling Summary</t>
  </si>
  <si>
    <t>Equivalent Full Load Hours of Dwelling Unit Miscellaneous Equipment Operation Per Year</t>
  </si>
  <si>
    <t>Electric Miscellaneous Loads in Dwelling Unit (including appliances and equipment listed above)</t>
  </si>
  <si>
    <t>Load_Source</t>
  </si>
  <si>
    <t>Energy_Star</t>
  </si>
  <si>
    <t>Avg_Bedrooms_DU</t>
  </si>
  <si>
    <t>Base_Elec_Consumption</t>
  </si>
  <si>
    <t>Design_Elec_Consumption</t>
  </si>
  <si>
    <t>Elec_Sens_Ratio</t>
  </si>
  <si>
    <t>Elec_Latent_Ratio</t>
  </si>
  <si>
    <t>Base_Ng_Consumption</t>
  </si>
  <si>
    <t>Design_Ng_Consumption</t>
  </si>
  <si>
    <t>NG_Sens_Ratio</t>
  </si>
  <si>
    <t>NG_Latent_Ratio</t>
  </si>
  <si>
    <t>Base_DHW_Equip</t>
  </si>
  <si>
    <t>Design_DHW_Equip</t>
  </si>
  <si>
    <t>Base_DHW_Annual</t>
  </si>
  <si>
    <t>Design_DHW_Annual</t>
  </si>
  <si>
    <t>Total_Area</t>
  </si>
  <si>
    <t>Natural Gas Miscellaneous Loads in Dwelling Unit (including appliances and equipment listed above)</t>
  </si>
  <si>
    <t>Base_Elec_Sens_Ratio</t>
  </si>
  <si>
    <t>Base_Elec_Latent_Ratio</t>
  </si>
  <si>
    <t>Base_EPD_Elecric</t>
  </si>
  <si>
    <t>Prop_EPD_Elecric</t>
  </si>
  <si>
    <t>Prop_Elec_Sens_Ratio</t>
  </si>
  <si>
    <t>Prop_Elec_Latent_Ratio</t>
  </si>
  <si>
    <t>Base_Ng_EPD</t>
  </si>
  <si>
    <t>Base_Ng_Sens_Ratio</t>
  </si>
  <si>
    <t>Base_Ng_Latent_Ratio</t>
  </si>
  <si>
    <t>Prop_Ng_EPD</t>
  </si>
  <si>
    <t>Prop_Ng_Sens_Ratio</t>
  </si>
  <si>
    <t>Prop_Ng_Latent_Ratio</t>
  </si>
  <si>
    <t>Base</t>
  </si>
  <si>
    <t>Base_HW_Loads</t>
  </si>
  <si>
    <t>Proposed_HW_Loads</t>
  </si>
  <si>
    <t>Homes Laundry Room Equipment Modeling Summary</t>
  </si>
  <si>
    <t>Electric Loads in Laundry Room (including appliances and equipment listed above)</t>
  </si>
  <si>
    <t>Natural Gas Loads in Laundry Room (including appliances and equipment listed above)</t>
  </si>
  <si>
    <t>Homes Service Water Heating Load Summary</t>
  </si>
  <si>
    <t>Residential Usage Profile Dependent on Project Demographics</t>
  </si>
  <si>
    <t>Homes Laundry Room Equipment Calculator</t>
  </si>
  <si>
    <t>If the project has one or more laundry rooms serving multiple dwelling units, enter the equipment that is present in the laundry rooms. Leave blank if the project has no laundry rooms.</t>
  </si>
  <si>
    <t>Energy Star Equip-ment?</t>
  </si>
  <si>
    <t>Average Bedrooms per Dwelling Unit</t>
  </si>
  <si>
    <t>Proposed Per Eqiupment</t>
  </si>
  <si>
    <t>Residential Usage Profile</t>
  </si>
  <si>
    <t>DHW Equivalent Full Load Hours of Operation</t>
  </si>
  <si>
    <t>DHW Supply Temp</t>
  </si>
  <si>
    <t>Average Cold Water Temp</t>
  </si>
  <si>
    <t>DHW Temp at Fixture Point of Use</t>
  </si>
  <si>
    <t>Showers</t>
  </si>
  <si>
    <t>Sinks</t>
  </si>
  <si>
    <t>Res_Usage_Profile</t>
  </si>
  <si>
    <t>Shower_Flow_Avg</t>
  </si>
  <si>
    <t>Sink_Flow_Avg</t>
  </si>
  <si>
    <t>DHW_Supply_Temp</t>
  </si>
  <si>
    <t>DHW_Cold_Water_Temp</t>
  </si>
  <si>
    <t>DHW_Fixture_Temp</t>
  </si>
  <si>
    <t>DHW_Base_Fixture_flow</t>
  </si>
  <si>
    <t>DHW_Design_Fixture_flow</t>
  </si>
  <si>
    <t>DHW_Base_Appliance_Flow</t>
  </si>
  <si>
    <t>DHW_Design_Appliance_Flow</t>
  </si>
  <si>
    <t>DHW_Base_Laundry_Flow</t>
  </si>
  <si>
    <t>DHW_Proposed_Laundry_Flow</t>
  </si>
  <si>
    <t>DHW_Base_Total_Flow</t>
  </si>
  <si>
    <t>DHW_Design_Total_Flow</t>
  </si>
  <si>
    <t>DHW_Heater_Base_Flow</t>
  </si>
  <si>
    <t>DHW_Heater_Design_Flow</t>
  </si>
  <si>
    <t>DHW_EFLH</t>
  </si>
  <si>
    <t>DHW_Base_Modeled_Flowrate</t>
  </si>
  <si>
    <t>DHW_Design_Modeled_Flowrate</t>
  </si>
  <si>
    <t>Note:  Flow rates are based on Energy Star Multifamily Simulation Guidance. One person is assumed per bedroom.</t>
  </si>
  <si>
    <t>For each item entered as “No” above, describe the applicable ASHRAE 90.1 Appendix G exception(s) that apply, or the circumstances preventing the building massing modeling parameters from being modeled as required. If the energy simulation software is not capable of modeling the required parameters, describe the adjustments that were made to provide a thermodynamically similar representation or provide a narrative justifying why the predicted energy performance results will not be influenced.</t>
  </si>
  <si>
    <t>Design_LPD</t>
  </si>
  <si>
    <t>Project</t>
  </si>
  <si>
    <t>Primary HVAC System</t>
  </si>
  <si>
    <t>Other HVAC System</t>
  </si>
  <si>
    <t>General HVAC Baseline System Type List</t>
  </si>
  <si>
    <t>Garage Fan Power Calculation</t>
  </si>
  <si>
    <t>Energy Simulation ID</t>
  </si>
  <si>
    <t>Design EFLH</t>
  </si>
  <si>
    <t>Base EFLH</t>
  </si>
  <si>
    <t>Total Design Fan Power (kW)</t>
  </si>
  <si>
    <t>Total Base Fan Power (kW)</t>
  </si>
  <si>
    <t>Energy Model</t>
  </si>
  <si>
    <t>Simulation ID</t>
  </si>
  <si>
    <t>Total Space Area</t>
  </si>
  <si>
    <t xml:space="preserve">     Building average equipment power density
     Space by space equipment power density</t>
  </si>
  <si>
    <t>Enter the appliances and equipment that is present in the residential dwelling units for the project. For clothes washers and dryers, enter the quantity of each unit installed within the project scope of work. For fans, enter the total supply volume for all fans installed for the project.</t>
  </si>
  <si>
    <t>Dwelling Unit Thermostat setpoint schedule</t>
  </si>
  <si>
    <t>Dwelling Unit Lighting Schedule</t>
  </si>
  <si>
    <t>Dwelling Unit Miscellaneous Equipment Schedule</t>
  </si>
  <si>
    <t>Residential Common Area Miscellaneous Equipment Schedule</t>
  </si>
  <si>
    <t>Residential DHW Schedule</t>
  </si>
  <si>
    <t>Below is a subset of sample schedules provided in the ASHRAE 90.1-2010 User's Manual. Refer to the ASHRAE User's Manual Tables G-D through G-M for additional schedules. (Note: Holiday schedules are added, and are assumed to be equal to the Sunday schedules; therefore annual equivalent full load hours will differ slightly from those reported in the default ASHRAE schedules).</t>
  </si>
  <si>
    <t>Office Occupancy</t>
  </si>
  <si>
    <t>Office HVAC System - ON/OFF Schedule</t>
  </si>
  <si>
    <t>Office Occupancy Schedule</t>
  </si>
  <si>
    <t>Office Lighting Schedule</t>
  </si>
  <si>
    <t>Office Receptacle Schedule</t>
  </si>
  <si>
    <t>Office DHW Schedule</t>
  </si>
  <si>
    <t>Hoilday</t>
  </si>
  <si>
    <t>Office Elevator Schedule</t>
  </si>
  <si>
    <t>School Occupancy</t>
  </si>
  <si>
    <t>School HVAC System - ON/OFF Schedule</t>
  </si>
  <si>
    <t>School Occupancy Schedule</t>
  </si>
  <si>
    <t>School Lighting Schedule</t>
  </si>
  <si>
    <t>School Receptacle Schedule</t>
  </si>
  <si>
    <t>School DHW Schedule</t>
  </si>
  <si>
    <t>School Elevator Schedule</t>
  </si>
  <si>
    <t>Health Occupancy</t>
  </si>
  <si>
    <t>Health HVAC System - ON/OFF Schedule</t>
  </si>
  <si>
    <t>Health Occupancy Schedule</t>
  </si>
  <si>
    <t>Health Lighting Schedule</t>
  </si>
  <si>
    <t>Health Receptacle Schedule</t>
  </si>
  <si>
    <t>Health DHW Schedule</t>
  </si>
  <si>
    <t>Health Elevator Schedule</t>
  </si>
  <si>
    <t>Retail Occupancy</t>
  </si>
  <si>
    <t>Retail HVAC System - ON/OFF Schedule</t>
  </si>
  <si>
    <t>Retail Occupancy Schedule</t>
  </si>
  <si>
    <t>Retail Lighting Schedule</t>
  </si>
  <si>
    <t>Retail Receptacle Schedule</t>
  </si>
  <si>
    <t>Retail DHW Schedule</t>
  </si>
  <si>
    <t>Retail Elevator Schedule</t>
  </si>
  <si>
    <t>Restaurant Occupancy</t>
  </si>
  <si>
    <t>Restaurant HVAC System - ON/OFF Schedule</t>
  </si>
  <si>
    <t>Restaurant Occupancy Schedule</t>
  </si>
  <si>
    <t>Restaurant Lighting Schedule</t>
  </si>
  <si>
    <t>Restaurant Receptacle Schedule</t>
  </si>
  <si>
    <t>Restaurant DHW Schedule</t>
  </si>
  <si>
    <t>Warehouse Occupancy</t>
  </si>
  <si>
    <t>Warehouse HVAC System - ON/OFF Schedule</t>
  </si>
  <si>
    <t>Warehouse Occupancy Schedule</t>
  </si>
  <si>
    <t>Warehouse Lighting Schedule</t>
  </si>
  <si>
    <t>Warehouse Receptacle Schedule</t>
  </si>
  <si>
    <t>Warehouse DHW Schedule</t>
  </si>
  <si>
    <t>Warehouse Elevator Schedule</t>
  </si>
  <si>
    <t>Assembly Occupancy</t>
  </si>
  <si>
    <t>Assembly HVAC System - ON/OFF Schedule</t>
  </si>
  <si>
    <t>Assembly Occupancy Schedule</t>
  </si>
  <si>
    <t>Assembly Lighting Schedule</t>
  </si>
  <si>
    <t>Assembly Receptacle Schedule</t>
  </si>
  <si>
    <t>Assembly DHW Schedule</t>
  </si>
  <si>
    <t>Modeled_Input_Param</t>
  </si>
  <si>
    <t>Fixture_Type</t>
  </si>
  <si>
    <t>Fixture_Temp</t>
  </si>
  <si>
    <t>Percent_HW</t>
  </si>
  <si>
    <t>Base_Fixture_Flow</t>
  </si>
  <si>
    <t>Base_Total_Annual_Fixture_Consumption</t>
  </si>
  <si>
    <t>Base_Annual_HW_Fixture_Consumption</t>
  </si>
  <si>
    <t>Design_Fixture_Flow</t>
  </si>
  <si>
    <t>Design_Total_Annual_Fixture_Consumption</t>
  </si>
  <si>
    <t>Design_Annual_HW_Fixture_Consumption</t>
  </si>
  <si>
    <t>Base_Fixture_HW_Use</t>
  </si>
  <si>
    <t>Base_DHW_Heater_Use</t>
  </si>
  <si>
    <t>Base_Modeled_DHW_Flow</t>
  </si>
  <si>
    <t>Design_Fixture_HW_Use</t>
  </si>
  <si>
    <t>Design_DHW_Heater_Use</t>
  </si>
  <si>
    <t>Design_Modeled_DHW_Flow</t>
  </si>
  <si>
    <t>Average LPD</t>
  </si>
  <si>
    <t>Base_LPD</t>
  </si>
  <si>
    <t>Base_Power</t>
  </si>
  <si>
    <t>Design_Power</t>
  </si>
  <si>
    <t>Total Power</t>
  </si>
  <si>
    <t>LPD</t>
  </si>
  <si>
    <t>Power</t>
  </si>
  <si>
    <t>LEED v4: Neighborhood Development</t>
  </si>
  <si>
    <t>Residual Project</t>
  </si>
  <si>
    <t>ND</t>
  </si>
  <si>
    <t>Space_Type</t>
  </si>
  <si>
    <t>Space_Type_Area</t>
  </si>
  <si>
    <t>Base_Max_W/SF</t>
  </si>
  <si>
    <t>Luminare_Height</t>
  </si>
  <si>
    <t>Work_Plane</t>
  </si>
  <si>
    <t>Room_Perimeter_Length</t>
  </si>
  <si>
    <t>RCR</t>
  </si>
  <si>
    <t>Baseline_LPD</t>
  </si>
  <si>
    <t>Lighting_Controls</t>
  </si>
  <si>
    <t>Power_Under_Control</t>
  </si>
  <si>
    <t>Adj</t>
  </si>
  <si>
    <t>Same as Design</t>
  </si>
  <si>
    <t>Helpful Notes:</t>
  </si>
  <si>
    <t xml:space="preserve">• Describe the Baseline roof construction (for example: R-20 (R-2.6) continuous insulation entirely above metal deck).
• New roofs: insulation entirely above deck with U-factor from appropriate Table 5.5 per Table G3.1#5(b). 
• Existing roofs: existing conditions per Table G3.1#5(f).
</t>
  </si>
  <si>
    <t xml:space="preserve">• Describe the Proposed roof construction and Appendix A Table if referenced (for example: R-30 (R-5.3) continuous insulation entirely above metal deck per Table A2.2).  
• Proposed construction assembly U-factor should be as-designed and consistent with Appendix A of ASHRAE 90.1.  </t>
  </si>
  <si>
    <t>• In accordance with Section 5.5.3.1.1(a) or 0.3/0.9 per Table G3.1#5(c).
• Verify Baseline requirements for climate zones 1 through 3.</t>
  </si>
  <si>
    <t>• Describe the Baseline above-grade exterior wall construction (for example: steel-framed with R-13.0 (R-2.3) cavity insulation and R-7.5 (R-1.3)continuous insulation).
• New above-grade walls: steel-framed with U-factor from appropriate Table 5.5 per Table G3.1#5(b).
• Existing above-grade walls: existing conditions per Table G3.1#5(f).</t>
  </si>
  <si>
    <t xml:space="preserve">• Describe the Proposed above-grade exterior wall construction and Appendix A Table referenced (for example: 6" (150mm) steel frames spaced 24" (610mm) on center with R-21 cavity insulation and R-10 (R3.7)continuous insulation per Table A3.3). 
• Proposed construction assembly U-factor should be as-designed and consistent with Appendix A of ASHRAE 90.1.  </t>
  </si>
  <si>
    <t>• Describe the Baseline below-grade exterior wall construction (for example: 8" (200mm) medium-weight concrete block with solid grouted cores and R-7.5 (R-1.3)continuous insulation).
• New below-grade walls: 8" medium weight concrete block with solid grouted cores as defined in A4.1 with C-factor from appropriate Table 5.5 per Table G3.1#5(b). 
• Existing below-grade walls: existing conditions per Table G3.1#5(f).</t>
  </si>
  <si>
    <t xml:space="preserve">• Describe the Baseline below-grade exterior wall construction and Appendix A Table referenced (for example: 8" (200mm) medium-weight concrete b-lock with solid grouted cores and R-10 (R3.7) continuous insulation per Table A4.2).  
• Proposed construction assembly U-factor should be as-designed and consistent with Appendix A of ASHRAE 90.1.
</t>
  </si>
  <si>
    <t xml:space="preserve">• Describe the Baseline floor construction (for example: steel-joist with R-30 (R-5.3) batt insulation between the floor joists)
•  New floors: steel-joist with U-factor from appropriate Table 5.5 per Table G3.1#5(b). 
•  Existing floors: existing conditions per Table G3.1#5(f).
•  For floor assemblies above unconditioned or semiheated space, select the space conditioning category as semiheated per 90.1-2010 User's Manual, Section 5.1.2-Space Conditioning Categories (Figure 5-B)
</t>
  </si>
  <si>
    <t xml:space="preserve">• Describe the Proposed floor construction and Appendix A Table referenced (for example: steel-joist with R-20 (R-2.6) spray-on insulation on underside of floor and joists per Table A5.3).  
• Proposed construction assembly U-factor should be as-designed and consistent with Appendix A of ASHRAE 90.1.
</t>
  </si>
  <si>
    <t>• Describe the Baseline slab-on-grade floor construction (for example: unheated 6" (150 mm) concrete slab poured directly on the earth with no insulation).
• New slab-on-grade floors: unheated 6" concrete slab as defined in A4.6 with F-factor from appropriate Table 5.5 per Table G3.1#5(b). 
• Existing slab-on-grade floors: existing conditions per Table G3.1#5(f).</t>
  </si>
  <si>
    <t>• Describe the Proposed slab-on-grade floor construction and Appendix A Table referenced (for example: unheated 6" (150 mm) concrete slab poured directly on the earth with 24" R-10 (610 mm R-3.7) vertical insulation per Table A6.3).  
• Proposed construction assembly U-factor should be as-designed and consistent with Appendix A of ASHRAE 90.1 .</t>
  </si>
  <si>
    <t>• Describe the Baseline opaque door construction (for example: swinging or nonswinging).
• New opaque doors: U-factor from appropriate Table 5.5 per Table G3.1#5(b). 
• Existing opaque doors: existing conditions per Table G3.1#5(f).</t>
  </si>
  <si>
    <t xml:space="preserve">• Describe the Proposed opaque door construction (for example: insulated metal swinging door). 
• Proposed construction assembly U-factor should be as-designed and consistent with Appendix A of ASHRAE 90.1.
</t>
  </si>
  <si>
    <t>•  All vertical glazing flush with exterior wall and no shading projections per Table G3.1#5(c)
•  Manual shading devices such as blinds or shades may be modeled per Table G3.1#5(c)
•  No self-shading per Table G3.1#5
•  Total vertical fenestration areas for new construction equal to Proposed up to 40% maximum, and distributed on each face of the building in the same proportions as the Proposed design per Table G3.1#5(c)</t>
  </si>
  <si>
    <t>•  Manual shading devices such as blinds or shades may be modeled and must be consistent with the baseline per Table G3.1#5(d)
•  Permanent shading devices (such as fins, overhangs, and light shelves) and automatically controlled shades or blinds must be modeled per Table G3.1#5(d)</t>
  </si>
  <si>
    <t xml:space="preserve">• New vertical glazing: 
     • If "New" is chosen, select a description.
     • Assembly U-factor and SHGC from appropriate Table 5.5 per Table G3.1#5(c). 
• Existing vertical glazing: 
     • If "Existing" is chosen, provide a description.
     • Existing conditions per Table G3.1#5(f).
     • Enter the Baseline vertical glazing assembly solar heat gain coefficient (SHGC). Please note that this is not equivalent to the shading coefficient (SC).
</t>
  </si>
  <si>
    <t>• Proposed vertical glazing assembly U-factor should be as-designed and account for the impact of the frames on the whole assembly. Reference Table A8.2 of ASHRAE 90.1 as necessary.
• Describe the Proposed vertical glazing assembly (for example: double glazing, argon filled, low-e coating, aluminum frame with thermal break)
• Enter the Proposed vertical glazing assembly solar heat gain coefficient (SHGC). Please note that this is not equivalent to the shading coefficient (SC).
• Enter the Proposed vertical glazing assembly visual light transmittance (VLT)</t>
  </si>
  <si>
    <t>• New skylights: assembly U-factor and SHGC from appropriate Table 5.5 per Table G3.1#5(d). 
• Existing skylights: existing conditions per Table G3.1#5(f).
     • Enter the Baseline skylight assembly solar heat gain coefficient (SHGC). Please note that this is not equivalent to the shading coefficient (SC).</t>
  </si>
  <si>
    <t>• Proposed skylight assembly U-factor should be as-designed and account for the impact of the frames on the whole assembly. Reference Tables A8.1A and A8.1B of ASHRAE 90.1 as necessary.
• Describe the Proposed skylight assembly (for example: glass with curb, double glazing, argon filled, low-e coating, aluminum frame with thermal break)
• Enter the Proposed skylight assembly solar heat gain coefficient (SHGC). Please note that this is not equivalent to the shading coefficient (SC).
• Enter the Proposed skylight assembly visual light transmittance (VLT)</t>
  </si>
  <si>
    <t xml:space="preserve">•  Lighting power should be modeled as designed (or installed) including all lighting system components (lamps and ballasts)
•   Parking garages are always considered a separate building area type, and if present in the building, must be listed as a separate building area type from the main building area type.
</t>
  </si>
  <si>
    <t xml:space="preserve">•  Values provided for reference.  Enter the modeled lighting power density (excluding any process lighting) for this building type in the Baseline case (if different from the Table 9.5.1 value listed)
</t>
  </si>
  <si>
    <t xml:space="preserve">•  Enter the design (or installed) lighting power density (excluding process lighting) for this building type in the Proposed case without Table G3.2 adjustments.
</t>
  </si>
  <si>
    <t xml:space="preserve">•  List any automatic lighting controls included in the design, beyond what is required to be modeled per Section 9.4.
</t>
  </si>
  <si>
    <t xml:space="preserve">•  Enter the weighted average lighting power density (excluding any process lighting) modeled for this building type in the Proposed case, including any Table G3.2 adjustments for automatic controls.
</t>
  </si>
  <si>
    <t xml:space="preserve">•  List any daylighting controls included in the design, the associated spaces, control type, and how credit was modeled in the Proposed case (example: continuous dimming in all exterior offices modeled directly with setpoint of 50 footcandles (540 lux)).
•  Automatic daylighting controls must either be modeled directly in the simulation, or modeled using schedule adjustments determined by a separate daylighting analysis per Table G3.1#6(f) </t>
  </si>
  <si>
    <t xml:space="preserve">•  Lighting power should be modeled as designed (or installed) including all lighting system components (lamps and ballasts)
•  Enter the design (or installed) lighting power density (excluding any additional lighting lighting power from Section 9.6.2 or any process lighting) for this space type in the Proposed case. This value should not include Table G3.2 adjustments.
•  Credit for automatic lighting controls should be modeled using the appropriate power adjustment from Table G3.2, applied only to the controlled lighting power and not where required by 9.4.1. per Table G3.1#6(g)
•  Automatic daylighting controls must either be modeled directly in the simulation, or modeled using schedule adjustments determined by a separate daylighting analysis per Table G3.1#6(f)  </t>
  </si>
  <si>
    <t>Select the space type from the above table where additional lighting power is installed</t>
  </si>
  <si>
    <t>This should only include the area used for the products being sold  (e.g. in a retail building, the entire floor area would not be expected to be devoted to sales area)</t>
  </si>
  <si>
    <t>The additional lighting schedule has been modeled separately from the general lighting schedule to reflect the differing controls (May be modeled only when installed and automatically controlled, separately from the general lighting, to be turned off during non-business hours.)</t>
  </si>
  <si>
    <t>Describe any process lighting included in the design (example: 4 kW stage lighting and 20 3-Watt exit signs)</t>
  </si>
  <si>
    <t>Indicate the specific exemption from Section 9.2.2.3 that excludes the lighting from the Section 9.5 or Section 9.6 lighting power density requirements [example: Stage lighting - 9.2.2.3(f); Exit signs - 9.2.2.3(k)]</t>
  </si>
  <si>
    <t>Any lighting not regulated by ASHRAE 90.1 is considered process and must be modeled identically in the Proposed and Baseline case unless an Exceptional Calculation is submitted.</t>
  </si>
  <si>
    <t>Fixtures cannot be double-counted for multiple exterior surface types</t>
  </si>
  <si>
    <t>Only enter area or length of illuminated surface in the design</t>
  </si>
  <si>
    <t>Allowance calculated using the maximum lighting power density from Table 9.4.5</t>
  </si>
  <si>
    <t>Lighting power should be modeled as designed (or installed)</t>
  </si>
  <si>
    <t>•  Only enter area or length of illuminated surface in the design
•  Fixtures cannot be double-counted for multiple exterior surface types</t>
  </si>
  <si>
    <t>Total allowance calculated using the lesser of the design lighting power, or the lighting power allowance used, since no credit is permitted for nontradable surfaces.</t>
  </si>
  <si>
    <t>Modify equipment types as necessary.
Note: Complete the Data Center Calculator (found under the "Resources" tab of the Credit Library) in order to claim credit for data center equipment.</t>
  </si>
  <si>
    <t>Provide a description of the equipment, the operating schedule, and any latent and sensible loads modeled in the associated space (example: 15 kW electric range with hood; operates 2 full load hours/day; 6.3 kBtu/h (1.8 kW) sensible heat gain).</t>
  </si>
  <si>
    <t>All process loads must be modeled identically between the Proposed and Baseline case and included in the simulations per Table G3.1#12.
Exception: When the process or receptacle equipment includes components regulated by minimum efficiency requirements in ASHRAE 90.1, these components may be modeled in the Baseline Case using the minimum ASHRAE 90.1 efficiencies, and in the proposed case using actual proposed case efficiencies (e.g. Baseline may be modeled using furnace efficiencies from Table 6.8.1E, boiler efficiencies from Table 6.8.1G, chiller efficiencies from Table 6.8.1C or Section 6.4.1.2, or motor efficiency from Section 10.4).</t>
  </si>
  <si>
    <t>•  Condenser Heat Recovery - Verify that condenser heat recovery has been modeled in the Baseline if required by 6.5.6.2 and describe any condenser heat recovery modeled; otherwise enter "Not required" (example: preheats service hot water to 85°F (29°C))</t>
  </si>
  <si>
    <t>•  New systems: minimum performance requirements from Table 7.8 per Table G3.1#11(b)
•  Existing systems: actual system inputs per Table G3.1#11(a)
•  Model separate service water heating system when design uses combined system with space heating per Table G3.1#11(e)
•  Condenser heat recovery as required by 6.5.6.2 per Table G3.1#11(f)</t>
  </si>
  <si>
    <t>•  Service water heaters modeled as designed (or installed) per Table G3.1#11(a&amp;b)
•  Where no service hot water system exists or has been specified but the building will have service hot water loads, a service hot water system should be modeled identical to the Baseline per Table G3.1#11(c)
•  For buildings with no service hot water loads, no service hot water system should be modeled per Table G3.1#11(d)</t>
  </si>
  <si>
    <t>•  Describe a type of hot water fixture included in the project (example: Lavatory Faucets)</t>
  </si>
  <si>
    <t>•  Percent hot water is the portion of water usage from the fixture that is hot water versus cold water (e.g. - lavatory cold water usage associated with brushing teeth versus hot water usage associated with washing hands)</t>
  </si>
  <si>
    <t>•  Values should be consistent with the design (or installed) fixtures and WE Prerequisite Indoor Water Use Reduction (if applicable)</t>
  </si>
  <si>
    <t>•  Describe each type of HVAC system included in the Proposed building (example: Constant volume single-zone ground source heat pumps with dedicated outdoor air units with energy recovery).</t>
  </si>
  <si>
    <t>•  List the spaces modeled with the primary system type (example: all spaces except kitchen).
•  The HVAC system type and all related parameters, such as equipment capacities and efficiencies, must be modeled as designed (or installed) per Table G3.1#10(a&amp;b)
•  Where no heating system exists or has been designed, the classification is assumed to be electric and the heating system is modeled identically to the Baseline case per Table G3.1#10(c)
•  Where no cooling system exists or has been designed, the cooling system is modeled identically to the Baseline case per Table G3.1#10(d), unless using baseline HVAC system types 9 or 10.</t>
  </si>
  <si>
    <t>•  Refer to Section G3.1.1 and Table G3.1.1A (including footnotes) for Primary HVAC System selection
•  A system with any combination of fossil fuel and electric heat is considered fossil/electric hybrid
•  Systems 1-4: each thermal block shall be modeled with its own system
•  Systems 5-10: each floor shall be modeled with a separate system
•  Additional system types for conditioned spaces only permitted using Exceptions to G3.1.1 (min 20,000 sq ft (1860 sq m) required for exception (a))
•  Systems serving semiconditioned spaces should be modeled identically to the system in the Proposed case (see definition of space in Section 3.2 of ASHRAE 90.1
•  For California Title-24 projects, type in the appropriate system type</t>
  </si>
  <si>
    <t>•  Conditioned: describe the exception from G3.1.1 used to model this additional Baseline system type (example: Exception (b) used since peak loads differ by more than 10 Btu/h-sq ft (0.03 kW/sq m))
•  Semiconditioned: list the total system capacity and floor area it serves</t>
  </si>
  <si>
    <t>•  List the spaces modeled with the primary system type (example: all spaces except kitchen)</t>
  </si>
  <si>
    <t>Thermal Blocks were modeled consistent with Table G3.1#7 and Table G3.1#8 as applicable, and were modeled identically in the Baseline and Proposed design models</t>
  </si>
  <si>
    <t>The baseline is modeled with the same shape and orientation as the proposed.</t>
  </si>
  <si>
    <t>Number of Thermal Blocks</t>
  </si>
  <si>
    <t>Building Area Method
Space by Space Method</t>
  </si>
  <si>
    <t>Table 9.6.2 adjust-ment</t>
  </si>
  <si>
    <t>Direct expanstion cooling equipment with an AHRI cooling capacity greater than or equal to 110,000 Btu/h (32 kW) that serve single zones have been designed with supply fans controlled by two-speed motors or variable speed drives per Section 6.4.3.10.</t>
  </si>
  <si>
    <t>Energy Model ID</t>
  </si>
  <si>
    <r>
      <t xml:space="preserve">Enter each energy source serving the project, the units for the energy consumption and demand, and the associated utility rate name and tariff structure. Default EIA Rates may be used in lieu of local utility rates at the discretion of the energy modeler.  All project energy types and the demand and consumption units must be entered before entering energy simulation output data. Also enter the units used to report energy consumption totals (the sum of all energy types) for site energy consumption and source energy consumption (generally, the IP units are Btu x 10^6, the SI site energy units are kWh, and the SI source energy units are MJ).
</t>
    </r>
    <r>
      <rPr>
        <b/>
        <sz val="12"/>
        <rFont val="Calibri"/>
        <family val="2"/>
      </rPr>
      <t/>
    </r>
  </si>
  <si>
    <t>Unit Conversion Factors</t>
  </si>
  <si>
    <t>Energy_Type</t>
  </si>
  <si>
    <t>Energy_Consumption_Units</t>
  </si>
  <si>
    <t>Demand_Units</t>
  </si>
  <si>
    <t>Utility_Rate_Name</t>
  </si>
  <si>
    <t>Utility_Rate_Structure</t>
  </si>
  <si>
    <t>Site_Energy_Conversion_Factor</t>
  </si>
  <si>
    <t>Source_Energy_Conversion_Factor</t>
  </si>
  <si>
    <t>Renewable_Source</t>
  </si>
  <si>
    <t>Offset_Energy_Type</t>
  </si>
  <si>
    <t>Rated_Capacity</t>
  </si>
  <si>
    <t>Annual_Site_Energy</t>
  </si>
  <si>
    <t>Site_Unit_Conversion</t>
  </si>
  <si>
    <t>Source_Unit_Conversion</t>
  </si>
  <si>
    <t>Default_Cost</t>
  </si>
  <si>
    <t>Renewable Summary</t>
  </si>
  <si>
    <t>Offset Energy Type</t>
  </si>
  <si>
    <t>Units per Energy Type</t>
  </si>
  <si>
    <t>Site_Energy_Ind_Units</t>
  </si>
  <si>
    <t>Site_Ind_Units</t>
  </si>
  <si>
    <t>Site_Energy_Same_Units</t>
  </si>
  <si>
    <t>Source_Energy</t>
  </si>
  <si>
    <t>Annual Energy Cost Difference</t>
  </si>
  <si>
    <t>Site Energy 
(Units per Energy Type)</t>
  </si>
  <si>
    <t>Ex_Calc_ID</t>
  </si>
  <si>
    <t>Add_Baseline_Subtract_Proposed</t>
  </si>
  <si>
    <t>Total Exceptional Calculation Method Adjustment</t>
  </si>
  <si>
    <t>End_Use</t>
  </si>
  <si>
    <t>Unregulated</t>
  </si>
  <si>
    <t>Energy_Units</t>
  </si>
  <si>
    <t>Baseline_0_Rotation</t>
  </si>
  <si>
    <t>Baseline_90_Rotation</t>
  </si>
  <si>
    <t>Baseline_180_Rotation</t>
  </si>
  <si>
    <t>Baseline_270_Rotation</t>
  </si>
  <si>
    <t>Base_Consumption_Demand</t>
  </si>
  <si>
    <t>Baseline_Total</t>
  </si>
  <si>
    <t>Design_Consumption_Demand</t>
  </si>
  <si>
    <t>End_Use_Savings</t>
  </si>
  <si>
    <t>End_Use_Contribution_to_Energy_Savings</t>
  </si>
  <si>
    <t>End_Use_Contribution_to_Cost_Savings</t>
  </si>
  <si>
    <t>Percent_Design_Site_Consumption</t>
  </si>
  <si>
    <t>Site Energy Units</t>
  </si>
  <si>
    <t>Design_Site_Energy</t>
  </si>
  <si>
    <t>Design_Source_Energy</t>
  </si>
  <si>
    <t>Design_Cost</t>
  </si>
  <si>
    <t>Percent_Savings_Site_Energy</t>
  </si>
  <si>
    <t>Percent_Savings_Cost</t>
  </si>
  <si>
    <t>Base_Virtual_Rate</t>
  </si>
  <si>
    <t>Design_Virtual_Rate</t>
  </si>
  <si>
    <t>Percent_Variance</t>
  </si>
  <si>
    <t>Fuel Source for District Cooling and/or Heating</t>
  </si>
  <si>
    <t>Cooling_Avg_Efficiency</t>
  </si>
  <si>
    <t>Cooling_Site_Energy</t>
  </si>
  <si>
    <t>Cooling_Cost</t>
  </si>
  <si>
    <t>Heating_Avg_Effiicency</t>
  </si>
  <si>
    <t>Heating_Site_Energy</t>
  </si>
  <si>
    <t>Heating_Cost</t>
  </si>
  <si>
    <t>Base_Site_Energy</t>
  </si>
  <si>
    <t>Base_Source_Energy</t>
  </si>
  <si>
    <t>Base_Cost</t>
  </si>
  <si>
    <t>Percent_Savings_Site</t>
  </si>
  <si>
    <t>Renewable_Site_Savings</t>
  </si>
  <si>
    <t>Renewable_Source_Savings</t>
  </si>
  <si>
    <t>Renewable_Cost_Savings</t>
  </si>
  <si>
    <t>Startup_Site_Energy</t>
  </si>
  <si>
    <t>Startup_Source_Energy</t>
  </si>
  <si>
    <t>Startup_PUE</t>
  </si>
  <si>
    <t>Buildout_Site_Energy</t>
  </si>
  <si>
    <t>Buildout_Source_Energy</t>
  </si>
  <si>
    <t>Buildoout_PUE</t>
  </si>
  <si>
    <t>Report Exceptional calculation methods in the table below.
Select "Add to Baseline" if the exceptional calculation adjusts the Baseline building energy consumption and cost up, or "Subtract from Proposed" if the exceptional calculation adjusts the Proposed building energy consumption and cost down.
This calculator will automatically reduce the proposed energy consumption and cost, or increase the baseline energy consumption and cost to accurately reflect the revised results. Therefore, any exceptional calculation methods should NOT be included in the Performance Rating Method Compliance report below.  If any single Exceptional Calculation Method results in energy penalties for a given energy type (i.e. increased proposed case electricity energy usage, or decreased baseline case fossil fuel energy usage), that penalty should be entered as a negative number. If any single Exceptional Calculation Method affects more than one energy type, please add additional rows to capture the method's impact to that energy type. If taking credit for Data Center Equipment or Retail Process Loads, those savings must be recorded here and the supplemental spreadsheets associated with that equipment must be uploaded as part of the submittal documents.
The cost of the Exceptional Calculation Method will be automatically determined using the virtual rate once the output data (consumption and cost) is entered below. The cost may be overridden by the user, however this may generate an issue on the Quality Checks and the user should be prepared to justify the entered cost value.</t>
  </si>
  <si>
    <t>Enter the non-coincident unmet load hours, consistent with the energy simulation output reports.</t>
  </si>
  <si>
    <t>Exceptional 
Calculation 
Number</t>
  </si>
  <si>
    <t>Ex_Calc_Number</t>
  </si>
  <si>
    <t>The vertical glazing areas in the proposed and baseline differ from one another (as reported on the Shading and Fenestration tab, Shading section), which is inconsistent with the requirement of Table G3.1.5(c) (baseline).  Please correct or provide justification.</t>
  </si>
  <si>
    <t>%Difference</t>
  </si>
  <si>
    <t>&gt;40%Error</t>
  </si>
  <si>
    <t>QC_EFLH</t>
  </si>
  <si>
    <t>How are the buildings modeled?</t>
  </si>
  <si>
    <t>•  Fixtures included in the WE Prerequisite Indoor Water Use Reduction calculations: values must be consistent with the WE Prerequisite form
•  Additional fixtures not included in WE Prerequisite Indoor Water Use Reduction: Use Proposed values or provide supporting documentation for Baseline assumption (example: Energy Star documentation of average hot water usage for dishwasher or clothes washer)</t>
  </si>
  <si>
    <t>On-Site Renewable Energy Production</t>
  </si>
  <si>
    <t>The project building uses on-site renewable energy systems. (Optional)</t>
  </si>
  <si>
    <t>Table: On-Site Renewable energy source summary</t>
  </si>
  <si>
    <t>On-Site Renewable Source</t>
  </si>
  <si>
    <t>Renewable energy production should be reported in the table below. Note: This calculator will automatically reduce the proposed energy consumption and cost to accurately reflect the revised results. Therefore, any site-generated renewable energy production should NOT be included in the Performance Rating Method tables below.
Select the site-generated renewable energy source. Enter the rated capacity of the site-generated renewable source including the units (e.g. for photovoltaics 10 kW). Include all relevant capacities (i.e for solar thermal, both the storage tank capacity and the solar thermal panel capacity).
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</si>
  <si>
    <t>LEED Project Name</t>
  </si>
  <si>
    <t>Percent new construction (%)*</t>
  </si>
  <si>
    <t>Percent renovation/existing (%)*</t>
  </si>
  <si>
    <t>Table: Subtotal including DES Path 3 Streamlined calculations</t>
  </si>
  <si>
    <t>Issue Applicable</t>
  </si>
  <si>
    <t>Glazing Differential</t>
  </si>
  <si>
    <t>Baseline Above 40%</t>
  </si>
  <si>
    <t>Baseline Lighting EFLHs</t>
  </si>
  <si>
    <t>Design Lighting EFLHs</t>
  </si>
  <si>
    <t>Base_EFLH</t>
  </si>
  <si>
    <t>Design_EFLH</t>
  </si>
  <si>
    <t>Design Lighting Demand</t>
  </si>
  <si>
    <t>Base Lighting Demand</t>
  </si>
  <si>
    <t>Design Ext EFLH</t>
  </si>
  <si>
    <t>Base Ext Ltg Demand</t>
  </si>
  <si>
    <t>Design Ext Ltg Demand</t>
  </si>
  <si>
    <t>Index</t>
  </si>
  <si>
    <t>Design</t>
  </si>
  <si>
    <t>Inex</t>
  </si>
  <si>
    <t>Allowance</t>
  </si>
  <si>
    <t>Base non-water systems</t>
  </si>
  <si>
    <t>Base water systems</t>
  </si>
  <si>
    <t>Base Fan Power</t>
  </si>
  <si>
    <t>Design Fan Power</t>
  </si>
  <si>
    <t>Base Fan Flow</t>
  </si>
  <si>
    <t>Design Fan Flow</t>
  </si>
  <si>
    <t>Base Fan EFLH</t>
  </si>
  <si>
    <t>Design Fan EFLH</t>
  </si>
  <si>
    <t>Base Fan Demand</t>
  </si>
  <si>
    <t>Design Fan Demand</t>
  </si>
  <si>
    <t>Base OA</t>
  </si>
  <si>
    <t>Design OA</t>
  </si>
  <si>
    <t>PV EFLH</t>
  </si>
  <si>
    <t>Virtual Rate</t>
  </si>
  <si>
    <t>Project Team Respone</t>
  </si>
  <si>
    <t>BExt Ltg Demand</t>
  </si>
  <si>
    <t>DExt Ltg Demand</t>
  </si>
  <si>
    <t>DNT Ext Ltg Max</t>
  </si>
  <si>
    <t>BNT Ext Ltg Max</t>
  </si>
  <si>
    <t>Helpful Notes</t>
  </si>
  <si>
    <t>Enter the modeled cooling capacity for the Baseline HVAC system (or the total cooling capacity for a group of similar systems) (example: 105 kBtu/h (30.7 kW))
Note: Auto-sized with 15% oversizing per G3.1.2.2</t>
  </si>
  <si>
    <t>Enter the cooling capacity size category from the appropriate Table 6.8.1 for the Baseline HVAC system (or  group of similar systems) (example: 65-135 kBtu/h (19-39.5 kW))
Note: 
Systems 1 &amp; 2: Table 6.8.1D
Systems 3, 5, &amp; 6: Table 6.8.1A
System 4: Table 6.8.1B
Systems 7-10: N/A</t>
  </si>
  <si>
    <t>Enter the modeled unitary cooling efficiency for the Baseline HVAC system (or group of similar systems) in units consistent with the appropriate Table 6.8.1 (example: 11.0 EER (3.23 COP))</t>
  </si>
  <si>
    <t>Enter the modeled heating capacity for the Baseline HVAC system (or the total heating capacity for a group of similar systems) in units of kBtu/h (kW) 
Note: Auto-sized with 25% oversizing per G3.1.2.2</t>
  </si>
  <si>
    <t xml:space="preserve">•  System 2: Table 6.8.1D
•  Systems 3 &amp; 9: Table 6.8.1E
•  System 4: Table 6.8.1B
•  Systems 1, 5-8, 10: N/A  </t>
  </si>
  <si>
    <t>List all relevant efficiencies (e.g. 3.2 COP at 47°F db/43°F wb, 2.0 COP at 17°F db/15°F wb outdoor air) (e.g. 3.2 COP at 8.3°C db/6.1°C wb, 2.0 COP at -8.3°C db/-9.4°C wb outdoor air)</t>
  </si>
  <si>
    <t>•  Systems 1-4, 9 &amp; 10: Constant Volume
•  Systems 5-8: Variable Volume</t>
  </si>
  <si>
    <t>•  Systems 1-8: Auto-sized based on 20°F (11.1°C) ΔT
•  Systems 9-10: Auto-sized based on 105°F (40.6°C) SAT</t>
  </si>
  <si>
    <t>•  If DCV modeled in Proposed only: ASHRAE 62.1 minimum ventilation rates reported in EQ Prerequisite Minimum Indoor Air Quality
•  All other cases: identical to Proposed</t>
  </si>
  <si>
    <t xml:space="preserve">If required by Section 6.4.3.9 (spaces &gt;500 sq ft (50 m2) with &gt;40 people/1,000 sq ft (100 m2)) </t>
  </si>
  <si>
    <t>•  Systems 1, 2, 9 &amp; 10: N/A
•  Systems 3-8: as required by G3.1.2.7 &amp; G3.1.2.8 by Climate Zone:
    •  Not Required - 1a, 1b, 2a, 3a, 4a 
    • 75°F - 1b, 2b, 3b, 3c, 4b, 4c, 5b, 5c, 6b, 7b, 8
    • 70°F - 5a, 6a, 7a</t>
  </si>
  <si>
    <t>•  Systems 5-8: Supply air temperature reset of 5°F under minimum cooling load conditions per G3.1.3.12 (e.g. from 55 °F to 60 °F (12.7 °C to 15.6 °C))
•  All other systems: Not required</t>
  </si>
  <si>
    <t>•  Exhaust air energy recovery required for individual systems exceeding Table 6.5.6.1 per G3.1.2.11 unless any exceptions apply
•  50% energy recovery effectiveness
•  Bypass or control to permit economizer</t>
  </si>
  <si>
    <t>If energy recovery is modeled for the Baseline HVAC system, list the recovery effectiveness. If energy recovery is required but not modeled, list the exception from G3.1.2.10 used (example: not modeled per exception b)</t>
  </si>
  <si>
    <t>Report exhaust fans not interlocked with HVAC operation (such as parking garage ventilation fans, or unconditioned electrical room exhaust fans), and exhaust fans not required in the calculations (such as those applying Exception 6.5.3.1.1, or kitchen hoods operating independently of the building HVAC system) in "Process Equipment".
These values are calculated based on system type, any pressure adjustments listed below, the total supply volume, and the ASHRAE 90.1 fan motor efficiency associated with the fan motor power.
Note: The sum of fan power for all supply, return, relief, and exhaust fans cannot exceed G3.1.2.10 system fan power allowance calculated using supply airflow.</t>
  </si>
  <si>
    <t>For each pressure drop adjustment claimed, input the design airflow rate, CFMD, through each applicable device.</t>
  </si>
  <si>
    <t>Adjustment = 0.5 in. w.c. (125 Pa) (2.15  in. w.c. (535 Pa) for laboratory and vivarium systems)</t>
  </si>
  <si>
    <t>Only where modulated to maintain relative negative or positive space pressure (e.g. lab, operating room)</t>
  </si>
  <si>
    <t>Adjustment = Pressure drop of device calculated at fan system design condition</t>
  </si>
  <si>
    <t>Adjustment = 0.5 in. w.c. (125 Pa)</t>
  </si>
  <si>
    <t>Adjustment = 0.9 in. w.c. (225 Pa)</t>
  </si>
  <si>
    <t>Adjustment = Pressure drop calculated at 2× clean filter pressure drop at fan system design condition</t>
  </si>
  <si>
    <t>Adjustment = Clean filter pressure drop at fan system design condition</t>
  </si>
  <si>
    <t>Adjustment = Pressure drop of device at fan system design condition</t>
  </si>
  <si>
    <t>May only be claimed if required in the baseline per Table G3.1.2.9 footnote.
Adjustment =  (2.2 x Energy recovery effectiveness) - 0.5 in. w.c. for each airstream ((550 x Energy recovery effectiveness) - 125 Pa)</t>
  </si>
  <si>
    <t>May only be claimed if required in the baseline per Table G3.1.2.9 footnote.
Adjustment = 0.6 in. w.c. (150 Pa) for each airstream</t>
  </si>
  <si>
    <t>May only be claimed if required in the baseline.
Adjustment = Clean filter pressure drop at fan system design condition</t>
  </si>
  <si>
    <t>Adjustment = 0.15 in. w.c. (38 Pa)</t>
  </si>
  <si>
    <t>Adjustment = 0.35 in. w.c. (85 Pa)</t>
  </si>
  <si>
    <t>Adjustment = 0.25 in. w.c./100 ft of vertical duct exceeding 75 ft (60 Pa/30 m of vertical duct exceeding 25 m)</t>
  </si>
  <si>
    <t>For Systems 9 and 10, if present in the proposed design, increases the baseline fan power allowance by 0.054 Watts/cfm (0.025 Watts/L/s).</t>
  </si>
  <si>
    <t>•  ≤300 tons (≤1055 kW) building peak: 1 water-cooled screw chiller
•  300-600 tons (1055 - 2110 kW) building peak: 2 equally-sized water-cooled  screw chillers
•  ≥600 tons (&gt;2110 kW) building peak: At least 2 water-cooled centrifugal chillers (800 tons max per chiller) 
Note: Overwrite entry if more than 2 water-cooled centrifugal chillers, or N/A if purchased chilled water is modeled.</t>
  </si>
  <si>
    <t>Describe how the purchased chilled water rate was determined. Local purchased energy rates must be used when available; when not available, the rates must account for the total costs associated with maintaining the district equipment, and generating and delivering the energy to the project site.</t>
  </si>
  <si>
    <t>Auto-sized with 15% oversizing (unless oversized at the system coil) per G3.1.2.2</t>
  </si>
  <si>
    <t>Per Table 6.8.1C efficiencies</t>
  </si>
  <si>
    <t>Auto-sized with a capacity ratio of 1.0 based on CHW temperatures</t>
  </si>
  <si>
    <t>Constant Flow - each primary pump interlocked to operate with associated chiller - G3.1.3.10, G3.1.3.11</t>
  </si>
  <si>
    <t>•  &lt;300 tons (1055kW): riding the pump curve
•  ≥300 tons (1055 kW): variable speed</t>
  </si>
  <si>
    <t>1 per G3.1.3.11</t>
  </si>
  <si>
    <t>Minimum 38.2 gpm/hp (3.23 L/s·kW) (maximum 0.0262 hp/gpm or 19.5 W/gpm) (0.301 kW/L/s)  per Table 6.8.1G</t>
  </si>
  <si>
    <t>Two-speed axial fans per G3.1.3.11</t>
  </si>
  <si>
    <t>85°F (29°C) or 10°F (5.6°C) approaching design wet-bulb temperature, whichever is lower per G3.1.3.11</t>
  </si>
  <si>
    <t>10°F (5.6°) per G3.1.3.11</t>
  </si>
  <si>
    <t>Maintain a 70°F (21°C) leaving water temperature where weather permits, floating up to leaving water temperature at design conditions per G3.1.3.11</t>
  </si>
  <si>
    <t>1 per chiller per G3.1.3.11</t>
  </si>
  <si>
    <t>19 W/gpm (310 kW/1000 L/
s) per G3.1.3.11</t>
  </si>
  <si>
    <t>Auto-sized with a capacity ratio of 1.0 based on CW temperatures</t>
  </si>
  <si>
    <t>Riding the pump curve per G3.1.3.11</t>
  </si>
  <si>
    <t>•  ≤15,000 sq ft (1400 m2): 1 natural draft hot water boiler
•  &gt;15,000 sq ft (1400 m2): 2 equally-sized natural draft hot water boilers staged as required by the load</t>
  </si>
  <si>
    <t>Describe how the purchased heating rate was determined. Local purchased energy rates must be used when available; when not available, the rates must account for the total costs associated with maintaining the district equipment, and generating and delivering the energy to the project site.</t>
  </si>
  <si>
    <t>Auto-sized with 25% oversizing (unless oversized at the system coil) per G3.1.2.2</t>
  </si>
  <si>
    <t>Per Table 6.8.1F minimum efficiencies</t>
  </si>
  <si>
    <t>•  180°F (82°C) per G3.1.3.3
•  ASHRAE 90.1 (Path 1) or Full DES (Path 2): Purchased Energy - Baseline supply temperature based on actual HHW/Steam loop conditions in Proposed Case</t>
  </si>
  <si>
    <t>Auto-sized with a capacity ratio of 1.0 based on HHW temperatures</t>
  </si>
  <si>
    <t>•  &lt;120,000 sq ft (11,160 m2): riding the pump curve
•  ≥120,000 sq ft (11,160 m2): variable speed</t>
  </si>
  <si>
    <t>Baseline is primary-only</t>
  </si>
  <si>
    <t>Proposed Case: Describe the geothermal or geoexchange system (e.g. closed loop vertical system, 4 inch (100 mm) diameter drilled 20 feet (6095 mm) apart, 250 feet (76.2 m) deep)</t>
  </si>
  <si>
    <t>Proposed Case: For ground source systems, enter the soil conductivity modeled for the system. This should be based on testing performed on the soil.</t>
  </si>
  <si>
    <t>Proposed Case: Enter the summer design temperature of the soil (for ground source heat pumps), or surface water (for lake, pond, ocean, or other water exchange heat pumps)</t>
  </si>
  <si>
    <t>Proposed Case: Enter the winter design temperature of the soil (for ground source heat pumps), or surface water (for lake, pond, ocean, or other water exchange heat pumps)</t>
  </si>
  <si>
    <t>Proposed Case: Describe how the operating temperature of the geothermal loop will be controlled, and how this was accounted for in the energy model.</t>
  </si>
  <si>
    <t>Proposed Case: Describe how the energy transfer effect from the building to the ground or surface water source has been accounted for in the energy model and the geothermal loop design.</t>
  </si>
  <si>
    <t>Proposed Case: Enter the number of Proposed geothermal loop pumps modeled (example: 1 (additional scheduled pump is stand-by))</t>
  </si>
  <si>
    <t>Proposed Case: Provide a brief description of how the geothermal air-side equipment efficiency curves were modeled, and confirm that they take into account the expected operating temperatures of the geothermal loop.</t>
  </si>
  <si>
    <t>Performace Outputs</t>
  </si>
  <si>
    <t>z</t>
  </si>
  <si>
    <t>Rate_Variance</t>
  </si>
  <si>
    <t>The virtual energy rate for one or more exceptional calculation measures varies from the virtual energy rate for the proposed by more than 10% (as reported in the Performance Outputs tab), which is unexpected.  Please correct or provide justification.</t>
  </si>
  <si>
    <t>The proposed virtual energy rate for natural gas is less than $0.50 per therm or greater than $2.00 per therm (as reported in the Performance Outputs tab), which is unexpected.  Please correct or provide justification.</t>
  </si>
  <si>
    <t>Building ID Lookup</t>
  </si>
  <si>
    <t>No</t>
  </si>
  <si>
    <t>Building Information for Multiple Building Projects</t>
  </si>
  <si>
    <t>Manual fenestration shading devices such as blinds or shades have been modeled or not modeled, the same as in the proposed.</t>
  </si>
  <si>
    <t>Any shading by adjacent structures and terrain or manual shading devices have been modeled or not modeled, the same as in the proposed.</t>
  </si>
  <si>
    <t>Audience/seating  - auditorium</t>
  </si>
  <si>
    <t>Audience/seating  - performing arts theater</t>
  </si>
  <si>
    <t>Audience/seating  - motion picture theater</t>
  </si>
  <si>
    <t>Court/police/penitentiary - courtroom</t>
  </si>
  <si>
    <t>Court/police/penitentiary -  confinement cells</t>
  </si>
  <si>
    <t>Court/police/penitentiary -  judges' chambers</t>
  </si>
  <si>
    <t>Gym/fitness center - fitness area</t>
  </si>
  <si>
    <t>Gymnasium audience seating</t>
  </si>
  <si>
    <t>Penitentiary audience seating</t>
  </si>
  <si>
    <t>Penitentiary classroom</t>
  </si>
  <si>
    <t>Penitentiary dining</t>
  </si>
  <si>
    <t>Hotel dining</t>
  </si>
  <si>
    <t>Hotel guest rooms</t>
  </si>
  <si>
    <t>Hotel lobby</t>
  </si>
  <si>
    <t>Highway lodging dining</t>
  </si>
  <si>
    <t>Highway lodging guest rooms</t>
  </si>
  <si>
    <t xml:space="preserve">Manufacturing - extra high bay </t>
  </si>
  <si>
    <t xml:space="preserve">Manufacturing - high bay </t>
  </si>
  <si>
    <t xml:space="preserve">Manufacturing - low bay </t>
  </si>
  <si>
    <t>Retail - sales area (see 9.6.3(c) for accent ltg)</t>
  </si>
  <si>
    <t>Dressing/fitting room: performing arts theater</t>
  </si>
  <si>
    <t>(OPTIONAL) Equivalent Full Load Hours Calculator</t>
  </si>
  <si>
    <t>Complete the General Information tab before completing any other tabs. Note that the selections in this tab will determine the selections available within other tabs, including multiple building selections, residential dwelling unit selections, rating system dependent selections, and district energy selections.</t>
  </si>
  <si>
    <t>Default_Description</t>
  </si>
  <si>
    <t>Default_Assembly_U-factor</t>
  </si>
  <si>
    <t>Base_Description</t>
  </si>
  <si>
    <t>Proposed_Description</t>
  </si>
  <si>
    <t>Assembly U-factor</t>
  </si>
  <si>
    <t>Default_Assembly_C-factor</t>
  </si>
  <si>
    <t>Assembly C-factor</t>
  </si>
  <si>
    <t>Default_Assembly_F-factor</t>
  </si>
  <si>
    <t>Assembly F-factor</t>
  </si>
  <si>
    <t>Default_SHGC</t>
  </si>
  <si>
    <t>Base_SHGC</t>
  </si>
  <si>
    <t>Base_Assembly_U-factor</t>
  </si>
  <si>
    <t>Default_Base</t>
  </si>
  <si>
    <t>Default_Proposed</t>
  </si>
  <si>
    <t>Select one of the following before entering any simulation output data:</t>
  </si>
  <si>
    <t>Modeled_Design_LPD</t>
  </si>
  <si>
    <t>The exterior lighting inputs indicate that additional lighting power allowance has been claimed in the baseline for surfaces that are not provided with lighting in the actual design and/or lighting fixtures have been double-counted for different exterior surfaces.  Please review selection in LIghting tab or provide a narrative which explains the reasoning for this choice.</t>
  </si>
  <si>
    <t>Exterior Compliant</t>
  </si>
  <si>
    <t>The rating system requires that a minimum of 2% of the energy savings must come from building power and cooling infrastructure. Provide a narrative describing how this requirement has been met. If necessary, include additional modeling output reports.</t>
  </si>
  <si>
    <t>Count</t>
  </si>
  <si>
    <t>Zones Modeled</t>
  </si>
  <si>
    <t>Inputs for the Shading and Fenestration tab indicate that less than 10 zones were modeled for the building.  This is unusually low for a standard submission.  Revise the quantity of zones input or provide a narrative justifying the number of zones used.</t>
  </si>
  <si>
    <t>LEED Project ID #</t>
  </si>
  <si>
    <t xml:space="preserve"> Total</t>
  </si>
  <si>
    <t>On/Off Schedules</t>
  </si>
  <si>
    <t>Default Schedules</t>
  </si>
  <si>
    <t>ASHRAE 90.1-2010 User'S Manual Schedules</t>
  </si>
  <si>
    <t>Fraction / Percentage Schedules</t>
  </si>
  <si>
    <t>Residential Dwelling Unit Default Schedules</t>
  </si>
  <si>
    <t xml:space="preserve">Holiday </t>
  </si>
  <si>
    <t>Total (must equal 365 days/year)</t>
  </si>
  <si>
    <t>Reason for exemption from modeling the additional building orientations.</t>
  </si>
  <si>
    <t>Baseline Systems Helpful Notes</t>
  </si>
  <si>
    <t>Performance Outputs</t>
  </si>
  <si>
    <t>Base Exterior Lighting Demand</t>
  </si>
  <si>
    <t>Design Exterior Lighting Demand</t>
  </si>
  <si>
    <t>Base Non Tradeable Exterior Lighting Maximum</t>
  </si>
  <si>
    <t>Design Non Tradeable Exterior Lighting Maximum</t>
  </si>
  <si>
    <t>Base Exterior Lighitng Consumption</t>
  </si>
  <si>
    <t>Design Exterior Lighting Consumption</t>
  </si>
  <si>
    <t>Base Exterior EFLH</t>
  </si>
  <si>
    <t>Base Miscellaneous % of Total</t>
  </si>
  <si>
    <t>Design Miscellaneous % of Total</t>
  </si>
  <si>
    <t>Unregulated Load Difference</t>
  </si>
  <si>
    <t>Base Service Hot Waters % of Total</t>
  </si>
  <si>
    <t>Design Service Hot Water % of Total</t>
  </si>
  <si>
    <t>Base Pump Consumption</t>
  </si>
  <si>
    <t>Renewable Rate Difference</t>
  </si>
  <si>
    <t>Proposed Electric Rate</t>
  </si>
  <si>
    <t>Proposed Gas Rate</t>
  </si>
  <si>
    <t>Total Baseline Exterior Lighting Demand</t>
  </si>
  <si>
    <t>Total Design Exterior Lighting Demand</t>
  </si>
  <si>
    <t>Base Cooling Capacity</t>
  </si>
  <si>
    <t>Design Cooling Capacity</t>
  </si>
  <si>
    <t>Base Heating Capacity</t>
  </si>
  <si>
    <t>Design Heating Capacity</t>
  </si>
  <si>
    <t>System 8 (District Cooling) - VAV with PFP Boxes</t>
  </si>
  <si>
    <t>the information technology (IT) load as measured at the point of connection (e.g., power receptacle ) of the IT device to the electrical power system. Server input captures the actual power load of the IT device exclusive of any power distribution losses and non-IT loads (e.g., rack-mounted fans).</t>
  </si>
  <si>
    <t>Server input</t>
  </si>
  <si>
    <t>Any building end use that has either a mandatory or a prescriptive requirement in ANSI/ASHRAE/IES Standard 90.1–2007</t>
  </si>
  <si>
    <t>Regulated load</t>
  </si>
  <si>
    <t>a measure of how efficiently a data center uses its power; specifically, how much power is used by computing equipment rather than for cooling and other overhead</t>
  </si>
  <si>
    <t>Power Utilization Effectiveness (PUE)</t>
  </si>
  <si>
    <t>Dlectricity consumption by information technology and telecom equipment which includes servers, networking, and storage equipment over the course of a year</t>
  </si>
  <si>
    <t>IT annual energy</t>
  </si>
  <si>
    <t>DES Path 3: Streamlined DES Modeling</t>
  </si>
  <si>
    <t>DES Path 2: Full DES Performance Accounting</t>
  </si>
  <si>
    <t>DES Modeling Paths:</t>
  </si>
  <si>
    <t>A heating or cooling system or control associated with the district energy system (DES) but not part of the thermal connection or interface with the DES. Upstream equipment includes the thermal energy conversion plant and all the transmission and distribution equipment associated with transporting the thermal energy to the project building or site.</t>
  </si>
  <si>
    <t>DES: upstream equipment</t>
  </si>
  <si>
    <t>The heating and cooling systems, equipment, and controls located in the project building or on the project site and associated with transporting the thermal energy of the district energy system (DES) into heated and cooled spaces. Downstream equipment includes the thermal connection or interface with the DES, secondary distribution systems in the building, and terminal units.</t>
  </si>
  <si>
    <t>DES: downstream equipment</t>
  </si>
  <si>
    <t>A central energy conversion plant and transmission and distribution system that provides thermal energy to a group of buildings (e.g., a central cooling plant on a university campus). It does not include central energy systems that provide only electricity.</t>
  </si>
  <si>
    <t>district energy system (DES)</t>
  </si>
  <si>
    <t>An integrated system that captures the heat, otherwise unused, generated by a single fuel source in the production of electrical power. Also known as cogeneration. (Adapted from U.S. Environmental Protection Agency)</t>
  </si>
  <si>
    <t>combined heat and power</t>
  </si>
  <si>
    <t>The annual energy cost for a building design, used as a baseline for comparison with above-standard design</t>
  </si>
  <si>
    <t>baseline building performance</t>
  </si>
  <si>
    <t>DEFINITIONS</t>
  </si>
  <si>
    <t>Select how the district energy system has been modeled (see Definitions Tab)</t>
  </si>
  <si>
    <t>DES Path 1: ASHRAE 90.1-2010</t>
  </si>
  <si>
    <t>Purchased heating and cooling (as applicable) are modeled as cost-neutral in the baseline and proposed case. Local rates for purchased heating and cooling are used to establish the purchased heating and cooling costs. The energy model's scope accounts for only downstream equipment, plus purchased heating and cooling. (Refer to ASHRAE 90.1-2010 for details).</t>
  </si>
  <si>
    <r>
      <t xml:space="preserve">A virtual DES-equivalent plant for the Proposed case is constructed and compared to code-compliant on-site equipment for the Baseline Case. The Baseline case system type is modeled consistent with an on-site system in ASHRAE 90.1 Appendix G. Average efficiencies for the proposed case are modeled or monitored. (Refer to the </t>
    </r>
    <r>
      <rPr>
        <i/>
        <sz val="11"/>
        <color theme="1"/>
        <rFont val="Calibri"/>
        <family val="2"/>
        <scheme val="minor"/>
      </rPr>
      <t>LEED v4 Building Design &amp; Constrution Reference Guide</t>
    </r>
    <r>
      <rPr>
        <sz val="11"/>
        <color theme="1"/>
        <rFont val="Calibri"/>
        <family val="2"/>
        <scheme val="minor"/>
      </rPr>
      <t>, Minimum Energy Performance Prerequisite for details.)</t>
    </r>
  </si>
  <si>
    <t>The district thermal energy is metered in both the Baseline and Proposed Case models and reported in this spreadsheet. This spreadsheet assigns default average efficiencies for the baseline case calculated using ASHRAE 90.1-2010 prescriptive requirements for DES equipment. Average efficiencies for the proposed case are modeled or monitored. (Refer to the LEED v4 Building Design &amp; Constrution Reference Guide, Minimum Energy Performance Prerequisite for details.)</t>
  </si>
  <si>
    <t>Complete this calculator to document the LEED Minimum Energy Performance prerequisite when using ASHRAE 90.1-2010 or a LEED approved alternative energy standard).</t>
  </si>
  <si>
    <t>INSTRUCTIONS:</t>
  </si>
  <si>
    <t>Note: This calculator shall be used for any LEED 2009 project using the ASHRAE 90.1-2010 pathway (via LEED
 Interpretation #10421.</t>
  </si>
  <si>
    <t>Complete all sheets. 
Complete the General Info tab before completing any other tabs, since this will show or hide rating system specific information, and other project-specific information. 
If the project has multiple buildings, complete the Multiple Buildings Details tab second.
Then continue by filling out all additional tabs.
These sheets are intended to assist energy modelers in developing the ASHRAE 90.1 Appendix G building energy models. The inputs include specific information about the baseline and proposed ASHRAE 90.1-2010 Appendix G modeling requirements, and provide the energy modeler with quality control checks for the energy modeling inputs and outputs. These sheets provide the greatest value to the project team if they are completed during the design process, with involvement from the building owner, architect(s), and engineer(s). Prior to LEED submission, the energy modeler should confirm that the energy model inputs listed are consistent with those modeled, and provide quality control (QC) to confirm that the outputs are reasonable based on the energy inputs listed.  
Note: If the energy modeler and project team waits to fill out the spreadsheet until near the completion of the building design, the team may discover some ASHRAE 90.1 mandatory requirements that have been overlooked, modeling requirements that have not been addressed, and additional time may be required to revise the model and show compliance.</t>
  </si>
  <si>
    <t xml:space="preserve">Upload the completed spreadsheet to LEED Online in Excel (*.xlsm) format.  Complete any related summary fields in the LEED prerequisite form and provide all additional required uploads along with the results of the calculator
</t>
  </si>
  <si>
    <t xml:space="preserve">Note: For LEED 2009 projects using ASHRAE 90.1-2010 via LEED Interpretation #10421, provide the following sections of the LEED prerequisite form:
1. Target Finder.
2. Check the additional details checkbox: "The project team is using an alternative compliance approach..."
3. For the "Alternative Compliance Path" narrative, reference LEED Interpretation #10421.
4. For the "Alternative Compliance Path" uploads, provide:
    a. The ASHRAE 90.1-2010 Mandatory measures checklist, or a document confirming compliance with all 
         mandatory measures of ASHRAE 90.1-2010 or LEED approved alternative standard.
    b. This completed spreadsheet in Excel (*.xlsm) format.
    c. Upload of Target Finder results.
    d. Upload of the following energy simulation reports for the proposed and 0 degree baseline buildings.
        (1) A sample of the wall, roof, floor, and window assembly inputs showing U-values and window SHGC,
             as well as the infiltration for a few representative spaces
        (2) Sample lighting and plug load inputs for a few representative spaces
        (3) Sample inputs at the thermal zone, system, and plant level (as applicable) for each system type, including
              the cooling, heating, fans, controls, outside air, and service water heating system
        (4) Inputs for the utility tariffs, if there is a variance of at least 10% between the baseline and proposed virtual 
              rates, or if the percentage consumption savings for each non-electric utility varies by more than 5% from the 
              percentage consumption savings for the electric utility.
        (5) Output summary report of energy consumption by end use and fuel source
        (6) Output summary report of total energy consumption and cost by fuel source
</t>
  </si>
  <si>
    <t>Per Section G3.1.2.6, the minimum baseline outdoor air ventilation rates are modeled using ASHRAE 62.1 minimum outside air volume or the minimum outside air volume required by local code. The proposed outdoor air ventilation rates are modeled as designed.  The baseline outside air volume (equal to the sum of the baseline outside air volume per system) does not exceed the proposed outside air volume (equal to the sum of the outside air volume per system) except using schedule variations for spaces where demand control ventilation has been designed where its use is not required, or when providing Baseline and Proposed ASHRAE 62.1 calculations for systems where the Proposed system Ez &gt; 1.0. Note that the Baseline outside air volume and Proposed outside air volume values must be reported consistently with the information provided in IEQ Prerequisite: Minimum Indoor Air Quality, or supplemental documentation must be provided to support the local OA volume requirements or Baseline calculations for systems with Ez &gt; 1.0.</t>
  </si>
  <si>
    <t>•  12°F (6.3°C) per  G3.1.3.8
•  ASHRAE 90.1 (Path 1): CHW ΔT  based on actual chilled water loop conditions in Proposed Case.</t>
  </si>
  <si>
    <t>•  44°F (7°C) at outdoor temps 80°F (27°C) and above, 54°F (12°C) at outdoor temps 60°F (16°C) and below, and ramped linearly between 44°F (7°C) and 54°F (12°C) at outdoor temps between 80°F (27°C) and 60°F (16°C) per G3.1.3.9
•  ASHRAE 90.1 (Path 1): CHW Temp Reset based on actual CHW loop conditions in Proposed Case.</t>
  </si>
  <si>
    <t>•  50°F (28°C) per G3.1.3.3
•  ASHRAE 90.1 (Path 1): Baseline ΔT based on actual HHW/Steam loop conditions in Proposed Case</t>
  </si>
  <si>
    <t>•  180°F (83°C) at outdoor temps 20°F (-7°C) and below, 150°F (66°C) at outdoor temps 50°F (10°C) and above, and ramped linearly between 180°F (83°C) and 150°F (66°C) at outdoor temps between 20°F(-7°C) and 50°F (10°C) per G3.1.3.4
•  ASHRAE 90.1 (Path 1): Baseline Temp Reset based on actual HHW/Steam loop conditions in Proposed Case</t>
  </si>
  <si>
    <t>•  44°F (6.7°C) per G3.1.3.8
•  ASHRAE 90.1 (Path 1): Baseline supply temperature based on actual chilled water loop conditions in Proposed Case.</t>
  </si>
  <si>
    <t>•  Primary/secondary per G3.1.3.10
•  ASHRAE 90.1 (Path 1) or Streamlined DES (Path 3): only building distribution pumps shall be modeled, in which case pump controls shall match the Baseline secondary CHW pump control requirements.</t>
  </si>
  <si>
    <t>•  1 per chiller per G3.1.3.11
•  ASHRAE 90.1 (Path 1) or Streamlined DES (Path 3): no primary  CHW pumps should be modeled (since these are considered part of the upstream source)</t>
  </si>
  <si>
    <t>•  The sum of primary and secondary must be 22 W/gpm (349 kW/1000 L/s) per G3.1.3.10. Recommended that the pump power be split as one-third (primary) and two-thirds (secondary).
•  ASHRAE 90.1 (Path 1) or Streamlined DES (Path 3): Not applicable</t>
  </si>
  <si>
    <t>•  1 per G3.1.3.10
•  ASHRAE 90.1 (Path 1) or Streamlined DES (Path 3): one on-site CHW distribution pump shall only be modeled if CHW distribution pumps are present on site (these would otherwise be considered part of the upstream source) (per G3.1.1.3.4)</t>
  </si>
  <si>
    <t>•  The sum of primary and secondary must be 22 W/gpm (349 kW/1000 L/s) per G3.1.3.10. Recommended that the pump power be split as one-third (primary) and two-thirds (secondary).
•  ASHRAE 90.1 (Path 1): 16 W/gpm (254 kW/1000 L/s) per exception to G3.1.3.10
•  California Title 24 (Path 4): Same W/gpm (kW/1000 L/s) as Proposed or 22 W/gpm (349 kW/1000 L/s)</t>
  </si>
  <si>
    <t>•  Primary-only per G3.1.3.5
•  ASHRAE 90.1 (Path 1) or Streamlined DES (Path 3): Baseline pumps shall only be modeled if distribution pumps are present in the building, in which case buildings shall be modeled as primary-only per G3.1.3.5</t>
  </si>
  <si>
    <t>•  One pump
•  ASHRAE 90.1 (Path 1) or Streamlined DES (Path 3): equal to the number of distribution pumps present in the building</t>
  </si>
  <si>
    <t>•  19 W/gpm (301 kW/1000 L/s) per G3.1.3.5
•  ASHRAE 90.1 (Path 1) or Streamlined DES (Path 3): - 14 W/gpm (222 kW/1000 L/s) per exception to G3.1.3.5
•  ASHRAE 90.1 (Path 1) or Streamlined DES (Path 3) - same as the W/gpm (kW/1000 L/s) for the Proposed Case pumps (or alternatively 14 W/gpm (222 kW/1000 L/s) limit from Addendum ai G3.1.3.5 would be acceptable)</t>
  </si>
  <si>
    <t>Additional Notes (Optional):</t>
  </si>
  <si>
    <t xml:space="preserve">Units should be consistent with the ASHRAE 90.1 minimum efficiency rating requirements for this system type. If modeled units are different than ASHRAE 90.1 units (e.g. EIR rather than SEER), report both units.  
Since the packaged cooling efficiency ratings are calculated at ARI-rated conditions, the fans must also be broken out at ARI-rated conditions (fan power at ARI conditions is typically much lower than fan power at design conditions).  If the simulation software does not perform this step automatically, provide the calculations. For the Baseline Case, the project team may use ASHRAE 90.1 – 2010 Addendum bl or the RMI EMIT translator as optional methods for breaking out the fan power. For the Proposed case, use the method documented in the ASHRAE 90.1 User’s Manual to break out the fan power.
</t>
  </si>
  <si>
    <t>(OPTIONAL) Results from eQUEST Parms.csv File(s)</t>
  </si>
  <si>
    <t>Electric Usage:</t>
  </si>
  <si>
    <t>Non-Coincident Peak Demand:</t>
  </si>
  <si>
    <t>Coincident Peak Demand:</t>
  </si>
  <si>
    <t>Fuel Usage:</t>
  </si>
  <si>
    <t>Source Energy:</t>
  </si>
  <si>
    <t>TDV Energy:</t>
  </si>
  <si>
    <t>Annual Utility Costs:</t>
  </si>
  <si>
    <t>Hours Outside Throttling Range:</t>
  </si>
  <si>
    <t>Run Type</t>
  </si>
  <si>
    <t>Internal Loads</t>
  </si>
  <si>
    <t>Case #s</t>
  </si>
  <si>
    <t>Short Name</t>
  </si>
  <si>
    <t>Carry Fwd</t>
  </si>
  <si>
    <t>Incremental First Cost ($)</t>
  </si>
  <si>
    <t>Incremental Annual Maint. ($)</t>
  </si>
  <si>
    <t>Date &amp; Time of Run</t>
  </si>
  <si>
    <t>File Name</t>
  </si>
  <si>
    <t>Case Description</t>
  </si>
  <si>
    <t>SS-D
Peak Cooling Coil Load
kBtu</t>
  </si>
  <si>
    <t>PS-E
Ambient Lights
kWh</t>
  </si>
  <si>
    <t>PS-E
Task Lights
kWh</t>
  </si>
  <si>
    <t>PS-E
Misc Equip
kWh</t>
  </si>
  <si>
    <t>PS-E
Space Heating
kWh</t>
  </si>
  <si>
    <t>PS-E
Space Cooling
kWh</t>
  </si>
  <si>
    <t>PS-E
Heat Reject
kWh</t>
  </si>
  <si>
    <t>PS-E
Pumps &amp; Aux
kWh</t>
  </si>
  <si>
    <t>PS-E
Ventilation Fans
kWh</t>
  </si>
  <si>
    <t>PS-E
Refrig Display
kWh</t>
  </si>
  <si>
    <t>PS-E
Heat Pump Supplement
kWh</t>
  </si>
  <si>
    <t>PS-E
Domestic Hot Water
kWh</t>
  </si>
  <si>
    <t>PS-E
Exterior Usage
kWh</t>
  </si>
  <si>
    <t>PS-E
Total
kWh</t>
  </si>
  <si>
    <t>PS-E
Ambient Lights
kW</t>
  </si>
  <si>
    <t>PS-E
Task Lights
kW</t>
  </si>
  <si>
    <t>PS-E
Misc Equip
kW</t>
  </si>
  <si>
    <t>PS-E
Space Heating
kW</t>
  </si>
  <si>
    <t>PS-E
Space Cooling
kW</t>
  </si>
  <si>
    <t>PS-E
Heat Reject
kW</t>
  </si>
  <si>
    <t>PS-E
Pumps &amp; Aux
kW</t>
  </si>
  <si>
    <t>PS-E
Ventilation Fans
kW</t>
  </si>
  <si>
    <t>PS-E
Refrig Display
kW</t>
  </si>
  <si>
    <t>PS-E
Heat Pump Supplement
kW</t>
  </si>
  <si>
    <t>PS-E
Domestic Hot Water
kW</t>
  </si>
  <si>
    <t>PS-E
Exterior Usage
kW</t>
  </si>
  <si>
    <t>PS-E
Bldg Total
kW</t>
  </si>
  <si>
    <t>PS-E
Ambient Lights
Therms</t>
  </si>
  <si>
    <t>PS-E
Task Lights
Therms</t>
  </si>
  <si>
    <t>PS-E
Misc Equip
Therms</t>
  </si>
  <si>
    <t>PS-E
Space Heating
Therms</t>
  </si>
  <si>
    <t>PS-E
Space Cooling
Therms</t>
  </si>
  <si>
    <t>PS-E
Heat Reject
Therms</t>
  </si>
  <si>
    <t>PS-E
Pumps &amp; Aux
Therms</t>
  </si>
  <si>
    <t>PS-E
Ventilation Fans
Therms</t>
  </si>
  <si>
    <t>PS-E
Refrig Display
Therms</t>
  </si>
  <si>
    <t>PS-E
Heat Pump Supplement
Therms</t>
  </si>
  <si>
    <t>PS-E
Domestic Hot Water
Therms</t>
  </si>
  <si>
    <t>PS-E
Exterior Usage
Therms</t>
  </si>
  <si>
    <t>PS-E
Total
Therms</t>
  </si>
  <si>
    <t>BEPS
Bldg Energy
Mbtu</t>
  </si>
  <si>
    <t>BEPS
Bldg EUI
kBtu/sf/yr</t>
  </si>
  <si>
    <t>TDV1
Bldg Energy
TDV-Mbtu</t>
  </si>
  <si>
    <t>TDV1
Bldg EUI
TDV-kBtu/sf/yr</t>
  </si>
  <si>
    <t>ES-E
Total Electric
$</t>
  </si>
  <si>
    <t>ES-E
Total Fuel
$</t>
  </si>
  <si>
    <t>ES-E
Electric kWh
$</t>
  </si>
  <si>
    <t>ES-E
Electric kW
$</t>
  </si>
  <si>
    <t>BEPS
Zone Outsd Thrtlng Rng
% hrs</t>
  </si>
  <si>
    <t>BEPS
Plant Ld Not Met
% hrs</t>
  </si>
  <si>
    <t>SS-E
Hours Fan On
# hrs</t>
  </si>
  <si>
    <t xml:space="preserve">
Zone Outsd Thrtlng Rng
# hrs</t>
  </si>
  <si>
    <t>BEPS
Cool Loads Not Met
# hrs</t>
  </si>
  <si>
    <t>BEPS
Heat Loads Not Met
# hrs</t>
  </si>
  <si>
    <t>(OPTIONAL) Results from Trace Energy Cost Budget File(s)</t>
  </si>
  <si>
    <r>
      <rPr>
        <b/>
        <sz val="10"/>
        <color indexed="8"/>
        <rFont val="Arial"/>
        <family val="2"/>
      </rPr>
      <t>Instructions</t>
    </r>
    <r>
      <rPr>
        <sz val="10"/>
        <color indexed="8"/>
        <rFont val="Arial"/>
        <family val="2"/>
      </rPr>
      <t xml:space="preserve">
1) Open Trace Energy Cost Budget (ECB) file(s) that include results for baseline and proposed models
2) Copy end uses and associated affected fuel types from an ECB file (columns A and B from row 4 to the "Total Building Consumption" line item) and paste into columns A and B below.  
3) Copy baseline runs Energy 10˄6 Btu/yr column from the appropriate ECB file and paste into columns C-F below. If the baseline is not being rotated, copy the lone baseline run into column C and leave columsn D-F blank.
4) Copy proposed run Energy 10˄6 Btu/yr column from the approrpriate ECB file and paste into column H below. 
       </t>
    </r>
  </si>
  <si>
    <t>END USES (COL A)</t>
  </si>
  <si>
    <t>AFFECTED FUELS (COL B)</t>
  </si>
  <si>
    <t>Lookup Value</t>
  </si>
  <si>
    <t>Lighting - Conditioned</t>
  </si>
  <si>
    <t>Space Heating</t>
  </si>
  <si>
    <t>Gas</t>
  </si>
  <si>
    <t>Space Cooling</t>
  </si>
  <si>
    <t>Heat Rejection</t>
  </si>
  <si>
    <t>Fans - Conditioned</t>
  </si>
  <si>
    <t>Receptacles - Conditioned</t>
  </si>
  <si>
    <t>Stand-alone Base Utilities</t>
  </si>
  <si>
    <t>Total Building Consumption</t>
  </si>
  <si>
    <t>Average Baseline</t>
  </si>
  <si>
    <t>BASELINE 
(Energy 10˄6 Btu/yr)"</t>
  </si>
  <si>
    <t>BASELINE, 90° Rotation
(Energy 10˄6 Btu/yr)</t>
  </si>
  <si>
    <t>BASELINE, 180° Rotation
(Energy 10˄6 Btu/yr)</t>
  </si>
  <si>
    <t>BASELINE, 270° Rotation
(Energy 10˄6 Btu/yr)</t>
  </si>
  <si>
    <t>AVERAGE BASELINE
(Energy 10˄6 Btu/yr)</t>
  </si>
  <si>
    <t>PROPOSED 
(Energy 10˄6 Btu/yr)</t>
  </si>
  <si>
    <t>Software Links</t>
  </si>
  <si>
    <t>*Resulsts from eQEUST* End Use Column</t>
  </si>
  <si>
    <t>L</t>
  </si>
  <si>
    <t>W</t>
  </si>
  <si>
    <t>AJ</t>
  </si>
  <si>
    <t>BA</t>
  </si>
  <si>
    <t>P</t>
  </si>
  <si>
    <t>AC</t>
  </si>
  <si>
    <t>R</t>
  </si>
  <si>
    <t>AE</t>
  </si>
  <si>
    <t>Q</t>
  </si>
  <si>
    <t>AD</t>
  </si>
  <si>
    <t>S</t>
  </si>
  <si>
    <t>AF</t>
  </si>
  <si>
    <t>BH</t>
  </si>
  <si>
    <t>N</t>
  </si>
  <si>
    <t>AA</t>
  </si>
  <si>
    <t>U</t>
  </si>
  <si>
    <t>AH</t>
  </si>
  <si>
    <t>O</t>
  </si>
  <si>
    <t>AB</t>
  </si>
  <si>
    <t>AZ</t>
  </si>
  <si>
    <t>BD</t>
  </si>
  <si>
    <t>BB</t>
  </si>
  <si>
    <t>Misc Equipment (Gas)</t>
  </si>
  <si>
    <t>Auxilary (Gas)</t>
  </si>
  <si>
    <t>Cooling (Gas)</t>
  </si>
  <si>
    <t>*Resulsts from Trace* End Use Label</t>
  </si>
  <si>
    <t>*Resulsts from Trace* End Use Fuel Label</t>
  </si>
  <si>
    <t>*Resulsts from Trace* End Use Row</t>
  </si>
  <si>
    <t>Software Link References</t>
  </si>
  <si>
    <t>eQUEST Outputs End Use Column</t>
  </si>
  <si>
    <t>TRACE End Use Label</t>
  </si>
  <si>
    <t>TRACE End Use Fuel Label</t>
  </si>
  <si>
    <t>TRACE Output End Use Row</t>
  </si>
  <si>
    <r>
      <t xml:space="preserve">Instructions: 
</t>
    </r>
    <r>
      <rPr>
        <sz val="10"/>
        <rFont val="Arial"/>
        <family val="2"/>
      </rPr>
      <t xml:space="preserve">1) Open Parms.csv file(s) that include results for baseline and proposed models
2) Copy baseline runs from the appropriate Parms.csv file and paste values into rows 8-11 below. For projects that were not rotated, paste the lone baseline run into row 8. 
3) Copy the proposed run from the approrpriate Parms.csv file and paste values into row 13 below. </t>
    </r>
  </si>
  <si>
    <t>Pump consumption is reflected in the baseline outputs (as reported in the Performance Outputs tab), even though the baseline HVAC system type is 2, 3, 4, 6, 9, or 10, none of which include an HVAC circulation loop.</t>
  </si>
  <si>
    <t>Fixture_DT</t>
  </si>
  <si>
    <t>Simulation Results</t>
  </si>
  <si>
    <t>Total Baseline Energy</t>
  </si>
  <si>
    <t>Total Proposed Energy</t>
  </si>
  <si>
    <t>The total energy consumption indicated in the output file tab (i.e. Results from Trace or Results from eQUEST) for the Baseline Case model is inconsistent with the total energy consumption reported in the Performance Output tab.  Please check the output file tabs and ensure that all energy end-use consumptions are consistently being reported in the summary tables of this tab.  Provide a narrative justifying any discrepancies between the two tables.</t>
  </si>
  <si>
    <t>The total energy consumption indicated in the output file tab (i.e. Results from Trace or Results from eQUEST) for the Proposed Case model  is inconsistent with the total energy consumption reported in the Performance Output tab.  Please check the output file tabs and ensure that all energy end-use consumptions are consistently being reported in the summary tables of this tab.  Provide a narrative justifying any discrepancies between the two tables.</t>
  </si>
  <si>
    <r>
      <rPr>
        <b/>
        <sz val="9"/>
        <rFont val="Calibri"/>
        <family val="2"/>
        <scheme val="minor"/>
      </rPr>
      <t xml:space="preserve">  Table Notes:</t>
    </r>
    <r>
      <rPr>
        <sz val="9"/>
        <rFont val="Calibri"/>
        <family val="2"/>
        <scheme val="minor"/>
      </rPr>
      <t xml:space="preserve">
  1) Ensure to include a description of each end-use in Column A and that the total consumption for this output report matches the values provided in the Performance Output tab.
  2) Ensure that each end-use in this tab has a corresponding entry in the software links table of the Performance Output tab
</t>
    </r>
  </si>
  <si>
    <r>
      <rPr>
        <b/>
        <sz val="10"/>
        <rFont val="Arial"/>
        <family val="2"/>
      </rPr>
      <t>Table Notes:</t>
    </r>
    <r>
      <rPr>
        <sz val="10"/>
        <rFont val="Arial"/>
        <family val="2"/>
      </rPr>
      <t xml:space="preserve">
  1) Ensure that each end-use in this tab has a corresponding entry in the software links table of the Performance Output tab
</t>
    </r>
  </si>
  <si>
    <t>Space Heating (Electricity)</t>
  </si>
  <si>
    <t>Auxilary (Natural Gas)</t>
  </si>
  <si>
    <t>Cooling (Natural Gas)</t>
  </si>
  <si>
    <t>*Results from eQUEST* End Use Column</t>
  </si>
  <si>
    <t>*Results from Trace* End Use Label</t>
  </si>
  <si>
    <t>*Results from Trace* End Use Fuel Label</t>
  </si>
  <si>
    <t>*Results from Trace* End Use Row</t>
  </si>
  <si>
    <t>Dining area</t>
  </si>
  <si>
    <t>*Note: Values provided for enclosed motors @ 1800 rpm as specified in ASHRAE 90.1-2010 Appendix G, Section G3.1.2.10 Table 10.8B</t>
  </si>
  <si>
    <t>V06</t>
  </si>
  <si>
    <t>Last Updated 7/21/2021</t>
  </si>
  <si>
    <t>SEA Building Addition</t>
  </si>
  <si>
    <t>Path 1. ASHRAE 90.1-2010 Appendix G</t>
  </si>
  <si>
    <t>TX_Austin_Mueller_Municip.tm3</t>
  </si>
  <si>
    <t>UT admin &amp; office - occupancy</t>
  </si>
  <si>
    <t>N/A (no residential spaces)</t>
  </si>
  <si>
    <t>N/A (no existing space)</t>
  </si>
  <si>
    <t>N/A (no semiheated space)</t>
  </si>
  <si>
    <t>N/A (no opaque assemblies separating conditioned and semiheated/unconditioned space</t>
  </si>
  <si>
    <t>Reflectance 0.55 / Emittance 0.75</t>
  </si>
  <si>
    <t>Other (describe in additional notes below)</t>
  </si>
  <si>
    <t>insulated metal swinging door</t>
  </si>
  <si>
    <t>&gt;100</t>
  </si>
  <si>
    <t>Double glazing, low-e coating aluminum frame with thermal break</t>
  </si>
  <si>
    <t>steel framed with R-7.5 continuous insulation and R-19 cavity insulation</t>
  </si>
  <si>
    <t>R-25 continuous insulation above metal deck</t>
  </si>
  <si>
    <t>Elevators</t>
  </si>
  <si>
    <t>1466 EFLH</t>
  </si>
  <si>
    <t>Same as proposed</t>
  </si>
  <si>
    <t>Electric resistance heating</t>
  </si>
  <si>
    <t>1100 MBH</t>
  </si>
  <si>
    <t>1 gpm</t>
  </si>
  <si>
    <t>Variable speed</t>
  </si>
  <si>
    <t>AHU-4: VAV, multi-zone, chilled water cooling, hot water heating</t>
  </si>
  <si>
    <t>FCUs: CV, single-zone, chilled water cooling</t>
  </si>
  <si>
    <t>All spaces except below</t>
  </si>
  <si>
    <t>Mechanical, electrical, elevator equipment, computational room</t>
  </si>
  <si>
    <t>DHW circulating pumps</t>
  </si>
  <si>
    <t>1547 ELFH</t>
  </si>
  <si>
    <t>AHU-4</t>
  </si>
  <si>
    <t>FCUs</t>
  </si>
  <si>
    <t>Variable Speed</t>
  </si>
  <si>
    <t>Not Required</t>
  </si>
  <si>
    <t>Supply air temperature reset of 5°F under minimum cooling load conditions</t>
  </si>
  <si>
    <t>72 F</t>
  </si>
  <si>
    <t>Supply air termperature reset between 55F and 60F</t>
  </si>
  <si>
    <t>Constant Volume</t>
  </si>
  <si>
    <t>Identically in both buildings based on the requirements of the baseline building</t>
  </si>
  <si>
    <t>Phlebotomy/Freezer Room exhaust fan</t>
  </si>
  <si>
    <t>2725 EFLH</t>
  </si>
  <si>
    <t>n/a (purchased chilled water)</t>
  </si>
  <si>
    <t>Purchased chilled water</t>
  </si>
  <si>
    <t>No primary pumps modeled</t>
  </si>
  <si>
    <t>N/A (purchased heat)</t>
  </si>
  <si>
    <t>Primary only</t>
  </si>
  <si>
    <t>Riding the pump curve</t>
  </si>
  <si>
    <t>0.8875 $/therm, University of Texas campus plant chilled water rate</t>
  </si>
  <si>
    <t>0.914 $/therm, University of Texas campus plant steam rate</t>
  </si>
  <si>
    <t>No reset</t>
  </si>
  <si>
    <t>reset from 180 deg F to 140 deg F as OAT rises from 50 deg F to 80 deg F</t>
  </si>
  <si>
    <t>Purchased Steam</t>
  </si>
  <si>
    <t>Purchased Chilled Water</t>
  </si>
  <si>
    <t>UT District Steam</t>
  </si>
  <si>
    <t>UT Electricity</t>
  </si>
  <si>
    <t>UT District Chilled Water</t>
  </si>
  <si>
    <t>Included in space heating (electric)</t>
  </si>
  <si>
    <t>DHW Circulator</t>
  </si>
  <si>
    <t>Included in receptacle equipment</t>
  </si>
  <si>
    <t>Noble Lilliestierna</t>
  </si>
  <si>
    <t>No PV system modeled.</t>
  </si>
  <si>
    <t>No natural gas modeled.</t>
  </si>
  <si>
    <t>Service water heating is included with space heating (electric).</t>
  </si>
  <si>
    <t>Values are identical in these two tabs.</t>
  </si>
  <si>
    <t>No air-side economizer provided in baseline.</t>
  </si>
  <si>
    <t>Space cooling - AHU is equipped with an OA economizer; envelope improvements; LED lighting reduces heat gain. Interior lighting - all LED lighting. Space heating - envelope improvements.</t>
  </si>
  <si>
    <t>Total cooling capacity varies by 23%; total heating capacity varies by 39% - systems sized according to Appendix G.</t>
  </si>
  <si>
    <t>Total airflow rates differ by 27% - system sized according to Appendix 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</si>
</sst>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6" formatCode="&quot;$&quot;#,##0_);[Red]\(&quot;$&quot;#,##0\)"/>
    <numFmt numFmtId="42" formatCode="_(&quot;$&quot;* #,##0_);_(&quot;$&quot;* \(#,##0\);_(&quot;$&quot;* &quot;-&quot;_);_(@_)"/>
    <numFmt numFmtId="44" formatCode="_(&quot;$&quot;* #,##0.00_);_(&quot;$&quot;* \(#,##0.00\);_(&quot;$&quot;* &quot;-&quot;??_);_(@_)"/>
    <numFmt numFmtId="43" formatCode="_(* #,##0.00_);_(* \(#,##0.00\);_(* &quot;-&quot;??_);_(@_)"/>
    <numFmt numFmtId="164" formatCode="0.0%"/>
    <numFmt numFmtId="165" formatCode="0.0"/>
    <numFmt numFmtId="166" formatCode="#,##0.000"/>
    <numFmt numFmtId="167" formatCode="_(* #,##0.0_);_(* \(#,##0.0\);_(* &quot;-&quot;??_);_(@_)"/>
    <numFmt numFmtId="168" formatCode="#,##0.0"/>
    <numFmt numFmtId="169" formatCode="#,##0.0_);\(#,##0.0\)"/>
    <numFmt numFmtId="170" formatCode="_(&quot;$&quot;* #,##0_);_(&quot;$&quot;* \(#,##0\);_(&quot;$&quot;* &quot;-&quot;??_);_(@_)"/>
    <numFmt numFmtId="171" formatCode="_(* #,##0_);_(* \(#,##0\);_(* &quot;-&quot;??_);_(@_)"/>
    <numFmt numFmtId="172" formatCode="_(&quot;$&quot;* #,##0.0000_);_(&quot;$&quot;* \(#,##0.0000\);_(&quot;$&quot;* &quot;-&quot;??_);_(@_)"/>
    <numFmt numFmtId="173" formatCode="0.0000000"/>
    <numFmt numFmtId="174" formatCode="_(* #,##0.000_);_(* \(#,##0.000\);_(* &quot;-&quot;??_);_(@_)"/>
    <numFmt numFmtId="175" formatCode="&quot;$&quot;#,##0.000"/>
    <numFmt numFmtId="176" formatCode="_(* #,##0.0_);_(* \(#,##0.0\);_(* &quot;&quot;??_);_(@_)"/>
    <numFmt numFmtId="177" formatCode="_(* #,##0.0_);_(* \(#,##0.0\);_(* &quot;-&quot;?_);_(@_)"/>
    <numFmt numFmtId="178" formatCode="_(* #,##0.000000_);_(* \(#,##0.000000\);_(* &quot;-&quot;??_);_(@_)"/>
    <numFmt numFmtId="179" formatCode="0.00000000"/>
    <numFmt numFmtId="180" formatCode="_(* #,##0_);_(* \(#,##0\);_(* &quot;-&quot;???_);_(@_)"/>
    <numFmt numFmtId="181" formatCode="_(* #,##0.0000_);_(* \(#,##0.0000\);_(* &quot;-&quot;??_);_(@_)"/>
    <numFmt numFmtId="182" formatCode="0.000%"/>
    <numFmt numFmtId="183" formatCode="0.000"/>
    <numFmt numFmtId="184" formatCode="0.0000"/>
    <numFmt numFmtId="185" formatCode="0.00000000000"/>
    <numFmt numFmtId="186" formatCode="_(* #,##0.00000_);_(* \(#,##0.00000\);_(* &quot;-&quot;??_);_(@_)"/>
    <numFmt numFmtId="187" formatCode="0.00000"/>
    <numFmt numFmtId="188" formatCode="_(* #,##0_);_(* \(#,##0\);_(* &quot;&quot;??_);_(@_)"/>
    <numFmt numFmtId="189" formatCode="_(&quot;$&quot;* #,##0.000_);_(&quot;$&quot;* \(#,##0.000\);_(&quot;$&quot;* &quot;-&quot;??_);_(@_)"/>
    <numFmt numFmtId="190" formatCode="_(&quot;$&quot;* #,##0.000000_);_(&quot;$&quot;* \(#,##0.000000\);_(&quot;$&quot;* &quot;-&quot;??_);_(@_)"/>
    <numFmt numFmtId="191" formatCode="[$-409]mmmm\ d\,\ yyyy;@"/>
    <numFmt numFmtId="192" formatCode="0.000000"/>
    <numFmt numFmtId="193" formatCode="#,##0.0000000"/>
    <numFmt numFmtId="194" formatCode="0;\-0;;@"/>
  </numFmts>
  <fonts count="126"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b/>
      <sz val="10"/>
      <color theme="0"/>
      <name val="Calibri"/>
      <family val="2"/>
      <scheme val="minor"/>
    </font>
    <font>
      <sz val="11"/>
      <name val="Calibri"/>
      <family val="2"/>
      <scheme val="minor"/>
    </font>
    <font>
      <sz val="9"/>
      <color theme="1"/>
      <name val="Calibri"/>
      <family val="2"/>
      <scheme val="minor"/>
    </font>
    <font>
      <sz val="8"/>
      <color rgb="FF000000"/>
      <name val="Tahoma"/>
      <family val="2"/>
    </font>
    <font>
      <sz val="8"/>
      <name val="Arial"/>
      <family val="2"/>
    </font>
    <font>
      <b/>
      <sz val="12"/>
      <name val="Arial"/>
      <family val="2"/>
    </font>
    <font>
      <sz val="12"/>
      <name val="Arial"/>
      <family val="2"/>
    </font>
    <font>
      <b/>
      <sz val="10"/>
      <name val="Arial"/>
      <family val="2"/>
    </font>
    <font>
      <sz val="9"/>
      <name val="Arial"/>
      <family val="2"/>
    </font>
    <font>
      <b/>
      <i/>
      <sz val="10"/>
      <name val="Arial"/>
      <family val="2"/>
    </font>
    <font>
      <i/>
      <sz val="10"/>
      <name val="Arial"/>
      <family val="2"/>
    </font>
    <font>
      <sz val="10"/>
      <color theme="1"/>
      <name val="Arial"/>
      <family val="2"/>
    </font>
    <font>
      <b/>
      <sz val="12"/>
      <color theme="1"/>
      <name val="Arial"/>
      <family val="2"/>
    </font>
    <font>
      <sz val="10"/>
      <color indexed="8"/>
      <name val="Arial"/>
      <family val="2"/>
    </font>
    <font>
      <b/>
      <i/>
      <sz val="10"/>
      <color indexed="8"/>
      <name val="Arial"/>
      <family val="2"/>
    </font>
    <font>
      <b/>
      <i/>
      <sz val="10"/>
      <color theme="1"/>
      <name val="Arial"/>
      <family val="2"/>
    </font>
    <font>
      <b/>
      <sz val="10"/>
      <color theme="0"/>
      <name val="Arial"/>
      <family val="2"/>
    </font>
    <font>
      <b/>
      <sz val="10"/>
      <color theme="1"/>
      <name val="Arial"/>
      <family val="2"/>
    </font>
    <font>
      <b/>
      <sz val="16"/>
      <color theme="0"/>
      <name val="Arial Black"/>
      <family val="2"/>
    </font>
    <font>
      <sz val="10"/>
      <color indexed="81"/>
      <name val="Arial"/>
      <family val="2"/>
    </font>
    <font>
      <sz val="9"/>
      <color rgb="FF000000"/>
      <name val="Arial"/>
      <family val="2"/>
    </font>
    <font>
      <sz val="9"/>
      <name val="Calibri"/>
      <family val="2"/>
      <scheme val="minor"/>
    </font>
    <font>
      <sz val="9"/>
      <color theme="1"/>
      <name val="Arial"/>
      <family val="2"/>
    </font>
    <font>
      <sz val="10"/>
      <color theme="5"/>
      <name val="Arial"/>
      <family val="2"/>
    </font>
    <font>
      <b/>
      <i/>
      <sz val="10"/>
      <color theme="5"/>
      <name val="Arial"/>
      <family val="2"/>
    </font>
    <font>
      <sz val="16"/>
      <color theme="0"/>
      <name val="Arial Black"/>
      <family val="2"/>
    </font>
    <font>
      <vertAlign val="subscript"/>
      <sz val="10"/>
      <name val="Arial"/>
      <family val="2"/>
    </font>
    <font>
      <sz val="10"/>
      <color theme="0"/>
      <name val="Arial"/>
      <family val="2"/>
    </font>
    <font>
      <sz val="11"/>
      <name val="Calibri"/>
      <family val="2"/>
    </font>
    <font>
      <b/>
      <sz val="10"/>
      <color indexed="9"/>
      <name val="Calibri"/>
      <family val="2"/>
    </font>
    <font>
      <b/>
      <sz val="12"/>
      <color theme="0"/>
      <name val="Calibri"/>
      <family val="2"/>
      <scheme val="minor"/>
    </font>
    <font>
      <b/>
      <sz val="10"/>
      <color indexed="9"/>
      <name val="Arial"/>
      <family val="2"/>
    </font>
    <font>
      <b/>
      <i/>
      <sz val="12"/>
      <color rgb="FFFF0000"/>
      <name val="Calibri"/>
      <family val="2"/>
    </font>
    <font>
      <sz val="10"/>
      <color theme="5"/>
      <name val="Calibri"/>
      <family val="2"/>
      <scheme val="minor"/>
    </font>
    <font>
      <sz val="10"/>
      <color indexed="8"/>
      <name val="Calibri"/>
      <family val="2"/>
    </font>
    <font>
      <b/>
      <vertAlign val="superscript"/>
      <sz val="10"/>
      <color indexed="9"/>
      <name val="Calibri"/>
      <family val="2"/>
    </font>
    <font>
      <sz val="8"/>
      <color theme="1"/>
      <name val="Calibri"/>
      <family val="2"/>
      <scheme val="minor"/>
    </font>
    <font>
      <sz val="8"/>
      <color indexed="8"/>
      <name val="Calibri"/>
      <family val="2"/>
    </font>
    <font>
      <b/>
      <sz val="11"/>
      <color theme="0"/>
      <name val="Calibri"/>
      <family val="2"/>
      <scheme val="minor"/>
    </font>
    <font>
      <b/>
      <sz val="16"/>
      <name val="Calibri"/>
      <family val="2"/>
      <scheme val="minor"/>
    </font>
    <font>
      <b/>
      <i/>
      <sz val="13"/>
      <color theme="0"/>
      <name val="Calibri"/>
      <family val="2"/>
      <scheme val="minor"/>
    </font>
    <font>
      <sz val="10"/>
      <color theme="9" tint="-0.249977111117893"/>
      <name val="Arial"/>
      <family val="2"/>
    </font>
    <font>
      <b/>
      <sz val="11"/>
      <color theme="3" tint="-0.499984740745262"/>
      <name val="Calibri"/>
      <family val="2"/>
      <scheme val="minor"/>
    </font>
    <font>
      <b/>
      <sz val="16"/>
      <color theme="1"/>
      <name val="Calibri"/>
      <family val="2"/>
      <scheme val="minor"/>
    </font>
    <font>
      <sz val="10"/>
      <color indexed="81"/>
      <name val="Tahoma"/>
      <family val="2"/>
    </font>
    <font>
      <sz val="16"/>
      <name val="Arial Black"/>
      <family val="2"/>
    </font>
    <font>
      <sz val="9"/>
      <color theme="0" tint="-0.499984740745262"/>
      <name val="Arial"/>
      <family val="2"/>
    </font>
    <font>
      <sz val="10"/>
      <color rgb="FF000000"/>
      <name val="Arial"/>
      <family val="2"/>
    </font>
    <font>
      <sz val="9"/>
      <color indexed="8"/>
      <name val="Arial"/>
      <family val="2"/>
    </font>
    <font>
      <sz val="10"/>
      <name val="Arial"/>
      <family val="2"/>
    </font>
    <font>
      <sz val="10"/>
      <name val="Calibri"/>
      <family val="2"/>
    </font>
    <font>
      <b/>
      <i/>
      <sz val="9"/>
      <color theme="1"/>
      <name val="Arial"/>
      <family val="2"/>
    </font>
    <font>
      <sz val="9"/>
      <color theme="1" tint="0.249977111117893"/>
      <name val="Arial"/>
      <family val="2"/>
    </font>
    <font>
      <b/>
      <sz val="9"/>
      <color theme="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theme="10"/>
      <name val="Calibri"/>
      <family val="2"/>
      <scheme val="minor"/>
    </font>
    <font>
      <u/>
      <sz val="11"/>
      <color theme="11"/>
      <name val="Calibri"/>
      <family val="2"/>
      <scheme val="minor"/>
    </font>
    <font>
      <b/>
      <sz val="12"/>
      <name val="Calibri"/>
      <family val="2"/>
    </font>
    <font>
      <sz val="10"/>
      <name val="Arial"/>
      <family val="2"/>
    </font>
    <font>
      <b/>
      <vertAlign val="subscript"/>
      <sz val="10"/>
      <name val="Arial"/>
      <family val="2"/>
    </font>
    <font>
      <sz val="10"/>
      <color rgb="FFFF0000"/>
      <name val="Arial"/>
      <family val="2"/>
    </font>
    <font>
      <sz val="9"/>
      <color theme="0"/>
      <name val="Arial"/>
      <family val="2"/>
    </font>
    <font>
      <b/>
      <sz val="16"/>
      <name val="Arial"/>
      <family val="2"/>
    </font>
    <font>
      <b/>
      <sz val="10"/>
      <color rgb="FFFF0000"/>
      <name val="Arial"/>
      <family val="2"/>
    </font>
    <font>
      <b/>
      <sz val="9"/>
      <name val="Arial"/>
      <family val="2"/>
    </font>
    <font>
      <sz val="10"/>
      <color rgb="FFFADA63"/>
      <name val="Arial"/>
      <family val="2"/>
    </font>
    <font>
      <sz val="8"/>
      <color theme="0" tint="-0.499984740745262"/>
      <name val="Arial"/>
      <family val="2"/>
    </font>
    <font>
      <b/>
      <i/>
      <sz val="9"/>
      <name val="Arial"/>
      <family val="2"/>
    </font>
    <font>
      <sz val="11"/>
      <color rgb="FF000000"/>
      <name val="Calibri"/>
      <family val="2"/>
    </font>
    <font>
      <sz val="9"/>
      <color rgb="FFFF0000"/>
      <name val="Arial"/>
      <family val="2"/>
    </font>
    <font>
      <u/>
      <sz val="10"/>
      <color indexed="12"/>
      <name val="Arial"/>
      <family val="2"/>
    </font>
    <font>
      <u/>
      <sz val="9"/>
      <color theme="10"/>
      <name val="Arial"/>
      <family val="2"/>
    </font>
    <font>
      <sz val="11"/>
      <color theme="1"/>
      <name val="Calibri"/>
      <family val="2"/>
    </font>
    <font>
      <sz val="10"/>
      <name val="Eras Light ITC"/>
      <family val="2"/>
    </font>
    <font>
      <sz val="9"/>
      <color theme="0" tint="-0.14999847407452621"/>
      <name val="Arial"/>
      <family val="2"/>
    </font>
    <font>
      <b/>
      <i/>
      <sz val="10"/>
      <color theme="0"/>
      <name val="Arial"/>
      <family val="2"/>
    </font>
    <font>
      <sz val="11"/>
      <color theme="1"/>
      <name val="Arial"/>
      <family val="2"/>
    </font>
    <font>
      <i/>
      <sz val="10"/>
      <color theme="0"/>
      <name val="Arial"/>
      <family val="2"/>
    </font>
    <font>
      <b/>
      <i/>
      <sz val="11"/>
      <color theme="1"/>
      <name val="Calibri"/>
      <family val="2"/>
      <scheme val="minor"/>
    </font>
    <font>
      <i/>
      <sz val="11"/>
      <color theme="1"/>
      <name val="Calibri"/>
      <family val="2"/>
      <scheme val="minor"/>
    </font>
    <font>
      <i/>
      <sz val="11"/>
      <color theme="1"/>
      <name val="Arial"/>
      <family val="2"/>
    </font>
    <font>
      <i/>
      <sz val="10"/>
      <color theme="1"/>
      <name val="Arial"/>
      <family val="2"/>
    </font>
    <font>
      <b/>
      <i/>
      <sz val="9"/>
      <color theme="1"/>
      <name val="Calibri"/>
      <family val="2"/>
      <scheme val="minor"/>
    </font>
    <font>
      <sz val="11"/>
      <color theme="0" tint="-0.499984740745262"/>
      <name val="Calibri"/>
      <family val="2"/>
      <scheme val="minor"/>
    </font>
    <font>
      <b/>
      <sz val="8"/>
      <name val="Arial"/>
      <family val="2"/>
    </font>
    <font>
      <sz val="8"/>
      <color theme="1" tint="0.14999847407452621"/>
      <name val="Arial"/>
      <family val="2"/>
    </font>
    <font>
      <sz val="12"/>
      <color theme="1"/>
      <name val="Arial"/>
      <family val="2"/>
    </font>
    <font>
      <sz val="8"/>
      <color theme="1"/>
      <name val="Arial"/>
      <family val="2"/>
    </font>
    <font>
      <sz val="14"/>
      <name val="Arial"/>
      <family val="2"/>
    </font>
    <font>
      <sz val="11"/>
      <color indexed="8"/>
      <name val="Calibri"/>
      <family val="2"/>
    </font>
    <font>
      <sz val="9"/>
      <color indexed="8"/>
      <name val="Calibri"/>
      <family val="2"/>
      <scheme val="minor"/>
    </font>
    <font>
      <b/>
      <sz val="9"/>
      <color rgb="FFFF0000"/>
      <name val="Calibri"/>
      <family val="2"/>
      <scheme val="minor"/>
    </font>
    <font>
      <b/>
      <sz val="9"/>
      <color indexed="8"/>
      <name val="Calibri"/>
      <family val="2"/>
      <scheme val="minor"/>
    </font>
    <font>
      <i/>
      <sz val="9"/>
      <color theme="1"/>
      <name val="Calibri"/>
      <family val="2"/>
      <scheme val="minor"/>
    </font>
    <font>
      <b/>
      <sz val="10"/>
      <color indexed="8"/>
      <name val="Arial"/>
      <family val="2"/>
    </font>
    <font>
      <b/>
      <sz val="9"/>
      <name val="Calibri"/>
      <family val="2"/>
      <scheme val="minor"/>
    </font>
  </fonts>
  <fills count="48">
    <fill>
      <patternFill patternType="none"/>
    </fill>
    <fill>
      <patternFill patternType="gray125"/>
    </fill>
    <fill>
      <patternFill patternType="solid">
        <fgColor theme="6" tint="0.79998168889431442"/>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rgb="FFFADA63"/>
        <bgColor indexed="64"/>
      </patternFill>
    </fill>
    <fill>
      <patternFill patternType="solid">
        <fgColor theme="0" tint="-0.14996795556505021"/>
        <bgColor indexed="64"/>
      </patternFill>
    </fill>
    <fill>
      <patternFill patternType="solid">
        <fgColor indexed="9"/>
        <bgColor indexed="64"/>
      </patternFill>
    </fill>
    <fill>
      <patternFill patternType="solid">
        <fgColor theme="2" tint="-9.9978637043366805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2F2F2"/>
        <bgColor indexed="64"/>
      </patternFill>
    </fill>
    <fill>
      <patternFill patternType="solid">
        <fgColor rgb="FFFFFFFF"/>
        <bgColor indexed="64"/>
      </patternFill>
    </fill>
    <fill>
      <patternFill patternType="solid">
        <fgColor rgb="FFEAEAEA"/>
        <bgColor indexed="64"/>
      </patternFill>
    </fill>
    <fill>
      <patternFill patternType="solid">
        <fgColor theme="9" tint="0.79998168889431442"/>
        <bgColor indexed="64"/>
      </patternFill>
    </fill>
    <fill>
      <patternFill patternType="solid">
        <fgColor theme="0" tint="-0.249977111117893"/>
        <bgColor indexed="64"/>
      </patternFill>
    </fill>
  </fills>
  <borders count="256">
    <border>
      <left/>
      <right/>
      <top/>
      <bottom/>
      <diagonal/>
    </border>
    <border>
      <left style="thin">
        <color theme="0" tint="-0.499984740745262"/>
      </left>
      <right/>
      <top/>
      <bottom/>
      <diagonal/>
    </border>
    <border>
      <left/>
      <right/>
      <top style="thin">
        <color theme="0" tint="-0.499984740745262"/>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1"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0"/>
      </left>
      <right style="thin">
        <color theme="0"/>
      </right>
      <top style="thin">
        <color theme="0"/>
      </top>
      <bottom style="thin">
        <color theme="0"/>
      </bottom>
      <diagonal/>
    </border>
    <border>
      <left style="thin">
        <color theme="0" tint="-0.499984740745262"/>
      </left>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right style="thin">
        <color theme="0" tint="-0.499984740745262"/>
      </right>
      <top/>
      <bottom/>
      <diagonal/>
    </border>
    <border>
      <left/>
      <right style="thin">
        <color theme="0" tint="-0.499984740745262"/>
      </right>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499984740745262"/>
      </bottom>
      <diagonal/>
    </border>
    <border>
      <left style="thin">
        <color theme="0" tint="-0.24994659260841701"/>
      </left>
      <right/>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right style="thin">
        <color theme="0" tint="-0.24994659260841701"/>
      </right>
      <top style="thin">
        <color theme="0" tint="-0.24994659260841701"/>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499984740745262"/>
      </right>
      <top style="thin">
        <color theme="0" tint="-0.24994659260841701"/>
      </top>
      <bottom/>
      <diagonal/>
    </border>
    <border>
      <left style="thin">
        <color theme="0" tint="-0.499984740745262"/>
      </left>
      <right/>
      <top style="thin">
        <color theme="0" tint="-0.499984740745262"/>
      </top>
      <bottom style="thin">
        <color theme="0" tint="-0.24994659260841701"/>
      </bottom>
      <diagonal/>
    </border>
    <border>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499984740745262"/>
      </bottom>
      <diagonal/>
    </border>
    <border>
      <left/>
      <right style="thin">
        <color theme="0" tint="-0.499984740745262"/>
      </right>
      <top style="thin">
        <color theme="0" tint="-0.24994659260841701"/>
      </top>
      <bottom style="thin">
        <color theme="0" tint="-0.24994659260841701"/>
      </bottom>
      <diagonal/>
    </border>
    <border>
      <left/>
      <right/>
      <top style="thin">
        <color theme="0" tint="-0.499984740745262"/>
      </top>
      <bottom style="thin">
        <color theme="0" tint="-0.24994659260841701"/>
      </bottom>
      <diagonal/>
    </border>
    <border>
      <left style="thin">
        <color theme="0" tint="-0.499984740745262"/>
      </left>
      <right style="thin">
        <color theme="0" tint="-0.24994659260841701"/>
      </right>
      <top/>
      <bottom style="thin">
        <color theme="0" tint="-0.499984740745262"/>
      </bottom>
      <diagonal/>
    </border>
    <border>
      <left style="thin">
        <color theme="0" tint="-0.24994659260841701"/>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24994659260841701"/>
      </top>
      <bottom/>
      <diagonal/>
    </border>
    <border>
      <left style="thin">
        <color theme="1" tint="0.499984740745262"/>
      </left>
      <right style="thin">
        <color theme="1" tint="0.499984740745262"/>
      </right>
      <top style="thin">
        <color theme="0" tint="-0.499984740745262"/>
      </top>
      <bottom style="thin">
        <color theme="0" tint="-0.499984740745262"/>
      </bottom>
      <diagonal/>
    </border>
    <border>
      <left style="thin">
        <color theme="1"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499984740745262"/>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right/>
      <top style="thin">
        <color theme="0" tint="-0.24994659260841701"/>
      </top>
      <bottom style="thin">
        <color theme="0" tint="-0.499984740745262"/>
      </bottom>
      <diagonal/>
    </border>
    <border>
      <left style="thin">
        <color theme="0" tint="-0.499984740745262"/>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499984740745262"/>
      </right>
      <top/>
      <bottom style="thin">
        <color theme="0" tint="-0.24994659260841701"/>
      </bottom>
      <diagonal/>
    </border>
    <border>
      <left style="thin">
        <color theme="0" tint="-0.499984740745262"/>
      </left>
      <right style="thin">
        <color theme="0" tint="-0.24994659260841701"/>
      </right>
      <top style="thin">
        <color theme="0" tint="-0.499984740745262"/>
      </top>
      <bottom/>
      <diagonal/>
    </border>
    <border>
      <left style="thin">
        <color theme="1" tint="0.499984740745262"/>
      </left>
      <right/>
      <top style="thin">
        <color theme="0" tint="-0.24994659260841701"/>
      </top>
      <bottom style="thin">
        <color theme="0" tint="-0.24994659260841701"/>
      </bottom>
      <diagonal/>
    </border>
    <border>
      <left style="thin">
        <color theme="1" tint="0.499984740745262"/>
      </left>
      <right/>
      <top style="thin">
        <color theme="0" tint="-0.24994659260841701"/>
      </top>
      <bottom style="thin">
        <color theme="1" tint="0.499984740745262"/>
      </bottom>
      <diagonal/>
    </border>
    <border>
      <left/>
      <right style="thin">
        <color theme="1" tint="0.499984740745262"/>
      </right>
      <top/>
      <bottom style="thin">
        <color theme="0" tint="-0.24994659260841701"/>
      </bottom>
      <diagonal/>
    </border>
    <border>
      <left/>
      <right style="thin">
        <color theme="1" tint="0.499984740745262"/>
      </right>
      <top style="thin">
        <color theme="0" tint="-0.24994659260841701"/>
      </top>
      <bottom style="thin">
        <color theme="0" tint="-0.24994659260841701"/>
      </bottom>
      <diagonal/>
    </border>
    <border>
      <left/>
      <right style="thin">
        <color theme="1" tint="0.499984740745262"/>
      </right>
      <top style="thin">
        <color theme="0" tint="-0.24994659260841701"/>
      </top>
      <bottom style="thin">
        <color theme="1" tint="0.499984740745262"/>
      </bottom>
      <diagonal/>
    </border>
    <border>
      <left style="thin">
        <color theme="1" tint="0.499984740745262"/>
      </left>
      <right/>
      <top style="thin">
        <color theme="0" tint="-0.499984740745262"/>
      </top>
      <bottom style="thin">
        <color theme="0" tint="-0.24994659260841701"/>
      </bottom>
      <diagonal/>
    </border>
    <border>
      <left style="thin">
        <color theme="0" tint="-0.24994659260841701"/>
      </left>
      <right style="thin">
        <color theme="0" tint="-0.499984740745262"/>
      </right>
      <top/>
      <bottom/>
      <diagonal/>
    </border>
    <border>
      <left/>
      <right style="thin">
        <color theme="0"/>
      </right>
      <top style="thin">
        <color theme="0"/>
      </top>
      <bottom style="thin">
        <color theme="0"/>
      </bottom>
      <diagonal/>
    </border>
    <border>
      <left/>
      <right style="thin">
        <color theme="0" tint="-0.24994659260841701"/>
      </right>
      <top/>
      <bottom style="thin">
        <color theme="0" tint="-0.24994659260841701"/>
      </bottom>
      <diagonal/>
    </border>
    <border>
      <left/>
      <right/>
      <top style="hair">
        <color indexed="55"/>
      </top>
      <bottom style="hair">
        <color indexed="55"/>
      </bottom>
      <diagonal/>
    </border>
    <border>
      <left style="hair">
        <color indexed="55"/>
      </left>
      <right/>
      <top style="hair">
        <color indexed="55"/>
      </top>
      <bottom style="hair">
        <color indexed="55"/>
      </bottom>
      <diagonal/>
    </border>
    <border>
      <left style="thin">
        <color auto="1"/>
      </left>
      <right/>
      <top style="hair">
        <color indexed="55"/>
      </top>
      <bottom style="hair">
        <color indexed="55"/>
      </bottom>
      <diagonal/>
    </border>
    <border>
      <left style="thin">
        <color auto="1"/>
      </left>
      <right/>
      <top/>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diagonal/>
    </border>
    <border>
      <left style="double">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style="double">
        <color theme="0" tint="-0.499984740745262"/>
      </right>
      <top style="thin">
        <color theme="0" tint="-0.499984740745262"/>
      </top>
      <bottom style="thin">
        <color theme="0" tint="-0.499984740745262"/>
      </bottom>
      <diagonal/>
    </border>
    <border>
      <left style="double">
        <color theme="0" tint="-0.499984740745262"/>
      </left>
      <right/>
      <top style="thin">
        <color theme="0" tint="-0.499984740745262"/>
      </top>
      <bottom style="thin">
        <color theme="0" tint="-0.499984740745262"/>
      </bottom>
      <diagonal/>
    </border>
    <border>
      <left/>
      <right style="double">
        <color theme="0" tint="-0.499984740745262"/>
      </right>
      <top/>
      <bottom style="thin">
        <color theme="0" tint="-0.499984740745262"/>
      </bottom>
      <diagonal/>
    </border>
    <border>
      <left style="double">
        <color theme="0" tint="-0.499984740745262"/>
      </left>
      <right/>
      <top/>
      <bottom style="thin">
        <color theme="0" tint="-0.499984740745262"/>
      </bottom>
      <diagonal/>
    </border>
    <border>
      <left/>
      <right style="double">
        <color theme="0" tint="-0.499984740745262"/>
      </right>
      <top/>
      <bottom/>
      <diagonal/>
    </border>
    <border>
      <left/>
      <right style="double">
        <color theme="0" tint="-0.499984740745262"/>
      </right>
      <top style="thin">
        <color theme="0" tint="-0.499984740745262"/>
      </top>
      <bottom style="thin">
        <color theme="0" tint="-0.499984740745262"/>
      </bottom>
      <diagonal/>
    </border>
    <border>
      <left style="double">
        <color theme="0" tint="-0.499984740745262"/>
      </left>
      <right/>
      <top style="thin">
        <color theme="0" tint="-0.499984740745262"/>
      </top>
      <bottom/>
      <diagonal/>
    </border>
    <border>
      <left/>
      <right style="double">
        <color theme="0" tint="-0.499984740745262"/>
      </right>
      <top style="thin">
        <color theme="0" tint="-0.499984740745262"/>
      </top>
      <bottom/>
      <diagonal/>
    </border>
    <border>
      <left style="double">
        <color theme="0" tint="-0.499984740745262"/>
      </left>
      <right style="thin">
        <color theme="0" tint="-0.499984740745262"/>
      </right>
      <top style="thin">
        <color theme="0" tint="-0.499984740745262"/>
      </top>
      <bottom/>
      <diagonal/>
    </border>
    <border>
      <left style="thin">
        <color auto="1"/>
      </left>
      <right style="thin">
        <color auto="1"/>
      </right>
      <top/>
      <bottom style="thin">
        <color auto="1"/>
      </bottom>
      <diagonal/>
    </border>
    <border>
      <left style="thin">
        <color theme="0" tint="-0.24994659260841701"/>
      </left>
      <right style="thin">
        <color theme="0" tint="-0.24994659260841701"/>
      </right>
      <top style="thin">
        <color theme="0" tint="-0.499984740745262"/>
      </top>
      <bottom/>
      <diagonal/>
    </border>
    <border>
      <left style="thin">
        <color theme="0" tint="-0.24994659260841701"/>
      </left>
      <right style="thin">
        <color theme="0" tint="-0.499984740745262"/>
      </right>
      <top style="thin">
        <color theme="0" tint="-0.499984740745262"/>
      </top>
      <bottom/>
      <diagonal/>
    </border>
    <border>
      <left/>
      <right style="thin">
        <color auto="1"/>
      </right>
      <top style="thin">
        <color auto="1"/>
      </top>
      <bottom/>
      <diagonal/>
    </border>
    <border>
      <left style="thin">
        <color auto="1"/>
      </left>
      <right style="thin">
        <color auto="1"/>
      </right>
      <top/>
      <bottom/>
      <diagonal/>
    </border>
    <border>
      <left style="thin">
        <color auto="1"/>
      </left>
      <right style="thin">
        <color auto="1"/>
      </right>
      <top style="thin">
        <color auto="1"/>
      </top>
      <bottom/>
      <diagonal/>
    </border>
    <border>
      <left/>
      <right/>
      <top style="thin">
        <color theme="0" tint="-0.24994659260841701"/>
      </top>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style="thin">
        <color theme="0" tint="-0.24994659260841701"/>
      </left>
      <right style="thin">
        <color theme="0" tint="-0.24994659260841701"/>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24994659260841701"/>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499984740745262"/>
      </left>
      <right/>
      <top/>
      <bottom style="thin">
        <color theme="0" tint="-0.24994659260841701"/>
      </bottom>
      <diagonal/>
    </border>
    <border>
      <left style="thin">
        <color theme="0" tint="-0.34998626667073579"/>
      </left>
      <right style="thin">
        <color theme="0" tint="-0.34998626667073579"/>
      </right>
      <top/>
      <bottom style="thin">
        <color theme="0" tint="-0.34998626667073579"/>
      </bottom>
      <diagonal/>
    </border>
    <border>
      <left style="thin">
        <color theme="0" tint="-0.24994659260841701"/>
      </left>
      <right/>
      <top style="thin">
        <color theme="0" tint="-0.499984740745262"/>
      </top>
      <bottom/>
      <diagonal/>
    </border>
    <border>
      <left/>
      <right/>
      <top style="thin">
        <color theme="0" tint="-0.34998626667073579"/>
      </top>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24994659260841701"/>
      </left>
      <right/>
      <top style="thin">
        <color theme="0" tint="-0.499984740745262"/>
      </top>
      <bottom style="thin">
        <color theme="0" tint="-0.499984740745262"/>
      </bottom>
      <diagonal/>
    </border>
    <border>
      <left style="thin">
        <color theme="0" tint="-0.24994659260841701"/>
      </left>
      <right style="thin">
        <color theme="0" tint="-0.24994659260841701"/>
      </right>
      <top/>
      <bottom/>
      <diagonal/>
    </border>
    <border>
      <left style="thin">
        <color theme="0" tint="-0.499984740745262"/>
      </left>
      <right/>
      <top style="thin">
        <color theme="0" tint="-0.24994659260841701"/>
      </top>
      <bottom/>
      <diagonal/>
    </border>
    <border>
      <left style="thin">
        <color theme="0" tint="-0.499984740745262"/>
      </left>
      <right style="thin">
        <color theme="0" tint="-0.499984740745262"/>
      </right>
      <top/>
      <bottom style="hair">
        <color theme="0" tint="-0.34998626667073579"/>
      </bottom>
      <diagonal/>
    </border>
    <border>
      <left style="thin">
        <color theme="0" tint="-0.499984740745262"/>
      </left>
      <right style="hair">
        <color theme="0" tint="-0.34998626667073579"/>
      </right>
      <top/>
      <bottom/>
      <diagonal/>
    </border>
    <border>
      <left style="hair">
        <color theme="0" tint="-0.34998626667073579"/>
      </left>
      <right style="hair">
        <color theme="0" tint="-0.34998626667073579"/>
      </right>
      <top/>
      <bottom/>
      <diagonal/>
    </border>
    <border>
      <left style="hair">
        <color theme="0" tint="-0.34998626667073579"/>
      </left>
      <right style="thin">
        <color theme="0" tint="-0.499984740745262"/>
      </right>
      <top/>
      <bottom/>
      <diagonal/>
    </border>
    <border>
      <left style="thin">
        <color theme="0" tint="-0.499984740745262"/>
      </left>
      <right style="thin">
        <color theme="0" tint="-0.499984740745262"/>
      </right>
      <top style="hair">
        <color theme="0" tint="-0.499984740745262"/>
      </top>
      <bottom style="hair">
        <color theme="0" tint="-0.499984740745262"/>
      </bottom>
      <diagonal/>
    </border>
    <border>
      <left style="thin">
        <color theme="0" tint="-0.499984740745262"/>
      </left>
      <right style="thin">
        <color theme="0" tint="-0.499984740745262"/>
      </right>
      <top style="hair">
        <color theme="0" tint="-0.499984740745262"/>
      </top>
      <bottom style="thin">
        <color theme="0" tint="-0.499984740745262"/>
      </bottom>
      <diagonal/>
    </border>
    <border>
      <left style="thin">
        <color theme="0" tint="-0.499984740745262"/>
      </left>
      <right style="thin">
        <color theme="0" tint="-0.14996795556505021"/>
      </right>
      <top style="thin">
        <color theme="0" tint="-0.499984740745262"/>
      </top>
      <bottom style="thin">
        <color theme="0" tint="-0.499984740745262"/>
      </bottom>
      <diagonal/>
    </border>
    <border>
      <left style="thin">
        <color theme="0" tint="-0.14996795556505021"/>
      </left>
      <right style="thin">
        <color theme="0" tint="-0.14996795556505021"/>
      </right>
      <top style="thin">
        <color theme="0" tint="-0.499984740745262"/>
      </top>
      <bottom style="thin">
        <color theme="0" tint="-0.499984740745262"/>
      </bottom>
      <diagonal/>
    </border>
    <border>
      <left style="thin">
        <color theme="0" tint="-0.499984740745262"/>
      </left>
      <right/>
      <top/>
      <bottom style="hair">
        <color theme="0" tint="-0.34998626667073579"/>
      </bottom>
      <diagonal/>
    </border>
    <border>
      <left style="thin">
        <color theme="0" tint="-0.499984740745262"/>
      </left>
      <right style="thin">
        <color theme="0" tint="-0.34998626667073579"/>
      </right>
      <top style="thin">
        <color theme="0" tint="-0.499984740745262"/>
      </top>
      <bottom style="thin">
        <color theme="0" tint="-0.34998626667073579"/>
      </bottom>
      <diagonal/>
    </border>
    <border>
      <left style="thin">
        <color theme="0" tint="-0.34998626667073579"/>
      </left>
      <right style="thin">
        <color theme="0" tint="-0.34998626667073579"/>
      </right>
      <top style="thin">
        <color theme="0" tint="-0.499984740745262"/>
      </top>
      <bottom style="thin">
        <color theme="0" tint="-0.34998626667073579"/>
      </bottom>
      <diagonal/>
    </border>
    <border>
      <left style="thin">
        <color theme="0" tint="-0.34998626667073579"/>
      </left>
      <right style="thin">
        <color theme="0" tint="-0.499984740745262"/>
      </right>
      <top style="thin">
        <color theme="0" tint="-0.499984740745262"/>
      </top>
      <bottom style="thin">
        <color theme="0" tint="-0.34998626667073579"/>
      </bottom>
      <diagonal/>
    </border>
    <border>
      <left style="thin">
        <color theme="0"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34998626667073579"/>
      </top>
      <bottom style="thin">
        <color theme="0" tint="-0.34998626667073579"/>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34998626667073579"/>
      </left>
      <right style="thin">
        <color theme="0" tint="-0.34998626667073579"/>
      </right>
      <top/>
      <bottom/>
      <diagonal/>
    </border>
    <border>
      <left style="thin">
        <color theme="0" tint="-0.499984740745262"/>
      </left>
      <right/>
      <top style="thin">
        <color theme="0" tint="-0.34998626667073579"/>
      </top>
      <bottom style="thin">
        <color theme="0" tint="-0.499984740745262"/>
      </bottom>
      <diagonal/>
    </border>
    <border>
      <left/>
      <right/>
      <top style="thin">
        <color theme="0" tint="-0.34998626667073579"/>
      </top>
      <bottom style="thin">
        <color theme="0" tint="-0.499984740745262"/>
      </bottom>
      <diagonal/>
    </border>
    <border>
      <left/>
      <right style="thin">
        <color theme="0" tint="-0.499984740745262"/>
      </right>
      <top style="thin">
        <color theme="0" tint="-0.34998626667073579"/>
      </top>
      <bottom style="thin">
        <color theme="0" tint="-0.499984740745262"/>
      </bottom>
      <diagonal/>
    </border>
    <border>
      <left style="thin">
        <color theme="0" tint="-0.24994659260841701"/>
      </left>
      <right style="thin">
        <color theme="0" tint="-0.34998626667073579"/>
      </right>
      <top style="thin">
        <color theme="0" tint="-0.34998626667073579"/>
      </top>
      <bottom style="thin">
        <color theme="0" tint="-0.34998626667073579"/>
      </bottom>
      <diagonal/>
    </border>
    <border>
      <left/>
      <right/>
      <top style="thin">
        <color theme="0" tint="-0.499984740745262"/>
      </top>
      <bottom style="thin">
        <color theme="0" tint="-0.34998626667073579"/>
      </bottom>
      <diagonal/>
    </border>
    <border>
      <left style="thin">
        <color theme="0" tint="-0.34998626667073579"/>
      </left>
      <right/>
      <top style="thin">
        <color theme="0" tint="-0.34998626667073579"/>
      </top>
      <bottom style="thin">
        <color theme="0" tint="-0.499984740745262"/>
      </bottom>
      <diagonal/>
    </border>
    <border>
      <left/>
      <right style="thin">
        <color theme="0" tint="-0.34998626667073579"/>
      </right>
      <top style="thin">
        <color theme="0" tint="-0.34998626667073579"/>
      </top>
      <bottom style="thin">
        <color theme="0" tint="-0.499984740745262"/>
      </bottom>
      <diagonal/>
    </border>
    <border>
      <left style="thin">
        <color theme="0" tint="-0.34998626667073579"/>
      </left>
      <right/>
      <top style="thin">
        <color theme="0" tint="-0.499984740745262"/>
      </top>
      <bottom style="thin">
        <color theme="0" tint="-0.34998626667073579"/>
      </bottom>
      <diagonal/>
    </border>
    <border>
      <left/>
      <right style="thin">
        <color theme="0" tint="-0.499984740745262"/>
      </right>
      <top style="thin">
        <color theme="0" tint="-0.499984740745262"/>
      </top>
      <bottom style="thin">
        <color theme="0" tint="-0.34998626667073579"/>
      </bottom>
      <diagonal/>
    </border>
    <border>
      <left/>
      <right style="thin">
        <color theme="0" tint="-0.34998626667073579"/>
      </right>
      <top style="thin">
        <color theme="0" tint="-0.499984740745262"/>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1" tint="0.34998626667073579"/>
      </left>
      <right/>
      <top style="thin">
        <color theme="1" tint="0.34998626667073579"/>
      </top>
      <bottom style="thin">
        <color theme="0" tint="-0.24994659260841701"/>
      </bottom>
      <diagonal/>
    </border>
    <border>
      <left/>
      <right style="thin">
        <color theme="1" tint="0.34998626667073579"/>
      </right>
      <top style="thin">
        <color theme="1" tint="0.34998626667073579"/>
      </top>
      <bottom style="thin">
        <color theme="0" tint="-0.24994659260841701"/>
      </bottom>
      <diagonal/>
    </border>
    <border>
      <left style="thin">
        <color theme="1" tint="0.34998626667073579"/>
      </left>
      <right/>
      <top style="thin">
        <color theme="0" tint="-0.24994659260841701"/>
      </top>
      <bottom style="thin">
        <color theme="0" tint="-0.24994659260841701"/>
      </bottom>
      <diagonal/>
    </border>
    <border>
      <left/>
      <right style="thin">
        <color theme="1" tint="0.34998626667073579"/>
      </right>
      <top style="thin">
        <color theme="0" tint="-0.24994659260841701"/>
      </top>
      <bottom style="thin">
        <color theme="0" tint="-0.24994659260841701"/>
      </bottom>
      <diagonal/>
    </border>
    <border>
      <left style="thin">
        <color theme="1" tint="0.34998626667073579"/>
      </left>
      <right/>
      <top style="thin">
        <color theme="0" tint="-0.24994659260841701"/>
      </top>
      <bottom style="thin">
        <color theme="1" tint="0.34998626667073579"/>
      </bottom>
      <diagonal/>
    </border>
    <border>
      <left/>
      <right style="thin">
        <color theme="1" tint="0.34998626667073579"/>
      </right>
      <top style="thin">
        <color theme="0" tint="-0.24994659260841701"/>
      </top>
      <bottom style="thin">
        <color theme="1" tint="0.34998626667073579"/>
      </bottom>
      <diagonal/>
    </border>
    <border>
      <left/>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tint="-0.499984740745262"/>
      </left>
      <right/>
      <top style="hair">
        <color theme="0" tint="-0.34998626667073579"/>
      </top>
      <bottom/>
      <diagonal/>
    </border>
    <border>
      <left style="thin">
        <color theme="0" tint="-0.499984740745262"/>
      </left>
      <right style="hair">
        <color theme="0" tint="-0.34998626667073579"/>
      </right>
      <top style="hair">
        <color theme="0" tint="-0.34998626667073579"/>
      </top>
      <bottom/>
      <diagonal/>
    </border>
    <border>
      <left style="hair">
        <color theme="0" tint="-0.34998626667073579"/>
      </left>
      <right style="hair">
        <color theme="0" tint="-0.34998626667073579"/>
      </right>
      <top style="hair">
        <color theme="0" tint="-0.34998626667073579"/>
      </top>
      <bottom/>
      <diagonal/>
    </border>
    <border>
      <left style="hair">
        <color theme="0" tint="-0.34998626667073579"/>
      </left>
      <right style="thin">
        <color theme="0" tint="-0.499984740745262"/>
      </right>
      <top style="hair">
        <color theme="0" tint="-0.34998626667073579"/>
      </top>
      <bottom/>
      <diagonal/>
    </border>
    <border>
      <left/>
      <right/>
      <top style="hair">
        <color theme="0" tint="-0.34998626667073579"/>
      </top>
      <bottom/>
      <diagonal/>
    </border>
    <border>
      <left style="thin">
        <color theme="0" tint="-0.499984740745262"/>
      </left>
      <right style="thin">
        <color theme="0" tint="-0.24994659260841701"/>
      </right>
      <top style="hair">
        <color theme="0" tint="-0.34998626667073579"/>
      </top>
      <bottom/>
      <diagonal/>
    </border>
    <border>
      <left style="thin">
        <color theme="0" tint="-0.24994659260841701"/>
      </left>
      <right style="thin">
        <color theme="0" tint="-0.499984740745262"/>
      </right>
      <top style="hair">
        <color theme="0" tint="-0.34998626667073579"/>
      </top>
      <bottom/>
      <diagonal/>
    </border>
    <border>
      <left style="thin">
        <color theme="0" tint="-0.499984740745262"/>
      </left>
      <right style="hair">
        <color theme="0" tint="-0.34998626667073579"/>
      </right>
      <top style="thin">
        <color theme="0" tint="-0.499984740745262"/>
      </top>
      <bottom style="thin">
        <color theme="0" tint="-0.499984740745262"/>
      </bottom>
      <diagonal/>
    </border>
    <border>
      <left style="hair">
        <color theme="0" tint="-0.34998626667073579"/>
      </left>
      <right style="hair">
        <color theme="0" tint="-0.34998626667073579"/>
      </right>
      <top style="thin">
        <color theme="0" tint="-0.499984740745262"/>
      </top>
      <bottom style="thin">
        <color theme="0" tint="-0.499984740745262"/>
      </bottom>
      <diagonal/>
    </border>
    <border>
      <left style="hair">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auto="1"/>
      </right>
      <top style="thin">
        <color theme="0" tint="-0.499984740745262"/>
      </top>
      <bottom style="thin">
        <color theme="0" tint="-0.499984740745262"/>
      </bottom>
      <diagonal/>
    </border>
    <border>
      <left style="thin">
        <color auto="1"/>
      </left>
      <right style="thin">
        <color auto="1"/>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14996795556505021"/>
      </right>
      <top style="thin">
        <color theme="0" tint="-0.24994659260841701"/>
      </top>
      <bottom style="thin">
        <color theme="0" tint="-0.14996795556505021"/>
      </bottom>
      <diagonal/>
    </border>
    <border>
      <left style="thin">
        <color theme="0" tint="-0.14996795556505021"/>
      </left>
      <right style="thin">
        <color theme="0" tint="-0.14996795556505021"/>
      </right>
      <top style="thin">
        <color theme="0" tint="-0.2499465926084170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style="thin">
        <color theme="0" tint="-0.499984740745262"/>
      </top>
      <bottom style="thin">
        <color theme="0" tint="-0.14996795556505021"/>
      </bottom>
      <diagonal/>
    </border>
    <border>
      <left style="thin">
        <color theme="0" tint="-0.14996795556505021"/>
      </left>
      <right style="thin">
        <color theme="0" tint="-0.499984740745262"/>
      </right>
      <top style="thin">
        <color theme="0" tint="-0.499984740745262"/>
      </top>
      <bottom style="thin">
        <color theme="0" tint="-0.14996795556505021"/>
      </bottom>
      <diagonal/>
    </border>
    <border>
      <left style="thin">
        <color theme="0" tint="-0.499984740745262"/>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499984740745262"/>
      </right>
      <top style="thin">
        <color theme="0" tint="-0.14996795556505021"/>
      </top>
      <bottom style="thin">
        <color theme="0" tint="-0.14996795556505021"/>
      </bottom>
      <diagonal/>
    </border>
    <border>
      <left style="thin">
        <color theme="0" tint="-0.499984740745262"/>
      </left>
      <right style="thin">
        <color theme="0" tint="-0.14996795556505021"/>
      </right>
      <top style="thin">
        <color theme="0" tint="-0.14996795556505021"/>
      </top>
      <bottom style="thin">
        <color theme="0" tint="-0.499984740745262"/>
      </bottom>
      <diagonal/>
    </border>
    <border>
      <left style="thin">
        <color theme="0" tint="-0.14996795556505021"/>
      </left>
      <right style="thin">
        <color theme="0" tint="-0.14996795556505021"/>
      </right>
      <top style="thin">
        <color theme="0" tint="-0.14996795556505021"/>
      </top>
      <bottom style="thin">
        <color theme="0" tint="-0.499984740745262"/>
      </bottom>
      <diagonal/>
    </border>
    <border>
      <left style="thin">
        <color theme="0" tint="-0.14996795556505021"/>
      </left>
      <right style="thin">
        <color theme="0" tint="-0.499984740745262"/>
      </right>
      <top style="thin">
        <color theme="0" tint="-0.14996795556505021"/>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style="thin">
        <color theme="0" tint="-0.34998626667073579"/>
      </right>
      <top style="thin">
        <color theme="0" tint="-0.499984740745262"/>
      </top>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34998626667073579"/>
      </right>
      <top/>
      <bottom style="thin">
        <color theme="0" tint="-0.34998626667073579"/>
      </bottom>
      <diagonal/>
    </border>
    <border>
      <left style="thin">
        <color theme="0" tint="-0.34998626667073579"/>
      </left>
      <right style="thin">
        <color theme="0" tint="-0.499984740745262"/>
      </right>
      <top/>
      <bottom style="thin">
        <color theme="0" tint="-0.34998626667073579"/>
      </bottom>
      <diagonal/>
    </border>
    <border>
      <left style="thin">
        <color theme="0" tint="-0.499984740745262"/>
      </left>
      <right style="thin">
        <color theme="0" tint="-0.34998626667073579"/>
      </right>
      <top style="thin">
        <color theme="0" tint="-0.34998626667073579"/>
      </top>
      <bottom/>
      <diagonal/>
    </border>
    <border>
      <left style="thin">
        <color theme="0" tint="-0.34998626667073579"/>
      </left>
      <right style="thin">
        <color theme="0" tint="-0.499984740745262"/>
      </right>
      <top style="thin">
        <color theme="0" tint="-0.34998626667073579"/>
      </top>
      <bottom/>
      <diagonal/>
    </border>
    <border>
      <left style="thin">
        <color theme="0" tint="-0.34998626667073579"/>
      </left>
      <right style="thin">
        <color theme="0" tint="-0.34998626667073579"/>
      </right>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24994659260841701"/>
      </bottom>
      <diagonal/>
    </border>
    <border>
      <left style="thin">
        <color theme="0" tint="-0.34998626667073579"/>
      </left>
      <right style="thin">
        <color theme="0" tint="-0.34998626667073579"/>
      </right>
      <top style="thin">
        <color theme="0" tint="-0.499984740745262"/>
      </top>
      <bottom style="thin">
        <color theme="0" tint="-0.24994659260841701"/>
      </bottom>
      <diagonal/>
    </border>
    <border>
      <left style="thin">
        <color theme="0" tint="-0.34998626667073579"/>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34998626667073579"/>
      </right>
      <top style="thin">
        <color theme="0" tint="-0.24994659260841701"/>
      </top>
      <bottom style="thin">
        <color theme="0" tint="-0.499984740745262"/>
      </bottom>
      <diagonal/>
    </border>
    <border>
      <left style="thin">
        <color theme="0" tint="-0.34998626667073579"/>
      </left>
      <right style="thin">
        <color theme="0" tint="-0.34998626667073579"/>
      </right>
      <top style="thin">
        <color theme="0" tint="-0.24994659260841701"/>
      </top>
      <bottom style="thin">
        <color theme="0" tint="-0.499984740745262"/>
      </bottom>
      <diagonal/>
    </border>
    <border>
      <left style="thin">
        <color theme="0" tint="-0.34998626667073579"/>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34998626667073579"/>
      </right>
      <top/>
      <bottom/>
      <diagonal/>
    </border>
    <border>
      <left style="thin">
        <color theme="0" tint="-0.34998626667073579"/>
      </left>
      <right style="thin">
        <color theme="0" tint="-0.499984740745262"/>
      </right>
      <top/>
      <bottom/>
      <diagonal/>
    </border>
    <border>
      <left/>
      <right style="thin">
        <color theme="0" tint="-0.499984740745262"/>
      </right>
      <top/>
      <bottom style="thin">
        <color theme="0" tint="-0.34998626667073579"/>
      </bottom>
      <diagonal/>
    </border>
    <border>
      <left/>
      <right style="thin">
        <color theme="0" tint="-0.499984740745262"/>
      </right>
      <top/>
      <bottom style="thin">
        <color theme="0" tint="-0.24994659260841701"/>
      </bottom>
      <diagonal/>
    </border>
    <border>
      <left style="thin">
        <color theme="0" tint="-0.499984740745262"/>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24994659260841701"/>
      </top>
      <bottom style="thin">
        <color theme="0" tint="-0.24994659260841701"/>
      </bottom>
      <diagonal/>
    </border>
    <border>
      <left style="thin">
        <color theme="0" tint="-0.34998626667073579"/>
      </left>
      <right/>
      <top style="thin">
        <color theme="0" tint="-0.499984740745262"/>
      </top>
      <bottom style="thin">
        <color theme="0" tint="-0.24994659260841701"/>
      </bottom>
      <diagonal/>
    </border>
    <border>
      <left style="thin">
        <color theme="0" tint="-0.34998626667073579"/>
      </left>
      <right/>
      <top style="thin">
        <color theme="0" tint="-0.24994659260841701"/>
      </top>
      <bottom style="thin">
        <color theme="0" tint="-0.24994659260841701"/>
      </bottom>
      <diagonal/>
    </border>
    <border>
      <left style="thin">
        <color theme="0" tint="-0.34998626667073579"/>
      </left>
      <right/>
      <top style="thin">
        <color theme="0" tint="-0.24994659260841701"/>
      </top>
      <bottom style="thin">
        <color theme="0" tint="-0.499984740745262"/>
      </bottom>
      <diagonal/>
    </border>
    <border>
      <left style="thin">
        <color rgb="FF808080"/>
      </left>
      <right style="thin">
        <color rgb="FF808080"/>
      </right>
      <top style="thin">
        <color rgb="FF808080"/>
      </top>
      <bottom style="thin">
        <color rgb="FF808080"/>
      </bottom>
      <diagonal/>
    </border>
    <border>
      <left style="thin">
        <color rgb="FF808080"/>
      </left>
      <right/>
      <top style="thin">
        <color rgb="FF808080"/>
      </top>
      <bottom/>
      <diagonal/>
    </border>
    <border>
      <left/>
      <right/>
      <top style="thin">
        <color rgb="FF808080"/>
      </top>
      <bottom/>
      <diagonal/>
    </border>
    <border>
      <left/>
      <right style="thin">
        <color rgb="FF808080"/>
      </right>
      <top style="thin">
        <color rgb="FF808080"/>
      </top>
      <bottom/>
      <diagonal/>
    </border>
    <border>
      <left style="thin">
        <color rgb="FF808080"/>
      </left>
      <right/>
      <top/>
      <bottom style="thin">
        <color rgb="FF808080"/>
      </bottom>
      <diagonal/>
    </border>
    <border>
      <left/>
      <right/>
      <top/>
      <bottom style="thin">
        <color rgb="FF808080"/>
      </bottom>
      <diagonal/>
    </border>
    <border>
      <left/>
      <right style="thin">
        <color rgb="FF808080"/>
      </right>
      <top/>
      <bottom style="thin">
        <color rgb="FF808080"/>
      </bottom>
      <diagonal/>
    </border>
    <border>
      <left style="thin">
        <color rgb="FF808080"/>
      </left>
      <right style="thin">
        <color rgb="FF808080"/>
      </right>
      <top style="thin">
        <color rgb="FF808080"/>
      </top>
      <bottom/>
      <diagonal/>
    </border>
    <border>
      <left style="thin">
        <color rgb="FF808080"/>
      </left>
      <right style="thin">
        <color rgb="FF808080"/>
      </right>
      <top/>
      <bottom style="thin">
        <color rgb="FF808080"/>
      </bottom>
      <diagonal/>
    </border>
    <border>
      <left/>
      <right style="thin">
        <color rgb="FF808080"/>
      </right>
      <top style="thin">
        <color rgb="FF808080"/>
      </top>
      <bottom style="thin">
        <color rgb="FF808080"/>
      </bottom>
      <diagonal/>
    </border>
    <border>
      <left/>
      <right style="thin">
        <color theme="0" tint="-0.24994659260841701"/>
      </right>
      <top style="thin">
        <color theme="0" tint="-0.499984740745262"/>
      </top>
      <bottom/>
      <diagonal/>
    </border>
    <border>
      <left/>
      <right style="thin">
        <color theme="0" tint="-0.24994659260841701"/>
      </right>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left>
      <right/>
      <top style="thin">
        <color theme="0"/>
      </top>
      <bottom style="thin">
        <color theme="0"/>
      </bottom>
      <diagonal/>
    </border>
    <border>
      <left style="thin">
        <color theme="0"/>
      </left>
      <right style="thin">
        <color theme="0"/>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diagonal/>
    </border>
    <border>
      <left style="thin">
        <color auto="1"/>
      </left>
      <right style="thin">
        <color auto="1"/>
      </right>
      <top style="medium">
        <color indexed="64"/>
      </top>
      <bottom/>
      <diagonal/>
    </border>
    <border>
      <left style="thin">
        <color indexed="64"/>
      </left>
      <right style="medium">
        <color indexed="64"/>
      </right>
      <top style="medium">
        <color indexed="64"/>
      </top>
      <bottom/>
      <diagonal/>
    </border>
  </borders>
  <cellStyleXfs count="446">
    <xf numFmtId="0" fontId="0" fillId="0" borderId="0"/>
    <xf numFmtId="43"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9" fontId="13" fillId="0" borderId="0" applyFont="0" applyFill="0" applyBorder="0" applyAlignment="0" applyProtection="0"/>
    <xf numFmtId="9" fontId="11" fillId="0" borderId="0" applyFont="0" applyFill="0" applyBorder="0" applyAlignment="0" applyProtection="0"/>
    <xf numFmtId="44" fontId="11" fillId="0" borderId="0" applyFont="0" applyFill="0" applyBorder="0" applyAlignment="0" applyProtection="0"/>
    <xf numFmtId="43" fontId="11" fillId="0" borderId="0" applyFont="0" applyFill="0" applyBorder="0" applyAlignment="0" applyProtection="0"/>
    <xf numFmtId="0" fontId="11" fillId="0" borderId="0"/>
    <xf numFmtId="0" fontId="13" fillId="0" borderId="0"/>
    <xf numFmtId="0" fontId="13" fillId="0" borderId="0"/>
    <xf numFmtId="43" fontId="13" fillId="0" borderId="0" applyFont="0" applyFill="0" applyBorder="0" applyAlignment="0" applyProtection="0"/>
    <xf numFmtId="9" fontId="13" fillId="0" borderId="0" applyFont="0" applyFill="0" applyBorder="0" applyAlignment="0" applyProtection="0"/>
    <xf numFmtId="0" fontId="66" fillId="0" borderId="0"/>
    <xf numFmtId="0" fontId="71" fillId="0" borderId="0" applyNumberFormat="0" applyFill="0" applyBorder="0" applyAlignment="0" applyProtection="0"/>
    <xf numFmtId="0" fontId="72" fillId="0" borderId="109" applyNumberFormat="0" applyFill="0" applyAlignment="0" applyProtection="0"/>
    <xf numFmtId="0" fontId="73" fillId="0" borderId="110" applyNumberFormat="0" applyFill="0" applyAlignment="0" applyProtection="0"/>
    <xf numFmtId="0" fontId="74" fillId="0" borderId="111" applyNumberFormat="0" applyFill="0" applyAlignment="0" applyProtection="0"/>
    <xf numFmtId="0" fontId="74" fillId="0" borderId="0" applyNumberFormat="0" applyFill="0" applyBorder="0" applyAlignment="0" applyProtection="0"/>
    <xf numFmtId="0" fontId="75" fillId="11" borderId="0" applyNumberFormat="0" applyBorder="0" applyAlignment="0" applyProtection="0"/>
    <xf numFmtId="0" fontId="76" fillId="12" borderId="0" applyNumberFormat="0" applyBorder="0" applyAlignment="0" applyProtection="0"/>
    <xf numFmtId="0" fontId="77" fillId="13" borderId="0" applyNumberFormat="0" applyBorder="0" applyAlignment="0" applyProtection="0"/>
    <xf numFmtId="0" fontId="78" fillId="14" borderId="112" applyNumberFormat="0" applyAlignment="0" applyProtection="0"/>
    <xf numFmtId="0" fontId="79" fillId="15" borderId="113" applyNumberFormat="0" applyAlignment="0" applyProtection="0"/>
    <xf numFmtId="0" fontId="80" fillId="15" borderId="112" applyNumberFormat="0" applyAlignment="0" applyProtection="0"/>
    <xf numFmtId="0" fontId="81" fillId="0" borderId="114" applyNumberFormat="0" applyFill="0" applyAlignment="0" applyProtection="0"/>
    <xf numFmtId="0" fontId="55" fillId="16" borderId="115" applyNumberFormat="0" applyAlignment="0" applyProtection="0"/>
    <xf numFmtId="0" fontId="82" fillId="0" borderId="0" applyNumberFormat="0" applyFill="0" applyBorder="0" applyAlignment="0" applyProtection="0"/>
    <xf numFmtId="0" fontId="13" fillId="17" borderId="116" applyNumberFormat="0" applyFont="0" applyAlignment="0" applyProtection="0"/>
    <xf numFmtId="0" fontId="83" fillId="0" borderId="0" applyNumberFormat="0" applyFill="0" applyBorder="0" applyAlignment="0" applyProtection="0"/>
    <xf numFmtId="0" fontId="14" fillId="0" borderId="117" applyNumberFormat="0" applyFill="0" applyAlignment="0" applyProtection="0"/>
    <xf numFmtId="0" fontId="84"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84" fillId="21" borderId="0" applyNumberFormat="0" applyBorder="0" applyAlignment="0" applyProtection="0"/>
    <xf numFmtId="0" fontId="84"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84" fillId="25" borderId="0" applyNumberFormat="0" applyBorder="0" applyAlignment="0" applyProtection="0"/>
    <xf numFmtId="0" fontId="84"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84" fillId="29" borderId="0" applyNumberFormat="0" applyBorder="0" applyAlignment="0" applyProtection="0"/>
    <xf numFmtId="0" fontId="84"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84" fillId="33" borderId="0" applyNumberFormat="0" applyBorder="0" applyAlignment="0" applyProtection="0"/>
    <xf numFmtId="0" fontId="84"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84" fillId="37" borderId="0" applyNumberFormat="0" applyBorder="0" applyAlignment="0" applyProtection="0"/>
    <xf numFmtId="0" fontId="84"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84" fillId="41" borderId="0" applyNumberFormat="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11" fillId="0" borderId="0"/>
    <xf numFmtId="0" fontId="11" fillId="0" borderId="0"/>
    <xf numFmtId="0" fontId="11" fillId="0" borderId="0"/>
    <xf numFmtId="43" fontId="13" fillId="0" borderId="0" applyFont="0" applyFill="0" applyBorder="0" applyAlignment="0" applyProtection="0"/>
    <xf numFmtId="9" fontId="13" fillId="0" borderId="0" applyFont="0" applyFill="0" applyBorder="0" applyAlignment="0" applyProtection="0"/>
    <xf numFmtId="0" fontId="88" fillId="0" borderId="0"/>
    <xf numFmtId="44" fontId="13" fillId="0" borderId="0" applyFont="0" applyFill="0" applyBorder="0" applyAlignment="0" applyProtection="0"/>
    <xf numFmtId="0" fontId="11" fillId="0" borderId="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11" fillId="0" borderId="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1" fillId="0" borderId="0"/>
    <xf numFmtId="0" fontId="13" fillId="0" borderId="0"/>
    <xf numFmtId="0" fontId="11" fillId="0" borderId="0"/>
    <xf numFmtId="191" fontId="11" fillId="0" borderId="0"/>
    <xf numFmtId="191" fontId="11" fillId="0" borderId="0"/>
    <xf numFmtId="0" fontId="100" fillId="0" borderId="0" applyNumberFormat="0" applyFill="0" applyBorder="0" applyAlignment="0" applyProtection="0">
      <alignment vertical="top"/>
      <protection locked="0"/>
    </xf>
    <xf numFmtId="9"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0" fontId="101" fillId="0" borderId="0" applyNumberFormat="0" applyFill="0" applyBorder="0" applyAlignment="0" applyProtection="0">
      <alignment vertical="top"/>
      <protection locked="0"/>
    </xf>
    <xf numFmtId="9" fontId="11" fillId="0" borderId="0" applyFont="0" applyFill="0" applyBorder="0" applyAlignment="0" applyProtection="0"/>
    <xf numFmtId="0" fontId="13" fillId="0" borderId="0"/>
    <xf numFmtId="0" fontId="10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03" fillId="0" borderId="0"/>
    <xf numFmtId="0" fontId="103" fillId="0" borderId="0"/>
    <xf numFmtId="9" fontId="11" fillId="0" borderId="0" applyFont="0" applyFill="0" applyBorder="0" applyAlignment="0" applyProtection="0"/>
    <xf numFmtId="0" fontId="11" fillId="0" borderId="0"/>
    <xf numFmtId="0" fontId="119" fillId="0" borderId="0"/>
  </cellStyleXfs>
  <cellXfs count="3521">
    <xf numFmtId="0" fontId="0" fillId="0" borderId="0" xfId="0"/>
    <xf numFmtId="0" fontId="0" fillId="0" borderId="0" xfId="0"/>
    <xf numFmtId="0" fontId="11" fillId="0" borderId="0" xfId="0" applyFont="1"/>
    <xf numFmtId="0" fontId="18" fillId="6" borderId="0" xfId="7" applyFont="1" applyFill="1" applyAlignment="1">
      <alignment vertical="top" wrapText="1"/>
    </xf>
    <xf numFmtId="0" fontId="12" fillId="6" borderId="0" xfId="7" applyFill="1"/>
    <xf numFmtId="0" fontId="21" fillId="6" borderId="0" xfId="2" applyFont="1" applyFill="1" applyProtection="1"/>
    <xf numFmtId="0" fontId="21" fillId="6" borderId="0" xfId="2" applyFont="1" applyFill="1" applyAlignment="1" applyProtection="1">
      <alignment vertical="center"/>
    </xf>
    <xf numFmtId="0" fontId="11" fillId="6" borderId="0" xfId="2" applyFill="1" applyBorder="1" applyProtection="1"/>
    <xf numFmtId="0" fontId="21" fillId="5" borderId="12" xfId="2" applyFont="1" applyFill="1" applyBorder="1" applyAlignment="1" applyProtection="1">
      <alignment vertical="center"/>
    </xf>
    <xf numFmtId="0" fontId="21" fillId="5" borderId="2" xfId="2" applyFont="1" applyFill="1" applyBorder="1" applyAlignment="1" applyProtection="1">
      <alignment vertical="center"/>
    </xf>
    <xf numFmtId="0" fontId="11" fillId="5" borderId="17" xfId="2" applyFill="1" applyBorder="1" applyProtection="1"/>
    <xf numFmtId="0" fontId="13" fillId="6" borderId="0" xfId="2" applyFont="1" applyFill="1" applyBorder="1" applyProtection="1"/>
    <xf numFmtId="0" fontId="11" fillId="6" borderId="0" xfId="2" applyFill="1" applyBorder="1" applyAlignment="1" applyProtection="1">
      <alignment horizontal="left"/>
    </xf>
    <xf numFmtId="0" fontId="21" fillId="5" borderId="1" xfId="2" applyFont="1" applyFill="1" applyBorder="1" applyAlignment="1" applyProtection="1">
      <alignment vertical="center"/>
    </xf>
    <xf numFmtId="0" fontId="21" fillId="5" borderId="0" xfId="2" applyFont="1" applyFill="1" applyBorder="1" applyAlignment="1" applyProtection="1">
      <alignment vertical="center"/>
    </xf>
    <xf numFmtId="0" fontId="11" fillId="5" borderId="18" xfId="2" applyFill="1" applyBorder="1" applyProtection="1"/>
    <xf numFmtId="0" fontId="11" fillId="5" borderId="0" xfId="2" applyFont="1" applyFill="1" applyBorder="1" applyAlignment="1" applyProtection="1">
      <alignment vertical="center"/>
    </xf>
    <xf numFmtId="0" fontId="24" fillId="5" borderId="0" xfId="2" applyFont="1" applyFill="1" applyBorder="1" applyAlignment="1" applyProtection="1">
      <alignment vertical="center"/>
    </xf>
    <xf numFmtId="0" fontId="13" fillId="5" borderId="1" xfId="2" applyFont="1" applyFill="1" applyBorder="1" applyProtection="1"/>
    <xf numFmtId="0" fontId="13" fillId="5" borderId="0" xfId="2" applyFont="1" applyFill="1" applyBorder="1" applyProtection="1"/>
    <xf numFmtId="0" fontId="13" fillId="5" borderId="18" xfId="2" applyFont="1" applyFill="1" applyBorder="1" applyProtection="1"/>
    <xf numFmtId="0" fontId="21" fillId="5" borderId="13" xfId="2" applyFont="1" applyFill="1" applyBorder="1" applyAlignment="1" applyProtection="1">
      <alignment vertical="center"/>
    </xf>
    <xf numFmtId="0" fontId="21" fillId="5" borderId="14" xfId="2" applyFont="1" applyFill="1" applyBorder="1" applyAlignment="1" applyProtection="1">
      <alignment vertical="center"/>
    </xf>
    <xf numFmtId="0" fontId="11" fillId="5" borderId="14" xfId="2" applyFont="1" applyFill="1" applyBorder="1" applyAlignment="1" applyProtection="1">
      <alignment vertical="center"/>
    </xf>
    <xf numFmtId="0" fontId="11" fillId="5" borderId="19" xfId="2" applyFill="1" applyBorder="1" applyProtection="1"/>
    <xf numFmtId="0" fontId="28" fillId="0" borderId="0" xfId="0" applyFont="1" applyAlignment="1">
      <alignment vertical="center" wrapText="1"/>
    </xf>
    <xf numFmtId="0" fontId="28" fillId="0" borderId="0" xfId="0" applyFont="1" applyAlignment="1">
      <alignment vertical="center"/>
    </xf>
    <xf numFmtId="0" fontId="28" fillId="0" borderId="0" xfId="0" applyFont="1" applyBorder="1" applyAlignment="1">
      <alignment vertical="center" wrapText="1"/>
    </xf>
    <xf numFmtId="0" fontId="29" fillId="0" borderId="0" xfId="0" applyFont="1" applyBorder="1" applyAlignment="1">
      <alignment vertical="top"/>
    </xf>
    <xf numFmtId="0" fontId="28" fillId="0" borderId="0" xfId="0" applyFont="1" applyAlignment="1">
      <alignment horizontal="center" vertical="center"/>
    </xf>
    <xf numFmtId="0" fontId="34" fillId="0" borderId="0" xfId="0" applyFont="1" applyAlignment="1">
      <alignment horizontal="center" vertical="center" wrapText="1"/>
    </xf>
    <xf numFmtId="0" fontId="34" fillId="0" borderId="0" xfId="0" applyFont="1" applyBorder="1" applyAlignment="1">
      <alignment vertical="top"/>
    </xf>
    <xf numFmtId="0" fontId="32" fillId="0" borderId="0" xfId="0" applyFont="1" applyBorder="1" applyAlignment="1">
      <alignment horizontal="left" vertical="top"/>
    </xf>
    <xf numFmtId="0" fontId="34" fillId="0" borderId="0" xfId="0" applyFont="1" applyBorder="1" applyAlignment="1">
      <alignment horizontal="left" vertical="top"/>
    </xf>
    <xf numFmtId="0" fontId="28" fillId="7" borderId="0" xfId="0" applyFont="1" applyFill="1" applyAlignment="1">
      <alignment vertical="center" wrapText="1"/>
    </xf>
    <xf numFmtId="0" fontId="28" fillId="7" borderId="0" xfId="0" applyFont="1" applyFill="1" applyAlignment="1">
      <alignment horizontal="center" vertical="center" wrapText="1"/>
    </xf>
    <xf numFmtId="0" fontId="28" fillId="0" borderId="0" xfId="0" applyFont="1"/>
    <xf numFmtId="0" fontId="34" fillId="0" borderId="0" xfId="0" applyFont="1" applyBorder="1" applyAlignment="1">
      <alignment horizontal="left" vertical="top" wrapText="1"/>
    </xf>
    <xf numFmtId="0" fontId="28" fillId="0" borderId="0" xfId="0" applyFont="1" applyBorder="1" applyAlignment="1">
      <alignment vertical="center"/>
    </xf>
    <xf numFmtId="0" fontId="28" fillId="0" borderId="0" xfId="0" applyFont="1" applyBorder="1" applyAlignment="1">
      <alignment horizontal="left" vertical="top" wrapText="1"/>
    </xf>
    <xf numFmtId="0" fontId="28" fillId="0" borderId="0" xfId="0" applyFont="1" applyFill="1" applyBorder="1" applyAlignment="1">
      <alignment horizontal="left" vertical="top" wrapText="1"/>
    </xf>
    <xf numFmtId="0" fontId="11" fillId="4" borderId="24" xfId="0" applyFont="1" applyFill="1" applyBorder="1" applyAlignment="1">
      <alignment horizontal="center" vertical="center" wrapText="1"/>
    </xf>
    <xf numFmtId="0" fontId="32" fillId="0" borderId="0" xfId="0" applyFont="1" applyBorder="1" applyAlignment="1">
      <alignment vertical="center"/>
    </xf>
    <xf numFmtId="0" fontId="34" fillId="0" borderId="0" xfId="0" applyFont="1" applyBorder="1" applyAlignment="1">
      <alignment vertical="top" wrapText="1"/>
    </xf>
    <xf numFmtId="0" fontId="35" fillId="7" borderId="0" xfId="0" applyFont="1" applyFill="1" applyAlignment="1">
      <alignment vertical="center"/>
    </xf>
    <xf numFmtId="0" fontId="28" fillId="0" borderId="0" xfId="0" applyFont="1" applyFill="1" applyBorder="1" applyAlignment="1">
      <alignment vertical="center"/>
    </xf>
    <xf numFmtId="0" fontId="11" fillId="8" borderId="6" xfId="0" applyFont="1" applyFill="1" applyBorder="1" applyAlignment="1">
      <alignment horizontal="center" vertical="center" wrapText="1"/>
    </xf>
    <xf numFmtId="0" fontId="11" fillId="8" borderId="5" xfId="0" applyFont="1" applyFill="1" applyBorder="1" applyAlignment="1">
      <alignment horizontal="center" vertical="center" wrapText="1"/>
    </xf>
    <xf numFmtId="0" fontId="28" fillId="0" borderId="0" xfId="0" applyFont="1" applyAlignment="1">
      <alignment horizontal="left" vertical="center"/>
    </xf>
    <xf numFmtId="0" fontId="33" fillId="7" borderId="0" xfId="0" applyFont="1" applyFill="1" applyAlignment="1">
      <alignment vertical="center"/>
    </xf>
    <xf numFmtId="0" fontId="34" fillId="4" borderId="0" xfId="0" applyFont="1" applyFill="1" applyBorder="1" applyAlignment="1">
      <alignment horizontal="center" vertical="center" wrapText="1"/>
    </xf>
    <xf numFmtId="0" fontId="34" fillId="0" borderId="14" xfId="0" applyFont="1" applyBorder="1" applyAlignment="1">
      <alignment horizontal="left" vertical="top"/>
    </xf>
    <xf numFmtId="0" fontId="38" fillId="6" borderId="41" xfId="7" applyFont="1" applyFill="1" applyBorder="1" applyAlignment="1">
      <alignment vertical="center"/>
    </xf>
    <xf numFmtId="0" fontId="32" fillId="0" borderId="0" xfId="0" applyFont="1" applyBorder="1" applyAlignment="1">
      <alignment horizontal="left" vertical="top" wrapText="1"/>
    </xf>
    <xf numFmtId="0" fontId="28" fillId="0" borderId="0" xfId="0" applyFont="1" applyFill="1" applyBorder="1"/>
    <xf numFmtId="3" fontId="11" fillId="8" borderId="5" xfId="0" applyNumberFormat="1" applyFont="1" applyFill="1" applyBorder="1" applyAlignment="1">
      <alignment horizontal="center" vertical="center" wrapText="1"/>
    </xf>
    <xf numFmtId="0" fontId="11" fillId="8" borderId="27" xfId="0" applyFont="1" applyFill="1" applyBorder="1" applyAlignment="1">
      <alignment horizontal="center" vertical="center" wrapText="1"/>
    </xf>
    <xf numFmtId="0" fontId="11" fillId="8" borderId="29" xfId="0" applyFont="1" applyFill="1" applyBorder="1" applyAlignment="1">
      <alignment horizontal="center" vertical="center" wrapText="1"/>
    </xf>
    <xf numFmtId="0" fontId="34" fillId="0" borderId="0" xfId="0" applyFont="1" applyBorder="1" applyAlignment="1">
      <alignment horizontal="left" vertical="top" wrapText="1"/>
    </xf>
    <xf numFmtId="0" fontId="28" fillId="0" borderId="0" xfId="0" applyFont="1" applyBorder="1" applyAlignment="1">
      <alignment horizontal="left" vertical="top" wrapText="1"/>
    </xf>
    <xf numFmtId="0" fontId="28" fillId="0" borderId="0" xfId="0" applyFont="1" applyAlignment="1">
      <alignment wrapText="1"/>
    </xf>
    <xf numFmtId="0" fontId="40" fillId="0" borderId="0" xfId="0" applyFont="1"/>
    <xf numFmtId="0" fontId="32" fillId="0" borderId="0" xfId="0" applyFont="1" applyBorder="1" applyAlignment="1">
      <alignment horizontal="left" vertical="center" wrapText="1"/>
    </xf>
    <xf numFmtId="0" fontId="28" fillId="5" borderId="0" xfId="0" applyFont="1" applyFill="1" applyBorder="1" applyAlignment="1">
      <alignment horizontal="left" vertical="top" wrapText="1"/>
    </xf>
    <xf numFmtId="0" fontId="40" fillId="0" borderId="0" xfId="0" applyFont="1" applyAlignment="1">
      <alignment vertical="center"/>
    </xf>
    <xf numFmtId="0" fontId="40" fillId="0" borderId="0" xfId="0" applyFont="1" applyAlignment="1">
      <alignment vertical="center" wrapText="1"/>
    </xf>
    <xf numFmtId="3" fontId="28" fillId="0" borderId="0" xfId="0" applyNumberFormat="1" applyFont="1" applyFill="1" applyBorder="1" applyAlignment="1">
      <alignment horizontal="center" vertical="center"/>
    </xf>
    <xf numFmtId="4" fontId="28" fillId="0" borderId="0" xfId="0" applyNumberFormat="1" applyFont="1" applyFill="1" applyBorder="1" applyAlignment="1">
      <alignment horizontal="center" vertical="center"/>
    </xf>
    <xf numFmtId="0" fontId="28" fillId="0" borderId="0" xfId="0" applyFont="1" applyFill="1" applyBorder="1" applyAlignment="1">
      <alignment horizontal="center" vertical="center"/>
    </xf>
    <xf numFmtId="0" fontId="41" fillId="0" borderId="0" xfId="0" applyFont="1" applyBorder="1" applyAlignment="1">
      <alignment vertical="top" wrapText="1"/>
    </xf>
    <xf numFmtId="0" fontId="34" fillId="0" borderId="0" xfId="0" applyFont="1" applyBorder="1" applyAlignment="1">
      <alignment horizontal="left"/>
    </xf>
    <xf numFmtId="0" fontId="32" fillId="5" borderId="0" xfId="0" applyFont="1" applyFill="1" applyBorder="1" applyAlignment="1">
      <alignment horizontal="right" vertical="center"/>
    </xf>
    <xf numFmtId="167" fontId="28" fillId="5" borderId="0" xfId="1" applyNumberFormat="1" applyFont="1" applyFill="1" applyBorder="1" applyAlignment="1">
      <alignment vertical="center"/>
    </xf>
    <xf numFmtId="0" fontId="39" fillId="0" borderId="0" xfId="0" applyFont="1" applyBorder="1" applyAlignment="1">
      <alignment horizontal="left" vertical="center"/>
    </xf>
    <xf numFmtId="0" fontId="28" fillId="0" borderId="0" xfId="0" applyFont="1" applyBorder="1" applyAlignment="1"/>
    <xf numFmtId="0" fontId="34" fillId="0" borderId="0" xfId="0" applyFont="1" applyAlignment="1">
      <alignment wrapText="1"/>
    </xf>
    <xf numFmtId="0" fontId="30" fillId="0" borderId="0" xfId="0" applyFont="1" applyAlignment="1">
      <alignment horizontal="left" vertical="center"/>
    </xf>
    <xf numFmtId="0" fontId="30" fillId="0" borderId="0" xfId="2" applyFont="1" applyAlignment="1">
      <alignment horizontal="center" vertical="center"/>
    </xf>
    <xf numFmtId="0" fontId="42" fillId="7" borderId="0" xfId="0" applyFont="1" applyFill="1" applyAlignment="1">
      <alignment vertical="center"/>
    </xf>
    <xf numFmtId="0" fontId="33" fillId="0" borderId="0" xfId="0" applyFont="1" applyFill="1" applyAlignment="1">
      <alignment vertical="center"/>
    </xf>
    <xf numFmtId="0" fontId="11" fillId="0" borderId="41" xfId="0" applyFont="1" applyFill="1" applyBorder="1" applyAlignment="1">
      <alignment horizontal="left" vertical="center" wrapText="1" indent="1"/>
    </xf>
    <xf numFmtId="0" fontId="11" fillId="0" borderId="24" xfId="0" applyFont="1" applyFill="1" applyBorder="1" applyAlignment="1">
      <alignment horizontal="left" vertical="center" wrapText="1" indent="1"/>
    </xf>
    <xf numFmtId="0" fontId="11" fillId="0" borderId="21" xfId="0" applyFont="1" applyFill="1" applyBorder="1" applyAlignment="1">
      <alignment horizontal="left" vertical="center" wrapText="1" indent="1"/>
    </xf>
    <xf numFmtId="0" fontId="11" fillId="0" borderId="0" xfId="0" applyFont="1" applyAlignment="1">
      <alignment horizontal="center" vertical="center" wrapText="1"/>
    </xf>
    <xf numFmtId="0" fontId="11" fillId="0" borderId="0" xfId="0" applyFont="1" applyAlignment="1">
      <alignment horizontal="left" vertical="center" wrapText="1"/>
    </xf>
    <xf numFmtId="0" fontId="28" fillId="0" borderId="0" xfId="0" applyFont="1" applyBorder="1"/>
    <xf numFmtId="0" fontId="10" fillId="7" borderId="0" xfId="0" applyFont="1" applyFill="1" applyAlignment="1">
      <alignment vertical="center" wrapText="1"/>
    </xf>
    <xf numFmtId="0" fontId="10" fillId="7" borderId="0" xfId="0" applyFont="1" applyFill="1" applyAlignment="1">
      <alignment horizontal="center" vertical="center" wrapText="1"/>
    </xf>
    <xf numFmtId="0" fontId="10" fillId="0" borderId="0" xfId="0" applyFont="1" applyAlignment="1">
      <alignment vertical="center" wrapText="1"/>
    </xf>
    <xf numFmtId="0" fontId="10" fillId="0" borderId="0" xfId="0" applyFont="1"/>
    <xf numFmtId="0" fontId="10" fillId="0" borderId="0" xfId="0" applyFont="1" applyFill="1"/>
    <xf numFmtId="0" fontId="10" fillId="0" borderId="0" xfId="0" applyFont="1" applyAlignment="1">
      <alignment horizontal="center" vertical="center"/>
    </xf>
    <xf numFmtId="0" fontId="10" fillId="0" borderId="0" xfId="0" applyFont="1" applyAlignment="1">
      <alignment horizontal="center" vertical="center" wrapText="1"/>
    </xf>
    <xf numFmtId="0" fontId="10" fillId="0" borderId="0" xfId="0" applyFont="1" applyBorder="1" applyAlignment="1">
      <alignment horizontal="center" vertical="center"/>
    </xf>
    <xf numFmtId="0" fontId="11" fillId="0" borderId="0" xfId="0" applyFont="1" applyAlignment="1">
      <alignment horizontal="center" vertical="center"/>
    </xf>
    <xf numFmtId="0" fontId="19" fillId="0" borderId="41" xfId="0" applyFont="1" applyBorder="1" applyAlignment="1">
      <alignment horizontal="left" vertical="center"/>
    </xf>
    <xf numFmtId="0" fontId="38" fillId="0" borderId="41" xfId="7" applyFont="1" applyFill="1" applyBorder="1" applyAlignment="1">
      <alignment horizontal="left" vertical="top" wrapText="1"/>
    </xf>
    <xf numFmtId="0" fontId="34" fillId="0" borderId="0" xfId="0" applyFont="1" applyBorder="1" applyAlignment="1">
      <alignment horizontal="left" vertical="top" wrapText="1"/>
    </xf>
    <xf numFmtId="0" fontId="34" fillId="0" borderId="0" xfId="0" applyFont="1" applyBorder="1" applyAlignment="1">
      <alignment horizontal="left" vertical="center" wrapText="1"/>
    </xf>
    <xf numFmtId="0" fontId="8" fillId="0" borderId="0" xfId="0" applyFont="1" applyAlignment="1">
      <alignment vertical="center" wrapText="1"/>
    </xf>
    <xf numFmtId="0" fontId="8" fillId="0" borderId="0" xfId="0" applyFont="1" applyBorder="1" applyAlignment="1">
      <alignment vertical="center" wrapText="1"/>
    </xf>
    <xf numFmtId="0" fontId="8" fillId="0" borderId="0" xfId="0" applyFont="1" applyFill="1" applyBorder="1" applyAlignment="1">
      <alignment horizontal="left" vertical="top" wrapText="1" indent="1"/>
    </xf>
    <xf numFmtId="0" fontId="8" fillId="7" borderId="0" xfId="0" applyFont="1" applyFill="1" applyAlignment="1">
      <alignment vertical="center" wrapText="1"/>
    </xf>
    <xf numFmtId="0" fontId="8" fillId="7" borderId="0" xfId="0" applyFont="1" applyFill="1" applyAlignment="1">
      <alignment horizontal="center" vertical="center" wrapText="1"/>
    </xf>
    <xf numFmtId="0" fontId="8" fillId="0" borderId="0" xfId="0" applyFont="1"/>
    <xf numFmtId="0" fontId="8" fillId="0" borderId="0" xfId="0" applyFont="1" applyBorder="1" applyAlignment="1">
      <alignment vertical="top"/>
    </xf>
    <xf numFmtId="0" fontId="8" fillId="0" borderId="0" xfId="0" applyFont="1" applyAlignment="1">
      <alignment vertical="center"/>
    </xf>
    <xf numFmtId="0" fontId="8" fillId="0" borderId="0" xfId="0" applyFont="1" applyBorder="1" applyAlignment="1">
      <alignment horizontal="left" vertical="top" indent="1"/>
    </xf>
    <xf numFmtId="0" fontId="8" fillId="0" borderId="0" xfId="0" applyFont="1" applyFill="1" applyBorder="1" applyAlignment="1">
      <alignment horizontal="left" vertical="top" indent="1"/>
    </xf>
    <xf numFmtId="0" fontId="8" fillId="0" borderId="0" xfId="0" applyFont="1" applyBorder="1" applyAlignment="1">
      <alignment horizontal="left" vertical="center" wrapText="1" indent="1"/>
    </xf>
    <xf numFmtId="0" fontId="8" fillId="0" borderId="0" xfId="0" applyFont="1" applyFill="1" applyBorder="1" applyAlignment="1">
      <alignment horizontal="left" vertical="center" wrapText="1" indent="1"/>
    </xf>
    <xf numFmtId="0" fontId="8" fillId="0" borderId="0" xfId="0" applyFont="1" applyAlignment="1">
      <alignment horizontal="center" vertical="center" wrapText="1"/>
    </xf>
    <xf numFmtId="0" fontId="8" fillId="0" borderId="0" xfId="0" applyFont="1" applyBorder="1" applyAlignment="1">
      <alignment horizontal="left" vertical="center" indent="2"/>
    </xf>
    <xf numFmtId="0" fontId="8" fillId="0" borderId="0" xfId="0" applyFont="1" applyBorder="1" applyAlignment="1">
      <alignment horizontal="left" vertical="top" indent="2"/>
    </xf>
    <xf numFmtId="0" fontId="8" fillId="0" borderId="0" xfId="0" applyFont="1" applyAlignment="1">
      <alignment horizontal="left" vertical="center" wrapText="1" indent="1"/>
    </xf>
    <xf numFmtId="0" fontId="8" fillId="0" borderId="0" xfId="0" applyFont="1" applyBorder="1" applyAlignment="1">
      <alignment vertical="top" wrapText="1"/>
    </xf>
    <xf numFmtId="0" fontId="34" fillId="8" borderId="6" xfId="0" applyFont="1" applyFill="1" applyBorder="1" applyAlignment="1">
      <alignment vertical="center"/>
    </xf>
    <xf numFmtId="0" fontId="34" fillId="8" borderId="5" xfId="0" applyFont="1" applyFill="1" applyBorder="1" applyAlignment="1">
      <alignment vertical="center"/>
    </xf>
    <xf numFmtId="0" fontId="11" fillId="0" borderId="0" xfId="0" applyFont="1" applyAlignment="1">
      <alignment vertical="center" wrapText="1"/>
    </xf>
    <xf numFmtId="0" fontId="11" fillId="0" borderId="11" xfId="0" applyFont="1" applyBorder="1" applyAlignment="1">
      <alignment horizontal="center" vertical="center"/>
    </xf>
    <xf numFmtId="0" fontId="11" fillId="0" borderId="73" xfId="0" applyFont="1" applyBorder="1" applyAlignment="1">
      <alignment horizontal="center" vertical="center"/>
    </xf>
    <xf numFmtId="0" fontId="11" fillId="0" borderId="0" xfId="0" applyFont="1" applyAlignment="1">
      <alignment horizontal="left" vertical="center" indent="1"/>
    </xf>
    <xf numFmtId="0" fontId="11" fillId="0" borderId="0" xfId="13" applyFont="1"/>
    <xf numFmtId="0" fontId="34" fillId="0" borderId="0" xfId="0" applyFont="1" applyBorder="1" applyAlignment="1">
      <alignment vertical="center"/>
    </xf>
    <xf numFmtId="0" fontId="29" fillId="0" borderId="0" xfId="0" applyFont="1" applyBorder="1" applyAlignment="1">
      <alignment vertical="center"/>
    </xf>
    <xf numFmtId="0" fontId="34" fillId="0" borderId="14" xfId="0" applyFont="1" applyBorder="1" applyAlignment="1">
      <alignment vertical="center"/>
    </xf>
    <xf numFmtId="0" fontId="11" fillId="0" borderId="0" xfId="13"/>
    <xf numFmtId="0" fontId="16" fillId="0" borderId="0" xfId="14" applyFont="1" applyAlignment="1">
      <alignment horizontal="center" vertical="center" wrapText="1"/>
    </xf>
    <xf numFmtId="0" fontId="16" fillId="0" borderId="0" xfId="14" applyFont="1" applyAlignment="1">
      <alignment vertical="center" wrapText="1"/>
    </xf>
    <xf numFmtId="0" fontId="16" fillId="0" borderId="0" xfId="14" applyFont="1" applyAlignment="1">
      <alignment horizontal="center" vertical="center"/>
    </xf>
    <xf numFmtId="0" fontId="50" fillId="0" borderId="0" xfId="14" applyFont="1" applyAlignment="1">
      <alignment vertical="center"/>
    </xf>
    <xf numFmtId="0" fontId="51" fillId="0" borderId="0" xfId="14" applyFont="1" applyAlignment="1">
      <alignment vertical="center" wrapText="1"/>
    </xf>
    <xf numFmtId="164" fontId="16" fillId="0" borderId="4" xfId="14" applyNumberFormat="1" applyFont="1" applyFill="1" applyBorder="1" applyAlignment="1">
      <alignment horizontal="center" vertical="center" wrapText="1"/>
    </xf>
    <xf numFmtId="3" fontId="16" fillId="2" borderId="89" xfId="14" applyNumberFormat="1" applyFont="1" applyFill="1" applyBorder="1" applyAlignment="1">
      <alignment horizontal="center" vertical="center" wrapText="1"/>
    </xf>
    <xf numFmtId="164" fontId="16" fillId="0" borderId="90" xfId="14" applyNumberFormat="1" applyFont="1" applyFill="1" applyBorder="1" applyAlignment="1">
      <alignment horizontal="center" vertical="center" wrapText="1"/>
    </xf>
    <xf numFmtId="3" fontId="16" fillId="2" borderId="7" xfId="14" applyNumberFormat="1" applyFont="1" applyFill="1" applyBorder="1" applyAlignment="1">
      <alignment horizontal="center" vertical="center" wrapText="1"/>
    </xf>
    <xf numFmtId="0" fontId="51" fillId="0" borderId="0" xfId="14" applyFont="1" applyAlignment="1">
      <alignment vertical="center"/>
    </xf>
    <xf numFmtId="0" fontId="17" fillId="3" borderId="90" xfId="14" applyFont="1" applyFill="1" applyBorder="1" applyAlignment="1">
      <alignment horizontal="center" vertical="center" wrapText="1"/>
    </xf>
    <xf numFmtId="0" fontId="17" fillId="3" borderId="7" xfId="14" applyFont="1" applyFill="1" applyBorder="1" applyAlignment="1">
      <alignment horizontal="center" vertical="center" wrapText="1"/>
    </xf>
    <xf numFmtId="164" fontId="15" fillId="0" borderId="4" xfId="14" applyNumberFormat="1" applyFont="1" applyFill="1" applyBorder="1" applyAlignment="1">
      <alignment horizontal="center" vertical="center" wrapText="1"/>
    </xf>
    <xf numFmtId="3" fontId="15" fillId="0" borderId="89" xfId="14" applyNumberFormat="1" applyFont="1" applyFill="1" applyBorder="1" applyAlignment="1">
      <alignment horizontal="center" vertical="center" wrapText="1"/>
    </xf>
    <xf numFmtId="164" fontId="15" fillId="0" borderId="90" xfId="14" applyNumberFormat="1" applyFont="1" applyFill="1" applyBorder="1" applyAlignment="1">
      <alignment horizontal="center" vertical="center" wrapText="1"/>
    </xf>
    <xf numFmtId="3" fontId="15" fillId="0" borderId="7" xfId="14" applyNumberFormat="1" applyFont="1" applyFill="1" applyBorder="1" applyAlignment="1">
      <alignment horizontal="center" vertical="center" wrapText="1"/>
    </xf>
    <xf numFmtId="0" fontId="15" fillId="0" borderId="16" xfId="14" applyFont="1" applyFill="1" applyBorder="1" applyAlignment="1">
      <alignment horizontal="center" vertical="center" wrapText="1"/>
    </xf>
    <xf numFmtId="0" fontId="15" fillId="0" borderId="3" xfId="14" applyFont="1" applyFill="1" applyBorder="1" applyAlignment="1">
      <alignment horizontal="center" vertical="center" wrapText="1"/>
    </xf>
    <xf numFmtId="0" fontId="16" fillId="0" borderId="16" xfId="14" applyFont="1" applyFill="1" applyBorder="1" applyAlignment="1">
      <alignment horizontal="center" vertical="center" wrapText="1"/>
    </xf>
    <xf numFmtId="0" fontId="17" fillId="3" borderId="16" xfId="14" applyFont="1" applyFill="1" applyBorder="1" applyAlignment="1">
      <alignment horizontal="center" vertical="center" wrapText="1"/>
    </xf>
    <xf numFmtId="0" fontId="53" fillId="2" borderId="89" xfId="14" applyFont="1" applyFill="1" applyBorder="1" applyAlignment="1">
      <alignment horizontal="left" vertical="center" wrapText="1"/>
    </xf>
    <xf numFmtId="0" fontId="54" fillId="0" borderId="0" xfId="14" applyFont="1" applyAlignment="1">
      <alignment vertical="center"/>
    </xf>
    <xf numFmtId="0" fontId="17" fillId="3" borderId="2" xfId="14" applyFont="1" applyFill="1" applyBorder="1" applyAlignment="1">
      <alignment horizontal="center" vertical="center" wrapText="1"/>
    </xf>
    <xf numFmtId="0" fontId="55" fillId="3" borderId="15" xfId="14" applyFont="1" applyFill="1" applyBorder="1" applyAlignment="1">
      <alignment horizontal="left" vertical="top"/>
    </xf>
    <xf numFmtId="0" fontId="55" fillId="3" borderId="16" xfId="14" applyFont="1" applyFill="1" applyBorder="1" applyAlignment="1">
      <alignment horizontal="left" vertical="top"/>
    </xf>
    <xf numFmtId="0" fontId="47" fillId="3" borderId="16" xfId="14" applyFont="1" applyFill="1" applyBorder="1" applyAlignment="1">
      <alignment horizontal="left" vertical="top"/>
    </xf>
    <xf numFmtId="0" fontId="56" fillId="3" borderId="16" xfId="14" quotePrefix="1" applyFont="1" applyFill="1" applyBorder="1" applyAlignment="1">
      <alignment horizontal="left" vertical="center"/>
    </xf>
    <xf numFmtId="0" fontId="57" fillId="3" borderId="3" xfId="14" applyFont="1" applyFill="1" applyBorder="1" applyAlignment="1">
      <alignment horizontal="left" vertical="center" wrapText="1"/>
    </xf>
    <xf numFmtId="3" fontId="45" fillId="0" borderId="77" xfId="13" applyNumberFormat="1" applyFont="1" applyFill="1" applyBorder="1" applyAlignment="1">
      <alignment horizontal="left" vertical="center" wrapText="1"/>
    </xf>
    <xf numFmtId="3" fontId="11" fillId="0" borderId="0" xfId="13" applyNumberFormat="1"/>
    <xf numFmtId="0" fontId="11" fillId="10" borderId="0" xfId="13" applyFill="1"/>
    <xf numFmtId="3" fontId="11" fillId="10" borderId="0" xfId="13" applyNumberFormat="1" applyFont="1" applyFill="1"/>
    <xf numFmtId="3" fontId="11" fillId="10" borderId="0" xfId="13" applyNumberFormat="1" applyFill="1"/>
    <xf numFmtId="0" fontId="11" fillId="0" borderId="82" xfId="13" applyBorder="1"/>
    <xf numFmtId="2" fontId="11" fillId="0" borderId="0" xfId="13" applyNumberFormat="1"/>
    <xf numFmtId="0" fontId="24" fillId="0" borderId="0" xfId="13" applyFont="1"/>
    <xf numFmtId="164" fontId="0" fillId="0" borderId="0" xfId="10" applyNumberFormat="1" applyFont="1"/>
    <xf numFmtId="165" fontId="11" fillId="0" borderId="0" xfId="13" applyNumberFormat="1"/>
    <xf numFmtId="0" fontId="11" fillId="0" borderId="0" xfId="13" applyAlignment="1">
      <alignment horizontal="left"/>
    </xf>
    <xf numFmtId="168" fontId="11" fillId="0" borderId="0" xfId="13" applyNumberFormat="1"/>
    <xf numFmtId="0" fontId="11" fillId="0" borderId="0" xfId="13" applyFont="1" applyAlignment="1">
      <alignment horizontal="left"/>
    </xf>
    <xf numFmtId="4" fontId="11" fillId="0" borderId="0" xfId="13" applyNumberFormat="1"/>
    <xf numFmtId="2" fontId="11" fillId="0" borderId="0" xfId="13" applyNumberFormat="1" applyFont="1"/>
    <xf numFmtId="0" fontId="11" fillId="0" borderId="82" xfId="13" applyFont="1" applyBorder="1"/>
    <xf numFmtId="178" fontId="11" fillId="0" borderId="0" xfId="12" applyNumberFormat="1" applyFont="1"/>
    <xf numFmtId="0" fontId="11" fillId="0" borderId="99" xfId="13" applyBorder="1"/>
    <xf numFmtId="0" fontId="11" fillId="0" borderId="82" xfId="13" applyFont="1" applyFill="1" applyBorder="1"/>
    <xf numFmtId="0" fontId="11" fillId="0" borderId="0" xfId="13" applyAlignment="1">
      <alignment wrapText="1"/>
    </xf>
    <xf numFmtId="0" fontId="11" fillId="0" borderId="0" xfId="13" applyFont="1" applyAlignment="1">
      <alignment wrapText="1"/>
    </xf>
    <xf numFmtId="0" fontId="24" fillId="0" borderId="0" xfId="13" applyFont="1" applyAlignment="1">
      <alignment wrapText="1"/>
    </xf>
    <xf numFmtId="0" fontId="13" fillId="0" borderId="0" xfId="15"/>
    <xf numFmtId="0" fontId="13" fillId="5" borderId="0" xfId="15" applyFill="1"/>
    <xf numFmtId="0" fontId="14" fillId="5" borderId="0" xfId="15" applyFont="1" applyFill="1"/>
    <xf numFmtId="165" fontId="14" fillId="5" borderId="82" xfId="15" applyNumberFormat="1" applyFont="1" applyFill="1" applyBorder="1"/>
    <xf numFmtId="2" fontId="14" fillId="5" borderId="82" xfId="15" applyNumberFormat="1" applyFont="1" applyFill="1" applyBorder="1"/>
    <xf numFmtId="0" fontId="13" fillId="5" borderId="0" xfId="15" applyFont="1" applyFill="1"/>
    <xf numFmtId="171" fontId="14" fillId="5" borderId="82" xfId="12" applyNumberFormat="1" applyFont="1" applyFill="1" applyBorder="1"/>
    <xf numFmtId="0" fontId="13" fillId="5" borderId="0" xfId="15" applyFill="1" applyBorder="1"/>
    <xf numFmtId="165" fontId="13" fillId="5" borderId="0" xfId="15" applyNumberFormat="1" applyFill="1" applyBorder="1" applyAlignment="1">
      <alignment horizontal="right"/>
    </xf>
    <xf numFmtId="165" fontId="14" fillId="5" borderId="0" xfId="15" applyNumberFormat="1" applyFont="1" applyFill="1" applyBorder="1" applyAlignment="1">
      <alignment horizontal="left"/>
    </xf>
    <xf numFmtId="43" fontId="24" fillId="0" borderId="82" xfId="16" applyFont="1" applyBorder="1"/>
    <xf numFmtId="10" fontId="0" fillId="0" borderId="82" xfId="17" applyNumberFormat="1" applyFont="1" applyBorder="1"/>
    <xf numFmtId="171" fontId="0" fillId="0" borderId="82" xfId="16" applyNumberFormat="1" applyFont="1" applyBorder="1"/>
    <xf numFmtId="37" fontId="0" fillId="0" borderId="82" xfId="16" applyNumberFormat="1" applyFont="1" applyBorder="1"/>
    <xf numFmtId="0" fontId="13" fillId="0" borderId="80" xfId="15" applyBorder="1"/>
    <xf numFmtId="0" fontId="13" fillId="0" borderId="79" xfId="15" applyBorder="1"/>
    <xf numFmtId="0" fontId="13" fillId="0" borderId="84" xfId="15" applyBorder="1"/>
    <xf numFmtId="0" fontId="13" fillId="5" borderId="83" xfId="15" applyFill="1" applyBorder="1"/>
    <xf numFmtId="0" fontId="59" fillId="5" borderId="86" xfId="15" applyFont="1" applyFill="1" applyBorder="1"/>
    <xf numFmtId="179" fontId="59" fillId="5" borderId="81" xfId="15" applyNumberFormat="1" applyFont="1" applyFill="1" applyBorder="1"/>
    <xf numFmtId="0" fontId="14" fillId="5" borderId="78" xfId="15" applyFont="1" applyFill="1" applyBorder="1"/>
    <xf numFmtId="0" fontId="13" fillId="5" borderId="0" xfId="15" applyFill="1" applyBorder="1" applyAlignment="1">
      <alignment horizontal="center"/>
    </xf>
    <xf numFmtId="0" fontId="13" fillId="5" borderId="0" xfId="15" quotePrefix="1" applyFill="1" applyBorder="1"/>
    <xf numFmtId="0" fontId="13" fillId="5" borderId="102" xfId="15" applyFill="1" applyBorder="1"/>
    <xf numFmtId="0" fontId="13" fillId="5" borderId="85" xfId="15" applyFill="1" applyBorder="1"/>
    <xf numFmtId="0" fontId="14" fillId="5" borderId="88" xfId="15" applyFont="1" applyFill="1" applyBorder="1"/>
    <xf numFmtId="0" fontId="13" fillId="0" borderId="83" xfId="15" applyBorder="1"/>
    <xf numFmtId="0" fontId="13" fillId="0" borderId="0" xfId="15" applyBorder="1"/>
    <xf numFmtId="3" fontId="13" fillId="0" borderId="0" xfId="15" applyNumberFormat="1" applyBorder="1"/>
    <xf numFmtId="180" fontId="13" fillId="0" borderId="78" xfId="15" applyNumberFormat="1" applyBorder="1"/>
    <xf numFmtId="180" fontId="13" fillId="5" borderId="78" xfId="15" applyNumberFormat="1" applyFill="1" applyBorder="1" applyAlignment="1">
      <alignment horizontal="left"/>
    </xf>
    <xf numFmtId="0" fontId="13" fillId="5" borderId="78" xfId="15" applyFill="1" applyBorder="1" applyAlignment="1">
      <alignment horizontal="left"/>
    </xf>
    <xf numFmtId="174" fontId="13" fillId="0" borderId="78" xfId="15" applyNumberFormat="1" applyBorder="1"/>
    <xf numFmtId="181" fontId="13" fillId="5" borderId="0" xfId="15" applyNumberFormat="1" applyFill="1" applyBorder="1"/>
    <xf numFmtId="171" fontId="13" fillId="5" borderId="78" xfId="15" applyNumberFormat="1" applyFill="1" applyBorder="1" applyAlignment="1">
      <alignment horizontal="left"/>
    </xf>
    <xf numFmtId="0" fontId="13" fillId="5" borderId="80" xfId="15" applyFill="1" applyBorder="1"/>
    <xf numFmtId="0" fontId="13" fillId="5" borderId="79" xfId="15" applyFill="1" applyBorder="1"/>
    <xf numFmtId="0" fontId="13" fillId="5" borderId="84" xfId="15" applyFill="1" applyBorder="1"/>
    <xf numFmtId="0" fontId="13" fillId="5" borderId="78" xfId="15" applyFill="1" applyBorder="1"/>
    <xf numFmtId="182" fontId="13" fillId="5" borderId="85" xfId="15" applyNumberFormat="1" applyFill="1" applyBorder="1"/>
    <xf numFmtId="0" fontId="13" fillId="5" borderId="88" xfId="15" applyFill="1" applyBorder="1"/>
    <xf numFmtId="0" fontId="60" fillId="5" borderId="0" xfId="15" applyFont="1" applyFill="1"/>
    <xf numFmtId="0" fontId="14" fillId="5" borderId="82" xfId="15" applyFont="1" applyFill="1" applyBorder="1"/>
    <xf numFmtId="165" fontId="13" fillId="5" borderId="85" xfId="15" applyNumberFormat="1" applyFill="1" applyBorder="1" applyAlignment="1">
      <alignment horizontal="right"/>
    </xf>
    <xf numFmtId="43" fontId="14" fillId="5" borderId="82" xfId="16" applyFont="1" applyFill="1" applyBorder="1"/>
    <xf numFmtId="174" fontId="14" fillId="5" borderId="82" xfId="15" applyNumberFormat="1" applyFont="1" applyFill="1" applyBorder="1"/>
    <xf numFmtId="183" fontId="13" fillId="5" borderId="82" xfId="15" applyNumberFormat="1" applyFill="1" applyBorder="1"/>
    <xf numFmtId="43" fontId="13" fillId="5" borderId="82" xfId="15" applyNumberFormat="1" applyFill="1" applyBorder="1"/>
    <xf numFmtId="174" fontId="13" fillId="5" borderId="82" xfId="15" applyNumberFormat="1" applyFill="1" applyBorder="1"/>
    <xf numFmtId="174" fontId="0" fillId="5" borderId="82" xfId="16" applyNumberFormat="1" applyFont="1" applyFill="1" applyBorder="1"/>
    <xf numFmtId="0" fontId="13" fillId="5" borderId="82" xfId="15" applyFill="1" applyBorder="1"/>
    <xf numFmtId="0" fontId="13" fillId="5" borderId="82" xfId="15" applyFill="1" applyBorder="1" applyAlignment="1">
      <alignment horizontal="center"/>
    </xf>
    <xf numFmtId="165" fontId="13" fillId="5" borderId="82" xfId="15" applyNumberFormat="1" applyFill="1" applyBorder="1"/>
    <xf numFmtId="0" fontId="13" fillId="0" borderId="82" xfId="15" applyBorder="1"/>
    <xf numFmtId="0" fontId="13" fillId="5" borderId="86" xfId="15" applyFill="1" applyBorder="1" applyAlignment="1">
      <alignment horizontal="center"/>
    </xf>
    <xf numFmtId="0" fontId="13" fillId="5" borderId="87" xfId="15" applyFill="1" applyBorder="1"/>
    <xf numFmtId="0" fontId="13" fillId="5" borderId="81" xfId="15" applyFill="1" applyBorder="1"/>
    <xf numFmtId="184" fontId="13" fillId="5" borderId="82" xfId="15" applyNumberFormat="1" applyFill="1" applyBorder="1"/>
    <xf numFmtId="183" fontId="59" fillId="5" borderId="81" xfId="15" applyNumberFormat="1" applyFont="1" applyFill="1" applyBorder="1"/>
    <xf numFmtId="0" fontId="13" fillId="5" borderId="0" xfId="15" applyFill="1" applyAlignment="1">
      <alignment horizontal="center"/>
    </xf>
    <xf numFmtId="0" fontId="59" fillId="5" borderId="81" xfId="15" applyFont="1" applyFill="1" applyBorder="1"/>
    <xf numFmtId="9" fontId="13" fillId="5" borderId="0" xfId="15" applyNumberFormat="1" applyFill="1"/>
    <xf numFmtId="184" fontId="13" fillId="5" borderId="0" xfId="15" applyNumberFormat="1" applyFill="1"/>
    <xf numFmtId="171" fontId="0" fillId="5" borderId="0" xfId="16" applyNumberFormat="1" applyFont="1" applyFill="1"/>
    <xf numFmtId="183" fontId="13" fillId="5" borderId="0" xfId="15" applyNumberFormat="1" applyFill="1"/>
    <xf numFmtId="0" fontId="13" fillId="5" borderId="0" xfId="15" quotePrefix="1" applyFill="1"/>
    <xf numFmtId="171" fontId="0" fillId="5" borderId="82" xfId="16" applyNumberFormat="1" applyFont="1" applyFill="1" applyBorder="1"/>
    <xf numFmtId="0" fontId="13" fillId="5" borderId="82" xfId="15" applyFill="1" applyBorder="1" applyAlignment="1">
      <alignment horizontal="right"/>
    </xf>
    <xf numFmtId="171" fontId="0" fillId="5" borderId="0" xfId="16" applyNumberFormat="1" applyFont="1" applyFill="1" applyBorder="1"/>
    <xf numFmtId="0" fontId="14" fillId="5" borderId="0" xfId="15" applyFont="1" applyFill="1" applyBorder="1"/>
    <xf numFmtId="0" fontId="22" fillId="5" borderId="0" xfId="2" applyFont="1" applyFill="1" applyBorder="1" applyAlignment="1" applyProtection="1">
      <alignment horizontal="left" vertical="top" wrapText="1"/>
    </xf>
    <xf numFmtId="0" fontId="34" fillId="4" borderId="3" xfId="0" applyFont="1" applyFill="1" applyBorder="1" applyAlignment="1">
      <alignment horizontal="center" vertical="center"/>
    </xf>
    <xf numFmtId="0" fontId="6" fillId="7" borderId="0" xfId="0" applyFont="1" applyFill="1" applyAlignment="1">
      <alignment vertical="center" wrapText="1"/>
    </xf>
    <xf numFmtId="0" fontId="6" fillId="7" borderId="0" xfId="0" applyFont="1" applyFill="1" applyAlignment="1">
      <alignment horizontal="center" vertical="center" wrapText="1"/>
    </xf>
    <xf numFmtId="0" fontId="6" fillId="0" borderId="0" xfId="0" applyFont="1"/>
    <xf numFmtId="0" fontId="6" fillId="0" borderId="0" xfId="0" applyFont="1" applyAlignment="1">
      <alignment vertical="center" wrapText="1"/>
    </xf>
    <xf numFmtId="0" fontId="39" fillId="6" borderId="24" xfId="0" applyFont="1" applyFill="1" applyBorder="1" applyAlignment="1" applyProtection="1">
      <alignment horizontal="left" vertical="center" wrapText="1"/>
      <protection locked="0"/>
    </xf>
    <xf numFmtId="0" fontId="25" fillId="0" borderId="32" xfId="0" applyFont="1" applyFill="1" applyBorder="1" applyAlignment="1" applyProtection="1">
      <alignment horizontal="left" vertical="center" wrapText="1"/>
    </xf>
    <xf numFmtId="3" fontId="39" fillId="0" borderId="27" xfId="0" applyNumberFormat="1" applyFont="1" applyBorder="1" applyAlignment="1">
      <alignment horizontal="right" vertical="center"/>
    </xf>
    <xf numFmtId="3" fontId="39" fillId="0" borderId="29" xfId="0" applyNumberFormat="1" applyFont="1" applyBorder="1" applyAlignment="1">
      <alignment horizontal="right" vertical="center"/>
    </xf>
    <xf numFmtId="3" fontId="39" fillId="6" borderId="28" xfId="0" applyNumberFormat="1" applyFont="1" applyFill="1" applyBorder="1" applyAlignment="1" applyProtection="1">
      <alignment horizontal="right" vertical="center" wrapText="1"/>
      <protection locked="0"/>
    </xf>
    <xf numFmtId="0" fontId="39" fillId="4" borderId="36" xfId="0" applyFont="1" applyFill="1" applyBorder="1" applyAlignment="1">
      <alignment vertical="center"/>
    </xf>
    <xf numFmtId="0" fontId="39" fillId="4" borderId="64" xfId="0" applyFont="1" applyFill="1" applyBorder="1" applyAlignment="1">
      <alignment vertical="center"/>
    </xf>
    <xf numFmtId="0" fontId="39" fillId="6" borderId="21" xfId="0" applyFont="1" applyFill="1" applyBorder="1" applyAlignment="1" applyProtection="1">
      <alignment horizontal="right" vertical="center" wrapText="1"/>
      <protection locked="0"/>
    </xf>
    <xf numFmtId="0" fontId="63" fillId="0" borderId="30" xfId="0" applyFont="1" applyFill="1" applyBorder="1" applyAlignment="1" applyProtection="1">
      <alignment horizontal="center" vertical="center"/>
    </xf>
    <xf numFmtId="0" fontId="39" fillId="4" borderId="40" xfId="0" applyFont="1" applyFill="1" applyBorder="1" applyAlignment="1">
      <alignment vertical="center"/>
    </xf>
    <xf numFmtId="0" fontId="39" fillId="4" borderId="42" xfId="0" applyFont="1" applyFill="1" applyBorder="1" applyAlignment="1">
      <alignment horizontal="center" vertical="center"/>
    </xf>
    <xf numFmtId="0" fontId="39" fillId="4" borderId="55" xfId="0" applyFont="1" applyFill="1" applyBorder="1" applyAlignment="1">
      <alignment vertical="center"/>
    </xf>
    <xf numFmtId="0" fontId="39" fillId="4" borderId="37" xfId="0" applyFont="1" applyFill="1" applyBorder="1" applyAlignment="1">
      <alignment horizontal="center" vertical="center"/>
    </xf>
    <xf numFmtId="0" fontId="39" fillId="6" borderId="24" xfId="0" applyFont="1" applyFill="1" applyBorder="1" applyAlignment="1" applyProtection="1">
      <alignment horizontal="right" vertical="center" wrapText="1"/>
      <protection locked="0"/>
    </xf>
    <xf numFmtId="0" fontId="39" fillId="4" borderId="42" xfId="0" applyFont="1" applyFill="1" applyBorder="1" applyAlignment="1">
      <alignment vertical="center"/>
    </xf>
    <xf numFmtId="0" fontId="39" fillId="4" borderId="37" xfId="0" applyFont="1" applyFill="1" applyBorder="1" applyAlignment="1">
      <alignment vertical="center"/>
    </xf>
    <xf numFmtId="0" fontId="39" fillId="6" borderId="28" xfId="0" applyFont="1" applyFill="1" applyBorder="1" applyAlignment="1" applyProtection="1">
      <alignment vertical="center" wrapText="1"/>
      <protection locked="0"/>
    </xf>
    <xf numFmtId="166" fontId="39" fillId="6" borderId="28" xfId="0" applyNumberFormat="1" applyFont="1" applyFill="1" applyBorder="1" applyAlignment="1" applyProtection="1">
      <alignment vertical="center" wrapText="1"/>
      <protection locked="0"/>
    </xf>
    <xf numFmtId="165" fontId="39" fillId="6" borderId="21" xfId="0" applyNumberFormat="1" applyFont="1" applyFill="1" applyBorder="1" applyAlignment="1" applyProtection="1">
      <alignment horizontal="right" vertical="center" wrapText="1"/>
      <protection locked="0"/>
    </xf>
    <xf numFmtId="165" fontId="39" fillId="6" borderId="41" xfId="0" applyNumberFormat="1" applyFont="1" applyFill="1" applyBorder="1" applyAlignment="1" applyProtection="1">
      <alignment horizontal="right" vertical="center" wrapText="1"/>
      <protection locked="0"/>
    </xf>
    <xf numFmtId="165" fontId="39" fillId="0" borderId="41" xfId="0" applyNumberFormat="1" applyFont="1" applyFill="1" applyBorder="1" applyAlignment="1">
      <alignment horizontal="right" vertical="center" wrapText="1"/>
    </xf>
    <xf numFmtId="0" fontId="39" fillId="4" borderId="62" xfId="0" applyFont="1" applyFill="1" applyBorder="1" applyAlignment="1">
      <alignment vertical="center"/>
    </xf>
    <xf numFmtId="0" fontId="39" fillId="4" borderId="72" xfId="0" applyFont="1" applyFill="1" applyBorder="1" applyAlignment="1">
      <alignment vertical="center"/>
    </xf>
    <xf numFmtId="0" fontId="39" fillId="4" borderId="20" xfId="0" applyFont="1" applyFill="1" applyBorder="1" applyAlignment="1">
      <alignment vertical="center"/>
    </xf>
    <xf numFmtId="0" fontId="39" fillId="4" borderId="22" xfId="0" applyFont="1" applyFill="1" applyBorder="1" applyAlignment="1">
      <alignment vertical="center"/>
    </xf>
    <xf numFmtId="3" fontId="39" fillId="6" borderId="41" xfId="0" applyNumberFormat="1" applyFont="1" applyFill="1" applyBorder="1" applyAlignment="1" applyProtection="1">
      <alignment horizontal="right" vertical="center" wrapText="1"/>
      <protection locked="0"/>
    </xf>
    <xf numFmtId="3" fontId="39" fillId="6" borderId="26" xfId="0" applyNumberFormat="1" applyFont="1" applyFill="1" applyBorder="1" applyAlignment="1" applyProtection="1">
      <alignment horizontal="right" vertical="center" wrapText="1"/>
      <protection locked="0"/>
    </xf>
    <xf numFmtId="0" fontId="39" fillId="4" borderId="23" xfId="0" applyFont="1" applyFill="1" applyBorder="1" applyAlignment="1">
      <alignment vertical="center"/>
    </xf>
    <xf numFmtId="0" fontId="39" fillId="4" borderId="25" xfId="0" applyFont="1" applyFill="1" applyBorder="1" applyAlignment="1">
      <alignment vertical="center"/>
    </xf>
    <xf numFmtId="0" fontId="39" fillId="4" borderId="22" xfId="0" applyFont="1" applyFill="1" applyBorder="1" applyAlignment="1">
      <alignment vertical="center" wrapText="1"/>
    </xf>
    <xf numFmtId="0" fontId="39" fillId="4" borderId="25" xfId="0" applyFont="1" applyFill="1" applyBorder="1" applyAlignment="1">
      <alignment vertical="center" wrapText="1"/>
    </xf>
    <xf numFmtId="0" fontId="39" fillId="4" borderId="27" xfId="0" applyFont="1" applyFill="1" applyBorder="1" applyAlignment="1">
      <alignment vertical="center"/>
    </xf>
    <xf numFmtId="0" fontId="39" fillId="4" borderId="29" xfId="0" applyFont="1" applyFill="1" applyBorder="1" applyAlignment="1">
      <alignment vertical="center"/>
    </xf>
    <xf numFmtId="0" fontId="39" fillId="4" borderId="22" xfId="0" applyFont="1" applyFill="1" applyBorder="1" applyAlignment="1">
      <alignment horizontal="center" vertical="center"/>
    </xf>
    <xf numFmtId="0" fontId="25" fillId="5" borderId="50" xfId="0" applyFont="1" applyFill="1" applyBorder="1" applyAlignment="1">
      <alignment vertical="center" wrapText="1"/>
    </xf>
    <xf numFmtId="0" fontId="39" fillId="6" borderId="107" xfId="0" applyFont="1" applyFill="1" applyBorder="1" applyAlignment="1" applyProtection="1">
      <alignment horizontal="left" vertical="center" wrapText="1" indent="1"/>
      <protection locked="0"/>
    </xf>
    <xf numFmtId="0" fontId="39" fillId="6" borderId="52" xfId="0" applyFont="1" applyFill="1" applyBorder="1" applyAlignment="1" applyProtection="1">
      <alignment horizontal="left" vertical="center" wrapText="1" indent="1"/>
      <protection locked="0"/>
    </xf>
    <xf numFmtId="0" fontId="25" fillId="5" borderId="106" xfId="0" applyFont="1" applyFill="1" applyBorder="1" applyAlignment="1">
      <alignment vertical="center" wrapText="1"/>
    </xf>
    <xf numFmtId="0" fontId="24" fillId="8" borderId="50" xfId="0" applyFont="1" applyFill="1" applyBorder="1" applyAlignment="1">
      <alignment horizontal="center" vertical="center" wrapText="1"/>
    </xf>
    <xf numFmtId="3" fontId="39" fillId="6" borderId="4" xfId="0" applyNumberFormat="1" applyFont="1" applyFill="1" applyBorder="1" applyAlignment="1" applyProtection="1">
      <alignment horizontal="right" vertical="center" wrapText="1"/>
      <protection locked="0"/>
    </xf>
    <xf numFmtId="0" fontId="63" fillId="0" borderId="50" xfId="0" applyFont="1" applyFill="1" applyBorder="1" applyAlignment="1" applyProtection="1">
      <alignment horizontal="center" vertical="center"/>
    </xf>
    <xf numFmtId="0" fontId="39" fillId="6" borderId="51" xfId="0" applyFont="1" applyFill="1" applyBorder="1" applyAlignment="1" applyProtection="1">
      <alignment horizontal="right" vertical="center" wrapText="1"/>
      <protection locked="0"/>
    </xf>
    <xf numFmtId="0" fontId="39" fillId="6" borderId="107" xfId="0" applyFont="1" applyFill="1" applyBorder="1" applyAlignment="1" applyProtection="1">
      <alignment horizontal="right" vertical="center" wrapText="1"/>
      <protection locked="0"/>
    </xf>
    <xf numFmtId="0" fontId="39" fillId="6" borderId="4" xfId="0" applyFont="1" applyFill="1" applyBorder="1" applyAlignment="1" applyProtection="1">
      <alignment horizontal="left" vertical="center" wrapText="1"/>
      <protection locked="0"/>
    </xf>
    <xf numFmtId="0" fontId="39" fillId="6" borderId="4" xfId="0" applyFont="1" applyFill="1" applyBorder="1" applyAlignment="1" applyProtection="1">
      <alignment horizontal="center" vertical="center" wrapText="1"/>
      <protection locked="0"/>
    </xf>
    <xf numFmtId="166" fontId="39" fillId="6" borderId="4" xfId="0" applyNumberFormat="1" applyFont="1" applyFill="1" applyBorder="1" applyAlignment="1" applyProtection="1">
      <alignment horizontal="left" vertical="center" wrapText="1"/>
      <protection locked="0"/>
    </xf>
    <xf numFmtId="0" fontId="63" fillId="0" borderId="107" xfId="0" applyFont="1" applyFill="1" applyBorder="1" applyAlignment="1" applyProtection="1">
      <alignment horizontal="center" vertical="center"/>
    </xf>
    <xf numFmtId="165" fontId="39" fillId="6" borderId="106" xfId="0" applyNumberFormat="1" applyFont="1" applyFill="1" applyBorder="1" applyAlignment="1" applyProtection="1">
      <alignment horizontal="right" vertical="center" wrapText="1"/>
      <protection locked="0"/>
    </xf>
    <xf numFmtId="165" fontId="39" fillId="6" borderId="51" xfId="0" applyNumberFormat="1" applyFont="1" applyFill="1" applyBorder="1" applyAlignment="1" applyProtection="1">
      <alignment horizontal="right" vertical="center" wrapText="1"/>
      <protection locked="0"/>
    </xf>
    <xf numFmtId="165" fontId="39" fillId="0" borderId="52" xfId="0" applyNumberFormat="1" applyFont="1" applyFill="1" applyBorder="1" applyAlignment="1">
      <alignment horizontal="right" vertical="center" wrapText="1"/>
    </xf>
    <xf numFmtId="0" fontId="63" fillId="0" borderId="106" xfId="0" applyFont="1" applyFill="1" applyBorder="1" applyAlignment="1" applyProtection="1">
      <alignment horizontal="center" vertical="center"/>
    </xf>
    <xf numFmtId="0" fontId="63" fillId="0" borderId="51" xfId="0" applyFont="1" applyFill="1" applyBorder="1" applyAlignment="1" applyProtection="1">
      <alignment horizontal="center" vertical="center"/>
    </xf>
    <xf numFmtId="0" fontId="11" fillId="4" borderId="55" xfId="0" applyFont="1" applyFill="1" applyBorder="1" applyAlignment="1">
      <alignment horizontal="center" vertical="center" wrapText="1"/>
    </xf>
    <xf numFmtId="0" fontId="11" fillId="4" borderId="37" xfId="0" applyFont="1" applyFill="1" applyBorder="1" applyAlignment="1">
      <alignment horizontal="center" vertical="center" wrapText="1"/>
    </xf>
    <xf numFmtId="0" fontId="11" fillId="4" borderId="31"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11" fillId="8" borderId="55" xfId="0" applyFont="1" applyFill="1" applyBorder="1" applyAlignment="1">
      <alignment horizontal="center" vertical="center" wrapText="1"/>
    </xf>
    <xf numFmtId="0" fontId="11" fillId="8" borderId="26" xfId="0" applyFont="1" applyFill="1" applyBorder="1" applyAlignment="1">
      <alignment horizontal="center" vertical="center" wrapText="1"/>
    </xf>
    <xf numFmtId="0" fontId="11" fillId="8" borderId="25" xfId="0" applyFont="1" applyFill="1" applyBorder="1" applyAlignment="1">
      <alignment horizontal="center" vertical="center" wrapText="1"/>
    </xf>
    <xf numFmtId="0" fontId="25" fillId="0" borderId="0" xfId="0" applyFont="1" applyAlignment="1">
      <alignment vertical="center" wrapText="1"/>
    </xf>
    <xf numFmtId="0" fontId="11" fillId="0" borderId="5" xfId="0" applyFont="1" applyFill="1" applyBorder="1" applyAlignment="1">
      <alignment vertical="center" wrapText="1"/>
    </xf>
    <xf numFmtId="0" fontId="11" fillId="0" borderId="5" xfId="0" applyFont="1" applyFill="1" applyBorder="1" applyAlignment="1">
      <alignment horizontal="center" vertical="center" wrapText="1"/>
    </xf>
    <xf numFmtId="0" fontId="25" fillId="6" borderId="41" xfId="0" applyFont="1" applyFill="1" applyBorder="1" applyAlignment="1">
      <alignment vertical="center" wrapText="1"/>
    </xf>
    <xf numFmtId="0" fontId="11" fillId="4" borderId="26" xfId="0" applyFont="1" applyFill="1" applyBorder="1" applyAlignment="1">
      <alignment horizontal="center" vertical="center" wrapText="1"/>
    </xf>
    <xf numFmtId="0" fontId="11" fillId="4" borderId="55" xfId="0" applyFont="1" applyFill="1" applyBorder="1" applyAlignment="1">
      <alignment horizontal="center" vertical="center" textRotation="90" wrapText="1"/>
    </xf>
    <xf numFmtId="0" fontId="11" fillId="4" borderId="26" xfId="0" applyFont="1" applyFill="1" applyBorder="1" applyAlignment="1">
      <alignment horizontal="center" vertical="center" textRotation="90" wrapText="1"/>
    </xf>
    <xf numFmtId="0" fontId="11" fillId="4" borderId="37" xfId="0" applyFont="1" applyFill="1" applyBorder="1" applyAlignment="1">
      <alignment horizontal="center" vertical="center" textRotation="90" wrapText="1"/>
    </xf>
    <xf numFmtId="0" fontId="11" fillId="4" borderId="57" xfId="0" applyFont="1" applyFill="1" applyBorder="1" applyAlignment="1">
      <alignment horizontal="center" vertical="center" textRotation="90" wrapText="1"/>
    </xf>
    <xf numFmtId="0" fontId="11" fillId="4" borderId="56" xfId="0" applyFont="1" applyFill="1" applyBorder="1" applyAlignment="1">
      <alignment horizontal="center" vertical="center" textRotation="90" wrapText="1"/>
    </xf>
    <xf numFmtId="0" fontId="25" fillId="0" borderId="21" xfId="0" applyFont="1" applyBorder="1" applyAlignment="1">
      <alignment vertical="center" wrapText="1"/>
    </xf>
    <xf numFmtId="0" fontId="25" fillId="0" borderId="22" xfId="0" applyFont="1" applyBorder="1" applyAlignment="1">
      <alignment vertical="center" wrapText="1"/>
    </xf>
    <xf numFmtId="0" fontId="25" fillId="6" borderId="42" xfId="0" applyFont="1" applyFill="1" applyBorder="1" applyAlignment="1">
      <alignment vertical="center" wrapText="1"/>
    </xf>
    <xf numFmtId="0" fontId="25" fillId="0" borderId="41" xfId="0" applyFont="1" applyBorder="1" applyAlignment="1">
      <alignment vertical="center" wrapText="1"/>
    </xf>
    <xf numFmtId="0" fontId="25" fillId="0" borderId="42" xfId="0" applyFont="1" applyBorder="1" applyAlignment="1">
      <alignment vertical="center" wrapText="1"/>
    </xf>
    <xf numFmtId="0" fontId="11" fillId="6" borderId="24" xfId="0" applyFont="1" applyFill="1" applyBorder="1" applyAlignment="1">
      <alignment vertical="center" wrapText="1"/>
    </xf>
    <xf numFmtId="0" fontId="11" fillId="6" borderId="25" xfId="0" applyFont="1" applyFill="1" applyBorder="1" applyAlignment="1">
      <alignment vertical="center" wrapText="1"/>
    </xf>
    <xf numFmtId="0" fontId="25" fillId="0" borderId="38" xfId="0" applyFont="1" applyBorder="1" applyAlignment="1">
      <alignment horizontal="left" vertical="center" wrapText="1"/>
    </xf>
    <xf numFmtId="0" fontId="25" fillId="6" borderId="58" xfId="0" applyFont="1" applyFill="1" applyBorder="1" applyAlignment="1">
      <alignment horizontal="left" vertical="center" wrapText="1"/>
    </xf>
    <xf numFmtId="0" fontId="25" fillId="0" borderId="58" xfId="0" applyFont="1" applyBorder="1" applyAlignment="1">
      <alignment horizontal="left" vertical="center" wrapText="1"/>
    </xf>
    <xf numFmtId="0" fontId="11" fillId="6" borderId="60" xfId="0" applyFont="1" applyFill="1" applyBorder="1" applyAlignment="1">
      <alignment horizontal="left" vertical="center" wrapText="1"/>
    </xf>
    <xf numFmtId="0" fontId="25" fillId="0" borderId="33" xfId="0" applyFont="1" applyBorder="1" applyAlignment="1">
      <alignment vertical="center" wrapText="1"/>
    </xf>
    <xf numFmtId="0" fontId="25" fillId="6" borderId="44" xfId="0" applyFont="1" applyFill="1" applyBorder="1" applyAlignment="1">
      <alignment vertical="center" wrapText="1"/>
    </xf>
    <xf numFmtId="0" fontId="25" fillId="0" borderId="44" xfId="0" applyFont="1" applyBorder="1" applyAlignment="1">
      <alignment vertical="center" wrapText="1"/>
    </xf>
    <xf numFmtId="0" fontId="11" fillId="6" borderId="34" xfId="0" applyFont="1" applyFill="1" applyBorder="1" applyAlignment="1">
      <alignment vertical="center" wrapText="1"/>
    </xf>
    <xf numFmtId="0" fontId="5" fillId="0" borderId="0" xfId="0" applyFont="1" applyAlignment="1">
      <alignment vertical="center" wrapText="1"/>
    </xf>
    <xf numFmtId="0" fontId="11" fillId="4" borderId="105" xfId="0" applyFont="1" applyFill="1" applyBorder="1" applyAlignment="1">
      <alignment horizontal="center" vertical="center"/>
    </xf>
    <xf numFmtId="0" fontId="11" fillId="4" borderId="26" xfId="0" applyFont="1" applyFill="1" applyBorder="1" applyAlignment="1">
      <alignment horizontal="center" vertical="center"/>
    </xf>
    <xf numFmtId="0" fontId="11" fillId="4" borderId="37" xfId="0" applyFont="1" applyFill="1" applyBorder="1" applyAlignment="1">
      <alignment horizontal="center" vertical="center"/>
    </xf>
    <xf numFmtId="0" fontId="11" fillId="4" borderId="55" xfId="0" applyFont="1" applyFill="1" applyBorder="1" applyAlignment="1">
      <alignment horizontal="center" vertical="center" textRotation="90"/>
    </xf>
    <xf numFmtId="0" fontId="11" fillId="4" borderId="26" xfId="0" applyFont="1" applyFill="1" applyBorder="1" applyAlignment="1">
      <alignment horizontal="center" vertical="center" textRotation="90"/>
    </xf>
    <xf numFmtId="0" fontId="11" fillId="4" borderId="37" xfId="0" applyFont="1" applyFill="1" applyBorder="1" applyAlignment="1">
      <alignment horizontal="center" vertical="center" textRotation="90"/>
    </xf>
    <xf numFmtId="0" fontId="11" fillId="4" borderId="57" xfId="0" applyFont="1" applyFill="1" applyBorder="1" applyAlignment="1">
      <alignment horizontal="center" vertical="center" textRotation="90"/>
    </xf>
    <xf numFmtId="0" fontId="11" fillId="4" borderId="56" xfId="0" applyFont="1" applyFill="1" applyBorder="1" applyAlignment="1">
      <alignment horizontal="center" vertical="center" textRotation="90"/>
    </xf>
    <xf numFmtId="0" fontId="11" fillId="4" borderId="23" xfId="0" applyFont="1" applyFill="1" applyBorder="1" applyAlignment="1">
      <alignment horizontal="center" vertical="center" textRotation="90"/>
    </xf>
    <xf numFmtId="0" fontId="11" fillId="4" borderId="24" xfId="0" applyFont="1" applyFill="1" applyBorder="1" applyAlignment="1">
      <alignment horizontal="center" vertical="center" textRotation="90"/>
    </xf>
    <xf numFmtId="0" fontId="11" fillId="4" borderId="25" xfId="0" applyFont="1" applyFill="1" applyBorder="1" applyAlignment="1">
      <alignment horizontal="center" vertical="center" textRotation="90"/>
    </xf>
    <xf numFmtId="0" fontId="39" fillId="8" borderId="5" xfId="0" applyFont="1" applyFill="1" applyBorder="1" applyAlignment="1">
      <alignment vertical="center" wrapText="1"/>
    </xf>
    <xf numFmtId="0" fontId="39" fillId="6" borderId="40" xfId="0" applyFont="1" applyFill="1" applyBorder="1" applyAlignment="1" applyProtection="1">
      <alignment horizontal="left" vertical="center" wrapText="1"/>
      <protection locked="0"/>
    </xf>
    <xf numFmtId="0" fontId="39" fillId="6" borderId="42" xfId="0" applyFont="1" applyFill="1" applyBorder="1" applyAlignment="1" applyProtection="1">
      <alignment horizontal="right" vertical="center" wrapText="1"/>
      <protection locked="0"/>
    </xf>
    <xf numFmtId="0" fontId="39" fillId="8" borderId="1" xfId="0" applyFont="1" applyFill="1" applyBorder="1" applyAlignment="1">
      <alignment vertical="center" wrapText="1"/>
    </xf>
    <xf numFmtId="0" fontId="39" fillId="6" borderId="23" xfId="0" applyFont="1" applyFill="1" applyBorder="1" applyAlignment="1" applyProtection="1">
      <alignment horizontal="left" vertical="center" wrapText="1"/>
      <protection locked="0"/>
    </xf>
    <xf numFmtId="0" fontId="39" fillId="6" borderId="25" xfId="0" applyFont="1" applyFill="1" applyBorder="1" applyAlignment="1" applyProtection="1">
      <alignment horizontal="left" vertical="center" wrapText="1"/>
      <protection locked="0"/>
    </xf>
    <xf numFmtId="0" fontId="39" fillId="8" borderId="13" xfId="0" applyFont="1" applyFill="1" applyBorder="1" applyAlignment="1">
      <alignment vertical="center" wrapText="1"/>
    </xf>
    <xf numFmtId="0" fontId="39" fillId="6" borderId="25" xfId="0" applyFont="1" applyFill="1" applyBorder="1" applyAlignment="1" applyProtection="1">
      <alignment horizontal="right" vertical="center" wrapText="1"/>
      <protection locked="0"/>
    </xf>
    <xf numFmtId="0" fontId="39" fillId="8" borderId="0" xfId="0" applyFont="1" applyFill="1" applyBorder="1" applyAlignment="1">
      <alignment vertical="center" wrapText="1"/>
    </xf>
    <xf numFmtId="0" fontId="39" fillId="8" borderId="14" xfId="0" applyFont="1" applyFill="1" applyBorder="1" applyAlignment="1">
      <alignment vertical="center" wrapText="1"/>
    </xf>
    <xf numFmtId="0" fontId="39" fillId="6" borderId="4" xfId="0" applyFont="1" applyFill="1" applyBorder="1" applyAlignment="1" applyProtection="1">
      <alignment horizontal="center" vertical="center"/>
      <protection locked="0"/>
    </xf>
    <xf numFmtId="3" fontId="39" fillId="6" borderId="27" xfId="0" applyNumberFormat="1" applyFont="1" applyFill="1" applyBorder="1" applyAlignment="1" applyProtection="1">
      <alignment horizontal="right" vertical="center" wrapText="1"/>
      <protection locked="0"/>
    </xf>
    <xf numFmtId="164" fontId="39" fillId="0" borderId="28" xfId="0" applyNumberFormat="1" applyFont="1" applyFill="1" applyBorder="1" applyAlignment="1">
      <alignment horizontal="center" vertical="center" wrapText="1"/>
    </xf>
    <xf numFmtId="164" fontId="39" fillId="0" borderId="29" xfId="0" applyNumberFormat="1" applyFont="1" applyFill="1" applyBorder="1" applyAlignment="1">
      <alignment horizontal="center" vertical="center" wrapText="1"/>
    </xf>
    <xf numFmtId="3" fontId="39" fillId="6" borderId="21" xfId="0" applyNumberFormat="1" applyFont="1" applyFill="1" applyBorder="1" applyAlignment="1" applyProtection="1">
      <alignment horizontal="right" vertical="center" wrapText="1"/>
      <protection locked="0"/>
    </xf>
    <xf numFmtId="164" fontId="39" fillId="0" borderId="21" xfId="0" applyNumberFormat="1" applyFont="1" applyFill="1" applyBorder="1" applyAlignment="1">
      <alignment horizontal="center" vertical="center" wrapText="1"/>
    </xf>
    <xf numFmtId="164" fontId="39" fillId="0" borderId="22" xfId="0" applyNumberFormat="1" applyFont="1" applyFill="1" applyBorder="1" applyAlignment="1">
      <alignment horizontal="center" vertical="center" wrapText="1"/>
    </xf>
    <xf numFmtId="3" fontId="39" fillId="0" borderId="4" xfId="0" applyNumberFormat="1" applyFont="1" applyFill="1" applyBorder="1" applyAlignment="1">
      <alignment horizontal="right" vertical="center" wrapText="1" indent="1"/>
    </xf>
    <xf numFmtId="3" fontId="39" fillId="0" borderId="4" xfId="0" applyNumberFormat="1" applyFont="1" applyFill="1" applyBorder="1" applyAlignment="1">
      <alignment horizontal="right" vertical="center" wrapText="1"/>
    </xf>
    <xf numFmtId="164" fontId="39" fillId="0" borderId="4" xfId="0" applyNumberFormat="1" applyFont="1" applyFill="1" applyBorder="1" applyAlignment="1">
      <alignment horizontal="center" vertical="center" wrapText="1"/>
    </xf>
    <xf numFmtId="3" fontId="39" fillId="0" borderId="4" xfId="0" applyNumberFormat="1" applyFont="1" applyFill="1" applyBorder="1" applyAlignment="1">
      <alignment vertical="center" wrapText="1"/>
    </xf>
    <xf numFmtId="0" fontId="39" fillId="0" borderId="41" xfId="0" applyFont="1" applyBorder="1" applyAlignment="1">
      <alignment horizontal="right" vertical="center" wrapText="1"/>
    </xf>
    <xf numFmtId="3" fontId="39" fillId="5" borderId="21" xfId="0" applyNumberFormat="1" applyFont="1" applyFill="1" applyBorder="1" applyAlignment="1" applyProtection="1">
      <alignment horizontal="left" vertical="center" wrapText="1" indent="1"/>
    </xf>
    <xf numFmtId="3" fontId="39" fillId="5" borderId="41" xfId="0" applyNumberFormat="1" applyFont="1" applyFill="1" applyBorder="1" applyAlignment="1" applyProtection="1">
      <alignment horizontal="left" vertical="center" wrapText="1" indent="1"/>
    </xf>
    <xf numFmtId="3" fontId="39" fillId="5" borderId="24" xfId="0" applyNumberFormat="1" applyFont="1" applyFill="1" applyBorder="1" applyAlignment="1" applyProtection="1">
      <alignment horizontal="left" vertical="center" wrapText="1" indent="1"/>
    </xf>
    <xf numFmtId="3" fontId="39" fillId="5" borderId="28" xfId="0" applyNumberFormat="1" applyFont="1" applyFill="1" applyBorder="1" applyAlignment="1" applyProtection="1">
      <alignment horizontal="left" vertical="center" wrapText="1" indent="1"/>
    </xf>
    <xf numFmtId="0" fontId="39" fillId="0" borderId="41" xfId="0" applyFont="1" applyBorder="1" applyAlignment="1">
      <alignment horizontal="left" vertical="center" wrapText="1"/>
    </xf>
    <xf numFmtId="0" fontId="39" fillId="0" borderId="0" xfId="0" applyFont="1" applyAlignment="1">
      <alignment vertical="center" wrapText="1"/>
    </xf>
    <xf numFmtId="0" fontId="19" fillId="0" borderId="0" xfId="0" applyFont="1" applyAlignment="1">
      <alignment horizontal="left"/>
    </xf>
    <xf numFmtId="0" fontId="19" fillId="0" borderId="0" xfId="0" applyFont="1" applyAlignment="1">
      <alignment horizontal="right"/>
    </xf>
    <xf numFmtId="0" fontId="19" fillId="0" borderId="0" xfId="0" applyFont="1"/>
    <xf numFmtId="0" fontId="39" fillId="0" borderId="0" xfId="0" applyFont="1" applyBorder="1" applyAlignment="1">
      <alignment horizontal="left" vertical="center" wrapText="1"/>
    </xf>
    <xf numFmtId="0" fontId="39" fillId="0" borderId="0" xfId="0" applyFont="1" applyAlignment="1">
      <alignment horizontal="right" vertical="center" wrapText="1"/>
    </xf>
    <xf numFmtId="0" fontId="39" fillId="0" borderId="0" xfId="0" applyFont="1" applyAlignment="1">
      <alignment horizontal="left" vertical="center" wrapText="1"/>
    </xf>
    <xf numFmtId="2" fontId="39" fillId="6" borderId="42" xfId="0" applyNumberFormat="1" applyFont="1" applyFill="1" applyBorder="1" applyAlignment="1" applyProtection="1">
      <alignment horizontal="center" vertical="center" wrapText="1"/>
      <protection locked="0"/>
    </xf>
    <xf numFmtId="0" fontId="39" fillId="6" borderId="40" xfId="0" applyFont="1" applyFill="1" applyBorder="1" applyAlignment="1" applyProtection="1">
      <alignment horizontal="center" vertical="center" wrapText="1"/>
      <protection locked="0"/>
    </xf>
    <xf numFmtId="0" fontId="5" fillId="7" borderId="0" xfId="0" applyFont="1" applyFill="1" applyAlignment="1">
      <alignment vertical="center" wrapText="1"/>
    </xf>
    <xf numFmtId="0" fontId="5" fillId="7" borderId="0" xfId="0" applyFont="1" applyFill="1" applyAlignment="1">
      <alignment horizontal="center" vertical="center" wrapText="1"/>
    </xf>
    <xf numFmtId="0" fontId="5" fillId="0" borderId="0" xfId="0" applyFont="1" applyFill="1" applyAlignment="1">
      <alignment horizontal="center" vertical="center" wrapText="1"/>
    </xf>
    <xf numFmtId="0" fontId="5" fillId="0" borderId="0" xfId="0" applyFont="1"/>
    <xf numFmtId="0" fontId="5" fillId="0" borderId="0" xfId="0" applyFont="1" applyFill="1"/>
    <xf numFmtId="0" fontId="5" fillId="0" borderId="0" xfId="0" applyFont="1" applyBorder="1" applyAlignment="1">
      <alignment vertical="center" wrapText="1"/>
    </xf>
    <xf numFmtId="0" fontId="5" fillId="0" borderId="0" xfId="0" applyFont="1" applyAlignment="1">
      <alignment horizontal="center" vertical="center" wrapText="1"/>
    </xf>
    <xf numFmtId="0" fontId="5" fillId="0" borderId="0" xfId="0" applyFont="1" applyAlignment="1">
      <alignment vertical="center"/>
    </xf>
    <xf numFmtId="0" fontId="5" fillId="0" borderId="0" xfId="0" applyFont="1" applyAlignment="1">
      <alignment horizontal="left" vertical="center"/>
    </xf>
    <xf numFmtId="0" fontId="39" fillId="0" borderId="4" xfId="0" applyFont="1" applyFill="1" applyBorder="1" applyAlignment="1">
      <alignment horizontal="left" vertical="center" wrapText="1" indent="1"/>
    </xf>
    <xf numFmtId="0" fontId="11" fillId="0" borderId="0" xfId="0" applyFont="1" applyBorder="1" applyAlignment="1">
      <alignment horizontal="center" vertical="center" wrapText="1"/>
    </xf>
    <xf numFmtId="0" fontId="25" fillId="0" borderId="0" xfId="0" applyFont="1" applyFill="1" applyBorder="1" applyAlignment="1">
      <alignment vertical="center" wrapText="1"/>
    </xf>
    <xf numFmtId="0" fontId="25" fillId="0" borderId="20" xfId="0" applyFont="1" applyBorder="1" applyAlignment="1">
      <alignment vertical="center"/>
    </xf>
    <xf numFmtId="2" fontId="25" fillId="0" borderId="21" xfId="0" applyNumberFormat="1" applyFont="1" applyBorder="1" applyAlignment="1">
      <alignment vertical="center"/>
    </xf>
    <xf numFmtId="2" fontId="25" fillId="0" borderId="30" xfId="0" applyNumberFormat="1" applyFont="1" applyBorder="1" applyAlignment="1">
      <alignment vertical="center"/>
    </xf>
    <xf numFmtId="2" fontId="25" fillId="0" borderId="0" xfId="0" applyNumberFormat="1" applyFont="1" applyBorder="1" applyAlignment="1">
      <alignment vertical="center"/>
    </xf>
    <xf numFmtId="0" fontId="39" fillId="0" borderId="22" xfId="0" applyFont="1" applyBorder="1" applyAlignment="1">
      <alignment vertical="center"/>
    </xf>
    <xf numFmtId="0" fontId="39" fillId="0" borderId="0" xfId="0" applyFont="1" applyAlignment="1">
      <alignment vertical="center"/>
    </xf>
    <xf numFmtId="0" fontId="25" fillId="0" borderId="40" xfId="0" applyFont="1" applyBorder="1" applyAlignment="1">
      <alignment vertical="center"/>
    </xf>
    <xf numFmtId="2" fontId="25" fillId="0" borderId="41" xfId="0" applyNumberFormat="1" applyFont="1" applyBorder="1" applyAlignment="1">
      <alignment vertical="center"/>
    </xf>
    <xf numFmtId="2" fontId="25" fillId="0" borderId="43" xfId="0" applyNumberFormat="1" applyFont="1" applyBorder="1" applyAlignment="1">
      <alignment vertical="center"/>
    </xf>
    <xf numFmtId="0" fontId="39" fillId="0" borderId="40" xfId="0" applyFont="1" applyBorder="1" applyAlignment="1">
      <alignment vertical="center"/>
    </xf>
    <xf numFmtId="0" fontId="39" fillId="0" borderId="41" xfId="0" applyFont="1" applyBorder="1" applyAlignment="1">
      <alignment vertical="center"/>
    </xf>
    <xf numFmtId="2" fontId="39" fillId="0" borderId="41" xfId="0" applyNumberFormat="1" applyFont="1" applyBorder="1" applyAlignment="1">
      <alignment vertical="center"/>
    </xf>
    <xf numFmtId="0" fontId="39" fillId="0" borderId="42" xfId="0" applyFont="1" applyBorder="1" applyAlignment="1">
      <alignment vertical="center"/>
    </xf>
    <xf numFmtId="0" fontId="39" fillId="0" borderId="23" xfId="0" applyFont="1" applyBorder="1" applyAlignment="1">
      <alignment vertical="center"/>
    </xf>
    <xf numFmtId="0" fontId="39" fillId="0" borderId="24" xfId="0" applyFont="1" applyBorder="1" applyAlignment="1">
      <alignment vertical="center"/>
    </xf>
    <xf numFmtId="2" fontId="39" fillId="0" borderId="24" xfId="0" applyNumberFormat="1" applyFont="1" applyBorder="1" applyAlignment="1">
      <alignment vertical="center"/>
    </xf>
    <xf numFmtId="0" fontId="39" fillId="0" borderId="25" xfId="0" applyFont="1" applyBorder="1" applyAlignment="1">
      <alignment vertical="center"/>
    </xf>
    <xf numFmtId="0" fontId="25" fillId="0" borderId="40" xfId="0" applyFont="1" applyBorder="1" applyAlignment="1">
      <alignment horizontal="left" vertical="center"/>
    </xf>
    <xf numFmtId="0" fontId="25" fillId="0" borderId="23" xfId="0" applyFont="1" applyBorder="1" applyAlignment="1">
      <alignment vertical="center"/>
    </xf>
    <xf numFmtId="2" fontId="25" fillId="0" borderId="24" xfId="0" applyNumberFormat="1" applyFont="1" applyBorder="1" applyAlignment="1">
      <alignment vertical="center"/>
    </xf>
    <xf numFmtId="2" fontId="25" fillId="0" borderId="31" xfId="0" applyNumberFormat="1" applyFont="1" applyBorder="1" applyAlignment="1">
      <alignment vertical="center"/>
    </xf>
    <xf numFmtId="0" fontId="25" fillId="0" borderId="0" xfId="0" applyFont="1" applyBorder="1" applyAlignment="1">
      <alignment vertical="center"/>
    </xf>
    <xf numFmtId="0" fontId="39" fillId="0" borderId="20" xfId="0" applyFont="1" applyBorder="1" applyAlignment="1">
      <alignment vertical="center"/>
    </xf>
    <xf numFmtId="0" fontId="39" fillId="0" borderId="21" xfId="0" applyFont="1" applyBorder="1" applyAlignment="1">
      <alignment horizontal="left" vertical="center" wrapText="1"/>
    </xf>
    <xf numFmtId="0" fontId="39" fillId="0" borderId="41" xfId="0" applyFont="1" applyBorder="1" applyAlignment="1">
      <alignment horizontal="left" vertical="center"/>
    </xf>
    <xf numFmtId="0" fontId="39" fillId="0" borderId="24" xfId="0" applyFont="1" applyBorder="1" applyAlignment="1">
      <alignment horizontal="left" vertical="center"/>
    </xf>
    <xf numFmtId="0" fontId="11" fillId="4" borderId="20" xfId="0" applyFont="1" applyFill="1" applyBorder="1" applyAlignment="1">
      <alignment horizontal="center" vertical="center" wrapText="1"/>
    </xf>
    <xf numFmtId="0" fontId="11" fillId="4" borderId="21" xfId="0" applyFont="1" applyFill="1" applyBorder="1" applyAlignment="1">
      <alignment horizontal="center" vertical="center" wrapText="1"/>
    </xf>
    <xf numFmtId="0" fontId="11" fillId="4" borderId="22" xfId="0" applyFont="1" applyFill="1" applyBorder="1" applyAlignment="1">
      <alignment horizontal="center" vertical="center" wrapText="1"/>
    </xf>
    <xf numFmtId="0" fontId="11" fillId="4" borderId="30" xfId="0" applyFont="1" applyFill="1" applyBorder="1" applyAlignment="1">
      <alignment horizontal="center" vertical="center" wrapText="1"/>
    </xf>
    <xf numFmtId="0" fontId="67" fillId="0" borderId="0" xfId="18" applyFont="1" applyAlignment="1">
      <alignment vertical="center"/>
    </xf>
    <xf numFmtId="0" fontId="66" fillId="0" borderId="0" xfId="18" applyAlignment="1">
      <alignment horizontal="left" vertical="center" wrapText="1"/>
    </xf>
    <xf numFmtId="3" fontId="67" fillId="0" borderId="0" xfId="18" applyNumberFormat="1" applyFont="1" applyFill="1" applyBorder="1" applyAlignment="1">
      <alignment horizontal="left" vertical="center" wrapText="1"/>
    </xf>
    <xf numFmtId="0" fontId="11" fillId="0" borderId="0" xfId="0" applyFont="1" applyBorder="1" applyAlignment="1">
      <alignment vertical="center" wrapText="1"/>
    </xf>
    <xf numFmtId="0" fontId="18" fillId="0" borderId="0" xfId="0" applyFont="1"/>
    <xf numFmtId="0" fontId="11" fillId="0" borderId="0" xfId="0" applyFont="1" applyAlignment="1">
      <alignment vertical="center"/>
    </xf>
    <xf numFmtId="0" fontId="11" fillId="0" borderId="0" xfId="0" applyFont="1" applyAlignment="1">
      <alignment horizontal="left"/>
    </xf>
    <xf numFmtId="0" fontId="4" fillId="0" borderId="0" xfId="0" applyFont="1"/>
    <xf numFmtId="3" fontId="25" fillId="6" borderId="42" xfId="0" applyNumberFormat="1" applyFont="1" applyFill="1" applyBorder="1" applyAlignment="1" applyProtection="1">
      <alignment horizontal="right" vertical="center" wrapText="1"/>
      <protection locked="0"/>
    </xf>
    <xf numFmtId="3" fontId="25" fillId="0" borderId="4" xfId="0" applyNumberFormat="1" applyFont="1" applyFill="1" applyBorder="1" applyAlignment="1">
      <alignment horizontal="right" vertical="center" wrapText="1"/>
    </xf>
    <xf numFmtId="2" fontId="39" fillId="6" borderId="40" xfId="0" applyNumberFormat="1" applyFont="1" applyFill="1" applyBorder="1" applyAlignment="1" applyProtection="1">
      <alignment horizontal="right" vertical="center" wrapText="1"/>
      <protection locked="0"/>
    </xf>
    <xf numFmtId="2" fontId="39" fillId="0" borderId="43" xfId="0" applyNumberFormat="1" applyFont="1" applyBorder="1" applyAlignment="1">
      <alignment vertical="center"/>
    </xf>
    <xf numFmtId="2" fontId="39" fillId="0" borderId="31" xfId="0" applyNumberFormat="1" applyFont="1" applyBorder="1" applyAlignment="1">
      <alignment vertical="center"/>
    </xf>
    <xf numFmtId="2" fontId="39" fillId="0" borderId="42" xfId="0" applyNumberFormat="1" applyFont="1" applyBorder="1" applyAlignment="1">
      <alignment vertical="center"/>
    </xf>
    <xf numFmtId="2" fontId="39" fillId="0" borderId="25" xfId="0" applyNumberFormat="1" applyFont="1" applyBorder="1" applyAlignment="1">
      <alignment vertical="center"/>
    </xf>
    <xf numFmtId="0" fontId="4" fillId="0" borderId="0" xfId="0" applyFont="1" applyAlignment="1">
      <alignment horizontal="center" vertical="center"/>
    </xf>
    <xf numFmtId="0" fontId="39" fillId="0" borderId="0" xfId="0" applyFont="1" applyFill="1"/>
    <xf numFmtId="0" fontId="70" fillId="0" borderId="0" xfId="0" applyFont="1" applyBorder="1" applyAlignment="1">
      <alignment vertical="top" wrapText="1"/>
    </xf>
    <xf numFmtId="0" fontId="39" fillId="5" borderId="0" xfId="0" applyFont="1" applyFill="1" applyBorder="1" applyAlignment="1">
      <alignment horizontal="left" vertical="top" wrapText="1"/>
    </xf>
    <xf numFmtId="0" fontId="70" fillId="0" borderId="0" xfId="0" applyFont="1" applyBorder="1" applyAlignment="1">
      <alignment horizontal="left" vertical="top"/>
    </xf>
    <xf numFmtId="0" fontId="39" fillId="0" borderId="0" xfId="0" applyFont="1" applyBorder="1" applyAlignment="1">
      <alignment horizontal="center" wrapText="1"/>
    </xf>
    <xf numFmtId="0" fontId="39" fillId="0" borderId="0" xfId="0" applyFont="1" applyAlignment="1">
      <alignment horizontal="center" vertical="center"/>
    </xf>
    <xf numFmtId="0" fontId="39" fillId="0" borderId="4" xfId="0" applyFont="1" applyBorder="1" applyAlignment="1">
      <alignment horizontal="left" vertical="center" indent="1"/>
    </xf>
    <xf numFmtId="0" fontId="39" fillId="0" borderId="0" xfId="0" applyFont="1" applyBorder="1" applyAlignment="1">
      <alignment vertical="center"/>
    </xf>
    <xf numFmtId="0" fontId="39" fillId="0" borderId="4" xfId="0" applyFont="1" applyBorder="1" applyAlignment="1">
      <alignment horizontal="left" vertical="center" wrapText="1" indent="1"/>
    </xf>
    <xf numFmtId="0" fontId="39" fillId="6" borderId="42" xfId="0" applyFont="1" applyFill="1" applyBorder="1" applyAlignment="1" applyProtection="1">
      <alignment horizontal="center" vertical="center" wrapText="1"/>
      <protection locked="0"/>
    </xf>
    <xf numFmtId="4" fontId="39" fillId="6" borderId="41" xfId="0" applyNumberFormat="1" applyFont="1" applyFill="1" applyBorder="1" applyAlignment="1" applyProtection="1">
      <alignment horizontal="right" vertical="center" wrapText="1"/>
      <protection locked="0"/>
    </xf>
    <xf numFmtId="0" fontId="39" fillId="8" borderId="18" xfId="0" applyFont="1" applyFill="1" applyBorder="1" applyAlignment="1">
      <alignment vertical="center" wrapText="1"/>
    </xf>
    <xf numFmtId="0" fontId="39" fillId="6" borderId="40" xfId="0" applyFont="1" applyFill="1" applyBorder="1" applyAlignment="1" applyProtection="1">
      <alignment horizontal="right" vertical="center" wrapText="1"/>
      <protection locked="0"/>
    </xf>
    <xf numFmtId="1" fontId="39" fillId="6" borderId="41" xfId="0" applyNumberFormat="1" applyFont="1" applyFill="1" applyBorder="1" applyAlignment="1" applyProtection="1">
      <alignment horizontal="right" vertical="center" wrapText="1"/>
      <protection locked="0"/>
    </xf>
    <xf numFmtId="0" fontId="39" fillId="6" borderId="41" xfId="0" applyNumberFormat="1" applyFont="1" applyFill="1" applyBorder="1" applyAlignment="1" applyProtection="1">
      <alignment horizontal="right" vertical="center" wrapText="1"/>
      <protection locked="0"/>
    </xf>
    <xf numFmtId="0" fontId="39" fillId="6" borderId="68" xfId="0" applyFont="1" applyFill="1" applyBorder="1" applyAlignment="1" applyProtection="1">
      <alignment horizontal="left" vertical="center" wrapText="1"/>
      <protection locked="0"/>
    </xf>
    <xf numFmtId="0" fontId="39" fillId="6" borderId="69" xfId="0" applyFont="1" applyFill="1" applyBorder="1" applyAlignment="1" applyProtection="1">
      <alignment horizontal="left" vertical="center" wrapText="1"/>
      <protection locked="0"/>
    </xf>
    <xf numFmtId="0" fontId="39" fillId="6" borderId="70" xfId="0" applyFont="1" applyFill="1" applyBorder="1" applyAlignment="1" applyProtection="1">
      <alignment horizontal="left" vertical="center" wrapText="1"/>
      <protection locked="0"/>
    </xf>
    <xf numFmtId="0" fontId="39" fillId="6" borderId="50" xfId="0" applyFont="1" applyFill="1" applyBorder="1" applyAlignment="1" applyProtection="1">
      <alignment vertical="center" wrapText="1"/>
      <protection locked="0"/>
    </xf>
    <xf numFmtId="0" fontId="39" fillId="6" borderId="51" xfId="0" applyFont="1" applyFill="1" applyBorder="1" applyAlignment="1" applyProtection="1">
      <alignment vertical="center" wrapText="1"/>
      <protection locked="0"/>
    </xf>
    <xf numFmtId="0" fontId="39" fillId="6" borderId="107" xfId="0" applyFont="1" applyFill="1" applyBorder="1" applyAlignment="1" applyProtection="1">
      <alignment vertical="center" wrapText="1"/>
      <protection locked="0"/>
    </xf>
    <xf numFmtId="0" fontId="10" fillId="7" borderId="0" xfId="0" applyFont="1" applyFill="1" applyAlignment="1" applyProtection="1">
      <alignment vertical="center" wrapText="1"/>
    </xf>
    <xf numFmtId="0" fontId="10" fillId="7" borderId="0" xfId="0" applyFont="1" applyFill="1" applyAlignment="1" applyProtection="1">
      <alignment horizontal="center" vertical="center" wrapText="1"/>
    </xf>
    <xf numFmtId="0" fontId="10" fillId="0" borderId="0" xfId="0" applyFont="1" applyAlignment="1" applyProtection="1">
      <alignment vertical="center" wrapText="1"/>
    </xf>
    <xf numFmtId="0" fontId="42" fillId="7" borderId="0" xfId="0" applyFont="1" applyFill="1" applyAlignment="1" applyProtection="1">
      <alignment vertical="center"/>
    </xf>
    <xf numFmtId="0" fontId="33" fillId="7" borderId="0" xfId="0" applyFont="1" applyFill="1" applyAlignment="1" applyProtection="1">
      <alignment vertical="center"/>
    </xf>
    <xf numFmtId="0" fontId="10" fillId="0" borderId="0" xfId="0" applyFont="1" applyProtection="1"/>
    <xf numFmtId="0" fontId="11" fillId="0" borderId="0" xfId="0" applyFont="1" applyAlignment="1" applyProtection="1">
      <alignment horizontal="center" vertical="center"/>
    </xf>
    <xf numFmtId="0" fontId="10" fillId="0" borderId="0" xfId="0" applyFont="1" applyAlignment="1" applyProtection="1">
      <alignment horizontal="center" vertical="center"/>
    </xf>
    <xf numFmtId="0" fontId="28" fillId="0" borderId="0" xfId="0" applyFont="1" applyAlignment="1" applyProtection="1">
      <alignment vertical="center" wrapText="1"/>
    </xf>
    <xf numFmtId="0" fontId="28" fillId="5" borderId="0" xfId="0" applyFont="1" applyFill="1" applyBorder="1" applyAlignment="1" applyProtection="1">
      <alignment horizontal="left" vertical="top" wrapText="1"/>
    </xf>
    <xf numFmtId="0" fontId="29" fillId="0" borderId="0" xfId="0" applyFont="1" applyBorder="1" applyAlignment="1" applyProtection="1">
      <alignment vertical="top"/>
    </xf>
    <xf numFmtId="0" fontId="34" fillId="0" borderId="0" xfId="0" applyFont="1" applyBorder="1" applyAlignment="1" applyProtection="1">
      <alignment horizontal="left" vertical="top"/>
    </xf>
    <xf numFmtId="0" fontId="11" fillId="0" borderId="0" xfId="0" applyFont="1" applyAlignment="1" applyProtection="1">
      <alignment horizontal="center" vertical="center" wrapText="1"/>
    </xf>
    <xf numFmtId="0" fontId="11" fillId="0" borderId="0" xfId="0" applyFont="1" applyBorder="1" applyAlignment="1" applyProtection="1">
      <alignment horizontal="center" vertical="center"/>
    </xf>
    <xf numFmtId="0" fontId="24" fillId="8" borderId="6" xfId="0" applyFont="1" applyFill="1" applyBorder="1" applyAlignment="1" applyProtection="1">
      <alignment horizontal="center" vertical="center"/>
    </xf>
    <xf numFmtId="0" fontId="24" fillId="8" borderId="6" xfId="0" applyFont="1" applyFill="1" applyBorder="1" applyAlignment="1" applyProtection="1">
      <alignment horizontal="center" vertical="center" wrapText="1"/>
    </xf>
    <xf numFmtId="0" fontId="24" fillId="8" borderId="4" xfId="0" applyFont="1" applyFill="1" applyBorder="1" applyAlignment="1" applyProtection="1">
      <alignment horizontal="center" vertical="center" wrapText="1"/>
    </xf>
    <xf numFmtId="0" fontId="10" fillId="8" borderId="5" xfId="0" applyFont="1" applyFill="1" applyBorder="1" applyAlignment="1" applyProtection="1">
      <alignment horizontal="left" vertical="center" wrapText="1" indent="1"/>
    </xf>
    <xf numFmtId="0" fontId="39" fillId="8" borderId="5" xfId="0" applyFont="1" applyFill="1" applyBorder="1" applyAlignment="1" applyProtection="1">
      <alignment horizontal="left" vertical="center" wrapText="1" indent="1"/>
    </xf>
    <xf numFmtId="0" fontId="10" fillId="8" borderId="5" xfId="0" applyFont="1" applyFill="1" applyBorder="1" applyAlignment="1" applyProtection="1">
      <alignment horizontal="left" vertical="center" wrapText="1"/>
    </xf>
    <xf numFmtId="0" fontId="39" fillId="8" borderId="5" xfId="0" applyFont="1" applyFill="1" applyBorder="1" applyAlignment="1" applyProtection="1">
      <alignment horizontal="left" vertical="center" wrapText="1"/>
    </xf>
    <xf numFmtId="0" fontId="10" fillId="8" borderId="45" xfId="0" applyFont="1" applyFill="1" applyBorder="1" applyAlignment="1" applyProtection="1">
      <alignment horizontal="left" vertical="center" wrapText="1"/>
    </xf>
    <xf numFmtId="0" fontId="39" fillId="8" borderId="45" xfId="0" applyFont="1" applyFill="1" applyBorder="1" applyAlignment="1" applyProtection="1">
      <alignment horizontal="left" vertical="center" wrapText="1"/>
    </xf>
    <xf numFmtId="0" fontId="0" fillId="0" borderId="0" xfId="0" applyProtection="1"/>
    <xf numFmtId="0" fontId="10" fillId="0" borderId="71" xfId="0" applyFont="1" applyBorder="1" applyAlignment="1" applyProtection="1">
      <alignment horizontal="left" vertical="center" wrapText="1" indent="1"/>
    </xf>
    <xf numFmtId="0" fontId="10" fillId="0" borderId="66" xfId="0" applyFont="1" applyBorder="1" applyAlignment="1" applyProtection="1">
      <alignment horizontal="left" vertical="center" wrapText="1" indent="1"/>
    </xf>
    <xf numFmtId="0" fontId="10" fillId="0" borderId="67" xfId="0" applyFont="1" applyBorder="1" applyAlignment="1" applyProtection="1">
      <alignment horizontal="left" vertical="center" wrapText="1" indent="1"/>
    </xf>
    <xf numFmtId="0" fontId="11" fillId="0" borderId="0" xfId="0" applyFont="1" applyBorder="1" applyAlignment="1" applyProtection="1">
      <alignment horizontal="left" vertical="center"/>
    </xf>
    <xf numFmtId="0" fontId="10" fillId="0" borderId="0" xfId="0" applyFont="1" applyAlignment="1" applyProtection="1">
      <alignment horizontal="left" vertical="center"/>
    </xf>
    <xf numFmtId="0" fontId="4" fillId="0" borderId="66" xfId="0" applyFont="1" applyBorder="1" applyAlignment="1" applyProtection="1">
      <alignment horizontal="left" vertical="center" wrapText="1" indent="1"/>
    </xf>
    <xf numFmtId="0" fontId="4" fillId="0" borderId="67" xfId="0" applyFont="1" applyBorder="1" applyAlignment="1" applyProtection="1">
      <alignment horizontal="left" vertical="center" wrapText="1" indent="1"/>
    </xf>
    <xf numFmtId="0" fontId="10" fillId="5" borderId="71" xfId="0" applyFont="1" applyFill="1" applyBorder="1" applyAlignment="1" applyProtection="1">
      <alignment horizontal="left" vertical="center" wrapText="1" indent="1"/>
    </xf>
    <xf numFmtId="0" fontId="10" fillId="5" borderId="66" xfId="0" applyFont="1" applyFill="1" applyBorder="1" applyAlignment="1" applyProtection="1">
      <alignment horizontal="left" vertical="center" wrapText="1" indent="1"/>
    </xf>
    <xf numFmtId="0" fontId="10" fillId="5" borderId="67" xfId="0" applyFont="1" applyFill="1" applyBorder="1" applyAlignment="1" applyProtection="1">
      <alignment horizontal="left" vertical="center" wrapText="1" indent="1"/>
    </xf>
    <xf numFmtId="0" fontId="11" fillId="0" borderId="0" xfId="0" applyFont="1" applyProtection="1"/>
    <xf numFmtId="0" fontId="39" fillId="6" borderId="51" xfId="0" applyFont="1" applyFill="1" applyBorder="1" applyAlignment="1" applyProtection="1">
      <alignment horizontal="center" vertical="center" wrapText="1"/>
      <protection locked="0"/>
    </xf>
    <xf numFmtId="0" fontId="4" fillId="0" borderId="0" xfId="0" applyFont="1" applyAlignment="1">
      <alignment vertical="center" wrapText="1"/>
    </xf>
    <xf numFmtId="0" fontId="34" fillId="4" borderId="6" xfId="0" applyFont="1" applyFill="1" applyBorder="1" applyAlignment="1">
      <alignment horizontal="center" vertical="center" wrapText="1"/>
    </xf>
    <xf numFmtId="0" fontId="28" fillId="0" borderId="4" xfId="0" applyFont="1" applyBorder="1" applyAlignment="1">
      <alignment vertical="center"/>
    </xf>
    <xf numFmtId="0" fontId="4" fillId="4" borderId="6" xfId="0" applyFont="1" applyFill="1" applyBorder="1" applyAlignment="1">
      <alignment horizontal="left" vertical="center" wrapText="1" indent="1"/>
    </xf>
    <xf numFmtId="0" fontId="10" fillId="4" borderId="6" xfId="0" applyFont="1" applyFill="1" applyBorder="1" applyAlignment="1">
      <alignment horizontal="left" vertical="center" wrapText="1" indent="1"/>
    </xf>
    <xf numFmtId="0" fontId="4" fillId="8" borderId="25" xfId="0" applyFont="1" applyFill="1" applyBorder="1" applyAlignment="1">
      <alignment horizontal="center" vertical="center" wrapText="1"/>
    </xf>
    <xf numFmtId="0" fontId="39" fillId="0" borderId="50" xfId="0" applyFont="1" applyBorder="1" applyAlignment="1">
      <alignment horizontal="left" vertical="top" wrapText="1"/>
    </xf>
    <xf numFmtId="0" fontId="39" fillId="0" borderId="20" xfId="0" applyFont="1" applyBorder="1" applyAlignment="1">
      <alignment horizontal="left" vertical="top" wrapText="1"/>
    </xf>
    <xf numFmtId="0" fontId="39" fillId="0" borderId="22" xfId="0" applyFont="1" applyBorder="1" applyAlignment="1">
      <alignment horizontal="left" vertical="top" wrapText="1"/>
    </xf>
    <xf numFmtId="0" fontId="39" fillId="0" borderId="51" xfId="0" applyFont="1" applyBorder="1" applyAlignment="1">
      <alignment horizontal="left" vertical="top" wrapText="1"/>
    </xf>
    <xf numFmtId="0" fontId="39" fillId="0" borderId="51" xfId="0" applyFont="1" applyBorder="1" applyAlignment="1">
      <alignment horizontal="left" vertical="top"/>
    </xf>
    <xf numFmtId="0" fontId="39" fillId="0" borderId="40" xfId="0" applyFont="1" applyBorder="1" applyAlignment="1">
      <alignment horizontal="left" vertical="top" wrapText="1"/>
    </xf>
    <xf numFmtId="0" fontId="39" fillId="0" borderId="42" xfId="0" applyFont="1" applyBorder="1" applyAlignment="1">
      <alignment horizontal="left" vertical="top" wrapText="1"/>
    </xf>
    <xf numFmtId="0" fontId="39" fillId="0" borderId="40" xfId="0" applyFont="1" applyBorder="1" applyAlignment="1">
      <alignment horizontal="right" vertical="center"/>
    </xf>
    <xf numFmtId="0" fontId="39" fillId="0" borderId="107" xfId="0" applyFont="1" applyBorder="1" applyAlignment="1">
      <alignment horizontal="left" vertical="top" wrapText="1"/>
    </xf>
    <xf numFmtId="0" fontId="39" fillId="0" borderId="107" xfId="0" applyFont="1" applyBorder="1" applyAlignment="1">
      <alignment horizontal="left" vertical="top"/>
    </xf>
    <xf numFmtId="0" fontId="4" fillId="8" borderId="23" xfId="0" applyFont="1" applyFill="1" applyBorder="1" applyAlignment="1">
      <alignment horizontal="center" vertical="center" wrapText="1"/>
    </xf>
    <xf numFmtId="0" fontId="39" fillId="0" borderId="33" xfId="0" applyFont="1" applyBorder="1" applyAlignment="1">
      <alignment vertical="center"/>
    </xf>
    <xf numFmtId="0" fontId="39" fillId="0" borderId="44" xfId="0" applyFont="1" applyBorder="1" applyAlignment="1">
      <alignment vertical="center"/>
    </xf>
    <xf numFmtId="0" fontId="39" fillId="0" borderId="34" xfId="0" applyFont="1" applyBorder="1" applyAlignment="1">
      <alignment vertical="center"/>
    </xf>
    <xf numFmtId="0" fontId="39" fillId="0" borderId="30" xfId="0" applyFont="1" applyBorder="1" applyAlignment="1">
      <alignment vertical="center"/>
    </xf>
    <xf numFmtId="0" fontId="39" fillId="0" borderId="43" xfId="0" applyFont="1" applyBorder="1" applyAlignment="1">
      <alignment vertical="center"/>
    </xf>
    <xf numFmtId="0" fontId="39" fillId="0" borderId="31" xfId="0" applyFont="1" applyBorder="1" applyAlignment="1">
      <alignment vertical="center"/>
    </xf>
    <xf numFmtId="0" fontId="39" fillId="0" borderId="42" xfId="0" applyFont="1" applyBorder="1" applyAlignment="1">
      <alignment horizontal="right" vertical="center"/>
    </xf>
    <xf numFmtId="164" fontId="39" fillId="0" borderId="51" xfId="9" applyNumberFormat="1" applyFont="1" applyBorder="1" applyAlignment="1">
      <alignment horizontal="right" vertical="center"/>
    </xf>
    <xf numFmtId="0" fontId="39" fillId="0" borderId="106" xfId="0" applyFont="1" applyBorder="1" applyAlignment="1">
      <alignment horizontal="right" vertical="center"/>
    </xf>
    <xf numFmtId="164" fontId="39" fillId="0" borderId="106" xfId="9" applyNumberFormat="1" applyFont="1" applyBorder="1" applyAlignment="1">
      <alignment horizontal="right" vertical="center"/>
    </xf>
    <xf numFmtId="0" fontId="39" fillId="0" borderId="36" xfId="0" applyFont="1" applyBorder="1" applyAlignment="1">
      <alignment horizontal="right" vertical="center"/>
    </xf>
    <xf numFmtId="0" fontId="39" fillId="0" borderId="64" xfId="0" applyFont="1" applyBorder="1" applyAlignment="1">
      <alignment horizontal="right" vertical="center"/>
    </xf>
    <xf numFmtId="0" fontId="11" fillId="0" borderId="18" xfId="2" applyFont="1" applyFill="1" applyBorder="1" applyAlignment="1">
      <alignment horizontal="left" vertical="center"/>
    </xf>
    <xf numFmtId="0" fontId="10" fillId="0" borderId="50" xfId="0" applyFont="1" applyBorder="1" applyAlignment="1" applyProtection="1">
      <alignment horizontal="left" vertical="center" wrapText="1" indent="1"/>
    </xf>
    <xf numFmtId="0" fontId="10" fillId="0" borderId="51" xfId="0" applyFont="1" applyBorder="1" applyAlignment="1" applyProtection="1">
      <alignment horizontal="left" vertical="center" wrapText="1" indent="1"/>
    </xf>
    <xf numFmtId="0" fontId="4" fillId="0" borderId="51" xfId="0" applyFont="1" applyBorder="1" applyAlignment="1" applyProtection="1">
      <alignment horizontal="left" vertical="center" wrapText="1" indent="1"/>
    </xf>
    <xf numFmtId="0" fontId="10" fillId="0" borderId="107" xfId="0" applyFont="1" applyBorder="1" applyAlignment="1" applyProtection="1">
      <alignment horizontal="left" vertical="center" wrapText="1" indent="1"/>
    </xf>
    <xf numFmtId="0" fontId="39" fillId="0" borderId="55" xfId="0" applyFont="1" applyBorder="1" applyAlignment="1">
      <alignment horizontal="right" vertical="center"/>
    </xf>
    <xf numFmtId="0" fontId="39" fillId="0" borderId="37" xfId="0" applyFont="1" applyBorder="1" applyAlignment="1">
      <alignment horizontal="right" vertical="center"/>
    </xf>
    <xf numFmtId="164" fontId="39" fillId="0" borderId="52" xfId="9" applyNumberFormat="1" applyFont="1" applyBorder="1" applyAlignment="1">
      <alignment horizontal="right" vertical="center"/>
    </xf>
    <xf numFmtId="0" fontId="4" fillId="5" borderId="0" xfId="0" applyFont="1" applyFill="1" applyBorder="1" applyAlignment="1">
      <alignment horizontal="left" vertical="top" wrapText="1"/>
    </xf>
    <xf numFmtId="0" fontId="28" fillId="5" borderId="0" xfId="0" applyFont="1" applyFill="1"/>
    <xf numFmtId="0" fontId="28" fillId="5" borderId="0" xfId="0" applyFont="1" applyFill="1" applyBorder="1" applyAlignment="1">
      <alignment horizontal="left" vertical="center" wrapText="1" indent="1"/>
    </xf>
    <xf numFmtId="3" fontId="39" fillId="5" borderId="0" xfId="0" applyNumberFormat="1" applyFont="1" applyFill="1" applyBorder="1" applyAlignment="1">
      <alignment horizontal="right" vertical="center" wrapText="1"/>
    </xf>
    <xf numFmtId="0" fontId="11" fillId="5" borderId="0" xfId="0" applyFont="1" applyFill="1" applyAlignment="1">
      <alignment horizontal="center" vertical="center"/>
    </xf>
    <xf numFmtId="0" fontId="11" fillId="5" borderId="0" xfId="0" applyFont="1" applyFill="1"/>
    <xf numFmtId="0" fontId="11" fillId="4" borderId="56" xfId="0" applyFont="1" applyFill="1" applyBorder="1" applyAlignment="1">
      <alignment horizontal="center" vertical="center" wrapText="1"/>
    </xf>
    <xf numFmtId="0" fontId="25" fillId="0" borderId="36" xfId="0" applyFont="1" applyBorder="1" applyAlignment="1">
      <alignment vertical="center"/>
    </xf>
    <xf numFmtId="0" fontId="39" fillId="0" borderId="64" xfId="0" applyFont="1" applyBorder="1" applyAlignment="1">
      <alignment vertical="center"/>
    </xf>
    <xf numFmtId="0" fontId="39" fillId="0" borderId="63" xfId="0" applyFont="1" applyBorder="1" applyAlignment="1">
      <alignment vertical="center"/>
    </xf>
    <xf numFmtId="2" fontId="39" fillId="0" borderId="63" xfId="0" applyNumberFormat="1" applyFont="1" applyBorder="1" applyAlignment="1">
      <alignment vertical="center"/>
    </xf>
    <xf numFmtId="2" fontId="39" fillId="0" borderId="32" xfId="0" applyNumberFormat="1" applyFont="1" applyBorder="1" applyAlignment="1">
      <alignment vertical="center"/>
    </xf>
    <xf numFmtId="0" fontId="39" fillId="0" borderId="36" xfId="0" applyFont="1" applyBorder="1" applyAlignment="1">
      <alignment vertical="center"/>
    </xf>
    <xf numFmtId="2" fontId="39" fillId="0" borderId="64" xfId="0" applyNumberFormat="1" applyFont="1" applyBorder="1" applyAlignment="1">
      <alignment vertical="center"/>
    </xf>
    <xf numFmtId="0" fontId="28" fillId="0" borderId="0" xfId="0" applyFont="1" applyFill="1" applyBorder="1" applyAlignment="1">
      <alignment vertical="top" wrapText="1"/>
    </xf>
    <xf numFmtId="0" fontId="4" fillId="0" borderId="0" xfId="0" applyFont="1" applyFill="1" applyBorder="1" applyAlignment="1">
      <alignment vertical="center" wrapText="1"/>
    </xf>
    <xf numFmtId="0" fontId="0" fillId="0" borderId="0" xfId="0" applyFill="1" applyBorder="1" applyAlignment="1">
      <alignment vertical="center" wrapText="1"/>
    </xf>
    <xf numFmtId="0" fontId="0" fillId="0" borderId="0" xfId="0" applyFill="1" applyBorder="1" applyAlignment="1"/>
    <xf numFmtId="0" fontId="0" fillId="0" borderId="0" xfId="0" applyAlignment="1">
      <alignment horizontal="centerContinuous" vertical="top" wrapText="1"/>
    </xf>
    <xf numFmtId="0" fontId="17" fillId="3" borderId="4" xfId="14" applyFont="1" applyFill="1" applyBorder="1" applyAlignment="1">
      <alignment horizontal="center" vertical="center" wrapText="1"/>
    </xf>
    <xf numFmtId="0" fontId="16" fillId="0" borderId="3" xfId="14" applyFont="1" applyFill="1" applyBorder="1" applyAlignment="1">
      <alignment horizontal="center" vertical="center" wrapText="1"/>
    </xf>
    <xf numFmtId="164" fontId="11" fillId="0" borderId="0" xfId="10" applyNumberFormat="1" applyFont="1" applyFill="1" applyBorder="1" applyAlignment="1">
      <alignment horizontal="center" vertical="center" wrapText="1"/>
    </xf>
    <xf numFmtId="9" fontId="0" fillId="0" borderId="0" xfId="10" applyFont="1"/>
    <xf numFmtId="9" fontId="11" fillId="0" borderId="0" xfId="13" applyNumberFormat="1"/>
    <xf numFmtId="164" fontId="11" fillId="42" borderId="0" xfId="10" applyNumberFormat="1" applyFont="1" applyFill="1"/>
    <xf numFmtId="164" fontId="11" fillId="0" borderId="0" xfId="13" applyNumberFormat="1"/>
    <xf numFmtId="0" fontId="39" fillId="6" borderId="41" xfId="0" applyFont="1" applyFill="1" applyBorder="1" applyAlignment="1" applyProtection="1">
      <alignment horizontal="left" vertical="center" wrapText="1"/>
      <protection locked="0"/>
    </xf>
    <xf numFmtId="0" fontId="11" fillId="0" borderId="0" xfId="2" applyFont="1" applyBorder="1" applyAlignment="1">
      <alignment vertical="center"/>
    </xf>
    <xf numFmtId="186" fontId="11" fillId="0" borderId="0" xfId="13" applyNumberFormat="1"/>
    <xf numFmtId="0" fontId="11" fillId="0" borderId="24" xfId="0" applyFont="1" applyFill="1" applyBorder="1" applyAlignment="1">
      <alignment horizontal="left" vertical="center" wrapText="1" indent="1"/>
    </xf>
    <xf numFmtId="0" fontId="39" fillId="6" borderId="42" xfId="0" applyFont="1" applyFill="1" applyBorder="1" applyAlignment="1" applyProtection="1">
      <alignment horizontal="left" vertical="center" wrapText="1"/>
      <protection locked="0"/>
    </xf>
    <xf numFmtId="0" fontId="11" fillId="0" borderId="28" xfId="0" applyFont="1" applyFill="1" applyBorder="1" applyAlignment="1">
      <alignment horizontal="left" vertical="center" wrapText="1" indent="1"/>
    </xf>
    <xf numFmtId="0" fontId="4" fillId="8" borderId="20" xfId="0" applyFont="1" applyFill="1" applyBorder="1" applyAlignment="1">
      <alignment horizontal="center" vertical="center" wrapText="1"/>
    </xf>
    <xf numFmtId="0" fontId="63" fillId="0" borderId="4" xfId="0" applyFont="1" applyFill="1" applyBorder="1" applyAlignment="1" applyProtection="1">
      <alignment horizontal="center" vertical="center"/>
    </xf>
    <xf numFmtId="0" fontId="39" fillId="0" borderId="20" xfId="0" applyFont="1" applyBorder="1" applyAlignment="1">
      <alignment horizontal="center" vertical="top" wrapText="1"/>
    </xf>
    <xf numFmtId="0" fontId="39" fillId="0" borderId="40" xfId="0" applyFont="1" applyBorder="1" applyAlignment="1">
      <alignment horizontal="center" vertical="top" wrapText="1"/>
    </xf>
    <xf numFmtId="0" fontId="4" fillId="0" borderId="0" xfId="0" applyFont="1" applyAlignment="1">
      <alignment vertical="center"/>
    </xf>
    <xf numFmtId="0" fontId="25" fillId="0" borderId="118" xfId="0" applyFont="1" applyFill="1" applyBorder="1" applyAlignment="1" applyProtection="1">
      <alignment horizontal="left" vertical="center" wrapText="1"/>
    </xf>
    <xf numFmtId="0" fontId="63" fillId="0" borderId="5" xfId="0" applyFont="1" applyFill="1" applyBorder="1" applyAlignment="1" applyProtection="1">
      <alignment horizontal="center" vertical="center"/>
    </xf>
    <xf numFmtId="0" fontId="10" fillId="0" borderId="48" xfId="0" applyFont="1" applyFill="1" applyBorder="1" applyAlignment="1">
      <alignment horizontal="left" vertical="center" indent="1"/>
    </xf>
    <xf numFmtId="0" fontId="39" fillId="4" borderId="65" xfId="0" applyFont="1" applyFill="1" applyBorder="1" applyAlignment="1">
      <alignment vertical="center"/>
    </xf>
    <xf numFmtId="0" fontId="39" fillId="4" borderId="101" xfId="0" applyFont="1" applyFill="1" applyBorder="1" applyAlignment="1">
      <alignment vertical="center"/>
    </xf>
    <xf numFmtId="3" fontId="39" fillId="6" borderId="100" xfId="0" applyNumberFormat="1" applyFont="1" applyFill="1" applyBorder="1" applyAlignment="1" applyProtection="1">
      <alignment horizontal="right" vertical="center" wrapText="1"/>
      <protection locked="0"/>
    </xf>
    <xf numFmtId="0" fontId="63" fillId="0" borderId="6" xfId="0" applyFont="1" applyFill="1" applyBorder="1" applyAlignment="1" applyProtection="1">
      <alignment horizontal="center" vertical="center"/>
    </xf>
    <xf numFmtId="168" fontId="39" fillId="5" borderId="28" xfId="0" applyNumberFormat="1" applyFont="1" applyFill="1" applyBorder="1" applyAlignment="1">
      <alignment horizontal="right" vertical="center" wrapText="1"/>
    </xf>
    <xf numFmtId="3" fontId="39" fillId="5" borderId="24" xfId="0" applyNumberFormat="1" applyFont="1" applyFill="1" applyBorder="1" applyAlignment="1" applyProtection="1">
      <alignment horizontal="right" vertical="center" wrapText="1"/>
      <protection locked="0"/>
    </xf>
    <xf numFmtId="174" fontId="39" fillId="0" borderId="106" xfId="1" applyNumberFormat="1" applyFont="1" applyBorder="1" applyAlignment="1">
      <alignment horizontal="right" vertical="center"/>
    </xf>
    <xf numFmtId="0" fontId="11" fillId="0" borderId="1" xfId="0" applyFont="1" applyFill="1" applyBorder="1" applyAlignment="1">
      <alignment vertical="center"/>
    </xf>
    <xf numFmtId="0" fontId="11" fillId="0" borderId="0" xfId="0" applyFont="1" applyFill="1" applyBorder="1" applyAlignment="1">
      <alignment vertical="center"/>
    </xf>
    <xf numFmtId="0" fontId="8" fillId="0" borderId="0" xfId="0" applyFont="1" applyFill="1" applyBorder="1" applyAlignment="1">
      <alignment horizontal="right" vertical="center" wrapText="1" indent="2"/>
    </xf>
    <xf numFmtId="0" fontId="8" fillId="0" borderId="0" xfId="0" applyFont="1" applyBorder="1" applyAlignment="1">
      <alignment horizontal="right" vertical="top"/>
    </xf>
    <xf numFmtId="2" fontId="25" fillId="0" borderId="42" xfId="0" applyNumberFormat="1" applyFont="1" applyFill="1" applyBorder="1" applyAlignment="1" applyProtection="1">
      <alignment vertical="center" wrapText="1"/>
    </xf>
    <xf numFmtId="0" fontId="11" fillId="5" borderId="0" xfId="2" applyFont="1" applyFill="1" applyBorder="1" applyAlignment="1">
      <alignment horizontal="left" vertical="center"/>
    </xf>
    <xf numFmtId="0" fontId="11" fillId="0" borderId="0" xfId="2" applyFont="1" applyFill="1" applyBorder="1" applyAlignment="1">
      <alignment horizontal="left" vertical="center"/>
    </xf>
    <xf numFmtId="0" fontId="11" fillId="9" borderId="0" xfId="2" applyFont="1" applyFill="1" applyBorder="1" applyAlignment="1">
      <alignment horizontal="left" vertical="center"/>
    </xf>
    <xf numFmtId="0" fontId="11" fillId="9" borderId="0" xfId="2" applyFont="1" applyFill="1" applyAlignment="1">
      <alignment vertical="center"/>
    </xf>
    <xf numFmtId="0" fontId="11" fillId="0" borderId="0" xfId="2" applyFont="1" applyFill="1" applyAlignment="1">
      <alignment vertical="center"/>
    </xf>
    <xf numFmtId="0" fontId="11" fillId="9" borderId="0" xfId="2" applyFont="1" applyFill="1" applyBorder="1" applyAlignment="1">
      <alignment vertical="center"/>
    </xf>
    <xf numFmtId="0" fontId="11" fillId="5" borderId="0" xfId="2" applyFont="1" applyFill="1" applyAlignment="1">
      <alignment vertical="center"/>
    </xf>
    <xf numFmtId="0" fontId="11" fillId="5" borderId="0" xfId="2" applyFont="1" applyFill="1" applyBorder="1" applyAlignment="1">
      <alignment vertical="center"/>
    </xf>
    <xf numFmtId="3" fontId="11" fillId="9" borderId="0" xfId="2" applyNumberFormat="1" applyFont="1" applyFill="1" applyBorder="1" applyAlignment="1">
      <alignment horizontal="left" vertical="center" wrapText="1"/>
    </xf>
    <xf numFmtId="0" fontId="11" fillId="0" borderId="0" xfId="2" applyFont="1" applyAlignment="1">
      <alignment horizontal="right" vertical="center"/>
    </xf>
    <xf numFmtId="0" fontId="11" fillId="0" borderId="0" xfId="2" applyNumberFormat="1" applyFont="1" applyAlignment="1">
      <alignment vertical="center"/>
    </xf>
    <xf numFmtId="0" fontId="11" fillId="9" borderId="0" xfId="2" applyFont="1" applyFill="1" applyBorder="1" applyAlignment="1">
      <alignment horizontal="center" vertical="center" wrapText="1"/>
    </xf>
    <xf numFmtId="0" fontId="11" fillId="0" borderId="0" xfId="2" applyFont="1" applyBorder="1" applyAlignment="1">
      <alignment horizontal="center" vertical="center" wrapText="1"/>
    </xf>
    <xf numFmtId="167" fontId="11" fillId="0" borderId="0" xfId="12" applyNumberFormat="1" applyFont="1" applyFill="1" applyBorder="1" applyAlignment="1">
      <alignment horizontal="right" vertical="top"/>
    </xf>
    <xf numFmtId="170" fontId="11" fillId="0" borderId="0" xfId="11" applyNumberFormat="1" applyFont="1" applyFill="1" applyBorder="1" applyAlignment="1">
      <alignment horizontal="right" vertical="top"/>
    </xf>
    <xf numFmtId="177" fontId="11" fillId="0" borderId="0" xfId="2" applyNumberFormat="1" applyFont="1" applyAlignment="1">
      <alignment vertical="center"/>
    </xf>
    <xf numFmtId="42" fontId="11" fillId="5" borderId="0" xfId="2" applyNumberFormat="1" applyFont="1" applyFill="1" applyBorder="1" applyAlignment="1">
      <alignment horizontal="center" vertical="center" wrapText="1"/>
    </xf>
    <xf numFmtId="164" fontId="11" fillId="9" borderId="0" xfId="10" applyNumberFormat="1" applyFont="1" applyFill="1" applyBorder="1" applyAlignment="1">
      <alignment vertical="center" wrapText="1"/>
    </xf>
    <xf numFmtId="171" fontId="11" fillId="0" borderId="0" xfId="12" applyNumberFormat="1" applyFont="1" applyFill="1" applyBorder="1" applyAlignment="1">
      <alignment horizontal="right" vertical="top"/>
    </xf>
    <xf numFmtId="184" fontId="11" fillId="5" borderId="0" xfId="2" applyNumberFormat="1" applyFont="1" applyFill="1" applyBorder="1" applyAlignment="1">
      <alignment horizontal="center" vertical="center" wrapText="1"/>
    </xf>
    <xf numFmtId="43" fontId="11" fillId="5" borderId="0" xfId="12" applyFont="1" applyFill="1" applyBorder="1" applyAlignment="1">
      <alignment horizontal="right" vertical="top"/>
    </xf>
    <xf numFmtId="44" fontId="11" fillId="5" borderId="0" xfId="11" applyFont="1" applyFill="1" applyBorder="1" applyAlignment="1">
      <alignment horizontal="center" vertical="center" wrapText="1"/>
    </xf>
    <xf numFmtId="49" fontId="11" fillId="5" borderId="0" xfId="2" applyNumberFormat="1" applyFont="1" applyFill="1" applyBorder="1" applyAlignment="1">
      <alignment horizontal="left" vertical="center"/>
    </xf>
    <xf numFmtId="49" fontId="24" fillId="0" borderId="0" xfId="2" applyNumberFormat="1" applyFont="1" applyFill="1" applyBorder="1" applyAlignment="1">
      <alignment horizontal="left" vertical="center"/>
    </xf>
    <xf numFmtId="0" fontId="11" fillId="0" borderId="0" xfId="2" applyNumberFormat="1" applyFont="1" applyFill="1" applyBorder="1" applyAlignment="1">
      <alignment horizontal="left" vertical="center" wrapText="1"/>
    </xf>
    <xf numFmtId="0" fontId="24" fillId="9" borderId="0" xfId="2" applyFont="1" applyFill="1" applyBorder="1" applyAlignment="1">
      <alignment vertical="center"/>
    </xf>
    <xf numFmtId="173" fontId="11" fillId="0" borderId="0" xfId="2" applyNumberFormat="1" applyFont="1" applyAlignment="1">
      <alignment vertical="center"/>
    </xf>
    <xf numFmtId="0" fontId="11" fillId="5" borderId="0" xfId="2" applyFont="1" applyFill="1" applyAlignment="1">
      <alignment horizontal="left" vertical="center" wrapText="1"/>
    </xf>
    <xf numFmtId="49" fontId="11" fillId="0" borderId="0" xfId="2" applyNumberFormat="1" applyFont="1" applyFill="1" applyBorder="1" applyAlignment="1">
      <alignment horizontal="left" vertical="center" wrapText="1"/>
    </xf>
    <xf numFmtId="3" fontId="11" fillId="0" borderId="0" xfId="2" applyNumberFormat="1" applyFont="1" applyFill="1" applyBorder="1" applyAlignment="1">
      <alignment horizontal="left" vertical="top"/>
    </xf>
    <xf numFmtId="172" fontId="11" fillId="0" borderId="0" xfId="11" applyNumberFormat="1" applyFont="1" applyAlignment="1">
      <alignment vertical="center"/>
    </xf>
    <xf numFmtId="44" fontId="11" fillId="0" borderId="0" xfId="11" applyFont="1" applyAlignment="1">
      <alignment vertical="center"/>
    </xf>
    <xf numFmtId="187" fontId="11" fillId="0" borderId="0" xfId="96" applyNumberFormat="1" applyFont="1" applyAlignment="1">
      <alignment vertical="center"/>
    </xf>
    <xf numFmtId="172" fontId="11" fillId="0" borderId="0" xfId="11" applyNumberFormat="1" applyFont="1" applyBorder="1" applyAlignment="1">
      <alignment vertical="center"/>
    </xf>
    <xf numFmtId="44" fontId="11" fillId="0" borderId="0" xfId="11" applyFont="1" applyBorder="1" applyAlignment="1">
      <alignment vertical="center"/>
    </xf>
    <xf numFmtId="173" fontId="11" fillId="0" borderId="0" xfId="2" applyNumberFormat="1" applyFont="1" applyBorder="1" applyAlignment="1">
      <alignment vertical="center"/>
    </xf>
    <xf numFmtId="0" fontId="11" fillId="0" borderId="0" xfId="2" applyFont="1" applyAlignment="1">
      <alignment vertical="center" wrapText="1"/>
    </xf>
    <xf numFmtId="185" fontId="11" fillId="0" borderId="0" xfId="2" applyNumberFormat="1" applyFont="1" applyAlignment="1">
      <alignment vertical="center"/>
    </xf>
    <xf numFmtId="164" fontId="11" fillId="5" borderId="0" xfId="10" applyNumberFormat="1" applyFont="1" applyFill="1" applyBorder="1" applyAlignment="1">
      <alignment vertical="center" wrapText="1"/>
    </xf>
    <xf numFmtId="3" fontId="11" fillId="9" borderId="0" xfId="2" applyNumberFormat="1" applyFont="1" applyFill="1" applyBorder="1" applyAlignment="1">
      <alignment horizontal="left" vertical="center"/>
    </xf>
    <xf numFmtId="0" fontId="11" fillId="7" borderId="0" xfId="0" applyFont="1" applyFill="1" applyAlignment="1">
      <alignment horizontal="center" vertical="center" wrapText="1"/>
    </xf>
    <xf numFmtId="0" fontId="11" fillId="0" borderId="0" xfId="2" applyNumberFormat="1" applyFont="1" applyFill="1" applyBorder="1" applyAlignment="1">
      <alignment horizontal="left" vertical="center"/>
    </xf>
    <xf numFmtId="176" fontId="11" fillId="0" borderId="0" xfId="12" applyNumberFormat="1" applyFont="1" applyFill="1" applyBorder="1" applyAlignment="1">
      <alignment horizontal="right" vertical="center" wrapText="1"/>
    </xf>
    <xf numFmtId="176" fontId="11" fillId="0" borderId="0" xfId="12" applyNumberFormat="1" applyFont="1" applyFill="1" applyBorder="1" applyAlignment="1">
      <alignment vertical="center" wrapText="1"/>
    </xf>
    <xf numFmtId="176" fontId="11" fillId="0" borderId="0" xfId="2" applyNumberFormat="1" applyFont="1" applyFill="1" applyBorder="1" applyAlignment="1">
      <alignment vertical="center"/>
    </xf>
    <xf numFmtId="0" fontId="11" fillId="7" borderId="0" xfId="0" applyFont="1" applyFill="1" applyAlignment="1">
      <alignment vertical="center"/>
    </xf>
    <xf numFmtId="49" fontId="11" fillId="0" borderId="0" xfId="2" applyNumberFormat="1" applyFont="1" applyFill="1" applyBorder="1" applyAlignment="1">
      <alignment horizontal="left" vertical="center"/>
    </xf>
    <xf numFmtId="49" fontId="11" fillId="9" borderId="0" xfId="2" applyNumberFormat="1" applyFont="1" applyFill="1" applyBorder="1" applyAlignment="1">
      <alignment horizontal="center" vertical="center" wrapText="1"/>
    </xf>
    <xf numFmtId="0" fontId="11" fillId="0" borderId="0" xfId="2" applyFont="1" applyFill="1" applyBorder="1" applyAlignment="1">
      <alignment vertical="center" wrapText="1"/>
    </xf>
    <xf numFmtId="49" fontId="11" fillId="5" borderId="0" xfId="2" applyNumberFormat="1" applyFont="1" applyFill="1" applyBorder="1" applyAlignment="1">
      <alignment horizontal="center" vertical="center" wrapText="1"/>
    </xf>
    <xf numFmtId="44" fontId="11" fillId="5" borderId="0" xfId="11" applyFont="1" applyFill="1" applyBorder="1" applyAlignment="1">
      <alignment horizontal="right" vertical="top"/>
    </xf>
    <xf numFmtId="0" fontId="22" fillId="0" borderId="0" xfId="2" applyFont="1" applyFill="1" applyBorder="1" applyAlignment="1">
      <alignment vertical="center"/>
    </xf>
    <xf numFmtId="0" fontId="22" fillId="5" borderId="0" xfId="2" applyFont="1" applyFill="1" applyBorder="1" applyAlignment="1">
      <alignment vertical="center"/>
    </xf>
    <xf numFmtId="0" fontId="11" fillId="0" borderId="0" xfId="0" applyFont="1" applyFill="1" applyBorder="1" applyAlignment="1">
      <alignment horizontal="left" vertical="center"/>
    </xf>
    <xf numFmtId="0" fontId="24" fillId="0" borderId="0" xfId="2" applyFont="1" applyFill="1" applyBorder="1" applyAlignment="1">
      <alignment vertical="top"/>
    </xf>
    <xf numFmtId="0" fontId="48" fillId="0" borderId="0" xfId="2" applyFont="1" applyFill="1" applyBorder="1" applyAlignment="1">
      <alignment vertical="center"/>
    </xf>
    <xf numFmtId="172" fontId="11" fillId="0" borderId="0" xfId="11" applyNumberFormat="1" applyFont="1" applyFill="1" applyBorder="1" applyAlignment="1">
      <alignment vertical="center"/>
    </xf>
    <xf numFmtId="44" fontId="11" fillId="0" borderId="0" xfId="11" applyFont="1" applyFill="1" applyBorder="1" applyAlignment="1">
      <alignment vertical="center"/>
    </xf>
    <xf numFmtId="0" fontId="11" fillId="5" borderId="0" xfId="2" applyFont="1" applyFill="1"/>
    <xf numFmtId="3" fontId="11" fillId="5" borderId="0" xfId="2" applyNumberFormat="1" applyFont="1" applyFill="1" applyBorder="1" applyAlignment="1">
      <alignment horizontal="left" vertical="center"/>
    </xf>
    <xf numFmtId="164" fontId="11" fillId="0" borderId="0" xfId="10" applyNumberFormat="1" applyFont="1" applyFill="1" applyBorder="1" applyAlignment="1">
      <alignment horizontal="center" vertical="center"/>
    </xf>
    <xf numFmtId="0" fontId="11" fillId="0" borderId="0" xfId="2" applyFont="1" applyFill="1" applyBorder="1" applyAlignment="1">
      <alignment vertical="center"/>
    </xf>
    <xf numFmtId="42" fontId="11" fillId="0" borderId="0" xfId="2" applyNumberFormat="1" applyFont="1" applyFill="1" applyBorder="1" applyAlignment="1">
      <alignment horizontal="center" vertical="center" wrapText="1"/>
    </xf>
    <xf numFmtId="49" fontId="11" fillId="0" borderId="0" xfId="2" applyNumberFormat="1" applyFont="1" applyFill="1" applyBorder="1" applyAlignment="1">
      <alignment horizontal="center" vertical="center" wrapText="1"/>
    </xf>
    <xf numFmtId="171" fontId="11" fillId="0" borderId="0" xfId="2" applyNumberFormat="1" applyFont="1" applyFill="1" applyBorder="1" applyAlignment="1">
      <alignment vertical="center"/>
    </xf>
    <xf numFmtId="43" fontId="11" fillId="0" borderId="0" xfId="2" applyNumberFormat="1" applyFont="1" applyFill="1" applyBorder="1" applyAlignment="1">
      <alignment vertical="center"/>
    </xf>
    <xf numFmtId="43" fontId="11" fillId="0" borderId="0" xfId="1" applyFont="1" applyFill="1" applyBorder="1" applyAlignment="1">
      <alignment horizontal="center" vertical="center" wrapText="1"/>
    </xf>
    <xf numFmtId="0" fontId="11" fillId="0" borderId="0" xfId="2" applyFont="1" applyFill="1" applyBorder="1" applyAlignment="1">
      <alignment horizontal="right" vertical="top"/>
    </xf>
    <xf numFmtId="0" fontId="11" fillId="5" borderId="0" xfId="0" applyFont="1" applyFill="1" applyAlignment="1">
      <alignment horizontal="center" vertical="center" wrapText="1"/>
    </xf>
    <xf numFmtId="175" fontId="11" fillId="0" borderId="0" xfId="2" applyNumberFormat="1" applyFont="1" applyAlignment="1">
      <alignment vertical="center"/>
    </xf>
    <xf numFmtId="0" fontId="0" fillId="0" borderId="0" xfId="0"/>
    <xf numFmtId="0" fontId="11" fillId="0" borderId="0" xfId="13" applyFont="1" applyAlignment="1"/>
    <xf numFmtId="0" fontId="14" fillId="0" borderId="0" xfId="0" applyFont="1" applyAlignment="1"/>
    <xf numFmtId="0" fontId="11" fillId="0" borderId="0" xfId="13" applyFont="1" applyFill="1" applyAlignment="1"/>
    <xf numFmtId="0" fontId="24" fillId="0" borderId="0" xfId="13" applyFont="1" applyAlignment="1"/>
    <xf numFmtId="0" fontId="0" fillId="0" borderId="0" xfId="0" applyAlignment="1"/>
    <xf numFmtId="0" fontId="39" fillId="6" borderId="28" xfId="0" applyFont="1" applyFill="1" applyBorder="1" applyAlignment="1" applyProtection="1">
      <alignment horizontal="left" vertical="center" wrapText="1"/>
      <protection locked="0"/>
    </xf>
    <xf numFmtId="4" fontId="39" fillId="0" borderId="41" xfId="0" applyNumberFormat="1" applyFont="1" applyFill="1" applyBorder="1" applyAlignment="1">
      <alignment horizontal="right" vertical="center" wrapText="1"/>
    </xf>
    <xf numFmtId="0" fontId="11" fillId="0" borderId="21" xfId="0" applyFont="1" applyFill="1" applyBorder="1" applyAlignment="1">
      <alignment horizontal="left" vertical="center" wrapText="1" indent="1"/>
    </xf>
    <xf numFmtId="0" fontId="0" fillId="5" borderId="0" xfId="15" applyFont="1" applyFill="1"/>
    <xf numFmtId="43" fontId="11" fillId="0" borderId="0" xfId="2" applyNumberFormat="1" applyFont="1" applyAlignment="1">
      <alignment vertical="center"/>
    </xf>
    <xf numFmtId="190" fontId="11" fillId="9" borderId="0" xfId="96" applyNumberFormat="1" applyFont="1" applyFill="1" applyBorder="1" applyAlignment="1">
      <alignment vertical="center"/>
    </xf>
    <xf numFmtId="0" fontId="11" fillId="0" borderId="0" xfId="2" applyFont="1" applyAlignment="1">
      <alignment vertical="center"/>
    </xf>
    <xf numFmtId="0" fontId="44" fillId="0" borderId="0" xfId="0" applyFont="1" applyAlignment="1">
      <alignment vertical="center" wrapText="1"/>
    </xf>
    <xf numFmtId="0" fontId="84" fillId="0" borderId="0" xfId="0" applyFont="1" applyAlignment="1">
      <alignment vertical="top"/>
    </xf>
    <xf numFmtId="0" fontId="84" fillId="0" borderId="0" xfId="0" applyFont="1"/>
    <xf numFmtId="0" fontId="44" fillId="0" borderId="0" xfId="0" applyFont="1"/>
    <xf numFmtId="0" fontId="44" fillId="0" borderId="0" xfId="0" applyFont="1" applyAlignment="1">
      <alignment wrapText="1"/>
    </xf>
    <xf numFmtId="0" fontId="44" fillId="0" borderId="0" xfId="0" applyFont="1" applyAlignment="1">
      <alignment horizontal="center" vertical="center"/>
    </xf>
    <xf numFmtId="0" fontId="0" fillId="0" borderId="0" xfId="0" applyProtection="1">
      <protection locked="0"/>
    </xf>
    <xf numFmtId="0" fontId="39" fillId="6" borderId="21" xfId="0" applyFont="1" applyFill="1" applyBorder="1" applyAlignment="1" applyProtection="1">
      <alignment horizontal="center" vertical="center" wrapText="1"/>
      <protection locked="0"/>
    </xf>
    <xf numFmtId="9" fontId="63" fillId="5" borderId="24" xfId="0" applyNumberFormat="1" applyFont="1" applyFill="1" applyBorder="1" applyAlignment="1" applyProtection="1">
      <alignment horizontal="center" vertical="center"/>
    </xf>
    <xf numFmtId="0" fontId="11" fillId="5" borderId="0" xfId="2" applyFont="1" applyFill="1" applyAlignment="1">
      <alignment wrapText="1"/>
    </xf>
    <xf numFmtId="0" fontId="3" fillId="6" borderId="0" xfId="14" applyFont="1" applyFill="1" applyBorder="1" applyAlignment="1" applyProtection="1">
      <alignment vertical="center"/>
    </xf>
    <xf numFmtId="0" fontId="3" fillId="5" borderId="1" xfId="14" applyFont="1" applyFill="1" applyBorder="1" applyAlignment="1" applyProtection="1">
      <alignment vertical="center"/>
    </xf>
    <xf numFmtId="0" fontId="34" fillId="5" borderId="0" xfId="14" applyFont="1" applyFill="1" applyBorder="1" applyAlignment="1" applyProtection="1">
      <alignment horizontal="left" vertical="center"/>
    </xf>
    <xf numFmtId="0" fontId="11" fillId="5" borderId="0" xfId="298" applyNumberFormat="1" applyFont="1" applyFill="1" applyBorder="1" applyAlignment="1" applyProtection="1">
      <alignment vertical="center" wrapText="1"/>
    </xf>
    <xf numFmtId="0" fontId="25" fillId="5" borderId="0" xfId="298" applyNumberFormat="1" applyFont="1" applyFill="1" applyBorder="1" applyAlignment="1" applyProtection="1">
      <alignment vertical="center"/>
    </xf>
    <xf numFmtId="0" fontId="3" fillId="5" borderId="18" xfId="14" applyFont="1" applyFill="1" applyBorder="1" applyAlignment="1" applyProtection="1">
      <alignment vertical="center"/>
    </xf>
    <xf numFmtId="0" fontId="3" fillId="6" borderId="0" xfId="0" applyFont="1" applyFill="1" applyBorder="1" applyAlignment="1" applyProtection="1">
      <alignment vertical="center"/>
    </xf>
    <xf numFmtId="0" fontId="3" fillId="0" borderId="0" xfId="0" applyFont="1"/>
    <xf numFmtId="0" fontId="39" fillId="0" borderId="0" xfId="0" applyFont="1" applyAlignment="1">
      <alignment vertical="top"/>
    </xf>
    <xf numFmtId="2" fontId="25" fillId="0" borderId="21" xfId="0" applyNumberFormat="1" applyFont="1" applyBorder="1" applyAlignment="1">
      <alignment horizontal="right" vertical="center"/>
    </xf>
    <xf numFmtId="2" fontId="25" fillId="0" borderId="22" xfId="0" applyNumberFormat="1" applyFont="1" applyBorder="1" applyAlignment="1">
      <alignment horizontal="right" vertical="center"/>
    </xf>
    <xf numFmtId="2" fontId="25" fillId="0" borderId="41" xfId="0" applyNumberFormat="1" applyFont="1" applyBorder="1" applyAlignment="1">
      <alignment horizontal="right" vertical="center"/>
    </xf>
    <xf numFmtId="2" fontId="25" fillId="0" borderId="42" xfId="0" applyNumberFormat="1" applyFont="1" applyBorder="1" applyAlignment="1">
      <alignment horizontal="right" vertical="center"/>
    </xf>
    <xf numFmtId="2" fontId="25" fillId="0" borderId="42" xfId="0" applyNumberFormat="1" applyFont="1" applyFill="1" applyBorder="1" applyAlignment="1">
      <alignment horizontal="right" vertical="center"/>
    </xf>
    <xf numFmtId="2" fontId="25" fillId="0" borderId="41" xfId="0" applyNumberFormat="1" applyFont="1" applyFill="1" applyBorder="1" applyAlignment="1">
      <alignment horizontal="right" vertical="center"/>
    </xf>
    <xf numFmtId="0" fontId="39" fillId="0" borderId="24" xfId="0" applyFont="1" applyBorder="1" applyAlignment="1">
      <alignment horizontal="right" vertical="center"/>
    </xf>
    <xf numFmtId="2" fontId="25" fillId="0" borderId="25" xfId="0" applyNumberFormat="1" applyFont="1" applyBorder="1" applyAlignment="1">
      <alignment horizontal="right" vertical="center"/>
    </xf>
    <xf numFmtId="0" fontId="25" fillId="0" borderId="20" xfId="0" applyFont="1" applyBorder="1" applyAlignment="1">
      <alignment horizontal="left" vertical="center"/>
    </xf>
    <xf numFmtId="0" fontId="25" fillId="0" borderId="40" xfId="0" applyFont="1" applyFill="1" applyBorder="1" applyAlignment="1">
      <alignment horizontal="left" vertical="center"/>
    </xf>
    <xf numFmtId="0" fontId="39" fillId="0" borderId="40" xfId="0" applyFont="1" applyBorder="1" applyAlignment="1">
      <alignment horizontal="left" vertical="center"/>
    </xf>
    <xf numFmtId="0" fontId="39" fillId="0" borderId="23" xfId="0" applyFont="1" applyBorder="1" applyAlignment="1">
      <alignment horizontal="left" vertical="center"/>
    </xf>
    <xf numFmtId="0" fontId="91" fillId="0" borderId="27" xfId="0" applyFont="1" applyFill="1" applyBorder="1" applyAlignment="1">
      <alignment horizontal="left" vertical="center" wrapText="1"/>
    </xf>
    <xf numFmtId="0" fontId="91" fillId="0" borderId="28" xfId="0" applyFont="1" applyFill="1" applyBorder="1" applyAlignment="1">
      <alignment horizontal="left" vertical="center" wrapText="1"/>
    </xf>
    <xf numFmtId="0" fontId="91" fillId="0" borderId="29" xfId="0" applyFont="1" applyFill="1" applyBorder="1" applyAlignment="1">
      <alignment horizontal="left" vertical="center" wrapText="1"/>
    </xf>
    <xf numFmtId="0" fontId="91" fillId="0" borderId="129" xfId="0" applyFont="1" applyFill="1" applyBorder="1" applyAlignment="1">
      <alignment horizontal="left" vertical="center" wrapText="1"/>
    </xf>
    <xf numFmtId="0" fontId="34" fillId="0" borderId="0" xfId="0" applyFont="1" applyBorder="1" applyAlignment="1">
      <alignment horizontal="left" vertical="center"/>
    </xf>
    <xf numFmtId="0" fontId="39" fillId="0" borderId="52" xfId="0" applyFont="1" applyFill="1" applyBorder="1" applyAlignment="1" applyProtection="1">
      <alignment horizontal="center" vertical="center" wrapText="1"/>
    </xf>
    <xf numFmtId="0" fontId="39" fillId="0" borderId="51" xfId="0" applyFont="1" applyFill="1" applyBorder="1" applyAlignment="1" applyProtection="1">
      <alignment horizontal="center" vertical="center" wrapText="1"/>
    </xf>
    <xf numFmtId="0" fontId="39" fillId="0" borderId="50" xfId="0" applyFont="1" applyFill="1" applyBorder="1" applyAlignment="1" applyProtection="1">
      <alignment horizontal="center" vertical="center" wrapText="1"/>
    </xf>
    <xf numFmtId="0" fontId="34" fillId="0" borderId="0" xfId="0" applyFont="1" applyBorder="1" applyAlignment="1" applyProtection="1">
      <alignment vertical="top"/>
    </xf>
    <xf numFmtId="0" fontId="22" fillId="0" borderId="0" xfId="2" applyFont="1" applyFill="1" applyBorder="1" applyAlignment="1">
      <alignment vertical="top"/>
    </xf>
    <xf numFmtId="0" fontId="11" fillId="0" borderId="0" xfId="2" applyFont="1" applyFill="1" applyAlignment="1">
      <alignment horizontal="left" vertical="top" indent="4"/>
    </xf>
    <xf numFmtId="0" fontId="22" fillId="5" borderId="0" xfId="2" applyFont="1" applyFill="1" applyBorder="1" applyAlignment="1">
      <alignment vertical="top"/>
    </xf>
    <xf numFmtId="0" fontId="11" fillId="0" borderId="0" xfId="2" applyFont="1" applyAlignment="1">
      <alignment horizontal="left" vertical="top" indent="3"/>
    </xf>
    <xf numFmtId="0" fontId="11" fillId="5" borderId="0" xfId="2" applyFont="1" applyFill="1" applyAlignment="1">
      <alignment horizontal="left" vertical="top" wrapText="1" indent="4"/>
    </xf>
    <xf numFmtId="0" fontId="11" fillId="9" borderId="0" xfId="2" applyFont="1" applyFill="1" applyBorder="1" applyAlignment="1">
      <alignment horizontal="left" vertical="top" indent="4"/>
    </xf>
    <xf numFmtId="0" fontId="11" fillId="0" borderId="0" xfId="2" applyFont="1" applyAlignment="1">
      <alignment horizontal="left" vertical="top" indent="4"/>
    </xf>
    <xf numFmtId="0" fontId="0" fillId="6" borderId="0" xfId="0" applyFill="1"/>
    <xf numFmtId="0" fontId="11" fillId="6" borderId="0" xfId="298" applyFont="1" applyFill="1" applyAlignment="1" applyProtection="1">
      <alignment vertical="center"/>
    </xf>
    <xf numFmtId="0" fontId="11" fillId="6" borderId="0" xfId="298" applyFont="1" applyFill="1" applyBorder="1" applyAlignment="1" applyProtection="1">
      <alignment vertical="center"/>
    </xf>
    <xf numFmtId="0" fontId="11" fillId="6" borderId="0" xfId="2" applyFont="1" applyFill="1" applyAlignment="1">
      <alignment vertical="center"/>
    </xf>
    <xf numFmtId="0" fontId="11" fillId="0" borderId="12" xfId="298" applyFont="1" applyFill="1" applyBorder="1" applyAlignment="1" applyProtection="1">
      <alignment vertical="center"/>
    </xf>
    <xf numFmtId="0" fontId="11" fillId="0" borderId="2" xfId="298" applyFont="1" applyFill="1" applyBorder="1" applyAlignment="1" applyProtection="1">
      <alignment vertical="center"/>
    </xf>
    <xf numFmtId="0" fontId="11" fillId="0" borderId="17" xfId="298" applyFont="1" applyFill="1" applyBorder="1" applyAlignment="1" applyProtection="1">
      <alignment vertical="center"/>
    </xf>
    <xf numFmtId="0" fontId="11" fillId="0" borderId="1" xfId="298" applyFont="1" applyFill="1" applyBorder="1" applyAlignment="1" applyProtection="1">
      <alignment vertical="center"/>
    </xf>
    <xf numFmtId="0" fontId="92" fillId="0" borderId="0" xfId="298" applyFont="1" applyFill="1" applyBorder="1" applyAlignment="1" applyProtection="1">
      <alignment horizontal="left" vertical="center"/>
    </xf>
    <xf numFmtId="0" fontId="11" fillId="0" borderId="0" xfId="298" applyFont="1" applyFill="1" applyBorder="1" applyAlignment="1" applyProtection="1">
      <alignment vertical="center"/>
    </xf>
    <xf numFmtId="0" fontId="24" fillId="0" borderId="18" xfId="298" applyFont="1" applyFill="1" applyBorder="1" applyAlignment="1" applyProtection="1">
      <alignment vertical="center"/>
    </xf>
    <xf numFmtId="49" fontId="21" fillId="0" borderId="0" xfId="298" applyNumberFormat="1" applyFont="1" applyFill="1" applyBorder="1" applyAlignment="1" applyProtection="1">
      <alignment vertical="center"/>
    </xf>
    <xf numFmtId="0" fontId="11" fillId="0" borderId="18" xfId="298" applyFont="1" applyFill="1" applyBorder="1" applyAlignment="1" applyProtection="1">
      <alignment vertical="center"/>
    </xf>
    <xf numFmtId="49" fontId="27" fillId="0" borderId="0" xfId="298" applyNumberFormat="1" applyFont="1" applyFill="1" applyBorder="1" applyAlignment="1" applyProtection="1">
      <alignment vertical="center" wrapText="1"/>
    </xf>
    <xf numFmtId="49" fontId="27" fillId="0" borderId="0" xfId="298" applyNumberFormat="1" applyFont="1" applyFill="1" applyBorder="1" applyAlignment="1" applyProtection="1">
      <alignment vertical="center"/>
    </xf>
    <xf numFmtId="0" fontId="11" fillId="0" borderId="0" xfId="298" applyNumberFormat="1" applyFont="1" applyFill="1" applyBorder="1" applyAlignment="1" applyProtection="1">
      <alignment vertical="center"/>
    </xf>
    <xf numFmtId="0" fontId="24" fillId="0" borderId="0" xfId="298" applyFont="1" applyFill="1" applyBorder="1" applyAlignment="1" applyProtection="1">
      <alignment vertical="center"/>
    </xf>
    <xf numFmtId="0" fontId="11" fillId="0" borderId="18" xfId="298" applyFont="1" applyFill="1" applyBorder="1" applyAlignment="1" applyProtection="1">
      <alignment horizontal="left" vertical="center" wrapText="1"/>
    </xf>
    <xf numFmtId="0" fontId="11" fillId="0" borderId="1" xfId="2" applyFont="1" applyFill="1" applyBorder="1" applyAlignment="1">
      <alignment vertical="center"/>
    </xf>
    <xf numFmtId="0" fontId="11" fillId="0" borderId="18" xfId="2" applyFont="1" applyFill="1" applyBorder="1" applyAlignment="1">
      <alignment vertical="center"/>
    </xf>
    <xf numFmtId="39" fontId="25" fillId="0" borderId="0" xfId="298" applyNumberFormat="1" applyFont="1" applyFill="1" applyBorder="1" applyAlignment="1" applyProtection="1">
      <alignment horizontal="right" vertical="center"/>
    </xf>
    <xf numFmtId="0" fontId="11" fillId="6" borderId="0" xfId="2" applyFont="1" applyFill="1" applyBorder="1" applyAlignment="1">
      <alignment vertical="center"/>
    </xf>
    <xf numFmtId="0" fontId="11" fillId="6" borderId="0" xfId="2" applyFont="1" applyFill="1" applyBorder="1" applyAlignment="1"/>
    <xf numFmtId="0" fontId="11" fillId="6" borderId="0" xfId="2" applyFont="1" applyFill="1"/>
    <xf numFmtId="0" fontId="11" fillId="6" borderId="0" xfId="2" applyFont="1" applyFill="1" applyBorder="1" applyAlignment="1">
      <alignment horizontal="center"/>
    </xf>
    <xf numFmtId="164" fontId="11" fillId="6" borderId="0" xfId="10" applyNumberFormat="1" applyFont="1" applyFill="1" applyBorder="1" applyAlignment="1">
      <alignment horizontal="center"/>
    </xf>
    <xf numFmtId="39" fontId="39" fillId="6" borderId="4" xfId="1" applyNumberFormat="1" applyFont="1" applyFill="1" applyBorder="1" applyAlignment="1" applyProtection="1">
      <alignment horizontal="right" vertical="center"/>
      <protection locked="0"/>
    </xf>
    <xf numFmtId="0" fontId="11" fillId="8" borderId="23"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25" fillId="0" borderId="29" xfId="2" applyFont="1" applyFill="1" applyBorder="1" applyAlignment="1">
      <alignment horizontal="center" vertical="center"/>
    </xf>
    <xf numFmtId="9" fontId="25" fillId="8" borderId="25" xfId="10" applyNumberFormat="1" applyFont="1" applyFill="1" applyBorder="1" applyAlignment="1">
      <alignment horizontal="center" vertical="center"/>
    </xf>
    <xf numFmtId="49" fontId="27" fillId="0" borderId="2" xfId="298" applyNumberFormat="1" applyFont="1" applyFill="1" applyBorder="1" applyAlignment="1" applyProtection="1">
      <alignment vertical="center" wrapText="1"/>
    </xf>
    <xf numFmtId="49" fontId="27" fillId="0" borderId="2" xfId="298" applyNumberFormat="1" applyFont="1" applyFill="1" applyBorder="1" applyAlignment="1" applyProtection="1">
      <alignment vertical="center"/>
    </xf>
    <xf numFmtId="0" fontId="93" fillId="0" borderId="2" xfId="298" applyFont="1" applyFill="1" applyBorder="1" applyAlignment="1" applyProtection="1">
      <alignment vertical="center" wrapText="1"/>
    </xf>
    <xf numFmtId="0" fontId="11" fillId="0" borderId="1" xfId="2" applyFont="1" applyFill="1" applyBorder="1"/>
    <xf numFmtId="0" fontId="11" fillId="0" borderId="18" xfId="2" applyFont="1" applyFill="1" applyBorder="1"/>
    <xf numFmtId="0" fontId="11" fillId="0" borderId="13" xfId="2" applyFont="1" applyFill="1" applyBorder="1"/>
    <xf numFmtId="0" fontId="11" fillId="0" borderId="14" xfId="2" applyFont="1" applyFill="1" applyBorder="1"/>
    <xf numFmtId="164" fontId="11" fillId="0" borderId="14" xfId="2" applyNumberFormat="1" applyFont="1" applyFill="1" applyBorder="1" applyAlignment="1">
      <alignment horizontal="center"/>
    </xf>
    <xf numFmtId="0" fontId="11" fillId="0" borderId="14" xfId="2" applyFont="1" applyFill="1" applyBorder="1" applyAlignment="1">
      <alignment horizontal="center"/>
    </xf>
    <xf numFmtId="170" fontId="11" fillId="0" borderId="14" xfId="11" applyNumberFormat="1" applyFont="1" applyFill="1" applyBorder="1" applyAlignment="1"/>
    <xf numFmtId="0" fontId="11" fillId="0" borderId="14" xfId="2" applyFont="1" applyFill="1" applyBorder="1" applyAlignment="1"/>
    <xf numFmtId="0" fontId="11" fillId="0" borderId="19" xfId="2" applyFont="1" applyFill="1" applyBorder="1"/>
    <xf numFmtId="0" fontId="93" fillId="0" borderId="0" xfId="298" applyFont="1" applyFill="1" applyBorder="1" applyAlignment="1" applyProtection="1">
      <alignment vertical="center" wrapText="1"/>
    </xf>
    <xf numFmtId="49" fontId="90" fillId="0" borderId="0" xfId="298" applyNumberFormat="1" applyFont="1" applyFill="1" applyBorder="1" applyAlignment="1" applyProtection="1">
      <alignment vertical="center" wrapText="1"/>
    </xf>
    <xf numFmtId="0" fontId="11" fillId="0" borderId="0" xfId="0" applyFont="1" applyFill="1" applyBorder="1" applyAlignment="1">
      <alignment vertical="center" wrapText="1"/>
    </xf>
    <xf numFmtId="0" fontId="11" fillId="0" borderId="0" xfId="0" applyFont="1" applyFill="1" applyBorder="1" applyAlignment="1">
      <alignment horizontal="center" vertical="center" wrapText="1"/>
    </xf>
    <xf numFmtId="0" fontId="25" fillId="0" borderId="130" xfId="0" applyFont="1" applyFill="1" applyBorder="1" applyAlignment="1">
      <alignment vertical="center" wrapText="1"/>
    </xf>
    <xf numFmtId="0" fontId="11" fillId="0" borderId="130" xfId="0" applyFont="1" applyFill="1" applyBorder="1" applyAlignment="1">
      <alignment vertical="center" wrapText="1"/>
    </xf>
    <xf numFmtId="0" fontId="11" fillId="0" borderId="0" xfId="0" applyFont="1" applyFill="1"/>
    <xf numFmtId="0" fontId="28" fillId="0" borderId="0" xfId="0" applyFont="1" applyFill="1"/>
    <xf numFmtId="0" fontId="32" fillId="0" borderId="0" xfId="0" applyFont="1" applyBorder="1" applyAlignment="1">
      <alignment vertical="top"/>
    </xf>
    <xf numFmtId="3" fontId="39" fillId="6" borderId="21" xfId="0" applyNumberFormat="1" applyFont="1" applyFill="1" applyBorder="1" applyAlignment="1" applyProtection="1">
      <alignment horizontal="center" vertical="center" wrapText="1"/>
      <protection locked="0"/>
    </xf>
    <xf numFmtId="0" fontId="39" fillId="6" borderId="41" xfId="0" applyFont="1" applyFill="1" applyBorder="1" applyAlignment="1" applyProtection="1">
      <alignment horizontal="center" vertical="center" wrapText="1"/>
      <protection locked="0"/>
    </xf>
    <xf numFmtId="0" fontId="39" fillId="6" borderId="24" xfId="0" applyFont="1" applyFill="1" applyBorder="1" applyAlignment="1" applyProtection="1">
      <alignment horizontal="center" vertical="center" wrapText="1"/>
      <protection locked="0"/>
    </xf>
    <xf numFmtId="0" fontId="39" fillId="5" borderId="28" xfId="0" applyFont="1" applyFill="1" applyBorder="1" applyAlignment="1" applyProtection="1">
      <alignment horizontal="center" vertical="center" wrapText="1"/>
    </xf>
    <xf numFmtId="3" fontId="39" fillId="0" borderId="28" xfId="0" applyNumberFormat="1" applyFont="1" applyFill="1" applyBorder="1" applyAlignment="1">
      <alignment horizontal="center" vertical="center" wrapText="1"/>
    </xf>
    <xf numFmtId="0" fontId="39" fillId="6" borderId="28" xfId="0" applyFont="1" applyFill="1" applyBorder="1" applyAlignment="1" applyProtection="1">
      <alignment horizontal="center" vertical="center" wrapText="1"/>
      <protection locked="0"/>
    </xf>
    <xf numFmtId="0" fontId="39" fillId="5" borderId="24" xfId="0" applyFont="1" applyFill="1" applyBorder="1" applyAlignment="1" applyProtection="1">
      <alignment horizontal="center" vertical="center" wrapText="1"/>
      <protection locked="0"/>
    </xf>
    <xf numFmtId="166" fontId="39" fillId="5" borderId="21" xfId="0" applyNumberFormat="1" applyFont="1" applyFill="1" applyBorder="1" applyAlignment="1">
      <alignment horizontal="center" vertical="center" wrapText="1"/>
    </xf>
    <xf numFmtId="166" fontId="39" fillId="5" borderId="41" xfId="0" applyNumberFormat="1" applyFont="1" applyFill="1" applyBorder="1" applyAlignment="1">
      <alignment horizontal="center" vertical="center" wrapText="1"/>
    </xf>
    <xf numFmtId="166" fontId="39" fillId="5" borderId="24" xfId="0" applyNumberFormat="1" applyFont="1" applyFill="1" applyBorder="1" applyAlignment="1">
      <alignment horizontal="center" vertical="center" wrapText="1"/>
    </xf>
    <xf numFmtId="166" fontId="39" fillId="0" borderId="28" xfId="0" applyNumberFormat="1" applyFont="1" applyFill="1" applyBorder="1" applyAlignment="1">
      <alignment horizontal="center" vertical="center" wrapText="1"/>
    </xf>
    <xf numFmtId="0" fontId="25" fillId="0" borderId="125" xfId="0" applyFont="1" applyFill="1" applyBorder="1" applyAlignment="1" applyProtection="1">
      <alignment horizontal="center" vertical="center" wrapText="1"/>
    </xf>
    <xf numFmtId="0" fontId="25" fillId="0" borderId="31" xfId="0" applyFont="1" applyFill="1" applyBorder="1" applyAlignment="1" applyProtection="1">
      <alignment horizontal="center" vertical="center" wrapText="1"/>
    </xf>
    <xf numFmtId="0" fontId="11" fillId="0" borderId="0" xfId="2" applyFont="1" applyFill="1" applyBorder="1" applyAlignment="1">
      <alignment horizontal="left" vertical="top"/>
    </xf>
    <xf numFmtId="0" fontId="25" fillId="6" borderId="40" xfId="0" applyFont="1" applyFill="1" applyBorder="1" applyAlignment="1" applyProtection="1">
      <alignment horizontal="left" vertical="top" wrapText="1"/>
      <protection locked="0"/>
    </xf>
    <xf numFmtId="0" fontId="25" fillId="5" borderId="38" xfId="0" applyFont="1" applyFill="1" applyBorder="1" applyAlignment="1">
      <alignment vertical="center" wrapText="1"/>
    </xf>
    <xf numFmtId="0" fontId="39" fillId="6" borderId="131" xfId="0" applyFont="1" applyFill="1" applyBorder="1" applyAlignment="1" applyProtection="1">
      <alignment horizontal="left" vertical="center" wrapText="1" indent="1"/>
      <protection locked="0"/>
    </xf>
    <xf numFmtId="0" fontId="39" fillId="6" borderId="60" xfId="0" applyFont="1" applyFill="1" applyBorder="1" applyAlignment="1" applyProtection="1">
      <alignment horizontal="left" vertical="center" wrapText="1" indent="1"/>
      <protection locked="0"/>
    </xf>
    <xf numFmtId="0" fontId="25" fillId="5" borderId="123" xfId="0" applyFont="1" applyFill="1" applyBorder="1" applyAlignment="1">
      <alignment vertical="center" wrapText="1"/>
    </xf>
    <xf numFmtId="3" fontId="39" fillId="6" borderId="129" xfId="0" applyNumberFormat="1" applyFont="1" applyFill="1" applyBorder="1" applyAlignment="1" applyProtection="1">
      <alignment horizontal="right" vertical="center" wrapText="1"/>
      <protection locked="0"/>
    </xf>
    <xf numFmtId="0" fontId="39" fillId="6" borderId="30" xfId="0" applyFont="1" applyFill="1" applyBorder="1" applyAlignment="1" applyProtection="1">
      <alignment horizontal="right" vertical="center" wrapText="1"/>
      <protection locked="0"/>
    </xf>
    <xf numFmtId="0" fontId="39" fillId="6" borderId="43" xfId="0" applyFont="1" applyFill="1" applyBorder="1" applyAlignment="1" applyProtection="1">
      <alignment horizontal="right" vertical="center" wrapText="1"/>
      <protection locked="0"/>
    </xf>
    <xf numFmtId="0" fontId="39" fillId="6" borderId="31" xfId="0" applyFont="1" applyFill="1" applyBorder="1" applyAlignment="1" applyProtection="1">
      <alignment horizontal="right" vertical="center" wrapText="1"/>
      <protection locked="0"/>
    </xf>
    <xf numFmtId="0" fontId="39" fillId="6" borderId="129" xfId="0" applyFont="1" applyFill="1" applyBorder="1" applyAlignment="1" applyProtection="1">
      <alignment vertical="center" wrapText="1"/>
      <protection locked="0"/>
    </xf>
    <xf numFmtId="0" fontId="39" fillId="6" borderId="129" xfId="0" applyFont="1" applyFill="1" applyBorder="1" applyAlignment="1" applyProtection="1">
      <alignment horizontal="left" vertical="center" wrapText="1"/>
      <protection locked="0"/>
    </xf>
    <xf numFmtId="166" fontId="39" fillId="6" borderId="129" xfId="0" applyNumberFormat="1" applyFont="1" applyFill="1" applyBorder="1" applyAlignment="1" applyProtection="1">
      <alignment vertical="center" wrapText="1"/>
      <protection locked="0"/>
    </xf>
    <xf numFmtId="0" fontId="39" fillId="6" borderId="30" xfId="0" applyFont="1" applyFill="1" applyBorder="1" applyAlignment="1" applyProtection="1">
      <alignment horizontal="center" vertical="center" wrapText="1"/>
      <protection locked="0"/>
    </xf>
    <xf numFmtId="9" fontId="63" fillId="5" borderId="31" xfId="0" applyNumberFormat="1" applyFont="1" applyFill="1" applyBorder="1" applyAlignment="1" applyProtection="1">
      <alignment horizontal="center" vertical="center"/>
    </xf>
    <xf numFmtId="165" fontId="39" fillId="6" borderId="30" xfId="0" applyNumberFormat="1" applyFont="1" applyFill="1" applyBorder="1" applyAlignment="1" applyProtection="1">
      <alignment horizontal="right" vertical="center" wrapText="1"/>
      <protection locked="0"/>
    </xf>
    <xf numFmtId="165" fontId="39" fillId="6" borderId="43" xfId="0" applyNumberFormat="1" applyFont="1" applyFill="1" applyBorder="1" applyAlignment="1" applyProtection="1">
      <alignment horizontal="right" vertical="center" wrapText="1"/>
      <protection locked="0"/>
    </xf>
    <xf numFmtId="165" fontId="39" fillId="0" borderId="43" xfId="0" applyNumberFormat="1" applyFont="1" applyFill="1" applyBorder="1" applyAlignment="1">
      <alignment horizontal="right" vertical="center" wrapText="1"/>
    </xf>
    <xf numFmtId="165" fontId="39" fillId="5" borderId="31" xfId="0" applyNumberFormat="1" applyFont="1" applyFill="1" applyBorder="1" applyAlignment="1">
      <alignment horizontal="right" vertical="center" wrapText="1"/>
    </xf>
    <xf numFmtId="3" fontId="39" fillId="6" borderId="43" xfId="0" applyNumberFormat="1" applyFont="1" applyFill="1" applyBorder="1" applyAlignment="1" applyProtection="1">
      <alignment horizontal="right" vertical="center" wrapText="1"/>
      <protection locked="0"/>
    </xf>
    <xf numFmtId="0" fontId="39" fillId="6" borderId="43" xfId="0" applyNumberFormat="1" applyFont="1" applyFill="1" applyBorder="1" applyAlignment="1" applyProtection="1">
      <alignment horizontal="right" vertical="center" wrapText="1"/>
      <protection locked="0"/>
    </xf>
    <xf numFmtId="4" fontId="39" fillId="0" borderId="43" xfId="0" applyNumberFormat="1" applyFont="1" applyFill="1" applyBorder="1" applyAlignment="1">
      <alignment horizontal="right" vertical="center" wrapText="1"/>
    </xf>
    <xf numFmtId="3" fontId="39" fillId="6" borderId="56" xfId="0" applyNumberFormat="1" applyFont="1" applyFill="1" applyBorder="1" applyAlignment="1" applyProtection="1">
      <alignment horizontal="right" vertical="center" wrapText="1"/>
      <protection locked="0"/>
    </xf>
    <xf numFmtId="168" fontId="39" fillId="5" borderId="129" xfId="0" applyNumberFormat="1" applyFont="1" applyFill="1" applyBorder="1" applyAlignment="1">
      <alignment horizontal="right" vertical="center" wrapText="1"/>
    </xf>
    <xf numFmtId="3" fontId="39" fillId="6" borderId="125" xfId="0" applyNumberFormat="1" applyFont="1" applyFill="1" applyBorder="1" applyAlignment="1" applyProtection="1">
      <alignment horizontal="right" vertical="center" wrapText="1"/>
      <protection locked="0"/>
    </xf>
    <xf numFmtId="3" fontId="39" fillId="5" borderId="31" xfId="0" applyNumberFormat="1" applyFont="1" applyFill="1" applyBorder="1" applyAlignment="1" applyProtection="1">
      <alignment horizontal="right" vertical="center" wrapText="1"/>
      <protection locked="0"/>
    </xf>
    <xf numFmtId="0" fontId="34" fillId="8" borderId="6" xfId="0" applyFont="1" applyFill="1" applyBorder="1" applyAlignment="1" applyProtection="1">
      <alignment horizontal="center" vertical="center"/>
    </xf>
    <xf numFmtId="0" fontId="10" fillId="8" borderId="5" xfId="0" applyFont="1" applyFill="1" applyBorder="1" applyAlignment="1" applyProtection="1">
      <alignment horizontal="center" vertical="center" wrapText="1"/>
    </xf>
    <xf numFmtId="0" fontId="11" fillId="8" borderId="5" xfId="0" applyFont="1" applyFill="1" applyBorder="1" applyAlignment="1" applyProtection="1">
      <alignment horizontal="center" vertical="center" wrapText="1"/>
    </xf>
    <xf numFmtId="3" fontId="39" fillId="8" borderId="5" xfId="0" applyNumberFormat="1" applyFont="1" applyFill="1" applyBorder="1" applyAlignment="1" applyProtection="1">
      <alignment horizontal="center" vertical="center" wrapText="1"/>
    </xf>
    <xf numFmtId="0" fontId="39" fillId="8" borderId="5" xfId="0" applyFont="1" applyFill="1" applyBorder="1" applyAlignment="1" applyProtection="1">
      <alignment horizontal="center" vertical="center"/>
    </xf>
    <xf numFmtId="0" fontId="39" fillId="8" borderId="5" xfId="0" applyFont="1" applyFill="1" applyBorder="1" applyAlignment="1" applyProtection="1">
      <alignment horizontal="center" vertical="center" wrapText="1"/>
    </xf>
    <xf numFmtId="166" fontId="39" fillId="8" borderId="5" xfId="0" applyNumberFormat="1" applyFont="1" applyFill="1" applyBorder="1" applyAlignment="1" applyProtection="1">
      <alignment horizontal="center" vertical="center" wrapText="1"/>
    </xf>
    <xf numFmtId="0" fontId="39" fillId="8" borderId="45" xfId="0" applyFont="1" applyFill="1" applyBorder="1" applyAlignment="1" applyProtection="1">
      <alignment horizontal="center" vertical="center" wrapText="1"/>
    </xf>
    <xf numFmtId="0" fontId="6" fillId="0" borderId="0" xfId="0" applyFont="1" applyProtection="1">
      <protection locked="0"/>
    </xf>
    <xf numFmtId="0" fontId="95" fillId="7" borderId="0" xfId="0" applyFont="1" applyFill="1" applyAlignment="1">
      <alignment vertical="center" wrapText="1"/>
    </xf>
    <xf numFmtId="3" fontId="25" fillId="6" borderId="64" xfId="0" applyNumberFormat="1" applyFont="1" applyFill="1" applyBorder="1" applyAlignment="1" applyProtection="1">
      <alignment horizontal="right" vertical="center" wrapText="1"/>
      <protection locked="0"/>
    </xf>
    <xf numFmtId="0" fontId="25" fillId="6" borderId="36" xfId="0" applyFont="1" applyFill="1" applyBorder="1" applyAlignment="1" applyProtection="1">
      <alignment horizontal="left" vertical="top" wrapText="1"/>
      <protection locked="0"/>
    </xf>
    <xf numFmtId="164" fontId="11" fillId="0" borderId="0" xfId="10" applyNumberFormat="1" applyFont="1" applyFill="1" applyBorder="1" applyAlignment="1">
      <alignment horizontal="right" vertical="top"/>
    </xf>
    <xf numFmtId="0" fontId="39" fillId="6" borderId="36" xfId="0" applyFont="1" applyFill="1" applyBorder="1" applyAlignment="1" applyProtection="1">
      <alignment horizontal="left" vertical="center" wrapText="1"/>
      <protection locked="0"/>
    </xf>
    <xf numFmtId="0" fontId="39" fillId="6" borderId="63" xfId="0" applyFont="1" applyFill="1" applyBorder="1" applyAlignment="1" applyProtection="1">
      <alignment horizontal="right" vertical="center" wrapText="1"/>
      <protection locked="0"/>
    </xf>
    <xf numFmtId="0" fontId="39" fillId="6" borderId="64" xfId="0" applyFont="1" applyFill="1" applyBorder="1" applyAlignment="1" applyProtection="1">
      <alignment horizontal="right" vertical="center" wrapText="1"/>
      <protection locked="0"/>
    </xf>
    <xf numFmtId="0" fontId="44" fillId="0" borderId="18" xfId="0" applyFont="1" applyBorder="1" applyAlignment="1">
      <alignment horizontal="center" vertical="center"/>
    </xf>
    <xf numFmtId="0" fontId="96" fillId="6" borderId="0" xfId="298" applyFont="1" applyFill="1" applyBorder="1" applyAlignment="1" applyProtection="1">
      <alignment horizontal="right" vertical="center"/>
    </xf>
    <xf numFmtId="0" fontId="96" fillId="6" borderId="0" xfId="2" applyFont="1" applyFill="1" applyBorder="1" applyAlignment="1" applyProtection="1">
      <alignment horizontal="right" vertical="center"/>
    </xf>
    <xf numFmtId="0" fontId="96" fillId="6" borderId="0" xfId="2" applyFont="1" applyFill="1" applyAlignment="1" applyProtection="1">
      <alignment horizontal="right" vertical="center"/>
    </xf>
    <xf numFmtId="0" fontId="24" fillId="0" borderId="0" xfId="0" applyFont="1" applyBorder="1" applyAlignment="1">
      <alignment horizontal="left" vertical="top"/>
    </xf>
    <xf numFmtId="0" fontId="28" fillId="0" borderId="0" xfId="0" applyFont="1" applyProtection="1"/>
    <xf numFmtId="0" fontId="11" fillId="9" borderId="0" xfId="2" applyFont="1" applyFill="1" applyAlignment="1" applyProtection="1">
      <alignment vertical="center"/>
    </xf>
    <xf numFmtId="49" fontId="11" fillId="9" borderId="0" xfId="2" applyNumberFormat="1" applyFont="1" applyFill="1" applyBorder="1" applyAlignment="1" applyProtection="1">
      <alignment horizontal="center" vertical="center" wrapText="1"/>
    </xf>
    <xf numFmtId="0" fontId="11" fillId="9" borderId="0" xfId="2" applyFont="1" applyFill="1" applyBorder="1" applyAlignment="1" applyProtection="1">
      <alignment vertical="center"/>
    </xf>
    <xf numFmtId="0" fontId="11" fillId="0" borderId="0" xfId="2" applyFont="1" applyAlignment="1" applyProtection="1">
      <alignment vertical="center"/>
    </xf>
    <xf numFmtId="0" fontId="1" fillId="0" borderId="0" xfId="0" applyFont="1" applyBorder="1" applyAlignment="1">
      <alignment vertical="top"/>
    </xf>
    <xf numFmtId="0" fontId="19" fillId="0" borderId="0" xfId="0" applyFont="1" applyProtection="1"/>
    <xf numFmtId="0" fontId="11" fillId="4" borderId="56" xfId="0" applyFont="1" applyFill="1" applyBorder="1" applyAlignment="1" applyProtection="1">
      <alignment horizontal="center" vertical="center" wrapText="1"/>
    </xf>
    <xf numFmtId="0" fontId="5" fillId="0" borderId="0" xfId="0" applyFont="1" applyProtection="1"/>
    <xf numFmtId="0" fontId="34" fillId="0" borderId="14" xfId="0" applyFont="1" applyBorder="1" applyAlignment="1" applyProtection="1">
      <alignment horizontal="left" vertical="top"/>
    </xf>
    <xf numFmtId="42" fontId="11" fillId="0" borderId="0" xfId="2" applyNumberFormat="1" applyFont="1" applyFill="1" applyBorder="1" applyAlignment="1" applyProtection="1">
      <alignment horizontal="center" vertical="center" wrapText="1"/>
    </xf>
    <xf numFmtId="0" fontId="11" fillId="0" borderId="0" xfId="2" applyFont="1" applyFill="1" applyBorder="1" applyAlignment="1" applyProtection="1">
      <alignment vertical="center"/>
    </xf>
    <xf numFmtId="0" fontId="11" fillId="0" borderId="0" xfId="2" applyFont="1" applyFill="1" applyBorder="1" applyAlignment="1" applyProtection="1">
      <alignment horizontal="center" vertical="center" wrapText="1"/>
    </xf>
    <xf numFmtId="173" fontId="11" fillId="0" borderId="0" xfId="2" applyNumberFormat="1" applyFont="1" applyAlignment="1" applyProtection="1">
      <alignment vertical="center"/>
    </xf>
    <xf numFmtId="49" fontId="11" fillId="0" borderId="0" xfId="2" applyNumberFormat="1" applyFont="1" applyFill="1" applyBorder="1" applyAlignment="1" applyProtection="1">
      <alignment horizontal="center" vertical="center" wrapText="1"/>
    </xf>
    <xf numFmtId="164" fontId="11" fillId="0" borderId="0" xfId="10" applyNumberFormat="1" applyFont="1" applyFill="1" applyBorder="1" applyAlignment="1" applyProtection="1">
      <alignment horizontal="right" vertical="top"/>
    </xf>
    <xf numFmtId="171" fontId="11" fillId="0" borderId="0" xfId="12" applyNumberFormat="1" applyFont="1" applyFill="1" applyBorder="1" applyAlignment="1" applyProtection="1">
      <alignment horizontal="right" vertical="top"/>
    </xf>
    <xf numFmtId="0" fontId="11" fillId="9" borderId="0" xfId="2" applyFont="1" applyFill="1" applyBorder="1" applyAlignment="1" applyProtection="1">
      <alignment horizontal="center" vertical="center" wrapText="1"/>
    </xf>
    <xf numFmtId="170" fontId="11" fillId="0" borderId="0" xfId="11" applyNumberFormat="1" applyFont="1" applyFill="1" applyBorder="1" applyAlignment="1" applyProtection="1">
      <alignment horizontal="right" vertical="top"/>
    </xf>
    <xf numFmtId="167" fontId="11" fillId="0" borderId="0" xfId="12" applyNumberFormat="1" applyFont="1" applyFill="1" applyBorder="1" applyAlignment="1" applyProtection="1">
      <alignment horizontal="right" vertical="top"/>
    </xf>
    <xf numFmtId="0" fontId="48" fillId="0" borderId="0" xfId="2" applyFont="1" applyFill="1" applyBorder="1" applyAlignment="1" applyProtection="1">
      <alignment vertical="center"/>
    </xf>
    <xf numFmtId="0" fontId="11" fillId="0" borderId="0" xfId="0" applyFont="1" applyAlignment="1" applyProtection="1">
      <alignment vertical="center" wrapText="1"/>
    </xf>
    <xf numFmtId="0" fontId="4" fillId="8" borderId="3" xfId="0" applyFont="1" applyFill="1" applyBorder="1" applyAlignment="1" applyProtection="1">
      <alignment horizontal="left" vertical="center" wrapText="1" indent="1"/>
    </xf>
    <xf numFmtId="0" fontId="11" fillId="0" borderId="11" xfId="0" applyFont="1" applyBorder="1" applyAlignment="1" applyProtection="1">
      <alignment horizontal="center" vertical="center"/>
    </xf>
    <xf numFmtId="0" fontId="28" fillId="0" borderId="14" xfId="0" applyFont="1" applyBorder="1" applyAlignment="1" applyProtection="1">
      <alignment horizontal="center" vertical="center"/>
    </xf>
    <xf numFmtId="0" fontId="39" fillId="6" borderId="4" xfId="0" applyFont="1" applyFill="1" applyBorder="1" applyAlignment="1" applyProtection="1">
      <alignment horizontal="center" vertical="center"/>
    </xf>
    <xf numFmtId="0" fontId="6" fillId="0" borderId="0" xfId="0" applyFont="1" applyProtection="1"/>
    <xf numFmtId="39" fontId="39" fillId="0" borderId="0" xfId="1" applyNumberFormat="1" applyFont="1" applyFill="1" applyBorder="1" applyAlignment="1" applyProtection="1">
      <alignment horizontal="right" vertical="center"/>
    </xf>
    <xf numFmtId="0" fontId="4" fillId="5" borderId="0" xfId="0" applyFont="1" applyFill="1" applyBorder="1" applyAlignment="1" applyProtection="1">
      <alignment horizontal="left" vertical="top" wrapText="1"/>
    </xf>
    <xf numFmtId="3" fontId="67" fillId="0" borderId="0" xfId="18" applyNumberFormat="1" applyFont="1" applyFill="1" applyBorder="1" applyAlignment="1" applyProtection="1">
      <alignment horizontal="left" vertical="center" wrapText="1"/>
    </xf>
    <xf numFmtId="3" fontId="67" fillId="5" borderId="0" xfId="18" applyNumberFormat="1" applyFont="1" applyFill="1" applyBorder="1" applyAlignment="1" applyProtection="1">
      <alignment horizontal="left" vertical="center" wrapText="1"/>
    </xf>
    <xf numFmtId="0" fontId="34" fillId="0" borderId="0" xfId="0" applyFont="1" applyBorder="1" applyAlignment="1" applyProtection="1">
      <alignment horizontal="left"/>
    </xf>
    <xf numFmtId="0" fontId="32" fillId="0" borderId="0" xfId="0" applyFont="1" applyBorder="1" applyAlignment="1" applyProtection="1">
      <alignment horizontal="left" vertical="top" wrapText="1"/>
    </xf>
    <xf numFmtId="0" fontId="4" fillId="0" borderId="0" xfId="0" applyFont="1" applyBorder="1" applyAlignment="1" applyProtection="1">
      <alignment horizontal="center" wrapText="1"/>
    </xf>
    <xf numFmtId="0" fontId="1" fillId="0" borderId="0" xfId="0" applyFont="1"/>
    <xf numFmtId="0" fontId="1" fillId="0" borderId="0" xfId="13" applyFont="1"/>
    <xf numFmtId="0" fontId="1" fillId="0" borderId="0" xfId="0" applyFont="1" applyFill="1"/>
    <xf numFmtId="0" fontId="34" fillId="0" borderId="0" xfId="0" applyFont="1" applyBorder="1" applyAlignment="1" applyProtection="1">
      <alignment horizontal="left" vertical="top" indent="1"/>
    </xf>
    <xf numFmtId="0" fontId="8" fillId="0" borderId="0" xfId="0" applyFont="1" applyBorder="1" applyAlignment="1" applyProtection="1">
      <alignment horizontal="left" vertical="top" indent="1"/>
    </xf>
    <xf numFmtId="0" fontId="11" fillId="0" borderId="18" xfId="2" applyFont="1" applyFill="1" applyBorder="1" applyAlignment="1" applyProtection="1">
      <alignment horizontal="left" vertical="center"/>
    </xf>
    <xf numFmtId="0" fontId="11" fillId="0" borderId="0" xfId="2" applyFont="1" applyFill="1" applyBorder="1" applyAlignment="1" applyProtection="1">
      <alignment horizontal="left" vertical="center"/>
    </xf>
    <xf numFmtId="0" fontId="25" fillId="0" borderId="2" xfId="2" applyFont="1" applyFill="1" applyBorder="1" applyAlignment="1" applyProtection="1">
      <alignment horizontal="left" vertical="center" indent="1"/>
    </xf>
    <xf numFmtId="0" fontId="34" fillId="0" borderId="0" xfId="0" applyFont="1" applyBorder="1" applyAlignment="1">
      <alignment horizontal="left" vertical="top" wrapText="1"/>
    </xf>
    <xf numFmtId="0" fontId="11" fillId="8" borderId="21" xfId="0" applyFont="1" applyFill="1" applyBorder="1" applyAlignment="1">
      <alignment horizontal="center" vertical="center" wrapText="1"/>
    </xf>
    <xf numFmtId="0" fontId="11" fillId="8" borderId="20" xfId="0" applyFont="1" applyFill="1" applyBorder="1" applyAlignment="1">
      <alignment horizontal="center" vertical="center" wrapText="1"/>
    </xf>
    <xf numFmtId="0" fontId="34" fillId="0" borderId="0" xfId="0" applyFont="1" applyFill="1" applyBorder="1" applyAlignment="1">
      <alignment horizontal="left" vertical="top"/>
    </xf>
    <xf numFmtId="10" fontId="39" fillId="0" borderId="0" xfId="0" applyNumberFormat="1" applyFont="1" applyFill="1" applyBorder="1" applyAlignment="1" applyProtection="1">
      <alignment horizontal="right" vertical="center"/>
    </xf>
    <xf numFmtId="0" fontId="11" fillId="5" borderId="0" xfId="2" applyNumberFormat="1" applyFont="1" applyFill="1" applyBorder="1" applyAlignment="1">
      <alignment vertical="top" wrapText="1"/>
    </xf>
    <xf numFmtId="0" fontId="11" fillId="0" borderId="0" xfId="0" applyFont="1" applyAlignment="1" applyProtection="1">
      <alignment horizontal="left" vertical="center" indent="1"/>
    </xf>
    <xf numFmtId="0" fontId="28" fillId="0" borderId="0" xfId="0" applyFont="1" applyAlignment="1" applyProtection="1">
      <alignment horizontal="center" vertical="center"/>
    </xf>
    <xf numFmtId="0" fontId="39" fillId="0" borderId="0" xfId="0" applyFont="1" applyFill="1" applyBorder="1" applyAlignment="1" applyProtection="1">
      <alignment horizontal="left" vertical="center" wrapText="1"/>
      <protection locked="0"/>
    </xf>
    <xf numFmtId="3" fontId="39" fillId="0" borderId="0" xfId="0" applyNumberFormat="1" applyFont="1" applyFill="1" applyBorder="1" applyAlignment="1" applyProtection="1">
      <alignment horizontal="right" vertical="center" wrapText="1"/>
      <protection locked="0"/>
    </xf>
    <xf numFmtId="4" fontId="39" fillId="0" borderId="0" xfId="0" applyNumberFormat="1" applyFont="1" applyFill="1" applyBorder="1" applyAlignment="1" applyProtection="1">
      <alignment horizontal="right" vertical="center" wrapText="1"/>
      <protection locked="0"/>
    </xf>
    <xf numFmtId="0" fontId="39" fillId="0" borderId="0" xfId="0" applyFont="1" applyFill="1" applyBorder="1" applyAlignment="1" applyProtection="1">
      <alignment horizontal="center" vertical="center" wrapText="1"/>
      <protection locked="0"/>
    </xf>
    <xf numFmtId="0" fontId="11" fillId="5" borderId="0" xfId="2" applyFont="1" applyFill="1" applyProtection="1"/>
    <xf numFmtId="0" fontId="1" fillId="0" borderId="0" xfId="0" applyFont="1" applyBorder="1" applyAlignment="1">
      <alignment vertical="center" wrapText="1"/>
    </xf>
    <xf numFmtId="0" fontId="1" fillId="0" borderId="0" xfId="0" applyFont="1" applyAlignment="1">
      <alignment vertical="center" wrapText="1"/>
    </xf>
    <xf numFmtId="0" fontId="44" fillId="5" borderId="0" xfId="0" applyFont="1" applyFill="1"/>
    <xf numFmtId="0" fontId="30" fillId="5" borderId="0" xfId="0" applyFont="1" applyFill="1" applyAlignment="1">
      <alignment horizontal="left" vertical="center"/>
    </xf>
    <xf numFmtId="9" fontId="39" fillId="5" borderId="0" xfId="0" applyNumberFormat="1" applyFont="1" applyFill="1" applyBorder="1" applyAlignment="1" applyProtection="1">
      <alignment horizontal="right" vertical="center" wrapText="1"/>
      <protection locked="0"/>
    </xf>
    <xf numFmtId="0" fontId="34" fillId="5" borderId="0" xfId="0" applyFont="1" applyFill="1" applyBorder="1" applyAlignment="1">
      <alignment horizontal="left" vertical="top"/>
    </xf>
    <xf numFmtId="0" fontId="1" fillId="5" borderId="0" xfId="0" applyFont="1" applyFill="1" applyAlignment="1">
      <alignment vertical="center" wrapText="1"/>
    </xf>
    <xf numFmtId="0" fontId="1" fillId="5" borderId="0" xfId="0" applyFont="1" applyFill="1" applyBorder="1" applyAlignment="1">
      <alignment vertical="center" wrapText="1"/>
    </xf>
    <xf numFmtId="0" fontId="1" fillId="0" borderId="0" xfId="0" applyFont="1" applyBorder="1" applyAlignment="1">
      <alignment horizontal="left" vertical="center"/>
    </xf>
    <xf numFmtId="0" fontId="1" fillId="0" borderId="0" xfId="0" applyFont="1" applyAlignment="1">
      <alignment wrapText="1"/>
    </xf>
    <xf numFmtId="0" fontId="1" fillId="5" borderId="0" xfId="0" applyFont="1" applyFill="1" applyBorder="1" applyAlignment="1">
      <alignment horizontal="center" vertical="center" wrapText="1"/>
    </xf>
    <xf numFmtId="0" fontId="0" fillId="5" borderId="0" xfId="0" applyFill="1"/>
    <xf numFmtId="0" fontId="25" fillId="0" borderId="2" xfId="2" applyFont="1" applyFill="1" applyBorder="1" applyAlignment="1">
      <alignment horizontal="center" vertical="center"/>
    </xf>
    <xf numFmtId="1" fontId="25" fillId="0" borderId="2" xfId="10" applyNumberFormat="1" applyFont="1" applyFill="1" applyBorder="1" applyAlignment="1">
      <alignment horizontal="center" vertical="center"/>
    </xf>
    <xf numFmtId="0" fontId="11" fillId="8" borderId="30" xfId="0" applyFont="1" applyFill="1" applyBorder="1" applyAlignment="1">
      <alignment vertical="center" wrapText="1"/>
    </xf>
    <xf numFmtId="0" fontId="11" fillId="8" borderId="39" xfId="0" applyFont="1" applyFill="1" applyBorder="1" applyAlignment="1">
      <alignment vertical="center" wrapText="1"/>
    </xf>
    <xf numFmtId="0" fontId="29" fillId="5" borderId="0" xfId="0" applyFont="1" applyFill="1" applyBorder="1" applyAlignment="1">
      <alignment vertical="top"/>
    </xf>
    <xf numFmtId="3" fontId="0" fillId="5" borderId="0" xfId="0" applyNumberFormat="1" applyFill="1"/>
    <xf numFmtId="4" fontId="0" fillId="5" borderId="0" xfId="0" applyNumberFormat="1" applyFill="1"/>
    <xf numFmtId="169" fontId="39" fillId="5" borderId="0" xfId="1" applyNumberFormat="1" applyFont="1" applyFill="1" applyBorder="1" applyAlignment="1">
      <alignment vertical="center"/>
    </xf>
    <xf numFmtId="0" fontId="28" fillId="5" borderId="0" xfId="0" applyFont="1" applyFill="1" applyBorder="1" applyAlignment="1">
      <alignment horizontal="left" vertical="center" indent="1"/>
    </xf>
    <xf numFmtId="0" fontId="11" fillId="5" borderId="0" xfId="2" applyFont="1" applyFill="1" applyAlignment="1" applyProtection="1">
      <alignment horizontal="left" vertical="top" wrapText="1"/>
    </xf>
    <xf numFmtId="0" fontId="0" fillId="5" borderId="0" xfId="0" applyFill="1" applyAlignment="1"/>
    <xf numFmtId="0" fontId="11" fillId="5" borderId="0" xfId="0" applyFont="1" applyFill="1" applyBorder="1" applyAlignment="1">
      <alignment horizontal="left" vertical="center" wrapText="1" indent="1"/>
    </xf>
    <xf numFmtId="3" fontId="25" fillId="5" borderId="0" xfId="0" applyNumberFormat="1" applyFont="1" applyFill="1" applyBorder="1" applyAlignment="1">
      <alignment horizontal="right" vertical="center" wrapText="1"/>
    </xf>
    <xf numFmtId="3" fontId="26" fillId="5" borderId="0" xfId="0" applyNumberFormat="1" applyFont="1" applyFill="1" applyBorder="1" applyAlignment="1">
      <alignment horizontal="center" vertical="center" wrapText="1"/>
    </xf>
    <xf numFmtId="2" fontId="25" fillId="5" borderId="0" xfId="0" applyNumberFormat="1" applyFont="1" applyFill="1" applyBorder="1" applyAlignment="1">
      <alignment horizontal="right" vertical="center" wrapText="1"/>
    </xf>
    <xf numFmtId="2" fontId="39" fillId="5" borderId="0" xfId="0" applyNumberFormat="1" applyFont="1" applyFill="1" applyBorder="1" applyAlignment="1">
      <alignment horizontal="right" vertical="center" wrapText="1"/>
    </xf>
    <xf numFmtId="0" fontId="68" fillId="5" borderId="0" xfId="0" applyFont="1" applyFill="1" applyBorder="1" applyAlignment="1">
      <alignment horizontal="left" vertical="center" wrapText="1"/>
    </xf>
    <xf numFmtId="9" fontId="68" fillId="5" borderId="0" xfId="0" applyNumberFormat="1" applyFont="1" applyFill="1" applyBorder="1" applyAlignment="1">
      <alignment horizontal="center" vertical="center" wrapText="1"/>
    </xf>
    <xf numFmtId="0" fontId="1" fillId="7" borderId="0" xfId="0" applyFont="1" applyFill="1" applyAlignment="1">
      <alignment horizontal="center" vertical="center" wrapText="1"/>
    </xf>
    <xf numFmtId="0" fontId="1" fillId="7" borderId="0" xfId="0" applyFont="1" applyFill="1" applyAlignment="1">
      <alignment vertical="center" wrapText="1"/>
    </xf>
    <xf numFmtId="0" fontId="0" fillId="5" borderId="0" xfId="0" applyFill="1" applyBorder="1"/>
    <xf numFmtId="0" fontId="11" fillId="5" borderId="0" xfId="2" applyFont="1" applyFill="1" applyAlignment="1" applyProtection="1">
      <alignment horizontal="left" vertical="top" wrapText="1"/>
    </xf>
    <xf numFmtId="0" fontId="0" fillId="5" borderId="0" xfId="0" applyFill="1" applyAlignment="1">
      <alignment horizontal="left"/>
    </xf>
    <xf numFmtId="0" fontId="11" fillId="5" borderId="0" xfId="2" applyFont="1" applyFill="1" applyAlignment="1" applyProtection="1">
      <alignment horizontal="left" vertical="top"/>
    </xf>
    <xf numFmtId="0" fontId="82" fillId="5" borderId="0" xfId="0" applyFont="1" applyFill="1"/>
    <xf numFmtId="0" fontId="25" fillId="5" borderId="4" xfId="2" applyNumberFormat="1" applyFont="1" applyFill="1" applyBorder="1" applyAlignment="1">
      <alignment vertical="center"/>
    </xf>
    <xf numFmtId="0" fontId="0" fillId="5" borderId="1" xfId="0" applyFill="1" applyBorder="1" applyAlignment="1">
      <alignment horizontal="centerContinuous"/>
    </xf>
    <xf numFmtId="0" fontId="0" fillId="5" borderId="0" xfId="0" applyFill="1" applyBorder="1" applyAlignment="1"/>
    <xf numFmtId="0" fontId="0" fillId="5" borderId="0" xfId="0" applyFill="1" applyBorder="1" applyAlignment="1">
      <alignment horizontal="center"/>
    </xf>
    <xf numFmtId="0" fontId="0" fillId="0" borderId="0" xfId="0" applyBorder="1"/>
    <xf numFmtId="0" fontId="11" fillId="8" borderId="3" xfId="2" applyFont="1" applyFill="1" applyBorder="1" applyAlignment="1" applyProtection="1">
      <alignment horizontal="centerContinuous" vertical="center" wrapText="1"/>
    </xf>
    <xf numFmtId="0" fontId="11" fillId="8" borderId="15" xfId="2" applyFont="1" applyFill="1" applyBorder="1" applyAlignment="1" applyProtection="1">
      <alignment horizontal="centerContinuous" vertical="center" wrapText="1"/>
    </xf>
    <xf numFmtId="0" fontId="11" fillId="8" borderId="16" xfId="2" applyFont="1" applyFill="1" applyBorder="1" applyAlignment="1" applyProtection="1">
      <alignment horizontal="centerContinuous" vertical="center" wrapText="1"/>
    </xf>
    <xf numFmtId="0" fontId="25" fillId="5" borderId="0" xfId="2" applyNumberFormat="1" applyFont="1" applyFill="1" applyBorder="1" applyAlignment="1">
      <alignment horizontal="left" vertical="center" indent="1"/>
    </xf>
    <xf numFmtId="0" fontId="24" fillId="8" borderId="12" xfId="2" applyNumberFormat="1" applyFont="1" applyFill="1" applyBorder="1" applyAlignment="1">
      <alignment horizontal="center" vertical="center" wrapText="1"/>
    </xf>
    <xf numFmtId="0" fontId="24" fillId="8" borderId="12" xfId="2" applyNumberFormat="1" applyFont="1" applyFill="1" applyBorder="1" applyAlignment="1">
      <alignment horizontal="centerContinuous" vertical="center" wrapText="1"/>
    </xf>
    <xf numFmtId="0" fontId="24" fillId="8" borderId="6" xfId="2" applyNumberFormat="1" applyFont="1" applyFill="1" applyBorder="1" applyAlignment="1">
      <alignment horizontal="center" vertical="center" wrapText="1"/>
    </xf>
    <xf numFmtId="0" fontId="34" fillId="0" borderId="0" xfId="0" applyFont="1" applyBorder="1" applyAlignment="1">
      <alignment horizontal="left" vertical="top" wrapText="1"/>
    </xf>
    <xf numFmtId="0" fontId="11" fillId="8" borderId="28" xfId="0" applyFont="1" applyFill="1" applyBorder="1" applyAlignment="1">
      <alignment horizontal="center" vertical="center" wrapText="1"/>
    </xf>
    <xf numFmtId="0" fontId="11" fillId="5" borderId="0" xfId="2" applyFont="1" applyFill="1" applyAlignment="1" applyProtection="1">
      <alignment horizontal="left" vertical="top" wrapText="1"/>
    </xf>
    <xf numFmtId="0" fontId="11" fillId="8" borderId="17" xfId="0" applyFont="1" applyFill="1" applyBorder="1" applyAlignment="1">
      <alignment horizontal="center" vertical="center" wrapText="1"/>
    </xf>
    <xf numFmtId="0" fontId="11" fillId="8" borderId="18" xfId="0" applyFont="1" applyFill="1" applyBorder="1" applyAlignment="1">
      <alignment horizontal="center" vertical="center" wrapText="1"/>
    </xf>
    <xf numFmtId="0" fontId="39" fillId="8" borderId="0" xfId="0" applyFont="1" applyFill="1" applyBorder="1" applyAlignment="1" applyProtection="1">
      <alignment vertical="center" wrapText="1"/>
    </xf>
    <xf numFmtId="0" fontId="8" fillId="0" borderId="0" xfId="0" applyFont="1" applyAlignment="1" applyProtection="1">
      <alignment vertical="center" wrapText="1"/>
    </xf>
    <xf numFmtId="0" fontId="39" fillId="0" borderId="41" xfId="0" applyFont="1" applyBorder="1" applyAlignment="1" applyProtection="1">
      <alignment horizontal="left" vertical="center" wrapText="1"/>
    </xf>
    <xf numFmtId="0" fontId="39" fillId="0" borderId="0" xfId="0" applyFont="1" applyAlignment="1" applyProtection="1">
      <alignment vertical="center" wrapText="1"/>
    </xf>
    <xf numFmtId="0" fontId="8" fillId="0" borderId="0" xfId="0" applyFont="1" applyBorder="1" applyAlignment="1" applyProtection="1">
      <alignment vertical="center" wrapText="1"/>
    </xf>
    <xf numFmtId="0" fontId="34" fillId="5" borderId="14" xfId="0" applyFont="1" applyFill="1" applyBorder="1" applyAlignment="1">
      <alignment horizontal="left" vertical="top" wrapText="1"/>
    </xf>
    <xf numFmtId="0" fontId="5" fillId="5" borderId="14" xfId="0" applyFont="1" applyFill="1" applyBorder="1" applyAlignment="1">
      <alignment horizontal="center" vertical="center" wrapText="1"/>
    </xf>
    <xf numFmtId="0" fontId="5" fillId="4" borderId="18" xfId="0" applyFont="1" applyFill="1" applyBorder="1" applyAlignment="1">
      <alignment horizontal="center" vertical="center" wrapText="1"/>
    </xf>
    <xf numFmtId="0" fontId="11" fillId="8" borderId="4" xfId="2" applyFont="1" applyFill="1" applyBorder="1" applyAlignment="1" applyProtection="1">
      <alignment horizontal="centerContinuous" vertical="center" wrapText="1"/>
    </xf>
    <xf numFmtId="2" fontId="39" fillId="5" borderId="0" xfId="0" applyNumberFormat="1" applyFont="1" applyFill="1" applyBorder="1" applyAlignment="1" applyProtection="1">
      <alignment horizontal="left" vertical="center" wrapText="1"/>
    </xf>
    <xf numFmtId="0" fontId="11" fillId="5" borderId="12" xfId="2" applyNumberFormat="1" applyFont="1" applyFill="1" applyBorder="1" applyAlignment="1">
      <alignment horizontal="centerContinuous" vertical="center"/>
    </xf>
    <xf numFmtId="3" fontId="11" fillId="5" borderId="15" xfId="1" applyNumberFormat="1" applyFont="1" applyFill="1" applyBorder="1" applyAlignment="1" applyProtection="1">
      <alignment horizontal="right" vertical="center"/>
    </xf>
    <xf numFmtId="4" fontId="11" fillId="5" borderId="15" xfId="2" applyNumberFormat="1" applyFont="1" applyFill="1" applyBorder="1" applyAlignment="1" applyProtection="1">
      <alignment horizontal="right" vertical="center"/>
    </xf>
    <xf numFmtId="3" fontId="1" fillId="5" borderId="15" xfId="2" applyNumberFormat="1" applyFont="1" applyFill="1" applyBorder="1" applyAlignment="1" applyProtection="1">
      <alignment horizontal="right" vertical="center"/>
    </xf>
    <xf numFmtId="0" fontId="1" fillId="5" borderId="3" xfId="0" applyFont="1" applyFill="1" applyBorder="1"/>
    <xf numFmtId="0" fontId="1" fillId="4" borderId="4" xfId="0" applyFont="1" applyFill="1" applyBorder="1" applyAlignment="1">
      <alignment vertical="center"/>
    </xf>
    <xf numFmtId="3" fontId="39" fillId="5" borderId="4" xfId="0" applyNumberFormat="1" applyFont="1" applyFill="1" applyBorder="1" applyAlignment="1" applyProtection="1">
      <alignment horizontal="left" vertical="center" wrapText="1"/>
    </xf>
    <xf numFmtId="0" fontId="0" fillId="5" borderId="0" xfId="0" applyFont="1" applyFill="1" applyBorder="1" applyAlignment="1">
      <alignment horizontal="left" vertical="top" wrapText="1"/>
    </xf>
    <xf numFmtId="0" fontId="34" fillId="4" borderId="45" xfId="0" applyFont="1" applyFill="1" applyBorder="1" applyAlignment="1">
      <alignment wrapText="1"/>
    </xf>
    <xf numFmtId="0" fontId="34" fillId="4" borderId="4" xfId="0" applyFont="1" applyFill="1" applyBorder="1" applyAlignment="1">
      <alignment horizontal="center" wrapText="1"/>
    </xf>
    <xf numFmtId="0" fontId="34" fillId="4" borderId="4" xfId="0" applyFont="1" applyFill="1" applyBorder="1" applyAlignment="1">
      <alignment wrapText="1"/>
    </xf>
    <xf numFmtId="0" fontId="24" fillId="4" borderId="45" xfId="0" applyFont="1" applyFill="1" applyBorder="1" applyAlignment="1">
      <alignment horizontal="center" vertical="center" wrapText="1"/>
    </xf>
    <xf numFmtId="0" fontId="34" fillId="4" borderId="45" xfId="0" applyFont="1" applyFill="1" applyBorder="1" applyAlignment="1">
      <alignment horizontal="center" wrapText="1"/>
    </xf>
    <xf numFmtId="166" fontId="39" fillId="5" borderId="0" xfId="0" applyNumberFormat="1" applyFont="1" applyFill="1" applyBorder="1" applyAlignment="1" applyProtection="1">
      <alignment horizontal="left" vertical="center" wrapText="1"/>
    </xf>
    <xf numFmtId="0" fontId="24" fillId="8" borderId="4" xfId="2" applyFont="1" applyFill="1" applyBorder="1" applyAlignment="1" applyProtection="1">
      <alignment horizontal="center" vertical="center" wrapText="1"/>
    </xf>
    <xf numFmtId="0" fontId="24" fillId="8" borderId="4" xfId="0" applyFont="1" applyFill="1" applyBorder="1" applyAlignment="1">
      <alignment horizontal="left" vertical="center" wrapText="1"/>
    </xf>
    <xf numFmtId="0" fontId="24" fillId="4" borderId="4" xfId="0" applyFont="1" applyFill="1" applyBorder="1" applyAlignment="1">
      <alignment horizontal="left" vertical="center" wrapText="1"/>
    </xf>
    <xf numFmtId="0" fontId="14" fillId="8" borderId="4" xfId="0" applyFont="1" applyFill="1" applyBorder="1" applyAlignment="1">
      <alignment horizontal="left" vertical="center" wrapText="1"/>
    </xf>
    <xf numFmtId="2" fontId="39" fillId="5" borderId="4" xfId="0" applyNumberFormat="1" applyFont="1" applyFill="1" applyBorder="1" applyAlignment="1" applyProtection="1">
      <alignment horizontal="center" vertical="center" wrapText="1"/>
    </xf>
    <xf numFmtId="4" fontId="39" fillId="5" borderId="4" xfId="0" applyNumberFormat="1" applyFont="1" applyFill="1" applyBorder="1" applyAlignment="1" applyProtection="1">
      <alignment horizontal="center" vertical="center" wrapText="1"/>
    </xf>
    <xf numFmtId="0" fontId="34" fillId="4" borderId="45" xfId="0" applyFont="1" applyFill="1" applyBorder="1" applyAlignment="1"/>
    <xf numFmtId="0" fontId="34" fillId="4" borderId="4" xfId="0" applyFont="1" applyFill="1" applyBorder="1" applyAlignment="1"/>
    <xf numFmtId="0" fontId="34" fillId="0" borderId="0" xfId="0" applyFont="1" applyBorder="1" applyAlignment="1">
      <alignment horizontal="left" vertical="top" wrapText="1"/>
    </xf>
    <xf numFmtId="0" fontId="34" fillId="0" borderId="14" xfId="0" applyFont="1" applyBorder="1" applyAlignment="1">
      <alignment horizontal="left" vertical="top" wrapText="1"/>
    </xf>
    <xf numFmtId="0" fontId="93" fillId="0" borderId="0" xfId="0" applyFont="1" applyBorder="1" applyAlignment="1">
      <alignment horizontal="left" vertical="top" wrapText="1"/>
    </xf>
    <xf numFmtId="3" fontId="25" fillId="5" borderId="4" xfId="2" applyNumberFormat="1" applyFont="1" applyFill="1" applyBorder="1" applyAlignment="1" applyProtection="1">
      <alignment horizontal="left" vertical="center"/>
    </xf>
    <xf numFmtId="3" fontId="39" fillId="5" borderId="4" xfId="0" applyNumberFormat="1" applyFont="1" applyFill="1" applyBorder="1" applyAlignment="1" applyProtection="1">
      <alignment horizontal="center" vertical="center" wrapText="1"/>
    </xf>
    <xf numFmtId="0" fontId="34" fillId="8" borderId="4" xfId="0" applyFont="1" applyFill="1" applyBorder="1" applyAlignment="1"/>
    <xf numFmtId="0" fontId="34" fillId="8" borderId="4" xfId="0" applyFont="1" applyFill="1" applyBorder="1" applyAlignment="1">
      <alignment wrapText="1"/>
    </xf>
    <xf numFmtId="0" fontId="24" fillId="8" borderId="4" xfId="0" applyFont="1" applyFill="1" applyBorder="1" applyAlignment="1">
      <alignment horizontal="center" vertical="center" wrapText="1"/>
    </xf>
    <xf numFmtId="0" fontId="34" fillId="8" borderId="4" xfId="0" applyFont="1" applyFill="1" applyBorder="1" applyAlignment="1">
      <alignment horizontal="center" vertical="center" wrapText="1"/>
    </xf>
    <xf numFmtId="0" fontId="0" fillId="5" borderId="0" xfId="0" applyFill="1" applyProtection="1"/>
    <xf numFmtId="0" fontId="24" fillId="4" borderId="17" xfId="0" applyFont="1" applyFill="1" applyBorder="1" applyAlignment="1">
      <alignment vertical="center" wrapText="1"/>
    </xf>
    <xf numFmtId="0" fontId="11" fillId="4" borderId="18" xfId="0" applyFont="1" applyFill="1" applyBorder="1" applyAlignment="1">
      <alignment vertical="center" wrapText="1"/>
    </xf>
    <xf numFmtId="0" fontId="5" fillId="4" borderId="18" xfId="0" applyFont="1" applyFill="1" applyBorder="1" applyAlignment="1">
      <alignment vertical="center" wrapText="1"/>
    </xf>
    <xf numFmtId="0" fontId="5" fillId="4" borderId="19"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34" fillId="8" borderId="17" xfId="0" applyFont="1" applyFill="1" applyBorder="1" applyAlignment="1">
      <alignment vertical="center"/>
    </xf>
    <xf numFmtId="0" fontId="34" fillId="8" borderId="18" xfId="0" applyFont="1" applyFill="1" applyBorder="1" applyAlignment="1">
      <alignment vertical="center"/>
    </xf>
    <xf numFmtId="0" fontId="39" fillId="8" borderId="19" xfId="0" applyFont="1" applyFill="1" applyBorder="1" applyAlignment="1">
      <alignment vertical="center" wrapText="1"/>
    </xf>
    <xf numFmtId="0" fontId="44" fillId="5" borderId="0" xfId="2" applyFont="1" applyFill="1" applyProtection="1"/>
    <xf numFmtId="0" fontId="44" fillId="5" borderId="0" xfId="2" applyFont="1" applyFill="1" applyAlignment="1" applyProtection="1">
      <alignment horizontal="center" vertical="center" wrapText="1"/>
    </xf>
    <xf numFmtId="0" fontId="84" fillId="5" borderId="0" xfId="0" applyFont="1" applyFill="1"/>
    <xf numFmtId="0" fontId="34" fillId="4" borderId="45" xfId="0" applyFont="1" applyFill="1" applyBorder="1" applyAlignment="1">
      <alignment vertical="center"/>
    </xf>
    <xf numFmtId="0" fontId="5" fillId="5" borderId="0" xfId="0" applyFont="1" applyFill="1" applyAlignment="1">
      <alignment vertical="center" wrapText="1"/>
    </xf>
    <xf numFmtId="0" fontId="5" fillId="5" borderId="0" xfId="0" applyFont="1" applyFill="1" applyAlignment="1" applyProtection="1">
      <alignment vertical="center" wrapText="1"/>
      <protection locked="0"/>
    </xf>
    <xf numFmtId="0" fontId="5" fillId="6" borderId="4" xfId="0" applyFont="1" applyFill="1" applyBorder="1" applyAlignment="1" applyProtection="1">
      <alignment vertical="center" wrapText="1"/>
      <protection locked="0"/>
    </xf>
    <xf numFmtId="0" fontId="5" fillId="4" borderId="6" xfId="0" applyFont="1" applyFill="1" applyBorder="1" applyAlignment="1">
      <alignment vertical="center" wrapText="1"/>
    </xf>
    <xf numFmtId="0" fontId="5" fillId="4" borderId="5" xfId="0" applyFont="1" applyFill="1" applyBorder="1" applyAlignment="1">
      <alignment vertical="center" wrapText="1"/>
    </xf>
    <xf numFmtId="0" fontId="5" fillId="4" borderId="45" xfId="0" applyFont="1" applyFill="1" applyBorder="1" applyAlignment="1">
      <alignment vertical="center" wrapText="1"/>
    </xf>
    <xf numFmtId="0" fontId="1" fillId="5" borderId="0" xfId="0" applyFont="1" applyFill="1" applyBorder="1" applyAlignment="1">
      <alignment horizontal="left" vertical="center" wrapText="1"/>
    </xf>
    <xf numFmtId="0" fontId="5" fillId="5" borderId="0" xfId="0" applyFont="1" applyFill="1" applyAlignment="1">
      <alignment horizontal="center" vertical="center" wrapText="1"/>
    </xf>
    <xf numFmtId="0" fontId="33" fillId="5" borderId="0" xfId="0" applyFont="1" applyFill="1" applyAlignment="1">
      <alignment vertical="center"/>
    </xf>
    <xf numFmtId="0" fontId="5" fillId="5" borderId="0" xfId="0" applyFont="1" applyFill="1"/>
    <xf numFmtId="0" fontId="5" fillId="5" borderId="0" xfId="0" applyFont="1" applyFill="1" applyBorder="1" applyAlignment="1">
      <alignment vertical="center" wrapText="1"/>
    </xf>
    <xf numFmtId="0" fontId="1" fillId="5" borderId="0" xfId="0" applyFont="1" applyFill="1" applyBorder="1" applyAlignment="1" applyProtection="1">
      <alignment horizontal="center" vertical="center" wrapText="1"/>
    </xf>
    <xf numFmtId="0" fontId="24" fillId="4" borderId="6" xfId="0" applyFont="1" applyFill="1" applyBorder="1" applyAlignment="1">
      <alignment vertical="center" wrapText="1"/>
    </xf>
    <xf numFmtId="0" fontId="25" fillId="5" borderId="41" xfId="0" applyFont="1" applyFill="1" applyBorder="1" applyAlignment="1" applyProtection="1">
      <alignment horizontal="left" vertical="center" wrapText="1"/>
    </xf>
    <xf numFmtId="2" fontId="25" fillId="0" borderId="40" xfId="0" applyNumberFormat="1" applyFont="1" applyFill="1" applyBorder="1" applyAlignment="1" applyProtection="1">
      <alignment vertical="center" wrapText="1"/>
      <protection hidden="1"/>
    </xf>
    <xf numFmtId="165" fontId="25" fillId="0" borderId="41" xfId="0" applyNumberFormat="1" applyFont="1" applyFill="1" applyBorder="1" applyAlignment="1" applyProtection="1">
      <alignment horizontal="right" vertical="center" wrapText="1"/>
    </xf>
    <xf numFmtId="0" fontId="28" fillId="0" borderId="0" xfId="0" applyFont="1" applyFill="1" applyBorder="1" applyAlignment="1">
      <alignment vertical="top" wrapText="1"/>
    </xf>
    <xf numFmtId="0" fontId="28" fillId="0" borderId="0" xfId="0" applyFont="1" applyBorder="1" applyAlignment="1">
      <alignment horizontal="left" vertical="top" wrapText="1"/>
    </xf>
    <xf numFmtId="0" fontId="28" fillId="0" borderId="0" xfId="0" applyFont="1" applyFill="1" applyBorder="1" applyAlignment="1">
      <alignment vertical="top" wrapText="1"/>
    </xf>
    <xf numFmtId="0" fontId="11" fillId="8" borderId="20" xfId="0" applyFont="1" applyFill="1" applyBorder="1" applyAlignment="1">
      <alignment horizontal="center" vertical="center" wrapText="1"/>
    </xf>
    <xf numFmtId="0" fontId="30" fillId="5" borderId="0" xfId="0" applyFont="1" applyFill="1" applyBorder="1" applyAlignment="1">
      <alignment horizontal="left" vertical="top" wrapText="1"/>
    </xf>
    <xf numFmtId="0" fontId="39" fillId="0" borderId="0" xfId="0" applyFont="1" applyBorder="1" applyAlignment="1">
      <alignment horizontal="left" vertical="center" indent="1"/>
    </xf>
    <xf numFmtId="0" fontId="28" fillId="0" borderId="0" xfId="0" applyFont="1" applyBorder="1" applyAlignment="1">
      <alignment horizontal="center" vertical="center"/>
    </xf>
    <xf numFmtId="0" fontId="39" fillId="0" borderId="0" xfId="0" applyFont="1" applyFill="1" applyBorder="1" applyAlignment="1" applyProtection="1">
      <alignment vertical="center" wrapText="1"/>
      <protection locked="0"/>
    </xf>
    <xf numFmtId="0" fontId="39" fillId="0" borderId="0" xfId="0" applyFont="1" applyBorder="1" applyAlignment="1">
      <alignment horizontal="left" vertical="center" wrapText="1" indent="1"/>
    </xf>
    <xf numFmtId="0" fontId="39" fillId="0" borderId="0" xfId="0" applyFont="1" applyFill="1" applyBorder="1" applyAlignment="1">
      <alignment horizontal="left" vertical="top" wrapText="1"/>
    </xf>
    <xf numFmtId="0" fontId="70" fillId="0" borderId="0" xfId="0" applyFont="1" applyFill="1" applyBorder="1" applyAlignment="1">
      <alignment horizontal="left" vertical="top"/>
    </xf>
    <xf numFmtId="0" fontId="39" fillId="0" borderId="0" xfId="0" applyFont="1" applyFill="1" applyBorder="1" applyAlignment="1" applyProtection="1">
      <alignment vertical="center"/>
      <protection locked="0"/>
    </xf>
    <xf numFmtId="0" fontId="39" fillId="0" borderId="0" xfId="0" applyFont="1" applyFill="1" applyBorder="1" applyAlignment="1">
      <alignment horizontal="center" vertical="center"/>
    </xf>
    <xf numFmtId="0" fontId="39" fillId="0" borderId="0" xfId="0" applyFont="1" applyBorder="1" applyAlignment="1">
      <alignment horizontal="center" vertical="center"/>
    </xf>
    <xf numFmtId="0" fontId="39" fillId="6" borderId="40" xfId="0" applyFont="1" applyFill="1" applyBorder="1" applyAlignment="1" applyProtection="1">
      <alignment vertical="center"/>
      <protection locked="0"/>
    </xf>
    <xf numFmtId="0" fontId="11" fillId="5" borderId="0" xfId="0" applyFont="1" applyFill="1" applyBorder="1" applyAlignment="1">
      <alignment vertical="center" wrapText="1"/>
    </xf>
    <xf numFmtId="0" fontId="39" fillId="5" borderId="0" xfId="0" applyFont="1" applyFill="1" applyBorder="1" applyAlignment="1" applyProtection="1">
      <alignment vertical="center"/>
      <protection locked="0"/>
    </xf>
    <xf numFmtId="0" fontId="69" fillId="6" borderId="41" xfId="0" applyFont="1" applyFill="1" applyBorder="1" applyAlignment="1" applyProtection="1">
      <alignment horizontal="center" vertical="center" wrapText="1"/>
      <protection locked="0"/>
    </xf>
    <xf numFmtId="9" fontId="25" fillId="8" borderId="23" xfId="10" applyNumberFormat="1" applyFont="1" applyFill="1" applyBorder="1" applyAlignment="1" applyProtection="1">
      <alignment horizontal="center" vertical="center"/>
    </xf>
    <xf numFmtId="9" fontId="25" fillId="8" borderId="24" xfId="10" applyNumberFormat="1" applyFont="1" applyFill="1" applyBorder="1" applyAlignment="1" applyProtection="1">
      <alignment horizontal="center" vertical="center"/>
    </xf>
    <xf numFmtId="0" fontId="25" fillId="0" borderId="27" xfId="2" applyFont="1" applyFill="1" applyBorder="1" applyAlignment="1" applyProtection="1">
      <alignment horizontal="center" vertical="center"/>
    </xf>
    <xf numFmtId="1" fontId="25" fillId="0" borderId="28" xfId="10" applyNumberFormat="1" applyFont="1" applyFill="1" applyBorder="1" applyAlignment="1" applyProtection="1">
      <alignment horizontal="center" vertical="center"/>
    </xf>
    <xf numFmtId="0" fontId="34" fillId="0" borderId="0" xfId="0" applyFont="1" applyAlignment="1" applyProtection="1">
      <alignment horizontal="left" vertical="top" wrapText="1"/>
    </xf>
    <xf numFmtId="0" fontId="1" fillId="5" borderId="12" xfId="0" applyFont="1" applyFill="1" applyBorder="1" applyAlignment="1">
      <alignment horizontal="center" vertical="center"/>
    </xf>
    <xf numFmtId="0" fontId="1" fillId="8" borderId="5" xfId="0" applyFont="1" applyFill="1" applyBorder="1" applyAlignment="1" applyProtection="1">
      <alignment horizontal="center" vertical="center"/>
    </xf>
    <xf numFmtId="0" fontId="11" fillId="5" borderId="50" xfId="0" applyFont="1" applyFill="1" applyBorder="1" applyAlignment="1">
      <alignment horizontal="center" vertical="center" wrapText="1"/>
    </xf>
    <xf numFmtId="0" fontId="24" fillId="5" borderId="45" xfId="0" applyFont="1" applyFill="1" applyBorder="1" applyAlignment="1" applyProtection="1">
      <alignment horizontal="center" vertical="center" wrapText="1"/>
    </xf>
    <xf numFmtId="0" fontId="24" fillId="6" borderId="45" xfId="0" applyFont="1" applyFill="1" applyBorder="1" applyAlignment="1" applyProtection="1">
      <alignment horizontal="center" vertical="center" wrapText="1"/>
      <protection locked="0"/>
    </xf>
    <xf numFmtId="0" fontId="11" fillId="8" borderId="5" xfId="0" applyFont="1" applyFill="1" applyBorder="1" applyAlignment="1">
      <alignment horizontal="center" vertical="center" wrapText="1"/>
    </xf>
    <xf numFmtId="0" fontId="4" fillId="5" borderId="0" xfId="0" applyFont="1" applyFill="1" applyBorder="1" applyAlignment="1">
      <alignment horizontal="left" vertical="center" wrapText="1" indent="1"/>
    </xf>
    <xf numFmtId="0" fontId="39" fillId="5" borderId="0" xfId="0" applyFont="1" applyFill="1" applyBorder="1" applyAlignment="1" applyProtection="1">
      <alignment horizontal="center" vertical="center"/>
      <protection locked="0"/>
    </xf>
    <xf numFmtId="2" fontId="25" fillId="5" borderId="0" xfId="0" applyNumberFormat="1" applyFont="1" applyFill="1" applyBorder="1" applyAlignment="1">
      <alignment vertical="center" wrapText="1"/>
    </xf>
    <xf numFmtId="9" fontId="68" fillId="5" borderId="0" xfId="0" applyNumberFormat="1" applyFont="1" applyFill="1" applyBorder="1" applyAlignment="1">
      <alignment vertical="center" wrapText="1"/>
    </xf>
    <xf numFmtId="9" fontId="97" fillId="5" borderId="0" xfId="0" applyNumberFormat="1" applyFont="1" applyFill="1" applyBorder="1" applyAlignment="1">
      <alignment vertical="center" wrapText="1"/>
    </xf>
    <xf numFmtId="0" fontId="11" fillId="8" borderId="21" xfId="0" applyFont="1" applyFill="1" applyBorder="1" applyAlignment="1">
      <alignment horizontal="center" vertical="center" wrapText="1"/>
    </xf>
    <xf numFmtId="0" fontId="11" fillId="8" borderId="22" xfId="0" applyFont="1" applyFill="1" applyBorder="1" applyAlignment="1">
      <alignment horizontal="center" vertical="center" wrapText="1"/>
    </xf>
    <xf numFmtId="0" fontId="95" fillId="5" borderId="0" xfId="0" applyFont="1" applyFill="1"/>
    <xf numFmtId="0" fontId="11" fillId="8" borderId="4" xfId="0" applyFont="1" applyFill="1" applyBorder="1" applyAlignment="1">
      <alignment horizontal="center" vertical="center" wrapText="1"/>
    </xf>
    <xf numFmtId="0" fontId="11" fillId="8" borderId="21" xfId="0" applyFont="1" applyFill="1" applyBorder="1" applyAlignment="1">
      <alignment horizontal="center" vertical="center" wrapText="1"/>
    </xf>
    <xf numFmtId="192" fontId="39" fillId="5" borderId="0" xfId="0" applyNumberFormat="1" applyFont="1" applyFill="1" applyBorder="1" applyAlignment="1" applyProtection="1">
      <alignment horizontal="right" vertical="center" wrapText="1"/>
    </xf>
    <xf numFmtId="0" fontId="28" fillId="5" borderId="0" xfId="0" applyFont="1" applyFill="1" applyBorder="1"/>
    <xf numFmtId="0" fontId="39" fillId="5" borderId="40" xfId="0" applyNumberFormat="1" applyFont="1" applyFill="1" applyBorder="1" applyAlignment="1" applyProtection="1">
      <alignment horizontal="left" vertical="center" wrapText="1"/>
    </xf>
    <xf numFmtId="0" fontId="1" fillId="0" borderId="0" xfId="0" applyFont="1" applyBorder="1" applyAlignment="1">
      <alignment horizontal="center" vertical="center"/>
    </xf>
    <xf numFmtId="0" fontId="1" fillId="0" borderId="4" xfId="0" applyFont="1" applyBorder="1" applyAlignment="1">
      <alignment horizontal="center" vertical="center"/>
    </xf>
    <xf numFmtId="0" fontId="90" fillId="0" borderId="0" xfId="0" applyFont="1" applyAlignment="1">
      <alignment vertical="center"/>
    </xf>
    <xf numFmtId="39" fontId="39" fillId="5" borderId="4" xfId="1" applyNumberFormat="1" applyFont="1" applyFill="1" applyBorder="1" applyAlignment="1">
      <alignment horizontal="center" vertical="center"/>
    </xf>
    <xf numFmtId="0" fontId="24" fillId="8" borderId="132" xfId="2" applyFont="1" applyFill="1" applyBorder="1" applyAlignment="1" applyProtection="1">
      <alignment horizontal="center" vertical="center" wrapText="1"/>
    </xf>
    <xf numFmtId="0" fontId="39" fillId="5" borderId="40" xfId="0" applyFont="1" applyFill="1" applyBorder="1" applyAlignment="1" applyProtection="1">
      <alignment horizontal="left" vertical="center" wrapText="1"/>
    </xf>
    <xf numFmtId="0" fontId="28" fillId="5" borderId="0" xfId="0" applyFont="1" applyFill="1" applyBorder="1" applyAlignment="1">
      <alignment vertical="center" wrapText="1"/>
    </xf>
    <xf numFmtId="0" fontId="1" fillId="5" borderId="0" xfId="0" applyFont="1" applyFill="1" applyBorder="1"/>
    <xf numFmtId="0" fontId="32" fillId="8" borderId="18" xfId="0" applyFont="1" applyFill="1" applyBorder="1" applyAlignment="1">
      <alignment horizontal="center" vertical="center" wrapText="1"/>
    </xf>
    <xf numFmtId="0" fontId="34" fillId="8" borderId="18" xfId="0" applyFont="1" applyFill="1" applyBorder="1" applyAlignment="1">
      <alignment horizontal="center" vertical="center" wrapText="1"/>
    </xf>
    <xf numFmtId="0" fontId="34" fillId="8" borderId="125" xfId="0" applyFont="1" applyFill="1" applyBorder="1" applyAlignment="1">
      <alignment horizontal="center" vertical="center" wrapText="1"/>
    </xf>
    <xf numFmtId="9" fontId="1" fillId="8" borderId="0" xfId="0" applyNumberFormat="1" applyFont="1" applyFill="1" applyBorder="1" applyAlignment="1">
      <alignment horizontal="center" vertical="center" wrapText="1"/>
    </xf>
    <xf numFmtId="0" fontId="32" fillId="8" borderId="0" xfId="0" applyFont="1" applyFill="1" applyBorder="1" applyAlignment="1">
      <alignment horizontal="center" vertical="center" wrapText="1"/>
    </xf>
    <xf numFmtId="0" fontId="32" fillId="8" borderId="42" xfId="0" applyFont="1" applyFill="1" applyBorder="1" applyAlignment="1">
      <alignment horizontal="center" vertical="center" wrapText="1"/>
    </xf>
    <xf numFmtId="0" fontId="32" fillId="8" borderId="41" xfId="0" applyFont="1" applyFill="1" applyBorder="1" applyAlignment="1">
      <alignment horizontal="center" vertical="center" wrapText="1"/>
    </xf>
    <xf numFmtId="0" fontId="32" fillId="8" borderId="44" xfId="0" applyFont="1" applyFill="1" applyBorder="1" applyAlignment="1">
      <alignment horizontal="center" vertical="center" wrapText="1"/>
    </xf>
    <xf numFmtId="0" fontId="32" fillId="8" borderId="40" xfId="0" applyFont="1" applyFill="1" applyBorder="1" applyAlignment="1">
      <alignment horizontal="center" vertical="center" wrapText="1"/>
    </xf>
    <xf numFmtId="0" fontId="34" fillId="8" borderId="5" xfId="0" applyFont="1" applyFill="1" applyBorder="1" applyAlignment="1">
      <alignment horizontal="center" vertical="center" wrapText="1"/>
    </xf>
    <xf numFmtId="0" fontId="1" fillId="8" borderId="42" xfId="0" applyFont="1" applyFill="1" applyBorder="1" applyAlignment="1">
      <alignment horizontal="center" vertical="center" wrapText="1"/>
    </xf>
    <xf numFmtId="0" fontId="1" fillId="8" borderId="41" xfId="0" applyFont="1" applyFill="1" applyBorder="1" applyAlignment="1">
      <alignment horizontal="center" vertical="center" wrapText="1"/>
    </xf>
    <xf numFmtId="0" fontId="1" fillId="8" borderId="44" xfId="0" applyFont="1" applyFill="1" applyBorder="1" applyAlignment="1">
      <alignment horizontal="center" vertical="center" wrapText="1"/>
    </xf>
    <xf numFmtId="0" fontId="1" fillId="8" borderId="40" xfId="0" applyFont="1" applyFill="1" applyBorder="1" applyAlignment="1">
      <alignment horizontal="center" vertical="center" wrapText="1"/>
    </xf>
    <xf numFmtId="0" fontId="34" fillId="8" borderId="17" xfId="0" applyFont="1" applyFill="1" applyBorder="1" applyAlignment="1">
      <alignment horizontal="center" vertical="center" wrapText="1"/>
    </xf>
    <xf numFmtId="0" fontId="39" fillId="5" borderId="14" xfId="0" applyFont="1" applyFill="1" applyBorder="1" applyAlignment="1" applyProtection="1">
      <alignment horizontal="center" vertical="center" wrapText="1"/>
      <protection locked="0"/>
    </xf>
    <xf numFmtId="0" fontId="0" fillId="0" borderId="0" xfId="0" applyFont="1" applyAlignment="1"/>
    <xf numFmtId="0" fontId="0" fillId="0" borderId="0" xfId="0" applyFont="1" applyAlignment="1">
      <alignment wrapText="1"/>
    </xf>
    <xf numFmtId="0" fontId="1" fillId="5" borderId="0" xfId="2" applyNumberFormat="1" applyFont="1" applyFill="1" applyBorder="1" applyAlignment="1">
      <alignment vertical="top" wrapText="1"/>
    </xf>
    <xf numFmtId="2" fontId="1" fillId="0" borderId="0" xfId="13" applyNumberFormat="1" applyFont="1"/>
    <xf numFmtId="49" fontId="1" fillId="0" borderId="0" xfId="13" applyNumberFormat="1" applyFont="1" applyAlignment="1">
      <alignment horizontal="right"/>
    </xf>
    <xf numFmtId="0" fontId="29" fillId="0" borderId="0" xfId="0" applyFont="1" applyBorder="1" applyAlignment="1">
      <alignment vertical="top"/>
    </xf>
    <xf numFmtId="0" fontId="1" fillId="0" borderId="0" xfId="0" applyFont="1"/>
    <xf numFmtId="0" fontId="1" fillId="0" borderId="0" xfId="0" applyFont="1" applyAlignment="1">
      <alignment horizontal="left" vertical="center"/>
    </xf>
    <xf numFmtId="0" fontId="40" fillId="0" borderId="0" xfId="0" applyFont="1"/>
    <xf numFmtId="0" fontId="40" fillId="0" borderId="0" xfId="0" applyFont="1" applyAlignment="1">
      <alignment vertical="center" wrapText="1"/>
    </xf>
    <xf numFmtId="0" fontId="39" fillId="0" borderId="0" xfId="0" applyFont="1" applyBorder="1" applyAlignment="1">
      <alignment horizontal="left" vertical="center"/>
    </xf>
    <xf numFmtId="0" fontId="1" fillId="0" borderId="0" xfId="0" applyFont="1" applyBorder="1" applyAlignment="1"/>
    <xf numFmtId="0" fontId="1" fillId="0" borderId="0" xfId="0" applyFont="1" applyFill="1" applyBorder="1" applyAlignment="1">
      <alignment horizontal="center" vertical="center" wrapText="1"/>
    </xf>
    <xf numFmtId="166" fontId="1" fillId="0" borderId="0" xfId="0" applyNumberFormat="1" applyFont="1" applyFill="1" applyBorder="1" applyAlignment="1">
      <alignment horizontal="center" vertical="center"/>
    </xf>
    <xf numFmtId="0" fontId="39" fillId="6" borderId="41" xfId="0" applyFont="1" applyFill="1" applyBorder="1" applyAlignment="1" applyProtection="1">
      <alignment horizontal="right" vertical="center" wrapText="1"/>
      <protection locked="0"/>
    </xf>
    <xf numFmtId="3" fontId="39" fillId="6" borderId="41" xfId="0" applyNumberFormat="1" applyFont="1" applyFill="1" applyBorder="1" applyAlignment="1" applyProtection="1">
      <alignment horizontal="right" vertical="center" wrapText="1"/>
      <protection locked="0"/>
    </xf>
    <xf numFmtId="0" fontId="39" fillId="6" borderId="40" xfId="0" applyFont="1" applyFill="1" applyBorder="1" applyAlignment="1" applyProtection="1">
      <alignment horizontal="left" vertical="center" wrapText="1"/>
      <protection locked="0"/>
    </xf>
    <xf numFmtId="0" fontId="39" fillId="6" borderId="44" xfId="0" applyFont="1" applyFill="1" applyBorder="1" applyAlignment="1" applyProtection="1">
      <alignment horizontal="left" vertical="center" wrapText="1"/>
      <protection locked="0"/>
    </xf>
    <xf numFmtId="4" fontId="39" fillId="6" borderId="41" xfId="0" applyNumberFormat="1" applyFont="1" applyFill="1" applyBorder="1" applyAlignment="1" applyProtection="1">
      <alignment horizontal="right" vertical="center" wrapText="1"/>
      <protection locked="0"/>
    </xf>
    <xf numFmtId="9" fontId="39" fillId="6" borderId="42" xfId="0" applyNumberFormat="1" applyFont="1" applyFill="1" applyBorder="1" applyAlignment="1" applyProtection="1">
      <alignment horizontal="right" vertical="center" wrapText="1"/>
      <protection locked="0"/>
    </xf>
    <xf numFmtId="0" fontId="39" fillId="6" borderId="41" xfId="0" applyFont="1" applyFill="1" applyBorder="1" applyAlignment="1" applyProtection="1">
      <alignment horizontal="left" vertical="center" wrapText="1"/>
      <protection locked="0"/>
    </xf>
    <xf numFmtId="0" fontId="44" fillId="0" borderId="0" xfId="0" applyFont="1"/>
    <xf numFmtId="0" fontId="44" fillId="0" borderId="0" xfId="0" applyFont="1" applyAlignment="1">
      <alignment wrapText="1"/>
    </xf>
    <xf numFmtId="0" fontId="95" fillId="7" borderId="0" xfId="0" applyFont="1" applyFill="1" applyAlignment="1">
      <alignment vertical="center" wrapText="1"/>
    </xf>
    <xf numFmtId="0" fontId="1" fillId="0" borderId="0" xfId="13" applyFont="1"/>
    <xf numFmtId="0" fontId="0" fillId="5" borderId="0" xfId="0" applyFill="1"/>
    <xf numFmtId="0" fontId="0" fillId="5" borderId="0" xfId="0" applyFill="1" applyBorder="1"/>
    <xf numFmtId="0" fontId="24" fillId="8" borderId="140" xfId="2" applyFont="1" applyFill="1" applyBorder="1" applyAlignment="1" applyProtection="1">
      <alignment horizontal="center" vertical="center" wrapText="1"/>
    </xf>
    <xf numFmtId="0" fontId="105" fillId="0" borderId="0" xfId="0" applyFont="1"/>
    <xf numFmtId="0" fontId="106" fillId="5" borderId="0" xfId="0" applyFont="1" applyFill="1"/>
    <xf numFmtId="0" fontId="1" fillId="0" borderId="0" xfId="0" applyFont="1" applyAlignment="1">
      <alignment horizontal="left" vertical="center" wrapText="1"/>
    </xf>
    <xf numFmtId="0" fontId="1" fillId="8" borderId="0" xfId="0" applyFont="1" applyFill="1" applyBorder="1" applyAlignment="1">
      <alignment horizontal="center" vertical="center" wrapText="1"/>
    </xf>
    <xf numFmtId="0" fontId="34" fillId="0" borderId="0" xfId="0" applyFont="1" applyAlignment="1" applyProtection="1">
      <alignment horizontal="left" vertical="top" wrapText="1"/>
    </xf>
    <xf numFmtId="0" fontId="1" fillId="0" borderId="0" xfId="0" applyFont="1" applyBorder="1" applyAlignment="1">
      <alignment vertical="center"/>
    </xf>
    <xf numFmtId="0" fontId="24" fillId="8" borderId="5" xfId="0" applyFont="1" applyFill="1" applyBorder="1" applyAlignment="1" applyProtection="1">
      <alignment horizontal="center" vertical="center"/>
    </xf>
    <xf numFmtId="0" fontId="24" fillId="5" borderId="4" xfId="0" applyFont="1" applyFill="1" applyBorder="1" applyAlignment="1" applyProtection="1">
      <alignment horizontal="center" vertical="center" wrapText="1"/>
    </xf>
    <xf numFmtId="0" fontId="24" fillId="5" borderId="15" xfId="0" applyFont="1" applyFill="1" applyBorder="1" applyAlignment="1" applyProtection="1">
      <alignment horizontal="center" vertical="center" wrapText="1"/>
    </xf>
    <xf numFmtId="0" fontId="24" fillId="5" borderId="50" xfId="0" applyFont="1" applyFill="1" applyBorder="1" applyAlignment="1" applyProtection="1">
      <alignment horizontal="center" vertical="center" wrapText="1"/>
    </xf>
    <xf numFmtId="0" fontId="39" fillId="6" borderId="51" xfId="0" applyFont="1" applyFill="1" applyBorder="1" applyAlignment="1" applyProtection="1">
      <alignment horizontal="left" vertical="center" wrapText="1"/>
      <protection locked="0"/>
    </xf>
    <xf numFmtId="0" fontId="28" fillId="0" borderId="0" xfId="0" applyFont="1" applyBorder="1" applyAlignment="1" applyProtection="1">
      <alignment vertical="center" wrapText="1"/>
    </xf>
    <xf numFmtId="0" fontId="24" fillId="4" borderId="12" xfId="0" applyFont="1" applyFill="1" applyBorder="1" applyAlignment="1" applyProtection="1">
      <alignment horizontal="center" vertical="center" wrapText="1"/>
    </xf>
    <xf numFmtId="0" fontId="24" fillId="4" borderId="17" xfId="0" applyFont="1" applyFill="1" applyBorder="1" applyAlignment="1" applyProtection="1">
      <alignment horizontal="center" vertical="center" wrapText="1"/>
    </xf>
    <xf numFmtId="0" fontId="39" fillId="4" borderId="1" xfId="0" applyFont="1" applyFill="1" applyBorder="1" applyAlignment="1" applyProtection="1">
      <alignment vertical="center" wrapText="1"/>
      <protection locked="0"/>
    </xf>
    <xf numFmtId="0" fontId="39" fillId="4" borderId="18" xfId="0" applyFont="1" applyFill="1" applyBorder="1" applyAlignment="1" applyProtection="1">
      <alignment vertical="center" wrapText="1"/>
    </xf>
    <xf numFmtId="0" fontId="39" fillId="4" borderId="1" xfId="0" applyFont="1" applyFill="1" applyBorder="1" applyAlignment="1" applyProtection="1">
      <alignment horizontal="right" vertical="center" wrapText="1"/>
      <protection locked="0"/>
    </xf>
    <xf numFmtId="0" fontId="39" fillId="4" borderId="18" xfId="0" applyFont="1" applyFill="1" applyBorder="1" applyAlignment="1" applyProtection="1">
      <alignment horizontal="right" vertical="center" wrapText="1"/>
    </xf>
    <xf numFmtId="0" fontId="39" fillId="4" borderId="1" xfId="0" applyFont="1" applyFill="1" applyBorder="1" applyAlignment="1" applyProtection="1">
      <alignment horizontal="center" vertical="center" wrapText="1"/>
      <protection locked="0"/>
    </xf>
    <xf numFmtId="0" fontId="39" fillId="4" borderId="18" xfId="0" applyFont="1" applyFill="1" applyBorder="1" applyAlignment="1" applyProtection="1">
      <alignment horizontal="center" vertical="center" wrapText="1"/>
    </xf>
    <xf numFmtId="0" fontId="39" fillId="4" borderId="13" xfId="0" applyFont="1" applyFill="1" applyBorder="1" applyAlignment="1" applyProtection="1">
      <alignment vertical="center" wrapText="1"/>
      <protection locked="0"/>
    </xf>
    <xf numFmtId="0" fontId="39" fillId="4" borderId="19" xfId="0" applyFont="1" applyFill="1" applyBorder="1" applyAlignment="1" applyProtection="1">
      <alignment vertical="center" wrapText="1"/>
    </xf>
    <xf numFmtId="0" fontId="10" fillId="4" borderId="6" xfId="0" applyFont="1" applyFill="1" applyBorder="1" applyAlignment="1" applyProtection="1">
      <alignment horizontal="center" vertical="center"/>
    </xf>
    <xf numFmtId="0" fontId="10" fillId="4" borderId="5" xfId="0" applyFont="1" applyFill="1" applyBorder="1" applyAlignment="1" applyProtection="1">
      <alignment horizontal="center" vertical="center"/>
    </xf>
    <xf numFmtId="0" fontId="10" fillId="4" borderId="45" xfId="0" applyFont="1" applyFill="1" applyBorder="1" applyAlignment="1" applyProtection="1">
      <alignment horizontal="center" vertical="center"/>
    </xf>
    <xf numFmtId="0" fontId="39" fillId="4" borderId="18" xfId="0" applyFont="1" applyFill="1" applyBorder="1" applyAlignment="1" applyProtection="1">
      <alignment horizontal="left" vertical="center" wrapText="1"/>
    </xf>
    <xf numFmtId="0" fontId="39" fillId="4" borderId="1" xfId="0" applyFont="1" applyFill="1" applyBorder="1" applyAlignment="1" applyProtection="1">
      <alignment horizontal="left" vertical="center" wrapText="1"/>
      <protection locked="0"/>
    </xf>
    <xf numFmtId="0" fontId="10" fillId="4" borderId="5" xfId="0" applyFont="1" applyFill="1" applyBorder="1" applyAlignment="1" applyProtection="1">
      <alignment horizontal="left" vertical="center"/>
    </xf>
    <xf numFmtId="0" fontId="63" fillId="4" borderId="18" xfId="0" applyFont="1" applyFill="1" applyBorder="1" applyAlignment="1" applyProtection="1">
      <alignment horizontal="center" vertical="center"/>
    </xf>
    <xf numFmtId="0" fontId="63" fillId="4" borderId="19" xfId="0" applyFont="1" applyFill="1" applyBorder="1" applyAlignment="1" applyProtection="1">
      <alignment horizontal="center" vertical="center"/>
    </xf>
    <xf numFmtId="0" fontId="63" fillId="4" borderId="1" xfId="0" applyFont="1" applyFill="1" applyBorder="1" applyAlignment="1" applyProtection="1">
      <alignment horizontal="center" vertical="center"/>
    </xf>
    <xf numFmtId="0" fontId="63" fillId="4" borderId="13" xfId="0" applyFont="1" applyFill="1" applyBorder="1" applyAlignment="1" applyProtection="1">
      <alignment horizontal="center" vertical="center"/>
    </xf>
    <xf numFmtId="0" fontId="39" fillId="4" borderId="18" xfId="0" applyFont="1" applyFill="1" applyBorder="1" applyAlignment="1" applyProtection="1">
      <alignment vertical="center" wrapText="1"/>
      <protection locked="0"/>
    </xf>
    <xf numFmtId="0" fontId="39" fillId="4" borderId="19" xfId="0" applyFont="1" applyFill="1" applyBorder="1" applyAlignment="1" applyProtection="1">
      <alignment vertical="center" wrapText="1"/>
      <protection locked="0"/>
    </xf>
    <xf numFmtId="0" fontId="39" fillId="5" borderId="0" xfId="0" applyFont="1" applyFill="1" applyBorder="1" applyAlignment="1" applyProtection="1">
      <alignment horizontal="left" vertical="top"/>
      <protection locked="0"/>
    </xf>
    <xf numFmtId="3" fontId="25" fillId="5" borderId="4" xfId="2" applyNumberFormat="1" applyFont="1" applyFill="1" applyBorder="1" applyAlignment="1" applyProtection="1">
      <alignment vertical="center"/>
    </xf>
    <xf numFmtId="0" fontId="24" fillId="8" borderId="5" xfId="0" applyFont="1" applyFill="1" applyBorder="1" applyAlignment="1">
      <alignment horizontal="center" vertical="center" wrapText="1"/>
    </xf>
    <xf numFmtId="0" fontId="24" fillId="4" borderId="36" xfId="0" applyFont="1" applyFill="1" applyBorder="1" applyAlignment="1">
      <alignment horizontal="center" vertical="center" wrapText="1"/>
    </xf>
    <xf numFmtId="0" fontId="24" fillId="4" borderId="74" xfId="0" applyFont="1" applyFill="1" applyBorder="1" applyAlignment="1">
      <alignment horizontal="center" vertical="center" wrapText="1"/>
    </xf>
    <xf numFmtId="0" fontId="24" fillId="4" borderId="64" xfId="0" applyFont="1" applyFill="1" applyBorder="1" applyAlignment="1">
      <alignment horizontal="center" vertical="center" wrapText="1"/>
    </xf>
    <xf numFmtId="0" fontId="39" fillId="44" borderId="41" xfId="0" applyFont="1" applyFill="1" applyBorder="1" applyAlignment="1" applyProtection="1">
      <alignment horizontal="left" vertical="center" wrapText="1"/>
    </xf>
    <xf numFmtId="0" fontId="39" fillId="44" borderId="42" xfId="0" applyFont="1" applyFill="1" applyBorder="1" applyAlignment="1" applyProtection="1">
      <alignment horizontal="right" vertical="center" wrapText="1"/>
    </xf>
    <xf numFmtId="0" fontId="11" fillId="8" borderId="0" xfId="0" applyFont="1" applyFill="1" applyBorder="1" applyAlignment="1">
      <alignment horizontal="center" vertical="center" wrapText="1"/>
    </xf>
    <xf numFmtId="0" fontId="0" fillId="5" borderId="0" xfId="0" applyFill="1" applyAlignment="1">
      <alignment wrapText="1"/>
    </xf>
    <xf numFmtId="0" fontId="0" fillId="0" borderId="0" xfId="0" applyAlignment="1"/>
    <xf numFmtId="0" fontId="34" fillId="0" borderId="0" xfId="0" applyFont="1" applyFill="1" applyBorder="1" applyAlignment="1">
      <alignment horizontal="left" vertical="top" wrapText="1"/>
    </xf>
    <xf numFmtId="49" fontId="24" fillId="0" borderId="0" xfId="2" applyNumberFormat="1" applyFont="1" applyFill="1" applyBorder="1" applyAlignment="1">
      <alignment horizontal="left" vertical="top"/>
    </xf>
    <xf numFmtId="0" fontId="24" fillId="0" borderId="0" xfId="2" applyFont="1" applyFill="1" applyBorder="1" applyAlignment="1">
      <alignment horizontal="left" vertical="top"/>
    </xf>
    <xf numFmtId="3" fontId="11" fillId="0" borderId="0" xfId="2" applyNumberFormat="1" applyFont="1" applyFill="1" applyBorder="1" applyAlignment="1">
      <alignment horizontal="left" vertical="center" wrapText="1"/>
    </xf>
    <xf numFmtId="0" fontId="11" fillId="0" borderId="0" xfId="2" applyFont="1" applyBorder="1" applyAlignment="1">
      <alignment vertical="center" wrapText="1"/>
    </xf>
    <xf numFmtId="0" fontId="11" fillId="5" borderId="0" xfId="2" applyNumberFormat="1" applyFont="1" applyFill="1" applyBorder="1" applyAlignment="1">
      <alignment horizontal="left" vertical="top" wrapText="1" indent="4"/>
    </xf>
    <xf numFmtId="0" fontId="11" fillId="5" borderId="0" xfId="2" applyFont="1" applyFill="1" applyBorder="1" applyAlignment="1">
      <alignment horizontal="left" vertical="center" wrapText="1"/>
    </xf>
    <xf numFmtId="0" fontId="11" fillId="0" borderId="0" xfId="2" applyFont="1" applyAlignment="1">
      <alignment horizontal="left" vertical="center"/>
    </xf>
    <xf numFmtId="3" fontId="11" fillId="5" borderId="0" xfId="2" applyNumberFormat="1" applyFont="1" applyFill="1" applyBorder="1" applyAlignment="1">
      <alignment horizontal="left" vertical="center" wrapText="1"/>
    </xf>
    <xf numFmtId="0" fontId="11" fillId="0" borderId="0" xfId="2" applyFont="1" applyFill="1" applyBorder="1" applyAlignment="1">
      <alignment horizontal="center" vertical="center"/>
    </xf>
    <xf numFmtId="0" fontId="11" fillId="0" borderId="0" xfId="2" applyFont="1" applyFill="1" applyBorder="1" applyAlignment="1">
      <alignment horizontal="center" vertical="center" wrapText="1"/>
    </xf>
    <xf numFmtId="0" fontId="11" fillId="0" borderId="0" xfId="0" applyFont="1" applyFill="1" applyBorder="1" applyAlignment="1">
      <alignment horizontal="left"/>
    </xf>
    <xf numFmtId="0" fontId="11" fillId="5" borderId="0" xfId="2" applyFont="1" applyFill="1" applyBorder="1" applyAlignment="1">
      <alignment horizontal="center" vertical="center" wrapText="1"/>
    </xf>
    <xf numFmtId="0" fontId="11" fillId="5" borderId="0" xfId="2" applyFont="1" applyFill="1" applyBorder="1" applyAlignment="1">
      <alignment vertical="center" wrapText="1"/>
    </xf>
    <xf numFmtId="0" fontId="11" fillId="5" borderId="0" xfId="2" applyNumberFormat="1" applyFont="1" applyFill="1" applyBorder="1" applyAlignment="1">
      <alignment horizontal="left" vertical="center" wrapText="1"/>
    </xf>
    <xf numFmtId="0" fontId="24" fillId="4" borderId="18" xfId="0" applyFont="1" applyFill="1" applyBorder="1" applyAlignment="1">
      <alignment vertical="center" wrapText="1"/>
    </xf>
    <xf numFmtId="0" fontId="21" fillId="45" borderId="41" xfId="0" applyFont="1" applyFill="1" applyBorder="1" applyAlignment="1">
      <alignment horizontal="left" vertical="top" wrapText="1"/>
    </xf>
    <xf numFmtId="0" fontId="21" fillId="45" borderId="60" xfId="0" applyFont="1" applyFill="1" applyBorder="1" applyAlignment="1">
      <alignment vertical="center" wrapText="1"/>
    </xf>
    <xf numFmtId="49" fontId="11" fillId="4" borderId="119" xfId="2" applyNumberFormat="1" applyFont="1" applyFill="1" applyBorder="1" applyAlignment="1" applyProtection="1">
      <alignment horizontal="center" vertical="center" wrapText="1"/>
    </xf>
    <xf numFmtId="0" fontId="1" fillId="0" borderId="0" xfId="0" applyFont="1" applyBorder="1"/>
    <xf numFmtId="0" fontId="40" fillId="0" borderId="0" xfId="0" applyFont="1" applyBorder="1"/>
    <xf numFmtId="0" fontId="8" fillId="5" borderId="0" xfId="0" applyFont="1" applyFill="1" applyAlignment="1">
      <alignment horizontal="center" vertical="center" wrapText="1"/>
    </xf>
    <xf numFmtId="0" fontId="35" fillId="5" borderId="0" xfId="0" applyFont="1" applyFill="1" applyAlignment="1">
      <alignment vertical="center"/>
    </xf>
    <xf numFmtId="0" fontId="107" fillId="5" borderId="0" xfId="0" applyFont="1" applyFill="1"/>
    <xf numFmtId="0" fontId="44" fillId="5" borderId="0" xfId="0" applyFont="1" applyFill="1" applyAlignment="1">
      <alignment wrapText="1"/>
    </xf>
    <xf numFmtId="0" fontId="110" fillId="5" borderId="0" xfId="0" applyFont="1" applyFill="1"/>
    <xf numFmtId="0" fontId="25" fillId="5" borderId="12" xfId="2" applyNumberFormat="1" applyFont="1" applyFill="1" applyBorder="1" applyAlignment="1">
      <alignment horizontal="centerContinuous" vertical="center"/>
    </xf>
    <xf numFmtId="0" fontId="25" fillId="5" borderId="4" xfId="2" applyNumberFormat="1" applyFont="1" applyFill="1" applyBorder="1" applyAlignment="1">
      <alignment horizontal="centerContinuous" vertical="center"/>
    </xf>
    <xf numFmtId="0" fontId="25" fillId="5" borderId="3" xfId="2" applyNumberFormat="1" applyFont="1" applyFill="1" applyBorder="1" applyAlignment="1">
      <alignment horizontal="centerContinuous" vertical="center"/>
    </xf>
    <xf numFmtId="0" fontId="25" fillId="5" borderId="15" xfId="2" applyNumberFormat="1" applyFont="1" applyFill="1" applyBorder="1" applyAlignment="1">
      <alignment horizontal="centerContinuous" vertical="center"/>
    </xf>
    <xf numFmtId="0" fontId="25" fillId="5" borderId="16" xfId="2" applyNumberFormat="1" applyFont="1" applyFill="1" applyBorder="1" applyAlignment="1">
      <alignment horizontal="centerContinuous" vertical="center"/>
    </xf>
    <xf numFmtId="2" fontId="25" fillId="5" borderId="3" xfId="2" applyNumberFormat="1" applyFont="1" applyFill="1" applyBorder="1" applyAlignment="1">
      <alignment horizontal="centerContinuous" vertical="center"/>
    </xf>
    <xf numFmtId="0" fontId="19" fillId="0" borderId="4" xfId="0" applyFont="1" applyBorder="1"/>
    <xf numFmtId="0" fontId="25" fillId="4" borderId="4" xfId="0" applyFont="1" applyFill="1" applyBorder="1" applyAlignment="1" applyProtection="1">
      <alignment horizontal="left" vertical="center" wrapText="1"/>
    </xf>
    <xf numFmtId="2" fontId="25" fillId="5" borderId="4" xfId="0" applyNumberFormat="1" applyFont="1" applyFill="1" applyBorder="1" applyAlignment="1" applyProtection="1">
      <alignment horizontal="center" vertical="center" wrapText="1"/>
    </xf>
    <xf numFmtId="2" fontId="19" fillId="5" borderId="4" xfId="0" applyNumberFormat="1" applyFont="1" applyFill="1" applyBorder="1" applyAlignment="1" applyProtection="1">
      <alignment horizontal="center"/>
    </xf>
    <xf numFmtId="4" fontId="19" fillId="5" borderId="4" xfId="0" applyNumberFormat="1" applyFont="1" applyFill="1" applyBorder="1" applyAlignment="1" applyProtection="1">
      <alignment horizontal="center"/>
    </xf>
    <xf numFmtId="4" fontId="25" fillId="5" borderId="4" xfId="0" applyNumberFormat="1" applyFont="1" applyFill="1" applyBorder="1" applyAlignment="1" applyProtection="1">
      <alignment horizontal="center" vertical="center" wrapText="1"/>
    </xf>
    <xf numFmtId="0" fontId="25" fillId="5" borderId="4" xfId="0" applyFont="1" applyFill="1" applyBorder="1" applyAlignment="1" applyProtection="1">
      <alignment horizontal="left" vertical="center" wrapText="1"/>
    </xf>
    <xf numFmtId="0" fontId="39" fillId="0" borderId="45" xfId="0" applyFont="1" applyFill="1" applyBorder="1" applyAlignment="1"/>
    <xf numFmtId="0" fontId="19" fillId="8" borderId="4" xfId="0" applyFont="1" applyFill="1" applyBorder="1"/>
    <xf numFmtId="3" fontId="19" fillId="5" borderId="4" xfId="0" applyNumberFormat="1" applyFont="1" applyFill="1" applyBorder="1" applyAlignment="1" applyProtection="1">
      <alignment horizontal="center"/>
    </xf>
    <xf numFmtId="3" fontId="25" fillId="5" borderId="4" xfId="0" applyNumberFormat="1" applyFont="1" applyFill="1" applyBorder="1" applyAlignment="1" applyProtection="1">
      <alignment horizontal="center" vertical="center" wrapText="1"/>
    </xf>
    <xf numFmtId="3" fontId="25" fillId="5" borderId="3" xfId="2" applyNumberFormat="1" applyFont="1" applyFill="1" applyBorder="1" applyAlignment="1">
      <alignment horizontal="centerContinuous" vertical="center"/>
    </xf>
    <xf numFmtId="3" fontId="25" fillId="5" borderId="16" xfId="2" applyNumberFormat="1" applyFont="1" applyFill="1" applyBorder="1" applyAlignment="1">
      <alignment horizontal="centerContinuous" vertical="center"/>
    </xf>
    <xf numFmtId="3" fontId="25" fillId="5" borderId="15" xfId="2" applyNumberFormat="1" applyFont="1" applyFill="1" applyBorder="1" applyAlignment="1">
      <alignment horizontal="centerContinuous" vertical="center"/>
    </xf>
    <xf numFmtId="165" fontId="39" fillId="5" borderId="4" xfId="0" applyNumberFormat="1" applyFont="1" applyFill="1" applyBorder="1" applyAlignment="1" applyProtection="1">
      <alignment horizontal="center"/>
    </xf>
    <xf numFmtId="3" fontId="39" fillId="5" borderId="4" xfId="0" applyNumberFormat="1" applyFont="1" applyFill="1" applyBorder="1" applyAlignment="1" applyProtection="1">
      <alignment horizontal="center"/>
    </xf>
    <xf numFmtId="3" fontId="39" fillId="5" borderId="4" xfId="0" applyNumberFormat="1" applyFont="1" applyFill="1" applyBorder="1"/>
    <xf numFmtId="166" fontId="39" fillId="5" borderId="4" xfId="0" applyNumberFormat="1" applyFont="1" applyFill="1" applyBorder="1" applyAlignment="1" applyProtection="1">
      <alignment horizontal="center"/>
    </xf>
    <xf numFmtId="0" fontId="107" fillId="0" borderId="0" xfId="0" applyFont="1"/>
    <xf numFmtId="0" fontId="32" fillId="8" borderId="4" xfId="0" applyFont="1" applyFill="1" applyBorder="1" applyAlignment="1">
      <alignment horizontal="center" vertical="center" wrapText="1"/>
    </xf>
    <xf numFmtId="0" fontId="109" fillId="8" borderId="4" xfId="0" applyFont="1" applyFill="1" applyBorder="1" applyAlignment="1"/>
    <xf numFmtId="0" fontId="111" fillId="8" borderId="4" xfId="0" applyFont="1" applyFill="1" applyBorder="1"/>
    <xf numFmtId="0" fontId="111" fillId="8" borderId="4" xfId="0" applyFont="1" applyFill="1" applyBorder="1" applyAlignment="1">
      <alignment vertical="center"/>
    </xf>
    <xf numFmtId="0" fontId="32" fillId="8" borderId="4" xfId="0" applyFont="1" applyFill="1" applyBorder="1" applyAlignment="1">
      <alignment horizontal="left" vertical="center"/>
    </xf>
    <xf numFmtId="0" fontId="27" fillId="8" borderId="4" xfId="0" applyFont="1" applyFill="1" applyBorder="1" applyAlignment="1">
      <alignment horizontal="center" vertical="center"/>
    </xf>
    <xf numFmtId="0" fontId="27" fillId="8" borderId="4" xfId="0" applyFont="1" applyFill="1" applyBorder="1"/>
    <xf numFmtId="0" fontId="111" fillId="0" borderId="0" xfId="0" applyFont="1"/>
    <xf numFmtId="0" fontId="11" fillId="8" borderId="119" xfId="0" applyFont="1" applyFill="1" applyBorder="1" applyAlignment="1">
      <alignment vertical="center" wrapText="1"/>
    </xf>
    <xf numFmtId="3" fontId="25" fillId="6" borderId="119" xfId="0" applyNumberFormat="1" applyFont="1" applyFill="1" applyBorder="1" applyAlignment="1" applyProtection="1">
      <alignment horizontal="right" vertical="center" wrapText="1"/>
      <protection locked="0"/>
    </xf>
    <xf numFmtId="171" fontId="25" fillId="6" borderId="119" xfId="1" applyNumberFormat="1" applyFont="1" applyFill="1" applyBorder="1" applyAlignment="1" applyProtection="1">
      <alignment horizontal="right" vertical="center"/>
      <protection locked="0"/>
    </xf>
    <xf numFmtId="3" fontId="25" fillId="0" borderId="119" xfId="0" applyNumberFormat="1" applyFont="1" applyFill="1" applyBorder="1" applyAlignment="1">
      <alignment horizontal="right" vertical="center" wrapText="1"/>
    </xf>
    <xf numFmtId="168" fontId="39" fillId="0" borderId="119" xfId="1" applyNumberFormat="1" applyFont="1" applyFill="1" applyBorder="1" applyAlignment="1">
      <alignment horizontal="right" vertical="center" wrapText="1"/>
    </xf>
    <xf numFmtId="0" fontId="11" fillId="8" borderId="128" xfId="0" applyFont="1" applyFill="1" applyBorder="1" applyAlignment="1">
      <alignment horizontal="center" vertical="center" wrapText="1"/>
    </xf>
    <xf numFmtId="0" fontId="11" fillId="8" borderId="149" xfId="0" applyFont="1" applyFill="1" applyBorder="1" applyAlignment="1">
      <alignment horizontal="center" vertical="center" wrapText="1"/>
    </xf>
    <xf numFmtId="0" fontId="11" fillId="8" borderId="124" xfId="0" applyFont="1" applyFill="1" applyBorder="1" applyAlignment="1">
      <alignment horizontal="center" vertical="center" wrapText="1"/>
    </xf>
    <xf numFmtId="0" fontId="28" fillId="0" borderId="0" xfId="0" applyFont="1" applyAlignment="1"/>
    <xf numFmtId="0" fontId="18" fillId="0" borderId="0" xfId="0" applyFont="1" applyAlignment="1"/>
    <xf numFmtId="0" fontId="11" fillId="4" borderId="119" xfId="0" applyFont="1" applyFill="1" applyBorder="1" applyAlignment="1">
      <alignment horizontal="center" vertical="center"/>
    </xf>
    <xf numFmtId="0" fontId="25" fillId="5" borderId="119" xfId="0" applyFont="1" applyFill="1" applyBorder="1" applyAlignment="1" applyProtection="1">
      <alignment horizontal="left" vertical="center" wrapText="1"/>
    </xf>
    <xf numFmtId="2" fontId="39" fillId="6" borderId="119" xfId="0" applyNumberFormat="1" applyFont="1" applyFill="1" applyBorder="1" applyAlignment="1" applyProtection="1">
      <alignment horizontal="right" vertical="center" wrapText="1"/>
      <protection locked="0"/>
    </xf>
    <xf numFmtId="9" fontId="39" fillId="6" borderId="119" xfId="0" applyNumberFormat="1" applyFont="1" applyFill="1" applyBorder="1" applyAlignment="1" applyProtection="1">
      <alignment horizontal="center" vertical="center" wrapText="1"/>
      <protection locked="0"/>
    </xf>
    <xf numFmtId="2" fontId="39" fillId="0" borderId="119" xfId="0" applyNumberFormat="1" applyFont="1" applyFill="1" applyBorder="1" applyAlignment="1">
      <alignment horizontal="right" vertical="center" wrapText="1"/>
    </xf>
    <xf numFmtId="0" fontId="26" fillId="4" borderId="149" xfId="0" applyFont="1" applyFill="1" applyBorder="1" applyAlignment="1">
      <alignment horizontal="center" vertical="center" wrapText="1"/>
    </xf>
    <xf numFmtId="3" fontId="11" fillId="8" borderId="149" xfId="0" applyNumberFormat="1" applyFont="1" applyFill="1" applyBorder="1" applyAlignment="1" applyProtection="1">
      <alignment horizontal="center" vertical="center" wrapText="1"/>
    </xf>
    <xf numFmtId="3" fontId="11" fillId="8" borderId="149" xfId="0" applyNumberFormat="1" applyFont="1" applyFill="1" applyBorder="1" applyAlignment="1">
      <alignment horizontal="center" vertical="center" wrapText="1"/>
    </xf>
    <xf numFmtId="0" fontId="34" fillId="4" borderId="119" xfId="0" applyFont="1" applyFill="1" applyBorder="1" applyAlignment="1">
      <alignment horizontal="center" vertical="center" wrapText="1"/>
    </xf>
    <xf numFmtId="0" fontId="28" fillId="4" borderId="119" xfId="0" applyFont="1" applyFill="1" applyBorder="1"/>
    <xf numFmtId="0" fontId="11" fillId="4" borderId="119" xfId="0" applyFont="1" applyFill="1" applyBorder="1"/>
    <xf numFmtId="0" fontId="1" fillId="0" borderId="119" xfId="0" applyFont="1" applyBorder="1" applyAlignment="1">
      <alignment horizontal="center" vertical="center"/>
    </xf>
    <xf numFmtId="0" fontId="32" fillId="4" borderId="119" xfId="0" applyFont="1" applyFill="1" applyBorder="1" applyAlignment="1">
      <alignment horizontal="center" vertical="center" wrapText="1"/>
    </xf>
    <xf numFmtId="0" fontId="111" fillId="4" borderId="119" xfId="0" applyFont="1" applyFill="1" applyBorder="1"/>
    <xf numFmtId="0" fontId="32" fillId="4" borderId="119" xfId="0" applyFont="1" applyFill="1" applyBorder="1" applyAlignment="1">
      <alignment horizontal="centerContinuous" vertical="center" wrapText="1"/>
    </xf>
    <xf numFmtId="0" fontId="27" fillId="4" borderId="119" xfId="0" applyFont="1" applyFill="1" applyBorder="1" applyAlignment="1">
      <alignment horizontal="center" vertical="center"/>
    </xf>
    <xf numFmtId="0" fontId="27" fillId="4" borderId="119" xfId="0" applyFont="1" applyFill="1" applyBorder="1"/>
    <xf numFmtId="0" fontId="1" fillId="4" borderId="119" xfId="0" applyFont="1" applyFill="1" applyBorder="1" applyAlignment="1">
      <alignment vertical="center" wrapText="1"/>
    </xf>
    <xf numFmtId="0" fontId="34" fillId="4" borderId="119" xfId="0" applyFont="1" applyFill="1" applyBorder="1" applyAlignment="1">
      <alignment horizontal="center" vertical="center"/>
    </xf>
    <xf numFmtId="2" fontId="39" fillId="0" borderId="119" xfId="0" applyNumberFormat="1" applyFont="1" applyFill="1" applyBorder="1" applyAlignment="1" applyProtection="1">
      <alignment horizontal="right" vertical="center" wrapText="1"/>
      <protection hidden="1"/>
    </xf>
    <xf numFmtId="165" fontId="39" fillId="0" borderId="119" xfId="0" applyNumberFormat="1" applyFont="1" applyFill="1" applyBorder="1" applyAlignment="1">
      <alignment horizontal="right" vertical="center" wrapText="1"/>
    </xf>
    <xf numFmtId="1" fontId="39" fillId="0" borderId="119" xfId="0" applyNumberFormat="1" applyFont="1" applyFill="1" applyBorder="1" applyAlignment="1">
      <alignment horizontal="right" vertical="center" wrapText="1"/>
    </xf>
    <xf numFmtId="0" fontId="44" fillId="0" borderId="0" xfId="0" applyFont="1" applyBorder="1"/>
    <xf numFmtId="0" fontId="26" fillId="8" borderId="119" xfId="0" applyFont="1" applyFill="1" applyBorder="1" applyAlignment="1">
      <alignment horizontal="center" vertical="center" wrapText="1"/>
    </xf>
    <xf numFmtId="0" fontId="24" fillId="8" borderId="119" xfId="0" applyFont="1" applyFill="1" applyBorder="1" applyAlignment="1">
      <alignment horizontal="center" vertical="center" wrapText="1"/>
    </xf>
    <xf numFmtId="0" fontId="44" fillId="0" borderId="0" xfId="2" applyFont="1" applyAlignment="1">
      <alignment vertical="center"/>
    </xf>
    <xf numFmtId="0" fontId="11" fillId="5" borderId="0" xfId="0" applyFont="1" applyFill="1" applyAlignment="1">
      <alignment horizontal="left" vertical="center" wrapText="1"/>
    </xf>
    <xf numFmtId="0" fontId="24" fillId="5" borderId="118" xfId="2" applyFont="1" applyFill="1" applyBorder="1" applyAlignment="1">
      <alignment horizontal="left" vertical="center"/>
    </xf>
    <xf numFmtId="0" fontId="24" fillId="5" borderId="0" xfId="2" applyFont="1" applyFill="1" applyBorder="1" applyAlignment="1">
      <alignment horizontal="left" vertical="center"/>
    </xf>
    <xf numFmtId="0" fontId="25" fillId="5" borderId="0" xfId="2" applyFont="1" applyFill="1" applyBorder="1" applyAlignment="1" applyProtection="1">
      <alignment vertical="center"/>
      <protection locked="0"/>
    </xf>
    <xf numFmtId="0" fontId="25" fillId="0" borderId="0" xfId="2" applyFont="1" applyAlignment="1">
      <alignment vertical="center"/>
    </xf>
    <xf numFmtId="0" fontId="26" fillId="4" borderId="82" xfId="2" applyFont="1" applyFill="1" applyBorder="1" applyAlignment="1">
      <alignment vertical="center"/>
    </xf>
    <xf numFmtId="0" fontId="11" fillId="0" borderId="82" xfId="2" applyFont="1" applyBorder="1" applyAlignment="1">
      <alignment vertical="center"/>
    </xf>
    <xf numFmtId="170" fontId="11" fillId="5" borderId="1" xfId="0" applyNumberFormat="1" applyFont="1" applyFill="1" applyBorder="1" applyAlignment="1" applyProtection="1">
      <alignment horizontal="center"/>
      <protection locked="0"/>
    </xf>
    <xf numFmtId="170" fontId="0" fillId="5" borderId="0" xfId="0" applyNumberFormat="1" applyFill="1" applyBorder="1" applyAlignment="1" applyProtection="1">
      <alignment horizontal="center"/>
      <protection locked="0"/>
    </xf>
    <xf numFmtId="0" fontId="91" fillId="0" borderId="0" xfId="2" applyFont="1" applyAlignment="1">
      <alignment horizontal="left" vertical="center"/>
    </xf>
    <xf numFmtId="0" fontId="25" fillId="0" borderId="0" xfId="2" applyFont="1" applyAlignment="1">
      <alignment horizontal="left" vertical="center"/>
    </xf>
    <xf numFmtId="49" fontId="11" fillId="8" borderId="119" xfId="2" applyNumberFormat="1" applyFont="1" applyFill="1" applyBorder="1" applyAlignment="1">
      <alignment horizontal="center" vertical="center" wrapText="1"/>
    </xf>
    <xf numFmtId="0" fontId="11" fillId="8" borderId="119" xfId="2" applyNumberFormat="1" applyFont="1" applyFill="1" applyBorder="1" applyAlignment="1">
      <alignment horizontal="center" vertical="center" wrapText="1"/>
    </xf>
    <xf numFmtId="0" fontId="97" fillId="8" borderId="119" xfId="0" applyFont="1" applyFill="1" applyBorder="1" applyAlignment="1">
      <alignment vertical="center"/>
    </xf>
    <xf numFmtId="0" fontId="112" fillId="8" borderId="119" xfId="0" applyFont="1" applyFill="1" applyBorder="1" applyAlignment="1">
      <alignment vertical="center"/>
    </xf>
    <xf numFmtId="0" fontId="97" fillId="8" borderId="119" xfId="2" applyNumberFormat="1" applyFont="1" applyFill="1" applyBorder="1" applyAlignment="1">
      <alignment horizontal="center" vertical="center" wrapText="1"/>
    </xf>
    <xf numFmtId="49" fontId="97" fillId="8" borderId="119" xfId="2" applyNumberFormat="1" applyFont="1" applyFill="1" applyBorder="1" applyAlignment="1">
      <alignment horizontal="center" vertical="center" wrapText="1"/>
    </xf>
    <xf numFmtId="49" fontId="25" fillId="0" borderId="0" xfId="2" applyNumberFormat="1" applyFont="1" applyFill="1" applyBorder="1" applyAlignment="1">
      <alignment horizontal="center" vertical="center" wrapText="1"/>
    </xf>
    <xf numFmtId="49" fontId="25" fillId="5" borderId="0" xfId="2" applyNumberFormat="1" applyFont="1" applyFill="1" applyBorder="1" applyAlignment="1">
      <alignment horizontal="center" vertical="center" wrapText="1"/>
    </xf>
    <xf numFmtId="0" fontId="25" fillId="5" borderId="0" xfId="2" applyFont="1" applyFill="1" applyBorder="1" applyAlignment="1">
      <alignment vertical="center"/>
    </xf>
    <xf numFmtId="0" fontId="91" fillId="0" borderId="0" xfId="2" applyFont="1" applyAlignment="1">
      <alignment vertical="center"/>
    </xf>
    <xf numFmtId="173" fontId="25" fillId="0" borderId="0" xfId="2" applyNumberFormat="1" applyFont="1" applyBorder="1" applyAlignment="1">
      <alignment vertical="center"/>
    </xf>
    <xf numFmtId="170" fontId="25" fillId="5" borderId="0" xfId="11" applyNumberFormat="1" applyFont="1" applyFill="1" applyBorder="1" applyAlignment="1" applyProtection="1">
      <alignment horizontal="center" vertical="center" wrapText="1"/>
      <protection locked="0"/>
    </xf>
    <xf numFmtId="167" fontId="25" fillId="0" borderId="0" xfId="12" applyNumberFormat="1" applyFont="1" applyFill="1" applyBorder="1" applyAlignment="1">
      <alignment horizontal="center" vertical="center" wrapText="1"/>
    </xf>
    <xf numFmtId="167" fontId="25" fillId="5" borderId="0" xfId="12" applyNumberFormat="1" applyFont="1" applyFill="1" applyBorder="1" applyAlignment="1">
      <alignment horizontal="center" vertical="center" wrapText="1"/>
    </xf>
    <xf numFmtId="170" fontId="25" fillId="5" borderId="0" xfId="2" applyNumberFormat="1" applyFont="1" applyFill="1" applyBorder="1" applyAlignment="1">
      <alignment vertical="center"/>
    </xf>
    <xf numFmtId="0" fontId="25" fillId="0" borderId="0" xfId="2" applyFont="1" applyAlignment="1" applyProtection="1">
      <alignment vertical="center"/>
    </xf>
    <xf numFmtId="0" fontId="44" fillId="9" borderId="0" xfId="2" applyFont="1" applyFill="1" applyAlignment="1">
      <alignment vertical="center"/>
    </xf>
    <xf numFmtId="0" fontId="11" fillId="5" borderId="0" xfId="0" applyFont="1" applyFill="1" applyBorder="1" applyAlignment="1">
      <alignment horizontal="left" vertical="center"/>
    </xf>
    <xf numFmtId="49" fontId="11" fillId="5" borderId="0" xfId="2" applyNumberFormat="1" applyFont="1" applyFill="1" applyBorder="1" applyAlignment="1">
      <alignment horizontal="center" vertical="center"/>
    </xf>
    <xf numFmtId="0" fontId="11" fillId="5" borderId="0" xfId="2" applyFont="1" applyFill="1" applyBorder="1" applyAlignment="1" applyProtection="1">
      <alignment horizontal="center" vertical="center"/>
    </xf>
    <xf numFmtId="49" fontId="25" fillId="5" borderId="0" xfId="2" applyNumberFormat="1" applyFont="1" applyFill="1" applyBorder="1" applyAlignment="1">
      <alignment horizontal="center" vertical="center"/>
    </xf>
    <xf numFmtId="168" fontId="11" fillId="0" borderId="0" xfId="2" applyNumberFormat="1" applyFont="1" applyAlignment="1">
      <alignment vertical="center"/>
    </xf>
    <xf numFmtId="0" fontId="11" fillId="5" borderId="0" xfId="2" applyFont="1" applyFill="1" applyBorder="1" applyAlignment="1">
      <alignment horizontal="center" vertical="center"/>
    </xf>
    <xf numFmtId="0" fontId="0" fillId="5" borderId="0" xfId="0" applyFill="1" applyBorder="1" applyAlignment="1">
      <alignment vertical="center"/>
    </xf>
    <xf numFmtId="167" fontId="11" fillId="5" borderId="0" xfId="12" applyNumberFormat="1" applyFont="1" applyFill="1" applyBorder="1" applyAlignment="1" applyProtection="1">
      <alignment horizontal="left" vertical="center"/>
    </xf>
    <xf numFmtId="167" fontId="11" fillId="5" borderId="0" xfId="12" applyNumberFormat="1" applyFont="1" applyFill="1" applyBorder="1" applyAlignment="1">
      <alignment horizontal="left" vertical="center"/>
    </xf>
    <xf numFmtId="170" fontId="11" fillId="5" borderId="0" xfId="11" applyNumberFormat="1" applyFont="1" applyFill="1" applyBorder="1" applyAlignment="1" applyProtection="1">
      <alignment vertical="center"/>
    </xf>
    <xf numFmtId="170" fontId="0" fillId="5" borderId="0" xfId="0" applyNumberFormat="1" applyFill="1" applyBorder="1" applyAlignment="1" applyProtection="1">
      <alignment vertical="center"/>
    </xf>
    <xf numFmtId="0" fontId="11" fillId="5" borderId="0" xfId="0" applyFont="1" applyFill="1" applyBorder="1" applyAlignment="1">
      <alignment vertical="center"/>
    </xf>
    <xf numFmtId="0" fontId="11" fillId="0" borderId="0" xfId="2" applyFont="1" applyBorder="1" applyAlignment="1">
      <alignment horizontal="left" vertical="center"/>
    </xf>
    <xf numFmtId="171" fontId="26" fillId="0" borderId="0" xfId="2" applyNumberFormat="1" applyFont="1" applyFill="1" applyBorder="1" applyAlignment="1">
      <alignment horizontal="left" vertical="center"/>
    </xf>
    <xf numFmtId="0" fontId="26" fillId="0" borderId="0" xfId="2" applyFont="1" applyFill="1" applyBorder="1" applyAlignment="1">
      <alignment horizontal="left" vertical="center"/>
    </xf>
    <xf numFmtId="0" fontId="26" fillId="0" borderId="0" xfId="2" applyFont="1" applyBorder="1" applyAlignment="1">
      <alignment horizontal="left" vertical="center"/>
    </xf>
    <xf numFmtId="0" fontId="26" fillId="0" borderId="0" xfId="2" applyFont="1" applyAlignment="1">
      <alignment horizontal="left" vertical="center"/>
    </xf>
    <xf numFmtId="0" fontId="26" fillId="5" borderId="0" xfId="2" applyFont="1" applyFill="1" applyBorder="1" applyAlignment="1">
      <alignment horizontal="left" vertical="center"/>
    </xf>
    <xf numFmtId="42" fontId="25" fillId="6" borderId="119" xfId="2" applyNumberFormat="1" applyFont="1" applyFill="1" applyBorder="1" applyAlignment="1" applyProtection="1">
      <alignment horizontal="center" vertical="center" wrapText="1"/>
      <protection locked="0"/>
    </xf>
    <xf numFmtId="173" fontId="11" fillId="5" borderId="0" xfId="2" applyNumberFormat="1" applyFont="1" applyFill="1" applyBorder="1" applyAlignment="1">
      <alignment vertical="center"/>
    </xf>
    <xf numFmtId="42" fontId="11" fillId="5" borderId="0" xfId="2" applyNumberFormat="1" applyFont="1" applyFill="1" applyBorder="1" applyAlignment="1" applyProtection="1">
      <alignment horizontal="center" vertical="center" wrapText="1"/>
    </xf>
    <xf numFmtId="172" fontId="11" fillId="5" borderId="0" xfId="11" applyNumberFormat="1" applyFont="1" applyFill="1" applyBorder="1" applyAlignment="1">
      <alignment vertical="center"/>
    </xf>
    <xf numFmtId="44" fontId="11" fillId="5" borderId="0" xfId="11" applyFont="1" applyFill="1" applyBorder="1" applyAlignment="1">
      <alignment vertical="center"/>
    </xf>
    <xf numFmtId="0" fontId="26" fillId="5" borderId="0" xfId="2" applyFont="1" applyFill="1" applyBorder="1" applyAlignment="1" applyProtection="1">
      <alignment horizontal="left" vertical="center"/>
    </xf>
    <xf numFmtId="3" fontId="25" fillId="0" borderId="119" xfId="2" applyNumberFormat="1" applyFont="1" applyFill="1" applyBorder="1" applyAlignment="1">
      <alignment horizontal="left" vertical="center" wrapText="1" indent="1"/>
    </xf>
    <xf numFmtId="164" fontId="11" fillId="5" borderId="0" xfId="9" applyNumberFormat="1" applyFont="1" applyFill="1" applyBorder="1" applyAlignment="1">
      <alignment vertical="center"/>
    </xf>
    <xf numFmtId="189" fontId="11" fillId="5" borderId="0" xfId="11" applyNumberFormat="1" applyFont="1" applyFill="1" applyBorder="1" applyAlignment="1">
      <alignment vertical="center"/>
    </xf>
    <xf numFmtId="175" fontId="11" fillId="5" borderId="0" xfId="2" applyNumberFormat="1" applyFont="1" applyFill="1" applyBorder="1" applyAlignment="1">
      <alignment vertical="center"/>
    </xf>
    <xf numFmtId="187" fontId="11" fillId="5" borderId="0" xfId="96" applyNumberFormat="1" applyFont="1" applyFill="1" applyBorder="1" applyAlignment="1">
      <alignment vertical="center"/>
    </xf>
    <xf numFmtId="0" fontId="11" fillId="0" borderId="126" xfId="2" applyFont="1" applyFill="1" applyBorder="1" applyAlignment="1">
      <alignment horizontal="center" vertical="center" wrapText="1"/>
    </xf>
    <xf numFmtId="167" fontId="11" fillId="0" borderId="126" xfId="12" applyNumberFormat="1" applyFont="1" applyFill="1" applyBorder="1" applyAlignment="1">
      <alignment horizontal="right" vertical="top"/>
    </xf>
    <xf numFmtId="42" fontId="11" fillId="0" borderId="126" xfId="2" applyNumberFormat="1" applyFont="1" applyFill="1" applyBorder="1" applyAlignment="1" applyProtection="1">
      <alignment horizontal="center" vertical="center" wrapText="1"/>
    </xf>
    <xf numFmtId="164" fontId="11" fillId="0" borderId="126" xfId="10" applyNumberFormat="1" applyFont="1" applyFill="1" applyBorder="1" applyAlignment="1">
      <alignment horizontal="right" vertical="top"/>
    </xf>
    <xf numFmtId="0" fontId="108" fillId="4" borderId="119" xfId="0" applyFont="1" applyFill="1" applyBorder="1" applyAlignment="1">
      <alignment horizontal="left" vertical="center"/>
    </xf>
    <xf numFmtId="0" fontId="26" fillId="4" borderId="119" xfId="2" applyNumberFormat="1" applyFont="1" applyFill="1" applyBorder="1" applyAlignment="1">
      <alignment horizontal="left" vertical="center"/>
    </xf>
    <xf numFmtId="49" fontId="26" fillId="4" borderId="119" xfId="2" applyNumberFormat="1" applyFont="1" applyFill="1" applyBorder="1" applyAlignment="1">
      <alignment horizontal="left" vertical="center"/>
    </xf>
    <xf numFmtId="49" fontId="26" fillId="4" borderId="119" xfId="2" applyNumberFormat="1" applyFont="1" applyFill="1" applyBorder="1" applyAlignment="1" applyProtection="1">
      <alignment horizontal="left" vertical="center"/>
    </xf>
    <xf numFmtId="49" fontId="26" fillId="0" borderId="0" xfId="2" applyNumberFormat="1" applyFont="1" applyFill="1" applyBorder="1" applyAlignment="1">
      <alignment horizontal="left" vertical="center"/>
    </xf>
    <xf numFmtId="0" fontId="26" fillId="4" borderId="82" xfId="2" applyFont="1" applyFill="1" applyBorder="1" applyAlignment="1">
      <alignment horizontal="left" vertical="center"/>
    </xf>
    <xf numFmtId="190" fontId="11" fillId="46" borderId="82" xfId="96" applyNumberFormat="1" applyFont="1" applyFill="1" applyBorder="1" applyAlignment="1">
      <alignment vertical="center"/>
    </xf>
    <xf numFmtId="190" fontId="11" fillId="0" borderId="82" xfId="96" applyNumberFormat="1" applyFont="1" applyBorder="1" applyAlignment="1">
      <alignment vertical="center"/>
    </xf>
    <xf numFmtId="0" fontId="26" fillId="8" borderId="144" xfId="2" applyFont="1" applyFill="1" applyBorder="1" applyAlignment="1">
      <alignment horizontal="left" vertical="center"/>
    </xf>
    <xf numFmtId="0" fontId="26" fillId="8" borderId="119" xfId="2" applyFont="1" applyFill="1" applyBorder="1" applyAlignment="1">
      <alignment horizontal="left" vertical="center"/>
    </xf>
    <xf numFmtId="49" fontId="26" fillId="8" borderId="119" xfId="2" applyNumberFormat="1" applyFont="1" applyFill="1" applyBorder="1" applyAlignment="1" applyProtection="1">
      <alignment horizontal="left" vertical="center"/>
    </xf>
    <xf numFmtId="0" fontId="26" fillId="8" borderId="119" xfId="2" applyNumberFormat="1" applyFont="1" applyFill="1" applyBorder="1" applyAlignment="1">
      <alignment horizontal="left" vertical="center"/>
    </xf>
    <xf numFmtId="49" fontId="26" fillId="8" borderId="119" xfId="2" applyNumberFormat="1" applyFont="1" applyFill="1" applyBorder="1" applyAlignment="1">
      <alignment horizontal="left" vertical="center"/>
    </xf>
    <xf numFmtId="49" fontId="26" fillId="8" borderId="145" xfId="2" applyNumberFormat="1" applyFont="1" applyFill="1" applyBorder="1" applyAlignment="1">
      <alignment horizontal="left" vertical="center"/>
    </xf>
    <xf numFmtId="171" fontId="11" fillId="5" borderId="0" xfId="12" applyNumberFormat="1" applyFont="1" applyFill="1" applyBorder="1" applyAlignment="1" applyProtection="1">
      <alignment horizontal="right" vertical="top"/>
      <protection locked="0"/>
    </xf>
    <xf numFmtId="0" fontId="14" fillId="5" borderId="104" xfId="123" applyFont="1" applyFill="1" applyBorder="1" applyAlignment="1">
      <alignment horizontal="center"/>
    </xf>
    <xf numFmtId="0" fontId="14" fillId="5" borderId="103" xfId="123" applyFont="1" applyFill="1" applyBorder="1"/>
    <xf numFmtId="0" fontId="14" fillId="5" borderId="0" xfId="123" applyFont="1" applyFill="1"/>
    <xf numFmtId="0" fontId="11" fillId="5" borderId="0" xfId="123" applyFill="1"/>
    <xf numFmtId="0" fontId="11" fillId="0" borderId="0" xfId="123"/>
    <xf numFmtId="0" fontId="11" fillId="5" borderId="82" xfId="123" applyFill="1" applyBorder="1"/>
    <xf numFmtId="0" fontId="11" fillId="0" borderId="82" xfId="123" applyBorder="1" applyAlignment="1">
      <alignment wrapText="1"/>
    </xf>
    <xf numFmtId="0" fontId="11" fillId="0" borderId="0" xfId="123" applyBorder="1"/>
    <xf numFmtId="0" fontId="11" fillId="0" borderId="82" xfId="123" applyBorder="1"/>
    <xf numFmtId="0" fontId="11" fillId="0" borderId="82" xfId="123" applyFont="1" applyBorder="1"/>
    <xf numFmtId="0" fontId="24" fillId="0" borderId="82" xfId="123" applyFont="1" applyBorder="1"/>
    <xf numFmtId="9" fontId="11" fillId="0" borderId="82" xfId="123" applyNumberFormat="1" applyBorder="1"/>
    <xf numFmtId="165" fontId="24" fillId="0" borderId="82" xfId="123" applyNumberFormat="1" applyFont="1" applyBorder="1"/>
    <xf numFmtId="0" fontId="11" fillId="8" borderId="119" xfId="2" applyFont="1" applyFill="1" applyBorder="1" applyAlignment="1">
      <alignment horizontal="center" vertical="center" wrapText="1"/>
    </xf>
    <xf numFmtId="49" fontId="24" fillId="5" borderId="0" xfId="2" applyNumberFormat="1" applyFont="1" applyFill="1" applyBorder="1" applyAlignment="1">
      <alignment horizontal="left" vertical="center"/>
    </xf>
    <xf numFmtId="0" fontId="11" fillId="4" borderId="119" xfId="2" applyFont="1" applyFill="1" applyBorder="1" applyAlignment="1">
      <alignment horizontal="center" vertical="center" wrapText="1"/>
    </xf>
    <xf numFmtId="49" fontId="24" fillId="8" borderId="119" xfId="2" applyNumberFormat="1" applyFont="1" applyFill="1" applyBorder="1" applyAlignment="1">
      <alignment horizontal="left" vertical="center"/>
    </xf>
    <xf numFmtId="0" fontId="24" fillId="8" borderId="119" xfId="2" applyFont="1" applyFill="1" applyBorder="1" applyAlignment="1">
      <alignment horizontal="left" vertical="center"/>
    </xf>
    <xf numFmtId="0" fontId="24" fillId="4" borderId="119" xfId="2" applyFont="1" applyFill="1" applyBorder="1" applyAlignment="1">
      <alignment horizontal="left" vertical="center"/>
    </xf>
    <xf numFmtId="0" fontId="11" fillId="4" borderId="119" xfId="2" applyFont="1" applyFill="1" applyBorder="1" applyAlignment="1">
      <alignment vertical="center"/>
    </xf>
    <xf numFmtId="3" fontId="25" fillId="6" borderId="119" xfId="2" applyNumberFormat="1" applyFont="1" applyFill="1" applyBorder="1" applyAlignment="1" applyProtection="1">
      <alignment horizontal="left" vertical="center" wrapText="1"/>
      <protection locked="0"/>
    </xf>
    <xf numFmtId="0" fontId="25" fillId="6" borderId="119" xfId="2" applyFont="1" applyFill="1" applyBorder="1" applyAlignment="1" applyProtection="1">
      <alignment vertical="center"/>
      <protection locked="0"/>
    </xf>
    <xf numFmtId="49" fontId="97" fillId="4" borderId="119" xfId="2" applyNumberFormat="1" applyFont="1" applyFill="1" applyBorder="1" applyAlignment="1">
      <alignment horizontal="center" vertical="center"/>
    </xf>
    <xf numFmtId="0" fontId="97" fillId="4" borderId="119" xfId="2" applyFont="1" applyFill="1" applyBorder="1" applyAlignment="1"/>
    <xf numFmtId="0" fontId="97" fillId="4" borderId="119" xfId="2" applyFont="1" applyFill="1" applyBorder="1" applyAlignment="1">
      <alignment horizontal="center" vertical="center"/>
    </xf>
    <xf numFmtId="0" fontId="97" fillId="4" borderId="119" xfId="0" applyFont="1" applyFill="1" applyBorder="1" applyAlignment="1">
      <alignment vertical="center"/>
    </xf>
    <xf numFmtId="0" fontId="97" fillId="4" borderId="119" xfId="0" applyFont="1" applyFill="1" applyBorder="1" applyAlignment="1">
      <alignment horizontal="center" vertical="center"/>
    </xf>
    <xf numFmtId="0" fontId="97" fillId="4" borderId="119" xfId="0" applyFont="1" applyFill="1" applyBorder="1" applyAlignment="1"/>
    <xf numFmtId="0" fontId="112" fillId="4" borderId="119" xfId="0" applyFont="1" applyFill="1" applyBorder="1" applyAlignment="1"/>
    <xf numFmtId="3" fontId="25" fillId="6" borderId="119" xfId="2" applyNumberFormat="1" applyFont="1" applyFill="1" applyBorder="1" applyAlignment="1" applyProtection="1">
      <alignment horizontal="left" vertical="center"/>
      <protection locked="0"/>
    </xf>
    <xf numFmtId="3" fontId="25" fillId="6" borderId="119" xfId="2" applyNumberFormat="1" applyFont="1" applyFill="1" applyBorder="1" applyAlignment="1" applyProtection="1">
      <alignment horizontal="right" vertical="center" wrapText="1"/>
      <protection locked="0"/>
    </xf>
    <xf numFmtId="0" fontId="25" fillId="9" borderId="119" xfId="2" applyFont="1" applyFill="1" applyBorder="1" applyAlignment="1">
      <alignment vertical="center"/>
    </xf>
    <xf numFmtId="0" fontId="25" fillId="9" borderId="119" xfId="2" applyFont="1" applyFill="1" applyBorder="1" applyAlignment="1">
      <alignment horizontal="left" vertical="center" indent="1"/>
    </xf>
    <xf numFmtId="0" fontId="97" fillId="4" borderId="119" xfId="2" applyFont="1" applyFill="1" applyBorder="1" applyAlignment="1">
      <alignment horizontal="left"/>
    </xf>
    <xf numFmtId="0" fontId="97" fillId="4" borderId="119" xfId="2" applyFont="1" applyFill="1" applyBorder="1" applyAlignment="1">
      <alignment horizontal="left" vertical="center"/>
    </xf>
    <xf numFmtId="49" fontId="97" fillId="4" borderId="119" xfId="2" applyNumberFormat="1" applyFont="1" applyFill="1" applyBorder="1" applyAlignment="1">
      <alignment horizontal="left" vertical="center"/>
    </xf>
    <xf numFmtId="0" fontId="97" fillId="4" borderId="119" xfId="0" applyFont="1" applyFill="1" applyBorder="1" applyAlignment="1">
      <alignment horizontal="left" vertical="center"/>
    </xf>
    <xf numFmtId="0" fontId="97" fillId="4" borderId="119" xfId="0" applyFont="1" applyFill="1" applyBorder="1" applyAlignment="1">
      <alignment horizontal="left"/>
    </xf>
    <xf numFmtId="0" fontId="112" fillId="4" borderId="119" xfId="0" applyFont="1" applyFill="1" applyBorder="1" applyAlignment="1">
      <alignment horizontal="left"/>
    </xf>
    <xf numFmtId="168" fontId="25" fillId="5" borderId="119" xfId="2" applyNumberFormat="1" applyFont="1" applyFill="1" applyBorder="1" applyAlignment="1">
      <alignment horizontal="center" vertical="center"/>
    </xf>
    <xf numFmtId="168" fontId="25" fillId="5" borderId="119" xfId="12" applyNumberFormat="1" applyFont="1" applyFill="1" applyBorder="1" applyAlignment="1">
      <alignment horizontal="center" vertical="center"/>
    </xf>
    <xf numFmtId="168" fontId="19" fillId="0" borderId="119" xfId="0" applyNumberFormat="1" applyFont="1" applyBorder="1" applyAlignment="1">
      <alignment horizontal="center" vertical="center"/>
    </xf>
    <xf numFmtId="168" fontId="25" fillId="0" borderId="119" xfId="0" applyNumberFormat="1" applyFont="1" applyBorder="1" applyAlignment="1">
      <alignment horizontal="center" vertical="center"/>
    </xf>
    <xf numFmtId="0" fontId="97" fillId="8" borderId="119" xfId="0" applyFont="1" applyFill="1" applyBorder="1" applyAlignment="1">
      <alignment horizontal="center" vertical="center" wrapText="1"/>
    </xf>
    <xf numFmtId="167" fontId="25" fillId="6" borderId="119" xfId="12" applyNumberFormat="1" applyFont="1" applyFill="1" applyBorder="1" applyAlignment="1" applyProtection="1">
      <alignment horizontal="left" vertical="center" wrapText="1"/>
      <protection locked="0"/>
    </xf>
    <xf numFmtId="168" fontId="25" fillId="6" borderId="119" xfId="12" applyNumberFormat="1" applyFont="1" applyFill="1" applyBorder="1" applyAlignment="1" applyProtection="1">
      <alignment horizontal="center" vertical="center" wrapText="1"/>
      <protection locked="0"/>
    </xf>
    <xf numFmtId="168" fontId="25" fillId="5" borderId="119" xfId="12" applyNumberFormat="1" applyFont="1" applyFill="1" applyBorder="1" applyAlignment="1" applyProtection="1">
      <alignment horizontal="center" vertical="center" wrapText="1"/>
      <protection locked="0"/>
    </xf>
    <xf numFmtId="49" fontId="11" fillId="4" borderId="119" xfId="2" applyNumberFormat="1" applyFont="1" applyFill="1" applyBorder="1" applyAlignment="1">
      <alignment horizontal="center" vertical="center" wrapText="1"/>
    </xf>
    <xf numFmtId="49" fontId="11" fillId="4" borderId="119" xfId="2" applyNumberFormat="1" applyFont="1" applyFill="1" applyBorder="1" applyAlignment="1">
      <alignment horizontal="left" vertical="center" textRotation="90" wrapText="1"/>
    </xf>
    <xf numFmtId="49" fontId="11" fillId="4" borderId="119" xfId="2" applyNumberFormat="1" applyFont="1" applyFill="1" applyBorder="1" applyAlignment="1">
      <alignment horizontal="centerContinuous" vertical="center" wrapText="1"/>
    </xf>
    <xf numFmtId="49" fontId="26" fillId="8" borderId="119" xfId="2" applyNumberFormat="1" applyFont="1" applyFill="1" applyBorder="1" applyAlignment="1">
      <alignment horizontal="left" vertical="center" textRotation="90"/>
    </xf>
    <xf numFmtId="0" fontId="26" fillId="8" borderId="119" xfId="2" applyFont="1" applyFill="1" applyBorder="1" applyAlignment="1">
      <alignment horizontal="center" vertical="center"/>
    </xf>
    <xf numFmtId="0" fontId="108" fillId="8" borderId="119" xfId="0" applyFont="1" applyFill="1" applyBorder="1" applyAlignment="1">
      <alignment horizontal="center" vertical="center"/>
    </xf>
    <xf numFmtId="168" fontId="25" fillId="6" borderId="119" xfId="2" applyNumberFormat="1" applyFont="1" applyFill="1" applyBorder="1" applyAlignment="1" applyProtection="1">
      <alignment horizontal="right" vertical="center"/>
      <protection locked="0"/>
    </xf>
    <xf numFmtId="168" fontId="25" fillId="6" borderId="119" xfId="12" applyNumberFormat="1" applyFont="1" applyFill="1" applyBorder="1" applyAlignment="1" applyProtection="1">
      <alignment horizontal="right" vertical="center" wrapText="1"/>
      <protection locked="0"/>
    </xf>
    <xf numFmtId="3" fontId="25" fillId="0" borderId="119" xfId="2" applyNumberFormat="1" applyFont="1" applyFill="1" applyBorder="1" applyAlignment="1">
      <alignment horizontal="left" vertical="center" indent="1"/>
    </xf>
    <xf numFmtId="169" fontId="25" fillId="5" borderId="119" xfId="12" applyNumberFormat="1" applyFont="1" applyFill="1" applyBorder="1" applyAlignment="1">
      <alignment horizontal="right" vertical="center" wrapText="1"/>
    </xf>
    <xf numFmtId="169" fontId="25" fillId="5" borderId="119" xfId="12" applyNumberFormat="1" applyFont="1" applyFill="1" applyBorder="1" applyAlignment="1">
      <alignment horizontal="right" vertical="center"/>
    </xf>
    <xf numFmtId="49" fontId="11" fillId="8" borderId="119" xfId="2" applyNumberFormat="1" applyFont="1" applyFill="1" applyBorder="1" applyAlignment="1">
      <alignment horizontal="centerContinuous" vertical="center" wrapText="1"/>
    </xf>
    <xf numFmtId="0" fontId="26" fillId="4" borderId="119" xfId="2" applyFont="1" applyFill="1" applyBorder="1" applyAlignment="1">
      <alignment horizontal="left" vertical="center"/>
    </xf>
    <xf numFmtId="170" fontId="25" fillId="6" borderId="119" xfId="11" applyNumberFormat="1" applyFont="1" applyFill="1" applyBorder="1" applyAlignment="1" applyProtection="1">
      <alignment horizontal="right" vertical="center"/>
      <protection locked="0"/>
    </xf>
    <xf numFmtId="170" fontId="11" fillId="0" borderId="119" xfId="11" applyNumberFormat="1" applyFont="1" applyFill="1" applyBorder="1" applyAlignment="1" applyProtection="1">
      <alignment horizontal="right" vertical="center"/>
    </xf>
    <xf numFmtId="188" fontId="25" fillId="6" borderId="119" xfId="2" applyNumberFormat="1" applyFont="1" applyFill="1" applyBorder="1" applyAlignment="1" applyProtection="1">
      <alignment horizontal="right" vertical="center"/>
      <protection locked="0"/>
    </xf>
    <xf numFmtId="0" fontId="11" fillId="4" borderId="119" xfId="2" applyNumberFormat="1" applyFont="1" applyFill="1" applyBorder="1" applyAlignment="1">
      <alignment horizontal="center" vertical="center" wrapText="1"/>
    </xf>
    <xf numFmtId="168" fontId="25" fillId="0" borderId="119" xfId="12" applyNumberFormat="1" applyFont="1" applyFill="1" applyBorder="1" applyAlignment="1">
      <alignment horizontal="right" vertical="center"/>
    </xf>
    <xf numFmtId="170" fontId="25" fillId="6" borderId="119" xfId="11" applyNumberFormat="1" applyFont="1" applyFill="1" applyBorder="1" applyAlignment="1" applyProtection="1">
      <alignment horizontal="center" vertical="center" wrapText="1"/>
      <protection locked="0"/>
    </xf>
    <xf numFmtId="164" fontId="25" fillId="0" borderId="119" xfId="10" applyNumberFormat="1" applyFont="1" applyFill="1" applyBorder="1" applyAlignment="1">
      <alignment horizontal="center" vertical="center"/>
    </xf>
    <xf numFmtId="42" fontId="25" fillId="0" borderId="119" xfId="2" applyNumberFormat="1" applyFont="1" applyFill="1" applyBorder="1" applyAlignment="1" applyProtection="1">
      <alignment horizontal="center" vertical="center" wrapText="1"/>
    </xf>
    <xf numFmtId="0" fontId="108" fillId="4" borderId="119" xfId="0" applyFont="1" applyFill="1" applyBorder="1" applyAlignment="1">
      <alignment horizontal="left"/>
    </xf>
    <xf numFmtId="0" fontId="26" fillId="4" borderId="119" xfId="2" applyFont="1" applyFill="1" applyBorder="1" applyAlignment="1" applyProtection="1">
      <alignment horizontal="left" vertical="center"/>
    </xf>
    <xf numFmtId="49" fontId="11" fillId="8" borderId="119" xfId="2" applyNumberFormat="1" applyFont="1" applyFill="1" applyBorder="1" applyAlignment="1" applyProtection="1">
      <alignment horizontal="center" vertical="center" wrapText="1"/>
    </xf>
    <xf numFmtId="0" fontId="11" fillId="0" borderId="130" xfId="2" applyFont="1" applyFill="1" applyBorder="1" applyAlignment="1">
      <alignment horizontal="center" vertical="center" wrapText="1"/>
    </xf>
    <xf numFmtId="49" fontId="11" fillId="0" borderId="130" xfId="2" applyNumberFormat="1" applyFont="1" applyFill="1" applyBorder="1" applyAlignment="1">
      <alignment horizontal="center" vertical="center" wrapText="1"/>
    </xf>
    <xf numFmtId="0" fontId="11" fillId="0" borderId="130" xfId="2" applyFont="1" applyFill="1" applyBorder="1" applyAlignment="1">
      <alignment vertical="center"/>
    </xf>
    <xf numFmtId="167" fontId="11" fillId="8" borderId="119" xfId="12" applyNumberFormat="1" applyFont="1" applyFill="1" applyBorder="1" applyAlignment="1">
      <alignment horizontal="right" vertical="top"/>
    </xf>
    <xf numFmtId="42" fontId="11" fillId="8" borderId="119" xfId="2" applyNumberFormat="1" applyFont="1" applyFill="1" applyBorder="1" applyAlignment="1" applyProtection="1">
      <alignment horizontal="center" vertical="center" wrapText="1"/>
    </xf>
    <xf numFmtId="43" fontId="25" fillId="0" borderId="119" xfId="12" applyNumberFormat="1" applyFont="1" applyFill="1" applyBorder="1" applyAlignment="1">
      <alignment horizontal="right" vertical="center"/>
    </xf>
    <xf numFmtId="167" fontId="25" fillId="0" borderId="119" xfId="12" applyNumberFormat="1" applyFont="1" applyFill="1" applyBorder="1" applyAlignment="1">
      <alignment horizontal="right" vertical="center"/>
    </xf>
    <xf numFmtId="42" fontId="25" fillId="0" borderId="119" xfId="2" applyNumberFormat="1" applyFont="1" applyFill="1" applyBorder="1" applyAlignment="1">
      <alignment horizontal="center" vertical="center" wrapText="1"/>
    </xf>
    <xf numFmtId="167" fontId="25" fillId="4" borderId="119" xfId="12" applyNumberFormat="1" applyFont="1" applyFill="1" applyBorder="1" applyAlignment="1">
      <alignment horizontal="right" vertical="center"/>
    </xf>
    <xf numFmtId="42" fontId="25" fillId="4" borderId="119" xfId="2" applyNumberFormat="1" applyFont="1" applyFill="1" applyBorder="1" applyAlignment="1">
      <alignment horizontal="center" vertical="center" wrapText="1"/>
    </xf>
    <xf numFmtId="167" fontId="11" fillId="8" borderId="119" xfId="12" applyNumberFormat="1" applyFont="1" applyFill="1" applyBorder="1" applyAlignment="1">
      <alignment horizontal="left" vertical="top" indent="1"/>
    </xf>
    <xf numFmtId="42" fontId="11" fillId="8" borderId="119" xfId="2" applyNumberFormat="1" applyFont="1" applyFill="1" applyBorder="1" applyAlignment="1">
      <alignment horizontal="left" vertical="center" wrapText="1" indent="1"/>
    </xf>
    <xf numFmtId="3" fontId="25" fillId="0" borderId="119" xfId="2" applyNumberFormat="1" applyFont="1" applyFill="1" applyBorder="1" applyAlignment="1">
      <alignment horizontal="left" vertical="center" wrapText="1"/>
    </xf>
    <xf numFmtId="0" fontId="11" fillId="5" borderId="0" xfId="2" applyFont="1" applyFill="1" applyBorder="1" applyAlignment="1" applyProtection="1">
      <alignment vertical="center"/>
      <protection locked="0"/>
    </xf>
    <xf numFmtId="164" fontId="11" fillId="5" borderId="0" xfId="10" applyNumberFormat="1" applyFont="1" applyFill="1" applyBorder="1" applyAlignment="1" applyProtection="1">
      <alignment vertical="center"/>
      <protection locked="0"/>
    </xf>
    <xf numFmtId="167" fontId="25" fillId="0" borderId="119" xfId="12" applyNumberFormat="1" applyFont="1" applyFill="1" applyBorder="1" applyAlignment="1" applyProtection="1">
      <alignment horizontal="right" vertical="center"/>
    </xf>
    <xf numFmtId="171" fontId="25" fillId="6" borderId="119" xfId="12" applyNumberFormat="1" applyFont="1" applyFill="1" applyBorder="1" applyAlignment="1" applyProtection="1">
      <alignment horizontal="right" vertical="center"/>
      <protection locked="0"/>
    </xf>
    <xf numFmtId="49" fontId="11" fillId="8" borderId="145" xfId="2" applyNumberFormat="1" applyFont="1" applyFill="1" applyBorder="1" applyAlignment="1">
      <alignment horizontal="center" vertical="center" wrapText="1"/>
    </xf>
    <xf numFmtId="165" fontId="25" fillId="0" borderId="147" xfId="12" applyNumberFormat="1" applyFont="1" applyFill="1" applyBorder="1" applyAlignment="1" applyProtection="1">
      <alignment horizontal="right" vertical="center"/>
    </xf>
    <xf numFmtId="165" fontId="25" fillId="0" borderId="147" xfId="12" applyNumberFormat="1" applyFont="1" applyFill="1" applyBorder="1" applyAlignment="1">
      <alignment horizontal="right" vertical="center"/>
    </xf>
    <xf numFmtId="42" fontId="25" fillId="0" borderId="147" xfId="2" applyNumberFormat="1" applyFont="1" applyFill="1" applyBorder="1" applyAlignment="1">
      <alignment horizontal="center" vertical="center" wrapText="1"/>
    </xf>
    <xf numFmtId="164" fontId="25" fillId="0" borderId="148" xfId="10" applyNumberFormat="1" applyFont="1" applyFill="1" applyBorder="1" applyAlignment="1">
      <alignment horizontal="center" vertical="center"/>
    </xf>
    <xf numFmtId="164" fontId="25" fillId="5" borderId="119" xfId="10" applyNumberFormat="1" applyFont="1" applyFill="1" applyBorder="1" applyAlignment="1">
      <alignment horizontal="center" vertical="center"/>
    </xf>
    <xf numFmtId="168" fontId="25" fillId="0" borderId="119" xfId="12" applyNumberFormat="1" applyFont="1" applyFill="1" applyBorder="1" applyAlignment="1" applyProtection="1">
      <alignment horizontal="right" vertical="center"/>
    </xf>
    <xf numFmtId="168" fontId="25" fillId="6" borderId="119" xfId="12" applyNumberFormat="1" applyFont="1" applyFill="1" applyBorder="1" applyAlignment="1" applyProtection="1">
      <alignment horizontal="right" vertical="center"/>
      <protection locked="0"/>
    </xf>
    <xf numFmtId="3" fontId="25" fillId="0" borderId="119" xfId="12" applyNumberFormat="1" applyFont="1" applyFill="1" applyBorder="1" applyAlignment="1">
      <alignment horizontal="right" vertical="center"/>
    </xf>
    <xf numFmtId="168" fontId="11" fillId="4" borderId="119" xfId="12" applyNumberFormat="1" applyFont="1" applyFill="1" applyBorder="1" applyAlignment="1">
      <alignment horizontal="right" vertical="top"/>
    </xf>
    <xf numFmtId="3" fontId="11" fillId="4" borderId="119" xfId="12" applyNumberFormat="1" applyFont="1" applyFill="1" applyBorder="1" applyAlignment="1">
      <alignment horizontal="right" vertical="top"/>
    </xf>
    <xf numFmtId="164" fontId="25" fillId="0" borderId="119" xfId="2" applyNumberFormat="1" applyFont="1" applyFill="1" applyBorder="1" applyAlignment="1">
      <alignment horizontal="center" vertical="center"/>
    </xf>
    <xf numFmtId="193" fontId="25" fillId="5" borderId="119" xfId="2" applyNumberFormat="1" applyFont="1" applyFill="1" applyBorder="1" applyAlignment="1" applyProtection="1">
      <alignment vertical="center"/>
      <protection locked="0"/>
    </xf>
    <xf numFmtId="0" fontId="11" fillId="5" borderId="0" xfId="2" applyNumberFormat="1" applyFont="1" applyFill="1" applyBorder="1" applyAlignment="1">
      <alignment vertical="center"/>
    </xf>
    <xf numFmtId="0" fontId="11" fillId="5" borderId="0" xfId="2" applyNumberFormat="1" applyFont="1" applyFill="1" applyBorder="1" applyAlignment="1">
      <alignment horizontal="center" vertical="center"/>
    </xf>
    <xf numFmtId="188" fontId="25" fillId="5" borderId="0" xfId="2" applyNumberFormat="1" applyFont="1" applyFill="1" applyBorder="1" applyAlignment="1">
      <alignment horizontal="right" vertical="center"/>
    </xf>
    <xf numFmtId="176" fontId="25" fillId="5" borderId="0" xfId="12" applyNumberFormat="1" applyFont="1" applyFill="1" applyBorder="1" applyAlignment="1">
      <alignment horizontal="right" vertical="center" wrapText="1"/>
    </xf>
    <xf numFmtId="0" fontId="0" fillId="5" borderId="126" xfId="0" applyFill="1" applyBorder="1"/>
    <xf numFmtId="171" fontId="25" fillId="0" borderId="119" xfId="12" applyNumberFormat="1" applyFont="1" applyFill="1" applyBorder="1" applyAlignment="1">
      <alignment horizontal="left" vertical="center"/>
    </xf>
    <xf numFmtId="3" fontId="25" fillId="0" borderId="119" xfId="2" applyNumberFormat="1" applyFont="1" applyFill="1" applyBorder="1" applyAlignment="1" applyProtection="1">
      <alignment horizontal="left" vertical="center" wrapText="1"/>
    </xf>
    <xf numFmtId="171" fontId="25" fillId="0" borderId="119" xfId="12" applyNumberFormat="1" applyFont="1" applyFill="1" applyBorder="1" applyAlignment="1" applyProtection="1">
      <alignment horizontal="right" vertical="center"/>
    </xf>
    <xf numFmtId="3" fontId="25" fillId="0" borderId="153" xfId="2" applyNumberFormat="1" applyFont="1" applyFill="1" applyBorder="1" applyAlignment="1" applyProtection="1">
      <alignment horizontal="left" vertical="center" wrapText="1"/>
    </xf>
    <xf numFmtId="165" fontId="25" fillId="0" borderId="119" xfId="12" applyNumberFormat="1" applyFont="1" applyFill="1" applyBorder="1" applyAlignment="1" applyProtection="1">
      <alignment horizontal="right" vertical="center"/>
    </xf>
    <xf numFmtId="164" fontId="25" fillId="0" borderId="145" xfId="10" applyNumberFormat="1" applyFont="1" applyFill="1" applyBorder="1" applyAlignment="1" applyProtection="1">
      <alignment horizontal="center" vertical="center"/>
    </xf>
    <xf numFmtId="164" fontId="25" fillId="5" borderId="119" xfId="10" applyNumberFormat="1" applyFont="1" applyFill="1" applyBorder="1" applyAlignment="1" applyProtection="1">
      <alignment horizontal="center" vertical="center"/>
    </xf>
    <xf numFmtId="168" fontId="25" fillId="5" borderId="119" xfId="12" applyNumberFormat="1" applyFont="1" applyFill="1" applyBorder="1" applyAlignment="1" applyProtection="1">
      <alignment horizontal="right" vertical="center"/>
    </xf>
    <xf numFmtId="170" fontId="25" fillId="0" borderId="119" xfId="11" applyNumberFormat="1" applyFont="1" applyFill="1" applyBorder="1" applyAlignment="1" applyProtection="1">
      <alignment horizontal="right" vertical="center"/>
    </xf>
    <xf numFmtId="3" fontId="25" fillId="5" borderId="119" xfId="2" applyNumberFormat="1" applyFont="1" applyFill="1" applyBorder="1" applyAlignment="1" applyProtection="1">
      <alignment horizontal="left" vertical="center" wrapText="1"/>
      <protection locked="0"/>
    </xf>
    <xf numFmtId="0" fontId="25" fillId="5" borderId="119" xfId="2" applyFont="1" applyFill="1" applyBorder="1" applyAlignment="1" applyProtection="1">
      <alignment vertical="center"/>
      <protection locked="0"/>
    </xf>
    <xf numFmtId="0" fontId="25" fillId="0" borderId="0" xfId="0" applyFont="1"/>
    <xf numFmtId="0" fontId="44" fillId="5" borderId="0" xfId="2" applyFont="1" applyFill="1" applyAlignment="1" applyProtection="1">
      <alignment vertical="center"/>
    </xf>
    <xf numFmtId="0" fontId="24" fillId="8" borderId="0" xfId="0" applyFont="1" applyFill="1" applyBorder="1" applyAlignment="1">
      <alignment horizontal="center" vertical="center" wrapText="1"/>
    </xf>
    <xf numFmtId="0" fontId="70" fillId="8" borderId="0" xfId="0" applyFont="1" applyFill="1" applyBorder="1" applyAlignment="1">
      <alignment vertical="center" wrapText="1"/>
    </xf>
    <xf numFmtId="0" fontId="24" fillId="4" borderId="0" xfId="0" applyFont="1" applyFill="1" applyBorder="1" applyAlignment="1">
      <alignment vertical="center" wrapText="1"/>
    </xf>
    <xf numFmtId="0" fontId="24" fillId="8" borderId="119" xfId="0" applyFont="1" applyFill="1" applyBorder="1" applyAlignment="1">
      <alignment vertical="center" wrapText="1"/>
    </xf>
    <xf numFmtId="0" fontId="24" fillId="8" borderId="149" xfId="0" applyFont="1" applyFill="1" applyBorder="1" applyAlignment="1">
      <alignment horizontal="center" vertical="center" wrapText="1"/>
    </xf>
    <xf numFmtId="3" fontId="25" fillId="0" borderId="119" xfId="2" applyNumberFormat="1" applyFont="1" applyFill="1" applyBorder="1" applyAlignment="1">
      <alignment horizontal="left" vertical="center" wrapText="1" indent="1"/>
    </xf>
    <xf numFmtId="164" fontId="25" fillId="0" borderId="119" xfId="10" applyNumberFormat="1" applyFont="1" applyFill="1" applyBorder="1" applyAlignment="1">
      <alignment horizontal="center" vertical="center"/>
    </xf>
    <xf numFmtId="0" fontId="11" fillId="4" borderId="119" xfId="2" applyFont="1" applyFill="1" applyBorder="1" applyAlignment="1">
      <alignment horizontal="center" vertical="center" wrapText="1"/>
    </xf>
    <xf numFmtId="49" fontId="11" fillId="4" borderId="119" xfId="2" applyNumberFormat="1" applyFont="1" applyFill="1" applyBorder="1" applyAlignment="1" applyProtection="1">
      <alignment horizontal="center" vertical="center" wrapText="1"/>
    </xf>
    <xf numFmtId="49" fontId="11" fillId="0" borderId="0" xfId="2" applyNumberFormat="1" applyFont="1" applyFill="1" applyBorder="1" applyAlignment="1">
      <alignment horizontal="center" vertical="center" wrapText="1"/>
    </xf>
    <xf numFmtId="0" fontId="11" fillId="0" borderId="0" xfId="2" applyFont="1" applyFill="1" applyBorder="1" applyAlignment="1">
      <alignment horizontal="center" vertical="center" wrapText="1"/>
    </xf>
    <xf numFmtId="3" fontId="11" fillId="5" borderId="0" xfId="2" applyNumberFormat="1" applyFont="1" applyFill="1" applyBorder="1" applyAlignment="1">
      <alignment horizontal="left" vertical="center" wrapText="1"/>
    </xf>
    <xf numFmtId="49" fontId="11" fillId="8" borderId="119" xfId="2" applyNumberFormat="1" applyFont="1" applyFill="1" applyBorder="1" applyAlignment="1">
      <alignment horizontal="center" vertical="center" wrapText="1"/>
    </xf>
    <xf numFmtId="0" fontId="24" fillId="0" borderId="0" xfId="2" applyFont="1" applyFill="1" applyBorder="1" applyAlignment="1">
      <alignment horizontal="left" vertical="top"/>
    </xf>
    <xf numFmtId="49" fontId="11" fillId="4" borderId="119" xfId="2" applyNumberFormat="1" applyFont="1" applyFill="1" applyBorder="1" applyAlignment="1">
      <alignment horizontal="center" vertical="center" wrapText="1"/>
    </xf>
    <xf numFmtId="0" fontId="11" fillId="4" borderId="119" xfId="2" applyNumberFormat="1" applyFont="1" applyFill="1" applyBorder="1" applyAlignment="1">
      <alignment horizontal="center" vertical="center" wrapText="1"/>
    </xf>
    <xf numFmtId="0" fontId="11" fillId="0" borderId="0" xfId="2" applyFont="1" applyAlignment="1">
      <alignment horizontal="left" vertical="center"/>
    </xf>
    <xf numFmtId="49" fontId="11" fillId="8" borderId="119" xfId="2" applyNumberFormat="1" applyFont="1" applyFill="1" applyBorder="1" applyAlignment="1" applyProtection="1">
      <alignment horizontal="center" vertical="center" wrapText="1"/>
    </xf>
    <xf numFmtId="0" fontId="11" fillId="8" borderId="119" xfId="2" applyNumberFormat="1" applyFont="1" applyFill="1" applyBorder="1" applyAlignment="1">
      <alignment horizontal="center" vertical="center" wrapText="1"/>
    </xf>
    <xf numFmtId="3" fontId="25" fillId="5" borderId="119" xfId="2" applyNumberFormat="1" applyFont="1" applyFill="1" applyBorder="1" applyAlignment="1">
      <alignment horizontal="left" vertical="center" wrapText="1" indent="1"/>
    </xf>
    <xf numFmtId="168" fontId="25" fillId="5" borderId="119" xfId="12" applyNumberFormat="1" applyFont="1" applyFill="1" applyBorder="1" applyAlignment="1">
      <alignment horizontal="right" vertical="center"/>
    </xf>
    <xf numFmtId="164" fontId="25" fillId="5" borderId="119" xfId="10" applyNumberFormat="1" applyFont="1" applyFill="1" applyBorder="1" applyAlignment="1">
      <alignment horizontal="right" vertical="center"/>
    </xf>
    <xf numFmtId="0" fontId="25" fillId="5" borderId="0" xfId="2" applyNumberFormat="1" applyFont="1" applyFill="1" applyBorder="1" applyAlignment="1">
      <alignment horizontal="left" vertical="center" indent="1"/>
    </xf>
    <xf numFmtId="0" fontId="11" fillId="0" borderId="0" xfId="2" applyFont="1" applyFill="1" applyBorder="1" applyAlignment="1">
      <alignment horizontal="center" vertical="center"/>
    </xf>
    <xf numFmtId="3" fontId="11" fillId="0" borderId="0" xfId="2" applyNumberFormat="1" applyFont="1" applyFill="1" applyBorder="1" applyAlignment="1">
      <alignment horizontal="left" vertical="center" wrapText="1"/>
    </xf>
    <xf numFmtId="0" fontId="25" fillId="9" borderId="119" xfId="2" applyNumberFormat="1" applyFont="1" applyFill="1" applyBorder="1" applyAlignment="1" applyProtection="1">
      <alignment horizontal="left" vertical="center" indent="1"/>
    </xf>
    <xf numFmtId="188" fontId="25" fillId="44" borderId="119" xfId="2" applyNumberFormat="1" applyFont="1" applyFill="1" applyBorder="1" applyAlignment="1" applyProtection="1">
      <alignment horizontal="right" vertical="center"/>
    </xf>
    <xf numFmtId="0" fontId="11" fillId="0" borderId="0" xfId="2" applyFont="1" applyBorder="1" applyAlignment="1" applyProtection="1">
      <alignment vertical="center"/>
    </xf>
    <xf numFmtId="176" fontId="25" fillId="44" borderId="119" xfId="12" applyNumberFormat="1" applyFont="1" applyFill="1" applyBorder="1" applyAlignment="1" applyProtection="1">
      <alignment horizontal="right" vertical="center" wrapText="1"/>
    </xf>
    <xf numFmtId="164" fontId="25" fillId="9" borderId="119" xfId="10" applyNumberFormat="1" applyFont="1" applyFill="1" applyBorder="1" applyAlignment="1" applyProtection="1">
      <alignment vertical="center" wrapText="1"/>
    </xf>
    <xf numFmtId="42" fontId="25" fillId="44" borderId="119" xfId="2" applyNumberFormat="1" applyFont="1" applyFill="1" applyBorder="1" applyAlignment="1" applyProtection="1">
      <alignment horizontal="center" vertical="center" wrapText="1"/>
    </xf>
    <xf numFmtId="0" fontId="25" fillId="5" borderId="119" xfId="2" applyNumberFormat="1" applyFont="1" applyFill="1" applyBorder="1" applyAlignment="1">
      <alignment horizontal="left" vertical="center" indent="1"/>
    </xf>
    <xf numFmtId="188" fontId="25" fillId="5" borderId="119" xfId="2" applyNumberFormat="1" applyFont="1" applyFill="1" applyBorder="1" applyAlignment="1" applyProtection="1">
      <alignment horizontal="right" vertical="center"/>
      <protection locked="0"/>
    </xf>
    <xf numFmtId="176" fontId="25" fillId="5" borderId="119" xfId="12" applyNumberFormat="1" applyFont="1" applyFill="1" applyBorder="1" applyAlignment="1" applyProtection="1">
      <alignment horizontal="right" vertical="center" wrapText="1"/>
      <protection locked="0"/>
    </xf>
    <xf numFmtId="164" fontId="25" fillId="5" borderId="119" xfId="10" applyNumberFormat="1" applyFont="1" applyFill="1" applyBorder="1" applyAlignment="1">
      <alignment vertical="center" wrapText="1"/>
    </xf>
    <xf numFmtId="42" fontId="25" fillId="5" borderId="119" xfId="2" applyNumberFormat="1" applyFont="1" applyFill="1" applyBorder="1" applyAlignment="1" applyProtection="1">
      <alignment horizontal="center" vertical="center" wrapText="1"/>
      <protection locked="0"/>
    </xf>
    <xf numFmtId="170" fontId="25" fillId="5" borderId="119" xfId="11" applyNumberFormat="1" applyFont="1" applyFill="1" applyBorder="1" applyAlignment="1" applyProtection="1">
      <alignment horizontal="center" vertical="center" wrapText="1"/>
      <protection locked="0"/>
    </xf>
    <xf numFmtId="0" fontId="25" fillId="5" borderId="0" xfId="2" applyNumberFormat="1" applyFont="1" applyFill="1" applyBorder="1" applyAlignment="1">
      <alignment horizontal="left" vertical="center" indent="1"/>
    </xf>
    <xf numFmtId="0" fontId="91" fillId="5" borderId="0" xfId="2" applyNumberFormat="1" applyFont="1" applyFill="1" applyBorder="1" applyAlignment="1">
      <alignment horizontal="left" vertical="center" indent="1"/>
    </xf>
    <xf numFmtId="0" fontId="26" fillId="5" borderId="0" xfId="2" applyFont="1" applyFill="1" applyBorder="1" applyAlignment="1">
      <alignment vertical="center"/>
    </xf>
    <xf numFmtId="2" fontId="11" fillId="0" borderId="0" xfId="9" applyNumberFormat="1" applyFont="1" applyAlignment="1">
      <alignment horizontal="center" vertical="center"/>
    </xf>
    <xf numFmtId="2" fontId="11" fillId="0" borderId="0" xfId="9" applyNumberFormat="1" applyFont="1" applyAlignment="1">
      <alignment horizontal="centerContinuous" vertical="center"/>
    </xf>
    <xf numFmtId="0" fontId="10" fillId="0" borderId="62" xfId="0" applyFont="1" applyFill="1" applyBorder="1" applyAlignment="1">
      <alignment horizontal="left" vertical="center" indent="1"/>
    </xf>
    <xf numFmtId="165" fontId="39" fillId="5" borderId="26" xfId="0" applyNumberFormat="1" applyFont="1" applyFill="1" applyBorder="1" applyAlignment="1">
      <alignment horizontal="right" vertical="center" wrapText="1"/>
    </xf>
    <xf numFmtId="166" fontId="39" fillId="4" borderId="16" xfId="0" applyNumberFormat="1" applyFont="1" applyFill="1" applyBorder="1" applyAlignment="1">
      <alignment horizontal="center" vertical="center" wrapText="1"/>
    </xf>
    <xf numFmtId="0" fontId="39" fillId="4" borderId="16" xfId="0" applyFont="1" applyFill="1" applyBorder="1" applyAlignment="1">
      <alignment vertical="center"/>
    </xf>
    <xf numFmtId="165" fontId="39" fillId="4" borderId="16" xfId="0" applyNumberFormat="1" applyFont="1" applyFill="1" applyBorder="1" applyAlignment="1">
      <alignment horizontal="right" vertical="center" wrapText="1"/>
    </xf>
    <xf numFmtId="0" fontId="39" fillId="4" borderId="16" xfId="0" applyFont="1" applyFill="1" applyBorder="1" applyAlignment="1" applyProtection="1">
      <alignment horizontal="center" vertical="center"/>
    </xf>
    <xf numFmtId="0" fontId="63" fillId="4" borderId="15" xfId="0" applyFont="1" applyFill="1" applyBorder="1" applyAlignment="1" applyProtection="1">
      <alignment horizontal="center" vertical="center"/>
    </xf>
    <xf numFmtId="0" fontId="24" fillId="8" borderId="4" xfId="0" applyFont="1" applyFill="1" applyBorder="1" applyAlignment="1" applyProtection="1">
      <alignment horizontal="center" vertical="center"/>
    </xf>
    <xf numFmtId="0" fontId="1" fillId="0" borderId="22" xfId="0" applyFont="1" applyBorder="1" applyAlignment="1" applyProtection="1">
      <alignment horizontal="left" vertical="center" wrapText="1" indent="1"/>
    </xf>
    <xf numFmtId="0" fontId="1" fillId="0" borderId="42" xfId="0" applyFont="1" applyBorder="1" applyAlignment="1" applyProtection="1">
      <alignment horizontal="left" vertical="center" wrapText="1" indent="1"/>
    </xf>
    <xf numFmtId="0" fontId="1" fillId="0" borderId="25" xfId="0" applyFont="1" applyBorder="1" applyAlignment="1" applyProtection="1">
      <alignment horizontal="left" vertical="center" wrapText="1" indent="1"/>
    </xf>
    <xf numFmtId="0" fontId="10" fillId="8" borderId="18" xfId="0" applyFont="1" applyFill="1" applyBorder="1" applyAlignment="1" applyProtection="1">
      <alignment horizontal="left" vertical="center" wrapText="1"/>
    </xf>
    <xf numFmtId="0" fontId="10" fillId="8" borderId="19" xfId="0" applyFont="1" applyFill="1" applyBorder="1" applyAlignment="1" applyProtection="1">
      <alignment horizontal="left" vertical="center" wrapText="1"/>
    </xf>
    <xf numFmtId="0" fontId="11" fillId="0" borderId="0" xfId="2" applyFont="1" applyFill="1" applyBorder="1" applyAlignment="1">
      <alignment horizontal="centerContinuous" vertical="center" wrapText="1"/>
    </xf>
    <xf numFmtId="0" fontId="25" fillId="0" borderId="0" xfId="2" applyFont="1" applyFill="1" applyBorder="1" applyAlignment="1">
      <alignment vertical="center" wrapText="1"/>
    </xf>
    <xf numFmtId="0" fontId="25" fillId="5" borderId="0" xfId="2" applyFont="1" applyFill="1" applyBorder="1" applyAlignment="1">
      <alignment vertical="center" wrapText="1"/>
    </xf>
    <xf numFmtId="0" fontId="44" fillId="0" borderId="0" xfId="2" applyFont="1" applyFill="1" applyBorder="1" applyAlignment="1">
      <alignment horizontal="left" vertical="center" wrapText="1"/>
    </xf>
    <xf numFmtId="0" fontId="11" fillId="5" borderId="0" xfId="2" applyFont="1" applyFill="1" applyBorder="1" applyAlignment="1">
      <alignment horizontal="left" vertical="center" wrapText="1"/>
    </xf>
    <xf numFmtId="0" fontId="25" fillId="0" borderId="0" xfId="2" applyFont="1" applyFill="1" applyBorder="1" applyAlignment="1">
      <alignment vertical="top" wrapText="1"/>
    </xf>
    <xf numFmtId="0" fontId="24" fillId="5" borderId="0" xfId="2" applyFont="1" applyFill="1" applyBorder="1" applyAlignment="1">
      <alignment horizontal="center" vertical="center" wrapText="1"/>
    </xf>
    <xf numFmtId="0" fontId="24" fillId="5" borderId="0" xfId="2" applyFont="1" applyFill="1" applyBorder="1" applyAlignment="1">
      <alignment horizontal="left" vertical="center" wrapText="1"/>
    </xf>
    <xf numFmtId="49" fontId="24" fillId="0" borderId="0" xfId="2" applyNumberFormat="1" applyFont="1" applyFill="1" applyBorder="1" applyAlignment="1">
      <alignment vertical="center"/>
    </xf>
    <xf numFmtId="0" fontId="25" fillId="6" borderId="119" xfId="0" applyFont="1" applyFill="1" applyBorder="1" applyAlignment="1" applyProtection="1">
      <alignment horizontal="left" vertical="center"/>
      <protection locked="0"/>
    </xf>
    <xf numFmtId="3" fontId="25" fillId="6" borderId="119" xfId="2" applyNumberFormat="1" applyFont="1" applyFill="1" applyBorder="1" applyAlignment="1" applyProtection="1">
      <alignment horizontal="left" vertical="center" wrapText="1"/>
      <protection locked="0"/>
    </xf>
    <xf numFmtId="0" fontId="25" fillId="6" borderId="4" xfId="0" applyFont="1" applyFill="1" applyBorder="1" applyAlignment="1" applyProtection="1">
      <alignment horizontal="center" vertical="center" wrapText="1"/>
      <protection locked="0"/>
    </xf>
    <xf numFmtId="2" fontId="39" fillId="6" borderId="4" xfId="0" applyNumberFormat="1" applyFont="1" applyFill="1" applyBorder="1" applyProtection="1">
      <protection locked="0"/>
    </xf>
    <xf numFmtId="165" fontId="25" fillId="6" borderId="4" xfId="0" applyNumberFormat="1" applyFont="1" applyFill="1" applyBorder="1" applyAlignment="1" applyProtection="1">
      <alignment horizontal="center" vertical="center" wrapText="1"/>
      <protection locked="0"/>
    </xf>
    <xf numFmtId="165" fontId="39" fillId="6" borderId="4" xfId="0" applyNumberFormat="1" applyFont="1" applyFill="1" applyBorder="1" applyAlignment="1" applyProtection="1">
      <alignment horizontal="center"/>
      <protection locked="0"/>
    </xf>
    <xf numFmtId="0" fontId="0" fillId="6" borderId="119" xfId="0" applyFont="1" applyFill="1" applyBorder="1" applyAlignment="1" applyProtection="1">
      <protection locked="0"/>
    </xf>
    <xf numFmtId="0" fontId="39" fillId="6" borderId="41" xfId="0" applyFont="1" applyFill="1" applyBorder="1" applyAlignment="1" applyProtection="1">
      <alignment horizontal="left" vertical="center" indent="1"/>
      <protection locked="0"/>
    </xf>
    <xf numFmtId="0" fontId="1" fillId="6" borderId="12" xfId="0" applyFont="1" applyFill="1" applyBorder="1" applyAlignment="1" applyProtection="1">
      <alignment horizontal="center" vertical="center"/>
      <protection locked="0"/>
    </xf>
    <xf numFmtId="0" fontId="11" fillId="6" borderId="50" xfId="0" applyFont="1" applyFill="1" applyBorder="1" applyAlignment="1" applyProtection="1">
      <alignment horizontal="center" vertical="center" wrapText="1"/>
      <protection locked="0"/>
    </xf>
    <xf numFmtId="0" fontId="34" fillId="6" borderId="12" xfId="0" applyFont="1" applyFill="1" applyBorder="1" applyAlignment="1" applyProtection="1">
      <alignment horizontal="center" vertical="center"/>
      <protection locked="0"/>
    </xf>
    <xf numFmtId="0" fontId="39" fillId="5" borderId="0" xfId="0" applyFont="1" applyFill="1" applyBorder="1" applyAlignment="1" applyProtection="1">
      <alignment horizontal="left"/>
      <protection locked="0"/>
    </xf>
    <xf numFmtId="0" fontId="39" fillId="5" borderId="0" xfId="0" applyFont="1" applyFill="1" applyBorder="1" applyAlignment="1" applyProtection="1">
      <alignment horizontal="center"/>
      <protection locked="0"/>
    </xf>
    <xf numFmtId="0" fontId="11" fillId="6" borderId="41" xfId="0" applyFont="1" applyFill="1" applyBorder="1" applyProtection="1">
      <protection locked="0"/>
    </xf>
    <xf numFmtId="0" fontId="6" fillId="6" borderId="41" xfId="0" applyFont="1" applyFill="1" applyBorder="1" applyProtection="1">
      <protection locked="0"/>
    </xf>
    <xf numFmtId="0" fontId="8" fillId="6" borderId="41" xfId="0" applyFont="1" applyFill="1" applyBorder="1" applyAlignment="1" applyProtection="1">
      <alignment vertical="center"/>
      <protection locked="0"/>
    </xf>
    <xf numFmtId="0" fontId="6" fillId="6" borderId="41" xfId="0" applyFont="1" applyFill="1" applyBorder="1" applyAlignment="1" applyProtection="1">
      <alignment horizontal="center" vertical="center"/>
      <protection locked="0"/>
    </xf>
    <xf numFmtId="0" fontId="11" fillId="6" borderId="41" xfId="0" applyFont="1" applyFill="1" applyBorder="1" applyAlignment="1" applyProtection="1">
      <alignment horizontal="center" vertical="center" wrapText="1"/>
      <protection locked="0"/>
    </xf>
    <xf numFmtId="0" fontId="11" fillId="6" borderId="41" xfId="2" applyFont="1" applyFill="1" applyBorder="1" applyAlignment="1" applyProtection="1">
      <alignment horizontal="center" vertical="center" wrapText="1"/>
      <protection locked="0"/>
    </xf>
    <xf numFmtId="0" fontId="11" fillId="6" borderId="41" xfId="0" applyFont="1" applyFill="1" applyBorder="1" applyAlignment="1" applyProtection="1">
      <alignment horizontal="center" vertical="center"/>
      <protection locked="0"/>
    </xf>
    <xf numFmtId="0" fontId="11" fillId="6" borderId="41" xfId="2" applyFont="1" applyFill="1" applyBorder="1" applyAlignment="1" applyProtection="1">
      <alignment horizontal="center" vertical="center"/>
      <protection locked="0"/>
    </xf>
    <xf numFmtId="0" fontId="11" fillId="6" borderId="119" xfId="0" applyFont="1" applyFill="1" applyBorder="1" applyAlignment="1" applyProtection="1">
      <alignment horizontal="center" vertical="center"/>
      <protection locked="0"/>
    </xf>
    <xf numFmtId="0" fontId="21" fillId="6" borderId="119" xfId="0" applyFont="1" applyFill="1" applyBorder="1" applyAlignment="1" applyProtection="1">
      <alignment vertical="center" wrapText="1"/>
      <protection locked="0"/>
    </xf>
    <xf numFmtId="0" fontId="11" fillId="6" borderId="25" xfId="0" applyFont="1" applyFill="1" applyBorder="1" applyAlignment="1" applyProtection="1">
      <alignment horizontal="center" vertical="center" wrapText="1"/>
      <protection locked="0"/>
    </xf>
    <xf numFmtId="0" fontId="5" fillId="6" borderId="0" xfId="0" applyFont="1" applyFill="1" applyAlignment="1" applyProtection="1">
      <alignment vertical="center" wrapText="1"/>
      <protection locked="0"/>
    </xf>
    <xf numFmtId="0" fontId="5" fillId="6" borderId="0" xfId="0" applyNumberFormat="1" applyFont="1" applyFill="1" applyAlignment="1" applyProtection="1">
      <alignment vertical="center" wrapText="1"/>
      <protection locked="0"/>
    </xf>
    <xf numFmtId="0" fontId="34" fillId="6" borderId="0" xfId="0" applyFont="1" applyFill="1" applyBorder="1" applyAlignment="1" applyProtection="1">
      <alignment vertical="top" wrapText="1"/>
      <protection locked="0"/>
    </xf>
    <xf numFmtId="0" fontId="34" fillId="6" borderId="0" xfId="0" applyFont="1" applyFill="1" applyBorder="1" applyAlignment="1" applyProtection="1">
      <alignment vertical="center" wrapText="1"/>
      <protection locked="0"/>
    </xf>
    <xf numFmtId="0" fontId="11" fillId="42" borderId="82" xfId="0" applyFont="1" applyFill="1" applyBorder="1" applyAlignment="1" applyProtection="1">
      <alignment vertical="center"/>
      <protection locked="0"/>
    </xf>
    <xf numFmtId="0" fontId="4" fillId="6" borderId="82" xfId="0" applyFont="1" applyFill="1" applyBorder="1" applyProtection="1">
      <protection locked="0"/>
    </xf>
    <xf numFmtId="4" fontId="28" fillId="6" borderId="82" xfId="0" applyNumberFormat="1" applyFont="1" applyFill="1" applyBorder="1" applyProtection="1">
      <protection locked="0"/>
    </xf>
    <xf numFmtId="3" fontId="28" fillId="6" borderId="82" xfId="0" applyNumberFormat="1" applyFont="1" applyFill="1" applyBorder="1" applyProtection="1">
      <protection locked="0"/>
    </xf>
    <xf numFmtId="0" fontId="11" fillId="6" borderId="82" xfId="0" applyFont="1" applyFill="1" applyBorder="1" applyProtection="1">
      <protection locked="0"/>
    </xf>
    <xf numFmtId="4" fontId="34" fillId="6" borderId="82" xfId="0" applyNumberFormat="1" applyFont="1" applyFill="1" applyBorder="1" applyProtection="1">
      <protection locked="0"/>
    </xf>
    <xf numFmtId="3" fontId="34" fillId="6" borderId="82" xfId="0" applyNumberFormat="1" applyFont="1" applyFill="1" applyBorder="1" applyProtection="1">
      <protection locked="0"/>
    </xf>
    <xf numFmtId="0" fontId="24" fillId="6" borderId="82" xfId="0" applyFont="1" applyFill="1" applyBorder="1" applyProtection="1">
      <protection locked="0"/>
    </xf>
    <xf numFmtId="0" fontId="34" fillId="6" borderId="82" xfId="0" applyFont="1" applyFill="1" applyBorder="1" applyProtection="1">
      <protection locked="0"/>
    </xf>
    <xf numFmtId="0" fontId="28" fillId="6" borderId="41" xfId="0" applyFont="1" applyFill="1" applyBorder="1" applyAlignment="1" applyProtection="1">
      <alignment horizontal="center" vertical="center"/>
      <protection locked="0"/>
    </xf>
    <xf numFmtId="0" fontId="28" fillId="0" borderId="104" xfId="0" applyFont="1" applyBorder="1" applyAlignment="1">
      <alignment horizontal="center" vertical="center"/>
    </xf>
    <xf numFmtId="0" fontId="28" fillId="6" borderId="82" xfId="0" applyFont="1" applyFill="1" applyBorder="1" applyAlignment="1" applyProtection="1">
      <alignment horizontal="center" vertical="center"/>
      <protection locked="0"/>
    </xf>
    <xf numFmtId="0" fontId="4" fillId="6" borderId="82" xfId="0" applyFont="1" applyFill="1" applyBorder="1" applyAlignment="1" applyProtection="1">
      <alignment vertical="center" wrapText="1"/>
      <protection locked="0"/>
    </xf>
    <xf numFmtId="0" fontId="11" fillId="0" borderId="170" xfId="0" applyFont="1" applyBorder="1" applyAlignment="1">
      <alignment horizontal="center" vertical="center"/>
    </xf>
    <xf numFmtId="0" fontId="11" fillId="0" borderId="171" xfId="0" applyFont="1" applyBorder="1" applyAlignment="1">
      <alignment horizontal="center" vertical="center"/>
    </xf>
    <xf numFmtId="0" fontId="11" fillId="0" borderId="172" xfId="0" applyFont="1" applyBorder="1" applyAlignment="1">
      <alignment horizontal="center" vertical="center"/>
    </xf>
    <xf numFmtId="0" fontId="6" fillId="6" borderId="82" xfId="0" applyFont="1" applyFill="1" applyBorder="1" applyProtection="1">
      <protection locked="0"/>
    </xf>
    <xf numFmtId="0" fontId="11" fillId="6" borderId="82" xfId="0" applyFont="1" applyFill="1" applyBorder="1" applyAlignment="1" applyProtection="1">
      <alignment horizontal="center" vertical="center"/>
      <protection locked="0"/>
    </xf>
    <xf numFmtId="0" fontId="11" fillId="6" borderId="82" xfId="2" applyFont="1" applyFill="1" applyBorder="1" applyAlignment="1" applyProtection="1">
      <alignment vertical="center"/>
      <protection locked="0"/>
    </xf>
    <xf numFmtId="0" fontId="26" fillId="4" borderId="104" xfId="2" applyFont="1" applyFill="1" applyBorder="1" applyAlignment="1">
      <alignment vertical="center"/>
    </xf>
    <xf numFmtId="170" fontId="11" fillId="6" borderId="82" xfId="11" applyNumberFormat="1" applyFont="1" applyFill="1" applyBorder="1" applyAlignment="1" applyProtection="1">
      <alignment horizontal="center" vertical="center"/>
      <protection locked="0"/>
    </xf>
    <xf numFmtId="0" fontId="11" fillId="6" borderId="82" xfId="2" applyFont="1" applyFill="1" applyBorder="1" applyAlignment="1" applyProtection="1">
      <alignment horizontal="right" vertical="center"/>
      <protection locked="0"/>
    </xf>
    <xf numFmtId="0" fontId="11" fillId="6" borderId="82" xfId="2" applyFont="1" applyFill="1" applyBorder="1" applyAlignment="1" applyProtection="1">
      <alignment horizontal="left" vertical="center"/>
      <protection locked="0"/>
    </xf>
    <xf numFmtId="164" fontId="11" fillId="6" borderId="82" xfId="9" applyNumberFormat="1" applyFont="1" applyFill="1" applyBorder="1" applyAlignment="1" applyProtection="1">
      <alignment vertical="center"/>
      <protection locked="0"/>
    </xf>
    <xf numFmtId="0" fontId="25" fillId="6" borderId="82" xfId="2" applyFont="1" applyFill="1" applyBorder="1" applyAlignment="1" applyProtection="1">
      <alignment vertical="center"/>
      <protection locked="0"/>
    </xf>
    <xf numFmtId="170" fontId="25" fillId="6" borderId="82" xfId="11" applyNumberFormat="1" applyFont="1" applyFill="1" applyBorder="1" applyAlignment="1" applyProtection="1">
      <alignment vertical="center" wrapText="1"/>
      <protection locked="0"/>
    </xf>
    <xf numFmtId="0" fontId="26" fillId="6" borderId="82" xfId="2" applyFont="1" applyFill="1" applyBorder="1" applyAlignment="1" applyProtection="1">
      <alignment vertical="center"/>
      <protection locked="0"/>
    </xf>
    <xf numFmtId="177" fontId="11" fillId="6" borderId="82" xfId="2" applyNumberFormat="1" applyFont="1" applyFill="1" applyBorder="1" applyAlignment="1" applyProtection="1">
      <alignment vertical="center"/>
      <protection locked="0"/>
    </xf>
    <xf numFmtId="0" fontId="11" fillId="6" borderId="82" xfId="2" applyNumberFormat="1" applyFont="1" applyFill="1" applyBorder="1" applyAlignment="1" applyProtection="1">
      <alignment vertical="center"/>
      <protection locked="0"/>
    </xf>
    <xf numFmtId="0" fontId="25" fillId="6" borderId="82" xfId="2" applyFont="1" applyFill="1" applyBorder="1" applyAlignment="1" applyProtection="1">
      <alignment horizontal="center" vertical="center" wrapText="1"/>
      <protection locked="0"/>
    </xf>
    <xf numFmtId="49" fontId="94" fillId="6" borderId="82" xfId="2" applyNumberFormat="1" applyFont="1" applyFill="1" applyBorder="1" applyAlignment="1" applyProtection="1">
      <alignment horizontal="center" vertical="center" wrapText="1"/>
      <protection locked="0"/>
    </xf>
    <xf numFmtId="0" fontId="39" fillId="6" borderId="82" xfId="0" applyFont="1" applyFill="1" applyBorder="1" applyAlignment="1" applyProtection="1">
      <alignment horizontal="left" vertical="top" wrapText="1"/>
      <protection locked="0"/>
    </xf>
    <xf numFmtId="0" fontId="6" fillId="0" borderId="0" xfId="0" applyFont="1" applyAlignment="1" applyProtection="1">
      <alignment vertical="center" wrapText="1"/>
    </xf>
    <xf numFmtId="0" fontId="1" fillId="0" borderId="0" xfId="0" applyFont="1" applyProtection="1"/>
    <xf numFmtId="0" fontId="11" fillId="0" borderId="0" xfId="0" applyFont="1" applyFill="1" applyBorder="1" applyAlignment="1" applyProtection="1">
      <alignment vertical="center"/>
    </xf>
    <xf numFmtId="0" fontId="39" fillId="0" borderId="0" xfId="0" applyFont="1" applyFill="1" applyBorder="1" applyAlignment="1" applyProtection="1">
      <alignment horizontal="center" vertical="center"/>
    </xf>
    <xf numFmtId="0" fontId="8" fillId="0" borderId="0" xfId="0" applyFont="1" applyBorder="1" applyAlignment="1" applyProtection="1">
      <alignment vertical="top"/>
    </xf>
    <xf numFmtId="0" fontId="8" fillId="0" borderId="0" xfId="0" applyFont="1" applyAlignment="1" applyProtection="1">
      <alignment vertical="center"/>
    </xf>
    <xf numFmtId="0" fontId="1" fillId="0" borderId="0" xfId="0" applyFont="1" applyAlignment="1" applyProtection="1">
      <alignment horizontal="center" vertical="center"/>
    </xf>
    <xf numFmtId="0" fontId="4" fillId="0" borderId="0" xfId="0" applyFont="1" applyAlignment="1" applyProtection="1">
      <alignment horizontal="center" vertical="center"/>
    </xf>
    <xf numFmtId="0" fontId="23" fillId="0" borderId="0" xfId="18" applyFont="1" applyAlignment="1" applyProtection="1">
      <alignment horizontal="left" vertical="center" wrapText="1"/>
    </xf>
    <xf numFmtId="0" fontId="66" fillId="0" borderId="0" xfId="18" applyAlignment="1" applyProtection="1">
      <alignment horizontal="left" vertical="center" wrapText="1"/>
    </xf>
    <xf numFmtId="0" fontId="11" fillId="0" borderId="0" xfId="2" applyFont="1" applyAlignment="1" applyProtection="1">
      <alignment horizontal="center" vertical="center"/>
    </xf>
    <xf numFmtId="0" fontId="30" fillId="0" borderId="0" xfId="2" applyFont="1" applyAlignment="1" applyProtection="1">
      <alignment horizontal="center" vertical="center"/>
    </xf>
    <xf numFmtId="0" fontId="11" fillId="0" borderId="0" xfId="2" applyFont="1" applyAlignment="1" applyProtection="1">
      <alignment horizontal="center" vertical="center" wrapText="1"/>
    </xf>
    <xf numFmtId="0" fontId="4" fillId="0" borderId="0" xfId="0" applyFont="1" applyAlignment="1" applyProtection="1">
      <alignment vertical="center" wrapText="1"/>
    </xf>
    <xf numFmtId="0" fontId="25" fillId="0" borderId="0" xfId="2" applyFont="1" applyFill="1" applyBorder="1" applyAlignment="1" applyProtection="1">
      <alignment horizontal="left" vertical="center" indent="1"/>
    </xf>
    <xf numFmtId="0" fontId="25" fillId="0" borderId="16" xfId="2" applyFont="1" applyFill="1" applyBorder="1" applyAlignment="1" applyProtection="1">
      <alignment horizontal="left" vertical="center" indent="1"/>
    </xf>
    <xf numFmtId="0" fontId="113" fillId="6" borderId="119" xfId="0" applyFont="1" applyFill="1" applyBorder="1" applyAlignment="1" applyProtection="1">
      <alignment horizontal="center" vertical="center"/>
      <protection locked="0"/>
    </xf>
    <xf numFmtId="0" fontId="39" fillId="5" borderId="16" xfId="0" applyFont="1" applyFill="1" applyBorder="1" applyAlignment="1" applyProtection="1">
      <alignment horizontal="left" vertical="center"/>
    </xf>
    <xf numFmtId="0" fontId="5" fillId="5" borderId="0" xfId="0" applyFont="1" applyFill="1" applyBorder="1" applyAlignment="1" applyProtection="1">
      <alignment vertical="center" wrapText="1"/>
    </xf>
    <xf numFmtId="0" fontId="5" fillId="5" borderId="0" xfId="0" applyFont="1" applyFill="1" applyAlignment="1" applyProtection="1">
      <alignment vertical="center" wrapText="1"/>
    </xf>
    <xf numFmtId="0" fontId="5" fillId="0" borderId="0" xfId="0" applyFont="1" applyAlignment="1" applyProtection="1">
      <alignment vertical="center" wrapText="1"/>
    </xf>
    <xf numFmtId="0" fontId="34" fillId="5" borderId="0" xfId="0" applyFont="1" applyFill="1" applyBorder="1" applyAlignment="1" applyProtection="1">
      <alignment vertical="top" wrapText="1"/>
    </xf>
    <xf numFmtId="0" fontId="34" fillId="0" borderId="0" xfId="0" applyFont="1" applyBorder="1" applyAlignment="1" applyProtection="1">
      <alignment vertical="top" wrapText="1"/>
    </xf>
    <xf numFmtId="0" fontId="5" fillId="0" borderId="0" xfId="0" applyFont="1" applyBorder="1" applyAlignment="1" applyProtection="1">
      <alignment vertical="center" wrapText="1"/>
    </xf>
    <xf numFmtId="0" fontId="24" fillId="5" borderId="0" xfId="0"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39" fillId="5" borderId="0" xfId="0" applyFont="1" applyFill="1" applyBorder="1" applyAlignment="1" applyProtection="1">
      <alignment horizontal="right" vertical="center" wrapText="1"/>
    </xf>
    <xf numFmtId="0" fontId="5" fillId="5" borderId="0" xfId="0" applyFont="1" applyFill="1" applyProtection="1"/>
    <xf numFmtId="0" fontId="34" fillId="8" borderId="5" xfId="0" applyFont="1" applyFill="1" applyBorder="1" applyAlignment="1" applyProtection="1">
      <alignment horizontal="center" vertical="center"/>
    </xf>
    <xf numFmtId="3" fontId="10" fillId="8" borderId="5" xfId="0" applyNumberFormat="1" applyFont="1" applyFill="1" applyBorder="1" applyAlignment="1" applyProtection="1">
      <alignment horizontal="center" vertical="center" wrapText="1"/>
    </xf>
    <xf numFmtId="0" fontId="10" fillId="8" borderId="5" xfId="0" applyFont="1" applyFill="1" applyBorder="1" applyAlignment="1" applyProtection="1">
      <alignment horizontal="center" vertical="center"/>
    </xf>
    <xf numFmtId="166" fontId="10" fillId="8" borderId="5" xfId="0" applyNumberFormat="1" applyFont="1" applyFill="1" applyBorder="1" applyAlignment="1" applyProtection="1">
      <alignment horizontal="center" vertical="center" wrapText="1"/>
    </xf>
    <xf numFmtId="0" fontId="1" fillId="4" borderId="3" xfId="0" applyFont="1" applyFill="1" applyBorder="1" applyAlignment="1" applyProtection="1">
      <alignment horizontal="center" vertical="center"/>
    </xf>
    <xf numFmtId="0" fontId="10" fillId="8" borderId="4" xfId="0" applyFont="1" applyFill="1" applyBorder="1" applyAlignment="1" applyProtection="1">
      <alignment horizontal="center" vertical="center" wrapText="1"/>
    </xf>
    <xf numFmtId="0" fontId="39" fillId="8" borderId="1" xfId="0" applyFont="1" applyFill="1" applyBorder="1" applyAlignment="1" applyProtection="1">
      <alignment horizontal="center" vertical="center" wrapText="1"/>
    </xf>
    <xf numFmtId="0" fontId="39" fillId="8" borderId="1" xfId="0" applyFont="1" applyFill="1" applyBorder="1" applyAlignment="1" applyProtection="1">
      <alignment horizontal="left" vertical="center" wrapText="1"/>
    </xf>
    <xf numFmtId="166" fontId="39" fillId="8" borderId="1" xfId="0" applyNumberFormat="1" applyFont="1" applyFill="1" applyBorder="1" applyAlignment="1" applyProtection="1">
      <alignment horizontal="center" vertical="center" wrapText="1"/>
    </xf>
    <xf numFmtId="0" fontId="39" fillId="8" borderId="4" xfId="0" applyFont="1" applyFill="1" applyBorder="1" applyAlignment="1" applyProtection="1">
      <alignment horizontal="center" vertical="center" wrapText="1"/>
    </xf>
    <xf numFmtId="0" fontId="39" fillId="8" borderId="6" xfId="0" applyFont="1" applyFill="1" applyBorder="1" applyAlignment="1" applyProtection="1">
      <alignment horizontal="center" vertical="center" wrapText="1"/>
    </xf>
    <xf numFmtId="0" fontId="39" fillId="8" borderId="107" xfId="0" applyFont="1" applyFill="1" applyBorder="1" applyAlignment="1" applyProtection="1">
      <alignment horizontal="center" vertical="center" wrapText="1"/>
    </xf>
    <xf numFmtId="0" fontId="39" fillId="8" borderId="18" xfId="0" applyFont="1" applyFill="1" applyBorder="1" applyAlignment="1" applyProtection="1">
      <alignment horizontal="center" vertical="center" wrapText="1"/>
    </xf>
    <xf numFmtId="0" fontId="39" fillId="8" borderId="18" xfId="0" applyFont="1" applyFill="1" applyBorder="1" applyAlignment="1" applyProtection="1">
      <alignment horizontal="left" vertical="center" wrapText="1"/>
    </xf>
    <xf numFmtId="166" fontId="39" fillId="8" borderId="18" xfId="0" applyNumberFormat="1" applyFont="1" applyFill="1" applyBorder="1" applyAlignment="1" applyProtection="1">
      <alignment horizontal="center" vertical="center" wrapText="1"/>
    </xf>
    <xf numFmtId="0" fontId="63" fillId="6" borderId="106" xfId="0" applyFont="1" applyFill="1" applyBorder="1" applyAlignment="1" applyProtection="1">
      <alignment horizontal="center" vertical="center"/>
      <protection locked="0"/>
    </xf>
    <xf numFmtId="0" fontId="63" fillId="6" borderId="107" xfId="0" applyFont="1" applyFill="1" applyBorder="1" applyAlignment="1" applyProtection="1">
      <alignment horizontal="center" vertical="center"/>
      <protection locked="0"/>
    </xf>
    <xf numFmtId="0" fontId="63" fillId="6" borderId="50" xfId="0" applyFont="1" applyFill="1" applyBorder="1" applyAlignment="1" applyProtection="1">
      <alignment horizontal="center" vertical="center"/>
      <protection locked="0"/>
    </xf>
    <xf numFmtId="0" fontId="63" fillId="6" borderId="51" xfId="0" applyFont="1" applyFill="1" applyBorder="1" applyAlignment="1" applyProtection="1">
      <alignment horizontal="center" vertical="center"/>
      <protection locked="0"/>
    </xf>
    <xf numFmtId="0" fontId="33" fillId="0" borderId="0" xfId="0" applyFont="1" applyBorder="1" applyAlignment="1" applyProtection="1">
      <alignment horizontal="center" vertical="top"/>
    </xf>
    <xf numFmtId="0" fontId="44" fillId="0" borderId="0" xfId="0" applyFont="1" applyAlignment="1" applyProtection="1">
      <alignment horizontal="center"/>
    </xf>
    <xf numFmtId="0" fontId="1" fillId="6" borderId="4" xfId="0" applyFont="1" applyFill="1" applyBorder="1" applyAlignment="1" applyProtection="1">
      <alignment horizontal="left" vertical="center" indent="1"/>
      <protection locked="0"/>
    </xf>
    <xf numFmtId="10" fontId="1" fillId="6" borderId="4" xfId="0" applyNumberFormat="1" applyFont="1" applyFill="1" applyBorder="1" applyAlignment="1" applyProtection="1">
      <alignment horizontal="right" vertical="center"/>
      <protection locked="0"/>
    </xf>
    <xf numFmtId="10" fontId="1" fillId="0" borderId="4" xfId="0" applyNumberFormat="1" applyFont="1" applyFill="1" applyBorder="1" applyAlignment="1" applyProtection="1">
      <alignment horizontal="right" vertical="center"/>
    </xf>
    <xf numFmtId="39" fontId="1" fillId="5" borderId="4" xfId="1" applyNumberFormat="1" applyFont="1" applyFill="1" applyBorder="1" applyAlignment="1" applyProtection="1">
      <alignment horizontal="right" vertical="center"/>
      <protection locked="0"/>
    </xf>
    <xf numFmtId="0" fontId="0" fillId="6" borderId="82" xfId="0" applyFill="1" applyBorder="1" applyProtection="1">
      <protection locked="0"/>
    </xf>
    <xf numFmtId="168" fontId="39" fillId="6" borderId="41" xfId="0" applyNumberFormat="1" applyFont="1" applyFill="1" applyBorder="1" applyAlignment="1" applyProtection="1">
      <alignment horizontal="right" vertical="center" wrapText="1"/>
      <protection locked="0"/>
    </xf>
    <xf numFmtId="168" fontId="39" fillId="0" borderId="42" xfId="0" applyNumberFormat="1" applyFont="1" applyFill="1" applyBorder="1" applyAlignment="1">
      <alignment horizontal="right" vertical="center" wrapText="1"/>
    </xf>
    <xf numFmtId="0" fontId="6" fillId="5" borderId="0" xfId="0" applyFont="1" applyFill="1" applyAlignment="1">
      <alignment vertical="center" wrapText="1"/>
    </xf>
    <xf numFmtId="39" fontId="1" fillId="5" borderId="0" xfId="1" applyNumberFormat="1" applyFont="1" applyFill="1" applyBorder="1" applyAlignment="1" applyProtection="1">
      <alignment horizontal="right" vertical="center"/>
      <protection locked="0"/>
    </xf>
    <xf numFmtId="3" fontId="25" fillId="0" borderId="119" xfId="2" applyNumberFormat="1" applyFont="1" applyFill="1" applyBorder="1" applyAlignment="1">
      <alignment horizontal="left" vertical="center" wrapText="1" indent="1"/>
    </xf>
    <xf numFmtId="164" fontId="25" fillId="0" borderId="119" xfId="10" applyNumberFormat="1" applyFont="1" applyFill="1" applyBorder="1" applyAlignment="1">
      <alignment horizontal="center" vertical="center"/>
    </xf>
    <xf numFmtId="0" fontId="11" fillId="4" borderId="119" xfId="2" applyFont="1" applyFill="1" applyBorder="1" applyAlignment="1">
      <alignment horizontal="center" vertical="center" wrapText="1"/>
    </xf>
    <xf numFmtId="49" fontId="11" fillId="4" borderId="119" xfId="2" applyNumberFormat="1" applyFont="1" applyFill="1" applyBorder="1" applyAlignment="1" applyProtection="1">
      <alignment horizontal="center" vertical="center" wrapText="1"/>
    </xf>
    <xf numFmtId="49" fontId="11" fillId="0" borderId="0" xfId="2" applyNumberFormat="1" applyFont="1" applyFill="1" applyBorder="1" applyAlignment="1">
      <alignment horizontal="center" vertical="center" wrapText="1"/>
    </xf>
    <xf numFmtId="0" fontId="11" fillId="0" borderId="0" xfId="2" applyFont="1" applyFill="1" applyBorder="1" applyAlignment="1">
      <alignment horizontal="center" vertical="center" wrapText="1"/>
    </xf>
    <xf numFmtId="3" fontId="11" fillId="5" borderId="0" xfId="2" applyNumberFormat="1" applyFont="1" applyFill="1" applyBorder="1" applyAlignment="1">
      <alignment horizontal="left" vertical="center" wrapText="1"/>
    </xf>
    <xf numFmtId="49" fontId="11" fillId="8" borderId="119" xfId="2" applyNumberFormat="1" applyFont="1" applyFill="1" applyBorder="1" applyAlignment="1">
      <alignment horizontal="center" vertical="center" wrapText="1"/>
    </xf>
    <xf numFmtId="0" fontId="25" fillId="6" borderId="119" xfId="2" applyFont="1" applyFill="1" applyBorder="1" applyAlignment="1" applyProtection="1">
      <alignment horizontal="center" vertical="center" wrapText="1"/>
      <protection locked="0"/>
    </xf>
    <xf numFmtId="49" fontId="24" fillId="0" borderId="0" xfId="2" applyNumberFormat="1" applyFont="1" applyFill="1" applyBorder="1" applyAlignment="1">
      <alignment horizontal="left" vertical="top"/>
    </xf>
    <xf numFmtId="0" fontId="24" fillId="0" borderId="0" xfId="2" applyFont="1" applyFill="1" applyBorder="1" applyAlignment="1">
      <alignment horizontal="left" vertical="top"/>
    </xf>
    <xf numFmtId="3" fontId="25" fillId="6" borderId="119" xfId="2" applyNumberFormat="1" applyFont="1" applyFill="1" applyBorder="1" applyAlignment="1" applyProtection="1">
      <alignment horizontal="left" vertical="center" wrapText="1"/>
      <protection locked="0"/>
    </xf>
    <xf numFmtId="49" fontId="11" fillId="4" borderId="119" xfId="2" applyNumberFormat="1" applyFont="1" applyFill="1" applyBorder="1" applyAlignment="1">
      <alignment horizontal="center" vertical="center" wrapText="1"/>
    </xf>
    <xf numFmtId="0" fontId="11" fillId="4" borderId="119" xfId="2" applyNumberFormat="1" applyFont="1" applyFill="1" applyBorder="1" applyAlignment="1">
      <alignment horizontal="center" vertical="center" wrapText="1"/>
    </xf>
    <xf numFmtId="0" fontId="11" fillId="5" borderId="0" xfId="2" applyFont="1" applyFill="1" applyBorder="1" applyAlignment="1">
      <alignment horizontal="left" vertical="center" wrapText="1"/>
    </xf>
    <xf numFmtId="0" fontId="11" fillId="0" borderId="0" xfId="2" applyFont="1" applyAlignment="1">
      <alignment horizontal="left" vertical="center"/>
    </xf>
    <xf numFmtId="49" fontId="11" fillId="8" borderId="119" xfId="2" applyNumberFormat="1" applyFont="1" applyFill="1" applyBorder="1" applyAlignment="1" applyProtection="1">
      <alignment horizontal="center" vertical="center" wrapText="1"/>
    </xf>
    <xf numFmtId="0" fontId="11" fillId="8" borderId="119" xfId="2" applyFont="1" applyFill="1" applyBorder="1" applyAlignment="1">
      <alignment horizontal="center" vertical="center" wrapText="1"/>
    </xf>
    <xf numFmtId="0" fontId="11" fillId="8" borderId="119" xfId="2" applyNumberFormat="1" applyFont="1" applyFill="1" applyBorder="1" applyAlignment="1">
      <alignment horizontal="center" vertical="center" wrapText="1"/>
    </xf>
    <xf numFmtId="0" fontId="97" fillId="8" borderId="119" xfId="0" applyFont="1" applyFill="1" applyBorder="1" applyAlignment="1">
      <alignment vertical="center"/>
    </xf>
    <xf numFmtId="0" fontId="11" fillId="5" borderId="0" xfId="2" applyNumberFormat="1" applyFont="1" applyFill="1" applyBorder="1" applyAlignment="1">
      <alignment horizontal="left" vertical="top" wrapText="1" indent="4"/>
    </xf>
    <xf numFmtId="0" fontId="11" fillId="5" borderId="0" xfId="2" applyNumberFormat="1" applyFont="1" applyFill="1" applyBorder="1" applyAlignment="1">
      <alignment horizontal="left" vertical="center" wrapText="1"/>
    </xf>
    <xf numFmtId="3" fontId="25" fillId="0" borderId="119" xfId="2" applyNumberFormat="1" applyFont="1" applyFill="1" applyBorder="1" applyAlignment="1">
      <alignment horizontal="left" vertical="center" indent="1"/>
    </xf>
    <xf numFmtId="0" fontId="25" fillId="5" borderId="0" xfId="2" applyNumberFormat="1" applyFont="1" applyFill="1" applyBorder="1" applyAlignment="1">
      <alignment horizontal="left" vertical="center" indent="1"/>
    </xf>
    <xf numFmtId="0" fontId="25" fillId="5" borderId="119" xfId="2" applyFont="1" applyFill="1" applyBorder="1" applyAlignment="1" applyProtection="1">
      <alignment vertical="center"/>
    </xf>
    <xf numFmtId="0" fontId="11" fillId="0" borderId="0" xfId="2" applyFont="1" applyFill="1" applyBorder="1" applyAlignment="1">
      <alignment horizontal="center" vertical="center"/>
    </xf>
    <xf numFmtId="0" fontId="11" fillId="0" borderId="0" xfId="0" applyFont="1" applyFill="1" applyBorder="1" applyAlignment="1">
      <alignment horizontal="left"/>
    </xf>
    <xf numFmtId="42" fontId="25" fillId="4" borderId="119" xfId="2" applyNumberFormat="1" applyFont="1" applyFill="1" applyBorder="1" applyAlignment="1">
      <alignment horizontal="center" vertical="center" wrapText="1"/>
    </xf>
    <xf numFmtId="3" fontId="11" fillId="0" borderId="0" xfId="2" applyNumberFormat="1" applyFont="1" applyFill="1" applyBorder="1" applyAlignment="1">
      <alignment horizontal="left" vertical="center" wrapText="1"/>
    </xf>
    <xf numFmtId="0" fontId="11" fillId="0" borderId="0" xfId="2" applyFont="1" applyBorder="1" applyAlignment="1">
      <alignment vertical="center" wrapText="1"/>
    </xf>
    <xf numFmtId="164" fontId="25" fillId="5" borderId="119" xfId="10" applyNumberFormat="1" applyFont="1" applyFill="1" applyBorder="1" applyAlignment="1">
      <alignment horizontal="center" vertical="center"/>
    </xf>
    <xf numFmtId="0" fontId="25" fillId="5" borderId="119" xfId="2" applyFont="1" applyFill="1" applyBorder="1" applyAlignment="1">
      <alignment horizontal="center" vertical="center"/>
    </xf>
    <xf numFmtId="0" fontId="0" fillId="6" borderId="0" xfId="0" applyFill="1" applyProtection="1">
      <protection locked="0"/>
    </xf>
    <xf numFmtId="0" fontId="39" fillId="0" borderId="43" xfId="0" applyFont="1" applyBorder="1" applyAlignment="1" applyProtection="1">
      <alignment horizontal="right" vertical="center" wrapText="1"/>
    </xf>
    <xf numFmtId="0" fontId="24" fillId="45" borderId="131" xfId="0" applyFont="1" applyFill="1" applyBorder="1" applyAlignment="1">
      <alignment horizontal="center" vertical="center" wrapText="1"/>
    </xf>
    <xf numFmtId="0" fontId="39" fillId="6" borderId="82" xfId="0" applyFont="1" applyFill="1" applyBorder="1" applyAlignment="1" applyProtection="1">
      <alignment vertical="center" wrapText="1"/>
      <protection locked="0"/>
    </xf>
    <xf numFmtId="0" fontId="8" fillId="6" borderId="82" xfId="0" applyFont="1" applyFill="1" applyBorder="1" applyAlignment="1" applyProtection="1">
      <alignment vertical="center" wrapText="1"/>
      <protection locked="0"/>
    </xf>
    <xf numFmtId="0" fontId="39" fillId="6" borderId="40" xfId="0" applyFont="1" applyFill="1" applyBorder="1" applyAlignment="1" applyProtection="1">
      <alignment horizontal="left" vertical="center" wrapText="1"/>
    </xf>
    <xf numFmtId="0" fontId="39" fillId="6" borderId="43" xfId="0" applyFont="1" applyFill="1" applyBorder="1" applyAlignment="1" applyProtection="1">
      <alignment horizontal="right" vertical="center" wrapText="1"/>
    </xf>
    <xf numFmtId="0" fontId="39" fillId="6" borderId="42" xfId="0" applyFont="1" applyFill="1" applyBorder="1" applyAlignment="1" applyProtection="1">
      <alignment horizontal="right" vertical="center" wrapText="1"/>
    </xf>
    <xf numFmtId="0" fontId="39" fillId="6" borderId="23" xfId="0" applyFont="1" applyFill="1" applyBorder="1" applyAlignment="1" applyProtection="1">
      <alignment horizontal="left" vertical="center" wrapText="1"/>
    </xf>
    <xf numFmtId="0" fontId="39" fillId="6" borderId="31" xfId="0" applyFont="1" applyFill="1" applyBorder="1" applyAlignment="1" applyProtection="1">
      <alignment horizontal="right" vertical="center" wrapText="1"/>
    </xf>
    <xf numFmtId="0" fontId="39" fillId="0" borderId="43" xfId="0" applyFont="1" applyBorder="1" applyAlignment="1">
      <alignment horizontal="right" vertical="center" wrapText="1"/>
    </xf>
    <xf numFmtId="0" fontId="39" fillId="6" borderId="41" xfId="0" applyFont="1" applyFill="1" applyBorder="1" applyAlignment="1" applyProtection="1">
      <alignment horizontal="right" vertical="center" wrapText="1"/>
    </xf>
    <xf numFmtId="0" fontId="114" fillId="45" borderId="131" xfId="0" applyFont="1" applyFill="1" applyBorder="1" applyAlignment="1">
      <alignment horizontal="center" vertical="center" wrapText="1"/>
    </xf>
    <xf numFmtId="0" fontId="5" fillId="6" borderId="82" xfId="0" applyFont="1" applyFill="1" applyBorder="1" applyAlignment="1" applyProtection="1">
      <alignment vertical="center" wrapText="1"/>
      <protection locked="0"/>
    </xf>
    <xf numFmtId="0" fontId="39" fillId="6" borderId="63" xfId="0" applyFont="1" applyFill="1" applyBorder="1" applyAlignment="1" applyProtection="1">
      <alignment horizontal="right" vertical="center" wrapText="1"/>
    </xf>
    <xf numFmtId="0" fontId="39" fillId="6" borderId="64" xfId="0" applyFont="1" applyFill="1" applyBorder="1" applyAlignment="1" applyProtection="1">
      <alignment horizontal="right" vertical="center" wrapText="1"/>
    </xf>
    <xf numFmtId="0" fontId="39" fillId="6" borderId="24" xfId="0" applyFont="1" applyFill="1" applyBorder="1" applyAlignment="1" applyProtection="1">
      <alignment horizontal="right" vertical="center" wrapText="1"/>
    </xf>
    <xf numFmtId="0" fontId="39" fillId="6" borderId="25" xfId="0" applyFont="1" applyFill="1" applyBorder="1" applyAlignment="1" applyProtection="1">
      <alignment horizontal="right" vertical="center" wrapText="1"/>
    </xf>
    <xf numFmtId="0" fontId="24" fillId="4" borderId="0" xfId="2" applyFont="1" applyFill="1" applyBorder="1" applyAlignment="1">
      <alignment vertical="center" wrapText="1"/>
    </xf>
    <xf numFmtId="0" fontId="24" fillId="4" borderId="0" xfId="2" applyFont="1" applyFill="1" applyAlignment="1">
      <alignment vertical="center" wrapText="1"/>
    </xf>
    <xf numFmtId="3" fontId="25" fillId="5" borderId="119" xfId="2" applyNumberFormat="1" applyFont="1" applyFill="1" applyBorder="1" applyAlignment="1" applyProtection="1">
      <alignment horizontal="left" vertical="center" wrapText="1"/>
    </xf>
    <xf numFmtId="0" fontId="25" fillId="5" borderId="0" xfId="2" applyNumberFormat="1" applyFont="1" applyFill="1" applyBorder="1" applyAlignment="1" applyProtection="1">
      <alignment horizontal="left" vertical="center" indent="1"/>
    </xf>
    <xf numFmtId="0" fontId="0" fillId="5" borderId="0" xfId="0" applyFill="1" applyBorder="1" applyProtection="1"/>
    <xf numFmtId="168" fontId="19" fillId="0" borderId="119" xfId="0" applyNumberFormat="1" applyFont="1" applyBorder="1" applyAlignment="1">
      <alignment horizontal="center" vertical="center"/>
    </xf>
    <xf numFmtId="164" fontId="25" fillId="9" borderId="119" xfId="10" applyNumberFormat="1" applyFont="1" applyFill="1" applyBorder="1" applyAlignment="1" applyProtection="1">
      <alignment horizontal="right" vertical="center"/>
    </xf>
    <xf numFmtId="3" fontId="25" fillId="0" borderId="119" xfId="2" applyNumberFormat="1" applyFont="1" applyFill="1" applyBorder="1" applyAlignment="1" applyProtection="1">
      <alignment horizontal="left" vertical="center" wrapText="1" indent="1"/>
    </xf>
    <xf numFmtId="164" fontId="25" fillId="0" borderId="119" xfId="10" applyNumberFormat="1" applyFont="1" applyFill="1" applyBorder="1" applyAlignment="1" applyProtection="1">
      <alignment horizontal="center" vertical="center"/>
    </xf>
    <xf numFmtId="2" fontId="39" fillId="6" borderId="138" xfId="0" applyNumberFormat="1" applyFont="1" applyFill="1" applyBorder="1" applyAlignment="1" applyProtection="1">
      <alignment horizontal="right" vertical="center" wrapText="1"/>
      <protection locked="0"/>
    </xf>
    <xf numFmtId="2" fontId="39" fillId="6" borderId="139" xfId="0" applyNumberFormat="1" applyFont="1" applyFill="1" applyBorder="1" applyAlignment="1" applyProtection="1">
      <alignment horizontal="right" vertical="center" wrapText="1"/>
      <protection locked="0"/>
    </xf>
    <xf numFmtId="4" fontId="25" fillId="6" borderId="24" xfId="2" applyNumberFormat="1" applyFont="1" applyFill="1" applyBorder="1" applyAlignment="1" applyProtection="1">
      <alignment horizontal="right" vertical="center"/>
      <protection locked="0"/>
    </xf>
    <xf numFmtId="4" fontId="25" fillId="6" borderId="25" xfId="2" applyNumberFormat="1" applyFont="1" applyFill="1" applyBorder="1" applyAlignment="1" applyProtection="1">
      <alignment horizontal="right" vertical="center"/>
      <protection locked="0"/>
    </xf>
    <xf numFmtId="0" fontId="25" fillId="5" borderId="173" xfId="2" applyFont="1" applyFill="1" applyBorder="1" applyAlignment="1" applyProtection="1">
      <alignment horizontal="left" vertical="center" indent="1"/>
    </xf>
    <xf numFmtId="3" fontId="25" fillId="6" borderId="175" xfId="2" applyNumberFormat="1" applyFont="1" applyFill="1" applyBorder="1" applyAlignment="1" applyProtection="1">
      <alignment horizontal="right" vertical="center"/>
      <protection locked="0"/>
    </xf>
    <xf numFmtId="3" fontId="25" fillId="6" borderId="176" xfId="2" applyNumberFormat="1" applyFont="1" applyFill="1" applyBorder="1" applyAlignment="1" applyProtection="1">
      <alignment horizontal="right" vertical="center"/>
      <protection locked="0"/>
    </xf>
    <xf numFmtId="3" fontId="25" fillId="5" borderId="177" xfId="2" applyNumberFormat="1" applyFont="1" applyFill="1" applyBorder="1" applyAlignment="1" applyProtection="1">
      <alignment horizontal="right" vertical="center"/>
    </xf>
    <xf numFmtId="165" fontId="25" fillId="5" borderId="178" xfId="2" applyNumberFormat="1" applyFont="1" applyFill="1" applyBorder="1" applyAlignment="1" applyProtection="1">
      <alignment horizontal="right" vertical="center"/>
    </xf>
    <xf numFmtId="165" fontId="25" fillId="5" borderId="179" xfId="2" applyNumberFormat="1" applyFont="1" applyFill="1" applyBorder="1" applyAlignment="1" applyProtection="1">
      <alignment horizontal="right" vertical="center"/>
    </xf>
    <xf numFmtId="0" fontId="25" fillId="5" borderId="27" xfId="2" applyFont="1" applyFill="1" applyBorder="1" applyAlignment="1" applyProtection="1">
      <alignment horizontal="left" vertical="center" indent="1"/>
    </xf>
    <xf numFmtId="0" fontId="25" fillId="5" borderId="28" xfId="2" applyFont="1" applyFill="1" applyBorder="1" applyAlignment="1" applyProtection="1">
      <alignment horizontal="left" vertical="center" indent="1"/>
    </xf>
    <xf numFmtId="3" fontId="25" fillId="6" borderId="28" xfId="2" applyNumberFormat="1" applyFont="1" applyFill="1" applyBorder="1" applyAlignment="1" applyProtection="1">
      <alignment horizontal="right" vertical="center"/>
      <protection locked="0"/>
    </xf>
    <xf numFmtId="165" fontId="25" fillId="6" borderId="28" xfId="2" applyNumberFormat="1" applyFont="1" applyFill="1" applyBorder="1" applyAlignment="1" applyProtection="1">
      <alignment horizontal="right" vertical="center"/>
      <protection locked="0"/>
    </xf>
    <xf numFmtId="165" fontId="25" fillId="6" borderId="29" xfId="2" applyNumberFormat="1" applyFont="1" applyFill="1" applyBorder="1" applyAlignment="1" applyProtection="1">
      <alignment horizontal="right" vertical="center"/>
      <protection locked="0"/>
    </xf>
    <xf numFmtId="0" fontId="104" fillId="8" borderId="3" xfId="2" applyFont="1" applyFill="1" applyBorder="1" applyAlignment="1" applyProtection="1">
      <alignment horizontal="left" vertical="center" indent="1"/>
    </xf>
    <xf numFmtId="0" fontId="25" fillId="8" borderId="3" xfId="2" applyFont="1" applyFill="1" applyBorder="1" applyAlignment="1" applyProtection="1">
      <alignment horizontal="left" vertical="center" indent="1"/>
    </xf>
    <xf numFmtId="3" fontId="25" fillId="8" borderId="180" xfId="2" applyNumberFormat="1" applyFont="1" applyFill="1" applyBorder="1" applyAlignment="1" applyProtection="1">
      <alignment horizontal="right" vertical="center"/>
    </xf>
    <xf numFmtId="3" fontId="25" fillId="8" borderId="181" xfId="2" applyNumberFormat="1" applyFont="1" applyFill="1" applyBorder="1" applyAlignment="1" applyProtection="1">
      <alignment horizontal="right" vertical="center"/>
    </xf>
    <xf numFmtId="3" fontId="25" fillId="8" borderId="182" xfId="2" applyNumberFormat="1" applyFont="1" applyFill="1" applyBorder="1" applyAlignment="1" applyProtection="1">
      <alignment horizontal="right" vertical="center"/>
    </xf>
    <xf numFmtId="3" fontId="25" fillId="8" borderId="16" xfId="2" applyNumberFormat="1" applyFont="1" applyFill="1" applyBorder="1" applyAlignment="1" applyProtection="1">
      <alignment horizontal="right" vertical="center"/>
    </xf>
    <xf numFmtId="165" fontId="25" fillId="8" borderId="27" xfId="2" applyNumberFormat="1" applyFont="1" applyFill="1" applyBorder="1" applyAlignment="1" applyProtection="1">
      <alignment horizontal="right" vertical="center"/>
    </xf>
    <xf numFmtId="165" fontId="25" fillId="8" borderId="29" xfId="2" applyNumberFormat="1" applyFont="1" applyFill="1" applyBorder="1" applyAlignment="1" applyProtection="1">
      <alignment horizontal="right" vertical="center"/>
    </xf>
    <xf numFmtId="0" fontId="25" fillId="6" borderId="1" xfId="2" applyFont="1" applyFill="1" applyBorder="1" applyAlignment="1" applyProtection="1">
      <alignment horizontal="left" vertical="center" indent="1"/>
      <protection locked="0"/>
    </xf>
    <xf numFmtId="3" fontId="25" fillId="6" borderId="133" xfId="2" applyNumberFormat="1" applyFont="1" applyFill="1" applyBorder="1" applyAlignment="1" applyProtection="1">
      <alignment horizontal="right" vertical="center"/>
      <protection locked="0"/>
    </xf>
    <xf numFmtId="3" fontId="25" fillId="6" borderId="134" xfId="2" applyNumberFormat="1" applyFont="1" applyFill="1" applyBorder="1" applyAlignment="1" applyProtection="1">
      <alignment horizontal="right" vertical="center"/>
      <protection locked="0"/>
    </xf>
    <xf numFmtId="3" fontId="25" fillId="6" borderId="135" xfId="2" applyNumberFormat="1" applyFont="1" applyFill="1" applyBorder="1" applyAlignment="1" applyProtection="1">
      <alignment horizontal="right" vertical="center"/>
      <protection locked="0"/>
    </xf>
    <xf numFmtId="3" fontId="25" fillId="6" borderId="0" xfId="2" applyNumberFormat="1" applyFont="1" applyFill="1" applyBorder="1" applyAlignment="1" applyProtection="1">
      <alignment horizontal="right" vertical="center"/>
      <protection locked="0"/>
    </xf>
    <xf numFmtId="165" fontId="25" fillId="6" borderId="62" xfId="2" applyNumberFormat="1" applyFont="1" applyFill="1" applyBorder="1" applyAlignment="1" applyProtection="1">
      <alignment horizontal="right" vertical="center"/>
      <protection locked="0"/>
    </xf>
    <xf numFmtId="165" fontId="25" fillId="6" borderId="72" xfId="2" applyNumberFormat="1" applyFont="1" applyFill="1" applyBorder="1" applyAlignment="1" applyProtection="1">
      <alignment horizontal="right" vertical="center"/>
      <protection locked="0"/>
    </xf>
    <xf numFmtId="0" fontId="25" fillId="6" borderId="41" xfId="2" applyFont="1" applyFill="1" applyBorder="1" applyAlignment="1" applyProtection="1">
      <alignment horizontal="left" vertical="center" indent="1"/>
      <protection locked="0"/>
    </xf>
    <xf numFmtId="3" fontId="25" fillId="6" borderId="41" xfId="2" applyNumberFormat="1" applyFont="1" applyFill="1" applyBorder="1" applyAlignment="1" applyProtection="1">
      <alignment horizontal="right" vertical="center"/>
      <protection locked="0"/>
    </xf>
    <xf numFmtId="165" fontId="25" fillId="6" borderId="41" xfId="2" applyNumberFormat="1" applyFont="1" applyFill="1" applyBorder="1" applyAlignment="1" applyProtection="1">
      <alignment horizontal="right" vertical="center"/>
      <protection locked="0"/>
    </xf>
    <xf numFmtId="0" fontId="0" fillId="7" borderId="0" xfId="0" applyFill="1"/>
    <xf numFmtId="0" fontId="1" fillId="5" borderId="0" xfId="0" applyFont="1" applyFill="1"/>
    <xf numFmtId="0" fontId="1" fillId="5" borderId="0" xfId="0" applyFont="1" applyFill="1" applyAlignment="1">
      <alignment vertical="center"/>
    </xf>
    <xf numFmtId="0" fontId="1" fillId="4" borderId="4" xfId="0" quotePrefix="1" applyFont="1" applyFill="1" applyBorder="1" applyAlignment="1">
      <alignment horizontal="center" vertical="center" wrapText="1"/>
    </xf>
    <xf numFmtId="1" fontId="1" fillId="6" borderId="136" xfId="9" applyNumberFormat="1" applyFont="1" applyFill="1" applyBorder="1" applyAlignment="1" applyProtection="1">
      <alignment vertical="center"/>
      <protection locked="0"/>
    </xf>
    <xf numFmtId="9" fontId="1" fillId="5" borderId="0" xfId="9" applyFont="1" applyFill="1" applyBorder="1" applyAlignment="1">
      <alignment vertical="center"/>
    </xf>
    <xf numFmtId="2" fontId="1" fillId="5" borderId="0" xfId="0" applyNumberFormat="1" applyFont="1" applyFill="1" applyBorder="1" applyAlignment="1">
      <alignment vertical="center"/>
    </xf>
    <xf numFmtId="3" fontId="1" fillId="5" borderId="0" xfId="0" applyNumberFormat="1" applyFont="1" applyFill="1" applyBorder="1" applyAlignment="1">
      <alignment vertical="center"/>
    </xf>
    <xf numFmtId="1" fontId="1" fillId="6" borderId="136" xfId="0" applyNumberFormat="1" applyFont="1" applyFill="1" applyBorder="1" applyAlignment="1" applyProtection="1">
      <alignment vertical="center"/>
      <protection locked="0"/>
    </xf>
    <xf numFmtId="0" fontId="1" fillId="5" borderId="0" xfId="0" applyFont="1" applyFill="1" applyBorder="1" applyAlignment="1">
      <alignment vertical="center"/>
    </xf>
    <xf numFmtId="1" fontId="1" fillId="6" borderId="137" xfId="0" applyNumberFormat="1" applyFont="1" applyFill="1" applyBorder="1" applyAlignment="1" applyProtection="1">
      <alignment vertical="center"/>
      <protection locked="0"/>
    </xf>
    <xf numFmtId="1" fontId="1" fillId="5" borderId="4" xfId="0" applyNumberFormat="1" applyFont="1" applyFill="1" applyBorder="1" applyAlignment="1">
      <alignment vertical="center"/>
    </xf>
    <xf numFmtId="1" fontId="1" fillId="5" borderId="0" xfId="0" applyNumberFormat="1" applyFont="1" applyFill="1" applyBorder="1" applyAlignment="1">
      <alignment vertical="center"/>
    </xf>
    <xf numFmtId="0" fontId="34" fillId="5" borderId="0" xfId="0" applyFont="1" applyFill="1" applyBorder="1" applyAlignment="1">
      <alignment vertical="center"/>
    </xf>
    <xf numFmtId="0" fontId="29" fillId="5" borderId="0" xfId="0" applyFont="1" applyFill="1" applyBorder="1" applyAlignment="1">
      <alignment vertical="center"/>
    </xf>
    <xf numFmtId="0" fontId="1" fillId="5" borderId="1" xfId="0" applyFont="1" applyFill="1" applyBorder="1" applyAlignment="1" applyProtection="1">
      <alignment vertical="center"/>
      <protection locked="0"/>
    </xf>
    <xf numFmtId="0" fontId="1" fillId="5" borderId="0" xfId="0" applyFont="1" applyFill="1" applyBorder="1" applyAlignment="1" applyProtection="1">
      <alignment vertical="center"/>
      <protection locked="0"/>
    </xf>
    <xf numFmtId="0" fontId="1" fillId="5" borderId="0" xfId="0" applyFont="1" applyFill="1" applyAlignment="1">
      <alignment vertical="center" wrapText="1"/>
    </xf>
    <xf numFmtId="0" fontId="39" fillId="6" borderId="119" xfId="0" applyFont="1" applyFill="1" applyBorder="1" applyAlignment="1" applyProtection="1">
      <alignment horizontal="left" vertical="center" wrapText="1"/>
      <protection locked="0"/>
    </xf>
    <xf numFmtId="0" fontId="11" fillId="4" borderId="55" xfId="0" applyFont="1" applyFill="1" applyBorder="1" applyAlignment="1">
      <alignment horizontal="center" vertical="center" wrapText="1"/>
    </xf>
    <xf numFmtId="0" fontId="25" fillId="6" borderId="119" xfId="0" applyFont="1" applyFill="1" applyBorder="1" applyAlignment="1" applyProtection="1">
      <alignment horizontal="left" vertical="center" wrapText="1"/>
      <protection locked="0"/>
    </xf>
    <xf numFmtId="0" fontId="11" fillId="4" borderId="37" xfId="0" applyFont="1" applyFill="1" applyBorder="1" applyAlignment="1">
      <alignment horizontal="center" vertical="center" wrapText="1"/>
    </xf>
    <xf numFmtId="0" fontId="11" fillId="4" borderId="100" xfId="0" applyFont="1" applyFill="1" applyBorder="1" applyAlignment="1">
      <alignment horizontal="center" vertical="center" wrapText="1"/>
    </xf>
    <xf numFmtId="0" fontId="39" fillId="6" borderId="41" xfId="0" applyFont="1" applyFill="1" applyBorder="1" applyAlignment="1" applyProtection="1">
      <alignment horizontal="center" vertical="center" wrapText="1"/>
      <protection locked="0"/>
    </xf>
    <xf numFmtId="0" fontId="39" fillId="6" borderId="24" xfId="0" applyFont="1" applyFill="1" applyBorder="1" applyAlignment="1" applyProtection="1">
      <alignment horizontal="center" vertical="center" wrapText="1"/>
      <protection locked="0"/>
    </xf>
    <xf numFmtId="0" fontId="1" fillId="8" borderId="23" xfId="0" applyFont="1" applyFill="1" applyBorder="1" applyAlignment="1">
      <alignment horizontal="center" vertical="center" wrapText="1"/>
    </xf>
    <xf numFmtId="0" fontId="1" fillId="8" borderId="25" xfId="0" applyFont="1" applyFill="1" applyBorder="1" applyAlignment="1">
      <alignment horizontal="center" vertical="center" wrapText="1"/>
    </xf>
    <xf numFmtId="0" fontId="11" fillId="8" borderId="23" xfId="2" applyFont="1" applyFill="1" applyBorder="1" applyAlignment="1" applyProtection="1">
      <alignment horizontal="center" vertical="center" wrapText="1"/>
    </xf>
    <xf numFmtId="0" fontId="39" fillId="6" borderId="41" xfId="0" applyFont="1" applyFill="1" applyBorder="1" applyAlignment="1" applyProtection="1">
      <alignment horizontal="center" vertical="center" wrapText="1"/>
      <protection locked="0"/>
    </xf>
    <xf numFmtId="0" fontId="39" fillId="6" borderId="24" xfId="0" applyFont="1" applyFill="1" applyBorder="1" applyAlignment="1" applyProtection="1">
      <alignment horizontal="center" vertical="center" wrapText="1"/>
      <protection locked="0"/>
    </xf>
    <xf numFmtId="0" fontId="39" fillId="5" borderId="41" xfId="0" applyFont="1" applyFill="1" applyBorder="1" applyAlignment="1" applyProtection="1">
      <alignment horizontal="center" vertical="center" wrapText="1"/>
    </xf>
    <xf numFmtId="0" fontId="39" fillId="6" borderId="41" xfId="0" applyFont="1" applyFill="1" applyBorder="1" applyAlignment="1" applyProtection="1">
      <alignment horizontal="center" vertical="center"/>
      <protection locked="0"/>
    </xf>
    <xf numFmtId="168" fontId="25" fillId="5" borderId="119" xfId="2" applyNumberFormat="1" applyFont="1" applyFill="1" applyBorder="1" applyAlignment="1">
      <alignment horizontal="right" vertical="center"/>
    </xf>
    <xf numFmtId="0" fontId="1" fillId="4" borderId="6" xfId="0" quotePrefix="1" applyFont="1" applyFill="1" applyBorder="1" applyAlignment="1">
      <alignment horizontal="center" vertical="center"/>
    </xf>
    <xf numFmtId="0" fontId="1" fillId="4" borderId="6" xfId="0" applyFont="1" applyFill="1" applyBorder="1" applyAlignment="1">
      <alignment horizontal="center" vertical="center"/>
    </xf>
    <xf numFmtId="0" fontId="0" fillId="5" borderId="0" xfId="0" applyFill="1" applyAlignment="1">
      <alignment horizontal="center" vertical="center"/>
    </xf>
    <xf numFmtId="3" fontId="1" fillId="5" borderId="45" xfId="0" applyNumberFormat="1" applyFont="1" applyFill="1" applyBorder="1" applyAlignment="1">
      <alignment vertical="center"/>
    </xf>
    <xf numFmtId="0" fontId="1" fillId="5" borderId="20" xfId="0" applyFont="1" applyFill="1" applyBorder="1" applyAlignment="1">
      <alignment vertical="center"/>
    </xf>
    <xf numFmtId="1" fontId="1" fillId="6" borderId="21" xfId="9" applyNumberFormat="1" applyFont="1" applyFill="1" applyBorder="1" applyAlignment="1" applyProtection="1">
      <alignment horizontal="center" vertical="center"/>
      <protection locked="0"/>
    </xf>
    <xf numFmtId="2" fontId="1" fillId="5" borderId="21" xfId="0" applyNumberFormat="1" applyFont="1" applyFill="1" applyBorder="1" applyAlignment="1">
      <alignment vertical="center"/>
    </xf>
    <xf numFmtId="3" fontId="1" fillId="5" borderId="22" xfId="0" applyNumberFormat="1" applyFont="1" applyFill="1" applyBorder="1" applyAlignment="1">
      <alignment vertical="center"/>
    </xf>
    <xf numFmtId="0" fontId="1" fillId="5" borderId="40" xfId="0" applyFont="1" applyFill="1" applyBorder="1" applyAlignment="1">
      <alignment vertical="center"/>
    </xf>
    <xf numFmtId="1" fontId="1" fillId="6" borderId="41" xfId="9" applyNumberFormat="1" applyFont="1" applyFill="1" applyBorder="1" applyAlignment="1" applyProtection="1">
      <alignment horizontal="center" vertical="center"/>
      <protection locked="0"/>
    </xf>
    <xf numFmtId="2" fontId="1" fillId="5" borderId="41" xfId="0" applyNumberFormat="1" applyFont="1" applyFill="1" applyBorder="1" applyAlignment="1">
      <alignment vertical="center"/>
    </xf>
    <xf numFmtId="3" fontId="1" fillId="5" borderId="42" xfId="0" applyNumberFormat="1" applyFont="1" applyFill="1" applyBorder="1" applyAlignment="1">
      <alignment vertical="center"/>
    </xf>
    <xf numFmtId="0" fontId="1" fillId="5" borderId="23" xfId="0" applyFont="1" applyFill="1" applyBorder="1" applyAlignment="1">
      <alignment vertical="center"/>
    </xf>
    <xf numFmtId="1" fontId="1" fillId="6" borderId="24" xfId="9" applyNumberFormat="1" applyFont="1" applyFill="1" applyBorder="1" applyAlignment="1" applyProtection="1">
      <alignment horizontal="center" vertical="center"/>
      <protection locked="0"/>
    </xf>
    <xf numFmtId="2" fontId="1" fillId="5" borderId="24" xfId="0" applyNumberFormat="1" applyFont="1" applyFill="1" applyBorder="1" applyAlignment="1">
      <alignment vertical="center"/>
    </xf>
    <xf numFmtId="3" fontId="1" fillId="5" borderId="25" xfId="0" applyNumberFormat="1" applyFont="1" applyFill="1" applyBorder="1" applyAlignment="1">
      <alignment vertical="center"/>
    </xf>
    <xf numFmtId="9" fontId="1" fillId="6" borderId="21" xfId="9" applyFont="1" applyFill="1" applyBorder="1" applyAlignment="1" applyProtection="1">
      <alignment horizontal="center" vertical="center"/>
      <protection locked="0"/>
    </xf>
    <xf numFmtId="0" fontId="1" fillId="6" borderId="41" xfId="0" applyFont="1" applyFill="1" applyBorder="1" applyAlignment="1" applyProtection="1">
      <alignment horizontal="center" vertical="center"/>
      <protection locked="0"/>
    </xf>
    <xf numFmtId="0" fontId="1" fillId="6" borderId="24" xfId="0" applyFont="1" applyFill="1" applyBorder="1" applyAlignment="1" applyProtection="1">
      <alignment horizontal="center" vertical="center"/>
      <protection locked="0"/>
    </xf>
    <xf numFmtId="0" fontId="1" fillId="4" borderId="20" xfId="0" applyFont="1" applyFill="1" applyBorder="1" applyAlignment="1">
      <alignment vertical="center"/>
    </xf>
    <xf numFmtId="9" fontId="1" fillId="6" borderId="21" xfId="9" applyFont="1" applyFill="1" applyBorder="1" applyAlignment="1" applyProtection="1">
      <alignment vertical="center"/>
      <protection locked="0"/>
    </xf>
    <xf numFmtId="0" fontId="1" fillId="4" borderId="40" xfId="0" applyFont="1" applyFill="1" applyBorder="1" applyAlignment="1">
      <alignment vertical="center"/>
    </xf>
    <xf numFmtId="9" fontId="1" fillId="6" borderId="41" xfId="9" applyFont="1" applyFill="1" applyBorder="1" applyAlignment="1" applyProtection="1">
      <alignment vertical="center"/>
      <protection locked="0"/>
    </xf>
    <xf numFmtId="0" fontId="1" fillId="4" borderId="23" xfId="0" applyFont="1" applyFill="1" applyBorder="1" applyAlignment="1">
      <alignment vertical="center"/>
    </xf>
    <xf numFmtId="9" fontId="1" fillId="6" borderId="24" xfId="9" applyFont="1" applyFill="1" applyBorder="1" applyAlignment="1" applyProtection="1">
      <alignment vertical="center"/>
      <protection locked="0"/>
    </xf>
    <xf numFmtId="165" fontId="1" fillId="5" borderId="21" xfId="9" applyNumberFormat="1" applyFont="1" applyFill="1" applyBorder="1" applyAlignment="1">
      <alignment vertical="center"/>
    </xf>
    <xf numFmtId="165" fontId="1" fillId="5" borderId="24" xfId="9" applyNumberFormat="1" applyFont="1" applyFill="1" applyBorder="1" applyAlignment="1">
      <alignment vertical="center"/>
    </xf>
    <xf numFmtId="164" fontId="1" fillId="5" borderId="21" xfId="9" applyNumberFormat="1" applyFont="1" applyFill="1" applyBorder="1" applyAlignment="1">
      <alignment vertical="center"/>
    </xf>
    <xf numFmtId="164" fontId="1" fillId="5" borderId="41" xfId="9" applyNumberFormat="1" applyFont="1" applyFill="1" applyBorder="1" applyAlignment="1">
      <alignment vertical="center"/>
    </xf>
    <xf numFmtId="164" fontId="1" fillId="5" borderId="24" xfId="9" applyNumberFormat="1" applyFont="1" applyFill="1" applyBorder="1" applyAlignment="1">
      <alignment vertical="center"/>
    </xf>
    <xf numFmtId="9" fontId="1" fillId="5" borderId="21" xfId="9" applyFont="1" applyFill="1" applyBorder="1" applyAlignment="1">
      <alignment vertical="center"/>
    </xf>
    <xf numFmtId="9" fontId="1" fillId="5" borderId="41" xfId="9" applyFont="1" applyFill="1" applyBorder="1" applyAlignment="1">
      <alignment vertical="center"/>
    </xf>
    <xf numFmtId="9" fontId="1" fillId="5" borderId="24" xfId="9" applyFont="1" applyFill="1" applyBorder="1" applyAlignment="1">
      <alignment vertical="center"/>
    </xf>
    <xf numFmtId="1" fontId="1" fillId="5" borderId="21" xfId="9" applyNumberFormat="1" applyFont="1" applyFill="1" applyBorder="1" applyAlignment="1">
      <alignment vertical="center"/>
    </xf>
    <xf numFmtId="1" fontId="1" fillId="5" borderId="41" xfId="9" applyNumberFormat="1" applyFont="1" applyFill="1" applyBorder="1" applyAlignment="1">
      <alignment vertical="center"/>
    </xf>
    <xf numFmtId="1" fontId="1" fillId="5" borderId="24" xfId="9" applyNumberFormat="1" applyFont="1" applyFill="1" applyBorder="1" applyAlignment="1">
      <alignment vertical="center"/>
    </xf>
    <xf numFmtId="0" fontId="116" fillId="5" borderId="0" xfId="0" applyFont="1" applyFill="1" applyAlignment="1">
      <alignment vertical="center"/>
    </xf>
    <xf numFmtId="0" fontId="11" fillId="4" borderId="57" xfId="0" applyFont="1" applyFill="1" applyBorder="1" applyAlignment="1">
      <alignment horizontal="center" vertical="center" wrapText="1"/>
    </xf>
    <xf numFmtId="0" fontId="24" fillId="45" borderId="123" xfId="0" applyFont="1" applyFill="1" applyBorder="1" applyAlignment="1">
      <alignment horizontal="center" vertical="center" wrapText="1"/>
    </xf>
    <xf numFmtId="0" fontId="114" fillId="45" borderId="123" xfId="0" applyFont="1" applyFill="1" applyBorder="1" applyAlignment="1">
      <alignment horizontal="center" vertical="center" wrapText="1"/>
    </xf>
    <xf numFmtId="0" fontId="1" fillId="4" borderId="13" xfId="0" applyFont="1" applyFill="1" applyBorder="1" applyAlignment="1">
      <alignment horizontal="left" vertical="center" indent="1"/>
    </xf>
    <xf numFmtId="0" fontId="1" fillId="5" borderId="20" xfId="0" applyFont="1" applyFill="1" applyBorder="1" applyAlignment="1">
      <alignment horizontal="left" vertical="center" indent="1"/>
    </xf>
    <xf numFmtId="0" fontId="1" fillId="5" borderId="40" xfId="0" applyFont="1" applyFill="1" applyBorder="1" applyAlignment="1">
      <alignment horizontal="left" vertical="center" indent="1"/>
    </xf>
    <xf numFmtId="0" fontId="1" fillId="5" borderId="23" xfId="0" applyFont="1" applyFill="1" applyBorder="1" applyAlignment="1">
      <alignment horizontal="left" vertical="center" indent="1"/>
    </xf>
    <xf numFmtId="0" fontId="1" fillId="5" borderId="4" xfId="0" applyFont="1" applyFill="1" applyBorder="1" applyAlignment="1">
      <alignment horizontal="center" vertical="center" wrapText="1"/>
    </xf>
    <xf numFmtId="0" fontId="44" fillId="0" borderId="0" xfId="0" applyFont="1" applyAlignment="1">
      <alignment vertical="center"/>
    </xf>
    <xf numFmtId="0" fontId="24" fillId="0" borderId="0" xfId="0" applyFont="1" applyBorder="1" applyAlignment="1">
      <alignment vertical="center" wrapText="1"/>
    </xf>
    <xf numFmtId="0" fontId="24" fillId="5" borderId="0" xfId="0" applyFont="1" applyFill="1" applyBorder="1" applyAlignment="1" applyProtection="1">
      <alignment vertical="center" wrapText="1"/>
    </xf>
    <xf numFmtId="0" fontId="24" fillId="0" borderId="0" xfId="0" applyFont="1" applyBorder="1" applyAlignment="1" applyProtection="1">
      <alignment vertical="center" wrapText="1"/>
    </xf>
    <xf numFmtId="0" fontId="39" fillId="0" borderId="50" xfId="0" applyFont="1" applyFill="1" applyBorder="1" applyAlignment="1">
      <alignment horizontal="left" vertical="center" wrapText="1" indent="1"/>
    </xf>
    <xf numFmtId="0" fontId="39" fillId="0" borderId="51" xfId="0" applyFont="1" applyFill="1" applyBorder="1" applyAlignment="1">
      <alignment horizontal="left" vertical="center" wrapText="1" indent="1"/>
    </xf>
    <xf numFmtId="0" fontId="39" fillId="0" borderId="107" xfId="0" applyFont="1" applyFill="1" applyBorder="1" applyAlignment="1">
      <alignment horizontal="left" vertical="center" wrapText="1" indent="1"/>
    </xf>
    <xf numFmtId="3" fontId="39" fillId="6" borderId="20" xfId="0" applyNumberFormat="1" applyFont="1" applyFill="1" applyBorder="1" applyAlignment="1" applyProtection="1">
      <alignment horizontal="right" vertical="center" wrapText="1"/>
      <protection locked="0"/>
    </xf>
    <xf numFmtId="3" fontId="39" fillId="6" borderId="40" xfId="0" applyNumberFormat="1" applyFont="1" applyFill="1" applyBorder="1" applyAlignment="1" applyProtection="1">
      <alignment horizontal="right" vertical="center" wrapText="1"/>
      <protection locked="0"/>
    </xf>
    <xf numFmtId="164" fontId="39" fillId="0" borderId="41" xfId="0" applyNumberFormat="1" applyFont="1" applyFill="1" applyBorder="1" applyAlignment="1">
      <alignment horizontal="center" vertical="center" wrapText="1"/>
    </xf>
    <xf numFmtId="164" fontId="39" fillId="0" borderId="42" xfId="0" applyNumberFormat="1" applyFont="1" applyFill="1" applyBorder="1" applyAlignment="1">
      <alignment horizontal="center" vertical="center" wrapText="1"/>
    </xf>
    <xf numFmtId="3" fontId="39" fillId="6" borderId="23" xfId="0" applyNumberFormat="1" applyFont="1" applyFill="1" applyBorder="1" applyAlignment="1" applyProtection="1">
      <alignment horizontal="right" vertical="center" wrapText="1"/>
      <protection locked="0"/>
    </xf>
    <xf numFmtId="3" fontId="39" fillId="6" borderId="24" xfId="0" applyNumberFormat="1" applyFont="1" applyFill="1" applyBorder="1" applyAlignment="1" applyProtection="1">
      <alignment horizontal="right" vertical="center" wrapText="1"/>
      <protection locked="0"/>
    </xf>
    <xf numFmtId="164" fontId="39" fillId="0" borderId="24" xfId="0" applyNumberFormat="1" applyFont="1" applyFill="1" applyBorder="1" applyAlignment="1">
      <alignment horizontal="center" vertical="center" wrapText="1"/>
    </xf>
    <xf numFmtId="164" fontId="39" fillId="0" borderId="25" xfId="0" applyNumberFormat="1" applyFont="1" applyFill="1" applyBorder="1" applyAlignment="1">
      <alignment horizontal="center" vertical="center" wrapText="1"/>
    </xf>
    <xf numFmtId="2" fontId="39" fillId="5" borderId="139" xfId="0" applyNumberFormat="1" applyFont="1" applyFill="1" applyBorder="1" applyAlignment="1" applyProtection="1">
      <alignment horizontal="left" vertical="center" wrapText="1" indent="1"/>
    </xf>
    <xf numFmtId="0" fontId="11" fillId="8" borderId="57" xfId="0" applyFont="1" applyFill="1" applyBorder="1" applyAlignment="1">
      <alignment horizontal="center" vertical="center" wrapText="1"/>
    </xf>
    <xf numFmtId="0" fontId="11" fillId="8" borderId="37" xfId="0" applyFont="1" applyFill="1" applyBorder="1" applyAlignment="1">
      <alignment horizontal="center" vertical="center" wrapText="1"/>
    </xf>
    <xf numFmtId="0" fontId="11" fillId="8" borderId="55"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39" fillId="6" borderId="186" xfId="0" applyFont="1" applyFill="1" applyBorder="1" applyAlignment="1" applyProtection="1">
      <alignment horizontal="left" vertical="center" wrapText="1"/>
      <protection locked="0"/>
    </xf>
    <xf numFmtId="0" fontId="39" fillId="6" borderId="187" xfId="0" applyFont="1" applyFill="1" applyBorder="1" applyAlignment="1" applyProtection="1">
      <alignment horizontal="left" vertical="center" wrapText="1"/>
      <protection locked="0"/>
    </xf>
    <xf numFmtId="0" fontId="39" fillId="8" borderId="188" xfId="0" applyFont="1" applyFill="1" applyBorder="1" applyAlignment="1">
      <alignment vertical="center" wrapText="1"/>
    </xf>
    <xf numFmtId="0" fontId="39" fillId="6" borderId="189" xfId="0" applyFont="1" applyFill="1" applyBorder="1" applyAlignment="1" applyProtection="1">
      <alignment horizontal="left" vertical="center" wrapText="1"/>
      <protection locked="0"/>
    </xf>
    <xf numFmtId="0" fontId="39" fillId="6" borderId="189" xfId="0" applyFont="1" applyFill="1" applyBorder="1" applyAlignment="1" applyProtection="1">
      <alignment horizontal="right" vertical="center" wrapText="1"/>
    </xf>
    <xf numFmtId="0" fontId="39" fillId="6" borderId="189" xfId="0" applyFont="1" applyFill="1" applyBorder="1" applyAlignment="1" applyProtection="1">
      <alignment horizontal="right" vertical="center" wrapText="1"/>
      <protection locked="0"/>
    </xf>
    <xf numFmtId="0" fontId="39" fillId="6" borderId="190" xfId="0" applyFont="1" applyFill="1" applyBorder="1" applyAlignment="1" applyProtection="1">
      <alignment horizontal="right" vertical="center" wrapText="1"/>
      <protection locked="0"/>
    </xf>
    <xf numFmtId="0" fontId="39" fillId="6" borderId="191" xfId="0" applyFont="1" applyFill="1" applyBorder="1" applyAlignment="1" applyProtection="1">
      <alignment horizontal="left" vertical="center" wrapText="1"/>
      <protection locked="0"/>
    </xf>
    <xf numFmtId="0" fontId="39" fillId="6" borderId="192" xfId="0" applyFont="1" applyFill="1" applyBorder="1" applyAlignment="1" applyProtection="1">
      <alignment horizontal="left" vertical="center" wrapText="1"/>
      <protection locked="0"/>
    </xf>
    <xf numFmtId="0" fontId="39" fillId="8" borderId="192" xfId="0" applyFont="1" applyFill="1" applyBorder="1" applyAlignment="1">
      <alignment vertical="center" wrapText="1"/>
    </xf>
    <xf numFmtId="0" fontId="39" fillId="6" borderId="192" xfId="0" applyFont="1" applyFill="1" applyBorder="1" applyAlignment="1" applyProtection="1">
      <alignment horizontal="right" vertical="center" wrapText="1"/>
    </xf>
    <xf numFmtId="0" fontId="39" fillId="6" borderId="192" xfId="0" applyFont="1" applyFill="1" applyBorder="1" applyAlignment="1" applyProtection="1">
      <alignment horizontal="right" vertical="center" wrapText="1"/>
      <protection locked="0"/>
    </xf>
    <xf numFmtId="0" fontId="39" fillId="6" borderId="193" xfId="0" applyFont="1" applyFill="1" applyBorder="1" applyAlignment="1" applyProtection="1">
      <alignment horizontal="right" vertical="center" wrapText="1"/>
      <protection locked="0"/>
    </xf>
    <xf numFmtId="0" fontId="39" fillId="6" borderId="194" xfId="0" applyFont="1" applyFill="1" applyBorder="1" applyAlignment="1" applyProtection="1">
      <alignment horizontal="left" vertical="center" wrapText="1"/>
      <protection locked="0"/>
    </xf>
    <xf numFmtId="0" fontId="39" fillId="6" borderId="195" xfId="0" applyFont="1" applyFill="1" applyBorder="1" applyAlignment="1" applyProtection="1">
      <alignment horizontal="left" vertical="center" wrapText="1"/>
      <protection locked="0"/>
    </xf>
    <xf numFmtId="0" fontId="39" fillId="8" borderId="195" xfId="0" applyFont="1" applyFill="1" applyBorder="1" applyAlignment="1">
      <alignment vertical="center" wrapText="1"/>
    </xf>
    <xf numFmtId="0" fontId="39" fillId="6" borderId="195" xfId="0" applyFont="1" applyFill="1" applyBorder="1" applyAlignment="1" applyProtection="1">
      <alignment horizontal="right" vertical="center" wrapText="1"/>
    </xf>
    <xf numFmtId="0" fontId="39" fillId="6" borderId="195" xfId="0" applyFont="1" applyFill="1" applyBorder="1" applyAlignment="1" applyProtection="1">
      <alignment horizontal="right" vertical="center" wrapText="1"/>
      <protection locked="0"/>
    </xf>
    <xf numFmtId="0" fontId="39" fillId="6" borderId="196" xfId="0" applyFont="1" applyFill="1" applyBorder="1" applyAlignment="1" applyProtection="1">
      <alignment horizontal="right" vertical="center" wrapText="1"/>
      <protection locked="0"/>
    </xf>
    <xf numFmtId="0" fontId="11" fillId="8" borderId="0" xfId="0" applyFont="1" applyFill="1" applyBorder="1" applyAlignment="1">
      <alignment horizontal="left" vertical="top" wrapText="1"/>
    </xf>
    <xf numFmtId="0" fontId="26" fillId="4" borderId="124" xfId="0" applyFont="1" applyFill="1" applyBorder="1" applyAlignment="1">
      <alignment horizontal="center" vertical="center" wrapText="1"/>
    </xf>
    <xf numFmtId="0" fontId="28" fillId="4" borderId="124" xfId="0" applyFont="1" applyFill="1" applyBorder="1" applyAlignment="1">
      <alignment vertical="center"/>
    </xf>
    <xf numFmtId="0" fontId="11" fillId="4" borderId="124" xfId="0" applyFont="1" applyFill="1" applyBorder="1" applyAlignment="1">
      <alignment horizontal="center" vertical="center"/>
    </xf>
    <xf numFmtId="0" fontId="114" fillId="45" borderId="124" xfId="0" applyFont="1" applyFill="1" applyBorder="1" applyAlignment="1">
      <alignment horizontal="center" vertical="center" wrapText="1"/>
    </xf>
    <xf numFmtId="0" fontId="114" fillId="45" borderId="124" xfId="0" applyFont="1" applyFill="1" applyBorder="1" applyAlignment="1">
      <alignment horizontal="left" vertical="top" wrapText="1"/>
    </xf>
    <xf numFmtId="0" fontId="14" fillId="0" borderId="124" xfId="0" applyFont="1" applyBorder="1" applyAlignment="1"/>
    <xf numFmtId="0" fontId="25" fillId="5" borderId="27" xfId="0" applyFont="1" applyFill="1" applyBorder="1" applyAlignment="1">
      <alignment horizontal="left" vertical="center" wrapText="1" indent="1"/>
    </xf>
    <xf numFmtId="0" fontId="25" fillId="5" borderId="28" xfId="0" applyFont="1" applyFill="1" applyBorder="1" applyAlignment="1">
      <alignment horizontal="left" vertical="top" wrapText="1" indent="1"/>
    </xf>
    <xf numFmtId="0" fontId="11" fillId="8" borderId="121" xfId="0" applyFont="1" applyFill="1" applyBorder="1" applyAlignment="1">
      <alignment vertical="center" wrapText="1"/>
    </xf>
    <xf numFmtId="0" fontId="24" fillId="4" borderId="63" xfId="0" applyFont="1" applyFill="1" applyBorder="1" applyAlignment="1" applyProtection="1">
      <alignment horizontal="center" vertical="center" wrapText="1"/>
    </xf>
    <xf numFmtId="0" fontId="24" fillId="8" borderId="32" xfId="0" applyFont="1" applyFill="1" applyBorder="1" applyAlignment="1" applyProtection="1">
      <alignment horizontal="center" vertical="center" wrapText="1"/>
    </xf>
    <xf numFmtId="0" fontId="114" fillId="45" borderId="124" xfId="0" applyFont="1" applyFill="1" applyBorder="1" applyAlignment="1">
      <alignment vertical="top" wrapText="1"/>
    </xf>
    <xf numFmtId="3" fontId="25" fillId="6" borderId="124" xfId="0" applyNumberFormat="1" applyFont="1" applyFill="1" applyBorder="1" applyAlignment="1" applyProtection="1">
      <alignment horizontal="right" vertical="center" wrapText="1"/>
      <protection locked="0"/>
    </xf>
    <xf numFmtId="2" fontId="39" fillId="0" borderId="124" xfId="0" applyNumberFormat="1" applyFont="1" applyFill="1" applyBorder="1" applyAlignment="1" applyProtection="1">
      <alignment horizontal="right" vertical="center" wrapText="1"/>
      <protection hidden="1"/>
    </xf>
    <xf numFmtId="0" fontId="21" fillId="5" borderId="27" xfId="0" applyFont="1" applyFill="1" applyBorder="1" applyAlignment="1">
      <alignment horizontal="left" vertical="center" wrapText="1" indent="1"/>
    </xf>
    <xf numFmtId="0" fontId="21" fillId="5" borderId="28" xfId="0" applyFont="1" applyFill="1" applyBorder="1" applyAlignment="1">
      <alignment horizontal="left" vertical="top" wrapText="1" indent="1"/>
    </xf>
    <xf numFmtId="0" fontId="11" fillId="4" borderId="200" xfId="0" applyFont="1" applyFill="1" applyBorder="1" applyAlignment="1">
      <alignment horizontal="center" vertical="center" wrapText="1"/>
    </xf>
    <xf numFmtId="0" fontId="114" fillId="45" borderId="203" xfId="0" applyFont="1" applyFill="1" applyBorder="1" applyAlignment="1">
      <alignment horizontal="center" vertical="center" wrapText="1"/>
    </xf>
    <xf numFmtId="0" fontId="14" fillId="0" borderId="204" xfId="0" applyFont="1" applyBorder="1" applyAlignment="1"/>
    <xf numFmtId="3" fontId="39" fillId="6" borderId="144" xfId="0" applyNumberFormat="1" applyFont="1" applyFill="1" applyBorder="1" applyAlignment="1" applyProtection="1">
      <alignment horizontal="left" vertical="center"/>
      <protection locked="0"/>
    </xf>
    <xf numFmtId="3" fontId="39" fillId="6" borderId="146" xfId="0" applyNumberFormat="1" applyFont="1" applyFill="1" applyBorder="1" applyAlignment="1" applyProtection="1">
      <alignment horizontal="left" vertical="center"/>
      <protection locked="0"/>
    </xf>
    <xf numFmtId="0" fontId="25" fillId="6" borderId="55" xfId="0" applyFont="1" applyFill="1" applyBorder="1" applyAlignment="1" applyProtection="1">
      <alignment horizontal="left" vertical="top" wrapText="1"/>
      <protection locked="0"/>
    </xf>
    <xf numFmtId="3" fontId="25" fillId="6" borderId="37" xfId="0" applyNumberFormat="1" applyFont="1" applyFill="1" applyBorder="1" applyAlignment="1" applyProtection="1">
      <alignment horizontal="right" vertical="center" wrapText="1"/>
      <protection locked="0"/>
    </xf>
    <xf numFmtId="2" fontId="25" fillId="0" borderId="55" xfId="0" applyNumberFormat="1" applyFont="1" applyFill="1" applyBorder="1" applyAlignment="1" applyProtection="1">
      <alignment vertical="center" wrapText="1"/>
      <protection hidden="1"/>
    </xf>
    <xf numFmtId="165" fontId="25" fillId="0" borderId="26" xfId="0" applyNumberFormat="1" applyFont="1" applyFill="1" applyBorder="1" applyAlignment="1" applyProtection="1">
      <alignment horizontal="right" vertical="center" wrapText="1"/>
    </xf>
    <xf numFmtId="2" fontId="25" fillId="0" borderId="37" xfId="0" applyNumberFormat="1" applyFont="1" applyFill="1" applyBorder="1" applyAlignment="1" applyProtection="1">
      <alignment vertical="center" wrapText="1"/>
    </xf>
    <xf numFmtId="2" fontId="39" fillId="6" borderId="55" xfId="0" applyNumberFormat="1" applyFont="1" applyFill="1" applyBorder="1" applyAlignment="1" applyProtection="1">
      <alignment horizontal="right" vertical="center" wrapText="1"/>
      <protection locked="0"/>
    </xf>
    <xf numFmtId="3" fontId="26" fillId="8" borderId="4" xfId="0" applyNumberFormat="1" applyFont="1" applyFill="1" applyBorder="1" applyAlignment="1">
      <alignment horizontal="center" vertical="center" wrapText="1"/>
    </xf>
    <xf numFmtId="2" fontId="25" fillId="0" borderId="27" xfId="0" applyNumberFormat="1" applyFont="1" applyFill="1" applyBorder="1" applyAlignment="1">
      <alignment horizontal="right" vertical="center" wrapText="1"/>
    </xf>
    <xf numFmtId="2" fontId="25" fillId="4" borderId="129" xfId="0" applyNumberFormat="1" applyFont="1" applyFill="1" applyBorder="1" applyAlignment="1">
      <alignment vertical="center" wrapText="1"/>
    </xf>
    <xf numFmtId="2" fontId="25" fillId="4" borderId="35" xfId="0" applyNumberFormat="1" applyFont="1" applyFill="1" applyBorder="1" applyAlignment="1">
      <alignment vertical="center" wrapText="1"/>
    </xf>
    <xf numFmtId="2" fontId="25" fillId="4" borderId="28" xfId="0" applyNumberFormat="1" applyFont="1" applyFill="1" applyBorder="1" applyAlignment="1">
      <alignment vertical="center" wrapText="1"/>
    </xf>
    <xf numFmtId="2" fontId="39" fillId="0" borderId="29" xfId="0" applyNumberFormat="1" applyFont="1" applyFill="1" applyBorder="1" applyAlignment="1">
      <alignment horizontal="right" vertical="center" wrapText="1"/>
    </xf>
    <xf numFmtId="2" fontId="39" fillId="0" borderId="27" xfId="0" applyNumberFormat="1" applyFont="1" applyFill="1" applyBorder="1" applyAlignment="1">
      <alignment horizontal="right" vertical="center" wrapText="1"/>
    </xf>
    <xf numFmtId="9" fontId="68" fillId="4" borderId="28" xfId="0" applyNumberFormat="1" applyFont="1" applyFill="1" applyBorder="1" applyAlignment="1">
      <alignment vertical="center" wrapText="1"/>
    </xf>
    <xf numFmtId="9" fontId="68" fillId="4" borderId="129" xfId="0" applyNumberFormat="1" applyFont="1" applyFill="1" applyBorder="1" applyAlignment="1">
      <alignment vertical="center" wrapText="1"/>
    </xf>
    <xf numFmtId="2" fontId="39" fillId="0" borderId="4" xfId="0" applyNumberFormat="1" applyFont="1" applyFill="1" applyBorder="1" applyAlignment="1">
      <alignment horizontal="right" vertical="center" wrapText="1"/>
    </xf>
    <xf numFmtId="0" fontId="26" fillId="4" borderId="203" xfId="0" applyFont="1" applyFill="1" applyBorder="1" applyAlignment="1">
      <alignment horizontal="center" vertical="center" wrapText="1"/>
    </xf>
    <xf numFmtId="0" fontId="28" fillId="4" borderId="204" xfId="0" applyFont="1" applyFill="1" applyBorder="1" applyAlignment="1">
      <alignment vertical="center"/>
    </xf>
    <xf numFmtId="0" fontId="39" fillId="5" borderId="144" xfId="0" applyNumberFormat="1" applyFont="1" applyFill="1" applyBorder="1" applyAlignment="1" applyProtection="1">
      <alignment horizontal="center" vertical="center" wrapText="1"/>
    </xf>
    <xf numFmtId="0" fontId="39" fillId="6" borderId="144" xfId="0" applyNumberFormat="1" applyFont="1" applyFill="1" applyBorder="1" applyAlignment="1" applyProtection="1">
      <alignment horizontal="center" vertical="center" wrapText="1"/>
      <protection locked="0"/>
    </xf>
    <xf numFmtId="0" fontId="39" fillId="6" borderId="205" xfId="0" applyNumberFormat="1" applyFont="1" applyFill="1" applyBorder="1" applyAlignment="1" applyProtection="1">
      <alignment horizontal="center" vertical="center" wrapText="1"/>
      <protection locked="0"/>
    </xf>
    <xf numFmtId="0" fontId="25" fillId="6" borderId="128" xfId="0" applyFont="1" applyFill="1" applyBorder="1" applyAlignment="1" applyProtection="1">
      <alignment horizontal="left" vertical="center" wrapText="1"/>
      <protection locked="0"/>
    </xf>
    <xf numFmtId="3" fontId="25" fillId="6" borderId="128" xfId="0" applyNumberFormat="1" applyFont="1" applyFill="1" applyBorder="1" applyAlignment="1" applyProtection="1">
      <alignment horizontal="right" vertical="center" wrapText="1"/>
      <protection locked="0"/>
    </xf>
    <xf numFmtId="2" fontId="39" fillId="6" borderId="128" xfId="0" applyNumberFormat="1" applyFont="1" applyFill="1" applyBorder="1" applyAlignment="1" applyProtection="1">
      <alignment horizontal="right" vertical="center" wrapText="1"/>
      <protection locked="0"/>
    </xf>
    <xf numFmtId="0" fontId="39" fillId="6" borderId="128" xfId="0" applyFont="1" applyFill="1" applyBorder="1" applyAlignment="1" applyProtection="1">
      <alignment horizontal="left" vertical="center" wrapText="1"/>
      <protection locked="0"/>
    </xf>
    <xf numFmtId="9" fontId="39" fillId="6" borderId="128" xfId="0" applyNumberFormat="1" applyFont="1" applyFill="1" applyBorder="1" applyAlignment="1" applyProtection="1">
      <alignment horizontal="center" vertical="center" wrapText="1"/>
      <protection locked="0"/>
    </xf>
    <xf numFmtId="0" fontId="68" fillId="4" borderId="199" xfId="0" applyFont="1" applyFill="1" applyBorder="1" applyAlignment="1">
      <alignment horizontal="left" vertical="center" wrapText="1"/>
    </xf>
    <xf numFmtId="3" fontId="25" fillId="0" borderId="199" xfId="0" applyNumberFormat="1" applyFont="1" applyFill="1" applyBorder="1" applyAlignment="1">
      <alignment horizontal="right" vertical="center" wrapText="1"/>
    </xf>
    <xf numFmtId="2" fontId="39" fillId="0" borderId="199" xfId="0" applyNumberFormat="1" applyFont="1" applyFill="1" applyBorder="1" applyAlignment="1">
      <alignment horizontal="right" vertical="center" wrapText="1"/>
    </xf>
    <xf numFmtId="0" fontId="11" fillId="4" borderId="146" xfId="0" applyFont="1" applyFill="1" applyBorder="1" applyAlignment="1">
      <alignment horizontal="center" vertical="center" wrapText="1"/>
    </xf>
    <xf numFmtId="0" fontId="11" fillId="4" borderId="147" xfId="0" applyFont="1" applyFill="1" applyBorder="1" applyAlignment="1">
      <alignment horizontal="center" vertical="center" wrapText="1"/>
    </xf>
    <xf numFmtId="0" fontId="11" fillId="4" borderId="148" xfId="0" applyFont="1" applyFill="1" applyBorder="1" applyAlignment="1">
      <alignment horizontal="center" vertical="center" wrapText="1"/>
    </xf>
    <xf numFmtId="0" fontId="24" fillId="4" borderId="2" xfId="0" applyFont="1" applyFill="1" applyBorder="1" applyAlignment="1">
      <alignment vertical="center" wrapText="1"/>
    </xf>
    <xf numFmtId="0" fontId="24" fillId="4" borderId="124" xfId="0" applyFont="1" applyFill="1" applyBorder="1" applyAlignment="1">
      <alignment horizontal="center" vertical="center"/>
    </xf>
    <xf numFmtId="0" fontId="28" fillId="4" borderId="124" xfId="0" applyFont="1" applyFill="1" applyBorder="1"/>
    <xf numFmtId="0" fontId="34" fillId="4" borderId="124" xfId="0" applyFont="1" applyFill="1" applyBorder="1" applyAlignment="1">
      <alignment horizontal="center"/>
    </xf>
    <xf numFmtId="0" fontId="11" fillId="4" borderId="24" xfId="0" applyFont="1" applyFill="1" applyBorder="1" applyAlignment="1">
      <alignment horizontal="centerContinuous" vertical="center" wrapText="1"/>
    </xf>
    <xf numFmtId="0" fontId="24" fillId="4" borderId="203" xfId="0" applyFont="1" applyFill="1" applyBorder="1" applyAlignment="1">
      <alignment horizontal="center" vertical="center"/>
    </xf>
    <xf numFmtId="0" fontId="11" fillId="4" borderId="204" xfId="0" applyFont="1" applyFill="1" applyBorder="1"/>
    <xf numFmtId="0" fontId="25" fillId="6" borderId="23" xfId="0" applyFont="1" applyFill="1" applyBorder="1" applyAlignment="1" applyProtection="1">
      <alignment horizontal="left" vertical="center" wrapText="1" indent="1"/>
      <protection locked="0"/>
    </xf>
    <xf numFmtId="0" fontId="11" fillId="8" borderId="23"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32" fillId="4" borderId="149" xfId="0" applyFont="1" applyFill="1" applyBorder="1" applyAlignment="1"/>
    <xf numFmtId="0" fontId="108" fillId="4" borderId="149" xfId="0" applyFont="1" applyFill="1" applyBorder="1" applyAlignment="1"/>
    <xf numFmtId="0" fontId="26" fillId="4" borderId="214" xfId="0" applyFont="1" applyFill="1" applyBorder="1" applyAlignment="1">
      <alignment horizontal="center" vertical="center" wrapText="1"/>
    </xf>
    <xf numFmtId="0" fontId="108" fillId="4" borderId="215" xfId="0" applyFont="1" applyFill="1" applyBorder="1" applyAlignment="1"/>
    <xf numFmtId="2" fontId="39" fillId="0" borderId="128" xfId="0" applyNumberFormat="1" applyFont="1" applyFill="1" applyBorder="1" applyAlignment="1" applyProtection="1">
      <alignment horizontal="right" vertical="center" wrapText="1"/>
      <protection hidden="1"/>
    </xf>
    <xf numFmtId="0" fontId="24" fillId="8" borderId="36" xfId="0" applyFont="1" applyFill="1" applyBorder="1" applyAlignment="1">
      <alignment horizontal="center" vertical="center" wrapText="1"/>
    </xf>
    <xf numFmtId="0" fontId="24" fillId="8" borderId="63" xfId="0" applyFont="1" applyFill="1" applyBorder="1" applyAlignment="1">
      <alignment horizontal="center" vertical="center" wrapText="1"/>
    </xf>
    <xf numFmtId="0" fontId="14" fillId="0" borderId="63" xfId="0" applyFont="1" applyBorder="1" applyAlignment="1"/>
    <xf numFmtId="0" fontId="14" fillId="0" borderId="64" xfId="0" applyFont="1" applyBorder="1" applyAlignment="1"/>
    <xf numFmtId="1" fontId="39" fillId="0" borderId="128" xfId="0" applyNumberFormat="1" applyFont="1" applyFill="1" applyBorder="1" applyAlignment="1">
      <alignment horizontal="right" vertical="center" wrapText="1"/>
    </xf>
    <xf numFmtId="0" fontId="24" fillId="8" borderId="124" xfId="0" applyFont="1" applyFill="1" applyBorder="1" applyAlignment="1">
      <alignment horizontal="center" vertical="center" wrapText="1"/>
    </xf>
    <xf numFmtId="0" fontId="0" fillId="0" borderId="124" xfId="0" applyBorder="1" applyAlignment="1"/>
    <xf numFmtId="0" fontId="24" fillId="8" borderId="203" xfId="0" applyFont="1" applyFill="1" applyBorder="1" applyAlignment="1">
      <alignment horizontal="center" vertical="center" wrapText="1"/>
    </xf>
    <xf numFmtId="0" fontId="0" fillId="0" borderId="204" xfId="0" applyBorder="1" applyAlignment="1"/>
    <xf numFmtId="0" fontId="39" fillId="6" borderId="29" xfId="0" applyFont="1" applyFill="1" applyBorder="1" applyAlignment="1" applyProtection="1">
      <alignment horizontal="center" vertical="center" wrapText="1"/>
      <protection locked="0"/>
    </xf>
    <xf numFmtId="0" fontId="21" fillId="45" borderId="123" xfId="0" applyFont="1" applyFill="1" applyBorder="1" applyAlignment="1">
      <alignment horizontal="center" vertical="center" wrapText="1"/>
    </xf>
    <xf numFmtId="0" fontId="21" fillId="45" borderId="63" xfId="0" applyFont="1" applyFill="1" applyBorder="1" applyAlignment="1">
      <alignment horizontal="left" vertical="top" wrapText="1"/>
    </xf>
    <xf numFmtId="0" fontId="39" fillId="6" borderId="55" xfId="0" applyFont="1" applyFill="1" applyBorder="1" applyAlignment="1" applyProtection="1">
      <alignment horizontal="left" vertical="center" wrapText="1"/>
      <protection locked="0"/>
    </xf>
    <xf numFmtId="4" fontId="39" fillId="6" borderId="26" xfId="0" applyNumberFormat="1" applyFont="1" applyFill="1" applyBorder="1" applyAlignment="1" applyProtection="1">
      <alignment horizontal="right" vertical="center" wrapText="1"/>
      <protection locked="0"/>
    </xf>
    <xf numFmtId="0" fontId="39" fillId="6" borderId="26" xfId="0" applyFont="1" applyFill="1" applyBorder="1" applyAlignment="1" applyProtection="1">
      <alignment horizontal="left" vertical="center" wrapText="1"/>
      <protection locked="0"/>
    </xf>
    <xf numFmtId="3" fontId="39" fillId="0" borderId="28" xfId="0" applyNumberFormat="1" applyFont="1" applyFill="1" applyBorder="1" applyAlignment="1">
      <alignment horizontal="right" vertical="center" indent="1"/>
    </xf>
    <xf numFmtId="4" fontId="39" fillId="0" borderId="28" xfId="0" applyNumberFormat="1" applyFont="1" applyFill="1" applyBorder="1" applyAlignment="1">
      <alignment horizontal="right" vertical="center" indent="1"/>
    </xf>
    <xf numFmtId="169" fontId="39" fillId="5" borderId="29" xfId="1" applyNumberFormat="1" applyFont="1" applyFill="1" applyBorder="1" applyAlignment="1">
      <alignment vertical="center"/>
    </xf>
    <xf numFmtId="0" fontId="11" fillId="8" borderId="65" xfId="0" applyFont="1" applyFill="1" applyBorder="1" applyAlignment="1">
      <alignment horizontal="center" vertical="center" wrapText="1"/>
    </xf>
    <xf numFmtId="0" fontId="11" fillId="8" borderId="100" xfId="0" applyFont="1" applyFill="1" applyBorder="1" applyAlignment="1">
      <alignment horizontal="center" vertical="center" wrapText="1"/>
    </xf>
    <xf numFmtId="0" fontId="39" fillId="6" borderId="63" xfId="0" applyFont="1" applyFill="1" applyBorder="1" applyAlignment="1" applyProtection="1">
      <alignment horizontal="left" vertical="center" wrapText="1"/>
      <protection locked="0"/>
    </xf>
    <xf numFmtId="0" fontId="25" fillId="5" borderId="3" xfId="0" applyFont="1" applyFill="1" applyBorder="1" applyAlignment="1">
      <alignment horizontal="left" vertical="center" wrapText="1" indent="1"/>
    </xf>
    <xf numFmtId="0" fontId="1" fillId="0" borderId="4" xfId="0" applyFont="1" applyBorder="1" applyAlignment="1">
      <alignment horizontal="left" vertical="center" wrapText="1" indent="1"/>
    </xf>
    <xf numFmtId="0" fontId="25" fillId="5" borderId="119" xfId="0" applyFont="1" applyFill="1" applyBorder="1" applyAlignment="1">
      <alignment horizontal="left" vertical="center" wrapText="1" indent="1"/>
    </xf>
    <xf numFmtId="0" fontId="39" fillId="6" borderId="21" xfId="0" applyFont="1" applyFill="1" applyBorder="1" applyAlignment="1" applyProtection="1">
      <alignment horizontal="center" vertical="center" wrapText="1"/>
      <protection locked="0"/>
    </xf>
    <xf numFmtId="0" fontId="11" fillId="8" borderId="128" xfId="0" applyFont="1" applyFill="1" applyBorder="1" applyAlignment="1">
      <alignment vertical="center" wrapText="1"/>
    </xf>
    <xf numFmtId="0" fontId="11" fillId="8" borderId="149" xfId="0" applyFont="1" applyFill="1" applyBorder="1" applyAlignment="1">
      <alignment vertical="center" wrapText="1"/>
    </xf>
    <xf numFmtId="0" fontId="39" fillId="8" borderId="207" xfId="0" applyFont="1" applyFill="1" applyBorder="1" applyAlignment="1" applyProtection="1">
      <alignment vertical="center" wrapText="1"/>
    </xf>
    <xf numFmtId="0" fontId="1" fillId="8" borderId="26" xfId="0" applyFont="1" applyFill="1" applyBorder="1" applyAlignment="1">
      <alignment vertical="center" wrapText="1"/>
    </xf>
    <xf numFmtId="0" fontId="1" fillId="8" borderId="130" xfId="0" applyFont="1" applyFill="1" applyBorder="1" applyAlignment="1">
      <alignment vertical="center" wrapText="1"/>
    </xf>
    <xf numFmtId="0" fontId="39" fillId="8" borderId="130" xfId="0" applyFont="1" applyFill="1" applyBorder="1" applyAlignment="1">
      <alignment vertical="center" wrapText="1"/>
    </xf>
    <xf numFmtId="0" fontId="39" fillId="8" borderId="108" xfId="0" applyFont="1" applyFill="1" applyBorder="1" applyAlignment="1">
      <alignment horizontal="left" vertical="center" wrapText="1"/>
    </xf>
    <xf numFmtId="0" fontId="26" fillId="8" borderId="120" xfId="0" applyFont="1" applyFill="1" applyBorder="1" applyAlignment="1">
      <alignment horizontal="center" vertical="center" wrapText="1"/>
    </xf>
    <xf numFmtId="0" fontId="26" fillId="8" borderId="122" xfId="0" applyFont="1" applyFill="1" applyBorder="1" applyAlignment="1">
      <alignment horizontal="center" vertical="center" wrapText="1"/>
    </xf>
    <xf numFmtId="0" fontId="11" fillId="8" borderId="6" xfId="0" applyFont="1" applyFill="1" applyBorder="1" applyAlignment="1">
      <alignment vertical="center" wrapText="1"/>
    </xf>
    <xf numFmtId="0" fontId="11" fillId="8" borderId="5" xfId="0" applyFont="1" applyFill="1" applyBorder="1" applyAlignment="1">
      <alignment vertical="center" wrapText="1"/>
    </xf>
    <xf numFmtId="0" fontId="1" fillId="8" borderId="5" xfId="0" applyFont="1" applyFill="1" applyBorder="1" applyAlignment="1" applyProtection="1">
      <alignment vertical="center" wrapText="1"/>
    </xf>
    <xf numFmtId="0" fontId="1" fillId="8" borderId="5" xfId="0" applyFont="1" applyFill="1" applyBorder="1" applyAlignment="1">
      <alignment vertical="center" wrapText="1"/>
    </xf>
    <xf numFmtId="0" fontId="1" fillId="8" borderId="45" xfId="0" applyFont="1" applyFill="1" applyBorder="1" applyAlignment="1">
      <alignment vertical="center" wrapText="1"/>
    </xf>
    <xf numFmtId="0" fontId="39" fillId="5" borderId="0" xfId="0" applyFont="1" applyFill="1" applyBorder="1" applyAlignment="1" applyProtection="1">
      <alignment horizontal="left" vertical="center" wrapText="1"/>
    </xf>
    <xf numFmtId="3" fontId="39" fillId="5" borderId="0" xfId="0" applyNumberFormat="1" applyFont="1" applyFill="1" applyBorder="1" applyAlignment="1" applyProtection="1">
      <alignment horizontal="left" vertical="center" wrapText="1"/>
    </xf>
    <xf numFmtId="168" fontId="39" fillId="5" borderId="0" xfId="0" applyNumberFormat="1" applyFont="1" applyFill="1" applyBorder="1" applyAlignment="1" applyProtection="1">
      <alignment horizontal="right" vertical="center" wrapText="1"/>
    </xf>
    <xf numFmtId="168" fontId="39" fillId="5" borderId="0" xfId="0" quotePrefix="1" applyNumberFormat="1" applyFont="1" applyFill="1" applyBorder="1" applyAlignment="1" applyProtection="1">
      <alignment horizontal="right" vertical="center" wrapText="1"/>
    </xf>
    <xf numFmtId="166" fontId="39" fillId="5" borderId="0" xfId="0" applyNumberFormat="1" applyFont="1" applyFill="1" applyBorder="1" applyAlignment="1" applyProtection="1">
      <alignment horizontal="right" vertical="center" wrapText="1"/>
    </xf>
    <xf numFmtId="1" fontId="39" fillId="5" borderId="0" xfId="0" applyNumberFormat="1" applyFont="1" applyFill="1" applyBorder="1" applyAlignment="1" applyProtection="1">
      <alignment horizontal="right" vertical="center" wrapText="1"/>
      <protection locked="0"/>
    </xf>
    <xf numFmtId="9" fontId="1" fillId="5" borderId="0" xfId="0" applyNumberFormat="1" applyFont="1" applyFill="1" applyBorder="1" applyAlignment="1">
      <alignment horizontal="center" vertical="center" wrapText="1"/>
    </xf>
    <xf numFmtId="0" fontId="1" fillId="5" borderId="0" xfId="0" applyFont="1" applyFill="1" applyAlignment="1">
      <alignment wrapText="1"/>
    </xf>
    <xf numFmtId="0" fontId="39" fillId="5" borderId="23" xfId="0" applyFont="1" applyFill="1" applyBorder="1" applyAlignment="1" applyProtection="1">
      <alignment horizontal="left" vertical="center" wrapText="1"/>
    </xf>
    <xf numFmtId="3" fontId="39" fillId="5" borderId="34" xfId="0" applyNumberFormat="1" applyFont="1" applyFill="1" applyBorder="1" applyAlignment="1" applyProtection="1">
      <alignment horizontal="left" vertical="center" wrapText="1"/>
    </xf>
    <xf numFmtId="1" fontId="39" fillId="6" borderId="25" xfId="0" applyNumberFormat="1" applyFont="1" applyFill="1" applyBorder="1" applyAlignment="1" applyProtection="1">
      <alignment horizontal="right" vertical="center" wrapText="1"/>
      <protection locked="0"/>
    </xf>
    <xf numFmtId="9" fontId="1" fillId="8" borderId="19" xfId="0" applyNumberFormat="1" applyFont="1" applyFill="1" applyBorder="1" applyAlignment="1">
      <alignment horizontal="center" vertical="center" wrapText="1"/>
    </xf>
    <xf numFmtId="168" fontId="39" fillId="5" borderId="23" xfId="0" applyNumberFormat="1" applyFont="1" applyFill="1" applyBorder="1" applyAlignment="1" applyProtection="1">
      <alignment horizontal="right" vertical="center" wrapText="1"/>
    </xf>
    <xf numFmtId="168" fontId="39" fillId="5" borderId="24" xfId="0" quotePrefix="1" applyNumberFormat="1" applyFont="1" applyFill="1" applyBorder="1" applyAlignment="1" applyProtection="1">
      <alignment horizontal="right" vertical="center" wrapText="1"/>
    </xf>
    <xf numFmtId="166" fontId="39" fillId="5" borderId="25" xfId="0" applyNumberFormat="1" applyFont="1" applyFill="1" applyBorder="1" applyAlignment="1" applyProtection="1">
      <alignment horizontal="right" vertical="center" wrapText="1"/>
    </xf>
    <xf numFmtId="0" fontId="1" fillId="8" borderId="14" xfId="0" applyFont="1" applyFill="1" applyBorder="1" applyAlignment="1" applyProtection="1">
      <alignment horizontal="center" vertical="center" wrapText="1"/>
    </xf>
    <xf numFmtId="0" fontId="1" fillId="8" borderId="118" xfId="0" applyFont="1" applyFill="1" applyBorder="1" applyAlignment="1">
      <alignment horizontal="center" vertical="center" wrapText="1"/>
    </xf>
    <xf numFmtId="0" fontId="32" fillId="8" borderId="1" xfId="0" applyFont="1" applyFill="1" applyBorder="1" applyAlignment="1">
      <alignment horizontal="center" vertical="center" wrapText="1"/>
    </xf>
    <xf numFmtId="1" fontId="39" fillId="8" borderId="13" xfId="0" applyNumberFormat="1" applyFont="1" applyFill="1" applyBorder="1" applyAlignment="1" applyProtection="1">
      <alignment horizontal="right" vertical="center" wrapText="1"/>
      <protection locked="0"/>
    </xf>
    <xf numFmtId="0" fontId="39" fillId="6" borderId="36" xfId="0" applyFont="1" applyFill="1" applyBorder="1" applyAlignment="1" applyProtection="1">
      <alignment vertical="center"/>
      <protection locked="0"/>
    </xf>
    <xf numFmtId="0" fontId="39" fillId="6" borderId="23" xfId="0" applyFont="1" applyFill="1" applyBorder="1" applyAlignment="1" applyProtection="1">
      <alignment vertical="center"/>
      <protection locked="0"/>
    </xf>
    <xf numFmtId="0" fontId="39" fillId="6" borderId="24" xfId="0" applyFont="1" applyFill="1" applyBorder="1" applyAlignment="1" applyProtection="1">
      <alignment horizontal="center" vertical="center"/>
      <protection locked="0"/>
    </xf>
    <xf numFmtId="0" fontId="114" fillId="45" borderId="217" xfId="0" applyFont="1" applyFill="1" applyBorder="1" applyAlignment="1">
      <alignment horizontal="left" vertical="top" wrapText="1"/>
    </xf>
    <xf numFmtId="0" fontId="39" fillId="6" borderId="24" xfId="0" applyFont="1" applyFill="1" applyBorder="1" applyAlignment="1" applyProtection="1">
      <alignment horizontal="left" vertical="center" indent="1"/>
      <protection locked="0"/>
    </xf>
    <xf numFmtId="0" fontId="117" fillId="4" borderId="22" xfId="0" applyFont="1" applyFill="1" applyBorder="1" applyAlignment="1" applyProtection="1">
      <alignment horizontal="left" vertical="center" wrapText="1" indent="1"/>
    </xf>
    <xf numFmtId="0" fontId="117" fillId="4" borderId="42" xfId="0" applyFont="1" applyFill="1" applyBorder="1" applyAlignment="1" applyProtection="1">
      <alignment horizontal="left" vertical="center" wrapText="1" indent="1"/>
    </xf>
    <xf numFmtId="0" fontId="117" fillId="4" borderId="25" xfId="0" applyFont="1" applyFill="1" applyBorder="1" applyAlignment="1" applyProtection="1">
      <alignment horizontal="left" vertical="center" wrapText="1" indent="1"/>
    </xf>
    <xf numFmtId="39" fontId="1" fillId="43" borderId="4" xfId="1" applyNumberFormat="1" applyFont="1" applyFill="1" applyBorder="1" applyAlignment="1" applyProtection="1">
      <alignment horizontal="right" vertical="center"/>
      <protection locked="0"/>
    </xf>
    <xf numFmtId="193" fontId="25" fillId="5" borderId="119" xfId="2" applyNumberFormat="1" applyFont="1" applyFill="1" applyBorder="1" applyAlignment="1" applyProtection="1">
      <alignment horizontal="right" vertical="center"/>
    </xf>
    <xf numFmtId="0" fontId="25" fillId="6" borderId="119" xfId="2" applyFont="1" applyFill="1" applyBorder="1" applyAlignment="1" applyProtection="1">
      <alignment horizontal="left" vertical="center" wrapText="1"/>
      <protection locked="0"/>
    </xf>
    <xf numFmtId="0" fontId="25" fillId="5" borderId="119" xfId="2" applyFont="1" applyFill="1" applyBorder="1" applyAlignment="1">
      <alignment horizontal="left" vertical="center"/>
    </xf>
    <xf numFmtId="168" fontId="25" fillId="5" borderId="119" xfId="12" applyNumberFormat="1" applyFont="1" applyFill="1" applyBorder="1" applyAlignment="1" applyProtection="1">
      <alignment horizontal="right" vertical="center" wrapText="1"/>
      <protection locked="0"/>
    </xf>
    <xf numFmtId="0" fontId="25" fillId="6" borderId="128" xfId="2" applyFont="1" applyFill="1" applyBorder="1" applyAlignment="1" applyProtection="1">
      <alignment horizontal="left" vertical="center" wrapText="1"/>
      <protection locked="0"/>
    </xf>
    <xf numFmtId="167" fontId="25" fillId="6" borderId="128" xfId="12" applyNumberFormat="1" applyFont="1" applyFill="1" applyBorder="1" applyAlignment="1" applyProtection="1">
      <alignment horizontal="left" vertical="center" wrapText="1"/>
      <protection locked="0"/>
    </xf>
    <xf numFmtId="168" fontId="25" fillId="6" borderId="128" xfId="12" applyNumberFormat="1" applyFont="1" applyFill="1" applyBorder="1" applyAlignment="1" applyProtection="1">
      <alignment horizontal="right" vertical="center" wrapText="1"/>
      <protection locked="0"/>
    </xf>
    <xf numFmtId="0" fontId="25" fillId="5" borderId="128" xfId="2" applyFont="1" applyFill="1" applyBorder="1" applyAlignment="1">
      <alignment horizontal="left" vertical="center"/>
    </xf>
    <xf numFmtId="168" fontId="25" fillId="5" borderId="128" xfId="12" applyNumberFormat="1" applyFont="1" applyFill="1" applyBorder="1" applyAlignment="1" applyProtection="1">
      <alignment horizontal="right" vertical="center" wrapText="1"/>
      <protection locked="0"/>
    </xf>
    <xf numFmtId="0" fontId="97" fillId="8" borderId="124" xfId="0" applyFont="1" applyFill="1" applyBorder="1" applyAlignment="1">
      <alignment horizontal="center" vertical="center" wrapText="1"/>
    </xf>
    <xf numFmtId="0" fontId="97" fillId="8" borderId="124" xfId="0" applyFont="1" applyFill="1" applyBorder="1" applyAlignment="1">
      <alignment vertical="center"/>
    </xf>
    <xf numFmtId="0" fontId="112" fillId="8" borderId="124" xfId="0" applyFont="1" applyFill="1" applyBorder="1" applyAlignment="1">
      <alignment vertical="center"/>
    </xf>
    <xf numFmtId="0" fontId="112" fillId="8" borderId="124" xfId="0" applyFont="1" applyFill="1" applyBorder="1" applyAlignment="1">
      <alignment horizontal="right" vertical="center"/>
    </xf>
    <xf numFmtId="0" fontId="112" fillId="8" borderId="124" xfId="0" applyFont="1" applyFill="1" applyBorder="1" applyAlignment="1">
      <alignment horizontal="left" vertical="center"/>
    </xf>
    <xf numFmtId="0" fontId="97" fillId="4" borderId="124" xfId="0" applyFont="1" applyFill="1" applyBorder="1" applyAlignment="1">
      <alignment horizontal="right" vertical="center"/>
    </xf>
    <xf numFmtId="0" fontId="97" fillId="8" borderId="124" xfId="2" applyNumberFormat="1" applyFont="1" applyFill="1" applyBorder="1" applyAlignment="1">
      <alignment horizontal="right" vertical="center" wrapText="1"/>
    </xf>
    <xf numFmtId="49" fontId="97" fillId="8" borderId="124" xfId="2" applyNumberFormat="1" applyFont="1" applyFill="1" applyBorder="1" applyAlignment="1">
      <alignment horizontal="center" vertical="center" wrapText="1"/>
    </xf>
    <xf numFmtId="0" fontId="11" fillId="4" borderId="16" xfId="2" applyFont="1" applyFill="1" applyBorder="1" applyAlignment="1">
      <alignment horizontal="left" vertical="center"/>
    </xf>
    <xf numFmtId="168" fontId="11" fillId="4" borderId="16" xfId="2" applyNumberFormat="1" applyFont="1" applyFill="1" applyBorder="1" applyAlignment="1">
      <alignment horizontal="right" vertical="center" wrapText="1"/>
    </xf>
    <xf numFmtId="49" fontId="11" fillId="4" borderId="16" xfId="2" applyNumberFormat="1" applyFont="1" applyFill="1" applyBorder="1" applyAlignment="1">
      <alignment horizontal="left" vertical="center" wrapText="1"/>
    </xf>
    <xf numFmtId="168" fontId="11" fillId="4" borderId="16" xfId="2" applyNumberFormat="1" applyFont="1" applyFill="1" applyBorder="1" applyAlignment="1" applyProtection="1">
      <alignment horizontal="right" vertical="center" wrapText="1"/>
    </xf>
    <xf numFmtId="168" fontId="11" fillId="4" borderId="16" xfId="2" applyNumberFormat="1" applyFont="1" applyFill="1" applyBorder="1" applyAlignment="1">
      <alignment horizontal="right" vertical="center"/>
    </xf>
    <xf numFmtId="0" fontId="11" fillId="4" borderId="16" xfId="2" applyFont="1" applyFill="1" applyBorder="1" applyAlignment="1">
      <alignment vertical="center"/>
    </xf>
    <xf numFmtId="0" fontId="11" fillId="4" borderId="15" xfId="2" applyFont="1" applyFill="1" applyBorder="1" applyAlignment="1">
      <alignment vertical="center"/>
    </xf>
    <xf numFmtId="168" fontId="25" fillId="5" borderId="128" xfId="2" applyNumberFormat="1" applyFont="1" applyFill="1" applyBorder="1" applyAlignment="1">
      <alignment horizontal="right" vertical="center"/>
    </xf>
    <xf numFmtId="0" fontId="11" fillId="4" borderId="16" xfId="2" applyFont="1" applyFill="1" applyBorder="1" applyAlignment="1" applyProtection="1">
      <alignment vertical="center"/>
    </xf>
    <xf numFmtId="168" fontId="25" fillId="5" borderId="122" xfId="12" applyNumberFormat="1" applyFont="1" applyFill="1" applyBorder="1" applyAlignment="1" applyProtection="1">
      <alignment horizontal="right" vertical="center"/>
    </xf>
    <xf numFmtId="0" fontId="11" fillId="8" borderId="16" xfId="2" applyFont="1" applyFill="1" applyBorder="1" applyAlignment="1">
      <alignment horizontal="right" vertical="center"/>
    </xf>
    <xf numFmtId="0" fontId="11" fillId="8" borderId="15" xfId="2" applyFont="1" applyFill="1" applyBorder="1" applyAlignment="1">
      <alignment horizontal="left" vertical="center"/>
    </xf>
    <xf numFmtId="0" fontId="11" fillId="8" borderId="15" xfId="2" applyFont="1" applyFill="1" applyBorder="1" applyAlignment="1">
      <alignment vertical="center"/>
    </xf>
    <xf numFmtId="0" fontId="22" fillId="0" borderId="0" xfId="2" applyFont="1" applyAlignment="1">
      <alignment vertical="center"/>
    </xf>
    <xf numFmtId="0" fontId="11" fillId="0" borderId="41" xfId="2" applyFont="1" applyBorder="1" applyAlignment="1">
      <alignment horizontal="center" vertical="center"/>
    </xf>
    <xf numFmtId="0" fontId="11" fillId="47" borderId="41" xfId="2" applyFont="1" applyFill="1" applyBorder="1" applyAlignment="1">
      <alignment vertical="center"/>
    </xf>
    <xf numFmtId="0" fontId="11" fillId="47" borderId="41" xfId="2" applyFont="1" applyFill="1" applyBorder="1" applyAlignment="1">
      <alignment horizontal="centerContinuous" vertical="center"/>
    </xf>
    <xf numFmtId="0" fontId="11" fillId="0" borderId="41" xfId="2" applyFont="1" applyBorder="1" applyAlignment="1">
      <alignment horizontal="centerContinuous" vertical="center"/>
    </xf>
    <xf numFmtId="2" fontId="11" fillId="0" borderId="41" xfId="9" applyNumberFormat="1" applyFont="1" applyBorder="1" applyAlignment="1">
      <alignment horizontal="centerContinuous" vertical="center"/>
    </xf>
    <xf numFmtId="0" fontId="11" fillId="0" borderId="42" xfId="2" applyFont="1" applyBorder="1" applyAlignment="1">
      <alignment horizontal="center" vertical="center"/>
    </xf>
    <xf numFmtId="2" fontId="11" fillId="47" borderId="41" xfId="9" applyNumberFormat="1" applyFont="1" applyFill="1" applyBorder="1" applyAlignment="1">
      <alignment horizontal="centerContinuous" vertical="center"/>
    </xf>
    <xf numFmtId="0" fontId="11" fillId="0" borderId="24" xfId="2" applyFont="1" applyBorder="1" applyAlignment="1">
      <alignment horizontal="centerContinuous" vertical="center"/>
    </xf>
    <xf numFmtId="2" fontId="11" fillId="0" borderId="43" xfId="9" applyNumberFormat="1" applyFont="1" applyBorder="1" applyAlignment="1">
      <alignment horizontal="center" vertical="center"/>
    </xf>
    <xf numFmtId="0" fontId="11" fillId="0" borderId="43" xfId="2" applyFont="1" applyBorder="1" applyAlignment="1">
      <alignment horizontal="centerContinuous" vertical="center"/>
    </xf>
    <xf numFmtId="0" fontId="11" fillId="0" borderId="31" xfId="2" applyFont="1" applyBorder="1" applyAlignment="1">
      <alignment horizontal="centerContinuous" vertical="center"/>
    </xf>
    <xf numFmtId="0" fontId="11" fillId="0" borderId="26" xfId="2" applyFont="1" applyBorder="1" applyAlignment="1">
      <alignment horizontal="center" vertical="center"/>
    </xf>
    <xf numFmtId="0" fontId="11" fillId="0" borderId="26" xfId="2" applyFont="1" applyBorder="1" applyAlignment="1">
      <alignment horizontal="centerContinuous" vertical="center"/>
    </xf>
    <xf numFmtId="0" fontId="11" fillId="0" borderId="37" xfId="2" applyFont="1" applyBorder="1" applyAlignment="1">
      <alignment horizontal="center" vertical="center"/>
    </xf>
    <xf numFmtId="2" fontId="11" fillId="0" borderId="26" xfId="9" applyNumberFormat="1" applyFont="1" applyBorder="1" applyAlignment="1">
      <alignment horizontal="center" vertical="center"/>
    </xf>
    <xf numFmtId="0" fontId="11" fillId="0" borderId="56" xfId="2" applyFont="1" applyBorder="1" applyAlignment="1">
      <alignment horizontal="centerContinuous" vertical="center"/>
    </xf>
    <xf numFmtId="2" fontId="11" fillId="0" borderId="43" xfId="2" applyNumberFormat="1" applyFont="1" applyBorder="1" applyAlignment="1">
      <alignment horizontal="centerContinuous" vertical="center"/>
    </xf>
    <xf numFmtId="0" fontId="11" fillId="0" borderId="44" xfId="2" applyFont="1" applyBorder="1" applyAlignment="1">
      <alignment horizontal="centerContinuous" vertical="center"/>
    </xf>
    <xf numFmtId="0" fontId="11" fillId="47" borderId="27" xfId="2" applyFont="1" applyFill="1" applyBorder="1" applyAlignment="1">
      <alignment horizontal="centerContinuous" vertical="center"/>
    </xf>
    <xf numFmtId="2" fontId="118" fillId="47" borderId="28" xfId="9" applyNumberFormat="1" applyFont="1" applyFill="1" applyBorder="1" applyAlignment="1">
      <alignment horizontal="centerContinuous" vertical="center"/>
    </xf>
    <xf numFmtId="0" fontId="118" fillId="47" borderId="28" xfId="2" applyFont="1" applyFill="1" applyBorder="1" applyAlignment="1">
      <alignment horizontal="centerContinuous" vertical="center"/>
    </xf>
    <xf numFmtId="0" fontId="11" fillId="47" borderId="28" xfId="2" applyFont="1" applyFill="1" applyBorder="1" applyAlignment="1">
      <alignment horizontal="centerContinuous" vertical="center"/>
    </xf>
    <xf numFmtId="0" fontId="11" fillId="47" borderId="29" xfId="2" applyFont="1" applyFill="1" applyBorder="1" applyAlignment="1">
      <alignment horizontal="centerContinuous" vertical="center"/>
    </xf>
    <xf numFmtId="0" fontId="11" fillId="47" borderId="223" xfId="2" applyFont="1" applyFill="1" applyBorder="1" applyAlignment="1">
      <alignment horizontal="center" vertical="center" wrapText="1"/>
    </xf>
    <xf numFmtId="0" fontId="11" fillId="47" borderId="223" xfId="2" applyFont="1" applyFill="1" applyBorder="1" applyAlignment="1">
      <alignment horizontal="centerContinuous" vertical="center" wrapText="1"/>
    </xf>
    <xf numFmtId="2" fontId="11" fillId="47" borderId="223" xfId="9" applyNumberFormat="1" applyFont="1" applyFill="1" applyBorder="1" applyAlignment="1">
      <alignment horizontal="center" vertical="center" wrapText="1"/>
    </xf>
    <xf numFmtId="0" fontId="11" fillId="47" borderId="224" xfId="2" applyFont="1" applyFill="1" applyBorder="1" applyAlignment="1">
      <alignment vertical="center"/>
    </xf>
    <xf numFmtId="0" fontId="11" fillId="47" borderId="225" xfId="2" applyFont="1" applyFill="1" applyBorder="1" applyAlignment="1">
      <alignment vertical="center"/>
    </xf>
    <xf numFmtId="0" fontId="11" fillId="47" borderId="226" xfId="2" applyFont="1" applyFill="1" applyBorder="1" applyAlignment="1">
      <alignment vertical="center"/>
    </xf>
    <xf numFmtId="0" fontId="11" fillId="47" borderId="227" xfId="2" applyFont="1" applyFill="1" applyBorder="1" applyAlignment="1">
      <alignment vertical="center"/>
    </xf>
    <xf numFmtId="0" fontId="11" fillId="47" borderId="228" xfId="2" applyFont="1" applyFill="1" applyBorder="1" applyAlignment="1">
      <alignment vertical="center"/>
    </xf>
    <xf numFmtId="0" fontId="11" fillId="47" borderId="229" xfId="2" applyFont="1" applyFill="1" applyBorder="1" applyAlignment="1">
      <alignment vertical="center"/>
    </xf>
    <xf numFmtId="0" fontId="24" fillId="47" borderId="225" xfId="2" applyFont="1" applyFill="1" applyBorder="1" applyAlignment="1">
      <alignment horizontal="center" vertical="center"/>
    </xf>
    <xf numFmtId="0" fontId="11" fillId="47" borderId="43" xfId="2" applyFont="1" applyFill="1" applyBorder="1" applyAlignment="1">
      <alignment horizontal="center" vertical="center"/>
    </xf>
    <xf numFmtId="0" fontId="11" fillId="47" borderId="230" xfId="2" applyFont="1" applyFill="1" applyBorder="1" applyAlignment="1">
      <alignment vertical="center"/>
    </xf>
    <xf numFmtId="0" fontId="11" fillId="47" borderId="231" xfId="2" applyFont="1" applyFill="1" applyBorder="1" applyAlignment="1">
      <alignment vertical="center"/>
    </xf>
    <xf numFmtId="0" fontId="11" fillId="47" borderId="224" xfId="2" applyFont="1" applyFill="1" applyBorder="1" applyAlignment="1">
      <alignment horizontal="center" vertical="center"/>
    </xf>
    <xf numFmtId="0" fontId="11" fillId="47" borderId="225" xfId="2" applyFont="1" applyFill="1" applyBorder="1" applyAlignment="1">
      <alignment horizontal="center" vertical="center"/>
    </xf>
    <xf numFmtId="0" fontId="11" fillId="47" borderId="226" xfId="2" applyFont="1" applyFill="1" applyBorder="1" applyAlignment="1">
      <alignment horizontal="center" vertical="center"/>
    </xf>
    <xf numFmtId="0" fontId="11" fillId="47" borderId="227" xfId="2" applyFont="1" applyFill="1" applyBorder="1" applyAlignment="1">
      <alignment horizontal="center" vertical="center"/>
    </xf>
    <xf numFmtId="0" fontId="11" fillId="47" borderId="228" xfId="2" applyFont="1" applyFill="1" applyBorder="1" applyAlignment="1">
      <alignment horizontal="center" vertical="center"/>
    </xf>
    <xf numFmtId="0" fontId="11" fillId="47" borderId="229" xfId="2" applyFont="1" applyFill="1" applyBorder="1" applyAlignment="1">
      <alignment horizontal="center" vertical="center"/>
    </xf>
    <xf numFmtId="2" fontId="11" fillId="47" borderId="224" xfId="9" applyNumberFormat="1" applyFont="1" applyFill="1" applyBorder="1" applyAlignment="1">
      <alignment horizontal="center" vertical="center"/>
    </xf>
    <xf numFmtId="2" fontId="11" fillId="47" borderId="225" xfId="9" applyNumberFormat="1" applyFont="1" applyFill="1" applyBorder="1" applyAlignment="1">
      <alignment horizontal="center" vertical="center"/>
    </xf>
    <xf numFmtId="2" fontId="11" fillId="47" borderId="227" xfId="9" applyNumberFormat="1" applyFont="1" applyFill="1" applyBorder="1" applyAlignment="1">
      <alignment horizontal="center" vertical="center"/>
    </xf>
    <xf numFmtId="2" fontId="11" fillId="47" borderId="228" xfId="9" applyNumberFormat="1" applyFont="1" applyFill="1" applyBorder="1" applyAlignment="1">
      <alignment horizontal="center" vertical="center"/>
    </xf>
    <xf numFmtId="0" fontId="11" fillId="47" borderId="43" xfId="2" applyFont="1" applyFill="1" applyBorder="1" applyAlignment="1">
      <alignment horizontal="centerContinuous" vertical="center"/>
    </xf>
    <xf numFmtId="0" fontId="11" fillId="47" borderId="232" xfId="2" applyFont="1" applyFill="1" applyBorder="1" applyAlignment="1">
      <alignment horizontal="center" vertical="center" wrapText="1"/>
    </xf>
    <xf numFmtId="0" fontId="11" fillId="0" borderId="44" xfId="2" applyFont="1" applyBorder="1" applyAlignment="1">
      <alignment horizontal="center" vertical="center"/>
    </xf>
    <xf numFmtId="0" fontId="11" fillId="47" borderId="44" xfId="2" applyFont="1" applyFill="1" applyBorder="1" applyAlignment="1">
      <alignment horizontal="center" vertical="center"/>
    </xf>
    <xf numFmtId="9" fontId="11" fillId="0" borderId="44" xfId="9" applyFont="1" applyBorder="1" applyAlignment="1">
      <alignment horizontal="center" vertical="center"/>
    </xf>
    <xf numFmtId="9" fontId="11" fillId="47" borderId="232" xfId="9" applyFont="1" applyFill="1" applyBorder="1" applyAlignment="1">
      <alignment horizontal="center" vertical="center" wrapText="1"/>
    </xf>
    <xf numFmtId="2" fontId="11" fillId="0" borderId="44" xfId="9" applyNumberFormat="1" applyFont="1" applyBorder="1" applyAlignment="1">
      <alignment horizontal="center" vertical="center"/>
    </xf>
    <xf numFmtId="2" fontId="11" fillId="47" borderId="44" xfId="9" applyNumberFormat="1" applyFont="1" applyFill="1" applyBorder="1" applyAlignment="1">
      <alignment horizontal="center" vertical="center"/>
    </xf>
    <xf numFmtId="0" fontId="11" fillId="0" borderId="34" xfId="2" applyFont="1" applyBorder="1" applyAlignment="1">
      <alignment horizontal="center" vertical="center"/>
    </xf>
    <xf numFmtId="2" fontId="11" fillId="0" borderId="41" xfId="2" applyNumberFormat="1" applyFont="1" applyBorder="1" applyAlignment="1">
      <alignment horizontal="center" vertical="center"/>
    </xf>
    <xf numFmtId="2" fontId="11" fillId="0" borderId="26" xfId="2" applyNumberFormat="1" applyFont="1" applyBorder="1" applyAlignment="1">
      <alignment horizontal="center" vertical="center"/>
    </xf>
    <xf numFmtId="0" fontId="11" fillId="0" borderId="56" xfId="2" applyFont="1" applyBorder="1" applyAlignment="1">
      <alignment horizontal="center" vertical="center"/>
    </xf>
    <xf numFmtId="0" fontId="11" fillId="47" borderId="229" xfId="2" applyFont="1" applyFill="1" applyBorder="1" applyAlignment="1">
      <alignment horizontal="center" vertical="center" wrapText="1"/>
    </xf>
    <xf numFmtId="0" fontId="11" fillId="47" borderId="4" xfId="2" applyFont="1" applyFill="1" applyBorder="1" applyAlignment="1">
      <alignment horizontal="center" vertical="center"/>
    </xf>
    <xf numFmtId="0" fontId="11" fillId="0" borderId="4" xfId="2" applyFont="1" applyBorder="1" applyAlignment="1">
      <alignment horizontal="center" vertical="center"/>
    </xf>
    <xf numFmtId="2" fontId="11" fillId="0" borderId="43" xfId="2" applyNumberFormat="1" applyFont="1" applyBorder="1" applyAlignment="1">
      <alignment horizontal="center" vertical="center"/>
    </xf>
    <xf numFmtId="0" fontId="11" fillId="8" borderId="25" xfId="2" applyFont="1" applyFill="1" applyBorder="1" applyAlignment="1" applyProtection="1">
      <alignment horizontal="center" vertical="center" wrapText="1"/>
    </xf>
    <xf numFmtId="3" fontId="25" fillId="6" borderId="27" xfId="2" applyNumberFormat="1" applyFont="1" applyFill="1" applyBorder="1" applyAlignment="1" applyProtection="1">
      <alignment horizontal="right" vertical="center"/>
      <protection locked="0"/>
    </xf>
    <xf numFmtId="3" fontId="25" fillId="6" borderId="28" xfId="2" applyNumberFormat="1" applyFont="1" applyFill="1" applyBorder="1" applyAlignment="1" applyProtection="1">
      <alignment horizontal="left" vertical="center"/>
      <protection locked="0"/>
    </xf>
    <xf numFmtId="3" fontId="25" fillId="6" borderId="29" xfId="2" applyNumberFormat="1" applyFont="1" applyFill="1" applyBorder="1" applyAlignment="1" applyProtection="1">
      <alignment horizontal="right" vertical="center"/>
      <protection locked="0"/>
    </xf>
    <xf numFmtId="0" fontId="1" fillId="5" borderId="16" xfId="0" applyFont="1" applyFill="1" applyBorder="1" applyAlignment="1">
      <alignment horizontal="left" indent="1"/>
    </xf>
    <xf numFmtId="0" fontId="1" fillId="5" borderId="16" xfId="0" applyFont="1" applyFill="1" applyBorder="1"/>
    <xf numFmtId="0" fontId="1" fillId="4" borderId="20" xfId="0" applyFont="1" applyFill="1" applyBorder="1" applyAlignment="1">
      <alignment horizontal="centerContinuous" vertical="center"/>
    </xf>
    <xf numFmtId="0" fontId="1" fillId="4" borderId="21" xfId="0" applyFont="1" applyFill="1" applyBorder="1" applyAlignment="1">
      <alignment horizontal="centerContinuous" vertical="center"/>
    </xf>
    <xf numFmtId="0" fontId="90" fillId="4" borderId="22" xfId="0" applyFont="1" applyFill="1" applyBorder="1" applyAlignment="1">
      <alignment horizontal="centerContinuous" vertical="center"/>
    </xf>
    <xf numFmtId="0" fontId="11" fillId="8" borderId="23" xfId="0" applyFont="1" applyFill="1" applyBorder="1" applyAlignment="1">
      <alignment horizontal="centerContinuous" vertical="center" wrapText="1"/>
    </xf>
    <xf numFmtId="0" fontId="11" fillId="8" borderId="24" xfId="0" applyFont="1" applyFill="1" applyBorder="1" applyAlignment="1">
      <alignment horizontal="centerContinuous" vertical="center" wrapText="1"/>
    </xf>
    <xf numFmtId="0" fontId="1" fillId="4" borderId="21" xfId="0" applyFont="1" applyFill="1" applyBorder="1" applyAlignment="1">
      <alignment vertical="center"/>
    </xf>
    <xf numFmtId="0" fontId="0" fillId="4" borderId="22" xfId="0" applyFill="1" applyBorder="1" applyAlignment="1">
      <alignment vertical="center"/>
    </xf>
    <xf numFmtId="0" fontId="1" fillId="4" borderId="6" xfId="0" applyFont="1" applyFill="1" applyBorder="1" applyAlignment="1">
      <alignment vertical="center"/>
    </xf>
    <xf numFmtId="3" fontId="11" fillId="6" borderId="20" xfId="2" applyNumberFormat="1" applyFont="1" applyFill="1" applyBorder="1" applyAlignment="1" applyProtection="1">
      <alignment horizontal="left" vertical="center"/>
      <protection locked="0"/>
    </xf>
    <xf numFmtId="0" fontId="1" fillId="6" borderId="21" xfId="0" applyFont="1" applyFill="1" applyBorder="1" applyAlignment="1" applyProtection="1">
      <alignment vertical="center"/>
      <protection locked="0"/>
    </xf>
    <xf numFmtId="0" fontId="1" fillId="6" borderId="21" xfId="0" applyFont="1" applyFill="1" applyBorder="1" applyAlignment="1" applyProtection="1">
      <alignment vertical="center" wrapText="1"/>
      <protection locked="0"/>
    </xf>
    <xf numFmtId="0" fontId="1" fillId="5" borderId="21" xfId="0" applyFont="1" applyFill="1" applyBorder="1" applyAlignment="1" applyProtection="1">
      <alignment vertical="center"/>
    </xf>
    <xf numFmtId="0" fontId="1" fillId="5" borderId="21" xfId="0" applyFont="1" applyFill="1" applyBorder="1" applyAlignment="1" applyProtection="1">
      <alignment vertical="center" wrapText="1"/>
    </xf>
    <xf numFmtId="0" fontId="1" fillId="5" borderId="21" xfId="0" applyFont="1" applyFill="1" applyBorder="1" applyAlignment="1" applyProtection="1">
      <alignment horizontal="center" vertical="center"/>
    </xf>
    <xf numFmtId="0" fontId="1" fillId="5" borderId="21" xfId="0" applyFont="1" applyFill="1" applyBorder="1" applyAlignment="1" applyProtection="1">
      <alignment horizontal="center" vertical="center" wrapText="1"/>
    </xf>
    <xf numFmtId="0" fontId="1" fillId="5" borderId="21" xfId="0" applyFont="1" applyFill="1" applyBorder="1" applyAlignment="1" applyProtection="1">
      <alignment horizontal="centerContinuous" vertical="center" wrapText="1"/>
    </xf>
    <xf numFmtId="2" fontId="1" fillId="5" borderId="21" xfId="0" applyNumberFormat="1" applyFont="1" applyFill="1" applyBorder="1" applyAlignment="1" applyProtection="1">
      <alignment horizontal="center" vertical="center" wrapText="1"/>
    </xf>
    <xf numFmtId="2" fontId="1" fillId="5" borderId="21" xfId="0" applyNumberFormat="1" applyFont="1" applyFill="1" applyBorder="1" applyAlignment="1" applyProtection="1">
      <alignment horizontal="left" vertical="center" wrapText="1"/>
    </xf>
    <xf numFmtId="0" fontId="0" fillId="5" borderId="22" xfId="0" applyFill="1" applyBorder="1" applyAlignment="1" applyProtection="1">
      <alignment horizontal="left"/>
    </xf>
    <xf numFmtId="3" fontId="25" fillId="6" borderId="40" xfId="2" applyNumberFormat="1" applyFont="1" applyFill="1" applyBorder="1" applyAlignment="1" applyProtection="1">
      <alignment horizontal="left" vertical="center"/>
      <protection locked="0"/>
    </xf>
    <xf numFmtId="0" fontId="39" fillId="6" borderId="41" xfId="0" applyFont="1" applyFill="1" applyBorder="1" applyAlignment="1" applyProtection="1">
      <alignment horizontal="left" vertical="center"/>
      <protection locked="0"/>
    </xf>
    <xf numFmtId="0" fontId="39" fillId="6" borderId="41" xfId="0" applyFont="1" applyFill="1" applyBorder="1" applyAlignment="1" applyProtection="1">
      <alignment vertical="center" wrapText="1"/>
      <protection locked="0"/>
    </xf>
    <xf numFmtId="0" fontId="39" fillId="5" borderId="41" xfId="0" applyFont="1" applyFill="1" applyBorder="1" applyAlignment="1" applyProtection="1">
      <alignment vertical="center"/>
    </xf>
    <xf numFmtId="3" fontId="39" fillId="5" borderId="41" xfId="0" applyNumberFormat="1" applyFont="1" applyFill="1" applyBorder="1" applyAlignment="1" applyProtection="1">
      <alignment vertical="center" wrapText="1"/>
    </xf>
    <xf numFmtId="0" fontId="39" fillId="5" borderId="41" xfId="0" applyFont="1" applyFill="1" applyBorder="1" applyAlignment="1" applyProtection="1">
      <alignment horizontal="center" vertical="center"/>
    </xf>
    <xf numFmtId="3" fontId="39" fillId="5" borderId="41" xfId="0" applyNumberFormat="1" applyFont="1" applyFill="1" applyBorder="1" applyAlignment="1" applyProtection="1">
      <alignment horizontal="center" vertical="center" wrapText="1"/>
    </xf>
    <xf numFmtId="3" fontId="39" fillId="5" borderId="41" xfId="0" applyNumberFormat="1" applyFont="1" applyFill="1" applyBorder="1" applyAlignment="1" applyProtection="1">
      <alignment horizontal="centerContinuous" vertical="center" wrapText="1"/>
    </xf>
    <xf numFmtId="2" fontId="39" fillId="5" borderId="41" xfId="0" applyNumberFormat="1" applyFont="1" applyFill="1" applyBorder="1" applyAlignment="1" applyProtection="1">
      <alignment horizontal="center" vertical="center" wrapText="1"/>
    </xf>
    <xf numFmtId="4" fontId="39" fillId="5" borderId="41" xfId="0" applyNumberFormat="1" applyFont="1" applyFill="1" applyBorder="1" applyAlignment="1" applyProtection="1">
      <alignment horizontal="left" vertical="center" wrapText="1"/>
    </xf>
    <xf numFmtId="168" fontId="39" fillId="5" borderId="41" xfId="0" applyNumberFormat="1" applyFont="1" applyFill="1" applyBorder="1" applyAlignment="1" applyProtection="1">
      <alignment horizontal="left" vertical="center" wrapText="1"/>
    </xf>
    <xf numFmtId="168" fontId="39" fillId="5" borderId="42" xfId="0" applyNumberFormat="1" applyFont="1" applyFill="1" applyBorder="1" applyAlignment="1" applyProtection="1">
      <alignment horizontal="left"/>
    </xf>
    <xf numFmtId="0" fontId="39" fillId="6" borderId="41" xfId="0" applyFont="1" applyFill="1" applyBorder="1" applyAlignment="1" applyProtection="1">
      <alignment vertical="center"/>
      <protection locked="0"/>
    </xf>
    <xf numFmtId="168" fontId="39" fillId="5" borderId="42" xfId="0" applyNumberFormat="1" applyFont="1" applyFill="1" applyBorder="1" applyAlignment="1">
      <alignment horizontal="left"/>
    </xf>
    <xf numFmtId="3" fontId="25" fillId="6" borderId="23" xfId="2" applyNumberFormat="1" applyFont="1" applyFill="1" applyBorder="1" applyAlignment="1" applyProtection="1">
      <alignment horizontal="left" vertical="center"/>
      <protection locked="0"/>
    </xf>
    <xf numFmtId="0" fontId="39" fillId="6" borderId="24" xfId="0" applyFont="1" applyFill="1" applyBorder="1" applyAlignment="1" applyProtection="1">
      <alignment vertical="center"/>
      <protection locked="0"/>
    </xf>
    <xf numFmtId="0" fontId="39" fillId="6" borderId="24" xfId="0" applyFont="1" applyFill="1" applyBorder="1" applyAlignment="1" applyProtection="1">
      <alignment vertical="center" wrapText="1"/>
      <protection locked="0"/>
    </xf>
    <xf numFmtId="0" fontId="39" fillId="5" borderId="24" xfId="0" applyFont="1" applyFill="1" applyBorder="1" applyAlignment="1" applyProtection="1">
      <alignment vertical="center"/>
    </xf>
    <xf numFmtId="3" fontId="39" fillId="5" borderId="24" xfId="0" applyNumberFormat="1" applyFont="1" applyFill="1" applyBorder="1" applyAlignment="1" applyProtection="1">
      <alignment vertical="center" wrapText="1"/>
    </xf>
    <xf numFmtId="0" fontId="39" fillId="5" borderId="24" xfId="0" applyFont="1" applyFill="1" applyBorder="1" applyAlignment="1" applyProtection="1">
      <alignment horizontal="center" vertical="center"/>
    </xf>
    <xf numFmtId="3" fontId="39" fillId="5" borderId="24" xfId="0" applyNumberFormat="1" applyFont="1" applyFill="1" applyBorder="1" applyAlignment="1" applyProtection="1">
      <alignment horizontal="center" vertical="center" wrapText="1"/>
    </xf>
    <xf numFmtId="3" fontId="39" fillId="5" borderId="24" xfId="0" applyNumberFormat="1" applyFont="1" applyFill="1" applyBorder="1" applyAlignment="1" applyProtection="1">
      <alignment horizontal="centerContinuous" vertical="center" wrapText="1"/>
    </xf>
    <xf numFmtId="2" fontId="39" fillId="5" borderId="24" xfId="0" applyNumberFormat="1" applyFont="1" applyFill="1" applyBorder="1" applyAlignment="1" applyProtection="1">
      <alignment horizontal="center" vertical="center" wrapText="1"/>
    </xf>
    <xf numFmtId="4" fontId="39" fillId="5" borderId="24" xfId="0" applyNumberFormat="1" applyFont="1" applyFill="1" applyBorder="1" applyAlignment="1" applyProtection="1">
      <alignment horizontal="left" vertical="center" wrapText="1"/>
    </xf>
    <xf numFmtId="168" fontId="39" fillId="5" borderId="24" xfId="0" applyNumberFormat="1" applyFont="1" applyFill="1" applyBorder="1" applyAlignment="1" applyProtection="1">
      <alignment horizontal="left" vertical="center" wrapText="1"/>
    </xf>
    <xf numFmtId="168" fontId="39" fillId="5" borderId="25" xfId="0" applyNumberFormat="1" applyFont="1" applyFill="1" applyBorder="1" applyAlignment="1">
      <alignment horizontal="left"/>
    </xf>
    <xf numFmtId="0" fontId="1" fillId="4" borderId="100" xfId="0" applyFont="1" applyFill="1" applyBorder="1" applyProtection="1"/>
    <xf numFmtId="0" fontId="39" fillId="4" borderId="130" xfId="0" applyFont="1" applyFill="1" applyBorder="1" applyProtection="1"/>
    <xf numFmtId="0" fontId="39" fillId="4" borderId="130" xfId="0" applyFont="1" applyFill="1" applyBorder="1"/>
    <xf numFmtId="0" fontId="39" fillId="4" borderId="108" xfId="0" applyFont="1" applyFill="1" applyBorder="1"/>
    <xf numFmtId="0" fontId="1" fillId="4" borderId="100" xfId="0" applyFont="1" applyFill="1" applyBorder="1" applyAlignment="1" applyProtection="1">
      <alignment horizontal="centerContinuous" vertical="center"/>
    </xf>
    <xf numFmtId="0" fontId="39" fillId="4" borderId="130" xfId="0" applyFont="1" applyFill="1" applyBorder="1" applyAlignment="1" applyProtection="1">
      <alignment horizontal="centerContinuous" vertical="center"/>
    </xf>
    <xf numFmtId="0" fontId="39" fillId="4" borderId="108" xfId="0" applyFont="1" applyFill="1" applyBorder="1" applyAlignment="1" applyProtection="1">
      <alignment horizontal="centerContinuous" vertical="center"/>
    </xf>
    <xf numFmtId="2" fontId="1" fillId="4" borderId="100" xfId="0" applyNumberFormat="1" applyFont="1" applyFill="1" applyBorder="1" applyAlignment="1" applyProtection="1">
      <alignment horizontal="centerContinuous" vertical="center" wrapText="1"/>
    </xf>
    <xf numFmtId="2" fontId="39" fillId="4" borderId="130" xfId="0" applyNumberFormat="1" applyFont="1" applyFill="1" applyBorder="1" applyAlignment="1" applyProtection="1">
      <alignment horizontal="centerContinuous" vertical="center" wrapText="1"/>
    </xf>
    <xf numFmtId="2" fontId="39" fillId="4" borderId="108" xfId="0" applyNumberFormat="1" applyFont="1" applyFill="1" applyBorder="1" applyAlignment="1" applyProtection="1">
      <alignment horizontal="centerContinuous" vertical="center" wrapText="1"/>
    </xf>
    <xf numFmtId="0" fontId="0" fillId="8" borderId="20" xfId="0" applyFont="1" applyFill="1" applyBorder="1" applyAlignment="1">
      <alignment horizontal="centerContinuous" vertical="top" wrapText="1"/>
    </xf>
    <xf numFmtId="0" fontId="0" fillId="8" borderId="21" xfId="0" applyFont="1" applyFill="1" applyBorder="1" applyAlignment="1">
      <alignment horizontal="centerContinuous" vertical="top" wrapText="1"/>
    </xf>
    <xf numFmtId="0" fontId="0" fillId="8" borderId="22" xfId="0" applyFont="1" applyFill="1" applyBorder="1" applyAlignment="1">
      <alignment horizontal="centerContinuous" vertical="top" wrapText="1"/>
    </xf>
    <xf numFmtId="0" fontId="0" fillId="8" borderId="40" xfId="0" applyFill="1" applyBorder="1" applyAlignment="1">
      <alignment horizontal="centerContinuous"/>
    </xf>
    <xf numFmtId="0" fontId="0" fillId="8" borderId="41" xfId="0" applyFill="1" applyBorder="1" applyAlignment="1">
      <alignment horizontal="centerContinuous"/>
    </xf>
    <xf numFmtId="0" fontId="0" fillId="8" borderId="42" xfId="0" applyFill="1" applyBorder="1" applyAlignment="1">
      <alignment horizontal="centerContinuous"/>
    </xf>
    <xf numFmtId="0" fontId="1" fillId="8" borderId="24" xfId="0" applyFont="1" applyFill="1" applyBorder="1" applyAlignment="1">
      <alignment horizontal="center" vertical="center" wrapText="1"/>
    </xf>
    <xf numFmtId="0" fontId="0" fillId="8" borderId="23" xfId="0" applyFill="1" applyBorder="1" applyAlignment="1">
      <alignment horizontal="center" vertical="center" wrapText="1"/>
    </xf>
    <xf numFmtId="0" fontId="0" fillId="8" borderId="25" xfId="0" applyFill="1" applyBorder="1" applyAlignment="1">
      <alignment horizontal="left" vertical="center" wrapText="1"/>
    </xf>
    <xf numFmtId="3" fontId="25" fillId="6" borderId="20" xfId="2" applyNumberFormat="1" applyFont="1" applyFill="1" applyBorder="1" applyAlignment="1" applyProtection="1">
      <alignment horizontal="left" vertical="center"/>
      <protection locked="0"/>
    </xf>
    <xf numFmtId="0" fontId="39" fillId="6" borderId="21" xfId="0" applyFont="1" applyFill="1" applyBorder="1" applyAlignment="1" applyProtection="1">
      <alignment horizontal="center" vertical="center"/>
      <protection locked="0"/>
    </xf>
    <xf numFmtId="0" fontId="39" fillId="6" borderId="21" xfId="0" applyFont="1" applyFill="1" applyBorder="1" applyAlignment="1" applyProtection="1">
      <alignment vertical="center" wrapText="1"/>
      <protection locked="0"/>
    </xf>
    <xf numFmtId="0" fontId="39" fillId="5" borderId="21" xfId="0" applyFont="1" applyFill="1" applyBorder="1" applyAlignment="1" applyProtection="1">
      <alignment horizontal="center" vertical="center" wrapText="1"/>
    </xf>
    <xf numFmtId="3" fontId="39" fillId="5" borderId="21" xfId="0" applyNumberFormat="1" applyFont="1" applyFill="1" applyBorder="1" applyAlignment="1" applyProtection="1">
      <alignment horizontal="center" vertical="center" wrapText="1"/>
    </xf>
    <xf numFmtId="0" fontId="39" fillId="5" borderId="21" xfId="0" applyFont="1" applyFill="1" applyBorder="1" applyAlignment="1" applyProtection="1">
      <alignment horizontal="center" vertical="center"/>
    </xf>
    <xf numFmtId="3" fontId="39" fillId="5" borderId="21" xfId="0" applyNumberFormat="1" applyFont="1" applyFill="1" applyBorder="1" applyAlignment="1" applyProtection="1">
      <alignment horizontal="center" vertical="center"/>
    </xf>
    <xf numFmtId="3" fontId="39" fillId="5" borderId="22" xfId="0" applyNumberFormat="1" applyFont="1" applyFill="1" applyBorder="1" applyAlignment="1" applyProtection="1">
      <alignment horizontal="center" vertical="center"/>
    </xf>
    <xf numFmtId="3" fontId="39" fillId="5" borderId="41" xfId="0" applyNumberFormat="1" applyFont="1" applyFill="1" applyBorder="1" applyAlignment="1" applyProtection="1">
      <alignment horizontal="center" vertical="center"/>
    </xf>
    <xf numFmtId="3" fontId="39" fillId="5" borderId="42" xfId="0" applyNumberFormat="1" applyFont="1" applyFill="1" applyBorder="1" applyAlignment="1" applyProtection="1">
      <alignment horizontal="center" vertical="center"/>
    </xf>
    <xf numFmtId="0" fontId="39" fillId="5" borderId="24" xfId="0" applyFont="1" applyFill="1" applyBorder="1" applyAlignment="1" applyProtection="1">
      <alignment horizontal="center" vertical="center" wrapText="1"/>
    </xf>
    <xf numFmtId="3" fontId="39" fillId="5" borderId="24" xfId="0" applyNumberFormat="1" applyFont="1" applyFill="1" applyBorder="1" applyAlignment="1" applyProtection="1">
      <alignment horizontal="center" vertical="center"/>
    </xf>
    <xf numFmtId="3" fontId="39" fillId="5" borderId="25" xfId="0" applyNumberFormat="1" applyFont="1" applyFill="1" applyBorder="1" applyAlignment="1" applyProtection="1">
      <alignment horizontal="center" vertical="center"/>
    </xf>
    <xf numFmtId="0" fontId="0" fillId="8" borderId="100" xfId="0" applyFill="1" applyBorder="1" applyProtection="1"/>
    <xf numFmtId="0" fontId="19" fillId="8" borderId="130" xfId="0" applyFont="1" applyFill="1" applyBorder="1" applyProtection="1"/>
    <xf numFmtId="0" fontId="19" fillId="8" borderId="108" xfId="0" applyFont="1" applyFill="1" applyBorder="1" applyProtection="1"/>
    <xf numFmtId="0" fontId="39" fillId="5" borderId="16" xfId="0" applyFont="1" applyFill="1" applyBorder="1" applyAlignment="1" applyProtection="1">
      <alignment horizontal="left" vertical="top"/>
    </xf>
    <xf numFmtId="0" fontId="39" fillId="5" borderId="27" xfId="0" applyFont="1" applyFill="1" applyBorder="1" applyAlignment="1" applyProtection="1">
      <alignment horizontal="left" vertical="center" wrapText="1" indent="1"/>
    </xf>
    <xf numFmtId="0" fontId="65" fillId="5" borderId="27" xfId="0" applyFont="1" applyFill="1" applyBorder="1" applyAlignment="1" applyProtection="1">
      <alignment horizontal="left" vertical="center" indent="1"/>
    </xf>
    <xf numFmtId="0" fontId="117" fillId="5" borderId="0" xfId="0" applyFont="1" applyFill="1"/>
    <xf numFmtId="0" fontId="1" fillId="4" borderId="24" xfId="0" applyFont="1" applyFill="1" applyBorder="1" applyAlignment="1">
      <alignment horizontal="center" vertical="center" wrapText="1"/>
    </xf>
    <xf numFmtId="164" fontId="25" fillId="0" borderId="119" xfId="10" applyNumberFormat="1" applyFont="1" applyFill="1" applyBorder="1" applyAlignment="1">
      <alignment horizontal="center" vertical="center"/>
    </xf>
    <xf numFmtId="3" fontId="25" fillId="6" borderId="119" xfId="2" applyNumberFormat="1" applyFont="1" applyFill="1" applyBorder="1" applyAlignment="1" applyProtection="1">
      <alignment horizontal="left" vertical="center" wrapText="1"/>
      <protection locked="0"/>
    </xf>
    <xf numFmtId="170" fontId="25" fillId="6" borderId="119" xfId="11" applyNumberFormat="1" applyFont="1" applyFill="1" applyBorder="1" applyAlignment="1" applyProtection="1">
      <alignment horizontal="center" vertical="center" wrapText="1"/>
      <protection locked="0"/>
    </xf>
    <xf numFmtId="168" fontId="19" fillId="0" borderId="119" xfId="0" applyNumberFormat="1" applyFont="1" applyBorder="1" applyAlignment="1">
      <alignment horizontal="center" vertical="center"/>
    </xf>
    <xf numFmtId="3" fontId="25" fillId="5" borderId="119" xfId="2" applyNumberFormat="1" applyFont="1" applyFill="1" applyBorder="1" applyAlignment="1">
      <alignment horizontal="left" vertical="center" wrapText="1" indent="1"/>
    </xf>
    <xf numFmtId="168" fontId="25" fillId="5" borderId="119" xfId="12" applyNumberFormat="1" applyFont="1" applyFill="1" applyBorder="1" applyAlignment="1">
      <alignment horizontal="right" vertical="center"/>
    </xf>
    <xf numFmtId="3" fontId="25" fillId="0" borderId="119" xfId="2" applyNumberFormat="1" applyFont="1" applyFill="1" applyBorder="1" applyAlignment="1">
      <alignment horizontal="left" vertical="center" indent="1"/>
    </xf>
    <xf numFmtId="168" fontId="25" fillId="5" borderId="119" xfId="2" applyNumberFormat="1" applyFont="1" applyFill="1" applyBorder="1" applyAlignment="1">
      <alignment horizontal="right" vertical="center"/>
    </xf>
    <xf numFmtId="3" fontId="25" fillId="0" borderId="119" xfId="2" applyNumberFormat="1" applyFont="1" applyFill="1" applyBorder="1" applyAlignment="1" applyProtection="1">
      <alignment horizontal="left" vertical="center" wrapText="1" indent="1"/>
    </xf>
    <xf numFmtId="164" fontId="25" fillId="0" borderId="119" xfId="10" applyNumberFormat="1" applyFont="1" applyFill="1" applyBorder="1" applyAlignment="1" applyProtection="1">
      <alignment horizontal="center" vertical="center"/>
    </xf>
    <xf numFmtId="3" fontId="25" fillId="0" borderId="119" xfId="2" applyNumberFormat="1" applyFont="1" applyFill="1" applyBorder="1" applyAlignment="1">
      <alignment horizontal="left" vertical="center" wrapText="1" indent="1"/>
    </xf>
    <xf numFmtId="0" fontId="25" fillId="5" borderId="119" xfId="2" applyFont="1" applyFill="1" applyBorder="1" applyAlignment="1" applyProtection="1">
      <alignment vertical="center"/>
    </xf>
    <xf numFmtId="164" fontId="25" fillId="5" borderId="119" xfId="10" applyNumberFormat="1" applyFont="1" applyFill="1" applyBorder="1" applyAlignment="1">
      <alignment horizontal="center" vertical="center"/>
    </xf>
    <xf numFmtId="0" fontId="1" fillId="8" borderId="12" xfId="0" applyFont="1" applyFill="1" applyBorder="1" applyAlignment="1">
      <alignment horizontal="left" vertical="center"/>
    </xf>
    <xf numFmtId="0" fontId="1" fillId="8" borderId="2" xfId="0" applyFont="1" applyFill="1" applyBorder="1" applyAlignment="1">
      <alignment horizontal="left"/>
    </xf>
    <xf numFmtId="0" fontId="1" fillId="8" borderId="233" xfId="0" applyFont="1" applyFill="1" applyBorder="1" applyAlignment="1">
      <alignment horizontal="left"/>
    </xf>
    <xf numFmtId="0" fontId="1" fillId="8" borderId="21" xfId="0" applyFont="1" applyFill="1" applyBorder="1" applyAlignment="1">
      <alignment horizontal="centerContinuous" vertical="center"/>
    </xf>
    <xf numFmtId="0" fontId="1" fillId="8" borderId="22" xfId="0" applyFont="1" applyFill="1" applyBorder="1" applyAlignment="1" applyProtection="1">
      <alignment horizontal="centerContinuous" vertical="center"/>
    </xf>
    <xf numFmtId="0" fontId="1" fillId="4" borderId="48" xfId="0" applyFont="1" applyFill="1" applyBorder="1" applyAlignment="1">
      <alignment horizontal="centerContinuous" vertical="center"/>
    </xf>
    <xf numFmtId="0" fontId="1" fillId="4" borderId="108" xfId="0" applyFont="1" applyFill="1" applyBorder="1" applyAlignment="1">
      <alignment horizontal="centerContinuous"/>
    </xf>
    <xf numFmtId="0" fontId="1" fillId="8" borderId="24" xfId="0" applyFont="1" applyFill="1" applyBorder="1" applyAlignment="1">
      <alignment horizontal="center" vertical="center"/>
    </xf>
    <xf numFmtId="0" fontId="1" fillId="4" borderId="24" xfId="0" applyFont="1" applyFill="1" applyBorder="1" applyAlignment="1">
      <alignment horizontal="centerContinuous" vertical="center" wrapText="1"/>
    </xf>
    <xf numFmtId="0" fontId="1" fillId="4" borderId="25" xfId="0" applyFont="1" applyFill="1" applyBorder="1" applyAlignment="1" applyProtection="1">
      <alignment horizontal="centerContinuous" vertical="center" wrapText="1"/>
    </xf>
    <xf numFmtId="0" fontId="11" fillId="44" borderId="130" xfId="2" applyNumberFormat="1" applyFont="1" applyFill="1" applyBorder="1" applyAlignment="1">
      <alignment horizontal="left" vertical="center" indent="1"/>
    </xf>
    <xf numFmtId="0" fontId="11" fillId="6" borderId="130" xfId="2" applyNumberFormat="1" applyFont="1" applyFill="1" applyBorder="1" applyAlignment="1" applyProtection="1">
      <alignment horizontal="left" vertical="center" indent="1"/>
      <protection locked="0"/>
    </xf>
    <xf numFmtId="9" fontId="11" fillId="6" borderId="130" xfId="9" applyFont="1" applyFill="1" applyBorder="1" applyAlignment="1" applyProtection="1">
      <alignment horizontal="left" vertical="center" indent="1"/>
      <protection locked="0"/>
    </xf>
    <xf numFmtId="9" fontId="11" fillId="5" borderId="130" xfId="9" applyFont="1" applyFill="1" applyBorder="1" applyAlignment="1">
      <alignment horizontal="centerContinuous" vertical="center"/>
    </xf>
    <xf numFmtId="0" fontId="11" fillId="5" borderId="130" xfId="2" applyNumberFormat="1" applyFont="1" applyFill="1" applyBorder="1" applyAlignment="1" applyProtection="1">
      <alignment horizontal="centerContinuous" vertical="center"/>
    </xf>
    <xf numFmtId="0" fontId="11" fillId="44" borderId="28" xfId="2" applyNumberFormat="1" applyFont="1" applyFill="1" applyBorder="1" applyAlignment="1" applyProtection="1">
      <alignment horizontal="left" vertical="center" indent="1"/>
      <protection locked="0"/>
    </xf>
    <xf numFmtId="0" fontId="11" fillId="6" borderId="28" xfId="2" applyNumberFormat="1" applyFont="1" applyFill="1" applyBorder="1" applyAlignment="1" applyProtection="1">
      <alignment horizontal="center" vertical="center"/>
      <protection locked="0"/>
    </xf>
    <xf numFmtId="171" fontId="11" fillId="6" borderId="28" xfId="1" applyNumberFormat="1" applyFont="1" applyFill="1" applyBorder="1" applyAlignment="1" applyProtection="1">
      <alignment horizontal="left" vertical="center" indent="1"/>
      <protection locked="0"/>
    </xf>
    <xf numFmtId="9" fontId="11" fillId="6" borderId="28" xfId="9" applyFont="1" applyFill="1" applyBorder="1" applyAlignment="1" applyProtection="1">
      <alignment horizontal="center" vertical="center"/>
      <protection locked="0"/>
    </xf>
    <xf numFmtId="9" fontId="11" fillId="5" borderId="28" xfId="9" applyFont="1" applyFill="1" applyBorder="1" applyAlignment="1">
      <alignment horizontal="centerContinuous" vertical="center"/>
    </xf>
    <xf numFmtId="0" fontId="11" fillId="5" borderId="29" xfId="2" applyNumberFormat="1" applyFont="1" applyFill="1" applyBorder="1" applyAlignment="1" applyProtection="1">
      <alignment horizontal="centerContinuous" vertical="center"/>
    </xf>
    <xf numFmtId="0" fontId="1" fillId="4" borderId="2" xfId="0" applyFont="1" applyFill="1" applyBorder="1" applyAlignment="1">
      <alignment horizontal="centerContinuous"/>
    </xf>
    <xf numFmtId="0" fontId="1" fillId="4" borderId="233" xfId="0" applyFont="1" applyFill="1" applyBorder="1" applyAlignment="1">
      <alignment horizontal="centerContinuous"/>
    </xf>
    <xf numFmtId="0" fontId="1" fillId="4" borderId="21" xfId="0" applyFont="1" applyFill="1" applyBorder="1" applyAlignment="1">
      <alignment horizontal="centerContinuous"/>
    </xf>
    <xf numFmtId="0" fontId="1" fillId="4" borderId="22" xfId="0" applyFont="1" applyFill="1" applyBorder="1" applyAlignment="1" applyProtection="1">
      <alignment horizontal="centerContinuous" vertical="center"/>
    </xf>
    <xf numFmtId="0" fontId="1" fillId="4" borderId="14" xfId="0" applyFont="1" applyFill="1" applyBorder="1" applyAlignment="1">
      <alignment horizontal="centerContinuous" wrapText="1"/>
    </xf>
    <xf numFmtId="0" fontId="1" fillId="4" borderId="234" xfId="0" applyFont="1" applyFill="1" applyBorder="1" applyAlignment="1">
      <alignment horizontal="centerContinuous" wrapText="1"/>
    </xf>
    <xf numFmtId="0" fontId="11" fillId="5" borderId="28" xfId="2" applyNumberFormat="1" applyFont="1" applyFill="1" applyBorder="1" applyAlignment="1">
      <alignment horizontal="center" vertical="center"/>
    </xf>
    <xf numFmtId="171" fontId="11" fillId="5" borderId="28" xfId="1" applyNumberFormat="1" applyFont="1" applyFill="1" applyBorder="1" applyAlignment="1">
      <alignment horizontal="left" vertical="center" indent="1"/>
    </xf>
    <xf numFmtId="9" fontId="11" fillId="5" borderId="28" xfId="9" applyFont="1" applyFill="1" applyBorder="1" applyAlignment="1">
      <alignment horizontal="center" vertical="center"/>
    </xf>
    <xf numFmtId="0" fontId="32" fillId="43" borderId="205" xfId="0" applyFont="1" applyFill="1" applyBorder="1" applyAlignment="1" applyProtection="1">
      <alignment horizontal="left"/>
    </xf>
    <xf numFmtId="0" fontId="111" fillId="43" borderId="128" xfId="0" applyFont="1" applyFill="1" applyBorder="1" applyAlignment="1" applyProtection="1">
      <alignment horizontal="left"/>
    </xf>
    <xf numFmtId="0" fontId="32" fillId="43" borderId="128" xfId="0" applyFont="1" applyFill="1" applyBorder="1" applyAlignment="1" applyProtection="1">
      <alignment horizontal="left"/>
    </xf>
    <xf numFmtId="0" fontId="111" fillId="43" borderId="206" xfId="0" applyFont="1" applyFill="1" applyBorder="1" applyAlignment="1" applyProtection="1">
      <alignment horizontal="left"/>
    </xf>
    <xf numFmtId="0" fontId="1" fillId="5" borderId="136" xfId="0" applyFont="1" applyFill="1" applyBorder="1" applyAlignment="1">
      <alignment horizontal="left" vertical="center" indent="1"/>
    </xf>
    <xf numFmtId="0" fontId="1" fillId="5" borderId="137" xfId="0" applyFont="1" applyFill="1" applyBorder="1" applyAlignment="1">
      <alignment horizontal="left" vertical="center" indent="1"/>
    </xf>
    <xf numFmtId="0" fontId="11" fillId="4" borderId="3" xfId="0" applyFont="1" applyFill="1" applyBorder="1" applyAlignment="1">
      <alignment horizontal="left" vertical="center" wrapText="1" indent="1"/>
    </xf>
    <xf numFmtId="0" fontId="68" fillId="4" borderId="235" xfId="0" applyFont="1" applyFill="1" applyBorder="1" applyAlignment="1">
      <alignment horizontal="left" vertical="center" wrapText="1"/>
    </xf>
    <xf numFmtId="0" fontId="11" fillId="47" borderId="14" xfId="2" applyFont="1" applyFill="1" applyBorder="1" applyAlignment="1">
      <alignment horizontal="center" vertical="center" wrapText="1"/>
    </xf>
    <xf numFmtId="0" fontId="11" fillId="47" borderId="19" xfId="2" applyFont="1" applyFill="1" applyBorder="1" applyAlignment="1">
      <alignment vertical="center"/>
    </xf>
    <xf numFmtId="0" fontId="11" fillId="47" borderId="4" xfId="2" applyFont="1" applyFill="1" applyBorder="1" applyAlignment="1">
      <alignment horizontal="centerContinuous" vertical="center" wrapText="1"/>
    </xf>
    <xf numFmtId="0" fontId="11" fillId="47" borderId="4" xfId="2" applyFont="1" applyFill="1" applyBorder="1" applyAlignment="1">
      <alignment horizontal="centerContinuous" vertical="center"/>
    </xf>
    <xf numFmtId="0" fontId="11" fillId="47" borderId="4" xfId="2" applyFont="1" applyFill="1" applyBorder="1" applyAlignment="1">
      <alignment horizontal="center" vertical="center" wrapText="1"/>
    </xf>
    <xf numFmtId="0" fontId="11" fillId="5" borderId="4" xfId="2" applyFont="1" applyFill="1" applyBorder="1" applyAlignment="1">
      <alignment horizontal="center" vertical="center" wrapText="1"/>
    </xf>
    <xf numFmtId="0" fontId="11" fillId="0" borderId="4" xfId="2" applyFont="1" applyFill="1" applyBorder="1" applyAlignment="1">
      <alignment horizontal="centerContinuous" vertical="center" wrapText="1"/>
    </xf>
    <xf numFmtId="0" fontId="11" fillId="0" borderId="4" xfId="2" applyFont="1" applyBorder="1" applyAlignment="1">
      <alignment horizontal="centerContinuous" vertical="center"/>
    </xf>
    <xf numFmtId="0" fontId="11" fillId="0" borderId="4" xfId="2" applyFont="1" applyFill="1" applyBorder="1" applyAlignment="1">
      <alignment horizontal="center" vertical="center" wrapText="1"/>
    </xf>
    <xf numFmtId="0" fontId="11" fillId="5" borderId="4" xfId="2" applyFont="1" applyFill="1" applyBorder="1" applyAlignment="1">
      <alignment horizontal="centerContinuous" vertical="center" wrapText="1"/>
    </xf>
    <xf numFmtId="0" fontId="24" fillId="47" borderId="12" xfId="2" applyFont="1" applyFill="1" applyBorder="1" applyAlignment="1">
      <alignment horizontal="center" vertical="center"/>
    </xf>
    <xf numFmtId="0" fontId="24" fillId="47" borderId="2" xfId="2" applyFont="1" applyFill="1" applyBorder="1" applyAlignment="1">
      <alignment horizontal="center" vertical="center"/>
    </xf>
    <xf numFmtId="0" fontId="11" fillId="47" borderId="17" xfId="2" applyFont="1" applyFill="1" applyBorder="1" applyAlignment="1">
      <alignment vertical="center"/>
    </xf>
    <xf numFmtId="0" fontId="11" fillId="47" borderId="13" xfId="2" applyFont="1" applyFill="1" applyBorder="1" applyAlignment="1">
      <alignment horizontal="center" vertical="center" wrapText="1"/>
    </xf>
    <xf numFmtId="0" fontId="11" fillId="6" borderId="12" xfId="298" applyFont="1" applyFill="1" applyBorder="1" applyAlignment="1" applyProtection="1">
      <alignment vertical="center"/>
    </xf>
    <xf numFmtId="0" fontId="11" fillId="6" borderId="2" xfId="298" applyNumberFormat="1" applyFont="1" applyFill="1" applyBorder="1" applyAlignment="1" applyProtection="1">
      <alignment vertical="center"/>
    </xf>
    <xf numFmtId="0" fontId="24" fillId="6" borderId="2" xfId="298" applyFont="1" applyFill="1" applyBorder="1" applyAlignment="1" applyProtection="1">
      <alignment vertical="center"/>
    </xf>
    <xf numFmtId="39" fontId="25" fillId="6" borderId="2" xfId="298" applyNumberFormat="1" applyFont="1" applyFill="1" applyBorder="1" applyAlignment="1" applyProtection="1">
      <alignment horizontal="right" vertical="center"/>
    </xf>
    <xf numFmtId="0" fontId="11" fillId="6" borderId="2" xfId="298" applyFont="1" applyFill="1" applyBorder="1" applyAlignment="1" applyProtection="1">
      <alignment vertical="center"/>
    </xf>
    <xf numFmtId="49" fontId="90" fillId="6" borderId="2" xfId="298" applyNumberFormat="1" applyFont="1" applyFill="1" applyBorder="1" applyAlignment="1" applyProtection="1">
      <alignment vertical="center" wrapText="1"/>
    </xf>
    <xf numFmtId="0" fontId="11" fillId="6" borderId="17" xfId="298" applyFont="1" applyFill="1" applyBorder="1" applyAlignment="1" applyProtection="1">
      <alignment horizontal="left" vertical="center" wrapText="1"/>
    </xf>
    <xf numFmtId="0" fontId="11" fillId="6" borderId="1" xfId="298" applyFont="1" applyFill="1" applyBorder="1" applyAlignment="1" applyProtection="1">
      <alignment vertical="center"/>
    </xf>
    <xf numFmtId="0" fontId="26" fillId="6" borderId="0" xfId="298" applyNumberFormat="1" applyFont="1" applyFill="1" applyBorder="1" applyAlignment="1" applyProtection="1">
      <alignment vertical="center"/>
    </xf>
    <xf numFmtId="0" fontId="24" fillId="6" borderId="0" xfId="298" applyFont="1" applyFill="1" applyBorder="1" applyAlignment="1" applyProtection="1">
      <alignment vertical="center"/>
    </xf>
    <xf numFmtId="39" fontId="25" fillId="6" borderId="0" xfId="298" applyNumberFormat="1" applyFont="1" applyFill="1" applyBorder="1" applyAlignment="1" applyProtection="1">
      <alignment horizontal="right" vertical="center"/>
    </xf>
    <xf numFmtId="49" fontId="90" fillId="6" borderId="0" xfId="298" applyNumberFormat="1" applyFont="1" applyFill="1" applyBorder="1" applyAlignment="1" applyProtection="1">
      <alignment vertical="center" wrapText="1"/>
    </xf>
    <xf numFmtId="0" fontId="11" fillId="6" borderId="18" xfId="298" applyFont="1" applyFill="1" applyBorder="1" applyAlignment="1" applyProtection="1">
      <alignment horizontal="left" vertical="center" wrapText="1"/>
    </xf>
    <xf numFmtId="0" fontId="11" fillId="6" borderId="0" xfId="298" applyNumberFormat="1" applyFont="1" applyFill="1" applyBorder="1" applyAlignment="1" applyProtection="1">
      <alignment vertical="center"/>
    </xf>
    <xf numFmtId="0" fontId="11" fillId="6" borderId="13" xfId="298" applyFont="1" applyFill="1" applyBorder="1" applyAlignment="1" applyProtection="1">
      <alignment vertical="center"/>
    </xf>
    <xf numFmtId="0" fontId="11" fillId="6" borderId="14" xfId="298" applyFont="1" applyFill="1" applyBorder="1" applyAlignment="1" applyProtection="1">
      <alignment vertical="center"/>
    </xf>
    <xf numFmtId="49" fontId="27" fillId="6" borderId="14" xfId="298" applyNumberFormat="1" applyFont="1" applyFill="1" applyBorder="1" applyAlignment="1" applyProtection="1">
      <alignment vertical="center" wrapText="1"/>
    </xf>
    <xf numFmtId="49" fontId="27" fillId="6" borderId="14" xfId="298" applyNumberFormat="1" applyFont="1" applyFill="1" applyBorder="1" applyAlignment="1" applyProtection="1">
      <alignment vertical="center"/>
    </xf>
    <xf numFmtId="0" fontId="93" fillId="6" borderId="14" xfId="298" applyFont="1" applyFill="1" applyBorder="1" applyAlignment="1" applyProtection="1">
      <alignment vertical="center" wrapText="1"/>
    </xf>
    <xf numFmtId="0" fontId="11" fillId="6" borderId="19" xfId="298" applyFont="1" applyFill="1" applyBorder="1" applyAlignment="1" applyProtection="1">
      <alignment vertical="center"/>
    </xf>
    <xf numFmtId="4" fontId="99" fillId="6" borderId="41" xfId="0" applyNumberFormat="1" applyFont="1" applyFill="1" applyBorder="1" applyAlignment="1" applyProtection="1">
      <alignment horizontal="right" vertical="center" wrapText="1"/>
      <protection locked="0"/>
    </xf>
    <xf numFmtId="0" fontId="1" fillId="8" borderId="41" xfId="0" applyFont="1" applyFill="1" applyBorder="1" applyAlignment="1">
      <alignment horizontal="center" vertical="center" wrapText="1"/>
    </xf>
    <xf numFmtId="0" fontId="1" fillId="8" borderId="42" xfId="0" applyFont="1" applyFill="1" applyBorder="1" applyAlignment="1">
      <alignment horizontal="center" vertical="center" wrapText="1"/>
    </xf>
    <xf numFmtId="0" fontId="1" fillId="8" borderId="40" xfId="0" applyFont="1" applyFill="1" applyBorder="1" applyAlignment="1">
      <alignment horizontal="center" vertical="center" wrapText="1"/>
    </xf>
    <xf numFmtId="0" fontId="39" fillId="6" borderId="44" xfId="0" applyFont="1" applyFill="1" applyBorder="1" applyAlignment="1" applyProtection="1">
      <alignment horizontal="left" vertical="center" wrapText="1"/>
      <protection locked="0"/>
    </xf>
    <xf numFmtId="0" fontId="21" fillId="45" borderId="31" xfId="0" applyFont="1" applyFill="1" applyBorder="1" applyAlignment="1">
      <alignment vertical="top" wrapText="1"/>
    </xf>
    <xf numFmtId="0" fontId="39" fillId="6" borderId="34" xfId="0" applyFont="1" applyFill="1" applyBorder="1" applyAlignment="1" applyProtection="1">
      <alignment horizontal="left" vertical="center" wrapText="1"/>
      <protection locked="0"/>
    </xf>
    <xf numFmtId="0" fontId="114" fillId="45" borderId="123" xfId="0" applyFont="1" applyFill="1" applyBorder="1" applyAlignment="1" applyProtection="1">
      <alignment horizontal="center" vertical="center" wrapText="1"/>
    </xf>
    <xf numFmtId="0" fontId="39" fillId="6" borderId="189" xfId="0" applyFont="1" applyFill="1" applyBorder="1" applyAlignment="1" applyProtection="1">
      <alignment horizontal="left" vertical="center" wrapText="1"/>
    </xf>
    <xf numFmtId="0" fontId="39" fillId="6" borderId="195" xfId="0" applyFont="1" applyFill="1" applyBorder="1" applyAlignment="1" applyProtection="1">
      <alignment horizontal="left" vertical="center" wrapText="1"/>
    </xf>
    <xf numFmtId="4" fontId="39" fillId="5" borderId="41" xfId="0" applyNumberFormat="1" applyFont="1" applyFill="1" applyBorder="1" applyAlignment="1" applyProtection="1">
      <alignment horizontal="right" vertical="center" wrapText="1"/>
    </xf>
    <xf numFmtId="9" fontId="25" fillId="5" borderId="43" xfId="0" applyNumberFormat="1" applyFont="1" applyFill="1" applyBorder="1" applyAlignment="1" applyProtection="1">
      <alignment horizontal="center" vertical="center" wrapText="1"/>
    </xf>
    <xf numFmtId="43" fontId="25" fillId="6" borderId="119" xfId="12" applyNumberFormat="1" applyFont="1" applyFill="1" applyBorder="1" applyAlignment="1" applyProtection="1">
      <alignment horizontal="right" vertical="center"/>
      <protection locked="0"/>
    </xf>
    <xf numFmtId="167" fontId="25" fillId="6" borderId="119" xfId="12" applyNumberFormat="1" applyFont="1" applyFill="1" applyBorder="1" applyAlignment="1" applyProtection="1">
      <alignment horizontal="right" vertical="center"/>
      <protection locked="0"/>
    </xf>
    <xf numFmtId="174" fontId="25" fillId="6" borderId="119" xfId="12" applyNumberFormat="1" applyFont="1" applyFill="1" applyBorder="1" applyAlignment="1" applyProtection="1">
      <alignment horizontal="right" vertical="center"/>
      <protection locked="0"/>
    </xf>
    <xf numFmtId="1" fontId="39" fillId="6" borderId="24" xfId="0" applyNumberFormat="1" applyFont="1" applyFill="1" applyBorder="1" applyAlignment="1" applyProtection="1">
      <alignment horizontal="right" vertical="center" wrapText="1"/>
      <protection locked="0"/>
    </xf>
    <xf numFmtId="9" fontId="39" fillId="6" borderId="25" xfId="0" applyNumberFormat="1" applyFont="1" applyFill="1" applyBorder="1" applyAlignment="1" applyProtection="1">
      <alignment horizontal="right" vertical="center" wrapText="1"/>
      <protection locked="0"/>
    </xf>
    <xf numFmtId="9" fontId="1" fillId="8" borderId="14" xfId="0" applyNumberFormat="1" applyFont="1" applyFill="1" applyBorder="1" applyAlignment="1">
      <alignment horizontal="center" vertical="center" wrapText="1"/>
    </xf>
    <xf numFmtId="0" fontId="39" fillId="6" borderId="23" xfId="0" applyFont="1" applyFill="1" applyBorder="1" applyAlignment="1" applyProtection="1">
      <alignment horizontal="right" vertical="center" wrapText="1"/>
      <protection locked="0"/>
    </xf>
    <xf numFmtId="168" fontId="39" fillId="6" borderId="24" xfId="0" applyNumberFormat="1" applyFont="1" applyFill="1" applyBorder="1" applyAlignment="1" applyProtection="1">
      <alignment horizontal="right" vertical="center" wrapText="1"/>
      <protection locked="0"/>
    </xf>
    <xf numFmtId="0" fontId="1" fillId="8" borderId="14" xfId="0" applyFont="1" applyFill="1" applyBorder="1" applyAlignment="1">
      <alignment horizontal="center" vertical="center" wrapText="1"/>
    </xf>
    <xf numFmtId="0" fontId="39" fillId="6" borderId="192" xfId="0" applyFont="1" applyFill="1" applyBorder="1" applyAlignment="1" applyProtection="1">
      <alignment horizontal="left" vertical="center" wrapText="1"/>
    </xf>
    <xf numFmtId="0" fontId="1" fillId="5" borderId="6" xfId="0" applyFont="1" applyFill="1" applyBorder="1" applyAlignment="1">
      <alignment horizontal="center" vertical="center"/>
    </xf>
    <xf numFmtId="0" fontId="34" fillId="6" borderId="6" xfId="0" applyFont="1" applyFill="1" applyBorder="1" applyAlignment="1" applyProtection="1">
      <alignment horizontal="center" vertical="center"/>
      <protection locked="0"/>
    </xf>
    <xf numFmtId="0" fontId="39" fillId="6" borderId="22" xfId="0" applyFont="1" applyFill="1" applyBorder="1" applyAlignment="1" applyProtection="1">
      <alignment horizontal="center" vertical="center" wrapText="1"/>
      <protection locked="0"/>
    </xf>
    <xf numFmtId="9" fontId="63" fillId="5" borderId="25" xfId="0" applyNumberFormat="1" applyFont="1" applyFill="1" applyBorder="1" applyAlignment="1" applyProtection="1">
      <alignment horizontal="center" vertical="center"/>
    </xf>
    <xf numFmtId="0" fontId="1" fillId="5" borderId="0" xfId="0" applyFont="1" applyFill="1" applyAlignment="1">
      <alignment vertical="center" wrapText="1"/>
    </xf>
    <xf numFmtId="0" fontId="0" fillId="5" borderId="0" xfId="0" applyFill="1" applyAlignment="1">
      <alignment vertical="center"/>
    </xf>
    <xf numFmtId="0" fontId="14" fillId="5" borderId="0" xfId="0" applyFont="1" applyFill="1" applyAlignment="1">
      <alignment vertical="center"/>
    </xf>
    <xf numFmtId="0" fontId="0" fillId="5" borderId="0" xfId="0" applyFill="1" applyAlignment="1">
      <alignment vertical="center" wrapText="1"/>
    </xf>
    <xf numFmtId="0" fontId="34" fillId="5" borderId="0" xfId="0" applyFont="1" applyFill="1" applyAlignment="1">
      <alignment vertical="center"/>
    </xf>
    <xf numFmtId="3" fontId="1" fillId="6" borderId="4" xfId="1" applyNumberFormat="1" applyFont="1" applyFill="1" applyBorder="1" applyAlignment="1" applyProtection="1">
      <alignment horizontal="right" vertical="center"/>
      <protection locked="0"/>
    </xf>
    <xf numFmtId="3" fontId="6" fillId="0" borderId="0" xfId="0" applyNumberFormat="1" applyFont="1"/>
    <xf numFmtId="3" fontId="1" fillId="0" borderId="4" xfId="1" applyNumberFormat="1" applyFont="1" applyFill="1" applyBorder="1" applyAlignment="1" applyProtection="1">
      <alignment horizontal="right" vertical="center"/>
    </xf>
    <xf numFmtId="0" fontId="22" fillId="5" borderId="0" xfId="2" applyFont="1" applyFill="1" applyBorder="1" applyAlignment="1" applyProtection="1">
      <alignment horizontal="left" vertical="top"/>
    </xf>
    <xf numFmtId="0" fontId="6" fillId="6" borderId="4" xfId="0" applyFont="1" applyFill="1" applyBorder="1" applyProtection="1">
      <protection locked="0"/>
    </xf>
    <xf numFmtId="0" fontId="8" fillId="6" borderId="4" xfId="0" applyFont="1" applyFill="1" applyBorder="1" applyAlignment="1" applyProtection="1">
      <alignment vertical="center" wrapText="1"/>
      <protection locked="0"/>
    </xf>
    <xf numFmtId="0" fontId="28" fillId="6" borderId="4" xfId="0" applyFont="1" applyFill="1" applyBorder="1" applyAlignment="1" applyProtection="1">
      <alignment horizontal="center" vertical="center"/>
      <protection locked="0"/>
    </xf>
    <xf numFmtId="0" fontId="30" fillId="6" borderId="4" xfId="2" applyFont="1" applyFill="1" applyBorder="1" applyAlignment="1" applyProtection="1">
      <alignment horizontal="center" vertical="center"/>
      <protection locked="0"/>
    </xf>
    <xf numFmtId="0" fontId="4" fillId="6" borderId="4" xfId="0" applyFont="1" applyFill="1" applyBorder="1" applyAlignment="1" applyProtection="1">
      <alignment horizontal="center" vertical="center"/>
      <protection locked="0"/>
    </xf>
    <xf numFmtId="0" fontId="0" fillId="6" borderId="4" xfId="0" applyFill="1" applyBorder="1"/>
    <xf numFmtId="0" fontId="0" fillId="6" borderId="4" xfId="0" applyFill="1" applyBorder="1" applyProtection="1">
      <protection locked="0"/>
    </xf>
    <xf numFmtId="0" fontId="1" fillId="6" borderId="4" xfId="0" applyFont="1" applyFill="1" applyBorder="1" applyAlignment="1" applyProtection="1">
      <alignment vertical="center" wrapText="1"/>
      <protection locked="0"/>
    </xf>
    <xf numFmtId="0" fontId="28" fillId="6" borderId="4" xfId="0" applyFont="1" applyFill="1" applyBorder="1" applyProtection="1">
      <protection locked="0"/>
    </xf>
    <xf numFmtId="0" fontId="28" fillId="6" borderId="4" xfId="0" applyFont="1" applyFill="1" applyBorder="1" applyAlignment="1" applyProtection="1">
      <alignment vertical="center" wrapText="1"/>
      <protection locked="0"/>
    </xf>
    <xf numFmtId="0" fontId="4" fillId="6" borderId="4" xfId="0" applyFont="1" applyFill="1" applyBorder="1" applyAlignment="1" applyProtection="1">
      <alignment vertical="center" wrapText="1"/>
      <protection locked="0"/>
    </xf>
    <xf numFmtId="0" fontId="1" fillId="6" borderId="4" xfId="0" applyFont="1" applyFill="1" applyBorder="1" applyProtection="1">
      <protection locked="0"/>
    </xf>
    <xf numFmtId="0" fontId="28" fillId="6" borderId="4" xfId="0" applyFont="1" applyFill="1" applyBorder="1" applyAlignment="1" applyProtection="1">
      <alignment wrapText="1"/>
      <protection locked="0"/>
    </xf>
    <xf numFmtId="0" fontId="1" fillId="6" borderId="4" xfId="0" applyFont="1" applyFill="1" applyBorder="1" applyAlignment="1" applyProtection="1">
      <alignment wrapText="1"/>
      <protection locked="0"/>
    </xf>
    <xf numFmtId="0" fontId="11" fillId="0" borderId="0" xfId="0" applyFont="1" applyAlignment="1">
      <alignment horizontal="left" vertical="center"/>
    </xf>
    <xf numFmtId="0" fontId="11" fillId="0" borderId="236" xfId="0" applyFont="1" applyBorder="1" applyAlignment="1">
      <alignment horizontal="center" vertical="center"/>
    </xf>
    <xf numFmtId="0" fontId="11" fillId="0" borderId="237" xfId="0" applyFont="1" applyBorder="1" applyAlignment="1">
      <alignment horizontal="center" vertical="center"/>
    </xf>
    <xf numFmtId="0" fontId="11" fillId="6" borderId="4" xfId="0" applyFont="1" applyFill="1" applyBorder="1" applyAlignment="1" applyProtection="1">
      <alignment horizontal="center" vertical="center"/>
      <protection locked="0"/>
    </xf>
    <xf numFmtId="3" fontId="115" fillId="8" borderId="4" xfId="0" applyNumberFormat="1" applyFont="1" applyFill="1" applyBorder="1" applyAlignment="1" applyProtection="1">
      <alignment horizontal="left" vertical="top" wrapText="1" indent="1"/>
    </xf>
    <xf numFmtId="0" fontId="1" fillId="0" borderId="0" xfId="0" applyFont="1" applyAlignment="1" applyProtection="1">
      <alignment horizontal="left" vertical="center"/>
    </xf>
    <xf numFmtId="0" fontId="10"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left" vertical="center"/>
      <protection locked="0"/>
    </xf>
    <xf numFmtId="0" fontId="11" fillId="6" borderId="4" xfId="2" applyFont="1" applyFill="1" applyBorder="1" applyAlignment="1" applyProtection="1">
      <alignment vertical="center"/>
      <protection locked="0"/>
    </xf>
    <xf numFmtId="0" fontId="25" fillId="6" borderId="4" xfId="2" applyFont="1" applyFill="1" applyBorder="1" applyAlignment="1" applyProtection="1">
      <alignment vertical="center"/>
      <protection locked="0"/>
    </xf>
    <xf numFmtId="0" fontId="106" fillId="6" borderId="4" xfId="0" applyFont="1" applyFill="1" applyBorder="1" applyProtection="1">
      <protection locked="0"/>
    </xf>
    <xf numFmtId="0" fontId="28" fillId="6" borderId="4" xfId="0" applyFont="1" applyFill="1" applyBorder="1" applyAlignment="1" applyProtection="1">
      <alignment vertical="center"/>
      <protection locked="0"/>
    </xf>
    <xf numFmtId="0" fontId="25" fillId="6" borderId="119" xfId="2" applyFont="1" applyFill="1" applyBorder="1" applyAlignment="1" applyProtection="1">
      <alignment horizontal="left" vertical="center" wrapText="1"/>
      <protection locked="0"/>
    </xf>
    <xf numFmtId="0" fontId="35" fillId="7" borderId="0" xfId="0" applyFont="1" applyFill="1" applyAlignment="1">
      <alignment horizontal="left" vertical="center" indent="1"/>
    </xf>
    <xf numFmtId="0" fontId="11" fillId="0" borderId="0" xfId="421"/>
    <xf numFmtId="0" fontId="120" fillId="0" borderId="0" xfId="445" applyFont="1" applyAlignment="1">
      <alignment horizontal="left"/>
    </xf>
    <xf numFmtId="0" fontId="121" fillId="0" borderId="0" xfId="445" applyFont="1"/>
    <xf numFmtId="0" fontId="122" fillId="0" borderId="0" xfId="445" applyFont="1"/>
    <xf numFmtId="0" fontId="120" fillId="0" borderId="0" xfId="445" applyFont="1"/>
    <xf numFmtId="0" fontId="122" fillId="4" borderId="241" xfId="445" applyFont="1" applyFill="1" applyBorder="1" applyAlignment="1">
      <alignment horizontal="center" vertical="center" wrapText="1"/>
    </xf>
    <xf numFmtId="0" fontId="122" fillId="4" borderId="242" xfId="445" applyFont="1" applyFill="1" applyBorder="1" applyAlignment="1">
      <alignment horizontal="center" vertical="center" wrapText="1"/>
    </xf>
    <xf numFmtId="0" fontId="122" fillId="4" borderId="243" xfId="445" applyFont="1" applyFill="1" applyBorder="1" applyAlignment="1">
      <alignment horizontal="center" vertical="center" wrapText="1"/>
    </xf>
    <xf numFmtId="0" fontId="122" fillId="4" borderId="244" xfId="445" applyFont="1" applyFill="1" applyBorder="1" applyAlignment="1">
      <alignment horizontal="center" vertical="center" wrapText="1"/>
    </xf>
    <xf numFmtId="0" fontId="120" fillId="0" borderId="0" xfId="445" applyFont="1" applyAlignment="1">
      <alignment horizontal="center" vertical="center" wrapText="1"/>
    </xf>
    <xf numFmtId="0" fontId="123" fillId="6" borderId="245" xfId="0" applyFont="1" applyFill="1" applyBorder="1" applyProtection="1">
      <protection locked="0"/>
    </xf>
    <xf numFmtId="0" fontId="19" fillId="6" borderId="246" xfId="0" applyFont="1" applyFill="1" applyBorder="1" applyProtection="1">
      <protection locked="0"/>
    </xf>
    <xf numFmtId="6" fontId="19" fillId="6" borderId="246" xfId="0" applyNumberFormat="1" applyFont="1" applyFill="1" applyBorder="1" applyProtection="1">
      <protection locked="0"/>
    </xf>
    <xf numFmtId="0" fontId="19" fillId="6" borderId="247" xfId="0" applyFont="1" applyFill="1" applyBorder="1" applyProtection="1">
      <protection locked="0"/>
    </xf>
    <xf numFmtId="0" fontId="19" fillId="6" borderId="245" xfId="0" applyFont="1" applyFill="1" applyBorder="1" applyProtection="1">
      <protection locked="0"/>
    </xf>
    <xf numFmtId="0" fontId="19" fillId="6" borderId="248" xfId="0" applyFont="1" applyFill="1" applyBorder="1" applyProtection="1">
      <protection locked="0"/>
    </xf>
    <xf numFmtId="0" fontId="19" fillId="6" borderId="82" xfId="0" applyFont="1" applyFill="1" applyBorder="1" applyProtection="1">
      <protection locked="0"/>
    </xf>
    <xf numFmtId="0" fontId="19" fillId="6" borderId="249" xfId="0" applyFont="1" applyFill="1" applyBorder="1" applyProtection="1">
      <protection locked="0"/>
    </xf>
    <xf numFmtId="0" fontId="123" fillId="6" borderId="248" xfId="0" applyFont="1" applyFill="1" applyBorder="1" applyProtection="1">
      <protection locked="0"/>
    </xf>
    <xf numFmtId="6" fontId="19" fillId="6" borderId="82" xfId="0" applyNumberFormat="1" applyFont="1" applyFill="1" applyBorder="1" applyProtection="1">
      <protection locked="0"/>
    </xf>
    <xf numFmtId="0" fontId="19" fillId="5" borderId="0" xfId="421" applyFont="1" applyFill="1"/>
    <xf numFmtId="0" fontId="112" fillId="6" borderId="250" xfId="421" applyFont="1" applyFill="1" applyBorder="1" applyProtection="1">
      <protection locked="0"/>
    </xf>
    <xf numFmtId="0" fontId="19" fillId="6" borderId="251" xfId="0" applyFont="1" applyFill="1" applyBorder="1" applyProtection="1">
      <protection locked="0"/>
    </xf>
    <xf numFmtId="6" fontId="19" fillId="6" borderId="251" xfId="0" applyNumberFormat="1" applyFont="1" applyFill="1" applyBorder="1" applyProtection="1">
      <protection locked="0"/>
    </xf>
    <xf numFmtId="0" fontId="19" fillId="6" borderId="252" xfId="0" applyFont="1" applyFill="1" applyBorder="1" applyProtection="1">
      <protection locked="0"/>
    </xf>
    <xf numFmtId="0" fontId="19" fillId="6" borderId="250" xfId="0" applyFont="1" applyFill="1" applyBorder="1" applyProtection="1">
      <protection locked="0"/>
    </xf>
    <xf numFmtId="0" fontId="122" fillId="4" borderId="253" xfId="445" applyFont="1" applyFill="1" applyBorder="1" applyAlignment="1">
      <alignment horizontal="center" vertical="center" wrapText="1"/>
    </xf>
    <xf numFmtId="0" fontId="122" fillId="4" borderId="254" xfId="445" applyFont="1" applyFill="1" applyBorder="1" applyAlignment="1">
      <alignment horizontal="center" vertical="center" wrapText="1"/>
    </xf>
    <xf numFmtId="0" fontId="122" fillId="4" borderId="255" xfId="445" applyFont="1" applyFill="1" applyBorder="1" applyAlignment="1">
      <alignment horizontal="center" vertical="center" wrapText="1"/>
    </xf>
    <xf numFmtId="0" fontId="120" fillId="0" borderId="0" xfId="445" applyFont="1" applyFill="1"/>
    <xf numFmtId="0" fontId="120" fillId="6" borderId="245" xfId="445" applyFont="1" applyFill="1" applyBorder="1" applyProtection="1">
      <protection locked="0"/>
    </xf>
    <xf numFmtId="0" fontId="120" fillId="6" borderId="246" xfId="445" applyFont="1" applyFill="1" applyBorder="1" applyProtection="1">
      <protection locked="0"/>
    </xf>
    <xf numFmtId="0" fontId="38" fillId="0" borderId="246" xfId="421" applyFont="1" applyBorder="1"/>
    <xf numFmtId="0" fontId="120" fillId="6" borderId="247" xfId="445" applyFont="1" applyFill="1" applyBorder="1" applyProtection="1">
      <protection locked="0"/>
    </xf>
    <xf numFmtId="0" fontId="120" fillId="6" borderId="248" xfId="445" applyFont="1" applyFill="1" applyBorder="1" applyProtection="1">
      <protection locked="0"/>
    </xf>
    <xf numFmtId="0" fontId="120" fillId="6" borderId="82" xfId="445" applyFont="1" applyFill="1" applyBorder="1" applyProtection="1">
      <protection locked="0"/>
    </xf>
    <xf numFmtId="0" fontId="38" fillId="0" borderId="82" xfId="421" applyFont="1" applyBorder="1"/>
    <xf numFmtId="0" fontId="120" fillId="6" borderId="249" xfId="445" applyFont="1" applyFill="1" applyBorder="1" applyProtection="1">
      <protection locked="0"/>
    </xf>
    <xf numFmtId="0" fontId="38" fillId="6" borderId="82" xfId="421" applyFont="1" applyFill="1" applyBorder="1"/>
    <xf numFmtId="0" fontId="38" fillId="6" borderId="248" xfId="421" applyFont="1" applyFill="1" applyBorder="1"/>
    <xf numFmtId="0" fontId="38" fillId="6" borderId="249" xfId="421" applyFont="1" applyFill="1" applyBorder="1"/>
    <xf numFmtId="0" fontId="38" fillId="6" borderId="250" xfId="421" applyFont="1" applyFill="1" applyBorder="1"/>
    <xf numFmtId="0" fontId="38" fillId="6" borderId="251" xfId="421" applyFont="1" applyFill="1" applyBorder="1"/>
    <xf numFmtId="0" fontId="38" fillId="0" borderId="251" xfId="421" applyFont="1" applyBorder="1"/>
    <xf numFmtId="0" fontId="38" fillId="6" borderId="252" xfId="421" applyFont="1" applyFill="1" applyBorder="1"/>
    <xf numFmtId="0" fontId="38" fillId="0" borderId="0" xfId="421" applyFont="1"/>
    <xf numFmtId="49" fontId="11" fillId="4" borderId="4" xfId="2" applyNumberFormat="1" applyFont="1" applyFill="1" applyBorder="1" applyAlignment="1">
      <alignment vertical="center" wrapText="1"/>
    </xf>
    <xf numFmtId="0" fontId="11" fillId="6" borderId="4" xfId="2" applyFont="1" applyFill="1" applyBorder="1" applyAlignment="1" applyProtection="1">
      <alignment horizontal="center" vertical="center"/>
      <protection locked="0"/>
    </xf>
    <xf numFmtId="0" fontId="123" fillId="5" borderId="248" xfId="421" applyFont="1" applyFill="1" applyBorder="1" applyProtection="1"/>
    <xf numFmtId="0" fontId="19" fillId="5" borderId="82" xfId="421" applyFont="1" applyFill="1" applyBorder="1" applyProtection="1"/>
    <xf numFmtId="0" fontId="19" fillId="5" borderId="249" xfId="421" applyFont="1" applyFill="1" applyBorder="1" applyProtection="1"/>
    <xf numFmtId="0" fontId="19" fillId="5" borderId="248" xfId="421" applyFont="1" applyFill="1" applyBorder="1" applyProtection="1"/>
    <xf numFmtId="0" fontId="1" fillId="5" borderId="0" xfId="0" applyFont="1" applyFill="1" applyAlignment="1">
      <alignment wrapText="1"/>
    </xf>
    <xf numFmtId="0" fontId="1" fillId="0" borderId="0" xfId="0" applyFont="1" applyAlignment="1">
      <alignment wrapText="1"/>
    </xf>
    <xf numFmtId="3" fontId="25" fillId="6" borderId="174" xfId="2" applyNumberFormat="1" applyFont="1" applyFill="1" applyBorder="1" applyAlignment="1" applyProtection="1">
      <alignment horizontal="right" vertical="center"/>
      <protection locked="0"/>
    </xf>
    <xf numFmtId="3" fontId="39" fillId="6" borderId="4" xfId="0" applyNumberFormat="1" applyFont="1" applyFill="1" applyBorder="1" applyAlignment="1" applyProtection="1">
      <alignment horizontal="center" vertical="center" wrapText="1"/>
      <protection locked="0"/>
    </xf>
    <xf numFmtId="3" fontId="19" fillId="6" borderId="4" xfId="0" applyNumberFormat="1" applyFont="1" applyFill="1" applyBorder="1" applyProtection="1">
      <protection locked="0"/>
    </xf>
    <xf numFmtId="2" fontId="11" fillId="47" borderId="0" xfId="9" applyNumberFormat="1" applyFont="1" applyFill="1" applyBorder="1" applyAlignment="1">
      <alignment horizontal="center" vertical="center"/>
    </xf>
    <xf numFmtId="0" fontId="11" fillId="47" borderId="0" xfId="2" applyFont="1" applyFill="1" applyBorder="1" applyAlignment="1">
      <alignment horizontal="center" vertical="center"/>
    </xf>
    <xf numFmtId="0" fontId="39" fillId="6" borderId="41" xfId="0" applyFont="1" applyFill="1" applyBorder="1" applyAlignment="1" applyProtection="1">
      <alignment horizontal="right" vertical="center" wrapText="1"/>
      <protection locked="0"/>
    </xf>
    <xf numFmtId="0" fontId="39" fillId="6" borderId="44" xfId="0" applyFont="1" applyFill="1" applyBorder="1" applyAlignment="1" applyProtection="1">
      <alignment horizontal="left" vertical="center" wrapText="1"/>
      <protection locked="0"/>
    </xf>
    <xf numFmtId="0" fontId="28" fillId="6" borderId="3" xfId="0" applyFont="1" applyFill="1" applyBorder="1" applyAlignment="1" applyProtection="1">
      <alignment horizontal="left" vertical="center"/>
      <protection locked="0"/>
    </xf>
    <xf numFmtId="0" fontId="28" fillId="6" borderId="16" xfId="0" applyFont="1" applyFill="1" applyBorder="1" applyAlignment="1" applyProtection="1">
      <alignment horizontal="left" vertical="center"/>
      <protection locked="0"/>
    </xf>
    <xf numFmtId="0" fontId="28" fillId="6" borderId="15" xfId="0" applyFont="1" applyFill="1" applyBorder="1" applyAlignment="1" applyProtection="1">
      <alignment horizontal="left" vertical="center"/>
      <protection locked="0"/>
    </xf>
    <xf numFmtId="0" fontId="39" fillId="6" borderId="41" xfId="0" applyFont="1" applyFill="1" applyBorder="1" applyAlignment="1" applyProtection="1">
      <alignment horizontal="center" vertical="center"/>
    </xf>
    <xf numFmtId="4" fontId="39" fillId="6" borderId="41" xfId="0" applyNumberFormat="1" applyFont="1" applyFill="1" applyBorder="1" applyAlignment="1" applyProtection="1">
      <alignment horizontal="right" vertical="center" wrapText="1"/>
    </xf>
    <xf numFmtId="9" fontId="25" fillId="6" borderId="43" xfId="0" applyNumberFormat="1" applyFont="1" applyFill="1" applyBorder="1" applyAlignment="1" applyProtection="1">
      <alignment horizontal="center" vertical="center" wrapText="1"/>
    </xf>
    <xf numFmtId="0" fontId="39" fillId="6" borderId="26" xfId="0" applyFont="1" applyFill="1" applyBorder="1" applyAlignment="1" applyProtection="1">
      <alignment horizontal="center" vertical="center"/>
    </xf>
    <xf numFmtId="4" fontId="39" fillId="6" borderId="26" xfId="0" applyNumberFormat="1" applyFont="1" applyFill="1" applyBorder="1" applyAlignment="1" applyProtection="1">
      <alignment horizontal="right" vertical="center" wrapText="1"/>
    </xf>
    <xf numFmtId="9" fontId="25" fillId="6" borderId="56" xfId="0" applyNumberFormat="1" applyFont="1" applyFill="1" applyBorder="1" applyAlignment="1" applyProtection="1">
      <alignment horizontal="center" vertical="center" wrapText="1"/>
    </xf>
    <xf numFmtId="0" fontId="39" fillId="6" borderId="28" xfId="0" applyFont="1" applyFill="1" applyBorder="1" applyAlignment="1" applyProtection="1">
      <alignment horizontal="left" vertical="center" wrapText="1"/>
      <protection locked="0"/>
    </xf>
    <xf numFmtId="0" fontId="39" fillId="6" borderId="41" xfId="0" applyFont="1" applyFill="1" applyBorder="1" applyAlignment="1" applyProtection="1">
      <alignment horizontal="right" vertical="center" wrapText="1"/>
      <protection locked="0"/>
    </xf>
    <xf numFmtId="0" fontId="39" fillId="6" borderId="21" xfId="0" applyFont="1" applyFill="1" applyBorder="1" applyAlignment="1" applyProtection="1">
      <alignment horizontal="center" vertical="center" wrapText="1"/>
      <protection locked="0"/>
    </xf>
    <xf numFmtId="3" fontId="25" fillId="0" borderId="119" xfId="2" applyNumberFormat="1" applyFont="1" applyFill="1" applyBorder="1" applyAlignment="1" applyProtection="1">
      <alignment horizontal="left" vertical="center" wrapText="1" indent="1"/>
    </xf>
    <xf numFmtId="164" fontId="25" fillId="0" borderId="119" xfId="10" applyNumberFormat="1" applyFont="1" applyFill="1" applyBorder="1" applyAlignment="1" applyProtection="1">
      <alignment horizontal="center" vertical="center"/>
    </xf>
    <xf numFmtId="164" fontId="25" fillId="9" borderId="119" xfId="10" applyNumberFormat="1" applyFont="1" applyFill="1" applyBorder="1" applyAlignment="1" applyProtection="1">
      <alignment horizontal="right" vertical="center"/>
    </xf>
    <xf numFmtId="170" fontId="25" fillId="6" borderId="119" xfId="11" applyNumberFormat="1" applyFont="1" applyFill="1" applyBorder="1" applyAlignment="1" applyProtection="1">
      <alignment horizontal="center" vertical="center" wrapText="1"/>
      <protection locked="0"/>
    </xf>
    <xf numFmtId="188" fontId="25" fillId="43" borderId="119" xfId="2" applyNumberFormat="1" applyFont="1" applyFill="1" applyBorder="1" applyAlignment="1" applyProtection="1">
      <alignment horizontal="right" vertical="center"/>
      <protection locked="0"/>
    </xf>
    <xf numFmtId="176" fontId="25" fillId="43" borderId="119" xfId="12" applyNumberFormat="1" applyFont="1" applyFill="1" applyBorder="1" applyAlignment="1" applyProtection="1">
      <alignment horizontal="right" vertical="center" wrapText="1"/>
      <protection locked="0"/>
    </xf>
    <xf numFmtId="42" fontId="25" fillId="43" borderId="119" xfId="2" applyNumberFormat="1" applyFont="1" applyFill="1" applyBorder="1" applyAlignment="1" applyProtection="1">
      <alignment horizontal="center" vertical="center" wrapText="1"/>
      <protection locked="0"/>
    </xf>
    <xf numFmtId="0" fontId="1" fillId="6" borderId="4" xfId="0" applyFont="1" applyFill="1" applyBorder="1" applyAlignment="1" applyProtection="1">
      <alignment horizontal="center" vertical="center"/>
      <protection locked="0"/>
    </xf>
    <xf numFmtId="0" fontId="11" fillId="8" borderId="24" xfId="0" applyFont="1" applyFill="1" applyBorder="1" applyAlignment="1" applyProtection="1">
      <alignment horizontal="center" vertical="center" wrapText="1"/>
    </xf>
    <xf numFmtId="165" fontId="25" fillId="6" borderId="26" xfId="0" applyNumberFormat="1" applyFont="1" applyFill="1" applyBorder="1" applyAlignment="1" applyProtection="1">
      <alignment horizontal="right" vertical="center" wrapText="1"/>
    </xf>
    <xf numFmtId="165" fontId="25" fillId="6" borderId="41" xfId="0" applyNumberFormat="1" applyFont="1" applyFill="1" applyBorder="1" applyAlignment="1" applyProtection="1">
      <alignment horizontal="right" vertical="center" wrapText="1"/>
    </xf>
    <xf numFmtId="0" fontId="24" fillId="8" borderId="63" xfId="0" applyFont="1" applyFill="1" applyBorder="1" applyAlignment="1" applyProtection="1">
      <alignment horizontal="center" vertical="center" wrapText="1"/>
    </xf>
    <xf numFmtId="3" fontId="25" fillId="0" borderId="119" xfId="2" applyNumberFormat="1" applyFont="1" applyFill="1" applyBorder="1" applyAlignment="1" applyProtection="1">
      <alignment horizontal="left" vertical="center" wrapText="1" indent="1"/>
    </xf>
    <xf numFmtId="164" fontId="25" fillId="0" borderId="119" xfId="10" applyNumberFormat="1" applyFont="1" applyFill="1" applyBorder="1" applyAlignment="1" applyProtection="1">
      <alignment horizontal="center" vertical="center"/>
    </xf>
    <xf numFmtId="0" fontId="23" fillId="5" borderId="0" xfId="2" applyFont="1" applyFill="1" applyBorder="1" applyAlignment="1" applyProtection="1">
      <alignment horizontal="left" vertical="top" wrapText="1"/>
    </xf>
    <xf numFmtId="0" fontId="22" fillId="5" borderId="0" xfId="2" applyFont="1" applyFill="1" applyBorder="1" applyAlignment="1" applyProtection="1">
      <alignment horizontal="left" vertical="top" wrapText="1"/>
    </xf>
    <xf numFmtId="0" fontId="11" fillId="5" borderId="0" xfId="2" applyFont="1" applyFill="1" applyBorder="1" applyAlignment="1" applyProtection="1">
      <alignment horizontal="left" vertical="top" wrapText="1"/>
    </xf>
    <xf numFmtId="0" fontId="11" fillId="5" borderId="0" xfId="2" applyFont="1" applyFill="1" applyBorder="1" applyAlignment="1" applyProtection="1">
      <alignment horizontal="left" vertical="center" wrapText="1"/>
    </xf>
    <xf numFmtId="0" fontId="16" fillId="0" borderId="0" xfId="0" applyFont="1" applyAlignment="1">
      <alignment horizontal="left" vertical="top" wrapText="1"/>
    </xf>
    <xf numFmtId="0" fontId="25" fillId="5" borderId="0" xfId="2" applyFont="1" applyFill="1" applyBorder="1" applyAlignment="1" applyProtection="1">
      <alignment horizontal="left" vertical="center" wrapText="1"/>
    </xf>
    <xf numFmtId="0" fontId="19" fillId="0" borderId="0" xfId="0" applyFont="1" applyAlignment="1">
      <alignment horizontal="left" vertical="center" wrapText="1"/>
    </xf>
    <xf numFmtId="191" fontId="11" fillId="5" borderId="0" xfId="2" applyNumberFormat="1" applyFont="1" applyFill="1" applyBorder="1" applyAlignment="1" applyProtection="1">
      <alignment horizontal="left" vertical="top" wrapText="1"/>
    </xf>
    <xf numFmtId="191" fontId="0" fillId="0" borderId="0" xfId="0" applyNumberFormat="1" applyAlignment="1">
      <alignment horizontal="left" vertical="top" wrapText="1"/>
    </xf>
    <xf numFmtId="0" fontId="25" fillId="5" borderId="0" xfId="298" applyNumberFormat="1" applyFont="1" applyFill="1" applyBorder="1" applyAlignment="1" applyProtection="1">
      <alignment vertical="center" wrapText="1"/>
    </xf>
    <xf numFmtId="0" fontId="25" fillId="5" borderId="0" xfId="298" applyNumberFormat="1" applyFont="1" applyFill="1" applyBorder="1" applyAlignment="1" applyProtection="1">
      <alignment vertical="center"/>
    </xf>
    <xf numFmtId="0" fontId="4" fillId="8" borderId="3" xfId="0" applyFont="1" applyFill="1" applyBorder="1" applyAlignment="1" applyProtection="1">
      <alignment horizontal="left" vertical="center" wrapText="1" indent="1"/>
    </xf>
    <xf numFmtId="0" fontId="4" fillId="8" borderId="16" xfId="0" applyFont="1" applyFill="1"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1" fillId="6" borderId="3" xfId="0" applyFont="1" applyFill="1" applyBorder="1" applyAlignment="1" applyProtection="1">
      <alignment horizontal="left" vertical="center" wrapText="1" indent="1"/>
      <protection locked="0"/>
    </xf>
    <xf numFmtId="0" fontId="16" fillId="0" borderId="16" xfId="0" applyFont="1" applyBorder="1" applyAlignment="1" applyProtection="1">
      <alignment horizontal="left" vertical="center" wrapText="1" indent="1"/>
      <protection locked="0"/>
    </xf>
    <xf numFmtId="0" fontId="16" fillId="0" borderId="15" xfId="0" applyFont="1" applyBorder="1" applyAlignment="1" applyProtection="1">
      <alignment horizontal="left" vertical="center" wrapText="1" indent="1"/>
      <protection locked="0"/>
    </xf>
    <xf numFmtId="3" fontId="11" fillId="5" borderId="0" xfId="18" applyNumberFormat="1" applyFont="1" applyFill="1" applyBorder="1" applyAlignment="1" applyProtection="1">
      <alignment horizontal="left" vertical="top" wrapText="1" indent="4"/>
    </xf>
    <xf numFmtId="0" fontId="30" fillId="6" borderId="3" xfId="2" applyFont="1" applyFill="1" applyBorder="1" applyAlignment="1" applyProtection="1">
      <alignment horizontal="left" vertical="top" wrapText="1"/>
    </xf>
    <xf numFmtId="0" fontId="30" fillId="6" borderId="16" xfId="2" applyFont="1" applyFill="1" applyBorder="1" applyAlignment="1" applyProtection="1">
      <alignment horizontal="left" vertical="top" wrapText="1"/>
    </xf>
    <xf numFmtId="0" fontId="30" fillId="6" borderId="15" xfId="2" applyFont="1" applyFill="1" applyBorder="1" applyAlignment="1" applyProtection="1">
      <alignment horizontal="left" vertical="top" wrapText="1"/>
    </xf>
    <xf numFmtId="0" fontId="30" fillId="8" borderId="3" xfId="2" applyFont="1" applyFill="1" applyBorder="1" applyAlignment="1" applyProtection="1">
      <alignment horizontal="left" vertical="center" wrapText="1" indent="1"/>
    </xf>
    <xf numFmtId="0" fontId="30" fillId="8" borderId="15" xfId="2" applyFont="1" applyFill="1" applyBorder="1" applyAlignment="1" applyProtection="1">
      <alignment horizontal="left" vertical="center" wrapText="1" indent="1"/>
    </xf>
    <xf numFmtId="0" fontId="29" fillId="0" borderId="0" xfId="0" applyFont="1" applyFill="1" applyBorder="1" applyAlignment="1" applyProtection="1">
      <alignment horizontal="left" vertical="top" wrapText="1"/>
    </xf>
    <xf numFmtId="0" fontId="11" fillId="4" borderId="4" xfId="2" applyFont="1" applyFill="1" applyBorder="1" applyAlignment="1" applyProtection="1">
      <alignment horizontal="left" vertical="center" wrapText="1" indent="1"/>
    </xf>
    <xf numFmtId="0" fontId="16" fillId="0" borderId="4" xfId="0" applyFont="1" applyBorder="1" applyAlignment="1" applyProtection="1">
      <alignment horizontal="left" vertical="center" wrapText="1" indent="1"/>
    </xf>
    <xf numFmtId="0" fontId="1" fillId="6" borderId="4" xfId="0" applyFont="1" applyFill="1" applyBorder="1" applyAlignment="1" applyProtection="1">
      <alignment horizontal="left" vertical="center" wrapText="1" indent="1"/>
    </xf>
    <xf numFmtId="0" fontId="3" fillId="8" borderId="4" xfId="0" applyFont="1" applyFill="1" applyBorder="1" applyAlignment="1" applyProtection="1">
      <alignment horizontal="left" vertical="center" wrapText="1" indent="1"/>
    </xf>
    <xf numFmtId="0" fontId="0" fillId="0" borderId="4" xfId="0" applyBorder="1" applyAlignment="1" applyProtection="1">
      <alignment horizontal="left" vertical="center" wrapText="1" indent="1"/>
    </xf>
    <xf numFmtId="0" fontId="0" fillId="6" borderId="4" xfId="0" applyFill="1" applyBorder="1" applyAlignment="1" applyProtection="1">
      <alignment horizontal="left" vertical="center" wrapText="1" indent="1"/>
    </xf>
    <xf numFmtId="0" fontId="30" fillId="6" borderId="3" xfId="2" applyFont="1" applyFill="1" applyBorder="1" applyAlignment="1" applyProtection="1">
      <alignment horizontal="left" vertical="center" indent="1"/>
    </xf>
    <xf numFmtId="0" fontId="30" fillId="6" borderId="16" xfId="2" applyFont="1" applyFill="1" applyBorder="1" applyAlignment="1" applyProtection="1">
      <alignment horizontal="left" vertical="center" indent="1"/>
    </xf>
    <xf numFmtId="0" fontId="30" fillId="6" borderId="15" xfId="2" applyFont="1" applyFill="1" applyBorder="1" applyAlignment="1" applyProtection="1">
      <alignment horizontal="left" vertical="center" indent="1"/>
    </xf>
    <xf numFmtId="0" fontId="1" fillId="6" borderId="16" xfId="0" applyFont="1" applyFill="1" applyBorder="1" applyAlignment="1" applyProtection="1">
      <alignment horizontal="left" vertical="center" wrapText="1" indent="1"/>
      <protection locked="0"/>
    </xf>
    <xf numFmtId="0" fontId="1" fillId="6" borderId="15" xfId="0" applyFont="1" applyFill="1" applyBorder="1" applyAlignment="1" applyProtection="1">
      <alignment horizontal="left" vertical="center" wrapText="1" indent="1"/>
      <protection locked="0"/>
    </xf>
    <xf numFmtId="0" fontId="1" fillId="8" borderId="3" xfId="0" applyFont="1" applyFill="1" applyBorder="1" applyAlignment="1" applyProtection="1">
      <alignment horizontal="left" vertical="center" wrapText="1" indent="1"/>
    </xf>
    <xf numFmtId="0" fontId="28" fillId="8" borderId="15" xfId="0" applyFont="1" applyFill="1" applyBorder="1" applyAlignment="1" applyProtection="1">
      <alignment horizontal="left" vertical="center" wrapText="1" indent="1"/>
    </xf>
    <xf numFmtId="0" fontId="28" fillId="8" borderId="3" xfId="0" applyFont="1" applyFill="1" applyBorder="1" applyAlignment="1" applyProtection="1">
      <alignment horizontal="left" vertical="center" indent="1"/>
    </xf>
    <xf numFmtId="0" fontId="28" fillId="8" borderId="15" xfId="0" applyFont="1" applyFill="1" applyBorder="1" applyAlignment="1" applyProtection="1">
      <alignment horizontal="left" vertical="center" indent="1"/>
    </xf>
    <xf numFmtId="0" fontId="34" fillId="0" borderId="0" xfId="0" applyFont="1" applyFill="1" applyBorder="1" applyAlignment="1" applyProtection="1">
      <alignment horizontal="left" vertical="center" wrapText="1" indent="4"/>
    </xf>
    <xf numFmtId="0" fontId="1" fillId="5" borderId="0" xfId="0" applyFont="1" applyFill="1" applyAlignment="1">
      <alignment horizontal="left" vertical="center" wrapText="1"/>
    </xf>
    <xf numFmtId="0" fontId="0" fillId="0" borderId="0" xfId="0" applyAlignment="1">
      <alignment horizontal="left" vertical="center" wrapText="1"/>
    </xf>
    <xf numFmtId="0" fontId="11" fillId="6" borderId="3" xfId="2" applyFont="1" applyFill="1" applyBorder="1" applyAlignment="1" applyProtection="1">
      <alignment horizontal="left" vertical="center" indent="1"/>
      <protection locked="0"/>
    </xf>
    <xf numFmtId="0" fontId="11" fillId="6" borderId="16" xfId="2" applyFont="1" applyFill="1" applyBorder="1" applyAlignment="1" applyProtection="1">
      <alignment horizontal="left" vertical="center" indent="1"/>
      <protection locked="0"/>
    </xf>
    <xf numFmtId="0" fontId="11" fillId="6" borderId="15" xfId="2" applyFont="1" applyFill="1" applyBorder="1" applyAlignment="1" applyProtection="1">
      <alignment horizontal="left" vertical="center" indent="1"/>
      <protection locked="0"/>
    </xf>
    <xf numFmtId="0" fontId="11" fillId="6" borderId="3" xfId="2" applyFont="1" applyFill="1" applyBorder="1" applyAlignment="1" applyProtection="1">
      <alignment horizontal="left" vertical="center" wrapText="1" indent="1"/>
      <protection locked="0"/>
    </xf>
    <xf numFmtId="0" fontId="11" fillId="6" borderId="16" xfId="2" applyFont="1" applyFill="1" applyBorder="1" applyAlignment="1" applyProtection="1">
      <alignment horizontal="left" vertical="center" wrapText="1" indent="1"/>
      <protection locked="0"/>
    </xf>
    <xf numFmtId="0" fontId="11" fillId="6" borderId="15" xfId="2" applyFont="1" applyFill="1" applyBorder="1" applyAlignment="1" applyProtection="1">
      <alignment horizontal="left" vertical="center" wrapText="1" indent="1"/>
      <protection locked="0"/>
    </xf>
    <xf numFmtId="0" fontId="11" fillId="6" borderId="3" xfId="2" applyFont="1" applyFill="1" applyBorder="1" applyAlignment="1" applyProtection="1">
      <alignment horizontal="left" vertical="center" wrapText="1"/>
      <protection locked="0"/>
    </xf>
    <xf numFmtId="0" fontId="11" fillId="6" borderId="16" xfId="2" applyFont="1" applyFill="1" applyBorder="1" applyAlignment="1" applyProtection="1">
      <alignment horizontal="left" vertical="center" wrapText="1"/>
      <protection locked="0"/>
    </xf>
    <xf numFmtId="0" fontId="11" fillId="6" borderId="15" xfId="2" applyFont="1" applyFill="1" applyBorder="1" applyAlignment="1" applyProtection="1">
      <alignment horizontal="left" vertical="center" wrapText="1"/>
      <protection locked="0"/>
    </xf>
    <xf numFmtId="0" fontId="11" fillId="9" borderId="14" xfId="2" applyFont="1" applyFill="1" applyBorder="1" applyAlignment="1" applyProtection="1">
      <alignment horizontal="left" vertical="top" wrapText="1"/>
    </xf>
    <xf numFmtId="0" fontId="1" fillId="6" borderId="3" xfId="0" applyFont="1" applyFill="1" applyBorder="1" applyAlignment="1" applyProtection="1">
      <alignment horizontal="left"/>
      <protection locked="0"/>
    </xf>
    <xf numFmtId="0" fontId="16" fillId="0" borderId="15" xfId="0" applyFont="1" applyBorder="1" applyAlignment="1" applyProtection="1">
      <alignment horizontal="left"/>
      <protection locked="0"/>
    </xf>
    <xf numFmtId="0" fontId="25" fillId="6" borderId="3" xfId="2" applyFont="1" applyFill="1" applyBorder="1" applyAlignment="1" applyProtection="1">
      <alignment horizontal="left" vertical="center" wrapText="1"/>
      <protection locked="0"/>
    </xf>
    <xf numFmtId="0" fontId="25" fillId="6" borderId="16" xfId="2" applyFont="1" applyFill="1" applyBorder="1" applyAlignment="1" applyProtection="1">
      <alignment horizontal="left" vertical="center" wrapText="1"/>
      <protection locked="0"/>
    </xf>
    <xf numFmtId="0" fontId="25" fillId="6" borderId="15" xfId="2" applyFont="1" applyFill="1" applyBorder="1" applyAlignment="1" applyProtection="1">
      <alignment horizontal="left" vertical="center" wrapText="1"/>
      <protection locked="0"/>
    </xf>
    <xf numFmtId="0" fontId="1" fillId="6" borderId="3" xfId="0" applyFont="1" applyFill="1" applyBorder="1" applyAlignment="1" applyProtection="1">
      <alignment horizontal="left" vertical="center"/>
      <protection locked="0"/>
    </xf>
    <xf numFmtId="0" fontId="1" fillId="6" borderId="15" xfId="0" applyFont="1" applyFill="1" applyBorder="1" applyAlignment="1" applyProtection="1">
      <alignment horizontal="left" vertical="center"/>
      <protection locked="0"/>
    </xf>
    <xf numFmtId="0" fontId="11" fillId="5" borderId="3" xfId="2" applyNumberFormat="1" applyFont="1" applyFill="1" applyBorder="1" applyAlignment="1">
      <alignment horizontal="left" vertical="center"/>
    </xf>
    <xf numFmtId="0" fontId="11" fillId="5" borderId="16" xfId="2" applyNumberFormat="1" applyFont="1" applyFill="1" applyBorder="1" applyAlignment="1">
      <alignment horizontal="left" vertical="center"/>
    </xf>
    <xf numFmtId="0" fontId="11" fillId="5" borderId="35" xfId="2" applyNumberFormat="1" applyFont="1" applyFill="1" applyBorder="1" applyAlignment="1">
      <alignment horizontal="left" vertical="center"/>
    </xf>
    <xf numFmtId="0" fontId="1" fillId="4" borderId="142" xfId="0" applyFont="1" applyFill="1" applyBorder="1" applyAlignment="1">
      <alignment horizontal="center" vertical="center"/>
    </xf>
    <xf numFmtId="0" fontId="1" fillId="4" borderId="143" xfId="0" applyFont="1" applyFill="1" applyBorder="1" applyAlignment="1">
      <alignment horizontal="center" vertical="center"/>
    </xf>
    <xf numFmtId="0" fontId="1" fillId="4" borderId="12"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14" xfId="0" applyFont="1" applyFill="1" applyBorder="1" applyAlignment="1">
      <alignment horizontal="center" vertical="center"/>
    </xf>
    <xf numFmtId="0" fontId="1" fillId="4" borderId="141" xfId="0" applyFont="1" applyFill="1" applyBorder="1" applyAlignment="1">
      <alignment horizontal="center" vertical="center" wrapText="1"/>
    </xf>
    <xf numFmtId="0" fontId="1" fillId="4" borderId="142" xfId="0" applyFont="1" applyFill="1" applyBorder="1" applyAlignment="1">
      <alignment horizontal="center" vertical="center" wrapText="1"/>
    </xf>
    <xf numFmtId="0" fontId="1" fillId="5" borderId="0" xfId="0" applyFont="1" applyFill="1" applyAlignment="1" applyProtection="1">
      <alignment vertical="center" wrapText="1"/>
    </xf>
    <xf numFmtId="0" fontId="1" fillId="0" borderId="0" xfId="0" applyFont="1" applyAlignment="1" applyProtection="1">
      <alignment vertical="center" wrapText="1"/>
    </xf>
    <xf numFmtId="0" fontId="1" fillId="6" borderId="120" xfId="0" applyFont="1" applyFill="1" applyBorder="1" applyAlignment="1" applyProtection="1">
      <alignment vertical="center" wrapText="1"/>
    </xf>
    <xf numFmtId="0" fontId="1" fillId="6" borderId="121" xfId="0" applyFont="1" applyFill="1" applyBorder="1" applyAlignment="1" applyProtection="1">
      <alignment vertical="center" wrapText="1"/>
    </xf>
    <xf numFmtId="0" fontId="1" fillId="6" borderId="122" xfId="0" applyFont="1" applyFill="1" applyBorder="1" applyAlignment="1" applyProtection="1">
      <alignment vertical="center" wrapText="1"/>
    </xf>
    <xf numFmtId="0" fontId="11" fillId="6" borderId="130" xfId="2" applyNumberFormat="1" applyFont="1" applyFill="1" applyBorder="1" applyAlignment="1" applyProtection="1">
      <alignment horizontal="left" vertical="center"/>
      <protection locked="0"/>
    </xf>
    <xf numFmtId="0" fontId="11" fillId="6" borderId="27" xfId="2" applyNumberFormat="1" applyFont="1" applyFill="1" applyBorder="1" applyAlignment="1" applyProtection="1">
      <alignment horizontal="left" vertical="center"/>
      <protection locked="0"/>
    </xf>
    <xf numFmtId="0" fontId="11" fillId="6" borderId="28" xfId="2" applyNumberFormat="1" applyFont="1" applyFill="1" applyBorder="1" applyAlignment="1" applyProtection="1">
      <alignment horizontal="left" vertical="center"/>
      <protection locked="0"/>
    </xf>
    <xf numFmtId="0" fontId="1" fillId="43" borderId="197" xfId="0" applyFont="1" applyFill="1" applyBorder="1" applyAlignment="1" applyProtection="1">
      <alignment horizontal="left"/>
    </xf>
    <xf numFmtId="0" fontId="1" fillId="43" borderId="199" xfId="0" applyFont="1" applyFill="1" applyBorder="1" applyAlignment="1" applyProtection="1">
      <alignment horizontal="left"/>
    </xf>
    <xf numFmtId="0" fontId="1" fillId="43" borderId="199" xfId="0" applyFont="1" applyFill="1" applyBorder="1" applyAlignment="1" applyProtection="1">
      <alignment horizontal="center"/>
    </xf>
    <xf numFmtId="0" fontId="1" fillId="43" borderId="198" xfId="0" applyFont="1" applyFill="1" applyBorder="1" applyAlignment="1" applyProtection="1">
      <alignment horizontal="center"/>
    </xf>
    <xf numFmtId="0" fontId="1" fillId="8" borderId="41" xfId="0" applyFont="1" applyFill="1" applyBorder="1" applyAlignment="1">
      <alignment horizontal="center" vertical="center" wrapText="1"/>
    </xf>
    <xf numFmtId="0" fontId="1" fillId="8" borderId="42" xfId="0" applyFont="1" applyFill="1" applyBorder="1" applyAlignment="1">
      <alignment horizontal="center" vertical="center" wrapText="1"/>
    </xf>
    <xf numFmtId="0" fontId="1" fillId="8" borderId="40" xfId="0" applyFont="1" applyFill="1" applyBorder="1" applyAlignment="1">
      <alignment horizontal="center" vertical="center" wrapText="1"/>
    </xf>
    <xf numFmtId="0" fontId="1" fillId="8" borderId="23" xfId="0" applyFont="1" applyFill="1" applyBorder="1" applyAlignment="1">
      <alignment horizontal="center" vertical="center" wrapText="1"/>
    </xf>
    <xf numFmtId="0" fontId="1" fillId="8" borderId="25" xfId="0" applyFont="1" applyFill="1" applyBorder="1" applyAlignment="1">
      <alignment horizontal="center" vertical="center" wrapText="1"/>
    </xf>
    <xf numFmtId="0" fontId="11" fillId="8" borderId="41" xfId="2" applyFont="1" applyFill="1" applyBorder="1" applyAlignment="1" applyProtection="1">
      <alignment horizontal="center" vertical="center" wrapText="1"/>
    </xf>
    <xf numFmtId="0" fontId="11" fillId="8" borderId="24" xfId="2" applyFont="1" applyFill="1" applyBorder="1" applyAlignment="1" applyProtection="1">
      <alignment horizontal="center" vertical="center" wrapText="1"/>
    </xf>
    <xf numFmtId="0" fontId="11" fillId="5" borderId="0" xfId="2" applyFont="1" applyFill="1" applyAlignment="1" applyProtection="1">
      <alignment horizontal="left" vertical="top" wrapText="1"/>
    </xf>
    <xf numFmtId="0" fontId="21" fillId="5" borderId="0" xfId="2" applyFont="1" applyFill="1" applyAlignment="1" applyProtection="1">
      <alignment horizontal="left" vertical="top" wrapText="1"/>
    </xf>
    <xf numFmtId="0" fontId="53" fillId="0" borderId="0" xfId="0" applyFont="1" applyAlignment="1">
      <alignment horizontal="left" vertical="top" wrapText="1"/>
    </xf>
    <xf numFmtId="0" fontId="11" fillId="8" borderId="6" xfId="2" applyFont="1" applyFill="1" applyBorder="1" applyAlignment="1" applyProtection="1">
      <alignment horizontal="center" vertical="center" wrapText="1"/>
    </xf>
    <xf numFmtId="0" fontId="11" fillId="8" borderId="5" xfId="2" applyFont="1" applyFill="1" applyBorder="1" applyAlignment="1" applyProtection="1">
      <alignment horizontal="center" vertical="center" wrapText="1"/>
    </xf>
    <xf numFmtId="0" fontId="11" fillId="8" borderId="132" xfId="2" applyFont="1" applyFill="1" applyBorder="1" applyAlignment="1" applyProtection="1">
      <alignment horizontal="center" vertical="center" wrapText="1"/>
    </xf>
    <xf numFmtId="0" fontId="11" fillId="8" borderId="20" xfId="2" applyFont="1" applyFill="1" applyBorder="1" applyAlignment="1" applyProtection="1">
      <alignment horizontal="center" vertical="center" wrapText="1"/>
    </xf>
    <xf numFmtId="0" fontId="11" fillId="8" borderId="21" xfId="2" applyFont="1" applyFill="1" applyBorder="1" applyAlignment="1" applyProtection="1">
      <alignment horizontal="center" vertical="center" wrapText="1"/>
    </xf>
    <xf numFmtId="0" fontId="11" fillId="8" borderId="22" xfId="2" applyFont="1" applyFill="1" applyBorder="1" applyAlignment="1" applyProtection="1">
      <alignment horizontal="center" vertical="center" wrapText="1"/>
    </xf>
    <xf numFmtId="0" fontId="0" fillId="0" borderId="5" xfId="0" applyBorder="1" applyAlignment="1">
      <alignment vertical="center"/>
    </xf>
    <xf numFmtId="0" fontId="0" fillId="0" borderId="132" xfId="0" applyBorder="1" applyAlignment="1">
      <alignment vertical="center"/>
    </xf>
    <xf numFmtId="0" fontId="1" fillId="8" borderId="20" xfId="0" applyFont="1" applyFill="1" applyBorder="1" applyAlignment="1">
      <alignment horizontal="center" vertical="center" wrapText="1"/>
    </xf>
    <xf numFmtId="0" fontId="1" fillId="8" borderId="22" xfId="0" applyFont="1" applyFill="1" applyBorder="1" applyAlignment="1">
      <alignment horizontal="center" vertical="center" wrapText="1"/>
    </xf>
    <xf numFmtId="0" fontId="11" fillId="8" borderId="40" xfId="2" applyFont="1" applyFill="1" applyBorder="1" applyAlignment="1" applyProtection="1">
      <alignment horizontal="center" vertical="center" wrapText="1"/>
    </xf>
    <xf numFmtId="0" fontId="11" fillId="8" borderId="23" xfId="2" applyFont="1" applyFill="1" applyBorder="1" applyAlignment="1" applyProtection="1">
      <alignment horizontal="center" vertical="center" wrapText="1"/>
    </xf>
    <xf numFmtId="0" fontId="1" fillId="6" borderId="16" xfId="0" applyFont="1" applyFill="1" applyBorder="1" applyAlignment="1" applyProtection="1">
      <alignment horizontal="left" vertical="center"/>
      <protection locked="0"/>
    </xf>
    <xf numFmtId="0" fontId="1" fillId="4" borderId="45" xfId="0" applyFont="1" applyFill="1" applyBorder="1" applyAlignment="1">
      <alignment horizontal="left" vertical="center" indent="1"/>
    </xf>
    <xf numFmtId="0" fontId="1" fillId="0" borderId="45" xfId="0" applyFont="1" applyBorder="1" applyAlignment="1">
      <alignment horizontal="left" vertical="center" indent="1"/>
    </xf>
    <xf numFmtId="0" fontId="1" fillId="5" borderId="0" xfId="0" applyFont="1" applyFill="1" applyAlignment="1">
      <alignment vertical="top" wrapText="1"/>
    </xf>
    <xf numFmtId="0" fontId="1" fillId="0" borderId="0" xfId="0" applyFont="1" applyAlignment="1">
      <alignment vertical="top" wrapText="1"/>
    </xf>
    <xf numFmtId="0" fontId="1" fillId="5" borderId="0" xfId="0" applyFont="1" applyFill="1" applyAlignment="1">
      <alignment vertical="center" wrapText="1"/>
    </xf>
    <xf numFmtId="0" fontId="1" fillId="0" borderId="0" xfId="0" applyFont="1" applyAlignment="1">
      <alignment vertical="center"/>
    </xf>
    <xf numFmtId="0" fontId="1" fillId="5" borderId="3" xfId="0" applyFont="1" applyFill="1" applyBorder="1" applyAlignment="1">
      <alignment vertical="center"/>
    </xf>
    <xf numFmtId="0" fontId="1" fillId="5" borderId="16" xfId="0" applyFont="1" applyFill="1" applyBorder="1" applyAlignment="1">
      <alignment vertical="center"/>
    </xf>
    <xf numFmtId="0" fontId="1" fillId="5" borderId="15" xfId="0" applyFont="1" applyFill="1" applyBorder="1" applyAlignment="1">
      <alignment vertical="center"/>
    </xf>
    <xf numFmtId="0" fontId="1" fillId="4" borderId="45" xfId="0" applyFont="1" applyFill="1" applyBorder="1" applyAlignment="1">
      <alignment vertical="center"/>
    </xf>
    <xf numFmtId="0" fontId="1" fillId="0" borderId="45" xfId="0" applyFont="1" applyBorder="1" applyAlignment="1">
      <alignment vertical="center"/>
    </xf>
    <xf numFmtId="0" fontId="1" fillId="0" borderId="16" xfId="0" applyFont="1" applyBorder="1" applyAlignment="1">
      <alignment vertical="center"/>
    </xf>
    <xf numFmtId="0" fontId="1" fillId="0" borderId="15" xfId="0" applyFont="1" applyBorder="1" applyAlignment="1">
      <alignment vertical="center"/>
    </xf>
    <xf numFmtId="0" fontId="1" fillId="5" borderId="0" xfId="0" applyFont="1" applyFill="1" applyAlignment="1">
      <alignment horizontal="left" vertical="top" wrapText="1"/>
    </xf>
    <xf numFmtId="0" fontId="11" fillId="4" borderId="41" xfId="0" applyFont="1" applyFill="1" applyBorder="1" applyAlignment="1">
      <alignment horizontal="center" vertical="center" wrapText="1"/>
    </xf>
    <xf numFmtId="0" fontId="11" fillId="4" borderId="24" xfId="0" applyFont="1" applyFill="1" applyBorder="1" applyAlignment="1">
      <alignment horizontal="center" vertical="center" wrapText="1"/>
    </xf>
    <xf numFmtId="0" fontId="11" fillId="8" borderId="3" xfId="2" applyFont="1" applyFill="1" applyBorder="1" applyAlignment="1" applyProtection="1">
      <alignment horizontal="center" vertical="center" wrapText="1"/>
    </xf>
    <xf numFmtId="0" fontId="11" fillId="8" borderId="16" xfId="2" applyFont="1" applyFill="1" applyBorder="1" applyAlignment="1" applyProtection="1">
      <alignment horizontal="center" vertical="center" wrapText="1"/>
    </xf>
    <xf numFmtId="0" fontId="11" fillId="8" borderId="15" xfId="2" applyFont="1" applyFill="1" applyBorder="1" applyAlignment="1" applyProtection="1">
      <alignment horizontal="center" vertical="center" wrapText="1"/>
    </xf>
    <xf numFmtId="0" fontId="11" fillId="4" borderId="3" xfId="2" applyFont="1" applyFill="1" applyBorder="1" applyAlignment="1" applyProtection="1">
      <alignment horizontal="left" vertical="center"/>
    </xf>
    <xf numFmtId="0" fontId="11" fillId="4" borderId="16" xfId="2" applyFont="1" applyFill="1" applyBorder="1" applyAlignment="1" applyProtection="1">
      <alignment horizontal="left" vertical="center"/>
    </xf>
    <xf numFmtId="0" fontId="11" fillId="4" borderId="35" xfId="2" applyFont="1" applyFill="1" applyBorder="1" applyAlignment="1" applyProtection="1">
      <alignment horizontal="left" vertical="center"/>
    </xf>
    <xf numFmtId="0" fontId="1" fillId="4" borderId="41" xfId="0" applyFont="1" applyFill="1" applyBorder="1" applyAlignment="1">
      <alignment horizontal="center" vertical="center" wrapText="1"/>
    </xf>
    <xf numFmtId="0" fontId="1" fillId="4" borderId="24" xfId="0" applyFont="1" applyFill="1" applyBorder="1" applyAlignment="1">
      <alignment horizontal="center" vertical="center" wrapText="1"/>
    </xf>
    <xf numFmtId="0" fontId="0" fillId="4" borderId="42" xfId="0" applyFill="1" applyBorder="1" applyAlignment="1">
      <alignment horizontal="center" vertical="center" wrapText="1"/>
    </xf>
    <xf numFmtId="0" fontId="0" fillId="4" borderId="25" xfId="0" applyFill="1" applyBorder="1" applyAlignment="1">
      <alignment horizontal="center" vertical="center" wrapText="1"/>
    </xf>
    <xf numFmtId="0" fontId="1" fillId="4" borderId="40" xfId="0" applyFont="1" applyFill="1" applyBorder="1" applyAlignment="1">
      <alignment horizontal="center" vertical="center" wrapText="1"/>
    </xf>
    <xf numFmtId="0" fontId="11" fillId="4" borderId="15" xfId="2" applyFont="1" applyFill="1" applyBorder="1" applyAlignment="1" applyProtection="1">
      <alignment horizontal="left" vertical="center"/>
    </xf>
    <xf numFmtId="0" fontId="11" fillId="8" borderId="12" xfId="2" applyFont="1" applyFill="1" applyBorder="1" applyAlignment="1" applyProtection="1">
      <alignment horizontal="center" vertical="center" wrapText="1"/>
    </xf>
    <xf numFmtId="0" fontId="11" fillId="8" borderId="17" xfId="2" applyFont="1" applyFill="1" applyBorder="1" applyAlignment="1" applyProtection="1">
      <alignment horizontal="center" vertical="center" wrapText="1"/>
    </xf>
    <xf numFmtId="0" fontId="11" fillId="8" borderId="13" xfId="2" applyFont="1" applyFill="1" applyBorder="1" applyAlignment="1" applyProtection="1">
      <alignment horizontal="center" vertical="center" wrapText="1"/>
    </xf>
    <xf numFmtId="0" fontId="11" fillId="8" borderId="19" xfId="2" applyFont="1" applyFill="1" applyBorder="1" applyAlignment="1" applyProtection="1">
      <alignment horizontal="center" vertical="center" wrapText="1"/>
    </xf>
    <xf numFmtId="0" fontId="11" fillId="8" borderId="41"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11" fillId="8" borderId="4" xfId="2" applyFont="1" applyFill="1" applyBorder="1" applyAlignment="1" applyProtection="1">
      <alignment horizontal="center" vertical="center" wrapText="1"/>
    </xf>
    <xf numFmtId="0" fontId="11" fillId="8" borderId="4" xfId="0" applyFont="1" applyFill="1" applyBorder="1" applyAlignment="1">
      <alignment horizontal="center" vertical="center" wrapText="1"/>
    </xf>
    <xf numFmtId="0" fontId="11" fillId="8" borderId="42" xfId="0" applyFont="1" applyFill="1" applyBorder="1" applyAlignment="1">
      <alignment horizontal="center" vertical="center" wrapText="1"/>
    </xf>
    <xf numFmtId="0" fontId="11" fillId="8" borderId="25" xfId="0" applyFont="1" applyFill="1" applyBorder="1" applyAlignment="1">
      <alignment horizontal="center" vertical="center" wrapText="1"/>
    </xf>
    <xf numFmtId="0" fontId="1" fillId="4" borderId="5" xfId="0" applyFont="1" applyFill="1" applyBorder="1" applyAlignment="1">
      <alignment horizontal="center" vertical="center"/>
    </xf>
    <xf numFmtId="0" fontId="1" fillId="4" borderId="45" xfId="0" applyFont="1" applyFill="1" applyBorder="1" applyAlignment="1">
      <alignment horizontal="center" vertical="center"/>
    </xf>
    <xf numFmtId="0" fontId="1" fillId="4" borderId="23" xfId="0" applyFont="1" applyFill="1" applyBorder="1" applyAlignment="1">
      <alignment horizontal="center" vertical="center" wrapText="1"/>
    </xf>
    <xf numFmtId="0" fontId="1" fillId="4" borderId="4" xfId="0" applyFont="1" applyFill="1" applyBorder="1" applyAlignment="1">
      <alignment horizontal="center" vertical="center"/>
    </xf>
    <xf numFmtId="0" fontId="1" fillId="5" borderId="0" xfId="0" applyFont="1" applyFill="1" applyBorder="1" applyAlignment="1">
      <alignment horizontal="left" vertical="top" wrapText="1"/>
    </xf>
    <xf numFmtId="0" fontId="0" fillId="8" borderId="4" xfId="0" applyFont="1" applyFill="1" applyBorder="1" applyAlignment="1">
      <alignment horizontal="center" vertical="top" wrapText="1"/>
    </xf>
    <xf numFmtId="0" fontId="1" fillId="8" borderId="20" xfId="0" applyFont="1" applyFill="1" applyBorder="1" applyAlignment="1">
      <alignment horizontal="center" wrapText="1"/>
    </xf>
    <xf numFmtId="0" fontId="0" fillId="8" borderId="21" xfId="0" applyFill="1" applyBorder="1" applyAlignment="1"/>
    <xf numFmtId="0" fontId="0" fillId="8" borderId="22" xfId="0" applyFill="1" applyBorder="1" applyAlignment="1"/>
    <xf numFmtId="0" fontId="1" fillId="8" borderId="40" xfId="0" applyFont="1" applyFill="1" applyBorder="1" applyAlignment="1">
      <alignment horizontal="center" wrapText="1"/>
    </xf>
    <xf numFmtId="0" fontId="0" fillId="8" borderId="41" xfId="0" applyFill="1" applyBorder="1" applyAlignment="1">
      <alignment horizontal="center" wrapText="1"/>
    </xf>
    <xf numFmtId="0" fontId="1" fillId="8" borderId="41" xfId="0" applyFont="1" applyFill="1" applyBorder="1" applyAlignment="1">
      <alignment horizontal="center" wrapText="1"/>
    </xf>
    <xf numFmtId="0" fontId="0" fillId="8" borderId="42" xfId="0" applyFill="1" applyBorder="1" applyAlignment="1">
      <alignment horizontal="center" wrapText="1"/>
    </xf>
    <xf numFmtId="0" fontId="0" fillId="8" borderId="20" xfId="0" applyFont="1" applyFill="1" applyBorder="1" applyAlignment="1">
      <alignment horizontal="center" vertical="top" wrapText="1"/>
    </xf>
    <xf numFmtId="0" fontId="0" fillId="8" borderId="22" xfId="0" applyFont="1" applyFill="1" applyBorder="1" applyAlignment="1">
      <alignment horizontal="center" vertical="top" wrapText="1"/>
    </xf>
    <xf numFmtId="0" fontId="0" fillId="8" borderId="40" xfId="0" applyFont="1" applyFill="1" applyBorder="1" applyAlignment="1">
      <alignment horizontal="center" vertical="top" wrapText="1"/>
    </xf>
    <xf numFmtId="0" fontId="0" fillId="8" borderId="42" xfId="0" applyFont="1" applyFill="1" applyBorder="1" applyAlignment="1">
      <alignment horizontal="center" vertical="top" wrapText="1"/>
    </xf>
    <xf numFmtId="0" fontId="1" fillId="8" borderId="6" xfId="0" applyFont="1" applyFill="1" applyBorder="1" applyAlignment="1">
      <alignment horizontal="center" vertical="center" wrapText="1"/>
    </xf>
    <xf numFmtId="0" fontId="1" fillId="8" borderId="5" xfId="0" applyFont="1" applyFill="1" applyBorder="1" applyAlignment="1">
      <alignment horizontal="center" vertical="center" wrapText="1"/>
    </xf>
    <xf numFmtId="0" fontId="1" fillId="8" borderId="45" xfId="0" applyFont="1" applyFill="1" applyBorder="1" applyAlignment="1">
      <alignment horizontal="center" vertical="center" wrapText="1"/>
    </xf>
    <xf numFmtId="0" fontId="1" fillId="4" borderId="6" xfId="0" applyFont="1" applyFill="1" applyBorder="1" applyAlignment="1"/>
    <xf numFmtId="0" fontId="1" fillId="4" borderId="5" xfId="0" applyFont="1" applyFill="1" applyBorder="1" applyAlignment="1"/>
    <xf numFmtId="0" fontId="1" fillId="4" borderId="45" xfId="0" applyFont="1" applyFill="1" applyBorder="1" applyAlignment="1"/>
    <xf numFmtId="0" fontId="1" fillId="0" borderId="21" xfId="0" applyFont="1" applyBorder="1" applyAlignment="1"/>
    <xf numFmtId="0" fontId="1" fillId="0" borderId="22" xfId="0" applyFont="1" applyBorder="1" applyAlignment="1"/>
    <xf numFmtId="0" fontId="1" fillId="8" borderId="6" xfId="0" applyFont="1" applyFill="1" applyBorder="1" applyAlignment="1"/>
    <xf numFmtId="0" fontId="1" fillId="0" borderId="5" xfId="0" applyFont="1" applyBorder="1" applyAlignment="1"/>
    <xf numFmtId="0" fontId="1" fillId="0" borderId="45" xfId="0" applyFont="1" applyBorder="1" applyAlignment="1"/>
    <xf numFmtId="0" fontId="1" fillId="0" borderId="22" xfId="0" applyFont="1" applyBorder="1" applyAlignment="1">
      <alignment horizontal="center" wrapText="1"/>
    </xf>
    <xf numFmtId="0" fontId="1" fillId="0" borderId="40" xfId="0" applyFont="1" applyBorder="1" applyAlignment="1">
      <alignment horizontal="center" wrapText="1"/>
    </xf>
    <xf numFmtId="0" fontId="1" fillId="0" borderId="42" xfId="0" applyFont="1" applyBorder="1" applyAlignment="1">
      <alignment horizontal="center" wrapText="1"/>
    </xf>
    <xf numFmtId="0" fontId="1" fillId="0" borderId="41" xfId="0" applyFont="1" applyBorder="1" applyAlignment="1">
      <alignment horizontal="center" wrapText="1"/>
    </xf>
    <xf numFmtId="0" fontId="1" fillId="0" borderId="41" xfId="0" applyFont="1" applyBorder="1" applyAlignment="1"/>
    <xf numFmtId="0" fontId="1" fillId="0" borderId="42" xfId="0" applyFont="1" applyBorder="1" applyAlignment="1"/>
    <xf numFmtId="0" fontId="39" fillId="5" borderId="15" xfId="0" applyFont="1" applyFill="1" applyBorder="1" applyAlignment="1" applyProtection="1">
      <alignment horizontal="left" vertical="center"/>
    </xf>
    <xf numFmtId="0" fontId="19" fillId="5" borderId="4" xfId="0" applyFont="1" applyFill="1" applyBorder="1" applyAlignment="1" applyProtection="1">
      <alignment vertical="center"/>
    </xf>
    <xf numFmtId="0" fontId="1" fillId="8" borderId="6" xfId="0" applyFont="1" applyFill="1" applyBorder="1" applyAlignment="1">
      <alignment horizontal="center" wrapText="1"/>
    </xf>
    <xf numFmtId="0" fontId="1" fillId="0" borderId="5" xfId="0" applyFont="1" applyBorder="1" applyAlignment="1">
      <alignment horizontal="center" wrapText="1"/>
    </xf>
    <xf numFmtId="0" fontId="1" fillId="0" borderId="45" xfId="0" applyFont="1" applyBorder="1" applyAlignment="1">
      <alignment horizontal="center" wrapText="1"/>
    </xf>
    <xf numFmtId="0" fontId="1" fillId="0" borderId="21" xfId="0" applyFont="1" applyBorder="1" applyAlignment="1">
      <alignment horizontal="center" wrapText="1"/>
    </xf>
    <xf numFmtId="0" fontId="11" fillId="8" borderId="41" xfId="0" applyFont="1" applyFill="1" applyBorder="1" applyAlignment="1">
      <alignment horizontal="center" wrapText="1"/>
    </xf>
    <xf numFmtId="0" fontId="1" fillId="0" borderId="24" xfId="0" applyFont="1" applyBorder="1" applyAlignment="1">
      <alignment horizontal="center" wrapText="1"/>
    </xf>
    <xf numFmtId="0" fontId="11" fillId="8" borderId="42" xfId="0" applyFont="1" applyFill="1" applyBorder="1" applyAlignment="1">
      <alignment horizontal="center" wrapText="1"/>
    </xf>
    <xf numFmtId="0" fontId="1" fillId="0" borderId="25" xfId="0" applyFont="1" applyBorder="1" applyAlignment="1">
      <alignment horizontal="center" wrapText="1"/>
    </xf>
    <xf numFmtId="0" fontId="11" fillId="4" borderId="27" xfId="0" applyFont="1" applyFill="1" applyBorder="1" applyAlignment="1" applyProtection="1">
      <alignment horizontal="center" vertical="center" wrapText="1"/>
    </xf>
    <xf numFmtId="0" fontId="11" fillId="4" borderId="28" xfId="0" applyFont="1" applyFill="1" applyBorder="1" applyAlignment="1" applyProtection="1">
      <alignment horizontal="center" vertical="center" wrapText="1"/>
    </xf>
    <xf numFmtId="0" fontId="0" fillId="4" borderId="28" xfId="0" applyFont="1" applyFill="1" applyBorder="1" applyAlignment="1" applyProtection="1">
      <alignment horizontal="center" vertical="center" wrapText="1"/>
    </xf>
    <xf numFmtId="0" fontId="0" fillId="4" borderId="28" xfId="0" applyFont="1" applyFill="1" applyBorder="1" applyAlignment="1" applyProtection="1"/>
    <xf numFmtId="0" fontId="1" fillId="4" borderId="28" xfId="0" applyFont="1" applyFill="1" applyBorder="1" applyAlignment="1" applyProtection="1">
      <alignment horizontal="center" vertical="center" wrapText="1"/>
    </xf>
    <xf numFmtId="0" fontId="0" fillId="4" borderId="29" xfId="0" applyFont="1" applyFill="1" applyBorder="1" applyAlignment="1" applyProtection="1">
      <alignment vertical="center" wrapText="1"/>
    </xf>
    <xf numFmtId="0" fontId="39" fillId="5" borderId="28" xfId="0" applyFont="1" applyFill="1" applyBorder="1" applyAlignment="1" applyProtection="1">
      <alignment horizontal="left" vertical="center" wrapText="1" indent="1"/>
    </xf>
    <xf numFmtId="0" fontId="19" fillId="5" borderId="28" xfId="0" applyFont="1" applyFill="1" applyBorder="1" applyAlignment="1" applyProtection="1">
      <alignment horizontal="left" wrapText="1" indent="1"/>
    </xf>
    <xf numFmtId="0" fontId="19" fillId="5" borderId="28" xfId="0" applyFont="1" applyFill="1" applyBorder="1" applyAlignment="1" applyProtection="1">
      <alignment horizontal="left" indent="1"/>
    </xf>
    <xf numFmtId="0" fontId="1" fillId="8" borderId="4" xfId="0" applyFont="1" applyFill="1" applyBorder="1" applyAlignment="1"/>
    <xf numFmtId="0" fontId="11" fillId="8" borderId="4" xfId="0" applyFont="1" applyFill="1" applyBorder="1" applyAlignment="1">
      <alignment vertical="center" wrapText="1"/>
    </xf>
    <xf numFmtId="0" fontId="1" fillId="8" borderId="4" xfId="0" applyFont="1" applyFill="1" applyBorder="1" applyAlignment="1">
      <alignment horizontal="center"/>
    </xf>
    <xf numFmtId="0" fontId="1" fillId="5" borderId="0" xfId="0" applyFont="1" applyFill="1" applyAlignment="1">
      <alignment wrapText="1"/>
    </xf>
    <xf numFmtId="0" fontId="1" fillId="0" borderId="0" xfId="0" applyFont="1" applyAlignment="1">
      <alignment wrapText="1"/>
    </xf>
    <xf numFmtId="0" fontId="1" fillId="5" borderId="0" xfId="0" applyFont="1" applyFill="1" applyAlignment="1">
      <alignment horizontal="left" wrapText="1"/>
    </xf>
    <xf numFmtId="0" fontId="0" fillId="0" borderId="25" xfId="0" applyBorder="1" applyAlignment="1">
      <alignment horizontal="center" vertical="center" wrapText="1"/>
    </xf>
    <xf numFmtId="0" fontId="0" fillId="0" borderId="4" xfId="0" applyBorder="1" applyAlignment="1">
      <alignment horizontal="center" vertical="center"/>
    </xf>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40" xfId="0" applyBorder="1" applyAlignment="1">
      <alignment horizontal="center" vertical="center" wrapText="1"/>
    </xf>
    <xf numFmtId="0" fontId="0" fillId="0" borderId="42" xfId="0" applyBorder="1" applyAlignment="1">
      <alignment horizontal="center" vertical="center" wrapText="1"/>
    </xf>
    <xf numFmtId="0" fontId="0" fillId="0" borderId="21" xfId="0" applyBorder="1" applyAlignment="1">
      <alignment horizontal="center" vertical="center" wrapText="1"/>
    </xf>
    <xf numFmtId="0" fontId="1" fillId="8" borderId="4" xfId="0" applyFont="1" applyFill="1"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11" fillId="8" borderId="40" xfId="0" applyFont="1" applyFill="1" applyBorder="1" applyAlignment="1">
      <alignment horizontal="center" wrapText="1"/>
    </xf>
    <xf numFmtId="0" fontId="1" fillId="0" borderId="23" xfId="0" applyFont="1" applyBorder="1" applyAlignment="1">
      <alignment horizontal="center" wrapText="1"/>
    </xf>
    <xf numFmtId="0" fontId="25" fillId="5" borderId="3" xfId="0" applyFont="1" applyFill="1" applyBorder="1" applyAlignment="1">
      <alignment horizontal="left" vertical="top" wrapText="1" indent="1"/>
    </xf>
    <xf numFmtId="0" fontId="25" fillId="5" borderId="15" xfId="0" applyFont="1" applyFill="1" applyBorder="1" applyAlignment="1">
      <alignment horizontal="left" vertical="top" wrapText="1" indent="1"/>
    </xf>
    <xf numFmtId="0" fontId="39" fillId="6" borderId="8" xfId="0" applyFont="1" applyFill="1" applyBorder="1" applyAlignment="1" applyProtection="1">
      <alignment horizontal="left" vertical="center" wrapText="1"/>
      <protection locked="0"/>
    </xf>
    <xf numFmtId="0" fontId="39" fillId="6" borderId="9" xfId="0" applyFont="1" applyFill="1" applyBorder="1" applyAlignment="1" applyProtection="1">
      <alignment horizontal="left" vertical="center" wrapText="1"/>
      <protection locked="0"/>
    </xf>
    <xf numFmtId="0" fontId="0" fillId="0" borderId="9" xfId="0" applyBorder="1" applyAlignment="1" applyProtection="1">
      <alignment vertical="center"/>
      <protection locked="0"/>
    </xf>
    <xf numFmtId="0" fontId="0" fillId="0" borderId="10" xfId="0" applyBorder="1" applyAlignment="1" applyProtection="1">
      <alignment vertical="center"/>
      <protection locked="0"/>
    </xf>
    <xf numFmtId="0" fontId="39" fillId="6" borderId="3" xfId="0" applyFont="1" applyFill="1" applyBorder="1" applyAlignment="1" applyProtection="1">
      <alignment horizontal="center" vertical="center"/>
      <protection locked="0"/>
    </xf>
    <xf numFmtId="0" fontId="0" fillId="0" borderId="15" xfId="0" applyBorder="1" applyAlignment="1" applyProtection="1">
      <protection locked="0"/>
    </xf>
    <xf numFmtId="0" fontId="8" fillId="0" borderId="0" xfId="0" applyFont="1" applyBorder="1" applyAlignment="1">
      <alignment horizontal="left" vertical="top" wrapText="1"/>
    </xf>
    <xf numFmtId="0" fontId="0" fillId="0" borderId="0" xfId="0" applyAlignment="1">
      <alignment vertical="top" wrapText="1"/>
    </xf>
    <xf numFmtId="0" fontId="39" fillId="6" borderId="183" xfId="0" applyFont="1" applyFill="1" applyBorder="1" applyAlignment="1" applyProtection="1">
      <alignment horizontal="left" vertical="center" wrapText="1"/>
      <protection locked="0"/>
    </xf>
    <xf numFmtId="0" fontId="39" fillId="6" borderId="184" xfId="0" applyFont="1" applyFill="1" applyBorder="1" applyAlignment="1" applyProtection="1">
      <alignment horizontal="left" vertical="center" wrapText="1"/>
      <protection locked="0"/>
    </xf>
    <xf numFmtId="0" fontId="0" fillId="0" borderId="185" xfId="0" applyBorder="1" applyAlignment="1" applyProtection="1">
      <alignment wrapText="1"/>
      <protection locked="0"/>
    </xf>
    <xf numFmtId="0" fontId="25" fillId="5" borderId="3" xfId="0" applyFont="1" applyFill="1" applyBorder="1" applyAlignment="1">
      <alignment horizontal="left" vertical="center" wrapText="1" indent="1"/>
    </xf>
    <xf numFmtId="0" fontId="19" fillId="5" borderId="16" xfId="0" applyFont="1" applyFill="1" applyBorder="1" applyAlignment="1">
      <alignment horizontal="left" vertical="center" wrapText="1" indent="1"/>
    </xf>
    <xf numFmtId="0" fontId="19" fillId="5" borderId="15" xfId="0" applyFont="1" applyFill="1" applyBorder="1" applyAlignment="1">
      <alignment horizontal="left" vertical="center" wrapText="1" indent="1"/>
    </xf>
    <xf numFmtId="0" fontId="24" fillId="4" borderId="20" xfId="0" applyFont="1" applyFill="1" applyBorder="1" applyAlignment="1" applyProtection="1">
      <alignment horizontal="center" vertical="center" wrapText="1"/>
    </xf>
    <xf numFmtId="0" fontId="24" fillId="4" borderId="22" xfId="0" applyFont="1" applyFill="1" applyBorder="1" applyAlignment="1" applyProtection="1">
      <alignment horizontal="center" vertical="center" wrapText="1"/>
    </xf>
    <xf numFmtId="0" fontId="24" fillId="4" borderId="33" xfId="0" applyFont="1" applyFill="1" applyBorder="1" applyAlignment="1">
      <alignment horizontal="center" vertical="center" wrapText="1"/>
    </xf>
    <xf numFmtId="0" fontId="24" fillId="4" borderId="22" xfId="0" applyFont="1" applyFill="1" applyBorder="1" applyAlignment="1">
      <alignment horizontal="center" vertical="center" wrapText="1"/>
    </xf>
    <xf numFmtId="0" fontId="24" fillId="4" borderId="20" xfId="0" applyFont="1" applyFill="1" applyBorder="1" applyAlignment="1">
      <alignment horizontal="center" vertical="center" wrapText="1"/>
    </xf>
    <xf numFmtId="0" fontId="24" fillId="4" borderId="21" xfId="0" applyFont="1" applyFill="1" applyBorder="1" applyAlignment="1">
      <alignment horizontal="center" vertical="center" wrapText="1"/>
    </xf>
    <xf numFmtId="0" fontId="34" fillId="4" borderId="38" xfId="0" applyFont="1" applyFill="1" applyBorder="1" applyAlignment="1" applyProtection="1">
      <alignment horizontal="center" vertical="center"/>
    </xf>
    <xf numFmtId="0" fontId="34" fillId="4" borderId="39" xfId="0" applyFont="1" applyFill="1" applyBorder="1" applyAlignment="1" applyProtection="1">
      <alignment horizontal="center" vertical="center"/>
    </xf>
    <xf numFmtId="0" fontId="4" fillId="4" borderId="4" xfId="0" applyFont="1" applyFill="1" applyBorder="1" applyAlignment="1">
      <alignment horizontal="left" vertical="center" wrapText="1" indent="1"/>
    </xf>
    <xf numFmtId="0" fontId="8" fillId="4" borderId="4" xfId="0" applyFont="1" applyFill="1" applyBorder="1" applyAlignment="1">
      <alignment horizontal="left" vertical="center" wrapText="1" indent="1"/>
    </xf>
    <xf numFmtId="0" fontId="34" fillId="0" borderId="0" xfId="0" applyFont="1" applyBorder="1" applyAlignment="1">
      <alignment horizontal="left" vertical="top" wrapText="1"/>
    </xf>
    <xf numFmtId="0" fontId="1" fillId="4" borderId="3" xfId="0" applyFont="1" applyFill="1" applyBorder="1" applyAlignment="1">
      <alignment horizontal="left" vertical="center" wrapText="1" indent="1"/>
    </xf>
    <xf numFmtId="0" fontId="8" fillId="4" borderId="16" xfId="0" applyFont="1" applyFill="1" applyBorder="1" applyAlignment="1">
      <alignment horizontal="left" vertical="center" wrapText="1" indent="1"/>
    </xf>
    <xf numFmtId="0" fontId="8" fillId="4" borderId="15" xfId="0" applyFont="1" applyFill="1" applyBorder="1" applyAlignment="1">
      <alignment horizontal="left" vertical="center" wrapText="1" indent="1"/>
    </xf>
    <xf numFmtId="0" fontId="5" fillId="8" borderId="3" xfId="0" applyFont="1" applyFill="1" applyBorder="1" applyAlignment="1">
      <alignment horizontal="left" vertical="center" wrapText="1" indent="1"/>
    </xf>
    <xf numFmtId="0" fontId="8" fillId="8" borderId="16" xfId="0" applyFont="1" applyFill="1" applyBorder="1" applyAlignment="1">
      <alignment horizontal="left" vertical="center" wrapText="1" indent="1"/>
    </xf>
    <xf numFmtId="0" fontId="8" fillId="8" borderId="15" xfId="0" applyFont="1" applyFill="1" applyBorder="1" applyAlignment="1">
      <alignment horizontal="left" vertical="center" wrapText="1" indent="1"/>
    </xf>
    <xf numFmtId="0" fontId="11" fillId="8" borderId="3" xfId="0" applyFont="1" applyFill="1" applyBorder="1" applyAlignment="1">
      <alignment horizontal="left" vertical="center" wrapText="1" indent="1"/>
    </xf>
    <xf numFmtId="0" fontId="11" fillId="8" borderId="16" xfId="0" applyFont="1" applyFill="1" applyBorder="1" applyAlignment="1">
      <alignment horizontal="left" vertical="center" wrapText="1" indent="1"/>
    </xf>
    <xf numFmtId="0" fontId="11" fillId="8" borderId="15" xfId="0" applyFont="1" applyFill="1" applyBorder="1" applyAlignment="1">
      <alignment horizontal="left" vertical="center" wrapText="1" indent="1"/>
    </xf>
    <xf numFmtId="0" fontId="4" fillId="4" borderId="3" xfId="0" applyFont="1" applyFill="1" applyBorder="1" applyAlignment="1">
      <alignment horizontal="left" vertical="center" wrapText="1" indent="1"/>
    </xf>
    <xf numFmtId="0" fontId="39" fillId="6" borderId="3" xfId="0" applyFont="1" applyFill="1" applyBorder="1" applyAlignment="1" applyProtection="1">
      <alignment horizontal="left" vertical="center" wrapText="1"/>
      <protection locked="0"/>
    </xf>
    <xf numFmtId="0" fontId="39" fillId="6" borderId="16" xfId="0" applyFont="1" applyFill="1" applyBorder="1" applyAlignment="1" applyProtection="1">
      <alignment horizontal="left" vertical="center" wrapText="1"/>
      <protection locked="0"/>
    </xf>
    <xf numFmtId="0" fontId="1" fillId="4" borderId="4" xfId="0" applyFont="1" applyFill="1" applyBorder="1" applyAlignment="1">
      <alignment horizontal="left" vertical="center" wrapText="1" indent="1"/>
    </xf>
    <xf numFmtId="0" fontId="39" fillId="6" borderId="120" xfId="0" applyFont="1" applyFill="1" applyBorder="1" applyAlignment="1" applyProtection="1">
      <alignment vertical="center" wrapText="1"/>
      <protection locked="0"/>
    </xf>
    <xf numFmtId="0" fontId="0" fillId="0" borderId="121" xfId="0" applyBorder="1" applyAlignment="1" applyProtection="1">
      <alignment vertical="center" wrapText="1"/>
      <protection locked="0"/>
    </xf>
    <xf numFmtId="0" fontId="0" fillId="0" borderId="122" xfId="0" applyBorder="1" applyAlignment="1" applyProtection="1">
      <alignment vertical="center" wrapText="1"/>
      <protection locked="0"/>
    </xf>
    <xf numFmtId="0" fontId="1" fillId="0" borderId="4" xfId="0" applyFont="1" applyBorder="1" applyAlignment="1">
      <alignment horizontal="center" vertical="center" wrapText="1"/>
    </xf>
    <xf numFmtId="0" fontId="24" fillId="4" borderId="35" xfId="0" applyFont="1" applyFill="1" applyBorder="1" applyAlignment="1">
      <alignment horizontal="center" vertical="center" wrapText="1"/>
    </xf>
    <xf numFmtId="0" fontId="24" fillId="4" borderId="28" xfId="0" applyFont="1" applyFill="1" applyBorder="1" applyAlignment="1">
      <alignment horizontal="center" vertical="center" wrapText="1"/>
    </xf>
    <xf numFmtId="0" fontId="24" fillId="4" borderId="29" xfId="0" applyFont="1" applyFill="1" applyBorder="1" applyAlignment="1">
      <alignment horizontal="center" vertical="center" wrapText="1"/>
    </xf>
    <xf numFmtId="0" fontId="34" fillId="4" borderId="3" xfId="0" applyFont="1" applyFill="1" applyBorder="1" applyAlignment="1">
      <alignment horizontal="left" vertical="center" wrapText="1" indent="1"/>
    </xf>
    <xf numFmtId="0" fontId="34" fillId="4" borderId="15" xfId="0" applyFont="1" applyFill="1" applyBorder="1" applyAlignment="1">
      <alignment horizontal="left" vertical="center" wrapText="1" indent="1"/>
    </xf>
    <xf numFmtId="0" fontId="24" fillId="4" borderId="3" xfId="0" applyFont="1" applyFill="1" applyBorder="1" applyAlignment="1">
      <alignment horizontal="left" vertical="center" wrapText="1" indent="1"/>
    </xf>
    <xf numFmtId="0" fontId="24" fillId="4" borderId="16" xfId="0" applyFont="1" applyFill="1" applyBorder="1" applyAlignment="1">
      <alignment horizontal="left" vertical="center" wrapText="1" indent="1"/>
    </xf>
    <xf numFmtId="0" fontId="24" fillId="4" borderId="15" xfId="0" applyFont="1" applyFill="1" applyBorder="1" applyAlignment="1">
      <alignment horizontal="left" vertical="center" wrapText="1" indent="1"/>
    </xf>
    <xf numFmtId="0" fontId="1" fillId="5" borderId="0" xfId="0" applyFont="1" applyFill="1" applyBorder="1" applyAlignment="1">
      <alignment horizontal="left" vertical="center" wrapText="1"/>
    </xf>
    <xf numFmtId="0" fontId="1" fillId="6" borderId="3" xfId="0" applyFont="1" applyFill="1" applyBorder="1" applyAlignment="1" applyProtection="1">
      <alignment horizontal="center" vertical="center" wrapText="1"/>
      <protection locked="0"/>
    </xf>
    <xf numFmtId="0" fontId="1" fillId="6" borderId="16" xfId="0" applyFont="1" applyFill="1" applyBorder="1" applyAlignment="1" applyProtection="1">
      <alignment horizontal="center" vertical="center" wrapText="1"/>
      <protection locked="0"/>
    </xf>
    <xf numFmtId="0" fontId="1" fillId="6" borderId="15" xfId="0" applyFont="1" applyFill="1" applyBorder="1" applyAlignment="1" applyProtection="1">
      <alignment horizontal="center" vertical="center" wrapText="1"/>
      <protection locked="0"/>
    </xf>
    <xf numFmtId="0" fontId="11" fillId="4" borderId="4" xfId="0" applyFont="1" applyFill="1" applyBorder="1" applyAlignment="1">
      <alignment horizontal="left" vertical="center" wrapText="1" indent="1"/>
    </xf>
    <xf numFmtId="0" fontId="11" fillId="8" borderId="21" xfId="0" applyFont="1" applyFill="1" applyBorder="1" applyAlignment="1">
      <alignment horizontal="center" vertical="center" wrapText="1"/>
    </xf>
    <xf numFmtId="0" fontId="11" fillId="8" borderId="22" xfId="0" applyFont="1" applyFill="1" applyBorder="1" applyAlignment="1">
      <alignment horizontal="center" vertical="center" wrapText="1"/>
    </xf>
    <xf numFmtId="0" fontId="19" fillId="5" borderId="16" xfId="0" applyFont="1" applyFill="1" applyBorder="1" applyAlignment="1">
      <alignment horizontal="left" vertical="top" wrapText="1" indent="1"/>
    </xf>
    <xf numFmtId="0" fontId="19" fillId="5" borderId="15" xfId="0" applyFont="1" applyFill="1" applyBorder="1" applyAlignment="1">
      <alignment horizontal="left" vertical="top" wrapText="1" indent="1"/>
    </xf>
    <xf numFmtId="0" fontId="25" fillId="5" borderId="16" xfId="0" applyFont="1" applyFill="1" applyBorder="1" applyAlignment="1">
      <alignment horizontal="left" vertical="top" wrapText="1" indent="1"/>
    </xf>
    <xf numFmtId="0" fontId="24" fillId="0" borderId="0" xfId="0" applyFont="1" applyBorder="1" applyAlignment="1">
      <alignment horizontal="left" vertical="center" wrapText="1"/>
    </xf>
    <xf numFmtId="3" fontId="99" fillId="0" borderId="0" xfId="0" applyNumberFormat="1" applyFont="1" applyFill="1" applyBorder="1" applyAlignment="1" applyProtection="1">
      <alignment horizontal="left" vertical="center" wrapText="1"/>
    </xf>
    <xf numFmtId="0" fontId="24" fillId="8" borderId="20" xfId="0" applyFont="1" applyFill="1" applyBorder="1" applyAlignment="1">
      <alignment horizontal="center" vertical="center" wrapText="1"/>
    </xf>
    <xf numFmtId="0" fontId="24" fillId="8" borderId="21" xfId="0" applyFont="1" applyFill="1" applyBorder="1" applyAlignment="1">
      <alignment horizontal="center" vertical="center" wrapText="1"/>
    </xf>
    <xf numFmtId="0" fontId="24" fillId="8" borderId="22" xfId="0" applyFont="1" applyFill="1" applyBorder="1" applyAlignment="1">
      <alignment horizontal="center" vertical="center" wrapText="1"/>
    </xf>
    <xf numFmtId="0" fontId="24" fillId="8" borderId="20" xfId="0" applyFont="1" applyFill="1" applyBorder="1" applyAlignment="1" applyProtection="1">
      <alignment horizontal="center" vertical="center"/>
    </xf>
    <xf numFmtId="0" fontId="24" fillId="8" borderId="21" xfId="0" applyFont="1" applyFill="1" applyBorder="1" applyAlignment="1" applyProtection="1">
      <alignment horizontal="center" vertical="center"/>
    </xf>
    <xf numFmtId="0" fontId="24" fillId="8" borderId="22" xfId="0" applyFont="1" applyFill="1" applyBorder="1" applyAlignment="1" applyProtection="1">
      <alignment horizontal="center" vertical="center"/>
    </xf>
    <xf numFmtId="3" fontId="39" fillId="6" borderId="3" xfId="0" applyNumberFormat="1" applyFont="1" applyFill="1" applyBorder="1" applyAlignment="1" applyProtection="1">
      <alignment horizontal="center" vertical="center" wrapText="1"/>
      <protection locked="0"/>
    </xf>
    <xf numFmtId="3" fontId="39" fillId="6" borderId="16" xfId="0" applyNumberFormat="1" applyFont="1" applyFill="1" applyBorder="1" applyAlignment="1" applyProtection="1">
      <alignment horizontal="center" vertical="center" wrapText="1"/>
      <protection locked="0"/>
    </xf>
    <xf numFmtId="3" fontId="39" fillId="6" borderId="15" xfId="0" applyNumberFormat="1" applyFont="1" applyFill="1" applyBorder="1" applyAlignment="1" applyProtection="1">
      <alignment horizontal="center" vertical="center" wrapText="1"/>
      <protection locked="0"/>
    </xf>
    <xf numFmtId="0" fontId="4" fillId="4" borderId="119" xfId="0" applyFont="1" applyFill="1" applyBorder="1" applyAlignment="1">
      <alignment horizontal="left" vertical="center" wrapText="1" indent="1"/>
    </xf>
    <xf numFmtId="0" fontId="5" fillId="4" borderId="119" xfId="0" applyFont="1" applyFill="1" applyBorder="1" applyAlignment="1">
      <alignment horizontal="left" vertical="center" wrapText="1" indent="1"/>
    </xf>
    <xf numFmtId="0" fontId="24" fillId="8" borderId="33" xfId="0" applyFont="1" applyFill="1" applyBorder="1" applyAlignment="1">
      <alignment horizontal="center" vertical="center" wrapText="1"/>
    </xf>
    <xf numFmtId="0" fontId="39" fillId="6" borderId="119" xfId="0" applyFont="1" applyFill="1" applyBorder="1" applyAlignment="1" applyProtection="1">
      <alignment horizontal="left" vertical="center" wrapText="1"/>
      <protection locked="0"/>
    </xf>
    <xf numFmtId="0" fontId="0" fillId="0" borderId="119" xfId="0" applyBorder="1" applyAlignment="1" applyProtection="1">
      <alignment vertical="center" wrapText="1"/>
      <protection locked="0"/>
    </xf>
    <xf numFmtId="0" fontId="5" fillId="0" borderId="4" xfId="0" applyFont="1" applyFill="1" applyBorder="1" applyAlignment="1" applyProtection="1">
      <alignment horizontal="center" vertical="center" wrapText="1"/>
    </xf>
    <xf numFmtId="0" fontId="11" fillId="8" borderId="33" xfId="0" applyFont="1" applyFill="1" applyBorder="1" applyAlignment="1">
      <alignment horizontal="center" vertical="center" wrapText="1"/>
    </xf>
    <xf numFmtId="0" fontId="11" fillId="8" borderId="34" xfId="0" applyFont="1" applyFill="1" applyBorder="1" applyAlignment="1">
      <alignment horizontal="center" vertical="center" wrapText="1"/>
    </xf>
    <xf numFmtId="0" fontId="25" fillId="5" borderId="58" xfId="0" applyFont="1" applyFill="1" applyBorder="1" applyAlignment="1">
      <alignment horizontal="left" vertical="center" wrapText="1" indent="1"/>
    </xf>
    <xf numFmtId="0" fontId="19" fillId="5" borderId="59" xfId="0" applyFont="1" applyFill="1" applyBorder="1" applyAlignment="1">
      <alignment horizontal="left" vertical="center" wrapText="1" indent="1"/>
    </xf>
    <xf numFmtId="0" fontId="19" fillId="5" borderId="46" xfId="0" applyFont="1" applyFill="1" applyBorder="1" applyAlignment="1">
      <alignment horizontal="left" vertical="center" wrapText="1" indent="1"/>
    </xf>
    <xf numFmtId="0" fontId="25" fillId="5" borderId="58" xfId="0" applyFont="1" applyFill="1" applyBorder="1" applyAlignment="1">
      <alignment horizontal="left" vertical="top" wrapText="1" indent="1"/>
    </xf>
    <xf numFmtId="0" fontId="19" fillId="5" borderId="59" xfId="0" applyFont="1" applyFill="1" applyBorder="1" applyAlignment="1">
      <alignment horizontal="left" vertical="top" wrapText="1" indent="1"/>
    </xf>
    <xf numFmtId="0" fontId="19" fillId="5" borderId="46" xfId="0" applyFont="1" applyFill="1" applyBorder="1" applyAlignment="1">
      <alignment horizontal="left" vertical="top" wrapText="1" indent="1"/>
    </xf>
    <xf numFmtId="0" fontId="5" fillId="0" borderId="4" xfId="0" applyFont="1" applyFill="1" applyBorder="1" applyAlignment="1">
      <alignment horizontal="center" vertical="center" wrapText="1"/>
    </xf>
    <xf numFmtId="0" fontId="11" fillId="4" borderId="38" xfId="0" applyFont="1" applyFill="1" applyBorder="1" applyAlignment="1">
      <alignment horizontal="center" vertical="center" wrapText="1"/>
    </xf>
    <xf numFmtId="0" fontId="11" fillId="4" borderId="47" xfId="0" applyFont="1" applyFill="1" applyBorder="1" applyAlignment="1">
      <alignment horizontal="center" vertical="center" wrapText="1"/>
    </xf>
    <xf numFmtId="0" fontId="11" fillId="4" borderId="39" xfId="0" applyFont="1" applyFill="1" applyBorder="1" applyAlignment="1">
      <alignment horizontal="center" vertical="center" wrapText="1"/>
    </xf>
    <xf numFmtId="0" fontId="11" fillId="8" borderId="38" xfId="0" applyFont="1" applyFill="1" applyBorder="1" applyAlignment="1">
      <alignment horizontal="center" vertical="center" wrapText="1"/>
    </xf>
    <xf numFmtId="0" fontId="11" fillId="8" borderId="47" xfId="0" applyFont="1" applyFill="1" applyBorder="1" applyAlignment="1">
      <alignment horizontal="center" vertical="center" wrapText="1"/>
    </xf>
    <xf numFmtId="0" fontId="11" fillId="8" borderId="101" xfId="0" applyFont="1" applyFill="1" applyBorder="1" applyAlignment="1">
      <alignment horizontal="center" vertical="center" wrapText="1"/>
    </xf>
    <xf numFmtId="0" fontId="11" fillId="8" borderId="49" xfId="0" applyFont="1" applyFill="1" applyBorder="1" applyAlignment="1">
      <alignment horizontal="center" vertical="center" wrapText="1"/>
    </xf>
    <xf numFmtId="0" fontId="0" fillId="0" borderId="47" xfId="0" applyBorder="1" applyAlignment="1">
      <alignment horizontal="center" vertical="center" wrapText="1"/>
    </xf>
    <xf numFmtId="0" fontId="0" fillId="0" borderId="39" xfId="0" applyBorder="1" applyAlignment="1">
      <alignment horizontal="center" vertical="center" wrapText="1"/>
    </xf>
    <xf numFmtId="0" fontId="11" fillId="4" borderId="0" xfId="0" applyFont="1" applyFill="1" applyBorder="1" applyAlignment="1">
      <alignment horizontal="center" vertical="center" wrapText="1"/>
    </xf>
    <xf numFmtId="0" fontId="11" fillId="4" borderId="20" xfId="0" applyFont="1" applyFill="1" applyBorder="1" applyAlignment="1">
      <alignment horizontal="center" vertical="center" wrapText="1"/>
    </xf>
    <xf numFmtId="0" fontId="11" fillId="4" borderId="21" xfId="0" applyFont="1" applyFill="1" applyBorder="1" applyAlignment="1">
      <alignment horizontal="center" vertical="center" wrapText="1"/>
    </xf>
    <xf numFmtId="0" fontId="11" fillId="4" borderId="22" xfId="0" applyFont="1" applyFill="1" applyBorder="1" applyAlignment="1">
      <alignment horizontal="center" vertical="center" wrapText="1"/>
    </xf>
    <xf numFmtId="0" fontId="11" fillId="4" borderId="33" xfId="0" applyFont="1" applyFill="1" applyBorder="1" applyAlignment="1">
      <alignment horizontal="center" vertical="center" wrapText="1"/>
    </xf>
    <xf numFmtId="0" fontId="11" fillId="4" borderId="30" xfId="0" applyFont="1" applyFill="1" applyBorder="1" applyAlignment="1">
      <alignment horizontal="center" vertical="center" wrapText="1"/>
    </xf>
    <xf numFmtId="0" fontId="2" fillId="4" borderId="27" xfId="0" applyFont="1" applyFill="1" applyBorder="1" applyAlignment="1">
      <alignment horizontal="left" vertical="center" wrapText="1"/>
    </xf>
    <xf numFmtId="0" fontId="28" fillId="4" borderId="28" xfId="0" applyFont="1" applyFill="1" applyBorder="1" applyAlignment="1">
      <alignment horizontal="left" vertical="center" wrapText="1"/>
    </xf>
    <xf numFmtId="0" fontId="0" fillId="0" borderId="28" xfId="0" applyBorder="1" applyAlignment="1"/>
    <xf numFmtId="3" fontId="28" fillId="0" borderId="119" xfId="0" applyNumberFormat="1" applyFont="1" applyBorder="1" applyAlignment="1">
      <alignment horizontal="center" vertical="center"/>
    </xf>
    <xf numFmtId="3" fontId="0" fillId="0" borderId="119" xfId="0" applyNumberFormat="1" applyBorder="1" applyAlignment="1"/>
    <xf numFmtId="3" fontId="39" fillId="0" borderId="157" xfId="0" applyNumberFormat="1" applyFont="1" applyFill="1" applyBorder="1" applyAlignment="1">
      <alignment horizontal="center" vertical="center" wrapText="1"/>
    </xf>
    <xf numFmtId="3" fontId="39" fillId="0" borderId="154" xfId="0" applyNumberFormat="1" applyFont="1" applyFill="1" applyBorder="1" applyAlignment="1">
      <alignment horizontal="center" vertical="center" wrapText="1"/>
    </xf>
    <xf numFmtId="3" fontId="39" fillId="0" borderId="159" xfId="0" applyNumberFormat="1" applyFont="1" applyFill="1" applyBorder="1" applyAlignment="1">
      <alignment horizontal="center" vertical="center" wrapText="1"/>
    </xf>
    <xf numFmtId="0" fontId="24" fillId="4" borderId="141" xfId="0" applyFont="1" applyFill="1" applyBorder="1" applyAlignment="1">
      <alignment horizontal="center" vertical="center" wrapText="1"/>
    </xf>
    <xf numFmtId="0" fontId="24" fillId="4" borderId="142" xfId="0" applyFont="1" applyFill="1" applyBorder="1" applyAlignment="1">
      <alignment horizontal="center" vertical="center" wrapText="1"/>
    </xf>
    <xf numFmtId="0" fontId="0" fillId="0" borderId="142" xfId="0" applyBorder="1" applyAlignment="1">
      <alignment vertical="center"/>
    </xf>
    <xf numFmtId="0" fontId="0" fillId="0" borderId="143" xfId="0" applyBorder="1" applyAlignment="1">
      <alignment vertical="center"/>
    </xf>
    <xf numFmtId="0" fontId="39" fillId="6" borderId="128" xfId="0" applyFont="1" applyFill="1" applyBorder="1" applyAlignment="1" applyProtection="1">
      <alignment horizontal="left" vertical="center" wrapText="1"/>
      <protection locked="0"/>
    </xf>
    <xf numFmtId="0" fontId="0" fillId="0" borderId="128" xfId="0" applyBorder="1" applyAlignment="1" applyProtection="1">
      <protection locked="0"/>
    </xf>
    <xf numFmtId="0" fontId="0" fillId="0" borderId="206" xfId="0" applyBorder="1" applyAlignment="1" applyProtection="1">
      <protection locked="0"/>
    </xf>
    <xf numFmtId="0" fontId="68" fillId="4" borderId="199" xfId="0" applyFont="1" applyFill="1" applyBorder="1" applyAlignment="1">
      <alignment horizontal="left" vertical="center" wrapText="1"/>
    </xf>
    <xf numFmtId="0" fontId="0" fillId="0" borderId="199" xfId="0" applyBorder="1" applyAlignment="1"/>
    <xf numFmtId="0" fontId="0" fillId="0" borderId="198" xfId="0" applyBorder="1" applyAlignment="1"/>
    <xf numFmtId="0" fontId="11" fillId="4" borderId="146" xfId="0" applyFont="1" applyFill="1" applyBorder="1" applyAlignment="1">
      <alignment horizontal="center" vertical="center" wrapText="1"/>
    </xf>
    <xf numFmtId="0" fontId="11" fillId="4" borderId="148" xfId="0" applyFont="1" applyFill="1" applyBorder="1" applyAlignment="1">
      <alignment horizontal="center" vertical="center" wrapText="1"/>
    </xf>
    <xf numFmtId="2" fontId="28" fillId="0" borderId="119" xfId="0" applyNumberFormat="1" applyFont="1" applyBorder="1" applyAlignment="1">
      <alignment horizontal="center" vertical="center"/>
    </xf>
    <xf numFmtId="0" fontId="0" fillId="0" borderId="119" xfId="0" applyBorder="1" applyAlignment="1"/>
    <xf numFmtId="2" fontId="25" fillId="5" borderId="119" xfId="0" applyNumberFormat="1" applyFont="1" applyFill="1" applyBorder="1" applyAlignment="1" applyProtection="1">
      <alignment horizontal="right" vertical="center" wrapText="1"/>
    </xf>
    <xf numFmtId="0" fontId="1" fillId="4" borderId="119" xfId="0" applyFont="1" applyFill="1" applyBorder="1" applyAlignment="1">
      <alignment horizontal="center" vertical="center" wrapText="1"/>
    </xf>
    <xf numFmtId="0" fontId="0" fillId="4" borderId="119" xfId="0" applyFill="1" applyBorder="1" applyAlignment="1"/>
    <xf numFmtId="0" fontId="1" fillId="4" borderId="119" xfId="0" applyFont="1" applyFill="1" applyBorder="1" applyAlignment="1">
      <alignment horizontal="center" vertical="center"/>
    </xf>
    <xf numFmtId="2" fontId="25" fillId="5" borderId="128" xfId="0" applyNumberFormat="1" applyFont="1" applyFill="1" applyBorder="1" applyAlignment="1" applyProtection="1">
      <alignment horizontal="right" vertical="center" wrapText="1"/>
    </xf>
    <xf numFmtId="0" fontId="11" fillId="4" borderId="147" xfId="0" applyFont="1" applyFill="1" applyBorder="1" applyAlignment="1">
      <alignment horizontal="center" vertical="center" wrapText="1"/>
    </xf>
    <xf numFmtId="0" fontId="0" fillId="0" borderId="147" xfId="0" applyBorder="1" applyAlignment="1">
      <alignment vertical="center"/>
    </xf>
    <xf numFmtId="0" fontId="0" fillId="0" borderId="148" xfId="0" applyBorder="1" applyAlignment="1">
      <alignment vertical="center"/>
    </xf>
    <xf numFmtId="0" fontId="24" fillId="4" borderId="143" xfId="0" applyFont="1" applyFill="1" applyBorder="1" applyAlignment="1">
      <alignment horizontal="center" vertical="center" wrapText="1"/>
    </xf>
    <xf numFmtId="2" fontId="1" fillId="0" borderId="119" xfId="0" applyNumberFormat="1" applyFont="1" applyBorder="1" applyAlignment="1">
      <alignment horizontal="center" vertical="center"/>
    </xf>
    <xf numFmtId="0" fontId="39" fillId="6" borderId="28" xfId="0" applyFont="1" applyFill="1" applyBorder="1" applyAlignment="1" applyProtection="1">
      <alignment horizontal="left" vertical="center" wrapText="1"/>
      <protection locked="0"/>
    </xf>
    <xf numFmtId="0" fontId="0" fillId="0" borderId="29" xfId="0" applyBorder="1" applyAlignment="1" applyProtection="1">
      <alignment vertical="center" wrapText="1"/>
      <protection locked="0"/>
    </xf>
    <xf numFmtId="0" fontId="11" fillId="8" borderId="211" xfId="0" applyFont="1" applyFill="1" applyBorder="1" applyAlignment="1">
      <alignment horizontal="center" vertical="center" wrapText="1"/>
    </xf>
    <xf numFmtId="0" fontId="0" fillId="0" borderId="212" xfId="0" applyBorder="1" applyAlignment="1"/>
    <xf numFmtId="0" fontId="0" fillId="0" borderId="213" xfId="0" applyBorder="1" applyAlignment="1"/>
    <xf numFmtId="0" fontId="0" fillId="0" borderId="22" xfId="0" applyBorder="1" applyAlignment="1"/>
    <xf numFmtId="0" fontId="39" fillId="6" borderId="119" xfId="0" applyFont="1" applyFill="1" applyBorder="1" applyAlignment="1" applyProtection="1">
      <alignment horizontal="left" vertical="center"/>
      <protection locked="0"/>
    </xf>
    <xf numFmtId="0" fontId="28" fillId="5" borderId="119" xfId="0" applyFont="1" applyFill="1" applyBorder="1" applyAlignment="1">
      <alignment horizontal="center" vertical="center"/>
    </xf>
    <xf numFmtId="3" fontId="39" fillId="6" borderId="119" xfId="0" applyNumberFormat="1" applyFont="1" applyFill="1" applyBorder="1" applyAlignment="1" applyProtection="1">
      <alignment horizontal="right" vertical="center"/>
      <protection locked="0"/>
    </xf>
    <xf numFmtId="0" fontId="0" fillId="0" borderId="119" xfId="0" applyBorder="1" applyAlignment="1" applyProtection="1">
      <protection locked="0"/>
    </xf>
    <xf numFmtId="3" fontId="39" fillId="6" borderId="147" xfId="0" applyNumberFormat="1" applyFont="1" applyFill="1" applyBorder="1" applyAlignment="1" applyProtection="1">
      <alignment horizontal="right" vertical="center"/>
      <protection locked="0"/>
    </xf>
    <xf numFmtId="0" fontId="0" fillId="0" borderId="147" xfId="0" applyBorder="1" applyAlignment="1" applyProtection="1">
      <protection locked="0"/>
    </xf>
    <xf numFmtId="0" fontId="34" fillId="4" borderId="21" xfId="0" applyFont="1" applyFill="1" applyBorder="1" applyAlignment="1">
      <alignment horizontal="center" vertical="center"/>
    </xf>
    <xf numFmtId="0" fontId="0" fillId="4" borderId="21" xfId="0" applyFill="1" applyBorder="1" applyAlignment="1"/>
    <xf numFmtId="0" fontId="11" fillId="8" borderId="28" xfId="0" applyFont="1" applyFill="1" applyBorder="1" applyAlignment="1">
      <alignment horizontal="center" vertical="center" wrapText="1"/>
    </xf>
    <xf numFmtId="3" fontId="39" fillId="0" borderId="24" xfId="0" applyNumberFormat="1" applyFont="1" applyFill="1" applyBorder="1" applyAlignment="1">
      <alignment horizontal="left" vertical="center" wrapText="1"/>
    </xf>
    <xf numFmtId="0" fontId="0" fillId="0" borderId="24" xfId="0" applyBorder="1" applyAlignment="1"/>
    <xf numFmtId="0" fontId="11" fillId="8" borderId="23" xfId="0" applyFont="1" applyFill="1" applyBorder="1" applyAlignment="1">
      <alignment horizontal="center" vertical="center" wrapText="1"/>
    </xf>
    <xf numFmtId="0" fontId="39" fillId="6" borderId="147" xfId="0" applyFont="1" applyFill="1" applyBorder="1" applyAlignment="1" applyProtection="1">
      <alignment horizontal="center" vertical="center"/>
      <protection locked="0"/>
    </xf>
    <xf numFmtId="0" fontId="0" fillId="0" borderId="148" xfId="0" applyBorder="1" applyAlignment="1" applyProtection="1">
      <protection locked="0"/>
    </xf>
    <xf numFmtId="3" fontId="39" fillId="5" borderId="146" xfId="0" applyNumberFormat="1" applyFont="1" applyFill="1" applyBorder="1" applyAlignment="1" applyProtection="1">
      <alignment horizontal="left" vertical="center" indent="1"/>
    </xf>
    <xf numFmtId="0" fontId="39" fillId="0" borderId="147" xfId="0" applyFont="1" applyBorder="1" applyAlignment="1">
      <alignment horizontal="left" indent="1"/>
    </xf>
    <xf numFmtId="0" fontId="0" fillId="0" borderId="25" xfId="0" applyBorder="1" applyAlignment="1"/>
    <xf numFmtId="0" fontId="11" fillId="4" borderId="201" xfId="0" applyFont="1" applyFill="1" applyBorder="1" applyAlignment="1">
      <alignment horizontal="center" vertical="center" wrapText="1"/>
    </xf>
    <xf numFmtId="0" fontId="0" fillId="4" borderId="201" xfId="0" applyFill="1" applyBorder="1" applyAlignment="1"/>
    <xf numFmtId="0" fontId="0" fillId="4" borderId="202" xfId="0" applyFill="1" applyBorder="1" applyAlignment="1"/>
    <xf numFmtId="0" fontId="7" fillId="4" borderId="150" xfId="0" applyFont="1" applyFill="1" applyBorder="1" applyAlignment="1">
      <alignment horizontal="left" vertical="center" wrapText="1"/>
    </xf>
    <xf numFmtId="0" fontId="28" fillId="4" borderId="151" xfId="0" applyFont="1" applyFill="1" applyBorder="1" applyAlignment="1">
      <alignment horizontal="left" vertical="center" wrapText="1"/>
    </xf>
    <xf numFmtId="0" fontId="0" fillId="0" borderId="151" xfId="0" applyBorder="1" applyAlignment="1"/>
    <xf numFmtId="0" fontId="0" fillId="0" borderId="152" xfId="0" applyBorder="1" applyAlignment="1"/>
    <xf numFmtId="4" fontId="39" fillId="5" borderId="147" xfId="0" applyNumberFormat="1" applyFont="1" applyFill="1" applyBorder="1" applyAlignment="1">
      <alignment horizontal="center" vertical="center" wrapText="1"/>
    </xf>
    <xf numFmtId="0" fontId="39" fillId="0" borderId="147" xfId="0" applyFont="1" applyBorder="1" applyAlignment="1">
      <alignment horizontal="center" vertical="center" wrapText="1"/>
    </xf>
    <xf numFmtId="0" fontId="0" fillId="0" borderId="24" xfId="0" applyBorder="1" applyAlignment="1">
      <alignment vertical="center"/>
    </xf>
    <xf numFmtId="0" fontId="25" fillId="6" borderId="119" xfId="0" applyFont="1" applyFill="1" applyBorder="1" applyAlignment="1" applyProtection="1">
      <alignment horizontal="left" vertical="center"/>
      <protection locked="0"/>
    </xf>
    <xf numFmtId="0" fontId="25" fillId="5" borderId="28" xfId="0" applyFont="1" applyFill="1" applyBorder="1" applyAlignment="1">
      <alignment horizontal="left" vertical="top" wrapText="1" indent="1"/>
    </xf>
    <xf numFmtId="0" fontId="25" fillId="5" borderId="29" xfId="0" applyFont="1" applyFill="1" applyBorder="1" applyAlignment="1">
      <alignment horizontal="left" vertical="top" wrapText="1" indent="1"/>
    </xf>
    <xf numFmtId="0" fontId="11" fillId="8" borderId="27" xfId="0" applyFont="1" applyFill="1" applyBorder="1" applyAlignment="1">
      <alignment horizontal="left" vertical="center" wrapText="1"/>
    </xf>
    <xf numFmtId="2" fontId="25" fillId="0" borderId="199" xfId="0" applyNumberFormat="1" applyFont="1" applyFill="1" applyBorder="1" applyAlignment="1">
      <alignment horizontal="right" vertical="center" wrapText="1"/>
    </xf>
    <xf numFmtId="0" fontId="1" fillId="4" borderId="4" xfId="0" applyFont="1" applyFill="1" applyBorder="1" applyAlignment="1">
      <alignment horizontal="center" vertical="center" wrapText="1"/>
    </xf>
    <xf numFmtId="0" fontId="0" fillId="0" borderId="4" xfId="0" applyBorder="1" applyAlignment="1">
      <alignment vertical="center"/>
    </xf>
    <xf numFmtId="0" fontId="4" fillId="8" borderId="119" xfId="0" applyFont="1" applyFill="1" applyBorder="1" applyAlignment="1">
      <alignment horizontal="center" vertical="center"/>
    </xf>
    <xf numFmtId="0" fontId="7" fillId="8" borderId="119" xfId="0" applyFont="1" applyFill="1" applyBorder="1" applyAlignment="1">
      <alignment horizontal="center" vertical="center"/>
    </xf>
    <xf numFmtId="0" fontId="0" fillId="0" borderId="119" xfId="0" applyBorder="1" applyAlignment="1">
      <alignment horizontal="center" vertical="center"/>
    </xf>
    <xf numFmtId="0" fontId="0" fillId="0" borderId="128" xfId="0" applyBorder="1" applyAlignment="1">
      <alignment horizontal="center" vertical="center"/>
    </xf>
    <xf numFmtId="0" fontId="0" fillId="0" borderId="128" xfId="0" applyBorder="1" applyAlignment="1"/>
    <xf numFmtId="0" fontId="11" fillId="8" borderId="24" xfId="0" applyFont="1" applyFill="1" applyBorder="1" applyAlignment="1" applyProtection="1">
      <alignment horizontal="center" vertical="center" wrapText="1"/>
    </xf>
    <xf numFmtId="0" fontId="11" fillId="8" borderId="119" xfId="0" applyFont="1" applyFill="1" applyBorder="1" applyAlignment="1">
      <alignment horizontal="center" vertical="center" wrapText="1"/>
    </xf>
    <xf numFmtId="0" fontId="11" fillId="8" borderId="128" xfId="0" applyFont="1" applyFill="1" applyBorder="1" applyAlignment="1">
      <alignment horizontal="center" vertical="center" wrapText="1"/>
    </xf>
    <xf numFmtId="0" fontId="7" fillId="4" borderId="119" xfId="0" applyFont="1" applyFill="1" applyBorder="1" applyAlignment="1">
      <alignment horizontal="center" vertical="center"/>
    </xf>
    <xf numFmtId="0" fontId="2" fillId="0" borderId="0" xfId="0" applyFont="1" applyFill="1" applyBorder="1" applyAlignment="1">
      <alignment horizontal="left" wrapText="1"/>
    </xf>
    <xf numFmtId="0" fontId="11" fillId="4" borderId="42" xfId="0" applyFont="1" applyFill="1" applyBorder="1" applyAlignment="1">
      <alignment horizontal="center" vertical="center" wrapText="1"/>
    </xf>
    <xf numFmtId="0" fontId="11" fillId="4" borderId="25" xfId="0" applyFont="1" applyFill="1" applyBorder="1" applyAlignment="1">
      <alignment horizontal="center" vertical="center" wrapText="1"/>
    </xf>
    <xf numFmtId="0" fontId="0" fillId="0" borderId="4" xfId="0" applyBorder="1" applyAlignment="1"/>
    <xf numFmtId="0" fontId="65" fillId="0" borderId="0" xfId="0" applyFont="1" applyAlignment="1">
      <alignment horizontal="left" vertical="center" wrapText="1"/>
    </xf>
    <xf numFmtId="0" fontId="11" fillId="8" borderId="41" xfId="0" applyFont="1" applyFill="1" applyBorder="1" applyAlignment="1" applyProtection="1">
      <alignment horizontal="center" vertical="center" wrapText="1"/>
    </xf>
    <xf numFmtId="0" fontId="25" fillId="5" borderId="27" xfId="0" applyFont="1" applyFill="1" applyBorder="1" applyAlignment="1">
      <alignment horizontal="left" vertical="top" wrapText="1" indent="1"/>
    </xf>
    <xf numFmtId="0" fontId="1" fillId="0" borderId="0" xfId="0" applyFont="1" applyBorder="1" applyAlignment="1">
      <alignment horizontal="center" vertical="center"/>
    </xf>
    <xf numFmtId="0" fontId="1" fillId="4" borderId="3" xfId="0" applyFont="1" applyFill="1" applyBorder="1" applyAlignment="1">
      <alignment horizontal="left" vertical="center" wrapText="1"/>
    </xf>
    <xf numFmtId="0" fontId="1" fillId="4" borderId="16" xfId="0" applyFont="1" applyFill="1" applyBorder="1" applyAlignment="1">
      <alignment horizontal="left" vertical="center" wrapText="1"/>
    </xf>
    <xf numFmtId="0" fontId="0" fillId="0" borderId="16" xfId="0" applyBorder="1" applyAlignment="1"/>
    <xf numFmtId="0" fontId="0" fillId="0" borderId="15" xfId="0" applyBorder="1" applyAlignment="1"/>
    <xf numFmtId="2" fontId="28" fillId="0" borderId="4" xfId="0" applyNumberFormat="1" applyFont="1" applyBorder="1" applyAlignment="1">
      <alignment horizontal="center" vertical="center"/>
    </xf>
    <xf numFmtId="0" fontId="39" fillId="6" borderId="15" xfId="0" applyFont="1" applyFill="1" applyBorder="1" applyAlignment="1" applyProtection="1">
      <alignment horizontal="center" vertical="center"/>
      <protection locked="0"/>
    </xf>
    <xf numFmtId="0" fontId="4" fillId="4" borderId="3" xfId="0" applyFont="1" applyFill="1" applyBorder="1" applyAlignment="1">
      <alignment horizontal="left" vertical="center" wrapText="1"/>
    </xf>
    <xf numFmtId="0" fontId="28" fillId="4" borderId="16" xfId="0" applyFont="1" applyFill="1" applyBorder="1" applyAlignment="1">
      <alignment horizontal="left" vertical="center" wrapText="1"/>
    </xf>
    <xf numFmtId="0" fontId="1" fillId="4" borderId="119" xfId="0" applyFont="1" applyFill="1" applyBorder="1" applyAlignment="1">
      <alignment vertical="center" wrapText="1"/>
    </xf>
    <xf numFmtId="2" fontId="25" fillId="6" borderId="120" xfId="0" applyNumberFormat="1" applyFont="1" applyFill="1" applyBorder="1" applyAlignment="1" applyProtection="1">
      <alignment horizontal="center" vertical="center" wrapText="1"/>
      <protection locked="0"/>
    </xf>
    <xf numFmtId="2" fontId="25" fillId="6" borderId="121" xfId="0" applyNumberFormat="1" applyFont="1" applyFill="1" applyBorder="1" applyAlignment="1" applyProtection="1">
      <alignment horizontal="center" vertical="center" wrapText="1"/>
      <protection locked="0"/>
    </xf>
    <xf numFmtId="2" fontId="25" fillId="6" borderId="122" xfId="0" applyNumberFormat="1" applyFont="1" applyFill="1" applyBorder="1" applyAlignment="1" applyProtection="1">
      <alignment horizontal="center" vertical="center" wrapText="1"/>
      <protection locked="0"/>
    </xf>
    <xf numFmtId="2" fontId="25" fillId="6" borderId="119" xfId="0" applyNumberFormat="1" applyFont="1" applyFill="1" applyBorder="1" applyAlignment="1" applyProtection="1">
      <alignment horizontal="left" vertical="center" wrapText="1"/>
      <protection locked="0"/>
    </xf>
    <xf numFmtId="0" fontId="0" fillId="0" borderId="119" xfId="0" applyBorder="1" applyAlignment="1" applyProtection="1">
      <alignment horizontal="left" vertical="center" wrapText="1"/>
      <protection locked="0"/>
    </xf>
    <xf numFmtId="0" fontId="28" fillId="0" borderId="4" xfId="0" applyFont="1" applyBorder="1" applyAlignment="1" applyProtection="1">
      <alignment horizontal="center" vertical="center"/>
      <protection locked="0"/>
    </xf>
    <xf numFmtId="2" fontId="28" fillId="5" borderId="4" xfId="0" applyNumberFormat="1" applyFont="1" applyFill="1" applyBorder="1" applyAlignment="1">
      <alignment horizontal="center" vertical="center"/>
    </xf>
    <xf numFmtId="0" fontId="19" fillId="5" borderId="28" xfId="0" applyFont="1" applyFill="1" applyBorder="1" applyAlignment="1">
      <alignment horizontal="left" indent="1"/>
    </xf>
    <xf numFmtId="0" fontId="19" fillId="5" borderId="29" xfId="0" applyFont="1" applyFill="1" applyBorder="1" applyAlignment="1">
      <alignment horizontal="left" indent="1"/>
    </xf>
    <xf numFmtId="165" fontId="25" fillId="6" borderId="26" xfId="0" applyNumberFormat="1" applyFont="1" applyFill="1" applyBorder="1" applyAlignment="1" applyProtection="1">
      <alignment horizontal="right" vertical="center" wrapText="1"/>
    </xf>
    <xf numFmtId="0" fontId="11" fillId="4" borderId="40" xfId="0" applyFont="1" applyFill="1" applyBorder="1" applyAlignment="1">
      <alignment horizontal="center" vertical="center" wrapText="1"/>
    </xf>
    <xf numFmtId="0" fontId="11" fillId="4" borderId="23" xfId="0" applyFont="1" applyFill="1" applyBorder="1" applyAlignment="1">
      <alignment horizontal="center" vertical="center" wrapText="1"/>
    </xf>
    <xf numFmtId="165" fontId="25" fillId="6" borderId="41" xfId="0" applyNumberFormat="1" applyFont="1" applyFill="1" applyBorder="1" applyAlignment="1" applyProtection="1">
      <alignment horizontal="right" vertical="center" wrapText="1"/>
    </xf>
    <xf numFmtId="0" fontId="24" fillId="8" borderId="63" xfId="0" applyFont="1" applyFill="1" applyBorder="1" applyAlignment="1" applyProtection="1">
      <alignment horizontal="center" vertical="center" wrapText="1"/>
    </xf>
    <xf numFmtId="0" fontId="28" fillId="4" borderId="4" xfId="0" applyFont="1" applyFill="1" applyBorder="1" applyAlignment="1">
      <alignment horizontal="center" vertical="center" wrapText="1"/>
    </xf>
    <xf numFmtId="0" fontId="11" fillId="4" borderId="41" xfId="0" applyFont="1" applyFill="1" applyBorder="1" applyAlignment="1" applyProtection="1">
      <alignment horizontal="center" vertical="center" wrapText="1"/>
    </xf>
    <xf numFmtId="0" fontId="0" fillId="0" borderId="24" xfId="0" applyBorder="1" applyAlignment="1" applyProtection="1">
      <alignment horizontal="center" vertical="center" wrapText="1"/>
    </xf>
    <xf numFmtId="0" fontId="2" fillId="4" borderId="41" xfId="0" applyFont="1" applyFill="1" applyBorder="1" applyAlignment="1" applyProtection="1">
      <alignment horizontal="center" vertical="center" wrapText="1"/>
    </xf>
    <xf numFmtId="0" fontId="0" fillId="0" borderId="41" xfId="0" applyBorder="1" applyAlignment="1" applyProtection="1">
      <alignment horizontal="center" vertical="center" wrapText="1"/>
    </xf>
    <xf numFmtId="0" fontId="11" fillId="4" borderId="3" xfId="0" applyFont="1" applyFill="1" applyBorder="1" applyAlignment="1">
      <alignment horizontal="left" vertical="center" wrapText="1" indent="1"/>
    </xf>
    <xf numFmtId="0" fontId="11" fillId="4" borderId="15" xfId="0" applyFont="1" applyFill="1" applyBorder="1" applyAlignment="1">
      <alignment horizontal="left" vertical="center" wrapText="1" indent="1"/>
    </xf>
    <xf numFmtId="0" fontId="11" fillId="8" borderId="27" xfId="0" applyFont="1" applyFill="1" applyBorder="1" applyAlignment="1" applyProtection="1">
      <alignment horizontal="left" vertical="center" wrapText="1"/>
      <protection locked="0"/>
    </xf>
    <xf numFmtId="0" fontId="39" fillId="0" borderId="119" xfId="0" applyNumberFormat="1" applyFont="1" applyFill="1" applyBorder="1" applyAlignment="1" applyProtection="1">
      <alignment horizontal="center" vertical="center" wrapText="1"/>
      <protection hidden="1"/>
    </xf>
    <xf numFmtId="3" fontId="39" fillId="6" borderId="162" xfId="0" applyNumberFormat="1" applyFont="1" applyFill="1" applyBorder="1" applyAlignment="1" applyProtection="1">
      <alignment horizontal="center" vertical="center" wrapText="1"/>
      <protection locked="0"/>
    </xf>
    <xf numFmtId="3" fontId="39" fillId="6" borderId="127" xfId="0" applyNumberFormat="1" applyFont="1" applyFill="1" applyBorder="1" applyAlignment="1" applyProtection="1">
      <alignment horizontal="center" vertical="center" wrapText="1"/>
      <protection locked="0"/>
    </xf>
    <xf numFmtId="3" fontId="39" fillId="6" borderId="216" xfId="0" applyNumberFormat="1" applyFont="1" applyFill="1" applyBorder="1" applyAlignment="1" applyProtection="1">
      <alignment horizontal="center" vertical="center" wrapText="1"/>
      <protection locked="0"/>
    </xf>
    <xf numFmtId="0" fontId="21" fillId="5" borderId="28" xfId="0" applyFont="1" applyFill="1" applyBorder="1" applyAlignment="1">
      <alignment horizontal="left" vertical="top" wrapText="1" indent="1"/>
    </xf>
    <xf numFmtId="0" fontId="0" fillId="5" borderId="28" xfId="0" applyFill="1" applyBorder="1" applyAlignment="1">
      <alignment horizontal="left" indent="1"/>
    </xf>
    <xf numFmtId="0" fontId="0" fillId="5" borderId="29" xfId="0" applyFill="1" applyBorder="1" applyAlignment="1">
      <alignment horizontal="left" indent="1"/>
    </xf>
    <xf numFmtId="0" fontId="39" fillId="6" borderId="28" xfId="0" applyFont="1" applyFill="1" applyBorder="1" applyAlignment="1" applyProtection="1">
      <alignment horizontal="center" vertical="center" wrapText="1"/>
      <protection locked="0"/>
    </xf>
    <xf numFmtId="0" fontId="0" fillId="0" borderId="29" xfId="0" applyBorder="1" applyAlignment="1" applyProtection="1">
      <protection locked="0"/>
    </xf>
    <xf numFmtId="0" fontId="0" fillId="0" borderId="29" xfId="0" applyBorder="1" applyAlignment="1"/>
    <xf numFmtId="3" fontId="39" fillId="0" borderId="24" xfId="0" applyNumberFormat="1" applyFont="1" applyFill="1" applyBorder="1" applyAlignment="1">
      <alignment horizontal="center" vertical="center" wrapText="1"/>
    </xf>
    <xf numFmtId="0" fontId="0" fillId="0" borderId="24" xfId="0" applyBorder="1" applyAlignment="1">
      <alignment horizontal="center"/>
    </xf>
    <xf numFmtId="0" fontId="0" fillId="0" borderId="25" xfId="0" applyBorder="1" applyAlignment="1">
      <alignment horizontal="center"/>
    </xf>
    <xf numFmtId="0" fontId="24" fillId="8" borderId="208" xfId="0" applyFont="1" applyFill="1" applyBorder="1" applyAlignment="1">
      <alignment horizontal="center" vertical="center" wrapText="1"/>
    </xf>
    <xf numFmtId="0" fontId="0" fillId="0" borderId="209" xfId="0" applyBorder="1" applyAlignment="1"/>
    <xf numFmtId="0" fontId="0" fillId="0" borderId="210" xfId="0" applyBorder="1" applyAlignment="1"/>
    <xf numFmtId="0" fontId="0" fillId="5" borderId="28" xfId="0" applyFill="1" applyBorder="1" applyAlignment="1">
      <alignment horizontal="left" vertical="top" wrapText="1" indent="1"/>
    </xf>
    <xf numFmtId="0" fontId="25" fillId="5" borderId="28" xfId="0" applyFont="1" applyFill="1" applyBorder="1" applyAlignment="1">
      <alignment horizontal="left" vertical="center" wrapText="1" indent="1"/>
    </xf>
    <xf numFmtId="0" fontId="11" fillId="4" borderId="201" xfId="0" applyFont="1" applyFill="1" applyBorder="1" applyAlignment="1">
      <alignment horizontal="center" vertical="center"/>
    </xf>
    <xf numFmtId="0" fontId="39" fillId="6" borderId="13" xfId="0" applyFont="1" applyFill="1" applyBorder="1" applyAlignment="1" applyProtection="1">
      <alignment horizontal="center" vertical="center"/>
      <protection locked="0"/>
    </xf>
    <xf numFmtId="0" fontId="39" fillId="6" borderId="19" xfId="0" applyFont="1" applyFill="1" applyBorder="1" applyAlignment="1" applyProtection="1">
      <alignment horizontal="center" vertical="center"/>
      <protection locked="0"/>
    </xf>
    <xf numFmtId="0" fontId="11" fillId="4" borderId="120" xfId="0" applyFont="1" applyFill="1" applyBorder="1" applyAlignment="1">
      <alignment horizontal="left" vertical="center" wrapText="1" indent="1"/>
    </xf>
    <xf numFmtId="0" fontId="11" fillId="4" borderId="121" xfId="0" applyFont="1" applyFill="1" applyBorder="1" applyAlignment="1">
      <alignment horizontal="left" vertical="center" wrapText="1" indent="1"/>
    </xf>
    <xf numFmtId="0" fontId="11" fillId="4" borderId="122" xfId="0" applyFont="1" applyFill="1" applyBorder="1" applyAlignment="1">
      <alignment horizontal="left" vertical="center" wrapText="1" indent="1"/>
    </xf>
    <xf numFmtId="0" fontId="11" fillId="4" borderId="119" xfId="0" applyFont="1" applyFill="1" applyBorder="1" applyAlignment="1">
      <alignment vertical="center" wrapText="1"/>
    </xf>
    <xf numFmtId="0" fontId="39" fillId="6" borderId="119" xfId="0" applyFont="1" applyFill="1" applyBorder="1" applyAlignment="1" applyProtection="1">
      <alignment horizontal="center" vertical="center"/>
      <protection locked="0"/>
    </xf>
    <xf numFmtId="0" fontId="0" fillId="0" borderId="145" xfId="0" applyBorder="1" applyAlignment="1" applyProtection="1">
      <protection locked="0"/>
    </xf>
    <xf numFmtId="0" fontId="25" fillId="6" borderId="144" xfId="0" applyFont="1" applyFill="1" applyBorder="1" applyAlignment="1" applyProtection="1">
      <alignment horizontal="left" vertical="center" wrapText="1"/>
      <protection locked="0"/>
    </xf>
    <xf numFmtId="0" fontId="25" fillId="6" borderId="119" xfId="0" applyFont="1" applyFill="1" applyBorder="1" applyAlignment="1" applyProtection="1">
      <alignment horizontal="left" vertical="center" wrapText="1"/>
      <protection locked="0"/>
    </xf>
    <xf numFmtId="3" fontId="39" fillId="0" borderId="119" xfId="0" applyNumberFormat="1" applyFont="1" applyFill="1" applyBorder="1" applyAlignment="1">
      <alignment horizontal="center" vertical="center" wrapText="1"/>
    </xf>
    <xf numFmtId="0" fontId="0" fillId="0" borderId="119" xfId="0" applyBorder="1" applyAlignment="1">
      <alignment horizontal="center"/>
    </xf>
    <xf numFmtId="0" fontId="25" fillId="6" borderId="203" xfId="0" applyFont="1" applyFill="1" applyBorder="1" applyAlignment="1" applyProtection="1">
      <alignment horizontal="left" vertical="center" wrapText="1"/>
      <protection locked="0"/>
    </xf>
    <xf numFmtId="0" fontId="25" fillId="6" borderId="124" xfId="0" applyFont="1" applyFill="1" applyBorder="1" applyAlignment="1" applyProtection="1">
      <alignment horizontal="left" vertical="center" wrapText="1"/>
      <protection locked="0"/>
    </xf>
    <xf numFmtId="0" fontId="39" fillId="0" borderId="124" xfId="0" applyNumberFormat="1" applyFont="1" applyFill="1" applyBorder="1" applyAlignment="1" applyProtection="1">
      <alignment horizontal="center" vertical="center" wrapText="1"/>
      <protection hidden="1"/>
    </xf>
    <xf numFmtId="0" fontId="4" fillId="4" borderId="27" xfId="0" applyFont="1" applyFill="1" applyBorder="1" applyAlignment="1">
      <alignment horizontal="left" vertical="center" wrapText="1"/>
    </xf>
    <xf numFmtId="0" fontId="28" fillId="0" borderId="0" xfId="0" applyFont="1" applyBorder="1" applyAlignment="1">
      <alignment horizontal="left" vertical="top" wrapText="1"/>
    </xf>
    <xf numFmtId="0" fontId="0" fillId="0" borderId="0" xfId="0" applyAlignment="1"/>
    <xf numFmtId="0" fontId="25" fillId="6" borderId="205" xfId="0" applyFont="1" applyFill="1" applyBorder="1" applyAlignment="1" applyProtection="1">
      <alignment horizontal="left" vertical="center" wrapText="1"/>
      <protection locked="0"/>
    </xf>
    <xf numFmtId="0" fontId="25" fillId="6" borderId="128" xfId="0" applyFont="1" applyFill="1" applyBorder="1" applyAlignment="1" applyProtection="1">
      <alignment horizontal="left" vertical="center" wrapText="1"/>
      <protection locked="0"/>
    </xf>
    <xf numFmtId="0" fontId="4" fillId="4" borderId="146" xfId="0" applyFont="1" applyFill="1" applyBorder="1" applyAlignment="1">
      <alignment horizontal="left" vertical="center" wrapText="1" indent="1"/>
    </xf>
    <xf numFmtId="0" fontId="28" fillId="4" borderId="147" xfId="0" applyFont="1" applyFill="1" applyBorder="1" applyAlignment="1">
      <alignment horizontal="left" vertical="center" wrapText="1" indent="1"/>
    </xf>
    <xf numFmtId="0" fontId="28" fillId="0" borderId="0" xfId="0" applyFont="1" applyFill="1" applyBorder="1" applyAlignment="1">
      <alignment horizontal="left" vertical="top" wrapText="1"/>
    </xf>
    <xf numFmtId="0" fontId="106" fillId="6" borderId="28" xfId="0" applyFont="1" applyFill="1" applyBorder="1" applyAlignment="1" applyProtection="1">
      <alignment horizontal="right" vertical="center" wrapText="1" indent="2"/>
      <protection locked="0"/>
    </xf>
    <xf numFmtId="0" fontId="0" fillId="0" borderId="28" xfId="0" applyFont="1" applyBorder="1" applyAlignment="1">
      <alignment horizontal="right" indent="2"/>
    </xf>
    <xf numFmtId="0" fontId="0" fillId="0" borderId="29" xfId="0" applyFont="1" applyBorder="1" applyAlignment="1">
      <alignment horizontal="right" indent="2"/>
    </xf>
    <xf numFmtId="0" fontId="25" fillId="5" borderId="27" xfId="0" applyFont="1" applyFill="1" applyBorder="1" applyAlignment="1">
      <alignment horizontal="left" vertical="center" wrapText="1" indent="1"/>
    </xf>
    <xf numFmtId="0" fontId="25" fillId="5" borderId="29" xfId="0" applyFont="1" applyFill="1" applyBorder="1" applyAlignment="1">
      <alignment horizontal="left" vertical="center" wrapText="1" indent="1"/>
    </xf>
    <xf numFmtId="0" fontId="0" fillId="4" borderId="28" xfId="0" applyFill="1" applyBorder="1" applyAlignment="1"/>
    <xf numFmtId="0" fontId="2" fillId="0" borderId="0" xfId="0" applyFont="1" applyFill="1" applyBorder="1" applyAlignment="1">
      <alignment horizontal="left" vertical="top" wrapText="1"/>
    </xf>
    <xf numFmtId="0" fontId="0" fillId="0" borderId="0" xfId="0" applyBorder="1" applyAlignment="1"/>
    <xf numFmtId="0" fontId="0" fillId="0" borderId="119" xfId="0" applyBorder="1" applyAlignment="1" applyProtection="1">
      <alignment vertical="center"/>
      <protection locked="0"/>
    </xf>
    <xf numFmtId="0" fontId="0" fillId="0" borderId="145" xfId="0" applyBorder="1" applyAlignment="1" applyProtection="1">
      <alignment vertical="center"/>
      <protection locked="0"/>
    </xf>
    <xf numFmtId="0" fontId="0" fillId="0" borderId="9" xfId="0" applyBorder="1" applyAlignment="1" applyProtection="1">
      <alignment vertical="center" wrapText="1"/>
      <protection locked="0"/>
    </xf>
    <xf numFmtId="0" fontId="0" fillId="0" borderId="10" xfId="0" applyBorder="1" applyAlignment="1" applyProtection="1">
      <alignment vertical="center" wrapText="1"/>
      <protection locked="0"/>
    </xf>
    <xf numFmtId="0" fontId="24" fillId="8" borderId="199" xfId="0" applyFont="1" applyFill="1" applyBorder="1" applyAlignment="1">
      <alignment horizontal="center" vertical="center" wrapText="1"/>
    </xf>
    <xf numFmtId="168" fontId="39" fillId="0" borderId="147" xfId="0" applyNumberFormat="1" applyFont="1" applyBorder="1" applyAlignment="1">
      <alignment horizontal="right" vertical="center" wrapText="1"/>
    </xf>
    <xf numFmtId="0" fontId="0" fillId="0" borderId="147" xfId="0" applyBorder="1" applyAlignment="1"/>
    <xf numFmtId="0" fontId="0" fillId="0" borderId="148" xfId="0" applyBorder="1" applyAlignment="1"/>
    <xf numFmtId="0" fontId="39" fillId="0" borderId="119" xfId="0" applyNumberFormat="1" applyFont="1" applyFill="1" applyBorder="1" applyAlignment="1">
      <alignment horizontal="center" vertical="center" wrapText="1"/>
    </xf>
    <xf numFmtId="0" fontId="25" fillId="0" borderId="144" xfId="0" applyFont="1" applyFill="1" applyBorder="1" applyAlignment="1">
      <alignment horizontal="left" vertical="center" wrapText="1" indent="1"/>
    </xf>
    <xf numFmtId="0" fontId="25" fillId="0" borderId="119" xfId="0" applyFont="1" applyFill="1" applyBorder="1" applyAlignment="1">
      <alignment horizontal="left" vertical="center" wrapText="1" indent="1"/>
    </xf>
    <xf numFmtId="0" fontId="39" fillId="6" borderId="119" xfId="0" applyNumberFormat="1" applyFont="1" applyFill="1" applyBorder="1" applyAlignment="1" applyProtection="1">
      <alignment horizontal="center" vertical="center" wrapText="1"/>
      <protection locked="0"/>
    </xf>
    <xf numFmtId="4" fontId="39" fillId="0" borderId="199" xfId="0" applyNumberFormat="1" applyFont="1" applyFill="1" applyBorder="1" applyAlignment="1">
      <alignment horizontal="right" vertical="center" wrapText="1"/>
    </xf>
    <xf numFmtId="3" fontId="39" fillId="6" borderId="119" xfId="0" applyNumberFormat="1" applyFont="1" applyFill="1" applyBorder="1" applyAlignment="1" applyProtection="1">
      <alignment horizontal="right" vertical="center" wrapText="1"/>
      <protection locked="0"/>
    </xf>
    <xf numFmtId="0" fontId="28" fillId="0" borderId="0" xfId="0" applyFont="1" applyAlignment="1">
      <alignment horizontal="left" vertical="center" wrapText="1"/>
    </xf>
    <xf numFmtId="0" fontId="11" fillId="4" borderId="197" xfId="0" applyFont="1" applyFill="1" applyBorder="1" applyAlignment="1">
      <alignment horizontal="left" vertical="center" wrapText="1" indent="1"/>
    </xf>
    <xf numFmtId="0" fontId="11" fillId="4" borderId="199" xfId="0" applyFont="1" applyFill="1" applyBorder="1" applyAlignment="1">
      <alignment horizontal="left" vertical="center" wrapText="1" indent="1"/>
    </xf>
    <xf numFmtId="0" fontId="24" fillId="8" borderId="197" xfId="0" applyFont="1" applyFill="1" applyBorder="1" applyAlignment="1">
      <alignment horizontal="center" vertical="center" wrapText="1"/>
    </xf>
    <xf numFmtId="3" fontId="39" fillId="0" borderId="199" xfId="0" applyNumberFormat="1" applyFont="1" applyFill="1" applyBorder="1" applyAlignment="1">
      <alignment horizontal="right" vertical="center" wrapText="1"/>
    </xf>
    <xf numFmtId="4" fontId="39" fillId="0" borderId="119" xfId="0" applyNumberFormat="1" applyFont="1" applyFill="1" applyBorder="1" applyAlignment="1">
      <alignment horizontal="right" vertical="center" wrapText="1"/>
    </xf>
    <xf numFmtId="4" fontId="39" fillId="0" borderId="128" xfId="0" applyNumberFormat="1" applyFont="1" applyFill="1" applyBorder="1" applyAlignment="1">
      <alignment horizontal="right" vertical="center" wrapText="1"/>
    </xf>
    <xf numFmtId="0" fontId="25" fillId="0" borderId="205" xfId="0" applyFont="1" applyFill="1" applyBorder="1" applyAlignment="1">
      <alignment horizontal="left" vertical="center" wrapText="1" indent="1"/>
    </xf>
    <xf numFmtId="0" fontId="25" fillId="0" borderId="128" xfId="0" applyFont="1" applyFill="1" applyBorder="1" applyAlignment="1">
      <alignment horizontal="left" vertical="center" wrapText="1" indent="1"/>
    </xf>
    <xf numFmtId="0" fontId="39" fillId="0" borderId="128" xfId="0" applyNumberFormat="1" applyFont="1" applyFill="1" applyBorder="1" applyAlignment="1">
      <alignment horizontal="center" vertical="center" wrapText="1"/>
    </xf>
    <xf numFmtId="3" fontId="39" fillId="6" borderId="128" xfId="0" applyNumberFormat="1" applyFont="1" applyFill="1" applyBorder="1" applyAlignment="1" applyProtection="1">
      <alignment horizontal="right" vertical="center" wrapText="1"/>
      <protection locked="0"/>
    </xf>
    <xf numFmtId="0" fontId="11" fillId="8" borderId="197" xfId="0" applyFont="1" applyFill="1" applyBorder="1" applyAlignment="1">
      <alignment horizontal="left" vertical="center" indent="1"/>
    </xf>
    <xf numFmtId="0" fontId="11" fillId="8" borderId="199" xfId="0" applyFont="1" applyFill="1" applyBorder="1" applyAlignment="1">
      <alignment horizontal="left" vertical="center" indent="1"/>
    </xf>
    <xf numFmtId="3" fontId="39" fillId="0" borderId="199" xfId="0" applyNumberFormat="1" applyFont="1" applyFill="1" applyBorder="1" applyAlignment="1">
      <alignment horizontal="center" vertical="center" wrapText="1"/>
    </xf>
    <xf numFmtId="0" fontId="0" fillId="0" borderId="199" xfId="0" applyBorder="1" applyAlignment="1">
      <alignment horizontal="center"/>
    </xf>
    <xf numFmtId="0" fontId="0" fillId="0" borderId="198" xfId="0" applyBorder="1" applyAlignment="1">
      <alignment horizontal="center"/>
    </xf>
    <xf numFmtId="0" fontId="0" fillId="4" borderId="23" xfId="0" applyFill="1" applyBorder="1" applyAlignment="1"/>
    <xf numFmtId="0" fontId="0" fillId="4" borderId="24" xfId="0" applyFill="1" applyBorder="1" applyAlignment="1"/>
    <xf numFmtId="0" fontId="39" fillId="0" borderId="128" xfId="0" applyNumberFormat="1" applyFont="1" applyFill="1" applyBorder="1" applyAlignment="1" applyProtection="1">
      <alignment horizontal="center" vertical="center" wrapText="1"/>
      <protection hidden="1"/>
    </xf>
    <xf numFmtId="0" fontId="0" fillId="4" borderId="21" xfId="0" applyFill="1" applyBorder="1" applyAlignment="1">
      <alignment vertical="center"/>
    </xf>
    <xf numFmtId="2" fontId="39" fillId="5" borderId="147" xfId="0" applyNumberFormat="1" applyFont="1" applyFill="1" applyBorder="1" applyAlignment="1">
      <alignment horizontal="center" vertical="center" wrapText="1"/>
    </xf>
    <xf numFmtId="0" fontId="39" fillId="0" borderId="147" xfId="0" applyFont="1" applyBorder="1" applyAlignment="1">
      <alignment vertical="center"/>
    </xf>
    <xf numFmtId="0" fontId="39" fillId="0" borderId="147" xfId="0" applyFont="1" applyBorder="1" applyAlignment="1"/>
    <xf numFmtId="0" fontId="39" fillId="0" borderId="148" xfId="0" applyFont="1" applyBorder="1" applyAlignment="1"/>
    <xf numFmtId="4" fontId="39" fillId="0" borderId="147" xfId="0" applyNumberFormat="1" applyFont="1" applyBorder="1" applyAlignment="1">
      <alignment horizontal="center" vertical="center" wrapText="1"/>
    </xf>
    <xf numFmtId="0" fontId="0" fillId="0" borderId="201" xfId="0" applyBorder="1" applyAlignment="1"/>
    <xf numFmtId="3" fontId="39" fillId="6" borderId="128" xfId="0" applyNumberFormat="1" applyFont="1" applyFill="1" applyBorder="1" applyAlignment="1" applyProtection="1">
      <alignment horizontal="center" vertical="center" wrapText="1"/>
      <protection locked="0"/>
    </xf>
    <xf numFmtId="0" fontId="0" fillId="0" borderId="128" xfId="0" applyBorder="1" applyAlignment="1" applyProtection="1">
      <alignment horizontal="center"/>
      <protection locked="0"/>
    </xf>
    <xf numFmtId="0" fontId="0" fillId="0" borderId="206" xfId="0" applyBorder="1" applyAlignment="1" applyProtection="1">
      <alignment horizontal="center"/>
      <protection locked="0"/>
    </xf>
    <xf numFmtId="3" fontId="39" fillId="6" borderId="119" xfId="0" applyNumberFormat="1" applyFont="1" applyFill="1" applyBorder="1" applyAlignment="1" applyProtection="1">
      <alignment horizontal="center" vertical="center" wrapText="1"/>
      <protection locked="0"/>
    </xf>
    <xf numFmtId="0" fontId="0" fillId="0" borderId="119" xfId="0" applyBorder="1" applyAlignment="1" applyProtection="1">
      <alignment horizontal="center"/>
      <protection locked="0"/>
    </xf>
    <xf numFmtId="0" fontId="0" fillId="0" borderId="145" xfId="0" applyBorder="1" applyAlignment="1" applyProtection="1">
      <alignment horizontal="center"/>
      <protection locked="0"/>
    </xf>
    <xf numFmtId="0" fontId="39" fillId="6" borderId="147" xfId="0" applyFont="1" applyFill="1" applyBorder="1" applyAlignment="1" applyProtection="1">
      <alignment horizontal="left" vertical="center"/>
      <protection locked="0"/>
    </xf>
    <xf numFmtId="3" fontId="39" fillId="0" borderId="128" xfId="0" applyNumberFormat="1" applyFont="1" applyFill="1" applyBorder="1" applyAlignment="1">
      <alignment horizontal="center" vertical="center" wrapText="1"/>
    </xf>
    <xf numFmtId="0" fontId="0" fillId="0" borderId="128" xfId="0" applyBorder="1" applyAlignment="1">
      <alignment horizontal="center"/>
    </xf>
    <xf numFmtId="0" fontId="11" fillId="4" borderId="20" xfId="0" applyNumberFormat="1" applyFont="1" applyFill="1" applyBorder="1" applyAlignment="1">
      <alignment horizontal="center" vertical="center" wrapText="1"/>
    </xf>
    <xf numFmtId="0" fontId="11" fillId="4" borderId="23" xfId="0" applyNumberFormat="1" applyFont="1" applyFill="1" applyBorder="1" applyAlignment="1">
      <alignment horizontal="center" vertical="center" wrapText="1"/>
    </xf>
    <xf numFmtId="0" fontId="11" fillId="4" borderId="100" xfId="0" applyFont="1" applyFill="1" applyBorder="1" applyAlignment="1">
      <alignment horizontal="center" vertical="center" wrapText="1"/>
    </xf>
    <xf numFmtId="0" fontId="11" fillId="4" borderId="108" xfId="0" applyFont="1" applyFill="1" applyBorder="1" applyAlignment="1">
      <alignment horizontal="center" vertical="center" wrapText="1"/>
    </xf>
    <xf numFmtId="0" fontId="11" fillId="4" borderId="101" xfId="0" applyFont="1" applyFill="1" applyBorder="1" applyAlignment="1">
      <alignment horizontal="center" vertical="center" wrapText="1"/>
    </xf>
    <xf numFmtId="0" fontId="11" fillId="4" borderId="49" xfId="0" applyFont="1" applyFill="1" applyBorder="1" applyAlignment="1">
      <alignment horizontal="center" vertical="center" wrapText="1"/>
    </xf>
    <xf numFmtId="0" fontId="5" fillId="4" borderId="22" xfId="0" applyFont="1" applyFill="1" applyBorder="1" applyAlignment="1">
      <alignment horizontal="center" vertical="center" wrapText="1"/>
    </xf>
    <xf numFmtId="0" fontId="28" fillId="4" borderId="37" xfId="0" applyFont="1" applyFill="1" applyBorder="1" applyAlignment="1">
      <alignment horizontal="center" vertical="center" wrapText="1"/>
    </xf>
    <xf numFmtId="0" fontId="5" fillId="4" borderId="20" xfId="0" applyFont="1" applyFill="1" applyBorder="1" applyAlignment="1">
      <alignment horizontal="center" vertical="center"/>
    </xf>
    <xf numFmtId="0" fontId="5" fillId="4" borderId="55" xfId="0" applyFont="1" applyFill="1" applyBorder="1" applyAlignment="1">
      <alignment horizontal="center" vertical="center"/>
    </xf>
    <xf numFmtId="0" fontId="11" fillId="4" borderId="65" xfId="0" applyFont="1" applyFill="1" applyBorder="1" applyAlignment="1">
      <alignment horizontal="center" vertical="center" wrapText="1"/>
    </xf>
    <xf numFmtId="0" fontId="11" fillId="4" borderId="48" xfId="0" applyFont="1" applyFill="1" applyBorder="1" applyAlignment="1">
      <alignment horizontal="center" vertical="center" wrapText="1"/>
    </xf>
    <xf numFmtId="0" fontId="90" fillId="0" borderId="0" xfId="0" applyFont="1" applyBorder="1" applyAlignment="1">
      <alignment horizontal="left" wrapText="1"/>
    </xf>
    <xf numFmtId="0" fontId="39" fillId="6" borderId="41" xfId="0" applyFont="1" applyFill="1" applyBorder="1" applyAlignment="1" applyProtection="1">
      <alignment horizontal="center" vertical="center" wrapText="1"/>
      <protection locked="0"/>
    </xf>
    <xf numFmtId="0" fontId="39" fillId="6" borderId="24" xfId="0" applyFont="1" applyFill="1" applyBorder="1" applyAlignment="1" applyProtection="1">
      <alignment horizontal="center" vertical="center" wrapText="1"/>
      <protection locked="0"/>
    </xf>
    <xf numFmtId="0" fontId="117" fillId="0" borderId="2" xfId="0" applyFont="1" applyBorder="1" applyAlignment="1">
      <alignment horizontal="left" vertical="top" wrapText="1"/>
    </xf>
    <xf numFmtId="0" fontId="39" fillId="6" borderId="42" xfId="0" applyFont="1" applyFill="1" applyBorder="1" applyAlignment="1" applyProtection="1">
      <alignment horizontal="center" vertical="center" wrapText="1"/>
      <protection locked="0"/>
    </xf>
    <xf numFmtId="0" fontId="39" fillId="6" borderId="25" xfId="0" applyFont="1" applyFill="1" applyBorder="1" applyAlignment="1" applyProtection="1">
      <alignment horizontal="center" vertical="center" wrapText="1"/>
      <protection locked="0"/>
    </xf>
    <xf numFmtId="0" fontId="1" fillId="8" borderId="4" xfId="0" applyFont="1" applyFill="1" applyBorder="1" applyAlignment="1">
      <alignment horizontal="left" vertical="center" indent="1"/>
    </xf>
    <xf numFmtId="0" fontId="4" fillId="4" borderId="28" xfId="0" applyFont="1" applyFill="1" applyBorder="1" applyAlignment="1">
      <alignment horizontal="left" vertical="center" wrapText="1"/>
    </xf>
    <xf numFmtId="0" fontId="28" fillId="4" borderId="27" xfId="0" applyFont="1" applyFill="1" applyBorder="1" applyAlignment="1">
      <alignment horizontal="left" vertical="center" wrapText="1"/>
    </xf>
    <xf numFmtId="0" fontId="39" fillId="6" borderId="27" xfId="0" applyFont="1" applyFill="1" applyBorder="1" applyAlignment="1" applyProtection="1">
      <alignment horizontal="center" vertical="top" wrapText="1"/>
      <protection locked="0"/>
    </xf>
    <xf numFmtId="0" fontId="39" fillId="6" borderId="28" xfId="0" applyFont="1" applyFill="1" applyBorder="1" applyAlignment="1" applyProtection="1">
      <alignment horizontal="center" vertical="top" wrapText="1"/>
      <protection locked="0"/>
    </xf>
    <xf numFmtId="0" fontId="39" fillId="6" borderId="29" xfId="0" applyFont="1" applyFill="1" applyBorder="1" applyAlignment="1" applyProtection="1">
      <alignment horizontal="center" vertical="top" wrapText="1"/>
      <protection locked="0"/>
    </xf>
    <xf numFmtId="0" fontId="28" fillId="0" borderId="14" xfId="0" applyFont="1" applyBorder="1" applyAlignment="1">
      <alignment horizontal="left" vertical="top" wrapText="1"/>
    </xf>
    <xf numFmtId="0" fontId="39" fillId="6" borderId="28" xfId="0" applyFont="1" applyFill="1" applyBorder="1" applyAlignment="1">
      <alignment horizontal="center" vertical="center" wrapText="1"/>
    </xf>
    <xf numFmtId="0" fontId="39" fillId="6" borderId="29" xfId="0" applyFont="1" applyFill="1" applyBorder="1" applyAlignment="1">
      <alignment horizontal="center" vertical="center" wrapText="1"/>
    </xf>
    <xf numFmtId="0" fontId="28" fillId="8" borderId="27" xfId="0" applyFont="1" applyFill="1" applyBorder="1" applyAlignment="1">
      <alignment horizontal="left" vertical="center" wrapText="1"/>
    </xf>
    <xf numFmtId="0" fontId="28" fillId="8" borderId="28" xfId="0" applyFont="1" applyFill="1" applyBorder="1" applyAlignment="1">
      <alignment horizontal="left" vertical="center" wrapText="1"/>
    </xf>
    <xf numFmtId="0" fontId="39" fillId="6" borderId="26" xfId="0" applyFont="1" applyFill="1" applyBorder="1" applyAlignment="1" applyProtection="1">
      <alignment horizontal="center" vertical="center" wrapText="1"/>
      <protection locked="0"/>
    </xf>
    <xf numFmtId="0" fontId="39" fillId="6" borderId="37" xfId="0" applyFont="1" applyFill="1" applyBorder="1" applyAlignment="1" applyProtection="1">
      <alignment horizontal="center" vertical="center" wrapText="1"/>
      <protection locked="0"/>
    </xf>
    <xf numFmtId="0" fontId="39" fillId="6" borderId="41" xfId="0" applyFont="1" applyFill="1" applyBorder="1" applyAlignment="1" applyProtection="1">
      <alignment horizontal="left" vertical="center" wrapText="1"/>
      <protection locked="0"/>
    </xf>
    <xf numFmtId="0" fontId="39" fillId="6" borderId="26" xfId="0" applyFont="1" applyFill="1" applyBorder="1" applyAlignment="1" applyProtection="1">
      <alignment horizontal="left" vertical="center" wrapText="1"/>
      <protection locked="0"/>
    </xf>
    <xf numFmtId="0" fontId="28" fillId="8" borderId="27" xfId="0" applyFont="1" applyFill="1" applyBorder="1" applyAlignment="1">
      <alignment horizontal="left" vertical="center" indent="1"/>
    </xf>
    <xf numFmtId="0" fontId="28" fillId="8" borderId="28" xfId="0" applyFont="1" applyFill="1" applyBorder="1" applyAlignment="1">
      <alignment horizontal="left" vertical="center" indent="1"/>
    </xf>
    <xf numFmtId="0" fontId="21" fillId="45" borderId="32" xfId="0" applyFont="1" applyFill="1" applyBorder="1" applyAlignment="1">
      <alignment horizontal="left" vertical="top" wrapText="1"/>
    </xf>
    <xf numFmtId="0" fontId="21" fillId="45" borderId="74" xfId="0" applyFont="1" applyFill="1" applyBorder="1" applyAlignment="1">
      <alignment horizontal="left" vertical="top" wrapText="1"/>
    </xf>
    <xf numFmtId="0" fontId="21" fillId="45" borderId="217" xfId="0" applyFont="1" applyFill="1" applyBorder="1" applyAlignment="1">
      <alignment horizontal="left" vertical="top" wrapText="1"/>
    </xf>
    <xf numFmtId="0" fontId="4" fillId="8" borderId="4" xfId="0" applyFont="1" applyFill="1" applyBorder="1" applyAlignment="1">
      <alignment horizontal="center" vertical="center"/>
    </xf>
    <xf numFmtId="0" fontId="11" fillId="8" borderId="29" xfId="0" applyFont="1" applyFill="1" applyBorder="1" applyAlignment="1">
      <alignment horizontal="center" vertical="center" wrapText="1"/>
    </xf>
    <xf numFmtId="0" fontId="28" fillId="8" borderId="27" xfId="0" applyFont="1" applyFill="1" applyBorder="1" applyAlignment="1">
      <alignment horizontal="center" vertical="center"/>
    </xf>
    <xf numFmtId="0" fontId="28" fillId="8" borderId="28" xfId="0" applyFont="1" applyFill="1" applyBorder="1" applyAlignment="1">
      <alignment horizontal="center" vertical="center"/>
    </xf>
    <xf numFmtId="0" fontId="32" fillId="8" borderId="28" xfId="0" applyFont="1" applyFill="1" applyBorder="1" applyAlignment="1">
      <alignment horizontal="center" vertical="center"/>
    </xf>
    <xf numFmtId="0" fontId="32" fillId="8" borderId="29" xfId="0" applyFont="1" applyFill="1" applyBorder="1" applyAlignment="1">
      <alignment horizontal="center" vertical="center"/>
    </xf>
    <xf numFmtId="0" fontId="11" fillId="8" borderId="100" xfId="0" applyFont="1" applyFill="1" applyBorder="1" applyAlignment="1">
      <alignment horizontal="center" vertical="center" wrapText="1"/>
    </xf>
    <xf numFmtId="0" fontId="39" fillId="6" borderId="63" xfId="0" applyFont="1" applyFill="1" applyBorder="1" applyAlignment="1" applyProtection="1">
      <alignment horizontal="center" vertical="center" wrapText="1"/>
      <protection locked="0"/>
    </xf>
    <xf numFmtId="0" fontId="25" fillId="5" borderId="129" xfId="0" applyFont="1" applyFill="1" applyBorder="1" applyAlignment="1">
      <alignment horizontal="left" vertical="top" wrapText="1" indent="1"/>
    </xf>
    <xf numFmtId="0" fontId="25" fillId="5" borderId="35" xfId="0" applyFont="1" applyFill="1" applyBorder="1" applyAlignment="1">
      <alignment horizontal="left" vertical="top" wrapText="1" indent="1"/>
    </xf>
    <xf numFmtId="0" fontId="39" fillId="6" borderId="64" xfId="0" applyFont="1" applyFill="1" applyBorder="1" applyAlignment="1" applyProtection="1">
      <alignment horizontal="center" vertical="center" wrapText="1"/>
      <protection locked="0"/>
    </xf>
    <xf numFmtId="0" fontId="39" fillId="5" borderId="41" xfId="0" applyFont="1" applyFill="1" applyBorder="1" applyAlignment="1" applyProtection="1">
      <alignment horizontal="left" vertical="center" wrapText="1"/>
    </xf>
    <xf numFmtId="0" fontId="1" fillId="0" borderId="0" xfId="0" applyFont="1" applyBorder="1" applyAlignment="1">
      <alignment horizontal="left" vertical="top" wrapText="1"/>
    </xf>
    <xf numFmtId="0" fontId="28" fillId="5" borderId="0" xfId="0" applyFont="1" applyFill="1" applyBorder="1" applyAlignment="1">
      <alignment horizontal="left" vertical="center" wrapText="1"/>
    </xf>
    <xf numFmtId="0" fontId="39" fillId="5" borderId="0" xfId="0" applyFont="1" applyFill="1" applyBorder="1" applyAlignment="1" applyProtection="1">
      <alignment horizontal="left" vertical="center" wrapText="1"/>
      <protection locked="0"/>
    </xf>
    <xf numFmtId="0" fontId="24" fillId="8" borderId="119" xfId="0" applyFont="1" applyFill="1" applyBorder="1" applyAlignment="1">
      <alignment horizontal="center" vertical="center" wrapText="1"/>
    </xf>
    <xf numFmtId="0" fontId="24" fillId="8" borderId="120" xfId="0" applyFont="1" applyFill="1" applyBorder="1" applyAlignment="1">
      <alignment horizontal="center" vertical="center" wrapText="1"/>
    </xf>
    <xf numFmtId="0" fontId="24" fillId="8" borderId="122" xfId="0" applyFont="1" applyFill="1" applyBorder="1" applyAlignment="1">
      <alignment horizontal="center" vertical="center" wrapText="1"/>
    </xf>
    <xf numFmtId="0" fontId="99" fillId="0" borderId="128" xfId="0" applyFont="1" applyBorder="1" applyAlignment="1" applyProtection="1">
      <alignment horizontal="left" vertical="center" wrapText="1" indent="1"/>
    </xf>
    <xf numFmtId="0" fontId="99" fillId="0" borderId="160" xfId="0" applyFont="1" applyBorder="1" applyAlignment="1" applyProtection="1">
      <alignment horizontal="left" vertical="center" wrapText="1" indent="1"/>
    </xf>
    <xf numFmtId="0" fontId="39" fillId="5" borderId="161" xfId="0" applyFont="1" applyFill="1" applyBorder="1" applyAlignment="1" applyProtection="1">
      <alignment horizontal="right" vertical="center" wrapText="1"/>
    </xf>
    <xf numFmtId="0" fontId="39" fillId="5" borderId="128" xfId="0" applyFont="1" applyFill="1" applyBorder="1" applyAlignment="1" applyProtection="1">
      <alignment horizontal="right" vertical="center" wrapText="1"/>
    </xf>
    <xf numFmtId="0" fontId="39" fillId="0" borderId="208" xfId="0" applyFont="1" applyBorder="1" applyAlignment="1">
      <alignment horizontal="left" vertical="center" wrapText="1" indent="1"/>
    </xf>
    <xf numFmtId="0" fontId="39" fillId="0" borderId="209" xfId="0" applyFont="1" applyBorder="1" applyAlignment="1">
      <alignment horizontal="left" vertical="center" wrapText="1" indent="1"/>
    </xf>
    <xf numFmtId="0" fontId="39" fillId="0" borderId="220" xfId="0" applyFont="1" applyBorder="1" applyAlignment="1">
      <alignment horizontal="left" vertical="center" wrapText="1" indent="1"/>
    </xf>
    <xf numFmtId="0" fontId="39" fillId="6" borderId="33" xfId="0" applyFont="1" applyFill="1" applyBorder="1" applyAlignment="1" applyProtection="1">
      <alignment horizontal="center" vertical="center" wrapText="1"/>
      <protection locked="0"/>
    </xf>
    <xf numFmtId="0" fontId="39" fillId="6" borderId="21" xfId="0" applyFont="1" applyFill="1" applyBorder="1" applyAlignment="1" applyProtection="1">
      <alignment horizontal="center" vertical="center" wrapText="1"/>
      <protection locked="0"/>
    </xf>
    <xf numFmtId="0" fontId="0" fillId="0" borderId="21" xfId="0" applyFont="1" applyBorder="1" applyAlignment="1" applyProtection="1">
      <alignment horizontal="center" vertical="center" wrapText="1"/>
      <protection locked="0"/>
    </xf>
    <xf numFmtId="0" fontId="0" fillId="0" borderId="22" xfId="0" applyFont="1" applyBorder="1" applyAlignment="1" applyProtection="1">
      <alignment horizontal="center" vertical="center" wrapText="1"/>
      <protection locked="0"/>
    </xf>
    <xf numFmtId="0" fontId="39" fillId="0" borderId="218" xfId="0" applyFont="1" applyBorder="1" applyAlignment="1">
      <alignment horizontal="left" vertical="center" wrapText="1" indent="1"/>
    </xf>
    <xf numFmtId="0" fontId="39" fillId="0" borderId="219" xfId="0" applyFont="1" applyBorder="1" applyAlignment="1">
      <alignment horizontal="left" vertical="center" wrapText="1" indent="1"/>
    </xf>
    <xf numFmtId="0" fontId="39" fillId="0" borderId="221" xfId="0" applyFont="1" applyBorder="1" applyAlignment="1">
      <alignment horizontal="left" vertical="center" wrapText="1" indent="1"/>
    </xf>
    <xf numFmtId="0" fontId="39" fillId="6" borderId="44" xfId="0" applyFont="1" applyFill="1" applyBorder="1" applyAlignment="1" applyProtection="1">
      <alignment horizontal="left" vertical="center" wrapText="1"/>
      <protection locked="0"/>
    </xf>
    <xf numFmtId="0" fontId="39" fillId="6" borderId="42" xfId="0" applyFont="1" applyFill="1" applyBorder="1" applyAlignment="1" applyProtection="1">
      <alignment horizontal="left" vertical="center" wrapText="1"/>
      <protection locked="0"/>
    </xf>
    <xf numFmtId="9" fontId="39" fillId="6" borderId="41" xfId="0" applyNumberFormat="1" applyFont="1" applyFill="1" applyBorder="1" applyAlignment="1" applyProtection="1">
      <alignment horizontal="left" vertical="center" wrapText="1"/>
      <protection locked="0"/>
    </xf>
    <xf numFmtId="0" fontId="39" fillId="6" borderId="41" xfId="0" applyFont="1" applyFill="1" applyBorder="1" applyAlignment="1" applyProtection="1">
      <alignment horizontal="right" vertical="center" wrapText="1"/>
      <protection locked="0"/>
    </xf>
    <xf numFmtId="0" fontId="39" fillId="6" borderId="42" xfId="0" applyFont="1" applyFill="1" applyBorder="1" applyAlignment="1" applyProtection="1">
      <alignment horizontal="right" vertical="center" wrapText="1"/>
      <protection locked="0"/>
    </xf>
    <xf numFmtId="0" fontId="34" fillId="8" borderId="38" xfId="0" applyFont="1" applyFill="1" applyBorder="1" applyAlignment="1">
      <alignment horizontal="center" vertical="center" wrapText="1"/>
    </xf>
    <xf numFmtId="0" fontId="0" fillId="0" borderId="47" xfId="0" applyFont="1" applyBorder="1" applyAlignment="1">
      <alignment horizontal="center" vertical="center" wrapText="1"/>
    </xf>
    <xf numFmtId="0" fontId="0" fillId="0" borderId="33" xfId="0" applyFont="1" applyBorder="1" applyAlignment="1">
      <alignment horizontal="center" vertical="center" wrapText="1"/>
    </xf>
    <xf numFmtId="0" fontId="34" fillId="8" borderId="20" xfId="0" applyFont="1" applyFill="1" applyBorder="1" applyAlignment="1">
      <alignment horizontal="center" vertical="center" wrapText="1"/>
    </xf>
    <xf numFmtId="0" fontId="34" fillId="8" borderId="21" xfId="0" applyFont="1" applyFill="1" applyBorder="1" applyAlignment="1">
      <alignment horizontal="center" vertical="center" wrapText="1"/>
    </xf>
    <xf numFmtId="0" fontId="34" fillId="8" borderId="22" xfId="0" applyFont="1" applyFill="1" applyBorder="1" applyAlignment="1">
      <alignment horizontal="center" vertical="center" wrapText="1"/>
    </xf>
    <xf numFmtId="0" fontId="1" fillId="0" borderId="0" xfId="0" applyFont="1" applyAlignment="1">
      <alignment horizontal="left" vertical="center" wrapText="1"/>
    </xf>
    <xf numFmtId="0" fontId="39" fillId="6" borderId="10" xfId="0" applyFont="1" applyFill="1" applyBorder="1" applyAlignment="1" applyProtection="1">
      <alignment horizontal="left" vertical="center" wrapText="1"/>
      <protection locked="0"/>
    </xf>
    <xf numFmtId="0" fontId="25" fillId="5" borderId="119" xfId="0" applyFont="1" applyFill="1" applyBorder="1" applyAlignment="1">
      <alignment horizontal="left" vertical="top" wrapText="1" indent="1"/>
    </xf>
    <xf numFmtId="0" fontId="25" fillId="5" borderId="120" xfId="0" applyFont="1" applyFill="1" applyBorder="1" applyAlignment="1">
      <alignment horizontal="left" vertical="top" wrapText="1" indent="1"/>
    </xf>
    <xf numFmtId="0" fontId="25" fillId="5" borderId="122" xfId="0" applyFont="1" applyFill="1" applyBorder="1" applyAlignment="1">
      <alignment horizontal="left" vertical="top" wrapText="1" indent="1"/>
    </xf>
    <xf numFmtId="0" fontId="21" fillId="45" borderId="31" xfId="0" applyFont="1" applyFill="1" applyBorder="1" applyAlignment="1">
      <alignment vertical="top" wrapText="1"/>
    </xf>
    <xf numFmtId="0" fontId="21" fillId="45" borderId="34" xfId="0" applyFont="1" applyFill="1" applyBorder="1" applyAlignment="1">
      <alignment vertical="top" wrapText="1"/>
    </xf>
    <xf numFmtId="0" fontId="21" fillId="45" borderId="31" xfId="0" applyFont="1" applyFill="1" applyBorder="1" applyAlignment="1">
      <alignment horizontal="left" vertical="top" wrapText="1"/>
    </xf>
    <xf numFmtId="0" fontId="21" fillId="45" borderId="61" xfId="0" applyFont="1" applyFill="1" applyBorder="1" applyAlignment="1">
      <alignment horizontal="left" vertical="top" wrapText="1"/>
    </xf>
    <xf numFmtId="0" fontId="21" fillId="45" borderId="34" xfId="0" applyFont="1" applyFill="1" applyBorder="1" applyAlignment="1">
      <alignment horizontal="left" vertical="top" wrapText="1"/>
    </xf>
    <xf numFmtId="0" fontId="21" fillId="45" borderId="14" xfId="0" applyFont="1" applyFill="1" applyBorder="1" applyAlignment="1">
      <alignment horizontal="left" vertical="top" wrapText="1"/>
    </xf>
    <xf numFmtId="0" fontId="21" fillId="45" borderId="19" xfId="0" applyFont="1" applyFill="1" applyBorder="1" applyAlignment="1">
      <alignment horizontal="left" vertical="top" wrapText="1"/>
    </xf>
    <xf numFmtId="0" fontId="39" fillId="0" borderId="211" xfId="0" applyFont="1" applyBorder="1" applyAlignment="1">
      <alignment horizontal="left" vertical="center" wrapText="1" indent="1"/>
    </xf>
    <xf numFmtId="0" fontId="39" fillId="0" borderId="212" xfId="0" applyFont="1" applyBorder="1" applyAlignment="1">
      <alignment horizontal="left" vertical="center" wrapText="1" indent="1"/>
    </xf>
    <xf numFmtId="0" fontId="39" fillId="0" borderId="222" xfId="0" applyFont="1" applyBorder="1" applyAlignment="1">
      <alignment horizontal="left" vertical="center" wrapText="1" indent="1"/>
    </xf>
    <xf numFmtId="0" fontId="39" fillId="6" borderId="34" xfId="0" applyFont="1" applyFill="1" applyBorder="1" applyAlignment="1" applyProtection="1">
      <alignment horizontal="left" vertical="center" wrapText="1"/>
      <protection locked="0"/>
    </xf>
    <xf numFmtId="0" fontId="39" fillId="6" borderId="24" xfId="0" applyFont="1" applyFill="1" applyBorder="1" applyAlignment="1" applyProtection="1">
      <alignment horizontal="left" vertical="center" wrapText="1"/>
      <protection locked="0"/>
    </xf>
    <xf numFmtId="0" fontId="39" fillId="6" borderId="25" xfId="0" applyFont="1" applyFill="1" applyBorder="1" applyAlignment="1" applyProtection="1">
      <alignment horizontal="left" vertical="center" wrapText="1"/>
      <protection locked="0"/>
    </xf>
    <xf numFmtId="0" fontId="34" fillId="8" borderId="33" xfId="0" applyFont="1" applyFill="1" applyBorder="1" applyAlignment="1">
      <alignment horizontal="center" vertical="center" wrapText="1"/>
    </xf>
    <xf numFmtId="0" fontId="0" fillId="0" borderId="0" xfId="0" applyFont="1" applyAlignment="1">
      <alignment wrapText="1"/>
    </xf>
    <xf numFmtId="0" fontId="0" fillId="0" borderId="0" xfId="0" applyFont="1" applyAlignment="1"/>
    <xf numFmtId="0" fontId="34" fillId="0" borderId="0" xfId="0" applyFont="1" applyFill="1" applyBorder="1" applyAlignment="1">
      <alignment horizontal="left" vertical="top" wrapText="1"/>
    </xf>
    <xf numFmtId="0" fontId="39" fillId="6" borderId="27" xfId="0" applyFont="1" applyFill="1" applyBorder="1" applyAlignment="1" applyProtection="1">
      <alignment horizontal="left" vertical="top"/>
      <protection locked="0"/>
    </xf>
    <xf numFmtId="0" fontId="39" fillId="6" borderId="28" xfId="0" applyFont="1" applyFill="1" applyBorder="1" applyAlignment="1" applyProtection="1">
      <alignment horizontal="left" vertical="top"/>
      <protection locked="0"/>
    </xf>
    <xf numFmtId="0" fontId="4" fillId="0" borderId="0" xfId="0" applyFont="1" applyFill="1" applyBorder="1" applyAlignment="1">
      <alignment vertical="top" wrapText="1"/>
    </xf>
    <xf numFmtId="0" fontId="28" fillId="0" borderId="0" xfId="0" applyFont="1" applyFill="1" applyBorder="1" applyAlignment="1">
      <alignment vertical="top" wrapText="1"/>
    </xf>
    <xf numFmtId="0" fontId="11" fillId="8" borderId="28" xfId="0" applyFont="1" applyFill="1" applyBorder="1" applyAlignment="1">
      <alignment horizontal="left" vertical="center" wrapText="1"/>
    </xf>
    <xf numFmtId="0" fontId="39" fillId="6" borderId="7" xfId="0" applyFont="1" applyFill="1" applyBorder="1" applyAlignment="1" applyProtection="1">
      <alignment horizontal="left" vertical="top"/>
      <protection locked="0"/>
    </xf>
    <xf numFmtId="0" fontId="39" fillId="6" borderId="53" xfId="0" applyFont="1" applyFill="1" applyBorder="1" applyAlignment="1" applyProtection="1">
      <alignment horizontal="left" vertical="top"/>
      <protection locked="0"/>
    </xf>
    <xf numFmtId="0" fontId="39" fillId="6" borderId="54" xfId="0" applyFont="1" applyFill="1" applyBorder="1" applyAlignment="1" applyProtection="1">
      <alignment horizontal="left" vertical="top"/>
      <protection locked="0"/>
    </xf>
    <xf numFmtId="0" fontId="4" fillId="0" borderId="0" xfId="0" applyFont="1" applyBorder="1" applyAlignment="1">
      <alignment horizontal="left" vertical="top" wrapText="1"/>
    </xf>
    <xf numFmtId="0" fontId="11" fillId="8" borderId="3" xfId="0" applyFont="1" applyFill="1" applyBorder="1" applyAlignment="1" applyProtection="1">
      <alignment horizontal="left" vertical="center" wrapText="1" indent="1"/>
    </xf>
    <xf numFmtId="0" fontId="11" fillId="8" borderId="16" xfId="0" applyFont="1" applyFill="1" applyBorder="1" applyAlignment="1" applyProtection="1">
      <alignment horizontal="left" vertical="center" wrapText="1" indent="1"/>
    </xf>
    <xf numFmtId="0" fontId="11" fillId="8" borderId="15" xfId="0" applyFont="1" applyFill="1" applyBorder="1" applyAlignment="1" applyProtection="1">
      <alignment horizontal="left" vertical="center" wrapText="1" indent="1"/>
    </xf>
    <xf numFmtId="0" fontId="19" fillId="5" borderId="28" xfId="0" applyFont="1" applyFill="1" applyBorder="1" applyAlignment="1">
      <alignment horizontal="left" vertical="top" wrapText="1" indent="1"/>
    </xf>
    <xf numFmtId="0" fontId="39" fillId="6" borderId="63" xfId="0" applyFont="1" applyFill="1" applyBorder="1" applyAlignment="1" applyProtection="1">
      <alignment horizontal="center" vertical="center"/>
      <protection locked="0"/>
    </xf>
    <xf numFmtId="0" fontId="39" fillId="6" borderId="41" xfId="0" applyFont="1" applyFill="1" applyBorder="1" applyAlignment="1" applyProtection="1">
      <alignment horizontal="center" vertical="center"/>
      <protection locked="0"/>
    </xf>
    <xf numFmtId="0" fontId="39" fillId="6" borderId="43" xfId="0" applyFont="1" applyFill="1" applyBorder="1" applyAlignment="1" applyProtection="1">
      <alignment horizontal="center" vertical="center"/>
      <protection locked="0"/>
    </xf>
    <xf numFmtId="0" fontId="39" fillId="6" borderId="46" xfId="0" applyFont="1" applyFill="1" applyBorder="1" applyAlignment="1" applyProtection="1">
      <alignment horizontal="center" vertical="center"/>
      <protection locked="0"/>
    </xf>
    <xf numFmtId="0" fontId="39" fillId="6" borderId="32" xfId="0" applyFont="1" applyFill="1" applyBorder="1" applyAlignment="1" applyProtection="1">
      <alignment horizontal="center" vertical="center"/>
      <protection locked="0"/>
    </xf>
    <xf numFmtId="0" fontId="39" fillId="6" borderId="217" xfId="0" applyFont="1" applyFill="1" applyBorder="1" applyAlignment="1" applyProtection="1">
      <alignment horizontal="center" vertical="center"/>
      <protection locked="0"/>
    </xf>
    <xf numFmtId="0" fontId="39" fillId="6" borderId="24" xfId="0" applyFont="1" applyFill="1" applyBorder="1" applyAlignment="1" applyProtection="1">
      <alignment horizontal="center" vertical="center"/>
      <protection locked="0"/>
    </xf>
    <xf numFmtId="0" fontId="39" fillId="6" borderId="25" xfId="0" applyFont="1" applyFill="1" applyBorder="1" applyAlignment="1" applyProtection="1">
      <alignment horizontal="center" vertical="center"/>
      <protection locked="0"/>
    </xf>
    <xf numFmtId="0" fontId="30" fillId="5" borderId="0" xfId="0" applyFont="1" applyFill="1" applyBorder="1" applyAlignment="1">
      <alignment horizontal="left" vertical="top" wrapText="1"/>
    </xf>
    <xf numFmtId="3" fontId="115" fillId="8" borderId="6" xfId="0" applyNumberFormat="1" applyFont="1" applyFill="1" applyBorder="1" applyAlignment="1" applyProtection="1">
      <alignment horizontal="left" vertical="top" wrapText="1" indent="1"/>
    </xf>
    <xf numFmtId="3" fontId="115" fillId="8" borderId="45" xfId="0" applyNumberFormat="1" applyFont="1" applyFill="1" applyBorder="1" applyAlignment="1" applyProtection="1">
      <alignment horizontal="left" vertical="top" wrapText="1" indent="1"/>
    </xf>
    <xf numFmtId="0" fontId="11" fillId="0" borderId="12" xfId="0" applyFont="1" applyFill="1" applyBorder="1" applyAlignment="1">
      <alignment horizontal="left" vertical="center" wrapText="1" indent="1"/>
    </xf>
    <xf numFmtId="0" fontId="0" fillId="0" borderId="13" xfId="0" applyBorder="1" applyAlignment="1">
      <alignment horizontal="left" vertical="center" wrapText="1" indent="1"/>
    </xf>
    <xf numFmtId="0" fontId="11" fillId="0" borderId="101" xfId="0" applyFont="1" applyFill="1" applyBorder="1" applyAlignment="1">
      <alignment horizontal="left" vertical="center" wrapText="1" indent="1"/>
    </xf>
    <xf numFmtId="0" fontId="0" fillId="0" borderId="49" xfId="0" applyBorder="1" applyAlignment="1">
      <alignment horizontal="left" vertical="center" wrapText="1" indent="1"/>
    </xf>
    <xf numFmtId="0" fontId="10" fillId="8" borderId="6" xfId="0" applyFont="1" applyFill="1" applyBorder="1" applyAlignment="1" applyProtection="1">
      <alignment horizontal="left" vertical="center" wrapText="1" indent="1"/>
    </xf>
    <xf numFmtId="0" fontId="0" fillId="0" borderId="45" xfId="0" applyBorder="1" applyAlignment="1" applyProtection="1">
      <alignment horizontal="left" vertical="center" wrapText="1" indent="1"/>
    </xf>
    <xf numFmtId="0" fontId="11" fillId="0" borderId="27" xfId="0" applyFont="1" applyFill="1" applyBorder="1" applyAlignment="1">
      <alignment horizontal="left" vertical="center" wrapText="1" indent="1"/>
    </xf>
    <xf numFmtId="0" fontId="11" fillId="0" borderId="28" xfId="0" applyFont="1" applyFill="1" applyBorder="1" applyAlignment="1">
      <alignment horizontal="left" vertical="center" wrapText="1" indent="1"/>
    </xf>
    <xf numFmtId="0" fontId="4" fillId="0" borderId="20" xfId="0" applyFont="1" applyFill="1" applyBorder="1" applyAlignment="1">
      <alignment horizontal="left" vertical="center" wrapText="1" indent="1"/>
    </xf>
    <xf numFmtId="0" fontId="10" fillId="0" borderId="23" xfId="0" applyFont="1" applyFill="1" applyBorder="1" applyAlignment="1">
      <alignment horizontal="left" vertical="center" wrapText="1" indent="1"/>
    </xf>
    <xf numFmtId="0" fontId="11" fillId="0" borderId="37" xfId="0" applyFont="1" applyFill="1" applyBorder="1" applyAlignment="1">
      <alignment horizontal="left" vertical="center" wrapText="1" indent="1"/>
    </xf>
    <xf numFmtId="0" fontId="11" fillId="0" borderId="64" xfId="0" applyFont="1" applyFill="1" applyBorder="1" applyAlignment="1">
      <alignment horizontal="left" vertical="center" wrapText="1" indent="1"/>
    </xf>
    <xf numFmtId="0" fontId="11" fillId="0" borderId="72" xfId="0" applyFont="1" applyFill="1" applyBorder="1" applyAlignment="1">
      <alignment horizontal="left" vertical="center" wrapText="1" indent="1"/>
    </xf>
    <xf numFmtId="3" fontId="115" fillId="8" borderId="5" xfId="0" applyNumberFormat="1" applyFont="1" applyFill="1" applyBorder="1" applyAlignment="1" applyProtection="1">
      <alignment horizontal="left" vertical="top" wrapText="1" indent="1"/>
    </xf>
    <xf numFmtId="0" fontId="11" fillId="0" borderId="62" xfId="0" applyFont="1" applyFill="1" applyBorder="1" applyAlignment="1">
      <alignment horizontal="left" vertical="center" wrapText="1" indent="1"/>
    </xf>
    <xf numFmtId="0" fontId="11" fillId="0" borderId="48" xfId="0" applyFont="1" applyFill="1" applyBorder="1" applyAlignment="1">
      <alignment horizontal="left" vertical="center" wrapText="1" indent="1"/>
    </xf>
    <xf numFmtId="0" fontId="10" fillId="0" borderId="65" xfId="0" applyFont="1" applyFill="1" applyBorder="1" applyAlignment="1">
      <alignment horizontal="left" vertical="center" indent="1"/>
    </xf>
    <xf numFmtId="0" fontId="10" fillId="0" borderId="62" xfId="0" applyFont="1" applyFill="1" applyBorder="1" applyAlignment="1">
      <alignment horizontal="left" vertical="center" indent="1"/>
    </xf>
    <xf numFmtId="0" fontId="11" fillId="0" borderId="20" xfId="0" applyFont="1" applyFill="1" applyBorder="1" applyAlignment="1">
      <alignment horizontal="left" vertical="center" wrapText="1" indent="1"/>
    </xf>
    <xf numFmtId="0" fontId="11" fillId="0" borderId="40" xfId="0" applyFont="1" applyFill="1" applyBorder="1" applyAlignment="1">
      <alignment horizontal="left" vertical="center" wrapText="1" indent="1"/>
    </xf>
    <xf numFmtId="0" fontId="11" fillId="0" borderId="23" xfId="0" applyFont="1" applyFill="1" applyBorder="1" applyAlignment="1">
      <alignment horizontal="left" vertical="center" wrapText="1" indent="1"/>
    </xf>
    <xf numFmtId="0" fontId="11" fillId="4" borderId="129" xfId="0" applyFont="1" applyFill="1" applyBorder="1" applyAlignment="1" applyProtection="1">
      <alignment horizontal="left" vertical="center" wrapText="1" indent="1"/>
    </xf>
    <xf numFmtId="0" fontId="11" fillId="4" borderId="15" xfId="0" applyFont="1" applyFill="1" applyBorder="1" applyAlignment="1" applyProtection="1">
      <alignment horizontal="left" vertical="center" wrapText="1" indent="1"/>
    </xf>
    <xf numFmtId="0" fontId="24" fillId="8" borderId="12" xfId="0" applyFont="1" applyFill="1" applyBorder="1" applyAlignment="1">
      <alignment horizontal="center" vertical="center"/>
    </xf>
    <xf numFmtId="0" fontId="24" fillId="8" borderId="17" xfId="0" applyFont="1" applyFill="1" applyBorder="1" applyAlignment="1">
      <alignment horizontal="center" vertical="center"/>
    </xf>
    <xf numFmtId="0" fontId="24" fillId="8" borderId="1" xfId="0" applyFont="1" applyFill="1" applyBorder="1" applyAlignment="1">
      <alignment horizontal="center" vertical="center"/>
    </xf>
    <xf numFmtId="0" fontId="24" fillId="8" borderId="18" xfId="0" applyFont="1" applyFill="1" applyBorder="1" applyAlignment="1">
      <alignment horizontal="center" vertical="center"/>
    </xf>
    <xf numFmtId="0" fontId="24" fillId="8" borderId="13" xfId="0" applyFont="1" applyFill="1" applyBorder="1" applyAlignment="1">
      <alignment horizontal="center" vertical="center"/>
    </xf>
    <xf numFmtId="0" fontId="24" fillId="8" borderId="19" xfId="0" applyFont="1" applyFill="1" applyBorder="1" applyAlignment="1">
      <alignment horizontal="center" vertical="center"/>
    </xf>
    <xf numFmtId="0" fontId="34" fillId="8" borderId="6" xfId="0" applyFont="1" applyFill="1" applyBorder="1" applyAlignment="1">
      <alignment horizontal="center" vertical="center"/>
    </xf>
    <xf numFmtId="0" fontId="34" fillId="8" borderId="5" xfId="0" applyFont="1" applyFill="1" applyBorder="1" applyAlignment="1">
      <alignment horizontal="center" vertical="center"/>
    </xf>
    <xf numFmtId="0" fontId="34" fillId="8" borderId="45" xfId="0" applyFont="1" applyFill="1" applyBorder="1" applyAlignment="1">
      <alignment horizontal="center" vertical="center"/>
    </xf>
    <xf numFmtId="0" fontId="10" fillId="4" borderId="55" xfId="0" applyFont="1" applyFill="1" applyBorder="1" applyAlignment="1">
      <alignment horizontal="center" vertical="center"/>
    </xf>
    <xf numFmtId="0" fontId="10" fillId="4" borderId="62" xfId="0" applyFont="1" applyFill="1" applyBorder="1" applyAlignment="1">
      <alignment horizontal="center" vertical="center"/>
    </xf>
    <xf numFmtId="0" fontId="10" fillId="4" borderId="48" xfId="0" applyFont="1" applyFill="1" applyBorder="1" applyAlignment="1">
      <alignment horizontal="center" vertical="center"/>
    </xf>
    <xf numFmtId="0" fontId="10" fillId="4" borderId="37" xfId="0" applyFont="1" applyFill="1" applyBorder="1" applyAlignment="1">
      <alignment horizontal="center" vertical="center"/>
    </xf>
    <xf numFmtId="0" fontId="10" fillId="4" borderId="72" xfId="0" applyFont="1" applyFill="1" applyBorder="1" applyAlignment="1">
      <alignment horizontal="center" vertical="center"/>
    </xf>
    <xf numFmtId="0" fontId="10" fillId="4" borderId="49" xfId="0" applyFont="1" applyFill="1" applyBorder="1" applyAlignment="1">
      <alignment horizontal="center" vertical="center"/>
    </xf>
    <xf numFmtId="0" fontId="4" fillId="0" borderId="0" xfId="0" applyFont="1" applyAlignment="1">
      <alignment horizontal="left" vertical="top" wrapText="1"/>
    </xf>
    <xf numFmtId="0" fontId="24" fillId="8" borderId="38" xfId="0" applyFont="1" applyFill="1" applyBorder="1" applyAlignment="1">
      <alignment horizontal="center" vertical="center"/>
    </xf>
    <xf numFmtId="0" fontId="24" fillId="8" borderId="39" xfId="0" applyFont="1" applyFill="1" applyBorder="1" applyAlignment="1">
      <alignment horizontal="center" vertical="center"/>
    </xf>
    <xf numFmtId="0" fontId="24" fillId="8" borderId="12" xfId="0" applyFont="1" applyFill="1" applyBorder="1" applyAlignment="1">
      <alignment horizontal="center" vertical="center" wrapText="1"/>
    </xf>
    <xf numFmtId="0" fontId="24" fillId="8" borderId="1" xfId="0" applyFont="1" applyFill="1" applyBorder="1" applyAlignment="1">
      <alignment horizontal="center" vertical="center" wrapText="1"/>
    </xf>
    <xf numFmtId="0" fontId="24" fillId="8" borderId="13" xfId="0" applyFont="1" applyFill="1" applyBorder="1" applyAlignment="1">
      <alignment horizontal="center" vertical="center" wrapText="1"/>
    </xf>
    <xf numFmtId="0" fontId="9" fillId="6" borderId="166" xfId="0" applyFont="1" applyFill="1" applyBorder="1" applyAlignment="1" applyProtection="1">
      <alignment horizontal="left" vertical="center" wrapText="1"/>
      <protection locked="0"/>
    </xf>
    <xf numFmtId="0" fontId="9" fillId="6" borderId="167" xfId="0" applyFont="1" applyFill="1" applyBorder="1" applyAlignment="1" applyProtection="1">
      <alignment horizontal="left" vertical="center" wrapText="1"/>
      <protection locked="0"/>
    </xf>
    <xf numFmtId="0" fontId="9" fillId="6" borderId="168" xfId="0" applyFont="1" applyFill="1" applyBorder="1" applyAlignment="1" applyProtection="1">
      <alignment horizontal="left" vertical="center" wrapText="1"/>
      <protection locked="0"/>
    </xf>
    <xf numFmtId="0" fontId="9" fillId="6" borderId="169" xfId="0" applyFont="1" applyFill="1" applyBorder="1" applyAlignment="1" applyProtection="1">
      <alignment horizontal="left" vertical="center" wrapText="1"/>
      <protection locked="0"/>
    </xf>
    <xf numFmtId="0" fontId="34" fillId="0" borderId="0" xfId="0" applyFont="1" applyAlignment="1" applyProtection="1">
      <alignment horizontal="left" vertical="top" wrapText="1"/>
    </xf>
    <xf numFmtId="0" fontId="34" fillId="4" borderId="4" xfId="0" applyFont="1" applyFill="1" applyBorder="1" applyAlignment="1" applyProtection="1">
      <alignment horizontal="center" vertical="center"/>
    </xf>
    <xf numFmtId="0" fontId="24" fillId="8" borderId="12" xfId="0" applyFont="1" applyFill="1" applyBorder="1" applyAlignment="1" applyProtection="1">
      <alignment horizontal="center" vertical="center"/>
    </xf>
    <xf numFmtId="0" fontId="24" fillId="8" borderId="17" xfId="0" applyFont="1" applyFill="1" applyBorder="1" applyAlignment="1" applyProtection="1">
      <alignment horizontal="center" vertical="center"/>
    </xf>
    <xf numFmtId="0" fontId="9" fillId="6" borderId="164" xfId="0" applyFont="1" applyFill="1" applyBorder="1" applyAlignment="1" applyProtection="1">
      <alignment horizontal="left" vertical="center" wrapText="1"/>
      <protection locked="0"/>
    </xf>
    <xf numFmtId="0" fontId="9" fillId="6" borderId="165" xfId="0" applyFont="1" applyFill="1" applyBorder="1" applyAlignment="1" applyProtection="1">
      <alignment horizontal="left" vertical="center" wrapText="1"/>
      <protection locked="0"/>
    </xf>
    <xf numFmtId="0" fontId="11" fillId="0" borderId="0" xfId="421" applyAlignment="1">
      <alignment horizontal="left" vertical="top" wrapText="1"/>
    </xf>
    <xf numFmtId="0" fontId="122" fillId="4" borderId="238" xfId="445" applyFont="1" applyFill="1" applyBorder="1" applyAlignment="1">
      <alignment horizontal="center"/>
    </xf>
    <xf numFmtId="0" fontId="122" fillId="4" borderId="240" xfId="445" applyFont="1" applyFill="1" applyBorder="1" applyAlignment="1">
      <alignment horizontal="center"/>
    </xf>
    <xf numFmtId="0" fontId="122" fillId="4" borderId="239" xfId="445" applyFont="1" applyFill="1" applyBorder="1" applyAlignment="1">
      <alignment horizontal="center"/>
    </xf>
    <xf numFmtId="0" fontId="24" fillId="0" borderId="0" xfId="444" applyFont="1" applyBorder="1" applyAlignment="1" applyProtection="1">
      <alignment horizontal="left" vertical="center" wrapText="1" indent="1"/>
    </xf>
    <xf numFmtId="0" fontId="30" fillId="0" borderId="0" xfId="421" applyFont="1" applyBorder="1" applyAlignment="1" applyProtection="1">
      <alignment horizontal="left" vertical="top" wrapText="1" indent="1"/>
    </xf>
    <xf numFmtId="0" fontId="38" fillId="0" borderId="0" xfId="421" applyFont="1" applyAlignment="1">
      <alignment horizontal="left" vertical="top" wrapText="1"/>
    </xf>
    <xf numFmtId="0" fontId="24" fillId="0" borderId="0" xfId="2" applyFont="1" applyAlignment="1">
      <alignment horizontal="center" vertical="center" wrapText="1"/>
    </xf>
    <xf numFmtId="0" fontId="63" fillId="0" borderId="23" xfId="2" applyFont="1" applyBorder="1" applyAlignment="1" applyProtection="1">
      <alignment horizontal="left" vertical="center" wrapText="1"/>
    </xf>
    <xf numFmtId="0" fontId="63" fillId="0" borderId="24" xfId="2" applyFont="1" applyBorder="1" applyAlignment="1" applyProtection="1">
      <alignment horizontal="left" vertical="center" wrapText="1"/>
    </xf>
    <xf numFmtId="0" fontId="11" fillId="47" borderId="20" xfId="2" applyFont="1" applyFill="1" applyBorder="1" applyAlignment="1">
      <alignment horizontal="center" vertical="center"/>
    </xf>
    <xf numFmtId="0" fontId="11" fillId="47" borderId="21" xfId="2" applyFont="1" applyFill="1" applyBorder="1" applyAlignment="1">
      <alignment horizontal="center" vertical="center"/>
    </xf>
    <xf numFmtId="0" fontId="11" fillId="47" borderId="22" xfId="2" applyFont="1" applyFill="1" applyBorder="1" applyAlignment="1">
      <alignment horizontal="center" vertical="center"/>
    </xf>
    <xf numFmtId="0" fontId="63" fillId="0" borderId="40" xfId="2" applyFont="1" applyBorder="1" applyAlignment="1" applyProtection="1">
      <alignment horizontal="left" vertical="center" wrapText="1"/>
    </xf>
    <xf numFmtId="0" fontId="63" fillId="0" borderId="41" xfId="2" applyFont="1" applyBorder="1" applyAlignment="1" applyProtection="1">
      <alignment horizontal="left" vertical="center" wrapText="1"/>
    </xf>
    <xf numFmtId="3" fontId="11" fillId="4" borderId="119" xfId="2" applyNumberFormat="1" applyFont="1" applyFill="1" applyBorder="1" applyAlignment="1">
      <alignment horizontal="left" vertical="center" wrapText="1" indent="1"/>
    </xf>
    <xf numFmtId="0" fontId="0" fillId="4" borderId="119" xfId="0" applyFill="1" applyBorder="1" applyAlignment="1">
      <alignment horizontal="left" vertical="center" indent="1"/>
    </xf>
    <xf numFmtId="0" fontId="11" fillId="4" borderId="119" xfId="2" applyFont="1" applyFill="1" applyBorder="1" applyAlignment="1">
      <alignment horizontal="left" vertical="center" wrapText="1" indent="1"/>
    </xf>
    <xf numFmtId="2" fontId="25" fillId="0" borderId="119" xfId="1" applyNumberFormat="1" applyFont="1" applyFill="1" applyBorder="1" applyAlignment="1">
      <alignment horizontal="right" vertical="center"/>
    </xf>
    <xf numFmtId="2" fontId="19" fillId="0" borderId="119" xfId="0" applyNumberFormat="1" applyFont="1" applyBorder="1" applyAlignment="1">
      <alignment horizontal="right" vertical="center"/>
    </xf>
    <xf numFmtId="49" fontId="11" fillId="4" borderId="119" xfId="2" applyNumberFormat="1" applyFont="1" applyFill="1" applyBorder="1" applyAlignment="1">
      <alignment horizontal="center" vertical="center" wrapText="1"/>
    </xf>
    <xf numFmtId="0" fontId="11" fillId="4" borderId="119" xfId="2" applyFont="1" applyFill="1" applyBorder="1" applyAlignment="1">
      <alignment horizontal="center" vertical="center" wrapText="1"/>
    </xf>
    <xf numFmtId="0" fontId="0" fillId="0" borderId="119" xfId="0" applyBorder="1" applyAlignment="1">
      <alignment horizontal="center" vertical="center" wrapText="1"/>
    </xf>
    <xf numFmtId="3" fontId="25" fillId="0" borderId="119" xfId="2" applyNumberFormat="1" applyFont="1" applyFill="1" applyBorder="1" applyAlignment="1" applyProtection="1">
      <alignment horizontal="left" vertical="center" wrapText="1" indent="1"/>
    </xf>
    <xf numFmtId="0" fontId="25" fillId="0" borderId="119" xfId="2" applyFont="1" applyFill="1" applyBorder="1" applyAlignment="1" applyProtection="1">
      <alignment horizontal="left" vertical="center" wrapText="1" indent="1"/>
    </xf>
    <xf numFmtId="0" fontId="25" fillId="5" borderId="41" xfId="2" applyFont="1" applyFill="1" applyBorder="1" applyAlignment="1" applyProtection="1">
      <alignment horizontal="left" vertical="center"/>
    </xf>
    <xf numFmtId="0" fontId="25" fillId="5" borderId="42" xfId="2" applyFont="1" applyFill="1" applyBorder="1" applyAlignment="1" applyProtection="1">
      <alignment horizontal="left" vertical="center"/>
    </xf>
    <xf numFmtId="168" fontId="25" fillId="4" borderId="119" xfId="2" applyNumberFormat="1" applyFont="1" applyFill="1" applyBorder="1" applyAlignment="1" applyProtection="1">
      <alignment horizontal="center" vertical="center" wrapText="1"/>
    </xf>
    <xf numFmtId="168" fontId="19" fillId="0" borderId="119" xfId="0" applyNumberFormat="1" applyFont="1" applyBorder="1" applyAlignment="1" applyProtection="1">
      <alignment vertical="center"/>
    </xf>
    <xf numFmtId="164" fontId="25" fillId="4" borderId="119" xfId="10" applyNumberFormat="1" applyFont="1" applyFill="1" applyBorder="1" applyAlignment="1" applyProtection="1">
      <alignment horizontal="right" vertical="top"/>
    </xf>
    <xf numFmtId="164" fontId="25" fillId="0" borderId="119" xfId="10" applyNumberFormat="1" applyFont="1" applyFill="1" applyBorder="1" applyAlignment="1" applyProtection="1">
      <alignment horizontal="center" vertical="center"/>
    </xf>
    <xf numFmtId="0" fontId="39" fillId="0" borderId="119" xfId="0" applyFont="1" applyFill="1" applyBorder="1" applyAlignment="1" applyProtection="1">
      <alignment horizontal="center" vertical="center"/>
    </xf>
    <xf numFmtId="0" fontId="11" fillId="47" borderId="2" xfId="2" applyFont="1" applyFill="1" applyBorder="1" applyAlignment="1">
      <alignment horizontal="center" vertical="center" wrapText="1"/>
    </xf>
    <xf numFmtId="0" fontId="11" fillId="47" borderId="0" xfId="2" applyFont="1" applyFill="1" applyBorder="1" applyAlignment="1">
      <alignment horizontal="center" vertical="center" wrapText="1"/>
    </xf>
    <xf numFmtId="164" fontId="25" fillId="0" borderId="119" xfId="10" applyNumberFormat="1" applyFont="1" applyFill="1" applyBorder="1" applyAlignment="1">
      <alignment horizontal="center" vertical="center" wrapText="1"/>
    </xf>
    <xf numFmtId="0" fontId="11" fillId="0" borderId="0" xfId="2" applyFont="1" applyFill="1" applyBorder="1" applyAlignment="1">
      <alignment horizontal="left" vertical="top" wrapText="1"/>
    </xf>
    <xf numFmtId="0" fontId="0" fillId="0" borderId="119" xfId="0" applyBorder="1" applyAlignment="1">
      <alignment vertical="center"/>
    </xf>
    <xf numFmtId="0" fontId="0" fillId="4" borderId="119" xfId="0" applyFill="1" applyBorder="1" applyAlignment="1">
      <alignment horizontal="center" vertical="center"/>
    </xf>
    <xf numFmtId="0" fontId="11" fillId="8" borderId="119" xfId="2" applyFont="1" applyFill="1" applyBorder="1" applyAlignment="1">
      <alignment horizontal="left" vertical="center" indent="1"/>
    </xf>
    <xf numFmtId="3" fontId="25" fillId="0" borderId="119" xfId="2" applyNumberFormat="1" applyFont="1" applyFill="1" applyBorder="1" applyAlignment="1">
      <alignment horizontal="left" vertical="center" wrapText="1" indent="1"/>
    </xf>
    <xf numFmtId="0" fontId="25" fillId="0" borderId="119" xfId="2" applyFont="1" applyFill="1" applyBorder="1" applyAlignment="1">
      <alignment horizontal="left" vertical="center" wrapText="1" indent="1"/>
    </xf>
    <xf numFmtId="3" fontId="25" fillId="0" borderId="120" xfId="2" applyNumberFormat="1" applyFont="1" applyFill="1" applyBorder="1" applyAlignment="1" applyProtection="1">
      <alignment horizontal="left" vertical="center" wrapText="1" indent="1"/>
    </xf>
    <xf numFmtId="3" fontId="25" fillId="0" borderId="122" xfId="2" applyNumberFormat="1" applyFont="1" applyFill="1" applyBorder="1" applyAlignment="1" applyProtection="1">
      <alignment horizontal="left" vertical="center" wrapText="1" indent="1"/>
    </xf>
    <xf numFmtId="164" fontId="25" fillId="0" borderId="120" xfId="10" applyNumberFormat="1" applyFont="1" applyFill="1" applyBorder="1" applyAlignment="1" applyProtection="1">
      <alignment horizontal="center" vertical="center" wrapText="1"/>
    </xf>
    <xf numFmtId="164" fontId="25" fillId="0" borderId="122" xfId="10" applyNumberFormat="1" applyFont="1" applyFill="1" applyBorder="1" applyAlignment="1" applyProtection="1">
      <alignment horizontal="center" vertical="center" wrapText="1"/>
    </xf>
    <xf numFmtId="0" fontId="25" fillId="5" borderId="24" xfId="2" applyFont="1" applyFill="1" applyBorder="1" applyAlignment="1" applyProtection="1">
      <alignment horizontal="left" vertical="center"/>
      <protection locked="0"/>
    </xf>
    <xf numFmtId="0" fontId="25" fillId="5" borderId="25" xfId="2" applyFont="1" applyFill="1" applyBorder="1" applyAlignment="1" applyProtection="1">
      <alignment horizontal="left" vertical="center"/>
      <protection locked="0"/>
    </xf>
    <xf numFmtId="0" fontId="25" fillId="5" borderId="24" xfId="2" applyFont="1" applyFill="1" applyBorder="1" applyAlignment="1" applyProtection="1">
      <alignment horizontal="left" vertical="center"/>
    </xf>
    <xf numFmtId="0" fontId="25" fillId="5" borderId="25" xfId="2" applyFont="1" applyFill="1" applyBorder="1" applyAlignment="1" applyProtection="1">
      <alignment horizontal="left" vertical="center"/>
    </xf>
    <xf numFmtId="3" fontId="11" fillId="0" borderId="0" xfId="2" applyNumberFormat="1" applyFont="1" applyFill="1" applyBorder="1" applyAlignment="1">
      <alignment horizontal="left" vertical="center" wrapText="1"/>
    </xf>
    <xf numFmtId="0" fontId="11" fillId="0" borderId="0" xfId="2" applyFont="1" applyBorder="1" applyAlignment="1">
      <alignment vertical="center" wrapText="1"/>
    </xf>
    <xf numFmtId="170" fontId="11" fillId="4" borderId="119" xfId="11" applyNumberFormat="1" applyFont="1" applyFill="1" applyBorder="1" applyAlignment="1" applyProtection="1">
      <alignment horizontal="left" vertical="center" indent="1"/>
    </xf>
    <xf numFmtId="0" fontId="11" fillId="4" borderId="119" xfId="2" applyFont="1" applyFill="1" applyBorder="1" applyAlignment="1" applyProtection="1">
      <alignment horizontal="left" vertical="center" indent="1"/>
    </xf>
    <xf numFmtId="0" fontId="11" fillId="4" borderId="119" xfId="0" applyFont="1" applyFill="1" applyBorder="1" applyAlignment="1" applyProtection="1">
      <alignment horizontal="left" vertical="center" indent="1"/>
    </xf>
    <xf numFmtId="0" fontId="0" fillId="0" borderId="119" xfId="0" applyBorder="1" applyAlignment="1" applyProtection="1">
      <alignment horizontal="left" vertical="center" indent="1"/>
    </xf>
    <xf numFmtId="49" fontId="11" fillId="8" borderId="119" xfId="2" applyNumberFormat="1" applyFont="1" applyFill="1" applyBorder="1" applyAlignment="1">
      <alignment horizontal="center" vertical="center" wrapText="1"/>
    </xf>
    <xf numFmtId="3" fontId="25" fillId="5" borderId="119" xfId="2" applyNumberFormat="1" applyFont="1" applyFill="1" applyBorder="1" applyAlignment="1">
      <alignment horizontal="left" vertical="center" wrapText="1" indent="1"/>
    </xf>
    <xf numFmtId="0" fontId="19" fillId="5" borderId="119" xfId="0" applyFont="1" applyFill="1" applyBorder="1" applyAlignment="1">
      <alignment horizontal="left" vertical="center" indent="1"/>
    </xf>
    <xf numFmtId="3" fontId="11" fillId="4" borderId="119" xfId="2" applyNumberFormat="1" applyFont="1" applyFill="1" applyBorder="1" applyAlignment="1">
      <alignment horizontal="left" vertical="center" indent="1"/>
    </xf>
    <xf numFmtId="0" fontId="11" fillId="4" borderId="119" xfId="2" applyFont="1" applyFill="1" applyBorder="1" applyAlignment="1">
      <alignment horizontal="left" vertical="center" indent="1"/>
    </xf>
    <xf numFmtId="164" fontId="25" fillId="0" borderId="119" xfId="10" applyNumberFormat="1" applyFont="1" applyFill="1" applyBorder="1" applyAlignment="1">
      <alignment horizontal="center" vertical="center"/>
    </xf>
    <xf numFmtId="0" fontId="39" fillId="0" borderId="119" xfId="0" applyFont="1" applyFill="1" applyBorder="1" applyAlignment="1">
      <alignment horizontal="center" vertical="center"/>
    </xf>
    <xf numFmtId="0" fontId="1" fillId="4" borderId="119" xfId="0" applyFont="1" applyFill="1" applyBorder="1" applyAlignment="1" applyProtection="1">
      <alignment horizontal="center" vertical="center" wrapText="1"/>
    </xf>
    <xf numFmtId="49" fontId="11" fillId="4" borderId="119" xfId="2" applyNumberFormat="1" applyFont="1" applyFill="1" applyBorder="1" applyAlignment="1" applyProtection="1">
      <alignment horizontal="center" vertical="center" wrapText="1"/>
    </xf>
    <xf numFmtId="0" fontId="11" fillId="4" borderId="119" xfId="2" applyFont="1" applyFill="1" applyBorder="1" applyAlignment="1" applyProtection="1">
      <alignment horizontal="center" vertical="center" wrapText="1"/>
    </xf>
    <xf numFmtId="0" fontId="11" fillId="0" borderId="0" xfId="2" applyFont="1" applyFill="1" applyBorder="1" applyAlignment="1">
      <alignment horizontal="center" vertical="center"/>
    </xf>
    <xf numFmtId="0" fontId="0" fillId="4" borderId="119" xfId="0" applyFill="1" applyBorder="1" applyAlignment="1">
      <alignment vertical="center"/>
    </xf>
    <xf numFmtId="42" fontId="25" fillId="4" borderId="119" xfId="2" applyNumberFormat="1" applyFont="1" applyFill="1" applyBorder="1" applyAlignment="1">
      <alignment horizontal="center" vertical="center" wrapText="1"/>
    </xf>
    <xf numFmtId="0" fontId="19" fillId="4" borderId="119" xfId="0" applyFont="1" applyFill="1" applyBorder="1" applyAlignment="1">
      <alignment vertical="center"/>
    </xf>
    <xf numFmtId="164" fontId="25" fillId="4" borderId="119" xfId="10" applyNumberFormat="1" applyFont="1" applyFill="1" applyBorder="1" applyAlignment="1">
      <alignment horizontal="right" vertical="center"/>
    </xf>
    <xf numFmtId="0" fontId="11" fillId="4" borderId="119" xfId="0" applyFont="1" applyFill="1" applyBorder="1" applyAlignment="1">
      <alignment horizontal="left" vertical="center" wrapText="1" indent="1"/>
    </xf>
    <xf numFmtId="0" fontId="0" fillId="0" borderId="119" xfId="0" applyBorder="1" applyAlignment="1">
      <alignment horizontal="left" vertical="center" wrapText="1" indent="1"/>
    </xf>
    <xf numFmtId="42" fontId="11" fillId="4" borderId="119" xfId="2" applyNumberFormat="1" applyFont="1" applyFill="1" applyBorder="1" applyAlignment="1">
      <alignment horizontal="center" vertical="center" wrapText="1"/>
    </xf>
    <xf numFmtId="164" fontId="11" fillId="4" borderId="119" xfId="10" applyNumberFormat="1" applyFont="1" applyFill="1" applyBorder="1" applyAlignment="1">
      <alignment horizontal="right" vertical="top"/>
    </xf>
    <xf numFmtId="0" fontId="11" fillId="4" borderId="146" xfId="2" applyFont="1" applyFill="1" applyBorder="1" applyAlignment="1">
      <alignment horizontal="left" vertical="center" wrapText="1" indent="1"/>
    </xf>
    <xf numFmtId="0" fontId="11" fillId="4" borderId="147" xfId="2" applyFont="1" applyFill="1" applyBorder="1" applyAlignment="1">
      <alignment horizontal="left" vertical="center" wrapText="1" indent="1"/>
    </xf>
    <xf numFmtId="164" fontId="25" fillId="0" borderId="147" xfId="10" applyNumberFormat="1" applyFont="1" applyFill="1" applyBorder="1" applyAlignment="1">
      <alignment horizontal="center" vertical="center"/>
    </xf>
    <xf numFmtId="0" fontId="39" fillId="0" borderId="147" xfId="0" applyFont="1" applyFill="1" applyBorder="1" applyAlignment="1">
      <alignment horizontal="center" vertical="center"/>
    </xf>
    <xf numFmtId="0" fontId="11" fillId="0" borderId="0" xfId="2" applyFont="1" applyFill="1" applyBorder="1" applyAlignment="1">
      <alignment horizontal="left" vertical="center" wrapText="1"/>
    </xf>
    <xf numFmtId="0" fontId="11" fillId="0" borderId="0" xfId="0" applyFont="1" applyFill="1" applyBorder="1" applyAlignment="1">
      <alignment horizontal="left"/>
    </xf>
    <xf numFmtId="170" fontId="11" fillId="4" borderId="119" xfId="11" applyNumberFormat="1" applyFont="1" applyFill="1" applyBorder="1" applyAlignment="1">
      <alignment horizontal="left" vertical="center" indent="1"/>
    </xf>
    <xf numFmtId="0" fontId="11" fillId="4" borderId="119" xfId="0" applyFont="1" applyFill="1" applyBorder="1" applyAlignment="1">
      <alignment horizontal="left" vertical="center" indent="1"/>
    </xf>
    <xf numFmtId="164" fontId="25" fillId="0" borderId="119" xfId="2" applyNumberFormat="1" applyFont="1" applyFill="1" applyBorder="1" applyAlignment="1" applyProtection="1">
      <alignment horizontal="center" vertical="center"/>
    </xf>
    <xf numFmtId="0" fontId="25" fillId="0" borderId="119" xfId="2" applyFont="1" applyFill="1" applyBorder="1" applyAlignment="1" applyProtection="1">
      <alignment horizontal="center" vertical="center"/>
    </xf>
    <xf numFmtId="0" fontId="19" fillId="0" borderId="119" xfId="0" applyFont="1" applyBorder="1" applyAlignment="1" applyProtection="1">
      <alignment vertical="center"/>
    </xf>
    <xf numFmtId="0" fontId="11" fillId="4" borderId="119" xfId="2" applyFont="1" applyFill="1" applyBorder="1" applyAlignment="1">
      <alignment horizontal="center" vertical="center"/>
    </xf>
    <xf numFmtId="0" fontId="11" fillId="8" borderId="142" xfId="2" applyFont="1" applyFill="1" applyBorder="1" applyAlignment="1">
      <alignment horizontal="center" vertical="center" wrapText="1"/>
    </xf>
    <xf numFmtId="49" fontId="11" fillId="8" borderId="142" xfId="2" applyNumberFormat="1" applyFont="1" applyFill="1" applyBorder="1" applyAlignment="1">
      <alignment horizontal="center" vertical="center" wrapText="1"/>
    </xf>
    <xf numFmtId="49" fontId="11" fillId="8" borderId="143" xfId="2" applyNumberFormat="1" applyFont="1" applyFill="1" applyBorder="1" applyAlignment="1">
      <alignment horizontal="center" vertical="center" wrapText="1"/>
    </xf>
    <xf numFmtId="0" fontId="11" fillId="8" borderId="119" xfId="2" applyFont="1" applyFill="1" applyBorder="1" applyAlignment="1">
      <alignment horizontal="center" vertical="center" wrapText="1"/>
    </xf>
    <xf numFmtId="0" fontId="11" fillId="0" borderId="0" xfId="2" applyFont="1" applyFill="1" applyBorder="1" applyAlignment="1">
      <alignment horizontal="center" vertical="center" wrapText="1"/>
    </xf>
    <xf numFmtId="0" fontId="11" fillId="8" borderId="119" xfId="2" applyFont="1" applyFill="1" applyBorder="1" applyAlignment="1" applyProtection="1">
      <alignment horizontal="center" vertical="center" wrapText="1"/>
    </xf>
    <xf numFmtId="49" fontId="11" fillId="8" borderId="119" xfId="2" applyNumberFormat="1" applyFont="1" applyFill="1" applyBorder="1" applyAlignment="1" applyProtection="1">
      <alignment horizontal="center" vertical="center"/>
    </xf>
    <xf numFmtId="0" fontId="0" fillId="8" borderId="119" xfId="0" applyFill="1" applyBorder="1" applyAlignment="1" applyProtection="1">
      <alignment horizontal="center" vertical="center"/>
    </xf>
    <xf numFmtId="175" fontId="25" fillId="5" borderId="119" xfId="11" applyNumberFormat="1" applyFont="1" applyFill="1" applyBorder="1" applyAlignment="1" applyProtection="1">
      <alignment horizontal="right" vertical="center"/>
    </xf>
    <xf numFmtId="0" fontId="25" fillId="5" borderId="119" xfId="2" applyFont="1" applyFill="1" applyBorder="1" applyAlignment="1" applyProtection="1">
      <alignment vertical="center"/>
    </xf>
    <xf numFmtId="0" fontId="19" fillId="0" borderId="119" xfId="0" applyFont="1" applyBorder="1" applyAlignment="1" applyProtection="1">
      <alignment horizontal="center" vertical="center"/>
    </xf>
    <xf numFmtId="0" fontId="24" fillId="0" borderId="0" xfId="2" applyFont="1" applyFill="1" applyBorder="1" applyAlignment="1" applyProtection="1">
      <alignment horizontal="left" vertical="top" wrapText="1"/>
    </xf>
    <xf numFmtId="0" fontId="11" fillId="0" borderId="0" xfId="2" applyFont="1" applyFill="1" applyBorder="1" applyAlignment="1" applyProtection="1">
      <alignment horizontal="left" vertical="top"/>
    </xf>
    <xf numFmtId="49" fontId="11" fillId="8" borderId="119" xfId="2" applyNumberFormat="1" applyFont="1" applyFill="1" applyBorder="1" applyAlignment="1" applyProtection="1">
      <alignment horizontal="center" vertical="center" wrapText="1"/>
    </xf>
    <xf numFmtId="0" fontId="11" fillId="8" borderId="119" xfId="2" applyFont="1" applyFill="1" applyBorder="1" applyAlignment="1" applyProtection="1">
      <alignment horizontal="center" vertical="center"/>
    </xf>
    <xf numFmtId="0" fontId="1" fillId="4" borderId="119" xfId="0" applyFont="1" applyFill="1" applyBorder="1" applyAlignment="1">
      <alignment vertical="center"/>
    </xf>
    <xf numFmtId="0" fontId="25" fillId="5" borderId="0" xfId="2" applyNumberFormat="1" applyFont="1" applyFill="1" applyBorder="1" applyAlignment="1">
      <alignment horizontal="left" vertical="center" indent="1"/>
    </xf>
    <xf numFmtId="0" fontId="25" fillId="5" borderId="0" xfId="2" applyFont="1" applyFill="1" applyBorder="1" applyAlignment="1">
      <alignment horizontal="left" vertical="center" indent="1"/>
    </xf>
    <xf numFmtId="194" fontId="25" fillId="43" borderId="119" xfId="2" applyNumberFormat="1" applyFont="1" applyFill="1" applyBorder="1" applyAlignment="1" applyProtection="1">
      <alignment horizontal="left" vertical="center" wrapText="1" indent="1"/>
      <protection locked="0"/>
    </xf>
    <xf numFmtId="194" fontId="25" fillId="6" borderId="119" xfId="2" applyNumberFormat="1" applyFont="1" applyFill="1" applyBorder="1" applyAlignment="1" applyProtection="1">
      <alignment horizontal="left" vertical="center" wrapText="1" indent="1"/>
      <protection locked="0"/>
    </xf>
    <xf numFmtId="194" fontId="25" fillId="43" borderId="119" xfId="2" applyNumberFormat="1" applyFont="1" applyFill="1" applyBorder="1" applyAlignment="1" applyProtection="1">
      <alignment horizontal="center" vertical="center"/>
      <protection locked="0"/>
    </xf>
    <xf numFmtId="164" fontId="25" fillId="9" borderId="119" xfId="10" applyNumberFormat="1" applyFont="1" applyFill="1" applyBorder="1" applyAlignment="1" applyProtection="1">
      <alignment horizontal="right" vertical="center"/>
    </xf>
    <xf numFmtId="0" fontId="25" fillId="0" borderId="119" xfId="2" applyFont="1" applyBorder="1" applyAlignment="1" applyProtection="1">
      <alignment horizontal="right" vertical="center"/>
    </xf>
    <xf numFmtId="164" fontId="25" fillId="5" borderId="119" xfId="10" applyNumberFormat="1" applyFont="1" applyFill="1" applyBorder="1" applyAlignment="1" applyProtection="1">
      <alignment horizontal="right" vertical="center"/>
    </xf>
    <xf numFmtId="164" fontId="25" fillId="0" borderId="119" xfId="10" applyNumberFormat="1" applyFont="1" applyBorder="1" applyAlignment="1" applyProtection="1">
      <alignment horizontal="center" vertical="center"/>
    </xf>
    <xf numFmtId="0" fontId="25" fillId="0" borderId="119" xfId="2" applyFont="1" applyBorder="1" applyAlignment="1" applyProtection="1">
      <alignment horizontal="center" vertical="center"/>
    </xf>
    <xf numFmtId="194" fontId="25" fillId="5" borderId="119" xfId="2" applyNumberFormat="1" applyFont="1" applyFill="1" applyBorder="1" applyAlignment="1" applyProtection="1">
      <alignment horizontal="left" vertical="center" wrapText="1" indent="1"/>
    </xf>
    <xf numFmtId="0" fontId="25" fillId="6" borderId="82" xfId="2" applyNumberFormat="1" applyFont="1" applyFill="1" applyBorder="1" applyAlignment="1" applyProtection="1">
      <alignment horizontal="left" vertical="center" indent="1"/>
      <protection locked="0"/>
    </xf>
    <xf numFmtId="0" fontId="25" fillId="6" borderId="82" xfId="2" applyFont="1" applyFill="1" applyBorder="1" applyAlignment="1" applyProtection="1">
      <alignment horizontal="left" vertical="center" indent="1"/>
      <protection locked="0"/>
    </xf>
    <xf numFmtId="194" fontId="25" fillId="5" borderId="119" xfId="0" applyNumberFormat="1" applyFont="1" applyFill="1" applyBorder="1" applyAlignment="1" applyProtection="1">
      <alignment horizontal="left" indent="1"/>
    </xf>
    <xf numFmtId="0" fontId="11" fillId="0" borderId="0" xfId="2" applyNumberFormat="1" applyFont="1" applyFill="1" applyBorder="1" applyAlignment="1">
      <alignment horizontal="left" vertical="top" wrapText="1"/>
    </xf>
    <xf numFmtId="0" fontId="11" fillId="0" borderId="0" xfId="2" applyFont="1" applyAlignment="1">
      <alignment horizontal="left" vertical="top"/>
    </xf>
    <xf numFmtId="3" fontId="25" fillId="0" borderId="119" xfId="2" applyNumberFormat="1" applyFont="1" applyFill="1" applyBorder="1" applyAlignment="1">
      <alignment horizontal="left" vertical="center" indent="1"/>
    </xf>
    <xf numFmtId="0" fontId="19" fillId="0" borderId="119" xfId="0" applyFont="1" applyBorder="1" applyAlignment="1">
      <alignment horizontal="left" vertical="center" indent="1"/>
    </xf>
    <xf numFmtId="170" fontId="25" fillId="9" borderId="119" xfId="11" applyNumberFormat="1" applyFont="1" applyFill="1" applyBorder="1" applyAlignment="1">
      <alignment horizontal="right" vertical="center" wrapText="1"/>
    </xf>
    <xf numFmtId="170" fontId="25" fillId="5" borderId="119" xfId="2" applyNumberFormat="1" applyFont="1" applyFill="1" applyBorder="1" applyAlignment="1">
      <alignment horizontal="right" vertical="center" wrapText="1"/>
    </xf>
    <xf numFmtId="170" fontId="19" fillId="0" borderId="119" xfId="0" applyNumberFormat="1" applyFont="1" applyBorder="1" applyAlignment="1">
      <alignment horizontal="right" vertical="center" wrapText="1"/>
    </xf>
    <xf numFmtId="170" fontId="11" fillId="0" borderId="119" xfId="11" applyNumberFormat="1" applyFont="1" applyFill="1" applyBorder="1" applyAlignment="1">
      <alignment horizontal="right" vertical="center" wrapText="1"/>
    </xf>
    <xf numFmtId="170" fontId="11" fillId="0" borderId="119" xfId="2" applyNumberFormat="1" applyFont="1" applyBorder="1" applyAlignment="1">
      <alignment horizontal="right" vertical="center" wrapText="1"/>
    </xf>
    <xf numFmtId="170" fontId="0" fillId="0" borderId="119" xfId="0" applyNumberFormat="1" applyBorder="1" applyAlignment="1">
      <alignment horizontal="right" vertical="center" wrapText="1"/>
    </xf>
    <xf numFmtId="168" fontId="25" fillId="5" borderId="119" xfId="12" applyNumberFormat="1" applyFont="1" applyFill="1" applyBorder="1" applyAlignment="1">
      <alignment horizontal="right" vertical="center"/>
    </xf>
    <xf numFmtId="168" fontId="25" fillId="5" borderId="119" xfId="2" applyNumberFormat="1" applyFont="1" applyFill="1" applyBorder="1" applyAlignment="1">
      <alignment horizontal="right" vertical="center"/>
    </xf>
    <xf numFmtId="168" fontId="19" fillId="5" borderId="119" xfId="0" applyNumberFormat="1" applyFont="1" applyFill="1" applyBorder="1" applyAlignment="1">
      <alignment horizontal="right" vertical="center"/>
    </xf>
    <xf numFmtId="0" fontId="11" fillId="8" borderId="119" xfId="2" applyFont="1" applyFill="1" applyBorder="1" applyAlignment="1">
      <alignment horizontal="center" vertical="center"/>
    </xf>
    <xf numFmtId="3" fontId="11" fillId="8" borderId="120" xfId="2" applyNumberFormat="1" applyFont="1" applyFill="1" applyBorder="1" applyAlignment="1" applyProtection="1">
      <alignment horizontal="left" vertical="center"/>
    </xf>
    <xf numFmtId="0" fontId="0" fillId="0" borderId="121" xfId="0" applyBorder="1" applyAlignment="1"/>
    <xf numFmtId="0" fontId="0" fillId="0" borderId="122" xfId="0" applyBorder="1" applyAlignment="1"/>
    <xf numFmtId="194" fontId="25" fillId="6" borderId="119" xfId="2" applyNumberFormat="1" applyFont="1" applyFill="1" applyBorder="1" applyAlignment="1" applyProtection="1">
      <alignment horizontal="center" vertical="center"/>
      <protection locked="0"/>
    </xf>
    <xf numFmtId="168" fontId="25" fillId="9" borderId="119" xfId="2" applyNumberFormat="1" applyFont="1" applyFill="1" applyBorder="1" applyAlignment="1" applyProtection="1">
      <alignment horizontal="center" vertical="center" wrapText="1"/>
    </xf>
    <xf numFmtId="168" fontId="19" fillId="0" borderId="119" xfId="0" applyNumberFormat="1" applyFont="1" applyBorder="1" applyAlignment="1" applyProtection="1">
      <alignment horizontal="center" vertical="center" wrapText="1"/>
    </xf>
    <xf numFmtId="3" fontId="11" fillId="8" borderId="120" xfId="2" applyNumberFormat="1" applyFont="1" applyFill="1" applyBorder="1" applyAlignment="1">
      <alignment horizontal="left" vertical="center"/>
    </xf>
    <xf numFmtId="0" fontId="11" fillId="5" borderId="0" xfId="2" applyNumberFormat="1" applyFont="1" applyFill="1" applyBorder="1" applyAlignment="1">
      <alignment horizontal="left" vertical="center" wrapText="1"/>
    </xf>
    <xf numFmtId="0" fontId="0" fillId="0" borderId="0" xfId="0" applyAlignment="1">
      <alignment horizontal="left" vertical="center"/>
    </xf>
    <xf numFmtId="3" fontId="11" fillId="0" borderId="0" xfId="2" applyNumberFormat="1" applyFont="1" applyFill="1" applyBorder="1" applyAlignment="1" applyProtection="1">
      <alignment horizontal="left" vertical="top" wrapText="1"/>
    </xf>
    <xf numFmtId="3" fontId="11" fillId="0" borderId="0" xfId="2" applyNumberFormat="1" applyFont="1" applyFill="1" applyBorder="1" applyAlignment="1">
      <alignment horizontal="left" vertical="center" wrapText="1" indent="1"/>
    </xf>
    <xf numFmtId="0" fontId="11" fillId="0" borderId="0" xfId="2" applyFont="1" applyBorder="1" applyAlignment="1">
      <alignment horizontal="left" vertical="center" indent="1"/>
    </xf>
    <xf numFmtId="0" fontId="11" fillId="5" borderId="0" xfId="2" applyNumberFormat="1" applyFont="1" applyFill="1" applyBorder="1" applyAlignment="1">
      <alignment horizontal="left" vertical="center" wrapText="1" indent="4"/>
    </xf>
    <xf numFmtId="0" fontId="11" fillId="5" borderId="0" xfId="2" applyNumberFormat="1" applyFont="1" applyFill="1" applyBorder="1" applyAlignment="1">
      <alignment horizontal="left" vertical="top" wrapText="1" indent="4"/>
    </xf>
    <xf numFmtId="3" fontId="25" fillId="5" borderId="128" xfId="2" applyNumberFormat="1" applyFont="1" applyFill="1" applyBorder="1" applyAlignment="1">
      <alignment horizontal="left" vertical="center" wrapText="1" indent="1"/>
    </xf>
    <xf numFmtId="0" fontId="0" fillId="5" borderId="128" xfId="0" applyFill="1" applyBorder="1" applyAlignment="1">
      <alignment horizontal="left" vertical="center" indent="1"/>
    </xf>
    <xf numFmtId="168" fontId="25" fillId="5" borderId="119" xfId="12" applyNumberFormat="1" applyFont="1" applyFill="1" applyBorder="1" applyAlignment="1">
      <alignment horizontal="right" vertical="center" wrapText="1"/>
    </xf>
    <xf numFmtId="168" fontId="19" fillId="0" borderId="119" xfId="0" applyNumberFormat="1" applyFont="1" applyBorder="1" applyAlignment="1">
      <alignment horizontal="right" vertical="center"/>
    </xf>
    <xf numFmtId="170" fontId="25" fillId="5" borderId="119" xfId="11" applyNumberFormat="1" applyFont="1" applyFill="1" applyBorder="1" applyAlignment="1" applyProtection="1">
      <alignment vertical="center" wrapText="1"/>
    </xf>
    <xf numFmtId="170" fontId="19" fillId="0" borderId="119" xfId="0" applyNumberFormat="1" applyFont="1" applyBorder="1" applyAlignment="1" applyProtection="1">
      <alignment vertical="center"/>
    </xf>
    <xf numFmtId="0" fontId="11" fillId="4" borderId="3" xfId="2" applyFont="1" applyFill="1" applyBorder="1" applyAlignment="1">
      <alignment horizontal="left" vertical="center" wrapText="1" indent="1"/>
    </xf>
    <xf numFmtId="0" fontId="11" fillId="4" borderId="16" xfId="0" applyFont="1" applyFill="1" applyBorder="1" applyAlignment="1">
      <alignment horizontal="left" vertical="center" indent="1"/>
    </xf>
    <xf numFmtId="170" fontId="25" fillId="5" borderId="119" xfId="11" applyNumberFormat="1" applyFont="1" applyFill="1" applyBorder="1" applyAlignment="1" applyProtection="1">
      <alignment vertical="center"/>
    </xf>
    <xf numFmtId="168" fontId="25" fillId="5" borderId="128" xfId="12" applyNumberFormat="1" applyFont="1" applyFill="1" applyBorder="1" applyAlignment="1">
      <alignment horizontal="right" vertical="center" wrapText="1"/>
    </xf>
    <xf numFmtId="168" fontId="19" fillId="0" borderId="128" xfId="0" applyNumberFormat="1" applyFont="1" applyBorder="1" applyAlignment="1">
      <alignment horizontal="right" vertical="center"/>
    </xf>
    <xf numFmtId="170" fontId="25" fillId="5" borderId="128" xfId="11" applyNumberFormat="1" applyFont="1" applyFill="1" applyBorder="1" applyAlignment="1" applyProtection="1">
      <alignment vertical="center" wrapText="1"/>
    </xf>
    <xf numFmtId="170" fontId="19" fillId="0" borderId="128" xfId="0" applyNumberFormat="1" applyFont="1" applyBorder="1" applyAlignment="1" applyProtection="1">
      <alignment vertical="center"/>
    </xf>
    <xf numFmtId="49" fontId="11" fillId="4" borderId="3" xfId="2" applyNumberFormat="1" applyFont="1" applyFill="1" applyBorder="1" applyAlignment="1">
      <alignment horizontal="left" vertical="center" wrapText="1" indent="1"/>
    </xf>
    <xf numFmtId="0" fontId="0" fillId="5" borderId="119" xfId="0" applyFill="1" applyBorder="1" applyAlignment="1">
      <alignment horizontal="left" vertical="center" indent="1"/>
    </xf>
    <xf numFmtId="170" fontId="25" fillId="6" borderId="128" xfId="11" applyNumberFormat="1" applyFont="1" applyFill="1" applyBorder="1" applyAlignment="1" applyProtection="1">
      <alignment vertical="center" wrapText="1"/>
      <protection locked="0"/>
    </xf>
    <xf numFmtId="0" fontId="0" fillId="0" borderId="128" xfId="0" applyBorder="1" applyAlignment="1" applyProtection="1">
      <alignment vertical="center"/>
      <protection locked="0"/>
    </xf>
    <xf numFmtId="0" fontId="25" fillId="6" borderId="128" xfId="2" applyFont="1" applyFill="1" applyBorder="1" applyAlignment="1" applyProtection="1">
      <alignment horizontal="left" vertical="center" wrapText="1"/>
      <protection locked="0"/>
    </xf>
    <xf numFmtId="0" fontId="0" fillId="0" borderId="128" xfId="0" applyBorder="1" applyAlignment="1" applyProtection="1">
      <alignment horizontal="left" vertical="center"/>
      <protection locked="0"/>
    </xf>
    <xf numFmtId="170" fontId="25" fillId="6" borderId="119" xfId="11" applyNumberFormat="1" applyFont="1" applyFill="1" applyBorder="1" applyAlignment="1" applyProtection="1">
      <alignment vertical="center" wrapText="1"/>
      <protection locked="0"/>
    </xf>
    <xf numFmtId="3" fontId="11" fillId="0" borderId="0" xfId="2" applyNumberFormat="1" applyFont="1" applyFill="1" applyBorder="1" applyAlignment="1">
      <alignment horizontal="left" vertical="top" wrapText="1"/>
    </xf>
    <xf numFmtId="0" fontId="16" fillId="8" borderId="119" xfId="0" applyFont="1" applyFill="1" applyBorder="1" applyAlignment="1">
      <alignment horizontal="center" vertical="center" wrapText="1"/>
    </xf>
    <xf numFmtId="0" fontId="16" fillId="0" borderId="119" xfId="0" applyFont="1" applyBorder="1" applyAlignment="1">
      <alignment vertical="center"/>
    </xf>
    <xf numFmtId="0" fontId="16" fillId="8" borderId="119" xfId="0" applyFont="1" applyFill="1" applyBorder="1" applyAlignment="1">
      <alignment vertical="center"/>
    </xf>
    <xf numFmtId="0" fontId="11" fillId="8" borderId="119" xfId="2" applyNumberFormat="1" applyFont="1" applyFill="1" applyBorder="1" applyAlignment="1">
      <alignment horizontal="center" vertical="center" wrapText="1"/>
    </xf>
    <xf numFmtId="0" fontId="97" fillId="8" borderId="119" xfId="0" applyFont="1" applyFill="1" applyBorder="1" applyAlignment="1">
      <alignment vertical="center"/>
    </xf>
    <xf numFmtId="0" fontId="25" fillId="6" borderId="119" xfId="2" applyFont="1" applyFill="1" applyBorder="1" applyAlignment="1" applyProtection="1">
      <alignment horizontal="left" vertical="center" wrapText="1"/>
      <protection locked="0"/>
    </xf>
    <xf numFmtId="0" fontId="0" fillId="0" borderId="119" xfId="0" applyBorder="1" applyAlignment="1" applyProtection="1">
      <alignment horizontal="left" vertical="center"/>
      <protection locked="0"/>
    </xf>
    <xf numFmtId="49" fontId="11" fillId="8" borderId="128" xfId="2" applyNumberFormat="1" applyFont="1" applyFill="1" applyBorder="1" applyAlignment="1">
      <alignment horizontal="center" vertical="center" wrapText="1"/>
    </xf>
    <xf numFmtId="49" fontId="11" fillId="8" borderId="124" xfId="2" applyNumberFormat="1" applyFont="1" applyFill="1" applyBorder="1" applyAlignment="1">
      <alignment horizontal="center" vertical="center" wrapText="1"/>
    </xf>
    <xf numFmtId="0" fontId="11" fillId="4" borderId="119" xfId="2" applyFont="1" applyFill="1" applyBorder="1" applyAlignment="1">
      <alignment horizontal="left" vertical="center" wrapText="1"/>
    </xf>
    <xf numFmtId="0" fontId="16" fillId="0" borderId="119" xfId="0" applyFont="1" applyBorder="1" applyAlignment="1">
      <alignment horizontal="left" vertical="center" wrapText="1"/>
    </xf>
    <xf numFmtId="0" fontId="16" fillId="0" borderId="119" xfId="0" applyFont="1" applyBorder="1" applyAlignment="1">
      <alignment horizontal="left" vertical="center"/>
    </xf>
    <xf numFmtId="168" fontId="25" fillId="0" borderId="119" xfId="2" applyNumberFormat="1" applyFont="1" applyBorder="1" applyAlignment="1">
      <alignment horizontal="center" vertical="center"/>
    </xf>
    <xf numFmtId="170" fontId="25" fillId="9" borderId="119" xfId="11" applyNumberFormat="1" applyFont="1" applyFill="1" applyBorder="1" applyAlignment="1">
      <alignment horizontal="center" vertical="center" wrapText="1"/>
    </xf>
    <xf numFmtId="0" fontId="39" fillId="0" borderId="119" xfId="0" applyFont="1" applyBorder="1" applyAlignment="1">
      <alignment horizontal="center" vertical="center" wrapText="1"/>
    </xf>
    <xf numFmtId="0" fontId="11" fillId="4" borderId="119" xfId="2" applyFont="1" applyFill="1" applyBorder="1" applyAlignment="1">
      <alignment horizontal="left" vertical="center"/>
    </xf>
    <xf numFmtId="0" fontId="0" fillId="0" borderId="119" xfId="0" applyBorder="1" applyAlignment="1">
      <alignment horizontal="left" vertical="center"/>
    </xf>
    <xf numFmtId="164" fontId="25" fillId="5" borderId="119" xfId="10" applyNumberFormat="1" applyFont="1" applyFill="1" applyBorder="1" applyAlignment="1">
      <alignment horizontal="center" vertical="center" wrapText="1"/>
    </xf>
    <xf numFmtId="0" fontId="39" fillId="5" borderId="119" xfId="0" applyFont="1" applyFill="1" applyBorder="1" applyAlignment="1">
      <alignment vertical="center" wrapText="1"/>
    </xf>
    <xf numFmtId="0" fontId="11" fillId="5" borderId="0" xfId="2" applyFont="1" applyFill="1" applyBorder="1" applyAlignment="1">
      <alignment horizontal="left" vertical="center" wrapText="1"/>
    </xf>
    <xf numFmtId="0" fontId="11" fillId="0" borderId="0" xfId="2" applyFont="1" applyAlignment="1">
      <alignment horizontal="left" vertical="center"/>
    </xf>
    <xf numFmtId="0" fontId="25" fillId="0" borderId="119" xfId="0" applyFont="1" applyBorder="1" applyAlignment="1">
      <alignment horizontal="left" vertical="center"/>
    </xf>
    <xf numFmtId="3" fontId="25" fillId="6" borderId="119" xfId="2" applyNumberFormat="1" applyFont="1" applyFill="1" applyBorder="1" applyAlignment="1" applyProtection="1">
      <alignment horizontal="left" vertical="center" wrapText="1"/>
      <protection locked="0"/>
    </xf>
    <xf numFmtId="0" fontId="25" fillId="6" borderId="119" xfId="2" applyFont="1" applyFill="1" applyBorder="1" applyAlignment="1" applyProtection="1">
      <protection locked="0"/>
    </xf>
    <xf numFmtId="170" fontId="25" fillId="6" borderId="119" xfId="11" applyNumberFormat="1" applyFont="1" applyFill="1" applyBorder="1" applyAlignment="1" applyProtection="1">
      <alignment horizontal="center" vertical="center" wrapText="1"/>
      <protection locked="0"/>
    </xf>
    <xf numFmtId="170" fontId="25" fillId="6" borderId="119" xfId="0" applyNumberFormat="1" applyFont="1" applyFill="1" applyBorder="1" applyAlignment="1" applyProtection="1">
      <alignment horizontal="center"/>
      <protection locked="0"/>
    </xf>
    <xf numFmtId="170" fontId="39" fillId="6" borderId="119" xfId="0" applyNumberFormat="1" applyFont="1" applyFill="1" applyBorder="1" applyAlignment="1" applyProtection="1">
      <alignment horizontal="center"/>
      <protection locked="0"/>
    </xf>
    <xf numFmtId="0" fontId="0" fillId="0" borderId="119" xfId="0" applyFont="1" applyBorder="1" applyAlignment="1"/>
    <xf numFmtId="0" fontId="11" fillId="4" borderId="119" xfId="2" applyNumberFormat="1" applyFont="1" applyFill="1" applyBorder="1" applyAlignment="1">
      <alignment horizontal="center" vertical="center" wrapText="1"/>
    </xf>
    <xf numFmtId="0" fontId="0" fillId="0" borderId="119" xfId="0" applyNumberFormat="1" applyBorder="1" applyAlignment="1">
      <alignment horizontal="center" vertical="center" wrapText="1"/>
    </xf>
    <xf numFmtId="0" fontId="11" fillId="4" borderId="119" xfId="2" applyFont="1" applyFill="1" applyBorder="1" applyAlignment="1"/>
    <xf numFmtId="0" fontId="11" fillId="4" borderId="119" xfId="0" applyFont="1" applyFill="1" applyBorder="1" applyAlignment="1">
      <alignment vertical="center"/>
    </xf>
    <xf numFmtId="0" fontId="11" fillId="4" borderId="119" xfId="0" applyFont="1" applyFill="1" applyBorder="1" applyAlignment="1">
      <alignment horizontal="center" vertical="center" wrapText="1"/>
    </xf>
    <xf numFmtId="0" fontId="11" fillId="4" borderId="119" xfId="0" applyFont="1" applyFill="1" applyBorder="1" applyAlignment="1"/>
    <xf numFmtId="3" fontId="11" fillId="8" borderId="119" xfId="2" applyNumberFormat="1" applyFont="1" applyFill="1" applyBorder="1" applyAlignment="1">
      <alignment horizontal="left" vertical="center" wrapText="1"/>
    </xf>
    <xf numFmtId="0" fontId="25" fillId="6" borderId="119" xfId="2" applyFont="1" applyFill="1" applyBorder="1" applyAlignment="1" applyProtection="1">
      <alignment horizontal="left" vertical="center"/>
      <protection locked="0"/>
    </xf>
    <xf numFmtId="0" fontId="11" fillId="8" borderId="119" xfId="2" applyFont="1" applyFill="1" applyBorder="1" applyAlignment="1">
      <alignment horizontal="left" vertical="center"/>
    </xf>
    <xf numFmtId="49" fontId="24" fillId="0" borderId="0" xfId="2" applyNumberFormat="1" applyFont="1" applyFill="1" applyBorder="1" applyAlignment="1">
      <alignment horizontal="left" vertical="top"/>
    </xf>
    <xf numFmtId="0" fontId="24" fillId="0" borderId="0" xfId="2" applyFont="1" applyFill="1" applyBorder="1" applyAlignment="1">
      <alignment horizontal="left" vertical="top"/>
    </xf>
    <xf numFmtId="0" fontId="11" fillId="9" borderId="0" xfId="2" applyFont="1" applyFill="1" applyAlignment="1">
      <alignment horizontal="left" vertical="top" wrapText="1"/>
    </xf>
    <xf numFmtId="49" fontId="24" fillId="8" borderId="119" xfId="2" applyNumberFormat="1" applyFont="1" applyFill="1" applyBorder="1" applyAlignment="1">
      <alignment horizontal="center" vertical="center" wrapText="1"/>
    </xf>
    <xf numFmtId="0" fontId="25" fillId="6" borderId="119" xfId="2" applyFont="1" applyFill="1" applyBorder="1" applyAlignment="1" applyProtection="1">
      <alignment horizontal="center" vertical="center" wrapText="1"/>
      <protection locked="0"/>
    </xf>
    <xf numFmtId="0" fontId="0" fillId="0" borderId="119" xfId="0" applyBorder="1" applyAlignment="1" applyProtection="1">
      <alignment horizontal="center" vertical="center" wrapText="1"/>
      <protection locked="0"/>
    </xf>
    <xf numFmtId="193" fontId="25" fillId="5" borderId="119" xfId="2" applyNumberFormat="1" applyFont="1" applyFill="1" applyBorder="1" applyAlignment="1" applyProtection="1">
      <alignment horizontal="right" vertical="center" wrapText="1"/>
    </xf>
    <xf numFmtId="193" fontId="0" fillId="5" borderId="119" xfId="0" applyNumberFormat="1" applyFill="1" applyBorder="1" applyAlignment="1" applyProtection="1">
      <alignment horizontal="right" vertical="center" wrapText="1"/>
    </xf>
    <xf numFmtId="3" fontId="11" fillId="5" borderId="3" xfId="2" applyNumberFormat="1" applyFont="1" applyFill="1" applyBorder="1" applyAlignment="1">
      <alignment horizontal="left" vertical="center" wrapText="1"/>
    </xf>
    <xf numFmtId="0" fontId="0" fillId="0" borderId="16" xfId="0" applyBorder="1" applyAlignment="1">
      <alignment horizontal="left" vertical="center" wrapText="1"/>
    </xf>
    <xf numFmtId="0" fontId="0" fillId="0" borderId="15" xfId="0" applyBorder="1" applyAlignment="1">
      <alignment horizontal="left" vertical="center" wrapText="1"/>
    </xf>
    <xf numFmtId="0" fontId="29" fillId="0" borderId="0" xfId="2" applyFont="1" applyFill="1" applyBorder="1" applyAlignment="1">
      <alignment horizontal="left" vertical="top" wrapText="1"/>
    </xf>
    <xf numFmtId="3" fontId="11" fillId="5" borderId="0" xfId="2" applyNumberFormat="1" applyFont="1" applyFill="1" applyBorder="1" applyAlignment="1">
      <alignment horizontal="left" vertical="center" wrapText="1"/>
    </xf>
    <xf numFmtId="0" fontId="11" fillId="0" borderId="0" xfId="2" applyFont="1" applyBorder="1" applyAlignment="1">
      <alignment horizontal="left" vertical="center" wrapText="1"/>
    </xf>
    <xf numFmtId="3" fontId="11" fillId="9" borderId="0" xfId="2" applyNumberFormat="1" applyFont="1" applyFill="1" applyBorder="1" applyAlignment="1">
      <alignment horizontal="left" vertical="top" wrapText="1"/>
    </xf>
    <xf numFmtId="0" fontId="11" fillId="0" borderId="0" xfId="2" applyFont="1" applyAlignment="1">
      <alignment horizontal="left" vertical="top" wrapText="1"/>
    </xf>
    <xf numFmtId="3" fontId="11" fillId="5" borderId="0" xfId="2" applyNumberFormat="1" applyFont="1" applyFill="1" applyBorder="1" applyAlignment="1">
      <alignment horizontal="left" vertical="top" wrapText="1"/>
    </xf>
    <xf numFmtId="0" fontId="11" fillId="5" borderId="0" xfId="2" applyFont="1" applyFill="1" applyAlignment="1">
      <alignment horizontal="left" vertical="top" wrapText="1"/>
    </xf>
    <xf numFmtId="0" fontId="25" fillId="0" borderId="119" xfId="2" applyFont="1" applyFill="1" applyBorder="1" applyAlignment="1" applyProtection="1">
      <alignment horizontal="center" vertical="center" wrapText="1"/>
    </xf>
    <xf numFmtId="0" fontId="0" fillId="0" borderId="119" xfId="0" applyBorder="1" applyAlignment="1" applyProtection="1">
      <alignment horizontal="center" vertical="center"/>
    </xf>
    <xf numFmtId="0" fontId="19" fillId="6" borderId="119" xfId="0" applyFont="1" applyFill="1" applyBorder="1" applyAlignment="1" applyProtection="1">
      <alignment horizontal="center" vertical="center"/>
      <protection locked="0"/>
    </xf>
    <xf numFmtId="0" fontId="0" fillId="0" borderId="119" xfId="0" applyBorder="1" applyAlignment="1" applyProtection="1">
      <alignment horizontal="center" vertical="center"/>
      <protection locked="0"/>
    </xf>
    <xf numFmtId="0" fontId="25" fillId="0" borderId="119" xfId="2" applyFont="1" applyFill="1" applyBorder="1" applyAlignment="1">
      <alignment horizontal="center" vertical="center" wrapText="1"/>
    </xf>
    <xf numFmtId="0" fontId="0" fillId="4" borderId="119" xfId="0" applyFill="1" applyBorder="1" applyAlignment="1">
      <alignment horizontal="center" vertical="center" wrapText="1"/>
    </xf>
    <xf numFmtId="0" fontId="25" fillId="5" borderId="41" xfId="2" applyFont="1" applyFill="1" applyBorder="1" applyAlignment="1" applyProtection="1">
      <alignment horizontal="left" vertical="center"/>
      <protection locked="0"/>
    </xf>
    <xf numFmtId="0" fontId="25" fillId="5" borderId="42" xfId="2" applyFont="1" applyFill="1" applyBorder="1" applyAlignment="1" applyProtection="1">
      <alignment horizontal="left" vertical="center"/>
      <protection locked="0"/>
    </xf>
    <xf numFmtId="0" fontId="11" fillId="47" borderId="6" xfId="2" applyFont="1" applyFill="1" applyBorder="1" applyAlignment="1">
      <alignment horizontal="center" vertical="center" wrapText="1"/>
    </xf>
    <xf numFmtId="0" fontId="11" fillId="47" borderId="45" xfId="2" applyFont="1" applyFill="1" applyBorder="1" applyAlignment="1">
      <alignment horizontal="center" vertical="center" wrapText="1"/>
    </xf>
    <xf numFmtId="0" fontId="11" fillId="47" borderId="5" xfId="2" applyFont="1" applyFill="1" applyBorder="1" applyAlignment="1">
      <alignment horizontal="center" vertical="center" wrapText="1"/>
    </xf>
    <xf numFmtId="0" fontId="11" fillId="0" borderId="127" xfId="2" applyFont="1" applyBorder="1" applyAlignment="1" applyProtection="1">
      <alignment horizontal="left" vertical="top" wrapText="1"/>
    </xf>
    <xf numFmtId="0" fontId="11" fillId="0" borderId="0" xfId="2" applyFont="1" applyBorder="1" applyAlignment="1" applyProtection="1">
      <alignment horizontal="left" vertical="top" wrapText="1"/>
    </xf>
    <xf numFmtId="49" fontId="11" fillId="0" borderId="0" xfId="2" applyNumberFormat="1" applyFont="1" applyFill="1" applyBorder="1" applyAlignment="1">
      <alignment horizontal="center" vertical="center" wrapText="1"/>
    </xf>
    <xf numFmtId="0" fontId="63" fillId="0" borderId="58" xfId="2" applyFont="1" applyBorder="1" applyAlignment="1" applyProtection="1">
      <alignment horizontal="left" vertical="center" wrapText="1"/>
    </xf>
    <xf numFmtId="0" fontId="63" fillId="0" borderId="59" xfId="2" applyFont="1" applyBorder="1" applyAlignment="1" applyProtection="1">
      <alignment horizontal="left" vertical="center" wrapText="1"/>
    </xf>
    <xf numFmtId="0" fontId="63" fillId="0" borderId="44" xfId="2" applyFont="1" applyBorder="1" applyAlignment="1" applyProtection="1">
      <alignment horizontal="left" vertical="center" wrapText="1"/>
    </xf>
    <xf numFmtId="0" fontId="63" fillId="0" borderId="60" xfId="2" applyFont="1" applyBorder="1" applyAlignment="1" applyProtection="1">
      <alignment horizontal="left" vertical="center" wrapText="1"/>
    </xf>
    <xf numFmtId="0" fontId="63" fillId="0" borderId="61" xfId="2" applyFont="1" applyBorder="1" applyAlignment="1" applyProtection="1">
      <alignment horizontal="left" vertical="center" wrapText="1"/>
    </xf>
    <xf numFmtId="0" fontId="63" fillId="0" borderId="34" xfId="2" applyFont="1" applyBorder="1" applyAlignment="1" applyProtection="1">
      <alignment horizontal="left" vertical="center" wrapText="1"/>
    </xf>
    <xf numFmtId="0" fontId="63" fillId="0" borderId="3" xfId="2" applyFont="1" applyBorder="1" applyAlignment="1" applyProtection="1">
      <alignment horizontal="left" vertical="center" wrapText="1"/>
    </xf>
    <xf numFmtId="0" fontId="63" fillId="0" borderId="16" xfId="2" applyFont="1" applyBorder="1" applyAlignment="1" applyProtection="1">
      <alignment horizontal="left" vertical="center" wrapText="1"/>
    </xf>
    <xf numFmtId="0" fontId="63" fillId="0" borderId="35" xfId="2" applyFont="1" applyBorder="1" applyAlignment="1" applyProtection="1">
      <alignment horizontal="left" vertical="center" wrapText="1"/>
    </xf>
    <xf numFmtId="0" fontId="25" fillId="5" borderId="21" xfId="2" applyFont="1" applyFill="1" applyBorder="1" applyAlignment="1" applyProtection="1">
      <alignment horizontal="left" vertical="center"/>
      <protection locked="0"/>
    </xf>
    <xf numFmtId="0" fontId="25" fillId="5" borderId="22" xfId="2" applyFont="1" applyFill="1" applyBorder="1" applyAlignment="1" applyProtection="1">
      <alignment horizontal="left" vertical="center"/>
      <protection locked="0"/>
    </xf>
    <xf numFmtId="0" fontId="63" fillId="0" borderId="38" xfId="2" applyFont="1" applyBorder="1" applyAlignment="1" applyProtection="1">
      <alignment horizontal="left" vertical="center" wrapText="1"/>
    </xf>
    <xf numFmtId="0" fontId="63" fillId="0" borderId="47" xfId="2" applyFont="1" applyBorder="1" applyAlignment="1" applyProtection="1">
      <alignment horizontal="left" vertical="center" wrapText="1"/>
    </xf>
    <xf numFmtId="0" fontId="63" fillId="0" borderId="33" xfId="2" applyFont="1" applyBorder="1" applyAlignment="1" applyProtection="1">
      <alignment horizontal="left" vertical="center" wrapText="1"/>
    </xf>
    <xf numFmtId="194" fontId="25" fillId="44" borderId="119" xfId="2" applyNumberFormat="1" applyFont="1" applyFill="1" applyBorder="1" applyAlignment="1" applyProtection="1">
      <alignment horizontal="left" vertical="center" wrapText="1" indent="1"/>
    </xf>
    <xf numFmtId="194" fontId="25" fillId="6" borderId="119" xfId="2" applyNumberFormat="1" applyFont="1" applyFill="1" applyBorder="1" applyAlignment="1" applyProtection="1">
      <alignment horizontal="left" vertical="center" wrapText="1" indent="1"/>
    </xf>
    <xf numFmtId="194" fontId="25" fillId="44" borderId="119" xfId="2" applyNumberFormat="1" applyFont="1" applyFill="1" applyBorder="1" applyAlignment="1" applyProtection="1">
      <alignment horizontal="center" vertical="center"/>
    </xf>
    <xf numFmtId="3" fontId="24" fillId="0" borderId="0" xfId="2" applyNumberFormat="1" applyFont="1" applyFill="1" applyBorder="1" applyAlignment="1">
      <alignment horizontal="left" vertical="center" wrapText="1" indent="1"/>
    </xf>
    <xf numFmtId="0" fontId="25" fillId="6" borderId="119" xfId="2" applyFont="1" applyFill="1" applyBorder="1" applyAlignment="1" applyProtection="1">
      <alignment vertical="center" wrapText="1"/>
      <protection locked="0"/>
    </xf>
    <xf numFmtId="168" fontId="25" fillId="5" borderId="119" xfId="12" applyNumberFormat="1" applyFont="1" applyFill="1" applyBorder="1" applyAlignment="1">
      <alignment horizontal="center" vertical="center" wrapText="1"/>
    </xf>
    <xf numFmtId="168" fontId="19" fillId="0" borderId="119" xfId="0" applyNumberFormat="1" applyFont="1" applyBorder="1" applyAlignment="1">
      <alignment horizontal="center" vertical="center"/>
    </xf>
    <xf numFmtId="0" fontId="25" fillId="4" borderId="119" xfId="2" applyFont="1" applyFill="1" applyBorder="1" applyAlignment="1">
      <alignment horizontal="left" vertical="center" wrapText="1"/>
    </xf>
    <xf numFmtId="0" fontId="19" fillId="0" borderId="119" xfId="0" applyFont="1" applyBorder="1" applyAlignment="1">
      <alignment horizontal="left" vertical="center" wrapText="1"/>
    </xf>
    <xf numFmtId="0" fontId="19" fillId="0" borderId="119" xfId="0" applyFont="1" applyBorder="1" applyAlignment="1">
      <alignment horizontal="left" vertical="center"/>
    </xf>
    <xf numFmtId="0" fontId="19" fillId="0" borderId="119" xfId="0" applyFont="1" applyBorder="1" applyAlignment="1">
      <alignment horizontal="center" vertical="center"/>
    </xf>
    <xf numFmtId="0" fontId="19" fillId="0" borderId="119" xfId="0" applyFont="1" applyBorder="1" applyAlignment="1">
      <alignment horizontal="center" vertical="center" wrapText="1"/>
    </xf>
    <xf numFmtId="0" fontId="25" fillId="4" borderId="119" xfId="2" applyFont="1" applyFill="1" applyBorder="1" applyAlignment="1">
      <alignment horizontal="left" vertical="center"/>
    </xf>
    <xf numFmtId="0" fontId="19" fillId="5" borderId="119" xfId="0" applyFont="1" applyFill="1" applyBorder="1" applyAlignment="1">
      <alignment vertical="center" wrapText="1"/>
    </xf>
    <xf numFmtId="170" fontId="19" fillId="6" borderId="119" xfId="0" applyNumberFormat="1" applyFont="1" applyFill="1" applyBorder="1" applyAlignment="1" applyProtection="1">
      <alignment horizontal="center"/>
      <protection locked="0"/>
    </xf>
    <xf numFmtId="0" fontId="25" fillId="5" borderId="119" xfId="2" applyFont="1" applyFill="1" applyBorder="1" applyAlignment="1" applyProtection="1">
      <alignment horizontal="left" vertical="center" wrapText="1"/>
    </xf>
    <xf numFmtId="0" fontId="0" fillId="5" borderId="119" xfId="0" applyFill="1" applyBorder="1" applyAlignment="1" applyProtection="1">
      <alignment horizontal="left" vertical="center" wrapText="1"/>
    </xf>
    <xf numFmtId="0" fontId="25" fillId="5" borderId="119" xfId="2" applyFont="1" applyFill="1" applyBorder="1" applyAlignment="1" applyProtection="1">
      <alignment horizontal="center" vertical="center" wrapText="1"/>
    </xf>
    <xf numFmtId="0" fontId="0" fillId="5" borderId="119" xfId="0" applyFill="1" applyBorder="1" applyAlignment="1" applyProtection="1">
      <alignment horizontal="center" vertical="center" wrapText="1"/>
    </xf>
    <xf numFmtId="0" fontId="25" fillId="5" borderId="119" xfId="2" applyFont="1" applyFill="1" applyBorder="1" applyAlignment="1" applyProtection="1">
      <alignment horizontal="left" vertical="center"/>
    </xf>
    <xf numFmtId="0" fontId="0" fillId="5" borderId="119" xfId="0" applyFill="1" applyBorder="1" applyAlignment="1" applyProtection="1">
      <alignment horizontal="left" vertical="center"/>
    </xf>
    <xf numFmtId="0" fontId="25" fillId="5" borderId="28" xfId="2" applyFont="1" applyFill="1" applyBorder="1" applyAlignment="1" applyProtection="1">
      <alignment horizontal="left" vertical="center"/>
      <protection locked="0"/>
    </xf>
    <xf numFmtId="0" fontId="25" fillId="5" borderId="29" xfId="2" applyFont="1" applyFill="1" applyBorder="1" applyAlignment="1" applyProtection="1">
      <alignment horizontal="left" vertical="center"/>
      <protection locked="0"/>
    </xf>
    <xf numFmtId="164" fontId="25" fillId="0" borderId="120" xfId="10" applyNumberFormat="1" applyFont="1" applyFill="1" applyBorder="1" applyAlignment="1" applyProtection="1">
      <alignment horizontal="center" vertical="center"/>
    </xf>
    <xf numFmtId="164" fontId="25" fillId="0" borderId="122" xfId="10" applyNumberFormat="1" applyFont="1" applyFill="1" applyBorder="1" applyAlignment="1" applyProtection="1">
      <alignment horizontal="center" vertical="center"/>
    </xf>
    <xf numFmtId="0" fontId="63" fillId="0" borderId="3" xfId="2" applyFont="1" applyFill="1" applyBorder="1" applyAlignment="1" applyProtection="1">
      <alignment vertical="center" wrapText="1"/>
    </xf>
    <xf numFmtId="0" fontId="63" fillId="0" borderId="16" xfId="2" applyFont="1" applyFill="1" applyBorder="1" applyAlignment="1" applyProtection="1">
      <alignment vertical="center" wrapText="1"/>
    </xf>
    <xf numFmtId="0" fontId="63" fillId="0" borderId="15" xfId="2" applyFont="1" applyFill="1" applyBorder="1" applyAlignment="1" applyProtection="1">
      <alignment vertical="center" wrapText="1"/>
    </xf>
    <xf numFmtId="0" fontId="11" fillId="47" borderId="4" xfId="2" applyFont="1" applyFill="1" applyBorder="1" applyAlignment="1">
      <alignment horizontal="center" vertical="center" wrapText="1"/>
    </xf>
    <xf numFmtId="0" fontId="25" fillId="0" borderId="3" xfId="2" applyFont="1" applyFill="1" applyBorder="1" applyAlignment="1" applyProtection="1">
      <alignment vertical="top"/>
      <protection locked="0"/>
    </xf>
    <xf numFmtId="0" fontId="25" fillId="0" borderId="16" xfId="2" applyFont="1" applyFill="1" applyBorder="1" applyAlignment="1" applyProtection="1">
      <alignment vertical="top"/>
      <protection locked="0"/>
    </xf>
    <xf numFmtId="0" fontId="25" fillId="0" borderId="15" xfId="2" applyFont="1" applyFill="1" applyBorder="1" applyAlignment="1" applyProtection="1">
      <alignment vertical="top"/>
      <protection locked="0"/>
    </xf>
    <xf numFmtId="0" fontId="25" fillId="0" borderId="0" xfId="2" applyFont="1" applyFill="1" applyBorder="1" applyAlignment="1">
      <alignment horizontal="left" vertical="top" wrapText="1"/>
    </xf>
    <xf numFmtId="0" fontId="25" fillId="5" borderId="119" xfId="2" applyFont="1" applyFill="1" applyBorder="1" applyAlignment="1" applyProtection="1">
      <alignment horizontal="left" vertical="center"/>
      <protection locked="0"/>
    </xf>
    <xf numFmtId="0" fontId="0" fillId="5" borderId="119" xfId="0" applyFill="1" applyBorder="1" applyAlignment="1">
      <alignment horizontal="left" vertical="center"/>
    </xf>
    <xf numFmtId="0" fontId="25" fillId="5" borderId="119" xfId="2" applyFont="1" applyFill="1" applyBorder="1" applyAlignment="1" applyProtection="1">
      <alignment horizontal="center" vertical="center" wrapText="1"/>
      <protection locked="0"/>
    </xf>
    <xf numFmtId="0" fontId="0" fillId="5" borderId="119" xfId="0" applyFill="1" applyBorder="1" applyAlignment="1">
      <alignment horizontal="center" vertical="center" wrapText="1"/>
    </xf>
    <xf numFmtId="193" fontId="25" fillId="5" borderId="119" xfId="2" applyNumberFormat="1" applyFont="1" applyFill="1" applyBorder="1" applyAlignment="1" applyProtection="1">
      <alignment horizontal="center" vertical="center" wrapText="1"/>
      <protection locked="0"/>
    </xf>
    <xf numFmtId="193" fontId="0" fillId="5" borderId="119" xfId="0" applyNumberFormat="1" applyFill="1" applyBorder="1" applyAlignment="1">
      <alignment horizontal="center" vertical="center" wrapText="1"/>
    </xf>
    <xf numFmtId="194" fontId="25" fillId="5" borderId="119" xfId="2" applyNumberFormat="1" applyFont="1" applyFill="1" applyBorder="1" applyAlignment="1">
      <alignment horizontal="left" vertical="center" wrapText="1" indent="1"/>
    </xf>
    <xf numFmtId="194" fontId="25" fillId="5" borderId="119" xfId="2" applyNumberFormat="1" applyFont="1" applyFill="1" applyBorder="1" applyAlignment="1" applyProtection="1">
      <alignment horizontal="center" vertical="center"/>
      <protection locked="0"/>
    </xf>
    <xf numFmtId="194" fontId="25" fillId="5" borderId="119" xfId="2" applyNumberFormat="1" applyFont="1" applyFill="1" applyBorder="1" applyAlignment="1" applyProtection="1">
      <alignment horizontal="left" vertical="center" wrapText="1" indent="1"/>
      <protection locked="0"/>
    </xf>
    <xf numFmtId="164" fontId="25" fillId="5" borderId="119" xfId="10" applyNumberFormat="1" applyFont="1" applyFill="1" applyBorder="1" applyAlignment="1">
      <alignment horizontal="right" vertical="center"/>
    </xf>
    <xf numFmtId="0" fontId="25" fillId="5" borderId="119" xfId="2" applyFont="1" applyFill="1" applyBorder="1" applyAlignment="1">
      <alignment horizontal="right" vertical="center"/>
    </xf>
    <xf numFmtId="164" fontId="25" fillId="5" borderId="119" xfId="10" applyNumberFormat="1" applyFont="1" applyFill="1" applyBorder="1" applyAlignment="1">
      <alignment horizontal="center" vertical="center"/>
    </xf>
    <xf numFmtId="0" fontId="25" fillId="5" borderId="119" xfId="2" applyFont="1" applyFill="1" applyBorder="1" applyAlignment="1">
      <alignment horizontal="center" vertical="center"/>
    </xf>
    <xf numFmtId="194" fontId="25" fillId="5" borderId="119" xfId="0" applyNumberFormat="1" applyFont="1" applyFill="1" applyBorder="1" applyAlignment="1">
      <alignment horizontal="left" indent="1"/>
    </xf>
    <xf numFmtId="0" fontId="25" fillId="5" borderId="119" xfId="2" applyFont="1" applyFill="1" applyBorder="1" applyAlignment="1">
      <alignment horizontal="left" vertical="center" wrapText="1" indent="1"/>
    </xf>
    <xf numFmtId="0" fontId="39" fillId="5" borderId="119" xfId="0" applyFont="1" applyFill="1" applyBorder="1" applyAlignment="1">
      <alignment horizontal="center" vertical="center"/>
    </xf>
    <xf numFmtId="0" fontId="11" fillId="0" borderId="1" xfId="2" applyFont="1" applyFill="1" applyBorder="1" applyAlignment="1">
      <alignment horizontal="center" vertical="center"/>
    </xf>
    <xf numFmtId="49" fontId="11" fillId="8" borderId="120" xfId="2" applyNumberFormat="1" applyFont="1" applyFill="1" applyBorder="1" applyAlignment="1">
      <alignment horizontal="center" vertical="center" wrapText="1"/>
    </xf>
    <xf numFmtId="49" fontId="11" fillId="8" borderId="122" xfId="2" applyNumberFormat="1" applyFont="1" applyFill="1" applyBorder="1" applyAlignment="1">
      <alignment horizontal="center" vertical="center" wrapText="1"/>
    </xf>
    <xf numFmtId="0" fontId="0" fillId="0" borderId="122" xfId="0" applyBorder="1" applyAlignment="1" applyProtection="1">
      <alignment horizontal="left" vertical="center" wrapText="1" indent="1"/>
    </xf>
    <xf numFmtId="0" fontId="11" fillId="0" borderId="126" xfId="2" applyFont="1" applyFill="1" applyBorder="1" applyAlignment="1">
      <alignment horizontal="left" vertical="center" wrapText="1"/>
    </xf>
    <xf numFmtId="0" fontId="11" fillId="4" borderId="128" xfId="2" applyFont="1" applyFill="1" applyBorder="1" applyAlignment="1">
      <alignment horizontal="center" vertical="center" wrapText="1"/>
    </xf>
    <xf numFmtId="0" fontId="11" fillId="4" borderId="124" xfId="2" applyFont="1" applyFill="1" applyBorder="1" applyAlignment="1">
      <alignment horizontal="center" vertical="center" wrapText="1"/>
    </xf>
    <xf numFmtId="0" fontId="1" fillId="4" borderId="160" xfId="0" applyFont="1" applyFill="1" applyBorder="1" applyAlignment="1" applyProtection="1">
      <alignment horizontal="center" vertical="center" wrapText="1"/>
    </xf>
    <xf numFmtId="0" fontId="1" fillId="4" borderId="161" xfId="0" applyFont="1" applyFill="1" applyBorder="1" applyAlignment="1" applyProtection="1">
      <alignment horizontal="center" vertical="center" wrapText="1"/>
    </xf>
    <xf numFmtId="0" fontId="1" fillId="4" borderId="162" xfId="0" applyFont="1" applyFill="1" applyBorder="1" applyAlignment="1" applyProtection="1">
      <alignment horizontal="center" vertical="center" wrapText="1"/>
    </xf>
    <xf numFmtId="0" fontId="1" fillId="4" borderId="163" xfId="0" applyFont="1" applyFill="1" applyBorder="1" applyAlignment="1" applyProtection="1">
      <alignment horizontal="center" vertical="center" wrapText="1"/>
    </xf>
    <xf numFmtId="0" fontId="11" fillId="8" borderId="157" xfId="2" applyFont="1" applyFill="1" applyBorder="1" applyAlignment="1">
      <alignment horizontal="center" vertical="center" wrapText="1"/>
    </xf>
    <xf numFmtId="0" fontId="11" fillId="8" borderId="154" xfId="2" applyFont="1" applyFill="1" applyBorder="1" applyAlignment="1">
      <alignment horizontal="center" vertical="center" wrapText="1"/>
    </xf>
    <xf numFmtId="0" fontId="11" fillId="8" borderId="159" xfId="2" applyFont="1" applyFill="1" applyBorder="1" applyAlignment="1">
      <alignment horizontal="center" vertical="center" wrapText="1"/>
    </xf>
    <xf numFmtId="49" fontId="11" fillId="8" borderId="157" xfId="2" applyNumberFormat="1" applyFont="1" applyFill="1" applyBorder="1" applyAlignment="1">
      <alignment horizontal="center" vertical="center" wrapText="1"/>
    </xf>
    <xf numFmtId="49" fontId="11" fillId="8" borderId="154" xfId="2" applyNumberFormat="1" applyFont="1" applyFill="1" applyBorder="1" applyAlignment="1">
      <alignment horizontal="center" vertical="center" wrapText="1"/>
    </xf>
    <xf numFmtId="49" fontId="11" fillId="8" borderId="159" xfId="2" applyNumberFormat="1" applyFont="1" applyFill="1" applyBorder="1" applyAlignment="1">
      <alignment horizontal="center" vertical="center" wrapText="1"/>
    </xf>
    <xf numFmtId="49" fontId="11" fillId="8" borderId="158" xfId="2" applyNumberFormat="1" applyFont="1" applyFill="1" applyBorder="1" applyAlignment="1">
      <alignment horizontal="center" vertical="center" wrapText="1"/>
    </xf>
    <xf numFmtId="0" fontId="25" fillId="0" borderId="3" xfId="2" applyFont="1" applyFill="1" applyBorder="1" applyAlignment="1" applyProtection="1">
      <alignment vertical="top"/>
    </xf>
    <xf numFmtId="0" fontId="25" fillId="0" borderId="16" xfId="2" applyFont="1" applyFill="1" applyBorder="1" applyAlignment="1" applyProtection="1">
      <alignment vertical="top"/>
    </xf>
    <xf numFmtId="0" fontId="25" fillId="0" borderId="15" xfId="2" applyFont="1" applyFill="1" applyBorder="1" applyAlignment="1" applyProtection="1">
      <alignment vertical="top"/>
    </xf>
    <xf numFmtId="0" fontId="11" fillId="4" borderId="150" xfId="2" applyFont="1" applyFill="1" applyBorder="1" applyAlignment="1">
      <alignment horizontal="left" vertical="center" wrapText="1" indent="1"/>
    </xf>
    <xf numFmtId="0" fontId="11" fillId="4" borderId="151" xfId="2" applyFont="1" applyFill="1" applyBorder="1" applyAlignment="1">
      <alignment horizontal="left" vertical="center" wrapText="1" indent="1"/>
    </xf>
    <xf numFmtId="0" fontId="11" fillId="4" borderId="156" xfId="2" applyFont="1" applyFill="1" applyBorder="1" applyAlignment="1">
      <alignment horizontal="left" vertical="center" wrapText="1" indent="1"/>
    </xf>
    <xf numFmtId="164" fontId="25" fillId="0" borderId="155" xfId="10" applyNumberFormat="1" applyFont="1" applyFill="1" applyBorder="1" applyAlignment="1">
      <alignment horizontal="center" vertical="center"/>
    </xf>
    <xf numFmtId="164" fontId="25" fillId="0" borderId="156" xfId="10" applyNumberFormat="1" applyFont="1" applyFill="1" applyBorder="1" applyAlignment="1">
      <alignment horizontal="center" vertical="center"/>
    </xf>
    <xf numFmtId="0" fontId="11" fillId="0" borderId="154" xfId="2" applyFont="1" applyFill="1" applyBorder="1" applyAlignment="1">
      <alignment horizontal="left" vertical="center" wrapText="1"/>
    </xf>
    <xf numFmtId="0" fontId="25" fillId="0" borderId="3" xfId="2" applyFont="1" applyFill="1" applyBorder="1" applyAlignment="1" applyProtection="1">
      <alignment horizontal="left" vertical="top"/>
    </xf>
    <xf numFmtId="0" fontId="25" fillId="0" borderId="16" xfId="2" applyFont="1" applyFill="1" applyBorder="1" applyAlignment="1" applyProtection="1">
      <alignment horizontal="left" vertical="top"/>
    </xf>
    <xf numFmtId="0" fontId="25" fillId="0" borderId="15" xfId="2" applyFont="1" applyFill="1" applyBorder="1" applyAlignment="1" applyProtection="1">
      <alignment horizontal="left" vertical="top"/>
    </xf>
    <xf numFmtId="49" fontId="11" fillId="4" borderId="3" xfId="2" applyNumberFormat="1" applyFont="1" applyFill="1" applyBorder="1" applyAlignment="1">
      <alignment horizontal="center" vertical="center" wrapText="1"/>
    </xf>
    <xf numFmtId="49" fontId="11" fillId="4" borderId="16" xfId="2" applyNumberFormat="1" applyFont="1" applyFill="1" applyBorder="1" applyAlignment="1">
      <alignment horizontal="center" vertical="center" wrapText="1"/>
    </xf>
    <xf numFmtId="49" fontId="11" fillId="4" borderId="15" xfId="2" applyNumberFormat="1" applyFont="1" applyFill="1" applyBorder="1" applyAlignment="1">
      <alignment horizontal="center" vertical="center" wrapText="1"/>
    </xf>
    <xf numFmtId="49" fontId="11" fillId="4" borderId="3" xfId="2" applyNumberFormat="1" applyFont="1" applyFill="1" applyBorder="1" applyAlignment="1">
      <alignment horizontal="center" vertical="center"/>
    </xf>
    <xf numFmtId="49" fontId="11" fillId="4" borderId="16" xfId="2" applyNumberFormat="1" applyFont="1" applyFill="1" applyBorder="1" applyAlignment="1">
      <alignment horizontal="center" vertical="center"/>
    </xf>
    <xf numFmtId="49" fontId="11" fillId="4" borderId="15" xfId="2" applyNumberFormat="1" applyFont="1" applyFill="1" applyBorder="1" applyAlignment="1">
      <alignment horizontal="center" vertical="center"/>
    </xf>
    <xf numFmtId="0" fontId="63" fillId="0" borderId="3" xfId="2" applyFont="1" applyFill="1" applyBorder="1" applyAlignment="1" applyProtection="1">
      <alignment horizontal="left" vertical="center" wrapText="1"/>
    </xf>
    <xf numFmtId="0" fontId="63" fillId="0" borderId="16" xfId="2" applyFont="1" applyFill="1" applyBorder="1" applyAlignment="1" applyProtection="1">
      <alignment horizontal="left" vertical="center" wrapText="1"/>
    </xf>
    <xf numFmtId="0" fontId="63" fillId="0" borderId="15" xfId="2" applyFont="1" applyFill="1" applyBorder="1" applyAlignment="1" applyProtection="1">
      <alignment horizontal="left" vertical="center" wrapText="1"/>
    </xf>
    <xf numFmtId="1" fontId="25" fillId="0" borderId="3" xfId="298" applyNumberFormat="1" applyFont="1" applyFill="1" applyBorder="1" applyAlignment="1" applyProtection="1">
      <alignment horizontal="right" vertical="center"/>
    </xf>
    <xf numFmtId="1" fontId="25" fillId="0" borderId="15" xfId="298" applyNumberFormat="1" applyFont="1" applyFill="1" applyBorder="1" applyAlignment="1" applyProtection="1">
      <alignment horizontal="right" vertical="center"/>
    </xf>
    <xf numFmtId="164" fontId="25" fillId="0" borderId="3" xfId="298" applyNumberFormat="1" applyFont="1" applyFill="1" applyBorder="1" applyAlignment="1" applyProtection="1">
      <alignment horizontal="right" vertical="center"/>
    </xf>
    <xf numFmtId="164" fontId="25" fillId="0" borderId="15" xfId="298" applyNumberFormat="1" applyFont="1" applyFill="1" applyBorder="1" applyAlignment="1" applyProtection="1">
      <alignment horizontal="right" vertical="center"/>
    </xf>
    <xf numFmtId="164" fontId="25" fillId="5" borderId="3" xfId="298" applyNumberFormat="1" applyFont="1" applyFill="1" applyBorder="1" applyAlignment="1" applyProtection="1">
      <alignment horizontal="right" vertical="center"/>
    </xf>
    <xf numFmtId="164" fontId="25" fillId="5" borderId="15" xfId="298" applyNumberFormat="1" applyFont="1" applyFill="1" applyBorder="1" applyAlignment="1" applyProtection="1">
      <alignment horizontal="right" vertical="center"/>
    </xf>
    <xf numFmtId="0" fontId="11" fillId="8" borderId="20" xfId="2" applyFont="1" applyFill="1" applyBorder="1" applyAlignment="1">
      <alignment horizontal="center" vertical="center" wrapText="1"/>
    </xf>
    <xf numFmtId="0" fontId="11" fillId="8" borderId="21" xfId="2" applyFont="1" applyFill="1" applyBorder="1" applyAlignment="1">
      <alignment horizontal="center" vertical="center" wrapText="1"/>
    </xf>
    <xf numFmtId="0" fontId="11" fillId="8" borderId="22" xfId="2" applyFont="1" applyFill="1" applyBorder="1" applyAlignment="1">
      <alignment horizontal="center" vertical="center" wrapText="1"/>
    </xf>
    <xf numFmtId="0" fontId="11" fillId="0" borderId="14" xfId="2" applyFont="1" applyFill="1" applyBorder="1" applyAlignment="1">
      <alignment horizontal="left" vertical="top" wrapText="1"/>
    </xf>
    <xf numFmtId="0" fontId="16" fillId="0" borderId="12" xfId="14" applyFont="1" applyFill="1" applyBorder="1" applyAlignment="1">
      <alignment horizontal="center" vertical="center" wrapText="1"/>
    </xf>
    <xf numFmtId="0" fontId="16" fillId="0" borderId="2" xfId="14" applyFont="1" applyFill="1" applyBorder="1" applyAlignment="1">
      <alignment horizontal="center" vertical="center" wrapText="1"/>
    </xf>
    <xf numFmtId="0" fontId="11" fillId="0" borderId="97" xfId="13" applyBorder="1" applyAlignment="1">
      <alignment horizontal="center" vertical="center" wrapText="1"/>
    </xf>
    <xf numFmtId="0" fontId="11" fillId="0" borderId="13" xfId="13" applyBorder="1" applyAlignment="1">
      <alignment horizontal="center" vertical="center" wrapText="1"/>
    </xf>
    <xf numFmtId="0" fontId="11" fillId="0" borderId="14" xfId="13" applyBorder="1" applyAlignment="1">
      <alignment horizontal="center" vertical="center" wrapText="1"/>
    </xf>
    <xf numFmtId="0" fontId="11" fillId="0" borderId="92" xfId="13" applyBorder="1" applyAlignment="1">
      <alignment horizontal="center" vertical="center" wrapText="1"/>
    </xf>
    <xf numFmtId="0" fontId="53" fillId="5" borderId="16" xfId="14" applyFont="1" applyFill="1" applyBorder="1" applyAlignment="1">
      <alignment horizontal="left" vertical="center" wrapText="1" indent="3"/>
    </xf>
    <xf numFmtId="0" fontId="11" fillId="5" borderId="16" xfId="13" applyFill="1" applyBorder="1" applyAlignment="1">
      <alignment horizontal="left" vertical="center" wrapText="1" indent="3"/>
    </xf>
    <xf numFmtId="0" fontId="11" fillId="5" borderId="95" xfId="13" applyFill="1" applyBorder="1" applyAlignment="1">
      <alignment horizontal="left" vertical="center" wrapText="1" indent="3"/>
    </xf>
    <xf numFmtId="0" fontId="16" fillId="2" borderId="89" xfId="14" applyFont="1" applyFill="1" applyBorder="1" applyAlignment="1">
      <alignment horizontal="center" vertical="center" wrapText="1"/>
    </xf>
    <xf numFmtId="0" fontId="16" fillId="2" borderId="4" xfId="14" applyFont="1" applyFill="1" applyBorder="1" applyAlignment="1">
      <alignment horizontal="center" vertical="center" wrapText="1"/>
    </xf>
    <xf numFmtId="0" fontId="16" fillId="2" borderId="91" xfId="14" applyFont="1" applyFill="1" applyBorder="1" applyAlignment="1">
      <alignment horizontal="center" vertical="center" wrapText="1"/>
    </xf>
    <xf numFmtId="0" fontId="11" fillId="0" borderId="16" xfId="13" applyBorder="1" applyAlignment="1">
      <alignment horizontal="center" vertical="center" wrapText="1"/>
    </xf>
    <xf numFmtId="0" fontId="11" fillId="0" borderId="15" xfId="13" applyBorder="1" applyAlignment="1">
      <alignment horizontal="center" vertical="center" wrapText="1"/>
    </xf>
    <xf numFmtId="3" fontId="45" fillId="0" borderId="76" xfId="13" applyNumberFormat="1" applyFont="1" applyFill="1" applyBorder="1" applyAlignment="1">
      <alignment horizontal="left" vertical="center" wrapText="1"/>
    </xf>
    <xf numFmtId="0" fontId="11" fillId="0" borderId="75" xfId="13" applyBorder="1" applyAlignment="1">
      <alignment horizontal="left" vertical="center" wrapText="1"/>
    </xf>
    <xf numFmtId="0" fontId="17" fillId="3" borderId="6" xfId="14" applyFont="1" applyFill="1" applyBorder="1" applyAlignment="1">
      <alignment horizontal="center" vertical="center" wrapText="1"/>
    </xf>
    <xf numFmtId="0" fontId="17" fillId="3" borderId="12" xfId="14" applyFont="1" applyFill="1" applyBorder="1" applyAlignment="1">
      <alignment horizontal="center" vertical="center" wrapText="1"/>
    </xf>
    <xf numFmtId="0" fontId="17" fillId="3" borderId="98" xfId="14" applyFont="1" applyFill="1" applyBorder="1" applyAlignment="1">
      <alignment horizontal="center" vertical="center" wrapText="1"/>
    </xf>
    <xf numFmtId="0" fontId="17" fillId="3" borderId="17" xfId="14" applyFont="1" applyFill="1" applyBorder="1" applyAlignment="1">
      <alignment horizontal="center" vertical="center" wrapText="1"/>
    </xf>
    <xf numFmtId="0" fontId="16" fillId="0" borderId="4" xfId="14" applyFont="1" applyFill="1" applyBorder="1" applyAlignment="1">
      <alignment horizontal="center" vertical="center" wrapText="1"/>
    </xf>
    <xf numFmtId="0" fontId="16" fillId="0" borderId="3" xfId="14" applyFont="1" applyFill="1" applyBorder="1" applyAlignment="1">
      <alignment horizontal="center" vertical="center" wrapText="1"/>
    </xf>
    <xf numFmtId="0" fontId="17" fillId="3" borderId="3" xfId="14" applyFont="1" applyFill="1" applyBorder="1" applyAlignment="1">
      <alignment horizontal="center" vertical="center" wrapText="1"/>
    </xf>
    <xf numFmtId="0" fontId="17" fillId="3" borderId="96" xfId="14" applyFont="1" applyFill="1" applyBorder="1" applyAlignment="1">
      <alignment horizontal="center" vertical="center" wrapText="1"/>
    </xf>
    <xf numFmtId="0" fontId="11" fillId="0" borderId="17" xfId="13" applyBorder="1" applyAlignment="1">
      <alignment horizontal="center" vertical="center" wrapText="1"/>
    </xf>
    <xf numFmtId="0" fontId="17" fillId="3" borderId="93" xfId="14" applyFont="1" applyFill="1" applyBorder="1" applyAlignment="1">
      <alignment horizontal="center" vertical="center" wrapText="1"/>
    </xf>
    <xf numFmtId="0" fontId="11" fillId="0" borderId="19" xfId="13" applyBorder="1" applyAlignment="1">
      <alignment horizontal="center" vertical="center" wrapText="1"/>
    </xf>
    <xf numFmtId="0" fontId="17" fillId="3" borderId="95" xfId="14" applyFont="1" applyFill="1" applyBorder="1" applyAlignment="1">
      <alignment horizontal="center" vertical="center" wrapText="1"/>
    </xf>
    <xf numFmtId="0" fontId="17" fillId="3" borderId="89" xfId="14" applyFont="1" applyFill="1" applyBorder="1" applyAlignment="1">
      <alignment horizontal="center" vertical="center" wrapText="1"/>
    </xf>
    <xf numFmtId="0" fontId="17" fillId="3" borderId="4" xfId="14" applyFont="1" applyFill="1" applyBorder="1" applyAlignment="1">
      <alignment horizontal="center" vertical="center" wrapText="1"/>
    </xf>
    <xf numFmtId="3" fontId="16" fillId="0" borderId="91" xfId="14" applyNumberFormat="1" applyFont="1" applyFill="1" applyBorder="1" applyAlignment="1">
      <alignment horizontal="center" vertical="center" wrapText="1"/>
    </xf>
    <xf numFmtId="3" fontId="16" fillId="2" borderId="4" xfId="14" applyNumberFormat="1" applyFont="1" applyFill="1" applyBorder="1" applyAlignment="1">
      <alignment horizontal="center" vertical="center" wrapText="1"/>
    </xf>
    <xf numFmtId="3" fontId="16" fillId="2" borderId="3" xfId="14" applyNumberFormat="1" applyFont="1" applyFill="1" applyBorder="1" applyAlignment="1">
      <alignment horizontal="center" vertical="center" wrapText="1"/>
    </xf>
    <xf numFmtId="3" fontId="16" fillId="2" borderId="15" xfId="14" applyNumberFormat="1" applyFont="1" applyFill="1" applyBorder="1" applyAlignment="1">
      <alignment horizontal="center" vertical="center" wrapText="1"/>
    </xf>
    <xf numFmtId="3" fontId="15" fillId="0" borderId="91" xfId="14" applyNumberFormat="1" applyFont="1" applyFill="1" applyBorder="1" applyAlignment="1">
      <alignment horizontal="center" vertical="center" wrapText="1"/>
    </xf>
    <xf numFmtId="3" fontId="15" fillId="0" borderId="4" xfId="14" applyNumberFormat="1" applyFont="1" applyFill="1" applyBorder="1" applyAlignment="1">
      <alignment horizontal="center" vertical="center" wrapText="1"/>
    </xf>
    <xf numFmtId="0" fontId="16" fillId="0" borderId="1" xfId="14" applyFont="1" applyFill="1" applyBorder="1" applyAlignment="1">
      <alignment horizontal="center" vertical="center" wrapText="1"/>
    </xf>
    <xf numFmtId="0" fontId="16" fillId="0" borderId="0" xfId="14" applyFont="1" applyFill="1" applyBorder="1" applyAlignment="1">
      <alignment horizontal="center" vertical="center" wrapText="1"/>
    </xf>
    <xf numFmtId="0" fontId="11" fillId="0" borderId="94" xfId="13" applyBorder="1" applyAlignment="1">
      <alignment horizontal="center" vertical="center" wrapText="1"/>
    </xf>
    <xf numFmtId="0" fontId="16" fillId="0" borderId="13" xfId="14" applyFont="1" applyFill="1" applyBorder="1" applyAlignment="1">
      <alignment horizontal="center" vertical="center" wrapText="1"/>
    </xf>
    <xf numFmtId="0" fontId="16" fillId="0" borderId="14" xfId="14" applyFont="1" applyFill="1" applyBorder="1" applyAlignment="1">
      <alignment horizontal="center" vertical="center" wrapText="1"/>
    </xf>
    <xf numFmtId="0" fontId="34" fillId="4" borderId="65" xfId="0" applyFont="1" applyFill="1" applyBorder="1" applyAlignment="1">
      <alignment horizontal="center" vertical="center" wrapText="1"/>
    </xf>
    <xf numFmtId="0" fontId="34" fillId="4" borderId="48" xfId="0" applyFont="1" applyFill="1" applyBorder="1" applyAlignment="1">
      <alignment horizontal="center" vertical="center" wrapText="1"/>
    </xf>
    <xf numFmtId="0" fontId="4" fillId="4" borderId="50" xfId="0" applyFont="1" applyFill="1" applyBorder="1" applyAlignment="1">
      <alignment horizontal="center" vertical="center" wrapText="1"/>
    </xf>
    <xf numFmtId="0" fontId="28" fillId="4" borderId="107" xfId="0" applyFont="1" applyFill="1" applyBorder="1" applyAlignment="1">
      <alignment horizontal="center" vertical="center" wrapText="1"/>
    </xf>
    <xf numFmtId="0" fontId="4" fillId="4" borderId="13" xfId="0" applyFont="1" applyFill="1" applyBorder="1" applyAlignment="1">
      <alignment horizontal="center" vertical="center" wrapText="1"/>
    </xf>
    <xf numFmtId="0" fontId="28" fillId="4" borderId="14" xfId="0" applyFont="1" applyFill="1" applyBorder="1" applyAlignment="1">
      <alignment horizontal="center" vertical="center" wrapText="1"/>
    </xf>
    <xf numFmtId="0" fontId="0" fillId="0" borderId="14" xfId="0" applyBorder="1" applyAlignment="1">
      <alignment vertical="center"/>
    </xf>
    <xf numFmtId="0" fontId="39" fillId="0" borderId="2" xfId="0" applyFont="1" applyBorder="1" applyAlignment="1">
      <alignment horizontal="left" vertical="top" wrapText="1"/>
    </xf>
    <xf numFmtId="0" fontId="34" fillId="4" borderId="101" xfId="0" applyFont="1" applyFill="1" applyBorder="1" applyAlignment="1">
      <alignment horizontal="center" vertical="center" wrapText="1"/>
    </xf>
    <xf numFmtId="0" fontId="34" fillId="4" borderId="49" xfId="0" applyFont="1" applyFill="1" applyBorder="1" applyAlignment="1">
      <alignment horizontal="center" vertical="center" wrapText="1"/>
    </xf>
    <xf numFmtId="0" fontId="4" fillId="8" borderId="65" xfId="0" applyFont="1" applyFill="1" applyBorder="1" applyAlignment="1">
      <alignment horizontal="center" vertical="center" wrapText="1"/>
    </xf>
    <xf numFmtId="0" fontId="4" fillId="8" borderId="100"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28" fillId="4" borderId="50" xfId="0" applyFont="1" applyFill="1" applyBorder="1" applyAlignment="1">
      <alignment horizontal="center" vertical="center" wrapText="1"/>
    </xf>
    <xf numFmtId="0" fontId="4" fillId="8" borderId="20" xfId="0" applyFont="1" applyFill="1" applyBorder="1" applyAlignment="1">
      <alignment horizontal="center" vertical="center"/>
    </xf>
    <xf numFmtId="0" fontId="28" fillId="8" borderId="22" xfId="0" applyFont="1" applyFill="1" applyBorder="1" applyAlignment="1">
      <alignment horizontal="center" vertical="center"/>
    </xf>
    <xf numFmtId="0" fontId="4" fillId="8" borderId="50" xfId="0" applyFont="1" applyFill="1" applyBorder="1" applyAlignment="1">
      <alignment horizontal="center" vertical="center" wrapText="1"/>
    </xf>
    <xf numFmtId="0" fontId="28" fillId="8" borderId="107" xfId="0" applyFont="1" applyFill="1" applyBorder="1" applyAlignment="1">
      <alignment horizontal="center" vertical="center" wrapText="1"/>
    </xf>
    <xf numFmtId="0" fontId="4" fillId="4" borderId="20" xfId="0" applyFont="1" applyFill="1" applyBorder="1" applyAlignment="1">
      <alignment horizontal="center" vertical="center" wrapText="1"/>
    </xf>
    <xf numFmtId="0" fontId="28" fillId="4" borderId="23" xfId="0" applyFont="1" applyFill="1" applyBorder="1" applyAlignment="1">
      <alignment horizontal="center" vertical="center" wrapText="1"/>
    </xf>
    <xf numFmtId="0" fontId="13" fillId="5" borderId="81" xfId="15" applyFont="1" applyFill="1" applyBorder="1" applyAlignment="1">
      <alignment horizontal="center"/>
    </xf>
    <xf numFmtId="0" fontId="11" fillId="0" borderId="86" xfId="123" applyBorder="1" applyAlignment="1">
      <alignment horizontal="center"/>
    </xf>
    <xf numFmtId="0" fontId="14" fillId="5" borderId="81" xfId="15" applyFont="1" applyFill="1" applyBorder="1" applyAlignment="1">
      <alignment horizontal="center"/>
    </xf>
    <xf numFmtId="0" fontId="11" fillId="0" borderId="87" xfId="123" applyBorder="1" applyAlignment="1">
      <alignment horizontal="center"/>
    </xf>
    <xf numFmtId="0" fontId="11" fillId="0" borderId="82" xfId="123" applyFont="1" applyBorder="1" applyAlignment="1"/>
    <xf numFmtId="0" fontId="11" fillId="0" borderId="82" xfId="123" applyBorder="1" applyAlignment="1"/>
    <xf numFmtId="0" fontId="24" fillId="0" borderId="82" xfId="123" applyFont="1" applyBorder="1" applyAlignment="1"/>
    <xf numFmtId="0" fontId="24" fillId="0" borderId="104" xfId="123" applyFont="1" applyBorder="1" applyAlignment="1">
      <alignment wrapText="1"/>
    </xf>
    <xf numFmtId="0" fontId="24" fillId="0" borderId="103" xfId="123" applyFont="1" applyBorder="1" applyAlignment="1"/>
    <xf numFmtId="0" fontId="24" fillId="0" borderId="99" xfId="123" applyFont="1" applyBorder="1" applyAlignment="1"/>
  </cellXfs>
  <cellStyles count="446">
    <cellStyle name="20% - Accent1" xfId="37" builtinId="30" customBuiltin="1"/>
    <cellStyle name="20% - Accent2" xfId="41" builtinId="34" customBuiltin="1"/>
    <cellStyle name="20% - Accent3" xfId="45" builtinId="38" customBuiltin="1"/>
    <cellStyle name="20% - Accent4" xfId="49" builtinId="42" customBuiltin="1"/>
    <cellStyle name="20% - Accent5" xfId="53" builtinId="46" customBuiltin="1"/>
    <cellStyle name="20% - Accent6" xfId="57" builtinId="50" customBuiltin="1"/>
    <cellStyle name="40% - Accent1" xfId="38" builtinId="31" customBuiltin="1"/>
    <cellStyle name="40% - Accent2" xfId="42" builtinId="35" customBuiltin="1"/>
    <cellStyle name="40% - Accent3" xfId="46" builtinId="39" customBuiltin="1"/>
    <cellStyle name="40% - Accent4" xfId="50" builtinId="43" customBuiltin="1"/>
    <cellStyle name="40% - Accent5" xfId="54" builtinId="47" customBuiltin="1"/>
    <cellStyle name="40% - Accent6" xfId="58" builtinId="51" customBuiltin="1"/>
    <cellStyle name="60% - Accent1" xfId="39" builtinId="32" customBuiltin="1"/>
    <cellStyle name="60% - Accent2" xfId="43" builtinId="36" customBuiltin="1"/>
    <cellStyle name="60% - Accent3" xfId="47" builtinId="40" customBuiltin="1"/>
    <cellStyle name="60% - Accent4" xfId="51" builtinId="44" customBuiltin="1"/>
    <cellStyle name="60% - Accent5" xfId="55" builtinId="48" customBuiltin="1"/>
    <cellStyle name="60% - Accent6" xfId="59" builtinId="52" customBuiltin="1"/>
    <cellStyle name="Accent1" xfId="36" builtinId="29" customBuiltin="1"/>
    <cellStyle name="Accent2" xfId="40" builtinId="33" customBuiltin="1"/>
    <cellStyle name="Accent3" xfId="44" builtinId="37" customBuiltin="1"/>
    <cellStyle name="Accent4" xfId="48" builtinId="41" customBuiltin="1"/>
    <cellStyle name="Accent5" xfId="52" builtinId="45" customBuiltin="1"/>
    <cellStyle name="Accent6" xfId="56" builtinId="49" customBuiltin="1"/>
    <cellStyle name="Bad" xfId="25" builtinId="27" customBuiltin="1"/>
    <cellStyle name="Calculation" xfId="29" builtinId="22" customBuiltin="1"/>
    <cellStyle name="Check Cell" xfId="31" builtinId="23" customBuiltin="1"/>
    <cellStyle name="Comma" xfId="1" builtinId="3"/>
    <cellStyle name="Comma 2" xfId="12" xr:uid="{00000000-0005-0000-0000-00001C000000}"/>
    <cellStyle name="Comma 3" xfId="16" xr:uid="{00000000-0005-0000-0000-00001D000000}"/>
    <cellStyle name="Comma 3 2" xfId="412" xr:uid="{00000000-0005-0000-0000-00001E000000}"/>
    <cellStyle name="Comma 4" xfId="413" xr:uid="{00000000-0005-0000-0000-00001F000000}"/>
    <cellStyle name="Comma 6" xfId="93" xr:uid="{00000000-0005-0000-0000-000020000000}"/>
    <cellStyle name="Currency" xfId="96" builtinId="4"/>
    <cellStyle name="Currency 2" xfId="11" xr:uid="{00000000-0005-0000-0000-000022000000}"/>
    <cellStyle name="Explanatory Text" xfId="34" builtinId="53" customBuilti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76" builtinId="9" hidden="1"/>
    <cellStyle name="Followed Hyperlink" xfId="75" builtinId="9" hidden="1"/>
    <cellStyle name="Followed Hyperlink" xfId="73" builtinId="9" hidden="1"/>
    <cellStyle name="Followed Hyperlink" xfId="71" builtinId="9" hidden="1"/>
    <cellStyle name="Followed Hyperlink" xfId="68" builtinId="9" hidden="1"/>
    <cellStyle name="Followed Hyperlink" xfId="67" builtinId="9" hidden="1"/>
    <cellStyle name="Followed Hyperlink" xfId="87" builtinId="9" hidden="1"/>
    <cellStyle name="Followed Hyperlink" xfId="61" builtinId="9" hidden="1"/>
    <cellStyle name="Followed Hyperlink" xfId="69" builtinId="9" hidden="1"/>
    <cellStyle name="Followed Hyperlink" xfId="77" builtinId="9" hidden="1"/>
    <cellStyle name="Followed Hyperlink" xfId="72" builtinId="9" hidden="1"/>
    <cellStyle name="Followed Hyperlink" xfId="63" builtinId="9" hidden="1"/>
    <cellStyle name="Followed Hyperlink" xfId="65" builtinId="9" hidden="1"/>
    <cellStyle name="Followed Hyperlink" xfId="70" builtinId="9" hidden="1"/>
    <cellStyle name="Followed Hyperlink" xfId="62" builtinId="9" hidden="1"/>
    <cellStyle name="Followed Hyperlink" xfId="74" builtinId="9" hidden="1"/>
    <cellStyle name="Followed Hyperlink" xfId="89" builtinId="9" hidden="1"/>
    <cellStyle name="Followed Hyperlink" xfId="86"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12" builtinId="9" hidden="1"/>
    <cellStyle name="Followed Hyperlink" xfId="111" builtinId="9" hidden="1"/>
    <cellStyle name="Followed Hyperlink" xfId="109" builtinId="9" hidden="1"/>
    <cellStyle name="Followed Hyperlink" xfId="107" builtinId="9" hidden="1"/>
    <cellStyle name="Followed Hyperlink" xfId="104" builtinId="9" hidden="1"/>
    <cellStyle name="Followed Hyperlink" xfId="103" builtinId="9" hidden="1"/>
    <cellStyle name="Followed Hyperlink" xfId="121" builtinId="9" hidden="1"/>
    <cellStyle name="Followed Hyperlink" xfId="99" builtinId="9" hidden="1"/>
    <cellStyle name="Followed Hyperlink" xfId="105" builtinId="9" hidden="1"/>
    <cellStyle name="Followed Hyperlink" xfId="113" builtinId="9" hidden="1"/>
    <cellStyle name="Followed Hyperlink" xfId="108" builtinId="9" hidden="1"/>
    <cellStyle name="Followed Hyperlink" xfId="101" builtinId="9" hidden="1"/>
    <cellStyle name="Followed Hyperlink" xfId="102" builtinId="9" hidden="1"/>
    <cellStyle name="Followed Hyperlink" xfId="106" builtinId="9" hidden="1"/>
    <cellStyle name="Followed Hyperlink" xfId="100" builtinId="9" hidden="1"/>
    <cellStyle name="Followed Hyperlink" xfId="110" builtinId="9" hidden="1"/>
    <cellStyle name="Followed Hyperlink" xfId="122" builtinId="9" hidden="1"/>
    <cellStyle name="Followed Hyperlink" xfId="120"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37" builtinId="9" hidden="1"/>
    <cellStyle name="Followed Hyperlink" xfId="136" builtinId="9" hidden="1"/>
    <cellStyle name="Followed Hyperlink" xfId="134" builtinId="9" hidden="1"/>
    <cellStyle name="Followed Hyperlink" xfId="132" builtinId="9" hidden="1"/>
    <cellStyle name="Followed Hyperlink" xfId="129" builtinId="9" hidden="1"/>
    <cellStyle name="Followed Hyperlink" xfId="128" builtinId="9" hidden="1"/>
    <cellStyle name="Followed Hyperlink" xfId="146" builtinId="9" hidden="1"/>
    <cellStyle name="Followed Hyperlink" xfId="124" builtinId="9" hidden="1"/>
    <cellStyle name="Followed Hyperlink" xfId="130" builtinId="9" hidden="1"/>
    <cellStyle name="Followed Hyperlink" xfId="138" builtinId="9" hidden="1"/>
    <cellStyle name="Followed Hyperlink" xfId="133" builtinId="9" hidden="1"/>
    <cellStyle name="Followed Hyperlink" xfId="126" builtinId="9" hidden="1"/>
    <cellStyle name="Followed Hyperlink" xfId="127" builtinId="9" hidden="1"/>
    <cellStyle name="Followed Hyperlink" xfId="131" builtinId="9" hidden="1"/>
    <cellStyle name="Followed Hyperlink" xfId="125" builtinId="9" hidden="1"/>
    <cellStyle name="Followed Hyperlink" xfId="135" builtinId="9" hidden="1"/>
    <cellStyle name="Followed Hyperlink" xfId="147" builtinId="9" hidden="1"/>
    <cellStyle name="Followed Hyperlink" xfId="145"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75" builtinId="9" hidden="1"/>
    <cellStyle name="Followed Hyperlink" xfId="174" builtinId="9" hidden="1"/>
    <cellStyle name="Followed Hyperlink" xfId="172" builtinId="9" hidden="1"/>
    <cellStyle name="Followed Hyperlink" xfId="170" builtinId="9" hidden="1"/>
    <cellStyle name="Followed Hyperlink" xfId="167" builtinId="9" hidden="1"/>
    <cellStyle name="Followed Hyperlink" xfId="166" builtinId="9" hidden="1"/>
    <cellStyle name="Followed Hyperlink" xfId="184" builtinId="9" hidden="1"/>
    <cellStyle name="Followed Hyperlink" xfId="161" builtinId="9" hidden="1"/>
    <cellStyle name="Followed Hyperlink" xfId="168" builtinId="9" hidden="1"/>
    <cellStyle name="Followed Hyperlink" xfId="176" builtinId="9" hidden="1"/>
    <cellStyle name="Followed Hyperlink" xfId="171" builtinId="9" hidden="1"/>
    <cellStyle name="Followed Hyperlink" xfId="163" builtinId="9" hidden="1"/>
    <cellStyle name="Followed Hyperlink" xfId="165" builtinId="9" hidden="1"/>
    <cellStyle name="Followed Hyperlink" xfId="169" builtinId="9" hidden="1"/>
    <cellStyle name="Followed Hyperlink" xfId="162" builtinId="9" hidden="1"/>
    <cellStyle name="Followed Hyperlink" xfId="173" builtinId="9" hidden="1"/>
    <cellStyle name="Followed Hyperlink" xfId="185" builtinId="9" hidden="1"/>
    <cellStyle name="Followed Hyperlink" xfId="183"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0" builtinId="9" hidden="1"/>
    <cellStyle name="Followed Hyperlink" xfId="199" builtinId="9" hidden="1"/>
    <cellStyle name="Followed Hyperlink" xfId="197" builtinId="9" hidden="1"/>
    <cellStyle name="Followed Hyperlink" xfId="195" builtinId="9" hidden="1"/>
    <cellStyle name="Followed Hyperlink" xfId="192" builtinId="9" hidden="1"/>
    <cellStyle name="Followed Hyperlink" xfId="191" builtinId="9" hidden="1"/>
    <cellStyle name="Followed Hyperlink" xfId="209" builtinId="9" hidden="1"/>
    <cellStyle name="Followed Hyperlink" xfId="187" builtinId="9" hidden="1"/>
    <cellStyle name="Followed Hyperlink" xfId="193" builtinId="9" hidden="1"/>
    <cellStyle name="Followed Hyperlink" xfId="201" builtinId="9" hidden="1"/>
    <cellStyle name="Followed Hyperlink" xfId="196" builtinId="9" hidden="1"/>
    <cellStyle name="Followed Hyperlink" xfId="189" builtinId="9" hidden="1"/>
    <cellStyle name="Followed Hyperlink" xfId="190" builtinId="9" hidden="1"/>
    <cellStyle name="Followed Hyperlink" xfId="194" builtinId="9" hidden="1"/>
    <cellStyle name="Followed Hyperlink" xfId="188" builtinId="9" hidden="1"/>
    <cellStyle name="Followed Hyperlink" xfId="198" builtinId="9" hidden="1"/>
    <cellStyle name="Followed Hyperlink" xfId="210" builtinId="9" hidden="1"/>
    <cellStyle name="Followed Hyperlink" xfId="208"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24" builtinId="9" hidden="1"/>
    <cellStyle name="Followed Hyperlink" xfId="223" builtinId="9" hidden="1"/>
    <cellStyle name="Followed Hyperlink" xfId="221" builtinId="9" hidden="1"/>
    <cellStyle name="Followed Hyperlink" xfId="219" builtinId="9" hidden="1"/>
    <cellStyle name="Followed Hyperlink" xfId="216" builtinId="9" hidden="1"/>
    <cellStyle name="Followed Hyperlink" xfId="215" builtinId="9" hidden="1"/>
    <cellStyle name="Followed Hyperlink" xfId="233" builtinId="9" hidden="1"/>
    <cellStyle name="Followed Hyperlink" xfId="211" builtinId="9" hidden="1"/>
    <cellStyle name="Followed Hyperlink" xfId="217" builtinId="9" hidden="1"/>
    <cellStyle name="Followed Hyperlink" xfId="225" builtinId="9" hidden="1"/>
    <cellStyle name="Followed Hyperlink" xfId="220" builtinId="9" hidden="1"/>
    <cellStyle name="Followed Hyperlink" xfId="213" builtinId="9" hidden="1"/>
    <cellStyle name="Followed Hyperlink" xfId="214" builtinId="9" hidden="1"/>
    <cellStyle name="Followed Hyperlink" xfId="218" builtinId="9" hidden="1"/>
    <cellStyle name="Followed Hyperlink" xfId="212" builtinId="9" hidden="1"/>
    <cellStyle name="Followed Hyperlink" xfId="222" builtinId="9" hidden="1"/>
    <cellStyle name="Followed Hyperlink" xfId="234" builtinId="9" hidden="1"/>
    <cellStyle name="Followed Hyperlink" xfId="232"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38" builtinId="9" hidden="1"/>
    <cellStyle name="Followed Hyperlink" xfId="237" builtinId="9" hidden="1"/>
    <cellStyle name="Followed Hyperlink" xfId="235" builtinId="9" hidden="1"/>
    <cellStyle name="Followed Hyperlink" xfId="152" builtinId="9" hidden="1"/>
    <cellStyle name="Followed Hyperlink" xfId="157" builtinId="9" hidden="1"/>
    <cellStyle name="Followed Hyperlink" xfId="159" builtinId="9" hidden="1"/>
    <cellStyle name="Followed Hyperlink" xfId="247" builtinId="9" hidden="1"/>
    <cellStyle name="Followed Hyperlink" xfId="160" builtinId="9" hidden="1"/>
    <cellStyle name="Followed Hyperlink" xfId="155" builtinId="9" hidden="1"/>
    <cellStyle name="Followed Hyperlink" xfId="239" builtinId="9" hidden="1"/>
    <cellStyle name="Followed Hyperlink" xfId="151" builtinId="9" hidden="1"/>
    <cellStyle name="Followed Hyperlink" xfId="156" builtinId="9" hidden="1"/>
    <cellStyle name="Followed Hyperlink" xfId="153" builtinId="9" hidden="1"/>
    <cellStyle name="Followed Hyperlink" xfId="154" builtinId="9" hidden="1"/>
    <cellStyle name="Followed Hyperlink" xfId="158" builtinId="9" hidden="1"/>
    <cellStyle name="Followed Hyperlink" xfId="236" builtinId="9" hidden="1"/>
    <cellStyle name="Followed Hyperlink" xfId="248" builtinId="9" hidden="1"/>
    <cellStyle name="Followed Hyperlink" xfId="246"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63" builtinId="9" hidden="1"/>
    <cellStyle name="Followed Hyperlink" xfId="262" builtinId="9" hidden="1"/>
    <cellStyle name="Followed Hyperlink" xfId="260" builtinId="9" hidden="1"/>
    <cellStyle name="Followed Hyperlink" xfId="258" builtinId="9" hidden="1"/>
    <cellStyle name="Followed Hyperlink" xfId="255" builtinId="9" hidden="1"/>
    <cellStyle name="Followed Hyperlink" xfId="254" builtinId="9" hidden="1"/>
    <cellStyle name="Followed Hyperlink" xfId="272" builtinId="9" hidden="1"/>
    <cellStyle name="Followed Hyperlink" xfId="250" builtinId="9" hidden="1"/>
    <cellStyle name="Followed Hyperlink" xfId="256" builtinId="9" hidden="1"/>
    <cellStyle name="Followed Hyperlink" xfId="264" builtinId="9" hidden="1"/>
    <cellStyle name="Followed Hyperlink" xfId="259" builtinId="9" hidden="1"/>
    <cellStyle name="Followed Hyperlink" xfId="252" builtinId="9" hidden="1"/>
    <cellStyle name="Followed Hyperlink" xfId="253" builtinId="9" hidden="1"/>
    <cellStyle name="Followed Hyperlink" xfId="257" builtinId="9" hidden="1"/>
    <cellStyle name="Followed Hyperlink" xfId="251" builtinId="9" hidden="1"/>
    <cellStyle name="Followed Hyperlink" xfId="261" builtinId="9" hidden="1"/>
    <cellStyle name="Followed Hyperlink" xfId="273" builtinId="9" hidden="1"/>
    <cellStyle name="Followed Hyperlink" xfId="271"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87" builtinId="9" hidden="1"/>
    <cellStyle name="Followed Hyperlink" xfId="286" builtinId="9" hidden="1"/>
    <cellStyle name="Followed Hyperlink" xfId="284" builtinId="9" hidden="1"/>
    <cellStyle name="Followed Hyperlink" xfId="282" builtinId="9" hidden="1"/>
    <cellStyle name="Followed Hyperlink" xfId="279" builtinId="9" hidden="1"/>
    <cellStyle name="Followed Hyperlink" xfId="278" builtinId="9" hidden="1"/>
    <cellStyle name="Followed Hyperlink" xfId="296" builtinId="9" hidden="1"/>
    <cellStyle name="Followed Hyperlink" xfId="274" builtinId="9" hidden="1"/>
    <cellStyle name="Followed Hyperlink" xfId="280" builtinId="9" hidden="1"/>
    <cellStyle name="Followed Hyperlink" xfId="288" builtinId="9" hidden="1"/>
    <cellStyle name="Followed Hyperlink" xfId="283" builtinId="9" hidden="1"/>
    <cellStyle name="Followed Hyperlink" xfId="276" builtinId="9" hidden="1"/>
    <cellStyle name="Followed Hyperlink" xfId="277" builtinId="9" hidden="1"/>
    <cellStyle name="Followed Hyperlink" xfId="281" builtinId="9" hidden="1"/>
    <cellStyle name="Followed Hyperlink" xfId="275" builtinId="9" hidden="1"/>
    <cellStyle name="Followed Hyperlink" xfId="285" builtinId="9" hidden="1"/>
    <cellStyle name="Followed Hyperlink" xfId="297" builtinId="9" hidden="1"/>
    <cellStyle name="Followed Hyperlink" xfId="295"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Good" xfId="24" builtinId="26" customBuiltin="1"/>
    <cellStyle name="Heading 1" xfId="20" builtinId="16" customBuiltin="1"/>
    <cellStyle name="Heading 2" xfId="21" builtinId="17" customBuiltin="1"/>
    <cellStyle name="Heading 3" xfId="22" builtinId="18" customBuiltin="1"/>
    <cellStyle name="Heading 4" xfId="23" builtinId="19" customBuilti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2" xfId="60" xr:uid="{00000000-0005-0000-0000-00006B010000}"/>
    <cellStyle name="Hyperlink 2 2" xfId="414" xr:uid="{00000000-0005-0000-0000-00006C010000}"/>
    <cellStyle name="Hyperlink 2 3" xfId="410" xr:uid="{00000000-0005-0000-0000-00006D010000}"/>
    <cellStyle name="Input" xfId="27" builtinId="20" customBuiltin="1"/>
    <cellStyle name="Linked Cell" xfId="30" builtinId="24" customBuiltin="1"/>
    <cellStyle name="Neutral" xfId="26" builtinId="28" customBuiltin="1"/>
    <cellStyle name="Normal" xfId="0" builtinId="0"/>
    <cellStyle name="Normal 100" xfId="421" xr:uid="{00000000-0005-0000-0000-000072010000}"/>
    <cellStyle name="Normal 102" xfId="422" xr:uid="{00000000-0005-0000-0000-000073010000}"/>
    <cellStyle name="Normal 103" xfId="423" xr:uid="{00000000-0005-0000-0000-000074010000}"/>
    <cellStyle name="Normal 2" xfId="2" xr:uid="{00000000-0005-0000-0000-000075010000}"/>
    <cellStyle name="Normal 2 10 2" xfId="444" xr:uid="{00000000-0005-0000-0000-000076010000}"/>
    <cellStyle name="Normal 2 2" xfId="13" xr:uid="{00000000-0005-0000-0000-000077010000}"/>
    <cellStyle name="Normal 2 2 2" xfId="298" xr:uid="{00000000-0005-0000-0000-000078010000}"/>
    <cellStyle name="Normal 2 2 2 2" xfId="416" xr:uid="{00000000-0005-0000-0000-000079010000}"/>
    <cellStyle name="Normal 2 2 2 3" xfId="406" xr:uid="{00000000-0005-0000-0000-00007A010000}"/>
    <cellStyle name="Normal 2 2 3" xfId="407" xr:uid="{00000000-0005-0000-0000-00007B010000}"/>
    <cellStyle name="Normal 2 3" xfId="14" xr:uid="{00000000-0005-0000-0000-00007C010000}"/>
    <cellStyle name="Normal 2 5" xfId="408" xr:uid="{00000000-0005-0000-0000-00007D010000}"/>
    <cellStyle name="Normal 3" xfId="3" xr:uid="{00000000-0005-0000-0000-00007E010000}"/>
    <cellStyle name="Normal 3 2" xfId="4" xr:uid="{00000000-0005-0000-0000-00007F010000}"/>
    <cellStyle name="Normal 3 2 2" xfId="442" xr:uid="{00000000-0005-0000-0000-000080010000}"/>
    <cellStyle name="Normal 3 2 3" xfId="417" xr:uid="{00000000-0005-0000-0000-000081010000}"/>
    <cellStyle name="Normal 3 3" xfId="5" xr:uid="{00000000-0005-0000-0000-000082010000}"/>
    <cellStyle name="Normal 3 4" xfId="6" xr:uid="{00000000-0005-0000-0000-000083010000}"/>
    <cellStyle name="Normal 3 5" xfId="15" xr:uid="{00000000-0005-0000-0000-000084010000}"/>
    <cellStyle name="Normal 4" xfId="7" xr:uid="{00000000-0005-0000-0000-000085010000}"/>
    <cellStyle name="Normal 4 2" xfId="84" xr:uid="{00000000-0005-0000-0000-000086010000}"/>
    <cellStyle name="Normal 4 3" xfId="66" xr:uid="{00000000-0005-0000-0000-000087010000}"/>
    <cellStyle name="Normal 4 4" xfId="64" xr:uid="{00000000-0005-0000-0000-000088010000}"/>
    <cellStyle name="Normal 4 5" xfId="85" xr:uid="{00000000-0005-0000-0000-000089010000}"/>
    <cellStyle name="Normal 4 6" xfId="97" xr:uid="{00000000-0005-0000-0000-00008A010000}"/>
    <cellStyle name="Normal 4 7" xfId="148" xr:uid="{00000000-0005-0000-0000-00008B010000}"/>
    <cellStyle name="Normal 4 8" xfId="150" xr:uid="{00000000-0005-0000-0000-00008C010000}"/>
    <cellStyle name="Normal 45" xfId="424" xr:uid="{00000000-0005-0000-0000-00008D010000}"/>
    <cellStyle name="Normal 47" xfId="425" xr:uid="{00000000-0005-0000-0000-00008E010000}"/>
    <cellStyle name="Normal 49" xfId="427" xr:uid="{00000000-0005-0000-0000-00008F010000}"/>
    <cellStyle name="Normal 5" xfId="18" xr:uid="{00000000-0005-0000-0000-000090010000}"/>
    <cellStyle name="Normal 5 10" xfId="409" xr:uid="{00000000-0005-0000-0000-000091010000}"/>
    <cellStyle name="Normal 5 2" xfId="8" xr:uid="{00000000-0005-0000-0000-000092010000}"/>
    <cellStyle name="Normal 5 2 2" xfId="441" xr:uid="{00000000-0005-0000-0000-000093010000}"/>
    <cellStyle name="Normal 5 3" xfId="88" xr:uid="{00000000-0005-0000-0000-000094010000}"/>
    <cellStyle name="Normal 5 4" xfId="90" xr:uid="{00000000-0005-0000-0000-000095010000}"/>
    <cellStyle name="Normal 5 5" xfId="91" xr:uid="{00000000-0005-0000-0000-000096010000}"/>
    <cellStyle name="Normal 5 6" xfId="92" xr:uid="{00000000-0005-0000-0000-000097010000}"/>
    <cellStyle name="Normal 5 7" xfId="98" xr:uid="{00000000-0005-0000-0000-000098010000}"/>
    <cellStyle name="Normal 5 8" xfId="149" xr:uid="{00000000-0005-0000-0000-000099010000}"/>
    <cellStyle name="Normal 5 9" xfId="164" xr:uid="{00000000-0005-0000-0000-00009A010000}"/>
    <cellStyle name="Normal 51" xfId="428" xr:uid="{00000000-0005-0000-0000-00009B010000}"/>
    <cellStyle name="Normal 52" xfId="429" xr:uid="{00000000-0005-0000-0000-00009C010000}"/>
    <cellStyle name="Normal 53" xfId="431" xr:uid="{00000000-0005-0000-0000-00009D010000}"/>
    <cellStyle name="Normal 54" xfId="433" xr:uid="{00000000-0005-0000-0000-00009E010000}"/>
    <cellStyle name="Normal 55" xfId="434" xr:uid="{00000000-0005-0000-0000-00009F010000}"/>
    <cellStyle name="Normal 57" xfId="435" xr:uid="{00000000-0005-0000-0000-0000A0010000}"/>
    <cellStyle name="Normal 59" xfId="436" xr:uid="{00000000-0005-0000-0000-0000A1010000}"/>
    <cellStyle name="Normal 6" xfId="95" xr:uid="{00000000-0005-0000-0000-0000A2010000}"/>
    <cellStyle name="Normal 6 2" xfId="123" xr:uid="{00000000-0005-0000-0000-0000A3010000}"/>
    <cellStyle name="Normal 6 3" xfId="186" xr:uid="{00000000-0005-0000-0000-0000A4010000}"/>
    <cellStyle name="Normal 6 4" xfId="249" xr:uid="{00000000-0005-0000-0000-0000A5010000}"/>
    <cellStyle name="Normal 61" xfId="437" xr:uid="{00000000-0005-0000-0000-0000A6010000}"/>
    <cellStyle name="Normal 62" xfId="438" xr:uid="{00000000-0005-0000-0000-0000A7010000}"/>
    <cellStyle name="Normal 63" xfId="439" xr:uid="{00000000-0005-0000-0000-0000A8010000}"/>
    <cellStyle name="Normal 65" xfId="440" xr:uid="{00000000-0005-0000-0000-0000A9010000}"/>
    <cellStyle name="Normal 69" xfId="426" xr:uid="{00000000-0005-0000-0000-0000AA010000}"/>
    <cellStyle name="Normal 7" xfId="405" xr:uid="{00000000-0005-0000-0000-0000AB010000}"/>
    <cellStyle name="Normal 71" xfId="430" xr:uid="{00000000-0005-0000-0000-0000AC010000}"/>
    <cellStyle name="Normal 73" xfId="432" xr:uid="{00000000-0005-0000-0000-0000AD010000}"/>
    <cellStyle name="Normal 97" xfId="418" xr:uid="{00000000-0005-0000-0000-0000AE010000}"/>
    <cellStyle name="Normal 98" xfId="419" xr:uid="{00000000-0005-0000-0000-0000AF010000}"/>
    <cellStyle name="Normal 99" xfId="420" xr:uid="{00000000-0005-0000-0000-0000B0010000}"/>
    <cellStyle name="Normal_Supporting Info" xfId="445" xr:uid="{00000000-0005-0000-0000-0000B1010000}"/>
    <cellStyle name="Note" xfId="33" builtinId="10" customBuiltin="1"/>
    <cellStyle name="Output" xfId="28" builtinId="21" customBuiltin="1"/>
    <cellStyle name="Percent" xfId="9" builtinId="5"/>
    <cellStyle name="Percent 2" xfId="10" xr:uid="{00000000-0005-0000-0000-0000B5010000}"/>
    <cellStyle name="Percent 3" xfId="17" xr:uid="{00000000-0005-0000-0000-0000B6010000}"/>
    <cellStyle name="Percent 3 2" xfId="443" xr:uid="{00000000-0005-0000-0000-0000B7010000}"/>
    <cellStyle name="Percent 3 3" xfId="411" xr:uid="{00000000-0005-0000-0000-0000B8010000}"/>
    <cellStyle name="Percent 4" xfId="415" xr:uid="{00000000-0005-0000-0000-0000B9010000}"/>
    <cellStyle name="Percent 6" xfId="94" xr:uid="{00000000-0005-0000-0000-0000BA010000}"/>
    <cellStyle name="Title" xfId="19" builtinId="15" customBuiltin="1"/>
    <cellStyle name="Total" xfId="35" builtinId="25" customBuiltin="1"/>
    <cellStyle name="Warning Text" xfId="32" builtinId="11" customBuiltin="1"/>
  </cellStyles>
  <dxfs count="89">
    <dxf>
      <font>
        <b/>
        <i val="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b/>
        <i val="0"/>
        <color rgb="FFFF0000"/>
      </font>
      <fill>
        <patternFill>
          <bgColor theme="5" tint="0.79998168889431442"/>
        </patternFill>
      </fill>
    </dxf>
    <dxf>
      <fill>
        <patternFill patternType="solid">
          <bgColor theme="0" tint="-4.9989318521683403E-2"/>
        </patternFill>
      </fill>
    </dxf>
    <dxf>
      <fill>
        <patternFill>
          <bgColor theme="0" tint="-4.9989318521683403E-2"/>
        </patternFill>
      </fill>
    </dxf>
    <dxf>
      <font>
        <color theme="0"/>
      </font>
    </dxf>
    <dxf>
      <font>
        <color rgb="FFFF0000"/>
      </font>
      <fill>
        <patternFill>
          <bgColor theme="5" tint="0.79998168889431442"/>
        </patternFill>
      </fill>
    </dxf>
    <dxf>
      <font>
        <color rgb="FFC00000"/>
      </font>
      <fill>
        <patternFill>
          <bgColor theme="5" tint="0.79998168889431442"/>
        </patternFill>
      </fill>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ill>
        <patternFill>
          <bgColor theme="0" tint="-4.9989318521683403E-2"/>
        </patternFill>
      </fill>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color theme="0"/>
      </font>
    </dxf>
    <dxf>
      <font>
        <color rgb="FFFF0000"/>
      </font>
      <fill>
        <patternFill>
          <bgColor theme="5" tint="0.79998168889431442"/>
        </patternFill>
      </fill>
    </dxf>
    <dxf>
      <font>
        <color rgb="FFC00000"/>
      </font>
      <fill>
        <patternFill>
          <bgColor theme="5" tint="0.79998168889431442"/>
        </patternFill>
      </fill>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dxf>
    <dxf>
      <font>
        <color theme="0"/>
      </font>
    </dxf>
    <dxf>
      <font>
        <color rgb="FFFF0000"/>
      </font>
      <fill>
        <patternFill>
          <bgColor theme="5" tint="0.79998168889431442"/>
        </patternFill>
      </fill>
    </dxf>
    <dxf>
      <font>
        <color rgb="FFC00000"/>
      </font>
      <fill>
        <patternFill>
          <bgColor theme="5" tint="0.7999816888943144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strike val="0"/>
        <color theme="0" tint="-0.499984740745262"/>
      </font>
      <fill>
        <patternFill patternType="solid">
          <bgColor theme="0"/>
        </patternFill>
      </fill>
    </dxf>
    <dxf>
      <font>
        <strike val="0"/>
        <color theme="0" tint="-0.499984740745262"/>
      </font>
      <fill>
        <patternFill patternType="solid">
          <bgColor theme="0"/>
        </patternFill>
      </fill>
    </dxf>
    <dxf>
      <font>
        <strike val="0"/>
        <color theme="0" tint="-0.499984740745262"/>
      </font>
      <fill>
        <patternFill patternType="solid">
          <bgColor theme="0"/>
        </patternFill>
      </fill>
    </dxf>
    <dxf>
      <font>
        <color theme="0" tint="-0.34998626667073579"/>
      </font>
    </dxf>
    <dxf>
      <font>
        <strike val="0"/>
        <color theme="0" tint="-0.499984740745262"/>
      </font>
      <fill>
        <patternFill patternType="none">
          <bgColor auto="1"/>
        </patternFill>
      </fill>
    </dxf>
    <dxf>
      <font>
        <color theme="0" tint="-0.34998626667073579"/>
      </font>
    </dxf>
    <dxf>
      <font>
        <color theme="0" tint="-0.34998626667073579"/>
      </font>
    </dxf>
    <dxf>
      <font>
        <color theme="0" tint="-0.34998626667073579"/>
      </font>
    </dxf>
    <dxf>
      <font>
        <color theme="0" tint="-0.34998626667073579"/>
      </font>
      <fill>
        <patternFill>
          <bgColor theme="0"/>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0" tint="-0.34998626667073579"/>
      </font>
      <fill>
        <patternFill>
          <bgColor theme="0"/>
        </patternFill>
      </fill>
    </dxf>
    <dxf>
      <font>
        <color theme="0" tint="-0.34998626667073579"/>
      </font>
      <fill>
        <patternFill>
          <bgColor theme="0"/>
        </patternFill>
      </fill>
    </dxf>
    <dxf>
      <font>
        <color theme="0" tint="-0.34998626667073579"/>
      </font>
      <fill>
        <patternFill>
          <bgColor theme="0"/>
        </patternFill>
      </fill>
    </dxf>
    <dxf>
      <font>
        <color theme="0" tint="-0.34998626667073579"/>
      </font>
      <fill>
        <patternFill>
          <bgColor theme="0"/>
        </patternFill>
      </fill>
    </dxf>
    <dxf>
      <fill>
        <patternFill>
          <bgColor theme="0" tint="-4.9989318521683403E-2"/>
        </patternFill>
      </fill>
    </dxf>
    <dxf>
      <font>
        <color theme="0" tint="-0.34998626667073579"/>
      </font>
      <fill>
        <patternFill patternType="solid">
          <bgColor theme="0"/>
        </patternFill>
      </fill>
    </dxf>
    <dxf>
      <font>
        <strike val="0"/>
        <color theme="0" tint="-0.34998626667073579"/>
      </font>
      <fill>
        <patternFill patternType="none">
          <fgColor auto="1"/>
          <bgColor auto="1"/>
        </patternFill>
      </fill>
    </dxf>
    <dxf>
      <font>
        <strike val="0"/>
        <color theme="0" tint="-0.34998626667073579"/>
      </font>
      <fill>
        <patternFill patternType="solid">
          <bgColor theme="0"/>
        </patternFill>
      </fill>
    </dxf>
  </dxfs>
  <tableStyles count="1" defaultTableStyle="TableStyleMedium9" defaultPivotStyle="PivotStyleLight16">
    <tableStyle name="MySqlDefault" pivot="0" table="0" count="0" xr9:uid="{00000000-0011-0000-FFFF-FFFF00000000}"/>
  </tableStyles>
  <colors>
    <mruColors>
      <color rgb="FF808080"/>
      <color rgb="FFFADA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fmlaLink="$I$59" lockText="1"/>
</file>

<file path=xl/ctrlProps/ctrlProp2.xml><?xml version="1.0" encoding="utf-8"?>
<formControlPr xmlns="http://schemas.microsoft.com/office/spreadsheetml/2009/9/main" objectType="CheckBox" checked="Checked" fmlaLink="$J$59" lockText="1"/>
</file>

<file path=xl/ctrlProps/ctrlProp3.xml><?xml version="1.0" encoding="utf-8"?>
<formControlPr xmlns="http://schemas.microsoft.com/office/spreadsheetml/2009/9/main" objectType="CheckBox" fmlaLink="$K$59" lockText="1"/>
</file>

<file path=xl/ctrlProps/ctrlProp4.xml><?xml version="1.0" encoding="utf-8"?>
<formControlPr xmlns="http://schemas.microsoft.com/office/spreadsheetml/2009/9/main" objectType="CheckBox" checked="Checked" lockText="1"/>
</file>

<file path=xl/ctrlProps/ctrlProp5.xml><?xml version="1.0" encoding="utf-8"?>
<formControlPr xmlns="http://schemas.microsoft.com/office/spreadsheetml/2009/9/main" objectType="CheckBox" checked="Checked" lockText="1"/>
</file>

<file path=xl/ctrlProps/ctrlProp6.xml><?xml version="1.0" encoding="utf-8"?>
<formControlPr xmlns="http://schemas.microsoft.com/office/spreadsheetml/2009/9/main" objectType="CheckBox" checked="Checked" fmlaLink="$I$58"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O$12" lockText="1" noThreeD="1"/>
</file>

<file path=xl/ctrlProps/ctrlProp12.xml><?xml version="1.0" encoding="utf-8"?>
<formControlPr xmlns="http://schemas.microsoft.com/office/spreadsheetml/2009/9/main" objectType="Radio" checked="Checked" firstButton="1" fmlaLink="$O$6"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Radio" checked="Checked" firstButton="1" fmlaLink="$Z$24" lockText="1"/>
</file>

<file path=xl/ctrlProps/ctrlProp57.xml><?xml version="1.0" encoding="utf-8"?>
<formControlPr xmlns="http://schemas.microsoft.com/office/spreadsheetml/2009/9/main" objectType="Radio"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checked="Checked" fmlaLink="$M$16" lockText="1"/>
</file>

<file path=xl/ctrlProps/ctrlProp63.xml><?xml version="1.0" encoding="utf-8"?>
<formControlPr xmlns="http://schemas.microsoft.com/office/spreadsheetml/2009/9/main" objectType="CheckBox" fmlaLink="$N$16"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Radio" firstButton="1" fmlaLink="$R$77" lockText="1"/>
</file>

<file path=xl/ctrlProps/ctrlProp87.xml><?xml version="1.0" encoding="utf-8"?>
<formControlPr xmlns="http://schemas.microsoft.com/office/spreadsheetml/2009/9/main" objectType="Radio" checked="Checked" lockText="1"/>
</file>

<file path=xl/ctrlProps/ctrlProp88.xml><?xml version="1.0" encoding="utf-8"?>
<formControlPr xmlns="http://schemas.microsoft.com/office/spreadsheetml/2009/9/main" objectType="Radio" lockText="1"/>
</file>

<file path=xl/ctrlProps/ctrlProp89.xml><?xml version="1.0" encoding="utf-8"?>
<formControlPr xmlns="http://schemas.microsoft.com/office/spreadsheetml/2009/9/main" objectType="GBox" noThreeD="1"/>
</file>

<file path=xl/ctrlProps/ctrlProp90.xml><?xml version="1.0" encoding="utf-8"?>
<formControlPr xmlns="http://schemas.microsoft.com/office/spreadsheetml/2009/9/main" objectType="CheckBox" fmlaLink="$AD$26" lockText="1"/>
</file>

<file path=xl/ctrlProps/ctrlProp91.xml><?xml version="1.0" encoding="utf-8"?>
<formControlPr xmlns="http://schemas.microsoft.com/office/spreadsheetml/2009/9/main" objectType="CheckBox" fmlaLink="$T$47" lockText="1"/>
</file>

<file path=xl/ctrlProps/ctrlProp92.xml><?xml version="1.0" encoding="utf-8"?>
<formControlPr xmlns="http://schemas.microsoft.com/office/spreadsheetml/2009/9/main" objectType="Radio"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Radio" firstButton="1" fmlaLink="$R$77" lockText="1"/>
</file>

<file path=xl/ctrlProps/ctrlProp101.xml><?xml version="1.0" encoding="utf-8"?>
<formControlPr xmlns="http://schemas.microsoft.com/office/spreadsheetml/2009/9/main" objectType="Radio" lockText="1"/>
</file>

<file path=xl/ctrlProps/ctrlProp102.xml><?xml version="1.0" encoding="utf-8"?>
<formControlPr xmlns="http://schemas.microsoft.com/office/spreadsheetml/2009/9/main" objectType="Radio" lockText="1"/>
</file>

<file path=xl/ctrlProps/ctrlProp103.xml><?xml version="1.0" encoding="utf-8"?>
<formControlPr xmlns="http://schemas.microsoft.com/office/spreadsheetml/2009/9/main" objectType="GBox" noThreeD="1"/>
</file>

<file path=xl/ctrlProps/ctrlProp104.xml><?xml version="1.0" encoding="utf-8"?>
<formControlPr xmlns="http://schemas.microsoft.com/office/spreadsheetml/2009/9/main" objectType="CheckBox" checked="Checked" fmlaLink="$AD$26" lockText="1"/>
</file>

<file path=xl/ctrlProps/ctrlProp105.xml><?xml version="1.0" encoding="utf-8"?>
<formControlPr xmlns="http://schemas.microsoft.com/office/spreadsheetml/2009/9/main" objectType="CheckBox" checked="Checked" fmlaLink="$T$47" lockText="1" noThreeD="1"/>
</file>

<file path=xl/ctrlProps/ctrlProp106.xml><?xml version="1.0" encoding="utf-8"?>
<formControlPr xmlns="http://schemas.microsoft.com/office/spreadsheetml/2009/9/main" objectType="Radio"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Radio" checked="Checked" lockText="1"/>
</file>

<file path=xl/ctrlProps/ctrlProp115.xml><?xml version="1.0" encoding="utf-8"?>
<formControlPr xmlns="http://schemas.microsoft.com/office/spreadsheetml/2009/9/main" objectType="Radio" lockText="1"/>
</file>

<file path=xl/ctrlProps/ctrlProp116.xml><?xml version="1.0" encoding="utf-8"?>
<formControlPr xmlns="http://schemas.microsoft.com/office/spreadsheetml/2009/9/main" objectType="Radio" lockText="1"/>
</file>

<file path=xl/ctrlProps/ctrlProp117.xml><?xml version="1.0" encoding="utf-8"?>
<formControlPr xmlns="http://schemas.microsoft.com/office/spreadsheetml/2009/9/main" objectType="GBox" noThreeD="1"/>
</file>

<file path=xl/ctrlProps/ctrlProp118.xml><?xml version="1.0" encoding="utf-8"?>
<formControlPr xmlns="http://schemas.microsoft.com/office/spreadsheetml/2009/9/main" objectType="CheckBox" checked="Checked" fmlaLink="$AD$26" lockText="1"/>
</file>

<file path=xl/ctrlProps/ctrlProp119.xml><?xml version="1.0" encoding="utf-8"?>
<formControlPr xmlns="http://schemas.microsoft.com/office/spreadsheetml/2009/9/main" objectType="CheckBox" checked="Checked" fmlaLink="$T$47" lockText="1"/>
</file>

<file path=xl/ctrlProps/ctrlProp120.xml><?xml version="1.0" encoding="utf-8"?>
<formControlPr xmlns="http://schemas.microsoft.com/office/spreadsheetml/2009/9/main" objectType="Radio"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40747</xdr:colOff>
      <xdr:row>1</xdr:row>
      <xdr:rowOff>39161</xdr:rowOff>
    </xdr:from>
    <xdr:to>
      <xdr:col>3</xdr:col>
      <xdr:colOff>179653</xdr:colOff>
      <xdr:row>3</xdr:row>
      <xdr:rowOff>93400</xdr:rowOff>
    </xdr:to>
    <xdr:pic>
      <xdr:nvPicPr>
        <xdr:cNvPr id="2" name="Picture 2">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220664" y="229661"/>
          <a:ext cx="773906" cy="773906"/>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914400</xdr:colOff>
          <xdr:row>59</xdr:row>
          <xdr:rowOff>38100</xdr:rowOff>
        </xdr:to>
        <xdr:sp macro="" textlink="">
          <xdr:nvSpPr>
            <xdr:cNvPr id="38920" name="Check Box 8" hidden="1">
              <a:extLst>
                <a:ext uri="{63B3BB69-23CF-44E3-9099-C40C66FF867C}">
                  <a14:compatExt spid="_x0000_s38920"/>
                </a:ext>
                <a:ext uri="{FF2B5EF4-FFF2-40B4-BE49-F238E27FC236}">
                  <a16:creationId xmlns:a16="http://schemas.microsoft.com/office/drawing/2014/main" id="{00000000-0008-0000-0200-000008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District Cooling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1123950</xdr:colOff>
          <xdr:row>58</xdr:row>
          <xdr:rowOff>0</xdr:rowOff>
        </xdr:from>
        <xdr:to>
          <xdr:col>4</xdr:col>
          <xdr:colOff>2057400</xdr:colOff>
          <xdr:row>59</xdr:row>
          <xdr:rowOff>38100</xdr:rowOff>
        </xdr:to>
        <xdr:sp macro="" textlink="">
          <xdr:nvSpPr>
            <xdr:cNvPr id="38921" name="Check Box 9" hidden="1">
              <a:extLst>
                <a:ext uri="{63B3BB69-23CF-44E3-9099-C40C66FF867C}">
                  <a14:compatExt spid="_x0000_s38921"/>
                </a:ext>
                <a:ext uri="{FF2B5EF4-FFF2-40B4-BE49-F238E27FC236}">
                  <a16:creationId xmlns:a16="http://schemas.microsoft.com/office/drawing/2014/main" id="{00000000-0008-0000-0200-000009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District Heating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58</xdr:row>
          <xdr:rowOff>0</xdr:rowOff>
        </xdr:from>
        <xdr:to>
          <xdr:col>6</xdr:col>
          <xdr:colOff>95250</xdr:colOff>
          <xdr:row>59</xdr:row>
          <xdr:rowOff>57150</xdr:rowOff>
        </xdr:to>
        <xdr:sp macro="" textlink="">
          <xdr:nvSpPr>
            <xdr:cNvPr id="38922" name="Check Box 10" hidden="1">
              <a:extLst>
                <a:ext uri="{63B3BB69-23CF-44E3-9099-C40C66FF867C}">
                  <a14:compatExt spid="_x0000_s38922"/>
                </a:ext>
                <a:ext uri="{FF2B5EF4-FFF2-40B4-BE49-F238E27FC236}">
                  <a16:creationId xmlns:a16="http://schemas.microsoft.com/office/drawing/2014/main" id="{00000000-0008-0000-0200-00000A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51</xdr:row>
          <xdr:rowOff>171450</xdr:rowOff>
        </xdr:from>
        <xdr:to>
          <xdr:col>1</xdr:col>
          <xdr:colOff>323850</xdr:colOff>
          <xdr:row>52</xdr:row>
          <xdr:rowOff>247650</xdr:rowOff>
        </xdr:to>
        <xdr:sp macro="" textlink="">
          <xdr:nvSpPr>
            <xdr:cNvPr id="38927" name="Check Box 15" hidden="1">
              <a:extLst>
                <a:ext uri="{63B3BB69-23CF-44E3-9099-C40C66FF867C}">
                  <a14:compatExt spid="_x0000_s38927"/>
                </a:ext>
                <a:ext uri="{FF2B5EF4-FFF2-40B4-BE49-F238E27FC236}">
                  <a16:creationId xmlns:a16="http://schemas.microsoft.com/office/drawing/2014/main" id="{00000000-0008-0000-0200-00000F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476250</xdr:rowOff>
        </xdr:from>
        <xdr:to>
          <xdr:col>1</xdr:col>
          <xdr:colOff>323850</xdr:colOff>
          <xdr:row>53</xdr:row>
          <xdr:rowOff>247650</xdr:rowOff>
        </xdr:to>
        <xdr:sp macro="" textlink="">
          <xdr:nvSpPr>
            <xdr:cNvPr id="38928" name="Check Box 16" hidden="1">
              <a:extLst>
                <a:ext uri="{63B3BB69-23CF-44E3-9099-C40C66FF867C}">
                  <a14:compatExt spid="_x0000_s38928"/>
                </a:ext>
                <a:ext uri="{FF2B5EF4-FFF2-40B4-BE49-F238E27FC236}">
                  <a16:creationId xmlns:a16="http://schemas.microsoft.com/office/drawing/2014/main" id="{00000000-0008-0000-0200-000010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247650</xdr:rowOff>
        </xdr:from>
        <xdr:to>
          <xdr:col>1</xdr:col>
          <xdr:colOff>323850</xdr:colOff>
          <xdr:row>56</xdr:row>
          <xdr:rowOff>228600</xdr:rowOff>
        </xdr:to>
        <xdr:sp macro="" textlink="">
          <xdr:nvSpPr>
            <xdr:cNvPr id="38933" name="DES_Checkbox" hidden="1">
              <a:extLst>
                <a:ext uri="{63B3BB69-23CF-44E3-9099-C40C66FF867C}">
                  <a14:compatExt spid="_x0000_s38933"/>
                </a:ext>
                <a:ext uri="{FF2B5EF4-FFF2-40B4-BE49-F238E27FC236}">
                  <a16:creationId xmlns:a16="http://schemas.microsoft.com/office/drawing/2014/main" id="{00000000-0008-0000-0200-000015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25</xdr:row>
          <xdr:rowOff>9525</xdr:rowOff>
        </xdr:from>
        <xdr:to>
          <xdr:col>2</xdr:col>
          <xdr:colOff>447675</xdr:colOff>
          <xdr:row>26</xdr:row>
          <xdr:rowOff>85725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Building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25</xdr:row>
          <xdr:rowOff>9525</xdr:rowOff>
        </xdr:from>
        <xdr:to>
          <xdr:col>3</xdr:col>
          <xdr:colOff>800100</xdr:colOff>
          <xdr:row>26</xdr:row>
          <xdr:rowOff>85725</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300-000002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Building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18</xdr:row>
          <xdr:rowOff>0</xdr:rowOff>
        </xdr:from>
        <xdr:to>
          <xdr:col>2</xdr:col>
          <xdr:colOff>428625</xdr:colOff>
          <xdr:row>18</xdr:row>
          <xdr:rowOff>247650</xdr:rowOff>
        </xdr:to>
        <xdr:sp macro="" textlink="">
          <xdr:nvSpPr>
            <xdr:cNvPr id="107526" name="btnAddEnergyModel" hidden="1">
              <a:extLst>
                <a:ext uri="{63B3BB69-23CF-44E3-9099-C40C66FF867C}">
                  <a14:compatExt spid="_x0000_s107526"/>
                </a:ext>
                <a:ext uri="{FF2B5EF4-FFF2-40B4-BE49-F238E27FC236}">
                  <a16:creationId xmlns:a16="http://schemas.microsoft.com/office/drawing/2014/main" id="{00000000-0008-0000-0300-000006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18</xdr:row>
          <xdr:rowOff>0</xdr:rowOff>
        </xdr:from>
        <xdr:to>
          <xdr:col>3</xdr:col>
          <xdr:colOff>800100</xdr:colOff>
          <xdr:row>18</xdr:row>
          <xdr:rowOff>238125</xdr:rowOff>
        </xdr:to>
        <xdr:sp macro="" textlink="">
          <xdr:nvSpPr>
            <xdr:cNvPr id="107527" name="btnDeleteEnergyModel" hidden="1">
              <a:extLst>
                <a:ext uri="{63B3BB69-23CF-44E3-9099-C40C66FF867C}">
                  <a14:compatExt spid="_x0000_s107527"/>
                </a:ext>
                <a:ext uri="{FF2B5EF4-FFF2-40B4-BE49-F238E27FC236}">
                  <a16:creationId xmlns:a16="http://schemas.microsoft.com/office/drawing/2014/main" id="{00000000-0008-0000-0300-000007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11</xdr:row>
          <xdr:rowOff>180975</xdr:rowOff>
        </xdr:from>
        <xdr:to>
          <xdr:col>10</xdr:col>
          <xdr:colOff>781050</xdr:colOff>
          <xdr:row>11</xdr:row>
          <xdr:rowOff>466725</xdr:rowOff>
        </xdr:to>
        <xdr:sp macro="" textlink="">
          <xdr:nvSpPr>
            <xdr:cNvPr id="107531" name="EMSubset_Checkbox" descr="Project is submitting a subset of Energy Models for LEED Documentation. The energy consumption for the other buildings not individually submitted are reported as &quot;Residual Project&quot;" hidden="1">
              <a:extLst>
                <a:ext uri="{63B3BB69-23CF-44E3-9099-C40C66FF867C}">
                  <a14:compatExt spid="_x0000_s107531"/>
                </a:ext>
                <a:ext uri="{FF2B5EF4-FFF2-40B4-BE49-F238E27FC236}">
                  <a16:creationId xmlns:a16="http://schemas.microsoft.com/office/drawing/2014/main" id="{00000000-0008-0000-0300-00000BA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Details for a subset of LEED-ND Building energy models is reported here. The results for the remaining project energy models must be summed and reported as "Residual Project".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180975</xdr:colOff>
          <xdr:row>5</xdr:row>
          <xdr:rowOff>0</xdr:rowOff>
        </xdr:from>
        <xdr:to>
          <xdr:col>10</xdr:col>
          <xdr:colOff>609600</xdr:colOff>
          <xdr:row>5</xdr:row>
          <xdr:rowOff>190500</xdr:rowOff>
        </xdr:to>
        <xdr:sp macro="" textlink="">
          <xdr:nvSpPr>
            <xdr:cNvPr id="107534" name="rb1EnergyModelreporting" hidden="1">
              <a:extLst>
                <a:ext uri="{63B3BB69-23CF-44E3-9099-C40C66FF867C}">
                  <a14:compatExt spid="_x0000_s107534"/>
                </a:ext>
                <a:ext uri="{FF2B5EF4-FFF2-40B4-BE49-F238E27FC236}">
                  <a16:creationId xmlns:a16="http://schemas.microsoft.com/office/drawing/2014/main" id="{00000000-0008-0000-0300-00000E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Model each building in a separate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6</xdr:row>
          <xdr:rowOff>0</xdr:rowOff>
        </xdr:from>
        <xdr:to>
          <xdr:col>10</xdr:col>
          <xdr:colOff>752475</xdr:colOff>
          <xdr:row>6</xdr:row>
          <xdr:rowOff>190500</xdr:rowOff>
        </xdr:to>
        <xdr:sp macro="" textlink="">
          <xdr:nvSpPr>
            <xdr:cNvPr id="107536" name="rb2EnergyModelreporting" hidden="1">
              <a:extLst>
                <a:ext uri="{63B3BB69-23CF-44E3-9099-C40C66FF867C}">
                  <a14:compatExt spid="_x0000_s107536"/>
                </a:ext>
                <a:ext uri="{FF2B5EF4-FFF2-40B4-BE49-F238E27FC236}">
                  <a16:creationId xmlns:a16="http://schemas.microsoft.com/office/drawing/2014/main" id="{00000000-0008-0000-0300-000010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Model all buildings in one combined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7</xdr:row>
          <xdr:rowOff>0</xdr:rowOff>
        </xdr:from>
        <xdr:to>
          <xdr:col>10</xdr:col>
          <xdr:colOff>676275</xdr:colOff>
          <xdr:row>7</xdr:row>
          <xdr:rowOff>228600</xdr:rowOff>
        </xdr:to>
        <xdr:sp macro="" textlink="">
          <xdr:nvSpPr>
            <xdr:cNvPr id="107538" name="rb3EnergyModelreporting" hidden="1">
              <a:extLst>
                <a:ext uri="{63B3BB69-23CF-44E3-9099-C40C66FF867C}">
                  <a14:compatExt spid="_x0000_s107538"/>
                </a:ext>
                <a:ext uri="{FF2B5EF4-FFF2-40B4-BE49-F238E27FC236}">
                  <a16:creationId xmlns:a16="http://schemas.microsoft.com/office/drawing/2014/main" id="{00000000-0008-0000-0300-000012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Model a custom group of buildings per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4</xdr:row>
          <xdr:rowOff>276225</xdr:rowOff>
        </xdr:from>
        <xdr:to>
          <xdr:col>10</xdr:col>
          <xdr:colOff>781050</xdr:colOff>
          <xdr:row>8</xdr:row>
          <xdr:rowOff>19050</xdr:rowOff>
        </xdr:to>
        <xdr:sp macro="" textlink="">
          <xdr:nvSpPr>
            <xdr:cNvPr id="107541" name="rbgOutputReporting" hidden="1">
              <a:extLst>
                <a:ext uri="{63B3BB69-23CF-44E3-9099-C40C66FF867C}">
                  <a14:compatExt spid="_x0000_s107541"/>
                </a:ext>
                <a:ext uri="{FF2B5EF4-FFF2-40B4-BE49-F238E27FC236}">
                  <a16:creationId xmlns:a16="http://schemas.microsoft.com/office/drawing/2014/main" id="{00000000-0008-0000-0300-000015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2</xdr:col>
          <xdr:colOff>342900</xdr:colOff>
          <xdr:row>22</xdr:row>
          <xdr:rowOff>76200</xdr:rowOff>
        </xdr:to>
        <xdr:sp macro="" textlink="">
          <xdr:nvSpPr>
            <xdr:cNvPr id="96263" name="Button 7" hidden="1">
              <a:extLst>
                <a:ext uri="{63B3BB69-23CF-44E3-9099-C40C66FF867C}">
                  <a14:compatExt spid="_x0000_s96263"/>
                </a:ext>
                <a:ext uri="{FF2B5EF4-FFF2-40B4-BE49-F238E27FC236}">
                  <a16:creationId xmlns:a16="http://schemas.microsoft.com/office/drawing/2014/main" id="{00000000-0008-0000-0400-000007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21</xdr:row>
          <xdr:rowOff>0</xdr:rowOff>
        </xdr:from>
        <xdr:to>
          <xdr:col>2</xdr:col>
          <xdr:colOff>1743075</xdr:colOff>
          <xdr:row>22</xdr:row>
          <xdr:rowOff>76200</xdr:rowOff>
        </xdr:to>
        <xdr:sp macro="" textlink="">
          <xdr:nvSpPr>
            <xdr:cNvPr id="96265" name="Button 9" hidden="1">
              <a:extLst>
                <a:ext uri="{63B3BB69-23CF-44E3-9099-C40C66FF867C}">
                  <a14:compatExt spid="_x0000_s96265"/>
                </a:ext>
                <a:ext uri="{FF2B5EF4-FFF2-40B4-BE49-F238E27FC236}">
                  <a16:creationId xmlns:a16="http://schemas.microsoft.com/office/drawing/2014/main" id="{00000000-0008-0000-0400-0000097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28</xdr:row>
          <xdr:rowOff>47625</xdr:rowOff>
        </xdr:from>
        <xdr:to>
          <xdr:col>3</xdr:col>
          <xdr:colOff>104775</xdr:colOff>
          <xdr:row>28</xdr:row>
          <xdr:rowOff>314325</xdr:rowOff>
        </xdr:to>
        <xdr:sp macro="" textlink="">
          <xdr:nvSpPr>
            <xdr:cNvPr id="169987" name="btnEFLH_On_Off_Abbreviated" hidden="1">
              <a:extLst>
                <a:ext uri="{63B3BB69-23CF-44E3-9099-C40C66FF867C}">
                  <a14:compatExt spid="_x0000_s169987"/>
                </a:ext>
                <a:ext uri="{FF2B5EF4-FFF2-40B4-BE49-F238E27FC236}">
                  <a16:creationId xmlns:a16="http://schemas.microsoft.com/office/drawing/2014/main" id="{00000000-0008-0000-0500-0000039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44</xdr:row>
          <xdr:rowOff>57150</xdr:rowOff>
        </xdr:from>
        <xdr:to>
          <xdr:col>2</xdr:col>
          <xdr:colOff>561975</xdr:colOff>
          <xdr:row>44</xdr:row>
          <xdr:rowOff>323850</xdr:rowOff>
        </xdr:to>
        <xdr:sp macro="" textlink="">
          <xdr:nvSpPr>
            <xdr:cNvPr id="169988" name="btnEFLH_On_Off_Detailed" hidden="1">
              <a:extLst>
                <a:ext uri="{63B3BB69-23CF-44E3-9099-C40C66FF867C}">
                  <a14:compatExt spid="_x0000_s169988"/>
                </a:ext>
                <a:ext uri="{FF2B5EF4-FFF2-40B4-BE49-F238E27FC236}">
                  <a16:creationId xmlns:a16="http://schemas.microsoft.com/office/drawing/2014/main" id="{00000000-0008-0000-0500-0000049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58</xdr:row>
          <xdr:rowOff>47625</xdr:rowOff>
        </xdr:from>
        <xdr:to>
          <xdr:col>3</xdr:col>
          <xdr:colOff>0</xdr:colOff>
          <xdr:row>58</xdr:row>
          <xdr:rowOff>314325</xdr:rowOff>
        </xdr:to>
        <xdr:sp macro="" textlink="">
          <xdr:nvSpPr>
            <xdr:cNvPr id="169990" name="btnEFLH_Fraction_Abbreviated" hidden="1">
              <a:extLst>
                <a:ext uri="{63B3BB69-23CF-44E3-9099-C40C66FF867C}">
                  <a14:compatExt spid="_x0000_s169990"/>
                </a:ext>
                <a:ext uri="{FF2B5EF4-FFF2-40B4-BE49-F238E27FC236}">
                  <a16:creationId xmlns:a16="http://schemas.microsoft.com/office/drawing/2014/main" id="{00000000-0008-0000-0500-0000069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83</xdr:row>
          <xdr:rowOff>19050</xdr:rowOff>
        </xdr:from>
        <xdr:to>
          <xdr:col>2</xdr:col>
          <xdr:colOff>542925</xdr:colOff>
          <xdr:row>83</xdr:row>
          <xdr:rowOff>285750</xdr:rowOff>
        </xdr:to>
        <xdr:sp macro="" textlink="">
          <xdr:nvSpPr>
            <xdr:cNvPr id="169991" name="btnEFLH_Fraction_Detailed" hidden="1">
              <a:extLst>
                <a:ext uri="{63B3BB69-23CF-44E3-9099-C40C66FF867C}">
                  <a14:compatExt spid="_x0000_s169991"/>
                </a:ext>
                <a:ext uri="{FF2B5EF4-FFF2-40B4-BE49-F238E27FC236}">
                  <a16:creationId xmlns:a16="http://schemas.microsoft.com/office/drawing/2014/main" id="{00000000-0008-0000-0500-0000079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36</xdr:row>
          <xdr:rowOff>171450</xdr:rowOff>
        </xdr:from>
        <xdr:to>
          <xdr:col>2</xdr:col>
          <xdr:colOff>552450</xdr:colOff>
          <xdr:row>38</xdr:row>
          <xdr:rowOff>38100</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6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628650</xdr:colOff>
          <xdr:row>36</xdr:row>
          <xdr:rowOff>171450</xdr:rowOff>
        </xdr:from>
        <xdr:to>
          <xdr:col>3</xdr:col>
          <xdr:colOff>314325</xdr:colOff>
          <xdr:row>38</xdr:row>
          <xdr:rowOff>38100</xdr:rowOff>
        </xdr:to>
        <xdr:sp macro="" textlink="">
          <xdr:nvSpPr>
            <xdr:cNvPr id="120837" name="Button 5" hidden="1">
              <a:extLst>
                <a:ext uri="{63B3BB69-23CF-44E3-9099-C40C66FF867C}">
                  <a14:compatExt spid="_x0000_s120837"/>
                </a:ext>
                <a:ext uri="{FF2B5EF4-FFF2-40B4-BE49-F238E27FC236}">
                  <a16:creationId xmlns:a16="http://schemas.microsoft.com/office/drawing/2014/main" id="{00000000-0008-0000-0600-000005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63</xdr:row>
          <xdr:rowOff>85725</xdr:rowOff>
        </xdr:from>
        <xdr:to>
          <xdr:col>2</xdr:col>
          <xdr:colOff>552450</xdr:colOff>
          <xdr:row>64</xdr:row>
          <xdr:rowOff>142875</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6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628650</xdr:colOff>
          <xdr:row>63</xdr:row>
          <xdr:rowOff>85725</xdr:rowOff>
        </xdr:from>
        <xdr:to>
          <xdr:col>3</xdr:col>
          <xdr:colOff>314325</xdr:colOff>
          <xdr:row>64</xdr:row>
          <xdr:rowOff>142875</xdr:rowOff>
        </xdr:to>
        <xdr:sp macro="" textlink="">
          <xdr:nvSpPr>
            <xdr:cNvPr id="120840" name="Button 8" hidden="1">
              <a:extLst>
                <a:ext uri="{63B3BB69-23CF-44E3-9099-C40C66FF867C}">
                  <a14:compatExt spid="_x0000_s120840"/>
                </a:ext>
                <a:ext uri="{FF2B5EF4-FFF2-40B4-BE49-F238E27FC236}">
                  <a16:creationId xmlns:a16="http://schemas.microsoft.com/office/drawing/2014/main" id="{00000000-0008-0000-0600-000008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152400</xdr:colOff>
          <xdr:row>36</xdr:row>
          <xdr:rowOff>171450</xdr:rowOff>
        </xdr:from>
        <xdr:to>
          <xdr:col>2</xdr:col>
          <xdr:colOff>361950</xdr:colOff>
          <xdr:row>37</xdr:row>
          <xdr:rowOff>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700-000005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133350</xdr:rowOff>
        </xdr:from>
        <xdr:to>
          <xdr:col>2</xdr:col>
          <xdr:colOff>419100</xdr:colOff>
          <xdr:row>46</xdr:row>
          <xdr:rowOff>400050</xdr:rowOff>
        </xdr:to>
        <xdr:sp macro="" textlink="">
          <xdr:nvSpPr>
            <xdr:cNvPr id="20525" name="Button 45" hidden="1">
              <a:extLst>
                <a:ext uri="{63B3BB69-23CF-44E3-9099-C40C66FF867C}">
                  <a14:compatExt spid="_x0000_s20525"/>
                </a:ext>
                <a:ext uri="{FF2B5EF4-FFF2-40B4-BE49-F238E27FC236}">
                  <a16:creationId xmlns:a16="http://schemas.microsoft.com/office/drawing/2014/main" id="{00000000-0008-0000-0700-00002D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133350</xdr:rowOff>
        </xdr:from>
        <xdr:to>
          <xdr:col>2</xdr:col>
          <xdr:colOff>419100</xdr:colOff>
          <xdr:row>56</xdr:row>
          <xdr:rowOff>400050</xdr:rowOff>
        </xdr:to>
        <xdr:sp macro="" textlink="">
          <xdr:nvSpPr>
            <xdr:cNvPr id="20526" name="Button 46" hidden="1">
              <a:extLst>
                <a:ext uri="{63B3BB69-23CF-44E3-9099-C40C66FF867C}">
                  <a14:compatExt spid="_x0000_s20526"/>
                </a:ext>
                <a:ext uri="{FF2B5EF4-FFF2-40B4-BE49-F238E27FC236}">
                  <a16:creationId xmlns:a16="http://schemas.microsoft.com/office/drawing/2014/main" id="{00000000-0008-0000-0700-00002E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66</xdr:row>
          <xdr:rowOff>133350</xdr:rowOff>
        </xdr:from>
        <xdr:to>
          <xdr:col>2</xdr:col>
          <xdr:colOff>400050</xdr:colOff>
          <xdr:row>66</xdr:row>
          <xdr:rowOff>400050</xdr:rowOff>
        </xdr:to>
        <xdr:sp macro="" textlink="">
          <xdr:nvSpPr>
            <xdr:cNvPr id="20527" name="Button 47" hidden="1">
              <a:extLst>
                <a:ext uri="{63B3BB69-23CF-44E3-9099-C40C66FF867C}">
                  <a14:compatExt spid="_x0000_s20527"/>
                </a:ext>
                <a:ext uri="{FF2B5EF4-FFF2-40B4-BE49-F238E27FC236}">
                  <a16:creationId xmlns:a16="http://schemas.microsoft.com/office/drawing/2014/main" id="{00000000-0008-0000-0700-00002F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76</xdr:row>
          <xdr:rowOff>133350</xdr:rowOff>
        </xdr:from>
        <xdr:to>
          <xdr:col>2</xdr:col>
          <xdr:colOff>400050</xdr:colOff>
          <xdr:row>76</xdr:row>
          <xdr:rowOff>400050</xdr:rowOff>
        </xdr:to>
        <xdr:sp macro="" textlink="">
          <xdr:nvSpPr>
            <xdr:cNvPr id="20529" name="Button 49" hidden="1">
              <a:extLst>
                <a:ext uri="{63B3BB69-23CF-44E3-9099-C40C66FF867C}">
                  <a14:compatExt spid="_x0000_s20529"/>
                </a:ext>
                <a:ext uri="{FF2B5EF4-FFF2-40B4-BE49-F238E27FC236}">
                  <a16:creationId xmlns:a16="http://schemas.microsoft.com/office/drawing/2014/main" id="{00000000-0008-0000-0700-00003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86</xdr:row>
          <xdr:rowOff>95250</xdr:rowOff>
        </xdr:from>
        <xdr:to>
          <xdr:col>2</xdr:col>
          <xdr:colOff>361950</xdr:colOff>
          <xdr:row>86</xdr:row>
          <xdr:rowOff>381000</xdr:rowOff>
        </xdr:to>
        <xdr:sp macro="" textlink="">
          <xdr:nvSpPr>
            <xdr:cNvPr id="20530" name="Button 50" hidden="1">
              <a:extLst>
                <a:ext uri="{63B3BB69-23CF-44E3-9099-C40C66FF867C}">
                  <a14:compatExt spid="_x0000_s20530"/>
                </a:ext>
                <a:ext uri="{FF2B5EF4-FFF2-40B4-BE49-F238E27FC236}">
                  <a16:creationId xmlns:a16="http://schemas.microsoft.com/office/drawing/2014/main" id="{00000000-0008-0000-0700-000032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36</xdr:row>
          <xdr:rowOff>180975</xdr:rowOff>
        </xdr:from>
        <xdr:to>
          <xdr:col>3</xdr:col>
          <xdr:colOff>819150</xdr:colOff>
          <xdr:row>37</xdr:row>
          <xdr:rowOff>0</xdr:rowOff>
        </xdr:to>
        <xdr:sp macro="" textlink="">
          <xdr:nvSpPr>
            <xdr:cNvPr id="20560" name="Button 80" hidden="1">
              <a:extLst>
                <a:ext uri="{63B3BB69-23CF-44E3-9099-C40C66FF867C}">
                  <a14:compatExt spid="_x0000_s20560"/>
                </a:ext>
                <a:ext uri="{FF2B5EF4-FFF2-40B4-BE49-F238E27FC236}">
                  <a16:creationId xmlns:a16="http://schemas.microsoft.com/office/drawing/2014/main" id="{00000000-0008-0000-0700-000050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46</xdr:row>
          <xdr:rowOff>133350</xdr:rowOff>
        </xdr:from>
        <xdr:to>
          <xdr:col>4</xdr:col>
          <xdr:colOff>28575</xdr:colOff>
          <xdr:row>46</xdr:row>
          <xdr:rowOff>400050</xdr:rowOff>
        </xdr:to>
        <xdr:sp macro="" textlink="">
          <xdr:nvSpPr>
            <xdr:cNvPr id="20561" name="Button 81" hidden="1">
              <a:extLst>
                <a:ext uri="{63B3BB69-23CF-44E3-9099-C40C66FF867C}">
                  <a14:compatExt spid="_x0000_s20561"/>
                </a:ext>
                <a:ext uri="{FF2B5EF4-FFF2-40B4-BE49-F238E27FC236}">
                  <a16:creationId xmlns:a16="http://schemas.microsoft.com/office/drawing/2014/main" id="{00000000-0008-0000-0700-00005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56</xdr:row>
          <xdr:rowOff>133350</xdr:rowOff>
        </xdr:from>
        <xdr:to>
          <xdr:col>4</xdr:col>
          <xdr:colOff>38100</xdr:colOff>
          <xdr:row>56</xdr:row>
          <xdr:rowOff>400050</xdr:rowOff>
        </xdr:to>
        <xdr:sp macro="" textlink="">
          <xdr:nvSpPr>
            <xdr:cNvPr id="20562" name="Button 82" hidden="1">
              <a:extLst>
                <a:ext uri="{63B3BB69-23CF-44E3-9099-C40C66FF867C}">
                  <a14:compatExt spid="_x0000_s20562"/>
                </a:ext>
                <a:ext uri="{FF2B5EF4-FFF2-40B4-BE49-F238E27FC236}">
                  <a16:creationId xmlns:a16="http://schemas.microsoft.com/office/drawing/2014/main" id="{00000000-0008-0000-0700-000052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457200</xdr:colOff>
          <xdr:row>66</xdr:row>
          <xdr:rowOff>133350</xdr:rowOff>
        </xdr:from>
        <xdr:to>
          <xdr:col>4</xdr:col>
          <xdr:colOff>0</xdr:colOff>
          <xdr:row>66</xdr:row>
          <xdr:rowOff>400050</xdr:rowOff>
        </xdr:to>
        <xdr:sp macro="" textlink="">
          <xdr:nvSpPr>
            <xdr:cNvPr id="20563" name="Button 83" hidden="1">
              <a:extLst>
                <a:ext uri="{63B3BB69-23CF-44E3-9099-C40C66FF867C}">
                  <a14:compatExt spid="_x0000_s20563"/>
                </a:ext>
                <a:ext uri="{FF2B5EF4-FFF2-40B4-BE49-F238E27FC236}">
                  <a16:creationId xmlns:a16="http://schemas.microsoft.com/office/drawing/2014/main" id="{00000000-0008-0000-0700-000053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76</xdr:row>
          <xdr:rowOff>133350</xdr:rowOff>
        </xdr:from>
        <xdr:to>
          <xdr:col>4</xdr:col>
          <xdr:colOff>19050</xdr:colOff>
          <xdr:row>76</xdr:row>
          <xdr:rowOff>400050</xdr:rowOff>
        </xdr:to>
        <xdr:sp macro="" textlink="">
          <xdr:nvSpPr>
            <xdr:cNvPr id="20564" name="Button 84" hidden="1">
              <a:extLst>
                <a:ext uri="{63B3BB69-23CF-44E3-9099-C40C66FF867C}">
                  <a14:compatExt spid="_x0000_s20564"/>
                </a:ext>
                <a:ext uri="{FF2B5EF4-FFF2-40B4-BE49-F238E27FC236}">
                  <a16:creationId xmlns:a16="http://schemas.microsoft.com/office/drawing/2014/main" id="{00000000-0008-0000-0700-00005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86</xdr:row>
          <xdr:rowOff>114300</xdr:rowOff>
        </xdr:from>
        <xdr:to>
          <xdr:col>3</xdr:col>
          <xdr:colOff>828675</xdr:colOff>
          <xdr:row>86</xdr:row>
          <xdr:rowOff>381000</xdr:rowOff>
        </xdr:to>
        <xdr:sp macro="" textlink="">
          <xdr:nvSpPr>
            <xdr:cNvPr id="20565" name="Button 85" hidden="1">
              <a:extLst>
                <a:ext uri="{63B3BB69-23CF-44E3-9099-C40C66FF867C}">
                  <a14:compatExt spid="_x0000_s20565"/>
                </a:ext>
                <a:ext uri="{FF2B5EF4-FFF2-40B4-BE49-F238E27FC236}">
                  <a16:creationId xmlns:a16="http://schemas.microsoft.com/office/drawing/2014/main" id="{00000000-0008-0000-0700-000055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428625</xdr:colOff>
          <xdr:row>36</xdr:row>
          <xdr:rowOff>180975</xdr:rowOff>
        </xdr:from>
        <xdr:to>
          <xdr:col>11</xdr:col>
          <xdr:colOff>819150</xdr:colOff>
          <xdr:row>37</xdr:row>
          <xdr:rowOff>0</xdr:rowOff>
        </xdr:to>
        <xdr:sp macro="" textlink="">
          <xdr:nvSpPr>
            <xdr:cNvPr id="20567" name="Button 87" hidden="1">
              <a:extLst>
                <a:ext uri="{63B3BB69-23CF-44E3-9099-C40C66FF867C}">
                  <a14:compatExt spid="_x0000_s20567"/>
                </a:ext>
                <a:ext uri="{FF2B5EF4-FFF2-40B4-BE49-F238E27FC236}">
                  <a16:creationId xmlns:a16="http://schemas.microsoft.com/office/drawing/2014/main" id="{00000000-0008-0000-0700-00005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2276475</xdr:colOff>
          <xdr:row>46</xdr:row>
          <xdr:rowOff>133350</xdr:rowOff>
        </xdr:from>
        <xdr:to>
          <xdr:col>8</xdr:col>
          <xdr:colOff>942975</xdr:colOff>
          <xdr:row>46</xdr:row>
          <xdr:rowOff>400050</xdr:rowOff>
        </xdr:to>
        <xdr:sp macro="" textlink="">
          <xdr:nvSpPr>
            <xdr:cNvPr id="20570" name="Button 90" hidden="1">
              <a:extLst>
                <a:ext uri="{63B3BB69-23CF-44E3-9099-C40C66FF867C}">
                  <a14:compatExt spid="_x0000_s20570"/>
                </a:ext>
                <a:ext uri="{FF2B5EF4-FFF2-40B4-BE49-F238E27FC236}">
                  <a16:creationId xmlns:a16="http://schemas.microsoft.com/office/drawing/2014/main" id="{00000000-0008-0000-0700-00005A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2190750</xdr:colOff>
          <xdr:row>56</xdr:row>
          <xdr:rowOff>133350</xdr:rowOff>
        </xdr:from>
        <xdr:to>
          <xdr:col>8</xdr:col>
          <xdr:colOff>847725</xdr:colOff>
          <xdr:row>56</xdr:row>
          <xdr:rowOff>400050</xdr:rowOff>
        </xdr:to>
        <xdr:sp macro="" textlink="">
          <xdr:nvSpPr>
            <xdr:cNvPr id="20572" name="Button 92" hidden="1">
              <a:extLst>
                <a:ext uri="{63B3BB69-23CF-44E3-9099-C40C66FF867C}">
                  <a14:compatExt spid="_x0000_s20572"/>
                </a:ext>
                <a:ext uri="{FF2B5EF4-FFF2-40B4-BE49-F238E27FC236}">
                  <a16:creationId xmlns:a16="http://schemas.microsoft.com/office/drawing/2014/main" id="{00000000-0008-0000-0700-00005C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2286000</xdr:colOff>
          <xdr:row>66</xdr:row>
          <xdr:rowOff>133350</xdr:rowOff>
        </xdr:from>
        <xdr:to>
          <xdr:col>8</xdr:col>
          <xdr:colOff>942975</xdr:colOff>
          <xdr:row>66</xdr:row>
          <xdr:rowOff>400050</xdr:rowOff>
        </xdr:to>
        <xdr:sp macro="" textlink="">
          <xdr:nvSpPr>
            <xdr:cNvPr id="20573" name="Button 93" hidden="1">
              <a:extLst>
                <a:ext uri="{63B3BB69-23CF-44E3-9099-C40C66FF867C}">
                  <a14:compatExt spid="_x0000_s20573"/>
                </a:ext>
                <a:ext uri="{FF2B5EF4-FFF2-40B4-BE49-F238E27FC236}">
                  <a16:creationId xmlns:a16="http://schemas.microsoft.com/office/drawing/2014/main" id="{00000000-0008-0000-0700-00005D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2314575</xdr:colOff>
          <xdr:row>76</xdr:row>
          <xdr:rowOff>133350</xdr:rowOff>
        </xdr:from>
        <xdr:to>
          <xdr:col>8</xdr:col>
          <xdr:colOff>971550</xdr:colOff>
          <xdr:row>76</xdr:row>
          <xdr:rowOff>400050</xdr:rowOff>
        </xdr:to>
        <xdr:sp macro="" textlink="">
          <xdr:nvSpPr>
            <xdr:cNvPr id="20575" name="Button 95" hidden="1">
              <a:extLst>
                <a:ext uri="{63B3BB69-23CF-44E3-9099-C40C66FF867C}">
                  <a14:compatExt spid="_x0000_s20575"/>
                </a:ext>
                <a:ext uri="{FF2B5EF4-FFF2-40B4-BE49-F238E27FC236}">
                  <a16:creationId xmlns:a16="http://schemas.microsoft.com/office/drawing/2014/main" id="{00000000-0008-0000-0700-00005F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2286000</xdr:colOff>
          <xdr:row>86</xdr:row>
          <xdr:rowOff>114300</xdr:rowOff>
        </xdr:from>
        <xdr:to>
          <xdr:col>8</xdr:col>
          <xdr:colOff>952500</xdr:colOff>
          <xdr:row>86</xdr:row>
          <xdr:rowOff>381000</xdr:rowOff>
        </xdr:to>
        <xdr:sp macro="" textlink="">
          <xdr:nvSpPr>
            <xdr:cNvPr id="20576" name="Button 96" hidden="1">
              <a:extLst>
                <a:ext uri="{63B3BB69-23CF-44E3-9099-C40C66FF867C}">
                  <a14:compatExt spid="_x0000_s20576"/>
                </a:ext>
                <a:ext uri="{FF2B5EF4-FFF2-40B4-BE49-F238E27FC236}">
                  <a16:creationId xmlns:a16="http://schemas.microsoft.com/office/drawing/2014/main" id="{00000000-0008-0000-0700-000060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47</xdr:row>
          <xdr:rowOff>171450</xdr:rowOff>
        </xdr:from>
        <xdr:to>
          <xdr:col>2</xdr:col>
          <xdr:colOff>409575</xdr:colOff>
          <xdr:row>47</xdr:row>
          <xdr:rowOff>438150</xdr:rowOff>
        </xdr:to>
        <xdr:sp macro="" textlink="">
          <xdr:nvSpPr>
            <xdr:cNvPr id="55319" name="Button 23" hidden="1">
              <a:extLst>
                <a:ext uri="{63B3BB69-23CF-44E3-9099-C40C66FF867C}">
                  <a14:compatExt spid="_x0000_s55319"/>
                </a:ext>
                <a:ext uri="{FF2B5EF4-FFF2-40B4-BE49-F238E27FC236}">
                  <a16:creationId xmlns:a16="http://schemas.microsoft.com/office/drawing/2014/main" id="{00000000-0008-0000-0800-000017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57</xdr:row>
          <xdr:rowOff>152400</xdr:rowOff>
        </xdr:from>
        <xdr:to>
          <xdr:col>2</xdr:col>
          <xdr:colOff>400050</xdr:colOff>
          <xdr:row>57</xdr:row>
          <xdr:rowOff>438150</xdr:rowOff>
        </xdr:to>
        <xdr:sp macro="" textlink="">
          <xdr:nvSpPr>
            <xdr:cNvPr id="55320" name="Button 24" hidden="1">
              <a:extLst>
                <a:ext uri="{63B3BB69-23CF-44E3-9099-C40C66FF867C}">
                  <a14:compatExt spid="_x0000_s55320"/>
                </a:ext>
                <a:ext uri="{FF2B5EF4-FFF2-40B4-BE49-F238E27FC236}">
                  <a16:creationId xmlns:a16="http://schemas.microsoft.com/office/drawing/2014/main" id="{00000000-0008-0000-0800-000018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47</xdr:row>
          <xdr:rowOff>161925</xdr:rowOff>
        </xdr:from>
        <xdr:to>
          <xdr:col>4</xdr:col>
          <xdr:colOff>0</xdr:colOff>
          <xdr:row>47</xdr:row>
          <xdr:rowOff>428625</xdr:rowOff>
        </xdr:to>
        <xdr:sp macro="" textlink="">
          <xdr:nvSpPr>
            <xdr:cNvPr id="55339" name="Button 43" hidden="1">
              <a:extLst>
                <a:ext uri="{63B3BB69-23CF-44E3-9099-C40C66FF867C}">
                  <a14:compatExt spid="_x0000_s55339"/>
                </a:ext>
                <a:ext uri="{FF2B5EF4-FFF2-40B4-BE49-F238E27FC236}">
                  <a16:creationId xmlns:a16="http://schemas.microsoft.com/office/drawing/2014/main" id="{00000000-0008-0000-0800-00002B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57</xdr:row>
          <xdr:rowOff>152400</xdr:rowOff>
        </xdr:from>
        <xdr:to>
          <xdr:col>4</xdr:col>
          <xdr:colOff>0</xdr:colOff>
          <xdr:row>57</xdr:row>
          <xdr:rowOff>419100</xdr:rowOff>
        </xdr:to>
        <xdr:sp macro="" textlink="">
          <xdr:nvSpPr>
            <xdr:cNvPr id="55340" name="Button 44" hidden="1">
              <a:extLst>
                <a:ext uri="{63B3BB69-23CF-44E3-9099-C40C66FF867C}">
                  <a14:compatExt spid="_x0000_s55340"/>
                </a:ext>
                <a:ext uri="{FF2B5EF4-FFF2-40B4-BE49-F238E27FC236}">
                  <a16:creationId xmlns:a16="http://schemas.microsoft.com/office/drawing/2014/main" id="{00000000-0008-0000-0800-00002C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47</xdr:row>
          <xdr:rowOff>161925</xdr:rowOff>
        </xdr:from>
        <xdr:to>
          <xdr:col>12</xdr:col>
          <xdr:colOff>9525</xdr:colOff>
          <xdr:row>47</xdr:row>
          <xdr:rowOff>428625</xdr:rowOff>
        </xdr:to>
        <xdr:sp macro="" textlink="">
          <xdr:nvSpPr>
            <xdr:cNvPr id="55342" name="Button 46" hidden="1">
              <a:extLst>
                <a:ext uri="{63B3BB69-23CF-44E3-9099-C40C66FF867C}">
                  <a14:compatExt spid="_x0000_s55342"/>
                </a:ext>
                <a:ext uri="{FF2B5EF4-FFF2-40B4-BE49-F238E27FC236}">
                  <a16:creationId xmlns:a16="http://schemas.microsoft.com/office/drawing/2014/main" id="{00000000-0008-0000-0800-00002E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57</xdr:row>
          <xdr:rowOff>152400</xdr:rowOff>
        </xdr:from>
        <xdr:to>
          <xdr:col>12</xdr:col>
          <xdr:colOff>9525</xdr:colOff>
          <xdr:row>57</xdr:row>
          <xdr:rowOff>419100</xdr:rowOff>
        </xdr:to>
        <xdr:sp macro="" textlink="">
          <xdr:nvSpPr>
            <xdr:cNvPr id="55343" name="Button 47" hidden="1">
              <a:extLst>
                <a:ext uri="{63B3BB69-23CF-44E3-9099-C40C66FF867C}">
                  <a14:compatExt spid="_x0000_s55343"/>
                </a:ext>
                <a:ext uri="{FF2B5EF4-FFF2-40B4-BE49-F238E27FC236}">
                  <a16:creationId xmlns:a16="http://schemas.microsoft.com/office/drawing/2014/main" id="{00000000-0008-0000-0800-00002F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2</xdr:col>
          <xdr:colOff>438150</xdr:colOff>
          <xdr:row>37</xdr:row>
          <xdr:rowOff>266700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128</xdr:row>
          <xdr:rowOff>114300</xdr:rowOff>
        </xdr:from>
        <xdr:to>
          <xdr:col>2</xdr:col>
          <xdr:colOff>447675</xdr:colOff>
          <xdr:row>128</xdr:row>
          <xdr:rowOff>400050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A00-000020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0</xdr:rowOff>
        </xdr:from>
        <xdr:to>
          <xdr:col>2</xdr:col>
          <xdr:colOff>457200</xdr:colOff>
          <xdr:row>92</xdr:row>
          <xdr:rowOff>0</xdr:rowOff>
        </xdr:to>
        <xdr:sp macro="" textlink="">
          <xdr:nvSpPr>
            <xdr:cNvPr id="5336" name="Button 216" hidden="1">
              <a:extLst>
                <a:ext uri="{63B3BB69-23CF-44E3-9099-C40C66FF867C}">
                  <a14:compatExt spid="_x0000_s5336"/>
                </a:ext>
                <a:ext uri="{FF2B5EF4-FFF2-40B4-BE49-F238E27FC236}">
                  <a16:creationId xmlns:a16="http://schemas.microsoft.com/office/drawing/2014/main" id="{00000000-0008-0000-0A00-0000D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128</xdr:row>
          <xdr:rowOff>123825</xdr:rowOff>
        </xdr:from>
        <xdr:to>
          <xdr:col>2</xdr:col>
          <xdr:colOff>1828800</xdr:colOff>
          <xdr:row>128</xdr:row>
          <xdr:rowOff>400050</xdr:rowOff>
        </xdr:to>
        <xdr:sp macro="" textlink="">
          <xdr:nvSpPr>
            <xdr:cNvPr id="5374" name="Button 254" hidden="1">
              <a:extLst>
                <a:ext uri="{63B3BB69-23CF-44E3-9099-C40C66FF867C}">
                  <a14:compatExt spid="_x0000_s5374"/>
                </a:ext>
                <a:ext uri="{FF2B5EF4-FFF2-40B4-BE49-F238E27FC236}">
                  <a16:creationId xmlns:a16="http://schemas.microsoft.com/office/drawing/2014/main" id="{00000000-0008-0000-0A00-0000FE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37</xdr:row>
          <xdr:rowOff>0</xdr:rowOff>
        </xdr:from>
        <xdr:to>
          <xdr:col>2</xdr:col>
          <xdr:colOff>1838325</xdr:colOff>
          <xdr:row>37</xdr:row>
          <xdr:rowOff>266700</xdr:rowOff>
        </xdr:to>
        <xdr:sp macro="" textlink="">
          <xdr:nvSpPr>
            <xdr:cNvPr id="5375" name="Button 255" hidden="1">
              <a:extLst>
                <a:ext uri="{63B3BB69-23CF-44E3-9099-C40C66FF867C}">
                  <a14:compatExt spid="_x0000_s5375"/>
                </a:ext>
                <a:ext uri="{FF2B5EF4-FFF2-40B4-BE49-F238E27FC236}">
                  <a16:creationId xmlns:a16="http://schemas.microsoft.com/office/drawing/2014/main" id="{00000000-0008-0000-0A00-0000F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64</xdr:row>
          <xdr:rowOff>0</xdr:rowOff>
        </xdr:from>
        <xdr:to>
          <xdr:col>2</xdr:col>
          <xdr:colOff>1914525</xdr:colOff>
          <xdr:row>91</xdr:row>
          <xdr:rowOff>228600</xdr:rowOff>
        </xdr:to>
        <xdr:sp macro="" textlink="">
          <xdr:nvSpPr>
            <xdr:cNvPr id="5377" name="Button 257" hidden="1">
              <a:extLst>
                <a:ext uri="{63B3BB69-23CF-44E3-9099-C40C66FF867C}">
                  <a14:compatExt spid="_x0000_s5377"/>
                </a:ext>
                <a:ext uri="{FF2B5EF4-FFF2-40B4-BE49-F238E27FC236}">
                  <a16:creationId xmlns:a16="http://schemas.microsoft.com/office/drawing/2014/main" id="{00000000-0008-0000-0A00-000001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22</xdr:row>
          <xdr:rowOff>323850</xdr:rowOff>
        </xdr:from>
        <xdr:to>
          <xdr:col>14</xdr:col>
          <xdr:colOff>438150</xdr:colOff>
          <xdr:row>23</xdr:row>
          <xdr:rowOff>285750</xdr:rowOff>
        </xdr:to>
        <xdr:sp macro="" textlink="">
          <xdr:nvSpPr>
            <xdr:cNvPr id="5379" name="Option Button 259" hidden="1">
              <a:extLst>
                <a:ext uri="{63B3BB69-23CF-44E3-9099-C40C66FF867C}">
                  <a14:compatExt spid="_x0000_s5379"/>
                </a:ext>
                <a:ext uri="{FF2B5EF4-FFF2-40B4-BE49-F238E27FC236}">
                  <a16:creationId xmlns:a16="http://schemas.microsoft.com/office/drawing/2014/main" id="{00000000-0008-0000-0A00-000003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23</xdr:row>
          <xdr:rowOff>314325</xdr:rowOff>
        </xdr:from>
        <xdr:to>
          <xdr:col>14</xdr:col>
          <xdr:colOff>438150</xdr:colOff>
          <xdr:row>23</xdr:row>
          <xdr:rowOff>571500</xdr:rowOff>
        </xdr:to>
        <xdr:sp macro="" textlink="">
          <xdr:nvSpPr>
            <xdr:cNvPr id="5380" name="Option Button 260" hidden="1">
              <a:extLst>
                <a:ext uri="{63B3BB69-23CF-44E3-9099-C40C66FF867C}">
                  <a14:compatExt spid="_x0000_s5380"/>
                </a:ext>
                <a:ext uri="{FF2B5EF4-FFF2-40B4-BE49-F238E27FC236}">
                  <a16:creationId xmlns:a16="http://schemas.microsoft.com/office/drawing/2014/main" id="{00000000-0008-0000-0A00-000004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86</xdr:row>
          <xdr:rowOff>0</xdr:rowOff>
        </xdr:from>
        <xdr:to>
          <xdr:col>2</xdr:col>
          <xdr:colOff>438150</xdr:colOff>
          <xdr:row>92</xdr:row>
          <xdr:rowOff>0</xdr:rowOff>
        </xdr:to>
        <xdr:sp macro="" textlink="">
          <xdr:nvSpPr>
            <xdr:cNvPr id="5381" name="Button 261" hidden="1">
              <a:extLst>
                <a:ext uri="{63B3BB69-23CF-44E3-9099-C40C66FF867C}">
                  <a14:compatExt spid="_x0000_s5381"/>
                </a:ext>
                <a:ext uri="{FF2B5EF4-FFF2-40B4-BE49-F238E27FC236}">
                  <a16:creationId xmlns:a16="http://schemas.microsoft.com/office/drawing/2014/main" id="{00000000-0008-0000-0A00-000005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86</xdr:row>
          <xdr:rowOff>0</xdr:rowOff>
        </xdr:from>
        <xdr:to>
          <xdr:col>2</xdr:col>
          <xdr:colOff>1857375</xdr:colOff>
          <xdr:row>92</xdr:row>
          <xdr:rowOff>0</xdr:rowOff>
        </xdr:to>
        <xdr:sp macro="" textlink="">
          <xdr:nvSpPr>
            <xdr:cNvPr id="5382" name="Button 262" hidden="1">
              <a:extLst>
                <a:ext uri="{63B3BB69-23CF-44E3-9099-C40C66FF867C}">
                  <a14:compatExt spid="_x0000_s5382"/>
                </a:ext>
                <a:ext uri="{FF2B5EF4-FFF2-40B4-BE49-F238E27FC236}">
                  <a16:creationId xmlns:a16="http://schemas.microsoft.com/office/drawing/2014/main" id="{00000000-0008-0000-0A00-000006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50</xdr:row>
          <xdr:rowOff>0</xdr:rowOff>
        </xdr:from>
        <xdr:to>
          <xdr:col>2</xdr:col>
          <xdr:colOff>419100</xdr:colOff>
          <xdr:row>52</xdr:row>
          <xdr:rowOff>0</xdr:rowOff>
        </xdr:to>
        <xdr:sp macro="" textlink="">
          <xdr:nvSpPr>
            <xdr:cNvPr id="6172" name="Button 28" hidden="1">
              <a:extLst>
                <a:ext uri="{63B3BB69-23CF-44E3-9099-C40C66FF867C}">
                  <a14:compatExt spid="_x0000_s6172"/>
                </a:ext>
                <a:ext uri="{FF2B5EF4-FFF2-40B4-BE49-F238E27FC236}">
                  <a16:creationId xmlns:a16="http://schemas.microsoft.com/office/drawing/2014/main" id="{00000000-0008-0000-0C00-00001C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95250</xdr:rowOff>
        </xdr:from>
        <xdr:to>
          <xdr:col>2</xdr:col>
          <xdr:colOff>390525</xdr:colOff>
          <xdr:row>71</xdr:row>
          <xdr:rowOff>361950</xdr:rowOff>
        </xdr:to>
        <xdr:sp macro="" textlink="">
          <xdr:nvSpPr>
            <xdr:cNvPr id="6174" name="Button 30" hidden="1">
              <a:extLst>
                <a:ext uri="{63B3BB69-23CF-44E3-9099-C40C66FF867C}">
                  <a14:compatExt spid="_x0000_s6174"/>
                </a:ext>
                <a:ext uri="{FF2B5EF4-FFF2-40B4-BE49-F238E27FC236}">
                  <a16:creationId xmlns:a16="http://schemas.microsoft.com/office/drawing/2014/main" id="{00000000-0008-0000-0C00-00001E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15</xdr:row>
          <xdr:rowOff>114300</xdr:rowOff>
        </xdr:from>
        <xdr:to>
          <xdr:col>6</xdr:col>
          <xdr:colOff>400050</xdr:colOff>
          <xdr:row>15</xdr:row>
          <xdr:rowOff>361950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C00-00003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15</xdr:row>
          <xdr:rowOff>438150</xdr:rowOff>
        </xdr:from>
        <xdr:to>
          <xdr:col>6</xdr:col>
          <xdr:colOff>342900</xdr:colOff>
          <xdr:row>15</xdr:row>
          <xdr:rowOff>647700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C00-00003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50</xdr:row>
          <xdr:rowOff>0</xdr:rowOff>
        </xdr:from>
        <xdr:to>
          <xdr:col>3</xdr:col>
          <xdr:colOff>923925</xdr:colOff>
          <xdr:row>52</xdr:row>
          <xdr:rowOff>0</xdr:rowOff>
        </xdr:to>
        <xdr:sp macro="" textlink="">
          <xdr:nvSpPr>
            <xdr:cNvPr id="6226" name="Button 82" hidden="1">
              <a:extLst>
                <a:ext uri="{63B3BB69-23CF-44E3-9099-C40C66FF867C}">
                  <a14:compatExt spid="_x0000_s6226"/>
                </a:ext>
                <a:ext uri="{FF2B5EF4-FFF2-40B4-BE49-F238E27FC236}">
                  <a16:creationId xmlns:a16="http://schemas.microsoft.com/office/drawing/2014/main" id="{00000000-0008-0000-0C00-00005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504825</xdr:colOff>
          <xdr:row>71</xdr:row>
          <xdr:rowOff>95250</xdr:rowOff>
        </xdr:from>
        <xdr:to>
          <xdr:col>3</xdr:col>
          <xdr:colOff>866775</xdr:colOff>
          <xdr:row>71</xdr:row>
          <xdr:rowOff>361950</xdr:rowOff>
        </xdr:to>
        <xdr:sp macro="" textlink="">
          <xdr:nvSpPr>
            <xdr:cNvPr id="6227" name="Button 83" hidden="1">
              <a:extLst>
                <a:ext uri="{63B3BB69-23CF-44E3-9099-C40C66FF867C}">
                  <a14:compatExt spid="_x0000_s6227"/>
                </a:ext>
                <a:ext uri="{FF2B5EF4-FFF2-40B4-BE49-F238E27FC236}">
                  <a16:creationId xmlns:a16="http://schemas.microsoft.com/office/drawing/2014/main" id="{00000000-0008-0000-0C00-00005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32</xdr:row>
          <xdr:rowOff>0</xdr:rowOff>
        </xdr:from>
        <xdr:to>
          <xdr:col>2</xdr:col>
          <xdr:colOff>409575</xdr:colOff>
          <xdr:row>32</xdr:row>
          <xdr:rowOff>266700</xdr:rowOff>
        </xdr:to>
        <xdr:sp macro="" textlink="">
          <xdr:nvSpPr>
            <xdr:cNvPr id="6230" name="Button 86" hidden="1">
              <a:extLst>
                <a:ext uri="{63B3BB69-23CF-44E3-9099-C40C66FF867C}">
                  <a14:compatExt spid="_x0000_s6230"/>
                </a:ext>
                <a:ext uri="{FF2B5EF4-FFF2-40B4-BE49-F238E27FC236}">
                  <a16:creationId xmlns:a16="http://schemas.microsoft.com/office/drawing/2014/main" id="{00000000-0008-0000-0C00-00005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32</xdr:row>
          <xdr:rowOff>0</xdr:rowOff>
        </xdr:from>
        <xdr:to>
          <xdr:col>3</xdr:col>
          <xdr:colOff>857250</xdr:colOff>
          <xdr:row>32</xdr:row>
          <xdr:rowOff>266700</xdr:rowOff>
        </xdr:to>
        <xdr:sp macro="" textlink="">
          <xdr:nvSpPr>
            <xdr:cNvPr id="6231" name="Button 87" hidden="1">
              <a:extLst>
                <a:ext uri="{63B3BB69-23CF-44E3-9099-C40C66FF867C}">
                  <a14:compatExt spid="_x0000_s6231"/>
                </a:ext>
                <a:ext uri="{FF2B5EF4-FFF2-40B4-BE49-F238E27FC236}">
                  <a16:creationId xmlns:a16="http://schemas.microsoft.com/office/drawing/2014/main" id="{00000000-0008-0000-0C00-000057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80</xdr:row>
          <xdr:rowOff>95250</xdr:rowOff>
        </xdr:from>
        <xdr:to>
          <xdr:col>2</xdr:col>
          <xdr:colOff>371475</xdr:colOff>
          <xdr:row>80</xdr:row>
          <xdr:rowOff>361950</xdr:rowOff>
        </xdr:to>
        <xdr:sp macro="" textlink="">
          <xdr:nvSpPr>
            <xdr:cNvPr id="6238" name="Button 94" hidden="1">
              <a:extLst>
                <a:ext uri="{63B3BB69-23CF-44E3-9099-C40C66FF867C}">
                  <a14:compatExt spid="_x0000_s6238"/>
                </a:ext>
                <a:ext uri="{FF2B5EF4-FFF2-40B4-BE49-F238E27FC236}">
                  <a16:creationId xmlns:a16="http://schemas.microsoft.com/office/drawing/2014/main" id="{00000000-0008-0000-0C00-00005E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80</xdr:row>
          <xdr:rowOff>95250</xdr:rowOff>
        </xdr:from>
        <xdr:to>
          <xdr:col>3</xdr:col>
          <xdr:colOff>857250</xdr:colOff>
          <xdr:row>80</xdr:row>
          <xdr:rowOff>361950</xdr:rowOff>
        </xdr:to>
        <xdr:sp macro="" textlink="">
          <xdr:nvSpPr>
            <xdr:cNvPr id="6239" name="Button 95" hidden="1">
              <a:extLst>
                <a:ext uri="{63B3BB69-23CF-44E3-9099-C40C66FF867C}">
                  <a14:compatExt spid="_x0000_s6239"/>
                </a:ext>
                <a:ext uri="{FF2B5EF4-FFF2-40B4-BE49-F238E27FC236}">
                  <a16:creationId xmlns:a16="http://schemas.microsoft.com/office/drawing/2014/main" id="{00000000-0008-0000-0C00-00005F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73</xdr:row>
          <xdr:rowOff>381000</xdr:rowOff>
        </xdr:from>
        <xdr:to>
          <xdr:col>3</xdr:col>
          <xdr:colOff>895350</xdr:colOff>
          <xdr:row>74</xdr:row>
          <xdr:rowOff>190500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C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Credit is being taken for garage fan power</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22</xdr:row>
          <xdr:rowOff>133350</xdr:rowOff>
        </xdr:from>
        <xdr:to>
          <xdr:col>2</xdr:col>
          <xdr:colOff>171450</xdr:colOff>
          <xdr:row>22</xdr:row>
          <xdr:rowOff>419100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D00-00000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39</xdr:row>
          <xdr:rowOff>133350</xdr:rowOff>
        </xdr:from>
        <xdr:to>
          <xdr:col>2</xdr:col>
          <xdr:colOff>152400</xdr:colOff>
          <xdr:row>39</xdr:row>
          <xdr:rowOff>447675</xdr:rowOff>
        </xdr:to>
        <xdr:sp macro="" textlink="">
          <xdr:nvSpPr>
            <xdr:cNvPr id="7210" name="Button 42" hidden="1">
              <a:extLst>
                <a:ext uri="{63B3BB69-23CF-44E3-9099-C40C66FF867C}">
                  <a14:compatExt spid="_x0000_s7210"/>
                </a:ext>
                <a:ext uri="{FF2B5EF4-FFF2-40B4-BE49-F238E27FC236}">
                  <a16:creationId xmlns:a16="http://schemas.microsoft.com/office/drawing/2014/main" id="{00000000-0008-0000-0D00-00002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39</xdr:row>
          <xdr:rowOff>123825</xdr:rowOff>
        </xdr:from>
        <xdr:to>
          <xdr:col>2</xdr:col>
          <xdr:colOff>1571625</xdr:colOff>
          <xdr:row>39</xdr:row>
          <xdr:rowOff>447675</xdr:rowOff>
        </xdr:to>
        <xdr:sp macro="" textlink="">
          <xdr:nvSpPr>
            <xdr:cNvPr id="7211" name="Button 43" hidden="1">
              <a:extLst>
                <a:ext uri="{63B3BB69-23CF-44E3-9099-C40C66FF867C}">
                  <a14:compatExt spid="_x0000_s7211"/>
                </a:ext>
                <a:ext uri="{FF2B5EF4-FFF2-40B4-BE49-F238E27FC236}">
                  <a16:creationId xmlns:a16="http://schemas.microsoft.com/office/drawing/2014/main" id="{00000000-0008-0000-0D00-00002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32</xdr:row>
          <xdr:rowOff>114300</xdr:rowOff>
        </xdr:from>
        <xdr:to>
          <xdr:col>2</xdr:col>
          <xdr:colOff>571500</xdr:colOff>
          <xdr:row>32</xdr:row>
          <xdr:rowOff>381000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E00-000008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133350</xdr:rowOff>
        </xdr:from>
        <xdr:to>
          <xdr:col>2</xdr:col>
          <xdr:colOff>552450</xdr:colOff>
          <xdr:row>22</xdr:row>
          <xdr:rowOff>400050</xdr:rowOff>
        </xdr:to>
        <xdr:sp macro="" textlink="">
          <xdr:nvSpPr>
            <xdr:cNvPr id="9302" name="Button 86" hidden="1">
              <a:extLst>
                <a:ext uri="{63B3BB69-23CF-44E3-9099-C40C66FF867C}">
                  <a14:compatExt spid="_x0000_s9302"/>
                </a:ext>
                <a:ext uri="{FF2B5EF4-FFF2-40B4-BE49-F238E27FC236}">
                  <a16:creationId xmlns:a16="http://schemas.microsoft.com/office/drawing/2014/main" id="{00000000-0008-0000-0E00-000056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628650</xdr:colOff>
          <xdr:row>32</xdr:row>
          <xdr:rowOff>123825</xdr:rowOff>
        </xdr:from>
        <xdr:to>
          <xdr:col>3</xdr:col>
          <xdr:colOff>276225</xdr:colOff>
          <xdr:row>32</xdr:row>
          <xdr:rowOff>390525</xdr:rowOff>
        </xdr:to>
        <xdr:sp macro="" textlink="">
          <xdr:nvSpPr>
            <xdr:cNvPr id="9479" name="Button 263" hidden="1">
              <a:extLst>
                <a:ext uri="{63B3BB69-23CF-44E3-9099-C40C66FF867C}">
                  <a14:compatExt spid="_x0000_s9479"/>
                </a:ext>
                <a:ext uri="{FF2B5EF4-FFF2-40B4-BE49-F238E27FC236}">
                  <a16:creationId xmlns:a16="http://schemas.microsoft.com/office/drawing/2014/main" id="{00000000-0008-0000-0E00-0000072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628650</xdr:colOff>
          <xdr:row>22</xdr:row>
          <xdr:rowOff>142875</xdr:rowOff>
        </xdr:from>
        <xdr:to>
          <xdr:col>3</xdr:col>
          <xdr:colOff>276225</xdr:colOff>
          <xdr:row>22</xdr:row>
          <xdr:rowOff>409575</xdr:rowOff>
        </xdr:to>
        <xdr:sp macro="" textlink="">
          <xdr:nvSpPr>
            <xdr:cNvPr id="9480" name="Button 264" hidden="1">
              <a:extLst>
                <a:ext uri="{63B3BB69-23CF-44E3-9099-C40C66FF867C}">
                  <a14:compatExt spid="_x0000_s9480"/>
                </a:ext>
                <a:ext uri="{FF2B5EF4-FFF2-40B4-BE49-F238E27FC236}">
                  <a16:creationId xmlns:a16="http://schemas.microsoft.com/office/drawing/2014/main" id="{00000000-0008-0000-0E00-0000082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1447800</xdr:colOff>
          <xdr:row>5</xdr:row>
          <xdr:rowOff>209550</xdr:rowOff>
        </xdr:from>
        <xdr:to>
          <xdr:col>2</xdr:col>
          <xdr:colOff>2714625</xdr:colOff>
          <xdr:row>6</xdr:row>
          <xdr:rowOff>228600</xdr:rowOff>
        </xdr:to>
        <xdr:sp macro="" textlink="">
          <xdr:nvSpPr>
            <xdr:cNvPr id="10270" name="Button 30" hidden="1">
              <a:extLst>
                <a:ext uri="{63B3BB69-23CF-44E3-9099-C40C66FF867C}">
                  <a14:compatExt spid="_x0000_s10270"/>
                </a:ext>
                <a:ext uri="{FF2B5EF4-FFF2-40B4-BE49-F238E27FC236}">
                  <a16:creationId xmlns:a16="http://schemas.microsoft.com/office/drawing/2014/main" id="{00000000-0008-0000-0F00-00001E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Add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xdr:row>
          <xdr:rowOff>209550</xdr:rowOff>
        </xdr:from>
        <xdr:to>
          <xdr:col>3</xdr:col>
          <xdr:colOff>1390650</xdr:colOff>
          <xdr:row>6</xdr:row>
          <xdr:rowOff>228600</xdr:rowOff>
        </xdr:to>
        <xdr:sp macro="" textlink="">
          <xdr:nvSpPr>
            <xdr:cNvPr id="15511" name="Button 1175" hidden="1">
              <a:extLst>
                <a:ext uri="{63B3BB69-23CF-44E3-9099-C40C66FF867C}">
                  <a14:compatExt spid="_x0000_s15511"/>
                </a:ext>
                <a:ext uri="{FF2B5EF4-FFF2-40B4-BE49-F238E27FC236}">
                  <a16:creationId xmlns:a16="http://schemas.microsoft.com/office/drawing/2014/main" id="{00000000-0008-0000-0F00-00009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Add Proposed</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2828925</xdr:colOff>
          <xdr:row>5</xdr:row>
          <xdr:rowOff>133350</xdr:rowOff>
        </xdr:from>
        <xdr:to>
          <xdr:col>2</xdr:col>
          <xdr:colOff>1466850</xdr:colOff>
          <xdr:row>6</xdr:row>
          <xdr:rowOff>257175</xdr:rowOff>
        </xdr:to>
        <xdr:sp macro="" textlink="">
          <xdr:nvSpPr>
            <xdr:cNvPr id="11487" name="Button 223" hidden="1">
              <a:extLst>
                <a:ext uri="{63B3BB69-23CF-44E3-9099-C40C66FF867C}">
                  <a14:compatExt spid="_x0000_s11487"/>
                </a:ext>
                <a:ext uri="{FF2B5EF4-FFF2-40B4-BE49-F238E27FC236}">
                  <a16:creationId xmlns:a16="http://schemas.microsoft.com/office/drawing/2014/main" id="{00000000-0008-0000-1000-0000D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Proposed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1581150</xdr:colOff>
          <xdr:row>5</xdr:row>
          <xdr:rowOff>133350</xdr:rowOff>
        </xdr:from>
        <xdr:to>
          <xdr:col>2</xdr:col>
          <xdr:colOff>3333750</xdr:colOff>
          <xdr:row>6</xdr:row>
          <xdr:rowOff>247650</xdr:rowOff>
        </xdr:to>
        <xdr:sp macro="" textlink="">
          <xdr:nvSpPr>
            <xdr:cNvPr id="11491" name="Button 227" hidden="1">
              <a:extLst>
                <a:ext uri="{63B3BB69-23CF-44E3-9099-C40C66FF867C}">
                  <a14:compatExt spid="_x0000_s11491"/>
                </a:ext>
                <a:ext uri="{FF2B5EF4-FFF2-40B4-BE49-F238E27FC236}">
                  <a16:creationId xmlns:a16="http://schemas.microsoft.com/office/drawing/2014/main" id="{00000000-0008-0000-1000-0000E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Proposed System</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21</xdr:row>
          <xdr:rowOff>95250</xdr:rowOff>
        </xdr:from>
        <xdr:to>
          <xdr:col>1</xdr:col>
          <xdr:colOff>1333500</xdr:colOff>
          <xdr:row>21</xdr:row>
          <xdr:rowOff>361950</xdr:rowOff>
        </xdr:to>
        <xdr:sp macro="" textlink="">
          <xdr:nvSpPr>
            <xdr:cNvPr id="139265" name="btnAddUtility" hidden="1">
              <a:extLst>
                <a:ext uri="{63B3BB69-23CF-44E3-9099-C40C66FF867C}">
                  <a14:compatExt spid="_x0000_s139265"/>
                </a:ext>
                <a:ext uri="{FF2B5EF4-FFF2-40B4-BE49-F238E27FC236}">
                  <a16:creationId xmlns:a16="http://schemas.microsoft.com/office/drawing/2014/main" id="{00000000-0008-0000-1300-000001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1381125</xdr:colOff>
          <xdr:row>21</xdr:row>
          <xdr:rowOff>104775</xdr:rowOff>
        </xdr:from>
        <xdr:to>
          <xdr:col>2</xdr:col>
          <xdr:colOff>1323975</xdr:colOff>
          <xdr:row>21</xdr:row>
          <xdr:rowOff>352425</xdr:rowOff>
        </xdr:to>
        <xdr:sp macro="" textlink="">
          <xdr:nvSpPr>
            <xdr:cNvPr id="139266" name="btnDeleteUtility"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43</xdr:row>
          <xdr:rowOff>104775</xdr:rowOff>
        </xdr:from>
        <xdr:to>
          <xdr:col>1</xdr:col>
          <xdr:colOff>1419225</xdr:colOff>
          <xdr:row>46</xdr:row>
          <xdr:rowOff>0</xdr:rowOff>
        </xdr:to>
        <xdr:sp macro="" textlink="">
          <xdr:nvSpPr>
            <xdr:cNvPr id="139267" name="btnAddRenewable" hidden="1">
              <a:extLst>
                <a:ext uri="{63B3BB69-23CF-44E3-9099-C40C66FF867C}">
                  <a14:compatExt spid="_x0000_s139267"/>
                </a:ext>
                <a:ext uri="{FF2B5EF4-FFF2-40B4-BE49-F238E27FC236}">
                  <a16:creationId xmlns:a16="http://schemas.microsoft.com/office/drawing/2014/main" id="{00000000-0008-0000-1300-000003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43</xdr:row>
          <xdr:rowOff>104775</xdr:rowOff>
        </xdr:from>
        <xdr:to>
          <xdr:col>2</xdr:col>
          <xdr:colOff>1400175</xdr:colOff>
          <xdr:row>46</xdr:row>
          <xdr:rowOff>0</xdr:rowOff>
        </xdr:to>
        <xdr:sp macro="" textlink="">
          <xdr:nvSpPr>
            <xdr:cNvPr id="139268" name="btbDeleteRenewable" hidden="1">
              <a:extLst>
                <a:ext uri="{63B3BB69-23CF-44E3-9099-C40C66FF867C}">
                  <a14:compatExt spid="_x0000_s139268"/>
                </a:ext>
                <a:ext uri="{FF2B5EF4-FFF2-40B4-BE49-F238E27FC236}">
                  <a16:creationId xmlns:a16="http://schemas.microsoft.com/office/drawing/2014/main" id="{00000000-0008-0000-1300-000004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76</xdr:row>
          <xdr:rowOff>57150</xdr:rowOff>
        </xdr:from>
        <xdr:to>
          <xdr:col>1</xdr:col>
          <xdr:colOff>466725</xdr:colOff>
          <xdr:row>76</xdr:row>
          <xdr:rowOff>266700</xdr:rowOff>
        </xdr:to>
        <xdr:sp macro="" textlink="">
          <xdr:nvSpPr>
            <xdr:cNvPr id="139269" name="rbOutputReporting1" hidden="1">
              <a:extLst>
                <a:ext uri="{63B3BB69-23CF-44E3-9099-C40C66FF867C}">
                  <a14:compatExt spid="_x0000_s139269"/>
                </a:ext>
                <a:ext uri="{FF2B5EF4-FFF2-40B4-BE49-F238E27FC236}">
                  <a16:creationId xmlns:a16="http://schemas.microsoft.com/office/drawing/2014/main" id="{00000000-0008-0000-1300-000005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77</xdr:row>
          <xdr:rowOff>57150</xdr:rowOff>
        </xdr:from>
        <xdr:to>
          <xdr:col>1</xdr:col>
          <xdr:colOff>419100</xdr:colOff>
          <xdr:row>78</xdr:row>
          <xdr:rowOff>190500</xdr:rowOff>
        </xdr:to>
        <xdr:sp macro="" textlink="">
          <xdr:nvSpPr>
            <xdr:cNvPr id="139270" name="rbOutputReporting2" hidden="1">
              <a:extLst>
                <a:ext uri="{63B3BB69-23CF-44E3-9099-C40C66FF867C}">
                  <a14:compatExt spid="_x0000_s139270"/>
                </a:ext>
                <a:ext uri="{FF2B5EF4-FFF2-40B4-BE49-F238E27FC236}">
                  <a16:creationId xmlns:a16="http://schemas.microsoft.com/office/drawing/2014/main" id="{00000000-0008-0000-1300-000006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81</xdr:row>
          <xdr:rowOff>57150</xdr:rowOff>
        </xdr:from>
        <xdr:to>
          <xdr:col>1</xdr:col>
          <xdr:colOff>438150</xdr:colOff>
          <xdr:row>82</xdr:row>
          <xdr:rowOff>209550</xdr:rowOff>
        </xdr:to>
        <xdr:sp macro="" textlink="">
          <xdr:nvSpPr>
            <xdr:cNvPr id="139271" name="rbOutputReporting4" hidden="1">
              <a:extLst>
                <a:ext uri="{63B3BB69-23CF-44E3-9099-C40C66FF867C}">
                  <a14:compatExt spid="_x0000_s139271"/>
                </a:ext>
                <a:ext uri="{FF2B5EF4-FFF2-40B4-BE49-F238E27FC236}">
                  <a16:creationId xmlns:a16="http://schemas.microsoft.com/office/drawing/2014/main" id="{00000000-0008-0000-1300-000007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74</xdr:row>
          <xdr:rowOff>361950</xdr:rowOff>
        </xdr:from>
        <xdr:to>
          <xdr:col>13</xdr:col>
          <xdr:colOff>0</xdr:colOff>
          <xdr:row>84</xdr:row>
          <xdr:rowOff>0</xdr:rowOff>
        </xdr:to>
        <xdr:sp macro="" textlink="">
          <xdr:nvSpPr>
            <xdr:cNvPr id="139272" name="rbgOutputReporting" hidden="1">
              <a:extLst>
                <a:ext uri="{63B3BB69-23CF-44E3-9099-C40C66FF867C}">
                  <a14:compatExt spid="_x0000_s139272"/>
                </a:ext>
                <a:ext uri="{FF2B5EF4-FFF2-40B4-BE49-F238E27FC236}">
                  <a16:creationId xmlns:a16="http://schemas.microsoft.com/office/drawing/2014/main" id="{00000000-0008-0000-1300-00000820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24</xdr:row>
          <xdr:rowOff>95250</xdr:rowOff>
        </xdr:from>
        <xdr:to>
          <xdr:col>1</xdr:col>
          <xdr:colOff>400050</xdr:colOff>
          <xdr:row>25</xdr:row>
          <xdr:rowOff>209550</xdr:rowOff>
        </xdr:to>
        <xdr:sp macro="" textlink="">
          <xdr:nvSpPr>
            <xdr:cNvPr id="139273" name="SiteRenewable Checkbox" hidden="1">
              <a:extLst>
                <a:ext uri="{63B3BB69-23CF-44E3-9099-C40C66FF867C}">
                  <a14:compatExt spid="_x0000_s139273"/>
                </a:ext>
                <a:ext uri="{FF2B5EF4-FFF2-40B4-BE49-F238E27FC236}">
                  <a16:creationId xmlns:a16="http://schemas.microsoft.com/office/drawing/2014/main" id="{00000000-0008-0000-1300-000009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76200</xdr:rowOff>
        </xdr:from>
        <xdr:to>
          <xdr:col>1</xdr:col>
          <xdr:colOff>400050</xdr:colOff>
          <xdr:row>47</xdr:row>
          <xdr:rowOff>247650</xdr:rowOff>
        </xdr:to>
        <xdr:sp macro="" textlink="">
          <xdr:nvSpPr>
            <xdr:cNvPr id="139274" name="ExcCalcCheckbox" hidden="1">
              <a:extLst>
                <a:ext uri="{63B3BB69-23CF-44E3-9099-C40C66FF867C}">
                  <a14:compatExt spid="_x0000_s139274"/>
                </a:ext>
                <a:ext uri="{FF2B5EF4-FFF2-40B4-BE49-F238E27FC236}">
                  <a16:creationId xmlns:a16="http://schemas.microsoft.com/office/drawing/2014/main" id="{00000000-0008-0000-1300-00000A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79</xdr:row>
          <xdr:rowOff>57150</xdr:rowOff>
        </xdr:from>
        <xdr:to>
          <xdr:col>1</xdr:col>
          <xdr:colOff>419100</xdr:colOff>
          <xdr:row>80</xdr:row>
          <xdr:rowOff>209550</xdr:rowOff>
        </xdr:to>
        <xdr:sp macro="" textlink="">
          <xdr:nvSpPr>
            <xdr:cNvPr id="139275" name="rbOutputReporting3" hidden="1">
              <a:extLst>
                <a:ext uri="{63B3BB69-23CF-44E3-9099-C40C66FF867C}">
                  <a14:compatExt spid="_x0000_s139275"/>
                </a:ext>
                <a:ext uri="{FF2B5EF4-FFF2-40B4-BE49-F238E27FC236}">
                  <a16:creationId xmlns:a16="http://schemas.microsoft.com/office/drawing/2014/main" id="{00000000-0008-0000-1300-00000B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428625</xdr:colOff>
          <xdr:row>43</xdr:row>
          <xdr:rowOff>152400</xdr:rowOff>
        </xdr:from>
        <xdr:to>
          <xdr:col>12</xdr:col>
          <xdr:colOff>1076325</xdr:colOff>
          <xdr:row>45</xdr:row>
          <xdr:rowOff>257175</xdr:rowOff>
        </xdr:to>
        <xdr:sp macro="" textlink="">
          <xdr:nvSpPr>
            <xdr:cNvPr id="139276" name="btnRestoreRenewCost" hidden="1">
              <a:extLst>
                <a:ext uri="{63B3BB69-23CF-44E3-9099-C40C66FF867C}">
                  <a14:compatExt spid="_x0000_s139276"/>
                </a:ext>
                <a:ext uri="{FF2B5EF4-FFF2-40B4-BE49-F238E27FC236}">
                  <a16:creationId xmlns:a16="http://schemas.microsoft.com/office/drawing/2014/main" id="{00000000-0008-0000-1300-00000C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71</xdr:row>
          <xdr:rowOff>171450</xdr:rowOff>
        </xdr:from>
        <xdr:to>
          <xdr:col>1</xdr:col>
          <xdr:colOff>1419225</xdr:colOff>
          <xdr:row>74</xdr:row>
          <xdr:rowOff>266700</xdr:rowOff>
        </xdr:to>
        <xdr:sp macro="" textlink="">
          <xdr:nvSpPr>
            <xdr:cNvPr id="139277" name="btnAddExCalc" hidden="1">
              <a:extLst>
                <a:ext uri="{63B3BB69-23CF-44E3-9099-C40C66FF867C}">
                  <a14:compatExt spid="_x0000_s139277"/>
                </a:ext>
                <a:ext uri="{FF2B5EF4-FFF2-40B4-BE49-F238E27FC236}">
                  <a16:creationId xmlns:a16="http://schemas.microsoft.com/office/drawing/2014/main" id="{00000000-0008-0000-1300-00000D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71</xdr:row>
          <xdr:rowOff>161925</xdr:rowOff>
        </xdr:from>
        <xdr:to>
          <xdr:col>2</xdr:col>
          <xdr:colOff>1428750</xdr:colOff>
          <xdr:row>74</xdr:row>
          <xdr:rowOff>276225</xdr:rowOff>
        </xdr:to>
        <xdr:sp macro="" textlink="">
          <xdr:nvSpPr>
            <xdr:cNvPr id="139278" name="btnDeleteExCalc" hidden="1">
              <a:extLst>
                <a:ext uri="{63B3BB69-23CF-44E3-9099-C40C66FF867C}">
                  <a14:compatExt spid="_x0000_s139278"/>
                </a:ext>
                <a:ext uri="{FF2B5EF4-FFF2-40B4-BE49-F238E27FC236}">
                  <a16:creationId xmlns:a16="http://schemas.microsoft.com/office/drawing/2014/main" id="{00000000-0008-0000-1300-00000E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428625</xdr:colOff>
          <xdr:row>71</xdr:row>
          <xdr:rowOff>142875</xdr:rowOff>
        </xdr:from>
        <xdr:to>
          <xdr:col>12</xdr:col>
          <xdr:colOff>1076325</xdr:colOff>
          <xdr:row>74</xdr:row>
          <xdr:rowOff>257175</xdr:rowOff>
        </xdr:to>
        <xdr:sp macro="" textlink="">
          <xdr:nvSpPr>
            <xdr:cNvPr id="139279" name="btnRestoreExCalCost" hidden="1">
              <a:extLst>
                <a:ext uri="{63B3BB69-23CF-44E3-9099-C40C66FF867C}">
                  <a14:compatExt spid="_x0000_s139279"/>
                </a:ext>
                <a:ext uri="{FF2B5EF4-FFF2-40B4-BE49-F238E27FC236}">
                  <a16:creationId xmlns:a16="http://schemas.microsoft.com/office/drawing/2014/main" id="{00000000-0008-0000-1300-00000F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514350</xdr:colOff>
          <xdr:row>235</xdr:row>
          <xdr:rowOff>142875</xdr:rowOff>
        </xdr:from>
        <xdr:to>
          <xdr:col>12</xdr:col>
          <xdr:colOff>1162050</xdr:colOff>
          <xdr:row>236</xdr:row>
          <xdr:rowOff>0</xdr:rowOff>
        </xdr:to>
        <xdr:sp macro="" textlink="">
          <xdr:nvSpPr>
            <xdr:cNvPr id="139292" name="btnRestoreExCalCost" hidden="1">
              <a:extLst>
                <a:ext uri="{63B3BB69-23CF-44E3-9099-C40C66FF867C}">
                  <a14:compatExt spid="_x0000_s139292"/>
                </a:ext>
                <a:ext uri="{FF2B5EF4-FFF2-40B4-BE49-F238E27FC236}">
                  <a16:creationId xmlns:a16="http://schemas.microsoft.com/office/drawing/2014/main" id="{00000000-0008-0000-1300-00001C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Virtual Rates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43</xdr:row>
          <xdr:rowOff>104775</xdr:rowOff>
        </xdr:from>
        <xdr:to>
          <xdr:col>1</xdr:col>
          <xdr:colOff>1419225</xdr:colOff>
          <xdr:row>43</xdr:row>
          <xdr:rowOff>371475</xdr:rowOff>
        </xdr:to>
        <xdr:sp macro="" textlink="">
          <xdr:nvSpPr>
            <xdr:cNvPr id="160771" name="btnAddRenewable" hidden="1">
              <a:extLst>
                <a:ext uri="{63B3BB69-23CF-44E3-9099-C40C66FF867C}">
                  <a14:compatExt spid="_x0000_s160771"/>
                </a:ext>
                <a:ext uri="{FF2B5EF4-FFF2-40B4-BE49-F238E27FC236}">
                  <a16:creationId xmlns:a16="http://schemas.microsoft.com/office/drawing/2014/main" id="{00000000-0008-0000-1400-000003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43</xdr:row>
          <xdr:rowOff>104775</xdr:rowOff>
        </xdr:from>
        <xdr:to>
          <xdr:col>2</xdr:col>
          <xdr:colOff>1400175</xdr:colOff>
          <xdr:row>43</xdr:row>
          <xdr:rowOff>371475</xdr:rowOff>
        </xdr:to>
        <xdr:sp macro="" textlink="">
          <xdr:nvSpPr>
            <xdr:cNvPr id="160772" name="btbDeleteRenewable" hidden="1">
              <a:extLst>
                <a:ext uri="{63B3BB69-23CF-44E3-9099-C40C66FF867C}">
                  <a14:compatExt spid="_x0000_s160772"/>
                </a:ext>
                <a:ext uri="{FF2B5EF4-FFF2-40B4-BE49-F238E27FC236}">
                  <a16:creationId xmlns:a16="http://schemas.microsoft.com/office/drawing/2014/main" id="{00000000-0008-0000-1400-000004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76</xdr:row>
          <xdr:rowOff>57150</xdr:rowOff>
        </xdr:from>
        <xdr:to>
          <xdr:col>1</xdr:col>
          <xdr:colOff>438150</xdr:colOff>
          <xdr:row>76</xdr:row>
          <xdr:rowOff>266700</xdr:rowOff>
        </xdr:to>
        <xdr:sp macro="" textlink="">
          <xdr:nvSpPr>
            <xdr:cNvPr id="160773" name="rbOutputReporting1" hidden="1">
              <a:extLst>
                <a:ext uri="{63B3BB69-23CF-44E3-9099-C40C66FF867C}">
                  <a14:compatExt spid="_x0000_s160773"/>
                </a:ext>
                <a:ext uri="{FF2B5EF4-FFF2-40B4-BE49-F238E27FC236}">
                  <a16:creationId xmlns:a16="http://schemas.microsoft.com/office/drawing/2014/main" id="{00000000-0008-0000-1400-000005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77</xdr:row>
          <xdr:rowOff>57150</xdr:rowOff>
        </xdr:from>
        <xdr:to>
          <xdr:col>1</xdr:col>
          <xdr:colOff>419100</xdr:colOff>
          <xdr:row>78</xdr:row>
          <xdr:rowOff>190500</xdr:rowOff>
        </xdr:to>
        <xdr:sp macro="" textlink="">
          <xdr:nvSpPr>
            <xdr:cNvPr id="160774" name="rbOutputReporting2" hidden="1">
              <a:extLst>
                <a:ext uri="{63B3BB69-23CF-44E3-9099-C40C66FF867C}">
                  <a14:compatExt spid="_x0000_s160774"/>
                </a:ext>
                <a:ext uri="{FF2B5EF4-FFF2-40B4-BE49-F238E27FC236}">
                  <a16:creationId xmlns:a16="http://schemas.microsoft.com/office/drawing/2014/main" id="{00000000-0008-0000-1400-000006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81</xdr:row>
          <xdr:rowOff>57150</xdr:rowOff>
        </xdr:from>
        <xdr:to>
          <xdr:col>1</xdr:col>
          <xdr:colOff>438150</xdr:colOff>
          <xdr:row>82</xdr:row>
          <xdr:rowOff>209550</xdr:rowOff>
        </xdr:to>
        <xdr:sp macro="" textlink="">
          <xdr:nvSpPr>
            <xdr:cNvPr id="160775" name="rbOutputReporting4" hidden="1">
              <a:extLst>
                <a:ext uri="{63B3BB69-23CF-44E3-9099-C40C66FF867C}">
                  <a14:compatExt spid="_x0000_s160775"/>
                </a:ext>
                <a:ext uri="{FF2B5EF4-FFF2-40B4-BE49-F238E27FC236}">
                  <a16:creationId xmlns:a16="http://schemas.microsoft.com/office/drawing/2014/main" id="{00000000-0008-0000-1400-000007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74</xdr:row>
          <xdr:rowOff>361950</xdr:rowOff>
        </xdr:from>
        <xdr:to>
          <xdr:col>13</xdr:col>
          <xdr:colOff>0</xdr:colOff>
          <xdr:row>84</xdr:row>
          <xdr:rowOff>0</xdr:rowOff>
        </xdr:to>
        <xdr:sp macro="" textlink="">
          <xdr:nvSpPr>
            <xdr:cNvPr id="160776" name="rbgOutputReporting" hidden="1">
              <a:extLst>
                <a:ext uri="{63B3BB69-23CF-44E3-9099-C40C66FF867C}">
                  <a14:compatExt spid="_x0000_s160776"/>
                </a:ext>
                <a:ext uri="{FF2B5EF4-FFF2-40B4-BE49-F238E27FC236}">
                  <a16:creationId xmlns:a16="http://schemas.microsoft.com/office/drawing/2014/main" id="{00000000-0008-0000-1400-0000087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24</xdr:row>
          <xdr:rowOff>95250</xdr:rowOff>
        </xdr:from>
        <xdr:to>
          <xdr:col>1</xdr:col>
          <xdr:colOff>400050</xdr:colOff>
          <xdr:row>25</xdr:row>
          <xdr:rowOff>209550</xdr:rowOff>
        </xdr:to>
        <xdr:sp macro="" textlink="">
          <xdr:nvSpPr>
            <xdr:cNvPr id="160777" name="SiteRenewable Checkbox" hidden="1">
              <a:extLst>
                <a:ext uri="{63B3BB69-23CF-44E3-9099-C40C66FF867C}">
                  <a14:compatExt spid="_x0000_s160777"/>
                </a:ext>
                <a:ext uri="{FF2B5EF4-FFF2-40B4-BE49-F238E27FC236}">
                  <a16:creationId xmlns:a16="http://schemas.microsoft.com/office/drawing/2014/main" id="{00000000-0008-0000-1400-000009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76200</xdr:rowOff>
        </xdr:from>
        <xdr:to>
          <xdr:col>1</xdr:col>
          <xdr:colOff>400050</xdr:colOff>
          <xdr:row>47</xdr:row>
          <xdr:rowOff>247650</xdr:rowOff>
        </xdr:to>
        <xdr:sp macro="" textlink="">
          <xdr:nvSpPr>
            <xdr:cNvPr id="160778" name="ExcCalcCheckbox" hidden="1">
              <a:extLst>
                <a:ext uri="{63B3BB69-23CF-44E3-9099-C40C66FF867C}">
                  <a14:compatExt spid="_x0000_s160778"/>
                </a:ext>
                <a:ext uri="{FF2B5EF4-FFF2-40B4-BE49-F238E27FC236}">
                  <a16:creationId xmlns:a16="http://schemas.microsoft.com/office/drawing/2014/main" id="{00000000-0008-0000-1400-00000A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79</xdr:row>
          <xdr:rowOff>57150</xdr:rowOff>
        </xdr:from>
        <xdr:to>
          <xdr:col>1</xdr:col>
          <xdr:colOff>419100</xdr:colOff>
          <xdr:row>80</xdr:row>
          <xdr:rowOff>209550</xdr:rowOff>
        </xdr:to>
        <xdr:sp macro="" textlink="">
          <xdr:nvSpPr>
            <xdr:cNvPr id="160779" name="rbOutputReporting3" hidden="1">
              <a:extLst>
                <a:ext uri="{63B3BB69-23CF-44E3-9099-C40C66FF867C}">
                  <a14:compatExt spid="_x0000_s160779"/>
                </a:ext>
                <a:ext uri="{FF2B5EF4-FFF2-40B4-BE49-F238E27FC236}">
                  <a16:creationId xmlns:a16="http://schemas.microsoft.com/office/drawing/2014/main" id="{00000000-0008-0000-1400-00000B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428625</xdr:colOff>
          <xdr:row>43</xdr:row>
          <xdr:rowOff>152400</xdr:rowOff>
        </xdr:from>
        <xdr:to>
          <xdr:col>12</xdr:col>
          <xdr:colOff>1076325</xdr:colOff>
          <xdr:row>43</xdr:row>
          <xdr:rowOff>409575</xdr:rowOff>
        </xdr:to>
        <xdr:sp macro="" textlink="">
          <xdr:nvSpPr>
            <xdr:cNvPr id="160780" name="btnRestoreRenewCost" hidden="1">
              <a:extLst>
                <a:ext uri="{63B3BB69-23CF-44E3-9099-C40C66FF867C}">
                  <a14:compatExt spid="_x0000_s160780"/>
                </a:ext>
                <a:ext uri="{FF2B5EF4-FFF2-40B4-BE49-F238E27FC236}">
                  <a16:creationId xmlns:a16="http://schemas.microsoft.com/office/drawing/2014/main" id="{00000000-0008-0000-1400-00000C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71</xdr:row>
          <xdr:rowOff>171450</xdr:rowOff>
        </xdr:from>
        <xdr:to>
          <xdr:col>1</xdr:col>
          <xdr:colOff>1419225</xdr:colOff>
          <xdr:row>71</xdr:row>
          <xdr:rowOff>438150</xdr:rowOff>
        </xdr:to>
        <xdr:sp macro="" textlink="">
          <xdr:nvSpPr>
            <xdr:cNvPr id="160781" name="btnAddExCalc" hidden="1">
              <a:extLst>
                <a:ext uri="{63B3BB69-23CF-44E3-9099-C40C66FF867C}">
                  <a14:compatExt spid="_x0000_s160781"/>
                </a:ext>
                <a:ext uri="{FF2B5EF4-FFF2-40B4-BE49-F238E27FC236}">
                  <a16:creationId xmlns:a16="http://schemas.microsoft.com/office/drawing/2014/main" id="{00000000-0008-0000-1400-00000D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71</xdr:row>
          <xdr:rowOff>161925</xdr:rowOff>
        </xdr:from>
        <xdr:to>
          <xdr:col>2</xdr:col>
          <xdr:colOff>1428750</xdr:colOff>
          <xdr:row>71</xdr:row>
          <xdr:rowOff>438150</xdr:rowOff>
        </xdr:to>
        <xdr:sp macro="" textlink="">
          <xdr:nvSpPr>
            <xdr:cNvPr id="160782" name="btnDeleteExCalc" hidden="1">
              <a:extLst>
                <a:ext uri="{63B3BB69-23CF-44E3-9099-C40C66FF867C}">
                  <a14:compatExt spid="_x0000_s160782"/>
                </a:ext>
                <a:ext uri="{FF2B5EF4-FFF2-40B4-BE49-F238E27FC236}">
                  <a16:creationId xmlns:a16="http://schemas.microsoft.com/office/drawing/2014/main" id="{00000000-0008-0000-1400-00000E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428625</xdr:colOff>
          <xdr:row>71</xdr:row>
          <xdr:rowOff>142875</xdr:rowOff>
        </xdr:from>
        <xdr:to>
          <xdr:col>12</xdr:col>
          <xdr:colOff>1076325</xdr:colOff>
          <xdr:row>71</xdr:row>
          <xdr:rowOff>400050</xdr:rowOff>
        </xdr:to>
        <xdr:sp macro="" textlink="">
          <xdr:nvSpPr>
            <xdr:cNvPr id="160783" name="btnRestoreExCalCost" hidden="1">
              <a:extLst>
                <a:ext uri="{63B3BB69-23CF-44E3-9099-C40C66FF867C}">
                  <a14:compatExt spid="_x0000_s160783"/>
                </a:ext>
                <a:ext uri="{FF2B5EF4-FFF2-40B4-BE49-F238E27FC236}">
                  <a16:creationId xmlns:a16="http://schemas.microsoft.com/office/drawing/2014/main" id="{00000000-0008-0000-1400-00000F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523875</xdr:colOff>
          <xdr:row>235</xdr:row>
          <xdr:rowOff>142875</xdr:rowOff>
        </xdr:from>
        <xdr:to>
          <xdr:col>12</xdr:col>
          <xdr:colOff>1171575</xdr:colOff>
          <xdr:row>236</xdr:row>
          <xdr:rowOff>0</xdr:rowOff>
        </xdr:to>
        <xdr:sp macro="" textlink="">
          <xdr:nvSpPr>
            <xdr:cNvPr id="160790" name="btnRestoreExCalCost" hidden="1">
              <a:extLst>
                <a:ext uri="{63B3BB69-23CF-44E3-9099-C40C66FF867C}">
                  <a14:compatExt spid="_x0000_s160790"/>
                </a:ext>
                <a:ext uri="{FF2B5EF4-FFF2-40B4-BE49-F238E27FC236}">
                  <a16:creationId xmlns:a16="http://schemas.microsoft.com/office/drawing/2014/main" id="{00000000-0008-0000-1400-000016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Virtual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43</xdr:row>
          <xdr:rowOff>104775</xdr:rowOff>
        </xdr:from>
        <xdr:to>
          <xdr:col>1</xdr:col>
          <xdr:colOff>1419225</xdr:colOff>
          <xdr:row>43</xdr:row>
          <xdr:rowOff>371475</xdr:rowOff>
        </xdr:to>
        <xdr:sp macro="" textlink="">
          <xdr:nvSpPr>
            <xdr:cNvPr id="160793" name="btnAddRenewable" hidden="1">
              <a:extLst>
                <a:ext uri="{63B3BB69-23CF-44E3-9099-C40C66FF867C}">
                  <a14:compatExt spid="_x0000_s160793"/>
                </a:ext>
                <a:ext uri="{FF2B5EF4-FFF2-40B4-BE49-F238E27FC236}">
                  <a16:creationId xmlns:a16="http://schemas.microsoft.com/office/drawing/2014/main" id="{00000000-0008-0000-1400-000019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43</xdr:row>
          <xdr:rowOff>104775</xdr:rowOff>
        </xdr:from>
        <xdr:to>
          <xdr:col>2</xdr:col>
          <xdr:colOff>1400175</xdr:colOff>
          <xdr:row>43</xdr:row>
          <xdr:rowOff>371475</xdr:rowOff>
        </xdr:to>
        <xdr:sp macro="" textlink="">
          <xdr:nvSpPr>
            <xdr:cNvPr id="160794" name="btbDeleteRenewable" hidden="1">
              <a:extLst>
                <a:ext uri="{63B3BB69-23CF-44E3-9099-C40C66FF867C}">
                  <a14:compatExt spid="_x0000_s160794"/>
                </a:ext>
                <a:ext uri="{FF2B5EF4-FFF2-40B4-BE49-F238E27FC236}">
                  <a16:creationId xmlns:a16="http://schemas.microsoft.com/office/drawing/2014/main" id="{00000000-0008-0000-1400-00001A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76</xdr:row>
          <xdr:rowOff>57150</xdr:rowOff>
        </xdr:from>
        <xdr:to>
          <xdr:col>1</xdr:col>
          <xdr:colOff>466725</xdr:colOff>
          <xdr:row>76</xdr:row>
          <xdr:rowOff>266700</xdr:rowOff>
        </xdr:to>
        <xdr:sp macro="" textlink="">
          <xdr:nvSpPr>
            <xdr:cNvPr id="160795" name="rbOutputReporting1" hidden="1">
              <a:extLst>
                <a:ext uri="{63B3BB69-23CF-44E3-9099-C40C66FF867C}">
                  <a14:compatExt spid="_x0000_s160795"/>
                </a:ext>
                <a:ext uri="{FF2B5EF4-FFF2-40B4-BE49-F238E27FC236}">
                  <a16:creationId xmlns:a16="http://schemas.microsoft.com/office/drawing/2014/main" id="{00000000-0008-0000-1400-00001B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77</xdr:row>
          <xdr:rowOff>57150</xdr:rowOff>
        </xdr:from>
        <xdr:to>
          <xdr:col>1</xdr:col>
          <xdr:colOff>419100</xdr:colOff>
          <xdr:row>78</xdr:row>
          <xdr:rowOff>190500</xdr:rowOff>
        </xdr:to>
        <xdr:sp macro="" textlink="">
          <xdr:nvSpPr>
            <xdr:cNvPr id="160796" name="rbOutputReporting2" hidden="1">
              <a:extLst>
                <a:ext uri="{63B3BB69-23CF-44E3-9099-C40C66FF867C}">
                  <a14:compatExt spid="_x0000_s160796"/>
                </a:ext>
                <a:ext uri="{FF2B5EF4-FFF2-40B4-BE49-F238E27FC236}">
                  <a16:creationId xmlns:a16="http://schemas.microsoft.com/office/drawing/2014/main" id="{00000000-0008-0000-1400-00001C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81</xdr:row>
          <xdr:rowOff>57150</xdr:rowOff>
        </xdr:from>
        <xdr:to>
          <xdr:col>1</xdr:col>
          <xdr:colOff>438150</xdr:colOff>
          <xdr:row>82</xdr:row>
          <xdr:rowOff>209550</xdr:rowOff>
        </xdr:to>
        <xdr:sp macro="" textlink="">
          <xdr:nvSpPr>
            <xdr:cNvPr id="160797" name="rbOutputReporting4" hidden="1">
              <a:extLst>
                <a:ext uri="{63B3BB69-23CF-44E3-9099-C40C66FF867C}">
                  <a14:compatExt spid="_x0000_s160797"/>
                </a:ext>
                <a:ext uri="{FF2B5EF4-FFF2-40B4-BE49-F238E27FC236}">
                  <a16:creationId xmlns:a16="http://schemas.microsoft.com/office/drawing/2014/main" id="{00000000-0008-0000-1400-00001D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74</xdr:row>
          <xdr:rowOff>361950</xdr:rowOff>
        </xdr:from>
        <xdr:to>
          <xdr:col>13</xdr:col>
          <xdr:colOff>0</xdr:colOff>
          <xdr:row>84</xdr:row>
          <xdr:rowOff>0</xdr:rowOff>
        </xdr:to>
        <xdr:sp macro="" textlink="">
          <xdr:nvSpPr>
            <xdr:cNvPr id="160798" name="rbgOutputReporting" hidden="1">
              <a:extLst>
                <a:ext uri="{63B3BB69-23CF-44E3-9099-C40C66FF867C}">
                  <a14:compatExt spid="_x0000_s160798"/>
                </a:ext>
                <a:ext uri="{FF2B5EF4-FFF2-40B4-BE49-F238E27FC236}">
                  <a16:creationId xmlns:a16="http://schemas.microsoft.com/office/drawing/2014/main" id="{00000000-0008-0000-1400-00001E7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24</xdr:row>
          <xdr:rowOff>95250</xdr:rowOff>
        </xdr:from>
        <xdr:to>
          <xdr:col>1</xdr:col>
          <xdr:colOff>400050</xdr:colOff>
          <xdr:row>25</xdr:row>
          <xdr:rowOff>209550</xdr:rowOff>
        </xdr:to>
        <xdr:sp macro="" textlink="">
          <xdr:nvSpPr>
            <xdr:cNvPr id="160799" name="SiteRenewable Checkbox" hidden="1">
              <a:extLst>
                <a:ext uri="{63B3BB69-23CF-44E3-9099-C40C66FF867C}">
                  <a14:compatExt spid="_x0000_s160799"/>
                </a:ext>
                <a:ext uri="{FF2B5EF4-FFF2-40B4-BE49-F238E27FC236}">
                  <a16:creationId xmlns:a16="http://schemas.microsoft.com/office/drawing/2014/main" id="{00000000-0008-0000-1400-00001F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76200</xdr:rowOff>
        </xdr:from>
        <xdr:to>
          <xdr:col>1</xdr:col>
          <xdr:colOff>400050</xdr:colOff>
          <xdr:row>47</xdr:row>
          <xdr:rowOff>247650</xdr:rowOff>
        </xdr:to>
        <xdr:sp macro="" textlink="">
          <xdr:nvSpPr>
            <xdr:cNvPr id="160800" name="ExcCalcCheckbox" hidden="1">
              <a:extLst>
                <a:ext uri="{63B3BB69-23CF-44E3-9099-C40C66FF867C}">
                  <a14:compatExt spid="_x0000_s160800"/>
                </a:ext>
                <a:ext uri="{FF2B5EF4-FFF2-40B4-BE49-F238E27FC236}">
                  <a16:creationId xmlns:a16="http://schemas.microsoft.com/office/drawing/2014/main" id="{00000000-0008-0000-1400-000020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79</xdr:row>
          <xdr:rowOff>57150</xdr:rowOff>
        </xdr:from>
        <xdr:to>
          <xdr:col>1</xdr:col>
          <xdr:colOff>419100</xdr:colOff>
          <xdr:row>80</xdr:row>
          <xdr:rowOff>209550</xdr:rowOff>
        </xdr:to>
        <xdr:sp macro="" textlink="">
          <xdr:nvSpPr>
            <xdr:cNvPr id="160801" name="rbOutputReporting3" hidden="1">
              <a:extLst>
                <a:ext uri="{63B3BB69-23CF-44E3-9099-C40C66FF867C}">
                  <a14:compatExt spid="_x0000_s160801"/>
                </a:ext>
                <a:ext uri="{FF2B5EF4-FFF2-40B4-BE49-F238E27FC236}">
                  <a16:creationId xmlns:a16="http://schemas.microsoft.com/office/drawing/2014/main" id="{00000000-0008-0000-1400-000021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428625</xdr:colOff>
          <xdr:row>43</xdr:row>
          <xdr:rowOff>152400</xdr:rowOff>
        </xdr:from>
        <xdr:to>
          <xdr:col>12</xdr:col>
          <xdr:colOff>1076325</xdr:colOff>
          <xdr:row>43</xdr:row>
          <xdr:rowOff>409575</xdr:rowOff>
        </xdr:to>
        <xdr:sp macro="" textlink="">
          <xdr:nvSpPr>
            <xdr:cNvPr id="160802" name="btnRestoreRenewCost" hidden="1">
              <a:extLst>
                <a:ext uri="{63B3BB69-23CF-44E3-9099-C40C66FF867C}">
                  <a14:compatExt spid="_x0000_s160802"/>
                </a:ext>
                <a:ext uri="{FF2B5EF4-FFF2-40B4-BE49-F238E27FC236}">
                  <a16:creationId xmlns:a16="http://schemas.microsoft.com/office/drawing/2014/main" id="{00000000-0008-0000-1400-000022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71</xdr:row>
          <xdr:rowOff>171450</xdr:rowOff>
        </xdr:from>
        <xdr:to>
          <xdr:col>1</xdr:col>
          <xdr:colOff>1419225</xdr:colOff>
          <xdr:row>71</xdr:row>
          <xdr:rowOff>438150</xdr:rowOff>
        </xdr:to>
        <xdr:sp macro="" textlink="">
          <xdr:nvSpPr>
            <xdr:cNvPr id="160803" name="btnAddExCalc" hidden="1">
              <a:extLst>
                <a:ext uri="{63B3BB69-23CF-44E3-9099-C40C66FF867C}">
                  <a14:compatExt spid="_x0000_s160803"/>
                </a:ext>
                <a:ext uri="{FF2B5EF4-FFF2-40B4-BE49-F238E27FC236}">
                  <a16:creationId xmlns:a16="http://schemas.microsoft.com/office/drawing/2014/main" id="{00000000-0008-0000-1400-000023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71</xdr:row>
          <xdr:rowOff>161925</xdr:rowOff>
        </xdr:from>
        <xdr:to>
          <xdr:col>2</xdr:col>
          <xdr:colOff>1428750</xdr:colOff>
          <xdr:row>71</xdr:row>
          <xdr:rowOff>438150</xdr:rowOff>
        </xdr:to>
        <xdr:sp macro="" textlink="">
          <xdr:nvSpPr>
            <xdr:cNvPr id="160804" name="btnDeleteExCalc" hidden="1">
              <a:extLst>
                <a:ext uri="{63B3BB69-23CF-44E3-9099-C40C66FF867C}">
                  <a14:compatExt spid="_x0000_s160804"/>
                </a:ext>
                <a:ext uri="{FF2B5EF4-FFF2-40B4-BE49-F238E27FC236}">
                  <a16:creationId xmlns:a16="http://schemas.microsoft.com/office/drawing/2014/main" id="{00000000-0008-0000-1400-000024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428625</xdr:colOff>
          <xdr:row>71</xdr:row>
          <xdr:rowOff>142875</xdr:rowOff>
        </xdr:from>
        <xdr:to>
          <xdr:col>12</xdr:col>
          <xdr:colOff>1076325</xdr:colOff>
          <xdr:row>71</xdr:row>
          <xdr:rowOff>400050</xdr:rowOff>
        </xdr:to>
        <xdr:sp macro="" textlink="">
          <xdr:nvSpPr>
            <xdr:cNvPr id="160805" name="btnRestoreExCalCost" hidden="1">
              <a:extLst>
                <a:ext uri="{63B3BB69-23CF-44E3-9099-C40C66FF867C}">
                  <a14:compatExt spid="_x0000_s160805"/>
                </a:ext>
                <a:ext uri="{FF2B5EF4-FFF2-40B4-BE49-F238E27FC236}">
                  <a16:creationId xmlns:a16="http://schemas.microsoft.com/office/drawing/2014/main" id="{00000000-0008-0000-1400-000025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514350</xdr:colOff>
          <xdr:row>235</xdr:row>
          <xdr:rowOff>142875</xdr:rowOff>
        </xdr:from>
        <xdr:to>
          <xdr:col>12</xdr:col>
          <xdr:colOff>1162050</xdr:colOff>
          <xdr:row>236</xdr:row>
          <xdr:rowOff>0</xdr:rowOff>
        </xdr:to>
        <xdr:sp macro="" textlink="">
          <xdr:nvSpPr>
            <xdr:cNvPr id="160806" name="Button 38" hidden="1">
              <a:extLst>
                <a:ext uri="{63B3BB69-23CF-44E3-9099-C40C66FF867C}">
                  <a14:compatExt spid="_x0000_s160806"/>
                </a:ext>
                <a:ext uri="{FF2B5EF4-FFF2-40B4-BE49-F238E27FC236}">
                  <a16:creationId xmlns:a16="http://schemas.microsoft.com/office/drawing/2014/main" id="{00000000-0008-0000-1400-0000267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Virtual Rates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Envelope%20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velope Lookup"/>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drawing" Target="../drawings/drawing3.x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vmlDrawing" Target="../drawings/vmlDrawing2.vml"/><Relationship Id="rId9"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21.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drawing" Target="../drawings/drawing6.xml"/><Relationship Id="rId7" Type="http://schemas.openxmlformats.org/officeDocument/2006/relationships/ctrlProp" Target="../ctrlProps/ctrlProp24.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3" Type="http://schemas.openxmlformats.org/officeDocument/2006/relationships/drawing" Target="../drawings/drawing7.x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 Type="http://schemas.openxmlformats.org/officeDocument/2006/relationships/printerSettings" Target="../printerSettings/printerSettings14.bin"/><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1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vmlDrawing" Target="../drawings/vmlDrawing6.vml"/><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7.xml"/><Relationship Id="rId3" Type="http://schemas.openxmlformats.org/officeDocument/2006/relationships/drawing" Target="../drawings/drawing8.xml"/><Relationship Id="rId7" Type="http://schemas.openxmlformats.org/officeDocument/2006/relationships/ctrlProp" Target="../ctrlProps/ctrlProp46.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ctrlProp" Target="../ctrlProps/ctrlProp45.xml"/><Relationship Id="rId5" Type="http://schemas.openxmlformats.org/officeDocument/2006/relationships/ctrlProp" Target="../ctrlProps/ctrlProp44.xml"/><Relationship Id="rId10" Type="http://schemas.openxmlformats.org/officeDocument/2006/relationships/ctrlProp" Target="../ctrlProps/ctrlProp49.xml"/><Relationship Id="rId4" Type="http://schemas.openxmlformats.org/officeDocument/2006/relationships/vmlDrawing" Target="../drawings/vmlDrawing7.vml"/><Relationship Id="rId9" Type="http://schemas.openxmlformats.org/officeDocument/2006/relationships/ctrlProp" Target="../ctrlProps/ctrlProp4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3.xml"/><Relationship Id="rId13" Type="http://schemas.openxmlformats.org/officeDocument/2006/relationships/ctrlProp" Target="../ctrlProps/ctrlProp58.xml"/><Relationship Id="rId3" Type="http://schemas.openxmlformats.org/officeDocument/2006/relationships/drawing" Target="../drawings/drawing9.xml"/><Relationship Id="rId7" Type="http://schemas.openxmlformats.org/officeDocument/2006/relationships/ctrlProp" Target="../ctrlProps/ctrlProp52.xml"/><Relationship Id="rId12" Type="http://schemas.openxmlformats.org/officeDocument/2006/relationships/ctrlProp" Target="../ctrlProps/ctrlProp57.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0" Type="http://schemas.openxmlformats.org/officeDocument/2006/relationships/ctrlProp" Target="../ctrlProps/ctrlProp55.xml"/><Relationship Id="rId4" Type="http://schemas.openxmlformats.org/officeDocument/2006/relationships/vmlDrawing" Target="../drawings/vmlDrawing8.vml"/><Relationship Id="rId9" Type="http://schemas.openxmlformats.org/officeDocument/2006/relationships/ctrlProp" Target="../ctrlProps/ctrlProp54.xml"/><Relationship Id="rId14" Type="http://schemas.openxmlformats.org/officeDocument/2006/relationships/ctrlProp" Target="../ctrlProps/ctrlProp5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drawing" Target="../drawings/drawing10.xml"/><Relationship Id="rId7" Type="http://schemas.openxmlformats.org/officeDocument/2006/relationships/ctrlProp" Target="../ctrlProps/ctrlProp62.xml"/><Relationship Id="rId12" Type="http://schemas.openxmlformats.org/officeDocument/2006/relationships/ctrlProp" Target="../ctrlProps/ctrlProp67.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5" Type="http://schemas.openxmlformats.org/officeDocument/2006/relationships/ctrlProp" Target="../ctrlProps/ctrlProp70.xml"/><Relationship Id="rId10" Type="http://schemas.openxmlformats.org/officeDocument/2006/relationships/ctrlProp" Target="../ctrlProps/ctrlProp65.xml"/><Relationship Id="rId4" Type="http://schemas.openxmlformats.org/officeDocument/2006/relationships/vmlDrawing" Target="../drawings/vmlDrawing9.vml"/><Relationship Id="rId9" Type="http://schemas.openxmlformats.org/officeDocument/2006/relationships/ctrlProp" Target="../ctrlProps/ctrlProp64.xml"/><Relationship Id="rId14" Type="http://schemas.openxmlformats.org/officeDocument/2006/relationships/ctrlProp" Target="../ctrlProps/ctrlProp69.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1.xml"/><Relationship Id="rId7" Type="http://schemas.openxmlformats.org/officeDocument/2006/relationships/ctrlProp" Target="../ctrlProps/ctrlProp73.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77.xml"/><Relationship Id="rId3" Type="http://schemas.openxmlformats.org/officeDocument/2006/relationships/drawing" Target="../drawings/drawing12.xml"/><Relationship Id="rId7" Type="http://schemas.openxmlformats.org/officeDocument/2006/relationships/ctrlProp" Target="../ctrlProps/ctrlProp76.x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3.xml"/><Relationship Id="rId7" Type="http://schemas.openxmlformats.org/officeDocument/2006/relationships/comments" Target="../comments1.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ctrlProp" Target="../ctrlProps/ctrlProp79.xml"/><Relationship Id="rId5" Type="http://schemas.openxmlformats.org/officeDocument/2006/relationships/ctrlProp" Target="../ctrlProps/ctrlProp78.xml"/><Relationship Id="rId4"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14.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15.xml"/><Relationship Id="rId16" Type="http://schemas.openxmlformats.org/officeDocument/2006/relationships/ctrlProp" Target="../ctrlProps/ctrlProp94.xml"/><Relationship Id="rId20" Type="http://schemas.openxmlformats.org/officeDocument/2006/relationships/comments" Target="../comments2.xml"/><Relationship Id="rId1" Type="http://schemas.openxmlformats.org/officeDocument/2006/relationships/printerSettings" Target="../printerSettings/printerSettings33.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02.xml"/><Relationship Id="rId13" Type="http://schemas.openxmlformats.org/officeDocument/2006/relationships/ctrlProp" Target="../ctrlProps/ctrlProp107.xml"/><Relationship Id="rId18" Type="http://schemas.openxmlformats.org/officeDocument/2006/relationships/ctrlProp" Target="../ctrlProps/ctrlProp112.xml"/><Relationship Id="rId26" Type="http://schemas.openxmlformats.org/officeDocument/2006/relationships/ctrlProp" Target="../ctrlProps/ctrlProp120.xml"/><Relationship Id="rId3" Type="http://schemas.openxmlformats.org/officeDocument/2006/relationships/vmlDrawing" Target="../drawings/vmlDrawing15.vml"/><Relationship Id="rId21" Type="http://schemas.openxmlformats.org/officeDocument/2006/relationships/ctrlProp" Target="../ctrlProps/ctrlProp115.xml"/><Relationship Id="rId7" Type="http://schemas.openxmlformats.org/officeDocument/2006/relationships/ctrlProp" Target="../ctrlProps/ctrlProp101.xml"/><Relationship Id="rId12" Type="http://schemas.openxmlformats.org/officeDocument/2006/relationships/ctrlProp" Target="../ctrlProps/ctrlProp106.xml"/><Relationship Id="rId17" Type="http://schemas.openxmlformats.org/officeDocument/2006/relationships/ctrlProp" Target="../ctrlProps/ctrlProp111.xml"/><Relationship Id="rId25" Type="http://schemas.openxmlformats.org/officeDocument/2006/relationships/ctrlProp" Target="../ctrlProps/ctrlProp119.xml"/><Relationship Id="rId2" Type="http://schemas.openxmlformats.org/officeDocument/2006/relationships/drawing" Target="../drawings/drawing16.xml"/><Relationship Id="rId16" Type="http://schemas.openxmlformats.org/officeDocument/2006/relationships/ctrlProp" Target="../ctrlProps/ctrlProp110.xml"/><Relationship Id="rId20" Type="http://schemas.openxmlformats.org/officeDocument/2006/relationships/ctrlProp" Target="../ctrlProps/ctrlProp114.xml"/><Relationship Id="rId29" Type="http://schemas.openxmlformats.org/officeDocument/2006/relationships/ctrlProp" Target="../ctrlProps/ctrlProp123.xml"/><Relationship Id="rId1" Type="http://schemas.openxmlformats.org/officeDocument/2006/relationships/printerSettings" Target="../printerSettings/printerSettings34.bin"/><Relationship Id="rId6" Type="http://schemas.openxmlformats.org/officeDocument/2006/relationships/ctrlProp" Target="../ctrlProps/ctrlProp100.xml"/><Relationship Id="rId11" Type="http://schemas.openxmlformats.org/officeDocument/2006/relationships/ctrlProp" Target="../ctrlProps/ctrlProp105.xml"/><Relationship Id="rId24" Type="http://schemas.openxmlformats.org/officeDocument/2006/relationships/ctrlProp" Target="../ctrlProps/ctrlProp118.xml"/><Relationship Id="rId32" Type="http://schemas.openxmlformats.org/officeDocument/2006/relationships/comments" Target="../comments3.xml"/><Relationship Id="rId5" Type="http://schemas.openxmlformats.org/officeDocument/2006/relationships/ctrlProp" Target="../ctrlProps/ctrlProp99.xml"/><Relationship Id="rId15" Type="http://schemas.openxmlformats.org/officeDocument/2006/relationships/ctrlProp" Target="../ctrlProps/ctrlProp109.xml"/><Relationship Id="rId23" Type="http://schemas.openxmlformats.org/officeDocument/2006/relationships/ctrlProp" Target="../ctrlProps/ctrlProp117.xml"/><Relationship Id="rId28" Type="http://schemas.openxmlformats.org/officeDocument/2006/relationships/ctrlProp" Target="../ctrlProps/ctrlProp122.xml"/><Relationship Id="rId10" Type="http://schemas.openxmlformats.org/officeDocument/2006/relationships/ctrlProp" Target="../ctrlProps/ctrlProp104.xml"/><Relationship Id="rId19" Type="http://schemas.openxmlformats.org/officeDocument/2006/relationships/ctrlProp" Target="../ctrlProps/ctrlProp113.xml"/><Relationship Id="rId31" Type="http://schemas.openxmlformats.org/officeDocument/2006/relationships/ctrlProp" Target="../ctrlProps/ctrlProp125.xml"/><Relationship Id="rId4" Type="http://schemas.openxmlformats.org/officeDocument/2006/relationships/ctrlProp" Target="../ctrlProps/ctrlProp98.xml"/><Relationship Id="rId9" Type="http://schemas.openxmlformats.org/officeDocument/2006/relationships/ctrlProp" Target="../ctrlProps/ctrlProp103.xml"/><Relationship Id="rId14" Type="http://schemas.openxmlformats.org/officeDocument/2006/relationships/ctrlProp" Target="../ctrlProps/ctrlProp108.xml"/><Relationship Id="rId22" Type="http://schemas.openxmlformats.org/officeDocument/2006/relationships/ctrlProp" Target="../ctrlProps/ctrlProp116.xml"/><Relationship Id="rId27" Type="http://schemas.openxmlformats.org/officeDocument/2006/relationships/ctrlProp" Target="../ctrlProps/ctrlProp121.xml"/><Relationship Id="rId30" Type="http://schemas.openxmlformats.org/officeDocument/2006/relationships/ctrlProp" Target="../ctrlProps/ctrlProp12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 Id="rId4" Type="http://schemas.openxmlformats.org/officeDocument/2006/relationships/comments" Target="../comments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0"/>
  <dimension ref="A1:L85"/>
  <sheetViews>
    <sheetView showGridLines="0" zoomScaleNormal="100" zoomScaleSheetLayoutView="100" zoomScalePageLayoutView="90" workbookViewId="0">
      <selection activeCell="G26" sqref="G26"/>
    </sheetView>
  </sheetViews>
  <sheetFormatPr defaultColWidth="8.7109375" defaultRowHeight="15" outlineLevelCol="1" x14ac:dyDescent="0.2"/>
  <cols>
    <col min="1" max="1" width="2.7109375" style="4" customWidth="1"/>
    <col min="2" max="2" width="2.42578125" style="3" customWidth="1"/>
    <col min="3" max="3" width="7" style="3" customWidth="1"/>
    <col min="4" max="4" width="2.7109375" style="3" customWidth="1"/>
    <col min="5" max="5" width="5.7109375" style="4" customWidth="1"/>
    <col min="6" max="6" width="85.7109375" style="4" customWidth="1"/>
    <col min="7" max="7" width="2.7109375" style="4" customWidth="1"/>
    <col min="8" max="8" width="10.42578125" style="4" customWidth="1"/>
    <col min="9" max="9" width="50.42578125" style="4" hidden="1" customWidth="1" outlineLevel="1"/>
    <col min="10" max="10" width="8.7109375" style="4" hidden="1" customWidth="1" outlineLevel="1"/>
    <col min="11" max="11" width="8.7109375" style="4" customWidth="1" collapsed="1"/>
    <col min="12" max="13" width="8.7109375" style="4" customWidth="1"/>
    <col min="14" max="16384" width="8.7109375" style="4"/>
  </cols>
  <sheetData>
    <row r="1" spans="1:12" s="5" customFormat="1" ht="15" customHeight="1" x14ac:dyDescent="0.2">
      <c r="B1" s="6"/>
      <c r="C1" s="6"/>
      <c r="D1" s="6"/>
      <c r="E1" s="6"/>
      <c r="F1" s="6"/>
      <c r="G1" s="7"/>
      <c r="H1" s="7"/>
      <c r="I1" s="7"/>
      <c r="J1" s="7"/>
      <c r="K1" s="7"/>
    </row>
    <row r="2" spans="1:12" s="5" customFormat="1" ht="15" customHeight="1" x14ac:dyDescent="0.2">
      <c r="B2" s="8"/>
      <c r="C2" s="9"/>
      <c r="D2" s="9"/>
      <c r="E2" s="9"/>
      <c r="F2" s="9"/>
      <c r="G2" s="10"/>
      <c r="H2" s="7"/>
      <c r="I2" s="7"/>
      <c r="J2" s="7"/>
      <c r="K2" s="7"/>
    </row>
    <row r="3" spans="1:12" s="7" customFormat="1" ht="42" customHeight="1" x14ac:dyDescent="0.25">
      <c r="A3" s="11"/>
      <c r="B3" s="18"/>
      <c r="C3" s="19"/>
      <c r="D3" s="19"/>
      <c r="E3" s="2385" t="s">
        <v>1206</v>
      </c>
      <c r="F3" s="2386"/>
      <c r="G3" s="20"/>
      <c r="H3" s="12"/>
      <c r="J3" s="12"/>
      <c r="K3" s="12"/>
      <c r="L3" s="12"/>
    </row>
    <row r="4" spans="1:12" s="7" customFormat="1" ht="21.6" customHeight="1" x14ac:dyDescent="0.25">
      <c r="A4" s="11"/>
      <c r="B4" s="18"/>
      <c r="C4" s="19"/>
      <c r="D4" s="19"/>
      <c r="E4" s="2392">
        <v>42887</v>
      </c>
      <c r="F4" s="2393"/>
      <c r="G4" s="20"/>
      <c r="H4" s="12"/>
      <c r="J4" s="12"/>
      <c r="K4" s="12"/>
      <c r="L4" s="12"/>
    </row>
    <row r="5" spans="1:12" s="7" customFormat="1" ht="21" customHeight="1" x14ac:dyDescent="0.25">
      <c r="A5" s="11"/>
      <c r="B5" s="18"/>
      <c r="C5" s="19"/>
      <c r="D5" s="19"/>
      <c r="E5" s="2269" t="s">
        <v>2071</v>
      </c>
      <c r="F5" s="247"/>
      <c r="G5" s="20"/>
      <c r="H5" s="12"/>
      <c r="J5" s="12"/>
      <c r="K5" s="12"/>
      <c r="L5" s="12"/>
    </row>
    <row r="6" spans="1:12" s="7" customFormat="1" ht="41.25" customHeight="1" x14ac:dyDescent="0.25">
      <c r="A6" s="11"/>
      <c r="B6" s="18"/>
      <c r="C6" s="19"/>
      <c r="D6" s="19"/>
      <c r="E6" s="2387" t="s">
        <v>2070</v>
      </c>
      <c r="F6" s="2389"/>
      <c r="G6" s="20"/>
      <c r="H6" s="12"/>
      <c r="J6" s="12"/>
      <c r="K6" s="12"/>
      <c r="L6" s="12"/>
    </row>
    <row r="7" spans="1:12" s="682" customFormat="1" ht="21" customHeight="1" x14ac:dyDescent="0.25">
      <c r="B7" s="683"/>
      <c r="C7" s="684"/>
      <c r="D7" s="685"/>
      <c r="E7" s="2394" t="s">
        <v>2072</v>
      </c>
      <c r="F7" s="2395"/>
      <c r="G7" s="687"/>
      <c r="J7" s="688"/>
    </row>
    <row r="8" spans="1:12" s="682" customFormat="1" ht="15.75" customHeight="1" x14ac:dyDescent="0.25">
      <c r="B8" s="683"/>
      <c r="C8" s="684"/>
      <c r="D8" s="685"/>
      <c r="E8" s="686"/>
      <c r="F8" s="686"/>
      <c r="G8" s="687"/>
      <c r="J8" s="688"/>
    </row>
    <row r="9" spans="1:12" s="5" customFormat="1" ht="15" customHeight="1" x14ac:dyDescent="0.2">
      <c r="B9" s="13"/>
      <c r="C9" s="14"/>
      <c r="D9" s="14"/>
      <c r="E9" s="17" t="s">
        <v>299</v>
      </c>
      <c r="F9" s="14"/>
      <c r="G9" s="15"/>
      <c r="I9" s="7"/>
      <c r="J9" s="7"/>
      <c r="K9" s="7"/>
      <c r="L9" s="7"/>
    </row>
    <row r="10" spans="1:12" s="5" customFormat="1" ht="15" customHeight="1" x14ac:dyDescent="0.2">
      <c r="B10" s="13"/>
      <c r="C10" s="14"/>
      <c r="D10" s="14"/>
      <c r="E10" s="16" t="s">
        <v>1208</v>
      </c>
      <c r="F10" s="14"/>
      <c r="G10" s="15"/>
      <c r="I10" s="7"/>
      <c r="J10" s="7"/>
      <c r="K10" s="7"/>
      <c r="L10" s="7"/>
    </row>
    <row r="11" spans="1:12" s="682" customFormat="1" ht="21" customHeight="1" x14ac:dyDescent="0.25">
      <c r="B11" s="683"/>
      <c r="C11" s="684"/>
      <c r="D11" s="685"/>
      <c r="E11" s="686" t="s">
        <v>1207</v>
      </c>
      <c r="F11" s="686"/>
      <c r="G11" s="687"/>
      <c r="J11" s="688"/>
    </row>
    <row r="12" spans="1:12" s="5" customFormat="1" ht="15" customHeight="1" x14ac:dyDescent="0.2">
      <c r="B12" s="13"/>
      <c r="C12" s="14"/>
      <c r="D12" s="14"/>
      <c r="E12" s="16"/>
      <c r="F12" s="14"/>
      <c r="G12" s="15"/>
      <c r="J12" s="7"/>
      <c r="K12" s="7"/>
      <c r="L12" s="7"/>
    </row>
    <row r="13" spans="1:12" s="5" customFormat="1" ht="15" customHeight="1" x14ac:dyDescent="0.2">
      <c r="B13" s="13"/>
      <c r="C13" s="14"/>
      <c r="D13" s="14"/>
      <c r="E13" s="17" t="s">
        <v>300</v>
      </c>
      <c r="F13" s="14"/>
      <c r="G13" s="15"/>
      <c r="I13" s="7"/>
      <c r="J13" s="7"/>
      <c r="K13" s="7"/>
      <c r="L13" s="7"/>
    </row>
    <row r="14" spans="1:12" s="5" customFormat="1" ht="280.5" customHeight="1" x14ac:dyDescent="0.2">
      <c r="B14" s="13"/>
      <c r="C14" s="14"/>
      <c r="D14" s="14"/>
      <c r="E14" s="2387" t="s">
        <v>2073</v>
      </c>
      <c r="F14" s="2387"/>
      <c r="G14" s="15"/>
      <c r="J14" s="7"/>
      <c r="K14" s="7"/>
      <c r="L14" s="7"/>
    </row>
    <row r="15" spans="1:12" s="5" customFormat="1" ht="15" customHeight="1" x14ac:dyDescent="0.2">
      <c r="B15" s="13"/>
      <c r="C15" s="14"/>
      <c r="D15" s="14"/>
      <c r="E15" s="16"/>
      <c r="F15" s="14"/>
      <c r="G15" s="15"/>
      <c r="J15" s="7"/>
      <c r="K15" s="7"/>
      <c r="L15" s="7"/>
    </row>
    <row r="16" spans="1:12" s="5" customFormat="1" ht="15" customHeight="1" x14ac:dyDescent="0.2">
      <c r="B16" s="13"/>
      <c r="C16" s="14"/>
      <c r="D16" s="14"/>
      <c r="E16" s="17" t="s">
        <v>302</v>
      </c>
      <c r="F16" s="14"/>
      <c r="G16" s="15"/>
      <c r="I16" s="7"/>
      <c r="J16" s="7"/>
      <c r="K16" s="7"/>
      <c r="L16" s="7"/>
    </row>
    <row r="17" spans="2:12" s="5" customFormat="1" ht="57.75" customHeight="1" x14ac:dyDescent="0.2">
      <c r="B17" s="13"/>
      <c r="C17" s="14"/>
      <c r="D17" s="14"/>
      <c r="E17" s="2388" t="s">
        <v>2074</v>
      </c>
      <c r="F17" s="2388"/>
      <c r="G17" s="15"/>
      <c r="I17" s="7"/>
      <c r="J17" s="7"/>
      <c r="K17" s="7"/>
      <c r="L17" s="7"/>
    </row>
    <row r="18" spans="2:12" s="5" customFormat="1" ht="277.5" customHeight="1" x14ac:dyDescent="0.2">
      <c r="B18" s="13"/>
      <c r="C18" s="14"/>
      <c r="D18" s="14"/>
      <c r="E18" s="2390" t="s">
        <v>2075</v>
      </c>
      <c r="F18" s="2391"/>
      <c r="G18" s="15"/>
      <c r="I18" s="7"/>
      <c r="J18" s="7"/>
      <c r="K18" s="7"/>
      <c r="L18" s="7"/>
    </row>
    <row r="19" spans="2:12" s="5" customFormat="1" ht="24" customHeight="1" x14ac:dyDescent="0.2">
      <c r="B19" s="21"/>
      <c r="C19" s="22"/>
      <c r="D19" s="22"/>
      <c r="E19" s="23"/>
      <c r="F19" s="22"/>
      <c r="G19" s="24"/>
      <c r="J19" s="7"/>
      <c r="K19" s="4"/>
      <c r="L19" s="7"/>
    </row>
    <row r="20" spans="2:12" ht="9" customHeight="1" x14ac:dyDescent="0.2">
      <c r="I20" s="52" t="s">
        <v>308</v>
      </c>
    </row>
    <row r="21" spans="2:12" ht="12" customHeight="1" x14ac:dyDescent="0.2">
      <c r="G21" s="827" t="s">
        <v>2240</v>
      </c>
      <c r="I21" s="95" t="s">
        <v>28</v>
      </c>
    </row>
    <row r="22" spans="2:12" ht="12" customHeight="1" x14ac:dyDescent="0.2">
      <c r="G22" s="827" t="s">
        <v>1334</v>
      </c>
      <c r="I22" s="95" t="s">
        <v>31</v>
      </c>
    </row>
    <row r="23" spans="2:12" ht="12" customHeight="1" x14ac:dyDescent="0.2">
      <c r="G23" s="828" t="s">
        <v>1335</v>
      </c>
      <c r="I23" s="95" t="s">
        <v>29</v>
      </c>
    </row>
    <row r="24" spans="2:12" ht="12" customHeight="1" x14ac:dyDescent="0.2">
      <c r="G24" s="829" t="s">
        <v>1336</v>
      </c>
      <c r="I24" s="95" t="s">
        <v>30</v>
      </c>
    </row>
    <row r="25" spans="2:12" x14ac:dyDescent="0.2">
      <c r="G25" s="829" t="s">
        <v>2241</v>
      </c>
      <c r="I25" s="95" t="s">
        <v>32</v>
      </c>
    </row>
    <row r="26" spans="2:12" x14ac:dyDescent="0.2">
      <c r="I26" s="95" t="s">
        <v>151</v>
      </c>
    </row>
    <row r="28" spans="2:12" x14ac:dyDescent="0.2">
      <c r="I28" s="52" t="s">
        <v>332</v>
      </c>
    </row>
    <row r="29" spans="2:12" ht="41.25" customHeight="1" x14ac:dyDescent="0.2">
      <c r="I29" s="96" t="s">
        <v>333</v>
      </c>
    </row>
    <row r="30" spans="2:12" ht="49.5" customHeight="1" x14ac:dyDescent="0.2">
      <c r="I30" s="96" t="s">
        <v>334</v>
      </c>
    </row>
    <row r="32" spans="2:12" x14ac:dyDescent="0.2">
      <c r="I32" s="52" t="s">
        <v>812</v>
      </c>
    </row>
    <row r="33" spans="9:9" x14ac:dyDescent="0.2">
      <c r="I33" s="95" t="s">
        <v>434</v>
      </c>
    </row>
    <row r="34" spans="9:9" x14ac:dyDescent="0.2">
      <c r="I34" s="95" t="s">
        <v>437</v>
      </c>
    </row>
    <row r="36" spans="9:9" x14ac:dyDescent="0.2">
      <c r="I36" s="52" t="s">
        <v>813</v>
      </c>
    </row>
    <row r="37" spans="9:9" x14ac:dyDescent="0.2">
      <c r="I37" s="95" t="s">
        <v>24</v>
      </c>
    </row>
    <row r="38" spans="9:9" x14ac:dyDescent="0.2">
      <c r="I38" s="95" t="s">
        <v>26</v>
      </c>
    </row>
    <row r="39" spans="9:9" x14ac:dyDescent="0.2">
      <c r="I39" s="95" t="s">
        <v>59</v>
      </c>
    </row>
    <row r="40" spans="9:9" x14ac:dyDescent="0.2">
      <c r="I40" s="95" t="s">
        <v>438</v>
      </c>
    </row>
    <row r="42" spans="9:9" x14ac:dyDescent="0.2">
      <c r="I42" s="52" t="s">
        <v>43</v>
      </c>
    </row>
    <row r="43" spans="9:9" x14ac:dyDescent="0.2">
      <c r="I43" s="95" t="s">
        <v>44</v>
      </c>
    </row>
    <row r="44" spans="9:9" x14ac:dyDescent="0.2">
      <c r="I44" s="95" t="s">
        <v>45</v>
      </c>
    </row>
    <row r="45" spans="9:9" x14ac:dyDescent="0.2">
      <c r="I45" s="95" t="s">
        <v>46</v>
      </c>
    </row>
    <row r="46" spans="9:9" x14ac:dyDescent="0.2">
      <c r="I46" s="95" t="s">
        <v>47</v>
      </c>
    </row>
    <row r="47" spans="9:9" x14ac:dyDescent="0.2">
      <c r="I47" s="95" t="s">
        <v>48</v>
      </c>
    </row>
    <row r="48" spans="9:9" x14ac:dyDescent="0.2">
      <c r="I48" s="95" t="s">
        <v>49</v>
      </c>
    </row>
    <row r="49" spans="9:10" x14ac:dyDescent="0.2">
      <c r="I49" s="95" t="s">
        <v>50</v>
      </c>
    </row>
    <row r="50" spans="9:10" x14ac:dyDescent="0.2">
      <c r="I50" s="95" t="s">
        <v>51</v>
      </c>
    </row>
    <row r="51" spans="9:10" x14ac:dyDescent="0.2">
      <c r="I51" s="95" t="s">
        <v>52</v>
      </c>
    </row>
    <row r="52" spans="9:10" x14ac:dyDescent="0.2">
      <c r="I52" s="95" t="s">
        <v>53</v>
      </c>
    </row>
    <row r="53" spans="9:10" x14ac:dyDescent="0.2">
      <c r="I53" s="95" t="s">
        <v>54</v>
      </c>
    </row>
    <row r="54" spans="9:10" x14ac:dyDescent="0.2">
      <c r="I54" s="95" t="s">
        <v>55</v>
      </c>
    </row>
    <row r="55" spans="9:10" x14ac:dyDescent="0.2">
      <c r="I55" s="95" t="s">
        <v>56</v>
      </c>
    </row>
    <row r="56" spans="9:10" x14ac:dyDescent="0.2">
      <c r="I56" s="95" t="s">
        <v>57</v>
      </c>
    </row>
    <row r="57" spans="9:10" x14ac:dyDescent="0.2">
      <c r="I57" s="95" t="s">
        <v>58</v>
      </c>
    </row>
    <row r="58" spans="9:10" x14ac:dyDescent="0.2">
      <c r="I58" s="95" t="s">
        <v>258</v>
      </c>
    </row>
    <row r="59" spans="9:10" x14ac:dyDescent="0.2">
      <c r="I59" s="95" t="s">
        <v>259</v>
      </c>
    </row>
    <row r="60" spans="9:10" x14ac:dyDescent="0.2">
      <c r="I60" s="95">
        <v>8</v>
      </c>
    </row>
    <row r="62" spans="9:10" x14ac:dyDescent="0.2">
      <c r="I62" s="52" t="s">
        <v>1001</v>
      </c>
      <c r="J62" s="52" t="s">
        <v>817</v>
      </c>
    </row>
    <row r="63" spans="9:10" x14ac:dyDescent="0.2">
      <c r="I63" s="95">
        <v>0.5</v>
      </c>
      <c r="J63" s="95">
        <v>125</v>
      </c>
    </row>
    <row r="64" spans="9:10" x14ac:dyDescent="0.2">
      <c r="I64" s="95">
        <v>2.15</v>
      </c>
      <c r="J64" s="95">
        <v>535</v>
      </c>
    </row>
    <row r="66" spans="9:9" x14ac:dyDescent="0.2">
      <c r="I66" s="52" t="s">
        <v>695</v>
      </c>
    </row>
    <row r="67" spans="9:9" x14ac:dyDescent="0.2">
      <c r="I67" s="95" t="s">
        <v>1209</v>
      </c>
    </row>
    <row r="68" spans="9:9" x14ac:dyDescent="0.2">
      <c r="I68" s="95" t="s">
        <v>1210</v>
      </c>
    </row>
    <row r="69" spans="9:9" x14ac:dyDescent="0.2">
      <c r="I69" s="95" t="s">
        <v>1211</v>
      </c>
    </row>
    <row r="70" spans="9:9" x14ac:dyDescent="0.2">
      <c r="I70" s="95" t="s">
        <v>1212</v>
      </c>
    </row>
    <row r="71" spans="9:9" x14ac:dyDescent="0.2">
      <c r="I71" s="95" t="s">
        <v>1213</v>
      </c>
    </row>
    <row r="72" spans="9:9" x14ac:dyDescent="0.2">
      <c r="I72" s="95" t="s">
        <v>1214</v>
      </c>
    </row>
    <row r="73" spans="9:9" x14ac:dyDescent="0.2">
      <c r="I73" s="95" t="s">
        <v>1215</v>
      </c>
    </row>
    <row r="74" spans="9:9" x14ac:dyDescent="0.2">
      <c r="I74" s="95" t="s">
        <v>1216</v>
      </c>
    </row>
    <row r="75" spans="9:9" x14ac:dyDescent="0.2">
      <c r="I75" s="95" t="s">
        <v>1217</v>
      </c>
    </row>
    <row r="76" spans="9:9" x14ac:dyDescent="0.2">
      <c r="I76" s="95" t="s">
        <v>1218</v>
      </c>
    </row>
    <row r="77" spans="9:9" x14ac:dyDescent="0.2">
      <c r="I77" s="95" t="s">
        <v>1219</v>
      </c>
    </row>
    <row r="78" spans="9:9" x14ac:dyDescent="0.2">
      <c r="I78" s="95" t="s">
        <v>1348</v>
      </c>
    </row>
    <row r="79" spans="9:9" x14ac:dyDescent="0.2">
      <c r="I79" s="95" t="s">
        <v>1688</v>
      </c>
    </row>
    <row r="81" spans="9:9" x14ac:dyDescent="0.2">
      <c r="I81" s="52" t="s">
        <v>1342</v>
      </c>
    </row>
    <row r="82" spans="9:9" x14ac:dyDescent="0.2">
      <c r="I82" s="95" t="s">
        <v>1343</v>
      </c>
    </row>
    <row r="83" spans="9:9" x14ac:dyDescent="0.2">
      <c r="I83" s="95" t="s">
        <v>1344</v>
      </c>
    </row>
    <row r="84" spans="9:9" x14ac:dyDescent="0.2">
      <c r="I84" s="95" t="s">
        <v>1345</v>
      </c>
    </row>
    <row r="85" spans="9:9" x14ac:dyDescent="0.2">
      <c r="I85" s="95" t="s">
        <v>1346</v>
      </c>
    </row>
  </sheetData>
  <sheetProtection algorithmName="SHA-512" hashValue="/QilBk+fCJpM2Y6G4/rPOMo6nsRBKpZSQKhekp5Kwa/OLo5JUGRBSGbBmBXAo84Xsh8rA+R3k41onwLPF+Am7g==" saltValue="b5ZDzQiQX0Jx8wBEf+y25g==" spinCount="100000" sheet="1" objects="1" scenarios="1"/>
  <dataConsolidate/>
  <customSheetViews>
    <customSheetView guid="{75D6F8CE-A4F4-4FDD-BA92-7996F9E19FA9}" scale="90" showGridLines="0">
      <selection activeCell="I74" sqref="I74"/>
      <pageMargins left="0.7" right="0.7" top="0.75" bottom="0.75" header="0.3" footer="0.3"/>
      <pageSetup scale="94" orientation="portrait" horizontalDpi="1200" verticalDpi="1200" r:id="rId1"/>
    </customSheetView>
  </customSheetViews>
  <mergeCells count="7">
    <mergeCell ref="E3:F3"/>
    <mergeCell ref="E14:F14"/>
    <mergeCell ref="E17:F17"/>
    <mergeCell ref="E6:F6"/>
    <mergeCell ref="E18:F18"/>
    <mergeCell ref="E4:F4"/>
    <mergeCell ref="E7:F7"/>
  </mergeCells>
  <pageMargins left="0.7" right="0.7" top="0.75" bottom="0.75" header="0.3" footer="0.3"/>
  <pageSetup scale="94" orientation="portrait" horizontalDpi="1200" verticalDpi="1200" r:id="rId2"/>
  <drawing r:id="rId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theme="0" tint="-4.9989318521683403E-2"/>
  </sheetPr>
  <dimension ref="A1:D208"/>
  <sheetViews>
    <sheetView topLeftCell="A87" workbookViewId="0"/>
  </sheetViews>
  <sheetFormatPr defaultColWidth="9.140625" defaultRowHeight="15" x14ac:dyDescent="0.25"/>
  <cols>
    <col min="1" max="1" width="2.7109375" style="1101" customWidth="1"/>
    <col min="2" max="2" width="40.140625" style="1101" bestFit="1" customWidth="1"/>
    <col min="3" max="3" width="116.85546875" style="1101" customWidth="1"/>
    <col min="4" max="4" width="4.5703125" style="1101" customWidth="1"/>
    <col min="5" max="16384" width="9.140625" style="1101"/>
  </cols>
  <sheetData>
    <row r="1" spans="1:4" x14ac:dyDescent="0.25">
      <c r="A1" s="1099"/>
      <c r="B1" s="916"/>
      <c r="C1" s="916"/>
      <c r="D1" s="1713"/>
    </row>
    <row r="2" spans="1:4" ht="24.75" x14ac:dyDescent="0.25">
      <c r="A2" s="1099"/>
      <c r="B2" s="44" t="s">
        <v>2064</v>
      </c>
      <c r="C2" s="44"/>
      <c r="D2" s="1713"/>
    </row>
    <row r="3" spans="1:4" x14ac:dyDescent="0.25">
      <c r="A3" s="1099"/>
      <c r="B3" s="916"/>
      <c r="C3" s="916"/>
      <c r="D3" s="1713"/>
    </row>
    <row r="5" spans="1:4" x14ac:dyDescent="0.25">
      <c r="B5" s="2265" t="s">
        <v>2063</v>
      </c>
      <c r="C5" s="2261" t="s">
        <v>2062</v>
      </c>
      <c r="D5" s="1715"/>
    </row>
    <row r="6" spans="1:4" x14ac:dyDescent="0.25">
      <c r="B6" s="1715"/>
      <c r="C6" s="1715"/>
      <c r="D6" s="1715"/>
    </row>
    <row r="7" spans="1:4" ht="25.5" x14ac:dyDescent="0.25">
      <c r="B7" s="2265" t="s">
        <v>2061</v>
      </c>
      <c r="C7" s="2261" t="s">
        <v>2060</v>
      </c>
      <c r="D7" s="1715"/>
    </row>
    <row r="8" spans="1:4" ht="45" x14ac:dyDescent="0.25">
      <c r="B8" s="2263" t="s">
        <v>2059</v>
      </c>
      <c r="C8" s="2264" t="s">
        <v>2058</v>
      </c>
    </row>
    <row r="9" spans="1:4" ht="75" customHeight="1" x14ac:dyDescent="0.25">
      <c r="B9" s="2263" t="s">
        <v>2057</v>
      </c>
      <c r="C9" s="2264" t="s">
        <v>2056</v>
      </c>
    </row>
    <row r="10" spans="1:4" ht="45" x14ac:dyDescent="0.25">
      <c r="B10" s="2263" t="s">
        <v>2055</v>
      </c>
      <c r="C10" s="2264" t="s">
        <v>2054</v>
      </c>
    </row>
    <row r="11" spans="1:4" x14ac:dyDescent="0.25">
      <c r="B11" s="2263" t="s">
        <v>2053</v>
      </c>
      <c r="C11" s="2264"/>
    </row>
    <row r="12" spans="1:4" ht="45" x14ac:dyDescent="0.25">
      <c r="B12" s="2263" t="s">
        <v>2066</v>
      </c>
      <c r="C12" s="2264" t="s">
        <v>2067</v>
      </c>
    </row>
    <row r="13" spans="1:4" ht="79.5" customHeight="1" x14ac:dyDescent="0.25">
      <c r="B13" s="2263" t="s">
        <v>2052</v>
      </c>
      <c r="C13" s="2264" t="s">
        <v>2068</v>
      </c>
    </row>
    <row r="14" spans="1:4" ht="84.75" customHeight="1" x14ac:dyDescent="0.25">
      <c r="B14" s="2263" t="s">
        <v>2051</v>
      </c>
      <c r="C14" s="2264" t="s">
        <v>2069</v>
      </c>
    </row>
    <row r="15" spans="1:4" ht="30" x14ac:dyDescent="0.25">
      <c r="B15" s="2263" t="s">
        <v>2050</v>
      </c>
      <c r="C15" s="2264" t="s">
        <v>2049</v>
      </c>
    </row>
    <row r="16" spans="1:4" ht="30" x14ac:dyDescent="0.25">
      <c r="B16" s="2263" t="s">
        <v>2048</v>
      </c>
      <c r="C16" s="1147" t="s">
        <v>2047</v>
      </c>
    </row>
    <row r="17" spans="2:3" x14ac:dyDescent="0.25">
      <c r="B17" s="2263" t="s">
        <v>2046</v>
      </c>
      <c r="C17" s="1147" t="s">
        <v>2045</v>
      </c>
    </row>
    <row r="18" spans="2:3" ht="45" x14ac:dyDescent="0.25">
      <c r="B18" s="2263" t="s">
        <v>2044</v>
      </c>
      <c r="C18" s="1147" t="s">
        <v>2043</v>
      </c>
    </row>
    <row r="19" spans="2:3" x14ac:dyDescent="0.25">
      <c r="B19" s="2262"/>
      <c r="C19" s="908"/>
    </row>
    <row r="20" spans="2:3" x14ac:dyDescent="0.25">
      <c r="B20" s="2262"/>
      <c r="C20" s="908"/>
    </row>
    <row r="21" spans="2:3" x14ac:dyDescent="0.25">
      <c r="B21" s="2262"/>
      <c r="C21" s="908"/>
    </row>
    <row r="22" spans="2:3" x14ac:dyDescent="0.25">
      <c r="B22" s="2262"/>
      <c r="C22" s="908"/>
    </row>
    <row r="23" spans="2:3" x14ac:dyDescent="0.25">
      <c r="B23" s="2262"/>
      <c r="C23" s="908"/>
    </row>
    <row r="24" spans="2:3" x14ac:dyDescent="0.25">
      <c r="B24" s="2262"/>
      <c r="C24" s="908"/>
    </row>
    <row r="25" spans="2:3" x14ac:dyDescent="0.25">
      <c r="B25" s="2262"/>
      <c r="C25" s="908"/>
    </row>
    <row r="26" spans="2:3" x14ac:dyDescent="0.25">
      <c r="B26" s="2262"/>
      <c r="C26" s="908"/>
    </row>
    <row r="27" spans="2:3" x14ac:dyDescent="0.25">
      <c r="B27" s="2262"/>
      <c r="C27" s="908"/>
    </row>
    <row r="28" spans="2:3" x14ac:dyDescent="0.25">
      <c r="B28" s="2262"/>
      <c r="C28" s="908"/>
    </row>
    <row r="29" spans="2:3" x14ac:dyDescent="0.25">
      <c r="B29" s="2262"/>
      <c r="C29" s="908"/>
    </row>
    <row r="30" spans="2:3" x14ac:dyDescent="0.25">
      <c r="B30" s="2262"/>
      <c r="C30" s="908"/>
    </row>
    <row r="31" spans="2:3" x14ac:dyDescent="0.25">
      <c r="B31" s="2262"/>
      <c r="C31" s="908"/>
    </row>
    <row r="32" spans="2:3" x14ac:dyDescent="0.25">
      <c r="B32" s="2262"/>
      <c r="C32" s="908"/>
    </row>
    <row r="33" spans="2:3" x14ac:dyDescent="0.25">
      <c r="B33" s="2262"/>
      <c r="C33" s="908"/>
    </row>
    <row r="34" spans="2:3" x14ac:dyDescent="0.25">
      <c r="B34" s="2262"/>
      <c r="C34" s="908"/>
    </row>
    <row r="35" spans="2:3" x14ac:dyDescent="0.25">
      <c r="B35" s="2262"/>
      <c r="C35" s="908"/>
    </row>
    <row r="36" spans="2:3" x14ac:dyDescent="0.25">
      <c r="B36" s="2262"/>
      <c r="C36" s="908"/>
    </row>
    <row r="37" spans="2:3" x14ac:dyDescent="0.25">
      <c r="B37" s="2262"/>
      <c r="C37" s="908"/>
    </row>
    <row r="38" spans="2:3" x14ac:dyDescent="0.25">
      <c r="B38" s="2262"/>
      <c r="C38" s="908"/>
    </row>
    <row r="39" spans="2:3" x14ac:dyDescent="0.25">
      <c r="B39" s="2262"/>
      <c r="C39" s="908"/>
    </row>
    <row r="40" spans="2:3" x14ac:dyDescent="0.25">
      <c r="B40" s="2262"/>
      <c r="C40" s="908"/>
    </row>
    <row r="41" spans="2:3" x14ac:dyDescent="0.25">
      <c r="B41" s="2262"/>
      <c r="C41" s="908"/>
    </row>
    <row r="42" spans="2:3" x14ac:dyDescent="0.25">
      <c r="B42" s="2262"/>
      <c r="C42" s="908"/>
    </row>
    <row r="43" spans="2:3" x14ac:dyDescent="0.25">
      <c r="B43" s="2262"/>
      <c r="C43" s="908"/>
    </row>
    <row r="44" spans="2:3" x14ac:dyDescent="0.25">
      <c r="B44" s="2262"/>
      <c r="C44" s="908"/>
    </row>
    <row r="45" spans="2:3" x14ac:dyDescent="0.25">
      <c r="B45" s="2262"/>
      <c r="C45" s="908"/>
    </row>
    <row r="46" spans="2:3" x14ac:dyDescent="0.25">
      <c r="B46" s="2262"/>
      <c r="C46" s="908"/>
    </row>
    <row r="47" spans="2:3" x14ac:dyDescent="0.25">
      <c r="B47" s="2262"/>
      <c r="C47" s="908"/>
    </row>
    <row r="48" spans="2:3" x14ac:dyDescent="0.25">
      <c r="B48" s="2262"/>
      <c r="C48" s="908"/>
    </row>
    <row r="49" spans="2:3" x14ac:dyDescent="0.25">
      <c r="B49" s="2262"/>
      <c r="C49" s="908"/>
    </row>
    <row r="50" spans="2:3" x14ac:dyDescent="0.25">
      <c r="B50" s="2262"/>
      <c r="C50" s="908"/>
    </row>
    <row r="51" spans="2:3" x14ac:dyDescent="0.25">
      <c r="B51" s="2262"/>
      <c r="C51" s="908"/>
    </row>
    <row r="52" spans="2:3" x14ac:dyDescent="0.25">
      <c r="B52" s="2262"/>
      <c r="C52" s="908"/>
    </row>
    <row r="53" spans="2:3" x14ac:dyDescent="0.25">
      <c r="B53" s="2262"/>
      <c r="C53" s="908"/>
    </row>
    <row r="54" spans="2:3" x14ac:dyDescent="0.25">
      <c r="B54" s="2262"/>
      <c r="C54" s="908"/>
    </row>
    <row r="55" spans="2:3" x14ac:dyDescent="0.25">
      <c r="B55" s="2262"/>
      <c r="C55" s="908"/>
    </row>
    <row r="56" spans="2:3" x14ac:dyDescent="0.25">
      <c r="B56" s="2262"/>
      <c r="C56" s="908"/>
    </row>
    <row r="57" spans="2:3" x14ac:dyDescent="0.25">
      <c r="B57" s="2262"/>
      <c r="C57" s="908"/>
    </row>
    <row r="58" spans="2:3" x14ac:dyDescent="0.25">
      <c r="B58" s="2262"/>
      <c r="C58" s="908"/>
    </row>
    <row r="59" spans="2:3" x14ac:dyDescent="0.25">
      <c r="B59" s="2262"/>
      <c r="C59" s="908"/>
    </row>
    <row r="60" spans="2:3" x14ac:dyDescent="0.25">
      <c r="B60" s="2262"/>
      <c r="C60" s="908"/>
    </row>
    <row r="61" spans="2:3" x14ac:dyDescent="0.25">
      <c r="B61" s="2262"/>
      <c r="C61" s="908"/>
    </row>
    <row r="62" spans="2:3" x14ac:dyDescent="0.25">
      <c r="B62" s="2262"/>
      <c r="C62" s="908"/>
    </row>
    <row r="63" spans="2:3" x14ac:dyDescent="0.25">
      <c r="B63" s="2262"/>
      <c r="C63" s="908"/>
    </row>
    <row r="64" spans="2:3" x14ac:dyDescent="0.25">
      <c r="B64" s="2262"/>
      <c r="C64" s="908"/>
    </row>
    <row r="65" spans="2:3" x14ac:dyDescent="0.25">
      <c r="B65" s="2262"/>
      <c r="C65" s="908"/>
    </row>
    <row r="66" spans="2:3" x14ac:dyDescent="0.25">
      <c r="B66" s="2262"/>
      <c r="C66" s="908"/>
    </row>
    <row r="67" spans="2:3" x14ac:dyDescent="0.25">
      <c r="B67" s="2262"/>
      <c r="C67" s="908"/>
    </row>
    <row r="68" spans="2:3" x14ac:dyDescent="0.25">
      <c r="B68" s="2262"/>
      <c r="C68" s="908"/>
    </row>
    <row r="69" spans="2:3" x14ac:dyDescent="0.25">
      <c r="B69" s="2262"/>
      <c r="C69" s="908"/>
    </row>
    <row r="70" spans="2:3" x14ac:dyDescent="0.25">
      <c r="B70" s="2262"/>
      <c r="C70" s="908"/>
    </row>
    <row r="71" spans="2:3" x14ac:dyDescent="0.25">
      <c r="B71" s="2262"/>
      <c r="C71" s="908"/>
    </row>
    <row r="72" spans="2:3" x14ac:dyDescent="0.25">
      <c r="B72" s="2262"/>
      <c r="C72" s="908"/>
    </row>
    <row r="73" spans="2:3" x14ac:dyDescent="0.25">
      <c r="B73" s="2262"/>
      <c r="C73" s="908"/>
    </row>
    <row r="74" spans="2:3" x14ac:dyDescent="0.25">
      <c r="B74" s="2262"/>
      <c r="C74" s="908"/>
    </row>
    <row r="75" spans="2:3" x14ac:dyDescent="0.25">
      <c r="B75" s="2262"/>
      <c r="C75" s="908"/>
    </row>
    <row r="76" spans="2:3" x14ac:dyDescent="0.25">
      <c r="B76" s="2262"/>
      <c r="C76" s="908"/>
    </row>
    <row r="77" spans="2:3" x14ac:dyDescent="0.25">
      <c r="B77" s="2262"/>
      <c r="C77" s="908"/>
    </row>
    <row r="78" spans="2:3" x14ac:dyDescent="0.25">
      <c r="B78" s="2262"/>
      <c r="C78" s="908"/>
    </row>
    <row r="79" spans="2:3" x14ac:dyDescent="0.25">
      <c r="B79" s="2262"/>
      <c r="C79" s="908"/>
    </row>
    <row r="80" spans="2:3" x14ac:dyDescent="0.25">
      <c r="B80" s="2262"/>
      <c r="C80" s="908"/>
    </row>
    <row r="81" spans="2:3" x14ac:dyDescent="0.25">
      <c r="B81" s="2262"/>
      <c r="C81" s="908"/>
    </row>
    <row r="82" spans="2:3" x14ac:dyDescent="0.25">
      <c r="B82" s="2262"/>
      <c r="C82" s="908"/>
    </row>
    <row r="83" spans="2:3" x14ac:dyDescent="0.25">
      <c r="B83" s="2262"/>
      <c r="C83" s="908"/>
    </row>
    <row r="84" spans="2:3" x14ac:dyDescent="0.25">
      <c r="B84" s="2262"/>
      <c r="C84" s="908"/>
    </row>
    <row r="85" spans="2:3" x14ac:dyDescent="0.25">
      <c r="B85" s="2262"/>
      <c r="C85" s="908"/>
    </row>
    <row r="86" spans="2:3" x14ac:dyDescent="0.25">
      <c r="B86" s="2262"/>
      <c r="C86" s="908"/>
    </row>
    <row r="87" spans="2:3" x14ac:dyDescent="0.25">
      <c r="B87" s="2262"/>
      <c r="C87" s="908"/>
    </row>
    <row r="88" spans="2:3" x14ac:dyDescent="0.25">
      <c r="B88" s="2262"/>
      <c r="C88" s="908"/>
    </row>
    <row r="89" spans="2:3" x14ac:dyDescent="0.25">
      <c r="B89" s="2262"/>
      <c r="C89" s="908"/>
    </row>
    <row r="90" spans="2:3" x14ac:dyDescent="0.25">
      <c r="B90" s="2262"/>
      <c r="C90" s="908"/>
    </row>
    <row r="91" spans="2:3" x14ac:dyDescent="0.25">
      <c r="B91" s="2262"/>
      <c r="C91" s="908"/>
    </row>
    <row r="92" spans="2:3" x14ac:dyDescent="0.25">
      <c r="B92" s="2262"/>
      <c r="C92" s="908"/>
    </row>
    <row r="93" spans="2:3" x14ac:dyDescent="0.25">
      <c r="B93" s="2262"/>
      <c r="C93" s="908"/>
    </row>
    <row r="94" spans="2:3" x14ac:dyDescent="0.25">
      <c r="B94" s="2262"/>
      <c r="C94" s="908"/>
    </row>
    <row r="95" spans="2:3" x14ac:dyDescent="0.25">
      <c r="B95" s="2262"/>
      <c r="C95" s="908"/>
    </row>
    <row r="96" spans="2:3" x14ac:dyDescent="0.25">
      <c r="B96" s="2262"/>
      <c r="C96" s="908"/>
    </row>
    <row r="97" spans="2:3" x14ac:dyDescent="0.25">
      <c r="B97" s="2262"/>
      <c r="C97" s="908"/>
    </row>
    <row r="98" spans="2:3" x14ac:dyDescent="0.25">
      <c r="B98" s="2262"/>
      <c r="C98" s="908"/>
    </row>
    <row r="99" spans="2:3" x14ac:dyDescent="0.25">
      <c r="B99" s="2262"/>
      <c r="C99" s="908"/>
    </row>
    <row r="100" spans="2:3" x14ac:dyDescent="0.25">
      <c r="B100" s="2262"/>
      <c r="C100" s="908"/>
    </row>
    <row r="101" spans="2:3" x14ac:dyDescent="0.25">
      <c r="B101" s="2262"/>
      <c r="C101" s="908"/>
    </row>
    <row r="102" spans="2:3" x14ac:dyDescent="0.25">
      <c r="B102" s="2262"/>
      <c r="C102" s="908"/>
    </row>
    <row r="103" spans="2:3" x14ac:dyDescent="0.25">
      <c r="B103" s="2262"/>
      <c r="C103" s="908"/>
    </row>
    <row r="104" spans="2:3" x14ac:dyDescent="0.25">
      <c r="B104" s="2262"/>
      <c r="C104" s="908"/>
    </row>
    <row r="105" spans="2:3" x14ac:dyDescent="0.25">
      <c r="B105" s="2262"/>
      <c r="C105" s="908"/>
    </row>
    <row r="106" spans="2:3" x14ac:dyDescent="0.25">
      <c r="B106" s="2262"/>
      <c r="C106" s="908"/>
    </row>
    <row r="107" spans="2:3" x14ac:dyDescent="0.25">
      <c r="B107" s="2262"/>
      <c r="C107" s="908"/>
    </row>
    <row r="108" spans="2:3" x14ac:dyDescent="0.25">
      <c r="B108" s="2262"/>
      <c r="C108" s="908"/>
    </row>
    <row r="109" spans="2:3" x14ac:dyDescent="0.25">
      <c r="B109" s="2262"/>
      <c r="C109" s="908"/>
    </row>
    <row r="110" spans="2:3" x14ac:dyDescent="0.25">
      <c r="B110" s="2262"/>
      <c r="C110" s="908"/>
    </row>
    <row r="111" spans="2:3" x14ac:dyDescent="0.25">
      <c r="B111" s="2262"/>
      <c r="C111" s="908"/>
    </row>
    <row r="112" spans="2:3" x14ac:dyDescent="0.25">
      <c r="B112" s="2262"/>
      <c r="C112" s="908"/>
    </row>
    <row r="113" spans="2:3" x14ac:dyDescent="0.25">
      <c r="B113" s="2262"/>
      <c r="C113" s="908"/>
    </row>
    <row r="114" spans="2:3" x14ac:dyDescent="0.25">
      <c r="B114" s="2262"/>
      <c r="C114" s="908"/>
    </row>
    <row r="115" spans="2:3" x14ac:dyDescent="0.25">
      <c r="B115" s="2262"/>
      <c r="C115" s="908"/>
    </row>
    <row r="116" spans="2:3" x14ac:dyDescent="0.25">
      <c r="B116" s="2262"/>
      <c r="C116" s="908"/>
    </row>
    <row r="117" spans="2:3" x14ac:dyDescent="0.25">
      <c r="B117" s="2262"/>
      <c r="C117" s="908"/>
    </row>
    <row r="118" spans="2:3" x14ac:dyDescent="0.25">
      <c r="B118" s="2262"/>
      <c r="C118" s="908"/>
    </row>
    <row r="119" spans="2:3" x14ac:dyDescent="0.25">
      <c r="B119" s="2262"/>
      <c r="C119" s="908"/>
    </row>
    <row r="120" spans="2:3" x14ac:dyDescent="0.25">
      <c r="B120" s="908"/>
      <c r="C120" s="908"/>
    </row>
    <row r="121" spans="2:3" x14ac:dyDescent="0.25">
      <c r="B121" s="908"/>
      <c r="C121" s="908"/>
    </row>
    <row r="122" spans="2:3" x14ac:dyDescent="0.25">
      <c r="B122" s="908"/>
      <c r="C122" s="908"/>
    </row>
    <row r="123" spans="2:3" x14ac:dyDescent="0.25">
      <c r="B123" s="908"/>
      <c r="C123" s="908"/>
    </row>
    <row r="124" spans="2:3" x14ac:dyDescent="0.25">
      <c r="B124" s="908"/>
      <c r="C124" s="908"/>
    </row>
    <row r="125" spans="2:3" x14ac:dyDescent="0.25">
      <c r="B125" s="908"/>
      <c r="C125" s="908"/>
    </row>
    <row r="126" spans="2:3" x14ac:dyDescent="0.25">
      <c r="B126" s="908"/>
      <c r="C126" s="908"/>
    </row>
    <row r="127" spans="2:3" x14ac:dyDescent="0.25">
      <c r="B127" s="908"/>
      <c r="C127" s="908"/>
    </row>
    <row r="128" spans="2:3" x14ac:dyDescent="0.25">
      <c r="B128" s="908"/>
      <c r="C128" s="908"/>
    </row>
    <row r="129" spans="2:3" x14ac:dyDescent="0.25">
      <c r="B129" s="908"/>
      <c r="C129" s="908"/>
    </row>
    <row r="130" spans="2:3" x14ac:dyDescent="0.25">
      <c r="B130" s="908"/>
      <c r="C130" s="908"/>
    </row>
    <row r="131" spans="2:3" x14ac:dyDescent="0.25">
      <c r="B131" s="908"/>
      <c r="C131" s="908"/>
    </row>
    <row r="132" spans="2:3" x14ac:dyDescent="0.25">
      <c r="B132" s="908"/>
      <c r="C132" s="908"/>
    </row>
    <row r="133" spans="2:3" x14ac:dyDescent="0.25">
      <c r="B133" s="908"/>
      <c r="C133" s="908"/>
    </row>
    <row r="134" spans="2:3" x14ac:dyDescent="0.25">
      <c r="B134" s="908"/>
      <c r="C134" s="908"/>
    </row>
    <row r="135" spans="2:3" x14ac:dyDescent="0.25">
      <c r="B135" s="908"/>
      <c r="C135" s="908"/>
    </row>
    <row r="136" spans="2:3" x14ac:dyDescent="0.25">
      <c r="B136" s="908"/>
      <c r="C136" s="908"/>
    </row>
    <row r="137" spans="2:3" x14ac:dyDescent="0.25">
      <c r="B137" s="908"/>
      <c r="C137" s="908"/>
    </row>
    <row r="138" spans="2:3" x14ac:dyDescent="0.25">
      <c r="B138" s="908"/>
      <c r="C138" s="908"/>
    </row>
    <row r="139" spans="2:3" x14ac:dyDescent="0.25">
      <c r="B139" s="908"/>
      <c r="C139" s="908"/>
    </row>
    <row r="140" spans="2:3" x14ac:dyDescent="0.25">
      <c r="B140" s="908"/>
      <c r="C140" s="908"/>
    </row>
    <row r="141" spans="2:3" x14ac:dyDescent="0.25">
      <c r="B141" s="908"/>
      <c r="C141" s="908"/>
    </row>
    <row r="142" spans="2:3" x14ac:dyDescent="0.25">
      <c r="B142" s="908"/>
      <c r="C142" s="908"/>
    </row>
    <row r="143" spans="2:3" x14ac:dyDescent="0.25">
      <c r="B143" s="908"/>
      <c r="C143" s="908"/>
    </row>
    <row r="144" spans="2:3" x14ac:dyDescent="0.25">
      <c r="B144" s="908"/>
      <c r="C144" s="908"/>
    </row>
    <row r="145" spans="2:3" x14ac:dyDescent="0.25">
      <c r="B145" s="908"/>
      <c r="C145" s="908"/>
    </row>
    <row r="146" spans="2:3" x14ac:dyDescent="0.25">
      <c r="B146" s="908"/>
      <c r="C146" s="908"/>
    </row>
    <row r="147" spans="2:3" x14ac:dyDescent="0.25">
      <c r="B147" s="908"/>
      <c r="C147" s="908"/>
    </row>
    <row r="148" spans="2:3" x14ac:dyDescent="0.25">
      <c r="B148" s="908"/>
      <c r="C148" s="908"/>
    </row>
    <row r="149" spans="2:3" x14ac:dyDescent="0.25">
      <c r="B149" s="908"/>
      <c r="C149" s="908"/>
    </row>
    <row r="150" spans="2:3" x14ac:dyDescent="0.25">
      <c r="B150" s="908"/>
      <c r="C150" s="908"/>
    </row>
    <row r="151" spans="2:3" x14ac:dyDescent="0.25">
      <c r="B151" s="908"/>
      <c r="C151" s="908"/>
    </row>
    <row r="152" spans="2:3" x14ac:dyDescent="0.25">
      <c r="B152" s="908"/>
      <c r="C152" s="908"/>
    </row>
    <row r="153" spans="2:3" x14ac:dyDescent="0.25">
      <c r="B153" s="908"/>
      <c r="C153" s="908"/>
    </row>
    <row r="154" spans="2:3" x14ac:dyDescent="0.25">
      <c r="B154" s="908"/>
      <c r="C154" s="908"/>
    </row>
    <row r="155" spans="2:3" x14ac:dyDescent="0.25">
      <c r="B155" s="908"/>
      <c r="C155" s="908"/>
    </row>
    <row r="156" spans="2:3" x14ac:dyDescent="0.25">
      <c r="B156" s="908"/>
      <c r="C156" s="908"/>
    </row>
    <row r="157" spans="2:3" x14ac:dyDescent="0.25">
      <c r="B157" s="908"/>
      <c r="C157" s="908"/>
    </row>
    <row r="158" spans="2:3" x14ac:dyDescent="0.25">
      <c r="B158" s="908"/>
      <c r="C158" s="908"/>
    </row>
    <row r="159" spans="2:3" x14ac:dyDescent="0.25">
      <c r="B159" s="908"/>
      <c r="C159" s="908"/>
    </row>
    <row r="160" spans="2:3" x14ac:dyDescent="0.25">
      <c r="B160" s="908"/>
      <c r="C160" s="908"/>
    </row>
    <row r="161" spans="2:3" x14ac:dyDescent="0.25">
      <c r="B161" s="908"/>
      <c r="C161" s="908"/>
    </row>
    <row r="162" spans="2:3" x14ac:dyDescent="0.25">
      <c r="B162" s="908"/>
      <c r="C162" s="908"/>
    </row>
    <row r="163" spans="2:3" x14ac:dyDescent="0.25">
      <c r="B163" s="908"/>
      <c r="C163" s="908"/>
    </row>
    <row r="164" spans="2:3" x14ac:dyDescent="0.25">
      <c r="B164" s="908"/>
      <c r="C164" s="908"/>
    </row>
    <row r="165" spans="2:3" x14ac:dyDescent="0.25">
      <c r="B165" s="908"/>
      <c r="C165" s="908"/>
    </row>
    <row r="166" spans="2:3" x14ac:dyDescent="0.25">
      <c r="B166" s="908"/>
      <c r="C166" s="908"/>
    </row>
    <row r="167" spans="2:3" x14ac:dyDescent="0.25">
      <c r="B167" s="908"/>
      <c r="C167" s="908"/>
    </row>
    <row r="168" spans="2:3" x14ac:dyDescent="0.25">
      <c r="B168" s="908"/>
      <c r="C168" s="908"/>
    </row>
    <row r="169" spans="2:3" x14ac:dyDescent="0.25">
      <c r="B169" s="908"/>
      <c r="C169" s="908"/>
    </row>
    <row r="170" spans="2:3" x14ac:dyDescent="0.25">
      <c r="B170" s="908"/>
      <c r="C170" s="908"/>
    </row>
    <row r="171" spans="2:3" x14ac:dyDescent="0.25">
      <c r="B171" s="908"/>
      <c r="C171" s="908"/>
    </row>
    <row r="172" spans="2:3" x14ac:dyDescent="0.25">
      <c r="B172" s="908"/>
      <c r="C172" s="908"/>
    </row>
    <row r="173" spans="2:3" x14ac:dyDescent="0.25">
      <c r="B173" s="908"/>
      <c r="C173" s="908"/>
    </row>
    <row r="174" spans="2:3" x14ac:dyDescent="0.25">
      <c r="B174" s="908"/>
      <c r="C174" s="908"/>
    </row>
    <row r="175" spans="2:3" x14ac:dyDescent="0.25">
      <c r="B175" s="908"/>
      <c r="C175" s="908"/>
    </row>
    <row r="176" spans="2:3" x14ac:dyDescent="0.25">
      <c r="B176" s="908"/>
      <c r="C176" s="908"/>
    </row>
    <row r="177" spans="2:3" x14ac:dyDescent="0.25">
      <c r="B177" s="908"/>
      <c r="C177" s="908"/>
    </row>
    <row r="178" spans="2:3" x14ac:dyDescent="0.25">
      <c r="B178" s="908"/>
      <c r="C178" s="908"/>
    </row>
    <row r="179" spans="2:3" x14ac:dyDescent="0.25">
      <c r="B179" s="908"/>
      <c r="C179" s="908"/>
    </row>
    <row r="180" spans="2:3" x14ac:dyDescent="0.25">
      <c r="B180" s="908"/>
      <c r="C180" s="908"/>
    </row>
    <row r="181" spans="2:3" x14ac:dyDescent="0.25">
      <c r="B181" s="908"/>
      <c r="C181" s="908"/>
    </row>
    <row r="182" spans="2:3" x14ac:dyDescent="0.25">
      <c r="B182" s="908"/>
      <c r="C182" s="908"/>
    </row>
    <row r="183" spans="2:3" x14ac:dyDescent="0.25">
      <c r="B183" s="908"/>
      <c r="C183" s="908"/>
    </row>
    <row r="184" spans="2:3" x14ac:dyDescent="0.25">
      <c r="B184" s="908"/>
      <c r="C184" s="908"/>
    </row>
    <row r="185" spans="2:3" x14ac:dyDescent="0.25">
      <c r="B185" s="908"/>
      <c r="C185" s="908"/>
    </row>
    <row r="186" spans="2:3" x14ac:dyDescent="0.25">
      <c r="B186" s="908"/>
      <c r="C186" s="908"/>
    </row>
    <row r="187" spans="2:3" x14ac:dyDescent="0.25">
      <c r="B187" s="908"/>
      <c r="C187" s="908"/>
    </row>
    <row r="188" spans="2:3" x14ac:dyDescent="0.25">
      <c r="B188" s="908"/>
      <c r="C188" s="908"/>
    </row>
    <row r="189" spans="2:3" x14ac:dyDescent="0.25">
      <c r="B189" s="908"/>
      <c r="C189" s="908"/>
    </row>
    <row r="190" spans="2:3" x14ac:dyDescent="0.25">
      <c r="B190" s="908"/>
      <c r="C190" s="908"/>
    </row>
    <row r="191" spans="2:3" x14ac:dyDescent="0.25">
      <c r="B191" s="908"/>
      <c r="C191" s="908"/>
    </row>
    <row r="192" spans="2:3" x14ac:dyDescent="0.25">
      <c r="B192" s="908"/>
      <c r="C192" s="908"/>
    </row>
    <row r="193" spans="2:3" x14ac:dyDescent="0.25">
      <c r="B193" s="908"/>
      <c r="C193" s="908"/>
    </row>
    <row r="194" spans="2:3" x14ac:dyDescent="0.25">
      <c r="B194" s="908"/>
      <c r="C194" s="908"/>
    </row>
    <row r="195" spans="2:3" x14ac:dyDescent="0.25">
      <c r="B195" s="908"/>
      <c r="C195" s="908"/>
    </row>
    <row r="196" spans="2:3" x14ac:dyDescent="0.25">
      <c r="B196" s="908"/>
      <c r="C196" s="908"/>
    </row>
    <row r="197" spans="2:3" x14ac:dyDescent="0.25">
      <c r="B197" s="908"/>
      <c r="C197" s="908"/>
    </row>
    <row r="198" spans="2:3" x14ac:dyDescent="0.25">
      <c r="B198" s="908"/>
      <c r="C198" s="908"/>
    </row>
    <row r="199" spans="2:3" x14ac:dyDescent="0.25">
      <c r="B199" s="908"/>
      <c r="C199" s="908"/>
    </row>
    <row r="200" spans="2:3" x14ac:dyDescent="0.25">
      <c r="B200" s="908"/>
      <c r="C200" s="908"/>
    </row>
    <row r="201" spans="2:3" x14ac:dyDescent="0.25">
      <c r="B201" s="908"/>
      <c r="C201" s="908"/>
    </row>
    <row r="202" spans="2:3" x14ac:dyDescent="0.25">
      <c r="B202" s="908"/>
      <c r="C202" s="908"/>
    </row>
    <row r="203" spans="2:3" x14ac:dyDescent="0.25">
      <c r="B203" s="908"/>
      <c r="C203" s="908"/>
    </row>
    <row r="204" spans="2:3" x14ac:dyDescent="0.25">
      <c r="B204" s="908"/>
      <c r="C204" s="908"/>
    </row>
    <row r="205" spans="2:3" x14ac:dyDescent="0.25">
      <c r="B205" s="908"/>
      <c r="C205" s="908"/>
    </row>
    <row r="206" spans="2:3" x14ac:dyDescent="0.25">
      <c r="B206" s="908"/>
      <c r="C206" s="908"/>
    </row>
    <row r="207" spans="2:3" x14ac:dyDescent="0.25">
      <c r="B207" s="908"/>
      <c r="C207" s="908"/>
    </row>
    <row r="208" spans="2:3" x14ac:dyDescent="0.25">
      <c r="B208" s="908"/>
      <c r="C208" s="908"/>
    </row>
  </sheetData>
  <sheetProtection algorithmName="SHA-512" hashValue="71ydvb8vNPzN3in84Uv0eykIfztAiCKEDb+5g8Uw/XJGrLgOFnabCuuCofrF7OgOsGHzj3rMmLjI/FNUbp8U9A==" saltValue="FNuczEIr9WUk4zD/rYS4+g==" spinCount="100000" sheet="1" objects="1" scenarios="1"/>
  <dataConsolid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PE77"/>
  <sheetViews>
    <sheetView showGridLines="0" topLeftCell="A57" zoomScaleNormal="100" zoomScalePageLayoutView="90" workbookViewId="0">
      <selection activeCell="C36" sqref="C36"/>
    </sheetView>
  </sheetViews>
  <sheetFormatPr defaultColWidth="8.7109375" defaultRowHeight="15" customHeight="1" outlineLevelCol="1" x14ac:dyDescent="0.25"/>
  <cols>
    <col min="1" max="1" width="2.7109375" style="251" customWidth="1"/>
    <col min="2" max="2" width="50.42578125" style="251" customWidth="1"/>
    <col min="3" max="3" width="30.28515625" style="251" customWidth="1"/>
    <col min="4" max="4" width="2.7109375" style="251" customWidth="1"/>
    <col min="5" max="5" width="32.7109375" style="251" customWidth="1"/>
    <col min="6" max="6" width="14.7109375" style="251" customWidth="1"/>
    <col min="7" max="7" width="2.7109375" customWidth="1"/>
    <col min="8" max="8" width="2.7109375" style="251" customWidth="1"/>
    <col min="9" max="9" width="16.85546875" style="818" hidden="1" customWidth="1" outlineLevel="1"/>
    <col min="10" max="10" width="7" style="818" hidden="1" customWidth="1" outlineLevel="1"/>
    <col min="11" max="11" width="9.7109375" style="818" hidden="1" customWidth="1" outlineLevel="1"/>
    <col min="12" max="13" width="7" style="818" hidden="1" customWidth="1" outlineLevel="1"/>
    <col min="14" max="14" width="8.7109375" style="251" hidden="1" customWidth="1" outlineLevel="1"/>
    <col min="15" max="15" width="2.7109375" style="251" customWidth="1" collapsed="1"/>
    <col min="16" max="16" width="2.7109375" style="251" customWidth="1"/>
    <col min="17" max="17" width="50.7109375" style="251" customWidth="1"/>
    <col min="18" max="21" width="8.7109375" style="251" customWidth="1"/>
    <col min="22" max="16384" width="8.7109375" style="251"/>
  </cols>
  <sheetData>
    <row r="1" spans="1:17" s="252" customFormat="1" ht="15" customHeight="1" x14ac:dyDescent="0.25">
      <c r="A1" s="249"/>
      <c r="B1" s="250"/>
      <c r="C1" s="250"/>
      <c r="D1" s="250"/>
      <c r="E1" s="250"/>
      <c r="F1" s="250"/>
      <c r="G1"/>
      <c r="H1" s="1"/>
      <c r="I1" s="857"/>
      <c r="J1" s="857"/>
      <c r="K1" s="857"/>
      <c r="L1" s="857"/>
      <c r="M1" s="1563"/>
      <c r="N1" s="1563"/>
    </row>
    <row r="2" spans="1:17" s="252" customFormat="1" ht="24" customHeight="1" x14ac:dyDescent="0.25">
      <c r="A2" s="249"/>
      <c r="B2" s="44" t="s">
        <v>305</v>
      </c>
      <c r="C2" s="49"/>
      <c r="D2" s="49"/>
      <c r="E2" s="49"/>
      <c r="F2" s="49"/>
      <c r="G2"/>
      <c r="H2" s="1"/>
      <c r="I2" s="857"/>
      <c r="J2" s="857"/>
      <c r="K2" s="857"/>
      <c r="L2" s="857"/>
      <c r="M2" s="1563"/>
      <c r="N2" s="1563"/>
    </row>
    <row r="3" spans="1:17" s="252" customFormat="1" ht="15" customHeight="1" x14ac:dyDescent="0.25">
      <c r="A3" s="249"/>
      <c r="B3" s="250"/>
      <c r="C3" s="250"/>
      <c r="D3" s="250"/>
      <c r="E3" s="250"/>
      <c r="F3" s="250"/>
      <c r="G3"/>
      <c r="H3" s="1"/>
      <c r="I3" s="857"/>
      <c r="J3" s="857"/>
      <c r="K3" s="857"/>
      <c r="L3" s="857"/>
      <c r="M3" s="1563"/>
      <c r="N3" s="1563"/>
    </row>
    <row r="4" spans="1:17" s="252" customFormat="1" ht="50.25" customHeight="1" x14ac:dyDescent="0.25">
      <c r="A4" s="1619"/>
      <c r="B4" s="2426" t="s">
        <v>1985</v>
      </c>
      <c r="C4" s="2427"/>
      <c r="D4" s="2427"/>
      <c r="E4" s="2427"/>
      <c r="F4" s="2427"/>
      <c r="G4" s="659"/>
      <c r="H4" s="659"/>
      <c r="I4" s="857"/>
      <c r="J4" s="857"/>
      <c r="K4" s="857"/>
      <c r="L4" s="857"/>
      <c r="M4" s="1563"/>
      <c r="N4" s="1563"/>
      <c r="Q4" s="887" t="s">
        <v>2090</v>
      </c>
    </row>
    <row r="5" spans="1:17" ht="15" customHeight="1" x14ac:dyDescent="0.25">
      <c r="I5" s="857"/>
      <c r="J5" s="857"/>
      <c r="K5" s="857"/>
      <c r="L5" s="857"/>
      <c r="M5" s="857"/>
      <c r="N5" s="857"/>
    </row>
    <row r="6" spans="1:17" ht="15" customHeight="1" x14ac:dyDescent="0.25">
      <c r="B6" s="1082" t="s">
        <v>2008</v>
      </c>
      <c r="E6" s="2438">
        <v>1000125923</v>
      </c>
      <c r="F6" s="2439"/>
      <c r="G6" s="659"/>
      <c r="I6" s="857"/>
      <c r="J6" s="857"/>
      <c r="K6" s="857"/>
      <c r="L6" s="857"/>
      <c r="M6" s="857"/>
      <c r="N6" s="857"/>
      <c r="Q6" s="2270"/>
    </row>
    <row r="7" spans="1:17" ht="15" customHeight="1" x14ac:dyDescent="0.25">
      <c r="G7" s="659"/>
      <c r="I7" s="857"/>
      <c r="J7" s="857"/>
      <c r="K7" s="857"/>
      <c r="L7" s="857"/>
      <c r="M7" s="857"/>
      <c r="N7" s="857"/>
    </row>
    <row r="8" spans="1:17" ht="15" customHeight="1" x14ac:dyDescent="0.25">
      <c r="B8" s="1082" t="s">
        <v>1849</v>
      </c>
      <c r="E8" s="2438" t="s">
        <v>2242</v>
      </c>
      <c r="F8" s="2439"/>
      <c r="G8" s="659"/>
      <c r="I8" s="857"/>
      <c r="J8" s="857"/>
      <c r="K8" s="857"/>
      <c r="L8" s="857"/>
      <c r="M8" s="857"/>
      <c r="N8" s="857"/>
      <c r="Q8" s="2270"/>
    </row>
    <row r="9" spans="1:17" ht="15" customHeight="1" x14ac:dyDescent="0.25">
      <c r="G9" s="659"/>
      <c r="I9" s="857"/>
      <c r="J9" s="857"/>
      <c r="K9" s="857"/>
      <c r="L9" s="857"/>
      <c r="M9" s="857"/>
      <c r="N9" s="857"/>
    </row>
    <row r="10" spans="1:17" ht="15" customHeight="1" x14ac:dyDescent="0.25">
      <c r="B10" s="689" t="s">
        <v>1220</v>
      </c>
      <c r="E10" s="2443" t="s">
        <v>1209</v>
      </c>
      <c r="F10" s="2444"/>
      <c r="I10" s="1516" t="str">
        <f>IFERROR(VLOOKUP(E10,DropdownData!Y:Z,2,FALSE),"")</f>
        <v>New Construction</v>
      </c>
      <c r="J10" s="857"/>
      <c r="K10" s="857"/>
      <c r="L10" s="857"/>
      <c r="M10" s="857"/>
      <c r="N10" s="857"/>
      <c r="Q10" s="2270"/>
    </row>
    <row r="11" spans="1:17" ht="9" customHeight="1" x14ac:dyDescent="0.25">
      <c r="I11" s="857"/>
      <c r="J11" s="857"/>
      <c r="K11" s="857"/>
      <c r="L11" s="857"/>
      <c r="M11" s="857"/>
      <c r="N11" s="857"/>
    </row>
    <row r="12" spans="1:17" ht="15" customHeight="1" x14ac:dyDescent="0.25">
      <c r="B12" s="434" t="s">
        <v>1030</v>
      </c>
      <c r="F12" s="1612" t="s">
        <v>1381</v>
      </c>
      <c r="I12" s="1517" t="str">
        <f>IF(F12="SI units","SI","IP")</f>
        <v>IP</v>
      </c>
      <c r="J12" s="1518" t="str">
        <f>CONCATENATE(C48," (",'General Information'!I12,")")</f>
        <v>2A (IP)</v>
      </c>
      <c r="K12" s="857"/>
      <c r="L12" s="857"/>
      <c r="M12" s="857"/>
      <c r="N12" s="857"/>
      <c r="Q12" s="2270"/>
    </row>
    <row r="13" spans="1:17" ht="33" customHeight="1" x14ac:dyDescent="0.25">
      <c r="B13" s="690" t="s">
        <v>1222</v>
      </c>
      <c r="I13" s="857"/>
      <c r="J13" s="857"/>
      <c r="K13" s="857"/>
      <c r="L13" s="857"/>
      <c r="M13" s="857"/>
      <c r="N13" s="857"/>
    </row>
    <row r="14" spans="1:17" ht="15" customHeight="1" x14ac:dyDescent="0.25">
      <c r="B14" s="2" t="s">
        <v>1850</v>
      </c>
      <c r="F14" s="1613">
        <v>1</v>
      </c>
      <c r="I14" s="857"/>
      <c r="J14" s="857"/>
      <c r="K14" s="857"/>
      <c r="L14" s="857"/>
      <c r="M14" s="857"/>
      <c r="N14" s="857"/>
      <c r="Q14" s="2270"/>
    </row>
    <row r="15" spans="1:17" ht="9" customHeight="1" x14ac:dyDescent="0.25">
      <c r="B15" s="2"/>
      <c r="I15" s="857"/>
      <c r="J15" s="857"/>
      <c r="K15" s="857"/>
      <c r="L15" s="857"/>
      <c r="M15" s="857"/>
      <c r="N15" s="857"/>
    </row>
    <row r="16" spans="1:17" ht="15" customHeight="1" x14ac:dyDescent="0.25">
      <c r="B16" s="2" t="s">
        <v>1851</v>
      </c>
      <c r="F16" s="1614">
        <f>IF(pctNew&gt;=0,1-F14,0)</f>
        <v>0</v>
      </c>
      <c r="I16" s="857"/>
      <c r="J16" s="857"/>
      <c r="K16" s="857"/>
      <c r="L16" s="857"/>
      <c r="M16" s="857"/>
      <c r="N16" s="857"/>
      <c r="Q16" s="2270"/>
    </row>
    <row r="17" spans="1:17" ht="9" customHeight="1" x14ac:dyDescent="0.25">
      <c r="B17" s="2"/>
      <c r="F17" s="877"/>
      <c r="G17" s="659"/>
      <c r="I17" s="857"/>
      <c r="J17" s="857"/>
      <c r="K17" s="857"/>
      <c r="L17" s="857"/>
      <c r="M17" s="857"/>
      <c r="N17" s="857"/>
    </row>
    <row r="18" spans="1:17" ht="15" customHeight="1" x14ac:dyDescent="0.25">
      <c r="B18" s="2" t="s">
        <v>1383</v>
      </c>
      <c r="F18" s="877"/>
      <c r="G18" s="659"/>
      <c r="I18" s="857"/>
      <c r="J18" s="857"/>
      <c r="K18" s="857"/>
      <c r="L18" s="857"/>
      <c r="M18" s="857"/>
      <c r="N18" s="857"/>
    </row>
    <row r="19" spans="1:17" ht="9" customHeight="1" x14ac:dyDescent="0.25">
      <c r="B19" s="2"/>
      <c r="F19" s="877"/>
      <c r="G19" s="659"/>
      <c r="I19" s="857"/>
      <c r="J19" s="857"/>
      <c r="K19" s="857"/>
      <c r="L19" s="857"/>
      <c r="M19" s="857"/>
      <c r="N19" s="857"/>
    </row>
    <row r="20" spans="1:17" ht="15" customHeight="1" x14ac:dyDescent="0.25">
      <c r="B20" s="2" t="s">
        <v>1497</v>
      </c>
      <c r="F20" s="1965" t="s">
        <v>1959</v>
      </c>
      <c r="G20" s="659"/>
      <c r="I20" s="857"/>
      <c r="J20" s="857"/>
      <c r="K20" s="857"/>
      <c r="L20" s="857"/>
      <c r="M20" s="857"/>
      <c r="N20" s="857"/>
      <c r="Q20" s="2270"/>
    </row>
    <row r="21" spans="1:17" ht="15" customHeight="1" x14ac:dyDescent="0.25">
      <c r="B21" s="1437" t="str">
        <f>IF(MultipleBuildingsExist="Yes","Note: After completing the General Info tab, complete the Multiple Building Details Tab before proceeding to the other tabs.","")</f>
        <v/>
      </c>
      <c r="F21" s="1620"/>
      <c r="G21" s="659"/>
      <c r="I21" s="857"/>
      <c r="J21" s="857"/>
      <c r="K21" s="857"/>
      <c r="L21" s="857"/>
      <c r="M21" s="857"/>
      <c r="N21" s="857"/>
    </row>
    <row r="22" spans="1:17" ht="9" customHeight="1" x14ac:dyDescent="0.25">
      <c r="G22" s="1"/>
      <c r="I22" s="857"/>
      <c r="J22" s="857"/>
      <c r="K22" s="857"/>
      <c r="L22" s="857"/>
      <c r="M22" s="857"/>
      <c r="N22" s="857"/>
    </row>
    <row r="23" spans="1:17" ht="15" customHeight="1" x14ac:dyDescent="0.25">
      <c r="B23" s="434" t="str">
        <f>IF($I$12="IP","Conditioned building area (sq ft)","Conditioned building area (sq m)")</f>
        <v>Conditioned building area (sq ft)</v>
      </c>
      <c r="E23" s="857"/>
      <c r="F23" s="2266">
        <v>34856</v>
      </c>
      <c r="G23" s="1"/>
      <c r="I23" s="857"/>
      <c r="J23" s="857"/>
      <c r="K23" s="857"/>
      <c r="L23" s="857"/>
      <c r="M23" s="857"/>
      <c r="N23" s="857"/>
      <c r="Q23" s="2270"/>
    </row>
    <row r="24" spans="1:17" ht="9" customHeight="1" x14ac:dyDescent="0.25">
      <c r="F24" s="2267"/>
      <c r="G24" s="1"/>
      <c r="H24" s="857"/>
      <c r="I24" s="857"/>
      <c r="J24" s="857"/>
      <c r="K24" s="857"/>
      <c r="L24" s="857"/>
      <c r="M24" s="857"/>
      <c r="N24" s="857"/>
    </row>
    <row r="25" spans="1:17" ht="15" customHeight="1" x14ac:dyDescent="0.25">
      <c r="B25" s="434" t="str">
        <f>IF($I$12="IP","Unconditioned building area (sq ft)","Unconditioned building area (sq m)")</f>
        <v>Unconditioned building area (sq ft)</v>
      </c>
      <c r="F25" s="2266"/>
      <c r="G25" s="1"/>
      <c r="I25" s="1564"/>
      <c r="J25" s="857"/>
      <c r="K25" s="857"/>
      <c r="L25" s="857"/>
      <c r="M25" s="857"/>
      <c r="N25" s="857"/>
      <c r="Q25" s="2270"/>
    </row>
    <row r="26" spans="1:17" ht="9" customHeight="1" x14ac:dyDescent="0.25">
      <c r="F26" s="2267"/>
      <c r="G26" s="1"/>
      <c r="I26" s="857"/>
      <c r="J26" s="857"/>
      <c r="K26" s="857"/>
      <c r="L26" s="857"/>
      <c r="M26" s="857"/>
      <c r="N26" s="857"/>
    </row>
    <row r="27" spans="1:17" ht="15" customHeight="1" x14ac:dyDescent="0.25">
      <c r="B27" s="434" t="str">
        <f>IF($I$12="IP","Total building area (sq ft)","Total building area (sq m)")</f>
        <v>Total building area (sq ft)</v>
      </c>
      <c r="F27" s="2268">
        <f>F23+F25</f>
        <v>34856</v>
      </c>
      <c r="G27" s="1"/>
      <c r="I27" s="857"/>
      <c r="J27" s="857"/>
      <c r="K27" s="857"/>
      <c r="L27" s="857"/>
      <c r="M27" s="857"/>
      <c r="N27" s="857"/>
      <c r="Q27" s="2270"/>
    </row>
    <row r="28" spans="1:17" ht="9" customHeight="1" x14ac:dyDescent="0.25">
      <c r="B28" s="434"/>
      <c r="F28" s="858"/>
      <c r="G28" s="659"/>
      <c r="I28" s="857"/>
      <c r="J28" s="857"/>
      <c r="K28" s="857"/>
      <c r="L28" s="857"/>
      <c r="M28" s="857"/>
      <c r="N28" s="857"/>
    </row>
    <row r="29" spans="1:17" ht="15" customHeight="1" x14ac:dyDescent="0.25">
      <c r="B29" s="865" t="s">
        <v>1354</v>
      </c>
      <c r="F29" s="1615"/>
      <c r="G29" s="659"/>
      <c r="I29" s="857"/>
      <c r="J29" s="857"/>
      <c r="K29" s="857"/>
      <c r="L29" s="857"/>
      <c r="M29" s="857"/>
      <c r="N29" s="857"/>
      <c r="Q29" s="2270"/>
    </row>
    <row r="30" spans="1:17" ht="9" hidden="1" customHeight="1" x14ac:dyDescent="0.25">
      <c r="A30" s="867"/>
      <c r="B30" s="434"/>
      <c r="F30" s="858"/>
      <c r="G30" s="659"/>
      <c r="I30" s="857"/>
      <c r="J30" s="857"/>
      <c r="K30" s="857"/>
      <c r="L30" s="857"/>
      <c r="M30" s="857"/>
      <c r="N30" s="857"/>
    </row>
    <row r="31" spans="1:17" ht="15" hidden="1" customHeight="1" x14ac:dyDescent="0.25">
      <c r="A31" s="867"/>
      <c r="B31" s="865" t="s">
        <v>1338</v>
      </c>
      <c r="F31" s="745">
        <v>6</v>
      </c>
      <c r="G31" s="659"/>
      <c r="I31" s="857"/>
      <c r="J31" s="857"/>
      <c r="K31" s="857"/>
      <c r="L31" s="857"/>
      <c r="M31" s="857"/>
      <c r="N31" s="857"/>
    </row>
    <row r="32" spans="1:17" ht="33" customHeight="1" x14ac:dyDescent="0.25">
      <c r="I32" s="857"/>
      <c r="J32" s="857"/>
      <c r="K32" s="857"/>
      <c r="L32" s="857"/>
      <c r="M32" s="857"/>
      <c r="N32" s="857"/>
    </row>
    <row r="33" spans="1:421" ht="15" customHeight="1" x14ac:dyDescent="0.25">
      <c r="B33" s="28" t="s">
        <v>1029</v>
      </c>
      <c r="I33" s="857"/>
      <c r="J33" s="857"/>
      <c r="K33" s="857"/>
      <c r="L33" s="857"/>
      <c r="M33" s="857"/>
      <c r="N33" s="857"/>
    </row>
    <row r="34" spans="1:421" ht="9" customHeight="1" x14ac:dyDescent="0.25">
      <c r="B34" s="28"/>
      <c r="G34" s="659"/>
      <c r="I34" s="857"/>
      <c r="J34" s="857"/>
      <c r="K34" s="857"/>
      <c r="L34" s="857"/>
      <c r="M34" s="857"/>
      <c r="N34" s="857"/>
    </row>
    <row r="35" spans="1:421" ht="15" customHeight="1" x14ac:dyDescent="0.25">
      <c r="B35" s="529" t="s">
        <v>1341</v>
      </c>
      <c r="C35" s="2428" t="s">
        <v>2299</v>
      </c>
      <c r="D35" s="2429"/>
      <c r="E35" s="2429"/>
      <c r="F35" s="2430"/>
      <c r="G35" s="659"/>
      <c r="I35" s="857"/>
      <c r="J35" s="857"/>
      <c r="K35" s="857"/>
      <c r="L35" s="857"/>
      <c r="M35" s="857"/>
      <c r="N35" s="857"/>
      <c r="Q35" s="2270"/>
    </row>
    <row r="36" spans="1:421" ht="9" customHeight="1" x14ac:dyDescent="0.25">
      <c r="B36" s="590"/>
      <c r="C36" s="1577"/>
      <c r="D36" s="1577"/>
      <c r="E36" s="1577"/>
      <c r="F36" s="1577"/>
      <c r="G36" s="659"/>
      <c r="I36" s="857"/>
      <c r="J36" s="857"/>
      <c r="K36" s="857"/>
      <c r="L36" s="857"/>
      <c r="M36" s="857"/>
      <c r="N36" s="857"/>
    </row>
    <row r="37" spans="1:421" ht="15" customHeight="1" x14ac:dyDescent="0.25">
      <c r="B37" s="590" t="s">
        <v>1340</v>
      </c>
      <c r="C37" s="2428" t="s">
        <v>1343</v>
      </c>
      <c r="D37" s="2429"/>
      <c r="E37" s="2429"/>
      <c r="F37" s="2430"/>
      <c r="G37" s="659"/>
      <c r="I37" s="857"/>
      <c r="J37" s="857"/>
      <c r="K37" s="857"/>
      <c r="L37" s="857"/>
      <c r="M37" s="857"/>
      <c r="N37" s="857"/>
      <c r="Q37" s="2270"/>
    </row>
    <row r="38" spans="1:421" ht="9" hidden="1" customHeight="1" x14ac:dyDescent="0.25">
      <c r="A38" s="857"/>
      <c r="B38" s="871"/>
      <c r="C38" s="872"/>
      <c r="D38" s="872"/>
      <c r="E38" s="872"/>
      <c r="F38" s="872"/>
      <c r="G38" s="487"/>
      <c r="H38" s="857"/>
      <c r="I38" s="857"/>
      <c r="J38" s="857"/>
      <c r="K38" s="857"/>
      <c r="L38" s="857"/>
      <c r="M38" s="857"/>
      <c r="N38" s="857"/>
      <c r="O38" s="857"/>
      <c r="P38" s="857"/>
      <c r="Q38" s="857"/>
      <c r="R38" s="857"/>
      <c r="S38" s="857"/>
      <c r="T38" s="857"/>
      <c r="U38" s="857"/>
      <c r="V38" s="857"/>
      <c r="W38" s="857"/>
      <c r="X38" s="857"/>
      <c r="Y38" s="857"/>
      <c r="Z38" s="857"/>
      <c r="AA38" s="857"/>
      <c r="AB38" s="857"/>
      <c r="AC38" s="857"/>
      <c r="AD38" s="857"/>
      <c r="AE38" s="857"/>
      <c r="AF38" s="857"/>
      <c r="AG38" s="857"/>
      <c r="AH38" s="857"/>
      <c r="AI38" s="857"/>
      <c r="AJ38" s="857"/>
      <c r="AK38" s="857"/>
      <c r="AL38" s="857"/>
      <c r="AM38" s="857"/>
      <c r="AN38" s="857"/>
      <c r="AO38" s="857"/>
      <c r="AP38" s="857"/>
      <c r="AQ38" s="857"/>
      <c r="AR38" s="857"/>
      <c r="AS38" s="857"/>
      <c r="AT38" s="857"/>
      <c r="AU38" s="857"/>
      <c r="AV38" s="857"/>
      <c r="AW38" s="857"/>
      <c r="AX38" s="857"/>
      <c r="AY38" s="857"/>
      <c r="AZ38" s="857"/>
      <c r="BA38" s="857"/>
      <c r="BB38" s="857"/>
      <c r="BC38" s="857"/>
      <c r="BD38" s="857"/>
      <c r="BE38" s="857"/>
      <c r="BF38" s="857"/>
      <c r="BG38" s="857"/>
      <c r="BH38" s="857"/>
      <c r="BI38" s="857"/>
      <c r="BJ38" s="857"/>
      <c r="BK38" s="857"/>
      <c r="BL38" s="857"/>
      <c r="BM38" s="857"/>
      <c r="BN38" s="857"/>
      <c r="BO38" s="857"/>
      <c r="BP38" s="857"/>
      <c r="BQ38" s="857"/>
      <c r="BR38" s="857"/>
      <c r="BS38" s="857"/>
      <c r="BT38" s="857"/>
      <c r="BU38" s="857"/>
      <c r="BV38" s="857"/>
      <c r="BW38" s="857"/>
      <c r="BX38" s="857"/>
      <c r="BY38" s="857"/>
      <c r="BZ38" s="857"/>
      <c r="CA38" s="857"/>
      <c r="CB38" s="857"/>
      <c r="CC38" s="857"/>
      <c r="CD38" s="857"/>
      <c r="CE38" s="857"/>
      <c r="CF38" s="857"/>
      <c r="CG38" s="857"/>
      <c r="CH38" s="857"/>
      <c r="CI38" s="857"/>
      <c r="CJ38" s="857"/>
      <c r="CK38" s="857"/>
      <c r="CL38" s="857"/>
      <c r="CM38" s="857"/>
      <c r="CN38" s="857"/>
      <c r="CO38" s="857"/>
      <c r="CP38" s="857"/>
      <c r="CQ38" s="857"/>
      <c r="CR38" s="857"/>
      <c r="CS38" s="857"/>
      <c r="CT38" s="857"/>
      <c r="CU38" s="857"/>
      <c r="CV38" s="857"/>
      <c r="CW38" s="857"/>
      <c r="CX38" s="857"/>
      <c r="CY38" s="857"/>
      <c r="CZ38" s="857"/>
      <c r="DA38" s="857"/>
      <c r="DB38" s="857"/>
      <c r="DC38" s="857"/>
      <c r="DD38" s="857"/>
      <c r="DE38" s="857"/>
      <c r="DF38" s="857"/>
      <c r="DG38" s="857"/>
      <c r="DH38" s="857"/>
      <c r="DI38" s="857"/>
      <c r="DJ38" s="857"/>
      <c r="DK38" s="857"/>
      <c r="DL38" s="857"/>
      <c r="DM38" s="857"/>
      <c r="DN38" s="857"/>
      <c r="DO38" s="857"/>
      <c r="DP38" s="857"/>
      <c r="DQ38" s="857"/>
      <c r="DR38" s="857"/>
      <c r="DS38" s="857"/>
      <c r="DT38" s="857"/>
      <c r="DU38" s="857"/>
      <c r="DV38" s="857"/>
      <c r="DW38" s="857"/>
      <c r="DX38" s="857"/>
      <c r="DY38" s="857"/>
      <c r="DZ38" s="857"/>
      <c r="EA38" s="857"/>
      <c r="EB38" s="857"/>
      <c r="EC38" s="857"/>
      <c r="ED38" s="857"/>
      <c r="EE38" s="857"/>
      <c r="EF38" s="857"/>
      <c r="EG38" s="857"/>
      <c r="EH38" s="857"/>
      <c r="EI38" s="857"/>
      <c r="EJ38" s="857"/>
      <c r="EK38" s="857"/>
      <c r="EL38" s="857"/>
      <c r="EM38" s="857"/>
      <c r="EN38" s="857"/>
      <c r="EO38" s="857"/>
      <c r="EP38" s="857"/>
      <c r="EQ38" s="857"/>
      <c r="ER38" s="857"/>
      <c r="ES38" s="857"/>
      <c r="ET38" s="857"/>
      <c r="EU38" s="857"/>
      <c r="EV38" s="857"/>
      <c r="EW38" s="857"/>
      <c r="EX38" s="857"/>
      <c r="EY38" s="857"/>
      <c r="EZ38" s="857"/>
      <c r="FA38" s="857"/>
      <c r="FB38" s="857"/>
      <c r="FC38" s="857"/>
      <c r="FD38" s="857"/>
      <c r="FE38" s="857"/>
      <c r="FF38" s="857"/>
      <c r="FG38" s="857"/>
      <c r="FH38" s="857"/>
      <c r="FI38" s="857"/>
      <c r="FJ38" s="857"/>
      <c r="FK38" s="857"/>
      <c r="FL38" s="857"/>
      <c r="FM38" s="857"/>
      <c r="FN38" s="857"/>
      <c r="FO38" s="857"/>
      <c r="FP38" s="857"/>
      <c r="FQ38" s="857"/>
      <c r="FR38" s="857"/>
      <c r="FS38" s="857"/>
      <c r="FT38" s="857"/>
      <c r="FU38" s="857"/>
      <c r="FV38" s="857"/>
      <c r="FW38" s="857"/>
      <c r="FX38" s="857"/>
      <c r="FY38" s="857"/>
      <c r="FZ38" s="857"/>
      <c r="GA38" s="857"/>
      <c r="GB38" s="857"/>
      <c r="GC38" s="857"/>
      <c r="GD38" s="857"/>
      <c r="GE38" s="857"/>
      <c r="GF38" s="857"/>
      <c r="GG38" s="857"/>
      <c r="GH38" s="857"/>
      <c r="GI38" s="857"/>
      <c r="GJ38" s="857"/>
      <c r="GK38" s="857"/>
      <c r="GL38" s="857"/>
      <c r="GM38" s="857"/>
      <c r="GN38" s="857"/>
      <c r="GO38" s="857"/>
      <c r="GP38" s="857"/>
      <c r="GQ38" s="857"/>
      <c r="GR38" s="857"/>
      <c r="GS38" s="857"/>
      <c r="GT38" s="857"/>
      <c r="GU38" s="857"/>
      <c r="GV38" s="857"/>
      <c r="GW38" s="857"/>
      <c r="GX38" s="857"/>
      <c r="GY38" s="857"/>
      <c r="GZ38" s="857"/>
      <c r="HA38" s="857"/>
      <c r="HB38" s="857"/>
      <c r="HC38" s="857"/>
      <c r="HD38" s="857"/>
      <c r="HE38" s="857"/>
      <c r="HF38" s="857"/>
      <c r="HG38" s="857"/>
      <c r="HH38" s="857"/>
      <c r="HI38" s="857"/>
      <c r="HJ38" s="857"/>
      <c r="HK38" s="857"/>
      <c r="HL38" s="857"/>
      <c r="HM38" s="857"/>
      <c r="HN38" s="857"/>
      <c r="HO38" s="857"/>
      <c r="HP38" s="857"/>
      <c r="HQ38" s="857"/>
      <c r="HR38" s="857"/>
      <c r="HS38" s="857"/>
      <c r="HT38" s="857"/>
      <c r="HU38" s="857"/>
      <c r="HV38" s="857"/>
      <c r="HW38" s="857"/>
      <c r="HX38" s="857"/>
      <c r="HY38" s="857"/>
      <c r="HZ38" s="857"/>
      <c r="IA38" s="857"/>
      <c r="IB38" s="857"/>
      <c r="IC38" s="857"/>
      <c r="ID38" s="857"/>
      <c r="IE38" s="857"/>
      <c r="IF38" s="857"/>
      <c r="IG38" s="857"/>
      <c r="IH38" s="857"/>
      <c r="II38" s="857"/>
      <c r="IJ38" s="857"/>
      <c r="IK38" s="857"/>
      <c r="IL38" s="857"/>
      <c r="IM38" s="857"/>
      <c r="IN38" s="857"/>
      <c r="IO38" s="857"/>
      <c r="IP38" s="857"/>
      <c r="IQ38" s="857"/>
      <c r="IR38" s="857"/>
      <c r="IS38" s="857"/>
      <c r="IT38" s="857"/>
      <c r="IU38" s="857"/>
      <c r="IV38" s="857"/>
      <c r="IW38" s="857"/>
      <c r="IX38" s="857"/>
      <c r="IY38" s="857"/>
      <c r="IZ38" s="857"/>
      <c r="JA38" s="857"/>
      <c r="JB38" s="857"/>
      <c r="JC38" s="857"/>
      <c r="JD38" s="857"/>
      <c r="JE38" s="857"/>
      <c r="JF38" s="857"/>
      <c r="JG38" s="857"/>
      <c r="JH38" s="857"/>
      <c r="JI38" s="857"/>
      <c r="JJ38" s="857"/>
      <c r="JK38" s="857"/>
      <c r="JL38" s="857"/>
      <c r="JM38" s="857"/>
      <c r="JN38" s="857"/>
      <c r="JO38" s="857"/>
      <c r="JP38" s="857"/>
      <c r="JQ38" s="857"/>
      <c r="JR38" s="857"/>
      <c r="JS38" s="857"/>
      <c r="JT38" s="857"/>
      <c r="JU38" s="857"/>
      <c r="JV38" s="857"/>
      <c r="JW38" s="857"/>
      <c r="JX38" s="857"/>
      <c r="JY38" s="857"/>
      <c r="JZ38" s="857"/>
      <c r="KA38" s="857"/>
      <c r="KB38" s="857"/>
      <c r="KC38" s="857"/>
      <c r="KD38" s="857"/>
      <c r="KE38" s="857"/>
      <c r="KF38" s="857"/>
      <c r="KG38" s="857"/>
      <c r="KH38" s="857"/>
      <c r="KI38" s="857"/>
      <c r="KJ38" s="857"/>
      <c r="KK38" s="857"/>
      <c r="KL38" s="857"/>
      <c r="KM38" s="857"/>
      <c r="KN38" s="857"/>
      <c r="KO38" s="857"/>
      <c r="KP38" s="857"/>
      <c r="KQ38" s="857"/>
      <c r="KR38" s="857"/>
      <c r="KS38" s="857"/>
      <c r="KT38" s="857"/>
      <c r="KU38" s="857"/>
      <c r="KV38" s="857"/>
      <c r="KW38" s="857"/>
      <c r="KX38" s="857"/>
      <c r="KY38" s="857"/>
      <c r="KZ38" s="857"/>
      <c r="LA38" s="857"/>
      <c r="LB38" s="857"/>
      <c r="LC38" s="857"/>
      <c r="LD38" s="857"/>
      <c r="LE38" s="857"/>
      <c r="LF38" s="857"/>
      <c r="LG38" s="857"/>
      <c r="LH38" s="857"/>
      <c r="LI38" s="857"/>
      <c r="LJ38" s="857"/>
      <c r="LK38" s="857"/>
      <c r="LL38" s="857"/>
      <c r="LM38" s="857"/>
      <c r="LN38" s="857"/>
      <c r="LO38" s="857"/>
      <c r="LP38" s="857"/>
      <c r="LQ38" s="857"/>
      <c r="LR38" s="857"/>
      <c r="LS38" s="857"/>
      <c r="LT38" s="857"/>
      <c r="LU38" s="857"/>
      <c r="LV38" s="857"/>
      <c r="LW38" s="857"/>
      <c r="LX38" s="857"/>
      <c r="LY38" s="857"/>
      <c r="LZ38" s="857"/>
      <c r="MA38" s="857"/>
      <c r="MB38" s="857"/>
      <c r="MC38" s="857"/>
      <c r="MD38" s="857"/>
      <c r="ME38" s="857"/>
      <c r="MF38" s="857"/>
      <c r="MG38" s="857"/>
      <c r="MH38" s="857"/>
      <c r="MI38" s="857"/>
      <c r="MJ38" s="857"/>
      <c r="MK38" s="857"/>
      <c r="ML38" s="857"/>
      <c r="MM38" s="857"/>
      <c r="MN38" s="857"/>
      <c r="MO38" s="857"/>
      <c r="MP38" s="857"/>
      <c r="MQ38" s="857"/>
      <c r="MR38" s="857"/>
      <c r="MS38" s="857"/>
      <c r="MT38" s="857"/>
      <c r="MU38" s="857"/>
      <c r="MV38" s="857"/>
      <c r="MW38" s="857"/>
      <c r="MX38" s="857"/>
      <c r="MY38" s="857"/>
      <c r="MZ38" s="857"/>
      <c r="NA38" s="857"/>
      <c r="NB38" s="857"/>
      <c r="NC38" s="857"/>
      <c r="ND38" s="857"/>
      <c r="NE38" s="857"/>
      <c r="NF38" s="857"/>
      <c r="NG38" s="857"/>
      <c r="NH38" s="857"/>
      <c r="NI38" s="857"/>
      <c r="NJ38" s="857"/>
      <c r="NK38" s="857"/>
      <c r="NL38" s="857"/>
      <c r="NM38" s="857"/>
      <c r="NN38" s="857"/>
      <c r="NO38" s="857"/>
      <c r="NP38" s="857"/>
      <c r="NQ38" s="857"/>
      <c r="NR38" s="857"/>
      <c r="NS38" s="857"/>
      <c r="NT38" s="857"/>
      <c r="NU38" s="857"/>
      <c r="NV38" s="857"/>
      <c r="NW38" s="857"/>
      <c r="NX38" s="857"/>
      <c r="NY38" s="857"/>
      <c r="NZ38" s="857"/>
      <c r="OA38" s="857"/>
      <c r="OB38" s="857"/>
      <c r="OC38" s="857"/>
      <c r="OD38" s="857"/>
      <c r="OE38" s="857"/>
      <c r="OF38" s="857"/>
      <c r="OG38" s="857"/>
      <c r="OH38" s="857"/>
      <c r="OI38" s="857"/>
      <c r="OJ38" s="857"/>
      <c r="OK38" s="857"/>
      <c r="OL38" s="857"/>
      <c r="OM38" s="857"/>
      <c r="ON38" s="857"/>
      <c r="OO38" s="857"/>
      <c r="OP38" s="857"/>
      <c r="OQ38" s="857"/>
      <c r="OR38" s="857"/>
      <c r="OS38" s="857"/>
      <c r="OT38" s="857"/>
      <c r="OU38" s="857"/>
      <c r="OV38" s="857"/>
      <c r="OW38" s="857"/>
      <c r="OX38" s="857"/>
      <c r="OY38" s="857"/>
      <c r="OZ38" s="857"/>
      <c r="PA38" s="857"/>
      <c r="PB38" s="857"/>
      <c r="PC38" s="857"/>
      <c r="PD38" s="857"/>
      <c r="PE38" s="857"/>
    </row>
    <row r="39" spans="1:421" hidden="1" x14ac:dyDescent="0.25">
      <c r="B39" s="2437" t="s">
        <v>1347</v>
      </c>
      <c r="C39" s="2437"/>
      <c r="D39" s="2437"/>
      <c r="E39" s="2437"/>
      <c r="F39" s="2437"/>
      <c r="G39" s="659"/>
      <c r="I39" s="857"/>
      <c r="J39" s="857"/>
      <c r="K39" s="857"/>
      <c r="L39" s="857"/>
      <c r="M39" s="857"/>
      <c r="N39" s="857"/>
    </row>
    <row r="40" spans="1:421" ht="46.5" hidden="1" customHeight="1" x14ac:dyDescent="0.25">
      <c r="B40" s="2440"/>
      <c r="C40" s="2441"/>
      <c r="D40" s="2441"/>
      <c r="E40" s="2441"/>
      <c r="F40" s="2442"/>
      <c r="G40" s="659"/>
      <c r="I40" s="857"/>
      <c r="J40" s="857"/>
      <c r="K40" s="857"/>
      <c r="L40" s="857"/>
      <c r="M40" s="857"/>
      <c r="N40" s="857"/>
    </row>
    <row r="41" spans="1:421" ht="9" customHeight="1" x14ac:dyDescent="0.25">
      <c r="B41" s="590"/>
      <c r="C41" s="1578"/>
      <c r="D41" s="1578"/>
      <c r="E41" s="1578"/>
      <c r="F41" s="1578"/>
      <c r="G41" s="659"/>
      <c r="I41" s="857"/>
      <c r="J41" s="857"/>
      <c r="K41" s="857"/>
      <c r="L41" s="857"/>
      <c r="M41" s="857"/>
      <c r="N41" s="857"/>
    </row>
    <row r="42" spans="1:421" ht="15" customHeight="1" x14ac:dyDescent="0.25">
      <c r="B42" s="529" t="s">
        <v>496</v>
      </c>
      <c r="C42" s="2428" t="s">
        <v>499</v>
      </c>
      <c r="D42" s="2429"/>
      <c r="E42" s="2429"/>
      <c r="F42" s="2430"/>
      <c r="I42" s="857"/>
      <c r="J42" s="857"/>
      <c r="K42" s="857"/>
      <c r="L42" s="857"/>
      <c r="M42" s="857"/>
      <c r="N42" s="857"/>
      <c r="Q42" s="2270"/>
    </row>
    <row r="43" spans="1:421" ht="9" customHeight="1" x14ac:dyDescent="0.25">
      <c r="I43" s="857"/>
      <c r="J43" s="857"/>
      <c r="K43" s="857"/>
      <c r="L43" s="857"/>
      <c r="M43" s="857"/>
      <c r="N43" s="857"/>
    </row>
    <row r="44" spans="1:421" ht="15" customHeight="1" x14ac:dyDescent="0.25">
      <c r="B44" s="529" t="s">
        <v>497</v>
      </c>
      <c r="C44" s="2428" t="s">
        <v>507</v>
      </c>
      <c r="D44" s="2429"/>
      <c r="E44" s="2429"/>
      <c r="F44" s="2430"/>
      <c r="I44" s="1519" t="str">
        <f>IF(C44="California Title-24 2013, Part 6","TRUE","FALSE")</f>
        <v>FALSE</v>
      </c>
      <c r="J44" s="857"/>
      <c r="K44" s="857"/>
      <c r="L44" s="857"/>
      <c r="M44" s="857"/>
      <c r="N44" s="857"/>
      <c r="Q44" s="2270"/>
    </row>
    <row r="45" spans="1:421" ht="9" customHeight="1" x14ac:dyDescent="0.25">
      <c r="I45" s="857"/>
      <c r="J45" s="857"/>
      <c r="K45" s="857"/>
      <c r="L45" s="857"/>
      <c r="M45" s="857"/>
      <c r="N45" s="857"/>
    </row>
    <row r="46" spans="1:421" ht="15" customHeight="1" x14ac:dyDescent="0.25">
      <c r="B46" s="529" t="s">
        <v>498</v>
      </c>
      <c r="C46" s="2431" t="s">
        <v>2244</v>
      </c>
      <c r="D46" s="2432"/>
      <c r="E46" s="2432"/>
      <c r="F46" s="2433"/>
      <c r="I46" s="857"/>
      <c r="J46" s="857"/>
      <c r="K46" s="857"/>
      <c r="L46" s="857"/>
      <c r="M46" s="857"/>
      <c r="N46" s="857"/>
      <c r="Q46" s="2270"/>
    </row>
    <row r="47" spans="1:421" ht="9" customHeight="1" x14ac:dyDescent="0.25">
      <c r="I47" s="857"/>
      <c r="J47" s="857"/>
      <c r="K47" s="857"/>
      <c r="L47" s="857"/>
      <c r="M47" s="857"/>
      <c r="N47" s="857"/>
    </row>
    <row r="48" spans="1:421" s="99" customFormat="1" ht="15" customHeight="1" x14ac:dyDescent="0.25">
      <c r="B48" s="870" t="s">
        <v>1223</v>
      </c>
      <c r="C48" s="2431" t="s">
        <v>46</v>
      </c>
      <c r="D48" s="2432"/>
      <c r="E48" s="2432"/>
      <c r="F48" s="2433"/>
      <c r="G48" s="584"/>
      <c r="H48" s="585"/>
      <c r="I48" s="1565"/>
      <c r="J48" s="1565"/>
      <c r="K48" s="1566"/>
      <c r="L48" s="1567"/>
      <c r="M48" s="944"/>
      <c r="N48" s="1568"/>
      <c r="P48" s="337"/>
      <c r="Q48" s="2271"/>
    </row>
    <row r="49" spans="2:17" s="99" customFormat="1" ht="21" customHeight="1" x14ac:dyDescent="0.2">
      <c r="B49" s="868"/>
      <c r="C49" s="869"/>
      <c r="D49" s="869"/>
      <c r="E49" s="869"/>
      <c r="F49" s="869"/>
      <c r="G49" s="107"/>
      <c r="H49" s="107"/>
      <c r="I49" s="869"/>
      <c r="J49" s="869"/>
      <c r="K49" s="869"/>
      <c r="L49" s="1567"/>
      <c r="M49" s="944"/>
      <c r="N49" s="944"/>
      <c r="Q49" s="251"/>
    </row>
    <row r="50" spans="2:17" ht="36.75" customHeight="1" x14ac:dyDescent="0.25">
      <c r="B50" s="2437" t="s">
        <v>1292</v>
      </c>
      <c r="C50" s="2437"/>
      <c r="D50" s="2437"/>
      <c r="E50" s="2437"/>
      <c r="F50" s="2437"/>
      <c r="I50" s="857"/>
      <c r="J50" s="857"/>
      <c r="K50" s="857"/>
      <c r="L50" s="857"/>
      <c r="M50" s="857"/>
      <c r="N50" s="857"/>
    </row>
    <row r="51" spans="2:17" ht="46.5" customHeight="1" x14ac:dyDescent="0.25">
      <c r="B51" s="2434"/>
      <c r="C51" s="2435"/>
      <c r="D51" s="2435"/>
      <c r="E51" s="2435"/>
      <c r="F51" s="2436"/>
      <c r="I51" s="857"/>
      <c r="J51" s="857"/>
      <c r="K51" s="857"/>
      <c r="L51" s="857"/>
      <c r="M51" s="857"/>
      <c r="N51" s="857"/>
      <c r="Q51" s="2270"/>
    </row>
    <row r="52" spans="2:17" s="442" customFormat="1" ht="21" customHeight="1" x14ac:dyDescent="0.2">
      <c r="B52" s="862"/>
      <c r="C52" s="863"/>
      <c r="D52" s="863"/>
      <c r="E52" s="863"/>
      <c r="F52" s="864"/>
      <c r="G52" s="446"/>
      <c r="I52" s="1569"/>
      <c r="J52" s="1570"/>
      <c r="K52" s="1570"/>
      <c r="L52" s="1570"/>
      <c r="M52" s="1570"/>
      <c r="N52" s="1570"/>
    </row>
    <row r="53" spans="2:17" s="427" customFormat="1" ht="45.75" customHeight="1" x14ac:dyDescent="0.25">
      <c r="B53" s="2403" t="s">
        <v>495</v>
      </c>
      <c r="C53" s="2403"/>
      <c r="D53" s="2403"/>
      <c r="E53" s="2403"/>
      <c r="F53" s="2403"/>
      <c r="G53"/>
      <c r="H53" s="251"/>
      <c r="I53" s="857"/>
      <c r="J53" s="857"/>
      <c r="K53" s="1571"/>
      <c r="L53" s="1571"/>
      <c r="M53" s="1571"/>
      <c r="N53" s="1571"/>
    </row>
    <row r="54" spans="2:17" s="427" customFormat="1" ht="33" customHeight="1" x14ac:dyDescent="0.25">
      <c r="B54" s="2403" t="s">
        <v>1293</v>
      </c>
      <c r="C54" s="2403"/>
      <c r="D54" s="2403"/>
      <c r="E54" s="2403"/>
      <c r="F54" s="2403"/>
      <c r="G54"/>
      <c r="H54" s="428"/>
      <c r="I54" s="1572"/>
      <c r="J54" s="1572"/>
      <c r="K54" s="1572"/>
      <c r="L54" s="1572"/>
      <c r="M54" s="1572"/>
      <c r="N54" s="1572"/>
    </row>
    <row r="55" spans="2:17" s="427" customFormat="1" ht="34.5" customHeight="1" x14ac:dyDescent="0.25">
      <c r="B55" s="860"/>
      <c r="C55" s="861"/>
      <c r="D55" s="861"/>
      <c r="E55" s="860"/>
      <c r="F55" s="860"/>
      <c r="G55"/>
      <c r="H55" s="429"/>
      <c r="I55" s="860"/>
      <c r="J55" s="860"/>
      <c r="K55" s="860"/>
      <c r="L55" s="860"/>
      <c r="M55" s="860"/>
      <c r="N55" s="860"/>
    </row>
    <row r="56" spans="2:17" s="442" customFormat="1" ht="24.75" customHeight="1" x14ac:dyDescent="0.25">
      <c r="B56" s="2409" t="s">
        <v>1051</v>
      </c>
      <c r="C56" s="2409"/>
      <c r="D56" s="2409"/>
      <c r="E56" s="2409"/>
      <c r="F56" s="2409"/>
      <c r="G56" s="446"/>
      <c r="I56" s="1570"/>
      <c r="J56" s="1570"/>
      <c r="K56" s="1570"/>
      <c r="L56" s="1570"/>
      <c r="M56" s="1570"/>
      <c r="N56" s="1570"/>
    </row>
    <row r="57" spans="2:17" s="442" customFormat="1" ht="28.5" customHeight="1" x14ac:dyDescent="0.25">
      <c r="B57" s="2425" t="s">
        <v>1221</v>
      </c>
      <c r="C57" s="2425"/>
      <c r="D57" s="2425"/>
      <c r="E57" s="2425"/>
      <c r="F57" s="2425"/>
      <c r="G57" s="446"/>
      <c r="I57" s="1570"/>
      <c r="J57" s="1570"/>
      <c r="K57" s="1570"/>
      <c r="L57" s="1570"/>
      <c r="M57" s="1570"/>
      <c r="N57" s="1570"/>
    </row>
    <row r="58" spans="2:17" s="29" customFormat="1" ht="15" customHeight="1" x14ac:dyDescent="0.25">
      <c r="B58" s="855"/>
      <c r="C58" s="855"/>
      <c r="D58" s="855"/>
      <c r="E58" s="855"/>
      <c r="F58" s="855"/>
      <c r="G58"/>
      <c r="H58" s="33"/>
      <c r="I58" s="1520" t="b">
        <v>1</v>
      </c>
      <c r="J58" s="470"/>
      <c r="K58" s="470"/>
      <c r="L58" s="470"/>
      <c r="M58" s="470"/>
      <c r="N58" s="880"/>
    </row>
    <row r="59" spans="2:17" s="29" customFormat="1" ht="21" customHeight="1" x14ac:dyDescent="0.25">
      <c r="B59" s="2423" t="s">
        <v>331</v>
      </c>
      <c r="C59" s="2424"/>
      <c r="D59" s="2359"/>
      <c r="E59" s="2360"/>
      <c r="F59" s="2361"/>
      <c r="G59"/>
      <c r="H59" s="33"/>
      <c r="I59" s="1520" t="b">
        <v>1</v>
      </c>
      <c r="J59" s="1522" t="b">
        <v>1</v>
      </c>
      <c r="K59" s="1522" t="b">
        <v>0</v>
      </c>
      <c r="L59" s="470"/>
      <c r="M59" s="470"/>
      <c r="N59" s="880"/>
      <c r="Q59" s="2272"/>
    </row>
    <row r="60" spans="2:17" s="29" customFormat="1" ht="21" customHeight="1" x14ac:dyDescent="0.25">
      <c r="B60" s="2421" t="s">
        <v>2065</v>
      </c>
      <c r="C60" s="2422"/>
      <c r="D60" s="2400" t="s">
        <v>2243</v>
      </c>
      <c r="E60" s="2419"/>
      <c r="F60" s="2420"/>
      <c r="G60"/>
      <c r="H60" s="33"/>
      <c r="I60" s="1520" t="b">
        <f>IF(AND(I58=TRUE,LEFT(D60,6)="Path 1"),TRUE,FALSE)</f>
        <v>1</v>
      </c>
      <c r="J60" s="1522" t="b">
        <f>IF(AND(I58=TRUE,LEFT(D60,6)="Path 2"),TRUE,FALSE)</f>
        <v>0</v>
      </c>
      <c r="K60" s="1522" t="b">
        <f>IF(AND(I58=TRUE,LEFT(D60,6)="Path 3"),TRUE,FALSE)</f>
        <v>0</v>
      </c>
      <c r="L60" s="1522" t="b">
        <f>IF(AND(I58=TRUE,LEFT(D60,6)="Path 4"),TRUE,FALSE)</f>
        <v>0</v>
      </c>
      <c r="M60" s="470"/>
      <c r="N60" s="880"/>
      <c r="Q60" s="2272"/>
    </row>
    <row r="61" spans="2:17" s="77" customFormat="1" ht="21" customHeight="1" x14ac:dyDescent="0.25">
      <c r="B61" s="2407" t="s">
        <v>336</v>
      </c>
      <c r="C61" s="2408"/>
      <c r="D61" s="2416"/>
      <c r="E61" s="2417"/>
      <c r="F61" s="2418"/>
      <c r="G61"/>
      <c r="H61" s="33"/>
      <c r="I61" s="1521" t="b">
        <f>IF(D61="Modeling Method",TRUE,FALSE)</f>
        <v>0</v>
      </c>
      <c r="J61" s="1523" t="b">
        <f>IF(D61="Monitoring Method",TRUE,FALSE)</f>
        <v>0</v>
      </c>
      <c r="K61" s="1573"/>
      <c r="L61" s="1573"/>
      <c r="M61" s="1573"/>
      <c r="N61" s="1574"/>
      <c r="Q61" s="2273"/>
    </row>
    <row r="62" spans="2:17" s="77" customFormat="1" ht="65.25" customHeight="1" x14ac:dyDescent="0.25">
      <c r="B62" s="2407" t="s">
        <v>335</v>
      </c>
      <c r="C62" s="2408"/>
      <c r="D62" s="2404"/>
      <c r="E62" s="2405"/>
      <c r="F62" s="2406"/>
      <c r="G62"/>
      <c r="H62" s="33"/>
      <c r="I62" s="1575"/>
      <c r="J62" s="1575"/>
      <c r="K62" s="1573"/>
      <c r="L62" s="1573"/>
      <c r="M62" s="1573"/>
      <c r="N62" s="1574"/>
      <c r="Q62" s="2273"/>
    </row>
    <row r="63" spans="2:17" ht="33" customHeight="1" x14ac:dyDescent="0.25">
      <c r="B63" s="857"/>
      <c r="C63" s="857"/>
      <c r="D63" s="857"/>
      <c r="E63" s="857"/>
      <c r="F63" s="857"/>
      <c r="I63" s="498"/>
      <c r="J63" s="498"/>
      <c r="K63" s="498"/>
      <c r="L63" s="498"/>
      <c r="M63" s="498"/>
      <c r="N63" s="857"/>
    </row>
    <row r="64" spans="2:17" s="442" customFormat="1" ht="25.5" customHeight="1" x14ac:dyDescent="0.25">
      <c r="B64" s="2409" t="s">
        <v>1048</v>
      </c>
      <c r="C64" s="2409"/>
      <c r="D64" s="2409"/>
      <c r="E64" s="2409"/>
      <c r="F64" s="2409"/>
      <c r="G64" s="446"/>
      <c r="I64" s="1522" t="b">
        <f>IF(OR(I65=TRUE,I66=TRUE),TRUE,FALSE)</f>
        <v>0</v>
      </c>
      <c r="J64" s="470"/>
      <c r="K64" s="470"/>
      <c r="L64" s="470"/>
      <c r="M64" s="470"/>
      <c r="N64" s="1570"/>
    </row>
    <row r="65" spans="2:17" s="442" customFormat="1" ht="42" customHeight="1" x14ac:dyDescent="0.2">
      <c r="B65" s="2413" t="s">
        <v>1224</v>
      </c>
      <c r="C65" s="2414"/>
      <c r="D65" s="2414"/>
      <c r="E65" s="2415"/>
      <c r="F65" s="2415"/>
      <c r="G65" s="447"/>
      <c r="I65" s="1522" t="b">
        <f>IF(OR($E$10="LEED v4 ID+C: Commercial Interiors",$E$10="LEED v4 ID+C: Retail",$E$10="LEED v4 ID+C: Hospitality"),TRUE,FALSE)</f>
        <v>0</v>
      </c>
      <c r="J65" s="470"/>
      <c r="K65" s="470"/>
      <c r="L65" s="470"/>
      <c r="M65" s="470"/>
      <c r="N65" s="1570"/>
      <c r="Q65" s="2274"/>
    </row>
    <row r="66" spans="2:17" s="442" customFormat="1" ht="70.5" customHeight="1" x14ac:dyDescent="0.2">
      <c r="B66" s="2410" t="s">
        <v>1225</v>
      </c>
      <c r="C66" s="2411"/>
      <c r="D66" s="2411"/>
      <c r="E66" s="2412"/>
      <c r="F66" s="2412"/>
      <c r="G66" s="447"/>
      <c r="I66" s="1522" t="b">
        <f>IF($E$10="LEED v4 BD+C: Data Centers",TRUE,FALSE)</f>
        <v>0</v>
      </c>
      <c r="J66" s="470"/>
      <c r="K66" s="1524" t="b">
        <f>IF(AND(I66=TRUE,E66="Avg of Full IT Load + Startup IT Load"),TRUE,FALSE)</f>
        <v>0</v>
      </c>
      <c r="L66" s="1524" t="b">
        <f>I66</f>
        <v>0</v>
      </c>
      <c r="M66" s="1524" t="b">
        <f>IF(OR($E$10="LEED v4 ID+C: Retail",$E$10="LEED v4 BD+C: Retail"),TRUE,FALSE)</f>
        <v>0</v>
      </c>
      <c r="N66" s="1570"/>
      <c r="Q66" s="2274"/>
    </row>
    <row r="67" spans="2:17" s="500" customFormat="1" ht="33" customHeight="1" x14ac:dyDescent="0.25">
      <c r="B67" s="859"/>
      <c r="C67" s="859"/>
      <c r="D67" s="859"/>
      <c r="E67" s="859"/>
      <c r="F67" s="859"/>
      <c r="G67" s="445"/>
      <c r="I67" s="852"/>
      <c r="J67" s="852"/>
      <c r="K67" s="1525" t="s">
        <v>1123</v>
      </c>
      <c r="L67" s="1525" t="s">
        <v>1124</v>
      </c>
      <c r="M67" s="1525" t="s">
        <v>84</v>
      </c>
      <c r="N67" s="1576"/>
    </row>
    <row r="68" spans="2:17" s="442" customFormat="1" ht="25.5" customHeight="1" x14ac:dyDescent="0.25">
      <c r="B68" s="2409" t="s">
        <v>1036</v>
      </c>
      <c r="C68" s="2409"/>
      <c r="D68" s="2409"/>
      <c r="E68" s="2409"/>
      <c r="F68" s="2409"/>
      <c r="G68" s="446"/>
      <c r="I68" s="1570"/>
      <c r="J68" s="1570"/>
      <c r="K68" s="1570"/>
      <c r="L68" s="1570"/>
      <c r="M68" s="1570"/>
      <c r="N68" s="1570"/>
    </row>
    <row r="69" spans="2:17" s="442" customFormat="1" ht="21" customHeight="1" x14ac:dyDescent="0.2">
      <c r="B69" s="853" t="s">
        <v>1129</v>
      </c>
      <c r="C69" s="2400" t="s">
        <v>2278</v>
      </c>
      <c r="D69" s="2401"/>
      <c r="E69" s="2401"/>
      <c r="F69" s="2402"/>
      <c r="G69" s="447"/>
      <c r="I69" s="1570"/>
      <c r="J69" s="1570"/>
      <c r="K69" s="1570"/>
      <c r="L69" s="1570"/>
      <c r="M69" s="1570"/>
      <c r="N69" s="1570"/>
      <c r="Q69" s="2274"/>
    </row>
    <row r="70" spans="2:17" s="442" customFormat="1" ht="33" customHeight="1" x14ac:dyDescent="0.2">
      <c r="B70" s="2396" t="s">
        <v>1035</v>
      </c>
      <c r="C70" s="2397"/>
      <c r="D70" s="2398"/>
      <c r="E70" s="2398"/>
      <c r="F70" s="2399"/>
      <c r="G70" s="447"/>
      <c r="I70" s="1570"/>
      <c r="J70" s="1570"/>
      <c r="K70" s="1570"/>
      <c r="L70" s="1570"/>
      <c r="M70" s="1570"/>
      <c r="N70" s="1570"/>
      <c r="Q70" s="2274"/>
    </row>
    <row r="71" spans="2:17" s="500" customFormat="1" ht="21" customHeight="1" x14ac:dyDescent="0.25">
      <c r="B71" s="537"/>
      <c r="C71" s="537"/>
      <c r="D71" s="537"/>
      <c r="E71" s="537"/>
      <c r="F71" s="537"/>
      <c r="G71" s="445"/>
      <c r="I71" s="1576"/>
      <c r="J71" s="1576"/>
      <c r="K71" s="1576"/>
      <c r="L71" s="1576"/>
      <c r="M71" s="1576"/>
      <c r="N71" s="1576"/>
    </row>
    <row r="72" spans="2:17" ht="15" customHeight="1" x14ac:dyDescent="0.25">
      <c r="I72" s="857"/>
      <c r="J72" s="857"/>
      <c r="K72" s="857"/>
      <c r="L72" s="857"/>
      <c r="M72" s="857"/>
      <c r="N72" s="857"/>
    </row>
    <row r="73" spans="2:17" ht="15" customHeight="1" x14ac:dyDescent="0.25">
      <c r="I73" s="857"/>
      <c r="J73" s="857"/>
      <c r="K73" s="857"/>
      <c r="L73" s="857"/>
      <c r="M73" s="857"/>
      <c r="N73" s="857"/>
    </row>
    <row r="74" spans="2:17" ht="15" customHeight="1" x14ac:dyDescent="0.25">
      <c r="I74" s="857"/>
      <c r="J74" s="857"/>
      <c r="K74" s="857"/>
      <c r="L74" s="857"/>
      <c r="M74" s="857"/>
      <c r="N74" s="857"/>
    </row>
    <row r="75" spans="2:17" ht="15" customHeight="1" x14ac:dyDescent="0.25">
      <c r="I75" s="857"/>
      <c r="J75" s="857"/>
      <c r="K75" s="857"/>
      <c r="L75" s="857"/>
      <c r="M75" s="857"/>
      <c r="N75" s="857"/>
    </row>
    <row r="76" spans="2:17" ht="15" customHeight="1" x14ac:dyDescent="0.25">
      <c r="I76" s="857"/>
      <c r="J76" s="857"/>
      <c r="K76" s="857"/>
      <c r="L76" s="857"/>
      <c r="M76" s="857"/>
      <c r="N76" s="857"/>
    </row>
    <row r="77" spans="2:17" ht="15" customHeight="1" x14ac:dyDescent="0.25">
      <c r="I77" s="857"/>
      <c r="J77" s="857"/>
      <c r="K77" s="857"/>
      <c r="L77" s="857"/>
      <c r="M77" s="857"/>
      <c r="N77" s="857"/>
    </row>
  </sheetData>
  <sheetProtection algorithmName="SHA-512" hashValue="XK1usYrRq0Hw443jZtMtVEYvekeGvi7uBJZ1ORHLqavt9Xt03PUWl6B6zlmTuLYJHQ+eMr7RiJ9pPD9YpDPKZQ==" saltValue="IJC3Ji2U/1h0pgJPgtYcAQ==" spinCount="100000" sheet="1" objects="1" scenarios="1"/>
  <dataConsolidate/>
  <customSheetViews>
    <customSheetView guid="{75D6F8CE-A4F4-4FDD-BA92-7996F9E19FA9}" scale="90" showGridLines="0" hiddenRows="1">
      <selection activeCell="C38" sqref="C38:F38"/>
      <pageMargins left="0.7" right="0.7" top="0.75" bottom="0.75" header="0.3" footer="0.3"/>
      <pageSetup orientation="portrait" r:id="rId1"/>
    </customSheetView>
  </customSheetViews>
  <mergeCells count="33">
    <mergeCell ref="B4:F4"/>
    <mergeCell ref="C42:F42"/>
    <mergeCell ref="C46:F46"/>
    <mergeCell ref="C44:F44"/>
    <mergeCell ref="B51:F51"/>
    <mergeCell ref="C48:F48"/>
    <mergeCell ref="B50:F50"/>
    <mergeCell ref="E6:F6"/>
    <mergeCell ref="E8:F8"/>
    <mergeCell ref="C37:F37"/>
    <mergeCell ref="B39:F39"/>
    <mergeCell ref="B40:F40"/>
    <mergeCell ref="E10:F10"/>
    <mergeCell ref="C35:F35"/>
    <mergeCell ref="B53:F53"/>
    <mergeCell ref="B61:C61"/>
    <mergeCell ref="D61:F61"/>
    <mergeCell ref="D60:F60"/>
    <mergeCell ref="B60:C60"/>
    <mergeCell ref="B59:C59"/>
    <mergeCell ref="B56:F56"/>
    <mergeCell ref="B57:F57"/>
    <mergeCell ref="B70:F70"/>
    <mergeCell ref="C69:F69"/>
    <mergeCell ref="B54:F54"/>
    <mergeCell ref="D62:F62"/>
    <mergeCell ref="B62:C62"/>
    <mergeCell ref="B68:F68"/>
    <mergeCell ref="B64:F64"/>
    <mergeCell ref="B66:D66"/>
    <mergeCell ref="E66:F66"/>
    <mergeCell ref="B65:D65"/>
    <mergeCell ref="E65:F65"/>
  </mergeCells>
  <conditionalFormatting sqref="B70:F70">
    <cfRule type="expression" dxfId="88" priority="11">
      <formula>IF($C$69="Claiming savings beyond the baseline building requirements",FALSE, TRUE)</formula>
    </cfRule>
  </conditionalFormatting>
  <conditionalFormatting sqref="B65">
    <cfRule type="expression" dxfId="87" priority="8">
      <formula>IF($I65 =TRUE,FALSE,TRUE)</formula>
    </cfRule>
  </conditionalFormatting>
  <conditionalFormatting sqref="B61:F62">
    <cfRule type="expression" dxfId="86" priority="7">
      <formula>IF(OR($I$58=FALSE,$I$60=TRUE,$L$60=TRUE),TRUE,FALSE)</formula>
    </cfRule>
  </conditionalFormatting>
  <conditionalFormatting sqref="F29">
    <cfRule type="expression" dxfId="85" priority="6">
      <formula>IF(RatingSystemSelection&lt;&gt;"LEED v4 BD+C: Multifamily Midrise",TRUE,FALSE)</formula>
    </cfRule>
  </conditionalFormatting>
  <conditionalFormatting sqref="B66:F66">
    <cfRule type="expression" dxfId="84" priority="3">
      <formula>IF($I66 =TRUE,FALSE,TRUE)</formula>
    </cfRule>
  </conditionalFormatting>
  <conditionalFormatting sqref="E65">
    <cfRule type="expression" dxfId="83" priority="2">
      <formula>IF($I65 =TRUE,FALSE,TRUE)</formula>
    </cfRule>
  </conditionalFormatting>
  <conditionalFormatting sqref="B59:F60">
    <cfRule type="expression" dxfId="82" priority="1">
      <formula>IF($I$58=FALSE,TRUE,FALSE)</formula>
    </cfRule>
  </conditionalFormatting>
  <dataValidations count="16">
    <dataValidation type="list" allowBlank="1" showInputMessage="1" showErrorMessage="1" sqref="D60:G60" xr:uid="{00000000-0002-0000-0200-000000000000}">
      <formula1>"Path 1. ASHRAE 90.1-2010 Appendix G,Path 2. Full DES Performance Accounting,Path 3. Streamlined DES Modeling,Path 4. California Title-24 baseline default efficiencies"</formula1>
    </dataValidation>
    <dataValidation type="list" allowBlank="1" showInputMessage="1" showErrorMessage="1" sqref="D61 G61" xr:uid="{00000000-0002-0000-0200-000001000000}">
      <formula1>"Modeling Method,Monitoring Method"</formula1>
    </dataValidation>
    <dataValidation type="list" allowBlank="1" showInputMessage="1" showErrorMessage="1" sqref="C69:F69" xr:uid="{00000000-0002-0000-0200-000002000000}">
      <formula1>"Identically in both buildings based on the requirements of the baseline building, Claiming savings beyond the baseline building requirements, N/A - No unfinished spaces"</formula1>
    </dataValidation>
    <dataValidation type="list" allowBlank="1" showInputMessage="1" showErrorMessage="1" sqref="E66:F66" xr:uid="{00000000-0002-0000-0200-000003000000}">
      <formula1>"Full buildout IT Loads, Avg of Full IT Load + Startup IT Load"</formula1>
    </dataValidation>
    <dataValidation type="list" allowBlank="1" showInputMessage="1" showErrorMessage="1" sqref="F12:G12" xr:uid="{00000000-0002-0000-0200-000004000000}">
      <formula1>"IP units, SI units"</formula1>
    </dataValidation>
    <dataValidation type="list" allowBlank="1" sqref="G42" xr:uid="{00000000-0002-0000-0200-000005000000}">
      <formula1>SimulationProgram</formula1>
    </dataValidation>
    <dataValidation type="list" allowBlank="1" showErrorMessage="1" sqref="G44" xr:uid="{00000000-0002-0000-0200-000006000000}">
      <formula1>EnergyCode</formula1>
    </dataValidation>
    <dataValidation type="list" allowBlank="1" showInputMessage="1" showErrorMessage="1" sqref="E10" xr:uid="{00000000-0002-0000-0200-000007000000}">
      <formula1>RatingSystem</formula1>
    </dataValidation>
    <dataValidation type="list" allowBlank="1" showInputMessage="1" showErrorMessage="1" sqref="C42:F42" xr:uid="{00000000-0002-0000-0200-000008000000}">
      <formula1>SimulationProgram</formula1>
    </dataValidation>
    <dataValidation type="list" allowBlank="1" showInputMessage="1" showErrorMessage="1" sqref="C44:F44" xr:uid="{00000000-0002-0000-0200-000009000000}">
      <formula1>EnergyCode</formula1>
    </dataValidation>
    <dataValidation type="list" allowBlank="1" showInputMessage="1" showErrorMessage="1" sqref="K48" xr:uid="{00000000-0002-0000-0200-00000A000000}">
      <formula1>IF($Q$14="FALSE",AshraeClimate,CaliforniaClimate)</formula1>
    </dataValidation>
    <dataValidation type="list" allowBlank="1" showInputMessage="1" sqref="C42:F42 C44:F44" xr:uid="{00000000-0002-0000-0200-00000B000000}">
      <formula1>#REF!</formula1>
    </dataValidation>
    <dataValidation type="list" allowBlank="1" showInputMessage="1" showErrorMessage="1" sqref="C48:F48" xr:uid="{00000000-0002-0000-0200-00000C000000}">
      <formula1>IF($I$44="FALSE",AshraeClimate,CaliforniaClimate)</formula1>
    </dataValidation>
    <dataValidation type="list" allowBlank="1" showInputMessage="1" showErrorMessage="1" sqref="C37:F37" xr:uid="{00000000-0002-0000-0200-00000D000000}">
      <formula1>ProjectPhaseCompleteness</formula1>
    </dataValidation>
    <dataValidation type="list" allowBlank="1" showInputMessage="1" showErrorMessage="1" sqref="F29" xr:uid="{00000000-0002-0000-0200-00000E000000}">
      <formula1>"Yes, No"</formula1>
    </dataValidation>
    <dataValidation type="list" allowBlank="1" showInputMessage="1" showErrorMessage="1" sqref="F20" xr:uid="{00000000-0002-0000-0200-00000F000000}">
      <formula1>"Yes,No"</formula1>
    </dataValidation>
  </dataValidations>
  <pageMargins left="0.7" right="0.7" top="0.75" bottom="0.75" header="0.3" footer="0.3"/>
  <pageSetup orientation="portrait" r:id="rId2"/>
  <ignoredErrors>
    <ignoredError sqref="F27"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38920" r:id="rId5" name="Check Box 8">
              <controlPr defaultSize="0" autoFill="0" autoLine="0" autoPict="0">
                <anchor moveWithCells="1">
                  <from>
                    <xdr:col>4</xdr:col>
                    <xdr:colOff>0</xdr:colOff>
                    <xdr:row>58</xdr:row>
                    <xdr:rowOff>0</xdr:rowOff>
                  </from>
                  <to>
                    <xdr:col>4</xdr:col>
                    <xdr:colOff>914400</xdr:colOff>
                    <xdr:row>59</xdr:row>
                    <xdr:rowOff>38100</xdr:rowOff>
                  </to>
                </anchor>
              </controlPr>
            </control>
          </mc:Choice>
        </mc:AlternateContent>
        <mc:AlternateContent xmlns:mc="http://schemas.openxmlformats.org/markup-compatibility/2006">
          <mc:Choice Requires="x14">
            <control shapeId="38921" r:id="rId6" name="Check Box 9">
              <controlPr defaultSize="0" autoFill="0" autoLine="0" autoPict="0">
                <anchor moveWithCells="1">
                  <from>
                    <xdr:col>4</xdr:col>
                    <xdr:colOff>1123950</xdr:colOff>
                    <xdr:row>58</xdr:row>
                    <xdr:rowOff>0</xdr:rowOff>
                  </from>
                  <to>
                    <xdr:col>4</xdr:col>
                    <xdr:colOff>2057400</xdr:colOff>
                    <xdr:row>59</xdr:row>
                    <xdr:rowOff>38100</xdr:rowOff>
                  </to>
                </anchor>
              </controlPr>
            </control>
          </mc:Choice>
        </mc:AlternateContent>
        <mc:AlternateContent xmlns:mc="http://schemas.openxmlformats.org/markup-compatibility/2006">
          <mc:Choice Requires="x14">
            <control shapeId="38922" r:id="rId7" name="Check Box 10">
              <controlPr defaultSize="0" autoFill="0" autoLine="0" autoPict="0">
                <anchor moveWithCells="1">
                  <from>
                    <xdr:col>5</xdr:col>
                    <xdr:colOff>171450</xdr:colOff>
                    <xdr:row>58</xdr:row>
                    <xdr:rowOff>0</xdr:rowOff>
                  </from>
                  <to>
                    <xdr:col>6</xdr:col>
                    <xdr:colOff>95250</xdr:colOff>
                    <xdr:row>59</xdr:row>
                    <xdr:rowOff>57150</xdr:rowOff>
                  </to>
                </anchor>
              </controlPr>
            </control>
          </mc:Choice>
        </mc:AlternateContent>
        <mc:AlternateContent xmlns:mc="http://schemas.openxmlformats.org/markup-compatibility/2006">
          <mc:Choice Requires="x14">
            <control shapeId="38927" r:id="rId8" name="Check Box 15">
              <controlPr defaultSize="0" autoFill="0" autoLine="0" autoPict="0">
                <anchor moveWithCells="1">
                  <from>
                    <xdr:col>1</xdr:col>
                    <xdr:colOff>0</xdr:colOff>
                    <xdr:row>51</xdr:row>
                    <xdr:rowOff>171450</xdr:rowOff>
                  </from>
                  <to>
                    <xdr:col>1</xdr:col>
                    <xdr:colOff>323850</xdr:colOff>
                    <xdr:row>52</xdr:row>
                    <xdr:rowOff>247650</xdr:rowOff>
                  </to>
                </anchor>
              </controlPr>
            </control>
          </mc:Choice>
        </mc:AlternateContent>
        <mc:AlternateContent xmlns:mc="http://schemas.openxmlformats.org/markup-compatibility/2006">
          <mc:Choice Requires="x14">
            <control shapeId="38928" r:id="rId9" name="Check Box 16">
              <controlPr defaultSize="0" autoFill="0" autoLine="0" autoPict="0">
                <anchor moveWithCells="1">
                  <from>
                    <xdr:col>1</xdr:col>
                    <xdr:colOff>0</xdr:colOff>
                    <xdr:row>52</xdr:row>
                    <xdr:rowOff>476250</xdr:rowOff>
                  </from>
                  <to>
                    <xdr:col>1</xdr:col>
                    <xdr:colOff>323850</xdr:colOff>
                    <xdr:row>53</xdr:row>
                    <xdr:rowOff>247650</xdr:rowOff>
                  </to>
                </anchor>
              </controlPr>
            </control>
          </mc:Choice>
        </mc:AlternateContent>
        <mc:AlternateContent xmlns:mc="http://schemas.openxmlformats.org/markup-compatibility/2006">
          <mc:Choice Requires="x14">
            <control shapeId="38933" r:id="rId10" name="DES_Checkbox">
              <controlPr defaultSize="0" autoFill="0" autoLine="0" autoPict="0" macro="[0]!DES_Checkbox_Click">
                <anchor moveWithCells="1">
                  <from>
                    <xdr:col>1</xdr:col>
                    <xdr:colOff>19050</xdr:colOff>
                    <xdr:row>55</xdr:row>
                    <xdr:rowOff>247650</xdr:rowOff>
                  </from>
                  <to>
                    <xdr:col>1</xdr:col>
                    <xdr:colOff>323850</xdr:colOff>
                    <xdr:row>56</xdr:row>
                    <xdr:rowOff>228600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U36"/>
  <sheetViews>
    <sheetView workbookViewId="0"/>
  </sheetViews>
  <sheetFormatPr defaultColWidth="9.140625" defaultRowHeight="15" outlineLevelCol="1" x14ac:dyDescent="0.25"/>
  <cols>
    <col min="1" max="1" width="2.5703125" style="897" customWidth="1"/>
    <col min="2" max="2" width="14.42578125" style="897" customWidth="1"/>
    <col min="3" max="3" width="16.28515625" style="897" customWidth="1"/>
    <col min="4" max="4" width="14.5703125" style="897" customWidth="1"/>
    <col min="5" max="5" width="15.7109375" style="897" customWidth="1"/>
    <col min="6" max="11" width="14.7109375" style="897" customWidth="1"/>
    <col min="12" max="14" width="2.7109375" style="897" customWidth="1"/>
    <col min="15" max="15" width="9.140625" style="897" hidden="1" customWidth="1" outlineLevel="1"/>
    <col min="16" max="16" width="2.7109375" style="897" customWidth="1" collapsed="1"/>
    <col min="17" max="17" width="2.7109375" style="897" customWidth="1"/>
    <col min="18" max="18" width="50.7109375" style="897" customWidth="1"/>
    <col min="19" max="16384" width="9.140625" style="897"/>
  </cols>
  <sheetData>
    <row r="1" spans="1:21" x14ac:dyDescent="0.25">
      <c r="A1" s="819" t="s">
        <v>1298</v>
      </c>
      <c r="B1" s="103"/>
      <c r="C1" s="103"/>
      <c r="D1" s="103"/>
      <c r="E1" s="103"/>
      <c r="F1" s="103"/>
      <c r="G1" s="102"/>
      <c r="H1" s="103"/>
      <c r="I1" s="102"/>
      <c r="J1" s="102"/>
      <c r="K1" s="103"/>
      <c r="L1" s="1170"/>
      <c r="M1" s="1170"/>
      <c r="N1" s="1170"/>
      <c r="O1" s="1170"/>
      <c r="P1" s="1170"/>
      <c r="Q1" s="1170"/>
      <c r="R1" s="1170"/>
      <c r="S1" s="1170"/>
      <c r="T1" s="1170"/>
      <c r="U1" s="1170"/>
    </row>
    <row r="2" spans="1:21" ht="24.75" x14ac:dyDescent="0.25">
      <c r="A2" s="819" t="s">
        <v>1298</v>
      </c>
      <c r="B2" s="44" t="s">
        <v>1498</v>
      </c>
      <c r="C2" s="44"/>
      <c r="D2" s="44"/>
      <c r="E2" s="44"/>
      <c r="F2" s="44"/>
      <c r="G2" s="44"/>
      <c r="H2" s="44"/>
      <c r="I2" s="44"/>
      <c r="J2" s="44"/>
      <c r="K2" s="44"/>
      <c r="L2" s="1171"/>
      <c r="M2" s="1171"/>
      <c r="N2" s="1171"/>
      <c r="O2" s="1171"/>
      <c r="P2" s="1171"/>
      <c r="Q2" s="1171"/>
      <c r="R2" s="1171"/>
      <c r="S2" s="1171"/>
      <c r="T2" s="1171"/>
      <c r="U2" s="1171"/>
    </row>
    <row r="3" spans="1:21" x14ac:dyDescent="0.25">
      <c r="A3" s="819" t="s">
        <v>1298</v>
      </c>
      <c r="B3" s="103"/>
      <c r="C3" s="103"/>
      <c r="D3" s="103"/>
      <c r="E3" s="103"/>
      <c r="F3" s="103"/>
      <c r="G3" s="102"/>
      <c r="H3" s="103"/>
      <c r="I3" s="102"/>
      <c r="J3" s="102"/>
      <c r="K3" s="103"/>
      <c r="L3" s="1170"/>
      <c r="M3" s="1170"/>
      <c r="N3" s="1170"/>
      <c r="O3" s="1170"/>
      <c r="P3" s="1170"/>
      <c r="Q3" s="1170"/>
      <c r="R3" s="1170"/>
      <c r="S3" s="1170"/>
      <c r="T3" s="1170"/>
      <c r="U3" s="1170"/>
    </row>
    <row r="4" spans="1:21" x14ac:dyDescent="0.25">
      <c r="A4" s="888" t="s">
        <v>1298</v>
      </c>
    </row>
    <row r="5" spans="1:21" s="1101" customFormat="1" ht="25.5" customHeight="1" x14ac:dyDescent="0.25">
      <c r="A5" s="888" t="s">
        <v>1298</v>
      </c>
      <c r="B5" s="902" t="s">
        <v>1842</v>
      </c>
    </row>
    <row r="6" spans="1:21" s="1101" customFormat="1" ht="19.5" customHeight="1" x14ac:dyDescent="0.25">
      <c r="A6" s="888"/>
      <c r="O6" s="1579">
        <v>1</v>
      </c>
    </row>
    <row r="7" spans="1:21" s="1101" customFormat="1" ht="19.5" customHeight="1" x14ac:dyDescent="0.25">
      <c r="A7" s="888"/>
      <c r="O7" s="1425"/>
    </row>
    <row r="8" spans="1:21" s="1101" customFormat="1" ht="19.5" customHeight="1" x14ac:dyDescent="0.25">
      <c r="A8" s="888"/>
      <c r="O8" s="1102"/>
    </row>
    <row r="9" spans="1:21" s="1101" customFormat="1" ht="12.75" customHeight="1" x14ac:dyDescent="0.25">
      <c r="A9" s="888"/>
      <c r="O9" s="1102"/>
    </row>
    <row r="10" spans="1:21" s="1101" customFormat="1" ht="107.25" customHeight="1" x14ac:dyDescent="0.25">
      <c r="A10" s="888" t="s">
        <v>1298</v>
      </c>
      <c r="B10" s="2456" t="str">
        <f>IF(proj_RatingSystem="ND",CONCATENATE("The minimum average building energy improvement over ASHRAE 90.1-2010 must be 5% for new buildings, 3% for major building renovations, or 2% for core and shell buildings."," Multiple buildings may be grouped into a single energy model, provided (1) the building type (new construction, major renovation, or core and shell) is consistent for all buildings included in the energy model, ","or (2) an average 5% improvement is demonstrated for the entire energy model.", "If only a subset of the building energy model details is reported, check the box below, and for the buildings without the details reported here, ","report the sum total energy  consumption for the buildings not reported here in the Performance_Output_Residual tab."," Provide a narrative confirming that at least 90% of the building area for ND non-residential, mixed-use and multiunit residential buildings 4 stories or more were modeled",", and briefly describing the energy efficiency measures for any buildings where energy model details are not reported here."),CONCATENATE("The documentation must be sufficient to show that each building individually complies with the prerequisite performance improvement requirements."," If not modeling each building in a separate energy model to show individual compliance, complete the narrative below to justify that all buildings meet the prerequisite performance improvement requirements. ","Note: if insufficient information is available in the narrative and input data to prove that all buildings individually meet the prerequisite performance improvement requirements, ","additional energy simulation outputs including submetered data per building may be required during the review process to confirm prerequisite compliance per building."))</f>
        <v>The documentation must be sufficient to show that each building individually complies with the prerequisite performance improvement requirements. If not modeling each building in a separate energy model to show individual compliance, complete the narrative below to justify that all buildings meet the prerequisite performance improvement requirements. Note: if insufficient information is available in the narrative and input data to prove that all buildings individually meet the prerequisite performance improvement requirements, additional energy simulation outputs including submetered data per building may be required during the review process to confirm prerequisite compliance per building.</v>
      </c>
      <c r="C10" s="2457"/>
      <c r="D10" s="2457"/>
      <c r="E10" s="2457"/>
      <c r="F10" s="2457"/>
      <c r="G10" s="2457"/>
      <c r="H10" s="2457"/>
      <c r="I10" s="2457"/>
      <c r="J10" s="2457"/>
      <c r="K10" s="2457"/>
      <c r="R10" s="2262" t="s">
        <v>2090</v>
      </c>
    </row>
    <row r="11" spans="1:21" s="1101" customFormat="1" ht="54.75" customHeight="1" x14ac:dyDescent="0.25">
      <c r="A11" s="888" t="s">
        <v>1298</v>
      </c>
      <c r="B11" s="2458"/>
      <c r="C11" s="2459"/>
      <c r="D11" s="2459"/>
      <c r="E11" s="2459"/>
      <c r="F11" s="2459"/>
      <c r="G11" s="2459"/>
      <c r="H11" s="2459"/>
      <c r="I11" s="2459"/>
      <c r="J11" s="2459"/>
      <c r="K11" s="2460"/>
      <c r="R11" s="2276"/>
    </row>
    <row r="12" spans="1:21" s="1101" customFormat="1" ht="50.1" customHeight="1" x14ac:dyDescent="0.25">
      <c r="A12" s="888"/>
      <c r="O12" s="1616" t="b">
        <v>0</v>
      </c>
    </row>
    <row r="13" spans="1:21" ht="15.75" x14ac:dyDescent="0.25">
      <c r="A13" s="888" t="s">
        <v>1298</v>
      </c>
      <c r="B13" s="902" t="s">
        <v>1029</v>
      </c>
    </row>
    <row r="14" spans="1:21" ht="9" customHeight="1" x14ac:dyDescent="0.25">
      <c r="A14" s="888" t="s">
        <v>1298</v>
      </c>
    </row>
    <row r="15" spans="1:21" s="1105" customFormat="1" ht="21" customHeight="1" x14ac:dyDescent="0.2">
      <c r="A15" s="888" t="s">
        <v>1298</v>
      </c>
      <c r="B15" s="2454" t="s">
        <v>1601</v>
      </c>
      <c r="C15" s="2455"/>
      <c r="D15" s="2448"/>
      <c r="E15" s="2448"/>
      <c r="F15" s="2448"/>
      <c r="G15" s="2448"/>
      <c r="H15" s="2448"/>
      <c r="I15" s="2448"/>
      <c r="J15" s="2448" t="s">
        <v>1505</v>
      </c>
      <c r="K15" s="2449"/>
    </row>
    <row r="16" spans="1:21" s="1174" customFormat="1" ht="15" hidden="1" customHeight="1" x14ac:dyDescent="0.2">
      <c r="A16" s="1172" t="s">
        <v>1298</v>
      </c>
      <c r="B16" s="2193" t="s">
        <v>1607</v>
      </c>
      <c r="C16" s="2194"/>
      <c r="D16" s="2194"/>
      <c r="E16" s="2194"/>
      <c r="F16" s="2194"/>
      <c r="G16" s="2194"/>
      <c r="H16" s="2194"/>
      <c r="I16" s="2194"/>
      <c r="J16" s="2195" t="s">
        <v>1505</v>
      </c>
      <c r="K16" s="2196"/>
    </row>
    <row r="17" spans="1:18" s="1105" customFormat="1" ht="15" customHeight="1" x14ac:dyDescent="0.2">
      <c r="A17" s="888"/>
      <c r="B17" s="2464" t="str">
        <f>INDEX(MBD_BS_Table,3,1)</f>
        <v>SEA Building Addition</v>
      </c>
      <c r="C17" s="2465"/>
      <c r="D17" s="2465"/>
      <c r="E17" s="2465"/>
      <c r="F17" s="2465"/>
      <c r="G17" s="2465"/>
      <c r="H17" s="2465"/>
      <c r="I17" s="2465"/>
      <c r="J17" s="2466">
        <v>1</v>
      </c>
      <c r="K17" s="2467"/>
      <c r="R17" s="2294"/>
    </row>
    <row r="18" spans="1:18" s="1105" customFormat="1" ht="6" customHeight="1" x14ac:dyDescent="0.2">
      <c r="A18" s="888"/>
      <c r="B18" s="1514"/>
      <c r="C18" s="1514"/>
      <c r="D18" s="1514"/>
      <c r="E18" s="1514"/>
      <c r="F18" s="1514"/>
      <c r="G18" s="1514"/>
      <c r="H18" s="1514"/>
      <c r="I18" s="1514"/>
      <c r="J18" s="1515"/>
      <c r="K18" s="1515"/>
    </row>
    <row r="19" spans="1:18" ht="31.5" customHeight="1" x14ac:dyDescent="0.25">
      <c r="A19" s="888" t="s">
        <v>1298</v>
      </c>
    </row>
    <row r="20" spans="1:18" s="1101" customFormat="1" ht="21" customHeight="1" x14ac:dyDescent="0.25">
      <c r="A20" s="888"/>
      <c r="B20" s="902" t="s">
        <v>1960</v>
      </c>
    </row>
    <row r="21" spans="1:18" ht="21" customHeight="1" x14ac:dyDescent="0.25">
      <c r="A21" s="888" t="s">
        <v>1298</v>
      </c>
      <c r="B21" s="2163"/>
      <c r="C21" s="2164"/>
      <c r="D21" s="2165"/>
      <c r="E21" s="2166" t="s">
        <v>1606</v>
      </c>
      <c r="F21" s="2166" t="str">
        <f>"Modeled Building Area "&amp;IF(SI_IP_Units="IP","(sq. ft.)","(sq. m.)")</f>
        <v>Modeled Building Area (sq. ft.)</v>
      </c>
      <c r="G21" s="2166"/>
      <c r="H21" s="2166"/>
      <c r="I21" s="2166" t="s">
        <v>1500</v>
      </c>
      <c r="J21" s="2166"/>
      <c r="K21" s="2167"/>
    </row>
    <row r="22" spans="1:18" ht="33" customHeight="1" x14ac:dyDescent="0.25">
      <c r="A22" s="888" t="s">
        <v>1298</v>
      </c>
      <c r="B22" s="2168" t="s">
        <v>1357</v>
      </c>
      <c r="C22" s="2169"/>
      <c r="D22" s="2169"/>
      <c r="E22" s="2170" t="s">
        <v>1607</v>
      </c>
      <c r="F22" s="2170" t="s">
        <v>1505</v>
      </c>
      <c r="G22" s="2126" t="s">
        <v>1499</v>
      </c>
      <c r="H22" s="2126" t="s">
        <v>438</v>
      </c>
      <c r="I22" s="2126" t="s">
        <v>434</v>
      </c>
      <c r="J22" s="2171" t="s">
        <v>1501</v>
      </c>
      <c r="K22" s="2172"/>
    </row>
    <row r="23" spans="1:18" s="1101" customFormat="1" hidden="1" x14ac:dyDescent="0.25">
      <c r="A23" s="888"/>
      <c r="B23" s="2461" t="s">
        <v>1689</v>
      </c>
      <c r="C23" s="2461"/>
      <c r="D23" s="2461"/>
      <c r="E23" s="2173" t="str">
        <f>INDEX(MBD_BS_Table,2, 1)</f>
        <v>Residual Project</v>
      </c>
      <c r="F23" s="2174"/>
      <c r="G23" s="2174"/>
      <c r="H23" s="2174"/>
      <c r="I23" s="2175"/>
      <c r="J23" s="2176">
        <f t="shared" ref="J23" si="0">I23</f>
        <v>0</v>
      </c>
      <c r="K23" s="2177"/>
    </row>
    <row r="24" spans="1:18" ht="15" customHeight="1" x14ac:dyDescent="0.25">
      <c r="A24" s="888" t="s">
        <v>1298</v>
      </c>
      <c r="B24" s="2462" t="str">
        <f>GI_Project_Name</f>
        <v>SEA Building Addition</v>
      </c>
      <c r="C24" s="2463"/>
      <c r="D24" s="2463"/>
      <c r="E24" s="2178">
        <v>1</v>
      </c>
      <c r="F24" s="2179">
        <v>1</v>
      </c>
      <c r="G24" s="2180">
        <v>1000</v>
      </c>
      <c r="H24" s="2180">
        <v>500</v>
      </c>
      <c r="I24" s="2181">
        <v>1</v>
      </c>
      <c r="J24" s="2182">
        <f>1-I24</f>
        <v>0</v>
      </c>
      <c r="K24" s="2183"/>
      <c r="R24" s="2276"/>
    </row>
    <row r="25" spans="1:18" x14ac:dyDescent="0.25">
      <c r="A25" s="888" t="s">
        <v>1298</v>
      </c>
      <c r="B25" s="1477" t="s">
        <v>673</v>
      </c>
      <c r="C25" s="931"/>
      <c r="D25" s="931"/>
      <c r="E25" s="931"/>
      <c r="F25" s="931"/>
      <c r="G25" s="931"/>
      <c r="H25" s="931"/>
      <c r="I25" s="1674"/>
      <c r="J25" s="1674"/>
      <c r="K25" s="1675"/>
    </row>
    <row r="26" spans="1:18" s="1101" customFormat="1" x14ac:dyDescent="0.25">
      <c r="A26" s="888"/>
      <c r="B26" s="1476"/>
      <c r="C26" s="1476"/>
      <c r="D26" s="1476"/>
      <c r="E26" s="1476"/>
      <c r="F26" s="1476"/>
      <c r="G26" s="1476"/>
      <c r="H26" s="1476"/>
      <c r="I26" s="1674"/>
      <c r="J26" s="1674"/>
      <c r="K26" s="1675"/>
    </row>
    <row r="27" spans="1:18" x14ac:dyDescent="0.25">
      <c r="A27" s="888" t="s">
        <v>1298</v>
      </c>
      <c r="B27" s="931"/>
      <c r="C27" s="931"/>
      <c r="D27" s="931"/>
      <c r="E27" s="931"/>
      <c r="F27" s="931"/>
      <c r="G27" s="931"/>
      <c r="H27" s="931"/>
      <c r="I27" s="1674"/>
      <c r="J27" s="1674"/>
      <c r="K27" s="1675"/>
    </row>
    <row r="28" spans="1:18" x14ac:dyDescent="0.25">
      <c r="A28" s="888" t="s">
        <v>1298</v>
      </c>
      <c r="B28" s="931"/>
      <c r="C28" s="931"/>
      <c r="D28" s="931"/>
      <c r="E28" s="931"/>
      <c r="F28" s="931"/>
      <c r="G28" s="931"/>
      <c r="H28" s="931"/>
      <c r="I28" s="1674"/>
      <c r="J28" s="1674"/>
      <c r="K28" s="1675"/>
    </row>
    <row r="29" spans="1:18" ht="15.75" x14ac:dyDescent="0.25">
      <c r="A29" s="888" t="s">
        <v>1298</v>
      </c>
      <c r="B29" s="902" t="s">
        <v>1502</v>
      </c>
      <c r="C29" s="902"/>
      <c r="I29" s="1675"/>
      <c r="J29" s="1675"/>
      <c r="K29" s="1675"/>
    </row>
    <row r="30" spans="1:18" ht="9" customHeight="1" x14ac:dyDescent="0.25">
      <c r="A30" s="888" t="s">
        <v>1298</v>
      </c>
      <c r="I30" s="1675"/>
      <c r="J30" s="1675"/>
      <c r="K30" s="1675"/>
    </row>
    <row r="31" spans="1:18" ht="21" customHeight="1" x14ac:dyDescent="0.25">
      <c r="A31" s="888" t="s">
        <v>1298</v>
      </c>
      <c r="B31" s="2450"/>
      <c r="C31" s="2451"/>
      <c r="D31" s="2184"/>
      <c r="E31" s="2185"/>
      <c r="F31" s="2066" t="str">
        <f>"Modeled Building Area "&amp;IF(SI_IP_Units="IP","(sq. ft.)","(sq. m.)")</f>
        <v>Modeled Building Area (sq. ft.)</v>
      </c>
      <c r="G31" s="2066"/>
      <c r="H31" s="2066"/>
      <c r="I31" s="2066" t="s">
        <v>1500</v>
      </c>
      <c r="J31" s="2186"/>
      <c r="K31" s="2187"/>
    </row>
    <row r="32" spans="1:18" s="1147" customFormat="1" ht="33" customHeight="1" x14ac:dyDescent="0.25">
      <c r="A32" s="1173" t="s">
        <v>1298</v>
      </c>
      <c r="B32" s="2452"/>
      <c r="C32" s="2453"/>
      <c r="D32" s="2188"/>
      <c r="E32" s="2189"/>
      <c r="F32" s="2149" t="s">
        <v>1506</v>
      </c>
      <c r="G32" s="2149" t="s">
        <v>1499</v>
      </c>
      <c r="H32" s="2149" t="s">
        <v>438</v>
      </c>
      <c r="I32" s="2149" t="s">
        <v>434</v>
      </c>
      <c r="J32" s="2171" t="s">
        <v>1501</v>
      </c>
      <c r="K32" s="2172"/>
    </row>
    <row r="33" spans="1:18" x14ac:dyDescent="0.25">
      <c r="A33" s="888" t="s">
        <v>1298</v>
      </c>
      <c r="B33" s="2445" t="s">
        <v>2009</v>
      </c>
      <c r="C33" s="2446"/>
      <c r="D33" s="2446"/>
      <c r="E33" s="2447"/>
      <c r="F33" s="2190">
        <f ca="1">SUM(OFFSET(MBD_BS_Index,1,MATCH($F$22,MBD_BS_Hdr,0)-1,ROWS(MBD_BS_Index)-1,1))</f>
        <v>1</v>
      </c>
      <c r="G33" s="2191">
        <f ca="1">SUMPRODUCT(OFFSET(MBD_BS_Index,1,MATCH($G$22,MBD_BS_Hdr,0)-1,ROWS(MBD_BS_Index)-1,1),OFFSET(MBD_BS_Index,1,MATCH($F$22,MBD_BS_Hdr,0)-1,ROWS(MBD_BS_Index)-1,1))</f>
        <v>1000</v>
      </c>
      <c r="H33" s="2191">
        <f ca="1">SUMPRODUCT(OFFSET(MBD_BS_Index,1,MATCH($H$22,MBD_BS_Hdr,0)-1,ROWS(MBD_BS_Index)-1,1),OFFSET(MBD_BS_Index,1,MATCH($F$22,MBD_BS_Hdr,0)-1,ROWS(MBD_BS_Index)-1,1))</f>
        <v>500</v>
      </c>
      <c r="I33" s="2192">
        <f ca="1">(SUMPRODUCT(OFFSET(MBD_BS_Index,1,MATCH($F$22,MBD_BS_Hdr,0)-1,ROWS(MBD_BS_Index)-1,1),OFFSET(MBD_BS_Index,1,MATCH($G$22,MBD_BS_Hdr,0)-1,ROWS(MBD_BS_Index)-1,1),OFFSET(MBD_BS_Index,1,MATCH($I$22,MBD_BS_Hdr,0)-1,ROWS(MBD_BS_Index)-1,1))+SUMPRODUCT(OFFSET(MBD_BS_Index,1,MATCH($F$22,MBD_BS_Hdr,0)-1,ROWS(MBD_BS_Index)-1,1),OFFSET(MBD_BS_Index,1,MATCH($H$22,MBD_BS_Hdr,0)-1,ROWS(MBD_BS_Index)-1,1),OFFSET(MBD_BS_Index,1,MATCH($I$22,MBD_BS_Hdr,0)-1,ROWS(MBD_BS_Index)-1,1)))/(SUMPRODUCT(OFFSET(MBD_BS_Index,1,MATCH($F$22,MBD_BS_Hdr,0)-1,ROWS(MBD_BS_Index)-1,1),OFFSET(MBD_BS_Index,1,MATCH($G$22,MBD_BS_Hdr,0)-1,ROWS(MBD_BS_Index)-1,1))+SUMPRODUCT(OFFSET(MBD_BS_Index,1,MATCH($F$22,MBD_BS_Hdr,0)-1,ROWS(MBD_BS_Index)-1,1),OFFSET(MBD_BS_Index,1,MATCH($H$22,MBD_BS_Hdr,0)-1,ROWS(MBD_BS_Index)-1,1)))</f>
        <v>1</v>
      </c>
      <c r="J33" s="2182">
        <f ca="1">1-I33</f>
        <v>0</v>
      </c>
      <c r="K33" s="2183"/>
      <c r="R33" s="2276"/>
    </row>
    <row r="34" spans="1:18" x14ac:dyDescent="0.25">
      <c r="A34" s="888" t="s">
        <v>1298</v>
      </c>
      <c r="B34" s="1101"/>
      <c r="C34" s="1101"/>
      <c r="D34" s="1101"/>
      <c r="E34" s="1101"/>
    </row>
    <row r="35" spans="1:18" x14ac:dyDescent="0.25">
      <c r="A35" s="1046"/>
    </row>
    <row r="36" spans="1:18" x14ac:dyDescent="0.25">
      <c r="A36" s="1046"/>
    </row>
  </sheetData>
  <sheetProtection algorithmName="SHA-512" hashValue="MCRlgbcXSHJhYpvmTrTaQ60JjWx86ZJCg6c7smmdHXYFzFuU5/oMJVQ9o5o5TWyk9/qbkUCKT7L177A87pCCmw==" saltValue="hxJr/MeCJFJDVl86fHy0cA==" spinCount="100000" sheet="1" objects="1" scenarios="1"/>
  <dataConsolidate/>
  <customSheetViews>
    <customSheetView guid="{75D6F8CE-A4F4-4FDD-BA92-7996F9E19FA9}" hiddenRows="1">
      <selection activeCell="H19" sqref="H19"/>
      <pageMargins left="0.7" right="0.7" top="0.75" bottom="0.75" header="0.3" footer="0.3"/>
      <pageSetup orientation="portrait" r:id="rId1"/>
    </customSheetView>
  </customSheetViews>
  <mergeCells count="10">
    <mergeCell ref="B33:E33"/>
    <mergeCell ref="J15:K15"/>
    <mergeCell ref="B31:C32"/>
    <mergeCell ref="B15:I15"/>
    <mergeCell ref="B10:K10"/>
    <mergeCell ref="B11:K11"/>
    <mergeCell ref="B23:D23"/>
    <mergeCell ref="B24:D24"/>
    <mergeCell ref="B17:I17"/>
    <mergeCell ref="J17:K17"/>
  </mergeCells>
  <conditionalFormatting sqref="B10:K11">
    <cfRule type="expression" dxfId="81" priority="57">
      <formula>AND(proj_RatingSystem&lt;&gt;"ND",$O$6=1)</formula>
    </cfRule>
  </conditionalFormatting>
  <conditionalFormatting sqref="B17:K17">
    <cfRule type="expression" dxfId="80" priority="2">
      <formula>IF($O$6&lt;&gt;3,TRUE,FALSE)</formula>
    </cfRule>
  </conditionalFormatting>
  <dataValidations count="3">
    <dataValidation type="decimal" allowBlank="1" showInputMessage="1" showErrorMessage="1" sqref="I33:J33 I23:J24" xr:uid="{00000000-0002-0000-0300-000000000000}">
      <formula1>0</formula1>
      <formula2>1</formula2>
    </dataValidation>
    <dataValidation type="list" allowBlank="1" showInputMessage="1" showErrorMessage="1" sqref="E23" xr:uid="{00000000-0002-0000-0300-000001000000}">
      <formula1>OFFSET(MBD_EMI_Index,2,0,ROWS(MBD_EMI_Index)-2,1)</formula1>
    </dataValidation>
    <dataValidation type="list" allowBlank="1" showInputMessage="1" showErrorMessage="1" sqref="E24" xr:uid="{00000000-0002-0000-0300-000002000000}">
      <formula1>OFFSET(MBD_EMI_Index,1,0,ROWS(MBD_EMI_Index)-1,1)</formula1>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7521" r:id="rId5" name="Button 1">
              <controlPr defaultSize="0" print="0" autoFill="0" autoPict="0" macro="[0]!AddBldg">
                <anchor moveWithCells="1">
                  <from>
                    <xdr:col>1</xdr:col>
                    <xdr:colOff>38100</xdr:colOff>
                    <xdr:row>25</xdr:row>
                    <xdr:rowOff>9525</xdr:rowOff>
                  </from>
                  <to>
                    <xdr:col>2</xdr:col>
                    <xdr:colOff>447675</xdr:colOff>
                    <xdr:row>26</xdr:row>
                    <xdr:rowOff>85725</xdr:rowOff>
                  </to>
                </anchor>
              </controlPr>
            </control>
          </mc:Choice>
        </mc:AlternateContent>
        <mc:AlternateContent xmlns:mc="http://schemas.openxmlformats.org/markup-compatibility/2006">
          <mc:Choice Requires="x14">
            <control shapeId="107522" r:id="rId6" name="Button 2">
              <controlPr defaultSize="0" print="0" autoFill="0" autoPict="0" macro="[0]!DeleteBldg">
                <anchor moveWithCells="1">
                  <from>
                    <xdr:col>2</xdr:col>
                    <xdr:colOff>514350</xdr:colOff>
                    <xdr:row>25</xdr:row>
                    <xdr:rowOff>9525</xdr:rowOff>
                  </from>
                  <to>
                    <xdr:col>3</xdr:col>
                    <xdr:colOff>800100</xdr:colOff>
                    <xdr:row>26</xdr:row>
                    <xdr:rowOff>85725</xdr:rowOff>
                  </to>
                </anchor>
              </controlPr>
            </control>
          </mc:Choice>
        </mc:AlternateContent>
        <mc:AlternateContent xmlns:mc="http://schemas.openxmlformats.org/markup-compatibility/2006">
          <mc:Choice Requires="x14">
            <control shapeId="107526" r:id="rId7" name="btnAddEnergyModel">
              <controlPr defaultSize="0" print="0" autoFill="0" autoPict="0" macro="[0]!AddEnergyModel">
                <anchor moveWithCells="1">
                  <from>
                    <xdr:col>1</xdr:col>
                    <xdr:colOff>9525</xdr:colOff>
                    <xdr:row>18</xdr:row>
                    <xdr:rowOff>0</xdr:rowOff>
                  </from>
                  <to>
                    <xdr:col>2</xdr:col>
                    <xdr:colOff>428625</xdr:colOff>
                    <xdr:row>18</xdr:row>
                    <xdr:rowOff>247650</xdr:rowOff>
                  </to>
                </anchor>
              </controlPr>
            </control>
          </mc:Choice>
        </mc:AlternateContent>
        <mc:AlternateContent xmlns:mc="http://schemas.openxmlformats.org/markup-compatibility/2006">
          <mc:Choice Requires="x14">
            <control shapeId="107527" r:id="rId8" name="btnDeleteEnergyModel">
              <controlPr defaultSize="0" print="0" autoFill="0" autoPict="0" macro="[0]!DeleteEnergyModel">
                <anchor moveWithCells="1">
                  <from>
                    <xdr:col>2</xdr:col>
                    <xdr:colOff>542925</xdr:colOff>
                    <xdr:row>18</xdr:row>
                    <xdr:rowOff>0</xdr:rowOff>
                  </from>
                  <to>
                    <xdr:col>3</xdr:col>
                    <xdr:colOff>800100</xdr:colOff>
                    <xdr:row>18</xdr:row>
                    <xdr:rowOff>238125</xdr:rowOff>
                  </to>
                </anchor>
              </controlPr>
            </control>
          </mc:Choice>
        </mc:AlternateContent>
        <mc:AlternateContent xmlns:mc="http://schemas.openxmlformats.org/markup-compatibility/2006">
          <mc:Choice Requires="x14">
            <control shapeId="107531" r:id="rId9" name="EMSubset_Checkbox">
              <controlPr defaultSize="0" autoFill="0" autoLine="0" autoPict="0" macro="[0]!EMSubsetHideShowBuildingID" altText="Project is submitting a subset of Energy Models for LEED Documentation. The energy consumption for the other buildings not individually submitted are reported as &quot;Residual Project&quot;">
                <anchor moveWithCells="1">
                  <from>
                    <xdr:col>0</xdr:col>
                    <xdr:colOff>161925</xdr:colOff>
                    <xdr:row>11</xdr:row>
                    <xdr:rowOff>180975</xdr:rowOff>
                  </from>
                  <to>
                    <xdr:col>10</xdr:col>
                    <xdr:colOff>781050</xdr:colOff>
                    <xdr:row>11</xdr:row>
                    <xdr:rowOff>466725</xdr:rowOff>
                  </to>
                </anchor>
              </controlPr>
            </control>
          </mc:Choice>
        </mc:AlternateContent>
        <mc:AlternateContent xmlns:mc="http://schemas.openxmlformats.org/markup-compatibility/2006">
          <mc:Choice Requires="x14">
            <control shapeId="107534" r:id="rId10" name="rb1EnergyModelreporting">
              <controlPr defaultSize="0" autoFill="0" autoLine="0" autoPict="0" macro="[0]!ResetEnergyModelTable">
                <anchor moveWithCells="1">
                  <from>
                    <xdr:col>1</xdr:col>
                    <xdr:colOff>180975</xdr:colOff>
                    <xdr:row>5</xdr:row>
                    <xdr:rowOff>0</xdr:rowOff>
                  </from>
                  <to>
                    <xdr:col>10</xdr:col>
                    <xdr:colOff>609600</xdr:colOff>
                    <xdr:row>5</xdr:row>
                    <xdr:rowOff>190500</xdr:rowOff>
                  </to>
                </anchor>
              </controlPr>
            </control>
          </mc:Choice>
        </mc:AlternateContent>
        <mc:AlternateContent xmlns:mc="http://schemas.openxmlformats.org/markup-compatibility/2006">
          <mc:Choice Requires="x14">
            <control shapeId="107536" r:id="rId11" name="rb2EnergyModelreporting">
              <controlPr defaultSize="0" autoFill="0" autoLine="0" autoPict="0" macro="[0]!ResetEnergyModelTable">
                <anchor moveWithCells="1">
                  <from>
                    <xdr:col>1</xdr:col>
                    <xdr:colOff>171450</xdr:colOff>
                    <xdr:row>6</xdr:row>
                    <xdr:rowOff>0</xdr:rowOff>
                  </from>
                  <to>
                    <xdr:col>10</xdr:col>
                    <xdr:colOff>752475</xdr:colOff>
                    <xdr:row>6</xdr:row>
                    <xdr:rowOff>190500</xdr:rowOff>
                  </to>
                </anchor>
              </controlPr>
            </control>
          </mc:Choice>
        </mc:AlternateContent>
        <mc:AlternateContent xmlns:mc="http://schemas.openxmlformats.org/markup-compatibility/2006">
          <mc:Choice Requires="x14">
            <control shapeId="107538" r:id="rId12" name="rb3EnergyModelreporting">
              <controlPr defaultSize="0" autoFill="0" autoLine="0" autoPict="0" macro="[0]!ResetEnergyModelTable">
                <anchor moveWithCells="1">
                  <from>
                    <xdr:col>1</xdr:col>
                    <xdr:colOff>171450</xdr:colOff>
                    <xdr:row>7</xdr:row>
                    <xdr:rowOff>0</xdr:rowOff>
                  </from>
                  <to>
                    <xdr:col>10</xdr:col>
                    <xdr:colOff>676275</xdr:colOff>
                    <xdr:row>7</xdr:row>
                    <xdr:rowOff>228600</xdr:rowOff>
                  </to>
                </anchor>
              </controlPr>
            </control>
          </mc:Choice>
        </mc:AlternateContent>
        <mc:AlternateContent xmlns:mc="http://schemas.openxmlformats.org/markup-compatibility/2006">
          <mc:Choice Requires="x14">
            <control shapeId="107541" r:id="rId13" name="rbgOutputReporting">
              <controlPr defaultSize="0" print="0" autoFill="0" autoPict="0">
                <anchor moveWithCells="1">
                  <from>
                    <xdr:col>0</xdr:col>
                    <xdr:colOff>161925</xdr:colOff>
                    <xdr:row>4</xdr:row>
                    <xdr:rowOff>276225</xdr:rowOff>
                  </from>
                  <to>
                    <xdr:col>10</xdr:col>
                    <xdr:colOff>781050</xdr:colOff>
                    <xdr:row>8</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U105"/>
  <sheetViews>
    <sheetView workbookViewId="0">
      <selection activeCell="L23" sqref="L23"/>
    </sheetView>
  </sheetViews>
  <sheetFormatPr defaultColWidth="9.140625" defaultRowHeight="15" x14ac:dyDescent="0.25"/>
  <cols>
    <col min="1" max="1" width="1.7109375" style="1101" customWidth="1"/>
    <col min="2" max="2" width="15.5703125" style="1101" customWidth="1"/>
    <col min="3" max="3" width="31.28515625" style="1101" customWidth="1"/>
    <col min="4" max="18" width="10.7109375" style="1101" customWidth="1"/>
    <col min="19" max="20" width="2.7109375" style="1101" customWidth="1"/>
    <col min="21" max="21" width="50.7109375" style="1101" customWidth="1"/>
    <col min="22" max="16384" width="9.140625" style="1101"/>
  </cols>
  <sheetData>
    <row r="1" spans="1:21" x14ac:dyDescent="0.25">
      <c r="A1" s="1099" t="s">
        <v>1298</v>
      </c>
      <c r="B1" s="916"/>
      <c r="C1" s="916"/>
      <c r="D1" s="916"/>
      <c r="E1" s="916"/>
      <c r="F1" s="917"/>
      <c r="G1" s="917"/>
      <c r="H1" s="916"/>
      <c r="I1" s="916"/>
      <c r="J1" s="916"/>
      <c r="K1" s="917"/>
      <c r="L1" s="916"/>
      <c r="M1" s="916"/>
      <c r="N1" s="916"/>
      <c r="O1" s="916"/>
      <c r="P1" s="916"/>
      <c r="Q1" s="916"/>
      <c r="R1" s="916"/>
    </row>
    <row r="2" spans="1:21" ht="24.75" x14ac:dyDescent="0.25">
      <c r="A2" s="1099" t="s">
        <v>1298</v>
      </c>
      <c r="B2" s="44" t="s">
        <v>1411</v>
      </c>
      <c r="C2" s="44"/>
      <c r="D2" s="44"/>
      <c r="E2" s="44"/>
      <c r="F2" s="44"/>
      <c r="G2" s="44"/>
      <c r="H2" s="44"/>
      <c r="I2" s="44"/>
      <c r="J2" s="44"/>
      <c r="K2" s="44"/>
      <c r="L2" s="44"/>
      <c r="M2" s="44"/>
      <c r="N2" s="44"/>
      <c r="O2" s="44"/>
      <c r="P2" s="44"/>
      <c r="Q2" s="44"/>
      <c r="R2" s="44"/>
    </row>
    <row r="3" spans="1:21" x14ac:dyDescent="0.25">
      <c r="A3" s="1099" t="s">
        <v>1298</v>
      </c>
      <c r="B3" s="916"/>
      <c r="C3" s="916"/>
      <c r="D3" s="916"/>
      <c r="E3" s="916"/>
      <c r="F3" s="917"/>
      <c r="G3" s="917"/>
      <c r="H3" s="916"/>
      <c r="I3" s="916"/>
      <c r="J3" s="916"/>
      <c r="K3" s="917"/>
      <c r="L3" s="916"/>
      <c r="M3" s="916"/>
      <c r="N3" s="916"/>
      <c r="O3" s="916"/>
      <c r="P3" s="916"/>
      <c r="Q3" s="916"/>
      <c r="R3" s="916"/>
    </row>
    <row r="4" spans="1:21" x14ac:dyDescent="0.25">
      <c r="A4" s="990" t="s">
        <v>1298</v>
      </c>
      <c r="B4" s="885"/>
      <c r="C4" s="885"/>
      <c r="D4" s="885"/>
      <c r="E4" s="885"/>
      <c r="F4" s="885"/>
      <c r="G4" s="885"/>
      <c r="H4" s="885"/>
      <c r="I4" s="885"/>
      <c r="J4" s="885"/>
      <c r="K4" s="885"/>
      <c r="L4" s="885"/>
      <c r="M4" s="885"/>
      <c r="N4" s="885"/>
      <c r="O4" s="885"/>
      <c r="P4" s="885"/>
      <c r="Q4" s="885"/>
      <c r="R4" s="885"/>
    </row>
    <row r="5" spans="1:21" ht="87.75" customHeight="1" x14ac:dyDescent="0.25">
      <c r="A5" s="990" t="s">
        <v>1298</v>
      </c>
      <c r="B5" s="2475" t="str">
        <f>CONCATENATE("Complete the table for each building in the project. Provide information for the ",IF(proj_RatingSystem="Homes","Dwelling Units","Main Building Schedules")," and for each additional area or set of areas where the schedules differ significantly. Ensure that the reported schedules are consistent with the energy-model entered values, and that schedules account for all mandatory controls. ",IF(proj_RatingSystem="Homes",CONCATENATE("Residential lighting shall be for two to three hours per day (700 to 1100 equivalent full load hours per year). See the EFLH Calculator for default Residential Dwelling Unit Schedules that may be input into the energy model.", " Corridors and parking garages shall be lit 24 hours per day; parking garages shall include schedule adjustments for occupant sensor controls."),"" ),""," Ensure that schedules account for all mandatory controls.",CHAR(10),"*Note: The following Equivalent full load schedule information may be optionally excluded from the Table: ","(1) End-uses that do not significantly influence overall energy consumption for the project building type (i.e. service water heating for an office building &lt; 5% of total energy consumption),"," (2) Spaces modeled with differing schedules that contribute minimally to overall building energy consumption (i.e. electrical/mechanical rooms in a school building that contribute &lt; 5% of total building energy consumption")</f>
        <v>Complete the table for each building in the project. Provide information for the Main Building Schedules and for each additional area or set of areas where the schedules differ significantly. Ensure that the reported schedules are consistent with the energy-model entered values, and that schedules account for all mandatory controls.  Ensure that schedules account for all mandatory controls.
*Note: The following Equivalent full load schedule information may be optionally excluded from the Table: (1) End-uses that do not significantly influence overall energy consumption for the project building type (i.e. service water heating for an office building &lt; 5% of total energy consumption), (2) Spaces modeled with differing schedules that contribute minimally to overall building energy consumption (i.e. electrical/mechanical rooms in a school building that contribute &lt; 5% of total building energy consumption</v>
      </c>
      <c r="C5" s="2475"/>
      <c r="D5" s="2475"/>
      <c r="E5" s="2475"/>
      <c r="F5" s="2475"/>
      <c r="G5" s="2475"/>
      <c r="H5" s="2475"/>
      <c r="I5" s="2475"/>
      <c r="J5" s="2475"/>
      <c r="K5" s="2475"/>
      <c r="L5" s="2475"/>
      <c r="M5" s="2475"/>
      <c r="N5" s="2475"/>
      <c r="O5" s="2475"/>
      <c r="P5" s="2475"/>
      <c r="Q5" s="2475"/>
      <c r="R5" s="2475"/>
      <c r="U5" s="1714" t="s">
        <v>2090</v>
      </c>
    </row>
    <row r="6" spans="1:21" x14ac:dyDescent="0.25">
      <c r="A6" s="990" t="s">
        <v>1298</v>
      </c>
      <c r="B6" s="2476" t="s">
        <v>1412</v>
      </c>
      <c r="C6" s="2477"/>
      <c r="D6" s="2477"/>
      <c r="E6" s="2477"/>
      <c r="F6" s="2477"/>
      <c r="G6" s="2477"/>
      <c r="H6" s="2477"/>
      <c r="I6" s="2477"/>
      <c r="J6" s="2477"/>
      <c r="K6" s="2477"/>
      <c r="L6" s="2477"/>
      <c r="M6" s="2477"/>
      <c r="N6" s="2477"/>
      <c r="O6" s="2477"/>
      <c r="P6" s="2477"/>
      <c r="Q6" s="2477"/>
      <c r="R6" s="2477"/>
    </row>
    <row r="7" spans="1:21" x14ac:dyDescent="0.25">
      <c r="A7" s="990" t="s">
        <v>1298</v>
      </c>
      <c r="B7" s="885"/>
      <c r="C7" s="885"/>
      <c r="D7" s="885"/>
      <c r="E7" s="885"/>
      <c r="F7" s="885"/>
      <c r="G7" s="885"/>
      <c r="H7" s="885"/>
      <c r="I7" s="885"/>
      <c r="J7" s="885"/>
      <c r="K7" s="885"/>
      <c r="L7" s="885"/>
      <c r="M7" s="885"/>
      <c r="N7" s="885"/>
      <c r="O7" s="885"/>
      <c r="P7" s="885"/>
      <c r="Q7" s="885"/>
      <c r="R7" s="885"/>
    </row>
    <row r="8" spans="1:21" ht="29.25" customHeight="1" x14ac:dyDescent="0.25">
      <c r="A8" s="990" t="s">
        <v>1298</v>
      </c>
      <c r="B8" s="2478" t="s">
        <v>1357</v>
      </c>
      <c r="C8" s="2478" t="s">
        <v>1413</v>
      </c>
      <c r="D8" s="2481" t="s">
        <v>1414</v>
      </c>
      <c r="E8" s="2482"/>
      <c r="F8" s="2482"/>
      <c r="G8" s="2482"/>
      <c r="H8" s="2482"/>
      <c r="I8" s="2482"/>
      <c r="J8" s="2482"/>
      <c r="K8" s="2482"/>
      <c r="L8" s="2482"/>
      <c r="M8" s="2483"/>
      <c r="N8" s="2478" t="s">
        <v>1415</v>
      </c>
      <c r="O8" s="2486" t="str">
        <f>IF(proj_RatingSystem="Homes","Active Mode Setpoint","Occupied Mode Setpoint")</f>
        <v>Occupied Mode Setpoint</v>
      </c>
      <c r="P8" s="2487"/>
      <c r="Q8" s="2486" t="s">
        <v>1416</v>
      </c>
      <c r="R8" s="2487"/>
    </row>
    <row r="9" spans="1:21" ht="27.75" customHeight="1" x14ac:dyDescent="0.25">
      <c r="A9" s="990" t="s">
        <v>1298</v>
      </c>
      <c r="B9" s="2479"/>
      <c r="C9" s="2479"/>
      <c r="D9" s="2488" t="s">
        <v>281</v>
      </c>
      <c r="E9" s="2473" t="s">
        <v>283</v>
      </c>
      <c r="F9" s="2473" t="s">
        <v>1417</v>
      </c>
      <c r="G9" s="2473" t="s">
        <v>1418</v>
      </c>
      <c r="H9" s="2473" t="s">
        <v>1419</v>
      </c>
      <c r="I9" s="2473" t="s">
        <v>1420</v>
      </c>
      <c r="J9" s="2473" t="s">
        <v>1421</v>
      </c>
      <c r="K9" s="2473" t="s">
        <v>282</v>
      </c>
      <c r="L9" s="2468" t="s">
        <v>1422</v>
      </c>
      <c r="M9" s="2469"/>
      <c r="N9" s="2484"/>
      <c r="O9" s="2470" t="str">
        <f>CONCATENATE("Cooling",IF(SI_IP_Units="IP"," (degrees F)"," (degrees C)"))</f>
        <v>Cooling (degrees F)</v>
      </c>
      <c r="P9" s="2469" t="str">
        <f>CONCATENATE("Heating",IF(SI_IP_Units="IP"," (degrees F)"," (degrees C)"))</f>
        <v>Heating (degrees F)</v>
      </c>
      <c r="Q9" s="2470" t="str">
        <f>CONCATENATE("Cooling",IF(SI_IP_Units="IP"," (degrees F)"," (degrees C)"))</f>
        <v>Cooling (degrees F)</v>
      </c>
      <c r="R9" s="2469" t="str">
        <f>CONCATENATE("Heating",IF(SI_IP_Units="IP"," (degrees F)"," (degrees C)"))</f>
        <v>Heating (degrees F)</v>
      </c>
    </row>
    <row r="10" spans="1:21" ht="27.75" customHeight="1" x14ac:dyDescent="0.25">
      <c r="A10" s="990" t="s">
        <v>1298</v>
      </c>
      <c r="B10" s="2480"/>
      <c r="C10" s="2480"/>
      <c r="D10" s="2489"/>
      <c r="E10" s="2474"/>
      <c r="F10" s="2474"/>
      <c r="G10" s="2474"/>
      <c r="H10" s="2474"/>
      <c r="I10" s="2474"/>
      <c r="J10" s="2474"/>
      <c r="K10" s="2474"/>
      <c r="L10" s="1682"/>
      <c r="M10" s="1683"/>
      <c r="N10" s="2485"/>
      <c r="O10" s="2471"/>
      <c r="P10" s="2472"/>
      <c r="Q10" s="2471"/>
      <c r="R10" s="2472"/>
    </row>
    <row r="11" spans="1:21" ht="38.25" hidden="1" customHeight="1" x14ac:dyDescent="0.25">
      <c r="A11" s="990" t="s">
        <v>1298</v>
      </c>
      <c r="B11" s="1103" t="str">
        <f>B8</f>
        <v>Building ID</v>
      </c>
      <c r="C11" s="1103" t="str">
        <f t="shared" ref="C11" si="0">C8</f>
        <v>Areas Served</v>
      </c>
      <c r="D11" s="1103" t="str">
        <f>D9</f>
        <v>Interior Lighting</v>
      </c>
      <c r="E11" s="1103" t="str">
        <f t="shared" ref="E11:R11" si="1">E9</f>
        <v>Service Water Heating</v>
      </c>
      <c r="F11" s="1103" t="str">
        <f t="shared" si="1"/>
        <v>Receptacle Equipment and Appliances</v>
      </c>
      <c r="G11" s="1103" t="str">
        <f t="shared" si="1"/>
        <v>Refriger-ation</v>
      </c>
      <c r="H11" s="1103" t="str">
        <f t="shared" si="1"/>
        <v>Server Equip-ment</v>
      </c>
      <c r="I11" s="1103" t="str">
        <f t="shared" si="1"/>
        <v>Cooking Equip-ment</v>
      </c>
      <c r="J11" s="1103" t="str">
        <f t="shared" si="1"/>
        <v>Elevators / Escalators</v>
      </c>
      <c r="K11" s="1103" t="str">
        <f t="shared" si="1"/>
        <v>Exterior Lighting</v>
      </c>
      <c r="L11" s="1103" t="str">
        <f t="shared" si="1"/>
        <v>Other Loads (Indicate Loads)</v>
      </c>
      <c r="M11" s="1103">
        <f t="shared" si="1"/>
        <v>0</v>
      </c>
      <c r="N11" s="1103" t="str">
        <f>N8</f>
        <v>HVAC:
hours per year fans running continuously</v>
      </c>
      <c r="O11" s="1103" t="str">
        <f t="shared" si="1"/>
        <v>Cooling (degrees F)</v>
      </c>
      <c r="P11" s="1103" t="str">
        <f t="shared" si="1"/>
        <v>Heating (degrees F)</v>
      </c>
      <c r="Q11" s="1103" t="str">
        <f t="shared" si="1"/>
        <v>Cooling (degrees F)</v>
      </c>
      <c r="R11" s="1056" t="str">
        <f t="shared" si="1"/>
        <v>Heating (degrees F)</v>
      </c>
    </row>
    <row r="12" spans="1:21" hidden="1" x14ac:dyDescent="0.25">
      <c r="A12" s="990" t="s">
        <v>1298</v>
      </c>
      <c r="B12" s="1684" t="str">
        <f>IF(MultipleBuildingsExist="Yes","All",GI_Project_Name)</f>
        <v>SEA Building Addition</v>
      </c>
      <c r="C12" s="1684" t="s">
        <v>1423</v>
      </c>
      <c r="D12" s="2352">
        <f>854</f>
        <v>854</v>
      </c>
      <c r="E12" s="1685">
        <f>2446</f>
        <v>2446</v>
      </c>
      <c r="F12" s="1685">
        <f>2117</f>
        <v>2117</v>
      </c>
      <c r="G12" s="1685"/>
      <c r="H12" s="1685"/>
      <c r="I12" s="1685"/>
      <c r="J12" s="1685"/>
      <c r="K12" s="1685"/>
      <c r="L12" s="1685"/>
      <c r="M12" s="1686"/>
      <c r="N12" s="1687">
        <v>8760</v>
      </c>
      <c r="O12" s="1688">
        <v>78</v>
      </c>
      <c r="P12" s="1689">
        <v>72</v>
      </c>
      <c r="Q12" s="1688">
        <v>80</v>
      </c>
      <c r="R12" s="1689">
        <v>70</v>
      </c>
      <c r="U12" s="2276"/>
    </row>
    <row r="13" spans="1:21" ht="16.5" customHeight="1" x14ac:dyDescent="0.25">
      <c r="A13" s="990" t="s">
        <v>1298</v>
      </c>
      <c r="B13" s="1690" t="str">
        <f>IF(MultipleBuildingsExist="Yes","All",GI_Project_Name)</f>
        <v>SEA Building Addition</v>
      </c>
      <c r="C13" s="1691" t="s">
        <v>1424</v>
      </c>
      <c r="D13" s="1692">
        <v>2725</v>
      </c>
      <c r="E13" s="1692">
        <v>1547</v>
      </c>
      <c r="F13" s="1692">
        <v>2725</v>
      </c>
      <c r="G13" s="1692"/>
      <c r="H13" s="1692"/>
      <c r="I13" s="1692"/>
      <c r="J13" s="1692">
        <v>1466</v>
      </c>
      <c r="K13" s="1692">
        <v>4745</v>
      </c>
      <c r="L13" s="1692"/>
      <c r="M13" s="1692"/>
      <c r="N13" s="1692">
        <v>8760</v>
      </c>
      <c r="O13" s="1693">
        <v>75</v>
      </c>
      <c r="P13" s="1693">
        <v>70</v>
      </c>
      <c r="Q13" s="1693">
        <v>82</v>
      </c>
      <c r="R13" s="1694">
        <v>65</v>
      </c>
      <c r="U13" s="2276"/>
    </row>
    <row r="14" spans="1:21" ht="5.25" customHeight="1" x14ac:dyDescent="0.25">
      <c r="A14" s="990" t="s">
        <v>1298</v>
      </c>
      <c r="B14" s="1695"/>
      <c r="C14" s="1696"/>
      <c r="D14" s="1697"/>
      <c r="E14" s="1698"/>
      <c r="F14" s="1698"/>
      <c r="G14" s="1698"/>
      <c r="H14" s="1698"/>
      <c r="I14" s="1698"/>
      <c r="J14" s="1698"/>
      <c r="K14" s="1698"/>
      <c r="L14" s="1698"/>
      <c r="M14" s="1699"/>
      <c r="N14" s="1700"/>
      <c r="O14" s="1701"/>
      <c r="P14" s="1702"/>
      <c r="Q14" s="1701"/>
      <c r="R14" s="1702"/>
    </row>
    <row r="15" spans="1:21" ht="16.5" hidden="1" customHeight="1" x14ac:dyDescent="0.25">
      <c r="A15" s="1438" t="s">
        <v>915</v>
      </c>
      <c r="B15" s="1703" t="str">
        <f t="shared" ref="B15:B20" si="2">GI_Project_Name</f>
        <v>SEA Building Addition</v>
      </c>
      <c r="C15" s="1703"/>
      <c r="D15" s="1704"/>
      <c r="E15" s="1705"/>
      <c r="F15" s="1705"/>
      <c r="G15" s="1705"/>
      <c r="H15" s="1705"/>
      <c r="I15" s="1705"/>
      <c r="J15" s="1705"/>
      <c r="K15" s="1705"/>
      <c r="L15" s="1705"/>
      <c r="M15" s="1706"/>
      <c r="N15" s="1707"/>
      <c r="O15" s="1708"/>
      <c r="P15" s="1709"/>
      <c r="Q15" s="1708"/>
      <c r="R15" s="1709"/>
    </row>
    <row r="16" spans="1:21" ht="15.95" customHeight="1" x14ac:dyDescent="0.25">
      <c r="A16" s="1438" t="s">
        <v>915</v>
      </c>
      <c r="B16" s="1710" t="str">
        <f t="shared" si="2"/>
        <v>SEA Building Addition</v>
      </c>
      <c r="C16" s="1710"/>
      <c r="D16" s="1711"/>
      <c r="E16" s="1711"/>
      <c r="F16" s="1711"/>
      <c r="G16" s="1711"/>
      <c r="H16" s="1711"/>
      <c r="I16" s="1711"/>
      <c r="J16" s="1711"/>
      <c r="K16" s="1711"/>
      <c r="L16" s="1711"/>
      <c r="M16" s="1711"/>
      <c r="N16" s="1711"/>
      <c r="O16" s="1712"/>
      <c r="P16" s="1712"/>
      <c r="Q16" s="1712"/>
      <c r="R16" s="1712"/>
      <c r="U16" s="2275"/>
    </row>
    <row r="17" spans="1:21" ht="15.95" customHeight="1" x14ac:dyDescent="0.25">
      <c r="A17" s="1438" t="s">
        <v>915</v>
      </c>
      <c r="B17" s="1710" t="str">
        <f t="shared" si="2"/>
        <v>SEA Building Addition</v>
      </c>
      <c r="C17" s="1710"/>
      <c r="D17" s="1711"/>
      <c r="E17" s="1711"/>
      <c r="F17" s="1711"/>
      <c r="G17" s="1711"/>
      <c r="H17" s="1711"/>
      <c r="I17" s="1711"/>
      <c r="J17" s="1711"/>
      <c r="K17" s="1711"/>
      <c r="L17" s="1711"/>
      <c r="M17" s="1711"/>
      <c r="N17" s="1711"/>
      <c r="O17" s="1712"/>
      <c r="P17" s="1712"/>
      <c r="Q17" s="1712"/>
      <c r="R17" s="1712"/>
      <c r="U17" s="2275"/>
    </row>
    <row r="18" spans="1:21" ht="15.95" customHeight="1" x14ac:dyDescent="0.25">
      <c r="A18" s="1438" t="s">
        <v>915</v>
      </c>
      <c r="B18" s="1710" t="str">
        <f t="shared" si="2"/>
        <v>SEA Building Addition</v>
      </c>
      <c r="C18" s="1710"/>
      <c r="D18" s="1711"/>
      <c r="E18" s="1711"/>
      <c r="F18" s="1711"/>
      <c r="G18" s="1711"/>
      <c r="H18" s="1711"/>
      <c r="I18" s="1711"/>
      <c r="J18" s="1711"/>
      <c r="K18" s="1711"/>
      <c r="L18" s="1711"/>
      <c r="M18" s="1711"/>
      <c r="N18" s="1711"/>
      <c r="O18" s="1712"/>
      <c r="P18" s="1712"/>
      <c r="Q18" s="1712"/>
      <c r="R18" s="1712"/>
      <c r="U18" s="2275"/>
    </row>
    <row r="19" spans="1:21" ht="15.95" customHeight="1" x14ac:dyDescent="0.25">
      <c r="A19" s="1438" t="s">
        <v>915</v>
      </c>
      <c r="B19" s="1710" t="str">
        <f t="shared" si="2"/>
        <v>SEA Building Addition</v>
      </c>
      <c r="C19" s="1710"/>
      <c r="D19" s="1711"/>
      <c r="E19" s="1711"/>
      <c r="F19" s="1711"/>
      <c r="G19" s="1711"/>
      <c r="H19" s="1711"/>
      <c r="I19" s="1711"/>
      <c r="J19" s="1711"/>
      <c r="K19" s="1711"/>
      <c r="L19" s="1711"/>
      <c r="M19" s="1711"/>
      <c r="N19" s="1711"/>
      <c r="O19" s="1712"/>
      <c r="P19" s="1712"/>
      <c r="Q19" s="1712"/>
      <c r="R19" s="1712"/>
      <c r="U19" s="2275"/>
    </row>
    <row r="20" spans="1:21" ht="15.95" customHeight="1" x14ac:dyDescent="0.25">
      <c r="A20" s="1438" t="s">
        <v>915</v>
      </c>
      <c r="B20" s="1710" t="str">
        <f t="shared" si="2"/>
        <v>SEA Building Addition</v>
      </c>
      <c r="C20" s="1710"/>
      <c r="D20" s="1711"/>
      <c r="E20" s="1711"/>
      <c r="F20" s="1711"/>
      <c r="G20" s="1711"/>
      <c r="H20" s="1711"/>
      <c r="I20" s="1711"/>
      <c r="J20" s="1711"/>
      <c r="K20" s="1711"/>
      <c r="L20" s="1711"/>
      <c r="M20" s="1711"/>
      <c r="N20" s="1711"/>
      <c r="O20" s="1712"/>
      <c r="P20" s="1712"/>
      <c r="Q20" s="1712"/>
      <c r="R20" s="1712"/>
      <c r="U20" s="2275"/>
    </row>
    <row r="21" spans="1:21" x14ac:dyDescent="0.25">
      <c r="A21" s="990" t="s">
        <v>1298</v>
      </c>
    </row>
    <row r="22" spans="1:21" x14ac:dyDescent="0.25">
      <c r="A22" s="990" t="s">
        <v>1298</v>
      </c>
    </row>
    <row r="23" spans="1:21" x14ac:dyDescent="0.25">
      <c r="A23" s="990" t="s">
        <v>1298</v>
      </c>
    </row>
    <row r="24" spans="1:21" x14ac:dyDescent="0.25">
      <c r="A24" s="990" t="s">
        <v>1298</v>
      </c>
    </row>
    <row r="25" spans="1:21" x14ac:dyDescent="0.25">
      <c r="A25" s="990" t="s">
        <v>1298</v>
      </c>
    </row>
    <row r="26" spans="1:21" x14ac:dyDescent="0.25">
      <c r="A26" s="990" t="s">
        <v>1298</v>
      </c>
    </row>
    <row r="27" spans="1:21" x14ac:dyDescent="0.25">
      <c r="A27" s="990" t="s">
        <v>1298</v>
      </c>
    </row>
    <row r="28" spans="1:21" x14ac:dyDescent="0.25">
      <c r="A28" s="990" t="s">
        <v>1298</v>
      </c>
    </row>
    <row r="29" spans="1:21" x14ac:dyDescent="0.25">
      <c r="A29" s="990" t="s">
        <v>1298</v>
      </c>
    </row>
    <row r="30" spans="1:21" x14ac:dyDescent="0.25">
      <c r="A30" s="990" t="s">
        <v>1298</v>
      </c>
    </row>
    <row r="31" spans="1:21" x14ac:dyDescent="0.25">
      <c r="A31" s="990" t="s">
        <v>1298</v>
      </c>
    </row>
    <row r="32" spans="1:21" x14ac:dyDescent="0.25">
      <c r="A32" s="990" t="s">
        <v>1298</v>
      </c>
    </row>
    <row r="33" spans="1:1" x14ac:dyDescent="0.25">
      <c r="A33" s="990" t="s">
        <v>1298</v>
      </c>
    </row>
    <row r="34" spans="1:1" x14ac:dyDescent="0.25">
      <c r="A34" s="990" t="s">
        <v>1298</v>
      </c>
    </row>
    <row r="35" spans="1:1" x14ac:dyDescent="0.25">
      <c r="A35" s="990" t="s">
        <v>1298</v>
      </c>
    </row>
    <row r="36" spans="1:1" x14ac:dyDescent="0.25">
      <c r="A36" s="990" t="s">
        <v>1298</v>
      </c>
    </row>
    <row r="37" spans="1:1" x14ac:dyDescent="0.25">
      <c r="A37" s="990" t="s">
        <v>1298</v>
      </c>
    </row>
    <row r="38" spans="1:1" x14ac:dyDescent="0.25">
      <c r="A38" s="990" t="s">
        <v>1298</v>
      </c>
    </row>
    <row r="39" spans="1:1" x14ac:dyDescent="0.25">
      <c r="A39" s="990" t="s">
        <v>1298</v>
      </c>
    </row>
    <row r="40" spans="1:1" x14ac:dyDescent="0.25">
      <c r="A40" s="990" t="s">
        <v>1298</v>
      </c>
    </row>
    <row r="41" spans="1:1" x14ac:dyDescent="0.25">
      <c r="A41" s="990" t="s">
        <v>1298</v>
      </c>
    </row>
    <row r="42" spans="1:1" x14ac:dyDescent="0.25">
      <c r="A42" s="990" t="s">
        <v>1298</v>
      </c>
    </row>
    <row r="43" spans="1:1" x14ac:dyDescent="0.25">
      <c r="A43" s="990" t="s">
        <v>1298</v>
      </c>
    </row>
    <row r="44" spans="1:1" x14ac:dyDescent="0.25">
      <c r="A44" s="990" t="s">
        <v>1298</v>
      </c>
    </row>
    <row r="45" spans="1:1" x14ac:dyDescent="0.25">
      <c r="A45" s="990" t="s">
        <v>1298</v>
      </c>
    </row>
    <row r="46" spans="1:1" x14ac:dyDescent="0.25">
      <c r="A46" s="990" t="s">
        <v>1298</v>
      </c>
    </row>
    <row r="47" spans="1:1" x14ac:dyDescent="0.25">
      <c r="A47" s="990" t="s">
        <v>1298</v>
      </c>
    </row>
    <row r="48" spans="1:1" x14ac:dyDescent="0.25">
      <c r="A48" s="990" t="s">
        <v>1298</v>
      </c>
    </row>
    <row r="49" spans="1:1" x14ac:dyDescent="0.25">
      <c r="A49" s="990" t="s">
        <v>1298</v>
      </c>
    </row>
    <row r="50" spans="1:1" x14ac:dyDescent="0.25">
      <c r="A50" s="990" t="s">
        <v>1298</v>
      </c>
    </row>
    <row r="51" spans="1:1" x14ac:dyDescent="0.25">
      <c r="A51" s="990" t="s">
        <v>1298</v>
      </c>
    </row>
    <row r="52" spans="1:1" x14ac:dyDescent="0.25">
      <c r="A52" s="990" t="s">
        <v>1298</v>
      </c>
    </row>
    <row r="53" spans="1:1" x14ac:dyDescent="0.25">
      <c r="A53" s="990" t="s">
        <v>1298</v>
      </c>
    </row>
    <row r="54" spans="1:1" x14ac:dyDescent="0.25">
      <c r="A54" s="990" t="s">
        <v>1298</v>
      </c>
    </row>
    <row r="55" spans="1:1" x14ac:dyDescent="0.25">
      <c r="A55" s="990" t="s">
        <v>1298</v>
      </c>
    </row>
    <row r="56" spans="1:1" x14ac:dyDescent="0.25">
      <c r="A56" s="990" t="s">
        <v>1298</v>
      </c>
    </row>
    <row r="57" spans="1:1" x14ac:dyDescent="0.25">
      <c r="A57" s="990" t="s">
        <v>1298</v>
      </c>
    </row>
    <row r="58" spans="1:1" x14ac:dyDescent="0.25">
      <c r="A58" s="990" t="s">
        <v>1298</v>
      </c>
    </row>
    <row r="59" spans="1:1" x14ac:dyDescent="0.25">
      <c r="A59" s="990" t="s">
        <v>1298</v>
      </c>
    </row>
    <row r="60" spans="1:1" x14ac:dyDescent="0.25">
      <c r="A60" s="990" t="s">
        <v>1298</v>
      </c>
    </row>
    <row r="61" spans="1:1" x14ac:dyDescent="0.25">
      <c r="A61" s="990" t="s">
        <v>1298</v>
      </c>
    </row>
    <row r="62" spans="1:1" x14ac:dyDescent="0.25">
      <c r="A62" s="990" t="s">
        <v>1298</v>
      </c>
    </row>
    <row r="63" spans="1:1" x14ac:dyDescent="0.25">
      <c r="A63" s="990" t="s">
        <v>1298</v>
      </c>
    </row>
    <row r="64" spans="1:1" x14ac:dyDescent="0.25">
      <c r="A64" s="990" t="s">
        <v>1298</v>
      </c>
    </row>
    <row r="65" spans="1:1" x14ac:dyDescent="0.25">
      <c r="A65" s="990" t="s">
        <v>1298</v>
      </c>
    </row>
    <row r="66" spans="1:1" x14ac:dyDescent="0.25">
      <c r="A66" s="990" t="s">
        <v>1298</v>
      </c>
    </row>
    <row r="67" spans="1:1" x14ac:dyDescent="0.25">
      <c r="A67" s="990" t="s">
        <v>1298</v>
      </c>
    </row>
    <row r="68" spans="1:1" x14ac:dyDescent="0.25">
      <c r="A68" s="990" t="s">
        <v>1298</v>
      </c>
    </row>
    <row r="69" spans="1:1" x14ac:dyDescent="0.25">
      <c r="A69" s="990" t="s">
        <v>1298</v>
      </c>
    </row>
    <row r="70" spans="1:1" x14ac:dyDescent="0.25">
      <c r="A70" s="990" t="s">
        <v>1298</v>
      </c>
    </row>
    <row r="71" spans="1:1" x14ac:dyDescent="0.25">
      <c r="A71" s="990" t="s">
        <v>1298</v>
      </c>
    </row>
    <row r="72" spans="1:1" x14ac:dyDescent="0.25">
      <c r="A72" s="990" t="s">
        <v>1298</v>
      </c>
    </row>
    <row r="73" spans="1:1" x14ac:dyDescent="0.25">
      <c r="A73" s="990" t="s">
        <v>1298</v>
      </c>
    </row>
    <row r="74" spans="1:1" x14ac:dyDescent="0.25">
      <c r="A74" s="990" t="s">
        <v>1298</v>
      </c>
    </row>
    <row r="75" spans="1:1" x14ac:dyDescent="0.25">
      <c r="A75" s="990" t="s">
        <v>1298</v>
      </c>
    </row>
    <row r="76" spans="1:1" x14ac:dyDescent="0.25">
      <c r="A76" s="990" t="s">
        <v>1298</v>
      </c>
    </row>
    <row r="77" spans="1:1" x14ac:dyDescent="0.25">
      <c r="A77" s="990" t="s">
        <v>1298</v>
      </c>
    </row>
    <row r="78" spans="1:1" x14ac:dyDescent="0.25">
      <c r="A78" s="990" t="s">
        <v>1298</v>
      </c>
    </row>
    <row r="79" spans="1:1" x14ac:dyDescent="0.25">
      <c r="A79" s="990" t="s">
        <v>1298</v>
      </c>
    </row>
    <row r="80" spans="1:1" x14ac:dyDescent="0.25">
      <c r="A80" s="990" t="s">
        <v>1298</v>
      </c>
    </row>
    <row r="81" spans="1:1" x14ac:dyDescent="0.25">
      <c r="A81" s="990" t="s">
        <v>1298</v>
      </c>
    </row>
    <row r="82" spans="1:1" x14ac:dyDescent="0.25">
      <c r="A82" s="990" t="s">
        <v>1298</v>
      </c>
    </row>
    <row r="83" spans="1:1" x14ac:dyDescent="0.25">
      <c r="A83" s="990" t="s">
        <v>1298</v>
      </c>
    </row>
    <row r="84" spans="1:1" x14ac:dyDescent="0.25">
      <c r="A84" s="990" t="s">
        <v>1298</v>
      </c>
    </row>
    <row r="85" spans="1:1" x14ac:dyDescent="0.25">
      <c r="A85" s="990" t="s">
        <v>1298</v>
      </c>
    </row>
    <row r="86" spans="1:1" x14ac:dyDescent="0.25">
      <c r="A86" s="990" t="s">
        <v>1298</v>
      </c>
    </row>
    <row r="87" spans="1:1" x14ac:dyDescent="0.25">
      <c r="A87" s="990" t="s">
        <v>1298</v>
      </c>
    </row>
    <row r="88" spans="1:1" x14ac:dyDescent="0.25">
      <c r="A88" s="990" t="s">
        <v>1298</v>
      </c>
    </row>
    <row r="89" spans="1:1" x14ac:dyDescent="0.25">
      <c r="A89" s="990" t="s">
        <v>1298</v>
      </c>
    </row>
    <row r="90" spans="1:1" x14ac:dyDescent="0.25">
      <c r="A90" s="990" t="s">
        <v>1298</v>
      </c>
    </row>
    <row r="91" spans="1:1" x14ac:dyDescent="0.25">
      <c r="A91" s="990" t="s">
        <v>1298</v>
      </c>
    </row>
    <row r="92" spans="1:1" x14ac:dyDescent="0.25">
      <c r="A92" s="990" t="s">
        <v>1298</v>
      </c>
    </row>
    <row r="93" spans="1:1" x14ac:dyDescent="0.25">
      <c r="A93" s="990" t="s">
        <v>1298</v>
      </c>
    </row>
    <row r="94" spans="1:1" x14ac:dyDescent="0.25">
      <c r="A94" s="990" t="s">
        <v>1298</v>
      </c>
    </row>
    <row r="95" spans="1:1" x14ac:dyDescent="0.25">
      <c r="A95" s="990" t="s">
        <v>1298</v>
      </c>
    </row>
    <row r="96" spans="1:1" x14ac:dyDescent="0.25">
      <c r="A96" s="990" t="s">
        <v>1298</v>
      </c>
    </row>
    <row r="97" spans="1:1" x14ac:dyDescent="0.25">
      <c r="A97" s="990" t="s">
        <v>1298</v>
      </c>
    </row>
    <row r="98" spans="1:1" x14ac:dyDescent="0.25">
      <c r="A98" s="990" t="s">
        <v>1298</v>
      </c>
    </row>
    <row r="99" spans="1:1" x14ac:dyDescent="0.25">
      <c r="A99" s="990" t="s">
        <v>1298</v>
      </c>
    </row>
    <row r="100" spans="1:1" x14ac:dyDescent="0.25">
      <c r="A100" s="990" t="s">
        <v>1298</v>
      </c>
    </row>
    <row r="101" spans="1:1" x14ac:dyDescent="0.25">
      <c r="A101" s="990" t="s">
        <v>1298</v>
      </c>
    </row>
    <row r="102" spans="1:1" x14ac:dyDescent="0.25">
      <c r="A102" s="990" t="s">
        <v>1298</v>
      </c>
    </row>
    <row r="103" spans="1:1" x14ac:dyDescent="0.25">
      <c r="A103" s="990" t="s">
        <v>1298</v>
      </c>
    </row>
    <row r="104" spans="1:1" x14ac:dyDescent="0.25">
      <c r="A104" s="990" t="s">
        <v>1298</v>
      </c>
    </row>
    <row r="105" spans="1:1" x14ac:dyDescent="0.25">
      <c r="A105" s="990" t="s">
        <v>1298</v>
      </c>
    </row>
  </sheetData>
  <sheetProtection algorithmName="SHA-512" hashValue="GpF2w4w3xktDLh4DdnhbyCMDTJiytJB7tcEAUIpFSoFBXrL+6TYK44tgDaf8wCafLEogJAZ/wPNYQ0MTurYltg==" saltValue="q5WbuXvVF7ul/fwq5dTjHQ==" spinCount="100000" sheet="1" objects="1" scenarios="1"/>
  <dataConsolidate/>
  <customSheetViews>
    <customSheetView guid="{75D6F8CE-A4F4-4FDD-BA92-7996F9E19FA9}">
      <selection activeCell="A16" sqref="A16:A17"/>
      <pageMargins left="0.7" right="0.7" top="0.75" bottom="0.75" header="0.3" footer="0.3"/>
      <pageSetup orientation="portrait" r:id="rId1"/>
    </customSheetView>
  </customSheetViews>
  <mergeCells count="21">
    <mergeCell ref="K9:K10"/>
    <mergeCell ref="B5:R5"/>
    <mergeCell ref="B6:R6"/>
    <mergeCell ref="B8:B10"/>
    <mergeCell ref="C8:C10"/>
    <mergeCell ref="D8:M8"/>
    <mergeCell ref="N8:N10"/>
    <mergeCell ref="O8:P8"/>
    <mergeCell ref="Q8:R8"/>
    <mergeCell ref="D9:D10"/>
    <mergeCell ref="E9:E10"/>
    <mergeCell ref="F9:F10"/>
    <mergeCell ref="G9:G10"/>
    <mergeCell ref="H9:H10"/>
    <mergeCell ref="I9:I10"/>
    <mergeCell ref="J9:J10"/>
    <mergeCell ref="L9:M9"/>
    <mergeCell ref="O9:O10"/>
    <mergeCell ref="P9:P10"/>
    <mergeCell ref="Q9:Q10"/>
    <mergeCell ref="R9:R10"/>
  </mergeCells>
  <dataValidations count="2">
    <dataValidation type="list" allowBlank="1" showInputMessage="1" showErrorMessage="1" sqref="B15:B20" xr:uid="{00000000-0002-0000-0400-000000000000}">
      <formula1>BuildingIDLookup</formula1>
    </dataValidation>
    <dataValidation allowBlank="1" sqref="D12:R20" xr:uid="{00000000-0002-0000-0400-000001000000}"/>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6263" r:id="rId5" name="Button 7">
              <controlPr defaultSize="0" print="0" autoFill="0" autoPict="0" macro="[0]!addA">
                <anchor moveWithCells="1">
                  <from>
                    <xdr:col>1</xdr:col>
                    <xdr:colOff>0</xdr:colOff>
                    <xdr:row>21</xdr:row>
                    <xdr:rowOff>0</xdr:rowOff>
                  </from>
                  <to>
                    <xdr:col>2</xdr:col>
                    <xdr:colOff>342900</xdr:colOff>
                    <xdr:row>22</xdr:row>
                    <xdr:rowOff>76200</xdr:rowOff>
                  </to>
                </anchor>
              </controlPr>
            </control>
          </mc:Choice>
        </mc:AlternateContent>
        <mc:AlternateContent xmlns:mc="http://schemas.openxmlformats.org/markup-compatibility/2006">
          <mc:Choice Requires="x14">
            <control shapeId="96265" r:id="rId6" name="Button 9">
              <controlPr defaultSize="0" print="0" autoFill="0" autoPict="0" macro="[0]!DeleteSome">
                <anchor moveWithCells="1">
                  <from>
                    <xdr:col>2</xdr:col>
                    <xdr:colOff>400050</xdr:colOff>
                    <xdr:row>21</xdr:row>
                    <xdr:rowOff>0</xdr:rowOff>
                  </from>
                  <to>
                    <xdr:col>2</xdr:col>
                    <xdr:colOff>1743075</xdr:colOff>
                    <xdr:row>22</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0" tint="-0.249977111117893"/>
  </sheetPr>
  <dimension ref="A1:AF509"/>
  <sheetViews>
    <sheetView workbookViewId="0">
      <selection activeCell="W73" sqref="W73"/>
    </sheetView>
  </sheetViews>
  <sheetFormatPr defaultColWidth="9.140625" defaultRowHeight="15" x14ac:dyDescent="0.25"/>
  <cols>
    <col min="1" max="1" width="2.7109375" style="1101" customWidth="1"/>
    <col min="2" max="2" width="32.7109375" style="1101" customWidth="1"/>
    <col min="3" max="26" width="8.7109375" style="1101" customWidth="1"/>
    <col min="27" max="28" width="10.7109375" style="1101" customWidth="1"/>
    <col min="29" max="30" width="2.7109375" style="1101" customWidth="1"/>
    <col min="31" max="31" width="50.7109375" style="1101" customWidth="1"/>
    <col min="32" max="16384" width="9.140625" style="1101"/>
  </cols>
  <sheetData>
    <row r="1" spans="1:31" x14ac:dyDescent="0.25">
      <c r="A1" s="1099"/>
      <c r="B1" s="916"/>
      <c r="C1" s="916"/>
      <c r="D1" s="916"/>
      <c r="E1" s="916"/>
      <c r="F1" s="917"/>
      <c r="G1" s="917"/>
      <c r="H1" s="916"/>
      <c r="I1" s="916"/>
      <c r="J1" s="916"/>
      <c r="K1" s="916"/>
      <c r="L1" s="916"/>
      <c r="M1" s="916"/>
      <c r="N1" s="916"/>
      <c r="O1" s="916"/>
      <c r="P1" s="916"/>
      <c r="Q1" s="916"/>
      <c r="R1" s="917"/>
      <c r="S1" s="916"/>
      <c r="T1" s="916"/>
      <c r="U1" s="916"/>
      <c r="V1" s="916"/>
      <c r="W1" s="916"/>
      <c r="X1" s="916"/>
      <c r="Y1" s="916"/>
      <c r="Z1" s="916"/>
      <c r="AA1" s="916"/>
      <c r="AB1" s="1713"/>
    </row>
    <row r="2" spans="1:31" ht="24.75" x14ac:dyDescent="0.25">
      <c r="A2" s="1099"/>
      <c r="B2" s="44" t="s">
        <v>1984</v>
      </c>
      <c r="C2" s="44"/>
      <c r="D2" s="44"/>
      <c r="E2" s="44"/>
      <c r="F2" s="44"/>
      <c r="G2" s="44"/>
      <c r="H2" s="44"/>
      <c r="I2" s="44"/>
      <c r="J2" s="44"/>
      <c r="K2" s="44"/>
      <c r="L2" s="44"/>
      <c r="M2" s="44"/>
      <c r="N2" s="44"/>
      <c r="O2" s="44"/>
      <c r="P2" s="44"/>
      <c r="Q2" s="44"/>
      <c r="R2" s="44"/>
      <c r="S2" s="44"/>
      <c r="T2" s="44"/>
      <c r="U2" s="44"/>
      <c r="V2" s="44"/>
      <c r="W2" s="44"/>
      <c r="X2" s="44"/>
      <c r="Y2" s="44"/>
      <c r="Z2" s="44"/>
      <c r="AA2" s="44"/>
      <c r="AB2" s="1713"/>
    </row>
    <row r="3" spans="1:31" x14ac:dyDescent="0.25">
      <c r="A3" s="1099"/>
      <c r="B3" s="916"/>
      <c r="C3" s="916"/>
      <c r="D3" s="916"/>
      <c r="E3" s="916"/>
      <c r="F3" s="917"/>
      <c r="G3" s="917"/>
      <c r="H3" s="916"/>
      <c r="I3" s="916"/>
      <c r="J3" s="916"/>
      <c r="K3" s="916"/>
      <c r="L3" s="916"/>
      <c r="M3" s="916"/>
      <c r="N3" s="916"/>
      <c r="O3" s="916"/>
      <c r="P3" s="916"/>
      <c r="Q3" s="916"/>
      <c r="R3" s="917"/>
      <c r="S3" s="916"/>
      <c r="T3" s="916"/>
      <c r="U3" s="916"/>
      <c r="V3" s="916"/>
      <c r="W3" s="916"/>
      <c r="X3" s="916"/>
      <c r="Y3" s="916"/>
      <c r="Z3" s="916"/>
      <c r="AA3" s="916"/>
      <c r="AB3" s="1713"/>
    </row>
    <row r="5" spans="1:31" ht="36.75" customHeight="1" x14ac:dyDescent="0.25">
      <c r="B5" s="2493" t="str">
        <f>CONCATENATE("THIS CALCULATOR IS OPTIONAL FOR USE DETERMIING THE EQUIVALENT FULL LOAD HOUR INFORMATION FOR THE SCHEDULES TAB. THE CALCULATOR IS NOT REQUIRED TO BE COMPLETED OR SUBMITTED.
", IF(proj_RatingSystem="Homes","Default schedules required for LEED-Homes Midrise are shown below for reference. ",IF(ResDwellingUnitsExist="Yes","Default schedules for residential dwelling units are shown below for reference.","")), " Some of the sample schedules from the ASHRAE 90.1-2010 User's Manual are shown below for reference.")</f>
        <v>THIS CALCULATOR IS OPTIONAL FOR USE DETERMIING THE EQUIVALENT FULL LOAD HOUR INFORMATION FOR THE SCHEDULES TAB. THE CALCULATOR IS NOT REQUIRED TO BE COMPLETED OR SUBMITTED.
 Some of the sample schedules from the ASHRAE 90.1-2010 User's Manual are shown below for reference.</v>
      </c>
      <c r="C5" s="2494"/>
      <c r="D5" s="2494"/>
      <c r="E5" s="2494"/>
      <c r="F5" s="2494"/>
      <c r="G5" s="2494"/>
      <c r="H5" s="2494"/>
      <c r="I5" s="2494"/>
      <c r="J5" s="2494"/>
      <c r="K5" s="2494"/>
      <c r="L5" s="2494"/>
      <c r="M5" s="2494"/>
      <c r="N5" s="2494"/>
      <c r="O5" s="2494"/>
      <c r="P5" s="2494"/>
      <c r="Q5" s="2494"/>
      <c r="R5" s="2494"/>
      <c r="S5" s="2494"/>
      <c r="T5" s="2494"/>
      <c r="U5" s="2494"/>
      <c r="V5" s="2494"/>
      <c r="W5" s="2494"/>
      <c r="X5" s="2494"/>
      <c r="Y5" s="2494"/>
      <c r="Z5" s="2494"/>
      <c r="AA5" s="1715"/>
      <c r="AB5" s="1715"/>
      <c r="AE5" s="1714" t="s">
        <v>2090</v>
      </c>
    </row>
    <row r="6" spans="1:31" x14ac:dyDescent="0.25">
      <c r="B6" s="2495"/>
      <c r="C6" s="2496"/>
      <c r="D6" s="2496"/>
      <c r="E6" s="2496"/>
      <c r="F6" s="2496"/>
      <c r="G6" s="2496"/>
      <c r="H6" s="2496"/>
      <c r="I6" s="2496"/>
      <c r="J6" s="2496"/>
      <c r="K6" s="2496"/>
      <c r="L6" s="2496"/>
      <c r="M6" s="2496"/>
      <c r="N6" s="2496"/>
      <c r="O6" s="2496"/>
      <c r="P6" s="2496"/>
      <c r="Q6" s="2496"/>
      <c r="R6" s="2496"/>
      <c r="S6" s="2496"/>
      <c r="T6" s="2496"/>
      <c r="U6" s="2496"/>
      <c r="V6" s="2496"/>
      <c r="W6" s="2496"/>
      <c r="X6" s="2496"/>
      <c r="Y6" s="2496"/>
      <c r="Z6" s="2496"/>
      <c r="AA6" s="2496"/>
      <c r="AB6" s="2496"/>
    </row>
    <row r="7" spans="1:31" ht="33" customHeight="1" x14ac:dyDescent="0.25">
      <c r="B7" s="955"/>
      <c r="C7" s="1716" t="s">
        <v>1425</v>
      </c>
      <c r="D7" s="1715"/>
      <c r="E7" s="1715"/>
      <c r="F7" s="1715"/>
      <c r="G7" s="1715"/>
      <c r="H7" s="1715"/>
      <c r="I7" s="1715"/>
      <c r="J7" s="1715"/>
      <c r="K7" s="1715"/>
      <c r="L7" s="1715"/>
      <c r="M7" s="1715"/>
      <c r="N7" s="1715"/>
      <c r="O7" s="1715"/>
      <c r="P7" s="1715"/>
      <c r="Q7" s="1715"/>
      <c r="R7" s="1715"/>
      <c r="S7" s="1715"/>
      <c r="T7" s="1715"/>
      <c r="U7" s="1715"/>
      <c r="V7" s="1715"/>
      <c r="W7" s="1715"/>
      <c r="X7" s="1715"/>
      <c r="Y7" s="1715"/>
      <c r="Z7" s="1715"/>
      <c r="AA7" s="1715"/>
      <c r="AB7" s="1715"/>
    </row>
    <row r="8" spans="1:31" ht="15" customHeight="1" x14ac:dyDescent="0.25">
      <c r="B8" s="2197" t="s">
        <v>2015</v>
      </c>
      <c r="C8" s="1717">
        <v>11</v>
      </c>
      <c r="D8" s="1718"/>
      <c r="E8" s="1718"/>
      <c r="F8" s="1718"/>
      <c r="G8" s="1718"/>
      <c r="H8" s="1718"/>
      <c r="I8" s="1718"/>
      <c r="J8" s="1718"/>
      <c r="K8" s="1718"/>
      <c r="L8" s="1718"/>
      <c r="M8" s="1718"/>
      <c r="N8" s="1718"/>
      <c r="O8" s="1718"/>
      <c r="P8" s="1718"/>
      <c r="Q8" s="1718"/>
      <c r="R8" s="1718"/>
      <c r="S8" s="1718"/>
      <c r="T8" s="1718"/>
      <c r="U8" s="1718"/>
      <c r="V8" s="1718"/>
      <c r="W8" s="1718"/>
      <c r="X8" s="1718"/>
      <c r="Y8" s="1718"/>
      <c r="Z8" s="1718"/>
      <c r="AA8" s="1719"/>
      <c r="AB8" s="1720"/>
    </row>
    <row r="9" spans="1:31" ht="15" customHeight="1" x14ac:dyDescent="0.25">
      <c r="B9" s="2197" t="s">
        <v>1426</v>
      </c>
      <c r="C9" s="1721">
        <v>50</v>
      </c>
      <c r="D9" s="1722"/>
      <c r="E9" s="1722"/>
      <c r="F9" s="1722"/>
      <c r="G9" s="1722"/>
      <c r="H9" s="1722"/>
      <c r="I9" s="1722"/>
      <c r="J9" s="1722"/>
      <c r="K9" s="1722"/>
      <c r="L9" s="1722"/>
      <c r="M9" s="1722"/>
      <c r="N9" s="1722"/>
      <c r="O9" s="1722"/>
      <c r="P9" s="1722"/>
      <c r="Q9" s="1722"/>
      <c r="R9" s="1722"/>
      <c r="S9" s="1722"/>
      <c r="T9" s="1722"/>
      <c r="U9" s="1722"/>
      <c r="V9" s="1722"/>
      <c r="W9" s="1722"/>
      <c r="X9" s="1722"/>
      <c r="Y9" s="1722"/>
      <c r="Z9" s="1722"/>
      <c r="AA9" s="1719"/>
      <c r="AB9" s="1720"/>
    </row>
    <row r="10" spans="1:31" ht="15" customHeight="1" x14ac:dyDescent="0.25">
      <c r="B10" s="2197" t="s">
        <v>1427</v>
      </c>
      <c r="C10" s="1721">
        <v>50</v>
      </c>
      <c r="D10" s="1722"/>
      <c r="E10" s="1722"/>
      <c r="F10" s="1722"/>
      <c r="G10" s="1722"/>
      <c r="H10" s="1722"/>
      <c r="I10" s="1722"/>
      <c r="J10" s="1722"/>
      <c r="K10" s="1722"/>
      <c r="L10" s="1722"/>
      <c r="M10" s="1722"/>
      <c r="N10" s="1722"/>
      <c r="O10" s="1722"/>
      <c r="P10" s="1722"/>
      <c r="Q10" s="1722"/>
      <c r="R10" s="1722"/>
      <c r="S10" s="1722"/>
      <c r="T10" s="1722"/>
      <c r="U10" s="1722"/>
      <c r="V10" s="1722"/>
      <c r="W10" s="1722"/>
      <c r="X10" s="1722"/>
      <c r="Y10" s="1722"/>
      <c r="Z10" s="1722"/>
      <c r="AA10" s="1719"/>
      <c r="AB10" s="1720"/>
    </row>
    <row r="11" spans="1:31" ht="15" customHeight="1" x14ac:dyDescent="0.25">
      <c r="B11" s="2197" t="s">
        <v>1428</v>
      </c>
      <c r="C11" s="1721">
        <v>50</v>
      </c>
      <c r="D11" s="1722"/>
      <c r="E11" s="1722"/>
      <c r="F11" s="1722"/>
      <c r="G11" s="1722"/>
      <c r="H11" s="1722"/>
      <c r="I11" s="1722"/>
      <c r="J11" s="1722"/>
      <c r="K11" s="1722"/>
      <c r="L11" s="1722"/>
      <c r="M11" s="1722"/>
      <c r="N11" s="1722"/>
      <c r="O11" s="1722"/>
      <c r="P11" s="1722"/>
      <c r="Q11" s="1722"/>
      <c r="R11" s="1722"/>
      <c r="S11" s="1722"/>
      <c r="T11" s="1722"/>
      <c r="U11" s="1722"/>
      <c r="V11" s="1722"/>
      <c r="W11" s="1722"/>
      <c r="X11" s="1722"/>
      <c r="Y11" s="1722"/>
      <c r="Z11" s="1722"/>
      <c r="AA11" s="1719"/>
      <c r="AB11" s="1720"/>
    </row>
    <row r="12" spans="1:31" ht="15" customHeight="1" x14ac:dyDescent="0.25">
      <c r="B12" s="2197" t="s">
        <v>1429</v>
      </c>
      <c r="C12" s="1721">
        <v>50</v>
      </c>
      <c r="D12" s="1722"/>
      <c r="E12" s="1722"/>
      <c r="F12" s="1722"/>
      <c r="G12" s="1722"/>
      <c r="H12" s="1722"/>
      <c r="I12" s="1722"/>
      <c r="J12" s="1722"/>
      <c r="K12" s="1722"/>
      <c r="L12" s="1722"/>
      <c r="M12" s="1722"/>
      <c r="N12" s="1722"/>
      <c r="O12" s="1722"/>
      <c r="P12" s="1722"/>
      <c r="Q12" s="1722"/>
      <c r="R12" s="1722"/>
      <c r="S12" s="1722"/>
      <c r="T12" s="1722"/>
      <c r="U12" s="1722"/>
      <c r="V12" s="1722"/>
      <c r="W12" s="1722"/>
      <c r="X12" s="1722"/>
      <c r="Y12" s="1722"/>
      <c r="Z12" s="1722"/>
      <c r="AA12" s="1719"/>
      <c r="AB12" s="1720"/>
    </row>
    <row r="13" spans="1:31" ht="15" customHeight="1" x14ac:dyDescent="0.25">
      <c r="B13" s="2197" t="s">
        <v>1430</v>
      </c>
      <c r="C13" s="1721">
        <v>50</v>
      </c>
      <c r="D13" s="1722"/>
      <c r="E13" s="1722"/>
      <c r="F13" s="1722"/>
      <c r="G13" s="1722"/>
      <c r="H13" s="1722"/>
      <c r="I13" s="1722"/>
      <c r="J13" s="1722"/>
      <c r="K13" s="1722"/>
      <c r="L13" s="1722"/>
      <c r="M13" s="1722"/>
      <c r="N13" s="1722"/>
      <c r="O13" s="1722"/>
      <c r="P13" s="1722"/>
      <c r="Q13" s="1722"/>
      <c r="R13" s="1722"/>
      <c r="S13" s="1722"/>
      <c r="T13" s="1722"/>
      <c r="U13" s="1722"/>
      <c r="V13" s="1722"/>
      <c r="W13" s="1722"/>
      <c r="X13" s="1722"/>
      <c r="Y13" s="1722"/>
      <c r="Z13" s="1722"/>
      <c r="AA13" s="1719"/>
      <c r="AB13" s="1720"/>
    </row>
    <row r="14" spans="1:31" ht="15" customHeight="1" x14ac:dyDescent="0.25">
      <c r="B14" s="2197" t="s">
        <v>1431</v>
      </c>
      <c r="C14" s="1721">
        <v>52</v>
      </c>
      <c r="D14" s="1722"/>
      <c r="E14" s="1722"/>
      <c r="F14" s="1722"/>
      <c r="G14" s="1722"/>
      <c r="H14" s="1722"/>
      <c r="I14" s="1722"/>
      <c r="J14" s="1722"/>
      <c r="K14" s="1722"/>
      <c r="L14" s="1722"/>
      <c r="M14" s="1722"/>
      <c r="N14" s="1722"/>
      <c r="O14" s="1722"/>
      <c r="P14" s="1722"/>
      <c r="Q14" s="1722"/>
      <c r="R14" s="1722"/>
      <c r="S14" s="1722"/>
      <c r="T14" s="1722"/>
      <c r="U14" s="1722"/>
      <c r="V14" s="1722"/>
      <c r="W14" s="1722"/>
      <c r="X14" s="1722"/>
      <c r="Y14" s="1722"/>
      <c r="Z14" s="1722"/>
      <c r="AA14" s="1719"/>
      <c r="AB14" s="1720"/>
    </row>
    <row r="15" spans="1:31" ht="15" customHeight="1" x14ac:dyDescent="0.25">
      <c r="B15" s="2198" t="s">
        <v>1432</v>
      </c>
      <c r="C15" s="1723">
        <v>52</v>
      </c>
      <c r="D15" s="1722"/>
      <c r="E15" s="1722"/>
      <c r="F15" s="1722"/>
      <c r="G15" s="1722"/>
      <c r="H15" s="1722"/>
      <c r="I15" s="1722"/>
      <c r="J15" s="1722"/>
      <c r="K15" s="1722"/>
      <c r="L15" s="1722"/>
      <c r="M15" s="1722"/>
      <c r="N15" s="1722"/>
      <c r="O15" s="1722"/>
      <c r="P15" s="1722"/>
      <c r="Q15" s="1722"/>
      <c r="R15" s="1722"/>
      <c r="S15" s="1722"/>
      <c r="T15" s="1722"/>
      <c r="U15" s="1722"/>
      <c r="V15" s="1722"/>
      <c r="W15" s="1722"/>
      <c r="X15" s="1722"/>
      <c r="Y15" s="1722"/>
      <c r="Z15" s="1722"/>
      <c r="AA15" s="1719"/>
      <c r="AB15" s="1720"/>
    </row>
    <row r="16" spans="1:31" ht="21" customHeight="1" x14ac:dyDescent="0.25">
      <c r="B16" s="1786" t="s">
        <v>2016</v>
      </c>
      <c r="C16" s="1724">
        <f>SUM(C8:C15)</f>
        <v>365</v>
      </c>
      <c r="D16" s="1722"/>
      <c r="E16" s="1722"/>
      <c r="F16" s="1722"/>
      <c r="G16" s="1722"/>
      <c r="H16" s="1722"/>
      <c r="I16" s="1722"/>
      <c r="J16" s="1722"/>
      <c r="K16" s="1722"/>
      <c r="L16" s="1722"/>
      <c r="M16" s="1722"/>
      <c r="N16" s="1722"/>
      <c r="O16" s="1722"/>
      <c r="P16" s="1722"/>
      <c r="Q16" s="1722"/>
      <c r="R16" s="1722"/>
      <c r="S16" s="1722"/>
      <c r="T16" s="1722"/>
      <c r="U16" s="1722"/>
      <c r="V16" s="1722"/>
      <c r="W16" s="1722"/>
      <c r="X16" s="1722"/>
      <c r="Y16" s="1722"/>
      <c r="Z16" s="1722"/>
      <c r="AA16" s="1719"/>
      <c r="AB16" s="1720"/>
    </row>
    <row r="17" spans="2:32" x14ac:dyDescent="0.25">
      <c r="B17" s="1722"/>
      <c r="C17" s="1725"/>
      <c r="D17" s="1722"/>
      <c r="E17" s="1722"/>
      <c r="F17" s="1722"/>
      <c r="G17" s="1722"/>
      <c r="H17" s="1722"/>
      <c r="I17" s="1722"/>
      <c r="J17" s="1722"/>
      <c r="K17" s="1722"/>
      <c r="L17" s="1722"/>
      <c r="M17" s="1722"/>
      <c r="N17" s="1722"/>
      <c r="O17" s="1722"/>
      <c r="P17" s="1722"/>
      <c r="Q17" s="1722"/>
      <c r="R17" s="1722"/>
      <c r="S17" s="1722"/>
      <c r="T17" s="1722"/>
      <c r="U17" s="1722"/>
      <c r="V17" s="1722"/>
      <c r="W17" s="1722"/>
      <c r="X17" s="1722"/>
      <c r="Y17" s="1722"/>
      <c r="Z17" s="1722"/>
      <c r="AA17" s="1719"/>
      <c r="AB17" s="1720"/>
    </row>
    <row r="18" spans="2:32" ht="15.75" x14ac:dyDescent="0.25">
      <c r="B18" s="1727" t="s">
        <v>2010</v>
      </c>
      <c r="C18" s="1725"/>
      <c r="D18" s="1722"/>
      <c r="E18" s="1722"/>
      <c r="F18" s="1722"/>
      <c r="G18" s="1722"/>
      <c r="H18" s="1722"/>
      <c r="I18" s="1722"/>
      <c r="J18" s="1722"/>
      <c r="K18" s="1722"/>
      <c r="L18" s="1722"/>
      <c r="M18" s="1722"/>
      <c r="N18" s="1722"/>
      <c r="O18" s="1722"/>
      <c r="P18" s="1722"/>
      <c r="Q18" s="1722"/>
      <c r="R18" s="1722"/>
      <c r="S18" s="1722"/>
      <c r="T18" s="1722"/>
      <c r="U18" s="1722"/>
      <c r="V18" s="1722"/>
      <c r="W18" s="1722"/>
      <c r="X18" s="1722"/>
      <c r="Y18" s="1722"/>
      <c r="Z18" s="1722"/>
      <c r="AA18" s="1719"/>
      <c r="AB18" s="1720"/>
    </row>
    <row r="19" spans="2:32" x14ac:dyDescent="0.25">
      <c r="B19" s="1715" t="s">
        <v>1433</v>
      </c>
      <c r="C19" s="1715"/>
      <c r="D19" s="1715"/>
      <c r="E19" s="1715"/>
      <c r="F19" s="1715"/>
      <c r="G19" s="1715"/>
      <c r="H19" s="1715"/>
      <c r="I19" s="1715"/>
      <c r="J19" s="1715"/>
      <c r="K19" s="1715"/>
      <c r="L19" s="1715"/>
      <c r="M19" s="1715"/>
      <c r="N19" s="1715"/>
      <c r="O19" s="1715"/>
      <c r="P19" s="1715"/>
      <c r="Q19" s="1715"/>
      <c r="R19" s="1715"/>
      <c r="S19" s="1715"/>
      <c r="T19" s="1715"/>
      <c r="U19" s="1715"/>
      <c r="V19" s="1715"/>
      <c r="W19" s="1715"/>
      <c r="X19" s="1715"/>
      <c r="Y19" s="1715"/>
      <c r="Z19" s="1715"/>
      <c r="AA19" s="1715"/>
      <c r="AB19" s="1715"/>
    </row>
    <row r="20" spans="2:32" x14ac:dyDescent="0.25">
      <c r="B20" s="1715"/>
      <c r="C20" s="1715"/>
      <c r="D20" s="1715"/>
      <c r="E20" s="1715"/>
      <c r="F20" s="1715"/>
      <c r="G20" s="1715"/>
      <c r="H20" s="1715"/>
      <c r="I20" s="1715"/>
      <c r="J20" s="1715"/>
      <c r="K20" s="1715"/>
      <c r="L20" s="1715"/>
      <c r="M20" s="1715"/>
      <c r="N20" s="1715"/>
      <c r="O20" s="1715"/>
      <c r="P20" s="1715"/>
      <c r="Q20" s="1715"/>
      <c r="R20" s="1715"/>
      <c r="S20" s="1715"/>
      <c r="T20" s="1715"/>
      <c r="U20" s="1715"/>
      <c r="V20" s="1715"/>
      <c r="W20" s="1715"/>
      <c r="X20" s="1715"/>
      <c r="Y20" s="1715"/>
      <c r="Z20" s="1715"/>
      <c r="AA20" s="1715"/>
      <c r="AB20" s="1715"/>
    </row>
    <row r="21" spans="2:32" ht="15" customHeight="1" x14ac:dyDescent="0.25">
      <c r="B21" s="1715" t="s">
        <v>1434</v>
      </c>
      <c r="C21" s="2443"/>
      <c r="D21" s="2490"/>
      <c r="E21" s="2490"/>
      <c r="F21" s="2490"/>
      <c r="G21" s="2490"/>
      <c r="H21" s="2490"/>
      <c r="I21" s="2490"/>
      <c r="J21" s="2490"/>
      <c r="K21" s="2490"/>
      <c r="L21" s="2490"/>
      <c r="M21" s="2490"/>
      <c r="N21" s="2490"/>
      <c r="O21" s="2444"/>
      <c r="P21" s="1728"/>
      <c r="Q21" s="1729"/>
      <c r="R21" s="1729"/>
      <c r="S21" s="1729"/>
      <c r="T21" s="1729"/>
      <c r="U21" s="1729"/>
      <c r="V21" s="1729"/>
      <c r="W21" s="1729"/>
      <c r="X21" s="1729"/>
      <c r="Y21" s="1729"/>
      <c r="Z21" s="1729"/>
      <c r="AA21" s="1729"/>
      <c r="AB21" s="1729"/>
    </row>
    <row r="22" spans="2:32" x14ac:dyDescent="0.25">
      <c r="B22" s="1715"/>
      <c r="C22" s="1715"/>
      <c r="D22" s="1715"/>
      <c r="E22" s="1715"/>
      <c r="F22" s="1715"/>
      <c r="G22" s="1715"/>
      <c r="H22" s="1715"/>
      <c r="I22" s="1715"/>
      <c r="J22" s="1715"/>
      <c r="K22" s="1715"/>
      <c r="L22" s="1715"/>
      <c r="M22" s="1715"/>
      <c r="N22" s="1715"/>
      <c r="O22" s="1715"/>
      <c r="P22" s="1715"/>
      <c r="Q22" s="1715"/>
      <c r="R22" s="1715"/>
      <c r="S22" s="1715"/>
      <c r="T22" s="1715"/>
      <c r="U22" s="1715"/>
      <c r="V22" s="1715"/>
      <c r="W22" s="1715"/>
      <c r="X22" s="1715"/>
      <c r="Y22" s="1715"/>
      <c r="Z22" s="1715"/>
      <c r="AA22" s="1715"/>
      <c r="AB22" s="1715"/>
    </row>
    <row r="23" spans="2:32" s="1748" customFormat="1" ht="21" customHeight="1" x14ac:dyDescent="0.25">
      <c r="B23" s="1747"/>
      <c r="C23" s="1746" t="s">
        <v>1435</v>
      </c>
      <c r="D23" s="1747" t="s">
        <v>1436</v>
      </c>
      <c r="E23" s="1747" t="s">
        <v>1437</v>
      </c>
      <c r="F23" s="1747" t="s">
        <v>1438</v>
      </c>
      <c r="G23" s="1747" t="s">
        <v>1439</v>
      </c>
      <c r="H23" s="1747" t="s">
        <v>1440</v>
      </c>
      <c r="I23" s="1747" t="s">
        <v>1441</v>
      </c>
      <c r="J23" s="1747" t="s">
        <v>1442</v>
      </c>
      <c r="K23" s="1747" t="s">
        <v>1443</v>
      </c>
      <c r="L23" s="1747" t="s">
        <v>1444</v>
      </c>
      <c r="M23" s="1747" t="s">
        <v>1445</v>
      </c>
      <c r="N23" s="1747" t="s">
        <v>1446</v>
      </c>
      <c r="O23" s="1747" t="s">
        <v>1447</v>
      </c>
      <c r="P23" s="1747" t="s">
        <v>1448</v>
      </c>
      <c r="Q23" s="1747" t="s">
        <v>1449</v>
      </c>
      <c r="R23" s="1747" t="s">
        <v>1450</v>
      </c>
      <c r="S23" s="1747" t="s">
        <v>1451</v>
      </c>
      <c r="T23" s="1747" t="s">
        <v>1452</v>
      </c>
      <c r="U23" s="1747" t="s">
        <v>1453</v>
      </c>
      <c r="V23" s="1747" t="s">
        <v>1454</v>
      </c>
      <c r="W23" s="1747" t="s">
        <v>1455</v>
      </c>
      <c r="X23" s="1747" t="s">
        <v>1456</v>
      </c>
      <c r="Y23" s="1747" t="s">
        <v>1457</v>
      </c>
      <c r="Z23" s="1747" t="s">
        <v>1458</v>
      </c>
      <c r="AA23" s="1747" t="s">
        <v>1459</v>
      </c>
      <c r="AB23" s="1747" t="s">
        <v>1460</v>
      </c>
    </row>
    <row r="24" spans="2:32" ht="15" customHeight="1" x14ac:dyDescent="0.25">
      <c r="B24" s="1787" t="s">
        <v>1461</v>
      </c>
      <c r="C24" s="1751"/>
      <c r="D24" s="1751"/>
      <c r="E24" s="1751"/>
      <c r="F24" s="1751"/>
      <c r="G24" s="1751"/>
      <c r="H24" s="1751"/>
      <c r="I24" s="1751"/>
      <c r="J24" s="1751"/>
      <c r="K24" s="1751"/>
      <c r="L24" s="1751"/>
      <c r="M24" s="1751"/>
      <c r="N24" s="1751"/>
      <c r="O24" s="1751"/>
      <c r="P24" s="1751"/>
      <c r="Q24" s="1751"/>
      <c r="R24" s="1751"/>
      <c r="S24" s="1751"/>
      <c r="T24" s="1751"/>
      <c r="U24" s="1751"/>
      <c r="V24" s="1751"/>
      <c r="W24" s="1751"/>
      <c r="X24" s="1751"/>
      <c r="Y24" s="1751"/>
      <c r="Z24" s="1751"/>
      <c r="AA24" s="1752">
        <f>SUM(C24:Z24)</f>
        <v>0</v>
      </c>
      <c r="AB24" s="1753">
        <f>AA24*SUM($C$9:$C$13)</f>
        <v>0</v>
      </c>
      <c r="AE24" s="2276"/>
    </row>
    <row r="25" spans="2:32" ht="15" customHeight="1" x14ac:dyDescent="0.25">
      <c r="B25" s="1788" t="s">
        <v>1462</v>
      </c>
      <c r="C25" s="1755"/>
      <c r="D25" s="1755"/>
      <c r="E25" s="1755"/>
      <c r="F25" s="1755"/>
      <c r="G25" s="1755"/>
      <c r="H25" s="1755"/>
      <c r="I25" s="1755"/>
      <c r="J25" s="1755"/>
      <c r="K25" s="1755"/>
      <c r="L25" s="1755"/>
      <c r="M25" s="1755"/>
      <c r="N25" s="1755"/>
      <c r="O25" s="1755"/>
      <c r="P25" s="1755"/>
      <c r="Q25" s="1755"/>
      <c r="R25" s="1755"/>
      <c r="S25" s="1755"/>
      <c r="T25" s="1755"/>
      <c r="U25" s="1755"/>
      <c r="V25" s="1755"/>
      <c r="W25" s="1755"/>
      <c r="X25" s="1755"/>
      <c r="Y25" s="1755"/>
      <c r="Z25" s="1755"/>
      <c r="AA25" s="1756">
        <f>SUM(C25:Z25)</f>
        <v>0</v>
      </c>
      <c r="AB25" s="1757">
        <f>AA25*SUM($C$14:$C$15)</f>
        <v>0</v>
      </c>
      <c r="AE25" s="2276"/>
    </row>
    <row r="26" spans="2:32" ht="15" customHeight="1" x14ac:dyDescent="0.25">
      <c r="B26" s="1789" t="s">
        <v>1463</v>
      </c>
      <c r="C26" s="1759"/>
      <c r="D26" s="1759"/>
      <c r="E26" s="1759"/>
      <c r="F26" s="1759"/>
      <c r="G26" s="1759"/>
      <c r="H26" s="1759"/>
      <c r="I26" s="1759"/>
      <c r="J26" s="1759"/>
      <c r="K26" s="1759"/>
      <c r="L26" s="1759"/>
      <c r="M26" s="1759"/>
      <c r="N26" s="1759"/>
      <c r="O26" s="1759"/>
      <c r="P26" s="1759"/>
      <c r="Q26" s="1759"/>
      <c r="R26" s="1759"/>
      <c r="S26" s="1759"/>
      <c r="T26" s="1759"/>
      <c r="U26" s="1759"/>
      <c r="V26" s="1759"/>
      <c r="W26" s="1759"/>
      <c r="X26" s="1759"/>
      <c r="Y26" s="1759"/>
      <c r="Z26" s="1759"/>
      <c r="AA26" s="1760">
        <f>SUM(C26:Z26)</f>
        <v>0</v>
      </c>
      <c r="AB26" s="1761">
        <f>AA26*$C$8</f>
        <v>0</v>
      </c>
      <c r="AE26" s="2276"/>
    </row>
    <row r="27" spans="2:32" ht="21" customHeight="1" x14ac:dyDescent="0.25">
      <c r="B27" s="2491" t="s">
        <v>1464</v>
      </c>
      <c r="C27" s="2492"/>
      <c r="D27" s="2492"/>
      <c r="E27" s="2492"/>
      <c r="F27" s="2492"/>
      <c r="G27" s="2492"/>
      <c r="H27" s="2492"/>
      <c r="I27" s="2492"/>
      <c r="J27" s="2492"/>
      <c r="K27" s="2492"/>
      <c r="L27" s="2492"/>
      <c r="M27" s="2492"/>
      <c r="N27" s="2492"/>
      <c r="O27" s="2492"/>
      <c r="P27" s="2492"/>
      <c r="Q27" s="2492"/>
      <c r="R27" s="2492"/>
      <c r="S27" s="2492"/>
      <c r="T27" s="2492"/>
      <c r="U27" s="2492"/>
      <c r="V27" s="2492"/>
      <c r="W27" s="2492"/>
      <c r="X27" s="2492"/>
      <c r="Y27" s="2492"/>
      <c r="Z27" s="2492"/>
      <c r="AA27" s="2492"/>
      <c r="AB27" s="1749">
        <f>SUM(AB24:AB26)</f>
        <v>0</v>
      </c>
      <c r="AE27" s="2276"/>
    </row>
    <row r="28" spans="2:32" x14ac:dyDescent="0.25">
      <c r="B28" s="1715"/>
      <c r="C28" s="1715"/>
      <c r="D28" s="1715"/>
      <c r="E28" s="1715"/>
      <c r="F28" s="1715"/>
      <c r="G28" s="1715"/>
      <c r="H28" s="1715"/>
      <c r="I28" s="1715"/>
      <c r="J28" s="1715"/>
      <c r="K28" s="1715"/>
      <c r="L28" s="1715"/>
      <c r="M28" s="1715"/>
      <c r="N28" s="1715"/>
      <c r="O28" s="1715"/>
      <c r="P28" s="1715"/>
      <c r="Q28" s="1715"/>
      <c r="R28" s="1715"/>
      <c r="S28" s="1715"/>
      <c r="T28" s="1715"/>
      <c r="U28" s="1715"/>
      <c r="V28" s="1715"/>
      <c r="W28" s="1715"/>
      <c r="X28" s="1715"/>
      <c r="Y28" s="1715"/>
      <c r="Z28" s="1715"/>
      <c r="AA28" s="1715"/>
      <c r="AB28" s="1715"/>
    </row>
    <row r="29" spans="2:32" ht="32.25" customHeight="1" x14ac:dyDescent="0.25">
      <c r="B29" s="1715"/>
      <c r="C29" s="1715"/>
      <c r="D29" s="1715"/>
      <c r="E29" s="1715"/>
      <c r="F29" s="1715"/>
      <c r="G29" s="1715"/>
      <c r="H29" s="1715"/>
      <c r="I29" s="1715"/>
      <c r="J29" s="1715"/>
      <c r="K29" s="1715"/>
      <c r="L29" s="1715"/>
      <c r="M29" s="1715"/>
      <c r="N29" s="1715"/>
      <c r="O29" s="1715"/>
      <c r="P29" s="1715"/>
      <c r="Q29" s="1715"/>
      <c r="R29" s="1715"/>
      <c r="S29" s="1715"/>
      <c r="T29" s="1715"/>
      <c r="U29" s="1715"/>
      <c r="V29" s="1715"/>
      <c r="W29" s="1715"/>
      <c r="X29" s="1715"/>
      <c r="Y29" s="1715"/>
      <c r="Z29" s="1715"/>
      <c r="AA29" s="1715"/>
      <c r="AB29" s="1715"/>
      <c r="AF29" s="1102"/>
    </row>
    <row r="30" spans="2:32" x14ac:dyDescent="0.25">
      <c r="B30" s="1715"/>
      <c r="C30" s="1715"/>
      <c r="D30" s="1715"/>
      <c r="E30" s="1715"/>
      <c r="F30" s="1715"/>
      <c r="G30" s="1715"/>
      <c r="H30" s="1715"/>
      <c r="I30" s="1715"/>
      <c r="J30" s="1715"/>
      <c r="K30" s="1715"/>
      <c r="L30" s="1715"/>
      <c r="M30" s="1715"/>
      <c r="N30" s="1715"/>
      <c r="O30" s="1715"/>
      <c r="P30" s="1715"/>
      <c r="Q30" s="1715"/>
      <c r="R30" s="1715"/>
      <c r="S30" s="1715"/>
      <c r="T30" s="1715"/>
      <c r="U30" s="1715"/>
      <c r="V30" s="1715"/>
      <c r="W30" s="1715"/>
      <c r="X30" s="1715"/>
      <c r="Y30" s="1715"/>
      <c r="Z30" s="1715"/>
      <c r="AA30" s="1715"/>
      <c r="AB30" s="1715"/>
      <c r="AF30" s="1102"/>
    </row>
    <row r="31" spans="2:32" x14ac:dyDescent="0.25">
      <c r="B31" s="1715"/>
      <c r="C31" s="1715"/>
      <c r="D31" s="1715"/>
      <c r="E31" s="1715"/>
      <c r="F31" s="1715"/>
      <c r="G31" s="1715"/>
      <c r="H31" s="1715"/>
      <c r="I31" s="1715"/>
      <c r="J31" s="1715"/>
      <c r="K31" s="1715"/>
      <c r="L31" s="1715"/>
      <c r="M31" s="1715"/>
      <c r="N31" s="1715"/>
      <c r="O31" s="1715"/>
      <c r="P31" s="1715"/>
      <c r="Q31" s="1715"/>
      <c r="R31" s="1715"/>
      <c r="S31" s="1715"/>
      <c r="T31" s="1715"/>
      <c r="U31" s="1715"/>
      <c r="V31" s="1715"/>
      <c r="W31" s="1715"/>
      <c r="X31" s="1715"/>
      <c r="Y31" s="1715"/>
      <c r="Z31" s="1715"/>
      <c r="AA31" s="1715"/>
      <c r="AB31" s="1715"/>
    </row>
    <row r="32" spans="2:32" ht="15" customHeight="1" x14ac:dyDescent="0.25">
      <c r="B32" s="1715" t="s">
        <v>1434</v>
      </c>
      <c r="C32" s="2443"/>
      <c r="D32" s="2490"/>
      <c r="E32" s="2490"/>
      <c r="F32" s="2490"/>
      <c r="G32" s="2490"/>
      <c r="H32" s="2490"/>
      <c r="I32" s="2490"/>
      <c r="J32" s="2490"/>
      <c r="K32" s="2490"/>
      <c r="L32" s="2490"/>
      <c r="M32" s="2490"/>
      <c r="N32" s="2490"/>
      <c r="O32" s="2444"/>
      <c r="P32" s="1728"/>
      <c r="Q32" s="1729"/>
      <c r="R32" s="1729"/>
      <c r="S32" s="1729"/>
      <c r="T32" s="1729"/>
      <c r="U32" s="1729"/>
      <c r="V32" s="1729"/>
      <c r="W32" s="1729"/>
      <c r="X32" s="1729"/>
      <c r="Y32" s="1729"/>
      <c r="Z32" s="1729"/>
      <c r="AA32" s="1729"/>
      <c r="AB32" s="1729"/>
    </row>
    <row r="33" spans="2:31" x14ac:dyDescent="0.25">
      <c r="B33" s="1715"/>
      <c r="C33" s="1715"/>
      <c r="D33" s="1715"/>
      <c r="E33" s="1715"/>
      <c r="F33" s="1715"/>
      <c r="G33" s="1715"/>
      <c r="H33" s="1715"/>
      <c r="I33" s="1715"/>
      <c r="J33" s="1715"/>
      <c r="K33" s="1715"/>
      <c r="L33" s="1715"/>
      <c r="M33" s="1715"/>
      <c r="N33" s="1715"/>
      <c r="O33" s="1715"/>
      <c r="P33" s="1715"/>
      <c r="Q33" s="1715"/>
      <c r="R33" s="1715"/>
      <c r="S33" s="1715"/>
      <c r="T33" s="1715"/>
      <c r="U33" s="1715"/>
      <c r="V33" s="1715"/>
      <c r="W33" s="1715"/>
      <c r="X33" s="1715"/>
      <c r="Y33" s="1715"/>
      <c r="Z33" s="1715"/>
      <c r="AA33" s="1715"/>
      <c r="AB33" s="1715"/>
    </row>
    <row r="34" spans="2:31" s="1748" customFormat="1" ht="21" customHeight="1" x14ac:dyDescent="0.25">
      <c r="B34" s="1747"/>
      <c r="C34" s="1746" t="s">
        <v>1435</v>
      </c>
      <c r="D34" s="1747" t="s">
        <v>1436</v>
      </c>
      <c r="E34" s="1747" t="s">
        <v>1437</v>
      </c>
      <c r="F34" s="1747" t="s">
        <v>1438</v>
      </c>
      <c r="G34" s="1747" t="s">
        <v>1439</v>
      </c>
      <c r="H34" s="1747" t="s">
        <v>1440</v>
      </c>
      <c r="I34" s="1747" t="s">
        <v>1441</v>
      </c>
      <c r="J34" s="1747" t="s">
        <v>1442</v>
      </c>
      <c r="K34" s="1747" t="s">
        <v>1443</v>
      </c>
      <c r="L34" s="1747" t="s">
        <v>1444</v>
      </c>
      <c r="M34" s="1747" t="s">
        <v>1445</v>
      </c>
      <c r="N34" s="1747" t="s">
        <v>1446</v>
      </c>
      <c r="O34" s="1747" t="s">
        <v>1447</v>
      </c>
      <c r="P34" s="1747" t="s">
        <v>1448</v>
      </c>
      <c r="Q34" s="1747" t="s">
        <v>1449</v>
      </c>
      <c r="R34" s="1747" t="s">
        <v>1450</v>
      </c>
      <c r="S34" s="1747" t="s">
        <v>1451</v>
      </c>
      <c r="T34" s="1747" t="s">
        <v>1452</v>
      </c>
      <c r="U34" s="1747" t="s">
        <v>1453</v>
      </c>
      <c r="V34" s="1747" t="s">
        <v>1454</v>
      </c>
      <c r="W34" s="1747" t="s">
        <v>1455</v>
      </c>
      <c r="X34" s="1747" t="s">
        <v>1456</v>
      </c>
      <c r="Y34" s="1747" t="s">
        <v>1457</v>
      </c>
      <c r="Z34" s="1747" t="s">
        <v>1458</v>
      </c>
      <c r="AA34" s="1747" t="s">
        <v>1459</v>
      </c>
      <c r="AB34" s="1747" t="s">
        <v>1460</v>
      </c>
    </row>
    <row r="35" spans="2:31" ht="15" customHeight="1" x14ac:dyDescent="0.25">
      <c r="B35" s="1787" t="s">
        <v>1463</v>
      </c>
      <c r="C35" s="1762"/>
      <c r="D35" s="1762"/>
      <c r="E35" s="1762"/>
      <c r="F35" s="1762"/>
      <c r="G35" s="1762"/>
      <c r="H35" s="1762"/>
      <c r="I35" s="1762"/>
      <c r="J35" s="1762"/>
      <c r="K35" s="1762"/>
      <c r="L35" s="1762"/>
      <c r="M35" s="1762"/>
      <c r="N35" s="1762"/>
      <c r="O35" s="1762"/>
      <c r="P35" s="1762"/>
      <c r="Q35" s="1762"/>
      <c r="R35" s="1762"/>
      <c r="S35" s="1762"/>
      <c r="T35" s="1762"/>
      <c r="U35" s="1762"/>
      <c r="V35" s="1762"/>
      <c r="W35" s="1762"/>
      <c r="X35" s="1762"/>
      <c r="Y35" s="1762"/>
      <c r="Z35" s="1762"/>
      <c r="AA35" s="1752">
        <f t="shared" ref="AA35:AA42" si="0">SUM(C35:Z35)</f>
        <v>0</v>
      </c>
      <c r="AB35" s="1753">
        <f>AA35*$C$8</f>
        <v>0</v>
      </c>
      <c r="AE35" s="2276"/>
    </row>
    <row r="36" spans="2:31" ht="15" customHeight="1" x14ac:dyDescent="0.25">
      <c r="B36" s="1788" t="s">
        <v>1426</v>
      </c>
      <c r="C36" s="1763"/>
      <c r="D36" s="1763"/>
      <c r="E36" s="1763"/>
      <c r="F36" s="1763"/>
      <c r="G36" s="1763"/>
      <c r="H36" s="1763"/>
      <c r="I36" s="1763"/>
      <c r="J36" s="1763"/>
      <c r="K36" s="1763"/>
      <c r="L36" s="1763"/>
      <c r="M36" s="1763"/>
      <c r="N36" s="1763"/>
      <c r="O36" s="1763"/>
      <c r="P36" s="1763"/>
      <c r="Q36" s="1763"/>
      <c r="R36" s="1763"/>
      <c r="S36" s="1763"/>
      <c r="T36" s="1763"/>
      <c r="U36" s="1763"/>
      <c r="V36" s="1763"/>
      <c r="W36" s="1763"/>
      <c r="X36" s="1763"/>
      <c r="Y36" s="1763"/>
      <c r="Z36" s="1763"/>
      <c r="AA36" s="1756">
        <f t="shared" si="0"/>
        <v>0</v>
      </c>
      <c r="AB36" s="1757">
        <f>AA36*$C$9</f>
        <v>0</v>
      </c>
      <c r="AE36" s="2276"/>
    </row>
    <row r="37" spans="2:31" ht="15" customHeight="1" x14ac:dyDescent="0.25">
      <c r="B37" s="1788" t="s">
        <v>1427</v>
      </c>
      <c r="C37" s="1763"/>
      <c r="D37" s="1763"/>
      <c r="E37" s="1763"/>
      <c r="F37" s="1763"/>
      <c r="G37" s="1763"/>
      <c r="H37" s="1763"/>
      <c r="I37" s="1763"/>
      <c r="J37" s="1763"/>
      <c r="K37" s="1763"/>
      <c r="L37" s="1763"/>
      <c r="M37" s="1763"/>
      <c r="N37" s="1763"/>
      <c r="O37" s="1763"/>
      <c r="P37" s="1763"/>
      <c r="Q37" s="1763"/>
      <c r="R37" s="1763"/>
      <c r="S37" s="1763"/>
      <c r="T37" s="1763"/>
      <c r="U37" s="1763"/>
      <c r="V37" s="1763"/>
      <c r="W37" s="1763"/>
      <c r="X37" s="1763"/>
      <c r="Y37" s="1763"/>
      <c r="Z37" s="1763"/>
      <c r="AA37" s="1756">
        <f t="shared" si="0"/>
        <v>0</v>
      </c>
      <c r="AB37" s="1757">
        <f>AA37*$C$10</f>
        <v>0</v>
      </c>
      <c r="AE37" s="2276"/>
    </row>
    <row r="38" spans="2:31" ht="15" customHeight="1" x14ac:dyDescent="0.25">
      <c r="B38" s="1788" t="s">
        <v>1428</v>
      </c>
      <c r="C38" s="1763"/>
      <c r="D38" s="1763"/>
      <c r="E38" s="1763"/>
      <c r="F38" s="1763"/>
      <c r="G38" s="1763"/>
      <c r="H38" s="1763"/>
      <c r="I38" s="1763"/>
      <c r="J38" s="1763"/>
      <c r="K38" s="1763"/>
      <c r="L38" s="1763"/>
      <c r="M38" s="1763"/>
      <c r="N38" s="1763"/>
      <c r="O38" s="1763"/>
      <c r="P38" s="1763"/>
      <c r="Q38" s="1763"/>
      <c r="R38" s="1763"/>
      <c r="S38" s="1763"/>
      <c r="T38" s="1763"/>
      <c r="U38" s="1763"/>
      <c r="V38" s="1763"/>
      <c r="W38" s="1763"/>
      <c r="X38" s="1763"/>
      <c r="Y38" s="1763"/>
      <c r="Z38" s="1763"/>
      <c r="AA38" s="1756">
        <f t="shared" si="0"/>
        <v>0</v>
      </c>
      <c r="AB38" s="1757">
        <f>AA38*$C$11</f>
        <v>0</v>
      </c>
      <c r="AE38" s="2276"/>
    </row>
    <row r="39" spans="2:31" ht="15" customHeight="1" x14ac:dyDescent="0.25">
      <c r="B39" s="1788" t="s">
        <v>1429</v>
      </c>
      <c r="C39" s="1763"/>
      <c r="D39" s="1763"/>
      <c r="E39" s="1763"/>
      <c r="F39" s="1763"/>
      <c r="G39" s="1763"/>
      <c r="H39" s="1763"/>
      <c r="I39" s="1763"/>
      <c r="J39" s="1763"/>
      <c r="K39" s="1763"/>
      <c r="L39" s="1763"/>
      <c r="M39" s="1763"/>
      <c r="N39" s="1763"/>
      <c r="O39" s="1763"/>
      <c r="P39" s="1763"/>
      <c r="Q39" s="1763"/>
      <c r="R39" s="1763"/>
      <c r="S39" s="1763"/>
      <c r="T39" s="1763"/>
      <c r="U39" s="1763"/>
      <c r="V39" s="1763"/>
      <c r="W39" s="1763"/>
      <c r="X39" s="1763"/>
      <c r="Y39" s="1763"/>
      <c r="Z39" s="1763"/>
      <c r="AA39" s="1756">
        <f t="shared" si="0"/>
        <v>0</v>
      </c>
      <c r="AB39" s="1757">
        <f>AA39*$C$12</f>
        <v>0</v>
      </c>
      <c r="AE39" s="2276"/>
    </row>
    <row r="40" spans="2:31" ht="15" customHeight="1" x14ac:dyDescent="0.25">
      <c r="B40" s="1788" t="s">
        <v>1430</v>
      </c>
      <c r="C40" s="1763"/>
      <c r="D40" s="1763"/>
      <c r="E40" s="1763"/>
      <c r="F40" s="1763"/>
      <c r="G40" s="1763"/>
      <c r="H40" s="1763"/>
      <c r="I40" s="1763"/>
      <c r="J40" s="1763"/>
      <c r="K40" s="1763"/>
      <c r="L40" s="1763"/>
      <c r="M40" s="1763"/>
      <c r="N40" s="1763"/>
      <c r="O40" s="1763"/>
      <c r="P40" s="1763"/>
      <c r="Q40" s="1763"/>
      <c r="R40" s="1763"/>
      <c r="S40" s="1763"/>
      <c r="T40" s="1763"/>
      <c r="U40" s="1763"/>
      <c r="V40" s="1763"/>
      <c r="W40" s="1763"/>
      <c r="X40" s="1763"/>
      <c r="Y40" s="1763"/>
      <c r="Z40" s="1763"/>
      <c r="AA40" s="1756">
        <f t="shared" si="0"/>
        <v>0</v>
      </c>
      <c r="AB40" s="1757">
        <f>AA40*$C$13</f>
        <v>0</v>
      </c>
      <c r="AE40" s="2276"/>
    </row>
    <row r="41" spans="2:31" ht="15" customHeight="1" x14ac:dyDescent="0.25">
      <c r="B41" s="1788" t="s">
        <v>1431</v>
      </c>
      <c r="C41" s="1763"/>
      <c r="D41" s="1763"/>
      <c r="E41" s="1763"/>
      <c r="F41" s="1763"/>
      <c r="G41" s="1763"/>
      <c r="H41" s="1763"/>
      <c r="I41" s="1763"/>
      <c r="J41" s="1763"/>
      <c r="K41" s="1763"/>
      <c r="L41" s="1763"/>
      <c r="M41" s="1763"/>
      <c r="N41" s="1763"/>
      <c r="O41" s="1763"/>
      <c r="P41" s="1763"/>
      <c r="Q41" s="1763"/>
      <c r="R41" s="1763"/>
      <c r="S41" s="1763"/>
      <c r="T41" s="1763"/>
      <c r="U41" s="1763"/>
      <c r="V41" s="1763"/>
      <c r="W41" s="1763"/>
      <c r="X41" s="1763"/>
      <c r="Y41" s="1763"/>
      <c r="Z41" s="1763"/>
      <c r="AA41" s="1756">
        <f t="shared" si="0"/>
        <v>0</v>
      </c>
      <c r="AB41" s="1757">
        <f>AA41*$C$14</f>
        <v>0</v>
      </c>
      <c r="AE41" s="2276"/>
    </row>
    <row r="42" spans="2:31" ht="15" customHeight="1" x14ac:dyDescent="0.25">
      <c r="B42" s="1789" t="s">
        <v>1432</v>
      </c>
      <c r="C42" s="1764"/>
      <c r="D42" s="1764"/>
      <c r="E42" s="1764"/>
      <c r="F42" s="1764"/>
      <c r="G42" s="1764"/>
      <c r="H42" s="1764"/>
      <c r="I42" s="1764"/>
      <c r="J42" s="1764"/>
      <c r="K42" s="1764"/>
      <c r="L42" s="1764"/>
      <c r="M42" s="1764"/>
      <c r="N42" s="1764"/>
      <c r="O42" s="1764"/>
      <c r="P42" s="1764"/>
      <c r="Q42" s="1764"/>
      <c r="R42" s="1764"/>
      <c r="S42" s="1764"/>
      <c r="T42" s="1764"/>
      <c r="U42" s="1764"/>
      <c r="V42" s="1764"/>
      <c r="W42" s="1764"/>
      <c r="X42" s="1764"/>
      <c r="Y42" s="1764"/>
      <c r="Z42" s="1764"/>
      <c r="AA42" s="1760">
        <f t="shared" si="0"/>
        <v>0</v>
      </c>
      <c r="AB42" s="1761">
        <f>AA42*$C$15</f>
        <v>0</v>
      </c>
      <c r="AE42" s="2276"/>
    </row>
    <row r="43" spans="2:31" ht="21" customHeight="1" x14ac:dyDescent="0.25">
      <c r="B43" s="2491" t="s">
        <v>1464</v>
      </c>
      <c r="C43" s="2492"/>
      <c r="D43" s="2492"/>
      <c r="E43" s="2492"/>
      <c r="F43" s="2492"/>
      <c r="G43" s="2492"/>
      <c r="H43" s="2492"/>
      <c r="I43" s="2492"/>
      <c r="J43" s="2492"/>
      <c r="K43" s="2492"/>
      <c r="L43" s="2492"/>
      <c r="M43" s="2492"/>
      <c r="N43" s="2492"/>
      <c r="O43" s="2492"/>
      <c r="P43" s="2492"/>
      <c r="Q43" s="2492"/>
      <c r="R43" s="2492"/>
      <c r="S43" s="2492"/>
      <c r="T43" s="2492"/>
      <c r="U43" s="2492"/>
      <c r="V43" s="2492"/>
      <c r="W43" s="2492"/>
      <c r="X43" s="2492"/>
      <c r="Y43" s="2492"/>
      <c r="Z43" s="2492"/>
      <c r="AA43" s="2492"/>
      <c r="AB43" s="1749">
        <f>SUM(AB35:AB42)</f>
        <v>0</v>
      </c>
      <c r="AE43" s="2276"/>
    </row>
    <row r="44" spans="2:31" x14ac:dyDescent="0.25">
      <c r="B44" s="1715"/>
      <c r="C44" s="1715"/>
      <c r="D44" s="1715"/>
      <c r="E44" s="1715"/>
      <c r="F44" s="1715"/>
      <c r="G44" s="1715"/>
      <c r="H44" s="1715"/>
      <c r="I44" s="1715"/>
      <c r="J44" s="1715"/>
      <c r="K44" s="1715"/>
      <c r="L44" s="1715"/>
      <c r="M44" s="1715"/>
      <c r="N44" s="1715"/>
      <c r="O44" s="1715"/>
      <c r="P44" s="1715"/>
      <c r="Q44" s="1715"/>
      <c r="R44" s="1715"/>
      <c r="S44" s="1715"/>
      <c r="T44" s="1715"/>
      <c r="U44" s="1715"/>
      <c r="V44" s="1715"/>
      <c r="W44" s="1715"/>
      <c r="X44" s="1715"/>
      <c r="Y44" s="1715"/>
      <c r="Z44" s="1715"/>
      <c r="AA44" s="1715"/>
      <c r="AB44" s="1715"/>
    </row>
    <row r="45" spans="2:31" ht="29.25" customHeight="1" x14ac:dyDescent="0.25">
      <c r="B45" s="1715"/>
      <c r="C45" s="1715"/>
      <c r="D45" s="1715"/>
      <c r="E45" s="1715"/>
      <c r="F45" s="1715"/>
      <c r="G45" s="1715"/>
      <c r="H45" s="1715"/>
      <c r="I45" s="1715"/>
      <c r="J45" s="1715"/>
      <c r="K45" s="1715"/>
      <c r="L45" s="1715"/>
      <c r="M45" s="1715"/>
      <c r="N45" s="1715"/>
      <c r="O45" s="1715"/>
      <c r="P45" s="1715"/>
      <c r="Q45" s="1715"/>
      <c r="R45" s="1715"/>
      <c r="S45" s="1715"/>
      <c r="T45" s="1715"/>
      <c r="U45" s="1715"/>
      <c r="V45" s="1715"/>
      <c r="W45" s="1715"/>
      <c r="X45" s="1715"/>
      <c r="Y45" s="1715"/>
      <c r="Z45" s="1715"/>
      <c r="AA45" s="1715"/>
      <c r="AB45" s="1715"/>
    </row>
    <row r="46" spans="2:31" x14ac:dyDescent="0.25">
      <c r="B46" s="1715"/>
      <c r="C46" s="1715"/>
      <c r="D46" s="1715"/>
      <c r="E46" s="1715"/>
      <c r="F46" s="1715"/>
      <c r="G46" s="1715"/>
      <c r="H46" s="1715"/>
      <c r="I46" s="1715"/>
      <c r="J46" s="1715"/>
      <c r="K46" s="1715"/>
      <c r="L46" s="1715"/>
      <c r="M46" s="1715"/>
      <c r="N46" s="1715"/>
      <c r="O46" s="1715"/>
      <c r="P46" s="1715"/>
      <c r="Q46" s="1715"/>
      <c r="R46" s="1715"/>
      <c r="S46" s="1715"/>
      <c r="T46" s="1715"/>
      <c r="U46" s="1715"/>
      <c r="V46" s="1715"/>
      <c r="W46" s="1715"/>
      <c r="X46" s="1715"/>
      <c r="Y46" s="1715"/>
      <c r="Z46" s="1715"/>
      <c r="AA46" s="1715"/>
      <c r="AB46" s="1715"/>
    </row>
    <row r="47" spans="2:31" x14ac:dyDescent="0.25">
      <c r="B47" s="1715"/>
      <c r="C47" s="1715"/>
      <c r="D47" s="1715"/>
      <c r="E47" s="1715"/>
      <c r="F47" s="1715"/>
      <c r="G47" s="1715"/>
      <c r="H47" s="1715"/>
      <c r="I47" s="1715"/>
      <c r="J47" s="1715"/>
      <c r="K47" s="1715"/>
      <c r="L47" s="1715"/>
      <c r="M47" s="1715"/>
      <c r="N47" s="1715"/>
      <c r="O47" s="1715"/>
      <c r="P47" s="1715"/>
      <c r="Q47" s="1715"/>
      <c r="R47" s="1715"/>
      <c r="S47" s="1715"/>
      <c r="T47" s="1715"/>
      <c r="U47" s="1715"/>
      <c r="V47" s="1715"/>
      <c r="W47" s="1715"/>
      <c r="X47" s="1715"/>
      <c r="Y47" s="1715"/>
      <c r="Z47" s="1715"/>
      <c r="AA47" s="1715"/>
      <c r="AB47" s="1715"/>
    </row>
    <row r="48" spans="2:31" ht="15.75" x14ac:dyDescent="0.25">
      <c r="B48" s="1727" t="s">
        <v>2013</v>
      </c>
      <c r="C48" s="1725"/>
      <c r="D48" s="1722"/>
      <c r="E48" s="1722"/>
      <c r="F48" s="1722"/>
      <c r="G48" s="1722"/>
      <c r="H48" s="1722"/>
      <c r="I48" s="1722"/>
      <c r="J48" s="1722"/>
      <c r="K48" s="1722"/>
      <c r="L48" s="1722"/>
      <c r="M48" s="1722"/>
      <c r="N48" s="1722"/>
      <c r="O48" s="1722"/>
      <c r="P48" s="1722"/>
      <c r="Q48" s="1722"/>
      <c r="R48" s="1722"/>
      <c r="S48" s="1722"/>
      <c r="T48" s="1722"/>
      <c r="U48" s="1722"/>
      <c r="V48" s="1722"/>
      <c r="W48" s="1722"/>
      <c r="X48" s="1722"/>
      <c r="Y48" s="1722"/>
      <c r="Z48" s="1722"/>
      <c r="AA48" s="1719"/>
      <c r="AB48" s="1720"/>
    </row>
    <row r="49" spans="2:31" x14ac:dyDescent="0.25">
      <c r="B49" s="1715" t="s">
        <v>1465</v>
      </c>
      <c r="C49" s="1715"/>
      <c r="D49" s="1715"/>
      <c r="E49" s="1715"/>
      <c r="F49" s="1715"/>
      <c r="G49" s="1715"/>
      <c r="H49" s="1715"/>
      <c r="I49" s="1715"/>
      <c r="J49" s="1715"/>
      <c r="K49" s="1715"/>
      <c r="L49" s="1715"/>
      <c r="M49" s="1715"/>
      <c r="N49" s="1715"/>
      <c r="O49" s="1715"/>
      <c r="P49" s="1715"/>
      <c r="Q49" s="1715"/>
      <c r="R49" s="1715"/>
      <c r="S49" s="1715"/>
      <c r="T49" s="1715"/>
      <c r="U49" s="1715"/>
      <c r="V49" s="1715"/>
      <c r="W49" s="1715"/>
      <c r="X49" s="1715"/>
      <c r="Y49" s="1715"/>
      <c r="Z49" s="1715"/>
      <c r="AA49" s="1715"/>
      <c r="AB49" s="1715"/>
    </row>
    <row r="50" spans="2:31" x14ac:dyDescent="0.25">
      <c r="B50" s="1715"/>
      <c r="C50" s="1715"/>
      <c r="D50" s="1715"/>
      <c r="E50" s="1715"/>
      <c r="F50" s="1715"/>
      <c r="G50" s="1715"/>
      <c r="H50" s="1715"/>
      <c r="I50" s="1715"/>
      <c r="J50" s="1715"/>
      <c r="K50" s="1715"/>
      <c r="L50" s="1715"/>
      <c r="M50" s="1715"/>
      <c r="N50" s="1715"/>
      <c r="O50" s="1715"/>
      <c r="P50" s="1715"/>
      <c r="Q50" s="1715"/>
      <c r="R50" s="1715"/>
      <c r="S50" s="1715"/>
      <c r="T50" s="1715"/>
      <c r="U50" s="1715"/>
      <c r="V50" s="1715"/>
      <c r="W50" s="1715"/>
      <c r="X50" s="1715"/>
      <c r="Y50" s="1715"/>
      <c r="Z50" s="1715"/>
      <c r="AA50" s="1715"/>
      <c r="AB50" s="1715"/>
    </row>
    <row r="51" spans="2:31" ht="15" customHeight="1" x14ac:dyDescent="0.25">
      <c r="B51" s="1715" t="s">
        <v>1434</v>
      </c>
      <c r="C51" s="2443" t="s">
        <v>2245</v>
      </c>
      <c r="D51" s="2490"/>
      <c r="E51" s="2490"/>
      <c r="F51" s="2490"/>
      <c r="G51" s="2490"/>
      <c r="H51" s="2490"/>
      <c r="I51" s="2490"/>
      <c r="J51" s="2490"/>
      <c r="K51" s="2490"/>
      <c r="L51" s="2490"/>
      <c r="M51" s="2490"/>
      <c r="N51" s="2490"/>
      <c r="O51" s="2444"/>
      <c r="P51" s="1728"/>
      <c r="Q51" s="1729"/>
      <c r="R51" s="1729"/>
      <c r="S51" s="1729"/>
      <c r="T51" s="1729"/>
      <c r="U51" s="1729"/>
      <c r="V51" s="1729"/>
      <c r="W51" s="1729"/>
      <c r="X51" s="1729"/>
      <c r="Y51" s="1729"/>
      <c r="Z51" s="1729"/>
      <c r="AA51" s="1729"/>
      <c r="AB51" s="1729"/>
    </row>
    <row r="52" spans="2:31" x14ac:dyDescent="0.25">
      <c r="B52" s="1715"/>
      <c r="C52" s="1715"/>
      <c r="D52" s="1715"/>
      <c r="E52" s="1715"/>
      <c r="F52" s="1715"/>
      <c r="G52" s="1715"/>
      <c r="H52" s="1715"/>
      <c r="I52" s="1715"/>
      <c r="J52" s="1715"/>
      <c r="K52" s="1715"/>
      <c r="L52" s="1715"/>
      <c r="M52" s="1715"/>
      <c r="N52" s="1715"/>
      <c r="O52" s="1715"/>
      <c r="P52" s="1715"/>
      <c r="Q52" s="1715"/>
      <c r="R52" s="1715"/>
      <c r="S52" s="1715"/>
      <c r="T52" s="1715"/>
      <c r="U52" s="1715"/>
      <c r="V52" s="1715"/>
      <c r="W52" s="1715"/>
      <c r="X52" s="1715"/>
      <c r="Y52" s="1715"/>
      <c r="Z52" s="1715"/>
      <c r="AA52" s="1715"/>
      <c r="AB52" s="1715"/>
    </row>
    <row r="53" spans="2:31" s="1748" customFormat="1" ht="21" customHeight="1" x14ac:dyDescent="0.25">
      <c r="B53" s="1747"/>
      <c r="C53" s="1746" t="s">
        <v>1435</v>
      </c>
      <c r="D53" s="1747" t="s">
        <v>1436</v>
      </c>
      <c r="E53" s="1747" t="s">
        <v>1437</v>
      </c>
      <c r="F53" s="1747" t="s">
        <v>1438</v>
      </c>
      <c r="G53" s="1747" t="s">
        <v>1439</v>
      </c>
      <c r="H53" s="1747" t="s">
        <v>1440</v>
      </c>
      <c r="I53" s="1747" t="s">
        <v>1441</v>
      </c>
      <c r="J53" s="1747" t="s">
        <v>1442</v>
      </c>
      <c r="K53" s="1747" t="s">
        <v>1443</v>
      </c>
      <c r="L53" s="1747" t="s">
        <v>1444</v>
      </c>
      <c r="M53" s="1747" t="s">
        <v>1445</v>
      </c>
      <c r="N53" s="1747" t="s">
        <v>1446</v>
      </c>
      <c r="O53" s="1747" t="s">
        <v>1447</v>
      </c>
      <c r="P53" s="1747" t="s">
        <v>1448</v>
      </c>
      <c r="Q53" s="1747" t="s">
        <v>1449</v>
      </c>
      <c r="R53" s="1747" t="s">
        <v>1450</v>
      </c>
      <c r="S53" s="1747" t="s">
        <v>1451</v>
      </c>
      <c r="T53" s="1747" t="s">
        <v>1452</v>
      </c>
      <c r="U53" s="1747" t="s">
        <v>1453</v>
      </c>
      <c r="V53" s="1747" t="s">
        <v>1454</v>
      </c>
      <c r="W53" s="1747" t="s">
        <v>1455</v>
      </c>
      <c r="X53" s="1747" t="s">
        <v>1456</v>
      </c>
      <c r="Y53" s="1747" t="s">
        <v>1457</v>
      </c>
      <c r="Z53" s="1747" t="s">
        <v>1458</v>
      </c>
      <c r="AA53" s="1747" t="s">
        <v>1466</v>
      </c>
      <c r="AB53" s="1747" t="s">
        <v>1467</v>
      </c>
    </row>
    <row r="54" spans="2:31" x14ac:dyDescent="0.25">
      <c r="B54" s="1750" t="s">
        <v>1461</v>
      </c>
      <c r="C54" s="1766">
        <v>0</v>
      </c>
      <c r="D54" s="1766">
        <v>0</v>
      </c>
      <c r="E54" s="1766">
        <v>0</v>
      </c>
      <c r="F54" s="1766">
        <v>0</v>
      </c>
      <c r="G54" s="1766">
        <v>0</v>
      </c>
      <c r="H54" s="1766">
        <v>0</v>
      </c>
      <c r="I54" s="1766">
        <v>0.3</v>
      </c>
      <c r="J54" s="1766">
        <v>0.3</v>
      </c>
      <c r="K54" s="1766">
        <v>1</v>
      </c>
      <c r="L54" s="1766">
        <v>1</v>
      </c>
      <c r="M54" s="1766">
        <v>1</v>
      </c>
      <c r="N54" s="1766">
        <v>1</v>
      </c>
      <c r="O54" s="1766">
        <v>1</v>
      </c>
      <c r="P54" s="1766">
        <v>1</v>
      </c>
      <c r="Q54" s="1766">
        <v>1</v>
      </c>
      <c r="R54" s="1766">
        <v>1</v>
      </c>
      <c r="S54" s="1766">
        <v>1</v>
      </c>
      <c r="T54" s="1766">
        <v>0.5</v>
      </c>
      <c r="U54" s="1766">
        <v>0.5</v>
      </c>
      <c r="V54" s="1766">
        <v>0.3</v>
      </c>
      <c r="W54" s="1766">
        <v>0</v>
      </c>
      <c r="X54" s="1766">
        <v>0</v>
      </c>
      <c r="Y54" s="1766">
        <v>0</v>
      </c>
      <c r="Z54" s="1766">
        <v>0</v>
      </c>
      <c r="AA54" s="1752">
        <f>SUM(C54:Z54)</f>
        <v>10.9</v>
      </c>
      <c r="AB54" s="1753">
        <f>AA54*SUM($C$9:$C$13)</f>
        <v>2725</v>
      </c>
      <c r="AE54" s="2276"/>
    </row>
    <row r="55" spans="2:31" x14ac:dyDescent="0.25">
      <c r="B55" s="1754" t="s">
        <v>1462</v>
      </c>
      <c r="C55" s="1766">
        <v>0</v>
      </c>
      <c r="D55" s="1766">
        <v>0</v>
      </c>
      <c r="E55" s="1766">
        <v>0</v>
      </c>
      <c r="F55" s="1766">
        <v>0</v>
      </c>
      <c r="G55" s="1766">
        <v>0</v>
      </c>
      <c r="H55" s="1766">
        <v>0</v>
      </c>
      <c r="I55" s="1768">
        <v>0</v>
      </c>
      <c r="J55" s="1768">
        <v>0</v>
      </c>
      <c r="K55" s="1768">
        <v>0.3</v>
      </c>
      <c r="L55" s="1768">
        <v>0.3</v>
      </c>
      <c r="M55" s="1768">
        <v>0.3</v>
      </c>
      <c r="N55" s="1768">
        <v>0.3</v>
      </c>
      <c r="O55" s="1768">
        <v>0.3</v>
      </c>
      <c r="P55" s="1768">
        <v>0.3</v>
      </c>
      <c r="Q55" s="1768">
        <v>0.3</v>
      </c>
      <c r="R55" s="1768">
        <v>0.3</v>
      </c>
      <c r="S55" s="1768">
        <v>0.3</v>
      </c>
      <c r="T55" s="1768">
        <v>0.3</v>
      </c>
      <c r="U55" s="1768">
        <v>0.3</v>
      </c>
      <c r="V55" s="1768">
        <v>0.3</v>
      </c>
      <c r="W55" s="1766">
        <v>0</v>
      </c>
      <c r="X55" s="1766">
        <v>0</v>
      </c>
      <c r="Y55" s="1766">
        <v>0</v>
      </c>
      <c r="Z55" s="1766">
        <v>0</v>
      </c>
      <c r="AA55" s="1756">
        <f>SUM(C55:Z55)</f>
        <v>3.5999999999999992</v>
      </c>
      <c r="AB55" s="1757">
        <f>AA55*SUM($C$14:$C$15)</f>
        <v>374.39999999999992</v>
      </c>
      <c r="AE55" s="2276"/>
    </row>
    <row r="56" spans="2:31" x14ac:dyDescent="0.25">
      <c r="B56" s="1758" t="s">
        <v>1463</v>
      </c>
      <c r="C56" s="1766">
        <v>0</v>
      </c>
      <c r="D56" s="1766">
        <v>0</v>
      </c>
      <c r="E56" s="1766">
        <v>0</v>
      </c>
      <c r="F56" s="1766">
        <v>0</v>
      </c>
      <c r="G56" s="1766">
        <v>0</v>
      </c>
      <c r="H56" s="1766">
        <v>0</v>
      </c>
      <c r="I56" s="1768">
        <v>0</v>
      </c>
      <c r="J56" s="1768">
        <v>0</v>
      </c>
      <c r="K56" s="1768">
        <v>0.3</v>
      </c>
      <c r="L56" s="1768">
        <v>0.3</v>
      </c>
      <c r="M56" s="1768">
        <v>0.3</v>
      </c>
      <c r="N56" s="1768">
        <v>0.3</v>
      </c>
      <c r="O56" s="1768">
        <v>0.3</v>
      </c>
      <c r="P56" s="1768">
        <v>0.3</v>
      </c>
      <c r="Q56" s="1768">
        <v>0.3</v>
      </c>
      <c r="R56" s="1768">
        <v>0.3</v>
      </c>
      <c r="S56" s="1768">
        <v>0.3</v>
      </c>
      <c r="T56" s="1768">
        <v>0.3</v>
      </c>
      <c r="U56" s="1768">
        <v>0.3</v>
      </c>
      <c r="V56" s="1768">
        <v>0.3</v>
      </c>
      <c r="W56" s="1766">
        <v>0</v>
      </c>
      <c r="X56" s="1766">
        <v>0</v>
      </c>
      <c r="Y56" s="1766">
        <v>0</v>
      </c>
      <c r="Z56" s="1766">
        <v>0</v>
      </c>
      <c r="AA56" s="1760">
        <f>SUM(C56:Z56)</f>
        <v>3.5999999999999992</v>
      </c>
      <c r="AB56" s="1761">
        <f>AA56*$C$8</f>
        <v>39.599999999999994</v>
      </c>
      <c r="AE56" s="2276"/>
    </row>
    <row r="57" spans="2:31" x14ac:dyDescent="0.25">
      <c r="B57" s="2500" t="s">
        <v>1468</v>
      </c>
      <c r="C57" s="2501"/>
      <c r="D57" s="2501"/>
      <c r="E57" s="2501"/>
      <c r="F57" s="2501"/>
      <c r="G57" s="2501"/>
      <c r="H57" s="2501"/>
      <c r="I57" s="2501"/>
      <c r="J57" s="2501"/>
      <c r="K57" s="2501"/>
      <c r="L57" s="2501"/>
      <c r="M57" s="2501"/>
      <c r="N57" s="2501"/>
      <c r="O57" s="2501"/>
      <c r="P57" s="2501"/>
      <c r="Q57" s="2501"/>
      <c r="R57" s="2501"/>
      <c r="S57" s="2501"/>
      <c r="T57" s="2501"/>
      <c r="U57" s="2501"/>
      <c r="V57" s="2501"/>
      <c r="W57" s="2501"/>
      <c r="X57" s="2501"/>
      <c r="Y57" s="2501"/>
      <c r="Z57" s="2501"/>
      <c r="AA57" s="2501"/>
      <c r="AB57" s="1749">
        <f>SUM(AB54:AB56)</f>
        <v>3139</v>
      </c>
      <c r="AE57" s="2276"/>
    </row>
    <row r="58" spans="2:31" x14ac:dyDescent="0.25">
      <c r="B58" s="1715"/>
      <c r="C58" s="1715"/>
      <c r="D58" s="1715"/>
      <c r="E58" s="1715"/>
      <c r="F58" s="1715"/>
      <c r="G58" s="1715"/>
      <c r="H58" s="1715"/>
      <c r="I58" s="1715"/>
      <c r="J58" s="1715"/>
      <c r="K58" s="1715"/>
      <c r="L58" s="1715"/>
      <c r="M58" s="1715"/>
      <c r="N58" s="1715"/>
      <c r="O58" s="1715"/>
      <c r="P58" s="1715"/>
      <c r="Q58" s="1715"/>
      <c r="R58" s="1715"/>
      <c r="S58" s="1715"/>
      <c r="T58" s="1715"/>
      <c r="U58" s="1715"/>
      <c r="V58" s="1715"/>
      <c r="W58" s="1715"/>
      <c r="X58" s="1715"/>
      <c r="Y58" s="1715"/>
      <c r="Z58" s="1715"/>
      <c r="AA58" s="1715"/>
      <c r="AB58" s="1715"/>
    </row>
    <row r="59" spans="2:31" ht="27" customHeight="1" x14ac:dyDescent="0.25">
      <c r="B59" s="1715"/>
      <c r="C59" s="1715"/>
      <c r="D59" s="1715"/>
      <c r="E59" s="1715"/>
      <c r="F59" s="1715"/>
      <c r="G59" s="1715"/>
      <c r="H59" s="1715"/>
      <c r="I59" s="1715"/>
      <c r="J59" s="1715"/>
      <c r="K59" s="1715"/>
      <c r="L59" s="1715"/>
      <c r="M59" s="1715"/>
      <c r="N59" s="1715"/>
      <c r="O59" s="1715"/>
      <c r="P59" s="1715"/>
      <c r="Q59" s="1715"/>
      <c r="R59" s="1715"/>
      <c r="S59" s="1715"/>
      <c r="T59" s="1715"/>
      <c r="U59" s="1715"/>
      <c r="V59" s="1715"/>
      <c r="W59" s="1715"/>
      <c r="X59" s="1715"/>
      <c r="Y59" s="1715"/>
      <c r="Z59" s="1715"/>
      <c r="AA59" s="1715"/>
      <c r="AB59" s="1715"/>
    </row>
    <row r="60" spans="2:31" x14ac:dyDescent="0.25">
      <c r="B60" s="1715"/>
      <c r="C60" s="1715"/>
      <c r="D60" s="1715"/>
      <c r="E60" s="1715"/>
      <c r="F60" s="1715"/>
      <c r="G60" s="1715"/>
      <c r="H60" s="1715"/>
      <c r="I60" s="1715"/>
      <c r="J60" s="1715"/>
      <c r="K60" s="1715"/>
      <c r="L60" s="1715"/>
      <c r="M60" s="1715"/>
      <c r="N60" s="1715"/>
      <c r="O60" s="1715"/>
      <c r="P60" s="1715"/>
      <c r="Q60" s="1715"/>
      <c r="R60" s="1715"/>
      <c r="S60" s="1715"/>
      <c r="T60" s="1715"/>
      <c r="U60" s="1715"/>
      <c r="V60" s="1715"/>
      <c r="W60" s="1715"/>
      <c r="X60" s="1715"/>
      <c r="Y60" s="1715"/>
      <c r="Z60" s="1715"/>
      <c r="AA60" s="1715"/>
      <c r="AB60" s="1715"/>
    </row>
    <row r="61" spans="2:31" ht="15" customHeight="1" x14ac:dyDescent="0.25">
      <c r="B61" s="1715" t="s">
        <v>1434</v>
      </c>
      <c r="C61" s="2443"/>
      <c r="D61" s="2490"/>
      <c r="E61" s="2490"/>
      <c r="F61" s="2490"/>
      <c r="G61" s="2490"/>
      <c r="H61" s="2490"/>
      <c r="I61" s="2490"/>
      <c r="J61" s="2490"/>
      <c r="K61" s="2490"/>
      <c r="L61" s="2490"/>
      <c r="M61" s="2490"/>
      <c r="N61" s="2490"/>
      <c r="O61" s="2444"/>
      <c r="P61" s="1728"/>
      <c r="Q61" s="1729"/>
      <c r="R61" s="1729"/>
      <c r="S61" s="1729"/>
      <c r="T61" s="1729"/>
      <c r="U61" s="1729"/>
      <c r="V61" s="1729"/>
      <c r="W61" s="1729"/>
      <c r="X61" s="1729"/>
      <c r="Y61" s="1729"/>
      <c r="Z61" s="1729"/>
      <c r="AA61" s="1729"/>
      <c r="AB61" s="1729"/>
    </row>
    <row r="62" spans="2:31" x14ac:dyDescent="0.25">
      <c r="B62" s="1715"/>
      <c r="C62" s="1715"/>
      <c r="D62" s="1715"/>
      <c r="E62" s="1715"/>
      <c r="F62" s="1715"/>
      <c r="G62" s="1715"/>
      <c r="H62" s="1715"/>
      <c r="I62" s="1715"/>
      <c r="J62" s="1715"/>
      <c r="K62" s="1715"/>
      <c r="L62" s="1715"/>
      <c r="M62" s="1715"/>
      <c r="N62" s="1715"/>
      <c r="O62" s="1715"/>
      <c r="P62" s="1715"/>
      <c r="Q62" s="1715"/>
      <c r="R62" s="1715"/>
      <c r="S62" s="1715"/>
      <c r="T62" s="1715"/>
      <c r="U62" s="1715"/>
      <c r="V62" s="1715"/>
      <c r="W62" s="1715"/>
      <c r="X62" s="1715"/>
      <c r="Y62" s="1715"/>
      <c r="Z62" s="1715"/>
      <c r="AA62" s="1715"/>
      <c r="AB62" s="1715"/>
    </row>
    <row r="63" spans="2:31" s="1748" customFormat="1" ht="21" customHeight="1" x14ac:dyDescent="0.25">
      <c r="B63" s="1747"/>
      <c r="C63" s="1746" t="s">
        <v>1435</v>
      </c>
      <c r="D63" s="1747" t="s">
        <v>1436</v>
      </c>
      <c r="E63" s="1747" t="s">
        <v>1437</v>
      </c>
      <c r="F63" s="1747" t="s">
        <v>1438</v>
      </c>
      <c r="G63" s="1747" t="s">
        <v>1439</v>
      </c>
      <c r="H63" s="1747" t="s">
        <v>1440</v>
      </c>
      <c r="I63" s="1747" t="s">
        <v>1441</v>
      </c>
      <c r="J63" s="1747" t="s">
        <v>1442</v>
      </c>
      <c r="K63" s="1747" t="s">
        <v>1443</v>
      </c>
      <c r="L63" s="1747" t="s">
        <v>1444</v>
      </c>
      <c r="M63" s="1747" t="s">
        <v>1445</v>
      </c>
      <c r="N63" s="1747" t="s">
        <v>1446</v>
      </c>
      <c r="O63" s="1747" t="s">
        <v>1447</v>
      </c>
      <c r="P63" s="1747" t="s">
        <v>1448</v>
      </c>
      <c r="Q63" s="1747" t="s">
        <v>1449</v>
      </c>
      <c r="R63" s="1747" t="s">
        <v>1450</v>
      </c>
      <c r="S63" s="1747" t="s">
        <v>1451</v>
      </c>
      <c r="T63" s="1747" t="s">
        <v>1452</v>
      </c>
      <c r="U63" s="1747" t="s">
        <v>1453</v>
      </c>
      <c r="V63" s="1747" t="s">
        <v>1454</v>
      </c>
      <c r="W63" s="1747" t="s">
        <v>1455</v>
      </c>
      <c r="X63" s="1747" t="s">
        <v>1456</v>
      </c>
      <c r="Y63" s="1747" t="s">
        <v>1457</v>
      </c>
      <c r="Z63" s="1747" t="s">
        <v>1458</v>
      </c>
      <c r="AA63" s="1747" t="s">
        <v>1466</v>
      </c>
      <c r="AB63" s="1747" t="s">
        <v>1467</v>
      </c>
    </row>
    <row r="64" spans="2:31" x14ac:dyDescent="0.25">
      <c r="B64" s="1750" t="s">
        <v>1461</v>
      </c>
      <c r="C64" s="1766"/>
      <c r="D64" s="1766"/>
      <c r="E64" s="1766"/>
      <c r="F64" s="1766"/>
      <c r="G64" s="1766"/>
      <c r="H64" s="1766"/>
      <c r="I64" s="1766"/>
      <c r="J64" s="1766"/>
      <c r="K64" s="1766"/>
      <c r="L64" s="1766"/>
      <c r="M64" s="1766"/>
      <c r="N64" s="1766"/>
      <c r="O64" s="1766"/>
      <c r="P64" s="1766"/>
      <c r="Q64" s="1766"/>
      <c r="R64" s="1766"/>
      <c r="S64" s="1766"/>
      <c r="T64" s="1766"/>
      <c r="U64" s="1766"/>
      <c r="V64" s="1766"/>
      <c r="W64" s="1766"/>
      <c r="X64" s="1766"/>
      <c r="Y64" s="1766"/>
      <c r="Z64" s="1766"/>
      <c r="AA64" s="1752">
        <f>SUM(C64:Z64)</f>
        <v>0</v>
      </c>
      <c r="AB64" s="1753">
        <f>AA64*SUM($C$9:$C$13)</f>
        <v>0</v>
      </c>
      <c r="AE64" s="2276"/>
    </row>
    <row r="65" spans="2:31" x14ac:dyDescent="0.25">
      <c r="B65" s="1754" t="s">
        <v>1462</v>
      </c>
      <c r="C65" s="1766"/>
      <c r="D65" s="1766"/>
      <c r="E65" s="1766"/>
      <c r="F65" s="1766"/>
      <c r="G65" s="1766"/>
      <c r="H65" s="1766"/>
      <c r="I65" s="1768"/>
      <c r="J65" s="1768"/>
      <c r="K65" s="1768"/>
      <c r="L65" s="1768"/>
      <c r="M65" s="1768"/>
      <c r="N65" s="1768"/>
      <c r="O65" s="1768"/>
      <c r="P65" s="1768"/>
      <c r="Q65" s="1768"/>
      <c r="R65" s="1768"/>
      <c r="S65" s="1768"/>
      <c r="T65" s="1768"/>
      <c r="U65" s="1768"/>
      <c r="V65" s="1768"/>
      <c r="W65" s="1766"/>
      <c r="X65" s="1766"/>
      <c r="Y65" s="1766"/>
      <c r="Z65" s="1766"/>
      <c r="AA65" s="1756">
        <f>SUM(C65:Z65)</f>
        <v>0</v>
      </c>
      <c r="AB65" s="1757">
        <f>AA65*SUM($C$14:$C$15)</f>
        <v>0</v>
      </c>
      <c r="AE65" s="2276"/>
    </row>
    <row r="66" spans="2:31" x14ac:dyDescent="0.25">
      <c r="B66" s="1758" t="s">
        <v>1463</v>
      </c>
      <c r="C66" s="1766"/>
      <c r="D66" s="1766"/>
      <c r="E66" s="1766"/>
      <c r="F66" s="1766"/>
      <c r="G66" s="1766"/>
      <c r="H66" s="1766"/>
      <c r="I66" s="1768"/>
      <c r="J66" s="1768"/>
      <c r="K66" s="1768"/>
      <c r="L66" s="1768"/>
      <c r="M66" s="1768"/>
      <c r="N66" s="1768"/>
      <c r="O66" s="1768"/>
      <c r="P66" s="1768"/>
      <c r="Q66" s="1768"/>
      <c r="R66" s="1768"/>
      <c r="S66" s="1768"/>
      <c r="T66" s="1768"/>
      <c r="U66" s="1768"/>
      <c r="V66" s="1768"/>
      <c r="W66" s="1766"/>
      <c r="X66" s="1766"/>
      <c r="Y66" s="1766"/>
      <c r="Z66" s="1766"/>
      <c r="AA66" s="1760">
        <f>SUM(C66:Z66)</f>
        <v>0</v>
      </c>
      <c r="AB66" s="1761">
        <f>AA66*$C$8</f>
        <v>0</v>
      </c>
      <c r="AE66" s="2276"/>
    </row>
    <row r="67" spans="2:31" x14ac:dyDescent="0.25">
      <c r="B67" s="2500" t="s">
        <v>1468</v>
      </c>
      <c r="C67" s="2501"/>
      <c r="D67" s="2501"/>
      <c r="E67" s="2501"/>
      <c r="F67" s="2501"/>
      <c r="G67" s="2501"/>
      <c r="H67" s="2501"/>
      <c r="I67" s="2501"/>
      <c r="J67" s="2501"/>
      <c r="K67" s="2501"/>
      <c r="L67" s="2501"/>
      <c r="M67" s="2501"/>
      <c r="N67" s="2501"/>
      <c r="O67" s="2501"/>
      <c r="P67" s="2501"/>
      <c r="Q67" s="2501"/>
      <c r="R67" s="2501"/>
      <c r="S67" s="2501"/>
      <c r="T67" s="2501"/>
      <c r="U67" s="2501"/>
      <c r="V67" s="2501"/>
      <c r="W67" s="2501"/>
      <c r="X67" s="2501"/>
      <c r="Y67" s="2501"/>
      <c r="Z67" s="2501"/>
      <c r="AA67" s="2501"/>
      <c r="AB67" s="1749">
        <f>SUM(AB64:AB66)</f>
        <v>0</v>
      </c>
      <c r="AE67" s="2276"/>
    </row>
    <row r="68" spans="2:31" x14ac:dyDescent="0.25">
      <c r="B68" s="1715"/>
      <c r="C68" s="1715"/>
      <c r="D68" s="1715"/>
      <c r="E68" s="1715"/>
      <c r="F68" s="1715"/>
      <c r="G68" s="1715"/>
      <c r="H68" s="1715"/>
      <c r="I68" s="1715"/>
      <c r="J68" s="1715"/>
      <c r="K68" s="1715"/>
      <c r="L68" s="1715"/>
      <c r="M68" s="1715"/>
      <c r="N68" s="1715"/>
      <c r="O68" s="1715"/>
      <c r="P68" s="1715"/>
      <c r="Q68" s="1715"/>
      <c r="R68" s="1715"/>
      <c r="S68" s="1715"/>
      <c r="T68" s="1715"/>
      <c r="U68" s="1715"/>
      <c r="V68" s="1715"/>
      <c r="W68" s="1715"/>
      <c r="X68" s="1715"/>
      <c r="Y68" s="1715"/>
      <c r="Z68" s="1715"/>
      <c r="AA68" s="1715"/>
      <c r="AB68" s="1715"/>
    </row>
    <row r="69" spans="2:31" x14ac:dyDescent="0.25">
      <c r="B69" s="1715"/>
      <c r="C69" s="1715"/>
      <c r="D69" s="1715"/>
      <c r="E69" s="1715"/>
      <c r="F69" s="1715"/>
      <c r="G69" s="1715"/>
      <c r="H69" s="1715"/>
      <c r="I69" s="1715"/>
      <c r="J69" s="1715"/>
      <c r="K69" s="1715"/>
      <c r="L69" s="1715"/>
      <c r="M69" s="1715"/>
      <c r="N69" s="1715"/>
      <c r="O69" s="1715"/>
      <c r="P69" s="1715"/>
      <c r="Q69" s="1715"/>
      <c r="R69" s="1715"/>
      <c r="S69" s="1715"/>
      <c r="T69" s="1715"/>
      <c r="U69" s="1715"/>
      <c r="V69" s="1715"/>
      <c r="W69" s="1715"/>
      <c r="X69" s="1715"/>
      <c r="Y69" s="1715"/>
      <c r="Z69" s="1715"/>
      <c r="AA69" s="1715"/>
      <c r="AB69" s="1715"/>
    </row>
    <row r="70" spans="2:31" x14ac:dyDescent="0.25">
      <c r="B70" s="1715"/>
      <c r="C70" s="1715"/>
      <c r="D70" s="1715"/>
      <c r="E70" s="1715"/>
      <c r="F70" s="1715"/>
      <c r="G70" s="1715"/>
      <c r="H70" s="1715"/>
      <c r="I70" s="1715"/>
      <c r="J70" s="1715"/>
      <c r="K70" s="1715"/>
      <c r="L70" s="1715"/>
      <c r="M70" s="1715"/>
      <c r="N70" s="1715"/>
      <c r="O70" s="1715"/>
      <c r="P70" s="1715"/>
      <c r="Q70" s="1715"/>
      <c r="R70" s="1715"/>
      <c r="S70" s="1715"/>
      <c r="T70" s="1715"/>
      <c r="U70" s="1715"/>
      <c r="V70" s="1715"/>
      <c r="W70" s="1715"/>
      <c r="X70" s="1715"/>
      <c r="Y70" s="1715"/>
      <c r="Z70" s="1715"/>
      <c r="AA70" s="1715"/>
      <c r="AB70" s="1715"/>
    </row>
    <row r="71" spans="2:31" ht="15" customHeight="1" x14ac:dyDescent="0.25">
      <c r="B71" s="1715" t="s">
        <v>1434</v>
      </c>
      <c r="C71" s="2443"/>
      <c r="D71" s="2490"/>
      <c r="E71" s="2490"/>
      <c r="F71" s="2490"/>
      <c r="G71" s="2490"/>
      <c r="H71" s="2490"/>
      <c r="I71" s="2490"/>
      <c r="J71" s="2490"/>
      <c r="K71" s="2490"/>
      <c r="L71" s="2490"/>
      <c r="M71" s="2490"/>
      <c r="N71" s="2490"/>
      <c r="O71" s="2444"/>
      <c r="P71" s="1728"/>
      <c r="Q71" s="1729"/>
      <c r="R71" s="1729"/>
      <c r="S71" s="1729"/>
      <c r="T71" s="1729"/>
      <c r="U71" s="1729"/>
      <c r="V71" s="1729"/>
      <c r="W71" s="1729"/>
      <c r="X71" s="1729"/>
      <c r="Y71" s="1729"/>
      <c r="Z71" s="1729"/>
      <c r="AA71" s="1729"/>
      <c r="AB71" s="1729"/>
    </row>
    <row r="72" spans="2:31" x14ac:dyDescent="0.25">
      <c r="B72" s="1715"/>
      <c r="C72" s="1715"/>
      <c r="D72" s="1715"/>
      <c r="E72" s="1715"/>
      <c r="F72" s="1715"/>
      <c r="G72" s="1715"/>
      <c r="H72" s="1715"/>
      <c r="I72" s="1715"/>
      <c r="J72" s="1715"/>
      <c r="K72" s="1715"/>
      <c r="L72" s="1715"/>
      <c r="M72" s="1715"/>
      <c r="N72" s="1715"/>
      <c r="O72" s="1715"/>
      <c r="P72" s="1715"/>
      <c r="Q72" s="1715"/>
      <c r="R72" s="1715"/>
      <c r="S72" s="1715"/>
      <c r="T72" s="1715"/>
      <c r="U72" s="1715"/>
      <c r="V72" s="1715"/>
      <c r="W72" s="1715"/>
      <c r="X72" s="1715"/>
      <c r="Y72" s="1715"/>
      <c r="Z72" s="1715"/>
      <c r="AA72" s="1715"/>
      <c r="AB72" s="1715"/>
    </row>
    <row r="73" spans="2:31" s="1748" customFormat="1" ht="21" customHeight="1" x14ac:dyDescent="0.25">
      <c r="B73" s="1747"/>
      <c r="C73" s="1746" t="s">
        <v>1435</v>
      </c>
      <c r="D73" s="1747" t="s">
        <v>1436</v>
      </c>
      <c r="E73" s="1747" t="s">
        <v>1437</v>
      </c>
      <c r="F73" s="1747" t="s">
        <v>1438</v>
      </c>
      <c r="G73" s="1747" t="s">
        <v>1439</v>
      </c>
      <c r="H73" s="1747" t="s">
        <v>1440</v>
      </c>
      <c r="I73" s="1747" t="s">
        <v>1441</v>
      </c>
      <c r="J73" s="1747" t="s">
        <v>1442</v>
      </c>
      <c r="K73" s="1747" t="s">
        <v>1443</v>
      </c>
      <c r="L73" s="1747" t="s">
        <v>1444</v>
      </c>
      <c r="M73" s="1747" t="s">
        <v>1445</v>
      </c>
      <c r="N73" s="1747" t="s">
        <v>1446</v>
      </c>
      <c r="O73" s="1747" t="s">
        <v>1447</v>
      </c>
      <c r="P73" s="1747" t="s">
        <v>1448</v>
      </c>
      <c r="Q73" s="1747" t="s">
        <v>1449</v>
      </c>
      <c r="R73" s="1747" t="s">
        <v>1450</v>
      </c>
      <c r="S73" s="1747" t="s">
        <v>1451</v>
      </c>
      <c r="T73" s="1747" t="s">
        <v>1452</v>
      </c>
      <c r="U73" s="1747" t="s">
        <v>1453</v>
      </c>
      <c r="V73" s="1747" t="s">
        <v>1454</v>
      </c>
      <c r="W73" s="1747" t="s">
        <v>1455</v>
      </c>
      <c r="X73" s="1747" t="s">
        <v>1456</v>
      </c>
      <c r="Y73" s="1747" t="s">
        <v>1457</v>
      </c>
      <c r="Z73" s="1747" t="s">
        <v>1458</v>
      </c>
      <c r="AA73" s="1747" t="s">
        <v>1466</v>
      </c>
      <c r="AB73" s="1747" t="s">
        <v>1466</v>
      </c>
    </row>
    <row r="74" spans="2:31" x14ac:dyDescent="0.25">
      <c r="B74" s="1750" t="s">
        <v>1463</v>
      </c>
      <c r="C74" s="1766"/>
      <c r="D74" s="1766"/>
      <c r="E74" s="1766"/>
      <c r="F74" s="1766"/>
      <c r="G74" s="1766"/>
      <c r="H74" s="1766"/>
      <c r="I74" s="1766"/>
      <c r="J74" s="1766"/>
      <c r="K74" s="1766"/>
      <c r="L74" s="1766"/>
      <c r="M74" s="1766"/>
      <c r="N74" s="1766"/>
      <c r="O74" s="1766"/>
      <c r="P74" s="1766"/>
      <c r="Q74" s="1766"/>
      <c r="R74" s="1766"/>
      <c r="S74" s="1766"/>
      <c r="T74" s="1766"/>
      <c r="U74" s="1766"/>
      <c r="V74" s="1766"/>
      <c r="W74" s="1766"/>
      <c r="X74" s="1766"/>
      <c r="Y74" s="1766"/>
      <c r="Z74" s="1766"/>
      <c r="AA74" s="1752">
        <f t="shared" ref="AA74:AA81" si="1">SUM(C74:Z74)</f>
        <v>0</v>
      </c>
      <c r="AB74" s="1753">
        <f>AA74*$C$8</f>
        <v>0</v>
      </c>
      <c r="AE74" s="2276"/>
    </row>
    <row r="75" spans="2:31" x14ac:dyDescent="0.25">
      <c r="B75" s="1754" t="s">
        <v>1426</v>
      </c>
      <c r="C75" s="1768"/>
      <c r="D75" s="1768"/>
      <c r="E75" s="1768"/>
      <c r="F75" s="1768"/>
      <c r="G75" s="1768"/>
      <c r="H75" s="1768"/>
      <c r="I75" s="1768"/>
      <c r="J75" s="1768"/>
      <c r="K75" s="1768"/>
      <c r="L75" s="1768"/>
      <c r="M75" s="1768"/>
      <c r="N75" s="1768"/>
      <c r="O75" s="1768"/>
      <c r="P75" s="1768"/>
      <c r="Q75" s="1768"/>
      <c r="R75" s="1768"/>
      <c r="S75" s="1768"/>
      <c r="T75" s="1768"/>
      <c r="U75" s="1768"/>
      <c r="V75" s="1768"/>
      <c r="W75" s="1768"/>
      <c r="X75" s="1768"/>
      <c r="Y75" s="1768"/>
      <c r="Z75" s="1768"/>
      <c r="AA75" s="1756">
        <f t="shared" si="1"/>
        <v>0</v>
      </c>
      <c r="AB75" s="1757">
        <f>AA75*$C$9</f>
        <v>0</v>
      </c>
      <c r="AE75" s="2276"/>
    </row>
    <row r="76" spans="2:31" x14ac:dyDescent="0.25">
      <c r="B76" s="1754" t="s">
        <v>1427</v>
      </c>
      <c r="C76" s="1768"/>
      <c r="D76" s="1768"/>
      <c r="E76" s="1768"/>
      <c r="F76" s="1768"/>
      <c r="G76" s="1768"/>
      <c r="H76" s="1768"/>
      <c r="I76" s="1768"/>
      <c r="J76" s="1768"/>
      <c r="K76" s="1768"/>
      <c r="L76" s="1768"/>
      <c r="M76" s="1768"/>
      <c r="N76" s="1768"/>
      <c r="O76" s="1768"/>
      <c r="P76" s="1768"/>
      <c r="Q76" s="1768"/>
      <c r="R76" s="1768"/>
      <c r="S76" s="1768"/>
      <c r="T76" s="1768"/>
      <c r="U76" s="1768"/>
      <c r="V76" s="1768"/>
      <c r="W76" s="1768"/>
      <c r="X76" s="1768"/>
      <c r="Y76" s="1768"/>
      <c r="Z76" s="1768"/>
      <c r="AA76" s="1756">
        <f t="shared" si="1"/>
        <v>0</v>
      </c>
      <c r="AB76" s="1757">
        <f>AA76*$C$10</f>
        <v>0</v>
      </c>
      <c r="AE76" s="2276"/>
    </row>
    <row r="77" spans="2:31" x14ac:dyDescent="0.25">
      <c r="B77" s="1754" t="s">
        <v>1428</v>
      </c>
      <c r="C77" s="1768"/>
      <c r="D77" s="1768"/>
      <c r="E77" s="1768"/>
      <c r="F77" s="1768"/>
      <c r="G77" s="1768"/>
      <c r="H77" s="1768"/>
      <c r="I77" s="1768"/>
      <c r="J77" s="1768"/>
      <c r="K77" s="1768"/>
      <c r="L77" s="1768"/>
      <c r="M77" s="1768"/>
      <c r="N77" s="1768"/>
      <c r="O77" s="1768"/>
      <c r="P77" s="1768"/>
      <c r="Q77" s="1768"/>
      <c r="R77" s="1768"/>
      <c r="S77" s="1768"/>
      <c r="T77" s="1768"/>
      <c r="U77" s="1768"/>
      <c r="V77" s="1768"/>
      <c r="W77" s="1768"/>
      <c r="X77" s="1768"/>
      <c r="Y77" s="1768"/>
      <c r="Z77" s="1768"/>
      <c r="AA77" s="1756">
        <f t="shared" si="1"/>
        <v>0</v>
      </c>
      <c r="AB77" s="1757">
        <f>AA77*$C$11</f>
        <v>0</v>
      </c>
      <c r="AE77" s="2276"/>
    </row>
    <row r="78" spans="2:31" x14ac:dyDescent="0.25">
      <c r="B78" s="1754" t="s">
        <v>1429</v>
      </c>
      <c r="C78" s="1768"/>
      <c r="D78" s="1768"/>
      <c r="E78" s="1768"/>
      <c r="F78" s="1768"/>
      <c r="G78" s="1768"/>
      <c r="H78" s="1768"/>
      <c r="I78" s="1768"/>
      <c r="J78" s="1768"/>
      <c r="K78" s="1768"/>
      <c r="L78" s="1768"/>
      <c r="M78" s="1768"/>
      <c r="N78" s="1768"/>
      <c r="O78" s="1768"/>
      <c r="P78" s="1768"/>
      <c r="Q78" s="1768"/>
      <c r="R78" s="1768"/>
      <c r="S78" s="1768"/>
      <c r="T78" s="1768"/>
      <c r="U78" s="1768"/>
      <c r="V78" s="1768"/>
      <c r="W78" s="1768"/>
      <c r="X78" s="1768"/>
      <c r="Y78" s="1768"/>
      <c r="Z78" s="1768"/>
      <c r="AA78" s="1756">
        <f t="shared" si="1"/>
        <v>0</v>
      </c>
      <c r="AB78" s="1757">
        <f>AA78*$C$12</f>
        <v>0</v>
      </c>
      <c r="AE78" s="2276"/>
    </row>
    <row r="79" spans="2:31" x14ac:dyDescent="0.25">
      <c r="B79" s="1754" t="s">
        <v>1430</v>
      </c>
      <c r="C79" s="1768"/>
      <c r="D79" s="1768"/>
      <c r="E79" s="1768"/>
      <c r="F79" s="1768"/>
      <c r="G79" s="1768"/>
      <c r="H79" s="1768"/>
      <c r="I79" s="1768"/>
      <c r="J79" s="1768"/>
      <c r="K79" s="1768"/>
      <c r="L79" s="1768"/>
      <c r="M79" s="1768"/>
      <c r="N79" s="1768"/>
      <c r="O79" s="1768"/>
      <c r="P79" s="1768"/>
      <c r="Q79" s="1768"/>
      <c r="R79" s="1768"/>
      <c r="S79" s="1768"/>
      <c r="T79" s="1768"/>
      <c r="U79" s="1768"/>
      <c r="V79" s="1768"/>
      <c r="W79" s="1768"/>
      <c r="X79" s="1768"/>
      <c r="Y79" s="1768"/>
      <c r="Z79" s="1768"/>
      <c r="AA79" s="1756">
        <f t="shared" si="1"/>
        <v>0</v>
      </c>
      <c r="AB79" s="1757">
        <f>AA79*$C$13</f>
        <v>0</v>
      </c>
      <c r="AE79" s="2276"/>
    </row>
    <row r="80" spans="2:31" x14ac:dyDescent="0.25">
      <c r="B80" s="1754" t="s">
        <v>1431</v>
      </c>
      <c r="C80" s="1768"/>
      <c r="D80" s="1768"/>
      <c r="E80" s="1768"/>
      <c r="F80" s="1768"/>
      <c r="G80" s="1768"/>
      <c r="H80" s="1768"/>
      <c r="I80" s="1768"/>
      <c r="J80" s="1768"/>
      <c r="K80" s="1768"/>
      <c r="L80" s="1768"/>
      <c r="M80" s="1768"/>
      <c r="N80" s="1768"/>
      <c r="O80" s="1768"/>
      <c r="P80" s="1768"/>
      <c r="Q80" s="1768"/>
      <c r="R80" s="1768"/>
      <c r="S80" s="1768"/>
      <c r="T80" s="1768"/>
      <c r="U80" s="1768"/>
      <c r="V80" s="1768"/>
      <c r="W80" s="1768"/>
      <c r="X80" s="1768"/>
      <c r="Y80" s="1768"/>
      <c r="Z80" s="1768"/>
      <c r="AA80" s="1756">
        <f t="shared" si="1"/>
        <v>0</v>
      </c>
      <c r="AB80" s="1757">
        <f>AA80*$C$14</f>
        <v>0</v>
      </c>
      <c r="AE80" s="2276"/>
    </row>
    <row r="81" spans="2:31" x14ac:dyDescent="0.25">
      <c r="B81" s="1758" t="s">
        <v>1432</v>
      </c>
      <c r="C81" s="1770"/>
      <c r="D81" s="1770"/>
      <c r="E81" s="1770"/>
      <c r="F81" s="1770"/>
      <c r="G81" s="1770"/>
      <c r="H81" s="1770"/>
      <c r="I81" s="1770"/>
      <c r="J81" s="1770"/>
      <c r="K81" s="1770"/>
      <c r="L81" s="1770"/>
      <c r="M81" s="1770"/>
      <c r="N81" s="1770"/>
      <c r="O81" s="1770"/>
      <c r="P81" s="1770"/>
      <c r="Q81" s="1770"/>
      <c r="R81" s="1770"/>
      <c r="S81" s="1770"/>
      <c r="T81" s="1770"/>
      <c r="U81" s="1770"/>
      <c r="V81" s="1770"/>
      <c r="W81" s="1770"/>
      <c r="X81" s="1770"/>
      <c r="Y81" s="1770"/>
      <c r="Z81" s="1770"/>
      <c r="AA81" s="1760">
        <f t="shared" si="1"/>
        <v>0</v>
      </c>
      <c r="AB81" s="1761">
        <f>AA81*$C$15</f>
        <v>0</v>
      </c>
      <c r="AE81" s="2276"/>
    </row>
    <row r="82" spans="2:31" x14ac:dyDescent="0.25">
      <c r="B82" s="2500" t="s">
        <v>1468</v>
      </c>
      <c r="C82" s="2501"/>
      <c r="D82" s="2501"/>
      <c r="E82" s="2501"/>
      <c r="F82" s="2501"/>
      <c r="G82" s="2501"/>
      <c r="H82" s="2501"/>
      <c r="I82" s="2501"/>
      <c r="J82" s="2501"/>
      <c r="K82" s="2501"/>
      <c r="L82" s="2501"/>
      <c r="M82" s="2501"/>
      <c r="N82" s="2501"/>
      <c r="O82" s="2501"/>
      <c r="P82" s="2501"/>
      <c r="Q82" s="2501"/>
      <c r="R82" s="2501"/>
      <c r="S82" s="2501"/>
      <c r="T82" s="2501"/>
      <c r="U82" s="2501"/>
      <c r="V82" s="2501"/>
      <c r="W82" s="2501"/>
      <c r="X82" s="2501"/>
      <c r="Y82" s="2501"/>
      <c r="Z82" s="2501"/>
      <c r="AA82" s="2501"/>
      <c r="AB82" s="1749">
        <f>SUM(AB74:AB81)</f>
        <v>0</v>
      </c>
      <c r="AE82" s="2276"/>
    </row>
    <row r="83" spans="2:31" x14ac:dyDescent="0.25">
      <c r="B83" s="1715"/>
      <c r="C83" s="1715"/>
      <c r="D83" s="1715"/>
      <c r="E83" s="1715"/>
      <c r="F83" s="1715"/>
      <c r="G83" s="1715"/>
      <c r="H83" s="1715"/>
      <c r="I83" s="1715"/>
      <c r="J83" s="1715"/>
      <c r="K83" s="1715"/>
      <c r="L83" s="1715"/>
      <c r="M83" s="1715"/>
      <c r="N83" s="1715"/>
      <c r="O83" s="1715"/>
      <c r="P83" s="1715"/>
      <c r="Q83" s="1715"/>
      <c r="R83" s="1715"/>
      <c r="S83" s="1715"/>
      <c r="T83" s="1715"/>
      <c r="U83" s="1715"/>
      <c r="V83" s="1715"/>
      <c r="W83" s="1715"/>
      <c r="X83" s="1715"/>
      <c r="Y83" s="1715"/>
      <c r="Z83" s="1715"/>
      <c r="AA83" s="1715"/>
      <c r="AB83" s="1715"/>
    </row>
    <row r="84" spans="2:31" ht="27" customHeight="1" x14ac:dyDescent="0.25">
      <c r="B84" s="1715"/>
      <c r="C84" s="1715"/>
      <c r="D84" s="1715"/>
      <c r="E84" s="1715"/>
      <c r="F84" s="1715"/>
      <c r="G84" s="1715"/>
      <c r="H84" s="1715"/>
      <c r="I84" s="1715"/>
      <c r="J84" s="1715"/>
      <c r="K84" s="1715"/>
      <c r="L84" s="1715"/>
      <c r="M84" s="1715"/>
      <c r="N84" s="1715"/>
      <c r="O84" s="1715"/>
      <c r="P84" s="1715"/>
      <c r="Q84" s="1715"/>
      <c r="R84" s="1715"/>
      <c r="S84" s="1715"/>
      <c r="T84" s="1715"/>
      <c r="U84" s="1715"/>
      <c r="V84" s="1715"/>
      <c r="W84" s="1715"/>
      <c r="X84" s="1715"/>
      <c r="Y84" s="1715"/>
      <c r="Z84" s="1715"/>
      <c r="AA84" s="1715"/>
      <c r="AB84" s="1715"/>
    </row>
    <row r="85" spans="2:31" x14ac:dyDescent="0.25">
      <c r="B85" s="1715"/>
      <c r="C85" s="1715"/>
      <c r="D85" s="1715"/>
      <c r="E85" s="1715"/>
      <c r="F85" s="1715"/>
      <c r="G85" s="1715"/>
      <c r="H85" s="1715"/>
      <c r="I85" s="1715"/>
      <c r="J85" s="1715"/>
      <c r="K85" s="1715"/>
      <c r="L85" s="1715"/>
      <c r="M85" s="1715"/>
      <c r="N85" s="1715"/>
      <c r="O85" s="1715"/>
      <c r="P85" s="1715"/>
      <c r="Q85" s="1715"/>
      <c r="R85" s="1715"/>
      <c r="S85" s="1715"/>
      <c r="T85" s="1715"/>
      <c r="U85" s="1715"/>
      <c r="V85" s="1715"/>
      <c r="W85" s="1715"/>
      <c r="X85" s="1715"/>
      <c r="Y85" s="1715"/>
      <c r="Z85" s="1715"/>
      <c r="AA85" s="1715"/>
      <c r="AB85" s="1715"/>
    </row>
    <row r="86" spans="2:31" x14ac:dyDescent="0.25">
      <c r="B86" s="1715"/>
      <c r="C86" s="1715"/>
      <c r="D86" s="1715"/>
      <c r="E86" s="1715"/>
      <c r="F86" s="1715"/>
      <c r="G86" s="1715"/>
      <c r="H86" s="1715"/>
      <c r="I86" s="1715"/>
      <c r="J86" s="1715"/>
      <c r="K86" s="1715"/>
      <c r="L86" s="1715"/>
      <c r="M86" s="1715"/>
      <c r="N86" s="1715"/>
      <c r="O86" s="1715"/>
      <c r="P86" s="1715"/>
      <c r="Q86" s="1715"/>
      <c r="R86" s="1715"/>
      <c r="S86" s="1715"/>
      <c r="T86" s="1715"/>
      <c r="U86" s="1715"/>
      <c r="V86" s="1715"/>
      <c r="W86" s="1715"/>
      <c r="X86" s="1715"/>
      <c r="Y86" s="1715"/>
      <c r="Z86" s="1715"/>
      <c r="AA86" s="1715"/>
      <c r="AB86" s="1715"/>
    </row>
    <row r="87" spans="2:31" ht="15.75" x14ac:dyDescent="0.25">
      <c r="B87" s="1727" t="s">
        <v>2011</v>
      </c>
      <c r="C87" s="1725"/>
      <c r="D87" s="1722"/>
      <c r="E87" s="1722"/>
      <c r="F87" s="1722"/>
      <c r="G87" s="1722"/>
      <c r="H87" s="1722"/>
      <c r="I87" s="1722"/>
      <c r="J87" s="1722"/>
      <c r="K87" s="1722"/>
      <c r="L87" s="1722"/>
      <c r="M87" s="1722"/>
      <c r="N87" s="1722"/>
      <c r="O87" s="1722"/>
      <c r="P87" s="1722"/>
      <c r="Q87" s="1722"/>
      <c r="R87" s="1722"/>
      <c r="S87" s="1722"/>
      <c r="T87" s="1722"/>
      <c r="U87" s="1722"/>
      <c r="V87" s="1722"/>
      <c r="W87" s="1722"/>
      <c r="X87" s="1722"/>
      <c r="Y87" s="1722"/>
      <c r="Z87" s="1722"/>
      <c r="AA87" s="1719"/>
      <c r="AB87" s="1720"/>
    </row>
    <row r="88" spans="2:31" x14ac:dyDescent="0.25">
      <c r="B88" s="1726"/>
      <c r="C88" s="1725"/>
      <c r="D88" s="1722"/>
      <c r="E88" s="1722"/>
      <c r="F88" s="1722"/>
      <c r="G88" s="1722"/>
      <c r="H88" s="1722"/>
      <c r="I88" s="1722"/>
      <c r="J88" s="1722"/>
      <c r="K88" s="1722"/>
      <c r="L88" s="1722"/>
      <c r="M88" s="1722"/>
      <c r="N88" s="1722"/>
      <c r="O88" s="1722"/>
      <c r="P88" s="1722"/>
      <c r="Q88" s="1722"/>
      <c r="R88" s="1722"/>
      <c r="S88" s="1722"/>
      <c r="T88" s="1722"/>
      <c r="U88" s="1722"/>
      <c r="V88" s="1722"/>
      <c r="W88" s="1722"/>
      <c r="X88" s="1722"/>
      <c r="Y88" s="1722"/>
      <c r="Z88" s="1722"/>
      <c r="AA88" s="1719"/>
      <c r="AB88" s="1720"/>
    </row>
    <row r="89" spans="2:31" x14ac:dyDescent="0.25">
      <c r="B89" s="1726" t="s">
        <v>2014</v>
      </c>
      <c r="C89" s="1725"/>
      <c r="D89" s="1722"/>
      <c r="E89" s="1722"/>
      <c r="F89" s="1722"/>
      <c r="G89" s="1722"/>
      <c r="H89" s="1722"/>
      <c r="I89" s="1722"/>
      <c r="J89" s="1722"/>
      <c r="K89" s="1722"/>
      <c r="L89" s="1722"/>
      <c r="M89" s="1722"/>
      <c r="N89" s="1722"/>
      <c r="O89" s="1722"/>
      <c r="P89" s="1722"/>
      <c r="Q89" s="1722"/>
      <c r="R89" s="1722"/>
      <c r="S89" s="1722"/>
      <c r="T89" s="1722"/>
      <c r="U89" s="1722"/>
      <c r="V89" s="1722"/>
      <c r="W89" s="1722"/>
      <c r="X89" s="1722"/>
      <c r="Y89" s="1722"/>
      <c r="Z89" s="1722"/>
      <c r="AA89" s="1719"/>
      <c r="AB89" s="1720"/>
    </row>
    <row r="90" spans="2:31" x14ac:dyDescent="0.25">
      <c r="B90" s="1715"/>
      <c r="C90" s="1715"/>
      <c r="D90" s="1715"/>
      <c r="E90" s="1715"/>
      <c r="F90" s="1715"/>
      <c r="G90" s="1715"/>
      <c r="H90" s="1715"/>
      <c r="I90" s="1715"/>
      <c r="J90" s="1715"/>
      <c r="K90" s="1715"/>
      <c r="L90" s="1715"/>
      <c r="M90" s="1715"/>
      <c r="N90" s="1715"/>
      <c r="O90" s="1715"/>
      <c r="P90" s="1715"/>
      <c r="Q90" s="1715"/>
      <c r="R90" s="1715"/>
      <c r="S90" s="1715"/>
      <c r="T90" s="1715"/>
      <c r="U90" s="1715"/>
      <c r="V90" s="1715"/>
      <c r="W90" s="1715"/>
      <c r="X90" s="1715"/>
      <c r="Y90" s="1715"/>
      <c r="Z90" s="1715"/>
      <c r="AA90" s="1715"/>
      <c r="AB90" s="1715"/>
    </row>
    <row r="91" spans="2:31" ht="15" customHeight="1" x14ac:dyDescent="0.25">
      <c r="B91" s="1715" t="s">
        <v>1434</v>
      </c>
      <c r="C91" s="2497" t="s">
        <v>1611</v>
      </c>
      <c r="D91" s="2502"/>
      <c r="E91" s="2502"/>
      <c r="F91" s="2502"/>
      <c r="G91" s="2502"/>
      <c r="H91" s="2502"/>
      <c r="I91" s="2502"/>
      <c r="J91" s="2502"/>
      <c r="K91" s="2502"/>
      <c r="L91" s="2502"/>
      <c r="M91" s="2502"/>
      <c r="N91" s="2502"/>
      <c r="O91" s="2502"/>
      <c r="P91" s="2502"/>
      <c r="Q91" s="2502"/>
      <c r="R91" s="2502"/>
      <c r="S91" s="2502"/>
      <c r="T91" s="2502"/>
      <c r="U91" s="2502"/>
      <c r="V91" s="2502"/>
      <c r="W91" s="2502"/>
      <c r="X91" s="2502"/>
      <c r="Y91" s="2502"/>
      <c r="Z91" s="2502"/>
      <c r="AA91" s="2502"/>
      <c r="AB91" s="2503"/>
    </row>
    <row r="92" spans="2:31" x14ac:dyDescent="0.25">
      <c r="B92" s="1715"/>
      <c r="C92" s="1715"/>
      <c r="D92" s="1715"/>
      <c r="E92" s="1715"/>
      <c r="F92" s="1715"/>
      <c r="G92" s="1715"/>
      <c r="H92" s="1715"/>
      <c r="I92" s="1715"/>
      <c r="J92" s="1715"/>
      <c r="K92" s="1715"/>
      <c r="L92" s="1715"/>
      <c r="M92" s="1715"/>
      <c r="N92" s="1715"/>
      <c r="O92" s="1715"/>
      <c r="P92" s="1715"/>
      <c r="Q92" s="1715"/>
      <c r="R92" s="1715"/>
      <c r="S92" s="1715"/>
      <c r="T92" s="1715"/>
      <c r="U92" s="1715"/>
      <c r="V92" s="1715"/>
      <c r="W92" s="1715"/>
      <c r="X92" s="1715"/>
      <c r="Y92" s="1715"/>
      <c r="Z92" s="1715"/>
      <c r="AA92" s="1715"/>
      <c r="AB92" s="1715"/>
    </row>
    <row r="93" spans="2:31" s="1748" customFormat="1" ht="21" customHeight="1" x14ac:dyDescent="0.25">
      <c r="B93" s="1747"/>
      <c r="C93" s="1746" t="s">
        <v>1435</v>
      </c>
      <c r="D93" s="1747" t="s">
        <v>1436</v>
      </c>
      <c r="E93" s="1747" t="s">
        <v>1437</v>
      </c>
      <c r="F93" s="1747" t="s">
        <v>1438</v>
      </c>
      <c r="G93" s="1747" t="s">
        <v>1439</v>
      </c>
      <c r="H93" s="1747" t="s">
        <v>1440</v>
      </c>
      <c r="I93" s="1747" t="s">
        <v>1441</v>
      </c>
      <c r="J93" s="1747" t="s">
        <v>1442</v>
      </c>
      <c r="K93" s="1747" t="s">
        <v>1443</v>
      </c>
      <c r="L93" s="1747" t="s">
        <v>1444</v>
      </c>
      <c r="M93" s="1747" t="s">
        <v>1445</v>
      </c>
      <c r="N93" s="1747" t="s">
        <v>1446</v>
      </c>
      <c r="O93" s="1747" t="s">
        <v>1447</v>
      </c>
      <c r="P93" s="1747" t="s">
        <v>1448</v>
      </c>
      <c r="Q93" s="1747" t="s">
        <v>1449</v>
      </c>
      <c r="R93" s="1747" t="s">
        <v>1450</v>
      </c>
      <c r="S93" s="1747" t="s">
        <v>1451</v>
      </c>
      <c r="T93" s="1747" t="s">
        <v>1452</v>
      </c>
      <c r="U93" s="1747" t="s">
        <v>1453</v>
      </c>
      <c r="V93" s="1747" t="s">
        <v>1454</v>
      </c>
      <c r="W93" s="1747" t="s">
        <v>1455</v>
      </c>
      <c r="X93" s="1747" t="s">
        <v>1456</v>
      </c>
      <c r="Y93" s="1747" t="s">
        <v>1457</v>
      </c>
      <c r="Z93" s="1747" t="s">
        <v>1458</v>
      </c>
      <c r="AA93" s="1747" t="s">
        <v>1459</v>
      </c>
      <c r="AB93" s="1747" t="s">
        <v>1460</v>
      </c>
    </row>
    <row r="94" spans="2:31" x14ac:dyDescent="0.25">
      <c r="B94" s="1765" t="s">
        <v>1469</v>
      </c>
      <c r="C94" s="1771">
        <f t="shared" ref="C94:H94" si="2">IF(SI_IP_Units="IP",70,CONVERT(70,"F","C"))</f>
        <v>70</v>
      </c>
      <c r="D94" s="1771">
        <f t="shared" si="2"/>
        <v>70</v>
      </c>
      <c r="E94" s="1771">
        <f t="shared" si="2"/>
        <v>70</v>
      </c>
      <c r="F94" s="1771">
        <f t="shared" si="2"/>
        <v>70</v>
      </c>
      <c r="G94" s="1771">
        <f t="shared" si="2"/>
        <v>70</v>
      </c>
      <c r="H94" s="1771">
        <f t="shared" si="2"/>
        <v>70</v>
      </c>
      <c r="I94" s="1771">
        <f t="shared" ref="I94:Y94" si="3">IF(SI_IP_Units="IP",72,CONVERT(72,"F","C"))</f>
        <v>72</v>
      </c>
      <c r="J94" s="1771">
        <f t="shared" si="3"/>
        <v>72</v>
      </c>
      <c r="K94" s="1771">
        <f t="shared" si="3"/>
        <v>72</v>
      </c>
      <c r="L94" s="1771">
        <f t="shared" si="3"/>
        <v>72</v>
      </c>
      <c r="M94" s="1771">
        <f t="shared" si="3"/>
        <v>72</v>
      </c>
      <c r="N94" s="1771">
        <f t="shared" si="3"/>
        <v>72</v>
      </c>
      <c r="O94" s="1771">
        <f t="shared" si="3"/>
        <v>72</v>
      </c>
      <c r="P94" s="1771">
        <f t="shared" si="3"/>
        <v>72</v>
      </c>
      <c r="Q94" s="1771">
        <f t="shared" si="3"/>
        <v>72</v>
      </c>
      <c r="R94" s="1771">
        <f t="shared" si="3"/>
        <v>72</v>
      </c>
      <c r="S94" s="1771">
        <f t="shared" si="3"/>
        <v>72</v>
      </c>
      <c r="T94" s="1771">
        <f t="shared" si="3"/>
        <v>72</v>
      </c>
      <c r="U94" s="1771">
        <f t="shared" si="3"/>
        <v>72</v>
      </c>
      <c r="V94" s="1771">
        <f t="shared" si="3"/>
        <v>72</v>
      </c>
      <c r="W94" s="1771">
        <f t="shared" si="3"/>
        <v>72</v>
      </c>
      <c r="X94" s="1771">
        <f t="shared" si="3"/>
        <v>72</v>
      </c>
      <c r="Y94" s="1771">
        <f t="shared" si="3"/>
        <v>72</v>
      </c>
      <c r="Z94" s="1771">
        <f>IF(SI_IP_Units="IP",70,CONVERT(70,"F","C"))</f>
        <v>70</v>
      </c>
      <c r="AA94" s="1752">
        <v>24</v>
      </c>
      <c r="AB94" s="1753">
        <v>8760</v>
      </c>
    </row>
    <row r="95" spans="2:31" x14ac:dyDescent="0.25">
      <c r="B95" s="1769" t="s">
        <v>1470</v>
      </c>
      <c r="C95" s="1772">
        <f t="shared" ref="C95:K95" si="4">IF(SI_IP_Units="IP",78,CONVERT(78,"F","C"))</f>
        <v>78</v>
      </c>
      <c r="D95" s="1772">
        <f t="shared" si="4"/>
        <v>78</v>
      </c>
      <c r="E95" s="1772">
        <f t="shared" si="4"/>
        <v>78</v>
      </c>
      <c r="F95" s="1772">
        <f t="shared" si="4"/>
        <v>78</v>
      </c>
      <c r="G95" s="1772">
        <f t="shared" si="4"/>
        <v>78</v>
      </c>
      <c r="H95" s="1772">
        <f t="shared" si="4"/>
        <v>78</v>
      </c>
      <c r="I95" s="1772">
        <f t="shared" si="4"/>
        <v>78</v>
      </c>
      <c r="J95" s="1772">
        <f t="shared" si="4"/>
        <v>78</v>
      </c>
      <c r="K95" s="1772">
        <f t="shared" si="4"/>
        <v>78</v>
      </c>
      <c r="L95" s="1772">
        <f t="shared" ref="L95:Q95" si="5">IF(SI_IP_Units="IP",80,CONVERT(80,"F","C"))</f>
        <v>80</v>
      </c>
      <c r="M95" s="1772">
        <f t="shared" si="5"/>
        <v>80</v>
      </c>
      <c r="N95" s="1772">
        <f t="shared" si="5"/>
        <v>80</v>
      </c>
      <c r="O95" s="1772">
        <f t="shared" si="5"/>
        <v>80</v>
      </c>
      <c r="P95" s="1772">
        <f t="shared" si="5"/>
        <v>80</v>
      </c>
      <c r="Q95" s="1772">
        <f t="shared" si="5"/>
        <v>80</v>
      </c>
      <c r="R95" s="1772">
        <f t="shared" ref="R95:Z95" si="6">IF(SI_IP_Units="IP",78,CONVERT(78,"F","C"))</f>
        <v>78</v>
      </c>
      <c r="S95" s="1772">
        <f t="shared" si="6"/>
        <v>78</v>
      </c>
      <c r="T95" s="1772">
        <f t="shared" si="6"/>
        <v>78</v>
      </c>
      <c r="U95" s="1772">
        <f t="shared" si="6"/>
        <v>78</v>
      </c>
      <c r="V95" s="1772">
        <f t="shared" si="6"/>
        <v>78</v>
      </c>
      <c r="W95" s="1772">
        <f t="shared" si="6"/>
        <v>78</v>
      </c>
      <c r="X95" s="1772">
        <f t="shared" si="6"/>
        <v>78</v>
      </c>
      <c r="Y95" s="1772">
        <f t="shared" si="6"/>
        <v>78</v>
      </c>
      <c r="Z95" s="1772">
        <f t="shared" si="6"/>
        <v>78</v>
      </c>
      <c r="AA95" s="1760">
        <v>24</v>
      </c>
      <c r="AB95" s="1761">
        <v>8760</v>
      </c>
    </row>
    <row r="96" spans="2:31" x14ac:dyDescent="0.25">
      <c r="B96" s="1715"/>
      <c r="C96" s="1715"/>
      <c r="D96" s="1715"/>
      <c r="E96" s="1715"/>
      <c r="F96" s="1715"/>
      <c r="G96" s="1715"/>
      <c r="H96" s="1715"/>
      <c r="I96" s="1715"/>
      <c r="J96" s="1715"/>
      <c r="K96" s="1715"/>
      <c r="L96" s="1715"/>
      <c r="M96" s="1715"/>
      <c r="N96" s="1715"/>
      <c r="O96" s="1715"/>
      <c r="P96" s="1715"/>
      <c r="Q96" s="1715"/>
      <c r="R96" s="1715"/>
      <c r="S96" s="1715"/>
      <c r="T96" s="1715"/>
      <c r="U96" s="1715"/>
      <c r="V96" s="1715"/>
      <c r="W96" s="1715"/>
      <c r="X96" s="1715"/>
      <c r="Y96" s="1715"/>
      <c r="Z96" s="1715"/>
      <c r="AA96" s="1715"/>
      <c r="AB96" s="1715"/>
    </row>
    <row r="97" spans="2:28" ht="15" customHeight="1" x14ac:dyDescent="0.25">
      <c r="B97" s="1715" t="s">
        <v>1434</v>
      </c>
      <c r="C97" s="2497" t="s">
        <v>1612</v>
      </c>
      <c r="D97" s="2498"/>
      <c r="E97" s="2498"/>
      <c r="F97" s="2498"/>
      <c r="G97" s="2498"/>
      <c r="H97" s="2498"/>
      <c r="I97" s="2498"/>
      <c r="J97" s="2498"/>
      <c r="K97" s="2498"/>
      <c r="L97" s="2498"/>
      <c r="M97" s="2498"/>
      <c r="N97" s="2498"/>
      <c r="O97" s="2498"/>
      <c r="P97" s="2498"/>
      <c r="Q97" s="2498"/>
      <c r="R97" s="2498"/>
      <c r="S97" s="2498"/>
      <c r="T97" s="2498"/>
      <c r="U97" s="2498"/>
      <c r="V97" s="2498"/>
      <c r="W97" s="2498"/>
      <c r="X97" s="2498"/>
      <c r="Y97" s="2498"/>
      <c r="Z97" s="2498"/>
      <c r="AA97" s="2498"/>
      <c r="AB97" s="2499"/>
    </row>
    <row r="98" spans="2:28" x14ac:dyDescent="0.25">
      <c r="B98" s="1715"/>
      <c r="C98" s="1715"/>
      <c r="D98" s="1715"/>
      <c r="E98" s="1715"/>
      <c r="F98" s="1715"/>
      <c r="G98" s="1715"/>
      <c r="H98" s="1715"/>
      <c r="I98" s="1715"/>
      <c r="J98" s="1715"/>
      <c r="K98" s="1715"/>
      <c r="L98" s="1715"/>
      <c r="M98" s="1715"/>
      <c r="N98" s="1715"/>
      <c r="O98" s="1715"/>
      <c r="P98" s="1715"/>
      <c r="Q98" s="1715"/>
      <c r="R98" s="1715"/>
      <c r="S98" s="1715"/>
      <c r="T98" s="1715"/>
      <c r="U98" s="1715"/>
      <c r="V98" s="1715"/>
      <c r="W98" s="1715"/>
      <c r="X98" s="1715"/>
      <c r="Y98" s="1715"/>
      <c r="Z98" s="1715"/>
      <c r="AA98" s="1715"/>
      <c r="AB98" s="1715"/>
    </row>
    <row r="99" spans="2:28" s="1748" customFormat="1" ht="21" customHeight="1" x14ac:dyDescent="0.25">
      <c r="B99" s="1747"/>
      <c r="C99" s="1746" t="s">
        <v>1435</v>
      </c>
      <c r="D99" s="1747" t="s">
        <v>1436</v>
      </c>
      <c r="E99" s="1747" t="s">
        <v>1437</v>
      </c>
      <c r="F99" s="1747" t="s">
        <v>1438</v>
      </c>
      <c r="G99" s="1747" t="s">
        <v>1439</v>
      </c>
      <c r="H99" s="1747" t="s">
        <v>1440</v>
      </c>
      <c r="I99" s="1747" t="s">
        <v>1441</v>
      </c>
      <c r="J99" s="1747" t="s">
        <v>1442</v>
      </c>
      <c r="K99" s="1747" t="s">
        <v>1443</v>
      </c>
      <c r="L99" s="1747" t="s">
        <v>1444</v>
      </c>
      <c r="M99" s="1747" t="s">
        <v>1445</v>
      </c>
      <c r="N99" s="1747" t="s">
        <v>1446</v>
      </c>
      <c r="O99" s="1747" t="s">
        <v>1447</v>
      </c>
      <c r="P99" s="1747" t="s">
        <v>1448</v>
      </c>
      <c r="Q99" s="1747" t="s">
        <v>1449</v>
      </c>
      <c r="R99" s="1747" t="s">
        <v>1450</v>
      </c>
      <c r="S99" s="1747" t="s">
        <v>1451</v>
      </c>
      <c r="T99" s="1747" t="s">
        <v>1452</v>
      </c>
      <c r="U99" s="1747" t="s">
        <v>1453</v>
      </c>
      <c r="V99" s="1747" t="s">
        <v>1454</v>
      </c>
      <c r="W99" s="1747" t="s">
        <v>1455</v>
      </c>
      <c r="X99" s="1747" t="s">
        <v>1456</v>
      </c>
      <c r="Y99" s="1747" t="s">
        <v>1457</v>
      </c>
      <c r="Z99" s="1747" t="s">
        <v>1458</v>
      </c>
      <c r="AA99" s="1747" t="s">
        <v>1466</v>
      </c>
      <c r="AB99" s="1747" t="s">
        <v>1467</v>
      </c>
    </row>
    <row r="100" spans="2:28" x14ac:dyDescent="0.25">
      <c r="B100" s="1765" t="s">
        <v>1461</v>
      </c>
      <c r="C100" s="1773">
        <v>1.6E-2</v>
      </c>
      <c r="D100" s="1773">
        <v>1.6E-2</v>
      </c>
      <c r="E100" s="1773">
        <v>1.6E-2</v>
      </c>
      <c r="F100" s="1773">
        <v>1.6E-2</v>
      </c>
      <c r="G100" s="1773">
        <v>1.6E-2</v>
      </c>
      <c r="H100" s="1773">
        <v>1.6E-2</v>
      </c>
      <c r="I100" s="1773">
        <v>7.6999999999999999E-2</v>
      </c>
      <c r="J100" s="1773">
        <v>0.14000000000000001</v>
      </c>
      <c r="K100" s="1773">
        <v>0.14000000000000001</v>
      </c>
      <c r="L100" s="1773">
        <v>0.108</v>
      </c>
      <c r="M100" s="1773">
        <v>0.108</v>
      </c>
      <c r="N100" s="1773">
        <v>0.108</v>
      </c>
      <c r="O100" s="1773">
        <v>7.6999999999999999E-2</v>
      </c>
      <c r="P100" s="1773">
        <v>7.6999999999999999E-2</v>
      </c>
      <c r="Q100" s="1773">
        <v>7.6999999999999999E-2</v>
      </c>
      <c r="R100" s="1773">
        <v>7.6999999999999999E-2</v>
      </c>
      <c r="S100" s="1773">
        <v>7.6999999999999999E-2</v>
      </c>
      <c r="T100" s="1773">
        <v>0.108</v>
      </c>
      <c r="U100" s="1773">
        <v>0.217</v>
      </c>
      <c r="V100" s="1773">
        <v>0.217</v>
      </c>
      <c r="W100" s="1773">
        <v>0.217</v>
      </c>
      <c r="X100" s="1773">
        <v>0.217</v>
      </c>
      <c r="Y100" s="1773">
        <v>0.186</v>
      </c>
      <c r="Z100" s="1773">
        <v>1.6E-2</v>
      </c>
      <c r="AA100" s="1752">
        <f>SUM(C100:Z100)</f>
        <v>2.3400000000000003</v>
      </c>
      <c r="AB100" s="1753">
        <f>AA100*SUM($C$9:$C$13)</f>
        <v>585.00000000000011</v>
      </c>
    </row>
    <row r="101" spans="2:28" x14ac:dyDescent="0.25">
      <c r="B101" s="1767" t="s">
        <v>1462</v>
      </c>
      <c r="C101" s="1774">
        <v>1.6E-2</v>
      </c>
      <c r="D101" s="1774">
        <v>1.6E-2</v>
      </c>
      <c r="E101" s="1774">
        <v>1.6E-2</v>
      </c>
      <c r="F101" s="1774">
        <v>1.6E-2</v>
      </c>
      <c r="G101" s="1774">
        <v>1.6E-2</v>
      </c>
      <c r="H101" s="1774">
        <v>1.6E-2</v>
      </c>
      <c r="I101" s="1774">
        <v>7.6999999999999999E-2</v>
      </c>
      <c r="J101" s="1774">
        <v>0.14000000000000001</v>
      </c>
      <c r="K101" s="1774">
        <v>0.14000000000000001</v>
      </c>
      <c r="L101" s="1774">
        <v>0.108</v>
      </c>
      <c r="M101" s="1774">
        <v>0.108</v>
      </c>
      <c r="N101" s="1774">
        <v>0.108</v>
      </c>
      <c r="O101" s="1774">
        <v>7.6999999999999999E-2</v>
      </c>
      <c r="P101" s="1774">
        <v>7.6999999999999999E-2</v>
      </c>
      <c r="Q101" s="1774">
        <v>7.6999999999999999E-2</v>
      </c>
      <c r="R101" s="1774">
        <v>7.6999999999999999E-2</v>
      </c>
      <c r="S101" s="1774">
        <v>7.6999999999999999E-2</v>
      </c>
      <c r="T101" s="1774">
        <v>0.108</v>
      </c>
      <c r="U101" s="1774">
        <v>0.217</v>
      </c>
      <c r="V101" s="1774">
        <v>0.217</v>
      </c>
      <c r="W101" s="1774">
        <v>0.217</v>
      </c>
      <c r="X101" s="1774">
        <v>0.217</v>
      </c>
      <c r="Y101" s="1774">
        <v>0.186</v>
      </c>
      <c r="Z101" s="1774">
        <v>1.6E-2</v>
      </c>
      <c r="AA101" s="1756">
        <f>SUM(C101:Z101)</f>
        <v>2.3400000000000003</v>
      </c>
      <c r="AB101" s="1757">
        <f>AA101*SUM($C$14:$C$15)</f>
        <v>243.36000000000004</v>
      </c>
    </row>
    <row r="102" spans="2:28" x14ac:dyDescent="0.25">
      <c r="B102" s="1769" t="s">
        <v>1463</v>
      </c>
      <c r="C102" s="1775">
        <v>1.6E-2</v>
      </c>
      <c r="D102" s="1775">
        <v>1.6E-2</v>
      </c>
      <c r="E102" s="1775">
        <v>1.6E-2</v>
      </c>
      <c r="F102" s="1775">
        <v>1.6E-2</v>
      </c>
      <c r="G102" s="1775">
        <v>1.6E-2</v>
      </c>
      <c r="H102" s="1775">
        <v>1.6E-2</v>
      </c>
      <c r="I102" s="1775">
        <v>7.6999999999999999E-2</v>
      </c>
      <c r="J102" s="1775">
        <v>0.14000000000000001</v>
      </c>
      <c r="K102" s="1775">
        <v>0.14000000000000001</v>
      </c>
      <c r="L102" s="1775">
        <v>0.108</v>
      </c>
      <c r="M102" s="1775">
        <v>0.108</v>
      </c>
      <c r="N102" s="1775">
        <v>0.108</v>
      </c>
      <c r="O102" s="1775">
        <v>7.6999999999999999E-2</v>
      </c>
      <c r="P102" s="1775">
        <v>7.6999999999999999E-2</v>
      </c>
      <c r="Q102" s="1775">
        <v>7.6999999999999999E-2</v>
      </c>
      <c r="R102" s="1775">
        <v>7.6999999999999999E-2</v>
      </c>
      <c r="S102" s="1775">
        <v>7.6999999999999999E-2</v>
      </c>
      <c r="T102" s="1775">
        <v>0.108</v>
      </c>
      <c r="U102" s="1775">
        <v>0.217</v>
      </c>
      <c r="V102" s="1775">
        <v>0.217</v>
      </c>
      <c r="W102" s="1775">
        <v>0.217</v>
      </c>
      <c r="X102" s="1775">
        <v>0.217</v>
      </c>
      <c r="Y102" s="1775">
        <v>0.186</v>
      </c>
      <c r="Z102" s="1775">
        <v>1.6E-2</v>
      </c>
      <c r="AA102" s="1760">
        <f>SUM(C102:Z102)</f>
        <v>2.3400000000000003</v>
      </c>
      <c r="AB102" s="1761">
        <f>AA102*$C$8</f>
        <v>25.740000000000002</v>
      </c>
    </row>
    <row r="103" spans="2:28" x14ac:dyDescent="0.25">
      <c r="B103" s="2500" t="s">
        <v>1468</v>
      </c>
      <c r="C103" s="2501"/>
      <c r="D103" s="2501"/>
      <c r="E103" s="2501"/>
      <c r="F103" s="2501"/>
      <c r="G103" s="2501"/>
      <c r="H103" s="2501"/>
      <c r="I103" s="2501"/>
      <c r="J103" s="2501"/>
      <c r="K103" s="2501"/>
      <c r="L103" s="2501"/>
      <c r="M103" s="2501"/>
      <c r="N103" s="2501"/>
      <c r="O103" s="2501"/>
      <c r="P103" s="2501"/>
      <c r="Q103" s="2501"/>
      <c r="R103" s="2501"/>
      <c r="S103" s="2501"/>
      <c r="T103" s="2501"/>
      <c r="U103" s="2501"/>
      <c r="V103" s="2501"/>
      <c r="W103" s="2501"/>
      <c r="X103" s="2501"/>
      <c r="Y103" s="2501"/>
      <c r="Z103" s="2501"/>
      <c r="AA103" s="2501"/>
      <c r="AB103" s="1749">
        <f>SUM(AB100:AB102)</f>
        <v>854.10000000000014</v>
      </c>
    </row>
    <row r="104" spans="2:28" x14ac:dyDescent="0.25">
      <c r="B104" s="1715"/>
      <c r="C104" s="1715"/>
      <c r="D104" s="1715"/>
      <c r="E104" s="1715"/>
      <c r="F104" s="1715"/>
      <c r="G104" s="1715"/>
      <c r="H104" s="1715"/>
      <c r="I104" s="1715"/>
      <c r="J104" s="1715"/>
      <c r="K104" s="1715"/>
      <c r="L104" s="1715"/>
      <c r="M104" s="1715"/>
      <c r="N104" s="1715"/>
      <c r="O104" s="1715"/>
      <c r="P104" s="1715"/>
      <c r="Q104" s="1715"/>
      <c r="R104" s="1715"/>
      <c r="S104" s="1715"/>
      <c r="T104" s="1715"/>
      <c r="U104" s="1715"/>
      <c r="V104" s="1715"/>
      <c r="W104" s="1715"/>
      <c r="X104" s="1715"/>
      <c r="Y104" s="1715"/>
      <c r="Z104" s="1715"/>
      <c r="AA104" s="1715"/>
      <c r="AB104" s="1715"/>
    </row>
    <row r="105" spans="2:28" ht="15" customHeight="1" x14ac:dyDescent="0.25">
      <c r="B105" s="1715" t="s">
        <v>1434</v>
      </c>
      <c r="C105" s="2497" t="s">
        <v>1613</v>
      </c>
      <c r="D105" s="2498"/>
      <c r="E105" s="2498"/>
      <c r="F105" s="2498"/>
      <c r="G105" s="2498"/>
      <c r="H105" s="2498"/>
      <c r="I105" s="2498"/>
      <c r="J105" s="2498"/>
      <c r="K105" s="2498"/>
      <c r="L105" s="2498"/>
      <c r="M105" s="2498"/>
      <c r="N105" s="2498"/>
      <c r="O105" s="2498"/>
      <c r="P105" s="2498"/>
      <c r="Q105" s="2498"/>
      <c r="R105" s="2498"/>
      <c r="S105" s="2498"/>
      <c r="T105" s="2498"/>
      <c r="U105" s="2498"/>
      <c r="V105" s="2498"/>
      <c r="W105" s="2498"/>
      <c r="X105" s="2498"/>
      <c r="Y105" s="2498"/>
      <c r="Z105" s="2498"/>
      <c r="AA105" s="2498"/>
      <c r="AB105" s="2499"/>
    </row>
    <row r="106" spans="2:28" x14ac:dyDescent="0.25">
      <c r="B106" s="1715"/>
      <c r="C106" s="1715"/>
      <c r="D106" s="1715"/>
      <c r="E106" s="1715"/>
      <c r="F106" s="1715"/>
      <c r="G106" s="1715"/>
      <c r="H106" s="1715"/>
      <c r="I106" s="1715"/>
      <c r="J106" s="1715"/>
      <c r="K106" s="1715"/>
      <c r="L106" s="1715"/>
      <c r="M106" s="1715"/>
      <c r="N106" s="1715"/>
      <c r="O106" s="1715"/>
      <c r="P106" s="1715"/>
      <c r="Q106" s="1715"/>
      <c r="R106" s="1715"/>
      <c r="S106" s="1715"/>
      <c r="T106" s="1715"/>
      <c r="U106" s="1715"/>
      <c r="V106" s="1715"/>
      <c r="W106" s="1715"/>
      <c r="X106" s="1715"/>
      <c r="Y106" s="1715"/>
      <c r="Z106" s="1715"/>
      <c r="AA106" s="1715"/>
      <c r="AB106" s="1715"/>
    </row>
    <row r="107" spans="2:28" s="1748" customFormat="1" ht="21" customHeight="1" x14ac:dyDescent="0.25">
      <c r="B107" s="1747"/>
      <c r="C107" s="1746" t="s">
        <v>1435</v>
      </c>
      <c r="D107" s="1747" t="s">
        <v>1436</v>
      </c>
      <c r="E107" s="1747" t="s">
        <v>1437</v>
      </c>
      <c r="F107" s="1747" t="s">
        <v>1438</v>
      </c>
      <c r="G107" s="1747" t="s">
        <v>1439</v>
      </c>
      <c r="H107" s="1747" t="s">
        <v>1440</v>
      </c>
      <c r="I107" s="1747" t="s">
        <v>1441</v>
      </c>
      <c r="J107" s="1747" t="s">
        <v>1442</v>
      </c>
      <c r="K107" s="1747" t="s">
        <v>1443</v>
      </c>
      <c r="L107" s="1747" t="s">
        <v>1444</v>
      </c>
      <c r="M107" s="1747" t="s">
        <v>1445</v>
      </c>
      <c r="N107" s="1747" t="s">
        <v>1446</v>
      </c>
      <c r="O107" s="1747" t="s">
        <v>1447</v>
      </c>
      <c r="P107" s="1747" t="s">
        <v>1448</v>
      </c>
      <c r="Q107" s="1747" t="s">
        <v>1449</v>
      </c>
      <c r="R107" s="1747" t="s">
        <v>1450</v>
      </c>
      <c r="S107" s="1747" t="s">
        <v>1451</v>
      </c>
      <c r="T107" s="1747" t="s">
        <v>1452</v>
      </c>
      <c r="U107" s="1747" t="s">
        <v>1453</v>
      </c>
      <c r="V107" s="1747" t="s">
        <v>1454</v>
      </c>
      <c r="W107" s="1747" t="s">
        <v>1455</v>
      </c>
      <c r="X107" s="1747" t="s">
        <v>1456</v>
      </c>
      <c r="Y107" s="1747" t="s">
        <v>1457</v>
      </c>
      <c r="Z107" s="1747" t="s">
        <v>1458</v>
      </c>
      <c r="AA107" s="1747" t="s">
        <v>1466</v>
      </c>
      <c r="AB107" s="1747" t="s">
        <v>1467</v>
      </c>
    </row>
    <row r="108" spans="2:28" x14ac:dyDescent="0.25">
      <c r="B108" s="1765" t="s">
        <v>1461</v>
      </c>
      <c r="C108" s="1776">
        <v>0.05</v>
      </c>
      <c r="D108" s="1776">
        <v>0.05</v>
      </c>
      <c r="E108" s="1776">
        <v>0.05</v>
      </c>
      <c r="F108" s="1776">
        <v>0.05</v>
      </c>
      <c r="G108" s="1776">
        <v>0.05</v>
      </c>
      <c r="H108" s="1776">
        <v>0.05</v>
      </c>
      <c r="I108" s="1776">
        <v>0.05</v>
      </c>
      <c r="J108" s="1776">
        <v>0.05</v>
      </c>
      <c r="K108" s="1776">
        <v>0.5</v>
      </c>
      <c r="L108" s="1776">
        <v>0.5</v>
      </c>
      <c r="M108" s="1776">
        <v>0.5</v>
      </c>
      <c r="N108" s="1776">
        <v>0.5</v>
      </c>
      <c r="O108" s="1776">
        <v>0.3</v>
      </c>
      <c r="P108" s="1776">
        <v>0.5</v>
      </c>
      <c r="Q108" s="1776">
        <v>0.5</v>
      </c>
      <c r="R108" s="1776">
        <v>0.5</v>
      </c>
      <c r="S108" s="1776">
        <v>0.5</v>
      </c>
      <c r="T108" s="1776">
        <v>0.5</v>
      </c>
      <c r="U108" s="1776">
        <v>0.35</v>
      </c>
      <c r="V108" s="1776">
        <v>0.05</v>
      </c>
      <c r="W108" s="1776">
        <v>0.05</v>
      </c>
      <c r="X108" s="1776">
        <v>0.05</v>
      </c>
      <c r="Y108" s="1776">
        <v>0.05</v>
      </c>
      <c r="Z108" s="1776">
        <v>0.05</v>
      </c>
      <c r="AA108" s="1752">
        <f>SUM(C108:Z108)</f>
        <v>5.799999999999998</v>
      </c>
      <c r="AB108" s="1753">
        <f>AA108*SUM($C$9:$C$13)</f>
        <v>1449.9999999999995</v>
      </c>
    </row>
    <row r="109" spans="2:28" x14ac:dyDescent="0.25">
      <c r="B109" s="1767" t="s">
        <v>1462</v>
      </c>
      <c r="C109" s="1777">
        <v>0.05</v>
      </c>
      <c r="D109" s="1777">
        <v>0.05</v>
      </c>
      <c r="E109" s="1777">
        <v>0.05</v>
      </c>
      <c r="F109" s="1777">
        <v>0.05</v>
      </c>
      <c r="G109" s="1777">
        <v>0.05</v>
      </c>
      <c r="H109" s="1777">
        <v>0.05</v>
      </c>
      <c r="I109" s="1777">
        <v>0.05</v>
      </c>
      <c r="J109" s="1777">
        <v>0.05</v>
      </c>
      <c r="K109" s="1777">
        <v>0.5</v>
      </c>
      <c r="L109" s="1777">
        <v>0.5</v>
      </c>
      <c r="M109" s="1777">
        <v>0.5</v>
      </c>
      <c r="N109" s="1777">
        <v>0.5</v>
      </c>
      <c r="O109" s="1777">
        <v>0.3</v>
      </c>
      <c r="P109" s="1777">
        <v>0.5</v>
      </c>
      <c r="Q109" s="1777">
        <v>0.5</v>
      </c>
      <c r="R109" s="1777">
        <v>0.5</v>
      </c>
      <c r="S109" s="1777">
        <v>0.5</v>
      </c>
      <c r="T109" s="1777">
        <v>0.5</v>
      </c>
      <c r="U109" s="1777">
        <v>0.35</v>
      </c>
      <c r="V109" s="1777">
        <v>0.05</v>
      </c>
      <c r="W109" s="1777">
        <v>0.05</v>
      </c>
      <c r="X109" s="1777">
        <v>0.05</v>
      </c>
      <c r="Y109" s="1777">
        <v>0.05</v>
      </c>
      <c r="Z109" s="1777">
        <v>0.05</v>
      </c>
      <c r="AA109" s="1756">
        <f>SUM(C109:Z109)</f>
        <v>5.799999999999998</v>
      </c>
      <c r="AB109" s="1757">
        <f>AA109*SUM($C$14:$C$15)</f>
        <v>603.19999999999982</v>
      </c>
    </row>
    <row r="110" spans="2:28" x14ac:dyDescent="0.25">
      <c r="B110" s="1769" t="s">
        <v>1463</v>
      </c>
      <c r="C110" s="1778">
        <v>0.05</v>
      </c>
      <c r="D110" s="1778">
        <v>0.05</v>
      </c>
      <c r="E110" s="1778">
        <v>0.05</v>
      </c>
      <c r="F110" s="1778">
        <v>0.05</v>
      </c>
      <c r="G110" s="1778">
        <v>0.05</v>
      </c>
      <c r="H110" s="1778">
        <v>0.05</v>
      </c>
      <c r="I110" s="1778">
        <v>0.05</v>
      </c>
      <c r="J110" s="1778">
        <v>0.05</v>
      </c>
      <c r="K110" s="1778">
        <v>0.5</v>
      </c>
      <c r="L110" s="1778">
        <v>0.5</v>
      </c>
      <c r="M110" s="1778">
        <v>0.5</v>
      </c>
      <c r="N110" s="1778">
        <v>0.5</v>
      </c>
      <c r="O110" s="1778">
        <v>0.3</v>
      </c>
      <c r="P110" s="1778">
        <v>0.5</v>
      </c>
      <c r="Q110" s="1778">
        <v>0.5</v>
      </c>
      <c r="R110" s="1778">
        <v>0.5</v>
      </c>
      <c r="S110" s="1778">
        <v>0.5</v>
      </c>
      <c r="T110" s="1778">
        <v>0.5</v>
      </c>
      <c r="U110" s="1778">
        <v>0.35</v>
      </c>
      <c r="V110" s="1778">
        <v>0.05</v>
      </c>
      <c r="W110" s="1778">
        <v>0.05</v>
      </c>
      <c r="X110" s="1778">
        <v>0.05</v>
      </c>
      <c r="Y110" s="1778">
        <v>0.05</v>
      </c>
      <c r="Z110" s="1778">
        <v>0.05</v>
      </c>
      <c r="AA110" s="1760">
        <f>SUM(C110:Z110)</f>
        <v>5.799999999999998</v>
      </c>
      <c r="AB110" s="1761">
        <f>AA110*$C$8</f>
        <v>63.799999999999976</v>
      </c>
    </row>
    <row r="111" spans="2:28" x14ac:dyDescent="0.25">
      <c r="B111" s="2500" t="s">
        <v>1468</v>
      </c>
      <c r="C111" s="2501"/>
      <c r="D111" s="2501"/>
      <c r="E111" s="2501"/>
      <c r="F111" s="2501"/>
      <c r="G111" s="2501"/>
      <c r="H111" s="2501"/>
      <c r="I111" s="2501"/>
      <c r="J111" s="2501"/>
      <c r="K111" s="2501"/>
      <c r="L111" s="2501"/>
      <c r="M111" s="2501"/>
      <c r="N111" s="2501"/>
      <c r="O111" s="2501"/>
      <c r="P111" s="2501"/>
      <c r="Q111" s="2501"/>
      <c r="R111" s="2501"/>
      <c r="S111" s="2501"/>
      <c r="T111" s="2501"/>
      <c r="U111" s="2501"/>
      <c r="V111" s="2501"/>
      <c r="W111" s="2501"/>
      <c r="X111" s="2501"/>
      <c r="Y111" s="2501"/>
      <c r="Z111" s="2501"/>
      <c r="AA111" s="2501"/>
      <c r="AB111" s="1749">
        <f>SUM(AB108:AB110)</f>
        <v>2116.9999999999995</v>
      </c>
    </row>
    <row r="112" spans="2:28" x14ac:dyDescent="0.25">
      <c r="B112" s="1715"/>
      <c r="C112" s="1715"/>
      <c r="D112" s="1715"/>
      <c r="E112" s="1715"/>
      <c r="F112" s="1715"/>
      <c r="G112" s="1715"/>
      <c r="H112" s="1715"/>
      <c r="I112" s="1715"/>
      <c r="J112" s="1715"/>
      <c r="K112" s="1715"/>
      <c r="L112" s="1715"/>
      <c r="M112" s="1715"/>
      <c r="N112" s="1715"/>
      <c r="O112" s="1715"/>
      <c r="P112" s="1715"/>
      <c r="Q112" s="1715"/>
      <c r="R112" s="1715"/>
      <c r="S112" s="1715"/>
      <c r="T112" s="1715"/>
      <c r="U112" s="1715"/>
      <c r="V112" s="1715"/>
      <c r="W112" s="1715"/>
      <c r="X112" s="1715"/>
      <c r="Y112" s="1715"/>
      <c r="Z112" s="1715"/>
      <c r="AA112" s="1715"/>
      <c r="AB112" s="1715"/>
    </row>
    <row r="113" spans="2:28" ht="15" customHeight="1" x14ac:dyDescent="0.25">
      <c r="B113" s="1715" t="s">
        <v>1434</v>
      </c>
      <c r="C113" s="2497" t="s">
        <v>1614</v>
      </c>
      <c r="D113" s="2498"/>
      <c r="E113" s="2498"/>
      <c r="F113" s="2498"/>
      <c r="G113" s="2498"/>
      <c r="H113" s="2498"/>
      <c r="I113" s="2498"/>
      <c r="J113" s="2498"/>
      <c r="K113" s="2498"/>
      <c r="L113" s="2498"/>
      <c r="M113" s="2498"/>
      <c r="N113" s="2498"/>
      <c r="O113" s="2498"/>
      <c r="P113" s="2498"/>
      <c r="Q113" s="2498"/>
      <c r="R113" s="2498"/>
      <c r="S113" s="2498"/>
      <c r="T113" s="2498"/>
      <c r="U113" s="2498"/>
      <c r="V113" s="2498"/>
      <c r="W113" s="2498"/>
      <c r="X113" s="2498"/>
      <c r="Y113" s="2498"/>
      <c r="Z113" s="2498"/>
      <c r="AA113" s="2498"/>
      <c r="AB113" s="2499"/>
    </row>
    <row r="114" spans="2:28" x14ac:dyDescent="0.25">
      <c r="B114" s="1715"/>
      <c r="C114" s="1715"/>
      <c r="D114" s="1715"/>
      <c r="E114" s="1715"/>
      <c r="F114" s="1715"/>
      <c r="G114" s="1715"/>
      <c r="H114" s="1715"/>
      <c r="I114" s="1715"/>
      <c r="J114" s="1715"/>
      <c r="K114" s="1715"/>
      <c r="L114" s="1715"/>
      <c r="M114" s="1715"/>
      <c r="N114" s="1715"/>
      <c r="O114" s="1715"/>
      <c r="P114" s="1715"/>
      <c r="Q114" s="1715"/>
      <c r="R114" s="1715"/>
      <c r="S114" s="1715"/>
      <c r="T114" s="1715"/>
      <c r="U114" s="1715"/>
      <c r="V114" s="1715"/>
      <c r="W114" s="1715"/>
      <c r="X114" s="1715"/>
      <c r="Y114" s="1715"/>
      <c r="Z114" s="1715"/>
      <c r="AA114" s="1715"/>
      <c r="AB114" s="1715"/>
    </row>
    <row r="115" spans="2:28" s="1748" customFormat="1" ht="21" customHeight="1" x14ac:dyDescent="0.25">
      <c r="B115" s="1747"/>
      <c r="C115" s="1746" t="s">
        <v>1435</v>
      </c>
      <c r="D115" s="1747" t="s">
        <v>1436</v>
      </c>
      <c r="E115" s="1747" t="s">
        <v>1437</v>
      </c>
      <c r="F115" s="1747" t="s">
        <v>1438</v>
      </c>
      <c r="G115" s="1747" t="s">
        <v>1439</v>
      </c>
      <c r="H115" s="1747" t="s">
        <v>1440</v>
      </c>
      <c r="I115" s="1747" t="s">
        <v>1441</v>
      </c>
      <c r="J115" s="1747" t="s">
        <v>1442</v>
      </c>
      <c r="K115" s="1747" t="s">
        <v>1443</v>
      </c>
      <c r="L115" s="1747" t="s">
        <v>1444</v>
      </c>
      <c r="M115" s="1747" t="s">
        <v>1445</v>
      </c>
      <c r="N115" s="1747" t="s">
        <v>1446</v>
      </c>
      <c r="O115" s="1747" t="s">
        <v>1447</v>
      </c>
      <c r="P115" s="1747" t="s">
        <v>1448</v>
      </c>
      <c r="Q115" s="1747" t="s">
        <v>1449</v>
      </c>
      <c r="R115" s="1747" t="s">
        <v>1450</v>
      </c>
      <c r="S115" s="1747" t="s">
        <v>1451</v>
      </c>
      <c r="T115" s="1747" t="s">
        <v>1452</v>
      </c>
      <c r="U115" s="1747" t="s">
        <v>1453</v>
      </c>
      <c r="V115" s="1747" t="s">
        <v>1454</v>
      </c>
      <c r="W115" s="1747" t="s">
        <v>1455</v>
      </c>
      <c r="X115" s="1747" t="s">
        <v>1456</v>
      </c>
      <c r="Y115" s="1747" t="s">
        <v>1457</v>
      </c>
      <c r="Z115" s="1747" t="s">
        <v>1458</v>
      </c>
      <c r="AA115" s="1747" t="s">
        <v>1466</v>
      </c>
      <c r="AB115" s="1747" t="s">
        <v>1467</v>
      </c>
    </row>
    <row r="116" spans="2:28" x14ac:dyDescent="0.25">
      <c r="B116" s="1765" t="s">
        <v>1461</v>
      </c>
      <c r="C116" s="1776">
        <v>0.1</v>
      </c>
      <c r="D116" s="1776">
        <v>0.1</v>
      </c>
      <c r="E116" s="1776">
        <v>0.1</v>
      </c>
      <c r="F116" s="1776">
        <v>0.1</v>
      </c>
      <c r="G116" s="1776">
        <v>0.1</v>
      </c>
      <c r="H116" s="1776">
        <v>0.3</v>
      </c>
      <c r="I116" s="1776">
        <v>0.45</v>
      </c>
      <c r="J116" s="1776">
        <v>0.45</v>
      </c>
      <c r="K116" s="1776">
        <v>0.45</v>
      </c>
      <c r="L116" s="1776">
        <v>0.45</v>
      </c>
      <c r="M116" s="1776">
        <v>0.3</v>
      </c>
      <c r="N116" s="1776">
        <v>0.3</v>
      </c>
      <c r="O116" s="1776">
        <v>0.3</v>
      </c>
      <c r="P116" s="1776">
        <v>0.3</v>
      </c>
      <c r="Q116" s="1776">
        <v>0.3</v>
      </c>
      <c r="R116" s="1776">
        <v>0.3</v>
      </c>
      <c r="S116" s="1776">
        <v>0.3</v>
      </c>
      <c r="T116" s="1776">
        <v>0.3</v>
      </c>
      <c r="U116" s="1776">
        <v>0.6</v>
      </c>
      <c r="V116" s="1776">
        <v>0.8</v>
      </c>
      <c r="W116" s="1776">
        <v>0.9</v>
      </c>
      <c r="X116" s="1776">
        <v>0.8</v>
      </c>
      <c r="Y116" s="1776">
        <v>0.6</v>
      </c>
      <c r="Z116" s="1776">
        <v>0.3</v>
      </c>
      <c r="AA116" s="1752">
        <f>SUM(C116:Z116)</f>
        <v>9</v>
      </c>
      <c r="AB116" s="1753">
        <f>AA116*SUM($C$9:$C$13)</f>
        <v>2250</v>
      </c>
    </row>
    <row r="117" spans="2:28" x14ac:dyDescent="0.25">
      <c r="B117" s="1767" t="s">
        <v>1462</v>
      </c>
      <c r="C117" s="1777">
        <v>0.1</v>
      </c>
      <c r="D117" s="1777">
        <v>0.1</v>
      </c>
      <c r="E117" s="1777">
        <v>0.1</v>
      </c>
      <c r="F117" s="1777">
        <v>0.1</v>
      </c>
      <c r="G117" s="1777">
        <v>0.1</v>
      </c>
      <c r="H117" s="1777">
        <v>0.3</v>
      </c>
      <c r="I117" s="1777">
        <v>0.45</v>
      </c>
      <c r="J117" s="1777">
        <v>0.45</v>
      </c>
      <c r="K117" s="1777">
        <v>0.45</v>
      </c>
      <c r="L117" s="1777">
        <v>0.45</v>
      </c>
      <c r="M117" s="1777">
        <v>0.3</v>
      </c>
      <c r="N117" s="1777">
        <v>0.3</v>
      </c>
      <c r="O117" s="1777">
        <v>0.3</v>
      </c>
      <c r="P117" s="1777">
        <v>0.3</v>
      </c>
      <c r="Q117" s="1777">
        <v>0.3</v>
      </c>
      <c r="R117" s="1777">
        <v>0.3</v>
      </c>
      <c r="S117" s="1777">
        <v>0.3</v>
      </c>
      <c r="T117" s="1777">
        <v>0.3</v>
      </c>
      <c r="U117" s="1777">
        <v>0.6</v>
      </c>
      <c r="V117" s="1777">
        <v>0.8</v>
      </c>
      <c r="W117" s="1777">
        <v>0.9</v>
      </c>
      <c r="X117" s="1777">
        <v>0.8</v>
      </c>
      <c r="Y117" s="1777">
        <v>0.6</v>
      </c>
      <c r="Z117" s="1777">
        <v>0.3</v>
      </c>
      <c r="AA117" s="1756">
        <f>SUM(C117:Z117)</f>
        <v>9</v>
      </c>
      <c r="AB117" s="1757">
        <f>AA117*SUM($C$14:$C$15)</f>
        <v>936</v>
      </c>
    </row>
    <row r="118" spans="2:28" x14ac:dyDescent="0.25">
      <c r="B118" s="1769" t="s">
        <v>1463</v>
      </c>
      <c r="C118" s="1778">
        <v>0.1</v>
      </c>
      <c r="D118" s="1778">
        <v>0.1</v>
      </c>
      <c r="E118" s="1778">
        <v>0.1</v>
      </c>
      <c r="F118" s="1778">
        <v>0.1</v>
      </c>
      <c r="G118" s="1778">
        <v>0.1</v>
      </c>
      <c r="H118" s="1778">
        <v>0.3</v>
      </c>
      <c r="I118" s="1778">
        <v>0.45</v>
      </c>
      <c r="J118" s="1778">
        <v>0.45</v>
      </c>
      <c r="K118" s="1778">
        <v>0.45</v>
      </c>
      <c r="L118" s="1778">
        <v>0.45</v>
      </c>
      <c r="M118" s="1778">
        <v>0.3</v>
      </c>
      <c r="N118" s="1778">
        <v>0.3</v>
      </c>
      <c r="O118" s="1778">
        <v>0.3</v>
      </c>
      <c r="P118" s="1778">
        <v>0.3</v>
      </c>
      <c r="Q118" s="1778">
        <v>0.3</v>
      </c>
      <c r="R118" s="1778">
        <v>0.3</v>
      </c>
      <c r="S118" s="1778">
        <v>0.3</v>
      </c>
      <c r="T118" s="1778">
        <v>0.3</v>
      </c>
      <c r="U118" s="1778">
        <v>0.6</v>
      </c>
      <c r="V118" s="1778">
        <v>0.8</v>
      </c>
      <c r="W118" s="1778">
        <v>0.9</v>
      </c>
      <c r="X118" s="1778">
        <v>0.8</v>
      </c>
      <c r="Y118" s="1778">
        <v>0.6</v>
      </c>
      <c r="Z118" s="1778">
        <v>0.3</v>
      </c>
      <c r="AA118" s="1760">
        <f>SUM(C118:Z118)</f>
        <v>9</v>
      </c>
      <c r="AB118" s="1761">
        <f>AA118*$C$8</f>
        <v>99</v>
      </c>
    </row>
    <row r="119" spans="2:28" x14ac:dyDescent="0.25">
      <c r="B119" s="2500" t="s">
        <v>1468</v>
      </c>
      <c r="C119" s="2501"/>
      <c r="D119" s="2501"/>
      <c r="E119" s="2501"/>
      <c r="F119" s="2501"/>
      <c r="G119" s="2501"/>
      <c r="H119" s="2501"/>
      <c r="I119" s="2501"/>
      <c r="J119" s="2501"/>
      <c r="K119" s="2501"/>
      <c r="L119" s="2501"/>
      <c r="M119" s="2501"/>
      <c r="N119" s="2501"/>
      <c r="O119" s="2501"/>
      <c r="P119" s="2501"/>
      <c r="Q119" s="2501"/>
      <c r="R119" s="2501"/>
      <c r="S119" s="2501"/>
      <c r="T119" s="2501"/>
      <c r="U119" s="2501"/>
      <c r="V119" s="2501"/>
      <c r="W119" s="2501"/>
      <c r="X119" s="2501"/>
      <c r="Y119" s="2501"/>
      <c r="Z119" s="2501"/>
      <c r="AA119" s="2501"/>
      <c r="AB119" s="1749">
        <f>SUM(AB116:AB118)</f>
        <v>3285</v>
      </c>
    </row>
    <row r="120" spans="2:28" x14ac:dyDescent="0.25">
      <c r="B120" s="1715"/>
      <c r="C120" s="1715"/>
      <c r="D120" s="1715"/>
      <c r="E120" s="1715"/>
      <c r="F120" s="1715"/>
      <c r="G120" s="1715"/>
      <c r="H120" s="1715"/>
      <c r="I120" s="1715"/>
      <c r="J120" s="1715"/>
      <c r="K120" s="1715"/>
      <c r="L120" s="1715"/>
      <c r="M120" s="1715"/>
      <c r="N120" s="1715"/>
      <c r="O120" s="1715"/>
      <c r="P120" s="1715"/>
      <c r="Q120" s="1715"/>
      <c r="R120" s="1715"/>
      <c r="S120" s="1715"/>
      <c r="T120" s="1715"/>
      <c r="U120" s="1715"/>
      <c r="V120" s="1715"/>
      <c r="W120" s="1715"/>
      <c r="X120" s="1715"/>
      <c r="Y120" s="1715"/>
      <c r="Z120" s="1715"/>
      <c r="AA120" s="1715"/>
      <c r="AB120" s="1715"/>
    </row>
    <row r="121" spans="2:28" ht="15" customHeight="1" x14ac:dyDescent="0.25">
      <c r="B121" s="1715" t="s">
        <v>1434</v>
      </c>
      <c r="C121" s="2497" t="s">
        <v>1615</v>
      </c>
      <c r="D121" s="2498"/>
      <c r="E121" s="2498"/>
      <c r="F121" s="2498"/>
      <c r="G121" s="2498"/>
      <c r="H121" s="2498"/>
      <c r="I121" s="2498"/>
      <c r="J121" s="2498"/>
      <c r="K121" s="2498"/>
      <c r="L121" s="2498"/>
      <c r="M121" s="2498"/>
      <c r="N121" s="2498"/>
      <c r="O121" s="2498"/>
      <c r="P121" s="2498"/>
      <c r="Q121" s="2498"/>
      <c r="R121" s="2498"/>
      <c r="S121" s="2498"/>
      <c r="T121" s="2498"/>
      <c r="U121" s="2498"/>
      <c r="V121" s="2498"/>
      <c r="W121" s="2498"/>
      <c r="X121" s="2498"/>
      <c r="Y121" s="2498"/>
      <c r="Z121" s="2498"/>
      <c r="AA121" s="2498"/>
      <c r="AB121" s="2499"/>
    </row>
    <row r="122" spans="2:28" x14ac:dyDescent="0.25">
      <c r="B122" s="1715"/>
      <c r="C122" s="1715"/>
      <c r="D122" s="1715"/>
      <c r="E122" s="1715"/>
      <c r="F122" s="1715"/>
      <c r="G122" s="1715"/>
      <c r="H122" s="1715"/>
      <c r="I122" s="1715"/>
      <c r="J122" s="1715"/>
      <c r="K122" s="1715"/>
      <c r="L122" s="1715"/>
      <c r="M122" s="1715"/>
      <c r="N122" s="1715"/>
      <c r="O122" s="1715"/>
      <c r="P122" s="1715"/>
      <c r="Q122" s="1715"/>
      <c r="R122" s="1715"/>
      <c r="S122" s="1715"/>
      <c r="T122" s="1715"/>
      <c r="U122" s="1715"/>
      <c r="V122" s="1715"/>
      <c r="W122" s="1715"/>
      <c r="X122" s="1715"/>
      <c r="Y122" s="1715"/>
      <c r="Z122" s="1715"/>
      <c r="AA122" s="1715"/>
      <c r="AB122" s="1715"/>
    </row>
    <row r="123" spans="2:28" s="1748" customFormat="1" ht="21" customHeight="1" x14ac:dyDescent="0.25">
      <c r="B123" s="1747"/>
      <c r="C123" s="1746" t="s">
        <v>1435</v>
      </c>
      <c r="D123" s="1747" t="s">
        <v>1436</v>
      </c>
      <c r="E123" s="1747" t="s">
        <v>1437</v>
      </c>
      <c r="F123" s="1747" t="s">
        <v>1438</v>
      </c>
      <c r="G123" s="1747" t="s">
        <v>1439</v>
      </c>
      <c r="H123" s="1747" t="s">
        <v>1440</v>
      </c>
      <c r="I123" s="1747" t="s">
        <v>1441</v>
      </c>
      <c r="J123" s="1747" t="s">
        <v>1442</v>
      </c>
      <c r="K123" s="1747" t="s">
        <v>1443</v>
      </c>
      <c r="L123" s="1747" t="s">
        <v>1444</v>
      </c>
      <c r="M123" s="1747" t="s">
        <v>1445</v>
      </c>
      <c r="N123" s="1747" t="s">
        <v>1446</v>
      </c>
      <c r="O123" s="1747" t="s">
        <v>1447</v>
      </c>
      <c r="P123" s="1747" t="s">
        <v>1448</v>
      </c>
      <c r="Q123" s="1747" t="s">
        <v>1449</v>
      </c>
      <c r="R123" s="1747" t="s">
        <v>1450</v>
      </c>
      <c r="S123" s="1747" t="s">
        <v>1451</v>
      </c>
      <c r="T123" s="1747" t="s">
        <v>1452</v>
      </c>
      <c r="U123" s="1747" t="s">
        <v>1453</v>
      </c>
      <c r="V123" s="1747" t="s">
        <v>1454</v>
      </c>
      <c r="W123" s="1747" t="s">
        <v>1455</v>
      </c>
      <c r="X123" s="1747" t="s">
        <v>1456</v>
      </c>
      <c r="Y123" s="1747" t="s">
        <v>1457</v>
      </c>
      <c r="Z123" s="1747" t="s">
        <v>1458</v>
      </c>
      <c r="AA123" s="1747" t="s">
        <v>1466</v>
      </c>
      <c r="AB123" s="1747" t="s">
        <v>1467</v>
      </c>
    </row>
    <row r="124" spans="2:28" x14ac:dyDescent="0.25">
      <c r="B124" s="1765" t="s">
        <v>1461</v>
      </c>
      <c r="C124" s="1776">
        <v>0.05</v>
      </c>
      <c r="D124" s="1776">
        <v>0.05</v>
      </c>
      <c r="E124" s="1776">
        <v>0.05</v>
      </c>
      <c r="F124" s="1776">
        <v>0.05</v>
      </c>
      <c r="G124" s="1776">
        <v>0.05</v>
      </c>
      <c r="H124" s="1776">
        <v>0.05</v>
      </c>
      <c r="I124" s="1776">
        <v>0.3</v>
      </c>
      <c r="J124" s="1776">
        <v>0.5</v>
      </c>
      <c r="K124" s="1776">
        <v>0.4</v>
      </c>
      <c r="L124" s="1776">
        <v>0.3</v>
      </c>
      <c r="M124" s="1776">
        <v>0.3</v>
      </c>
      <c r="N124" s="1776">
        <v>0.35</v>
      </c>
      <c r="O124" s="1776">
        <v>0.4</v>
      </c>
      <c r="P124" s="1776">
        <v>0.35</v>
      </c>
      <c r="Q124" s="1776">
        <v>0.35</v>
      </c>
      <c r="R124" s="1776">
        <v>0.3</v>
      </c>
      <c r="S124" s="1776">
        <v>0.3</v>
      </c>
      <c r="T124" s="1776">
        <v>0.5</v>
      </c>
      <c r="U124" s="1776">
        <v>0.5</v>
      </c>
      <c r="V124" s="1776">
        <v>0.4</v>
      </c>
      <c r="W124" s="1776">
        <v>0.35</v>
      </c>
      <c r="X124" s="1776">
        <v>0.45</v>
      </c>
      <c r="Y124" s="1776">
        <v>0.3</v>
      </c>
      <c r="Z124" s="1776">
        <v>0.05</v>
      </c>
      <c r="AA124" s="1752">
        <f>SUM(C124:Z124)</f>
        <v>6.7</v>
      </c>
      <c r="AB124" s="1753">
        <f>AA124*SUM($C$9:$C$13)</f>
        <v>1675</v>
      </c>
    </row>
    <row r="125" spans="2:28" x14ac:dyDescent="0.25">
      <c r="B125" s="1767" t="s">
        <v>1462</v>
      </c>
      <c r="C125" s="1777">
        <v>0.05</v>
      </c>
      <c r="D125" s="1777">
        <v>0.05</v>
      </c>
      <c r="E125" s="1777">
        <v>0.05</v>
      </c>
      <c r="F125" s="1777">
        <v>0.05</v>
      </c>
      <c r="G125" s="1777">
        <v>0.05</v>
      </c>
      <c r="H125" s="1777">
        <v>0.05</v>
      </c>
      <c r="I125" s="1777">
        <v>0.3</v>
      </c>
      <c r="J125" s="1777">
        <v>0.5</v>
      </c>
      <c r="K125" s="1777">
        <v>0.4</v>
      </c>
      <c r="L125" s="1777">
        <v>0.3</v>
      </c>
      <c r="M125" s="1777">
        <v>0.3</v>
      </c>
      <c r="N125" s="1777">
        <v>0.35</v>
      </c>
      <c r="O125" s="1777">
        <v>0.4</v>
      </c>
      <c r="P125" s="1777">
        <v>0.35</v>
      </c>
      <c r="Q125" s="1777">
        <v>0.35</v>
      </c>
      <c r="R125" s="1777">
        <v>0.3</v>
      </c>
      <c r="S125" s="1777">
        <v>0.3</v>
      </c>
      <c r="T125" s="1777">
        <v>0.5</v>
      </c>
      <c r="U125" s="1777">
        <v>0.5</v>
      </c>
      <c r="V125" s="1777">
        <v>0.4</v>
      </c>
      <c r="W125" s="1777">
        <v>0.35</v>
      </c>
      <c r="X125" s="1777">
        <v>0.45</v>
      </c>
      <c r="Y125" s="1777">
        <v>0.3</v>
      </c>
      <c r="Z125" s="1777">
        <v>0.05</v>
      </c>
      <c r="AA125" s="1756">
        <f>SUM(C125:Z125)</f>
        <v>6.7</v>
      </c>
      <c r="AB125" s="1757">
        <f>AA125*SUM($C$14:$C$15)</f>
        <v>696.80000000000007</v>
      </c>
    </row>
    <row r="126" spans="2:28" x14ac:dyDescent="0.25">
      <c r="B126" s="1769" t="s">
        <v>1463</v>
      </c>
      <c r="C126" s="1778">
        <v>0.05</v>
      </c>
      <c r="D126" s="1778">
        <v>0.05</v>
      </c>
      <c r="E126" s="1778">
        <v>0.05</v>
      </c>
      <c r="F126" s="1778">
        <v>0.05</v>
      </c>
      <c r="G126" s="1778">
        <v>0.05</v>
      </c>
      <c r="H126" s="1778">
        <v>0.05</v>
      </c>
      <c r="I126" s="1778">
        <v>0.3</v>
      </c>
      <c r="J126" s="1778">
        <v>0.5</v>
      </c>
      <c r="K126" s="1778">
        <v>0.4</v>
      </c>
      <c r="L126" s="1778">
        <v>0.3</v>
      </c>
      <c r="M126" s="1778">
        <v>0.3</v>
      </c>
      <c r="N126" s="1778">
        <v>0.35</v>
      </c>
      <c r="O126" s="1778">
        <v>0.4</v>
      </c>
      <c r="P126" s="1778">
        <v>0.35</v>
      </c>
      <c r="Q126" s="1778">
        <v>0.35</v>
      </c>
      <c r="R126" s="1778">
        <v>0.3</v>
      </c>
      <c r="S126" s="1778">
        <v>0.3</v>
      </c>
      <c r="T126" s="1778">
        <v>0.5</v>
      </c>
      <c r="U126" s="1778">
        <v>0.5</v>
      </c>
      <c r="V126" s="1778">
        <v>0.4</v>
      </c>
      <c r="W126" s="1778">
        <v>0.35</v>
      </c>
      <c r="X126" s="1778">
        <v>0.45</v>
      </c>
      <c r="Y126" s="1778">
        <v>0.3</v>
      </c>
      <c r="Z126" s="1778">
        <v>0.05</v>
      </c>
      <c r="AA126" s="1760">
        <f>SUM(C126:Z126)</f>
        <v>6.7</v>
      </c>
      <c r="AB126" s="1761">
        <f>AA126*$C$8</f>
        <v>73.7</v>
      </c>
    </row>
    <row r="127" spans="2:28" x14ac:dyDescent="0.25">
      <c r="B127" s="2500" t="s">
        <v>1468</v>
      </c>
      <c r="C127" s="2501"/>
      <c r="D127" s="2501"/>
      <c r="E127" s="2501"/>
      <c r="F127" s="2501"/>
      <c r="G127" s="2501"/>
      <c r="H127" s="2501"/>
      <c r="I127" s="2501"/>
      <c r="J127" s="2501"/>
      <c r="K127" s="2501"/>
      <c r="L127" s="2501"/>
      <c r="M127" s="2501"/>
      <c r="N127" s="2501"/>
      <c r="O127" s="2501"/>
      <c r="P127" s="2501"/>
      <c r="Q127" s="2501"/>
      <c r="R127" s="2501"/>
      <c r="S127" s="2501"/>
      <c r="T127" s="2501"/>
      <c r="U127" s="2501"/>
      <c r="V127" s="2501"/>
      <c r="W127" s="2501"/>
      <c r="X127" s="2501"/>
      <c r="Y127" s="2501"/>
      <c r="Z127" s="2501"/>
      <c r="AA127" s="2501"/>
      <c r="AB127" s="1749">
        <f>SUM(AB124:AB126)</f>
        <v>2445.5</v>
      </c>
    </row>
    <row r="128" spans="2:28" x14ac:dyDescent="0.25">
      <c r="B128" s="1715"/>
      <c r="C128" s="1715"/>
      <c r="D128" s="1715"/>
      <c r="E128" s="1715"/>
      <c r="F128" s="1715"/>
      <c r="G128" s="1715"/>
      <c r="H128" s="1715"/>
      <c r="I128" s="1715"/>
      <c r="J128" s="1715"/>
      <c r="K128" s="1715"/>
      <c r="L128" s="1715"/>
      <c r="M128" s="1715"/>
      <c r="N128" s="1715"/>
      <c r="O128" s="1715"/>
      <c r="P128" s="1715"/>
      <c r="Q128" s="1715"/>
      <c r="R128" s="1715"/>
      <c r="S128" s="1715"/>
      <c r="T128" s="1715"/>
      <c r="U128" s="1715"/>
      <c r="V128" s="1715"/>
      <c r="W128" s="1715"/>
      <c r="X128" s="1715"/>
      <c r="Y128" s="1715"/>
      <c r="Z128" s="1715"/>
      <c r="AA128" s="1715"/>
      <c r="AB128" s="1715"/>
    </row>
    <row r="129" spans="2:28" x14ac:dyDescent="0.25">
      <c r="B129" s="1715"/>
      <c r="C129" s="1715"/>
      <c r="D129" s="1715"/>
      <c r="E129" s="1715"/>
      <c r="F129" s="1715"/>
      <c r="G129" s="1715"/>
      <c r="H129" s="1715"/>
      <c r="I129" s="1715"/>
      <c r="J129" s="1715"/>
      <c r="K129" s="1715"/>
      <c r="L129" s="1715"/>
      <c r="M129" s="1715"/>
      <c r="N129" s="1715"/>
      <c r="O129" s="1715"/>
      <c r="P129" s="1715"/>
      <c r="Q129" s="1715"/>
      <c r="R129" s="1715"/>
      <c r="S129" s="1715"/>
      <c r="T129" s="1715"/>
      <c r="U129" s="1715"/>
      <c r="V129" s="1715"/>
      <c r="W129" s="1715"/>
      <c r="X129" s="1715"/>
      <c r="Y129" s="1715"/>
      <c r="Z129" s="1715"/>
      <c r="AA129" s="1715"/>
      <c r="AB129" s="1715"/>
    </row>
    <row r="130" spans="2:28" ht="15.75" x14ac:dyDescent="0.25">
      <c r="B130" s="1727" t="s">
        <v>2012</v>
      </c>
      <c r="C130" s="1725"/>
      <c r="D130" s="1722"/>
      <c r="E130" s="1722"/>
      <c r="F130" s="1722"/>
      <c r="G130" s="1722"/>
      <c r="H130" s="1722"/>
      <c r="I130" s="1722"/>
      <c r="J130" s="1722"/>
      <c r="K130" s="1722"/>
      <c r="L130" s="1722"/>
      <c r="M130" s="1722"/>
      <c r="N130" s="1722"/>
      <c r="O130" s="1722"/>
      <c r="P130" s="1722"/>
      <c r="Q130" s="1722"/>
      <c r="R130" s="1722"/>
      <c r="S130" s="1722"/>
      <c r="T130" s="1722"/>
      <c r="U130" s="1722"/>
      <c r="V130" s="1722"/>
      <c r="W130" s="1722"/>
      <c r="X130" s="1722"/>
      <c r="Y130" s="1722"/>
      <c r="Z130" s="1722"/>
      <c r="AA130" s="1719"/>
      <c r="AB130" s="1720"/>
    </row>
    <row r="131" spans="2:28" ht="45" customHeight="1" x14ac:dyDescent="0.25">
      <c r="B131" s="2504" t="s">
        <v>1616</v>
      </c>
      <c r="C131" s="2504"/>
      <c r="D131" s="2504"/>
      <c r="E131" s="2504"/>
      <c r="F131" s="2504"/>
      <c r="G131" s="2504"/>
      <c r="H131" s="2504"/>
      <c r="I131" s="2504"/>
      <c r="J131" s="2504"/>
      <c r="K131" s="2504"/>
      <c r="L131" s="2504"/>
      <c r="M131" s="2504"/>
      <c r="N131" s="2504"/>
      <c r="O131" s="2504"/>
      <c r="P131" s="1730"/>
      <c r="Q131" s="1730"/>
      <c r="R131" s="1730"/>
      <c r="S131" s="1730"/>
      <c r="T131" s="1730"/>
      <c r="U131" s="1730"/>
      <c r="V131" s="1730"/>
      <c r="W131" s="1730"/>
      <c r="X131" s="1730"/>
      <c r="Y131" s="1730"/>
      <c r="Z131" s="1730"/>
      <c r="AA131" s="1730"/>
      <c r="AB131" s="1730"/>
    </row>
    <row r="132" spans="2:28" x14ac:dyDescent="0.25">
      <c r="B132" s="1715"/>
      <c r="C132" s="1715"/>
      <c r="D132" s="1715"/>
      <c r="E132" s="1715"/>
      <c r="F132" s="1715"/>
      <c r="G132" s="1715"/>
      <c r="H132" s="1715"/>
      <c r="I132" s="1715"/>
      <c r="J132" s="1715"/>
      <c r="K132" s="1715"/>
      <c r="L132" s="1715"/>
      <c r="M132" s="1715"/>
      <c r="N132" s="1715"/>
      <c r="O132" s="1715"/>
      <c r="P132" s="1715"/>
      <c r="Q132" s="1715"/>
      <c r="R132" s="1715"/>
      <c r="S132" s="1715"/>
      <c r="T132" s="1715"/>
      <c r="U132" s="1715"/>
      <c r="V132" s="1715"/>
      <c r="W132" s="1715"/>
      <c r="X132" s="1715"/>
      <c r="Y132" s="1715"/>
      <c r="Z132" s="1715"/>
      <c r="AA132" s="1715"/>
      <c r="AB132" s="1715"/>
    </row>
    <row r="133" spans="2:28" x14ac:dyDescent="0.25">
      <c r="B133" s="1726" t="s">
        <v>1617</v>
      </c>
      <c r="C133" s="1715"/>
      <c r="D133" s="1715"/>
      <c r="E133" s="1715"/>
      <c r="F133" s="1715"/>
      <c r="G133" s="1715"/>
      <c r="H133" s="1715"/>
      <c r="I133" s="1715"/>
      <c r="J133" s="1715"/>
      <c r="K133" s="1715"/>
      <c r="L133" s="1715"/>
      <c r="M133" s="1715"/>
      <c r="N133" s="1715"/>
      <c r="O133" s="1715"/>
      <c r="P133" s="1715"/>
      <c r="Q133" s="1715"/>
      <c r="R133" s="1715"/>
      <c r="S133" s="1715"/>
      <c r="T133" s="1715"/>
      <c r="U133" s="1715"/>
      <c r="V133" s="1715"/>
      <c r="W133" s="1715"/>
      <c r="X133" s="1715"/>
      <c r="Y133" s="1715"/>
      <c r="Z133" s="1715"/>
      <c r="AA133" s="1715"/>
      <c r="AB133" s="1715"/>
    </row>
    <row r="134" spans="2:28" x14ac:dyDescent="0.25">
      <c r="B134" s="1715"/>
      <c r="C134" s="1715"/>
      <c r="D134" s="1715"/>
      <c r="E134" s="1715"/>
      <c r="F134" s="1715"/>
      <c r="G134" s="1715"/>
      <c r="H134" s="1715"/>
      <c r="I134" s="1715"/>
      <c r="J134" s="1715"/>
      <c r="K134" s="1715"/>
      <c r="L134" s="1715"/>
      <c r="M134" s="1715"/>
      <c r="N134" s="1715"/>
      <c r="O134" s="1715"/>
      <c r="P134" s="1715"/>
      <c r="Q134" s="1715"/>
      <c r="R134" s="1715"/>
      <c r="S134" s="1715"/>
      <c r="T134" s="1715"/>
      <c r="U134" s="1715"/>
      <c r="V134" s="1715"/>
      <c r="W134" s="1715"/>
      <c r="X134" s="1715"/>
      <c r="Y134" s="1715"/>
      <c r="Z134" s="1715"/>
      <c r="AA134" s="1715"/>
      <c r="AB134" s="1715"/>
    </row>
    <row r="135" spans="2:28" ht="15" customHeight="1" x14ac:dyDescent="0.25">
      <c r="B135" s="1715" t="s">
        <v>1434</v>
      </c>
      <c r="C135" s="2497" t="s">
        <v>1618</v>
      </c>
      <c r="D135" s="2498"/>
      <c r="E135" s="2498"/>
      <c r="F135" s="2498"/>
      <c r="G135" s="2498"/>
      <c r="H135" s="2498"/>
      <c r="I135" s="2498"/>
      <c r="J135" s="2498"/>
      <c r="K135" s="2498"/>
      <c r="L135" s="2498"/>
      <c r="M135" s="2498"/>
      <c r="N135" s="2498"/>
      <c r="O135" s="2498"/>
      <c r="P135" s="2498"/>
      <c r="Q135" s="2498"/>
      <c r="R135" s="2498"/>
      <c r="S135" s="2498"/>
      <c r="T135" s="2498"/>
      <c r="U135" s="2498"/>
      <c r="V135" s="2498"/>
      <c r="W135" s="2498"/>
      <c r="X135" s="2498"/>
      <c r="Y135" s="2498"/>
      <c r="Z135" s="2498"/>
      <c r="AA135" s="2498"/>
      <c r="AB135" s="2499"/>
    </row>
    <row r="136" spans="2:28" x14ac:dyDescent="0.25">
      <c r="B136" s="1715"/>
      <c r="C136" s="1715"/>
      <c r="D136" s="1715"/>
      <c r="E136" s="1715"/>
      <c r="F136" s="1715"/>
      <c r="G136" s="1715"/>
      <c r="H136" s="1715"/>
      <c r="I136" s="1715"/>
      <c r="J136" s="1715"/>
      <c r="K136" s="1715"/>
      <c r="L136" s="1715"/>
      <c r="M136" s="1715"/>
      <c r="N136" s="1715"/>
      <c r="O136" s="1715"/>
      <c r="P136" s="1715"/>
      <c r="Q136" s="1715"/>
      <c r="R136" s="1715"/>
      <c r="S136" s="1715"/>
      <c r="T136" s="1715"/>
      <c r="U136" s="1715"/>
      <c r="V136" s="1715"/>
      <c r="W136" s="1715"/>
      <c r="X136" s="1715"/>
      <c r="Y136" s="1715"/>
      <c r="Z136" s="1715"/>
      <c r="AA136" s="1715"/>
      <c r="AB136" s="1715"/>
    </row>
    <row r="137" spans="2:28" s="1748" customFormat="1" ht="21" customHeight="1" x14ac:dyDescent="0.25">
      <c r="B137" s="1747"/>
      <c r="C137" s="1746" t="s">
        <v>1435</v>
      </c>
      <c r="D137" s="1747" t="s">
        <v>1436</v>
      </c>
      <c r="E137" s="1747" t="s">
        <v>1437</v>
      </c>
      <c r="F137" s="1747" t="s">
        <v>1438</v>
      </c>
      <c r="G137" s="1747" t="s">
        <v>1439</v>
      </c>
      <c r="H137" s="1747" t="s">
        <v>1440</v>
      </c>
      <c r="I137" s="1747" t="s">
        <v>1441</v>
      </c>
      <c r="J137" s="1747" t="s">
        <v>1442</v>
      </c>
      <c r="K137" s="1747" t="s">
        <v>1443</v>
      </c>
      <c r="L137" s="1747" t="s">
        <v>1444</v>
      </c>
      <c r="M137" s="1747" t="s">
        <v>1445</v>
      </c>
      <c r="N137" s="1747" t="s">
        <v>1446</v>
      </c>
      <c r="O137" s="1747" t="s">
        <v>1447</v>
      </c>
      <c r="P137" s="1747" t="s">
        <v>1448</v>
      </c>
      <c r="Q137" s="1747" t="s">
        <v>1449</v>
      </c>
      <c r="R137" s="1747" t="s">
        <v>1450</v>
      </c>
      <c r="S137" s="1747" t="s">
        <v>1451</v>
      </c>
      <c r="T137" s="1747" t="s">
        <v>1452</v>
      </c>
      <c r="U137" s="1747" t="s">
        <v>1453</v>
      </c>
      <c r="V137" s="1747" t="s">
        <v>1454</v>
      </c>
      <c r="W137" s="1747" t="s">
        <v>1455</v>
      </c>
      <c r="X137" s="1747" t="s">
        <v>1456</v>
      </c>
      <c r="Y137" s="1747" t="s">
        <v>1457</v>
      </c>
      <c r="Z137" s="1747" t="s">
        <v>1458</v>
      </c>
      <c r="AA137" s="1747" t="s">
        <v>1459</v>
      </c>
      <c r="AB137" s="1747" t="s">
        <v>1460</v>
      </c>
    </row>
    <row r="138" spans="2:28" x14ac:dyDescent="0.25">
      <c r="B138" s="1765" t="s">
        <v>1461</v>
      </c>
      <c r="C138" s="1779">
        <v>0</v>
      </c>
      <c r="D138" s="1779">
        <v>0</v>
      </c>
      <c r="E138" s="1779">
        <v>0</v>
      </c>
      <c r="F138" s="1779">
        <v>0</v>
      </c>
      <c r="G138" s="1779">
        <v>0</v>
      </c>
      <c r="H138" s="1779">
        <v>0</v>
      </c>
      <c r="I138" s="1779">
        <v>1</v>
      </c>
      <c r="J138" s="1779">
        <v>1</v>
      </c>
      <c r="K138" s="1779">
        <v>1</v>
      </c>
      <c r="L138" s="1779">
        <v>1</v>
      </c>
      <c r="M138" s="1779">
        <v>1</v>
      </c>
      <c r="N138" s="1779">
        <v>1</v>
      </c>
      <c r="O138" s="1779">
        <v>1</v>
      </c>
      <c r="P138" s="1779">
        <v>1</v>
      </c>
      <c r="Q138" s="1779">
        <v>1</v>
      </c>
      <c r="R138" s="1779">
        <v>1</v>
      </c>
      <c r="S138" s="1779">
        <v>1</v>
      </c>
      <c r="T138" s="1779">
        <v>1</v>
      </c>
      <c r="U138" s="1779">
        <v>1</v>
      </c>
      <c r="V138" s="1779">
        <v>1</v>
      </c>
      <c r="W138" s="1779">
        <v>1</v>
      </c>
      <c r="X138" s="1779">
        <v>1</v>
      </c>
      <c r="Y138" s="1779">
        <v>0</v>
      </c>
      <c r="Z138" s="1779">
        <v>0</v>
      </c>
      <c r="AA138" s="1752">
        <f>SUM(C138:Z138)</f>
        <v>16</v>
      </c>
      <c r="AB138" s="1753">
        <f>AA138*SUM($C$9:$C$13)</f>
        <v>4000</v>
      </c>
    </row>
    <row r="139" spans="2:28" x14ac:dyDescent="0.25">
      <c r="B139" s="1767" t="s">
        <v>1431</v>
      </c>
      <c r="C139" s="1780">
        <v>0</v>
      </c>
      <c r="D139" s="1780">
        <v>0</v>
      </c>
      <c r="E139" s="1780">
        <v>0</v>
      </c>
      <c r="F139" s="1780">
        <v>0</v>
      </c>
      <c r="G139" s="1780">
        <v>0</v>
      </c>
      <c r="H139" s="1780">
        <v>0</v>
      </c>
      <c r="I139" s="1780">
        <v>1</v>
      </c>
      <c r="J139" s="1780">
        <v>1</v>
      </c>
      <c r="K139" s="1780">
        <v>1</v>
      </c>
      <c r="L139" s="1780">
        <v>1</v>
      </c>
      <c r="M139" s="1780">
        <v>1</v>
      </c>
      <c r="N139" s="1780">
        <v>1</v>
      </c>
      <c r="O139" s="1780">
        <v>1</v>
      </c>
      <c r="P139" s="1780">
        <v>1</v>
      </c>
      <c r="Q139" s="1780">
        <v>1</v>
      </c>
      <c r="R139" s="1780">
        <v>1</v>
      </c>
      <c r="S139" s="1780">
        <v>1</v>
      </c>
      <c r="T139" s="1780">
        <v>1</v>
      </c>
      <c r="U139" s="1780">
        <v>0</v>
      </c>
      <c r="V139" s="1780">
        <v>0</v>
      </c>
      <c r="W139" s="1780">
        <v>0</v>
      </c>
      <c r="X139" s="1780">
        <v>0</v>
      </c>
      <c r="Y139" s="1780">
        <v>0</v>
      </c>
      <c r="Z139" s="1780">
        <v>0</v>
      </c>
      <c r="AA139" s="1756">
        <f>SUM(C139:Z139)</f>
        <v>12</v>
      </c>
      <c r="AB139" s="1757">
        <f>AA139*SUM($C$14)</f>
        <v>624</v>
      </c>
    </row>
    <row r="140" spans="2:28" x14ac:dyDescent="0.25">
      <c r="B140" s="1767" t="s">
        <v>1432</v>
      </c>
      <c r="C140" s="1780">
        <v>0</v>
      </c>
      <c r="D140" s="1780">
        <v>0</v>
      </c>
      <c r="E140" s="1780">
        <v>0</v>
      </c>
      <c r="F140" s="1780">
        <v>0</v>
      </c>
      <c r="G140" s="1780">
        <v>0</v>
      </c>
      <c r="H140" s="1780">
        <v>0</v>
      </c>
      <c r="I140" s="1780">
        <v>0</v>
      </c>
      <c r="J140" s="1780">
        <v>0</v>
      </c>
      <c r="K140" s="1780">
        <v>0</v>
      </c>
      <c r="L140" s="1780">
        <v>0</v>
      </c>
      <c r="M140" s="1780">
        <v>0</v>
      </c>
      <c r="N140" s="1780">
        <v>0</v>
      </c>
      <c r="O140" s="1780">
        <v>0</v>
      </c>
      <c r="P140" s="1780">
        <v>0</v>
      </c>
      <c r="Q140" s="1780">
        <v>0</v>
      </c>
      <c r="R140" s="1780">
        <v>0</v>
      </c>
      <c r="S140" s="1780">
        <v>0</v>
      </c>
      <c r="T140" s="1780">
        <v>0</v>
      </c>
      <c r="U140" s="1780">
        <v>0</v>
      </c>
      <c r="V140" s="1780">
        <v>0</v>
      </c>
      <c r="W140" s="1780">
        <v>0</v>
      </c>
      <c r="X140" s="1780">
        <v>0</v>
      </c>
      <c r="Y140" s="1780">
        <v>0</v>
      </c>
      <c r="Z140" s="1780">
        <v>0</v>
      </c>
      <c r="AA140" s="1756">
        <f>SUM(C140:Z140)</f>
        <v>0</v>
      </c>
      <c r="AB140" s="1757">
        <f>AA140*$C$15</f>
        <v>0</v>
      </c>
    </row>
    <row r="141" spans="2:28" x14ac:dyDescent="0.25">
      <c r="B141" s="1769" t="s">
        <v>1463</v>
      </c>
      <c r="C141" s="1781">
        <v>0</v>
      </c>
      <c r="D141" s="1781">
        <v>0</v>
      </c>
      <c r="E141" s="1781">
        <v>0</v>
      </c>
      <c r="F141" s="1781">
        <v>0</v>
      </c>
      <c r="G141" s="1781">
        <v>0</v>
      </c>
      <c r="H141" s="1781">
        <v>0</v>
      </c>
      <c r="I141" s="1781">
        <v>0</v>
      </c>
      <c r="J141" s="1781">
        <v>0</v>
      </c>
      <c r="K141" s="1781">
        <v>0</v>
      </c>
      <c r="L141" s="1781">
        <v>0</v>
      </c>
      <c r="M141" s="1781">
        <v>0</v>
      </c>
      <c r="N141" s="1781">
        <v>0</v>
      </c>
      <c r="O141" s="1781">
        <v>0</v>
      </c>
      <c r="P141" s="1781">
        <v>0</v>
      </c>
      <c r="Q141" s="1781">
        <v>0</v>
      </c>
      <c r="R141" s="1781">
        <v>0</v>
      </c>
      <c r="S141" s="1781">
        <v>0</v>
      </c>
      <c r="T141" s="1781">
        <v>0</v>
      </c>
      <c r="U141" s="1781">
        <v>0</v>
      </c>
      <c r="V141" s="1781">
        <v>0</v>
      </c>
      <c r="W141" s="1781">
        <v>0</v>
      </c>
      <c r="X141" s="1781">
        <v>0</v>
      </c>
      <c r="Y141" s="1781">
        <v>0</v>
      </c>
      <c r="Z141" s="1781">
        <v>0</v>
      </c>
      <c r="AA141" s="1760">
        <f>SUM(C141:Z141)</f>
        <v>0</v>
      </c>
      <c r="AB141" s="1761">
        <f>AA141*SUM($C$8)</f>
        <v>0</v>
      </c>
    </row>
    <row r="142" spans="2:28" x14ac:dyDescent="0.25">
      <c r="B142" s="2500" t="s">
        <v>1464</v>
      </c>
      <c r="C142" s="2501"/>
      <c r="D142" s="2501"/>
      <c r="E142" s="2501"/>
      <c r="F142" s="2501"/>
      <c r="G142" s="2501"/>
      <c r="H142" s="2501"/>
      <c r="I142" s="2501"/>
      <c r="J142" s="2501"/>
      <c r="K142" s="2501"/>
      <c r="L142" s="2501"/>
      <c r="M142" s="2501"/>
      <c r="N142" s="2501"/>
      <c r="O142" s="2501"/>
      <c r="P142" s="2501"/>
      <c r="Q142" s="2501"/>
      <c r="R142" s="2501"/>
      <c r="S142" s="2501"/>
      <c r="T142" s="2501"/>
      <c r="U142" s="2501"/>
      <c r="V142" s="2501"/>
      <c r="W142" s="2501"/>
      <c r="X142" s="2501"/>
      <c r="Y142" s="2501"/>
      <c r="Z142" s="2501"/>
      <c r="AA142" s="2501"/>
      <c r="AB142" s="1749">
        <f>SUM(AB138:AB141)</f>
        <v>4624</v>
      </c>
    </row>
    <row r="143" spans="2:28" x14ac:dyDescent="0.25">
      <c r="B143" s="1715"/>
      <c r="C143" s="1715"/>
      <c r="D143" s="1715"/>
      <c r="E143" s="1715"/>
      <c r="F143" s="1715"/>
      <c r="G143" s="1715"/>
      <c r="H143" s="1715"/>
      <c r="I143" s="1715"/>
      <c r="J143" s="1715"/>
      <c r="K143" s="1715"/>
      <c r="L143" s="1715"/>
      <c r="M143" s="1715"/>
      <c r="N143" s="1715"/>
      <c r="O143" s="1715"/>
      <c r="P143" s="1715"/>
      <c r="Q143" s="1715"/>
      <c r="R143" s="1715"/>
      <c r="S143" s="1715"/>
      <c r="T143" s="1715"/>
      <c r="U143" s="1715"/>
      <c r="V143" s="1715"/>
      <c r="W143" s="1715"/>
      <c r="X143" s="1715"/>
      <c r="Y143" s="1715"/>
      <c r="Z143" s="1715"/>
      <c r="AA143" s="1715"/>
      <c r="AB143" s="1715"/>
    </row>
    <row r="144" spans="2:28" ht="15" customHeight="1" x14ac:dyDescent="0.25">
      <c r="B144" s="1715" t="s">
        <v>1434</v>
      </c>
      <c r="C144" s="2497" t="s">
        <v>1619</v>
      </c>
      <c r="D144" s="2498"/>
      <c r="E144" s="2498"/>
      <c r="F144" s="2498"/>
      <c r="G144" s="2498"/>
      <c r="H144" s="2498"/>
      <c r="I144" s="2498"/>
      <c r="J144" s="2498"/>
      <c r="K144" s="2498"/>
      <c r="L144" s="2498"/>
      <c r="M144" s="2498"/>
      <c r="N144" s="2498"/>
      <c r="O144" s="2498"/>
      <c r="P144" s="2498"/>
      <c r="Q144" s="2498"/>
      <c r="R144" s="2498"/>
      <c r="S144" s="2498"/>
      <c r="T144" s="2498"/>
      <c r="U144" s="2498"/>
      <c r="V144" s="2498"/>
      <c r="W144" s="2498"/>
      <c r="X144" s="2498"/>
      <c r="Y144" s="2498"/>
      <c r="Z144" s="2498"/>
      <c r="AA144" s="2498"/>
      <c r="AB144" s="2499"/>
    </row>
    <row r="145" spans="2:28" x14ac:dyDescent="0.25">
      <c r="B145" s="1715"/>
      <c r="C145" s="1715"/>
      <c r="D145" s="1715"/>
      <c r="E145" s="1715"/>
      <c r="F145" s="1715"/>
      <c r="G145" s="1715"/>
      <c r="H145" s="1715"/>
      <c r="I145" s="1715"/>
      <c r="J145" s="1715"/>
      <c r="K145" s="1715"/>
      <c r="L145" s="1715"/>
      <c r="M145" s="1715"/>
      <c r="N145" s="1715"/>
      <c r="O145" s="1715"/>
      <c r="P145" s="1715"/>
      <c r="Q145" s="1715"/>
      <c r="R145" s="1715"/>
      <c r="S145" s="1715"/>
      <c r="T145" s="1715"/>
      <c r="U145" s="1715"/>
      <c r="V145" s="1715"/>
      <c r="W145" s="1715"/>
      <c r="X145" s="1715"/>
      <c r="Y145" s="1715"/>
      <c r="Z145" s="1715"/>
      <c r="AA145" s="1715"/>
      <c r="AB145" s="1715"/>
    </row>
    <row r="146" spans="2:28" s="1748" customFormat="1" ht="21" customHeight="1" x14ac:dyDescent="0.25">
      <c r="B146" s="1747"/>
      <c r="C146" s="1746" t="s">
        <v>1435</v>
      </c>
      <c r="D146" s="1747" t="s">
        <v>1436</v>
      </c>
      <c r="E146" s="1747" t="s">
        <v>1437</v>
      </c>
      <c r="F146" s="1747" t="s">
        <v>1438</v>
      </c>
      <c r="G146" s="1747" t="s">
        <v>1439</v>
      </c>
      <c r="H146" s="1747" t="s">
        <v>1440</v>
      </c>
      <c r="I146" s="1747" t="s">
        <v>1441</v>
      </c>
      <c r="J146" s="1747" t="s">
        <v>1442</v>
      </c>
      <c r="K146" s="1747" t="s">
        <v>1443</v>
      </c>
      <c r="L146" s="1747" t="s">
        <v>1444</v>
      </c>
      <c r="M146" s="1747" t="s">
        <v>1445</v>
      </c>
      <c r="N146" s="1747" t="s">
        <v>1446</v>
      </c>
      <c r="O146" s="1747" t="s">
        <v>1447</v>
      </c>
      <c r="P146" s="1747" t="s">
        <v>1448</v>
      </c>
      <c r="Q146" s="1747" t="s">
        <v>1449</v>
      </c>
      <c r="R146" s="1747" t="s">
        <v>1450</v>
      </c>
      <c r="S146" s="1747" t="s">
        <v>1451</v>
      </c>
      <c r="T146" s="1747" t="s">
        <v>1452</v>
      </c>
      <c r="U146" s="1747" t="s">
        <v>1453</v>
      </c>
      <c r="V146" s="1747" t="s">
        <v>1454</v>
      </c>
      <c r="W146" s="1747" t="s">
        <v>1455</v>
      </c>
      <c r="X146" s="1747" t="s">
        <v>1456</v>
      </c>
      <c r="Y146" s="1747" t="s">
        <v>1457</v>
      </c>
      <c r="Z146" s="1747" t="s">
        <v>1458</v>
      </c>
      <c r="AA146" s="1747" t="s">
        <v>1466</v>
      </c>
      <c r="AB146" s="1747" t="s">
        <v>1467</v>
      </c>
    </row>
    <row r="147" spans="2:28" x14ac:dyDescent="0.25">
      <c r="B147" s="1765" t="s">
        <v>1461</v>
      </c>
      <c r="C147" s="1776">
        <v>0</v>
      </c>
      <c r="D147" s="1776">
        <v>0</v>
      </c>
      <c r="E147" s="1776">
        <v>0</v>
      </c>
      <c r="F147" s="1776">
        <v>0</v>
      </c>
      <c r="G147" s="1776">
        <v>0</v>
      </c>
      <c r="H147" s="1776">
        <v>0</v>
      </c>
      <c r="I147" s="1776">
        <v>0.1</v>
      </c>
      <c r="J147" s="1776">
        <v>0.2</v>
      </c>
      <c r="K147" s="1776">
        <v>0.95</v>
      </c>
      <c r="L147" s="1776">
        <v>0.95</v>
      </c>
      <c r="M147" s="1776">
        <v>0.95</v>
      </c>
      <c r="N147" s="1776">
        <v>0.95</v>
      </c>
      <c r="O147" s="1776">
        <v>0.5</v>
      </c>
      <c r="P147" s="1776">
        <v>0.95</v>
      </c>
      <c r="Q147" s="1776">
        <v>0.95</v>
      </c>
      <c r="R147" s="1776">
        <v>0.95</v>
      </c>
      <c r="S147" s="1776">
        <v>0.95</v>
      </c>
      <c r="T147" s="1776">
        <v>0.3</v>
      </c>
      <c r="U147" s="1776">
        <v>0.1</v>
      </c>
      <c r="V147" s="1776">
        <v>0.1</v>
      </c>
      <c r="W147" s="1776">
        <v>0.1</v>
      </c>
      <c r="X147" s="1776">
        <v>0.1</v>
      </c>
      <c r="Y147" s="1776">
        <v>0.05</v>
      </c>
      <c r="Z147" s="1776">
        <v>0.05</v>
      </c>
      <c r="AA147" s="1752">
        <f>SUM(C147:Z147)</f>
        <v>9.2000000000000011</v>
      </c>
      <c r="AB147" s="1753">
        <f>AA147*SUM($C$9:$C$13)</f>
        <v>2300.0000000000005</v>
      </c>
    </row>
    <row r="148" spans="2:28" x14ac:dyDescent="0.25">
      <c r="B148" s="1767" t="s">
        <v>1431</v>
      </c>
      <c r="C148" s="1777">
        <v>0</v>
      </c>
      <c r="D148" s="1777">
        <v>0</v>
      </c>
      <c r="E148" s="1777">
        <v>0</v>
      </c>
      <c r="F148" s="1777">
        <v>0</v>
      </c>
      <c r="G148" s="1777">
        <v>0</v>
      </c>
      <c r="H148" s="1777">
        <v>0</v>
      </c>
      <c r="I148" s="1777">
        <v>0.1</v>
      </c>
      <c r="J148" s="1777">
        <v>0.1</v>
      </c>
      <c r="K148" s="1777">
        <v>0.3</v>
      </c>
      <c r="L148" s="1777">
        <v>0.3</v>
      </c>
      <c r="M148" s="1777">
        <v>0.3</v>
      </c>
      <c r="N148" s="1777">
        <v>0.3</v>
      </c>
      <c r="O148" s="1777">
        <v>0.1</v>
      </c>
      <c r="P148" s="1777">
        <v>0.1</v>
      </c>
      <c r="Q148" s="1777">
        <v>0.1</v>
      </c>
      <c r="R148" s="1777">
        <v>0.1</v>
      </c>
      <c r="S148" s="1777">
        <v>0.1</v>
      </c>
      <c r="T148" s="1777">
        <v>0.05</v>
      </c>
      <c r="U148" s="1777">
        <v>0.05</v>
      </c>
      <c r="V148" s="1777">
        <v>0</v>
      </c>
      <c r="W148" s="1777">
        <v>0</v>
      </c>
      <c r="X148" s="1777">
        <v>0</v>
      </c>
      <c r="Y148" s="1777">
        <v>0</v>
      </c>
      <c r="Z148" s="1777">
        <v>0</v>
      </c>
      <c r="AA148" s="1756">
        <f>SUM(C148:Z148)</f>
        <v>2.0000000000000004</v>
      </c>
      <c r="AB148" s="1757">
        <f>AA148*SUM($C$14)</f>
        <v>104.00000000000003</v>
      </c>
    </row>
    <row r="149" spans="2:28" x14ac:dyDescent="0.25">
      <c r="B149" s="1767" t="s">
        <v>1432</v>
      </c>
      <c r="C149" s="1777">
        <v>0</v>
      </c>
      <c r="D149" s="1777">
        <v>0</v>
      </c>
      <c r="E149" s="1777">
        <v>0</v>
      </c>
      <c r="F149" s="1777">
        <v>0</v>
      </c>
      <c r="G149" s="1777">
        <v>0</v>
      </c>
      <c r="H149" s="1777">
        <v>0</v>
      </c>
      <c r="I149" s="1777">
        <v>0.05</v>
      </c>
      <c r="J149" s="1777">
        <v>0.05</v>
      </c>
      <c r="K149" s="1777">
        <v>0.05</v>
      </c>
      <c r="L149" s="1777">
        <v>0.05</v>
      </c>
      <c r="M149" s="1777">
        <v>0.05</v>
      </c>
      <c r="N149" s="1777">
        <v>0.05</v>
      </c>
      <c r="O149" s="1777">
        <v>0.05</v>
      </c>
      <c r="P149" s="1777">
        <v>0.05</v>
      </c>
      <c r="Q149" s="1777">
        <v>0.05</v>
      </c>
      <c r="R149" s="1777">
        <v>0.05</v>
      </c>
      <c r="S149" s="1777">
        <v>0.05</v>
      </c>
      <c r="T149" s="1777">
        <v>0.05</v>
      </c>
      <c r="U149" s="1777">
        <v>0</v>
      </c>
      <c r="V149" s="1777">
        <v>0</v>
      </c>
      <c r="W149" s="1777">
        <v>0</v>
      </c>
      <c r="X149" s="1777">
        <v>0</v>
      </c>
      <c r="Y149" s="1777">
        <v>0</v>
      </c>
      <c r="Z149" s="1777">
        <v>0</v>
      </c>
      <c r="AA149" s="1756">
        <f>SUM(C149:Z149)</f>
        <v>0.6</v>
      </c>
      <c r="AB149" s="1757">
        <f>AA149*$C$15</f>
        <v>31.2</v>
      </c>
    </row>
    <row r="150" spans="2:28" x14ac:dyDescent="0.25">
      <c r="B150" s="1769" t="s">
        <v>1463</v>
      </c>
      <c r="C150" s="1778">
        <v>0</v>
      </c>
      <c r="D150" s="1778">
        <v>0</v>
      </c>
      <c r="E150" s="1778">
        <v>0</v>
      </c>
      <c r="F150" s="1778">
        <v>0</v>
      </c>
      <c r="G150" s="1778">
        <v>0</v>
      </c>
      <c r="H150" s="1778">
        <v>0</v>
      </c>
      <c r="I150" s="1778">
        <v>0.05</v>
      </c>
      <c r="J150" s="1778">
        <v>0.05</v>
      </c>
      <c r="K150" s="1778">
        <v>0.05</v>
      </c>
      <c r="L150" s="1778">
        <v>0.05</v>
      </c>
      <c r="M150" s="1778">
        <v>0.05</v>
      </c>
      <c r="N150" s="1778">
        <v>0.05</v>
      </c>
      <c r="O150" s="1778">
        <v>0.05</v>
      </c>
      <c r="P150" s="1778">
        <v>0.05</v>
      </c>
      <c r="Q150" s="1778">
        <v>0.05</v>
      </c>
      <c r="R150" s="1778">
        <v>0.05</v>
      </c>
      <c r="S150" s="1778">
        <v>0.05</v>
      </c>
      <c r="T150" s="1778">
        <v>0.05</v>
      </c>
      <c r="U150" s="1778">
        <v>0</v>
      </c>
      <c r="V150" s="1778">
        <v>0</v>
      </c>
      <c r="W150" s="1778">
        <v>0</v>
      </c>
      <c r="X150" s="1778">
        <v>0</v>
      </c>
      <c r="Y150" s="1778">
        <v>0</v>
      </c>
      <c r="Z150" s="1778">
        <v>0</v>
      </c>
      <c r="AA150" s="1760">
        <f>SUM(C150:Z150)</f>
        <v>0.6</v>
      </c>
      <c r="AB150" s="1761">
        <f>AA150*SUM($C$8)</f>
        <v>6.6</v>
      </c>
    </row>
    <row r="151" spans="2:28" x14ac:dyDescent="0.25">
      <c r="B151" s="2500" t="s">
        <v>1468</v>
      </c>
      <c r="C151" s="2501"/>
      <c r="D151" s="2501"/>
      <c r="E151" s="2501"/>
      <c r="F151" s="2501"/>
      <c r="G151" s="2501"/>
      <c r="H151" s="2501"/>
      <c r="I151" s="2501"/>
      <c r="J151" s="2501"/>
      <c r="K151" s="2501"/>
      <c r="L151" s="2501"/>
      <c r="M151" s="2501"/>
      <c r="N151" s="2501"/>
      <c r="O151" s="2501"/>
      <c r="P151" s="2501"/>
      <c r="Q151" s="2501"/>
      <c r="R151" s="2501"/>
      <c r="S151" s="2501"/>
      <c r="T151" s="2501"/>
      <c r="U151" s="2501"/>
      <c r="V151" s="2501"/>
      <c r="W151" s="2501"/>
      <c r="X151" s="2501"/>
      <c r="Y151" s="2501"/>
      <c r="Z151" s="2501"/>
      <c r="AA151" s="2501"/>
      <c r="AB151" s="1749">
        <f>SUM(AB147:AB150)</f>
        <v>2441.8000000000002</v>
      </c>
    </row>
    <row r="152" spans="2:28" x14ac:dyDescent="0.25">
      <c r="B152" s="1715"/>
      <c r="C152" s="1715"/>
      <c r="D152" s="1715"/>
      <c r="E152" s="1715"/>
      <c r="F152" s="1715"/>
      <c r="G152" s="1715"/>
      <c r="H152" s="1715"/>
      <c r="I152" s="1715"/>
      <c r="J152" s="1715"/>
      <c r="K152" s="1715"/>
      <c r="L152" s="1715"/>
      <c r="M152" s="1715"/>
      <c r="N152" s="1715"/>
      <c r="O152" s="1715"/>
      <c r="P152" s="1715"/>
      <c r="Q152" s="1715"/>
      <c r="R152" s="1715"/>
      <c r="S152" s="1715"/>
      <c r="T152" s="1715"/>
      <c r="U152" s="1715"/>
      <c r="V152" s="1715"/>
      <c r="W152" s="1715"/>
      <c r="X152" s="1715"/>
      <c r="Y152" s="1715"/>
      <c r="Z152" s="1715"/>
      <c r="AA152" s="1715"/>
      <c r="AB152" s="1715"/>
    </row>
    <row r="153" spans="2:28" ht="15" customHeight="1" x14ac:dyDescent="0.25">
      <c r="B153" s="1715" t="s">
        <v>1434</v>
      </c>
      <c r="C153" s="2497" t="s">
        <v>1620</v>
      </c>
      <c r="D153" s="2498"/>
      <c r="E153" s="2498"/>
      <c r="F153" s="2498"/>
      <c r="G153" s="2498"/>
      <c r="H153" s="2498"/>
      <c r="I153" s="2498"/>
      <c r="J153" s="2498"/>
      <c r="K153" s="2498"/>
      <c r="L153" s="2498"/>
      <c r="M153" s="2498"/>
      <c r="N153" s="2498"/>
      <c r="O153" s="2498"/>
      <c r="P153" s="2498"/>
      <c r="Q153" s="2498"/>
      <c r="R153" s="2498"/>
      <c r="S153" s="2498"/>
      <c r="T153" s="2498"/>
      <c r="U153" s="2498"/>
      <c r="V153" s="2498"/>
      <c r="W153" s="2498"/>
      <c r="X153" s="2498"/>
      <c r="Y153" s="2498"/>
      <c r="Z153" s="2498"/>
      <c r="AA153" s="2498"/>
      <c r="AB153" s="2499"/>
    </row>
    <row r="154" spans="2:28" x14ac:dyDescent="0.25">
      <c r="B154" s="1715"/>
      <c r="C154" s="1715"/>
      <c r="D154" s="1715"/>
      <c r="E154" s="1715"/>
      <c r="F154" s="1715"/>
      <c r="G154" s="1715"/>
      <c r="H154" s="1715"/>
      <c r="I154" s="1715"/>
      <c r="J154" s="1715"/>
      <c r="K154" s="1715"/>
      <c r="L154" s="1715"/>
      <c r="M154" s="1715"/>
      <c r="N154" s="1715"/>
      <c r="O154" s="1715"/>
      <c r="P154" s="1715"/>
      <c r="Q154" s="1715"/>
      <c r="R154" s="1715"/>
      <c r="S154" s="1715"/>
      <c r="T154" s="1715"/>
      <c r="U154" s="1715"/>
      <c r="V154" s="1715"/>
      <c r="W154" s="1715"/>
      <c r="X154" s="1715"/>
      <c r="Y154" s="1715"/>
      <c r="Z154" s="1715"/>
      <c r="AA154" s="1715"/>
      <c r="AB154" s="1715"/>
    </row>
    <row r="155" spans="2:28" s="1748" customFormat="1" ht="21" customHeight="1" x14ac:dyDescent="0.25">
      <c r="B155" s="1747"/>
      <c r="C155" s="1746" t="s">
        <v>1435</v>
      </c>
      <c r="D155" s="1747" t="s">
        <v>1436</v>
      </c>
      <c r="E155" s="1747" t="s">
        <v>1437</v>
      </c>
      <c r="F155" s="1747" t="s">
        <v>1438</v>
      </c>
      <c r="G155" s="1747" t="s">
        <v>1439</v>
      </c>
      <c r="H155" s="1747" t="s">
        <v>1440</v>
      </c>
      <c r="I155" s="1747" t="s">
        <v>1441</v>
      </c>
      <c r="J155" s="1747" t="s">
        <v>1442</v>
      </c>
      <c r="K155" s="1747" t="s">
        <v>1443</v>
      </c>
      <c r="L155" s="1747" t="s">
        <v>1444</v>
      </c>
      <c r="M155" s="1747" t="s">
        <v>1445</v>
      </c>
      <c r="N155" s="1747" t="s">
        <v>1446</v>
      </c>
      <c r="O155" s="1747" t="s">
        <v>1447</v>
      </c>
      <c r="P155" s="1747" t="s">
        <v>1448</v>
      </c>
      <c r="Q155" s="1747" t="s">
        <v>1449</v>
      </c>
      <c r="R155" s="1747" t="s">
        <v>1450</v>
      </c>
      <c r="S155" s="1747" t="s">
        <v>1451</v>
      </c>
      <c r="T155" s="1747" t="s">
        <v>1452</v>
      </c>
      <c r="U155" s="1747" t="s">
        <v>1453</v>
      </c>
      <c r="V155" s="1747" t="s">
        <v>1454</v>
      </c>
      <c r="W155" s="1747" t="s">
        <v>1455</v>
      </c>
      <c r="X155" s="1747" t="s">
        <v>1456</v>
      </c>
      <c r="Y155" s="1747" t="s">
        <v>1457</v>
      </c>
      <c r="Z155" s="1747" t="s">
        <v>1458</v>
      </c>
      <c r="AA155" s="1747" t="s">
        <v>1466</v>
      </c>
      <c r="AB155" s="1747" t="s">
        <v>1467</v>
      </c>
    </row>
    <row r="156" spans="2:28" x14ac:dyDescent="0.25">
      <c r="B156" s="1765" t="s">
        <v>1461</v>
      </c>
      <c r="C156" s="1776">
        <v>0.05</v>
      </c>
      <c r="D156" s="1776">
        <v>0.05</v>
      </c>
      <c r="E156" s="1776">
        <v>0.05</v>
      </c>
      <c r="F156" s="1776">
        <v>0.05</v>
      </c>
      <c r="G156" s="1776">
        <v>0.05</v>
      </c>
      <c r="H156" s="1776">
        <v>0.1</v>
      </c>
      <c r="I156" s="1776">
        <v>0.1</v>
      </c>
      <c r="J156" s="1776">
        <v>0.3</v>
      </c>
      <c r="K156" s="1776">
        <v>0.65</v>
      </c>
      <c r="L156" s="1776">
        <v>0.65</v>
      </c>
      <c r="M156" s="1776">
        <v>0.65</v>
      </c>
      <c r="N156" s="1776">
        <v>0.65</v>
      </c>
      <c r="O156" s="1776">
        <v>0.55000000000000004</v>
      </c>
      <c r="P156" s="1776">
        <v>0.65</v>
      </c>
      <c r="Q156" s="1776">
        <v>0.65</v>
      </c>
      <c r="R156" s="1776">
        <v>0.65</v>
      </c>
      <c r="S156" s="1776">
        <v>0.65</v>
      </c>
      <c r="T156" s="1776">
        <v>0.35</v>
      </c>
      <c r="U156" s="1776">
        <v>0.3</v>
      </c>
      <c r="V156" s="1776">
        <v>0.3</v>
      </c>
      <c r="W156" s="1776">
        <v>0.2</v>
      </c>
      <c r="X156" s="1776">
        <v>0.2</v>
      </c>
      <c r="Y156" s="1776">
        <v>0.1</v>
      </c>
      <c r="Z156" s="1776">
        <v>0.05</v>
      </c>
      <c r="AA156" s="1752">
        <f>SUM(C156:Z156)</f>
        <v>8</v>
      </c>
      <c r="AB156" s="1753">
        <f>AA156*SUM($C$9:$C$13)</f>
        <v>2000</v>
      </c>
    </row>
    <row r="157" spans="2:28" x14ac:dyDescent="0.25">
      <c r="B157" s="1767" t="s">
        <v>1431</v>
      </c>
      <c r="C157" s="1777">
        <v>0.05</v>
      </c>
      <c r="D157" s="1777">
        <v>0.05</v>
      </c>
      <c r="E157" s="1777">
        <v>0.05</v>
      </c>
      <c r="F157" s="1777">
        <v>0.05</v>
      </c>
      <c r="G157" s="1777">
        <v>0.05</v>
      </c>
      <c r="H157" s="1777">
        <v>0.05</v>
      </c>
      <c r="I157" s="1777">
        <v>0.1</v>
      </c>
      <c r="J157" s="1777">
        <v>0.1</v>
      </c>
      <c r="K157" s="1777">
        <v>0.3</v>
      </c>
      <c r="L157" s="1777">
        <v>0.3</v>
      </c>
      <c r="M157" s="1777">
        <v>0.3</v>
      </c>
      <c r="N157" s="1777">
        <v>0.3</v>
      </c>
      <c r="O157" s="1777">
        <v>0.15</v>
      </c>
      <c r="P157" s="1777">
        <v>0.15</v>
      </c>
      <c r="Q157" s="1777">
        <v>0.15</v>
      </c>
      <c r="R157" s="1777">
        <v>0.15</v>
      </c>
      <c r="S157" s="1777">
        <v>0.15</v>
      </c>
      <c r="T157" s="1777">
        <v>0.05</v>
      </c>
      <c r="U157" s="1777">
        <v>0.05</v>
      </c>
      <c r="V157" s="1777">
        <v>0.05</v>
      </c>
      <c r="W157" s="1777">
        <v>0.05</v>
      </c>
      <c r="X157" s="1777">
        <v>0.05</v>
      </c>
      <c r="Y157" s="1777">
        <v>0.05</v>
      </c>
      <c r="Z157" s="1777">
        <v>0.05</v>
      </c>
      <c r="AA157" s="1756">
        <f>SUM(C157:Z157)</f>
        <v>2.7999999999999985</v>
      </c>
      <c r="AB157" s="1757">
        <f>AA157*SUM($C$14)</f>
        <v>145.59999999999991</v>
      </c>
    </row>
    <row r="158" spans="2:28" x14ac:dyDescent="0.25">
      <c r="B158" s="1767" t="s">
        <v>1432</v>
      </c>
      <c r="C158" s="1777">
        <v>0.05</v>
      </c>
      <c r="D158" s="1777">
        <v>0.05</v>
      </c>
      <c r="E158" s="1777">
        <v>0.05</v>
      </c>
      <c r="F158" s="1777">
        <v>0.05</v>
      </c>
      <c r="G158" s="1777">
        <v>0.05</v>
      </c>
      <c r="H158" s="1777">
        <v>0.05</v>
      </c>
      <c r="I158" s="1777">
        <v>0.05</v>
      </c>
      <c r="J158" s="1777">
        <v>0.05</v>
      </c>
      <c r="K158" s="1777">
        <v>0.05</v>
      </c>
      <c r="L158" s="1777">
        <v>0.05</v>
      </c>
      <c r="M158" s="1777">
        <v>0.05</v>
      </c>
      <c r="N158" s="1777">
        <v>0.05</v>
      </c>
      <c r="O158" s="1777">
        <v>0.05</v>
      </c>
      <c r="P158" s="1777">
        <v>0.05</v>
      </c>
      <c r="Q158" s="1777">
        <v>0.05</v>
      </c>
      <c r="R158" s="1777">
        <v>0.05</v>
      </c>
      <c r="S158" s="1777">
        <v>0.05</v>
      </c>
      <c r="T158" s="1777">
        <v>0.05</v>
      </c>
      <c r="U158" s="1777">
        <v>0.05</v>
      </c>
      <c r="V158" s="1777">
        <v>0.05</v>
      </c>
      <c r="W158" s="1777">
        <v>0.05</v>
      </c>
      <c r="X158" s="1777">
        <v>0.05</v>
      </c>
      <c r="Y158" s="1777">
        <v>0.05</v>
      </c>
      <c r="Z158" s="1777">
        <v>0.05</v>
      </c>
      <c r="AA158" s="1756">
        <f>SUM(C158:Z158)</f>
        <v>1.2000000000000004</v>
      </c>
      <c r="AB158" s="1757">
        <f>AA158*$C$15</f>
        <v>62.40000000000002</v>
      </c>
    </row>
    <row r="159" spans="2:28" x14ac:dyDescent="0.25">
      <c r="B159" s="1769" t="s">
        <v>1463</v>
      </c>
      <c r="C159" s="1778">
        <v>0.05</v>
      </c>
      <c r="D159" s="1778">
        <v>0.05</v>
      </c>
      <c r="E159" s="1778">
        <v>0.05</v>
      </c>
      <c r="F159" s="1778">
        <v>0.05</v>
      </c>
      <c r="G159" s="1778">
        <v>0.05</v>
      </c>
      <c r="H159" s="1778">
        <v>0.05</v>
      </c>
      <c r="I159" s="1778">
        <v>0.05</v>
      </c>
      <c r="J159" s="1778">
        <v>0.05</v>
      </c>
      <c r="K159" s="1778">
        <v>0.05</v>
      </c>
      <c r="L159" s="1778">
        <v>0.05</v>
      </c>
      <c r="M159" s="1778">
        <v>0.05</v>
      </c>
      <c r="N159" s="1778">
        <v>0.05</v>
      </c>
      <c r="O159" s="1778">
        <v>0.05</v>
      </c>
      <c r="P159" s="1778">
        <v>0.05</v>
      </c>
      <c r="Q159" s="1778">
        <v>0.05</v>
      </c>
      <c r="R159" s="1778">
        <v>0.05</v>
      </c>
      <c r="S159" s="1778">
        <v>0.05</v>
      </c>
      <c r="T159" s="1778">
        <v>0.05</v>
      </c>
      <c r="U159" s="1778">
        <v>0.05</v>
      </c>
      <c r="V159" s="1778">
        <v>0.05</v>
      </c>
      <c r="W159" s="1778">
        <v>0.05</v>
      </c>
      <c r="X159" s="1778">
        <v>0.05</v>
      </c>
      <c r="Y159" s="1778">
        <v>0.05</v>
      </c>
      <c r="Z159" s="1778">
        <v>0.05</v>
      </c>
      <c r="AA159" s="1760">
        <f>SUM(C159:Z159)</f>
        <v>1.2000000000000004</v>
      </c>
      <c r="AB159" s="1761">
        <f>AA159*SUM($C$8)</f>
        <v>13.200000000000005</v>
      </c>
    </row>
    <row r="160" spans="2:28" x14ac:dyDescent="0.25">
      <c r="B160" s="2500" t="s">
        <v>1468</v>
      </c>
      <c r="C160" s="2501"/>
      <c r="D160" s="2501"/>
      <c r="E160" s="2501"/>
      <c r="F160" s="2501"/>
      <c r="G160" s="2501"/>
      <c r="H160" s="2501"/>
      <c r="I160" s="2501"/>
      <c r="J160" s="2501"/>
      <c r="K160" s="2501"/>
      <c r="L160" s="2501"/>
      <c r="M160" s="2501"/>
      <c r="N160" s="2501"/>
      <c r="O160" s="2501"/>
      <c r="P160" s="2501"/>
      <c r="Q160" s="2501"/>
      <c r="R160" s="2501"/>
      <c r="S160" s="2501"/>
      <c r="T160" s="2501"/>
      <c r="U160" s="2501"/>
      <c r="V160" s="2501"/>
      <c r="W160" s="2501"/>
      <c r="X160" s="2501"/>
      <c r="Y160" s="2501"/>
      <c r="Z160" s="2501"/>
      <c r="AA160" s="2501"/>
      <c r="AB160" s="1749">
        <f>SUM(AB156:AB159)</f>
        <v>2221.1999999999998</v>
      </c>
    </row>
    <row r="161" spans="2:28" x14ac:dyDescent="0.25">
      <c r="B161" s="1715"/>
      <c r="C161" s="1715"/>
      <c r="D161" s="1715"/>
      <c r="E161" s="1715"/>
      <c r="F161" s="1715"/>
      <c r="G161" s="1715"/>
      <c r="H161" s="1715"/>
      <c r="I161" s="1715"/>
      <c r="J161" s="1715"/>
      <c r="K161" s="1715"/>
      <c r="L161" s="1715"/>
      <c r="M161" s="1715"/>
      <c r="N161" s="1715"/>
      <c r="O161" s="1715"/>
      <c r="P161" s="1715"/>
      <c r="Q161" s="1715"/>
      <c r="R161" s="1715"/>
      <c r="S161" s="1715"/>
      <c r="T161" s="1715"/>
      <c r="U161" s="1715"/>
      <c r="V161" s="1715"/>
      <c r="W161" s="1715"/>
      <c r="X161" s="1715"/>
      <c r="Y161" s="1715"/>
      <c r="Z161" s="1715"/>
      <c r="AA161" s="1715"/>
      <c r="AB161" s="1715"/>
    </row>
    <row r="162" spans="2:28" ht="15" customHeight="1" x14ac:dyDescent="0.25">
      <c r="B162" s="1715" t="s">
        <v>1434</v>
      </c>
      <c r="C162" s="2497" t="s">
        <v>1621</v>
      </c>
      <c r="D162" s="2498"/>
      <c r="E162" s="2498"/>
      <c r="F162" s="2498"/>
      <c r="G162" s="2498"/>
      <c r="H162" s="2498"/>
      <c r="I162" s="2498"/>
      <c r="J162" s="2498"/>
      <c r="K162" s="2498"/>
      <c r="L162" s="2498"/>
      <c r="M162" s="2498"/>
      <c r="N162" s="2498"/>
      <c r="O162" s="2498"/>
      <c r="P162" s="2498"/>
      <c r="Q162" s="2498"/>
      <c r="R162" s="2498"/>
      <c r="S162" s="2498"/>
      <c r="T162" s="2498"/>
      <c r="U162" s="2498"/>
      <c r="V162" s="2498"/>
      <c r="W162" s="2498"/>
      <c r="X162" s="2498"/>
      <c r="Y162" s="2498"/>
      <c r="Z162" s="2498"/>
      <c r="AA162" s="2498"/>
      <c r="AB162" s="2499"/>
    </row>
    <row r="163" spans="2:28" x14ac:dyDescent="0.25">
      <c r="B163" s="1715"/>
      <c r="C163" s="1715"/>
      <c r="D163" s="1715"/>
      <c r="E163" s="1715"/>
      <c r="F163" s="1715"/>
      <c r="G163" s="1715"/>
      <c r="H163" s="1715"/>
      <c r="I163" s="1715"/>
      <c r="J163" s="1715"/>
      <c r="K163" s="1715"/>
      <c r="L163" s="1715"/>
      <c r="M163" s="1715"/>
      <c r="N163" s="1715"/>
      <c r="O163" s="1715"/>
      <c r="P163" s="1715"/>
      <c r="Q163" s="1715"/>
      <c r="R163" s="1715"/>
      <c r="S163" s="1715"/>
      <c r="T163" s="1715"/>
      <c r="U163" s="1715"/>
      <c r="V163" s="1715"/>
      <c r="W163" s="1715"/>
      <c r="X163" s="1715"/>
      <c r="Y163" s="1715"/>
      <c r="Z163" s="1715"/>
      <c r="AA163" s="1715"/>
      <c r="AB163" s="1715"/>
    </row>
    <row r="164" spans="2:28" s="1748" customFormat="1" ht="21" customHeight="1" x14ac:dyDescent="0.25">
      <c r="B164" s="1747"/>
      <c r="C164" s="1746" t="s">
        <v>1435</v>
      </c>
      <c r="D164" s="1747" t="s">
        <v>1436</v>
      </c>
      <c r="E164" s="1747" t="s">
        <v>1437</v>
      </c>
      <c r="F164" s="1747" t="s">
        <v>1438</v>
      </c>
      <c r="G164" s="1747" t="s">
        <v>1439</v>
      </c>
      <c r="H164" s="1747" t="s">
        <v>1440</v>
      </c>
      <c r="I164" s="1747" t="s">
        <v>1441</v>
      </c>
      <c r="J164" s="1747" t="s">
        <v>1442</v>
      </c>
      <c r="K164" s="1747" t="s">
        <v>1443</v>
      </c>
      <c r="L164" s="1747" t="s">
        <v>1444</v>
      </c>
      <c r="M164" s="1747" t="s">
        <v>1445</v>
      </c>
      <c r="N164" s="1747" t="s">
        <v>1446</v>
      </c>
      <c r="O164" s="1747" t="s">
        <v>1447</v>
      </c>
      <c r="P164" s="1747" t="s">
        <v>1448</v>
      </c>
      <c r="Q164" s="1747" t="s">
        <v>1449</v>
      </c>
      <c r="R164" s="1747" t="s">
        <v>1450</v>
      </c>
      <c r="S164" s="1747" t="s">
        <v>1451</v>
      </c>
      <c r="T164" s="1747" t="s">
        <v>1452</v>
      </c>
      <c r="U164" s="1747" t="s">
        <v>1453</v>
      </c>
      <c r="V164" s="1747" t="s">
        <v>1454</v>
      </c>
      <c r="W164" s="1747" t="s">
        <v>1455</v>
      </c>
      <c r="X164" s="1747" t="s">
        <v>1456</v>
      </c>
      <c r="Y164" s="1747" t="s">
        <v>1457</v>
      </c>
      <c r="Z164" s="1747" t="s">
        <v>1458</v>
      </c>
      <c r="AA164" s="1747" t="s">
        <v>1466</v>
      </c>
      <c r="AB164" s="1747" t="s">
        <v>1467</v>
      </c>
    </row>
    <row r="165" spans="2:28" x14ac:dyDescent="0.25">
      <c r="B165" s="1765" t="s">
        <v>1461</v>
      </c>
      <c r="C165" s="1776">
        <v>0.05</v>
      </c>
      <c r="D165" s="1776">
        <v>0.05</v>
      </c>
      <c r="E165" s="1776">
        <v>0.05</v>
      </c>
      <c r="F165" s="1776">
        <v>0.05</v>
      </c>
      <c r="G165" s="1776">
        <v>0.05</v>
      </c>
      <c r="H165" s="1776">
        <v>0.1</v>
      </c>
      <c r="I165" s="1776">
        <v>0.1</v>
      </c>
      <c r="J165" s="1776">
        <v>0.3</v>
      </c>
      <c r="K165" s="1776">
        <v>0.9</v>
      </c>
      <c r="L165" s="1776">
        <v>0.9</v>
      </c>
      <c r="M165" s="1776">
        <v>0.9</v>
      </c>
      <c r="N165" s="1776">
        <v>0.9</v>
      </c>
      <c r="O165" s="1776">
        <v>0.8</v>
      </c>
      <c r="P165" s="1776">
        <v>0.9</v>
      </c>
      <c r="Q165" s="1776">
        <v>0.9</v>
      </c>
      <c r="R165" s="1776">
        <v>0.9</v>
      </c>
      <c r="S165" s="1776">
        <v>0.9</v>
      </c>
      <c r="T165" s="1776">
        <v>0.5</v>
      </c>
      <c r="U165" s="1776">
        <v>0.3</v>
      </c>
      <c r="V165" s="1776">
        <v>0.3</v>
      </c>
      <c r="W165" s="1776">
        <v>0.2</v>
      </c>
      <c r="X165" s="1776">
        <v>0.2</v>
      </c>
      <c r="Y165" s="1776">
        <v>0.1</v>
      </c>
      <c r="Z165" s="1776">
        <v>0.05</v>
      </c>
      <c r="AA165" s="1752">
        <f>SUM(C165:Z165)</f>
        <v>10.4</v>
      </c>
      <c r="AB165" s="1753">
        <f>AA165*SUM($C$9:$C$13)</f>
        <v>2600</v>
      </c>
    </row>
    <row r="166" spans="2:28" x14ac:dyDescent="0.25">
      <c r="B166" s="1767" t="s">
        <v>1431</v>
      </c>
      <c r="C166" s="1777">
        <v>0.05</v>
      </c>
      <c r="D166" s="1777">
        <v>0.05</v>
      </c>
      <c r="E166" s="1777">
        <v>0.05</v>
      </c>
      <c r="F166" s="1777">
        <v>0.05</v>
      </c>
      <c r="G166" s="1777">
        <v>0.05</v>
      </c>
      <c r="H166" s="1777">
        <v>0.05</v>
      </c>
      <c r="I166" s="1777">
        <v>0.1</v>
      </c>
      <c r="J166" s="1777">
        <v>0.1</v>
      </c>
      <c r="K166" s="1777">
        <v>0.3</v>
      </c>
      <c r="L166" s="1777">
        <v>0.3</v>
      </c>
      <c r="M166" s="1777">
        <v>0.3</v>
      </c>
      <c r="N166" s="1777">
        <v>0.3</v>
      </c>
      <c r="O166" s="1777">
        <v>0.15</v>
      </c>
      <c r="P166" s="1777">
        <v>0.15</v>
      </c>
      <c r="Q166" s="1777">
        <v>0.15</v>
      </c>
      <c r="R166" s="1777">
        <v>0.15</v>
      </c>
      <c r="S166" s="1777">
        <v>0.15</v>
      </c>
      <c r="T166" s="1777">
        <v>0.05</v>
      </c>
      <c r="U166" s="1777">
        <v>0.05</v>
      </c>
      <c r="V166" s="1777">
        <v>0.05</v>
      </c>
      <c r="W166" s="1777">
        <v>0.05</v>
      </c>
      <c r="X166" s="1777">
        <v>0.05</v>
      </c>
      <c r="Y166" s="1777">
        <v>0.05</v>
      </c>
      <c r="Z166" s="1777">
        <v>0.05</v>
      </c>
      <c r="AA166" s="1756">
        <f>SUM(C166:Z166)</f>
        <v>2.7999999999999985</v>
      </c>
      <c r="AB166" s="1757">
        <f>AA166*SUM($C$14)</f>
        <v>145.59999999999991</v>
      </c>
    </row>
    <row r="167" spans="2:28" x14ac:dyDescent="0.25">
      <c r="B167" s="1767" t="s">
        <v>1432</v>
      </c>
      <c r="C167" s="1777">
        <v>0.05</v>
      </c>
      <c r="D167" s="1777">
        <v>0.05</v>
      </c>
      <c r="E167" s="1777">
        <v>0.05</v>
      </c>
      <c r="F167" s="1777">
        <v>0.05</v>
      </c>
      <c r="G167" s="1777">
        <v>0.05</v>
      </c>
      <c r="H167" s="1777">
        <v>0.05</v>
      </c>
      <c r="I167" s="1777">
        <v>0.05</v>
      </c>
      <c r="J167" s="1777">
        <v>0.05</v>
      </c>
      <c r="K167" s="1777">
        <v>0.05</v>
      </c>
      <c r="L167" s="1777">
        <v>0.05</v>
      </c>
      <c r="M167" s="1777">
        <v>0.05</v>
      </c>
      <c r="N167" s="1777">
        <v>0.05</v>
      </c>
      <c r="O167" s="1777">
        <v>0.05</v>
      </c>
      <c r="P167" s="1777">
        <v>0.05</v>
      </c>
      <c r="Q167" s="1777">
        <v>0.05</v>
      </c>
      <c r="R167" s="1777">
        <v>0.05</v>
      </c>
      <c r="S167" s="1777">
        <v>0.05</v>
      </c>
      <c r="T167" s="1777">
        <v>0.05</v>
      </c>
      <c r="U167" s="1777">
        <v>0.05</v>
      </c>
      <c r="V167" s="1777">
        <v>0.05</v>
      </c>
      <c r="W167" s="1777">
        <v>0.05</v>
      </c>
      <c r="X167" s="1777">
        <v>0.05</v>
      </c>
      <c r="Y167" s="1777">
        <v>0.05</v>
      </c>
      <c r="Z167" s="1777">
        <v>0.05</v>
      </c>
      <c r="AA167" s="1756">
        <f>SUM(C167:Z167)</f>
        <v>1.2000000000000004</v>
      </c>
      <c r="AB167" s="1757">
        <f>AA167*$C$15</f>
        <v>62.40000000000002</v>
      </c>
    </row>
    <row r="168" spans="2:28" x14ac:dyDescent="0.25">
      <c r="B168" s="1769" t="s">
        <v>1463</v>
      </c>
      <c r="C168" s="1778">
        <v>0.05</v>
      </c>
      <c r="D168" s="1778">
        <v>0.05</v>
      </c>
      <c r="E168" s="1778">
        <v>0.05</v>
      </c>
      <c r="F168" s="1778">
        <v>0.05</v>
      </c>
      <c r="G168" s="1778">
        <v>0.05</v>
      </c>
      <c r="H168" s="1778">
        <v>0.05</v>
      </c>
      <c r="I168" s="1778">
        <v>0.05</v>
      </c>
      <c r="J168" s="1778">
        <v>0.05</v>
      </c>
      <c r="K168" s="1778">
        <v>0.05</v>
      </c>
      <c r="L168" s="1778">
        <v>0.05</v>
      </c>
      <c r="M168" s="1778">
        <v>0.05</v>
      </c>
      <c r="N168" s="1778">
        <v>0.05</v>
      </c>
      <c r="O168" s="1778">
        <v>0.05</v>
      </c>
      <c r="P168" s="1778">
        <v>0.05</v>
      </c>
      <c r="Q168" s="1778">
        <v>0.05</v>
      </c>
      <c r="R168" s="1778">
        <v>0.05</v>
      </c>
      <c r="S168" s="1778">
        <v>0.05</v>
      </c>
      <c r="T168" s="1778">
        <v>0.05</v>
      </c>
      <c r="U168" s="1778">
        <v>0.05</v>
      </c>
      <c r="V168" s="1778">
        <v>0.05</v>
      </c>
      <c r="W168" s="1778">
        <v>0.05</v>
      </c>
      <c r="X168" s="1778">
        <v>0.05</v>
      </c>
      <c r="Y168" s="1778">
        <v>0.05</v>
      </c>
      <c r="Z168" s="1778">
        <v>0.05</v>
      </c>
      <c r="AA168" s="1760">
        <f>SUM(C168:Z168)</f>
        <v>1.2000000000000004</v>
      </c>
      <c r="AB168" s="1761">
        <f>AA168*SUM($C$8)</f>
        <v>13.200000000000005</v>
      </c>
    </row>
    <row r="169" spans="2:28" x14ac:dyDescent="0.25">
      <c r="B169" s="2500" t="s">
        <v>1468</v>
      </c>
      <c r="C169" s="2501"/>
      <c r="D169" s="2501"/>
      <c r="E169" s="2501"/>
      <c r="F169" s="2501"/>
      <c r="G169" s="2501"/>
      <c r="H169" s="2501"/>
      <c r="I169" s="2501"/>
      <c r="J169" s="2501"/>
      <c r="K169" s="2501"/>
      <c r="L169" s="2501"/>
      <c r="M169" s="2501"/>
      <c r="N169" s="2501"/>
      <c r="O169" s="2501"/>
      <c r="P169" s="2501"/>
      <c r="Q169" s="2501"/>
      <c r="R169" s="2501"/>
      <c r="S169" s="2501"/>
      <c r="T169" s="2501"/>
      <c r="U169" s="2501"/>
      <c r="V169" s="2501"/>
      <c r="W169" s="2501"/>
      <c r="X169" s="2501"/>
      <c r="Y169" s="2501"/>
      <c r="Z169" s="2501"/>
      <c r="AA169" s="2501"/>
      <c r="AB169" s="1749">
        <f>SUM(AB165:AB168)</f>
        <v>2821.2</v>
      </c>
    </row>
    <row r="170" spans="2:28" x14ac:dyDescent="0.25">
      <c r="B170" s="1715"/>
      <c r="C170" s="1715"/>
      <c r="D170" s="1715"/>
      <c r="E170" s="1715"/>
      <c r="F170" s="1715"/>
      <c r="G170" s="1715"/>
      <c r="H170" s="1715"/>
      <c r="I170" s="1715"/>
      <c r="J170" s="1715"/>
      <c r="K170" s="1715"/>
      <c r="L170" s="1715"/>
      <c r="M170" s="1715"/>
      <c r="N170" s="1715"/>
      <c r="O170" s="1715"/>
      <c r="P170" s="1715"/>
      <c r="Q170" s="1715"/>
      <c r="R170" s="1715"/>
      <c r="S170" s="1715"/>
      <c r="T170" s="1715"/>
      <c r="U170" s="1715"/>
      <c r="V170" s="1715"/>
      <c r="W170" s="1715"/>
      <c r="X170" s="1715"/>
      <c r="Y170" s="1715"/>
      <c r="Z170" s="1715"/>
      <c r="AA170" s="1715"/>
      <c r="AB170" s="1715"/>
    </row>
    <row r="171" spans="2:28" ht="15" customHeight="1" x14ac:dyDescent="0.25">
      <c r="B171" s="1715" t="s">
        <v>1434</v>
      </c>
      <c r="C171" s="2497" t="s">
        <v>1622</v>
      </c>
      <c r="D171" s="2498"/>
      <c r="E171" s="2498"/>
      <c r="F171" s="2498"/>
      <c r="G171" s="2498"/>
      <c r="H171" s="2498"/>
      <c r="I171" s="2498"/>
      <c r="J171" s="2498"/>
      <c r="K171" s="2498"/>
      <c r="L171" s="2498"/>
      <c r="M171" s="2498"/>
      <c r="N171" s="2498"/>
      <c r="O171" s="2498"/>
      <c r="P171" s="2498"/>
      <c r="Q171" s="2498"/>
      <c r="R171" s="2498"/>
      <c r="S171" s="2498"/>
      <c r="T171" s="2498"/>
      <c r="U171" s="2498"/>
      <c r="V171" s="2498"/>
      <c r="W171" s="2498"/>
      <c r="X171" s="2498"/>
      <c r="Y171" s="2498"/>
      <c r="Z171" s="2498"/>
      <c r="AA171" s="2498"/>
      <c r="AB171" s="2499"/>
    </row>
    <row r="172" spans="2:28" x14ac:dyDescent="0.25">
      <c r="B172" s="1715"/>
      <c r="C172" s="1715"/>
      <c r="D172" s="1715"/>
      <c r="E172" s="1715"/>
      <c r="F172" s="1715"/>
      <c r="G172" s="1715"/>
      <c r="H172" s="1715"/>
      <c r="I172" s="1715"/>
      <c r="J172" s="1715"/>
      <c r="K172" s="1715"/>
      <c r="L172" s="1715"/>
      <c r="M172" s="1715"/>
      <c r="N172" s="1715"/>
      <c r="O172" s="1715"/>
      <c r="P172" s="1715"/>
      <c r="Q172" s="1715"/>
      <c r="R172" s="1715"/>
      <c r="S172" s="1715"/>
      <c r="T172" s="1715"/>
      <c r="U172" s="1715"/>
      <c r="V172" s="1715"/>
      <c r="W172" s="1715"/>
      <c r="X172" s="1715"/>
      <c r="Y172" s="1715"/>
      <c r="Z172" s="1715"/>
      <c r="AA172" s="1715"/>
      <c r="AB172" s="1715"/>
    </row>
    <row r="173" spans="2:28" s="1748" customFormat="1" ht="21" customHeight="1" x14ac:dyDescent="0.25">
      <c r="B173" s="1747"/>
      <c r="C173" s="1746" t="s">
        <v>1435</v>
      </c>
      <c r="D173" s="1747" t="s">
        <v>1436</v>
      </c>
      <c r="E173" s="1747" t="s">
        <v>1437</v>
      </c>
      <c r="F173" s="1747" t="s">
        <v>1438</v>
      </c>
      <c r="G173" s="1747" t="s">
        <v>1439</v>
      </c>
      <c r="H173" s="1747" t="s">
        <v>1440</v>
      </c>
      <c r="I173" s="1747" t="s">
        <v>1441</v>
      </c>
      <c r="J173" s="1747" t="s">
        <v>1442</v>
      </c>
      <c r="K173" s="1747" t="s">
        <v>1443</v>
      </c>
      <c r="L173" s="1747" t="s">
        <v>1444</v>
      </c>
      <c r="M173" s="1747" t="s">
        <v>1445</v>
      </c>
      <c r="N173" s="1747" t="s">
        <v>1446</v>
      </c>
      <c r="O173" s="1747" t="s">
        <v>1447</v>
      </c>
      <c r="P173" s="1747" t="s">
        <v>1448</v>
      </c>
      <c r="Q173" s="1747" t="s">
        <v>1449</v>
      </c>
      <c r="R173" s="1747" t="s">
        <v>1450</v>
      </c>
      <c r="S173" s="1747" t="s">
        <v>1451</v>
      </c>
      <c r="T173" s="1747" t="s">
        <v>1452</v>
      </c>
      <c r="U173" s="1747" t="s">
        <v>1453</v>
      </c>
      <c r="V173" s="1747" t="s">
        <v>1454</v>
      </c>
      <c r="W173" s="1747" t="s">
        <v>1455</v>
      </c>
      <c r="X173" s="1747" t="s">
        <v>1456</v>
      </c>
      <c r="Y173" s="1747" t="s">
        <v>1457</v>
      </c>
      <c r="Z173" s="1747" t="s">
        <v>1458</v>
      </c>
      <c r="AA173" s="1747" t="s">
        <v>1466</v>
      </c>
      <c r="AB173" s="1747" t="s">
        <v>1467</v>
      </c>
    </row>
    <row r="174" spans="2:28" x14ac:dyDescent="0.25">
      <c r="B174" s="1765" t="s">
        <v>1461</v>
      </c>
      <c r="C174" s="1776">
        <v>0.05</v>
      </c>
      <c r="D174" s="1776">
        <v>0.05</v>
      </c>
      <c r="E174" s="1776">
        <v>0.05</v>
      </c>
      <c r="F174" s="1776">
        <v>0.05</v>
      </c>
      <c r="G174" s="1776">
        <v>0.05</v>
      </c>
      <c r="H174" s="1776">
        <v>0.08</v>
      </c>
      <c r="I174" s="1776">
        <v>7.0000000000000007E-2</v>
      </c>
      <c r="J174" s="1776">
        <v>0.19</v>
      </c>
      <c r="K174" s="1776">
        <v>0.35</v>
      </c>
      <c r="L174" s="1776">
        <v>0.38</v>
      </c>
      <c r="M174" s="1776">
        <v>0.39</v>
      </c>
      <c r="N174" s="1776">
        <v>0.47</v>
      </c>
      <c r="O174" s="1776">
        <v>0.56999999999999995</v>
      </c>
      <c r="P174" s="1776">
        <v>0.54</v>
      </c>
      <c r="Q174" s="1776">
        <v>0.34</v>
      </c>
      <c r="R174" s="1776">
        <v>0.33</v>
      </c>
      <c r="S174" s="1776">
        <v>0.44</v>
      </c>
      <c r="T174" s="1776">
        <v>0.26</v>
      </c>
      <c r="U174" s="1776">
        <v>0.21</v>
      </c>
      <c r="V174" s="1776">
        <v>0.15</v>
      </c>
      <c r="W174" s="1776">
        <v>0.17</v>
      </c>
      <c r="X174" s="1776">
        <v>0.08</v>
      </c>
      <c r="Y174" s="1776">
        <v>0.05</v>
      </c>
      <c r="Z174" s="1776">
        <v>0.05</v>
      </c>
      <c r="AA174" s="1752">
        <f>SUM(C174:Z174)</f>
        <v>5.3699999999999992</v>
      </c>
      <c r="AB174" s="1753">
        <f>AA174*SUM($C$9:$C$13)</f>
        <v>1342.4999999999998</v>
      </c>
    </row>
    <row r="175" spans="2:28" x14ac:dyDescent="0.25">
      <c r="B175" s="1767" t="s">
        <v>1431</v>
      </c>
      <c r="C175" s="1777">
        <v>0.05</v>
      </c>
      <c r="D175" s="1777">
        <v>0.05</v>
      </c>
      <c r="E175" s="1777">
        <v>0.05</v>
      </c>
      <c r="F175" s="1777">
        <v>0.05</v>
      </c>
      <c r="G175" s="1777">
        <v>0.05</v>
      </c>
      <c r="H175" s="1777">
        <v>0.08</v>
      </c>
      <c r="I175" s="1777">
        <v>7.0000000000000007E-2</v>
      </c>
      <c r="J175" s="1777">
        <v>0.11</v>
      </c>
      <c r="K175" s="1777">
        <v>0.15</v>
      </c>
      <c r="L175" s="1777">
        <v>0.21</v>
      </c>
      <c r="M175" s="1777">
        <v>0.19</v>
      </c>
      <c r="N175" s="1777">
        <v>0.23</v>
      </c>
      <c r="O175" s="1777">
        <v>0.2</v>
      </c>
      <c r="P175" s="1777">
        <v>0.19</v>
      </c>
      <c r="Q175" s="1777">
        <v>0.15</v>
      </c>
      <c r="R175" s="1777">
        <v>0.12</v>
      </c>
      <c r="S175" s="1777">
        <v>0.14000000000000001</v>
      </c>
      <c r="T175" s="1777">
        <v>7.0000000000000007E-2</v>
      </c>
      <c r="U175" s="1777">
        <v>7.0000000000000007E-2</v>
      </c>
      <c r="V175" s="1777">
        <v>7.0000000000000007E-2</v>
      </c>
      <c r="W175" s="1777">
        <v>7.0000000000000007E-2</v>
      </c>
      <c r="X175" s="1777">
        <v>0.09</v>
      </c>
      <c r="Y175" s="1777">
        <v>0.05</v>
      </c>
      <c r="Z175" s="1777">
        <v>0.05</v>
      </c>
      <c r="AA175" s="1756">
        <f>SUM(C175:Z175)</f>
        <v>2.5599999999999987</v>
      </c>
      <c r="AB175" s="1757">
        <f>AA175*SUM($C$14)</f>
        <v>133.11999999999995</v>
      </c>
    </row>
    <row r="176" spans="2:28" x14ac:dyDescent="0.25">
      <c r="B176" s="1767" t="s">
        <v>1432</v>
      </c>
      <c r="C176" s="1777">
        <v>0.04</v>
      </c>
      <c r="D176" s="1777">
        <v>0.04</v>
      </c>
      <c r="E176" s="1777">
        <v>0.04</v>
      </c>
      <c r="F176" s="1777">
        <v>0.04</v>
      </c>
      <c r="G176" s="1777">
        <v>0.04</v>
      </c>
      <c r="H176" s="1777">
        <v>7.0000000000000007E-2</v>
      </c>
      <c r="I176" s="1777">
        <v>0.04</v>
      </c>
      <c r="J176" s="1777">
        <v>0.04</v>
      </c>
      <c r="K176" s="1777">
        <v>0.04</v>
      </c>
      <c r="L176" s="1777">
        <v>0.04</v>
      </c>
      <c r="M176" s="1777">
        <v>0.04</v>
      </c>
      <c r="N176" s="1777">
        <v>0.06</v>
      </c>
      <c r="O176" s="1777">
        <v>0.06</v>
      </c>
      <c r="P176" s="1777">
        <v>0.09</v>
      </c>
      <c r="Q176" s="1777">
        <v>0.06</v>
      </c>
      <c r="R176" s="1777">
        <v>0.04</v>
      </c>
      <c r="S176" s="1777">
        <v>0.04</v>
      </c>
      <c r="T176" s="1777">
        <v>0.04</v>
      </c>
      <c r="U176" s="1777">
        <v>0.04</v>
      </c>
      <c r="V176" s="1777">
        <v>0.04</v>
      </c>
      <c r="W176" s="1777">
        <v>0.04</v>
      </c>
      <c r="X176" s="1777">
        <v>7.0000000000000007E-2</v>
      </c>
      <c r="Y176" s="1777">
        <v>0.04</v>
      </c>
      <c r="Z176" s="1777">
        <v>0.04</v>
      </c>
      <c r="AA176" s="1756">
        <f>SUM(C176:Z176)</f>
        <v>1.1300000000000001</v>
      </c>
      <c r="AB176" s="1757">
        <f>AA176*$C$15</f>
        <v>58.760000000000005</v>
      </c>
    </row>
    <row r="177" spans="2:28" x14ac:dyDescent="0.25">
      <c r="B177" s="1769" t="s">
        <v>1623</v>
      </c>
      <c r="C177" s="1778">
        <v>0.04</v>
      </c>
      <c r="D177" s="1778">
        <v>0.04</v>
      </c>
      <c r="E177" s="1778">
        <v>0.04</v>
      </c>
      <c r="F177" s="1778">
        <v>0.04</v>
      </c>
      <c r="G177" s="1778">
        <v>0.04</v>
      </c>
      <c r="H177" s="1778">
        <v>7.0000000000000007E-2</v>
      </c>
      <c r="I177" s="1778">
        <v>0.04</v>
      </c>
      <c r="J177" s="1778">
        <v>0.04</v>
      </c>
      <c r="K177" s="1778">
        <v>0.04</v>
      </c>
      <c r="L177" s="1778">
        <v>0.04</v>
      </c>
      <c r="M177" s="1778">
        <v>0.04</v>
      </c>
      <c r="N177" s="1778">
        <v>0.06</v>
      </c>
      <c r="O177" s="1778">
        <v>0.06</v>
      </c>
      <c r="P177" s="1778">
        <v>0.09</v>
      </c>
      <c r="Q177" s="1778">
        <v>0.06</v>
      </c>
      <c r="R177" s="1778">
        <v>0.04</v>
      </c>
      <c r="S177" s="1778">
        <v>0.04</v>
      </c>
      <c r="T177" s="1778">
        <v>0.04</v>
      </c>
      <c r="U177" s="1778">
        <v>0.04</v>
      </c>
      <c r="V177" s="1778">
        <v>0.04</v>
      </c>
      <c r="W177" s="1778">
        <v>0.04</v>
      </c>
      <c r="X177" s="1778">
        <v>7.0000000000000007E-2</v>
      </c>
      <c r="Y177" s="1778">
        <v>0.04</v>
      </c>
      <c r="Z177" s="1778">
        <v>0.04</v>
      </c>
      <c r="AA177" s="1760">
        <f>SUM(C177:Z177)</f>
        <v>1.1300000000000001</v>
      </c>
      <c r="AB177" s="1761">
        <f>AA177*SUM($C$8)</f>
        <v>12.430000000000001</v>
      </c>
    </row>
    <row r="178" spans="2:28" x14ac:dyDescent="0.25">
      <c r="B178" s="2500" t="s">
        <v>1468</v>
      </c>
      <c r="C178" s="2501"/>
      <c r="D178" s="2501"/>
      <c r="E178" s="2501"/>
      <c r="F178" s="2501"/>
      <c r="G178" s="2501"/>
      <c r="H178" s="2501"/>
      <c r="I178" s="2501"/>
      <c r="J178" s="2501"/>
      <c r="K178" s="2501"/>
      <c r="L178" s="2501"/>
      <c r="M178" s="2501"/>
      <c r="N178" s="2501"/>
      <c r="O178" s="2501"/>
      <c r="P178" s="2501"/>
      <c r="Q178" s="2501"/>
      <c r="R178" s="2501"/>
      <c r="S178" s="2501"/>
      <c r="T178" s="2501"/>
      <c r="U178" s="2501"/>
      <c r="V178" s="2501"/>
      <c r="W178" s="2501"/>
      <c r="X178" s="2501"/>
      <c r="Y178" s="2501"/>
      <c r="Z178" s="2501"/>
      <c r="AA178" s="2501"/>
      <c r="AB178" s="1749">
        <f>SUM(AB174:AB177)</f>
        <v>1546.8099999999997</v>
      </c>
    </row>
    <row r="179" spans="2:28" x14ac:dyDescent="0.25">
      <c r="B179" s="1715"/>
      <c r="C179" s="1715"/>
      <c r="D179" s="1715"/>
      <c r="E179" s="1715"/>
      <c r="F179" s="1715"/>
      <c r="G179" s="1715"/>
      <c r="H179" s="1715"/>
      <c r="I179" s="1715"/>
      <c r="J179" s="1715"/>
      <c r="K179" s="1715"/>
      <c r="L179" s="1715"/>
      <c r="M179" s="1715"/>
      <c r="N179" s="1715"/>
      <c r="O179" s="1715"/>
      <c r="P179" s="1715"/>
      <c r="Q179" s="1715"/>
      <c r="R179" s="1715"/>
      <c r="S179" s="1715"/>
      <c r="T179" s="1715"/>
      <c r="U179" s="1715"/>
      <c r="V179" s="1715"/>
      <c r="W179" s="1715"/>
      <c r="X179" s="1715"/>
      <c r="Y179" s="1715"/>
      <c r="Z179" s="1715"/>
      <c r="AA179" s="1715"/>
      <c r="AB179" s="1715"/>
    </row>
    <row r="180" spans="2:28" ht="15" customHeight="1" x14ac:dyDescent="0.25">
      <c r="B180" s="1715" t="s">
        <v>1434</v>
      </c>
      <c r="C180" s="2497" t="s">
        <v>1624</v>
      </c>
      <c r="D180" s="2498"/>
      <c r="E180" s="2498"/>
      <c r="F180" s="2498"/>
      <c r="G180" s="2498"/>
      <c r="H180" s="2498"/>
      <c r="I180" s="2498"/>
      <c r="J180" s="2498"/>
      <c r="K180" s="2498"/>
      <c r="L180" s="2498"/>
      <c r="M180" s="2498"/>
      <c r="N180" s="2498"/>
      <c r="O180" s="2498"/>
      <c r="P180" s="2498"/>
      <c r="Q180" s="2498"/>
      <c r="R180" s="2498"/>
      <c r="S180" s="2498"/>
      <c r="T180" s="2498"/>
      <c r="U180" s="2498"/>
      <c r="V180" s="2498"/>
      <c r="W180" s="2498"/>
      <c r="X180" s="2498"/>
      <c r="Y180" s="2498"/>
      <c r="Z180" s="2498"/>
      <c r="AA180" s="2498"/>
      <c r="AB180" s="2499"/>
    </row>
    <row r="181" spans="2:28" x14ac:dyDescent="0.25">
      <c r="B181" s="1715"/>
      <c r="C181" s="1715"/>
      <c r="D181" s="1715"/>
      <c r="E181" s="1715"/>
      <c r="F181" s="1715"/>
      <c r="G181" s="1715"/>
      <c r="H181" s="1715"/>
      <c r="I181" s="1715"/>
      <c r="J181" s="1715"/>
      <c r="K181" s="1715"/>
      <c r="L181" s="1715"/>
      <c r="M181" s="1715"/>
      <c r="N181" s="1715"/>
      <c r="O181" s="1715"/>
      <c r="P181" s="1715"/>
      <c r="Q181" s="1715"/>
      <c r="R181" s="1715"/>
      <c r="S181" s="1715"/>
      <c r="T181" s="1715"/>
      <c r="U181" s="1715"/>
      <c r="V181" s="1715"/>
      <c r="W181" s="1715"/>
      <c r="X181" s="1715"/>
      <c r="Y181" s="1715"/>
      <c r="Z181" s="1715"/>
      <c r="AA181" s="1715"/>
      <c r="AB181" s="1715"/>
    </row>
    <row r="182" spans="2:28" s="1748" customFormat="1" ht="21" customHeight="1" x14ac:dyDescent="0.25">
      <c r="B182" s="1747"/>
      <c r="C182" s="1746" t="s">
        <v>1435</v>
      </c>
      <c r="D182" s="1747" t="s">
        <v>1436</v>
      </c>
      <c r="E182" s="1747" t="s">
        <v>1437</v>
      </c>
      <c r="F182" s="1747" t="s">
        <v>1438</v>
      </c>
      <c r="G182" s="1747" t="s">
        <v>1439</v>
      </c>
      <c r="H182" s="1747" t="s">
        <v>1440</v>
      </c>
      <c r="I182" s="1747" t="s">
        <v>1441</v>
      </c>
      <c r="J182" s="1747" t="s">
        <v>1442</v>
      </c>
      <c r="K182" s="1747" t="s">
        <v>1443</v>
      </c>
      <c r="L182" s="1747" t="s">
        <v>1444</v>
      </c>
      <c r="M182" s="1747" t="s">
        <v>1445</v>
      </c>
      <c r="N182" s="1747" t="s">
        <v>1446</v>
      </c>
      <c r="O182" s="1747" t="s">
        <v>1447</v>
      </c>
      <c r="P182" s="1747" t="s">
        <v>1448</v>
      </c>
      <c r="Q182" s="1747" t="s">
        <v>1449</v>
      </c>
      <c r="R182" s="1747" t="s">
        <v>1450</v>
      </c>
      <c r="S182" s="1747" t="s">
        <v>1451</v>
      </c>
      <c r="T182" s="1747" t="s">
        <v>1452</v>
      </c>
      <c r="U182" s="1747" t="s">
        <v>1453</v>
      </c>
      <c r="V182" s="1747" t="s">
        <v>1454</v>
      </c>
      <c r="W182" s="1747" t="s">
        <v>1455</v>
      </c>
      <c r="X182" s="1747" t="s">
        <v>1456</v>
      </c>
      <c r="Y182" s="1747" t="s">
        <v>1457</v>
      </c>
      <c r="Z182" s="1747" t="s">
        <v>1458</v>
      </c>
      <c r="AA182" s="1747" t="s">
        <v>1466</v>
      </c>
      <c r="AB182" s="1747" t="s">
        <v>1467</v>
      </c>
    </row>
    <row r="183" spans="2:28" x14ac:dyDescent="0.25">
      <c r="B183" s="1765" t="s">
        <v>1461</v>
      </c>
      <c r="C183" s="1776">
        <v>0</v>
      </c>
      <c r="D183" s="1776">
        <v>0</v>
      </c>
      <c r="E183" s="1776">
        <v>0</v>
      </c>
      <c r="F183" s="1776">
        <v>0</v>
      </c>
      <c r="G183" s="1776">
        <v>0</v>
      </c>
      <c r="H183" s="1776">
        <v>0</v>
      </c>
      <c r="I183" s="1776">
        <v>0</v>
      </c>
      <c r="J183" s="1776">
        <v>0.35</v>
      </c>
      <c r="K183" s="1776">
        <v>0.69</v>
      </c>
      <c r="L183" s="1776">
        <v>0.43</v>
      </c>
      <c r="M183" s="1776">
        <v>0.37</v>
      </c>
      <c r="N183" s="1776">
        <v>0.43</v>
      </c>
      <c r="O183" s="1776">
        <v>0.57999999999999996</v>
      </c>
      <c r="P183" s="1776">
        <v>0.48</v>
      </c>
      <c r="Q183" s="1776">
        <v>0.37</v>
      </c>
      <c r="R183" s="1776">
        <v>0.37</v>
      </c>
      <c r="S183" s="1776">
        <v>0.46</v>
      </c>
      <c r="T183" s="1776">
        <v>0.62</v>
      </c>
      <c r="U183" s="1776">
        <v>0.2</v>
      </c>
      <c r="V183" s="1776">
        <v>0.12</v>
      </c>
      <c r="W183" s="1776">
        <v>0.04</v>
      </c>
      <c r="X183" s="1776">
        <v>0.04</v>
      </c>
      <c r="Y183" s="1776">
        <v>0</v>
      </c>
      <c r="Z183" s="1776">
        <v>0</v>
      </c>
      <c r="AA183" s="1752">
        <f>SUM(C183:Z183)</f>
        <v>5.5500000000000007</v>
      </c>
      <c r="AB183" s="1753">
        <f>AA183*SUM($C$9:$C$13)</f>
        <v>1387.5000000000002</v>
      </c>
    </row>
    <row r="184" spans="2:28" x14ac:dyDescent="0.25">
      <c r="B184" s="1767" t="s">
        <v>1431</v>
      </c>
      <c r="C184" s="1777">
        <v>0</v>
      </c>
      <c r="D184" s="1777">
        <v>0</v>
      </c>
      <c r="E184" s="1777">
        <v>0</v>
      </c>
      <c r="F184" s="1777">
        <v>0</v>
      </c>
      <c r="G184" s="1777">
        <v>0</v>
      </c>
      <c r="H184" s="1777">
        <v>0</v>
      </c>
      <c r="I184" s="1777">
        <v>0</v>
      </c>
      <c r="J184" s="1777">
        <v>0.16</v>
      </c>
      <c r="K184" s="1777">
        <v>0.14000000000000001</v>
      </c>
      <c r="L184" s="1777">
        <v>0.21</v>
      </c>
      <c r="M184" s="1777">
        <v>0.18</v>
      </c>
      <c r="N184" s="1777">
        <v>0.25</v>
      </c>
      <c r="O184" s="1777">
        <v>0.21</v>
      </c>
      <c r="P184" s="1777">
        <v>0.13</v>
      </c>
      <c r="Q184" s="1777">
        <v>0.08</v>
      </c>
      <c r="R184" s="1777">
        <v>0.04</v>
      </c>
      <c r="S184" s="1777">
        <v>0.05</v>
      </c>
      <c r="T184" s="1777">
        <v>0.06</v>
      </c>
      <c r="U184" s="1777">
        <v>0</v>
      </c>
      <c r="V184" s="1777">
        <v>0</v>
      </c>
      <c r="W184" s="1777">
        <v>0</v>
      </c>
      <c r="X184" s="1777">
        <v>0</v>
      </c>
      <c r="Y184" s="1777">
        <v>0</v>
      </c>
      <c r="Z184" s="1777">
        <v>0</v>
      </c>
      <c r="AA184" s="1756">
        <f>SUM(C184:Z184)</f>
        <v>1.51</v>
      </c>
      <c r="AB184" s="1757">
        <f>AA184*SUM($C$14)</f>
        <v>78.52</v>
      </c>
    </row>
    <row r="185" spans="2:28" x14ac:dyDescent="0.25">
      <c r="B185" s="1767" t="s">
        <v>1432</v>
      </c>
      <c r="C185" s="1777">
        <v>0</v>
      </c>
      <c r="D185" s="1777">
        <v>0</v>
      </c>
      <c r="E185" s="1777">
        <v>0</v>
      </c>
      <c r="F185" s="1777">
        <v>0</v>
      </c>
      <c r="G185" s="1777">
        <v>0</v>
      </c>
      <c r="H185" s="1777">
        <v>0</v>
      </c>
      <c r="I185" s="1777">
        <v>0</v>
      </c>
      <c r="J185" s="1777">
        <v>0</v>
      </c>
      <c r="K185" s="1777">
        <v>0</v>
      </c>
      <c r="L185" s="1777">
        <v>0</v>
      </c>
      <c r="M185" s="1777">
        <v>0</v>
      </c>
      <c r="N185" s="1777">
        <v>0</v>
      </c>
      <c r="O185" s="1777">
        <v>0</v>
      </c>
      <c r="P185" s="1777">
        <v>0</v>
      </c>
      <c r="Q185" s="1777">
        <v>0</v>
      </c>
      <c r="R185" s="1777">
        <v>0</v>
      </c>
      <c r="S185" s="1777">
        <v>0</v>
      </c>
      <c r="T185" s="1777">
        <v>0</v>
      </c>
      <c r="U185" s="1777">
        <v>0</v>
      </c>
      <c r="V185" s="1777">
        <v>0</v>
      </c>
      <c r="W185" s="1777">
        <v>0</v>
      </c>
      <c r="X185" s="1777">
        <v>0</v>
      </c>
      <c r="Y185" s="1777">
        <v>0</v>
      </c>
      <c r="Z185" s="1777">
        <v>0</v>
      </c>
      <c r="AA185" s="1756">
        <f>SUM(C185:Z185)</f>
        <v>0</v>
      </c>
      <c r="AB185" s="1757">
        <f>AA185*$C$15</f>
        <v>0</v>
      </c>
    </row>
    <row r="186" spans="2:28" x14ac:dyDescent="0.25">
      <c r="B186" s="1769" t="s">
        <v>1463</v>
      </c>
      <c r="C186" s="1778">
        <v>0</v>
      </c>
      <c r="D186" s="1778">
        <v>0</v>
      </c>
      <c r="E186" s="1778">
        <v>0</v>
      </c>
      <c r="F186" s="1778">
        <v>0</v>
      </c>
      <c r="G186" s="1778">
        <v>0</v>
      </c>
      <c r="H186" s="1778">
        <v>0</v>
      </c>
      <c r="I186" s="1778">
        <v>0</v>
      </c>
      <c r="J186" s="1778">
        <v>0</v>
      </c>
      <c r="K186" s="1778">
        <v>0</v>
      </c>
      <c r="L186" s="1778">
        <v>0</v>
      </c>
      <c r="M186" s="1778">
        <v>0</v>
      </c>
      <c r="N186" s="1778">
        <v>0</v>
      </c>
      <c r="O186" s="1778">
        <v>0</v>
      </c>
      <c r="P186" s="1778">
        <v>0</v>
      </c>
      <c r="Q186" s="1778">
        <v>0</v>
      </c>
      <c r="R186" s="1778">
        <v>0</v>
      </c>
      <c r="S186" s="1778">
        <v>0</v>
      </c>
      <c r="T186" s="1778">
        <v>0</v>
      </c>
      <c r="U186" s="1778">
        <v>0</v>
      </c>
      <c r="V186" s="1778">
        <v>0</v>
      </c>
      <c r="W186" s="1778">
        <v>0</v>
      </c>
      <c r="X186" s="1778">
        <v>0</v>
      </c>
      <c r="Y186" s="1778">
        <v>0</v>
      </c>
      <c r="Z186" s="1778">
        <v>0</v>
      </c>
      <c r="AA186" s="1760">
        <f>SUM(C186:Z186)</f>
        <v>0</v>
      </c>
      <c r="AB186" s="1761">
        <f>AA186*SUM($C$8)</f>
        <v>0</v>
      </c>
    </row>
    <row r="187" spans="2:28" x14ac:dyDescent="0.25">
      <c r="B187" s="2500" t="s">
        <v>1468</v>
      </c>
      <c r="C187" s="2501"/>
      <c r="D187" s="2501"/>
      <c r="E187" s="2501"/>
      <c r="F187" s="2501"/>
      <c r="G187" s="2501"/>
      <c r="H187" s="2501"/>
      <c r="I187" s="2501"/>
      <c r="J187" s="2501"/>
      <c r="K187" s="2501"/>
      <c r="L187" s="2501"/>
      <c r="M187" s="2501"/>
      <c r="N187" s="2501"/>
      <c r="O187" s="2501"/>
      <c r="P187" s="2501"/>
      <c r="Q187" s="2501"/>
      <c r="R187" s="2501"/>
      <c r="S187" s="2501"/>
      <c r="T187" s="2501"/>
      <c r="U187" s="2501"/>
      <c r="V187" s="2501"/>
      <c r="W187" s="2501"/>
      <c r="X187" s="2501"/>
      <c r="Y187" s="2501"/>
      <c r="Z187" s="2501"/>
      <c r="AA187" s="2501"/>
      <c r="AB187" s="1749">
        <f>SUM(AB183:AB186)</f>
        <v>1466.0200000000002</v>
      </c>
    </row>
    <row r="188" spans="2:28" x14ac:dyDescent="0.25">
      <c r="B188" s="1715"/>
      <c r="C188" s="1715"/>
      <c r="D188" s="1715"/>
      <c r="E188" s="1715"/>
      <c r="F188" s="1715"/>
      <c r="G188" s="1715"/>
      <c r="H188" s="1715"/>
      <c r="I188" s="1715"/>
      <c r="J188" s="1715"/>
      <c r="K188" s="1715"/>
      <c r="L188" s="1715"/>
      <c r="M188" s="1715"/>
      <c r="N188" s="1715"/>
      <c r="O188" s="1715"/>
      <c r="P188" s="1715"/>
      <c r="Q188" s="1715"/>
      <c r="R188" s="1715"/>
      <c r="S188" s="1715"/>
      <c r="T188" s="1715"/>
      <c r="U188" s="1715"/>
      <c r="V188" s="1715"/>
      <c r="W188" s="1715"/>
      <c r="X188" s="1715"/>
      <c r="Y188" s="1715"/>
      <c r="Z188" s="1715"/>
      <c r="AA188" s="1715"/>
      <c r="AB188" s="1715"/>
    </row>
    <row r="189" spans="2:28" x14ac:dyDescent="0.25">
      <c r="B189" s="1726" t="s">
        <v>1625</v>
      </c>
      <c r="C189" s="1715"/>
      <c r="D189" s="1715"/>
      <c r="E189" s="1715"/>
      <c r="F189" s="1715"/>
      <c r="G189" s="1715"/>
      <c r="H189" s="1715"/>
      <c r="I189" s="1715"/>
      <c r="J189" s="1715"/>
      <c r="K189" s="1715"/>
      <c r="L189" s="1715"/>
      <c r="M189" s="1715"/>
      <c r="N189" s="1715"/>
      <c r="O189" s="1715"/>
      <c r="P189" s="1715"/>
      <c r="Q189" s="1715"/>
      <c r="R189" s="1715"/>
      <c r="S189" s="1715"/>
      <c r="T189" s="1715"/>
      <c r="U189" s="1715"/>
      <c r="V189" s="1715"/>
      <c r="W189" s="1715"/>
      <c r="X189" s="1715"/>
      <c r="Y189" s="1715"/>
      <c r="Z189" s="1715"/>
      <c r="AA189" s="1715"/>
      <c r="AB189" s="1715"/>
    </row>
    <row r="190" spans="2:28" x14ac:dyDescent="0.25">
      <c r="B190" s="1715"/>
      <c r="C190" s="1715"/>
      <c r="D190" s="1715"/>
      <c r="E190" s="1715"/>
      <c r="F190" s="1715"/>
      <c r="G190" s="1715"/>
      <c r="H190" s="1715"/>
      <c r="I190" s="1715"/>
      <c r="J190" s="1715"/>
      <c r="K190" s="1715"/>
      <c r="L190" s="1715"/>
      <c r="M190" s="1715"/>
      <c r="N190" s="1715"/>
      <c r="O190" s="1715"/>
      <c r="P190" s="1715"/>
      <c r="Q190" s="1715"/>
      <c r="R190" s="1715"/>
      <c r="S190" s="1715"/>
      <c r="T190" s="1715"/>
      <c r="U190" s="1715"/>
      <c r="V190" s="1715"/>
      <c r="W190" s="1715"/>
      <c r="X190" s="1715"/>
      <c r="Y190" s="1715"/>
      <c r="Z190" s="1715"/>
      <c r="AA190" s="1715"/>
      <c r="AB190" s="1715"/>
    </row>
    <row r="191" spans="2:28" ht="15" customHeight="1" x14ac:dyDescent="0.25">
      <c r="B191" s="1715" t="s">
        <v>1434</v>
      </c>
      <c r="C191" s="2497" t="s">
        <v>1626</v>
      </c>
      <c r="D191" s="2498"/>
      <c r="E191" s="2498"/>
      <c r="F191" s="2498"/>
      <c r="G191" s="2498"/>
      <c r="H191" s="2498"/>
      <c r="I191" s="2498"/>
      <c r="J191" s="2498"/>
      <c r="K191" s="2498"/>
      <c r="L191" s="2498"/>
      <c r="M191" s="2498"/>
      <c r="N191" s="2498"/>
      <c r="O191" s="2498"/>
      <c r="P191" s="2498"/>
      <c r="Q191" s="2498"/>
      <c r="R191" s="2498"/>
      <c r="S191" s="2498"/>
      <c r="T191" s="2498"/>
      <c r="U191" s="2498"/>
      <c r="V191" s="2498"/>
      <c r="W191" s="2498"/>
      <c r="X191" s="2498"/>
      <c r="Y191" s="2498"/>
      <c r="Z191" s="2498"/>
      <c r="AA191" s="2498"/>
      <c r="AB191" s="2499"/>
    </row>
    <row r="192" spans="2:28" x14ac:dyDescent="0.25">
      <c r="B192" s="1715"/>
      <c r="C192" s="1715"/>
      <c r="D192" s="1715"/>
      <c r="E192" s="1715"/>
      <c r="F192" s="1715"/>
      <c r="G192" s="1715"/>
      <c r="H192" s="1715"/>
      <c r="I192" s="1715"/>
      <c r="J192" s="1715"/>
      <c r="K192" s="1715"/>
      <c r="L192" s="1715"/>
      <c r="M192" s="1715"/>
      <c r="N192" s="1715"/>
      <c r="O192" s="1715"/>
      <c r="P192" s="1715"/>
      <c r="Q192" s="1715"/>
      <c r="R192" s="1715"/>
      <c r="S192" s="1715"/>
      <c r="T192" s="1715"/>
      <c r="U192" s="1715"/>
      <c r="V192" s="1715"/>
      <c r="W192" s="1715"/>
      <c r="X192" s="1715"/>
      <c r="Y192" s="1715"/>
      <c r="Z192" s="1715"/>
      <c r="AA192" s="1715"/>
      <c r="AB192" s="1715"/>
    </row>
    <row r="193" spans="2:28" s="1748" customFormat="1" ht="21" customHeight="1" x14ac:dyDescent="0.25">
      <c r="B193" s="1747"/>
      <c r="C193" s="1746" t="s">
        <v>1435</v>
      </c>
      <c r="D193" s="1747" t="s">
        <v>1436</v>
      </c>
      <c r="E193" s="1747" t="s">
        <v>1437</v>
      </c>
      <c r="F193" s="1747" t="s">
        <v>1438</v>
      </c>
      <c r="G193" s="1747" t="s">
        <v>1439</v>
      </c>
      <c r="H193" s="1747" t="s">
        <v>1440</v>
      </c>
      <c r="I193" s="1747" t="s">
        <v>1441</v>
      </c>
      <c r="J193" s="1747" t="s">
        <v>1442</v>
      </c>
      <c r="K193" s="1747" t="s">
        <v>1443</v>
      </c>
      <c r="L193" s="1747" t="s">
        <v>1444</v>
      </c>
      <c r="M193" s="1747" t="s">
        <v>1445</v>
      </c>
      <c r="N193" s="1747" t="s">
        <v>1446</v>
      </c>
      <c r="O193" s="1747" t="s">
        <v>1447</v>
      </c>
      <c r="P193" s="1747" t="s">
        <v>1448</v>
      </c>
      <c r="Q193" s="1747" t="s">
        <v>1449</v>
      </c>
      <c r="R193" s="1747" t="s">
        <v>1450</v>
      </c>
      <c r="S193" s="1747" t="s">
        <v>1451</v>
      </c>
      <c r="T193" s="1747" t="s">
        <v>1452</v>
      </c>
      <c r="U193" s="1747" t="s">
        <v>1453</v>
      </c>
      <c r="V193" s="1747" t="s">
        <v>1454</v>
      </c>
      <c r="W193" s="1747" t="s">
        <v>1455</v>
      </c>
      <c r="X193" s="1747" t="s">
        <v>1456</v>
      </c>
      <c r="Y193" s="1747" t="s">
        <v>1457</v>
      </c>
      <c r="Z193" s="1747" t="s">
        <v>1458</v>
      </c>
      <c r="AA193" s="1747" t="s">
        <v>1459</v>
      </c>
      <c r="AB193" s="1747" t="s">
        <v>1460</v>
      </c>
    </row>
    <row r="194" spans="2:28" x14ac:dyDescent="0.25">
      <c r="B194" s="1765" t="s">
        <v>1461</v>
      </c>
      <c r="C194" s="1779">
        <v>0</v>
      </c>
      <c r="D194" s="1779">
        <v>0</v>
      </c>
      <c r="E194" s="1779">
        <v>0</v>
      </c>
      <c r="F194" s="1779">
        <v>0</v>
      </c>
      <c r="G194" s="1779">
        <v>0</v>
      </c>
      <c r="H194" s="1779">
        <v>0</v>
      </c>
      <c r="I194" s="1779">
        <v>0</v>
      </c>
      <c r="J194" s="1779">
        <v>1</v>
      </c>
      <c r="K194" s="1779">
        <v>1</v>
      </c>
      <c r="L194" s="1779">
        <v>1</v>
      </c>
      <c r="M194" s="1779">
        <v>1</v>
      </c>
      <c r="N194" s="1779">
        <v>1</v>
      </c>
      <c r="O194" s="1779">
        <v>1</v>
      </c>
      <c r="P194" s="1779">
        <v>1</v>
      </c>
      <c r="Q194" s="1779">
        <v>1</v>
      </c>
      <c r="R194" s="1779">
        <v>1</v>
      </c>
      <c r="S194" s="1779">
        <v>1</v>
      </c>
      <c r="T194" s="1779">
        <v>1</v>
      </c>
      <c r="U194" s="1779">
        <v>1</v>
      </c>
      <c r="V194" s="1779">
        <v>1</v>
      </c>
      <c r="W194" s="1779">
        <v>1</v>
      </c>
      <c r="X194" s="1779">
        <v>1</v>
      </c>
      <c r="Y194" s="1779">
        <v>0</v>
      </c>
      <c r="Z194" s="1779">
        <v>0</v>
      </c>
      <c r="AA194" s="1752">
        <f>SUM(C194:Z194)</f>
        <v>15</v>
      </c>
      <c r="AB194" s="1753">
        <f>AA194*SUM($C$9:$C$13)</f>
        <v>3750</v>
      </c>
    </row>
    <row r="195" spans="2:28" x14ac:dyDescent="0.25">
      <c r="B195" s="1767" t="s">
        <v>1431</v>
      </c>
      <c r="C195" s="1780">
        <v>0</v>
      </c>
      <c r="D195" s="1780">
        <v>0</v>
      </c>
      <c r="E195" s="1780">
        <v>0</v>
      </c>
      <c r="F195" s="1780">
        <v>0</v>
      </c>
      <c r="G195" s="1780">
        <v>0</v>
      </c>
      <c r="H195" s="1780">
        <v>0</v>
      </c>
      <c r="I195" s="1780">
        <v>0</v>
      </c>
      <c r="J195" s="1780">
        <v>0</v>
      </c>
      <c r="K195" s="1780">
        <v>1</v>
      </c>
      <c r="L195" s="1780">
        <v>1</v>
      </c>
      <c r="M195" s="1780">
        <v>1</v>
      </c>
      <c r="N195" s="1780">
        <v>1</v>
      </c>
      <c r="O195" s="1780">
        <v>1</v>
      </c>
      <c r="P195" s="1780">
        <v>0</v>
      </c>
      <c r="Q195" s="1780">
        <v>0</v>
      </c>
      <c r="R195" s="1780">
        <v>0</v>
      </c>
      <c r="S195" s="1780">
        <v>0</v>
      </c>
      <c r="T195" s="1780">
        <v>0</v>
      </c>
      <c r="U195" s="1780">
        <v>0</v>
      </c>
      <c r="V195" s="1780">
        <v>0</v>
      </c>
      <c r="W195" s="1780">
        <v>0</v>
      </c>
      <c r="X195" s="1780">
        <v>0</v>
      </c>
      <c r="Y195" s="1780">
        <v>0</v>
      </c>
      <c r="Z195" s="1780">
        <v>0</v>
      </c>
      <c r="AA195" s="1756">
        <f>SUM(C195:Z195)</f>
        <v>5</v>
      </c>
      <c r="AB195" s="1757">
        <f>AA195*SUM($C$14)</f>
        <v>260</v>
      </c>
    </row>
    <row r="196" spans="2:28" x14ac:dyDescent="0.25">
      <c r="B196" s="1767" t="s">
        <v>1432</v>
      </c>
      <c r="C196" s="1780">
        <v>0</v>
      </c>
      <c r="D196" s="1780">
        <v>0</v>
      </c>
      <c r="E196" s="1780">
        <v>0</v>
      </c>
      <c r="F196" s="1780">
        <v>0</v>
      </c>
      <c r="G196" s="1780">
        <v>0</v>
      </c>
      <c r="H196" s="1780">
        <v>0</v>
      </c>
      <c r="I196" s="1780">
        <v>0</v>
      </c>
      <c r="J196" s="1780">
        <v>0</v>
      </c>
      <c r="K196" s="1780">
        <v>0</v>
      </c>
      <c r="L196" s="1780">
        <v>0</v>
      </c>
      <c r="M196" s="1780">
        <v>0</v>
      </c>
      <c r="N196" s="1780">
        <v>0</v>
      </c>
      <c r="O196" s="1780">
        <v>0</v>
      </c>
      <c r="P196" s="1780">
        <v>0</v>
      </c>
      <c r="Q196" s="1780">
        <v>0</v>
      </c>
      <c r="R196" s="1780">
        <v>0</v>
      </c>
      <c r="S196" s="1780">
        <v>0</v>
      </c>
      <c r="T196" s="1780">
        <v>0</v>
      </c>
      <c r="U196" s="1780">
        <v>0</v>
      </c>
      <c r="V196" s="1780">
        <v>0</v>
      </c>
      <c r="W196" s="1780">
        <v>0</v>
      </c>
      <c r="X196" s="1780">
        <v>0</v>
      </c>
      <c r="Y196" s="1780">
        <v>0</v>
      </c>
      <c r="Z196" s="1780">
        <v>0</v>
      </c>
      <c r="AA196" s="1756">
        <f>SUM(C196:Z196)</f>
        <v>0</v>
      </c>
      <c r="AB196" s="1757">
        <f>AA196*$C$15</f>
        <v>0</v>
      </c>
    </row>
    <row r="197" spans="2:28" x14ac:dyDescent="0.25">
      <c r="B197" s="1769" t="s">
        <v>1463</v>
      </c>
      <c r="C197" s="1781">
        <v>0</v>
      </c>
      <c r="D197" s="1781">
        <v>0</v>
      </c>
      <c r="E197" s="1781">
        <v>0</v>
      </c>
      <c r="F197" s="1781">
        <v>0</v>
      </c>
      <c r="G197" s="1781">
        <v>0</v>
      </c>
      <c r="H197" s="1781">
        <v>0</v>
      </c>
      <c r="I197" s="1781">
        <v>0</v>
      </c>
      <c r="J197" s="1781">
        <v>0</v>
      </c>
      <c r="K197" s="1781">
        <v>0</v>
      </c>
      <c r="L197" s="1781">
        <v>0</v>
      </c>
      <c r="M197" s="1781">
        <v>0</v>
      </c>
      <c r="N197" s="1781">
        <v>0</v>
      </c>
      <c r="O197" s="1781">
        <v>0</v>
      </c>
      <c r="P197" s="1781">
        <v>0</v>
      </c>
      <c r="Q197" s="1781">
        <v>0</v>
      </c>
      <c r="R197" s="1781">
        <v>0</v>
      </c>
      <c r="S197" s="1781">
        <v>0</v>
      </c>
      <c r="T197" s="1781">
        <v>0</v>
      </c>
      <c r="U197" s="1781">
        <v>0</v>
      </c>
      <c r="V197" s="1781">
        <v>0</v>
      </c>
      <c r="W197" s="1781">
        <v>0</v>
      </c>
      <c r="X197" s="1781">
        <v>0</v>
      </c>
      <c r="Y197" s="1781">
        <v>0</v>
      </c>
      <c r="Z197" s="1781">
        <v>0</v>
      </c>
      <c r="AA197" s="1760">
        <f>SUM(C197:Z197)</f>
        <v>0</v>
      </c>
      <c r="AB197" s="1761">
        <f>AA197*SUM($C$8)</f>
        <v>0</v>
      </c>
    </row>
    <row r="198" spans="2:28" x14ac:dyDescent="0.25">
      <c r="B198" s="2500" t="s">
        <v>1464</v>
      </c>
      <c r="C198" s="2501"/>
      <c r="D198" s="2501"/>
      <c r="E198" s="2501"/>
      <c r="F198" s="2501"/>
      <c r="G198" s="2501"/>
      <c r="H198" s="2501"/>
      <c r="I198" s="2501"/>
      <c r="J198" s="2501"/>
      <c r="K198" s="2501"/>
      <c r="L198" s="2501"/>
      <c r="M198" s="2501"/>
      <c r="N198" s="2501"/>
      <c r="O198" s="2501"/>
      <c r="P198" s="2501"/>
      <c r="Q198" s="2501"/>
      <c r="R198" s="2501"/>
      <c r="S198" s="2501"/>
      <c r="T198" s="2501"/>
      <c r="U198" s="2501"/>
      <c r="V198" s="2501"/>
      <c r="W198" s="2501"/>
      <c r="X198" s="2501"/>
      <c r="Y198" s="2501"/>
      <c r="Z198" s="2501"/>
      <c r="AA198" s="2501"/>
      <c r="AB198" s="1749">
        <f>SUM(AB194:AB197)</f>
        <v>4010</v>
      </c>
    </row>
    <row r="199" spans="2:28" x14ac:dyDescent="0.25">
      <c r="B199" s="1715"/>
      <c r="C199" s="1715"/>
      <c r="D199" s="1715"/>
      <c r="E199" s="1715"/>
      <c r="F199" s="1715"/>
      <c r="G199" s="1715"/>
      <c r="H199" s="1715"/>
      <c r="I199" s="1715"/>
      <c r="J199" s="1715"/>
      <c r="K199" s="1715"/>
      <c r="L199" s="1715"/>
      <c r="M199" s="1715"/>
      <c r="N199" s="1715"/>
      <c r="O199" s="1715"/>
      <c r="P199" s="1715"/>
      <c r="Q199" s="1715"/>
      <c r="R199" s="1715"/>
      <c r="S199" s="1715"/>
      <c r="T199" s="1715"/>
      <c r="U199" s="1715"/>
      <c r="V199" s="1715"/>
      <c r="W199" s="1715"/>
      <c r="X199" s="1715"/>
      <c r="Y199" s="1715"/>
      <c r="Z199" s="1715"/>
      <c r="AA199" s="1715"/>
      <c r="AB199" s="1715"/>
    </row>
    <row r="200" spans="2:28" ht="15" customHeight="1" x14ac:dyDescent="0.25">
      <c r="B200" s="1715" t="s">
        <v>1434</v>
      </c>
      <c r="C200" s="2497" t="s">
        <v>1627</v>
      </c>
      <c r="D200" s="2498"/>
      <c r="E200" s="2498"/>
      <c r="F200" s="2498"/>
      <c r="G200" s="2498"/>
      <c r="H200" s="2498"/>
      <c r="I200" s="2498"/>
      <c r="J200" s="2498"/>
      <c r="K200" s="2498"/>
      <c r="L200" s="2498"/>
      <c r="M200" s="2498"/>
      <c r="N200" s="2498"/>
      <c r="O200" s="2498"/>
      <c r="P200" s="2498"/>
      <c r="Q200" s="2498"/>
      <c r="R200" s="2498"/>
      <c r="S200" s="2498"/>
      <c r="T200" s="2498"/>
      <c r="U200" s="2498"/>
      <c r="V200" s="2498"/>
      <c r="W200" s="2498"/>
      <c r="X200" s="2498"/>
      <c r="Y200" s="2498"/>
      <c r="Z200" s="2498"/>
      <c r="AA200" s="2498"/>
      <c r="AB200" s="2499"/>
    </row>
    <row r="201" spans="2:28" x14ac:dyDescent="0.25">
      <c r="B201" s="1715"/>
      <c r="C201" s="1715"/>
      <c r="D201" s="1715"/>
      <c r="E201" s="1715"/>
      <c r="F201" s="1715"/>
      <c r="G201" s="1715"/>
      <c r="H201" s="1715"/>
      <c r="I201" s="1715"/>
      <c r="J201" s="1715"/>
      <c r="K201" s="1715"/>
      <c r="L201" s="1715"/>
      <c r="M201" s="1715"/>
      <c r="N201" s="1715"/>
      <c r="O201" s="1715"/>
      <c r="P201" s="1715"/>
      <c r="Q201" s="1715"/>
      <c r="R201" s="1715"/>
      <c r="S201" s="1715"/>
      <c r="T201" s="1715"/>
      <c r="U201" s="1715"/>
      <c r="V201" s="1715"/>
      <c r="W201" s="1715"/>
      <c r="X201" s="1715"/>
      <c r="Y201" s="1715"/>
      <c r="Z201" s="1715"/>
      <c r="AA201" s="1715"/>
      <c r="AB201" s="1715"/>
    </row>
    <row r="202" spans="2:28" s="1748" customFormat="1" ht="21" customHeight="1" x14ac:dyDescent="0.25">
      <c r="B202" s="1747"/>
      <c r="C202" s="1746" t="s">
        <v>1435</v>
      </c>
      <c r="D202" s="1747" t="s">
        <v>1436</v>
      </c>
      <c r="E202" s="1747" t="s">
        <v>1437</v>
      </c>
      <c r="F202" s="1747" t="s">
        <v>1438</v>
      </c>
      <c r="G202" s="1747" t="s">
        <v>1439</v>
      </c>
      <c r="H202" s="1747" t="s">
        <v>1440</v>
      </c>
      <c r="I202" s="1747" t="s">
        <v>1441</v>
      </c>
      <c r="J202" s="1747" t="s">
        <v>1442</v>
      </c>
      <c r="K202" s="1747" t="s">
        <v>1443</v>
      </c>
      <c r="L202" s="1747" t="s">
        <v>1444</v>
      </c>
      <c r="M202" s="1747" t="s">
        <v>1445</v>
      </c>
      <c r="N202" s="1747" t="s">
        <v>1446</v>
      </c>
      <c r="O202" s="1747" t="s">
        <v>1447</v>
      </c>
      <c r="P202" s="1747" t="s">
        <v>1448</v>
      </c>
      <c r="Q202" s="1747" t="s">
        <v>1449</v>
      </c>
      <c r="R202" s="1747" t="s">
        <v>1450</v>
      </c>
      <c r="S202" s="1747" t="s">
        <v>1451</v>
      </c>
      <c r="T202" s="1747" t="s">
        <v>1452</v>
      </c>
      <c r="U202" s="1747" t="s">
        <v>1453</v>
      </c>
      <c r="V202" s="1747" t="s">
        <v>1454</v>
      </c>
      <c r="W202" s="1747" t="s">
        <v>1455</v>
      </c>
      <c r="X202" s="1747" t="s">
        <v>1456</v>
      </c>
      <c r="Y202" s="1747" t="s">
        <v>1457</v>
      </c>
      <c r="Z202" s="1747" t="s">
        <v>1458</v>
      </c>
      <c r="AA202" s="1747" t="s">
        <v>1466</v>
      </c>
      <c r="AB202" s="1747" t="s">
        <v>1467</v>
      </c>
    </row>
    <row r="203" spans="2:28" x14ac:dyDescent="0.25">
      <c r="B203" s="1765" t="s">
        <v>1461</v>
      </c>
      <c r="C203" s="1776">
        <v>0</v>
      </c>
      <c r="D203" s="1776">
        <v>0</v>
      </c>
      <c r="E203" s="1776">
        <v>0</v>
      </c>
      <c r="F203" s="1776">
        <v>0</v>
      </c>
      <c r="G203" s="1776">
        <v>0</v>
      </c>
      <c r="H203" s="1776">
        <v>0</v>
      </c>
      <c r="I203" s="1776">
        <v>0</v>
      </c>
      <c r="J203" s="1776">
        <v>0.05</v>
      </c>
      <c r="K203" s="1776">
        <v>0.75</v>
      </c>
      <c r="L203" s="1776">
        <v>0.9</v>
      </c>
      <c r="M203" s="1776">
        <v>0.9</v>
      </c>
      <c r="N203" s="1776">
        <v>0.8</v>
      </c>
      <c r="O203" s="1776">
        <v>0.8</v>
      </c>
      <c r="P203" s="1776">
        <v>0.8</v>
      </c>
      <c r="Q203" s="1776">
        <v>0.8</v>
      </c>
      <c r="R203" s="1776">
        <v>0.45</v>
      </c>
      <c r="S203" s="1776">
        <v>0.15</v>
      </c>
      <c r="T203" s="1776">
        <v>0.05</v>
      </c>
      <c r="U203" s="1776">
        <v>0.15</v>
      </c>
      <c r="V203" s="1776">
        <v>0.2</v>
      </c>
      <c r="W203" s="1776">
        <v>0.2</v>
      </c>
      <c r="X203" s="1776">
        <v>0.1</v>
      </c>
      <c r="Y203" s="1776">
        <v>0</v>
      </c>
      <c r="Z203" s="1776">
        <v>0</v>
      </c>
      <c r="AA203" s="1752">
        <f>SUM(C203:Z203)</f>
        <v>7.1000000000000005</v>
      </c>
      <c r="AB203" s="1753">
        <f>AA203*SUM($C$9:$C$13)</f>
        <v>1775.0000000000002</v>
      </c>
    </row>
    <row r="204" spans="2:28" x14ac:dyDescent="0.25">
      <c r="B204" s="1767" t="s">
        <v>1431</v>
      </c>
      <c r="C204" s="1777">
        <v>0</v>
      </c>
      <c r="D204" s="1777">
        <v>0</v>
      </c>
      <c r="E204" s="1777">
        <v>0</v>
      </c>
      <c r="F204" s="1777">
        <v>0</v>
      </c>
      <c r="G204" s="1777">
        <v>0</v>
      </c>
      <c r="H204" s="1777">
        <v>0</v>
      </c>
      <c r="I204" s="1777">
        <v>0</v>
      </c>
      <c r="J204" s="1777">
        <v>0</v>
      </c>
      <c r="K204" s="1777">
        <v>0.1</v>
      </c>
      <c r="L204" s="1777">
        <v>0.1</v>
      </c>
      <c r="M204" s="1777">
        <v>0.1</v>
      </c>
      <c r="N204" s="1777">
        <v>0.1</v>
      </c>
      <c r="O204" s="1777">
        <v>0.1</v>
      </c>
      <c r="P204" s="1777">
        <v>0</v>
      </c>
      <c r="Q204" s="1777">
        <v>0</v>
      </c>
      <c r="R204" s="1777">
        <v>0</v>
      </c>
      <c r="S204" s="1777">
        <v>0</v>
      </c>
      <c r="T204" s="1777">
        <v>0</v>
      </c>
      <c r="U204" s="1777">
        <v>0</v>
      </c>
      <c r="V204" s="1777">
        <v>0</v>
      </c>
      <c r="W204" s="1777">
        <v>0</v>
      </c>
      <c r="X204" s="1777">
        <v>0</v>
      </c>
      <c r="Y204" s="1777">
        <v>0</v>
      </c>
      <c r="Z204" s="1777">
        <v>0</v>
      </c>
      <c r="AA204" s="1756">
        <f>SUM(C204:Z204)</f>
        <v>0.5</v>
      </c>
      <c r="AB204" s="1757">
        <f>AA204*SUM($C$14)</f>
        <v>26</v>
      </c>
    </row>
    <row r="205" spans="2:28" x14ac:dyDescent="0.25">
      <c r="B205" s="1767" t="s">
        <v>1432</v>
      </c>
      <c r="C205" s="1777">
        <v>0</v>
      </c>
      <c r="D205" s="1777">
        <v>0</v>
      </c>
      <c r="E205" s="1777">
        <v>0</v>
      </c>
      <c r="F205" s="1777">
        <v>0</v>
      </c>
      <c r="G205" s="1777">
        <v>0</v>
      </c>
      <c r="H205" s="1777">
        <v>0</v>
      </c>
      <c r="I205" s="1777">
        <v>0</v>
      </c>
      <c r="J205" s="1777">
        <v>0</v>
      </c>
      <c r="K205" s="1777">
        <v>0</v>
      </c>
      <c r="L205" s="1777">
        <v>0</v>
      </c>
      <c r="M205" s="1777">
        <v>0</v>
      </c>
      <c r="N205" s="1777">
        <v>0</v>
      </c>
      <c r="O205" s="1777">
        <v>0</v>
      </c>
      <c r="P205" s="1777">
        <v>0</v>
      </c>
      <c r="Q205" s="1777">
        <v>0</v>
      </c>
      <c r="R205" s="1777">
        <v>0</v>
      </c>
      <c r="S205" s="1777">
        <v>0</v>
      </c>
      <c r="T205" s="1777">
        <v>0</v>
      </c>
      <c r="U205" s="1777">
        <v>0</v>
      </c>
      <c r="V205" s="1777">
        <v>0</v>
      </c>
      <c r="W205" s="1777">
        <v>0</v>
      </c>
      <c r="X205" s="1777">
        <v>0</v>
      </c>
      <c r="Y205" s="1777">
        <v>0</v>
      </c>
      <c r="Z205" s="1777">
        <v>0</v>
      </c>
      <c r="AA205" s="1756">
        <f>SUM(C205:Z205)</f>
        <v>0</v>
      </c>
      <c r="AB205" s="1757">
        <f>AA205*$C$15</f>
        <v>0</v>
      </c>
    </row>
    <row r="206" spans="2:28" x14ac:dyDescent="0.25">
      <c r="B206" s="1769" t="s">
        <v>1463</v>
      </c>
      <c r="C206" s="1778">
        <v>0</v>
      </c>
      <c r="D206" s="1778">
        <v>0</v>
      </c>
      <c r="E206" s="1778">
        <v>0</v>
      </c>
      <c r="F206" s="1778">
        <v>0</v>
      </c>
      <c r="G206" s="1778">
        <v>0</v>
      </c>
      <c r="H206" s="1778">
        <v>0</v>
      </c>
      <c r="I206" s="1778">
        <v>0</v>
      </c>
      <c r="J206" s="1778">
        <v>0</v>
      </c>
      <c r="K206" s="1778">
        <v>0</v>
      </c>
      <c r="L206" s="1778">
        <v>0</v>
      </c>
      <c r="M206" s="1778">
        <v>0</v>
      </c>
      <c r="N206" s="1778">
        <v>0</v>
      </c>
      <c r="O206" s="1778">
        <v>0</v>
      </c>
      <c r="P206" s="1778">
        <v>0</v>
      </c>
      <c r="Q206" s="1778">
        <v>0</v>
      </c>
      <c r="R206" s="1778">
        <v>0</v>
      </c>
      <c r="S206" s="1778">
        <v>0</v>
      </c>
      <c r="T206" s="1778">
        <v>0</v>
      </c>
      <c r="U206" s="1778">
        <v>0</v>
      </c>
      <c r="V206" s="1778">
        <v>0</v>
      </c>
      <c r="W206" s="1778">
        <v>0</v>
      </c>
      <c r="X206" s="1778">
        <v>0</v>
      </c>
      <c r="Y206" s="1778">
        <v>0</v>
      </c>
      <c r="Z206" s="1778">
        <v>0</v>
      </c>
      <c r="AA206" s="1760">
        <f>SUM(C206:Z206)</f>
        <v>0</v>
      </c>
      <c r="AB206" s="1761">
        <f>AA206*SUM($C$8)</f>
        <v>0</v>
      </c>
    </row>
    <row r="207" spans="2:28" x14ac:dyDescent="0.25">
      <c r="B207" s="2500" t="s">
        <v>1468</v>
      </c>
      <c r="C207" s="2501"/>
      <c r="D207" s="2501"/>
      <c r="E207" s="2501"/>
      <c r="F207" s="2501"/>
      <c r="G207" s="2501"/>
      <c r="H207" s="2501"/>
      <c r="I207" s="2501"/>
      <c r="J207" s="2501"/>
      <c r="K207" s="2501"/>
      <c r="L207" s="2501"/>
      <c r="M207" s="2501"/>
      <c r="N207" s="2501"/>
      <c r="O207" s="2501"/>
      <c r="P207" s="2501"/>
      <c r="Q207" s="2501"/>
      <c r="R207" s="2501"/>
      <c r="S207" s="2501"/>
      <c r="T207" s="2501"/>
      <c r="U207" s="2501"/>
      <c r="V207" s="2501"/>
      <c r="W207" s="2501"/>
      <c r="X207" s="2501"/>
      <c r="Y207" s="2501"/>
      <c r="Z207" s="2501"/>
      <c r="AA207" s="2501"/>
      <c r="AB207" s="1749">
        <f>SUM(AB203:AB206)</f>
        <v>1801.0000000000002</v>
      </c>
    </row>
    <row r="208" spans="2:28" x14ac:dyDescent="0.25">
      <c r="B208" s="1715"/>
      <c r="C208" s="1715"/>
      <c r="D208" s="1715"/>
      <c r="E208" s="1715"/>
      <c r="F208" s="1715"/>
      <c r="G208" s="1715"/>
      <c r="H208" s="1715"/>
      <c r="I208" s="1715"/>
      <c r="J208" s="1715"/>
      <c r="K208" s="1715"/>
      <c r="L208" s="1715"/>
      <c r="M208" s="1715"/>
      <c r="N208" s="1715"/>
      <c r="O208" s="1715"/>
      <c r="P208" s="1715"/>
      <c r="Q208" s="1715"/>
      <c r="R208" s="1715"/>
      <c r="S208" s="1715"/>
      <c r="T208" s="1715"/>
      <c r="U208" s="1715"/>
      <c r="V208" s="1715"/>
      <c r="W208" s="1715"/>
      <c r="X208" s="1715"/>
      <c r="Y208" s="1715"/>
      <c r="Z208" s="1715"/>
      <c r="AA208" s="1715"/>
      <c r="AB208" s="1715"/>
    </row>
    <row r="209" spans="2:28" ht="15" customHeight="1" x14ac:dyDescent="0.25">
      <c r="B209" s="1715" t="s">
        <v>1434</v>
      </c>
      <c r="C209" s="2497" t="s">
        <v>1628</v>
      </c>
      <c r="D209" s="2498"/>
      <c r="E209" s="2498"/>
      <c r="F209" s="2498"/>
      <c r="G209" s="2498"/>
      <c r="H209" s="2498"/>
      <c r="I209" s="2498"/>
      <c r="J209" s="2498"/>
      <c r="K209" s="2498"/>
      <c r="L209" s="2498"/>
      <c r="M209" s="2498"/>
      <c r="N209" s="2498"/>
      <c r="O209" s="2498"/>
      <c r="P209" s="2498"/>
      <c r="Q209" s="2498"/>
      <c r="R209" s="2498"/>
      <c r="S209" s="2498"/>
      <c r="T209" s="2498"/>
      <c r="U209" s="2498"/>
      <c r="V209" s="2498"/>
      <c r="W209" s="2498"/>
      <c r="X209" s="2498"/>
      <c r="Y209" s="2498"/>
      <c r="Z209" s="2498"/>
      <c r="AA209" s="2498"/>
      <c r="AB209" s="2499"/>
    </row>
    <row r="210" spans="2:28" x14ac:dyDescent="0.25">
      <c r="B210" s="1715"/>
      <c r="C210" s="1715"/>
      <c r="D210" s="1715"/>
      <c r="E210" s="1715"/>
      <c r="F210" s="1715"/>
      <c r="G210" s="1715"/>
      <c r="H210" s="1715"/>
      <c r="I210" s="1715"/>
      <c r="J210" s="1715"/>
      <c r="K210" s="1715"/>
      <c r="L210" s="1715"/>
      <c r="M210" s="1715"/>
      <c r="N210" s="1715"/>
      <c r="O210" s="1715"/>
      <c r="P210" s="1715"/>
      <c r="Q210" s="1715"/>
      <c r="R210" s="1715"/>
      <c r="S210" s="1715"/>
      <c r="T210" s="1715"/>
      <c r="U210" s="1715"/>
      <c r="V210" s="1715"/>
      <c r="W210" s="1715"/>
      <c r="X210" s="1715"/>
      <c r="Y210" s="1715"/>
      <c r="Z210" s="1715"/>
      <c r="AA210" s="1715"/>
      <c r="AB210" s="1715"/>
    </row>
    <row r="211" spans="2:28" s="1748" customFormat="1" ht="21" customHeight="1" x14ac:dyDescent="0.25">
      <c r="B211" s="1747"/>
      <c r="C211" s="1746" t="s">
        <v>1435</v>
      </c>
      <c r="D211" s="1747" t="s">
        <v>1436</v>
      </c>
      <c r="E211" s="1747" t="s">
        <v>1437</v>
      </c>
      <c r="F211" s="1747" t="s">
        <v>1438</v>
      </c>
      <c r="G211" s="1747" t="s">
        <v>1439</v>
      </c>
      <c r="H211" s="1747" t="s">
        <v>1440</v>
      </c>
      <c r="I211" s="1747" t="s">
        <v>1441</v>
      </c>
      <c r="J211" s="1747" t="s">
        <v>1442</v>
      </c>
      <c r="K211" s="1747" t="s">
        <v>1443</v>
      </c>
      <c r="L211" s="1747" t="s">
        <v>1444</v>
      </c>
      <c r="M211" s="1747" t="s">
        <v>1445</v>
      </c>
      <c r="N211" s="1747" t="s">
        <v>1446</v>
      </c>
      <c r="O211" s="1747" t="s">
        <v>1447</v>
      </c>
      <c r="P211" s="1747" t="s">
        <v>1448</v>
      </c>
      <c r="Q211" s="1747" t="s">
        <v>1449</v>
      </c>
      <c r="R211" s="1747" t="s">
        <v>1450</v>
      </c>
      <c r="S211" s="1747" t="s">
        <v>1451</v>
      </c>
      <c r="T211" s="1747" t="s">
        <v>1452</v>
      </c>
      <c r="U211" s="1747" t="s">
        <v>1453</v>
      </c>
      <c r="V211" s="1747" t="s">
        <v>1454</v>
      </c>
      <c r="W211" s="1747" t="s">
        <v>1455</v>
      </c>
      <c r="X211" s="1747" t="s">
        <v>1456</v>
      </c>
      <c r="Y211" s="1747" t="s">
        <v>1457</v>
      </c>
      <c r="Z211" s="1747" t="s">
        <v>1458</v>
      </c>
      <c r="AA211" s="1747" t="s">
        <v>1466</v>
      </c>
      <c r="AB211" s="1747" t="s">
        <v>1467</v>
      </c>
    </row>
    <row r="212" spans="2:28" x14ac:dyDescent="0.25">
      <c r="B212" s="1765" t="s">
        <v>1461</v>
      </c>
      <c r="C212" s="1776">
        <v>0.05</v>
      </c>
      <c r="D212" s="1776">
        <v>0.05</v>
      </c>
      <c r="E212" s="1776">
        <v>0.05</v>
      </c>
      <c r="F212" s="1776">
        <v>0.05</v>
      </c>
      <c r="G212" s="1776">
        <v>0.05</v>
      </c>
      <c r="H212" s="1776">
        <v>0.05</v>
      </c>
      <c r="I212" s="1776">
        <v>0.05</v>
      </c>
      <c r="J212" s="1776">
        <v>0.3</v>
      </c>
      <c r="K212" s="1776">
        <v>0.6</v>
      </c>
      <c r="L212" s="1776">
        <v>0.65</v>
      </c>
      <c r="M212" s="1776">
        <v>0.65</v>
      </c>
      <c r="N212" s="1776">
        <v>0.65</v>
      </c>
      <c r="O212" s="1776">
        <v>0.55000000000000004</v>
      </c>
      <c r="P212" s="1776">
        <v>0.55000000000000004</v>
      </c>
      <c r="Q212" s="1776">
        <v>0.55000000000000004</v>
      </c>
      <c r="R212" s="1776">
        <v>0.5</v>
      </c>
      <c r="S212" s="1776">
        <v>0.35</v>
      </c>
      <c r="T212" s="1776">
        <v>0.35</v>
      </c>
      <c r="U212" s="1776">
        <v>0.35</v>
      </c>
      <c r="V212" s="1776">
        <v>0.35</v>
      </c>
      <c r="W212" s="1776">
        <v>0.35</v>
      </c>
      <c r="X212" s="1776">
        <v>0.3</v>
      </c>
      <c r="Y212" s="1776">
        <v>0.05</v>
      </c>
      <c r="Z212" s="1776">
        <v>0.05</v>
      </c>
      <c r="AA212" s="1752">
        <f>SUM(C212:Z212)</f>
        <v>7.4999999999999973</v>
      </c>
      <c r="AB212" s="1753">
        <f>AA212*SUM($C$9:$C$13)</f>
        <v>1874.9999999999993</v>
      </c>
    </row>
    <row r="213" spans="2:28" x14ac:dyDescent="0.25">
      <c r="B213" s="1767" t="s">
        <v>1431</v>
      </c>
      <c r="C213" s="1777">
        <v>0.05</v>
      </c>
      <c r="D213" s="1777">
        <v>0.05</v>
      </c>
      <c r="E213" s="1777">
        <v>0.05</v>
      </c>
      <c r="F213" s="1777">
        <v>0.05</v>
      </c>
      <c r="G213" s="1777">
        <v>0.05</v>
      </c>
      <c r="H213" s="1777">
        <v>0.05</v>
      </c>
      <c r="I213" s="1777">
        <v>0.05</v>
      </c>
      <c r="J213" s="1777">
        <v>0.05</v>
      </c>
      <c r="K213" s="1777">
        <v>0.15</v>
      </c>
      <c r="L213" s="1777">
        <v>0.15</v>
      </c>
      <c r="M213" s="1777">
        <v>0.15</v>
      </c>
      <c r="N213" s="1777">
        <v>0.15</v>
      </c>
      <c r="O213" s="1777">
        <v>0.15</v>
      </c>
      <c r="P213" s="1777">
        <v>0.05</v>
      </c>
      <c r="Q213" s="1777">
        <v>0.05</v>
      </c>
      <c r="R213" s="1777">
        <v>0.05</v>
      </c>
      <c r="S213" s="1777">
        <v>0.05</v>
      </c>
      <c r="T213" s="1777">
        <v>0.05</v>
      </c>
      <c r="U213" s="1777">
        <v>0.05</v>
      </c>
      <c r="V213" s="1777">
        <v>0.05</v>
      </c>
      <c r="W213" s="1777">
        <v>0.05</v>
      </c>
      <c r="X213" s="1777">
        <v>0.05</v>
      </c>
      <c r="Y213" s="1777">
        <v>0.05</v>
      </c>
      <c r="Z213" s="1777">
        <v>0.05</v>
      </c>
      <c r="AA213" s="1756">
        <f>SUM(C213:Z213)</f>
        <v>1.7000000000000004</v>
      </c>
      <c r="AB213" s="1757">
        <f>AA213*SUM($C$14)</f>
        <v>88.40000000000002</v>
      </c>
    </row>
    <row r="214" spans="2:28" x14ac:dyDescent="0.25">
      <c r="B214" s="1767" t="s">
        <v>1432</v>
      </c>
      <c r="C214" s="1777">
        <v>0.05</v>
      </c>
      <c r="D214" s="1777">
        <v>0.05</v>
      </c>
      <c r="E214" s="1777">
        <v>0.05</v>
      </c>
      <c r="F214" s="1777">
        <v>0.05</v>
      </c>
      <c r="G214" s="1777">
        <v>0.05</v>
      </c>
      <c r="H214" s="1777">
        <v>0.05</v>
      </c>
      <c r="I214" s="1777">
        <v>0.05</v>
      </c>
      <c r="J214" s="1777">
        <v>0.05</v>
      </c>
      <c r="K214" s="1777">
        <v>0.05</v>
      </c>
      <c r="L214" s="1777">
        <v>0.05</v>
      </c>
      <c r="M214" s="1777">
        <v>0.05</v>
      </c>
      <c r="N214" s="1777">
        <v>0.05</v>
      </c>
      <c r="O214" s="1777">
        <v>0.05</v>
      </c>
      <c r="P214" s="1777">
        <v>0.05</v>
      </c>
      <c r="Q214" s="1777">
        <v>0.05</v>
      </c>
      <c r="R214" s="1777">
        <v>0.05</v>
      </c>
      <c r="S214" s="1777">
        <v>0.05</v>
      </c>
      <c r="T214" s="1777">
        <v>0.05</v>
      </c>
      <c r="U214" s="1777">
        <v>0.05</v>
      </c>
      <c r="V214" s="1777">
        <v>0.05</v>
      </c>
      <c r="W214" s="1777">
        <v>0.05</v>
      </c>
      <c r="X214" s="1777">
        <v>0.05</v>
      </c>
      <c r="Y214" s="1777">
        <v>0.05</v>
      </c>
      <c r="Z214" s="1777">
        <v>0.05</v>
      </c>
      <c r="AA214" s="1756">
        <f>SUM(C214:Z214)</f>
        <v>1.2000000000000004</v>
      </c>
      <c r="AB214" s="1757">
        <f>AA214*$C$15</f>
        <v>62.40000000000002</v>
      </c>
    </row>
    <row r="215" spans="2:28" x14ac:dyDescent="0.25">
      <c r="B215" s="1769" t="s">
        <v>1463</v>
      </c>
      <c r="C215" s="1778">
        <v>0.05</v>
      </c>
      <c r="D215" s="1778">
        <v>0.05</v>
      </c>
      <c r="E215" s="1778">
        <v>0.05</v>
      </c>
      <c r="F215" s="1778">
        <v>0.05</v>
      </c>
      <c r="G215" s="1778">
        <v>0.05</v>
      </c>
      <c r="H215" s="1778">
        <v>0.05</v>
      </c>
      <c r="I215" s="1778">
        <v>0.05</v>
      </c>
      <c r="J215" s="1778">
        <v>0.05</v>
      </c>
      <c r="K215" s="1778">
        <v>0.05</v>
      </c>
      <c r="L215" s="1778">
        <v>0.05</v>
      </c>
      <c r="M215" s="1778">
        <v>0.05</v>
      </c>
      <c r="N215" s="1778">
        <v>0.05</v>
      </c>
      <c r="O215" s="1778">
        <v>0.05</v>
      </c>
      <c r="P215" s="1778">
        <v>0.05</v>
      </c>
      <c r="Q215" s="1778">
        <v>0.05</v>
      </c>
      <c r="R215" s="1778">
        <v>0.05</v>
      </c>
      <c r="S215" s="1778">
        <v>0.05</v>
      </c>
      <c r="T215" s="1778">
        <v>0.05</v>
      </c>
      <c r="U215" s="1778">
        <v>0.05</v>
      </c>
      <c r="V215" s="1778">
        <v>0.05</v>
      </c>
      <c r="W215" s="1778">
        <v>0.05</v>
      </c>
      <c r="X215" s="1778">
        <v>0.05</v>
      </c>
      <c r="Y215" s="1778">
        <v>0.05</v>
      </c>
      <c r="Z215" s="1778">
        <v>0.05</v>
      </c>
      <c r="AA215" s="1760">
        <f>SUM(C215:Z215)</f>
        <v>1.2000000000000004</v>
      </c>
      <c r="AB215" s="1761">
        <f>AA215*SUM($C$8)</f>
        <v>13.200000000000005</v>
      </c>
    </row>
    <row r="216" spans="2:28" x14ac:dyDescent="0.25">
      <c r="B216" s="2500" t="s">
        <v>1468</v>
      </c>
      <c r="C216" s="2501"/>
      <c r="D216" s="2501"/>
      <c r="E216" s="2501"/>
      <c r="F216" s="2501"/>
      <c r="G216" s="2501"/>
      <c r="H216" s="2501"/>
      <c r="I216" s="2501"/>
      <c r="J216" s="2501"/>
      <c r="K216" s="2501"/>
      <c r="L216" s="2501"/>
      <c r="M216" s="2501"/>
      <c r="N216" s="2501"/>
      <c r="O216" s="2501"/>
      <c r="P216" s="2501"/>
      <c r="Q216" s="2501"/>
      <c r="R216" s="2501"/>
      <c r="S216" s="2501"/>
      <c r="T216" s="2501"/>
      <c r="U216" s="2501"/>
      <c r="V216" s="2501"/>
      <c r="W216" s="2501"/>
      <c r="X216" s="2501"/>
      <c r="Y216" s="2501"/>
      <c r="Z216" s="2501"/>
      <c r="AA216" s="2501"/>
      <c r="AB216" s="1749">
        <f>SUM(AB212:AB215)</f>
        <v>2038.9999999999995</v>
      </c>
    </row>
    <row r="217" spans="2:28" x14ac:dyDescent="0.25">
      <c r="B217" s="1715"/>
      <c r="C217" s="1715"/>
      <c r="D217" s="1715"/>
      <c r="E217" s="1715"/>
      <c r="F217" s="1715"/>
      <c r="G217" s="1715"/>
      <c r="H217" s="1715"/>
      <c r="I217" s="1715"/>
      <c r="J217" s="1715"/>
      <c r="K217" s="1715"/>
      <c r="L217" s="1715"/>
      <c r="M217" s="1715"/>
      <c r="N217" s="1715"/>
      <c r="O217" s="1715"/>
      <c r="P217" s="1715"/>
      <c r="Q217" s="1715"/>
      <c r="R217" s="1715"/>
      <c r="S217" s="1715"/>
      <c r="T217" s="1715"/>
      <c r="U217" s="1715"/>
      <c r="V217" s="1715"/>
      <c r="W217" s="1715"/>
      <c r="X217" s="1715"/>
      <c r="Y217" s="1715"/>
      <c r="Z217" s="1715"/>
      <c r="AA217" s="1715"/>
      <c r="AB217" s="1715"/>
    </row>
    <row r="218" spans="2:28" ht="15" customHeight="1" x14ac:dyDescent="0.25">
      <c r="B218" s="1715" t="s">
        <v>1434</v>
      </c>
      <c r="C218" s="2497" t="s">
        <v>1629</v>
      </c>
      <c r="D218" s="2498"/>
      <c r="E218" s="2498"/>
      <c r="F218" s="2498"/>
      <c r="G218" s="2498"/>
      <c r="H218" s="2498"/>
      <c r="I218" s="2498"/>
      <c r="J218" s="2498"/>
      <c r="K218" s="2498"/>
      <c r="L218" s="2498"/>
      <c r="M218" s="2498"/>
      <c r="N218" s="2498"/>
      <c r="O218" s="2498"/>
      <c r="P218" s="2498"/>
      <c r="Q218" s="2498"/>
      <c r="R218" s="2498"/>
      <c r="S218" s="2498"/>
      <c r="T218" s="2498"/>
      <c r="U218" s="2498"/>
      <c r="V218" s="2498"/>
      <c r="W218" s="2498"/>
      <c r="X218" s="2498"/>
      <c r="Y218" s="2498"/>
      <c r="Z218" s="2498"/>
      <c r="AA218" s="2498"/>
      <c r="AB218" s="2499"/>
    </row>
    <row r="219" spans="2:28" x14ac:dyDescent="0.25">
      <c r="B219" s="1715"/>
      <c r="C219" s="1715"/>
      <c r="D219" s="1715"/>
      <c r="E219" s="1715"/>
      <c r="F219" s="1715"/>
      <c r="G219" s="1715"/>
      <c r="H219" s="1715"/>
      <c r="I219" s="1715"/>
      <c r="J219" s="1715"/>
      <c r="K219" s="1715"/>
      <c r="L219" s="1715"/>
      <c r="M219" s="1715"/>
      <c r="N219" s="1715"/>
      <c r="O219" s="1715"/>
      <c r="P219" s="1715"/>
      <c r="Q219" s="1715"/>
      <c r="R219" s="1715"/>
      <c r="S219" s="1715"/>
      <c r="T219" s="1715"/>
      <c r="U219" s="1715"/>
      <c r="V219" s="1715"/>
      <c r="W219" s="1715"/>
      <c r="X219" s="1715"/>
      <c r="Y219" s="1715"/>
      <c r="Z219" s="1715"/>
      <c r="AA219" s="1715"/>
      <c r="AB219" s="1715"/>
    </row>
    <row r="220" spans="2:28" s="1748" customFormat="1" ht="21" customHeight="1" x14ac:dyDescent="0.25">
      <c r="B220" s="1747"/>
      <c r="C220" s="1746" t="s">
        <v>1435</v>
      </c>
      <c r="D220" s="1747" t="s">
        <v>1436</v>
      </c>
      <c r="E220" s="1747" t="s">
        <v>1437</v>
      </c>
      <c r="F220" s="1747" t="s">
        <v>1438</v>
      </c>
      <c r="G220" s="1747" t="s">
        <v>1439</v>
      </c>
      <c r="H220" s="1747" t="s">
        <v>1440</v>
      </c>
      <c r="I220" s="1747" t="s">
        <v>1441</v>
      </c>
      <c r="J220" s="1747" t="s">
        <v>1442</v>
      </c>
      <c r="K220" s="1747" t="s">
        <v>1443</v>
      </c>
      <c r="L220" s="1747" t="s">
        <v>1444</v>
      </c>
      <c r="M220" s="1747" t="s">
        <v>1445</v>
      </c>
      <c r="N220" s="1747" t="s">
        <v>1446</v>
      </c>
      <c r="O220" s="1747" t="s">
        <v>1447</v>
      </c>
      <c r="P220" s="1747" t="s">
        <v>1448</v>
      </c>
      <c r="Q220" s="1747" t="s">
        <v>1449</v>
      </c>
      <c r="R220" s="1747" t="s">
        <v>1450</v>
      </c>
      <c r="S220" s="1747" t="s">
        <v>1451</v>
      </c>
      <c r="T220" s="1747" t="s">
        <v>1452</v>
      </c>
      <c r="U220" s="1747" t="s">
        <v>1453</v>
      </c>
      <c r="V220" s="1747" t="s">
        <v>1454</v>
      </c>
      <c r="W220" s="1747" t="s">
        <v>1455</v>
      </c>
      <c r="X220" s="1747" t="s">
        <v>1456</v>
      </c>
      <c r="Y220" s="1747" t="s">
        <v>1457</v>
      </c>
      <c r="Z220" s="1747" t="s">
        <v>1458</v>
      </c>
      <c r="AA220" s="1747" t="s">
        <v>1466</v>
      </c>
      <c r="AB220" s="1747" t="s">
        <v>1467</v>
      </c>
    </row>
    <row r="221" spans="2:28" x14ac:dyDescent="0.25">
      <c r="B221" s="1765" t="s">
        <v>1461</v>
      </c>
      <c r="C221" s="1776">
        <v>0.05</v>
      </c>
      <c r="D221" s="1776">
        <v>0.05</v>
      </c>
      <c r="E221" s="1776">
        <v>0.05</v>
      </c>
      <c r="F221" s="1776">
        <v>0.05</v>
      </c>
      <c r="G221" s="1776">
        <v>0.05</v>
      </c>
      <c r="H221" s="1776">
        <v>0.05</v>
      </c>
      <c r="I221" s="1776">
        <v>0.05</v>
      </c>
      <c r="J221" s="1776">
        <v>0.3</v>
      </c>
      <c r="K221" s="1776">
        <v>0.85</v>
      </c>
      <c r="L221" s="1776">
        <v>0.95</v>
      </c>
      <c r="M221" s="1776">
        <v>0.95</v>
      </c>
      <c r="N221" s="1776">
        <v>0.95</v>
      </c>
      <c r="O221" s="1776">
        <v>0.8</v>
      </c>
      <c r="P221" s="1776">
        <v>0.8</v>
      </c>
      <c r="Q221" s="1776">
        <v>0.8</v>
      </c>
      <c r="R221" s="1776">
        <v>0.7</v>
      </c>
      <c r="S221" s="1776">
        <v>0.5</v>
      </c>
      <c r="T221" s="1776">
        <v>0.5</v>
      </c>
      <c r="U221" s="1776">
        <v>0.35</v>
      </c>
      <c r="V221" s="1776">
        <v>0.35</v>
      </c>
      <c r="W221" s="1776">
        <v>0.35</v>
      </c>
      <c r="X221" s="1776">
        <v>0.3</v>
      </c>
      <c r="Y221" s="1776">
        <v>0.05</v>
      </c>
      <c r="Z221" s="1776">
        <v>0.05</v>
      </c>
      <c r="AA221" s="1752">
        <f>SUM(C221:Z221)</f>
        <v>9.9</v>
      </c>
      <c r="AB221" s="1753">
        <f>AA221*SUM($C$9:$C$13)</f>
        <v>2475</v>
      </c>
    </row>
    <row r="222" spans="2:28" x14ac:dyDescent="0.25">
      <c r="B222" s="1767" t="s">
        <v>1431</v>
      </c>
      <c r="C222" s="1777">
        <v>0.05</v>
      </c>
      <c r="D222" s="1777">
        <v>0.05</v>
      </c>
      <c r="E222" s="1777">
        <v>0.05</v>
      </c>
      <c r="F222" s="1777">
        <v>0.05</v>
      </c>
      <c r="G222" s="1777">
        <v>0.05</v>
      </c>
      <c r="H222" s="1777">
        <v>0.05</v>
      </c>
      <c r="I222" s="1777">
        <v>0.05</v>
      </c>
      <c r="J222" s="1777">
        <v>0.05</v>
      </c>
      <c r="K222" s="1777">
        <v>0.15</v>
      </c>
      <c r="L222" s="1777">
        <v>0.15</v>
      </c>
      <c r="M222" s="1777">
        <v>0.15</v>
      </c>
      <c r="N222" s="1777">
        <v>0.15</v>
      </c>
      <c r="O222" s="1777">
        <v>0.15</v>
      </c>
      <c r="P222" s="1777">
        <v>0.05</v>
      </c>
      <c r="Q222" s="1777">
        <v>0.05</v>
      </c>
      <c r="R222" s="1777">
        <v>0.05</v>
      </c>
      <c r="S222" s="1777">
        <v>0.05</v>
      </c>
      <c r="T222" s="1777">
        <v>0.05</v>
      </c>
      <c r="U222" s="1777">
        <v>0.05</v>
      </c>
      <c r="V222" s="1777">
        <v>0.05</v>
      </c>
      <c r="W222" s="1777">
        <v>0.05</v>
      </c>
      <c r="X222" s="1777">
        <v>0.05</v>
      </c>
      <c r="Y222" s="1777">
        <v>0.05</v>
      </c>
      <c r="Z222" s="1777">
        <v>0.05</v>
      </c>
      <c r="AA222" s="1756">
        <f>SUM(C222:Z222)</f>
        <v>1.7000000000000004</v>
      </c>
      <c r="AB222" s="1757">
        <f>AA222*SUM($C$14)</f>
        <v>88.40000000000002</v>
      </c>
    </row>
    <row r="223" spans="2:28" x14ac:dyDescent="0.25">
      <c r="B223" s="1767" t="s">
        <v>1432</v>
      </c>
      <c r="C223" s="1777">
        <v>0.05</v>
      </c>
      <c r="D223" s="1777">
        <v>0.05</v>
      </c>
      <c r="E223" s="1777">
        <v>0.05</v>
      </c>
      <c r="F223" s="1777">
        <v>0.05</v>
      </c>
      <c r="G223" s="1777">
        <v>0.05</v>
      </c>
      <c r="H223" s="1777">
        <v>0.05</v>
      </c>
      <c r="I223" s="1777">
        <v>0.05</v>
      </c>
      <c r="J223" s="1777">
        <v>0.05</v>
      </c>
      <c r="K223" s="1777">
        <v>0.05</v>
      </c>
      <c r="L223" s="1777">
        <v>0.05</v>
      </c>
      <c r="M223" s="1777">
        <v>0.05</v>
      </c>
      <c r="N223" s="1777">
        <v>0.05</v>
      </c>
      <c r="O223" s="1777">
        <v>0.05</v>
      </c>
      <c r="P223" s="1777">
        <v>0.05</v>
      </c>
      <c r="Q223" s="1777">
        <v>0.05</v>
      </c>
      <c r="R223" s="1777">
        <v>0.05</v>
      </c>
      <c r="S223" s="1777">
        <v>0.05</v>
      </c>
      <c r="T223" s="1777">
        <v>0.05</v>
      </c>
      <c r="U223" s="1777">
        <v>0.05</v>
      </c>
      <c r="V223" s="1777">
        <v>0.05</v>
      </c>
      <c r="W223" s="1777">
        <v>0.05</v>
      </c>
      <c r="X223" s="1777">
        <v>0.05</v>
      </c>
      <c r="Y223" s="1777">
        <v>0.05</v>
      </c>
      <c r="Z223" s="1777">
        <v>0.05</v>
      </c>
      <c r="AA223" s="1756">
        <f>SUM(C223:Z223)</f>
        <v>1.2000000000000004</v>
      </c>
      <c r="AB223" s="1757">
        <f>AA223*$C$15</f>
        <v>62.40000000000002</v>
      </c>
    </row>
    <row r="224" spans="2:28" x14ac:dyDescent="0.25">
      <c r="B224" s="1769" t="s">
        <v>1463</v>
      </c>
      <c r="C224" s="1778">
        <v>0.05</v>
      </c>
      <c r="D224" s="1778">
        <v>0.05</v>
      </c>
      <c r="E224" s="1778">
        <v>0.05</v>
      </c>
      <c r="F224" s="1778">
        <v>0.05</v>
      </c>
      <c r="G224" s="1778">
        <v>0.05</v>
      </c>
      <c r="H224" s="1778">
        <v>0.05</v>
      </c>
      <c r="I224" s="1778">
        <v>0.05</v>
      </c>
      <c r="J224" s="1778">
        <v>0.05</v>
      </c>
      <c r="K224" s="1778">
        <v>0.05</v>
      </c>
      <c r="L224" s="1778">
        <v>0.05</v>
      </c>
      <c r="M224" s="1778">
        <v>0.05</v>
      </c>
      <c r="N224" s="1778">
        <v>0.05</v>
      </c>
      <c r="O224" s="1778">
        <v>0.05</v>
      </c>
      <c r="P224" s="1778">
        <v>0.05</v>
      </c>
      <c r="Q224" s="1778">
        <v>0.05</v>
      </c>
      <c r="R224" s="1778">
        <v>0.05</v>
      </c>
      <c r="S224" s="1778">
        <v>0.05</v>
      </c>
      <c r="T224" s="1778">
        <v>0.05</v>
      </c>
      <c r="U224" s="1778">
        <v>0.05</v>
      </c>
      <c r="V224" s="1778">
        <v>0.05</v>
      </c>
      <c r="W224" s="1778">
        <v>0.05</v>
      </c>
      <c r="X224" s="1778">
        <v>0.05</v>
      </c>
      <c r="Y224" s="1778">
        <v>0.05</v>
      </c>
      <c r="Z224" s="1778">
        <v>0.05</v>
      </c>
      <c r="AA224" s="1760">
        <f>SUM(C224:Z224)</f>
        <v>1.2000000000000004</v>
      </c>
      <c r="AB224" s="1761">
        <f>AA224*SUM($C$8)</f>
        <v>13.200000000000005</v>
      </c>
    </row>
    <row r="225" spans="2:28" x14ac:dyDescent="0.25">
      <c r="B225" s="2500" t="s">
        <v>1468</v>
      </c>
      <c r="C225" s="2501"/>
      <c r="D225" s="2501"/>
      <c r="E225" s="2501"/>
      <c r="F225" s="2501"/>
      <c r="G225" s="2501"/>
      <c r="H225" s="2501"/>
      <c r="I225" s="2501"/>
      <c r="J225" s="2501"/>
      <c r="K225" s="2501"/>
      <c r="L225" s="2501"/>
      <c r="M225" s="2501"/>
      <c r="N225" s="2501"/>
      <c r="O225" s="2501"/>
      <c r="P225" s="2501"/>
      <c r="Q225" s="2501"/>
      <c r="R225" s="2501"/>
      <c r="S225" s="2501"/>
      <c r="T225" s="2501"/>
      <c r="U225" s="2501"/>
      <c r="V225" s="2501"/>
      <c r="W225" s="2501"/>
      <c r="X225" s="2501"/>
      <c r="Y225" s="2501"/>
      <c r="Z225" s="2501"/>
      <c r="AA225" s="2501"/>
      <c r="AB225" s="1749">
        <f>SUM(AB221:AB224)</f>
        <v>2639</v>
      </c>
    </row>
    <row r="226" spans="2:28" x14ac:dyDescent="0.25">
      <c r="B226" s="1715"/>
      <c r="C226" s="1715"/>
      <c r="D226" s="1715"/>
      <c r="E226" s="1715"/>
      <c r="F226" s="1715"/>
      <c r="G226" s="1715"/>
      <c r="H226" s="1715"/>
      <c r="I226" s="1715"/>
      <c r="J226" s="1715"/>
      <c r="K226" s="1715"/>
      <c r="L226" s="1715"/>
      <c r="M226" s="1715"/>
      <c r="N226" s="1715"/>
      <c r="O226" s="1715"/>
      <c r="P226" s="1715"/>
      <c r="Q226" s="1715"/>
      <c r="R226" s="1715"/>
      <c r="S226" s="1715"/>
      <c r="T226" s="1715"/>
      <c r="U226" s="1715"/>
      <c r="V226" s="1715"/>
      <c r="W226" s="1715"/>
      <c r="X226" s="1715"/>
      <c r="Y226" s="1715"/>
      <c r="Z226" s="1715"/>
      <c r="AA226" s="1715"/>
      <c r="AB226" s="1715"/>
    </row>
    <row r="227" spans="2:28" ht="15" customHeight="1" x14ac:dyDescent="0.25">
      <c r="B227" s="1715" t="s">
        <v>1434</v>
      </c>
      <c r="C227" s="2497" t="s">
        <v>1630</v>
      </c>
      <c r="D227" s="2498"/>
      <c r="E227" s="2498"/>
      <c r="F227" s="2498"/>
      <c r="G227" s="2498"/>
      <c r="H227" s="2498"/>
      <c r="I227" s="2498"/>
      <c r="J227" s="2498"/>
      <c r="K227" s="2498"/>
      <c r="L227" s="2498"/>
      <c r="M227" s="2498"/>
      <c r="N227" s="2498"/>
      <c r="O227" s="2498"/>
      <c r="P227" s="2498"/>
      <c r="Q227" s="2498"/>
      <c r="R227" s="2498"/>
      <c r="S227" s="2498"/>
      <c r="T227" s="2498"/>
      <c r="U227" s="2498"/>
      <c r="V227" s="2498"/>
      <c r="W227" s="2498"/>
      <c r="X227" s="2498"/>
      <c r="Y227" s="2498"/>
      <c r="Z227" s="2498"/>
      <c r="AA227" s="2498"/>
      <c r="AB227" s="2499"/>
    </row>
    <row r="228" spans="2:28" x14ac:dyDescent="0.25">
      <c r="B228" s="1715"/>
      <c r="C228" s="1715"/>
      <c r="D228" s="1715"/>
      <c r="E228" s="1715"/>
      <c r="F228" s="1715"/>
      <c r="G228" s="1715"/>
      <c r="H228" s="1715"/>
      <c r="I228" s="1715"/>
      <c r="J228" s="1715"/>
      <c r="K228" s="1715"/>
      <c r="L228" s="1715"/>
      <c r="M228" s="1715"/>
      <c r="N228" s="1715"/>
      <c r="O228" s="1715"/>
      <c r="P228" s="1715"/>
      <c r="Q228" s="1715"/>
      <c r="R228" s="1715"/>
      <c r="S228" s="1715"/>
      <c r="T228" s="1715"/>
      <c r="U228" s="1715"/>
      <c r="V228" s="1715"/>
      <c r="W228" s="1715"/>
      <c r="X228" s="1715"/>
      <c r="Y228" s="1715"/>
      <c r="Z228" s="1715"/>
      <c r="AA228" s="1715"/>
      <c r="AB228" s="1715"/>
    </row>
    <row r="229" spans="2:28" s="1748" customFormat="1" ht="21" customHeight="1" x14ac:dyDescent="0.25">
      <c r="B229" s="1747"/>
      <c r="C229" s="1746" t="s">
        <v>1435</v>
      </c>
      <c r="D229" s="1747" t="s">
        <v>1436</v>
      </c>
      <c r="E229" s="1747" t="s">
        <v>1437</v>
      </c>
      <c r="F229" s="1747" t="s">
        <v>1438</v>
      </c>
      <c r="G229" s="1747" t="s">
        <v>1439</v>
      </c>
      <c r="H229" s="1747" t="s">
        <v>1440</v>
      </c>
      <c r="I229" s="1747" t="s">
        <v>1441</v>
      </c>
      <c r="J229" s="1747" t="s">
        <v>1442</v>
      </c>
      <c r="K229" s="1747" t="s">
        <v>1443</v>
      </c>
      <c r="L229" s="1747" t="s">
        <v>1444</v>
      </c>
      <c r="M229" s="1747" t="s">
        <v>1445</v>
      </c>
      <c r="N229" s="1747" t="s">
        <v>1446</v>
      </c>
      <c r="O229" s="1747" t="s">
        <v>1447</v>
      </c>
      <c r="P229" s="1747" t="s">
        <v>1448</v>
      </c>
      <c r="Q229" s="1747" t="s">
        <v>1449</v>
      </c>
      <c r="R229" s="1747" t="s">
        <v>1450</v>
      </c>
      <c r="S229" s="1747" t="s">
        <v>1451</v>
      </c>
      <c r="T229" s="1747" t="s">
        <v>1452</v>
      </c>
      <c r="U229" s="1747" t="s">
        <v>1453</v>
      </c>
      <c r="V229" s="1747" t="s">
        <v>1454</v>
      </c>
      <c r="W229" s="1747" t="s">
        <v>1455</v>
      </c>
      <c r="X229" s="1747" t="s">
        <v>1456</v>
      </c>
      <c r="Y229" s="1747" t="s">
        <v>1457</v>
      </c>
      <c r="Z229" s="1747" t="s">
        <v>1458</v>
      </c>
      <c r="AA229" s="1747" t="s">
        <v>1466</v>
      </c>
      <c r="AB229" s="1747" t="s">
        <v>1467</v>
      </c>
    </row>
    <row r="230" spans="2:28" x14ac:dyDescent="0.25">
      <c r="B230" s="1765" t="s">
        <v>1461</v>
      </c>
      <c r="C230" s="1776">
        <v>0.05</v>
      </c>
      <c r="D230" s="1776">
        <v>0.05</v>
      </c>
      <c r="E230" s="1776">
        <v>0.05</v>
      </c>
      <c r="F230" s="1776">
        <v>0.05</v>
      </c>
      <c r="G230" s="1776">
        <v>0.05</v>
      </c>
      <c r="H230" s="1776">
        <v>0.05</v>
      </c>
      <c r="I230" s="1776">
        <v>0.05</v>
      </c>
      <c r="J230" s="1776">
        <v>0.1</v>
      </c>
      <c r="K230" s="1776">
        <v>0.34</v>
      </c>
      <c r="L230" s="1776">
        <v>0.6</v>
      </c>
      <c r="M230" s="1776">
        <v>0.63</v>
      </c>
      <c r="N230" s="1776">
        <v>0.72</v>
      </c>
      <c r="O230" s="1776">
        <v>0.79</v>
      </c>
      <c r="P230" s="1776">
        <v>0.83</v>
      </c>
      <c r="Q230" s="1776">
        <v>0.61</v>
      </c>
      <c r="R230" s="1776">
        <v>0.65</v>
      </c>
      <c r="S230" s="1776">
        <v>0.1</v>
      </c>
      <c r="T230" s="1776">
        <v>0.1</v>
      </c>
      <c r="U230" s="1776">
        <v>0.19</v>
      </c>
      <c r="V230" s="1776">
        <v>0.25</v>
      </c>
      <c r="W230" s="1776">
        <v>0.22</v>
      </c>
      <c r="X230" s="1776">
        <v>0.22</v>
      </c>
      <c r="Y230" s="1776">
        <v>0.12</v>
      </c>
      <c r="Z230" s="1776">
        <v>0.09</v>
      </c>
      <c r="AA230" s="1752">
        <f>SUM(C230:Z230)</f>
        <v>6.91</v>
      </c>
      <c r="AB230" s="1753">
        <f>AA230*SUM($C$9:$C$13)</f>
        <v>1727.5</v>
      </c>
    </row>
    <row r="231" spans="2:28" x14ac:dyDescent="0.25">
      <c r="B231" s="1767" t="s">
        <v>1431</v>
      </c>
      <c r="C231" s="1777">
        <v>0.03</v>
      </c>
      <c r="D231" s="1777">
        <v>0.03</v>
      </c>
      <c r="E231" s="1777">
        <v>0.03</v>
      </c>
      <c r="F231" s="1777">
        <v>0.03</v>
      </c>
      <c r="G231" s="1777">
        <v>0.03</v>
      </c>
      <c r="H231" s="1777">
        <v>0.03</v>
      </c>
      <c r="I231" s="1777">
        <v>0.03</v>
      </c>
      <c r="J231" s="1777">
        <v>0.03</v>
      </c>
      <c r="K231" s="1777">
        <v>0.03</v>
      </c>
      <c r="L231" s="1777">
        <v>0.05</v>
      </c>
      <c r="M231" s="1777">
        <v>0.05</v>
      </c>
      <c r="N231" s="1777">
        <v>0.05</v>
      </c>
      <c r="O231" s="1777">
        <v>0.05</v>
      </c>
      <c r="P231" s="1777">
        <v>0.03</v>
      </c>
      <c r="Q231" s="1777">
        <v>0.03</v>
      </c>
      <c r="R231" s="1777">
        <v>0.03</v>
      </c>
      <c r="S231" s="1777">
        <v>0.03</v>
      </c>
      <c r="T231" s="1777">
        <v>0.03</v>
      </c>
      <c r="U231" s="1777">
        <v>0.03</v>
      </c>
      <c r="V231" s="1777">
        <v>0.03</v>
      </c>
      <c r="W231" s="1777">
        <v>0.03</v>
      </c>
      <c r="X231" s="1777">
        <v>0.03</v>
      </c>
      <c r="Y231" s="1777">
        <v>0.03</v>
      </c>
      <c r="Z231" s="1777">
        <v>0.03</v>
      </c>
      <c r="AA231" s="1756">
        <f>SUM(C231:Z231)</f>
        <v>0.80000000000000027</v>
      </c>
      <c r="AB231" s="1757">
        <f>AA231*SUM($C$14)</f>
        <v>41.600000000000016</v>
      </c>
    </row>
    <row r="232" spans="2:28" x14ac:dyDescent="0.25">
      <c r="B232" s="1767" t="s">
        <v>1432</v>
      </c>
      <c r="C232" s="1777">
        <v>0.03</v>
      </c>
      <c r="D232" s="1777">
        <v>0.03</v>
      </c>
      <c r="E232" s="1777">
        <v>0.03</v>
      </c>
      <c r="F232" s="1777">
        <v>0.03</v>
      </c>
      <c r="G232" s="1777">
        <v>0.03</v>
      </c>
      <c r="H232" s="1777">
        <v>0.03</v>
      </c>
      <c r="I232" s="1777">
        <v>0.03</v>
      </c>
      <c r="J232" s="1777">
        <v>0.03</v>
      </c>
      <c r="K232" s="1777">
        <v>0.03</v>
      </c>
      <c r="L232" s="1777">
        <v>0.05</v>
      </c>
      <c r="M232" s="1777">
        <v>0.05</v>
      </c>
      <c r="N232" s="1777">
        <v>0.05</v>
      </c>
      <c r="O232" s="1777">
        <v>0.05</v>
      </c>
      <c r="P232" s="1777">
        <v>0.05</v>
      </c>
      <c r="Q232" s="1777">
        <v>0.05</v>
      </c>
      <c r="R232" s="1777">
        <v>0.03</v>
      </c>
      <c r="S232" s="1777">
        <v>0.03</v>
      </c>
      <c r="T232" s="1777">
        <v>0.03</v>
      </c>
      <c r="U232" s="1777">
        <v>0.03</v>
      </c>
      <c r="V232" s="1777">
        <v>0.03</v>
      </c>
      <c r="W232" s="1777">
        <v>0.03</v>
      </c>
      <c r="X232" s="1777">
        <v>0.03</v>
      </c>
      <c r="Y232" s="1777">
        <v>0.03</v>
      </c>
      <c r="Z232" s="1777">
        <v>0.03</v>
      </c>
      <c r="AA232" s="1756">
        <f>SUM(C232:Z232)</f>
        <v>0.8400000000000003</v>
      </c>
      <c r="AB232" s="1757">
        <f>AA232*$C$15</f>
        <v>43.680000000000014</v>
      </c>
    </row>
    <row r="233" spans="2:28" x14ac:dyDescent="0.25">
      <c r="B233" s="1769" t="s">
        <v>1463</v>
      </c>
      <c r="C233" s="1778">
        <v>0.03</v>
      </c>
      <c r="D233" s="1778">
        <v>0.03</v>
      </c>
      <c r="E233" s="1778">
        <v>0.03</v>
      </c>
      <c r="F233" s="1778">
        <v>0.03</v>
      </c>
      <c r="G233" s="1778">
        <v>0.03</v>
      </c>
      <c r="H233" s="1778">
        <v>0.03</v>
      </c>
      <c r="I233" s="1778">
        <v>0.03</v>
      </c>
      <c r="J233" s="1778">
        <v>0.03</v>
      </c>
      <c r="K233" s="1778">
        <v>0.03</v>
      </c>
      <c r="L233" s="1778">
        <v>0.05</v>
      </c>
      <c r="M233" s="1778">
        <v>0.05</v>
      </c>
      <c r="N233" s="1778">
        <v>0.05</v>
      </c>
      <c r="O233" s="1778">
        <v>0.05</v>
      </c>
      <c r="P233" s="1778">
        <v>0.05</v>
      </c>
      <c r="Q233" s="1778">
        <v>0.05</v>
      </c>
      <c r="R233" s="1778">
        <v>0.03</v>
      </c>
      <c r="S233" s="1778">
        <v>0.03</v>
      </c>
      <c r="T233" s="1778">
        <v>0.03</v>
      </c>
      <c r="U233" s="1778">
        <v>0.03</v>
      </c>
      <c r="V233" s="1778">
        <v>0.03</v>
      </c>
      <c r="W233" s="1778">
        <v>0.03</v>
      </c>
      <c r="X233" s="1778">
        <v>0.03</v>
      </c>
      <c r="Y233" s="1778">
        <v>0.03</v>
      </c>
      <c r="Z233" s="1778">
        <v>0.03</v>
      </c>
      <c r="AA233" s="1760">
        <f>SUM(C233:Z233)</f>
        <v>0.8400000000000003</v>
      </c>
      <c r="AB233" s="1761">
        <f>AA233*SUM($C$8)</f>
        <v>9.2400000000000038</v>
      </c>
    </row>
    <row r="234" spans="2:28" x14ac:dyDescent="0.25">
      <c r="B234" s="2500" t="s">
        <v>1468</v>
      </c>
      <c r="C234" s="2501"/>
      <c r="D234" s="2501"/>
      <c r="E234" s="2501"/>
      <c r="F234" s="2501"/>
      <c r="G234" s="2501"/>
      <c r="H234" s="2501"/>
      <c r="I234" s="2501"/>
      <c r="J234" s="2501"/>
      <c r="K234" s="2501"/>
      <c r="L234" s="2501"/>
      <c r="M234" s="2501"/>
      <c r="N234" s="2501"/>
      <c r="O234" s="2501"/>
      <c r="P234" s="2501"/>
      <c r="Q234" s="2501"/>
      <c r="R234" s="2501"/>
      <c r="S234" s="2501"/>
      <c r="T234" s="2501"/>
      <c r="U234" s="2501"/>
      <c r="V234" s="2501"/>
      <c r="W234" s="2501"/>
      <c r="X234" s="2501"/>
      <c r="Y234" s="2501"/>
      <c r="Z234" s="2501"/>
      <c r="AA234" s="2501"/>
      <c r="AB234" s="1749">
        <f>SUM(AB230:AB233)</f>
        <v>1822.02</v>
      </c>
    </row>
    <row r="235" spans="2:28" x14ac:dyDescent="0.25">
      <c r="B235" s="1715"/>
      <c r="C235" s="1715"/>
      <c r="D235" s="1715"/>
      <c r="E235" s="1715"/>
      <c r="F235" s="1715"/>
      <c r="G235" s="1715"/>
      <c r="H235" s="1715"/>
      <c r="I235" s="1715"/>
      <c r="J235" s="1715"/>
      <c r="K235" s="1715"/>
      <c r="L235" s="1715"/>
      <c r="M235" s="1715"/>
      <c r="N235" s="1715"/>
      <c r="O235" s="1715"/>
      <c r="P235" s="1715"/>
      <c r="Q235" s="1715"/>
      <c r="R235" s="1715"/>
      <c r="S235" s="1715"/>
      <c r="T235" s="1715"/>
      <c r="U235" s="1715"/>
      <c r="V235" s="1715"/>
      <c r="W235" s="1715"/>
      <c r="X235" s="1715"/>
      <c r="Y235" s="1715"/>
      <c r="Z235" s="1715"/>
      <c r="AA235" s="1715"/>
      <c r="AB235" s="1715"/>
    </row>
    <row r="236" spans="2:28" ht="15" customHeight="1" x14ac:dyDescent="0.25">
      <c r="B236" s="1715" t="s">
        <v>1434</v>
      </c>
      <c r="C236" s="2497" t="s">
        <v>1631</v>
      </c>
      <c r="D236" s="2498"/>
      <c r="E236" s="2498"/>
      <c r="F236" s="2498"/>
      <c r="G236" s="2498"/>
      <c r="H236" s="2498"/>
      <c r="I236" s="2498"/>
      <c r="J236" s="2498"/>
      <c r="K236" s="2498"/>
      <c r="L236" s="2498"/>
      <c r="M236" s="2498"/>
      <c r="N236" s="2498"/>
      <c r="O236" s="2498"/>
      <c r="P236" s="2498"/>
      <c r="Q236" s="2498"/>
      <c r="R236" s="2498"/>
      <c r="S236" s="2498"/>
      <c r="T236" s="2498"/>
      <c r="U236" s="2498"/>
      <c r="V236" s="2498"/>
      <c r="W236" s="2498"/>
      <c r="X236" s="2498"/>
      <c r="Y236" s="2498"/>
      <c r="Z236" s="2498"/>
      <c r="AA236" s="2498"/>
      <c r="AB236" s="2499"/>
    </row>
    <row r="237" spans="2:28" x14ac:dyDescent="0.25">
      <c r="B237" s="1715"/>
      <c r="C237" s="1715"/>
      <c r="D237" s="1715"/>
      <c r="E237" s="1715"/>
      <c r="F237" s="1715"/>
      <c r="G237" s="1715"/>
      <c r="H237" s="1715"/>
      <c r="I237" s="1715"/>
      <c r="J237" s="1715"/>
      <c r="K237" s="1715"/>
      <c r="L237" s="1715"/>
      <c r="M237" s="1715"/>
      <c r="N237" s="1715"/>
      <c r="O237" s="1715"/>
      <c r="P237" s="1715"/>
      <c r="Q237" s="1715"/>
      <c r="R237" s="1715"/>
      <c r="S237" s="1715"/>
      <c r="T237" s="1715"/>
      <c r="U237" s="1715"/>
      <c r="V237" s="1715"/>
      <c r="W237" s="1715"/>
      <c r="X237" s="1715"/>
      <c r="Y237" s="1715"/>
      <c r="Z237" s="1715"/>
      <c r="AA237" s="1715"/>
      <c r="AB237" s="1715"/>
    </row>
    <row r="238" spans="2:28" s="1748" customFormat="1" ht="21" customHeight="1" x14ac:dyDescent="0.25">
      <c r="B238" s="1747"/>
      <c r="C238" s="1746" t="s">
        <v>1435</v>
      </c>
      <c r="D238" s="1747" t="s">
        <v>1436</v>
      </c>
      <c r="E238" s="1747" t="s">
        <v>1437</v>
      </c>
      <c r="F238" s="1747" t="s">
        <v>1438</v>
      </c>
      <c r="G238" s="1747" t="s">
        <v>1439</v>
      </c>
      <c r="H238" s="1747" t="s">
        <v>1440</v>
      </c>
      <c r="I238" s="1747" t="s">
        <v>1441</v>
      </c>
      <c r="J238" s="1747" t="s">
        <v>1442</v>
      </c>
      <c r="K238" s="1747" t="s">
        <v>1443</v>
      </c>
      <c r="L238" s="1747" t="s">
        <v>1444</v>
      </c>
      <c r="M238" s="1747" t="s">
        <v>1445</v>
      </c>
      <c r="N238" s="1747" t="s">
        <v>1446</v>
      </c>
      <c r="O238" s="1747" t="s">
        <v>1447</v>
      </c>
      <c r="P238" s="1747" t="s">
        <v>1448</v>
      </c>
      <c r="Q238" s="1747" t="s">
        <v>1449</v>
      </c>
      <c r="R238" s="1747" t="s">
        <v>1450</v>
      </c>
      <c r="S238" s="1747" t="s">
        <v>1451</v>
      </c>
      <c r="T238" s="1747" t="s">
        <v>1452</v>
      </c>
      <c r="U238" s="1747" t="s">
        <v>1453</v>
      </c>
      <c r="V238" s="1747" t="s">
        <v>1454</v>
      </c>
      <c r="W238" s="1747" t="s">
        <v>1455</v>
      </c>
      <c r="X238" s="1747" t="s">
        <v>1456</v>
      </c>
      <c r="Y238" s="1747" t="s">
        <v>1457</v>
      </c>
      <c r="Z238" s="1747" t="s">
        <v>1458</v>
      </c>
      <c r="AA238" s="1747" t="s">
        <v>1466</v>
      </c>
      <c r="AB238" s="1747" t="s">
        <v>1467</v>
      </c>
    </row>
    <row r="239" spans="2:28" x14ac:dyDescent="0.25">
      <c r="B239" s="1765" t="s">
        <v>1461</v>
      </c>
      <c r="C239" s="1776">
        <v>0</v>
      </c>
      <c r="D239" s="1776">
        <v>0</v>
      </c>
      <c r="E239" s="1776">
        <v>0</v>
      </c>
      <c r="F239" s="1776">
        <v>0</v>
      </c>
      <c r="G239" s="1776">
        <v>0</v>
      </c>
      <c r="H239" s="1776">
        <v>0</v>
      </c>
      <c r="I239" s="1776">
        <v>0</v>
      </c>
      <c r="J239" s="1776">
        <v>0</v>
      </c>
      <c r="K239" s="1776">
        <v>0.3</v>
      </c>
      <c r="L239" s="1776">
        <v>0.3</v>
      </c>
      <c r="M239" s="1776">
        <v>0.3</v>
      </c>
      <c r="N239" s="1776">
        <v>0.3</v>
      </c>
      <c r="O239" s="1776">
        <v>0.3</v>
      </c>
      <c r="P239" s="1776">
        <v>0.3</v>
      </c>
      <c r="Q239" s="1776">
        <v>0.3</v>
      </c>
      <c r="R239" s="1776">
        <v>0.15</v>
      </c>
      <c r="S239" s="1776">
        <v>0</v>
      </c>
      <c r="T239" s="1776">
        <v>0</v>
      </c>
      <c r="U239" s="1776">
        <v>0</v>
      </c>
      <c r="V239" s="1776">
        <v>0</v>
      </c>
      <c r="W239" s="1776">
        <v>0</v>
      </c>
      <c r="X239" s="1776">
        <v>0</v>
      </c>
      <c r="Y239" s="1776">
        <v>0</v>
      </c>
      <c r="Z239" s="1776">
        <v>0</v>
      </c>
      <c r="AA239" s="1752">
        <f>SUM(C239:Z239)</f>
        <v>2.25</v>
      </c>
      <c r="AB239" s="1753">
        <f>AA239*SUM($C$9:$C$13)</f>
        <v>562.5</v>
      </c>
    </row>
    <row r="240" spans="2:28" x14ac:dyDescent="0.25">
      <c r="B240" s="1767" t="s">
        <v>1431</v>
      </c>
      <c r="C240" s="1777">
        <v>0</v>
      </c>
      <c r="D240" s="1777">
        <v>0</v>
      </c>
      <c r="E240" s="1777">
        <v>0</v>
      </c>
      <c r="F240" s="1777">
        <v>0</v>
      </c>
      <c r="G240" s="1777">
        <v>0</v>
      </c>
      <c r="H240" s="1777">
        <v>0</v>
      </c>
      <c r="I240" s="1777">
        <v>0</v>
      </c>
      <c r="J240" s="1777">
        <v>0</v>
      </c>
      <c r="K240" s="1777">
        <v>0</v>
      </c>
      <c r="L240" s="1777">
        <v>0</v>
      </c>
      <c r="M240" s="1777">
        <v>0</v>
      </c>
      <c r="N240" s="1777">
        <v>0</v>
      </c>
      <c r="O240" s="1777">
        <v>0</v>
      </c>
      <c r="P240" s="1777">
        <v>0</v>
      </c>
      <c r="Q240" s="1777">
        <v>0</v>
      </c>
      <c r="R240" s="1777">
        <v>0</v>
      </c>
      <c r="S240" s="1777">
        <v>0</v>
      </c>
      <c r="T240" s="1777">
        <v>0</v>
      </c>
      <c r="U240" s="1777">
        <v>0</v>
      </c>
      <c r="V240" s="1777">
        <v>0</v>
      </c>
      <c r="W240" s="1777">
        <v>0</v>
      </c>
      <c r="X240" s="1777">
        <v>0</v>
      </c>
      <c r="Y240" s="1777">
        <v>0</v>
      </c>
      <c r="Z240" s="1777">
        <v>0</v>
      </c>
      <c r="AA240" s="1756">
        <f>SUM(C240:Z240)</f>
        <v>0</v>
      </c>
      <c r="AB240" s="1757">
        <f>AA240*SUM($C$14)</f>
        <v>0</v>
      </c>
    </row>
    <row r="241" spans="2:28" x14ac:dyDescent="0.25">
      <c r="B241" s="1767" t="s">
        <v>1432</v>
      </c>
      <c r="C241" s="1777">
        <v>0</v>
      </c>
      <c r="D241" s="1777">
        <v>0</v>
      </c>
      <c r="E241" s="1777">
        <v>0</v>
      </c>
      <c r="F241" s="1777">
        <v>0</v>
      </c>
      <c r="G241" s="1777">
        <v>0</v>
      </c>
      <c r="H241" s="1777">
        <v>0</v>
      </c>
      <c r="I241" s="1777">
        <v>0</v>
      </c>
      <c r="J241" s="1777">
        <v>0</v>
      </c>
      <c r="K241" s="1777">
        <v>0</v>
      </c>
      <c r="L241" s="1777">
        <v>0</v>
      </c>
      <c r="M241" s="1777">
        <v>0</v>
      </c>
      <c r="N241" s="1777">
        <v>0</v>
      </c>
      <c r="O241" s="1777">
        <v>0</v>
      </c>
      <c r="P241" s="1777">
        <v>0</v>
      </c>
      <c r="Q241" s="1777">
        <v>0</v>
      </c>
      <c r="R241" s="1777">
        <v>0</v>
      </c>
      <c r="S241" s="1777">
        <v>0</v>
      </c>
      <c r="T241" s="1777">
        <v>0</v>
      </c>
      <c r="U241" s="1777">
        <v>0</v>
      </c>
      <c r="V241" s="1777">
        <v>0</v>
      </c>
      <c r="W241" s="1777">
        <v>0</v>
      </c>
      <c r="X241" s="1777">
        <v>0</v>
      </c>
      <c r="Y241" s="1777">
        <v>0</v>
      </c>
      <c r="Z241" s="1777">
        <v>0</v>
      </c>
      <c r="AA241" s="1756">
        <f>SUM(C241:Z241)</f>
        <v>0</v>
      </c>
      <c r="AB241" s="1757">
        <f>AA241*$C$15</f>
        <v>0</v>
      </c>
    </row>
    <row r="242" spans="2:28" x14ac:dyDescent="0.25">
      <c r="B242" s="1769" t="s">
        <v>1463</v>
      </c>
      <c r="C242" s="1778">
        <v>0</v>
      </c>
      <c r="D242" s="1778">
        <v>0</v>
      </c>
      <c r="E242" s="1778">
        <v>0</v>
      </c>
      <c r="F242" s="1778">
        <v>0</v>
      </c>
      <c r="G242" s="1778">
        <v>0</v>
      </c>
      <c r="H242" s="1778">
        <v>0</v>
      </c>
      <c r="I242" s="1778">
        <v>0</v>
      </c>
      <c r="J242" s="1778">
        <v>0</v>
      </c>
      <c r="K242" s="1778">
        <v>0</v>
      </c>
      <c r="L242" s="1778">
        <v>0</v>
      </c>
      <c r="M242" s="1778">
        <v>0</v>
      </c>
      <c r="N242" s="1778">
        <v>0</v>
      </c>
      <c r="O242" s="1778">
        <v>0</v>
      </c>
      <c r="P242" s="1778">
        <v>0</v>
      </c>
      <c r="Q242" s="1778">
        <v>0</v>
      </c>
      <c r="R242" s="1778">
        <v>0</v>
      </c>
      <c r="S242" s="1778">
        <v>0</v>
      </c>
      <c r="T242" s="1778">
        <v>0</v>
      </c>
      <c r="U242" s="1778">
        <v>0</v>
      </c>
      <c r="V242" s="1778">
        <v>0</v>
      </c>
      <c r="W242" s="1778">
        <v>0</v>
      </c>
      <c r="X242" s="1778">
        <v>0</v>
      </c>
      <c r="Y242" s="1778">
        <v>0</v>
      </c>
      <c r="Z242" s="1778">
        <v>0</v>
      </c>
      <c r="AA242" s="1760">
        <f>SUM(C242:Z242)</f>
        <v>0</v>
      </c>
      <c r="AB242" s="1761">
        <f>AA242*SUM($C$8)</f>
        <v>0</v>
      </c>
    </row>
    <row r="243" spans="2:28" x14ac:dyDescent="0.25">
      <c r="B243" s="2500" t="s">
        <v>1468</v>
      </c>
      <c r="C243" s="2501"/>
      <c r="D243" s="2501"/>
      <c r="E243" s="2501"/>
      <c r="F243" s="2501"/>
      <c r="G243" s="2501"/>
      <c r="H243" s="2501"/>
      <c r="I243" s="2501"/>
      <c r="J243" s="2501"/>
      <c r="K243" s="2501"/>
      <c r="L243" s="2501"/>
      <c r="M243" s="2501"/>
      <c r="N243" s="2501"/>
      <c r="O243" s="2501"/>
      <c r="P243" s="2501"/>
      <c r="Q243" s="2501"/>
      <c r="R243" s="2501"/>
      <c r="S243" s="2501"/>
      <c r="T243" s="2501"/>
      <c r="U243" s="2501"/>
      <c r="V243" s="2501"/>
      <c r="W243" s="2501"/>
      <c r="X243" s="2501"/>
      <c r="Y243" s="2501"/>
      <c r="Z243" s="2501"/>
      <c r="AA243" s="2501"/>
      <c r="AB243" s="1749">
        <f>SUM(AB239:AB242)</f>
        <v>562.5</v>
      </c>
    </row>
    <row r="244" spans="2:28" x14ac:dyDescent="0.25">
      <c r="B244" s="1715"/>
      <c r="C244" s="1715"/>
      <c r="D244" s="1715"/>
      <c r="E244" s="1715"/>
      <c r="F244" s="1715"/>
      <c r="G244" s="1715"/>
      <c r="H244" s="1715"/>
      <c r="I244" s="1715"/>
      <c r="J244" s="1715"/>
      <c r="K244" s="1715"/>
      <c r="L244" s="1715"/>
      <c r="M244" s="1715"/>
      <c r="N244" s="1715"/>
      <c r="O244" s="1715"/>
      <c r="P244" s="1715"/>
      <c r="Q244" s="1715"/>
      <c r="R244" s="1715"/>
      <c r="S244" s="1715"/>
      <c r="T244" s="1715"/>
      <c r="U244" s="1715"/>
      <c r="V244" s="1715"/>
      <c r="W244" s="1715"/>
      <c r="X244" s="1715"/>
      <c r="Y244" s="1715"/>
      <c r="Z244" s="1715"/>
      <c r="AA244" s="1715"/>
      <c r="AB244" s="1715"/>
    </row>
    <row r="245" spans="2:28" x14ac:dyDescent="0.25">
      <c r="B245" s="1726" t="s">
        <v>1632</v>
      </c>
      <c r="C245" s="1715"/>
      <c r="D245" s="1715"/>
      <c r="E245" s="1715"/>
      <c r="F245" s="1715"/>
      <c r="G245" s="1715"/>
      <c r="H245" s="1715"/>
      <c r="I245" s="1715"/>
      <c r="J245" s="1715"/>
      <c r="K245" s="1715"/>
      <c r="L245" s="1715"/>
      <c r="M245" s="1715"/>
      <c r="N245" s="1715"/>
      <c r="O245" s="1715"/>
      <c r="P245" s="1715"/>
      <c r="Q245" s="1715"/>
      <c r="R245" s="1715"/>
      <c r="S245" s="1715"/>
      <c r="T245" s="1715"/>
      <c r="U245" s="1715"/>
      <c r="V245" s="1715"/>
      <c r="W245" s="1715"/>
      <c r="X245" s="1715"/>
      <c r="Y245" s="1715"/>
      <c r="Z245" s="1715"/>
      <c r="AA245" s="1715"/>
      <c r="AB245" s="1715"/>
    </row>
    <row r="246" spans="2:28" x14ac:dyDescent="0.25">
      <c r="B246" s="1715"/>
      <c r="C246" s="1715"/>
      <c r="D246" s="1715"/>
      <c r="E246" s="1715"/>
      <c r="F246" s="1715"/>
      <c r="G246" s="1715"/>
      <c r="H246" s="1715"/>
      <c r="I246" s="1715"/>
      <c r="J246" s="1715"/>
      <c r="K246" s="1715"/>
      <c r="L246" s="1715"/>
      <c r="M246" s="1715"/>
      <c r="N246" s="1715"/>
      <c r="O246" s="1715"/>
      <c r="P246" s="1715"/>
      <c r="Q246" s="1715"/>
      <c r="R246" s="1715"/>
      <c r="S246" s="1715"/>
      <c r="T246" s="1715"/>
      <c r="U246" s="1715"/>
      <c r="V246" s="1715"/>
      <c r="W246" s="1715"/>
      <c r="X246" s="1715"/>
      <c r="Y246" s="1715"/>
      <c r="Z246" s="1715"/>
      <c r="AA246" s="1715"/>
      <c r="AB246" s="1715"/>
    </row>
    <row r="247" spans="2:28" ht="15" customHeight="1" x14ac:dyDescent="0.25">
      <c r="B247" s="1715" t="s">
        <v>1434</v>
      </c>
      <c r="C247" s="2497" t="s">
        <v>1633</v>
      </c>
      <c r="D247" s="2498"/>
      <c r="E247" s="2498"/>
      <c r="F247" s="2498"/>
      <c r="G247" s="2498"/>
      <c r="H247" s="2498"/>
      <c r="I247" s="2498"/>
      <c r="J247" s="2498"/>
      <c r="K247" s="2498"/>
      <c r="L247" s="2498"/>
      <c r="M247" s="2498"/>
      <c r="N247" s="2498"/>
      <c r="O247" s="2498"/>
      <c r="P247" s="2498"/>
      <c r="Q247" s="2498"/>
      <c r="R247" s="2498"/>
      <c r="S247" s="2498"/>
      <c r="T247" s="2498"/>
      <c r="U247" s="2498"/>
      <c r="V247" s="2498"/>
      <c r="W247" s="2498"/>
      <c r="X247" s="2498"/>
      <c r="Y247" s="2498"/>
      <c r="Z247" s="2498"/>
      <c r="AA247" s="2498"/>
      <c r="AB247" s="2499"/>
    </row>
    <row r="248" spans="2:28" x14ac:dyDescent="0.25">
      <c r="B248" s="1715"/>
      <c r="C248" s="1715"/>
      <c r="D248" s="1715"/>
      <c r="E248" s="1715"/>
      <c r="F248" s="1715"/>
      <c r="G248" s="1715"/>
      <c r="H248" s="1715"/>
      <c r="I248" s="1715"/>
      <c r="J248" s="1715"/>
      <c r="K248" s="1715"/>
      <c r="L248" s="1715"/>
      <c r="M248" s="1715"/>
      <c r="N248" s="1715"/>
      <c r="O248" s="1715"/>
      <c r="P248" s="1715"/>
      <c r="Q248" s="1715"/>
      <c r="R248" s="1715"/>
      <c r="S248" s="1715"/>
      <c r="T248" s="1715"/>
      <c r="U248" s="1715"/>
      <c r="V248" s="1715"/>
      <c r="W248" s="1715"/>
      <c r="X248" s="1715"/>
      <c r="Y248" s="1715"/>
      <c r="Z248" s="1715"/>
      <c r="AA248" s="1715"/>
      <c r="AB248" s="1715"/>
    </row>
    <row r="249" spans="2:28" s="1748" customFormat="1" ht="21" customHeight="1" x14ac:dyDescent="0.25">
      <c r="B249" s="1747"/>
      <c r="C249" s="1746" t="s">
        <v>1435</v>
      </c>
      <c r="D249" s="1747" t="s">
        <v>1436</v>
      </c>
      <c r="E249" s="1747" t="s">
        <v>1437</v>
      </c>
      <c r="F249" s="1747" t="s">
        <v>1438</v>
      </c>
      <c r="G249" s="1747" t="s">
        <v>1439</v>
      </c>
      <c r="H249" s="1747" t="s">
        <v>1440</v>
      </c>
      <c r="I249" s="1747" t="s">
        <v>1441</v>
      </c>
      <c r="J249" s="1747" t="s">
        <v>1442</v>
      </c>
      <c r="K249" s="1747" t="s">
        <v>1443</v>
      </c>
      <c r="L249" s="1747" t="s">
        <v>1444</v>
      </c>
      <c r="M249" s="1747" t="s">
        <v>1445</v>
      </c>
      <c r="N249" s="1747" t="s">
        <v>1446</v>
      </c>
      <c r="O249" s="1747" t="s">
        <v>1447</v>
      </c>
      <c r="P249" s="1747" t="s">
        <v>1448</v>
      </c>
      <c r="Q249" s="1747" t="s">
        <v>1449</v>
      </c>
      <c r="R249" s="1747" t="s">
        <v>1450</v>
      </c>
      <c r="S249" s="1747" t="s">
        <v>1451</v>
      </c>
      <c r="T249" s="1747" t="s">
        <v>1452</v>
      </c>
      <c r="U249" s="1747" t="s">
        <v>1453</v>
      </c>
      <c r="V249" s="1747" t="s">
        <v>1454</v>
      </c>
      <c r="W249" s="1747" t="s">
        <v>1455</v>
      </c>
      <c r="X249" s="1747" t="s">
        <v>1456</v>
      </c>
      <c r="Y249" s="1747" t="s">
        <v>1457</v>
      </c>
      <c r="Z249" s="1747" t="s">
        <v>1458</v>
      </c>
      <c r="AA249" s="1747" t="s">
        <v>1459</v>
      </c>
      <c r="AB249" s="1747" t="s">
        <v>1460</v>
      </c>
    </row>
    <row r="250" spans="2:28" x14ac:dyDescent="0.25">
      <c r="B250" s="1765" t="s">
        <v>1461</v>
      </c>
      <c r="C250" s="1779">
        <v>1</v>
      </c>
      <c r="D250" s="1779">
        <v>1</v>
      </c>
      <c r="E250" s="1779">
        <v>1</v>
      </c>
      <c r="F250" s="1779">
        <v>1</v>
      </c>
      <c r="G250" s="1779">
        <v>1</v>
      </c>
      <c r="H250" s="1779">
        <v>1</v>
      </c>
      <c r="I250" s="1779">
        <v>1</v>
      </c>
      <c r="J250" s="1779">
        <v>1</v>
      </c>
      <c r="K250" s="1779">
        <v>1</v>
      </c>
      <c r="L250" s="1779">
        <v>1</v>
      </c>
      <c r="M250" s="1779">
        <v>1</v>
      </c>
      <c r="N250" s="1779">
        <v>1</v>
      </c>
      <c r="O250" s="1779">
        <v>1</v>
      </c>
      <c r="P250" s="1779">
        <v>1</v>
      </c>
      <c r="Q250" s="1779">
        <v>1</v>
      </c>
      <c r="R250" s="1779">
        <v>1</v>
      </c>
      <c r="S250" s="1779">
        <v>1</v>
      </c>
      <c r="T250" s="1779">
        <v>1</v>
      </c>
      <c r="U250" s="1779">
        <v>1</v>
      </c>
      <c r="V250" s="1779">
        <v>1</v>
      </c>
      <c r="W250" s="1779">
        <v>1</v>
      </c>
      <c r="X250" s="1779">
        <v>1</v>
      </c>
      <c r="Y250" s="1779">
        <v>1</v>
      </c>
      <c r="Z250" s="1779">
        <v>1</v>
      </c>
      <c r="AA250" s="1752">
        <f>SUM(C250:Z250)</f>
        <v>24</v>
      </c>
      <c r="AB250" s="1753">
        <f>AA250*SUM($C$9:$C$13)</f>
        <v>6000</v>
      </c>
    </row>
    <row r="251" spans="2:28" x14ac:dyDescent="0.25">
      <c r="B251" s="1767" t="s">
        <v>1431</v>
      </c>
      <c r="C251" s="1780">
        <v>1</v>
      </c>
      <c r="D251" s="1780">
        <v>1</v>
      </c>
      <c r="E251" s="1780">
        <v>1</v>
      </c>
      <c r="F251" s="1780">
        <v>1</v>
      </c>
      <c r="G251" s="1780">
        <v>1</v>
      </c>
      <c r="H251" s="1780">
        <v>1</v>
      </c>
      <c r="I251" s="1780">
        <v>1</v>
      </c>
      <c r="J251" s="1780">
        <v>1</v>
      </c>
      <c r="K251" s="1780">
        <v>1</v>
      </c>
      <c r="L251" s="1780">
        <v>1</v>
      </c>
      <c r="M251" s="1780">
        <v>1</v>
      </c>
      <c r="N251" s="1780">
        <v>1</v>
      </c>
      <c r="O251" s="1780">
        <v>1</v>
      </c>
      <c r="P251" s="1780">
        <v>1</v>
      </c>
      <c r="Q251" s="1780">
        <v>1</v>
      </c>
      <c r="R251" s="1780">
        <v>1</v>
      </c>
      <c r="S251" s="1780">
        <v>1</v>
      </c>
      <c r="T251" s="1780">
        <v>1</v>
      </c>
      <c r="U251" s="1780">
        <v>1</v>
      </c>
      <c r="V251" s="1780">
        <v>1</v>
      </c>
      <c r="W251" s="1780">
        <v>1</v>
      </c>
      <c r="X251" s="1780">
        <v>1</v>
      </c>
      <c r="Y251" s="1780">
        <v>1</v>
      </c>
      <c r="Z251" s="1780">
        <v>1</v>
      </c>
      <c r="AA251" s="1756">
        <f>SUM(C251:Z251)</f>
        <v>24</v>
      </c>
      <c r="AB251" s="1757">
        <f>AA251*SUM($C$14)</f>
        <v>1248</v>
      </c>
    </row>
    <row r="252" spans="2:28" x14ac:dyDescent="0.25">
      <c r="B252" s="1767" t="s">
        <v>1432</v>
      </c>
      <c r="C252" s="1780">
        <v>1</v>
      </c>
      <c r="D252" s="1780">
        <v>1</v>
      </c>
      <c r="E252" s="1780">
        <v>1</v>
      </c>
      <c r="F252" s="1780">
        <v>1</v>
      </c>
      <c r="G252" s="1780">
        <v>1</v>
      </c>
      <c r="H252" s="1780">
        <v>1</v>
      </c>
      <c r="I252" s="1780">
        <v>1</v>
      </c>
      <c r="J252" s="1780">
        <v>1</v>
      </c>
      <c r="K252" s="1780">
        <v>1</v>
      </c>
      <c r="L252" s="1780">
        <v>1</v>
      </c>
      <c r="M252" s="1780">
        <v>1</v>
      </c>
      <c r="N252" s="1780">
        <v>1</v>
      </c>
      <c r="O252" s="1780">
        <v>1</v>
      </c>
      <c r="P252" s="1780">
        <v>1</v>
      </c>
      <c r="Q252" s="1780">
        <v>1</v>
      </c>
      <c r="R252" s="1780">
        <v>1</v>
      </c>
      <c r="S252" s="1780">
        <v>1</v>
      </c>
      <c r="T252" s="1780">
        <v>1</v>
      </c>
      <c r="U252" s="1780">
        <v>1</v>
      </c>
      <c r="V252" s="1780">
        <v>1</v>
      </c>
      <c r="W252" s="1780">
        <v>1</v>
      </c>
      <c r="X252" s="1780">
        <v>1</v>
      </c>
      <c r="Y252" s="1780">
        <v>1</v>
      </c>
      <c r="Z252" s="1780">
        <v>1</v>
      </c>
      <c r="AA252" s="1756">
        <f>SUM(C252:Z252)</f>
        <v>24</v>
      </c>
      <c r="AB252" s="1757">
        <f>AA252*$C$15</f>
        <v>1248</v>
      </c>
    </row>
    <row r="253" spans="2:28" x14ac:dyDescent="0.25">
      <c r="B253" s="1769" t="s">
        <v>1463</v>
      </c>
      <c r="C253" s="1781">
        <v>1</v>
      </c>
      <c r="D253" s="1781">
        <v>1</v>
      </c>
      <c r="E253" s="1781">
        <v>1</v>
      </c>
      <c r="F253" s="1781">
        <v>1</v>
      </c>
      <c r="G253" s="1781">
        <v>1</v>
      </c>
      <c r="H253" s="1781">
        <v>1</v>
      </c>
      <c r="I253" s="1781">
        <v>1</v>
      </c>
      <c r="J253" s="1781">
        <v>1</v>
      </c>
      <c r="K253" s="1781">
        <v>1</v>
      </c>
      <c r="L253" s="1781">
        <v>1</v>
      </c>
      <c r="M253" s="1781">
        <v>1</v>
      </c>
      <c r="N253" s="1781">
        <v>1</v>
      </c>
      <c r="O253" s="1781">
        <v>1</v>
      </c>
      <c r="P253" s="1781">
        <v>1</v>
      </c>
      <c r="Q253" s="1781">
        <v>1</v>
      </c>
      <c r="R253" s="1781">
        <v>1</v>
      </c>
      <c r="S253" s="1781">
        <v>1</v>
      </c>
      <c r="T253" s="1781">
        <v>1</v>
      </c>
      <c r="U253" s="1781">
        <v>1</v>
      </c>
      <c r="V253" s="1781">
        <v>1</v>
      </c>
      <c r="W253" s="1781">
        <v>1</v>
      </c>
      <c r="X253" s="1781">
        <v>1</v>
      </c>
      <c r="Y253" s="1781">
        <v>1</v>
      </c>
      <c r="Z253" s="1781">
        <v>1</v>
      </c>
      <c r="AA253" s="1760">
        <f>SUM(C253:Z253)</f>
        <v>24</v>
      </c>
      <c r="AB253" s="1761">
        <f>AA253*SUM($C$8)</f>
        <v>264</v>
      </c>
    </row>
    <row r="254" spans="2:28" x14ac:dyDescent="0.25">
      <c r="B254" s="2500" t="s">
        <v>1464</v>
      </c>
      <c r="C254" s="2501"/>
      <c r="D254" s="2501"/>
      <c r="E254" s="2501"/>
      <c r="F254" s="2501"/>
      <c r="G254" s="2501"/>
      <c r="H254" s="2501"/>
      <c r="I254" s="2501"/>
      <c r="J254" s="2501"/>
      <c r="K254" s="2501"/>
      <c r="L254" s="2501"/>
      <c r="M254" s="2501"/>
      <c r="N254" s="2501"/>
      <c r="O254" s="2501"/>
      <c r="P254" s="2501"/>
      <c r="Q254" s="2501"/>
      <c r="R254" s="2501"/>
      <c r="S254" s="2501"/>
      <c r="T254" s="2501"/>
      <c r="U254" s="2501"/>
      <c r="V254" s="2501"/>
      <c r="W254" s="2501"/>
      <c r="X254" s="2501"/>
      <c r="Y254" s="2501"/>
      <c r="Z254" s="2501"/>
      <c r="AA254" s="2501"/>
      <c r="AB254" s="1749">
        <f>SUM(AB250:AB253)</f>
        <v>8760</v>
      </c>
    </row>
    <row r="255" spans="2:28" x14ac:dyDescent="0.25">
      <c r="B255" s="1715"/>
      <c r="C255" s="1715"/>
      <c r="D255" s="1715"/>
      <c r="E255" s="1715"/>
      <c r="F255" s="1715"/>
      <c r="G255" s="1715"/>
      <c r="H255" s="1715"/>
      <c r="I255" s="1715"/>
      <c r="J255" s="1715"/>
      <c r="K255" s="1715"/>
      <c r="L255" s="1715"/>
      <c r="M255" s="1715"/>
      <c r="N255" s="1715"/>
      <c r="O255" s="1715"/>
      <c r="P255" s="1715"/>
      <c r="Q255" s="1715"/>
      <c r="R255" s="1715"/>
      <c r="S255" s="1715"/>
      <c r="T255" s="1715"/>
      <c r="U255" s="1715"/>
      <c r="V255" s="1715"/>
      <c r="W255" s="1715"/>
      <c r="X255" s="1715"/>
      <c r="Y255" s="1715"/>
      <c r="Z255" s="1715"/>
      <c r="AA255" s="1715"/>
      <c r="AB255" s="1715"/>
    </row>
    <row r="256" spans="2:28" ht="15" customHeight="1" x14ac:dyDescent="0.25">
      <c r="B256" s="1715" t="s">
        <v>1434</v>
      </c>
      <c r="C256" s="2497" t="s">
        <v>1634</v>
      </c>
      <c r="D256" s="2498"/>
      <c r="E256" s="2498"/>
      <c r="F256" s="2498"/>
      <c r="G256" s="2498"/>
      <c r="H256" s="2498"/>
      <c r="I256" s="2498"/>
      <c r="J256" s="2498"/>
      <c r="K256" s="2498"/>
      <c r="L256" s="2498"/>
      <c r="M256" s="2498"/>
      <c r="N256" s="2498"/>
      <c r="O256" s="2498"/>
      <c r="P256" s="2498"/>
      <c r="Q256" s="2498"/>
      <c r="R256" s="2498"/>
      <c r="S256" s="2498"/>
      <c r="T256" s="2498"/>
      <c r="U256" s="2498"/>
      <c r="V256" s="2498"/>
      <c r="W256" s="2498"/>
      <c r="X256" s="2498"/>
      <c r="Y256" s="2498"/>
      <c r="Z256" s="2498"/>
      <c r="AA256" s="2498"/>
      <c r="AB256" s="2499"/>
    </row>
    <row r="257" spans="2:28" x14ac:dyDescent="0.25">
      <c r="B257" s="1715"/>
      <c r="C257" s="1715"/>
      <c r="D257" s="1715"/>
      <c r="E257" s="1715"/>
      <c r="F257" s="1715"/>
      <c r="G257" s="1715"/>
      <c r="H257" s="1715"/>
      <c r="I257" s="1715"/>
      <c r="J257" s="1715"/>
      <c r="K257" s="1715"/>
      <c r="L257" s="1715"/>
      <c r="M257" s="1715"/>
      <c r="N257" s="1715"/>
      <c r="O257" s="1715"/>
      <c r="P257" s="1715"/>
      <c r="Q257" s="1715"/>
      <c r="R257" s="1715"/>
      <c r="S257" s="1715"/>
      <c r="T257" s="1715"/>
      <c r="U257" s="1715"/>
      <c r="V257" s="1715"/>
      <c r="W257" s="1715"/>
      <c r="X257" s="1715"/>
      <c r="Y257" s="1715"/>
      <c r="Z257" s="1715"/>
      <c r="AA257" s="1715"/>
      <c r="AB257" s="1715"/>
    </row>
    <row r="258" spans="2:28" s="1748" customFormat="1" ht="21" customHeight="1" x14ac:dyDescent="0.25">
      <c r="B258" s="1747"/>
      <c r="C258" s="1746" t="s">
        <v>1435</v>
      </c>
      <c r="D258" s="1747" t="s">
        <v>1436</v>
      </c>
      <c r="E258" s="1747" t="s">
        <v>1437</v>
      </c>
      <c r="F258" s="1747" t="s">
        <v>1438</v>
      </c>
      <c r="G258" s="1747" t="s">
        <v>1439</v>
      </c>
      <c r="H258" s="1747" t="s">
        <v>1440</v>
      </c>
      <c r="I258" s="1747" t="s">
        <v>1441</v>
      </c>
      <c r="J258" s="1747" t="s">
        <v>1442</v>
      </c>
      <c r="K258" s="1747" t="s">
        <v>1443</v>
      </c>
      <c r="L258" s="1747" t="s">
        <v>1444</v>
      </c>
      <c r="M258" s="1747" t="s">
        <v>1445</v>
      </c>
      <c r="N258" s="1747" t="s">
        <v>1446</v>
      </c>
      <c r="O258" s="1747" t="s">
        <v>1447</v>
      </c>
      <c r="P258" s="1747" t="s">
        <v>1448</v>
      </c>
      <c r="Q258" s="1747" t="s">
        <v>1449</v>
      </c>
      <c r="R258" s="1747" t="s">
        <v>1450</v>
      </c>
      <c r="S258" s="1747" t="s">
        <v>1451</v>
      </c>
      <c r="T258" s="1747" t="s">
        <v>1452</v>
      </c>
      <c r="U258" s="1747" t="s">
        <v>1453</v>
      </c>
      <c r="V258" s="1747" t="s">
        <v>1454</v>
      </c>
      <c r="W258" s="1747" t="s">
        <v>1455</v>
      </c>
      <c r="X258" s="1747" t="s">
        <v>1456</v>
      </c>
      <c r="Y258" s="1747" t="s">
        <v>1457</v>
      </c>
      <c r="Z258" s="1747" t="s">
        <v>1458</v>
      </c>
      <c r="AA258" s="1747" t="s">
        <v>1466</v>
      </c>
      <c r="AB258" s="1747" t="s">
        <v>1467</v>
      </c>
    </row>
    <row r="259" spans="2:28" x14ac:dyDescent="0.25">
      <c r="B259" s="1765" t="s">
        <v>1461</v>
      </c>
      <c r="C259" s="1776">
        <v>0</v>
      </c>
      <c r="D259" s="1776">
        <v>0</v>
      </c>
      <c r="E259" s="1776">
        <v>0</v>
      </c>
      <c r="F259" s="1776">
        <v>0</v>
      </c>
      <c r="G259" s="1776">
        <v>0</v>
      </c>
      <c r="H259" s="1776">
        <v>0</v>
      </c>
      <c r="I259" s="1776">
        <v>0</v>
      </c>
      <c r="J259" s="1776">
        <v>0.1</v>
      </c>
      <c r="K259" s="1776">
        <v>0.5</v>
      </c>
      <c r="L259" s="1776">
        <v>0.8</v>
      </c>
      <c r="M259" s="1776">
        <v>0.8</v>
      </c>
      <c r="N259" s="1776">
        <v>0.8</v>
      </c>
      <c r="O259" s="1776">
        <v>0.8</v>
      </c>
      <c r="P259" s="1776">
        <v>0.8</v>
      </c>
      <c r="Q259" s="1776">
        <v>0.8</v>
      </c>
      <c r="R259" s="1776">
        <v>0.8</v>
      </c>
      <c r="S259" s="1776">
        <v>0.8</v>
      </c>
      <c r="T259" s="1776">
        <v>0.5</v>
      </c>
      <c r="U259" s="1776">
        <v>0.3</v>
      </c>
      <c r="V259" s="1776">
        <v>0.3</v>
      </c>
      <c r="W259" s="1776">
        <v>0.2</v>
      </c>
      <c r="X259" s="1776">
        <v>0.2</v>
      </c>
      <c r="Y259" s="1776">
        <v>0</v>
      </c>
      <c r="Z259" s="1776">
        <v>0</v>
      </c>
      <c r="AA259" s="1752">
        <f>SUM(C259:Z259)</f>
        <v>8.4999999999999982</v>
      </c>
      <c r="AB259" s="1753">
        <f>AA259*SUM($C$9:$C$13)</f>
        <v>2124.9999999999995</v>
      </c>
    </row>
    <row r="260" spans="2:28" x14ac:dyDescent="0.25">
      <c r="B260" s="1767" t="s">
        <v>1431</v>
      </c>
      <c r="C260" s="1777">
        <v>0</v>
      </c>
      <c r="D260" s="1777">
        <v>0</v>
      </c>
      <c r="E260" s="1777">
        <v>0</v>
      </c>
      <c r="F260" s="1777">
        <v>0</v>
      </c>
      <c r="G260" s="1777">
        <v>0</v>
      </c>
      <c r="H260" s="1777">
        <v>0</v>
      </c>
      <c r="I260" s="1777">
        <v>0</v>
      </c>
      <c r="J260" s="1777">
        <v>0.1</v>
      </c>
      <c r="K260" s="1777">
        <v>0.3</v>
      </c>
      <c r="L260" s="1777">
        <v>0.4</v>
      </c>
      <c r="M260" s="1777">
        <v>0.4</v>
      </c>
      <c r="N260" s="1777">
        <v>0.4</v>
      </c>
      <c r="O260" s="1777">
        <v>0.4</v>
      </c>
      <c r="P260" s="1777">
        <v>0.4</v>
      </c>
      <c r="Q260" s="1777">
        <v>0.4</v>
      </c>
      <c r="R260" s="1777">
        <v>0.4</v>
      </c>
      <c r="S260" s="1777">
        <v>0.4</v>
      </c>
      <c r="T260" s="1777">
        <v>0.1</v>
      </c>
      <c r="U260" s="1777">
        <v>0.1</v>
      </c>
      <c r="V260" s="1777">
        <v>0</v>
      </c>
      <c r="W260" s="1777">
        <v>0</v>
      </c>
      <c r="X260" s="1777">
        <v>0</v>
      </c>
      <c r="Y260" s="1777">
        <v>0</v>
      </c>
      <c r="Z260" s="1777">
        <v>0</v>
      </c>
      <c r="AA260" s="1756">
        <f>SUM(C260:Z260)</f>
        <v>3.8</v>
      </c>
      <c r="AB260" s="1757">
        <f>AA260*SUM($C$14)</f>
        <v>197.6</v>
      </c>
    </row>
    <row r="261" spans="2:28" x14ac:dyDescent="0.25">
      <c r="B261" s="1767" t="s">
        <v>1432</v>
      </c>
      <c r="C261" s="1777">
        <v>0</v>
      </c>
      <c r="D261" s="1777">
        <v>0</v>
      </c>
      <c r="E261" s="1777">
        <v>0</v>
      </c>
      <c r="F261" s="1777">
        <v>0</v>
      </c>
      <c r="G261" s="1777">
        <v>0</v>
      </c>
      <c r="H261" s="1777">
        <v>0</v>
      </c>
      <c r="I261" s="1777">
        <v>0</v>
      </c>
      <c r="J261" s="1777">
        <v>0</v>
      </c>
      <c r="K261" s="1777">
        <v>0.05</v>
      </c>
      <c r="L261" s="1777">
        <v>0.05</v>
      </c>
      <c r="M261" s="1777">
        <v>0.05</v>
      </c>
      <c r="N261" s="1777">
        <v>0.05</v>
      </c>
      <c r="O261" s="1777">
        <v>0.05</v>
      </c>
      <c r="P261" s="1777">
        <v>0.05</v>
      </c>
      <c r="Q261" s="1777">
        <v>0.05</v>
      </c>
      <c r="R261" s="1777">
        <v>0.05</v>
      </c>
      <c r="S261" s="1777">
        <v>0</v>
      </c>
      <c r="T261" s="1777">
        <v>0</v>
      </c>
      <c r="U261" s="1777">
        <v>0</v>
      </c>
      <c r="V261" s="1777">
        <v>0</v>
      </c>
      <c r="W261" s="1777">
        <v>0</v>
      </c>
      <c r="X261" s="1777">
        <v>0</v>
      </c>
      <c r="Y261" s="1777">
        <v>0</v>
      </c>
      <c r="Z261" s="1777">
        <v>0</v>
      </c>
      <c r="AA261" s="1756">
        <f>SUM(C261:Z261)</f>
        <v>0.39999999999999997</v>
      </c>
      <c r="AB261" s="1757">
        <f>AA261*$C$15</f>
        <v>20.799999999999997</v>
      </c>
    </row>
    <row r="262" spans="2:28" x14ac:dyDescent="0.25">
      <c r="B262" s="1769" t="s">
        <v>1463</v>
      </c>
      <c r="C262" s="1778">
        <v>0</v>
      </c>
      <c r="D262" s="1778">
        <v>0</v>
      </c>
      <c r="E262" s="1778">
        <v>0</v>
      </c>
      <c r="F262" s="1778">
        <v>0</v>
      </c>
      <c r="G262" s="1778">
        <v>0</v>
      </c>
      <c r="H262" s="1778">
        <v>0</v>
      </c>
      <c r="I262" s="1778">
        <v>0</v>
      </c>
      <c r="J262" s="1778">
        <v>0</v>
      </c>
      <c r="K262" s="1778">
        <v>0.05</v>
      </c>
      <c r="L262" s="1778">
        <v>0.05</v>
      </c>
      <c r="M262" s="1778">
        <v>0.05</v>
      </c>
      <c r="N262" s="1778">
        <v>0.05</v>
      </c>
      <c r="O262" s="1778">
        <v>0.05</v>
      </c>
      <c r="P262" s="1778">
        <v>0.05</v>
      </c>
      <c r="Q262" s="1778">
        <v>0.05</v>
      </c>
      <c r="R262" s="1778">
        <v>0.05</v>
      </c>
      <c r="S262" s="1778">
        <v>0</v>
      </c>
      <c r="T262" s="1778">
        <v>0</v>
      </c>
      <c r="U262" s="1778">
        <v>0</v>
      </c>
      <c r="V262" s="1778">
        <v>0</v>
      </c>
      <c r="W262" s="1778">
        <v>0</v>
      </c>
      <c r="X262" s="1778">
        <v>0</v>
      </c>
      <c r="Y262" s="1778">
        <v>0</v>
      </c>
      <c r="Z262" s="1778">
        <v>0</v>
      </c>
      <c r="AA262" s="1760">
        <f>SUM(C262:Z262)</f>
        <v>0.39999999999999997</v>
      </c>
      <c r="AB262" s="1761">
        <f>AA262*SUM($C$8)</f>
        <v>4.3999999999999995</v>
      </c>
    </row>
    <row r="263" spans="2:28" x14ac:dyDescent="0.25">
      <c r="B263" s="2500" t="s">
        <v>1468</v>
      </c>
      <c r="C263" s="2501"/>
      <c r="D263" s="2501"/>
      <c r="E263" s="2501"/>
      <c r="F263" s="2501"/>
      <c r="G263" s="2501"/>
      <c r="H263" s="2501"/>
      <c r="I263" s="2501"/>
      <c r="J263" s="2501"/>
      <c r="K263" s="2501"/>
      <c r="L263" s="2501"/>
      <c r="M263" s="2501"/>
      <c r="N263" s="2501"/>
      <c r="O263" s="2501"/>
      <c r="P263" s="2501"/>
      <c r="Q263" s="2501"/>
      <c r="R263" s="2501"/>
      <c r="S263" s="2501"/>
      <c r="T263" s="2501"/>
      <c r="U263" s="2501"/>
      <c r="V263" s="2501"/>
      <c r="W263" s="2501"/>
      <c r="X263" s="2501"/>
      <c r="Y263" s="2501"/>
      <c r="Z263" s="2501"/>
      <c r="AA263" s="2501"/>
      <c r="AB263" s="1749">
        <f>SUM(AB259:AB262)</f>
        <v>2347.7999999999997</v>
      </c>
    </row>
    <row r="264" spans="2:28" x14ac:dyDescent="0.25">
      <c r="B264" s="1715"/>
      <c r="C264" s="1715"/>
      <c r="D264" s="1715"/>
      <c r="E264" s="1715"/>
      <c r="F264" s="1715"/>
      <c r="G264" s="1715"/>
      <c r="H264" s="1715"/>
      <c r="I264" s="1715"/>
      <c r="J264" s="1715"/>
      <c r="K264" s="1715"/>
      <c r="L264" s="1715"/>
      <c r="M264" s="1715"/>
      <c r="N264" s="1715"/>
      <c r="O264" s="1715"/>
      <c r="P264" s="1715"/>
      <c r="Q264" s="1715"/>
      <c r="R264" s="1715"/>
      <c r="S264" s="1715"/>
      <c r="T264" s="1715"/>
      <c r="U264" s="1715"/>
      <c r="V264" s="1715"/>
      <c r="W264" s="1715"/>
      <c r="X264" s="1715"/>
      <c r="Y264" s="1715"/>
      <c r="Z264" s="1715"/>
      <c r="AA264" s="1715"/>
      <c r="AB264" s="1715"/>
    </row>
    <row r="265" spans="2:28" ht="15" customHeight="1" x14ac:dyDescent="0.25">
      <c r="B265" s="1715" t="s">
        <v>1434</v>
      </c>
      <c r="C265" s="2497" t="s">
        <v>1635</v>
      </c>
      <c r="D265" s="2498"/>
      <c r="E265" s="2498"/>
      <c r="F265" s="2498"/>
      <c r="G265" s="2498"/>
      <c r="H265" s="2498"/>
      <c r="I265" s="2498"/>
      <c r="J265" s="2498"/>
      <c r="K265" s="2498"/>
      <c r="L265" s="2498"/>
      <c r="M265" s="2498"/>
      <c r="N265" s="2498"/>
      <c r="O265" s="2498"/>
      <c r="P265" s="2498"/>
      <c r="Q265" s="2498"/>
      <c r="R265" s="2498"/>
      <c r="S265" s="2498"/>
      <c r="T265" s="2498"/>
      <c r="U265" s="2498"/>
      <c r="V265" s="2498"/>
      <c r="W265" s="2498"/>
      <c r="X265" s="2498"/>
      <c r="Y265" s="2498"/>
      <c r="Z265" s="2498"/>
      <c r="AA265" s="2498"/>
      <c r="AB265" s="2499"/>
    </row>
    <row r="266" spans="2:28" x14ac:dyDescent="0.25">
      <c r="B266" s="1715"/>
      <c r="C266" s="1715"/>
      <c r="D266" s="1715"/>
      <c r="E266" s="1715"/>
      <c r="F266" s="1715"/>
      <c r="G266" s="1715"/>
      <c r="H266" s="1715"/>
      <c r="I266" s="1715"/>
      <c r="J266" s="1715"/>
      <c r="K266" s="1715"/>
      <c r="L266" s="1715"/>
      <c r="M266" s="1715"/>
      <c r="N266" s="1715"/>
      <c r="O266" s="1715"/>
      <c r="P266" s="1715"/>
      <c r="Q266" s="1715"/>
      <c r="R266" s="1715"/>
      <c r="S266" s="1715"/>
      <c r="T266" s="1715"/>
      <c r="U266" s="1715"/>
      <c r="V266" s="1715"/>
      <c r="W266" s="1715"/>
      <c r="X266" s="1715"/>
      <c r="Y266" s="1715"/>
      <c r="Z266" s="1715"/>
      <c r="AA266" s="1715"/>
      <c r="AB266" s="1715"/>
    </row>
    <row r="267" spans="2:28" s="1748" customFormat="1" ht="21" customHeight="1" x14ac:dyDescent="0.25">
      <c r="B267" s="1747"/>
      <c r="C267" s="1746" t="s">
        <v>1435</v>
      </c>
      <c r="D267" s="1747" t="s">
        <v>1436</v>
      </c>
      <c r="E267" s="1747" t="s">
        <v>1437</v>
      </c>
      <c r="F267" s="1747" t="s">
        <v>1438</v>
      </c>
      <c r="G267" s="1747" t="s">
        <v>1439</v>
      </c>
      <c r="H267" s="1747" t="s">
        <v>1440</v>
      </c>
      <c r="I267" s="1747" t="s">
        <v>1441</v>
      </c>
      <c r="J267" s="1747" t="s">
        <v>1442</v>
      </c>
      <c r="K267" s="1747" t="s">
        <v>1443</v>
      </c>
      <c r="L267" s="1747" t="s">
        <v>1444</v>
      </c>
      <c r="M267" s="1747" t="s">
        <v>1445</v>
      </c>
      <c r="N267" s="1747" t="s">
        <v>1446</v>
      </c>
      <c r="O267" s="1747" t="s">
        <v>1447</v>
      </c>
      <c r="P267" s="1747" t="s">
        <v>1448</v>
      </c>
      <c r="Q267" s="1747" t="s">
        <v>1449</v>
      </c>
      <c r="R267" s="1747" t="s">
        <v>1450</v>
      </c>
      <c r="S267" s="1747" t="s">
        <v>1451</v>
      </c>
      <c r="T267" s="1747" t="s">
        <v>1452</v>
      </c>
      <c r="U267" s="1747" t="s">
        <v>1453</v>
      </c>
      <c r="V267" s="1747" t="s">
        <v>1454</v>
      </c>
      <c r="W267" s="1747" t="s">
        <v>1455</v>
      </c>
      <c r="X267" s="1747" t="s">
        <v>1456</v>
      </c>
      <c r="Y267" s="1747" t="s">
        <v>1457</v>
      </c>
      <c r="Z267" s="1747" t="s">
        <v>1458</v>
      </c>
      <c r="AA267" s="1747" t="s">
        <v>1466</v>
      </c>
      <c r="AB267" s="1747" t="s">
        <v>1467</v>
      </c>
    </row>
    <row r="268" spans="2:28" x14ac:dyDescent="0.25">
      <c r="B268" s="1765" t="s">
        <v>1461</v>
      </c>
      <c r="C268" s="1776">
        <v>0.1</v>
      </c>
      <c r="D268" s="1776">
        <v>0.1</v>
      </c>
      <c r="E268" s="1776">
        <v>0.1</v>
      </c>
      <c r="F268" s="1776">
        <v>0.1</v>
      </c>
      <c r="G268" s="1776">
        <v>0.1</v>
      </c>
      <c r="H268" s="1776">
        <v>0.1</v>
      </c>
      <c r="I268" s="1776">
        <v>0.1</v>
      </c>
      <c r="J268" s="1776">
        <v>0.45</v>
      </c>
      <c r="K268" s="1776">
        <v>0.8</v>
      </c>
      <c r="L268" s="1776">
        <v>0.8</v>
      </c>
      <c r="M268" s="1776">
        <v>0.8</v>
      </c>
      <c r="N268" s="1776">
        <v>0.8</v>
      </c>
      <c r="O268" s="1776">
        <v>0.8</v>
      </c>
      <c r="P268" s="1776">
        <v>0.8</v>
      </c>
      <c r="Q268" s="1776">
        <v>0.8</v>
      </c>
      <c r="R268" s="1776">
        <v>0.8</v>
      </c>
      <c r="S268" s="1776">
        <v>0.3</v>
      </c>
      <c r="T268" s="1776">
        <v>0.3</v>
      </c>
      <c r="U268" s="1776">
        <v>0.3</v>
      </c>
      <c r="V268" s="1776">
        <v>0.3</v>
      </c>
      <c r="W268" s="1776">
        <v>0.3</v>
      </c>
      <c r="X268" s="1776">
        <v>0.3</v>
      </c>
      <c r="Y268" s="1776">
        <v>0.3</v>
      </c>
      <c r="Z268" s="1776">
        <v>0.1</v>
      </c>
      <c r="AA268" s="1752">
        <f>SUM(C268:Z268)</f>
        <v>9.7500000000000018</v>
      </c>
      <c r="AB268" s="1753">
        <f>AA268*SUM($C$9:$C$13)</f>
        <v>2437.5000000000005</v>
      </c>
    </row>
    <row r="269" spans="2:28" x14ac:dyDescent="0.25">
      <c r="B269" s="1767" t="s">
        <v>1431</v>
      </c>
      <c r="C269" s="1777">
        <v>0.1</v>
      </c>
      <c r="D269" s="1777">
        <v>0.1</v>
      </c>
      <c r="E269" s="1777">
        <v>0.1</v>
      </c>
      <c r="F269" s="1777">
        <v>0.1</v>
      </c>
      <c r="G269" s="1777">
        <v>0.1</v>
      </c>
      <c r="H269" s="1777">
        <v>0.1</v>
      </c>
      <c r="I269" s="1777">
        <v>0.1</v>
      </c>
      <c r="J269" s="1777">
        <v>0.2</v>
      </c>
      <c r="K269" s="1777">
        <v>0.35</v>
      </c>
      <c r="L269" s="1777">
        <v>0.35</v>
      </c>
      <c r="M269" s="1777">
        <v>0.35</v>
      </c>
      <c r="N269" s="1777">
        <v>0.35</v>
      </c>
      <c r="O269" s="1777">
        <v>0.35</v>
      </c>
      <c r="P269" s="1777">
        <v>0.35</v>
      </c>
      <c r="Q269" s="1777">
        <v>0.35</v>
      </c>
      <c r="R269" s="1777">
        <v>0.35</v>
      </c>
      <c r="S269" s="1777">
        <v>0.35</v>
      </c>
      <c r="T269" s="1777">
        <v>0.35</v>
      </c>
      <c r="U269" s="1777">
        <v>0.1</v>
      </c>
      <c r="V269" s="1777">
        <v>0.1</v>
      </c>
      <c r="W269" s="1777">
        <v>0.1</v>
      </c>
      <c r="X269" s="1777">
        <v>0.1</v>
      </c>
      <c r="Y269" s="1777">
        <v>0.1</v>
      </c>
      <c r="Z269" s="1777">
        <v>0.1</v>
      </c>
      <c r="AA269" s="1756">
        <f>SUM(C269:Z269)</f>
        <v>4.9999999999999982</v>
      </c>
      <c r="AB269" s="1757">
        <f>AA269*SUM($C$14)</f>
        <v>259.99999999999989</v>
      </c>
    </row>
    <row r="270" spans="2:28" x14ac:dyDescent="0.25">
      <c r="B270" s="1767" t="s">
        <v>1432</v>
      </c>
      <c r="C270" s="1777">
        <v>0.05</v>
      </c>
      <c r="D270" s="1777">
        <v>0.05</v>
      </c>
      <c r="E270" s="1777">
        <v>0.05</v>
      </c>
      <c r="F270" s="1777">
        <v>0.05</v>
      </c>
      <c r="G270" s="1777">
        <v>0.05</v>
      </c>
      <c r="H270" s="1777">
        <v>0.05</v>
      </c>
      <c r="I270" s="1777">
        <v>0.05</v>
      </c>
      <c r="J270" s="1777">
        <v>0.05</v>
      </c>
      <c r="K270" s="1777">
        <v>0.1</v>
      </c>
      <c r="L270" s="1777">
        <v>0.1</v>
      </c>
      <c r="M270" s="1777">
        <v>0.1</v>
      </c>
      <c r="N270" s="1777">
        <v>0.1</v>
      </c>
      <c r="O270" s="1777">
        <v>0.1</v>
      </c>
      <c r="P270" s="1777">
        <v>0.1</v>
      </c>
      <c r="Q270" s="1777">
        <v>0.1</v>
      </c>
      <c r="R270" s="1777">
        <v>0.1</v>
      </c>
      <c r="S270" s="1777">
        <v>0.05</v>
      </c>
      <c r="T270" s="1777">
        <v>0.05</v>
      </c>
      <c r="U270" s="1777">
        <v>0.05</v>
      </c>
      <c r="V270" s="1777">
        <v>0.05</v>
      </c>
      <c r="W270" s="1777">
        <v>0.05</v>
      </c>
      <c r="X270" s="1777">
        <v>0.05</v>
      </c>
      <c r="Y270" s="1777">
        <v>0.05</v>
      </c>
      <c r="Z270" s="1777">
        <v>0.05</v>
      </c>
      <c r="AA270" s="1756">
        <f>SUM(C270:Z270)</f>
        <v>1.6000000000000003</v>
      </c>
      <c r="AB270" s="1757">
        <f>AA270*$C$15</f>
        <v>83.200000000000017</v>
      </c>
    </row>
    <row r="271" spans="2:28" x14ac:dyDescent="0.25">
      <c r="B271" s="1769" t="s">
        <v>1463</v>
      </c>
      <c r="C271" s="1778">
        <v>0.05</v>
      </c>
      <c r="D271" s="1778">
        <v>0.05</v>
      </c>
      <c r="E271" s="1778">
        <v>0.05</v>
      </c>
      <c r="F271" s="1778">
        <v>0.05</v>
      </c>
      <c r="G271" s="1778">
        <v>0.05</v>
      </c>
      <c r="H271" s="1778">
        <v>0.05</v>
      </c>
      <c r="I271" s="1778">
        <v>0.05</v>
      </c>
      <c r="J271" s="1778">
        <v>0.05</v>
      </c>
      <c r="K271" s="1778">
        <v>0.1</v>
      </c>
      <c r="L271" s="1778">
        <v>0.1</v>
      </c>
      <c r="M271" s="1778">
        <v>0.1</v>
      </c>
      <c r="N271" s="1778">
        <v>0.1</v>
      </c>
      <c r="O271" s="1778">
        <v>0.1</v>
      </c>
      <c r="P271" s="1778">
        <v>0.1</v>
      </c>
      <c r="Q271" s="1778">
        <v>0.1</v>
      </c>
      <c r="R271" s="1778">
        <v>0.1</v>
      </c>
      <c r="S271" s="1778">
        <v>0.05</v>
      </c>
      <c r="T271" s="1778">
        <v>0.05</v>
      </c>
      <c r="U271" s="1778">
        <v>0.05</v>
      </c>
      <c r="V271" s="1778">
        <v>0.05</v>
      </c>
      <c r="W271" s="1778">
        <v>0.05</v>
      </c>
      <c r="X271" s="1778">
        <v>0.05</v>
      </c>
      <c r="Y271" s="1778">
        <v>0.05</v>
      </c>
      <c r="Z271" s="1778">
        <v>0.05</v>
      </c>
      <c r="AA271" s="1760">
        <f>SUM(C271:Z271)</f>
        <v>1.6000000000000003</v>
      </c>
      <c r="AB271" s="1761">
        <f>AA271*SUM($C$8)</f>
        <v>17.600000000000005</v>
      </c>
    </row>
    <row r="272" spans="2:28" x14ac:dyDescent="0.25">
      <c r="B272" s="2500" t="s">
        <v>1468</v>
      </c>
      <c r="C272" s="2501"/>
      <c r="D272" s="2501"/>
      <c r="E272" s="2501"/>
      <c r="F272" s="2501"/>
      <c r="G272" s="2501"/>
      <c r="H272" s="2501"/>
      <c r="I272" s="2501"/>
      <c r="J272" s="2501"/>
      <c r="K272" s="2501"/>
      <c r="L272" s="2501"/>
      <c r="M272" s="2501"/>
      <c r="N272" s="2501"/>
      <c r="O272" s="2501"/>
      <c r="P272" s="2501"/>
      <c r="Q272" s="2501"/>
      <c r="R272" s="2501"/>
      <c r="S272" s="2501"/>
      <c r="T272" s="2501"/>
      <c r="U272" s="2501"/>
      <c r="V272" s="2501"/>
      <c r="W272" s="2501"/>
      <c r="X272" s="2501"/>
      <c r="Y272" s="2501"/>
      <c r="Z272" s="2501"/>
      <c r="AA272" s="2501"/>
      <c r="AB272" s="1749">
        <f>SUM(AB268:AB271)</f>
        <v>2798.3</v>
      </c>
    </row>
    <row r="273" spans="2:28" x14ac:dyDescent="0.25">
      <c r="B273" s="1715"/>
      <c r="C273" s="1715"/>
      <c r="D273" s="1715"/>
      <c r="E273" s="1715"/>
      <c r="F273" s="1715"/>
      <c r="G273" s="1715"/>
      <c r="H273" s="1715"/>
      <c r="I273" s="1715"/>
      <c r="J273" s="1715"/>
      <c r="K273" s="1715"/>
      <c r="L273" s="1715"/>
      <c r="M273" s="1715"/>
      <c r="N273" s="1715"/>
      <c r="O273" s="1715"/>
      <c r="P273" s="1715"/>
      <c r="Q273" s="1715"/>
      <c r="R273" s="1715"/>
      <c r="S273" s="1715"/>
      <c r="T273" s="1715"/>
      <c r="U273" s="1715"/>
      <c r="V273" s="1715"/>
      <c r="W273" s="1715"/>
      <c r="X273" s="1715"/>
      <c r="Y273" s="1715"/>
      <c r="Z273" s="1715"/>
      <c r="AA273" s="1715"/>
      <c r="AB273" s="1715"/>
    </row>
    <row r="274" spans="2:28" ht="15" customHeight="1" x14ac:dyDescent="0.25">
      <c r="B274" s="1715" t="s">
        <v>1434</v>
      </c>
      <c r="C274" s="2497" t="s">
        <v>1636</v>
      </c>
      <c r="D274" s="2498"/>
      <c r="E274" s="2498"/>
      <c r="F274" s="2498"/>
      <c r="G274" s="2498"/>
      <c r="H274" s="2498"/>
      <c r="I274" s="2498"/>
      <c r="J274" s="2498"/>
      <c r="K274" s="2498"/>
      <c r="L274" s="2498"/>
      <c r="M274" s="2498"/>
      <c r="N274" s="2498"/>
      <c r="O274" s="2498"/>
      <c r="P274" s="2498"/>
      <c r="Q274" s="2498"/>
      <c r="R274" s="2498"/>
      <c r="S274" s="2498"/>
      <c r="T274" s="2498"/>
      <c r="U274" s="2498"/>
      <c r="V274" s="2498"/>
      <c r="W274" s="2498"/>
      <c r="X274" s="2498"/>
      <c r="Y274" s="2498"/>
      <c r="Z274" s="2498"/>
      <c r="AA274" s="2498"/>
      <c r="AB274" s="2499"/>
    </row>
    <row r="275" spans="2:28" x14ac:dyDescent="0.25">
      <c r="B275" s="1715"/>
      <c r="C275" s="1715"/>
      <c r="D275" s="1715"/>
      <c r="E275" s="1715"/>
      <c r="F275" s="1715"/>
      <c r="G275" s="1715"/>
      <c r="H275" s="1715"/>
      <c r="I275" s="1715"/>
      <c r="J275" s="1715"/>
      <c r="K275" s="1715"/>
      <c r="L275" s="1715"/>
      <c r="M275" s="1715"/>
      <c r="N275" s="1715"/>
      <c r="O275" s="1715"/>
      <c r="P275" s="1715"/>
      <c r="Q275" s="1715"/>
      <c r="R275" s="1715"/>
      <c r="S275" s="1715"/>
      <c r="T275" s="1715"/>
      <c r="U275" s="1715"/>
      <c r="V275" s="1715"/>
      <c r="W275" s="1715"/>
      <c r="X275" s="1715"/>
      <c r="Y275" s="1715"/>
      <c r="Z275" s="1715"/>
      <c r="AA275" s="1715"/>
      <c r="AB275" s="1715"/>
    </row>
    <row r="276" spans="2:28" s="1748" customFormat="1" ht="21" customHeight="1" x14ac:dyDescent="0.25">
      <c r="B276" s="1747"/>
      <c r="C276" s="1746" t="s">
        <v>1435</v>
      </c>
      <c r="D276" s="1747" t="s">
        <v>1436</v>
      </c>
      <c r="E276" s="1747" t="s">
        <v>1437</v>
      </c>
      <c r="F276" s="1747" t="s">
        <v>1438</v>
      </c>
      <c r="G276" s="1747" t="s">
        <v>1439</v>
      </c>
      <c r="H276" s="1747" t="s">
        <v>1440</v>
      </c>
      <c r="I276" s="1747" t="s">
        <v>1441</v>
      </c>
      <c r="J276" s="1747" t="s">
        <v>1442</v>
      </c>
      <c r="K276" s="1747" t="s">
        <v>1443</v>
      </c>
      <c r="L276" s="1747" t="s">
        <v>1444</v>
      </c>
      <c r="M276" s="1747" t="s">
        <v>1445</v>
      </c>
      <c r="N276" s="1747" t="s">
        <v>1446</v>
      </c>
      <c r="O276" s="1747" t="s">
        <v>1447</v>
      </c>
      <c r="P276" s="1747" t="s">
        <v>1448</v>
      </c>
      <c r="Q276" s="1747" t="s">
        <v>1449</v>
      </c>
      <c r="R276" s="1747" t="s">
        <v>1450</v>
      </c>
      <c r="S276" s="1747" t="s">
        <v>1451</v>
      </c>
      <c r="T276" s="1747" t="s">
        <v>1452</v>
      </c>
      <c r="U276" s="1747" t="s">
        <v>1453</v>
      </c>
      <c r="V276" s="1747" t="s">
        <v>1454</v>
      </c>
      <c r="W276" s="1747" t="s">
        <v>1455</v>
      </c>
      <c r="X276" s="1747" t="s">
        <v>1456</v>
      </c>
      <c r="Y276" s="1747" t="s">
        <v>1457</v>
      </c>
      <c r="Z276" s="1747" t="s">
        <v>1458</v>
      </c>
      <c r="AA276" s="1747" t="s">
        <v>1466</v>
      </c>
      <c r="AB276" s="1747" t="s">
        <v>1467</v>
      </c>
    </row>
    <row r="277" spans="2:28" x14ac:dyDescent="0.25">
      <c r="B277" s="1765" t="s">
        <v>1461</v>
      </c>
      <c r="C277" s="1776">
        <v>0.1</v>
      </c>
      <c r="D277" s="1776">
        <v>0.1</v>
      </c>
      <c r="E277" s="1776">
        <v>0.1</v>
      </c>
      <c r="F277" s="1776">
        <v>0.1</v>
      </c>
      <c r="G277" s="1776">
        <v>0.1</v>
      </c>
      <c r="H277" s="1776">
        <v>0.1</v>
      </c>
      <c r="I277" s="1776">
        <v>0.1</v>
      </c>
      <c r="J277" s="1776">
        <v>0.5</v>
      </c>
      <c r="K277" s="1776">
        <v>0.9</v>
      </c>
      <c r="L277" s="1776">
        <v>0.9</v>
      </c>
      <c r="M277" s="1776">
        <v>0.9</v>
      </c>
      <c r="N277" s="1776">
        <v>0.9</v>
      </c>
      <c r="O277" s="1776">
        <v>0.9</v>
      </c>
      <c r="P277" s="1776">
        <v>0.9</v>
      </c>
      <c r="Q277" s="1776">
        <v>0.9</v>
      </c>
      <c r="R277" s="1776">
        <v>0.9</v>
      </c>
      <c r="S277" s="1776">
        <v>0.3</v>
      </c>
      <c r="T277" s="1776">
        <v>0.3</v>
      </c>
      <c r="U277" s="1776">
        <v>0.3</v>
      </c>
      <c r="V277" s="1776">
        <v>0.3</v>
      </c>
      <c r="W277" s="1776">
        <v>0.3</v>
      </c>
      <c r="X277" s="1776">
        <v>0.3</v>
      </c>
      <c r="Y277" s="1776">
        <v>0.3</v>
      </c>
      <c r="Z277" s="1776">
        <v>0.1</v>
      </c>
      <c r="AA277" s="1752">
        <f>SUM(C277:Z277)</f>
        <v>10.600000000000005</v>
      </c>
      <c r="AB277" s="1753">
        <f>AA277*SUM($C$9:$C$13)</f>
        <v>2650.0000000000014</v>
      </c>
    </row>
    <row r="278" spans="2:28" x14ac:dyDescent="0.25">
      <c r="B278" s="1767" t="s">
        <v>1431</v>
      </c>
      <c r="C278" s="1777">
        <v>0.1</v>
      </c>
      <c r="D278" s="1777">
        <v>0.1</v>
      </c>
      <c r="E278" s="1777">
        <v>0.1</v>
      </c>
      <c r="F278" s="1777">
        <v>0.1</v>
      </c>
      <c r="G278" s="1777">
        <v>0.1</v>
      </c>
      <c r="H278" s="1777">
        <v>0.1</v>
      </c>
      <c r="I278" s="1777">
        <v>0.1</v>
      </c>
      <c r="J278" s="1777">
        <v>0.2</v>
      </c>
      <c r="K278" s="1777">
        <v>0.4</v>
      </c>
      <c r="L278" s="1777">
        <v>0.4</v>
      </c>
      <c r="M278" s="1777">
        <v>0.4</v>
      </c>
      <c r="N278" s="1777">
        <v>0.4</v>
      </c>
      <c r="O278" s="1777">
        <v>0.4</v>
      </c>
      <c r="P278" s="1777">
        <v>0.4</v>
      </c>
      <c r="Q278" s="1777">
        <v>0.4</v>
      </c>
      <c r="R278" s="1777">
        <v>0.4</v>
      </c>
      <c r="S278" s="1777">
        <v>0.4</v>
      </c>
      <c r="T278" s="1777">
        <v>0.4</v>
      </c>
      <c r="U278" s="1777">
        <v>0.1</v>
      </c>
      <c r="V278" s="1777">
        <v>0.1</v>
      </c>
      <c r="W278" s="1777">
        <v>0.1</v>
      </c>
      <c r="X278" s="1777">
        <v>0.1</v>
      </c>
      <c r="Y278" s="1777">
        <v>0.1</v>
      </c>
      <c r="Z278" s="1777">
        <v>0.1</v>
      </c>
      <c r="AA278" s="1756">
        <f>SUM(C278:Z278)</f>
        <v>5.4999999999999982</v>
      </c>
      <c r="AB278" s="1757">
        <f>AA278*SUM($C$14)</f>
        <v>285.99999999999989</v>
      </c>
    </row>
    <row r="279" spans="2:28" x14ac:dyDescent="0.25">
      <c r="B279" s="1767" t="s">
        <v>1432</v>
      </c>
      <c r="C279" s="1777">
        <v>0.05</v>
      </c>
      <c r="D279" s="1777">
        <v>0.05</v>
      </c>
      <c r="E279" s="1777">
        <v>0.05</v>
      </c>
      <c r="F279" s="1777">
        <v>0.05</v>
      </c>
      <c r="G279" s="1777">
        <v>0.05</v>
      </c>
      <c r="H279" s="1777">
        <v>0.05</v>
      </c>
      <c r="I279" s="1777">
        <v>0.05</v>
      </c>
      <c r="J279" s="1777">
        <v>0.05</v>
      </c>
      <c r="K279" s="1777">
        <v>0.1</v>
      </c>
      <c r="L279" s="1777">
        <v>0.1</v>
      </c>
      <c r="M279" s="1777">
        <v>0.1</v>
      </c>
      <c r="N279" s="1777">
        <v>0.1</v>
      </c>
      <c r="O279" s="1777">
        <v>0.1</v>
      </c>
      <c r="P279" s="1777">
        <v>0.1</v>
      </c>
      <c r="Q279" s="1777">
        <v>0.1</v>
      </c>
      <c r="R279" s="1777">
        <v>0.1</v>
      </c>
      <c r="S279" s="1777">
        <v>0.05</v>
      </c>
      <c r="T279" s="1777">
        <v>0.05</v>
      </c>
      <c r="U279" s="1777">
        <v>0.05</v>
      </c>
      <c r="V279" s="1777">
        <v>0.05</v>
      </c>
      <c r="W279" s="1777">
        <v>0.05</v>
      </c>
      <c r="X279" s="1777">
        <v>0.05</v>
      </c>
      <c r="Y279" s="1777">
        <v>0.05</v>
      </c>
      <c r="Z279" s="1777">
        <v>0.05</v>
      </c>
      <c r="AA279" s="1756">
        <f>SUM(C279:Z279)</f>
        <v>1.6000000000000003</v>
      </c>
      <c r="AB279" s="1757">
        <f>AA279*$C$15</f>
        <v>83.200000000000017</v>
      </c>
    </row>
    <row r="280" spans="2:28" x14ac:dyDescent="0.25">
      <c r="B280" s="1769" t="s">
        <v>1463</v>
      </c>
      <c r="C280" s="1778">
        <v>0.05</v>
      </c>
      <c r="D280" s="1778">
        <v>0.05</v>
      </c>
      <c r="E280" s="1778">
        <v>0.05</v>
      </c>
      <c r="F280" s="1778">
        <v>0.05</v>
      </c>
      <c r="G280" s="1778">
        <v>0.05</v>
      </c>
      <c r="H280" s="1778">
        <v>0.05</v>
      </c>
      <c r="I280" s="1778">
        <v>0.05</v>
      </c>
      <c r="J280" s="1778">
        <v>0.05</v>
      </c>
      <c r="K280" s="1778">
        <v>0.1</v>
      </c>
      <c r="L280" s="1778">
        <v>0.1</v>
      </c>
      <c r="M280" s="1778">
        <v>0.1</v>
      </c>
      <c r="N280" s="1778">
        <v>0.1</v>
      </c>
      <c r="O280" s="1778">
        <v>0.1</v>
      </c>
      <c r="P280" s="1778">
        <v>0.1</v>
      </c>
      <c r="Q280" s="1778">
        <v>0.1</v>
      </c>
      <c r="R280" s="1778">
        <v>0.1</v>
      </c>
      <c r="S280" s="1778">
        <v>0.05</v>
      </c>
      <c r="T280" s="1778">
        <v>0.05</v>
      </c>
      <c r="U280" s="1778">
        <v>0.05</v>
      </c>
      <c r="V280" s="1778">
        <v>0.05</v>
      </c>
      <c r="W280" s="1778">
        <v>0.05</v>
      </c>
      <c r="X280" s="1778">
        <v>0.05</v>
      </c>
      <c r="Y280" s="1778">
        <v>0.05</v>
      </c>
      <c r="Z280" s="1778">
        <v>0.05</v>
      </c>
      <c r="AA280" s="1760">
        <f>SUM(C280:Z280)</f>
        <v>1.6000000000000003</v>
      </c>
      <c r="AB280" s="1761">
        <f>AA280*SUM($C$8)</f>
        <v>17.600000000000005</v>
      </c>
    </row>
    <row r="281" spans="2:28" x14ac:dyDescent="0.25">
      <c r="B281" s="2500" t="s">
        <v>1468</v>
      </c>
      <c r="C281" s="2501"/>
      <c r="D281" s="2501"/>
      <c r="E281" s="2501"/>
      <c r="F281" s="2501"/>
      <c r="G281" s="2501"/>
      <c r="H281" s="2501"/>
      <c r="I281" s="2501"/>
      <c r="J281" s="2501"/>
      <c r="K281" s="2501"/>
      <c r="L281" s="2501"/>
      <c r="M281" s="2501"/>
      <c r="N281" s="2501"/>
      <c r="O281" s="2501"/>
      <c r="P281" s="2501"/>
      <c r="Q281" s="2501"/>
      <c r="R281" s="2501"/>
      <c r="S281" s="2501"/>
      <c r="T281" s="2501"/>
      <c r="U281" s="2501"/>
      <c r="V281" s="2501"/>
      <c r="W281" s="2501"/>
      <c r="X281" s="2501"/>
      <c r="Y281" s="2501"/>
      <c r="Z281" s="2501"/>
      <c r="AA281" s="2501"/>
      <c r="AB281" s="1749">
        <f>SUM(AB277:AB280)</f>
        <v>3036.8000000000011</v>
      </c>
    </row>
    <row r="282" spans="2:28" x14ac:dyDescent="0.25">
      <c r="B282" s="1715"/>
      <c r="C282" s="1715"/>
      <c r="D282" s="1715"/>
      <c r="E282" s="1715"/>
      <c r="F282" s="1715"/>
      <c r="G282" s="1715"/>
      <c r="H282" s="1715"/>
      <c r="I282" s="1715"/>
      <c r="J282" s="1715"/>
      <c r="K282" s="1715"/>
      <c r="L282" s="1715"/>
      <c r="M282" s="1715"/>
      <c r="N282" s="1715"/>
      <c r="O282" s="1715"/>
      <c r="P282" s="1715"/>
      <c r="Q282" s="1715"/>
      <c r="R282" s="1715"/>
      <c r="S282" s="1715"/>
      <c r="T282" s="1715"/>
      <c r="U282" s="1715"/>
      <c r="V282" s="1715"/>
      <c r="W282" s="1715"/>
      <c r="X282" s="1715"/>
      <c r="Y282" s="1715"/>
      <c r="Z282" s="1715"/>
      <c r="AA282" s="1715"/>
      <c r="AB282" s="1715"/>
    </row>
    <row r="283" spans="2:28" ht="15" customHeight="1" x14ac:dyDescent="0.25">
      <c r="B283" s="1715" t="s">
        <v>1434</v>
      </c>
      <c r="C283" s="2497" t="s">
        <v>1637</v>
      </c>
      <c r="D283" s="2498"/>
      <c r="E283" s="2498"/>
      <c r="F283" s="2498"/>
      <c r="G283" s="2498"/>
      <c r="H283" s="2498"/>
      <c r="I283" s="2498"/>
      <c r="J283" s="2498"/>
      <c r="K283" s="2498"/>
      <c r="L283" s="2498"/>
      <c r="M283" s="2498"/>
      <c r="N283" s="2498"/>
      <c r="O283" s="2498"/>
      <c r="P283" s="2498"/>
      <c r="Q283" s="2498"/>
      <c r="R283" s="2498"/>
      <c r="S283" s="2498"/>
      <c r="T283" s="2498"/>
      <c r="U283" s="2498"/>
      <c r="V283" s="2498"/>
      <c r="W283" s="2498"/>
      <c r="X283" s="2498"/>
      <c r="Y283" s="2498"/>
      <c r="Z283" s="2498"/>
      <c r="AA283" s="2498"/>
      <c r="AB283" s="2499"/>
    </row>
    <row r="284" spans="2:28" x14ac:dyDescent="0.25">
      <c r="B284" s="1715"/>
      <c r="C284" s="1715"/>
      <c r="D284" s="1715"/>
      <c r="E284" s="1715"/>
      <c r="F284" s="1715"/>
      <c r="G284" s="1715"/>
      <c r="H284" s="1715"/>
      <c r="I284" s="1715"/>
      <c r="J284" s="1715"/>
      <c r="K284" s="1715"/>
      <c r="L284" s="1715"/>
      <c r="M284" s="1715"/>
      <c r="N284" s="1715"/>
      <c r="O284" s="1715"/>
      <c r="P284" s="1715"/>
      <c r="Q284" s="1715"/>
      <c r="R284" s="1715"/>
      <c r="S284" s="1715"/>
      <c r="T284" s="1715"/>
      <c r="U284" s="1715"/>
      <c r="V284" s="1715"/>
      <c r="W284" s="1715"/>
      <c r="X284" s="1715"/>
      <c r="Y284" s="1715"/>
      <c r="Z284" s="1715"/>
      <c r="AA284" s="1715"/>
      <c r="AB284" s="1715"/>
    </row>
    <row r="285" spans="2:28" s="1748" customFormat="1" ht="21" customHeight="1" x14ac:dyDescent="0.25">
      <c r="B285" s="1747"/>
      <c r="C285" s="1746" t="s">
        <v>1435</v>
      </c>
      <c r="D285" s="1747" t="s">
        <v>1436</v>
      </c>
      <c r="E285" s="1747" t="s">
        <v>1437</v>
      </c>
      <c r="F285" s="1747" t="s">
        <v>1438</v>
      </c>
      <c r="G285" s="1747" t="s">
        <v>1439</v>
      </c>
      <c r="H285" s="1747" t="s">
        <v>1440</v>
      </c>
      <c r="I285" s="1747" t="s">
        <v>1441</v>
      </c>
      <c r="J285" s="1747" t="s">
        <v>1442</v>
      </c>
      <c r="K285" s="1747" t="s">
        <v>1443</v>
      </c>
      <c r="L285" s="1747" t="s">
        <v>1444</v>
      </c>
      <c r="M285" s="1747" t="s">
        <v>1445</v>
      </c>
      <c r="N285" s="1747" t="s">
        <v>1446</v>
      </c>
      <c r="O285" s="1747" t="s">
        <v>1447</v>
      </c>
      <c r="P285" s="1747" t="s">
        <v>1448</v>
      </c>
      <c r="Q285" s="1747" t="s">
        <v>1449</v>
      </c>
      <c r="R285" s="1747" t="s">
        <v>1450</v>
      </c>
      <c r="S285" s="1747" t="s">
        <v>1451</v>
      </c>
      <c r="T285" s="1747" t="s">
        <v>1452</v>
      </c>
      <c r="U285" s="1747" t="s">
        <v>1453</v>
      </c>
      <c r="V285" s="1747" t="s">
        <v>1454</v>
      </c>
      <c r="W285" s="1747" t="s">
        <v>1455</v>
      </c>
      <c r="X285" s="1747" t="s">
        <v>1456</v>
      </c>
      <c r="Y285" s="1747" t="s">
        <v>1457</v>
      </c>
      <c r="Z285" s="1747" t="s">
        <v>1458</v>
      </c>
      <c r="AA285" s="1747" t="s">
        <v>1466</v>
      </c>
      <c r="AB285" s="1747" t="s">
        <v>1467</v>
      </c>
    </row>
    <row r="286" spans="2:28" x14ac:dyDescent="0.25">
      <c r="B286" s="1765" t="s">
        <v>1461</v>
      </c>
      <c r="C286" s="1776">
        <v>0.01</v>
      </c>
      <c r="D286" s="1776">
        <v>0.01</v>
      </c>
      <c r="E286" s="1776">
        <v>0.01</v>
      </c>
      <c r="F286" s="1776">
        <v>0.01</v>
      </c>
      <c r="G286" s="1776">
        <v>0.01</v>
      </c>
      <c r="H286" s="1776">
        <v>0.01</v>
      </c>
      <c r="I286" s="1776">
        <v>0.01</v>
      </c>
      <c r="J286" s="1776">
        <v>0.17</v>
      </c>
      <c r="K286" s="1776">
        <v>0.57999999999999996</v>
      </c>
      <c r="L286" s="1776">
        <v>0.66</v>
      </c>
      <c r="M286" s="1776">
        <v>0.78</v>
      </c>
      <c r="N286" s="1776">
        <v>0.82</v>
      </c>
      <c r="O286" s="1776">
        <v>0.71</v>
      </c>
      <c r="P286" s="1776">
        <v>0.82</v>
      </c>
      <c r="Q286" s="1776">
        <v>0.78</v>
      </c>
      <c r="R286" s="1776">
        <v>0.74</v>
      </c>
      <c r="S286" s="1776">
        <v>0.63</v>
      </c>
      <c r="T286" s="1776">
        <v>0.41</v>
      </c>
      <c r="U286" s="1776">
        <v>0.18</v>
      </c>
      <c r="V286" s="1776">
        <v>0.18</v>
      </c>
      <c r="W286" s="1776">
        <v>0.18</v>
      </c>
      <c r="X286" s="1776">
        <v>0.1</v>
      </c>
      <c r="Y286" s="1776">
        <v>0.01</v>
      </c>
      <c r="Z286" s="1776">
        <v>0.01</v>
      </c>
      <c r="AA286" s="1752">
        <f>SUM(C286:Z286)</f>
        <v>7.8299999999999983</v>
      </c>
      <c r="AB286" s="1753">
        <f>AA286*SUM($C$9:$C$13)</f>
        <v>1957.4999999999995</v>
      </c>
    </row>
    <row r="287" spans="2:28" x14ac:dyDescent="0.25">
      <c r="B287" s="1767" t="s">
        <v>1431</v>
      </c>
      <c r="C287" s="1777">
        <v>0.01</v>
      </c>
      <c r="D287" s="1777">
        <v>0.01</v>
      </c>
      <c r="E287" s="1777">
        <v>0.01</v>
      </c>
      <c r="F287" s="1777">
        <v>0.01</v>
      </c>
      <c r="G287" s="1777">
        <v>0.01</v>
      </c>
      <c r="H287" s="1777">
        <v>0.01</v>
      </c>
      <c r="I287" s="1777">
        <v>0.01</v>
      </c>
      <c r="J287" s="1777">
        <v>0.01</v>
      </c>
      <c r="K287" s="1777">
        <v>0.2</v>
      </c>
      <c r="L287" s="1777">
        <v>0.28000000000000003</v>
      </c>
      <c r="M287" s="1777">
        <v>0.3</v>
      </c>
      <c r="N287" s="1777">
        <v>0.3</v>
      </c>
      <c r="O287" s="1777">
        <v>0.24</v>
      </c>
      <c r="P287" s="1777">
        <v>0.24</v>
      </c>
      <c r="Q287" s="1777">
        <v>0.23</v>
      </c>
      <c r="R287" s="1777">
        <v>0.23</v>
      </c>
      <c r="S287" s="1777">
        <v>0.23</v>
      </c>
      <c r="T287" s="1777">
        <v>0.1</v>
      </c>
      <c r="U287" s="1777">
        <v>0.01</v>
      </c>
      <c r="V287" s="1777">
        <v>0.01</v>
      </c>
      <c r="W287" s="1777">
        <v>0.01</v>
      </c>
      <c r="X287" s="1777">
        <v>0.01</v>
      </c>
      <c r="Y287" s="1777">
        <v>0.01</v>
      </c>
      <c r="Z287" s="1777">
        <v>0.01</v>
      </c>
      <c r="AA287" s="1756">
        <f>SUM(C287:Z287)</f>
        <v>2.4899999999999989</v>
      </c>
      <c r="AB287" s="1757">
        <f>AA287*SUM($C$14)</f>
        <v>129.47999999999993</v>
      </c>
    </row>
    <row r="288" spans="2:28" x14ac:dyDescent="0.25">
      <c r="B288" s="1767" t="s">
        <v>1432</v>
      </c>
      <c r="C288" s="1777">
        <v>0.01</v>
      </c>
      <c r="D288" s="1777">
        <v>0.01</v>
      </c>
      <c r="E288" s="1777">
        <v>0.01</v>
      </c>
      <c r="F288" s="1777">
        <v>0.01</v>
      </c>
      <c r="G288" s="1777">
        <v>0.01</v>
      </c>
      <c r="H288" s="1777">
        <v>0.01</v>
      </c>
      <c r="I288" s="1777">
        <v>0.01</v>
      </c>
      <c r="J288" s="1777">
        <v>0.01</v>
      </c>
      <c r="K288" s="1777">
        <v>0.01</v>
      </c>
      <c r="L288" s="1777">
        <v>0.01</v>
      </c>
      <c r="M288" s="1777">
        <v>0.01</v>
      </c>
      <c r="N288" s="1777">
        <v>0.01</v>
      </c>
      <c r="O288" s="1777">
        <v>0.01</v>
      </c>
      <c r="P288" s="1777">
        <v>0.01</v>
      </c>
      <c r="Q288" s="1777">
        <v>0.01</v>
      </c>
      <c r="R288" s="1777">
        <v>0.01</v>
      </c>
      <c r="S288" s="1777">
        <v>0.01</v>
      </c>
      <c r="T288" s="1777">
        <v>0.01</v>
      </c>
      <c r="U288" s="1777">
        <v>0.01</v>
      </c>
      <c r="V288" s="1777">
        <v>0.01</v>
      </c>
      <c r="W288" s="1777">
        <v>0.01</v>
      </c>
      <c r="X288" s="1777">
        <v>0.01</v>
      </c>
      <c r="Y288" s="1777">
        <v>0.01</v>
      </c>
      <c r="Z288" s="1777">
        <v>0.01</v>
      </c>
      <c r="AA288" s="1756">
        <f>SUM(C288:Z288)</f>
        <v>0.24000000000000007</v>
      </c>
      <c r="AB288" s="1757">
        <f>AA288*$C$15</f>
        <v>12.480000000000004</v>
      </c>
    </row>
    <row r="289" spans="2:28" x14ac:dyDescent="0.25">
      <c r="B289" s="1769" t="s">
        <v>1463</v>
      </c>
      <c r="C289" s="1778">
        <v>0.01</v>
      </c>
      <c r="D289" s="1778">
        <v>0.01</v>
      </c>
      <c r="E289" s="1778">
        <v>0.01</v>
      </c>
      <c r="F289" s="1778">
        <v>0.01</v>
      </c>
      <c r="G289" s="1778">
        <v>0.01</v>
      </c>
      <c r="H289" s="1778">
        <v>0.01</v>
      </c>
      <c r="I289" s="1778">
        <v>0.01</v>
      </c>
      <c r="J289" s="1778">
        <v>0.01</v>
      </c>
      <c r="K289" s="1778">
        <v>0.01</v>
      </c>
      <c r="L289" s="1778">
        <v>0.01</v>
      </c>
      <c r="M289" s="1778">
        <v>0.01</v>
      </c>
      <c r="N289" s="1778">
        <v>0.01</v>
      </c>
      <c r="O289" s="1778">
        <v>0.01</v>
      </c>
      <c r="P289" s="1778">
        <v>0.01</v>
      </c>
      <c r="Q289" s="1778">
        <v>0.01</v>
      </c>
      <c r="R289" s="1778">
        <v>0.01</v>
      </c>
      <c r="S289" s="1778">
        <v>0.01</v>
      </c>
      <c r="T289" s="1778">
        <v>0.01</v>
      </c>
      <c r="U289" s="1778">
        <v>0.01</v>
      </c>
      <c r="V289" s="1778">
        <v>0.01</v>
      </c>
      <c r="W289" s="1778">
        <v>0.01</v>
      </c>
      <c r="X289" s="1778">
        <v>0.01</v>
      </c>
      <c r="Y289" s="1778">
        <v>0.01</v>
      </c>
      <c r="Z289" s="1778">
        <v>0.01</v>
      </c>
      <c r="AA289" s="1760">
        <f>SUM(C289:Z289)</f>
        <v>0.24000000000000007</v>
      </c>
      <c r="AB289" s="1761">
        <f>AA289*SUM($C$8)</f>
        <v>2.640000000000001</v>
      </c>
    </row>
    <row r="290" spans="2:28" x14ac:dyDescent="0.25">
      <c r="B290" s="2500" t="s">
        <v>1468</v>
      </c>
      <c r="C290" s="2501"/>
      <c r="D290" s="2501"/>
      <c r="E290" s="2501"/>
      <c r="F290" s="2501"/>
      <c r="G290" s="2501"/>
      <c r="H290" s="2501"/>
      <c r="I290" s="2501"/>
      <c r="J290" s="2501"/>
      <c r="K290" s="2501"/>
      <c r="L290" s="2501"/>
      <c r="M290" s="2501"/>
      <c r="N290" s="2501"/>
      <c r="O290" s="2501"/>
      <c r="P290" s="2501"/>
      <c r="Q290" s="2501"/>
      <c r="R290" s="2501"/>
      <c r="S290" s="2501"/>
      <c r="T290" s="2501"/>
      <c r="U290" s="2501"/>
      <c r="V290" s="2501"/>
      <c r="W290" s="2501"/>
      <c r="X290" s="2501"/>
      <c r="Y290" s="2501"/>
      <c r="Z290" s="2501"/>
      <c r="AA290" s="2501"/>
      <c r="AB290" s="1749">
        <f>SUM(AB286:AB289)</f>
        <v>2102.0999999999995</v>
      </c>
    </row>
    <row r="291" spans="2:28" x14ac:dyDescent="0.25">
      <c r="B291" s="1715"/>
      <c r="C291" s="1715"/>
      <c r="D291" s="1715"/>
      <c r="E291" s="1715"/>
      <c r="F291" s="1715"/>
      <c r="G291" s="1715"/>
      <c r="H291" s="1715"/>
      <c r="I291" s="1715"/>
      <c r="J291" s="1715"/>
      <c r="K291" s="1715"/>
      <c r="L291" s="1715"/>
      <c r="M291" s="1715"/>
      <c r="N291" s="1715"/>
      <c r="O291" s="1715"/>
      <c r="P291" s="1715"/>
      <c r="Q291" s="1715"/>
      <c r="R291" s="1715"/>
      <c r="S291" s="1715"/>
      <c r="T291" s="1715"/>
      <c r="U291" s="1715"/>
      <c r="V291" s="1715"/>
      <c r="W291" s="1715"/>
      <c r="X291" s="1715"/>
      <c r="Y291" s="1715"/>
      <c r="Z291" s="1715"/>
      <c r="AA291" s="1715"/>
      <c r="AB291" s="1715"/>
    </row>
    <row r="292" spans="2:28" ht="15" customHeight="1" x14ac:dyDescent="0.25">
      <c r="B292" s="1715" t="s">
        <v>1434</v>
      </c>
      <c r="C292" s="2497" t="s">
        <v>1638</v>
      </c>
      <c r="D292" s="2498"/>
      <c r="E292" s="2498"/>
      <c r="F292" s="2498"/>
      <c r="G292" s="2498"/>
      <c r="H292" s="2498"/>
      <c r="I292" s="2498"/>
      <c r="J292" s="2498"/>
      <c r="K292" s="2498"/>
      <c r="L292" s="2498"/>
      <c r="M292" s="2498"/>
      <c r="N292" s="2498"/>
      <c r="O292" s="2498"/>
      <c r="P292" s="2498"/>
      <c r="Q292" s="2498"/>
      <c r="R292" s="2498"/>
      <c r="S292" s="2498"/>
      <c r="T292" s="2498"/>
      <c r="U292" s="2498"/>
      <c r="V292" s="2498"/>
      <c r="W292" s="2498"/>
      <c r="X292" s="2498"/>
      <c r="Y292" s="2498"/>
      <c r="Z292" s="2498"/>
      <c r="AA292" s="2498"/>
      <c r="AB292" s="2499"/>
    </row>
    <row r="293" spans="2:28" x14ac:dyDescent="0.25">
      <c r="B293" s="1715"/>
      <c r="C293" s="1715"/>
      <c r="D293" s="1715"/>
      <c r="E293" s="1715"/>
      <c r="F293" s="1715"/>
      <c r="G293" s="1715"/>
      <c r="H293" s="1715"/>
      <c r="I293" s="1715"/>
      <c r="J293" s="1715"/>
      <c r="K293" s="1715"/>
      <c r="L293" s="1715"/>
      <c r="M293" s="1715"/>
      <c r="N293" s="1715"/>
      <c r="O293" s="1715"/>
      <c r="P293" s="1715"/>
      <c r="Q293" s="1715"/>
      <c r="R293" s="1715"/>
      <c r="S293" s="1715"/>
      <c r="T293" s="1715"/>
      <c r="U293" s="1715"/>
      <c r="V293" s="1715"/>
      <c r="W293" s="1715"/>
      <c r="X293" s="1715"/>
      <c r="Y293" s="1715"/>
      <c r="Z293" s="1715"/>
      <c r="AA293" s="1715"/>
      <c r="AB293" s="1715"/>
    </row>
    <row r="294" spans="2:28" s="1748" customFormat="1" ht="21" customHeight="1" x14ac:dyDescent="0.25">
      <c r="B294" s="1747"/>
      <c r="C294" s="1746" t="s">
        <v>1435</v>
      </c>
      <c r="D294" s="1747" t="s">
        <v>1436</v>
      </c>
      <c r="E294" s="1747" t="s">
        <v>1437</v>
      </c>
      <c r="F294" s="1747" t="s">
        <v>1438</v>
      </c>
      <c r="G294" s="1747" t="s">
        <v>1439</v>
      </c>
      <c r="H294" s="1747" t="s">
        <v>1440</v>
      </c>
      <c r="I294" s="1747" t="s">
        <v>1441</v>
      </c>
      <c r="J294" s="1747" t="s">
        <v>1442</v>
      </c>
      <c r="K294" s="1747" t="s">
        <v>1443</v>
      </c>
      <c r="L294" s="1747" t="s">
        <v>1444</v>
      </c>
      <c r="M294" s="1747" t="s">
        <v>1445</v>
      </c>
      <c r="N294" s="1747" t="s">
        <v>1446</v>
      </c>
      <c r="O294" s="1747" t="s">
        <v>1447</v>
      </c>
      <c r="P294" s="1747" t="s">
        <v>1448</v>
      </c>
      <c r="Q294" s="1747" t="s">
        <v>1449</v>
      </c>
      <c r="R294" s="1747" t="s">
        <v>1450</v>
      </c>
      <c r="S294" s="1747" t="s">
        <v>1451</v>
      </c>
      <c r="T294" s="1747" t="s">
        <v>1452</v>
      </c>
      <c r="U294" s="1747" t="s">
        <v>1453</v>
      </c>
      <c r="V294" s="1747" t="s">
        <v>1454</v>
      </c>
      <c r="W294" s="1747" t="s">
        <v>1455</v>
      </c>
      <c r="X294" s="1747" t="s">
        <v>1456</v>
      </c>
      <c r="Y294" s="1747" t="s">
        <v>1457</v>
      </c>
      <c r="Z294" s="1747" t="s">
        <v>1458</v>
      </c>
      <c r="AA294" s="1747" t="s">
        <v>1466</v>
      </c>
      <c r="AB294" s="1747" t="s">
        <v>1467</v>
      </c>
    </row>
    <row r="295" spans="2:28" x14ac:dyDescent="0.25">
      <c r="B295" s="1765" t="s">
        <v>1461</v>
      </c>
      <c r="C295" s="1776">
        <v>0</v>
      </c>
      <c r="D295" s="1776">
        <v>0</v>
      </c>
      <c r="E295" s="1776">
        <v>0</v>
      </c>
      <c r="F295" s="1776">
        <v>0</v>
      </c>
      <c r="G295" s="1776">
        <v>0</v>
      </c>
      <c r="H295" s="1776">
        <v>0</v>
      </c>
      <c r="I295" s="1776">
        <v>0</v>
      </c>
      <c r="J295" s="1776">
        <v>0.02</v>
      </c>
      <c r="K295" s="1776">
        <v>0.75</v>
      </c>
      <c r="L295" s="1776">
        <v>1</v>
      </c>
      <c r="M295" s="1776">
        <v>1</v>
      </c>
      <c r="N295" s="1776">
        <v>1</v>
      </c>
      <c r="O295" s="1776">
        <v>0.75</v>
      </c>
      <c r="P295" s="1776">
        <v>1</v>
      </c>
      <c r="Q295" s="1776">
        <v>1</v>
      </c>
      <c r="R295" s="1776">
        <v>1</v>
      </c>
      <c r="S295" s="1776">
        <v>1</v>
      </c>
      <c r="T295" s="1776">
        <v>1</v>
      </c>
      <c r="U295" s="1776">
        <v>0.52</v>
      </c>
      <c r="V295" s="1776">
        <v>0.52</v>
      </c>
      <c r="W295" s="1776">
        <v>0.52</v>
      </c>
      <c r="X295" s="1776">
        <v>0.28000000000000003</v>
      </c>
      <c r="Y295" s="1776">
        <v>0</v>
      </c>
      <c r="Z295" s="1776">
        <v>0</v>
      </c>
      <c r="AA295" s="1752">
        <f>SUM(C295:Z295)</f>
        <v>11.359999999999998</v>
      </c>
      <c r="AB295" s="1753">
        <f>AA295*SUM($C$9:$C$13)</f>
        <v>2839.9999999999995</v>
      </c>
    </row>
    <row r="296" spans="2:28" x14ac:dyDescent="0.25">
      <c r="B296" s="1767" t="s">
        <v>1431</v>
      </c>
      <c r="C296" s="1777">
        <v>0</v>
      </c>
      <c r="D296" s="1777">
        <v>0</v>
      </c>
      <c r="E296" s="1777">
        <v>0</v>
      </c>
      <c r="F296" s="1777">
        <v>0</v>
      </c>
      <c r="G296" s="1777">
        <v>0</v>
      </c>
      <c r="H296" s="1777">
        <v>0</v>
      </c>
      <c r="I296" s="1777">
        <v>0</v>
      </c>
      <c r="J296" s="1777">
        <v>0.02</v>
      </c>
      <c r="K296" s="1777">
        <v>0.46</v>
      </c>
      <c r="L296" s="1777">
        <v>0.7</v>
      </c>
      <c r="M296" s="1777">
        <v>0.7</v>
      </c>
      <c r="N296" s="1777">
        <v>0.7</v>
      </c>
      <c r="O296" s="1777">
        <v>0.51</v>
      </c>
      <c r="P296" s="1777">
        <v>0.51</v>
      </c>
      <c r="Q296" s="1777">
        <v>0.51</v>
      </c>
      <c r="R296" s="1777">
        <v>0.51</v>
      </c>
      <c r="S296" s="1777">
        <v>0.51</v>
      </c>
      <c r="T296" s="1777">
        <v>0.25</v>
      </c>
      <c r="U296" s="1777">
        <v>0.02</v>
      </c>
      <c r="V296" s="1777">
        <v>0</v>
      </c>
      <c r="W296" s="1777">
        <v>0</v>
      </c>
      <c r="X296" s="1777">
        <v>0</v>
      </c>
      <c r="Y296" s="1777">
        <v>0</v>
      </c>
      <c r="Z296" s="1777">
        <v>0</v>
      </c>
      <c r="AA296" s="1756">
        <f>SUM(C296:Z296)</f>
        <v>5.3999999999999986</v>
      </c>
      <c r="AB296" s="1757">
        <f>AA296*SUM($C$14)</f>
        <v>280.79999999999995</v>
      </c>
    </row>
    <row r="297" spans="2:28" x14ac:dyDescent="0.25">
      <c r="B297" s="1767" t="s">
        <v>1432</v>
      </c>
      <c r="C297" s="1777">
        <v>0</v>
      </c>
      <c r="D297" s="1777">
        <v>0</v>
      </c>
      <c r="E297" s="1777">
        <v>0</v>
      </c>
      <c r="F297" s="1777">
        <v>0</v>
      </c>
      <c r="G297" s="1777">
        <v>0</v>
      </c>
      <c r="H297" s="1777">
        <v>0</v>
      </c>
      <c r="I297" s="1777">
        <v>0</v>
      </c>
      <c r="J297" s="1777">
        <v>0</v>
      </c>
      <c r="K297" s="1777">
        <v>0.02</v>
      </c>
      <c r="L297" s="1777">
        <v>0.02</v>
      </c>
      <c r="M297" s="1777">
        <v>0.02</v>
      </c>
      <c r="N297" s="1777">
        <v>0.02</v>
      </c>
      <c r="O297" s="1777">
        <v>0.02</v>
      </c>
      <c r="P297" s="1777">
        <v>0.02</v>
      </c>
      <c r="Q297" s="1777">
        <v>0.02</v>
      </c>
      <c r="R297" s="1777">
        <v>0.02</v>
      </c>
      <c r="S297" s="1777">
        <v>0</v>
      </c>
      <c r="T297" s="1777">
        <v>0</v>
      </c>
      <c r="U297" s="1777">
        <v>0</v>
      </c>
      <c r="V297" s="1777">
        <v>0</v>
      </c>
      <c r="W297" s="1777">
        <v>0</v>
      </c>
      <c r="X297" s="1777">
        <v>0</v>
      </c>
      <c r="Y297" s="1777">
        <v>0</v>
      </c>
      <c r="Z297" s="1777">
        <v>0</v>
      </c>
      <c r="AA297" s="1756">
        <f>SUM(C297:Z297)</f>
        <v>0.16</v>
      </c>
      <c r="AB297" s="1757">
        <f>AA297*$C$15</f>
        <v>8.32</v>
      </c>
    </row>
    <row r="298" spans="2:28" x14ac:dyDescent="0.25">
      <c r="B298" s="1769" t="s">
        <v>1463</v>
      </c>
      <c r="C298" s="1778">
        <v>0</v>
      </c>
      <c r="D298" s="1778">
        <v>0</v>
      </c>
      <c r="E298" s="1778">
        <v>0</v>
      </c>
      <c r="F298" s="1778">
        <v>0</v>
      </c>
      <c r="G298" s="1778">
        <v>0</v>
      </c>
      <c r="H298" s="1778">
        <v>0</v>
      </c>
      <c r="I298" s="1778">
        <v>0</v>
      </c>
      <c r="J298" s="1778">
        <v>0</v>
      </c>
      <c r="K298" s="1778">
        <v>0.02</v>
      </c>
      <c r="L298" s="1778">
        <v>0.02</v>
      </c>
      <c r="M298" s="1778">
        <v>0.02</v>
      </c>
      <c r="N298" s="1778">
        <v>0.02</v>
      </c>
      <c r="O298" s="1778">
        <v>0.02</v>
      </c>
      <c r="P298" s="1778">
        <v>0.02</v>
      </c>
      <c r="Q298" s="1778">
        <v>0.02</v>
      </c>
      <c r="R298" s="1778">
        <v>0.02</v>
      </c>
      <c r="S298" s="1778">
        <v>0</v>
      </c>
      <c r="T298" s="1778">
        <v>0</v>
      </c>
      <c r="U298" s="1778">
        <v>0</v>
      </c>
      <c r="V298" s="1778">
        <v>0</v>
      </c>
      <c r="W298" s="1778">
        <v>0</v>
      </c>
      <c r="X298" s="1778">
        <v>0</v>
      </c>
      <c r="Y298" s="1778">
        <v>0</v>
      </c>
      <c r="Z298" s="1778">
        <v>0</v>
      </c>
      <c r="AA298" s="1760">
        <f>SUM(C298:Z298)</f>
        <v>0.16</v>
      </c>
      <c r="AB298" s="1761">
        <f>AA298*SUM($C$8)</f>
        <v>1.76</v>
      </c>
    </row>
    <row r="299" spans="2:28" x14ac:dyDescent="0.25">
      <c r="B299" s="2500" t="s">
        <v>1468</v>
      </c>
      <c r="C299" s="2501"/>
      <c r="D299" s="2501"/>
      <c r="E299" s="2501"/>
      <c r="F299" s="2501"/>
      <c r="G299" s="2501"/>
      <c r="H299" s="2501"/>
      <c r="I299" s="2501"/>
      <c r="J299" s="2501"/>
      <c r="K299" s="2501"/>
      <c r="L299" s="2501"/>
      <c r="M299" s="2501"/>
      <c r="N299" s="2501"/>
      <c r="O299" s="2501"/>
      <c r="P299" s="2501"/>
      <c r="Q299" s="2501"/>
      <c r="R299" s="2501"/>
      <c r="S299" s="2501"/>
      <c r="T299" s="2501"/>
      <c r="U299" s="2501"/>
      <c r="V299" s="2501"/>
      <c r="W299" s="2501"/>
      <c r="X299" s="2501"/>
      <c r="Y299" s="2501"/>
      <c r="Z299" s="2501"/>
      <c r="AA299" s="2501"/>
      <c r="AB299" s="1749">
        <f>SUM(AB295:AB298)</f>
        <v>3130.8799999999997</v>
      </c>
    </row>
    <row r="300" spans="2:28" x14ac:dyDescent="0.25">
      <c r="B300" s="1715"/>
      <c r="C300" s="1715"/>
      <c r="D300" s="1715"/>
      <c r="E300" s="1715"/>
      <c r="F300" s="1715"/>
      <c r="G300" s="1715"/>
      <c r="H300" s="1715"/>
      <c r="I300" s="1715"/>
      <c r="J300" s="1715"/>
      <c r="K300" s="1715"/>
      <c r="L300" s="1715"/>
      <c r="M300" s="1715"/>
      <c r="N300" s="1715"/>
      <c r="O300" s="1715"/>
      <c r="P300" s="1715"/>
      <c r="Q300" s="1715"/>
      <c r="R300" s="1715"/>
      <c r="S300" s="1715"/>
      <c r="T300" s="1715"/>
      <c r="U300" s="1715"/>
      <c r="V300" s="1715"/>
      <c r="W300" s="1715"/>
      <c r="X300" s="1715"/>
      <c r="Y300" s="1715"/>
      <c r="Z300" s="1715"/>
      <c r="AA300" s="1715"/>
      <c r="AB300" s="1715"/>
    </row>
    <row r="301" spans="2:28" x14ac:dyDescent="0.25">
      <c r="B301" s="1726" t="s">
        <v>1639</v>
      </c>
      <c r="C301" s="1715"/>
      <c r="D301" s="1715"/>
      <c r="E301" s="1715"/>
      <c r="F301" s="1715"/>
      <c r="G301" s="1715"/>
      <c r="H301" s="1715"/>
      <c r="I301" s="1715"/>
      <c r="J301" s="1715"/>
      <c r="K301" s="1715"/>
      <c r="L301" s="1715"/>
      <c r="M301" s="1715"/>
      <c r="N301" s="1715"/>
      <c r="O301" s="1715"/>
      <c r="P301" s="1715"/>
      <c r="Q301" s="1715"/>
      <c r="R301" s="1715"/>
      <c r="S301" s="1715"/>
      <c r="T301" s="1715"/>
      <c r="U301" s="1715"/>
      <c r="V301" s="1715"/>
      <c r="W301" s="1715"/>
      <c r="X301" s="1715"/>
      <c r="Y301" s="1715"/>
      <c r="Z301" s="1715"/>
      <c r="AA301" s="1715"/>
      <c r="AB301" s="1715"/>
    </row>
    <row r="302" spans="2:28" x14ac:dyDescent="0.25">
      <c r="B302" s="1715"/>
      <c r="C302" s="1715"/>
      <c r="D302" s="1715"/>
      <c r="E302" s="1715"/>
      <c r="F302" s="1715"/>
      <c r="G302" s="1715"/>
      <c r="H302" s="1715"/>
      <c r="I302" s="1715"/>
      <c r="J302" s="1715"/>
      <c r="K302" s="1715"/>
      <c r="L302" s="1715"/>
      <c r="M302" s="1715"/>
      <c r="N302" s="1715"/>
      <c r="O302" s="1715"/>
      <c r="P302" s="1715"/>
      <c r="Q302" s="1715"/>
      <c r="R302" s="1715"/>
      <c r="S302" s="1715"/>
      <c r="T302" s="1715"/>
      <c r="U302" s="1715"/>
      <c r="V302" s="1715"/>
      <c r="W302" s="1715"/>
      <c r="X302" s="1715"/>
      <c r="Y302" s="1715"/>
      <c r="Z302" s="1715"/>
      <c r="AA302" s="1715"/>
      <c r="AB302" s="1715"/>
    </row>
    <row r="303" spans="2:28" ht="15" customHeight="1" x14ac:dyDescent="0.25">
      <c r="B303" s="1715" t="s">
        <v>1434</v>
      </c>
      <c r="C303" s="2497" t="s">
        <v>1640</v>
      </c>
      <c r="D303" s="2498"/>
      <c r="E303" s="2498"/>
      <c r="F303" s="2498"/>
      <c r="G303" s="2498"/>
      <c r="H303" s="2498"/>
      <c r="I303" s="2498"/>
      <c r="J303" s="2498"/>
      <c r="K303" s="2498"/>
      <c r="L303" s="2498"/>
      <c r="M303" s="2498"/>
      <c r="N303" s="2498"/>
      <c r="O303" s="2498"/>
      <c r="P303" s="2498"/>
      <c r="Q303" s="2498"/>
      <c r="R303" s="2498"/>
      <c r="S303" s="2498"/>
      <c r="T303" s="2498"/>
      <c r="U303" s="2498"/>
      <c r="V303" s="2498"/>
      <c r="W303" s="2498"/>
      <c r="X303" s="2498"/>
      <c r="Y303" s="2498"/>
      <c r="Z303" s="2498"/>
      <c r="AA303" s="2498"/>
      <c r="AB303" s="2499"/>
    </row>
    <row r="304" spans="2:28" x14ac:dyDescent="0.25">
      <c r="B304" s="1715"/>
      <c r="C304" s="1715"/>
      <c r="D304" s="1715"/>
      <c r="E304" s="1715"/>
      <c r="F304" s="1715"/>
      <c r="G304" s="1715"/>
      <c r="H304" s="1715"/>
      <c r="I304" s="1715"/>
      <c r="J304" s="1715"/>
      <c r="K304" s="1715"/>
      <c r="L304" s="1715"/>
      <c r="M304" s="1715"/>
      <c r="N304" s="1715"/>
      <c r="O304" s="1715"/>
      <c r="P304" s="1715"/>
      <c r="Q304" s="1715"/>
      <c r="R304" s="1715"/>
      <c r="S304" s="1715"/>
      <c r="T304" s="1715"/>
      <c r="U304" s="1715"/>
      <c r="V304" s="1715"/>
      <c r="W304" s="1715"/>
      <c r="X304" s="1715"/>
      <c r="Y304" s="1715"/>
      <c r="Z304" s="1715"/>
      <c r="AA304" s="1715"/>
      <c r="AB304" s="1715"/>
    </row>
    <row r="305" spans="2:28" s="1748" customFormat="1" ht="21" customHeight="1" x14ac:dyDescent="0.25">
      <c r="B305" s="1747"/>
      <c r="C305" s="1746" t="s">
        <v>1435</v>
      </c>
      <c r="D305" s="1747" t="s">
        <v>1436</v>
      </c>
      <c r="E305" s="1747" t="s">
        <v>1437</v>
      </c>
      <c r="F305" s="1747" t="s">
        <v>1438</v>
      </c>
      <c r="G305" s="1747" t="s">
        <v>1439</v>
      </c>
      <c r="H305" s="1747" t="s">
        <v>1440</v>
      </c>
      <c r="I305" s="1747" t="s">
        <v>1441</v>
      </c>
      <c r="J305" s="1747" t="s">
        <v>1442</v>
      </c>
      <c r="K305" s="1747" t="s">
        <v>1443</v>
      </c>
      <c r="L305" s="1747" t="s">
        <v>1444</v>
      </c>
      <c r="M305" s="1747" t="s">
        <v>1445</v>
      </c>
      <c r="N305" s="1747" t="s">
        <v>1446</v>
      </c>
      <c r="O305" s="1747" t="s">
        <v>1447</v>
      </c>
      <c r="P305" s="1747" t="s">
        <v>1448</v>
      </c>
      <c r="Q305" s="1747" t="s">
        <v>1449</v>
      </c>
      <c r="R305" s="1747" t="s">
        <v>1450</v>
      </c>
      <c r="S305" s="1747" t="s">
        <v>1451</v>
      </c>
      <c r="T305" s="1747" t="s">
        <v>1452</v>
      </c>
      <c r="U305" s="1747" t="s">
        <v>1453</v>
      </c>
      <c r="V305" s="1747" t="s">
        <v>1454</v>
      </c>
      <c r="W305" s="1747" t="s">
        <v>1455</v>
      </c>
      <c r="X305" s="1747" t="s">
        <v>1456</v>
      </c>
      <c r="Y305" s="1747" t="s">
        <v>1457</v>
      </c>
      <c r="Z305" s="1747" t="s">
        <v>1458</v>
      </c>
      <c r="AA305" s="1747" t="s">
        <v>1459</v>
      </c>
      <c r="AB305" s="1747" t="s">
        <v>1460</v>
      </c>
    </row>
    <row r="306" spans="2:28" x14ac:dyDescent="0.25">
      <c r="B306" s="1765" t="s">
        <v>1461</v>
      </c>
      <c r="C306" s="1779">
        <v>0</v>
      </c>
      <c r="D306" s="1779">
        <v>0</v>
      </c>
      <c r="E306" s="1779">
        <v>0</v>
      </c>
      <c r="F306" s="1779">
        <v>0</v>
      </c>
      <c r="G306" s="1779">
        <v>0</v>
      </c>
      <c r="H306" s="1779">
        <v>0</v>
      </c>
      <c r="I306" s="1779">
        <v>1</v>
      </c>
      <c r="J306" s="1779">
        <v>1</v>
      </c>
      <c r="K306" s="1779">
        <v>1</v>
      </c>
      <c r="L306" s="1779">
        <v>1</v>
      </c>
      <c r="M306" s="1779">
        <v>1</v>
      </c>
      <c r="N306" s="1779">
        <v>1</v>
      </c>
      <c r="O306" s="1779">
        <v>1</v>
      </c>
      <c r="P306" s="1779">
        <v>1</v>
      </c>
      <c r="Q306" s="1779">
        <v>1</v>
      </c>
      <c r="R306" s="1779">
        <v>1</v>
      </c>
      <c r="S306" s="1779">
        <v>1</v>
      </c>
      <c r="T306" s="1779">
        <v>1</v>
      </c>
      <c r="U306" s="1779">
        <v>1</v>
      </c>
      <c r="V306" s="1779">
        <v>1</v>
      </c>
      <c r="W306" s="1779">
        <v>1</v>
      </c>
      <c r="X306" s="1779">
        <v>0</v>
      </c>
      <c r="Y306" s="1779">
        <v>0</v>
      </c>
      <c r="Z306" s="1779">
        <v>0</v>
      </c>
      <c r="AA306" s="1752">
        <f>SUM(C306:Z306)</f>
        <v>15</v>
      </c>
      <c r="AB306" s="1753">
        <f>AA306*SUM($C$9:$C$13)</f>
        <v>3750</v>
      </c>
    </row>
    <row r="307" spans="2:28" x14ac:dyDescent="0.25">
      <c r="B307" s="1767" t="s">
        <v>1431</v>
      </c>
      <c r="C307" s="1780">
        <v>0</v>
      </c>
      <c r="D307" s="1780">
        <v>0</v>
      </c>
      <c r="E307" s="1780">
        <v>0</v>
      </c>
      <c r="F307" s="1780">
        <v>0</v>
      </c>
      <c r="G307" s="1780">
        <v>0</v>
      </c>
      <c r="H307" s="1780">
        <v>0</v>
      </c>
      <c r="I307" s="1780">
        <v>1</v>
      </c>
      <c r="J307" s="1780">
        <v>1</v>
      </c>
      <c r="K307" s="1780">
        <v>1</v>
      </c>
      <c r="L307" s="1780">
        <v>1</v>
      </c>
      <c r="M307" s="1780">
        <v>1</v>
      </c>
      <c r="N307" s="1780">
        <v>1</v>
      </c>
      <c r="O307" s="1780">
        <v>1</v>
      </c>
      <c r="P307" s="1780">
        <v>1</v>
      </c>
      <c r="Q307" s="1780">
        <v>1</v>
      </c>
      <c r="R307" s="1780">
        <v>1</v>
      </c>
      <c r="S307" s="1780">
        <v>1</v>
      </c>
      <c r="T307" s="1780">
        <v>1</v>
      </c>
      <c r="U307" s="1780">
        <v>1</v>
      </c>
      <c r="V307" s="1780">
        <v>1</v>
      </c>
      <c r="W307" s="1780">
        <v>1</v>
      </c>
      <c r="X307" s="1780">
        <v>1</v>
      </c>
      <c r="Y307" s="1780">
        <v>0</v>
      </c>
      <c r="Z307" s="1780">
        <v>0</v>
      </c>
      <c r="AA307" s="1756">
        <f>SUM(C307:Z307)</f>
        <v>16</v>
      </c>
      <c r="AB307" s="1757">
        <f>AA307*SUM($C$14)</f>
        <v>832</v>
      </c>
    </row>
    <row r="308" spans="2:28" x14ac:dyDescent="0.25">
      <c r="B308" s="1767" t="s">
        <v>1432</v>
      </c>
      <c r="C308" s="1780">
        <v>0</v>
      </c>
      <c r="D308" s="1780">
        <v>0</v>
      </c>
      <c r="E308" s="1780">
        <v>0</v>
      </c>
      <c r="F308" s="1780">
        <v>0</v>
      </c>
      <c r="G308" s="1780">
        <v>0</v>
      </c>
      <c r="H308" s="1780">
        <v>0</v>
      </c>
      <c r="I308" s="1780">
        <v>0</v>
      </c>
      <c r="J308" s="1780">
        <v>0</v>
      </c>
      <c r="K308" s="1780">
        <v>1</v>
      </c>
      <c r="L308" s="1780">
        <v>1</v>
      </c>
      <c r="M308" s="1780">
        <v>1</v>
      </c>
      <c r="N308" s="1780">
        <v>1</v>
      </c>
      <c r="O308" s="1780">
        <v>1</v>
      </c>
      <c r="P308" s="1780">
        <v>1</v>
      </c>
      <c r="Q308" s="1780">
        <v>1</v>
      </c>
      <c r="R308" s="1780">
        <v>1</v>
      </c>
      <c r="S308" s="1780">
        <v>1</v>
      </c>
      <c r="T308" s="1780">
        <v>0</v>
      </c>
      <c r="U308" s="1780">
        <v>0</v>
      </c>
      <c r="V308" s="1780">
        <v>0</v>
      </c>
      <c r="W308" s="1780">
        <v>0</v>
      </c>
      <c r="X308" s="1780">
        <v>0</v>
      </c>
      <c r="Y308" s="1780">
        <v>0</v>
      </c>
      <c r="Z308" s="1780">
        <v>0</v>
      </c>
      <c r="AA308" s="1756">
        <f>SUM(C308:Z308)</f>
        <v>9</v>
      </c>
      <c r="AB308" s="1757">
        <f>AA308*$C$15</f>
        <v>468</v>
      </c>
    </row>
    <row r="309" spans="2:28" x14ac:dyDescent="0.25">
      <c r="B309" s="1769" t="s">
        <v>1463</v>
      </c>
      <c r="C309" s="1781">
        <v>0</v>
      </c>
      <c r="D309" s="1781">
        <v>0</v>
      </c>
      <c r="E309" s="1781">
        <v>0</v>
      </c>
      <c r="F309" s="1781">
        <v>0</v>
      </c>
      <c r="G309" s="1781">
        <v>0</v>
      </c>
      <c r="H309" s="1781">
        <v>0</v>
      </c>
      <c r="I309" s="1781">
        <v>0</v>
      </c>
      <c r="J309" s="1781">
        <v>0</v>
      </c>
      <c r="K309" s="1781">
        <v>1</v>
      </c>
      <c r="L309" s="1781">
        <v>1</v>
      </c>
      <c r="M309" s="1781">
        <v>1</v>
      </c>
      <c r="N309" s="1781">
        <v>1</v>
      </c>
      <c r="O309" s="1781">
        <v>1</v>
      </c>
      <c r="P309" s="1781">
        <v>1</v>
      </c>
      <c r="Q309" s="1781">
        <v>1</v>
      </c>
      <c r="R309" s="1781">
        <v>1</v>
      </c>
      <c r="S309" s="1781">
        <v>1</v>
      </c>
      <c r="T309" s="1781">
        <v>0</v>
      </c>
      <c r="U309" s="1781">
        <v>0</v>
      </c>
      <c r="V309" s="1781">
        <v>0</v>
      </c>
      <c r="W309" s="1781">
        <v>0</v>
      </c>
      <c r="X309" s="1781">
        <v>0</v>
      </c>
      <c r="Y309" s="1781">
        <v>0</v>
      </c>
      <c r="Z309" s="1781">
        <v>0</v>
      </c>
      <c r="AA309" s="1760">
        <f>SUM(C309:Z309)</f>
        <v>9</v>
      </c>
      <c r="AB309" s="1761">
        <f>AA309*SUM($C$8)</f>
        <v>99</v>
      </c>
    </row>
    <row r="310" spans="2:28" x14ac:dyDescent="0.25">
      <c r="B310" s="2500" t="s">
        <v>1464</v>
      </c>
      <c r="C310" s="2501"/>
      <c r="D310" s="2501"/>
      <c r="E310" s="2501"/>
      <c r="F310" s="2501"/>
      <c r="G310" s="2501"/>
      <c r="H310" s="2501"/>
      <c r="I310" s="2501"/>
      <c r="J310" s="2501"/>
      <c r="K310" s="2501"/>
      <c r="L310" s="2501"/>
      <c r="M310" s="2501"/>
      <c r="N310" s="2501"/>
      <c r="O310" s="2501"/>
      <c r="P310" s="2501"/>
      <c r="Q310" s="2501"/>
      <c r="R310" s="2501"/>
      <c r="S310" s="2501"/>
      <c r="T310" s="2501"/>
      <c r="U310" s="2501"/>
      <c r="V310" s="2501"/>
      <c r="W310" s="2501"/>
      <c r="X310" s="2501"/>
      <c r="Y310" s="2501"/>
      <c r="Z310" s="2501"/>
      <c r="AA310" s="2501"/>
      <c r="AB310" s="1749">
        <f>SUM(AB306:AB309)</f>
        <v>5149</v>
      </c>
    </row>
    <row r="311" spans="2:28" x14ac:dyDescent="0.25">
      <c r="B311" s="1715"/>
      <c r="C311" s="1715"/>
      <c r="D311" s="1715"/>
      <c r="E311" s="1715"/>
      <c r="F311" s="1715"/>
      <c r="G311" s="1715"/>
      <c r="H311" s="1715"/>
      <c r="I311" s="1715"/>
      <c r="J311" s="1715"/>
      <c r="K311" s="1715"/>
      <c r="L311" s="1715"/>
      <c r="M311" s="1715"/>
      <c r="N311" s="1715"/>
      <c r="O311" s="1715"/>
      <c r="P311" s="1715"/>
      <c r="Q311" s="1715"/>
      <c r="R311" s="1715"/>
      <c r="S311" s="1715"/>
      <c r="T311" s="1715"/>
      <c r="U311" s="1715"/>
      <c r="V311" s="1715"/>
      <c r="W311" s="1715"/>
      <c r="X311" s="1715"/>
      <c r="Y311" s="1715"/>
      <c r="Z311" s="1715"/>
      <c r="AA311" s="1715"/>
      <c r="AB311" s="1715"/>
    </row>
    <row r="312" spans="2:28" ht="15" customHeight="1" x14ac:dyDescent="0.25">
      <c r="B312" s="1715" t="s">
        <v>1434</v>
      </c>
      <c r="C312" s="2497" t="s">
        <v>1641</v>
      </c>
      <c r="D312" s="2498"/>
      <c r="E312" s="2498"/>
      <c r="F312" s="2498"/>
      <c r="G312" s="2498"/>
      <c r="H312" s="2498"/>
      <c r="I312" s="2498"/>
      <c r="J312" s="2498"/>
      <c r="K312" s="2498"/>
      <c r="L312" s="2498"/>
      <c r="M312" s="2498"/>
      <c r="N312" s="2498"/>
      <c r="O312" s="2498"/>
      <c r="P312" s="2498"/>
      <c r="Q312" s="2498"/>
      <c r="R312" s="2498"/>
      <c r="S312" s="2498"/>
      <c r="T312" s="2498"/>
      <c r="U312" s="2498"/>
      <c r="V312" s="2498"/>
      <c r="W312" s="2498"/>
      <c r="X312" s="2498"/>
      <c r="Y312" s="2498"/>
      <c r="Z312" s="2498"/>
      <c r="AA312" s="2498"/>
      <c r="AB312" s="2499"/>
    </row>
    <row r="313" spans="2:28" x14ac:dyDescent="0.25">
      <c r="B313" s="1715"/>
      <c r="C313" s="1715"/>
      <c r="D313" s="1715"/>
      <c r="E313" s="1715"/>
      <c r="F313" s="1715"/>
      <c r="G313" s="1715"/>
      <c r="H313" s="1715"/>
      <c r="I313" s="1715"/>
      <c r="J313" s="1715"/>
      <c r="K313" s="1715"/>
      <c r="L313" s="1715"/>
      <c r="M313" s="1715"/>
      <c r="N313" s="1715"/>
      <c r="O313" s="1715"/>
      <c r="P313" s="1715"/>
      <c r="Q313" s="1715"/>
      <c r="R313" s="1715"/>
      <c r="S313" s="1715"/>
      <c r="T313" s="1715"/>
      <c r="U313" s="1715"/>
      <c r="V313" s="1715"/>
      <c r="W313" s="1715"/>
      <c r="X313" s="1715"/>
      <c r="Y313" s="1715"/>
      <c r="Z313" s="1715"/>
      <c r="AA313" s="1715"/>
      <c r="AB313" s="1715"/>
    </row>
    <row r="314" spans="2:28" s="1748" customFormat="1" ht="21" customHeight="1" x14ac:dyDescent="0.25">
      <c r="B314" s="1747"/>
      <c r="C314" s="1746" t="s">
        <v>1435</v>
      </c>
      <c r="D314" s="1747" t="s">
        <v>1436</v>
      </c>
      <c r="E314" s="1747" t="s">
        <v>1437</v>
      </c>
      <c r="F314" s="1747" t="s">
        <v>1438</v>
      </c>
      <c r="G314" s="1747" t="s">
        <v>1439</v>
      </c>
      <c r="H314" s="1747" t="s">
        <v>1440</v>
      </c>
      <c r="I314" s="1747" t="s">
        <v>1441</v>
      </c>
      <c r="J314" s="1747" t="s">
        <v>1442</v>
      </c>
      <c r="K314" s="1747" t="s">
        <v>1443</v>
      </c>
      <c r="L314" s="1747" t="s">
        <v>1444</v>
      </c>
      <c r="M314" s="1747" t="s">
        <v>1445</v>
      </c>
      <c r="N314" s="1747" t="s">
        <v>1446</v>
      </c>
      <c r="O314" s="1747" t="s">
        <v>1447</v>
      </c>
      <c r="P314" s="1747" t="s">
        <v>1448</v>
      </c>
      <c r="Q314" s="1747" t="s">
        <v>1449</v>
      </c>
      <c r="R314" s="1747" t="s">
        <v>1450</v>
      </c>
      <c r="S314" s="1747" t="s">
        <v>1451</v>
      </c>
      <c r="T314" s="1747" t="s">
        <v>1452</v>
      </c>
      <c r="U314" s="1747" t="s">
        <v>1453</v>
      </c>
      <c r="V314" s="1747" t="s">
        <v>1454</v>
      </c>
      <c r="W314" s="1747" t="s">
        <v>1455</v>
      </c>
      <c r="X314" s="1747" t="s">
        <v>1456</v>
      </c>
      <c r="Y314" s="1747" t="s">
        <v>1457</v>
      </c>
      <c r="Z314" s="1747" t="s">
        <v>1458</v>
      </c>
      <c r="AA314" s="1747" t="s">
        <v>1466</v>
      </c>
      <c r="AB314" s="1747" t="s">
        <v>1467</v>
      </c>
    </row>
    <row r="315" spans="2:28" x14ac:dyDescent="0.25">
      <c r="B315" s="1765" t="s">
        <v>1461</v>
      </c>
      <c r="C315" s="1776">
        <v>0</v>
      </c>
      <c r="D315" s="1776">
        <v>0</v>
      </c>
      <c r="E315" s="1776">
        <v>0</v>
      </c>
      <c r="F315" s="1776">
        <v>0</v>
      </c>
      <c r="G315" s="1776">
        <v>0</v>
      </c>
      <c r="H315" s="1776">
        <v>0</v>
      </c>
      <c r="I315" s="1776">
        <v>0</v>
      </c>
      <c r="J315" s="1776">
        <v>0.1</v>
      </c>
      <c r="K315" s="1776">
        <v>0.2</v>
      </c>
      <c r="L315" s="1776">
        <v>0.5</v>
      </c>
      <c r="M315" s="1776">
        <v>0.5</v>
      </c>
      <c r="N315" s="1776">
        <v>0.7</v>
      </c>
      <c r="O315" s="1776">
        <v>0.7</v>
      </c>
      <c r="P315" s="1776">
        <v>0.7</v>
      </c>
      <c r="Q315" s="1776">
        <v>0.7</v>
      </c>
      <c r="R315" s="1776">
        <v>0.8</v>
      </c>
      <c r="S315" s="1776">
        <v>0.7</v>
      </c>
      <c r="T315" s="1776">
        <v>0.5</v>
      </c>
      <c r="U315" s="1776">
        <v>0.5</v>
      </c>
      <c r="V315" s="1776">
        <v>0.3</v>
      </c>
      <c r="W315" s="1776">
        <v>0.3</v>
      </c>
      <c r="X315" s="1776">
        <v>0</v>
      </c>
      <c r="Y315" s="1776">
        <v>0</v>
      </c>
      <c r="Z315" s="1776">
        <v>0</v>
      </c>
      <c r="AA315" s="1752">
        <f>SUM(C315:Z315)</f>
        <v>7.2</v>
      </c>
      <c r="AB315" s="1753">
        <f>AA315*SUM($C$9:$C$13)</f>
        <v>1800</v>
      </c>
    </row>
    <row r="316" spans="2:28" x14ac:dyDescent="0.25">
      <c r="B316" s="1767" t="s">
        <v>1431</v>
      </c>
      <c r="C316" s="1777">
        <v>0</v>
      </c>
      <c r="D316" s="1777">
        <v>0</v>
      </c>
      <c r="E316" s="1777">
        <v>0</v>
      </c>
      <c r="F316" s="1777">
        <v>0</v>
      </c>
      <c r="G316" s="1777">
        <v>0</v>
      </c>
      <c r="H316" s="1777">
        <v>0</v>
      </c>
      <c r="I316" s="1777">
        <v>0</v>
      </c>
      <c r="J316" s="1777">
        <v>0.1</v>
      </c>
      <c r="K316" s="1777">
        <v>0.2</v>
      </c>
      <c r="L316" s="1777">
        <v>0.5</v>
      </c>
      <c r="M316" s="1777">
        <v>0.6</v>
      </c>
      <c r="N316" s="1777">
        <v>0.8</v>
      </c>
      <c r="O316" s="1777">
        <v>0.8</v>
      </c>
      <c r="P316" s="1777">
        <v>0.8</v>
      </c>
      <c r="Q316" s="1777">
        <v>0.8</v>
      </c>
      <c r="R316" s="1777">
        <v>0.8</v>
      </c>
      <c r="S316" s="1777">
        <v>0.8</v>
      </c>
      <c r="T316" s="1777">
        <v>0.6</v>
      </c>
      <c r="U316" s="1777">
        <v>0.2</v>
      </c>
      <c r="V316" s="1777">
        <v>0.2</v>
      </c>
      <c r="W316" s="1777">
        <v>0.2</v>
      </c>
      <c r="X316" s="1777">
        <v>0.1</v>
      </c>
      <c r="Y316" s="1777">
        <v>0</v>
      </c>
      <c r="Z316" s="1777">
        <v>0</v>
      </c>
      <c r="AA316" s="1756">
        <f>SUM(C316:Z316)</f>
        <v>7.4999999999999991</v>
      </c>
      <c r="AB316" s="1757">
        <f>AA316*SUM($C$14)</f>
        <v>389.99999999999994</v>
      </c>
    </row>
    <row r="317" spans="2:28" x14ac:dyDescent="0.25">
      <c r="B317" s="1767" t="s">
        <v>1432</v>
      </c>
      <c r="C317" s="1777">
        <v>0</v>
      </c>
      <c r="D317" s="1777">
        <v>0</v>
      </c>
      <c r="E317" s="1777">
        <v>0</v>
      </c>
      <c r="F317" s="1777">
        <v>0</v>
      </c>
      <c r="G317" s="1777">
        <v>0</v>
      </c>
      <c r="H317" s="1777">
        <v>0</v>
      </c>
      <c r="I317" s="1777">
        <v>0</v>
      </c>
      <c r="J317" s="1777">
        <v>0</v>
      </c>
      <c r="K317" s="1777">
        <v>0</v>
      </c>
      <c r="L317" s="1777">
        <v>0.1</v>
      </c>
      <c r="M317" s="1777">
        <v>0.2</v>
      </c>
      <c r="N317" s="1777">
        <v>0.2</v>
      </c>
      <c r="O317" s="1777">
        <v>0.4</v>
      </c>
      <c r="P317" s="1777">
        <v>0.4</v>
      </c>
      <c r="Q317" s="1777">
        <v>0.4</v>
      </c>
      <c r="R317" s="1777">
        <v>0.4</v>
      </c>
      <c r="S317" s="1777">
        <v>0.4</v>
      </c>
      <c r="T317" s="1777">
        <v>0.2</v>
      </c>
      <c r="U317" s="1777">
        <v>0.1</v>
      </c>
      <c r="V317" s="1777">
        <v>0</v>
      </c>
      <c r="W317" s="1777">
        <v>0</v>
      </c>
      <c r="X317" s="1777">
        <v>0</v>
      </c>
      <c r="Y317" s="1777">
        <v>0</v>
      </c>
      <c r="Z317" s="1777">
        <v>0</v>
      </c>
      <c r="AA317" s="1756">
        <f>SUM(C317:Z317)</f>
        <v>2.8000000000000003</v>
      </c>
      <c r="AB317" s="1757">
        <f>AA317*$C$15</f>
        <v>145.60000000000002</v>
      </c>
    </row>
    <row r="318" spans="2:28" x14ac:dyDescent="0.25">
      <c r="B318" s="1769" t="s">
        <v>1463</v>
      </c>
      <c r="C318" s="1778">
        <v>0</v>
      </c>
      <c r="D318" s="1778">
        <v>0</v>
      </c>
      <c r="E318" s="1778">
        <v>0</v>
      </c>
      <c r="F318" s="1778">
        <v>0</v>
      </c>
      <c r="G318" s="1778">
        <v>0</v>
      </c>
      <c r="H318" s="1778">
        <v>0</v>
      </c>
      <c r="I318" s="1778">
        <v>0</v>
      </c>
      <c r="J318" s="1778">
        <v>0</v>
      </c>
      <c r="K318" s="1778">
        <v>0</v>
      </c>
      <c r="L318" s="1778">
        <v>0.1</v>
      </c>
      <c r="M318" s="1778">
        <v>0.2</v>
      </c>
      <c r="N318" s="1778">
        <v>0.2</v>
      </c>
      <c r="O318" s="1778">
        <v>0.4</v>
      </c>
      <c r="P318" s="1778">
        <v>0.4</v>
      </c>
      <c r="Q318" s="1778">
        <v>0.4</v>
      </c>
      <c r="R318" s="1778">
        <v>0.4</v>
      </c>
      <c r="S318" s="1778">
        <v>0.4</v>
      </c>
      <c r="T318" s="1778">
        <v>0.2</v>
      </c>
      <c r="U318" s="1778">
        <v>0.1</v>
      </c>
      <c r="V318" s="1778">
        <v>0</v>
      </c>
      <c r="W318" s="1778">
        <v>0</v>
      </c>
      <c r="X318" s="1778">
        <v>0</v>
      </c>
      <c r="Y318" s="1778">
        <v>0</v>
      </c>
      <c r="Z318" s="1778">
        <v>0</v>
      </c>
      <c r="AA318" s="1760">
        <f>SUM(C318:Z318)</f>
        <v>2.8000000000000003</v>
      </c>
      <c r="AB318" s="1761">
        <f>AA318*SUM($C$8)</f>
        <v>30.800000000000004</v>
      </c>
    </row>
    <row r="319" spans="2:28" x14ac:dyDescent="0.25">
      <c r="B319" s="2500" t="s">
        <v>1468</v>
      </c>
      <c r="C319" s="2501"/>
      <c r="D319" s="2501"/>
      <c r="E319" s="2501"/>
      <c r="F319" s="2501"/>
      <c r="G319" s="2501"/>
      <c r="H319" s="2501"/>
      <c r="I319" s="2501"/>
      <c r="J319" s="2501"/>
      <c r="K319" s="2501"/>
      <c r="L319" s="2501"/>
      <c r="M319" s="2501"/>
      <c r="N319" s="2501"/>
      <c r="O319" s="2501"/>
      <c r="P319" s="2501"/>
      <c r="Q319" s="2501"/>
      <c r="R319" s="2501"/>
      <c r="S319" s="2501"/>
      <c r="T319" s="2501"/>
      <c r="U319" s="2501"/>
      <c r="V319" s="2501"/>
      <c r="W319" s="2501"/>
      <c r="X319" s="2501"/>
      <c r="Y319" s="2501"/>
      <c r="Z319" s="2501"/>
      <c r="AA319" s="2501"/>
      <c r="AB319" s="1749">
        <f>SUM(AB315:AB318)</f>
        <v>2366.4</v>
      </c>
    </row>
    <row r="320" spans="2:28" x14ac:dyDescent="0.25">
      <c r="B320" s="1715"/>
      <c r="C320" s="1715"/>
      <c r="D320" s="1715"/>
      <c r="E320" s="1715"/>
      <c r="F320" s="1715"/>
      <c r="G320" s="1715"/>
      <c r="H320" s="1715"/>
      <c r="I320" s="1715"/>
      <c r="J320" s="1715"/>
      <c r="K320" s="1715"/>
      <c r="L320" s="1715"/>
      <c r="M320" s="1715"/>
      <c r="N320" s="1715"/>
      <c r="O320" s="1715"/>
      <c r="P320" s="1715"/>
      <c r="Q320" s="1715"/>
      <c r="R320" s="1715"/>
      <c r="S320" s="1715"/>
      <c r="T320" s="1715"/>
      <c r="U320" s="1715"/>
      <c r="V320" s="1715"/>
      <c r="W320" s="1715"/>
      <c r="X320" s="1715"/>
      <c r="Y320" s="1715"/>
      <c r="Z320" s="1715"/>
      <c r="AA320" s="1715"/>
      <c r="AB320" s="1715"/>
    </row>
    <row r="321" spans="2:28" ht="15" customHeight="1" x14ac:dyDescent="0.25">
      <c r="B321" s="1715" t="s">
        <v>1434</v>
      </c>
      <c r="C321" s="2497" t="s">
        <v>1642</v>
      </c>
      <c r="D321" s="2498"/>
      <c r="E321" s="2498"/>
      <c r="F321" s="2498"/>
      <c r="G321" s="2498"/>
      <c r="H321" s="2498"/>
      <c r="I321" s="2498"/>
      <c r="J321" s="2498"/>
      <c r="K321" s="2498"/>
      <c r="L321" s="2498"/>
      <c r="M321" s="2498"/>
      <c r="N321" s="2498"/>
      <c r="O321" s="2498"/>
      <c r="P321" s="2498"/>
      <c r="Q321" s="2498"/>
      <c r="R321" s="2498"/>
      <c r="S321" s="2498"/>
      <c r="T321" s="2498"/>
      <c r="U321" s="2498"/>
      <c r="V321" s="2498"/>
      <c r="W321" s="2498"/>
      <c r="X321" s="2498"/>
      <c r="Y321" s="2498"/>
      <c r="Z321" s="2498"/>
      <c r="AA321" s="2498"/>
      <c r="AB321" s="2499"/>
    </row>
    <row r="322" spans="2:28" x14ac:dyDescent="0.25">
      <c r="B322" s="1715"/>
      <c r="C322" s="1715"/>
      <c r="D322" s="1715"/>
      <c r="E322" s="1715"/>
      <c r="F322" s="1715"/>
      <c r="G322" s="1715"/>
      <c r="H322" s="1715"/>
      <c r="I322" s="1715"/>
      <c r="J322" s="1715"/>
      <c r="K322" s="1715"/>
      <c r="L322" s="1715"/>
      <c r="M322" s="1715"/>
      <c r="N322" s="1715"/>
      <c r="O322" s="1715"/>
      <c r="P322" s="1715"/>
      <c r="Q322" s="1715"/>
      <c r="R322" s="1715"/>
      <c r="S322" s="1715"/>
      <c r="T322" s="1715"/>
      <c r="U322" s="1715"/>
      <c r="V322" s="1715"/>
      <c r="W322" s="1715"/>
      <c r="X322" s="1715"/>
      <c r="Y322" s="1715"/>
      <c r="Z322" s="1715"/>
      <c r="AA322" s="1715"/>
      <c r="AB322" s="1715"/>
    </row>
    <row r="323" spans="2:28" s="1748" customFormat="1" ht="21" customHeight="1" x14ac:dyDescent="0.25">
      <c r="B323" s="1747"/>
      <c r="C323" s="1746" t="s">
        <v>1435</v>
      </c>
      <c r="D323" s="1747" t="s">
        <v>1436</v>
      </c>
      <c r="E323" s="1747" t="s">
        <v>1437</v>
      </c>
      <c r="F323" s="1747" t="s">
        <v>1438</v>
      </c>
      <c r="G323" s="1747" t="s">
        <v>1439</v>
      </c>
      <c r="H323" s="1747" t="s">
        <v>1440</v>
      </c>
      <c r="I323" s="1747" t="s">
        <v>1441</v>
      </c>
      <c r="J323" s="1747" t="s">
        <v>1442</v>
      </c>
      <c r="K323" s="1747" t="s">
        <v>1443</v>
      </c>
      <c r="L323" s="1747" t="s">
        <v>1444</v>
      </c>
      <c r="M323" s="1747" t="s">
        <v>1445</v>
      </c>
      <c r="N323" s="1747" t="s">
        <v>1446</v>
      </c>
      <c r="O323" s="1747" t="s">
        <v>1447</v>
      </c>
      <c r="P323" s="1747" t="s">
        <v>1448</v>
      </c>
      <c r="Q323" s="1747" t="s">
        <v>1449</v>
      </c>
      <c r="R323" s="1747" t="s">
        <v>1450</v>
      </c>
      <c r="S323" s="1747" t="s">
        <v>1451</v>
      </c>
      <c r="T323" s="1747" t="s">
        <v>1452</v>
      </c>
      <c r="U323" s="1747" t="s">
        <v>1453</v>
      </c>
      <c r="V323" s="1747" t="s">
        <v>1454</v>
      </c>
      <c r="W323" s="1747" t="s">
        <v>1455</v>
      </c>
      <c r="X323" s="1747" t="s">
        <v>1456</v>
      </c>
      <c r="Y323" s="1747" t="s">
        <v>1457</v>
      </c>
      <c r="Z323" s="1747" t="s">
        <v>1458</v>
      </c>
      <c r="AA323" s="1747" t="s">
        <v>1466</v>
      </c>
      <c r="AB323" s="1747" t="s">
        <v>1467</v>
      </c>
    </row>
    <row r="324" spans="2:28" x14ac:dyDescent="0.25">
      <c r="B324" s="1765" t="s">
        <v>1461</v>
      </c>
      <c r="C324" s="1776">
        <v>0.05</v>
      </c>
      <c r="D324" s="1776">
        <v>0.05</v>
      </c>
      <c r="E324" s="1776">
        <v>0.05</v>
      </c>
      <c r="F324" s="1776">
        <v>0.05</v>
      </c>
      <c r="G324" s="1776">
        <v>0.05</v>
      </c>
      <c r="H324" s="1776">
        <v>0.05</v>
      </c>
      <c r="I324" s="1776">
        <v>0.05</v>
      </c>
      <c r="J324" s="1776">
        <v>0.2</v>
      </c>
      <c r="K324" s="1776">
        <v>0.5</v>
      </c>
      <c r="L324" s="1776">
        <v>0.85</v>
      </c>
      <c r="M324" s="1776">
        <v>0.85</v>
      </c>
      <c r="N324" s="1776">
        <v>0.85</v>
      </c>
      <c r="O324" s="1776">
        <v>0.85</v>
      </c>
      <c r="P324" s="1776">
        <v>0.85</v>
      </c>
      <c r="Q324" s="1776">
        <v>0.85</v>
      </c>
      <c r="R324" s="1776">
        <v>0.85</v>
      </c>
      <c r="S324" s="1776">
        <v>0.85</v>
      </c>
      <c r="T324" s="1776">
        <v>0.85</v>
      </c>
      <c r="U324" s="1776">
        <v>0.55000000000000004</v>
      </c>
      <c r="V324" s="1776">
        <v>0.55000000000000004</v>
      </c>
      <c r="W324" s="1776">
        <v>0.5</v>
      </c>
      <c r="X324" s="1776">
        <v>0.2</v>
      </c>
      <c r="Y324" s="1776">
        <v>0.05</v>
      </c>
      <c r="Z324" s="1776">
        <v>0.05</v>
      </c>
      <c r="AA324" s="1752">
        <f>SUM(C324:Z324)</f>
        <v>10.600000000000001</v>
      </c>
      <c r="AB324" s="1753">
        <f>AA324*SUM($C$9:$C$13)</f>
        <v>2650.0000000000005</v>
      </c>
    </row>
    <row r="325" spans="2:28" x14ac:dyDescent="0.25">
      <c r="B325" s="1767" t="s">
        <v>1431</v>
      </c>
      <c r="C325" s="1777">
        <v>0.05</v>
      </c>
      <c r="D325" s="1777">
        <v>0.05</v>
      </c>
      <c r="E325" s="1777">
        <v>0.05</v>
      </c>
      <c r="F325" s="1777">
        <v>0.05</v>
      </c>
      <c r="G325" s="1777">
        <v>0.05</v>
      </c>
      <c r="H325" s="1777">
        <v>0.05</v>
      </c>
      <c r="I325" s="1777">
        <v>0.05</v>
      </c>
      <c r="J325" s="1777">
        <v>0.1</v>
      </c>
      <c r="K325" s="1777">
        <v>0.3</v>
      </c>
      <c r="L325" s="1777">
        <v>0.55000000000000004</v>
      </c>
      <c r="M325" s="1777">
        <v>0.85</v>
      </c>
      <c r="N325" s="1777">
        <v>0.85</v>
      </c>
      <c r="O325" s="1777">
        <v>0.85</v>
      </c>
      <c r="P325" s="1777">
        <v>0.85</v>
      </c>
      <c r="Q325" s="1777">
        <v>0.85</v>
      </c>
      <c r="R325" s="1777">
        <v>0.85</v>
      </c>
      <c r="S325" s="1777">
        <v>0.85</v>
      </c>
      <c r="T325" s="1777">
        <v>0.85</v>
      </c>
      <c r="U325" s="1777">
        <v>0.5</v>
      </c>
      <c r="V325" s="1777">
        <v>0.3</v>
      </c>
      <c r="W325" s="1777">
        <v>0.3</v>
      </c>
      <c r="X325" s="1777">
        <v>0.1</v>
      </c>
      <c r="Y325" s="1777">
        <v>0.05</v>
      </c>
      <c r="Z325" s="1777">
        <v>0.05</v>
      </c>
      <c r="AA325" s="1756">
        <f>SUM(C325:Z325)</f>
        <v>9.4000000000000021</v>
      </c>
      <c r="AB325" s="1757">
        <f>AA325*SUM($C$14)</f>
        <v>488.80000000000013</v>
      </c>
    </row>
    <row r="326" spans="2:28" x14ac:dyDescent="0.25">
      <c r="B326" s="1767" t="s">
        <v>1432</v>
      </c>
      <c r="C326" s="1777">
        <v>0.05</v>
      </c>
      <c r="D326" s="1777">
        <v>0.05</v>
      </c>
      <c r="E326" s="1777">
        <v>0.05</v>
      </c>
      <c r="F326" s="1777">
        <v>0.05</v>
      </c>
      <c r="G326" s="1777">
        <v>0.05</v>
      </c>
      <c r="H326" s="1777">
        <v>0.05</v>
      </c>
      <c r="I326" s="1777">
        <v>0.05</v>
      </c>
      <c r="J326" s="1777">
        <v>0.05</v>
      </c>
      <c r="K326" s="1777">
        <v>0.1</v>
      </c>
      <c r="L326" s="1777">
        <v>0.1</v>
      </c>
      <c r="M326" s="1777">
        <v>0.4</v>
      </c>
      <c r="N326" s="1777">
        <v>0.4</v>
      </c>
      <c r="O326" s="1777">
        <v>0.55000000000000004</v>
      </c>
      <c r="P326" s="1777">
        <v>0.55000000000000004</v>
      </c>
      <c r="Q326" s="1777">
        <v>0.55000000000000004</v>
      </c>
      <c r="R326" s="1777">
        <v>0.55000000000000004</v>
      </c>
      <c r="S326" s="1777">
        <v>0.55000000000000004</v>
      </c>
      <c r="T326" s="1777">
        <v>0.4</v>
      </c>
      <c r="U326" s="1777">
        <v>0.2</v>
      </c>
      <c r="V326" s="1777">
        <v>0.05</v>
      </c>
      <c r="W326" s="1777">
        <v>0.05</v>
      </c>
      <c r="X326" s="1777">
        <v>0.05</v>
      </c>
      <c r="Y326" s="1777">
        <v>0.05</v>
      </c>
      <c r="Z326" s="1777">
        <v>0.05</v>
      </c>
      <c r="AA326" s="1756">
        <f>SUM(C326:Z326)</f>
        <v>4.9999999999999991</v>
      </c>
      <c r="AB326" s="1757">
        <f>AA326*$C$15</f>
        <v>259.99999999999994</v>
      </c>
    </row>
    <row r="327" spans="2:28" x14ac:dyDescent="0.25">
      <c r="B327" s="1769" t="s">
        <v>1463</v>
      </c>
      <c r="C327" s="1778">
        <v>0.05</v>
      </c>
      <c r="D327" s="1778">
        <v>0.05</v>
      </c>
      <c r="E327" s="1778">
        <v>0.05</v>
      </c>
      <c r="F327" s="1778">
        <v>0.05</v>
      </c>
      <c r="G327" s="1778">
        <v>0.05</v>
      </c>
      <c r="H327" s="1778">
        <v>0.05</v>
      </c>
      <c r="I327" s="1778">
        <v>0.05</v>
      </c>
      <c r="J327" s="1778">
        <v>0.05</v>
      </c>
      <c r="K327" s="1778">
        <v>0.1</v>
      </c>
      <c r="L327" s="1778">
        <v>0.1</v>
      </c>
      <c r="M327" s="1778">
        <v>0.4</v>
      </c>
      <c r="N327" s="1778">
        <v>0.4</v>
      </c>
      <c r="O327" s="1778">
        <v>0.55000000000000004</v>
      </c>
      <c r="P327" s="1778">
        <v>0.55000000000000004</v>
      </c>
      <c r="Q327" s="1778">
        <v>0.55000000000000004</v>
      </c>
      <c r="R327" s="1778">
        <v>0.55000000000000004</v>
      </c>
      <c r="S327" s="1778">
        <v>0.55000000000000004</v>
      </c>
      <c r="T327" s="1778">
        <v>0.4</v>
      </c>
      <c r="U327" s="1778">
        <v>0.2</v>
      </c>
      <c r="V327" s="1778">
        <v>0.05</v>
      </c>
      <c r="W327" s="1778">
        <v>0.05</v>
      </c>
      <c r="X327" s="1778">
        <v>0.05</v>
      </c>
      <c r="Y327" s="1778">
        <v>0.05</v>
      </c>
      <c r="Z327" s="1778">
        <v>0.05</v>
      </c>
      <c r="AA327" s="1760">
        <f>SUM(C327:Z327)</f>
        <v>4.9999999999999991</v>
      </c>
      <c r="AB327" s="1761">
        <f>AA327*SUM($C$8)</f>
        <v>54.999999999999993</v>
      </c>
    </row>
    <row r="328" spans="2:28" x14ac:dyDescent="0.25">
      <c r="B328" s="2500" t="s">
        <v>1468</v>
      </c>
      <c r="C328" s="2501"/>
      <c r="D328" s="2501"/>
      <c r="E328" s="2501"/>
      <c r="F328" s="2501"/>
      <c r="G328" s="2501"/>
      <c r="H328" s="2501"/>
      <c r="I328" s="2501"/>
      <c r="J328" s="2501"/>
      <c r="K328" s="2501"/>
      <c r="L328" s="2501"/>
      <c r="M328" s="2501"/>
      <c r="N328" s="2501"/>
      <c r="O328" s="2501"/>
      <c r="P328" s="2501"/>
      <c r="Q328" s="2501"/>
      <c r="R328" s="2501"/>
      <c r="S328" s="2501"/>
      <c r="T328" s="2501"/>
      <c r="U328" s="2501"/>
      <c r="V328" s="2501"/>
      <c r="W328" s="2501"/>
      <c r="X328" s="2501"/>
      <c r="Y328" s="2501"/>
      <c r="Z328" s="2501"/>
      <c r="AA328" s="2501"/>
      <c r="AB328" s="1749">
        <f>SUM(AB324:AB327)</f>
        <v>3453.8000000000006</v>
      </c>
    </row>
    <row r="329" spans="2:28" x14ac:dyDescent="0.25">
      <c r="B329" s="1715"/>
      <c r="C329" s="1715"/>
      <c r="D329" s="1715"/>
      <c r="E329" s="1715"/>
      <c r="F329" s="1715"/>
      <c r="G329" s="1715"/>
      <c r="H329" s="1715"/>
      <c r="I329" s="1715"/>
      <c r="J329" s="1715"/>
      <c r="K329" s="1715"/>
      <c r="L329" s="1715"/>
      <c r="M329" s="1715"/>
      <c r="N329" s="1715"/>
      <c r="O329" s="1715"/>
      <c r="P329" s="1715"/>
      <c r="Q329" s="1715"/>
      <c r="R329" s="1715"/>
      <c r="S329" s="1715"/>
      <c r="T329" s="1715"/>
      <c r="U329" s="1715"/>
      <c r="V329" s="1715"/>
      <c r="W329" s="1715"/>
      <c r="X329" s="1715"/>
      <c r="Y329" s="1715"/>
      <c r="Z329" s="1715"/>
      <c r="AA329" s="1715"/>
      <c r="AB329" s="1715"/>
    </row>
    <row r="330" spans="2:28" ht="15" customHeight="1" x14ac:dyDescent="0.25">
      <c r="B330" s="1715" t="s">
        <v>1434</v>
      </c>
      <c r="C330" s="2497" t="s">
        <v>1643</v>
      </c>
      <c r="D330" s="2498"/>
      <c r="E330" s="2498"/>
      <c r="F330" s="2498"/>
      <c r="G330" s="2498"/>
      <c r="H330" s="2498"/>
      <c r="I330" s="2498"/>
      <c r="J330" s="2498"/>
      <c r="K330" s="2498"/>
      <c r="L330" s="2498"/>
      <c r="M330" s="2498"/>
      <c r="N330" s="2498"/>
      <c r="O330" s="2498"/>
      <c r="P330" s="2498"/>
      <c r="Q330" s="2498"/>
      <c r="R330" s="2498"/>
      <c r="S330" s="2498"/>
      <c r="T330" s="2498"/>
      <c r="U330" s="2498"/>
      <c r="V330" s="2498"/>
      <c r="W330" s="2498"/>
      <c r="X330" s="2498"/>
      <c r="Y330" s="2498"/>
      <c r="Z330" s="2498"/>
      <c r="AA330" s="2498"/>
      <c r="AB330" s="2499"/>
    </row>
    <row r="331" spans="2:28" x14ac:dyDescent="0.25">
      <c r="B331" s="1715"/>
      <c r="C331" s="1715"/>
      <c r="D331" s="1715"/>
      <c r="E331" s="1715"/>
      <c r="F331" s="1715"/>
      <c r="G331" s="1715"/>
      <c r="H331" s="1715"/>
      <c r="I331" s="1715"/>
      <c r="J331" s="1715"/>
      <c r="K331" s="1715"/>
      <c r="L331" s="1715"/>
      <c r="M331" s="1715"/>
      <c r="N331" s="1715"/>
      <c r="O331" s="1715"/>
      <c r="P331" s="1715"/>
      <c r="Q331" s="1715"/>
      <c r="R331" s="1715"/>
      <c r="S331" s="1715"/>
      <c r="T331" s="1715"/>
      <c r="U331" s="1715"/>
      <c r="V331" s="1715"/>
      <c r="W331" s="1715"/>
      <c r="X331" s="1715"/>
      <c r="Y331" s="1715"/>
      <c r="Z331" s="1715"/>
      <c r="AA331" s="1715"/>
      <c r="AB331" s="1715"/>
    </row>
    <row r="332" spans="2:28" s="1748" customFormat="1" ht="21" customHeight="1" x14ac:dyDescent="0.25">
      <c r="B332" s="1747"/>
      <c r="C332" s="1746" t="s">
        <v>1435</v>
      </c>
      <c r="D332" s="1747" t="s">
        <v>1436</v>
      </c>
      <c r="E332" s="1747" t="s">
        <v>1437</v>
      </c>
      <c r="F332" s="1747" t="s">
        <v>1438</v>
      </c>
      <c r="G332" s="1747" t="s">
        <v>1439</v>
      </c>
      <c r="H332" s="1747" t="s">
        <v>1440</v>
      </c>
      <c r="I332" s="1747" t="s">
        <v>1441</v>
      </c>
      <c r="J332" s="1747" t="s">
        <v>1442</v>
      </c>
      <c r="K332" s="1747" t="s">
        <v>1443</v>
      </c>
      <c r="L332" s="1747" t="s">
        <v>1444</v>
      </c>
      <c r="M332" s="1747" t="s">
        <v>1445</v>
      </c>
      <c r="N332" s="1747" t="s">
        <v>1446</v>
      </c>
      <c r="O332" s="1747" t="s">
        <v>1447</v>
      </c>
      <c r="P332" s="1747" t="s">
        <v>1448</v>
      </c>
      <c r="Q332" s="1747" t="s">
        <v>1449</v>
      </c>
      <c r="R332" s="1747" t="s">
        <v>1450</v>
      </c>
      <c r="S332" s="1747" t="s">
        <v>1451</v>
      </c>
      <c r="T332" s="1747" t="s">
        <v>1452</v>
      </c>
      <c r="U332" s="1747" t="s">
        <v>1453</v>
      </c>
      <c r="V332" s="1747" t="s">
        <v>1454</v>
      </c>
      <c r="W332" s="1747" t="s">
        <v>1455</v>
      </c>
      <c r="X332" s="1747" t="s">
        <v>1456</v>
      </c>
      <c r="Y332" s="1747" t="s">
        <v>1457</v>
      </c>
      <c r="Z332" s="1747" t="s">
        <v>1458</v>
      </c>
      <c r="AA332" s="1747" t="s">
        <v>1466</v>
      </c>
      <c r="AB332" s="1747" t="s">
        <v>1467</v>
      </c>
    </row>
    <row r="333" spans="2:28" x14ac:dyDescent="0.25">
      <c r="B333" s="1765" t="s">
        <v>1461</v>
      </c>
      <c r="C333" s="1776">
        <v>0.05</v>
      </c>
      <c r="D333" s="1776">
        <v>0.05</v>
      </c>
      <c r="E333" s="1776">
        <v>0.05</v>
      </c>
      <c r="F333" s="1776">
        <v>0.05</v>
      </c>
      <c r="G333" s="1776">
        <v>0.05</v>
      </c>
      <c r="H333" s="1776">
        <v>0.05</v>
      </c>
      <c r="I333" s="1776">
        <v>0.05</v>
      </c>
      <c r="J333" s="1776">
        <v>0.2</v>
      </c>
      <c r="K333" s="1776">
        <v>0.5</v>
      </c>
      <c r="L333" s="1776">
        <v>0.9</v>
      </c>
      <c r="M333" s="1776">
        <v>0.9</v>
      </c>
      <c r="N333" s="1776">
        <v>0.9</v>
      </c>
      <c r="O333" s="1776">
        <v>0.9</v>
      </c>
      <c r="P333" s="1776">
        <v>0.9</v>
      </c>
      <c r="Q333" s="1776">
        <v>0.9</v>
      </c>
      <c r="R333" s="1776">
        <v>0.9</v>
      </c>
      <c r="S333" s="1776">
        <v>0.9</v>
      </c>
      <c r="T333" s="1776">
        <v>0.9</v>
      </c>
      <c r="U333" s="1776">
        <v>0.6</v>
      </c>
      <c r="V333" s="1776">
        <v>0.6</v>
      </c>
      <c r="W333" s="1776">
        <v>0.5</v>
      </c>
      <c r="X333" s="1776">
        <v>0.2</v>
      </c>
      <c r="Y333" s="1776">
        <v>0.05</v>
      </c>
      <c r="Z333" s="1776">
        <v>0.05</v>
      </c>
      <c r="AA333" s="1752">
        <f>SUM(C333:Z333)</f>
        <v>11.150000000000002</v>
      </c>
      <c r="AB333" s="1753">
        <f>AA333*SUM($C$9:$C$13)</f>
        <v>2787.5000000000005</v>
      </c>
    </row>
    <row r="334" spans="2:28" x14ac:dyDescent="0.25">
      <c r="B334" s="1767" t="s">
        <v>1431</v>
      </c>
      <c r="C334" s="1777">
        <v>0.05</v>
      </c>
      <c r="D334" s="1777">
        <v>0.05</v>
      </c>
      <c r="E334" s="1777">
        <v>0.05</v>
      </c>
      <c r="F334" s="1777">
        <v>0.05</v>
      </c>
      <c r="G334" s="1777">
        <v>0.05</v>
      </c>
      <c r="H334" s="1777">
        <v>0.05</v>
      </c>
      <c r="I334" s="1777">
        <v>0.05</v>
      </c>
      <c r="J334" s="1777">
        <v>0.1</v>
      </c>
      <c r="K334" s="1777">
        <v>0.3</v>
      </c>
      <c r="L334" s="1777">
        <v>0.6</v>
      </c>
      <c r="M334" s="1777">
        <v>0.9</v>
      </c>
      <c r="N334" s="1777">
        <v>0.9</v>
      </c>
      <c r="O334" s="1777">
        <v>0.9</v>
      </c>
      <c r="P334" s="1777">
        <v>0.9</v>
      </c>
      <c r="Q334" s="1777">
        <v>0.9</v>
      </c>
      <c r="R334" s="1777">
        <v>0.9</v>
      </c>
      <c r="S334" s="1777">
        <v>0.9</v>
      </c>
      <c r="T334" s="1777">
        <v>0.9</v>
      </c>
      <c r="U334" s="1777">
        <v>0.5</v>
      </c>
      <c r="V334" s="1777">
        <v>0.3</v>
      </c>
      <c r="W334" s="1777">
        <v>0.3</v>
      </c>
      <c r="X334" s="1777">
        <v>0.1</v>
      </c>
      <c r="Y334" s="1777">
        <v>0.05</v>
      </c>
      <c r="Z334" s="1777">
        <v>0.05</v>
      </c>
      <c r="AA334" s="1756">
        <f>SUM(C334:Z334)</f>
        <v>9.8500000000000032</v>
      </c>
      <c r="AB334" s="1757">
        <f>AA334*SUM($C$14)</f>
        <v>512.20000000000016</v>
      </c>
    </row>
    <row r="335" spans="2:28" x14ac:dyDescent="0.25">
      <c r="B335" s="1767" t="s">
        <v>1432</v>
      </c>
      <c r="C335" s="1777">
        <v>0.05</v>
      </c>
      <c r="D335" s="1777">
        <v>0.05</v>
      </c>
      <c r="E335" s="1777">
        <v>0.05</v>
      </c>
      <c r="F335" s="1777">
        <v>0.05</v>
      </c>
      <c r="G335" s="1777">
        <v>0.05</v>
      </c>
      <c r="H335" s="1777">
        <v>0.05</v>
      </c>
      <c r="I335" s="1777">
        <v>0.05</v>
      </c>
      <c r="J335" s="1777">
        <v>0.05</v>
      </c>
      <c r="K335" s="1777">
        <v>0.1</v>
      </c>
      <c r="L335" s="1777">
        <v>0.1</v>
      </c>
      <c r="M335" s="1777">
        <v>0.4</v>
      </c>
      <c r="N335" s="1777">
        <v>0.4</v>
      </c>
      <c r="O335" s="1777">
        <v>0.55000000000000004</v>
      </c>
      <c r="P335" s="1777">
        <v>0.55000000000000004</v>
      </c>
      <c r="Q335" s="1777">
        <v>0.55000000000000004</v>
      </c>
      <c r="R335" s="1777">
        <v>0.55000000000000004</v>
      </c>
      <c r="S335" s="1777">
        <v>0.55000000000000004</v>
      </c>
      <c r="T335" s="1777">
        <v>0.4</v>
      </c>
      <c r="U335" s="1777">
        <v>0.2</v>
      </c>
      <c r="V335" s="1777">
        <v>0.05</v>
      </c>
      <c r="W335" s="1777">
        <v>0.05</v>
      </c>
      <c r="X335" s="1777">
        <v>0.05</v>
      </c>
      <c r="Y335" s="1777">
        <v>0.05</v>
      </c>
      <c r="Z335" s="1777">
        <v>0.05</v>
      </c>
      <c r="AA335" s="1756">
        <f>SUM(C335:Z335)</f>
        <v>4.9999999999999991</v>
      </c>
      <c r="AB335" s="1757">
        <f>AA335*$C$15</f>
        <v>259.99999999999994</v>
      </c>
    </row>
    <row r="336" spans="2:28" x14ac:dyDescent="0.25">
      <c r="B336" s="1769" t="s">
        <v>1463</v>
      </c>
      <c r="C336" s="1778">
        <v>0.05</v>
      </c>
      <c r="D336" s="1778">
        <v>0.05</v>
      </c>
      <c r="E336" s="1778">
        <v>0.05</v>
      </c>
      <c r="F336" s="1778">
        <v>0.05</v>
      </c>
      <c r="G336" s="1778">
        <v>0.05</v>
      </c>
      <c r="H336" s="1778">
        <v>0.05</v>
      </c>
      <c r="I336" s="1778">
        <v>0.05</v>
      </c>
      <c r="J336" s="1778">
        <v>0.05</v>
      </c>
      <c r="K336" s="1778">
        <v>0.1</v>
      </c>
      <c r="L336" s="1778">
        <v>0.1</v>
      </c>
      <c r="M336" s="1778">
        <v>0.4</v>
      </c>
      <c r="N336" s="1778">
        <v>0.4</v>
      </c>
      <c r="O336" s="1778">
        <v>0.55000000000000004</v>
      </c>
      <c r="P336" s="1778">
        <v>0.55000000000000004</v>
      </c>
      <c r="Q336" s="1778">
        <v>0.55000000000000004</v>
      </c>
      <c r="R336" s="1778">
        <v>0.55000000000000004</v>
      </c>
      <c r="S336" s="1778">
        <v>0.55000000000000004</v>
      </c>
      <c r="T336" s="1778">
        <v>0.4</v>
      </c>
      <c r="U336" s="1778">
        <v>0.2</v>
      </c>
      <c r="V336" s="1778">
        <v>0.05</v>
      </c>
      <c r="W336" s="1778">
        <v>0.05</v>
      </c>
      <c r="X336" s="1778">
        <v>0.05</v>
      </c>
      <c r="Y336" s="1778">
        <v>0.05</v>
      </c>
      <c r="Z336" s="1778">
        <v>0.05</v>
      </c>
      <c r="AA336" s="1760">
        <f>SUM(C336:Z336)</f>
        <v>4.9999999999999991</v>
      </c>
      <c r="AB336" s="1761">
        <f>AA336*SUM($C$8)</f>
        <v>54.999999999999993</v>
      </c>
    </row>
    <row r="337" spans="2:28" x14ac:dyDescent="0.25">
      <c r="B337" s="2500" t="s">
        <v>1468</v>
      </c>
      <c r="C337" s="2501"/>
      <c r="D337" s="2501"/>
      <c r="E337" s="2501"/>
      <c r="F337" s="2501"/>
      <c r="G337" s="2501"/>
      <c r="H337" s="2501"/>
      <c r="I337" s="2501"/>
      <c r="J337" s="2501"/>
      <c r="K337" s="2501"/>
      <c r="L337" s="2501"/>
      <c r="M337" s="2501"/>
      <c r="N337" s="2501"/>
      <c r="O337" s="2501"/>
      <c r="P337" s="2501"/>
      <c r="Q337" s="2501"/>
      <c r="R337" s="2501"/>
      <c r="S337" s="2501"/>
      <c r="T337" s="2501"/>
      <c r="U337" s="2501"/>
      <c r="V337" s="2501"/>
      <c r="W337" s="2501"/>
      <c r="X337" s="2501"/>
      <c r="Y337" s="2501"/>
      <c r="Z337" s="2501"/>
      <c r="AA337" s="2501"/>
      <c r="AB337" s="1749">
        <f>SUM(AB333:AB336)</f>
        <v>3614.7000000000007</v>
      </c>
    </row>
    <row r="338" spans="2:28" x14ac:dyDescent="0.25">
      <c r="B338" s="1715"/>
      <c r="C338" s="1715"/>
      <c r="D338" s="1715"/>
      <c r="E338" s="1715"/>
      <c r="F338" s="1715"/>
      <c r="G338" s="1715"/>
      <c r="H338" s="1715"/>
      <c r="I338" s="1715"/>
      <c r="J338" s="1715"/>
      <c r="K338" s="1715"/>
      <c r="L338" s="1715"/>
      <c r="M338" s="1715"/>
      <c r="N338" s="1715"/>
      <c r="O338" s="1715"/>
      <c r="P338" s="1715"/>
      <c r="Q338" s="1715"/>
      <c r="R338" s="1715"/>
      <c r="S338" s="1715"/>
      <c r="T338" s="1715"/>
      <c r="U338" s="1715"/>
      <c r="V338" s="1715"/>
      <c r="W338" s="1715"/>
      <c r="X338" s="1715"/>
      <c r="Y338" s="1715"/>
      <c r="Z338" s="1715"/>
      <c r="AA338" s="1715"/>
      <c r="AB338" s="1715"/>
    </row>
    <row r="339" spans="2:28" ht="15" customHeight="1" x14ac:dyDescent="0.25">
      <c r="B339" s="1715" t="s">
        <v>1434</v>
      </c>
      <c r="C339" s="2497" t="s">
        <v>1644</v>
      </c>
      <c r="D339" s="2498"/>
      <c r="E339" s="2498"/>
      <c r="F339" s="2498"/>
      <c r="G339" s="2498"/>
      <c r="H339" s="2498"/>
      <c r="I339" s="2498"/>
      <c r="J339" s="2498"/>
      <c r="K339" s="2498"/>
      <c r="L339" s="2498"/>
      <c r="M339" s="2498"/>
      <c r="N339" s="2498"/>
      <c r="O339" s="2498"/>
      <c r="P339" s="2498"/>
      <c r="Q339" s="2498"/>
      <c r="R339" s="2498"/>
      <c r="S339" s="2498"/>
      <c r="T339" s="2498"/>
      <c r="U339" s="2498"/>
      <c r="V339" s="2498"/>
      <c r="W339" s="2498"/>
      <c r="X339" s="2498"/>
      <c r="Y339" s="2498"/>
      <c r="Z339" s="2498"/>
      <c r="AA339" s="2498"/>
      <c r="AB339" s="2499"/>
    </row>
    <row r="340" spans="2:28" x14ac:dyDescent="0.25">
      <c r="B340" s="1715"/>
      <c r="C340" s="1715"/>
      <c r="D340" s="1715"/>
      <c r="E340" s="1715"/>
      <c r="F340" s="1715"/>
      <c r="G340" s="1715"/>
      <c r="H340" s="1715"/>
      <c r="I340" s="1715"/>
      <c r="J340" s="1715"/>
      <c r="K340" s="1715"/>
      <c r="L340" s="1715"/>
      <c r="M340" s="1715"/>
      <c r="N340" s="1715"/>
      <c r="O340" s="1715"/>
      <c r="P340" s="1715"/>
      <c r="Q340" s="1715"/>
      <c r="R340" s="1715"/>
      <c r="S340" s="1715"/>
      <c r="T340" s="1715"/>
      <c r="U340" s="1715"/>
      <c r="V340" s="1715"/>
      <c r="W340" s="1715"/>
      <c r="X340" s="1715"/>
      <c r="Y340" s="1715"/>
      <c r="Z340" s="1715"/>
      <c r="AA340" s="1715"/>
      <c r="AB340" s="1715"/>
    </row>
    <row r="341" spans="2:28" s="1748" customFormat="1" ht="21" customHeight="1" x14ac:dyDescent="0.25">
      <c r="B341" s="1747"/>
      <c r="C341" s="1746" t="s">
        <v>1435</v>
      </c>
      <c r="D341" s="1747" t="s">
        <v>1436</v>
      </c>
      <c r="E341" s="1747" t="s">
        <v>1437</v>
      </c>
      <c r="F341" s="1747" t="s">
        <v>1438</v>
      </c>
      <c r="G341" s="1747" t="s">
        <v>1439</v>
      </c>
      <c r="H341" s="1747" t="s">
        <v>1440</v>
      </c>
      <c r="I341" s="1747" t="s">
        <v>1441</v>
      </c>
      <c r="J341" s="1747" t="s">
        <v>1442</v>
      </c>
      <c r="K341" s="1747" t="s">
        <v>1443</v>
      </c>
      <c r="L341" s="1747" t="s">
        <v>1444</v>
      </c>
      <c r="M341" s="1747" t="s">
        <v>1445</v>
      </c>
      <c r="N341" s="1747" t="s">
        <v>1446</v>
      </c>
      <c r="O341" s="1747" t="s">
        <v>1447</v>
      </c>
      <c r="P341" s="1747" t="s">
        <v>1448</v>
      </c>
      <c r="Q341" s="1747" t="s">
        <v>1449</v>
      </c>
      <c r="R341" s="1747" t="s">
        <v>1450</v>
      </c>
      <c r="S341" s="1747" t="s">
        <v>1451</v>
      </c>
      <c r="T341" s="1747" t="s">
        <v>1452</v>
      </c>
      <c r="U341" s="1747" t="s">
        <v>1453</v>
      </c>
      <c r="V341" s="1747" t="s">
        <v>1454</v>
      </c>
      <c r="W341" s="1747" t="s">
        <v>1455</v>
      </c>
      <c r="X341" s="1747" t="s">
        <v>1456</v>
      </c>
      <c r="Y341" s="1747" t="s">
        <v>1457</v>
      </c>
      <c r="Z341" s="1747" t="s">
        <v>1458</v>
      </c>
      <c r="AA341" s="1747" t="s">
        <v>1466</v>
      </c>
      <c r="AB341" s="1747" t="s">
        <v>1467</v>
      </c>
    </row>
    <row r="342" spans="2:28" x14ac:dyDescent="0.25">
      <c r="B342" s="1765" t="s">
        <v>1461</v>
      </c>
      <c r="C342" s="1776">
        <v>0.04</v>
      </c>
      <c r="D342" s="1776">
        <v>0.05</v>
      </c>
      <c r="E342" s="1776">
        <v>0.05</v>
      </c>
      <c r="F342" s="1776">
        <v>0.04</v>
      </c>
      <c r="G342" s="1776">
        <v>0.04</v>
      </c>
      <c r="H342" s="1776">
        <v>0.04</v>
      </c>
      <c r="I342" s="1776">
        <v>0.04</v>
      </c>
      <c r="J342" s="1776">
        <v>0.15</v>
      </c>
      <c r="K342" s="1776">
        <v>0.23</v>
      </c>
      <c r="L342" s="1776">
        <v>0.32</v>
      </c>
      <c r="M342" s="1776">
        <v>0.41</v>
      </c>
      <c r="N342" s="1776">
        <v>0.56999999999999995</v>
      </c>
      <c r="O342" s="1776">
        <v>0.62</v>
      </c>
      <c r="P342" s="1776">
        <v>0.61</v>
      </c>
      <c r="Q342" s="1776">
        <v>0.5</v>
      </c>
      <c r="R342" s="1776">
        <v>0.45</v>
      </c>
      <c r="S342" s="1776">
        <v>0.46</v>
      </c>
      <c r="T342" s="1776">
        <v>0.47</v>
      </c>
      <c r="U342" s="1776">
        <v>0.42</v>
      </c>
      <c r="V342" s="1776">
        <v>0.34</v>
      </c>
      <c r="W342" s="1776">
        <v>0.33</v>
      </c>
      <c r="X342" s="1776">
        <v>0.23</v>
      </c>
      <c r="Y342" s="1776">
        <v>0.13</v>
      </c>
      <c r="Z342" s="1776">
        <v>0.08</v>
      </c>
      <c r="AA342" s="1752">
        <f>SUM(C342:Z342)</f>
        <v>6.62</v>
      </c>
      <c r="AB342" s="1753">
        <f>AA342*SUM($C$9:$C$13)</f>
        <v>1655</v>
      </c>
    </row>
    <row r="343" spans="2:28" x14ac:dyDescent="0.25">
      <c r="B343" s="1767" t="s">
        <v>1431</v>
      </c>
      <c r="C343" s="1777">
        <v>0.11</v>
      </c>
      <c r="D343" s="1777">
        <v>0.1</v>
      </c>
      <c r="E343" s="1777">
        <v>0.08</v>
      </c>
      <c r="F343" s="1777">
        <v>0.06</v>
      </c>
      <c r="G343" s="1777">
        <v>0.06</v>
      </c>
      <c r="H343" s="1777">
        <v>0.06</v>
      </c>
      <c r="I343" s="1777">
        <v>7.0000000000000007E-2</v>
      </c>
      <c r="J343" s="1777">
        <v>0.2</v>
      </c>
      <c r="K343" s="1777">
        <v>0.24</v>
      </c>
      <c r="L343" s="1777">
        <v>0.27</v>
      </c>
      <c r="M343" s="1777">
        <v>0.42</v>
      </c>
      <c r="N343" s="1777">
        <v>0.54</v>
      </c>
      <c r="O343" s="1777">
        <v>0.59</v>
      </c>
      <c r="P343" s="1777">
        <v>0.6</v>
      </c>
      <c r="Q343" s="1777">
        <v>0.49</v>
      </c>
      <c r="R343" s="1777">
        <v>0.48</v>
      </c>
      <c r="S343" s="1777">
        <v>0.47</v>
      </c>
      <c r="T343" s="1777">
        <v>0.46</v>
      </c>
      <c r="U343" s="1777">
        <v>0.44</v>
      </c>
      <c r="V343" s="1777">
        <v>0.36</v>
      </c>
      <c r="W343" s="1777">
        <v>0.28999999999999998</v>
      </c>
      <c r="X343" s="1777">
        <v>0.22</v>
      </c>
      <c r="Y343" s="1777">
        <v>0.16</v>
      </c>
      <c r="Z343" s="1777">
        <v>0.13</v>
      </c>
      <c r="AA343" s="1756">
        <f>SUM(C343:Z343)</f>
        <v>6.8999999999999995</v>
      </c>
      <c r="AB343" s="1757">
        <f>AA343*SUM($C$14)</f>
        <v>358.79999999999995</v>
      </c>
    </row>
    <row r="344" spans="2:28" x14ac:dyDescent="0.25">
      <c r="B344" s="1767" t="s">
        <v>1432</v>
      </c>
      <c r="C344" s="1777">
        <v>7.0000000000000007E-2</v>
      </c>
      <c r="D344" s="1777">
        <v>7.0000000000000007E-2</v>
      </c>
      <c r="E344" s="1777">
        <v>7.0000000000000007E-2</v>
      </c>
      <c r="F344" s="1777">
        <v>0.06</v>
      </c>
      <c r="G344" s="1777">
        <v>0.06</v>
      </c>
      <c r="H344" s="1777">
        <v>0.06</v>
      </c>
      <c r="I344" s="1777">
        <v>7.0000000000000007E-2</v>
      </c>
      <c r="J344" s="1777">
        <v>0.1</v>
      </c>
      <c r="K344" s="1777">
        <v>0.12</v>
      </c>
      <c r="L344" s="1777">
        <v>0.14000000000000001</v>
      </c>
      <c r="M344" s="1777">
        <v>0.28999999999999998</v>
      </c>
      <c r="N344" s="1777">
        <v>0.31</v>
      </c>
      <c r="O344" s="1777">
        <v>0.36</v>
      </c>
      <c r="P344" s="1777">
        <v>0.36</v>
      </c>
      <c r="Q344" s="1777">
        <v>0.34</v>
      </c>
      <c r="R344" s="1777">
        <v>0.35</v>
      </c>
      <c r="S344" s="1777">
        <v>0.37</v>
      </c>
      <c r="T344" s="1777">
        <v>0.34</v>
      </c>
      <c r="U344" s="1777">
        <v>0.25</v>
      </c>
      <c r="V344" s="1777">
        <v>0.27</v>
      </c>
      <c r="W344" s="1777">
        <v>0.21</v>
      </c>
      <c r="X344" s="1777">
        <v>0.16</v>
      </c>
      <c r="Y344" s="1777">
        <v>0.1</v>
      </c>
      <c r="Z344" s="1777">
        <v>0.06</v>
      </c>
      <c r="AA344" s="1756">
        <f>SUM(C344:Z344)</f>
        <v>4.59</v>
      </c>
      <c r="AB344" s="1757">
        <f>AA344*$C$15</f>
        <v>238.68</v>
      </c>
    </row>
    <row r="345" spans="2:28" x14ac:dyDescent="0.25">
      <c r="B345" s="1769" t="s">
        <v>1463</v>
      </c>
      <c r="C345" s="1778">
        <v>7.0000000000000007E-2</v>
      </c>
      <c r="D345" s="1778">
        <v>7.0000000000000007E-2</v>
      </c>
      <c r="E345" s="1778">
        <v>7.0000000000000007E-2</v>
      </c>
      <c r="F345" s="1778">
        <v>0.06</v>
      </c>
      <c r="G345" s="1778">
        <v>0.06</v>
      </c>
      <c r="H345" s="1778">
        <v>0.06</v>
      </c>
      <c r="I345" s="1778">
        <v>7.0000000000000007E-2</v>
      </c>
      <c r="J345" s="1778">
        <v>0.1</v>
      </c>
      <c r="K345" s="1778">
        <v>0.12</v>
      </c>
      <c r="L345" s="1778">
        <v>0.14000000000000001</v>
      </c>
      <c r="M345" s="1778">
        <v>0.28999999999999998</v>
      </c>
      <c r="N345" s="1778">
        <v>0.31</v>
      </c>
      <c r="O345" s="1778">
        <v>0.36</v>
      </c>
      <c r="P345" s="1778">
        <v>0.36</v>
      </c>
      <c r="Q345" s="1778">
        <v>0.34</v>
      </c>
      <c r="R345" s="1778">
        <v>0.35</v>
      </c>
      <c r="S345" s="1778">
        <v>0.37</v>
      </c>
      <c r="T345" s="1778">
        <v>0.34</v>
      </c>
      <c r="U345" s="1778">
        <v>0.25</v>
      </c>
      <c r="V345" s="1778">
        <v>0.27</v>
      </c>
      <c r="W345" s="1778">
        <v>0.21</v>
      </c>
      <c r="X345" s="1778">
        <v>0.16</v>
      </c>
      <c r="Y345" s="1778">
        <v>0.1</v>
      </c>
      <c r="Z345" s="1778">
        <v>0.06</v>
      </c>
      <c r="AA345" s="1760">
        <f>SUM(C345:Z345)</f>
        <v>4.59</v>
      </c>
      <c r="AB345" s="1761">
        <f>AA345*SUM($C$8)</f>
        <v>50.489999999999995</v>
      </c>
    </row>
    <row r="346" spans="2:28" x14ac:dyDescent="0.25">
      <c r="B346" s="2500" t="s">
        <v>1468</v>
      </c>
      <c r="C346" s="2501"/>
      <c r="D346" s="2501"/>
      <c r="E346" s="2501"/>
      <c r="F346" s="2501"/>
      <c r="G346" s="2501"/>
      <c r="H346" s="2501"/>
      <c r="I346" s="2501"/>
      <c r="J346" s="2501"/>
      <c r="K346" s="2501"/>
      <c r="L346" s="2501"/>
      <c r="M346" s="2501"/>
      <c r="N346" s="2501"/>
      <c r="O346" s="2501"/>
      <c r="P346" s="2501"/>
      <c r="Q346" s="2501"/>
      <c r="R346" s="2501"/>
      <c r="S346" s="2501"/>
      <c r="T346" s="2501"/>
      <c r="U346" s="2501"/>
      <c r="V346" s="2501"/>
      <c r="W346" s="2501"/>
      <c r="X346" s="2501"/>
      <c r="Y346" s="2501"/>
      <c r="Z346" s="2501"/>
      <c r="AA346" s="2501"/>
      <c r="AB346" s="1749">
        <f>SUM(AB342:AB345)</f>
        <v>2302.9699999999998</v>
      </c>
    </row>
    <row r="347" spans="2:28" x14ac:dyDescent="0.25">
      <c r="B347" s="1715"/>
      <c r="C347" s="1715"/>
      <c r="D347" s="1715"/>
      <c r="E347" s="1715"/>
      <c r="F347" s="1715"/>
      <c r="G347" s="1715"/>
      <c r="H347" s="1715"/>
      <c r="I347" s="1715"/>
      <c r="J347" s="1715"/>
      <c r="K347" s="1715"/>
      <c r="L347" s="1715"/>
      <c r="M347" s="1715"/>
      <c r="N347" s="1715"/>
      <c r="O347" s="1715"/>
      <c r="P347" s="1715"/>
      <c r="Q347" s="1715"/>
      <c r="R347" s="1715"/>
      <c r="S347" s="1715"/>
      <c r="T347" s="1715"/>
      <c r="U347" s="1715"/>
      <c r="V347" s="1715"/>
      <c r="W347" s="1715"/>
      <c r="X347" s="1715"/>
      <c r="Y347" s="1715"/>
      <c r="Z347" s="1715"/>
      <c r="AA347" s="1715"/>
      <c r="AB347" s="1715"/>
    </row>
    <row r="348" spans="2:28" ht="15" customHeight="1" x14ac:dyDescent="0.25">
      <c r="B348" s="1715" t="s">
        <v>1434</v>
      </c>
      <c r="C348" s="2497" t="s">
        <v>1645</v>
      </c>
      <c r="D348" s="2498"/>
      <c r="E348" s="2498"/>
      <c r="F348" s="2498"/>
      <c r="G348" s="2498"/>
      <c r="H348" s="2498"/>
      <c r="I348" s="2498"/>
      <c r="J348" s="2498"/>
      <c r="K348" s="2498"/>
      <c r="L348" s="2498"/>
      <c r="M348" s="2498"/>
      <c r="N348" s="2498"/>
      <c r="O348" s="2498"/>
      <c r="P348" s="2498"/>
      <c r="Q348" s="2498"/>
      <c r="R348" s="2498"/>
      <c r="S348" s="2498"/>
      <c r="T348" s="2498"/>
      <c r="U348" s="2498"/>
      <c r="V348" s="2498"/>
      <c r="W348" s="2498"/>
      <c r="X348" s="2498"/>
      <c r="Y348" s="2498"/>
      <c r="Z348" s="2498"/>
      <c r="AA348" s="2498"/>
      <c r="AB348" s="2499"/>
    </row>
    <row r="349" spans="2:28" x14ac:dyDescent="0.25">
      <c r="B349" s="1715"/>
      <c r="C349" s="1715"/>
      <c r="D349" s="1715"/>
      <c r="E349" s="1715"/>
      <c r="F349" s="1715"/>
      <c r="G349" s="1715"/>
      <c r="H349" s="1715"/>
      <c r="I349" s="1715"/>
      <c r="J349" s="1715"/>
      <c r="K349" s="1715"/>
      <c r="L349" s="1715"/>
      <c r="M349" s="1715"/>
      <c r="N349" s="1715"/>
      <c r="O349" s="1715"/>
      <c r="P349" s="1715"/>
      <c r="Q349" s="1715"/>
      <c r="R349" s="1715"/>
      <c r="S349" s="1715"/>
      <c r="T349" s="1715"/>
      <c r="U349" s="1715"/>
      <c r="V349" s="1715"/>
      <c r="W349" s="1715"/>
      <c r="X349" s="1715"/>
      <c r="Y349" s="1715"/>
      <c r="Z349" s="1715"/>
      <c r="AA349" s="1715"/>
      <c r="AB349" s="1715"/>
    </row>
    <row r="350" spans="2:28" s="1748" customFormat="1" ht="21" customHeight="1" x14ac:dyDescent="0.25">
      <c r="B350" s="1747"/>
      <c r="C350" s="1746" t="s">
        <v>1435</v>
      </c>
      <c r="D350" s="1747" t="s">
        <v>1436</v>
      </c>
      <c r="E350" s="1747" t="s">
        <v>1437</v>
      </c>
      <c r="F350" s="1747" t="s">
        <v>1438</v>
      </c>
      <c r="G350" s="1747" t="s">
        <v>1439</v>
      </c>
      <c r="H350" s="1747" t="s">
        <v>1440</v>
      </c>
      <c r="I350" s="1747" t="s">
        <v>1441</v>
      </c>
      <c r="J350" s="1747" t="s">
        <v>1442</v>
      </c>
      <c r="K350" s="1747" t="s">
        <v>1443</v>
      </c>
      <c r="L350" s="1747" t="s">
        <v>1444</v>
      </c>
      <c r="M350" s="1747" t="s">
        <v>1445</v>
      </c>
      <c r="N350" s="1747" t="s">
        <v>1446</v>
      </c>
      <c r="O350" s="1747" t="s">
        <v>1447</v>
      </c>
      <c r="P350" s="1747" t="s">
        <v>1448</v>
      </c>
      <c r="Q350" s="1747" t="s">
        <v>1449</v>
      </c>
      <c r="R350" s="1747" t="s">
        <v>1450</v>
      </c>
      <c r="S350" s="1747" t="s">
        <v>1451</v>
      </c>
      <c r="T350" s="1747" t="s">
        <v>1452</v>
      </c>
      <c r="U350" s="1747" t="s">
        <v>1453</v>
      </c>
      <c r="V350" s="1747" t="s">
        <v>1454</v>
      </c>
      <c r="W350" s="1747" t="s">
        <v>1455</v>
      </c>
      <c r="X350" s="1747" t="s">
        <v>1456</v>
      </c>
      <c r="Y350" s="1747" t="s">
        <v>1457</v>
      </c>
      <c r="Z350" s="1747" t="s">
        <v>1458</v>
      </c>
      <c r="AA350" s="1747" t="s">
        <v>1466</v>
      </c>
      <c r="AB350" s="1747" t="s">
        <v>1467</v>
      </c>
    </row>
    <row r="351" spans="2:28" x14ac:dyDescent="0.25">
      <c r="B351" s="1765" t="s">
        <v>1461</v>
      </c>
      <c r="C351" s="1776">
        <v>0</v>
      </c>
      <c r="D351" s="1776">
        <v>0</v>
      </c>
      <c r="E351" s="1776">
        <v>0</v>
      </c>
      <c r="F351" s="1776">
        <v>0</v>
      </c>
      <c r="G351" s="1776">
        <v>0</v>
      </c>
      <c r="H351" s="1776">
        <v>0</v>
      </c>
      <c r="I351" s="1776">
        <v>0</v>
      </c>
      <c r="J351" s="1776">
        <v>0.12</v>
      </c>
      <c r="K351" s="1776">
        <v>0.22</v>
      </c>
      <c r="L351" s="1776">
        <v>0.64</v>
      </c>
      <c r="M351" s="1776">
        <v>0.74</v>
      </c>
      <c r="N351" s="1776">
        <v>0.68</v>
      </c>
      <c r="O351" s="1776">
        <v>0.68</v>
      </c>
      <c r="P351" s="1776">
        <v>0.71</v>
      </c>
      <c r="Q351" s="1776">
        <v>0.72</v>
      </c>
      <c r="R351" s="1776">
        <v>0.72</v>
      </c>
      <c r="S351" s="1776">
        <v>0.73</v>
      </c>
      <c r="T351" s="1776">
        <v>0.68</v>
      </c>
      <c r="U351" s="1776">
        <v>0.68</v>
      </c>
      <c r="V351" s="1776">
        <v>0.57999999999999996</v>
      </c>
      <c r="W351" s="1776">
        <v>0.54</v>
      </c>
      <c r="X351" s="1776">
        <v>0</v>
      </c>
      <c r="Y351" s="1776">
        <v>0</v>
      </c>
      <c r="Z351" s="1776">
        <v>0</v>
      </c>
      <c r="AA351" s="1752">
        <f>SUM(C351:Z351)</f>
        <v>8.4399999999999977</v>
      </c>
      <c r="AB351" s="1753">
        <f>AA351*SUM($C$9:$C$13)</f>
        <v>2109.9999999999995</v>
      </c>
    </row>
    <row r="352" spans="2:28" x14ac:dyDescent="0.25">
      <c r="B352" s="1767" t="s">
        <v>1431</v>
      </c>
      <c r="C352" s="1777">
        <v>0</v>
      </c>
      <c r="D352" s="1777">
        <v>0</v>
      </c>
      <c r="E352" s="1777">
        <v>0</v>
      </c>
      <c r="F352" s="1777">
        <v>0</v>
      </c>
      <c r="G352" s="1777">
        <v>0</v>
      </c>
      <c r="H352" s="1777">
        <v>0</v>
      </c>
      <c r="I352" s="1777">
        <v>0</v>
      </c>
      <c r="J352" s="1777">
        <v>0.09</v>
      </c>
      <c r="K352" s="1777">
        <v>0.21</v>
      </c>
      <c r="L352" s="1777">
        <v>0.56000000000000005</v>
      </c>
      <c r="M352" s="1777">
        <v>0.66</v>
      </c>
      <c r="N352" s="1777">
        <v>0.68</v>
      </c>
      <c r="O352" s="1777">
        <v>0.68</v>
      </c>
      <c r="P352" s="1777">
        <v>0.69</v>
      </c>
      <c r="Q352" s="1777">
        <v>0.7</v>
      </c>
      <c r="R352" s="1777">
        <v>0.69</v>
      </c>
      <c r="S352" s="1777">
        <v>0.66</v>
      </c>
      <c r="T352" s="1777">
        <v>0.57999999999999996</v>
      </c>
      <c r="U352" s="1777">
        <v>0.47</v>
      </c>
      <c r="V352" s="1777">
        <v>0.43</v>
      </c>
      <c r="W352" s="1777">
        <v>0.43</v>
      </c>
      <c r="X352" s="1777">
        <v>0.08</v>
      </c>
      <c r="Y352" s="1777">
        <v>0</v>
      </c>
      <c r="Z352" s="1777">
        <v>0</v>
      </c>
      <c r="AA352" s="1756">
        <f>SUM(C352:Z352)</f>
        <v>7.61</v>
      </c>
      <c r="AB352" s="1757">
        <f>AA352*SUM($C$14)</f>
        <v>395.72</v>
      </c>
    </row>
    <row r="353" spans="2:28" x14ac:dyDescent="0.25">
      <c r="B353" s="1767" t="s">
        <v>1432</v>
      </c>
      <c r="C353" s="1777">
        <v>0</v>
      </c>
      <c r="D353" s="1777">
        <v>0</v>
      </c>
      <c r="E353" s="1777">
        <v>0</v>
      </c>
      <c r="F353" s="1777">
        <v>0</v>
      </c>
      <c r="G353" s="1777">
        <v>0</v>
      </c>
      <c r="H353" s="1777">
        <v>0</v>
      </c>
      <c r="I353" s="1777">
        <v>0</v>
      </c>
      <c r="J353" s="1777">
        <v>0</v>
      </c>
      <c r="K353" s="1777">
        <v>0</v>
      </c>
      <c r="L353" s="1777">
        <v>0.11</v>
      </c>
      <c r="M353" s="1777">
        <v>0.13</v>
      </c>
      <c r="N353" s="1777">
        <v>0.35</v>
      </c>
      <c r="O353" s="1777">
        <v>0.37</v>
      </c>
      <c r="P353" s="1777">
        <v>0.37</v>
      </c>
      <c r="Q353" s="1777">
        <v>0.39</v>
      </c>
      <c r="R353" s="1777">
        <v>0.41</v>
      </c>
      <c r="S353" s="1777">
        <v>0.38</v>
      </c>
      <c r="T353" s="1777">
        <v>0.34</v>
      </c>
      <c r="U353" s="1777">
        <v>0.03</v>
      </c>
      <c r="V353" s="1777">
        <v>0</v>
      </c>
      <c r="W353" s="1777">
        <v>0</v>
      </c>
      <c r="X353" s="1777">
        <v>0</v>
      </c>
      <c r="Y353" s="1777">
        <v>0</v>
      </c>
      <c r="Z353" s="1777">
        <v>0</v>
      </c>
      <c r="AA353" s="1756">
        <f>SUM(C353:Z353)</f>
        <v>2.88</v>
      </c>
      <c r="AB353" s="1757">
        <f>AA353*$C$15</f>
        <v>149.76</v>
      </c>
    </row>
    <row r="354" spans="2:28" x14ac:dyDescent="0.25">
      <c r="B354" s="1769" t="s">
        <v>1463</v>
      </c>
      <c r="C354" s="1778">
        <v>0</v>
      </c>
      <c r="D354" s="1778">
        <v>0</v>
      </c>
      <c r="E354" s="1778">
        <v>0</v>
      </c>
      <c r="F354" s="1778">
        <v>0</v>
      </c>
      <c r="G354" s="1778">
        <v>0</v>
      </c>
      <c r="H354" s="1778">
        <v>0</v>
      </c>
      <c r="I354" s="1778">
        <v>0</v>
      </c>
      <c r="J354" s="1778">
        <v>0</v>
      </c>
      <c r="K354" s="1778">
        <v>0</v>
      </c>
      <c r="L354" s="1778">
        <v>0.11</v>
      </c>
      <c r="M354" s="1778">
        <v>0.13</v>
      </c>
      <c r="N354" s="1778">
        <v>0.35</v>
      </c>
      <c r="O354" s="1778">
        <v>0.37</v>
      </c>
      <c r="P354" s="1778">
        <v>0.37</v>
      </c>
      <c r="Q354" s="1778">
        <v>0.39</v>
      </c>
      <c r="R354" s="1778">
        <v>0.41</v>
      </c>
      <c r="S354" s="1778">
        <v>0.38</v>
      </c>
      <c r="T354" s="1778">
        <v>0.34</v>
      </c>
      <c r="U354" s="1778">
        <v>0.03</v>
      </c>
      <c r="V354" s="1778">
        <v>0</v>
      </c>
      <c r="W354" s="1778">
        <v>0</v>
      </c>
      <c r="X354" s="1778">
        <v>0</v>
      </c>
      <c r="Y354" s="1778">
        <v>0</v>
      </c>
      <c r="Z354" s="1778">
        <v>0</v>
      </c>
      <c r="AA354" s="1760">
        <f>SUM(C354:Z354)</f>
        <v>2.88</v>
      </c>
      <c r="AB354" s="1761">
        <f>AA354*SUM($C$8)</f>
        <v>31.68</v>
      </c>
    </row>
    <row r="355" spans="2:28" x14ac:dyDescent="0.25">
      <c r="B355" s="2500" t="s">
        <v>1468</v>
      </c>
      <c r="C355" s="2501"/>
      <c r="D355" s="2501"/>
      <c r="E355" s="2501"/>
      <c r="F355" s="2501"/>
      <c r="G355" s="2501"/>
      <c r="H355" s="2501"/>
      <c r="I355" s="2501"/>
      <c r="J355" s="2501"/>
      <c r="K355" s="2501"/>
      <c r="L355" s="2501"/>
      <c r="M355" s="2501"/>
      <c r="N355" s="2501"/>
      <c r="O355" s="2501"/>
      <c r="P355" s="2501"/>
      <c r="Q355" s="2501"/>
      <c r="R355" s="2501"/>
      <c r="S355" s="2501"/>
      <c r="T355" s="2501"/>
      <c r="U355" s="2501"/>
      <c r="V355" s="2501"/>
      <c r="W355" s="2501"/>
      <c r="X355" s="2501"/>
      <c r="Y355" s="2501"/>
      <c r="Z355" s="2501"/>
      <c r="AA355" s="2501"/>
      <c r="AB355" s="1749">
        <f>SUM(AB351:AB354)</f>
        <v>2687.1599999999994</v>
      </c>
    </row>
    <row r="356" spans="2:28" x14ac:dyDescent="0.25">
      <c r="B356" s="1715"/>
      <c r="C356" s="1715"/>
      <c r="D356" s="1715"/>
      <c r="E356" s="1715"/>
      <c r="F356" s="1715"/>
      <c r="G356" s="1715"/>
      <c r="H356" s="1715"/>
      <c r="I356" s="1715"/>
      <c r="J356" s="1715"/>
      <c r="K356" s="1715"/>
      <c r="L356" s="1715"/>
      <c r="M356" s="1715"/>
      <c r="N356" s="1715"/>
      <c r="O356" s="1715"/>
      <c r="P356" s="1715"/>
      <c r="Q356" s="1715"/>
      <c r="R356" s="1715"/>
      <c r="S356" s="1715"/>
      <c r="T356" s="1715"/>
      <c r="U356" s="1715"/>
      <c r="V356" s="1715"/>
      <c r="W356" s="1715"/>
      <c r="X356" s="1715"/>
      <c r="Y356" s="1715"/>
      <c r="Z356" s="1715"/>
      <c r="AA356" s="1715"/>
      <c r="AB356" s="1715"/>
    </row>
    <row r="357" spans="2:28" x14ac:dyDescent="0.25">
      <c r="B357" s="1726" t="s">
        <v>1646</v>
      </c>
      <c r="C357" s="1715"/>
      <c r="D357" s="1715"/>
      <c r="E357" s="1715"/>
      <c r="F357" s="1715"/>
      <c r="G357" s="1715"/>
      <c r="H357" s="1715"/>
      <c r="I357" s="1715"/>
      <c r="J357" s="1715"/>
      <c r="K357" s="1715"/>
      <c r="L357" s="1715"/>
      <c r="M357" s="1715"/>
      <c r="N357" s="1715"/>
      <c r="O357" s="1715"/>
      <c r="P357" s="1715"/>
      <c r="Q357" s="1715"/>
      <c r="R357" s="1715"/>
      <c r="S357" s="1715"/>
      <c r="T357" s="1715"/>
      <c r="U357" s="1715"/>
      <c r="V357" s="1715"/>
      <c r="W357" s="1715"/>
      <c r="X357" s="1715"/>
      <c r="Y357" s="1715"/>
      <c r="Z357" s="1715"/>
      <c r="AA357" s="1715"/>
      <c r="AB357" s="1715"/>
    </row>
    <row r="358" spans="2:28" x14ac:dyDescent="0.25">
      <c r="B358" s="1715"/>
      <c r="C358" s="1715"/>
      <c r="D358" s="1715"/>
      <c r="E358" s="1715"/>
      <c r="F358" s="1715"/>
      <c r="G358" s="1715"/>
      <c r="H358" s="1715"/>
      <c r="I358" s="1715"/>
      <c r="J358" s="1715"/>
      <c r="K358" s="1715"/>
      <c r="L358" s="1715"/>
      <c r="M358" s="1715"/>
      <c r="N358" s="1715"/>
      <c r="O358" s="1715"/>
      <c r="P358" s="1715"/>
      <c r="Q358" s="1715"/>
      <c r="R358" s="1715"/>
      <c r="S358" s="1715"/>
      <c r="T358" s="1715"/>
      <c r="U358" s="1715"/>
      <c r="V358" s="1715"/>
      <c r="W358" s="1715"/>
      <c r="X358" s="1715"/>
      <c r="Y358" s="1715"/>
      <c r="Z358" s="1715"/>
      <c r="AA358" s="1715"/>
      <c r="AB358" s="1715"/>
    </row>
    <row r="359" spans="2:28" ht="15" customHeight="1" x14ac:dyDescent="0.25">
      <c r="B359" s="1715" t="s">
        <v>1434</v>
      </c>
      <c r="C359" s="2497" t="s">
        <v>1647</v>
      </c>
      <c r="D359" s="2498"/>
      <c r="E359" s="2498"/>
      <c r="F359" s="2498"/>
      <c r="G359" s="2498"/>
      <c r="H359" s="2498"/>
      <c r="I359" s="2498"/>
      <c r="J359" s="2498"/>
      <c r="K359" s="2498"/>
      <c r="L359" s="2498"/>
      <c r="M359" s="2498"/>
      <c r="N359" s="2498"/>
      <c r="O359" s="2498"/>
      <c r="P359" s="2498"/>
      <c r="Q359" s="2498"/>
      <c r="R359" s="2498"/>
      <c r="S359" s="2498"/>
      <c r="T359" s="2498"/>
      <c r="U359" s="2498"/>
      <c r="V359" s="2498"/>
      <c r="W359" s="2498"/>
      <c r="X359" s="2498"/>
      <c r="Y359" s="2498"/>
      <c r="Z359" s="2498"/>
      <c r="AA359" s="2498"/>
      <c r="AB359" s="2499"/>
    </row>
    <row r="360" spans="2:28" x14ac:dyDescent="0.25">
      <c r="B360" s="1715"/>
      <c r="C360" s="1715"/>
      <c r="D360" s="1715"/>
      <c r="E360" s="1715"/>
      <c r="F360" s="1715"/>
      <c r="G360" s="1715"/>
      <c r="H360" s="1715"/>
      <c r="I360" s="1715"/>
      <c r="J360" s="1715"/>
      <c r="K360" s="1715"/>
      <c r="L360" s="1715"/>
      <c r="M360" s="1715"/>
      <c r="N360" s="1715"/>
      <c r="O360" s="1715"/>
      <c r="P360" s="1715"/>
      <c r="Q360" s="1715"/>
      <c r="R360" s="1715"/>
      <c r="S360" s="1715"/>
      <c r="T360" s="1715"/>
      <c r="U360" s="1715"/>
      <c r="V360" s="1715"/>
      <c r="W360" s="1715"/>
      <c r="X360" s="1715"/>
      <c r="Y360" s="1715"/>
      <c r="Z360" s="1715"/>
      <c r="AA360" s="1715"/>
      <c r="AB360" s="1715"/>
    </row>
    <row r="361" spans="2:28" s="1748" customFormat="1" ht="21" customHeight="1" x14ac:dyDescent="0.25">
      <c r="B361" s="1747"/>
      <c r="C361" s="1746" t="s">
        <v>1435</v>
      </c>
      <c r="D361" s="1747" t="s">
        <v>1436</v>
      </c>
      <c r="E361" s="1747" t="s">
        <v>1437</v>
      </c>
      <c r="F361" s="1747" t="s">
        <v>1438</v>
      </c>
      <c r="G361" s="1747" t="s">
        <v>1439</v>
      </c>
      <c r="H361" s="1747" t="s">
        <v>1440</v>
      </c>
      <c r="I361" s="1747" t="s">
        <v>1441</v>
      </c>
      <c r="J361" s="1747" t="s">
        <v>1442</v>
      </c>
      <c r="K361" s="1747" t="s">
        <v>1443</v>
      </c>
      <c r="L361" s="1747" t="s">
        <v>1444</v>
      </c>
      <c r="M361" s="1747" t="s">
        <v>1445</v>
      </c>
      <c r="N361" s="1747" t="s">
        <v>1446</v>
      </c>
      <c r="O361" s="1747" t="s">
        <v>1447</v>
      </c>
      <c r="P361" s="1747" t="s">
        <v>1448</v>
      </c>
      <c r="Q361" s="1747" t="s">
        <v>1449</v>
      </c>
      <c r="R361" s="1747" t="s">
        <v>1450</v>
      </c>
      <c r="S361" s="1747" t="s">
        <v>1451</v>
      </c>
      <c r="T361" s="1747" t="s">
        <v>1452</v>
      </c>
      <c r="U361" s="1747" t="s">
        <v>1453</v>
      </c>
      <c r="V361" s="1747" t="s">
        <v>1454</v>
      </c>
      <c r="W361" s="1747" t="s">
        <v>1455</v>
      </c>
      <c r="X361" s="1747" t="s">
        <v>1456</v>
      </c>
      <c r="Y361" s="1747" t="s">
        <v>1457</v>
      </c>
      <c r="Z361" s="1747" t="s">
        <v>1458</v>
      </c>
      <c r="AA361" s="1747" t="s">
        <v>1459</v>
      </c>
      <c r="AB361" s="1747" t="s">
        <v>1460</v>
      </c>
    </row>
    <row r="362" spans="2:28" x14ac:dyDescent="0.25">
      <c r="B362" s="1765" t="s">
        <v>1461</v>
      </c>
      <c r="C362" s="1779">
        <v>1</v>
      </c>
      <c r="D362" s="1779">
        <v>1</v>
      </c>
      <c r="E362" s="1779">
        <v>1</v>
      </c>
      <c r="F362" s="1779">
        <v>0</v>
      </c>
      <c r="G362" s="1779">
        <v>0</v>
      </c>
      <c r="H362" s="1779">
        <v>0</v>
      </c>
      <c r="I362" s="1779">
        <v>0</v>
      </c>
      <c r="J362" s="1779">
        <v>1</v>
      </c>
      <c r="K362" s="1779">
        <v>1</v>
      </c>
      <c r="L362" s="1779">
        <v>1</v>
      </c>
      <c r="M362" s="1779">
        <v>1</v>
      </c>
      <c r="N362" s="1779">
        <v>1</v>
      </c>
      <c r="O362" s="1779">
        <v>1</v>
      </c>
      <c r="P362" s="1779">
        <v>1</v>
      </c>
      <c r="Q362" s="1779">
        <v>1</v>
      </c>
      <c r="R362" s="1779">
        <v>1</v>
      </c>
      <c r="S362" s="1779">
        <v>1</v>
      </c>
      <c r="T362" s="1779">
        <v>1</v>
      </c>
      <c r="U362" s="1779">
        <v>1</v>
      </c>
      <c r="V362" s="1779">
        <v>1</v>
      </c>
      <c r="W362" s="1779">
        <v>1</v>
      </c>
      <c r="X362" s="1779">
        <v>1</v>
      </c>
      <c r="Y362" s="1779">
        <v>1</v>
      </c>
      <c r="Z362" s="1779">
        <v>1</v>
      </c>
      <c r="AA362" s="1752">
        <f>SUM(C362:Z362)</f>
        <v>20</v>
      </c>
      <c r="AB362" s="1753">
        <f>AA362*SUM($C$9:$C$13)</f>
        <v>5000</v>
      </c>
    </row>
    <row r="363" spans="2:28" x14ac:dyDescent="0.25">
      <c r="B363" s="1767" t="s">
        <v>1431</v>
      </c>
      <c r="C363" s="1780">
        <v>1</v>
      </c>
      <c r="D363" s="1780">
        <v>1</v>
      </c>
      <c r="E363" s="1780">
        <v>1</v>
      </c>
      <c r="F363" s="1780">
        <v>0</v>
      </c>
      <c r="G363" s="1780">
        <v>0</v>
      </c>
      <c r="H363" s="1780">
        <v>0</v>
      </c>
      <c r="I363" s="1780">
        <v>0</v>
      </c>
      <c r="J363" s="1780">
        <v>0</v>
      </c>
      <c r="K363" s="1780">
        <v>0</v>
      </c>
      <c r="L363" s="1780">
        <v>1</v>
      </c>
      <c r="M363" s="1780">
        <v>1</v>
      </c>
      <c r="N363" s="1780">
        <v>1</v>
      </c>
      <c r="O363" s="1780">
        <v>1</v>
      </c>
      <c r="P363" s="1780">
        <v>1</v>
      </c>
      <c r="Q363" s="1780">
        <v>1</v>
      </c>
      <c r="R363" s="1780">
        <v>1</v>
      </c>
      <c r="S363" s="1780">
        <v>1</v>
      </c>
      <c r="T363" s="1780">
        <v>1</v>
      </c>
      <c r="U363" s="1780">
        <v>1</v>
      </c>
      <c r="V363" s="1780">
        <v>1</v>
      </c>
      <c r="W363" s="1780">
        <v>1</v>
      </c>
      <c r="X363" s="1780">
        <v>1</v>
      </c>
      <c r="Y363" s="1780">
        <v>1</v>
      </c>
      <c r="Z363" s="1780">
        <v>1</v>
      </c>
      <c r="AA363" s="1756">
        <f>SUM(C363:Z363)</f>
        <v>18</v>
      </c>
      <c r="AB363" s="1757">
        <f>AA363*SUM($C$14)</f>
        <v>936</v>
      </c>
    </row>
    <row r="364" spans="2:28" x14ac:dyDescent="0.25">
      <c r="B364" s="1767" t="s">
        <v>1432</v>
      </c>
      <c r="C364" s="1780">
        <v>1</v>
      </c>
      <c r="D364" s="1780">
        <v>1</v>
      </c>
      <c r="E364" s="1780">
        <v>1</v>
      </c>
      <c r="F364" s="1780">
        <v>0</v>
      </c>
      <c r="G364" s="1780">
        <v>0</v>
      </c>
      <c r="H364" s="1780">
        <v>0</v>
      </c>
      <c r="I364" s="1780">
        <v>0</v>
      </c>
      <c r="J364" s="1780">
        <v>0</v>
      </c>
      <c r="K364" s="1780">
        <v>0</v>
      </c>
      <c r="L364" s="1780">
        <v>0</v>
      </c>
      <c r="M364" s="1780">
        <v>1</v>
      </c>
      <c r="N364" s="1780">
        <v>1</v>
      </c>
      <c r="O364" s="1780">
        <v>1</v>
      </c>
      <c r="P364" s="1780">
        <v>1</v>
      </c>
      <c r="Q364" s="1780">
        <v>1</v>
      </c>
      <c r="R364" s="1780">
        <v>1</v>
      </c>
      <c r="S364" s="1780">
        <v>1</v>
      </c>
      <c r="T364" s="1780">
        <v>1</v>
      </c>
      <c r="U364" s="1780">
        <v>1</v>
      </c>
      <c r="V364" s="1780">
        <v>1</v>
      </c>
      <c r="W364" s="1780">
        <v>1</v>
      </c>
      <c r="X364" s="1780">
        <v>1</v>
      </c>
      <c r="Y364" s="1780">
        <v>1</v>
      </c>
      <c r="Z364" s="1780">
        <v>1</v>
      </c>
      <c r="AA364" s="1756">
        <f>SUM(C364:Z364)</f>
        <v>17</v>
      </c>
      <c r="AB364" s="1757">
        <f>AA364*$C$15</f>
        <v>884</v>
      </c>
    </row>
    <row r="365" spans="2:28" x14ac:dyDescent="0.25">
      <c r="B365" s="1769" t="s">
        <v>1463</v>
      </c>
      <c r="C365" s="1781">
        <v>1</v>
      </c>
      <c r="D365" s="1781">
        <v>1</v>
      </c>
      <c r="E365" s="1781">
        <v>1</v>
      </c>
      <c r="F365" s="1781">
        <v>0</v>
      </c>
      <c r="G365" s="1781">
        <v>0</v>
      </c>
      <c r="H365" s="1781">
        <v>0</v>
      </c>
      <c r="I365" s="1781">
        <v>0</v>
      </c>
      <c r="J365" s="1781">
        <v>0</v>
      </c>
      <c r="K365" s="1781">
        <v>0</v>
      </c>
      <c r="L365" s="1781">
        <v>0</v>
      </c>
      <c r="M365" s="1781">
        <v>1</v>
      </c>
      <c r="N365" s="1781">
        <v>1</v>
      </c>
      <c r="O365" s="1781">
        <v>1</v>
      </c>
      <c r="P365" s="1781">
        <v>1</v>
      </c>
      <c r="Q365" s="1781">
        <v>1</v>
      </c>
      <c r="R365" s="1781">
        <v>1</v>
      </c>
      <c r="S365" s="1781">
        <v>1</v>
      </c>
      <c r="T365" s="1781">
        <v>1</v>
      </c>
      <c r="U365" s="1781">
        <v>1</v>
      </c>
      <c r="V365" s="1781">
        <v>1</v>
      </c>
      <c r="W365" s="1781">
        <v>1</v>
      </c>
      <c r="X365" s="1781">
        <v>1</v>
      </c>
      <c r="Y365" s="1781">
        <v>1</v>
      </c>
      <c r="Z365" s="1781">
        <v>1</v>
      </c>
      <c r="AA365" s="1760">
        <f>SUM(C365:Z365)</f>
        <v>17</v>
      </c>
      <c r="AB365" s="1761">
        <f>AA365*SUM($C$8)</f>
        <v>187</v>
      </c>
    </row>
    <row r="366" spans="2:28" x14ac:dyDescent="0.25">
      <c r="B366" s="2500" t="s">
        <v>1464</v>
      </c>
      <c r="C366" s="2501"/>
      <c r="D366" s="2501"/>
      <c r="E366" s="2501"/>
      <c r="F366" s="2501"/>
      <c r="G366" s="2501"/>
      <c r="H366" s="2501"/>
      <c r="I366" s="2501"/>
      <c r="J366" s="2501"/>
      <c r="K366" s="2501"/>
      <c r="L366" s="2501"/>
      <c r="M366" s="2501"/>
      <c r="N366" s="2501"/>
      <c r="O366" s="2501"/>
      <c r="P366" s="2501"/>
      <c r="Q366" s="2501"/>
      <c r="R366" s="2501"/>
      <c r="S366" s="2501"/>
      <c r="T366" s="2501"/>
      <c r="U366" s="2501"/>
      <c r="V366" s="2501"/>
      <c r="W366" s="2501"/>
      <c r="X366" s="2501"/>
      <c r="Y366" s="2501"/>
      <c r="Z366" s="2501"/>
      <c r="AA366" s="2501"/>
      <c r="AB366" s="1749">
        <f>SUM(AB362:AB365)</f>
        <v>7007</v>
      </c>
    </row>
    <row r="367" spans="2:28" x14ac:dyDescent="0.25">
      <c r="B367" s="1715"/>
      <c r="C367" s="1715"/>
      <c r="D367" s="1715"/>
      <c r="E367" s="1715"/>
      <c r="F367" s="1715"/>
      <c r="G367" s="1715"/>
      <c r="H367" s="1715"/>
      <c r="I367" s="1715"/>
      <c r="J367" s="1715"/>
      <c r="K367" s="1715"/>
      <c r="L367" s="1715"/>
      <c r="M367" s="1715"/>
      <c r="N367" s="1715"/>
      <c r="O367" s="1715"/>
      <c r="P367" s="1715"/>
      <c r="Q367" s="1715"/>
      <c r="R367" s="1715"/>
      <c r="S367" s="1715"/>
      <c r="T367" s="1715"/>
      <c r="U367" s="1715"/>
      <c r="V367" s="1715"/>
      <c r="W367" s="1715"/>
      <c r="X367" s="1715"/>
      <c r="Y367" s="1715"/>
      <c r="Z367" s="1715"/>
      <c r="AA367" s="1715"/>
      <c r="AB367" s="1715"/>
    </row>
    <row r="368" spans="2:28" ht="15" customHeight="1" x14ac:dyDescent="0.25">
      <c r="B368" s="1715" t="s">
        <v>1434</v>
      </c>
      <c r="C368" s="2497" t="s">
        <v>1648</v>
      </c>
      <c r="D368" s="2498"/>
      <c r="E368" s="2498"/>
      <c r="F368" s="2498"/>
      <c r="G368" s="2498"/>
      <c r="H368" s="2498"/>
      <c r="I368" s="2498"/>
      <c r="J368" s="2498"/>
      <c r="K368" s="2498"/>
      <c r="L368" s="2498"/>
      <c r="M368" s="2498"/>
      <c r="N368" s="2498"/>
      <c r="O368" s="2498"/>
      <c r="P368" s="2498"/>
      <c r="Q368" s="2498"/>
      <c r="R368" s="2498"/>
      <c r="S368" s="2498"/>
      <c r="T368" s="2498"/>
      <c r="U368" s="2498"/>
      <c r="V368" s="2498"/>
      <c r="W368" s="2498"/>
      <c r="X368" s="2498"/>
      <c r="Y368" s="2498"/>
      <c r="Z368" s="2498"/>
      <c r="AA368" s="2498"/>
      <c r="AB368" s="2499"/>
    </row>
    <row r="369" spans="2:28" x14ac:dyDescent="0.25">
      <c r="B369" s="1715"/>
      <c r="C369" s="1715"/>
      <c r="D369" s="1715"/>
      <c r="E369" s="1715"/>
      <c r="F369" s="1715"/>
      <c r="G369" s="1715"/>
      <c r="H369" s="1715"/>
      <c r="I369" s="1715"/>
      <c r="J369" s="1715"/>
      <c r="K369" s="1715"/>
      <c r="L369" s="1715"/>
      <c r="M369" s="1715"/>
      <c r="N369" s="1715"/>
      <c r="O369" s="1715"/>
      <c r="P369" s="1715"/>
      <c r="Q369" s="1715"/>
      <c r="R369" s="1715"/>
      <c r="S369" s="1715"/>
      <c r="T369" s="1715"/>
      <c r="U369" s="1715"/>
      <c r="V369" s="1715"/>
      <c r="W369" s="1715"/>
      <c r="X369" s="1715"/>
      <c r="Y369" s="1715"/>
      <c r="Z369" s="1715"/>
      <c r="AA369" s="1715"/>
      <c r="AB369" s="1715"/>
    </row>
    <row r="370" spans="2:28" s="1748" customFormat="1" ht="21" customHeight="1" x14ac:dyDescent="0.25">
      <c r="B370" s="1747"/>
      <c r="C370" s="1746" t="s">
        <v>1435</v>
      </c>
      <c r="D370" s="1747" t="s">
        <v>1436</v>
      </c>
      <c r="E370" s="1747" t="s">
        <v>1437</v>
      </c>
      <c r="F370" s="1747" t="s">
        <v>1438</v>
      </c>
      <c r="G370" s="1747" t="s">
        <v>1439</v>
      </c>
      <c r="H370" s="1747" t="s">
        <v>1440</v>
      </c>
      <c r="I370" s="1747" t="s">
        <v>1441</v>
      </c>
      <c r="J370" s="1747" t="s">
        <v>1442</v>
      </c>
      <c r="K370" s="1747" t="s">
        <v>1443</v>
      </c>
      <c r="L370" s="1747" t="s">
        <v>1444</v>
      </c>
      <c r="M370" s="1747" t="s">
        <v>1445</v>
      </c>
      <c r="N370" s="1747" t="s">
        <v>1446</v>
      </c>
      <c r="O370" s="1747" t="s">
        <v>1447</v>
      </c>
      <c r="P370" s="1747" t="s">
        <v>1448</v>
      </c>
      <c r="Q370" s="1747" t="s">
        <v>1449</v>
      </c>
      <c r="R370" s="1747" t="s">
        <v>1450</v>
      </c>
      <c r="S370" s="1747" t="s">
        <v>1451</v>
      </c>
      <c r="T370" s="1747" t="s">
        <v>1452</v>
      </c>
      <c r="U370" s="1747" t="s">
        <v>1453</v>
      </c>
      <c r="V370" s="1747" t="s">
        <v>1454</v>
      </c>
      <c r="W370" s="1747" t="s">
        <v>1455</v>
      </c>
      <c r="X370" s="1747" t="s">
        <v>1456</v>
      </c>
      <c r="Y370" s="1747" t="s">
        <v>1457</v>
      </c>
      <c r="Z370" s="1747" t="s">
        <v>1458</v>
      </c>
      <c r="AA370" s="1747" t="s">
        <v>1466</v>
      </c>
      <c r="AB370" s="1747" t="s">
        <v>1467</v>
      </c>
    </row>
    <row r="371" spans="2:28" x14ac:dyDescent="0.25">
      <c r="B371" s="1765" t="s">
        <v>1461</v>
      </c>
      <c r="C371" s="1776">
        <v>0.15</v>
      </c>
      <c r="D371" s="1776">
        <v>0.15</v>
      </c>
      <c r="E371" s="1776">
        <v>0.05</v>
      </c>
      <c r="F371" s="1776">
        <v>0</v>
      </c>
      <c r="G371" s="1776">
        <v>0</v>
      </c>
      <c r="H371" s="1776">
        <v>0</v>
      </c>
      <c r="I371" s="1776">
        <v>0</v>
      </c>
      <c r="J371" s="1776">
        <v>0.05</v>
      </c>
      <c r="K371" s="1776">
        <v>0.05</v>
      </c>
      <c r="L371" s="1776">
        <v>0.05</v>
      </c>
      <c r="M371" s="1776">
        <v>0.2</v>
      </c>
      <c r="N371" s="1776">
        <v>0.5</v>
      </c>
      <c r="O371" s="1776">
        <v>0.8</v>
      </c>
      <c r="P371" s="1776">
        <v>0.7</v>
      </c>
      <c r="Q371" s="1776">
        <v>0.4</v>
      </c>
      <c r="R371" s="1776">
        <v>0.2</v>
      </c>
      <c r="S371" s="1776">
        <v>0.25</v>
      </c>
      <c r="T371" s="1776">
        <v>0.5</v>
      </c>
      <c r="U371" s="1776">
        <v>0.8</v>
      </c>
      <c r="V371" s="1776">
        <v>0.8</v>
      </c>
      <c r="W371" s="1776">
        <v>0.8</v>
      </c>
      <c r="X371" s="1776">
        <v>0.5</v>
      </c>
      <c r="Y371" s="1776">
        <v>0.35</v>
      </c>
      <c r="Z371" s="1776">
        <v>0.2</v>
      </c>
      <c r="AA371" s="1752">
        <f>SUM(C371:Z371)</f>
        <v>7.5</v>
      </c>
      <c r="AB371" s="1753">
        <f>AA371*SUM($C$9:$C$13)</f>
        <v>1875</v>
      </c>
    </row>
    <row r="372" spans="2:28" x14ac:dyDescent="0.25">
      <c r="B372" s="1767" t="s">
        <v>1431</v>
      </c>
      <c r="C372" s="1777">
        <v>0.3</v>
      </c>
      <c r="D372" s="1777">
        <v>0.25</v>
      </c>
      <c r="E372" s="1777">
        <v>0.05</v>
      </c>
      <c r="F372" s="1777">
        <v>0</v>
      </c>
      <c r="G372" s="1777">
        <v>0</v>
      </c>
      <c r="H372" s="1777">
        <v>0</v>
      </c>
      <c r="I372" s="1777">
        <v>0</v>
      </c>
      <c r="J372" s="1777">
        <v>0</v>
      </c>
      <c r="K372" s="1777">
        <v>0</v>
      </c>
      <c r="L372" s="1777">
        <v>0.05</v>
      </c>
      <c r="M372" s="1777">
        <v>0.2</v>
      </c>
      <c r="N372" s="1777">
        <v>0.45</v>
      </c>
      <c r="O372" s="1777">
        <v>0.5</v>
      </c>
      <c r="P372" s="1777">
        <v>0.5</v>
      </c>
      <c r="Q372" s="1777">
        <v>0.35</v>
      </c>
      <c r="R372" s="1777">
        <v>0.3</v>
      </c>
      <c r="S372" s="1777">
        <v>0.3</v>
      </c>
      <c r="T372" s="1777">
        <v>0.3</v>
      </c>
      <c r="U372" s="1777">
        <v>0.7</v>
      </c>
      <c r="V372" s="1777">
        <v>0.9</v>
      </c>
      <c r="W372" s="1777">
        <v>0.7</v>
      </c>
      <c r="X372" s="1777">
        <v>0.65</v>
      </c>
      <c r="Y372" s="1777">
        <v>0.55000000000000004</v>
      </c>
      <c r="Z372" s="1777">
        <v>0.35</v>
      </c>
      <c r="AA372" s="1756">
        <f>SUM(C372:Z372)</f>
        <v>7.3999999999999995</v>
      </c>
      <c r="AB372" s="1757">
        <f>AA372*SUM($C$14)</f>
        <v>384.79999999999995</v>
      </c>
    </row>
    <row r="373" spans="2:28" x14ac:dyDescent="0.25">
      <c r="B373" s="1767" t="s">
        <v>1432</v>
      </c>
      <c r="C373" s="1777">
        <v>0.2</v>
      </c>
      <c r="D373" s="1777">
        <v>0.2</v>
      </c>
      <c r="E373" s="1777">
        <v>0.05</v>
      </c>
      <c r="F373" s="1777">
        <v>0</v>
      </c>
      <c r="G373" s="1777">
        <v>0</v>
      </c>
      <c r="H373" s="1777">
        <v>0</v>
      </c>
      <c r="I373" s="1777">
        <v>0</v>
      </c>
      <c r="J373" s="1777">
        <v>0</v>
      </c>
      <c r="K373" s="1777">
        <v>0</v>
      </c>
      <c r="L373" s="1777">
        <v>0</v>
      </c>
      <c r="M373" s="1777">
        <v>0.1</v>
      </c>
      <c r="N373" s="1777">
        <v>0.2</v>
      </c>
      <c r="O373" s="1777">
        <v>0.25</v>
      </c>
      <c r="P373" s="1777">
        <v>0.25</v>
      </c>
      <c r="Q373" s="1777">
        <v>0.15</v>
      </c>
      <c r="R373" s="1777">
        <v>0.2</v>
      </c>
      <c r="S373" s="1777">
        <v>0.25</v>
      </c>
      <c r="T373" s="1777">
        <v>0.35</v>
      </c>
      <c r="U373" s="1777">
        <v>0.55000000000000004</v>
      </c>
      <c r="V373" s="1777">
        <v>0.65</v>
      </c>
      <c r="W373" s="1777">
        <v>0.7</v>
      </c>
      <c r="X373" s="1777">
        <v>0.35</v>
      </c>
      <c r="Y373" s="1777">
        <v>0.2</v>
      </c>
      <c r="Z373" s="1777">
        <v>0.2</v>
      </c>
      <c r="AA373" s="1756">
        <f>SUM(C373:Z373)</f>
        <v>4.8499999999999996</v>
      </c>
      <c r="AB373" s="1757">
        <f>AA373*$C$15</f>
        <v>252.2</v>
      </c>
    </row>
    <row r="374" spans="2:28" x14ac:dyDescent="0.25">
      <c r="B374" s="1769" t="s">
        <v>1463</v>
      </c>
      <c r="C374" s="1778">
        <v>0.2</v>
      </c>
      <c r="D374" s="1778">
        <v>0.2</v>
      </c>
      <c r="E374" s="1778">
        <v>0.05</v>
      </c>
      <c r="F374" s="1778">
        <v>0</v>
      </c>
      <c r="G374" s="1778">
        <v>0</v>
      </c>
      <c r="H374" s="1778">
        <v>0</v>
      </c>
      <c r="I374" s="1778">
        <v>0</v>
      </c>
      <c r="J374" s="1778">
        <v>0</v>
      </c>
      <c r="K374" s="1778">
        <v>0</v>
      </c>
      <c r="L374" s="1778">
        <v>0</v>
      </c>
      <c r="M374" s="1778">
        <v>0.1</v>
      </c>
      <c r="N374" s="1778">
        <v>0.2</v>
      </c>
      <c r="O374" s="1778">
        <v>0.25</v>
      </c>
      <c r="P374" s="1778">
        <v>0.25</v>
      </c>
      <c r="Q374" s="1778">
        <v>0.15</v>
      </c>
      <c r="R374" s="1778">
        <v>0.2</v>
      </c>
      <c r="S374" s="1778">
        <v>0.25</v>
      </c>
      <c r="T374" s="1778">
        <v>0.35</v>
      </c>
      <c r="U374" s="1778">
        <v>0.55000000000000004</v>
      </c>
      <c r="V374" s="1778">
        <v>0.65</v>
      </c>
      <c r="W374" s="1778">
        <v>0.7</v>
      </c>
      <c r="X374" s="1778">
        <v>0.35</v>
      </c>
      <c r="Y374" s="1778">
        <v>0.2</v>
      </c>
      <c r="Z374" s="1778">
        <v>0.2</v>
      </c>
      <c r="AA374" s="1760">
        <f>SUM(C374:Z374)</f>
        <v>4.8499999999999996</v>
      </c>
      <c r="AB374" s="1761">
        <f>AA374*SUM($C$8)</f>
        <v>53.349999999999994</v>
      </c>
    </row>
    <row r="375" spans="2:28" x14ac:dyDescent="0.25">
      <c r="B375" s="2500" t="s">
        <v>1468</v>
      </c>
      <c r="C375" s="2501"/>
      <c r="D375" s="2501"/>
      <c r="E375" s="2501"/>
      <c r="F375" s="2501"/>
      <c r="G375" s="2501"/>
      <c r="H375" s="2501"/>
      <c r="I375" s="2501"/>
      <c r="J375" s="2501"/>
      <c r="K375" s="2501"/>
      <c r="L375" s="2501"/>
      <c r="M375" s="2501"/>
      <c r="N375" s="2501"/>
      <c r="O375" s="2501"/>
      <c r="P375" s="2501"/>
      <c r="Q375" s="2501"/>
      <c r="R375" s="2501"/>
      <c r="S375" s="2501"/>
      <c r="T375" s="2501"/>
      <c r="U375" s="2501"/>
      <c r="V375" s="2501"/>
      <c r="W375" s="2501"/>
      <c r="X375" s="2501"/>
      <c r="Y375" s="2501"/>
      <c r="Z375" s="2501"/>
      <c r="AA375" s="2501"/>
      <c r="AB375" s="1749">
        <f>SUM(AB371:AB374)</f>
        <v>2565.35</v>
      </c>
    </row>
    <row r="376" spans="2:28" x14ac:dyDescent="0.25">
      <c r="B376" s="1715"/>
      <c r="C376" s="1715"/>
      <c r="D376" s="1715"/>
      <c r="E376" s="1715"/>
      <c r="F376" s="1715"/>
      <c r="G376" s="1715"/>
      <c r="H376" s="1715"/>
      <c r="I376" s="1715"/>
      <c r="J376" s="1715"/>
      <c r="K376" s="1715"/>
      <c r="L376" s="1715"/>
      <c r="M376" s="1715"/>
      <c r="N376" s="1715"/>
      <c r="O376" s="1715"/>
      <c r="P376" s="1715"/>
      <c r="Q376" s="1715"/>
      <c r="R376" s="1715"/>
      <c r="S376" s="1715"/>
      <c r="T376" s="1715"/>
      <c r="U376" s="1715"/>
      <c r="V376" s="1715"/>
      <c r="W376" s="1715"/>
      <c r="X376" s="1715"/>
      <c r="Y376" s="1715"/>
      <c r="Z376" s="1715"/>
      <c r="AA376" s="1715"/>
      <c r="AB376" s="1715"/>
    </row>
    <row r="377" spans="2:28" ht="15" customHeight="1" x14ac:dyDescent="0.25">
      <c r="B377" s="1715" t="s">
        <v>1434</v>
      </c>
      <c r="C377" s="2497" t="s">
        <v>1649</v>
      </c>
      <c r="D377" s="2498"/>
      <c r="E377" s="2498"/>
      <c r="F377" s="2498"/>
      <c r="G377" s="2498"/>
      <c r="H377" s="2498"/>
      <c r="I377" s="2498"/>
      <c r="J377" s="2498"/>
      <c r="K377" s="2498"/>
      <c r="L377" s="2498"/>
      <c r="M377" s="2498"/>
      <c r="N377" s="2498"/>
      <c r="O377" s="2498"/>
      <c r="P377" s="2498"/>
      <c r="Q377" s="2498"/>
      <c r="R377" s="2498"/>
      <c r="S377" s="2498"/>
      <c r="T377" s="2498"/>
      <c r="U377" s="2498"/>
      <c r="V377" s="2498"/>
      <c r="W377" s="2498"/>
      <c r="X377" s="2498"/>
      <c r="Y377" s="2498"/>
      <c r="Z377" s="2498"/>
      <c r="AA377" s="2498"/>
      <c r="AB377" s="2499"/>
    </row>
    <row r="378" spans="2:28" x14ac:dyDescent="0.25">
      <c r="B378" s="1715"/>
      <c r="C378" s="1715"/>
      <c r="D378" s="1715"/>
      <c r="E378" s="1715"/>
      <c r="F378" s="1715"/>
      <c r="G378" s="1715"/>
      <c r="H378" s="1715"/>
      <c r="I378" s="1715"/>
      <c r="J378" s="1715"/>
      <c r="K378" s="1715"/>
      <c r="L378" s="1715"/>
      <c r="M378" s="1715"/>
      <c r="N378" s="1715"/>
      <c r="O378" s="1715"/>
      <c r="P378" s="1715"/>
      <c r="Q378" s="1715"/>
      <c r="R378" s="1715"/>
      <c r="S378" s="1715"/>
      <c r="T378" s="1715"/>
      <c r="U378" s="1715"/>
      <c r="V378" s="1715"/>
      <c r="W378" s="1715"/>
      <c r="X378" s="1715"/>
      <c r="Y378" s="1715"/>
      <c r="Z378" s="1715"/>
      <c r="AA378" s="1715"/>
      <c r="AB378" s="1715"/>
    </row>
    <row r="379" spans="2:28" s="1748" customFormat="1" ht="21" customHeight="1" x14ac:dyDescent="0.25">
      <c r="B379" s="1747"/>
      <c r="C379" s="1746" t="s">
        <v>1435</v>
      </c>
      <c r="D379" s="1747" t="s">
        <v>1436</v>
      </c>
      <c r="E379" s="1747" t="s">
        <v>1437</v>
      </c>
      <c r="F379" s="1747" t="s">
        <v>1438</v>
      </c>
      <c r="G379" s="1747" t="s">
        <v>1439</v>
      </c>
      <c r="H379" s="1747" t="s">
        <v>1440</v>
      </c>
      <c r="I379" s="1747" t="s">
        <v>1441</v>
      </c>
      <c r="J379" s="1747" t="s">
        <v>1442</v>
      </c>
      <c r="K379" s="1747" t="s">
        <v>1443</v>
      </c>
      <c r="L379" s="1747" t="s">
        <v>1444</v>
      </c>
      <c r="M379" s="1747" t="s">
        <v>1445</v>
      </c>
      <c r="N379" s="1747" t="s">
        <v>1446</v>
      </c>
      <c r="O379" s="1747" t="s">
        <v>1447</v>
      </c>
      <c r="P379" s="1747" t="s">
        <v>1448</v>
      </c>
      <c r="Q379" s="1747" t="s">
        <v>1449</v>
      </c>
      <c r="R379" s="1747" t="s">
        <v>1450</v>
      </c>
      <c r="S379" s="1747" t="s">
        <v>1451</v>
      </c>
      <c r="T379" s="1747" t="s">
        <v>1452</v>
      </c>
      <c r="U379" s="1747" t="s">
        <v>1453</v>
      </c>
      <c r="V379" s="1747" t="s">
        <v>1454</v>
      </c>
      <c r="W379" s="1747" t="s">
        <v>1455</v>
      </c>
      <c r="X379" s="1747" t="s">
        <v>1456</v>
      </c>
      <c r="Y379" s="1747" t="s">
        <v>1457</v>
      </c>
      <c r="Z379" s="1747" t="s">
        <v>1458</v>
      </c>
      <c r="AA379" s="1747" t="s">
        <v>1466</v>
      </c>
      <c r="AB379" s="1747" t="s">
        <v>1467</v>
      </c>
    </row>
    <row r="380" spans="2:28" x14ac:dyDescent="0.25">
      <c r="B380" s="1765" t="s">
        <v>1461</v>
      </c>
      <c r="C380" s="1776">
        <v>0.15</v>
      </c>
      <c r="D380" s="1776">
        <v>0.15</v>
      </c>
      <c r="E380" s="1776">
        <v>0.15</v>
      </c>
      <c r="F380" s="1776">
        <v>0.15</v>
      </c>
      <c r="G380" s="1776">
        <v>0.15</v>
      </c>
      <c r="H380" s="1776">
        <v>0.2</v>
      </c>
      <c r="I380" s="1776">
        <v>0.35</v>
      </c>
      <c r="J380" s="1776">
        <v>0.35</v>
      </c>
      <c r="K380" s="1776">
        <v>0.55000000000000004</v>
      </c>
      <c r="L380" s="1776">
        <v>0.55000000000000004</v>
      </c>
      <c r="M380" s="1776">
        <v>0.85</v>
      </c>
      <c r="N380" s="1776">
        <v>0.85</v>
      </c>
      <c r="O380" s="1776">
        <v>0.85</v>
      </c>
      <c r="P380" s="1776">
        <v>0.85</v>
      </c>
      <c r="Q380" s="1776">
        <v>0.85</v>
      </c>
      <c r="R380" s="1776">
        <v>0.85</v>
      </c>
      <c r="S380" s="1776">
        <v>0.85</v>
      </c>
      <c r="T380" s="1776">
        <v>0.85</v>
      </c>
      <c r="U380" s="1776">
        <v>0.85</v>
      </c>
      <c r="V380" s="1776">
        <v>0.85</v>
      </c>
      <c r="W380" s="1776">
        <v>0.85</v>
      </c>
      <c r="X380" s="1776">
        <v>0.85</v>
      </c>
      <c r="Y380" s="1776">
        <v>0.45</v>
      </c>
      <c r="Z380" s="1776">
        <v>0.3</v>
      </c>
      <c r="AA380" s="1752">
        <f>SUM(C380:Z380)</f>
        <v>13.699999999999998</v>
      </c>
      <c r="AB380" s="1753">
        <f>AA380*SUM($C$9:$C$13)</f>
        <v>3424.9999999999995</v>
      </c>
    </row>
    <row r="381" spans="2:28" x14ac:dyDescent="0.25">
      <c r="B381" s="1767" t="s">
        <v>1431</v>
      </c>
      <c r="C381" s="1777">
        <v>0.2</v>
      </c>
      <c r="D381" s="1777">
        <v>0.15</v>
      </c>
      <c r="E381" s="1777">
        <v>0.15</v>
      </c>
      <c r="F381" s="1777">
        <v>0.15</v>
      </c>
      <c r="G381" s="1777">
        <v>0.15</v>
      </c>
      <c r="H381" s="1777">
        <v>0.15</v>
      </c>
      <c r="I381" s="1777">
        <v>0.3</v>
      </c>
      <c r="J381" s="1777">
        <v>0.3</v>
      </c>
      <c r="K381" s="1777">
        <v>0.55000000000000004</v>
      </c>
      <c r="L381" s="1777">
        <v>0.55000000000000004</v>
      </c>
      <c r="M381" s="1777">
        <v>0.75</v>
      </c>
      <c r="N381" s="1777">
        <v>0.75</v>
      </c>
      <c r="O381" s="1777">
        <v>0.75</v>
      </c>
      <c r="P381" s="1777">
        <v>0.75</v>
      </c>
      <c r="Q381" s="1777">
        <v>0.75</v>
      </c>
      <c r="R381" s="1777">
        <v>0.75</v>
      </c>
      <c r="S381" s="1777">
        <v>0.75</v>
      </c>
      <c r="T381" s="1777">
        <v>0.85</v>
      </c>
      <c r="U381" s="1777">
        <v>0.85</v>
      </c>
      <c r="V381" s="1777">
        <v>0.85</v>
      </c>
      <c r="W381" s="1777">
        <v>0.85</v>
      </c>
      <c r="X381" s="1777">
        <v>0.85</v>
      </c>
      <c r="Y381" s="1777">
        <v>0.45</v>
      </c>
      <c r="Z381" s="1777">
        <v>0.3</v>
      </c>
      <c r="AA381" s="1756">
        <f>SUM(C381:Z381)</f>
        <v>12.899999999999999</v>
      </c>
      <c r="AB381" s="1757">
        <f>AA381*SUM($C$14)</f>
        <v>670.8</v>
      </c>
    </row>
    <row r="382" spans="2:28" x14ac:dyDescent="0.25">
      <c r="B382" s="1767" t="s">
        <v>1432</v>
      </c>
      <c r="C382" s="1777">
        <v>0.2</v>
      </c>
      <c r="D382" s="1777">
        <v>0.15</v>
      </c>
      <c r="E382" s="1777">
        <v>0.15</v>
      </c>
      <c r="F382" s="1777">
        <v>0.15</v>
      </c>
      <c r="G382" s="1777">
        <v>0.15</v>
      </c>
      <c r="H382" s="1777">
        <v>0.15</v>
      </c>
      <c r="I382" s="1777">
        <v>0.3</v>
      </c>
      <c r="J382" s="1777">
        <v>0.3</v>
      </c>
      <c r="K382" s="1777">
        <v>0.45</v>
      </c>
      <c r="L382" s="1777">
        <v>0.45</v>
      </c>
      <c r="M382" s="1777">
        <v>0.65</v>
      </c>
      <c r="N382" s="1777">
        <v>0.65</v>
      </c>
      <c r="O382" s="1777">
        <v>0.65</v>
      </c>
      <c r="P382" s="1777">
        <v>0.65</v>
      </c>
      <c r="Q382" s="1777">
        <v>0.65</v>
      </c>
      <c r="R382" s="1777">
        <v>0.65</v>
      </c>
      <c r="S382" s="1777">
        <v>0.55000000000000004</v>
      </c>
      <c r="T382" s="1777">
        <v>0.55000000000000004</v>
      </c>
      <c r="U382" s="1777">
        <v>0.55000000000000004</v>
      </c>
      <c r="V382" s="1777">
        <v>0.55000000000000004</v>
      </c>
      <c r="W382" s="1777">
        <v>0.55000000000000004</v>
      </c>
      <c r="X382" s="1777">
        <v>0.55000000000000004</v>
      </c>
      <c r="Y382" s="1777">
        <v>0.45</v>
      </c>
      <c r="Z382" s="1777">
        <v>0.3</v>
      </c>
      <c r="AA382" s="1756">
        <f>SUM(C382:Z382)</f>
        <v>10.400000000000004</v>
      </c>
      <c r="AB382" s="1757">
        <f>AA382*$C$15</f>
        <v>540.80000000000018</v>
      </c>
    </row>
    <row r="383" spans="2:28" x14ac:dyDescent="0.25">
      <c r="B383" s="1769" t="s">
        <v>1463</v>
      </c>
      <c r="C383" s="1778">
        <v>0.2</v>
      </c>
      <c r="D383" s="1778">
        <v>0.15</v>
      </c>
      <c r="E383" s="1778">
        <v>0.15</v>
      </c>
      <c r="F383" s="1778">
        <v>0.15</v>
      </c>
      <c r="G383" s="1778">
        <v>0.15</v>
      </c>
      <c r="H383" s="1778">
        <v>0.15</v>
      </c>
      <c r="I383" s="1778">
        <v>0.3</v>
      </c>
      <c r="J383" s="1778">
        <v>0.3</v>
      </c>
      <c r="K383" s="1778">
        <v>0.45</v>
      </c>
      <c r="L383" s="1778">
        <v>0.45</v>
      </c>
      <c r="M383" s="1778">
        <v>0.65</v>
      </c>
      <c r="N383" s="1778">
        <v>0.65</v>
      </c>
      <c r="O383" s="1778">
        <v>0.65</v>
      </c>
      <c r="P383" s="1778">
        <v>0.65</v>
      </c>
      <c r="Q383" s="1778">
        <v>0.65</v>
      </c>
      <c r="R383" s="1778">
        <v>0.65</v>
      </c>
      <c r="S383" s="1778">
        <v>0.55000000000000004</v>
      </c>
      <c r="T383" s="1778">
        <v>0.55000000000000004</v>
      </c>
      <c r="U383" s="1778">
        <v>0.55000000000000004</v>
      </c>
      <c r="V383" s="1778">
        <v>0.55000000000000004</v>
      </c>
      <c r="W383" s="1778">
        <v>0.55000000000000004</v>
      </c>
      <c r="X383" s="1778">
        <v>0.55000000000000004</v>
      </c>
      <c r="Y383" s="1778">
        <v>0.45</v>
      </c>
      <c r="Z383" s="1778">
        <v>0.3</v>
      </c>
      <c r="AA383" s="1760">
        <f>SUM(C383:Z383)</f>
        <v>10.400000000000004</v>
      </c>
      <c r="AB383" s="1761">
        <f>AA383*SUM($C$8)</f>
        <v>114.40000000000005</v>
      </c>
    </row>
    <row r="384" spans="2:28" x14ac:dyDescent="0.25">
      <c r="B384" s="2500" t="s">
        <v>1468</v>
      </c>
      <c r="C384" s="2501"/>
      <c r="D384" s="2501"/>
      <c r="E384" s="2501"/>
      <c r="F384" s="2501"/>
      <c r="G384" s="2501"/>
      <c r="H384" s="2501"/>
      <c r="I384" s="2501"/>
      <c r="J384" s="2501"/>
      <c r="K384" s="2501"/>
      <c r="L384" s="2501"/>
      <c r="M384" s="2501"/>
      <c r="N384" s="2501"/>
      <c r="O384" s="2501"/>
      <c r="P384" s="2501"/>
      <c r="Q384" s="2501"/>
      <c r="R384" s="2501"/>
      <c r="S384" s="2501"/>
      <c r="T384" s="2501"/>
      <c r="U384" s="2501"/>
      <c r="V384" s="2501"/>
      <c r="W384" s="2501"/>
      <c r="X384" s="2501"/>
      <c r="Y384" s="2501"/>
      <c r="Z384" s="2501"/>
      <c r="AA384" s="2501"/>
      <c r="AB384" s="1749">
        <f>SUM(AB380:AB383)</f>
        <v>4750.9999999999991</v>
      </c>
    </row>
    <row r="385" spans="2:28" x14ac:dyDescent="0.25">
      <c r="B385" s="1715"/>
      <c r="C385" s="1715"/>
      <c r="D385" s="1715"/>
      <c r="E385" s="1715"/>
      <c r="F385" s="1715"/>
      <c r="G385" s="1715"/>
      <c r="H385" s="1715"/>
      <c r="I385" s="1715"/>
      <c r="J385" s="1715"/>
      <c r="K385" s="1715"/>
      <c r="L385" s="1715"/>
      <c r="M385" s="1715"/>
      <c r="N385" s="1715"/>
      <c r="O385" s="1715"/>
      <c r="P385" s="1715"/>
      <c r="Q385" s="1715"/>
      <c r="R385" s="1715"/>
      <c r="S385" s="1715"/>
      <c r="T385" s="1715"/>
      <c r="U385" s="1715"/>
      <c r="V385" s="1715"/>
      <c r="W385" s="1715"/>
      <c r="X385" s="1715"/>
      <c r="Y385" s="1715"/>
      <c r="Z385" s="1715"/>
      <c r="AA385" s="1715"/>
      <c r="AB385" s="1715"/>
    </row>
    <row r="386" spans="2:28" ht="15" customHeight="1" x14ac:dyDescent="0.25">
      <c r="B386" s="1715" t="s">
        <v>1434</v>
      </c>
      <c r="C386" s="2497" t="s">
        <v>1650</v>
      </c>
      <c r="D386" s="2498"/>
      <c r="E386" s="2498"/>
      <c r="F386" s="2498"/>
      <c r="G386" s="2498"/>
      <c r="H386" s="2498"/>
      <c r="I386" s="2498"/>
      <c r="J386" s="2498"/>
      <c r="K386" s="2498"/>
      <c r="L386" s="2498"/>
      <c r="M386" s="2498"/>
      <c r="N386" s="2498"/>
      <c r="O386" s="2498"/>
      <c r="P386" s="2498"/>
      <c r="Q386" s="2498"/>
      <c r="R386" s="2498"/>
      <c r="S386" s="2498"/>
      <c r="T386" s="2498"/>
      <c r="U386" s="2498"/>
      <c r="V386" s="2498"/>
      <c r="W386" s="2498"/>
      <c r="X386" s="2498"/>
      <c r="Y386" s="2498"/>
      <c r="Z386" s="2498"/>
      <c r="AA386" s="2498"/>
      <c r="AB386" s="2499"/>
    </row>
    <row r="387" spans="2:28" x14ac:dyDescent="0.25">
      <c r="B387" s="1715"/>
      <c r="C387" s="1715"/>
      <c r="D387" s="1715"/>
      <c r="E387" s="1715"/>
      <c r="F387" s="1715"/>
      <c r="G387" s="1715"/>
      <c r="H387" s="1715"/>
      <c r="I387" s="1715"/>
      <c r="J387" s="1715"/>
      <c r="K387" s="1715"/>
      <c r="L387" s="1715"/>
      <c r="M387" s="1715"/>
      <c r="N387" s="1715"/>
      <c r="O387" s="1715"/>
      <c r="P387" s="1715"/>
      <c r="Q387" s="1715"/>
      <c r="R387" s="1715"/>
      <c r="S387" s="1715"/>
      <c r="T387" s="1715"/>
      <c r="U387" s="1715"/>
      <c r="V387" s="1715"/>
      <c r="W387" s="1715"/>
      <c r="X387" s="1715"/>
      <c r="Y387" s="1715"/>
      <c r="Z387" s="1715"/>
      <c r="AA387" s="1715"/>
      <c r="AB387" s="1715"/>
    </row>
    <row r="388" spans="2:28" s="1748" customFormat="1" ht="21" customHeight="1" x14ac:dyDescent="0.25">
      <c r="B388" s="1747"/>
      <c r="C388" s="1746" t="s">
        <v>1435</v>
      </c>
      <c r="D388" s="1747" t="s">
        <v>1436</v>
      </c>
      <c r="E388" s="1747" t="s">
        <v>1437</v>
      </c>
      <c r="F388" s="1747" t="s">
        <v>1438</v>
      </c>
      <c r="G388" s="1747" t="s">
        <v>1439</v>
      </c>
      <c r="H388" s="1747" t="s">
        <v>1440</v>
      </c>
      <c r="I388" s="1747" t="s">
        <v>1441</v>
      </c>
      <c r="J388" s="1747" t="s">
        <v>1442</v>
      </c>
      <c r="K388" s="1747" t="s">
        <v>1443</v>
      </c>
      <c r="L388" s="1747" t="s">
        <v>1444</v>
      </c>
      <c r="M388" s="1747" t="s">
        <v>1445</v>
      </c>
      <c r="N388" s="1747" t="s">
        <v>1446</v>
      </c>
      <c r="O388" s="1747" t="s">
        <v>1447</v>
      </c>
      <c r="P388" s="1747" t="s">
        <v>1448</v>
      </c>
      <c r="Q388" s="1747" t="s">
        <v>1449</v>
      </c>
      <c r="R388" s="1747" t="s">
        <v>1450</v>
      </c>
      <c r="S388" s="1747" t="s">
        <v>1451</v>
      </c>
      <c r="T388" s="1747" t="s">
        <v>1452</v>
      </c>
      <c r="U388" s="1747" t="s">
        <v>1453</v>
      </c>
      <c r="V388" s="1747" t="s">
        <v>1454</v>
      </c>
      <c r="W388" s="1747" t="s">
        <v>1455</v>
      </c>
      <c r="X388" s="1747" t="s">
        <v>1456</v>
      </c>
      <c r="Y388" s="1747" t="s">
        <v>1457</v>
      </c>
      <c r="Z388" s="1747" t="s">
        <v>1458</v>
      </c>
      <c r="AA388" s="1747" t="s">
        <v>1466</v>
      </c>
      <c r="AB388" s="1747" t="s">
        <v>1467</v>
      </c>
    </row>
    <row r="389" spans="2:28" x14ac:dyDescent="0.25">
      <c r="B389" s="1765" t="s">
        <v>1461</v>
      </c>
      <c r="C389" s="1776">
        <v>0.15</v>
      </c>
      <c r="D389" s="1776">
        <v>0.15</v>
      </c>
      <c r="E389" s="1776">
        <v>0.15</v>
      </c>
      <c r="F389" s="1776">
        <v>0.15</v>
      </c>
      <c r="G389" s="1776">
        <v>0.15</v>
      </c>
      <c r="H389" s="1776">
        <v>0.2</v>
      </c>
      <c r="I389" s="1776">
        <v>0.4</v>
      </c>
      <c r="J389" s="1776">
        <v>0.4</v>
      </c>
      <c r="K389" s="1776">
        <v>0.6</v>
      </c>
      <c r="L389" s="1776">
        <v>0.6</v>
      </c>
      <c r="M389" s="1776">
        <v>0.85</v>
      </c>
      <c r="N389" s="1776">
        <v>0.85</v>
      </c>
      <c r="O389" s="1776">
        <v>0.85</v>
      </c>
      <c r="P389" s="1776">
        <v>0.85</v>
      </c>
      <c r="Q389" s="1776">
        <v>0.85</v>
      </c>
      <c r="R389" s="1776">
        <v>0.85</v>
      </c>
      <c r="S389" s="1776">
        <v>0.85</v>
      </c>
      <c r="T389" s="1776">
        <v>0.85</v>
      </c>
      <c r="U389" s="1776">
        <v>0.85</v>
      </c>
      <c r="V389" s="1776">
        <v>0.85</v>
      </c>
      <c r="W389" s="1776">
        <v>0.85</v>
      </c>
      <c r="X389" s="1776">
        <v>0.85</v>
      </c>
      <c r="Y389" s="1776">
        <v>0.45</v>
      </c>
      <c r="Z389" s="1776">
        <v>0.3</v>
      </c>
      <c r="AA389" s="1752">
        <f>SUM(C389:Z389)</f>
        <v>13.899999999999997</v>
      </c>
      <c r="AB389" s="1753">
        <f>AA389*SUM($C$9:$C$13)</f>
        <v>3474.9999999999991</v>
      </c>
    </row>
    <row r="390" spans="2:28" x14ac:dyDescent="0.25">
      <c r="B390" s="1767" t="s">
        <v>1431</v>
      </c>
      <c r="C390" s="1777">
        <v>0.2</v>
      </c>
      <c r="D390" s="1777">
        <v>0.15</v>
      </c>
      <c r="E390" s="1777">
        <v>0.15</v>
      </c>
      <c r="F390" s="1777">
        <v>0.15</v>
      </c>
      <c r="G390" s="1777">
        <v>0.15</v>
      </c>
      <c r="H390" s="1777">
        <v>0.15</v>
      </c>
      <c r="I390" s="1777">
        <v>0.3</v>
      </c>
      <c r="J390" s="1777">
        <v>0.3</v>
      </c>
      <c r="K390" s="1777">
        <v>0.55000000000000004</v>
      </c>
      <c r="L390" s="1777">
        <v>0.55000000000000004</v>
      </c>
      <c r="M390" s="1777">
        <v>0.75</v>
      </c>
      <c r="N390" s="1777">
        <v>0.75</v>
      </c>
      <c r="O390" s="1777">
        <v>0.75</v>
      </c>
      <c r="P390" s="1777">
        <v>0.75</v>
      </c>
      <c r="Q390" s="1777">
        <v>0.75</v>
      </c>
      <c r="R390" s="1777">
        <v>0.75</v>
      </c>
      <c r="S390" s="1777">
        <v>0.75</v>
      </c>
      <c r="T390" s="1777">
        <v>0.85</v>
      </c>
      <c r="U390" s="1777">
        <v>0.85</v>
      </c>
      <c r="V390" s="1777">
        <v>0.85</v>
      </c>
      <c r="W390" s="1777">
        <v>0.85</v>
      </c>
      <c r="X390" s="1777">
        <v>0.85</v>
      </c>
      <c r="Y390" s="1777">
        <v>0.45</v>
      </c>
      <c r="Z390" s="1777">
        <v>0.3</v>
      </c>
      <c r="AA390" s="1756">
        <f>SUM(C390:Z390)</f>
        <v>12.899999999999999</v>
      </c>
      <c r="AB390" s="1757">
        <f>AA390*SUM($C$14)</f>
        <v>670.8</v>
      </c>
    </row>
    <row r="391" spans="2:28" x14ac:dyDescent="0.25">
      <c r="B391" s="1767" t="s">
        <v>1432</v>
      </c>
      <c r="C391" s="1777">
        <v>0.2</v>
      </c>
      <c r="D391" s="1777">
        <v>0.15</v>
      </c>
      <c r="E391" s="1777">
        <v>0.15</v>
      </c>
      <c r="F391" s="1777">
        <v>0.15</v>
      </c>
      <c r="G391" s="1777">
        <v>0.15</v>
      </c>
      <c r="H391" s="1777">
        <v>0.15</v>
      </c>
      <c r="I391" s="1777">
        <v>0.3</v>
      </c>
      <c r="J391" s="1777">
        <v>0.3</v>
      </c>
      <c r="K391" s="1777">
        <v>0.45</v>
      </c>
      <c r="L391" s="1777">
        <v>0.45</v>
      </c>
      <c r="M391" s="1777">
        <v>0.65</v>
      </c>
      <c r="N391" s="1777">
        <v>0.65</v>
      </c>
      <c r="O391" s="1777">
        <v>0.65</v>
      </c>
      <c r="P391" s="1777">
        <v>0.65</v>
      </c>
      <c r="Q391" s="1777">
        <v>0.65</v>
      </c>
      <c r="R391" s="1777">
        <v>0.65</v>
      </c>
      <c r="S391" s="1777">
        <v>0.55000000000000004</v>
      </c>
      <c r="T391" s="1777">
        <v>0.55000000000000004</v>
      </c>
      <c r="U391" s="1777">
        <v>0.55000000000000004</v>
      </c>
      <c r="V391" s="1777">
        <v>0.55000000000000004</v>
      </c>
      <c r="W391" s="1777">
        <v>0.55000000000000004</v>
      </c>
      <c r="X391" s="1777">
        <v>0.55000000000000004</v>
      </c>
      <c r="Y391" s="1777">
        <v>0.45</v>
      </c>
      <c r="Z391" s="1777">
        <v>0.3</v>
      </c>
      <c r="AA391" s="1756">
        <f>SUM(C391:Z391)</f>
        <v>10.400000000000004</v>
      </c>
      <c r="AB391" s="1757">
        <f>AA391*$C$15</f>
        <v>540.80000000000018</v>
      </c>
    </row>
    <row r="392" spans="2:28" x14ac:dyDescent="0.25">
      <c r="B392" s="1769" t="s">
        <v>1463</v>
      </c>
      <c r="C392" s="1778">
        <v>0.2</v>
      </c>
      <c r="D392" s="1778">
        <v>0.15</v>
      </c>
      <c r="E392" s="1778">
        <v>0.15</v>
      </c>
      <c r="F392" s="1778">
        <v>0.15</v>
      </c>
      <c r="G392" s="1778">
        <v>0.15</v>
      </c>
      <c r="H392" s="1778">
        <v>0.15</v>
      </c>
      <c r="I392" s="1778">
        <v>0.3</v>
      </c>
      <c r="J392" s="1778">
        <v>0.3</v>
      </c>
      <c r="K392" s="1778">
        <v>0.45</v>
      </c>
      <c r="L392" s="1778">
        <v>0.45</v>
      </c>
      <c r="M392" s="1778">
        <v>0.65</v>
      </c>
      <c r="N392" s="1778">
        <v>0.65</v>
      </c>
      <c r="O392" s="1778">
        <v>0.65</v>
      </c>
      <c r="P392" s="1778">
        <v>0.65</v>
      </c>
      <c r="Q392" s="1778">
        <v>0.65</v>
      </c>
      <c r="R392" s="1778">
        <v>0.65</v>
      </c>
      <c r="S392" s="1778">
        <v>0.55000000000000004</v>
      </c>
      <c r="T392" s="1778">
        <v>0.55000000000000004</v>
      </c>
      <c r="U392" s="1778">
        <v>0.55000000000000004</v>
      </c>
      <c r="V392" s="1778">
        <v>0.55000000000000004</v>
      </c>
      <c r="W392" s="1778">
        <v>0.55000000000000004</v>
      </c>
      <c r="X392" s="1778">
        <v>0.55000000000000004</v>
      </c>
      <c r="Y392" s="1778">
        <v>0.45</v>
      </c>
      <c r="Z392" s="1778">
        <v>0.3</v>
      </c>
      <c r="AA392" s="1760">
        <f>SUM(C392:Z392)</f>
        <v>10.400000000000004</v>
      </c>
      <c r="AB392" s="1761">
        <f>AA392*SUM($C$8)</f>
        <v>114.40000000000005</v>
      </c>
    </row>
    <row r="393" spans="2:28" x14ac:dyDescent="0.25">
      <c r="B393" s="2500" t="s">
        <v>1468</v>
      </c>
      <c r="C393" s="2501"/>
      <c r="D393" s="2501"/>
      <c r="E393" s="2501"/>
      <c r="F393" s="2501"/>
      <c r="G393" s="2501"/>
      <c r="H393" s="2501"/>
      <c r="I393" s="2501"/>
      <c r="J393" s="2501"/>
      <c r="K393" s="2501"/>
      <c r="L393" s="2501"/>
      <c r="M393" s="2501"/>
      <c r="N393" s="2501"/>
      <c r="O393" s="2501"/>
      <c r="P393" s="2501"/>
      <c r="Q393" s="2501"/>
      <c r="R393" s="2501"/>
      <c r="S393" s="2501"/>
      <c r="T393" s="2501"/>
      <c r="U393" s="2501"/>
      <c r="V393" s="2501"/>
      <c r="W393" s="2501"/>
      <c r="X393" s="2501"/>
      <c r="Y393" s="2501"/>
      <c r="Z393" s="2501"/>
      <c r="AA393" s="2501"/>
      <c r="AB393" s="1749">
        <f>SUM(AB389:AB392)</f>
        <v>4800.9999999999991</v>
      </c>
    </row>
    <row r="394" spans="2:28" x14ac:dyDescent="0.25">
      <c r="B394" s="1715"/>
      <c r="C394" s="1715"/>
      <c r="D394" s="1715"/>
      <c r="E394" s="1715"/>
      <c r="F394" s="1715"/>
      <c r="G394" s="1715"/>
      <c r="H394" s="1715"/>
      <c r="I394" s="1715"/>
      <c r="J394" s="1715"/>
      <c r="K394" s="1715"/>
      <c r="L394" s="1715"/>
      <c r="M394" s="1715"/>
      <c r="N394" s="1715"/>
      <c r="O394" s="1715"/>
      <c r="P394" s="1715"/>
      <c r="Q394" s="1715"/>
      <c r="R394" s="1715"/>
      <c r="S394" s="1715"/>
      <c r="T394" s="1715"/>
      <c r="U394" s="1715"/>
      <c r="V394" s="1715"/>
      <c r="W394" s="1715"/>
      <c r="X394" s="1715"/>
      <c r="Y394" s="1715"/>
      <c r="Z394" s="1715"/>
      <c r="AA394" s="1715"/>
      <c r="AB394" s="1715"/>
    </row>
    <row r="395" spans="2:28" ht="15" customHeight="1" x14ac:dyDescent="0.25">
      <c r="B395" s="1715" t="s">
        <v>1434</v>
      </c>
      <c r="C395" s="2497" t="s">
        <v>1651</v>
      </c>
      <c r="D395" s="2498"/>
      <c r="E395" s="2498"/>
      <c r="F395" s="2498"/>
      <c r="G395" s="2498"/>
      <c r="H395" s="2498"/>
      <c r="I395" s="2498"/>
      <c r="J395" s="2498"/>
      <c r="K395" s="2498"/>
      <c r="L395" s="2498"/>
      <c r="M395" s="2498"/>
      <c r="N395" s="2498"/>
      <c r="O395" s="2498"/>
      <c r="P395" s="2498"/>
      <c r="Q395" s="2498"/>
      <c r="R395" s="2498"/>
      <c r="S395" s="2498"/>
      <c r="T395" s="2498"/>
      <c r="U395" s="2498"/>
      <c r="V395" s="2498"/>
      <c r="W395" s="2498"/>
      <c r="X395" s="2498"/>
      <c r="Y395" s="2498"/>
      <c r="Z395" s="2498"/>
      <c r="AA395" s="2498"/>
      <c r="AB395" s="2499"/>
    </row>
    <row r="396" spans="2:28" x14ac:dyDescent="0.25">
      <c r="B396" s="1715"/>
      <c r="C396" s="1715"/>
      <c r="D396" s="1715"/>
      <c r="E396" s="1715"/>
      <c r="F396" s="1715"/>
      <c r="G396" s="1715"/>
      <c r="H396" s="1715"/>
      <c r="I396" s="1715"/>
      <c r="J396" s="1715"/>
      <c r="K396" s="1715"/>
      <c r="L396" s="1715"/>
      <c r="M396" s="1715"/>
      <c r="N396" s="1715"/>
      <c r="O396" s="1715"/>
      <c r="P396" s="1715"/>
      <c r="Q396" s="1715"/>
      <c r="R396" s="1715"/>
      <c r="S396" s="1715"/>
      <c r="T396" s="1715"/>
      <c r="U396" s="1715"/>
      <c r="V396" s="1715"/>
      <c r="W396" s="1715"/>
      <c r="X396" s="1715"/>
      <c r="Y396" s="1715"/>
      <c r="Z396" s="1715"/>
      <c r="AA396" s="1715"/>
      <c r="AB396" s="1715"/>
    </row>
    <row r="397" spans="2:28" s="1748" customFormat="1" ht="21" customHeight="1" x14ac:dyDescent="0.25">
      <c r="B397" s="1747"/>
      <c r="C397" s="1746" t="s">
        <v>1435</v>
      </c>
      <c r="D397" s="1747" t="s">
        <v>1436</v>
      </c>
      <c r="E397" s="1747" t="s">
        <v>1437</v>
      </c>
      <c r="F397" s="1747" t="s">
        <v>1438</v>
      </c>
      <c r="G397" s="1747" t="s">
        <v>1439</v>
      </c>
      <c r="H397" s="1747" t="s">
        <v>1440</v>
      </c>
      <c r="I397" s="1747" t="s">
        <v>1441</v>
      </c>
      <c r="J397" s="1747" t="s">
        <v>1442</v>
      </c>
      <c r="K397" s="1747" t="s">
        <v>1443</v>
      </c>
      <c r="L397" s="1747" t="s">
        <v>1444</v>
      </c>
      <c r="M397" s="1747" t="s">
        <v>1445</v>
      </c>
      <c r="N397" s="1747" t="s">
        <v>1446</v>
      </c>
      <c r="O397" s="1747" t="s">
        <v>1447</v>
      </c>
      <c r="P397" s="1747" t="s">
        <v>1448</v>
      </c>
      <c r="Q397" s="1747" t="s">
        <v>1449</v>
      </c>
      <c r="R397" s="1747" t="s">
        <v>1450</v>
      </c>
      <c r="S397" s="1747" t="s">
        <v>1451</v>
      </c>
      <c r="T397" s="1747" t="s">
        <v>1452</v>
      </c>
      <c r="U397" s="1747" t="s">
        <v>1453</v>
      </c>
      <c r="V397" s="1747" t="s">
        <v>1454</v>
      </c>
      <c r="W397" s="1747" t="s">
        <v>1455</v>
      </c>
      <c r="X397" s="1747" t="s">
        <v>1456</v>
      </c>
      <c r="Y397" s="1747" t="s">
        <v>1457</v>
      </c>
      <c r="Z397" s="1747" t="s">
        <v>1458</v>
      </c>
      <c r="AA397" s="1747" t="s">
        <v>1466</v>
      </c>
      <c r="AB397" s="1747" t="s">
        <v>1467</v>
      </c>
    </row>
    <row r="398" spans="2:28" x14ac:dyDescent="0.25">
      <c r="B398" s="1765" t="s">
        <v>1461</v>
      </c>
      <c r="C398" s="1776">
        <v>0.2</v>
      </c>
      <c r="D398" s="1776">
        <v>0.15</v>
      </c>
      <c r="E398" s="1776">
        <v>0.15</v>
      </c>
      <c r="F398" s="1776">
        <v>0</v>
      </c>
      <c r="G398" s="1776">
        <v>0</v>
      </c>
      <c r="H398" s="1776">
        <v>0</v>
      </c>
      <c r="I398" s="1776">
        <v>0</v>
      </c>
      <c r="J398" s="1776">
        <v>0.6</v>
      </c>
      <c r="K398" s="1776">
        <v>0.55000000000000004</v>
      </c>
      <c r="L398" s="1776">
        <v>0.45</v>
      </c>
      <c r="M398" s="1776">
        <v>0.4</v>
      </c>
      <c r="N398" s="1776">
        <v>0.45</v>
      </c>
      <c r="O398" s="1776">
        <v>0.4</v>
      </c>
      <c r="P398" s="1776">
        <v>0.35</v>
      </c>
      <c r="Q398" s="1776">
        <v>0.3</v>
      </c>
      <c r="R398" s="1776">
        <v>0.3</v>
      </c>
      <c r="S398" s="1776">
        <v>0.3</v>
      </c>
      <c r="T398" s="1776">
        <v>0.4</v>
      </c>
      <c r="U398" s="1776">
        <v>0.55000000000000004</v>
      </c>
      <c r="V398" s="1776">
        <v>0.6</v>
      </c>
      <c r="W398" s="1776">
        <v>0.5</v>
      </c>
      <c r="X398" s="1776">
        <v>0.55000000000000004</v>
      </c>
      <c r="Y398" s="1776">
        <v>0.45</v>
      </c>
      <c r="Z398" s="1776">
        <v>0.25</v>
      </c>
      <c r="AA398" s="1752">
        <f>SUM(C398:Z398)</f>
        <v>7.8999999999999995</v>
      </c>
      <c r="AB398" s="1753">
        <f>AA398*SUM($C$9:$C$13)</f>
        <v>1974.9999999999998</v>
      </c>
    </row>
    <row r="399" spans="2:28" x14ac:dyDescent="0.25">
      <c r="B399" s="1767" t="s">
        <v>1431</v>
      </c>
      <c r="C399" s="1777">
        <v>0.2</v>
      </c>
      <c r="D399" s="1777">
        <v>0.15</v>
      </c>
      <c r="E399" s="1777">
        <v>0.15</v>
      </c>
      <c r="F399" s="1777">
        <v>0</v>
      </c>
      <c r="G399" s="1777">
        <v>0</v>
      </c>
      <c r="H399" s="1777">
        <v>0</v>
      </c>
      <c r="I399" s="1777">
        <v>0</v>
      </c>
      <c r="J399" s="1777">
        <v>0</v>
      </c>
      <c r="K399" s="1777">
        <v>0</v>
      </c>
      <c r="L399" s="1777">
        <v>0.5</v>
      </c>
      <c r="M399" s="1777">
        <v>0.45</v>
      </c>
      <c r="N399" s="1777">
        <v>0.5</v>
      </c>
      <c r="O399" s="1777">
        <v>0.5</v>
      </c>
      <c r="P399" s="1777">
        <v>0.45</v>
      </c>
      <c r="Q399" s="1777">
        <v>0.4</v>
      </c>
      <c r="R399" s="1777">
        <v>0.4</v>
      </c>
      <c r="S399" s="1777">
        <v>0.35</v>
      </c>
      <c r="T399" s="1777">
        <v>0.4</v>
      </c>
      <c r="U399" s="1777">
        <v>0.55000000000000004</v>
      </c>
      <c r="V399" s="1777">
        <v>0.55000000000000004</v>
      </c>
      <c r="W399" s="1777">
        <v>0.5</v>
      </c>
      <c r="X399" s="1777">
        <v>0.55000000000000004</v>
      </c>
      <c r="Y399" s="1777">
        <v>0.4</v>
      </c>
      <c r="Z399" s="1777">
        <v>0.3</v>
      </c>
      <c r="AA399" s="1756">
        <f>SUM(C399:Z399)</f>
        <v>7.3</v>
      </c>
      <c r="AB399" s="1757">
        <f>AA399*SUM($C$14)</f>
        <v>379.59999999999997</v>
      </c>
    </row>
    <row r="400" spans="2:28" x14ac:dyDescent="0.25">
      <c r="B400" s="1767" t="s">
        <v>1432</v>
      </c>
      <c r="C400" s="1777">
        <v>0.25</v>
      </c>
      <c r="D400" s="1777">
        <v>0.2</v>
      </c>
      <c r="E400" s="1777">
        <v>0.2</v>
      </c>
      <c r="F400" s="1777">
        <v>0</v>
      </c>
      <c r="G400" s="1777">
        <v>0</v>
      </c>
      <c r="H400" s="1777">
        <v>0</v>
      </c>
      <c r="I400" s="1777">
        <v>0</v>
      </c>
      <c r="J400" s="1777">
        <v>0</v>
      </c>
      <c r="K400" s="1777">
        <v>0</v>
      </c>
      <c r="L400" s="1777">
        <v>0</v>
      </c>
      <c r="M400" s="1777">
        <v>0.5</v>
      </c>
      <c r="N400" s="1777">
        <v>0.5</v>
      </c>
      <c r="O400" s="1777">
        <v>0.4</v>
      </c>
      <c r="P400" s="1777">
        <v>0.4</v>
      </c>
      <c r="Q400" s="1777">
        <v>0.3</v>
      </c>
      <c r="R400" s="1777">
        <v>0.3</v>
      </c>
      <c r="S400" s="1777">
        <v>0.3</v>
      </c>
      <c r="T400" s="1777">
        <v>0.4</v>
      </c>
      <c r="U400" s="1777">
        <v>0.5</v>
      </c>
      <c r="V400" s="1777">
        <v>0.5</v>
      </c>
      <c r="W400" s="1777">
        <v>0.4</v>
      </c>
      <c r="X400" s="1777">
        <v>0.5</v>
      </c>
      <c r="Y400" s="1777">
        <v>0.4</v>
      </c>
      <c r="Z400" s="1777">
        <v>0.2</v>
      </c>
      <c r="AA400" s="1756">
        <f>SUM(C400:Z400)</f>
        <v>6.25</v>
      </c>
      <c r="AB400" s="1757">
        <f>AA400*$C$15</f>
        <v>325</v>
      </c>
    </row>
    <row r="401" spans="2:28" x14ac:dyDescent="0.25">
      <c r="B401" s="1769" t="s">
        <v>1463</v>
      </c>
      <c r="C401" s="1778">
        <v>0.25</v>
      </c>
      <c r="D401" s="1778">
        <v>0.2</v>
      </c>
      <c r="E401" s="1778">
        <v>0.2</v>
      </c>
      <c r="F401" s="1778">
        <v>0</v>
      </c>
      <c r="G401" s="1778">
        <v>0</v>
      </c>
      <c r="H401" s="1778">
        <v>0</v>
      </c>
      <c r="I401" s="1778">
        <v>0</v>
      </c>
      <c r="J401" s="1778">
        <v>0</v>
      </c>
      <c r="K401" s="1778">
        <v>0</v>
      </c>
      <c r="L401" s="1778">
        <v>0</v>
      </c>
      <c r="M401" s="1778">
        <v>0.5</v>
      </c>
      <c r="N401" s="1778">
        <v>0.5</v>
      </c>
      <c r="O401" s="1778">
        <v>0.4</v>
      </c>
      <c r="P401" s="1778">
        <v>0.4</v>
      </c>
      <c r="Q401" s="1778">
        <v>0.3</v>
      </c>
      <c r="R401" s="1778">
        <v>0.3</v>
      </c>
      <c r="S401" s="1778">
        <v>0.3</v>
      </c>
      <c r="T401" s="1778">
        <v>0.4</v>
      </c>
      <c r="U401" s="1778">
        <v>0.5</v>
      </c>
      <c r="V401" s="1778">
        <v>0.5</v>
      </c>
      <c r="W401" s="1778">
        <v>0.4</v>
      </c>
      <c r="X401" s="1778">
        <v>0.5</v>
      </c>
      <c r="Y401" s="1778">
        <v>0.4</v>
      </c>
      <c r="Z401" s="1778">
        <v>0.2</v>
      </c>
      <c r="AA401" s="1760">
        <f>SUM(C401:Z401)</f>
        <v>6.25</v>
      </c>
      <c r="AB401" s="1761">
        <f>AA401*SUM($C$8)</f>
        <v>68.75</v>
      </c>
    </row>
    <row r="402" spans="2:28" x14ac:dyDescent="0.25">
      <c r="B402" s="2500" t="s">
        <v>1468</v>
      </c>
      <c r="C402" s="2501"/>
      <c r="D402" s="2501"/>
      <c r="E402" s="2501"/>
      <c r="F402" s="2501"/>
      <c r="G402" s="2501"/>
      <c r="H402" s="2501"/>
      <c r="I402" s="2501"/>
      <c r="J402" s="2501"/>
      <c r="K402" s="2501"/>
      <c r="L402" s="2501"/>
      <c r="M402" s="2501"/>
      <c r="N402" s="2501"/>
      <c r="O402" s="2501"/>
      <c r="P402" s="2501"/>
      <c r="Q402" s="2501"/>
      <c r="R402" s="2501"/>
      <c r="S402" s="2501"/>
      <c r="T402" s="2501"/>
      <c r="U402" s="2501"/>
      <c r="V402" s="2501"/>
      <c r="W402" s="2501"/>
      <c r="X402" s="2501"/>
      <c r="Y402" s="2501"/>
      <c r="Z402" s="2501"/>
      <c r="AA402" s="2501"/>
      <c r="AB402" s="1749">
        <f>SUM(AB398:AB401)</f>
        <v>2748.35</v>
      </c>
    </row>
    <row r="403" spans="2:28" x14ac:dyDescent="0.25">
      <c r="B403" s="1715"/>
      <c r="C403" s="1715"/>
      <c r="D403" s="1715"/>
      <c r="E403" s="1715"/>
      <c r="F403" s="1715"/>
      <c r="G403" s="1715"/>
      <c r="H403" s="1715"/>
      <c r="I403" s="1715"/>
      <c r="J403" s="1715"/>
      <c r="K403" s="1715"/>
      <c r="L403" s="1715"/>
      <c r="M403" s="1715"/>
      <c r="N403" s="1715"/>
      <c r="O403" s="1715"/>
      <c r="P403" s="1715"/>
      <c r="Q403" s="1715"/>
      <c r="R403" s="1715"/>
      <c r="S403" s="1715"/>
      <c r="T403" s="1715"/>
      <c r="U403" s="1715"/>
      <c r="V403" s="1715"/>
      <c r="W403" s="1715"/>
      <c r="X403" s="1715"/>
      <c r="Y403" s="1715"/>
      <c r="Z403" s="1715"/>
      <c r="AA403" s="1715"/>
      <c r="AB403" s="1715"/>
    </row>
    <row r="404" spans="2:28" x14ac:dyDescent="0.25">
      <c r="B404" s="1726" t="s">
        <v>1652</v>
      </c>
      <c r="C404" s="1715"/>
      <c r="D404" s="1715"/>
      <c r="E404" s="1715"/>
      <c r="F404" s="1715"/>
      <c r="G404" s="1715"/>
      <c r="H404" s="1715"/>
      <c r="I404" s="1715"/>
      <c r="J404" s="1715"/>
      <c r="K404" s="1715"/>
      <c r="L404" s="1715"/>
      <c r="M404" s="1715"/>
      <c r="N404" s="1715"/>
      <c r="O404" s="1715"/>
      <c r="P404" s="1715"/>
      <c r="Q404" s="1715"/>
      <c r="R404" s="1715"/>
      <c r="S404" s="1715"/>
      <c r="T404" s="1715"/>
      <c r="U404" s="1715"/>
      <c r="V404" s="1715"/>
      <c r="W404" s="1715"/>
      <c r="X404" s="1715"/>
      <c r="Y404" s="1715"/>
      <c r="Z404" s="1715"/>
      <c r="AA404" s="1715"/>
      <c r="AB404" s="1715"/>
    </row>
    <row r="405" spans="2:28" x14ac:dyDescent="0.25">
      <c r="B405" s="1782"/>
      <c r="C405" s="1715"/>
      <c r="D405" s="1715"/>
      <c r="E405" s="1715"/>
      <c r="F405" s="1715"/>
      <c r="G405" s="1715"/>
      <c r="H405" s="1715"/>
      <c r="I405" s="1715"/>
      <c r="J405" s="1715"/>
      <c r="K405" s="1715"/>
      <c r="L405" s="1715"/>
      <c r="M405" s="1715"/>
      <c r="N405" s="1715"/>
      <c r="O405" s="1715"/>
      <c r="P405" s="1715"/>
      <c r="Q405" s="1715"/>
      <c r="R405" s="1715"/>
      <c r="S405" s="1715"/>
      <c r="T405" s="1715"/>
      <c r="U405" s="1715"/>
      <c r="V405" s="1715"/>
      <c r="W405" s="1715"/>
      <c r="X405" s="1715"/>
      <c r="Y405" s="1715"/>
      <c r="Z405" s="1715"/>
      <c r="AA405" s="1715"/>
      <c r="AB405" s="1715"/>
    </row>
    <row r="406" spans="2:28" ht="15" customHeight="1" x14ac:dyDescent="0.25">
      <c r="B406" s="1715" t="s">
        <v>1434</v>
      </c>
      <c r="C406" s="2497" t="s">
        <v>1653</v>
      </c>
      <c r="D406" s="2498"/>
      <c r="E406" s="2498"/>
      <c r="F406" s="2498"/>
      <c r="G406" s="2498"/>
      <c r="H406" s="2498"/>
      <c r="I406" s="2498"/>
      <c r="J406" s="2498"/>
      <c r="K406" s="2498"/>
      <c r="L406" s="2498"/>
      <c r="M406" s="2498"/>
      <c r="N406" s="2498"/>
      <c r="O406" s="2498"/>
      <c r="P406" s="2498"/>
      <c r="Q406" s="2498"/>
      <c r="R406" s="2498"/>
      <c r="S406" s="2498"/>
      <c r="T406" s="2498"/>
      <c r="U406" s="2498"/>
      <c r="V406" s="2498"/>
      <c r="W406" s="2498"/>
      <c r="X406" s="2498"/>
      <c r="Y406" s="2498"/>
      <c r="Z406" s="2498"/>
      <c r="AA406" s="2498"/>
      <c r="AB406" s="2499"/>
    </row>
    <row r="407" spans="2:28" x14ac:dyDescent="0.25">
      <c r="B407" s="1715"/>
      <c r="C407" s="1715"/>
      <c r="D407" s="1715"/>
      <c r="E407" s="1715"/>
      <c r="F407" s="1715"/>
      <c r="G407" s="1715"/>
      <c r="H407" s="1715"/>
      <c r="I407" s="1715"/>
      <c r="J407" s="1715"/>
      <c r="K407" s="1715"/>
      <c r="L407" s="1715"/>
      <c r="M407" s="1715"/>
      <c r="N407" s="1715"/>
      <c r="O407" s="1715"/>
      <c r="P407" s="1715"/>
      <c r="Q407" s="1715"/>
      <c r="R407" s="1715"/>
      <c r="S407" s="1715"/>
      <c r="T407" s="1715"/>
      <c r="U407" s="1715"/>
      <c r="V407" s="1715"/>
      <c r="W407" s="1715"/>
      <c r="X407" s="1715"/>
      <c r="Y407" s="1715"/>
      <c r="Z407" s="1715"/>
      <c r="AA407" s="1715"/>
      <c r="AB407" s="1715"/>
    </row>
    <row r="408" spans="2:28" s="1748" customFormat="1" ht="21" customHeight="1" x14ac:dyDescent="0.25">
      <c r="B408" s="1747"/>
      <c r="C408" s="1746" t="s">
        <v>1435</v>
      </c>
      <c r="D408" s="1747" t="s">
        <v>1436</v>
      </c>
      <c r="E408" s="1747" t="s">
        <v>1437</v>
      </c>
      <c r="F408" s="1747" t="s">
        <v>1438</v>
      </c>
      <c r="G408" s="1747" t="s">
        <v>1439</v>
      </c>
      <c r="H408" s="1747" t="s">
        <v>1440</v>
      </c>
      <c r="I408" s="1747" t="s">
        <v>1441</v>
      </c>
      <c r="J408" s="1747" t="s">
        <v>1442</v>
      </c>
      <c r="K408" s="1747" t="s">
        <v>1443</v>
      </c>
      <c r="L408" s="1747" t="s">
        <v>1444</v>
      </c>
      <c r="M408" s="1747" t="s">
        <v>1445</v>
      </c>
      <c r="N408" s="1747" t="s">
        <v>1446</v>
      </c>
      <c r="O408" s="1747" t="s">
        <v>1447</v>
      </c>
      <c r="P408" s="1747" t="s">
        <v>1448</v>
      </c>
      <c r="Q408" s="1747" t="s">
        <v>1449</v>
      </c>
      <c r="R408" s="1747" t="s">
        <v>1450</v>
      </c>
      <c r="S408" s="1747" t="s">
        <v>1451</v>
      </c>
      <c r="T408" s="1747" t="s">
        <v>1452</v>
      </c>
      <c r="U408" s="1747" t="s">
        <v>1453</v>
      </c>
      <c r="V408" s="1747" t="s">
        <v>1454</v>
      </c>
      <c r="W408" s="1747" t="s">
        <v>1455</v>
      </c>
      <c r="X408" s="1747" t="s">
        <v>1456</v>
      </c>
      <c r="Y408" s="1747" t="s">
        <v>1457</v>
      </c>
      <c r="Z408" s="1747" t="s">
        <v>1458</v>
      </c>
      <c r="AA408" s="1747" t="s">
        <v>1459</v>
      </c>
      <c r="AB408" s="1747" t="s">
        <v>1460</v>
      </c>
    </row>
    <row r="409" spans="2:28" x14ac:dyDescent="0.25">
      <c r="B409" s="1765" t="s">
        <v>1461</v>
      </c>
      <c r="C409" s="1779">
        <v>0</v>
      </c>
      <c r="D409" s="1779">
        <v>0</v>
      </c>
      <c r="E409" s="1779">
        <v>0</v>
      </c>
      <c r="F409" s="1779">
        <v>0</v>
      </c>
      <c r="G409" s="1779">
        <v>0</v>
      </c>
      <c r="H409" s="1779">
        <v>0</v>
      </c>
      <c r="I409" s="1779">
        <v>0</v>
      </c>
      <c r="J409" s="1779">
        <v>1</v>
      </c>
      <c r="K409" s="1779">
        <v>1</v>
      </c>
      <c r="L409" s="1779">
        <v>1</v>
      </c>
      <c r="M409" s="1779">
        <v>1</v>
      </c>
      <c r="N409" s="1779">
        <v>1</v>
      </c>
      <c r="O409" s="1779">
        <v>1</v>
      </c>
      <c r="P409" s="1779">
        <v>1</v>
      </c>
      <c r="Q409" s="1779">
        <v>1</v>
      </c>
      <c r="R409" s="1779">
        <v>1</v>
      </c>
      <c r="S409" s="1779">
        <v>1</v>
      </c>
      <c r="T409" s="1779">
        <v>0</v>
      </c>
      <c r="U409" s="1779">
        <v>0</v>
      </c>
      <c r="V409" s="1779">
        <v>0</v>
      </c>
      <c r="W409" s="1779">
        <v>0</v>
      </c>
      <c r="X409" s="1779">
        <v>0</v>
      </c>
      <c r="Y409" s="1779">
        <v>0</v>
      </c>
      <c r="Z409" s="1779">
        <v>0</v>
      </c>
      <c r="AA409" s="1752">
        <f>SUM(C409:Z409)</f>
        <v>10</v>
      </c>
      <c r="AB409" s="1753">
        <f>AA409*SUM($C$9:$C$13)</f>
        <v>2500</v>
      </c>
    </row>
    <row r="410" spans="2:28" x14ac:dyDescent="0.25">
      <c r="B410" s="1767" t="s">
        <v>1431</v>
      </c>
      <c r="C410" s="1780">
        <v>0</v>
      </c>
      <c r="D410" s="1780">
        <v>0</v>
      </c>
      <c r="E410" s="1780">
        <v>0</v>
      </c>
      <c r="F410" s="1780">
        <v>0</v>
      </c>
      <c r="G410" s="1780">
        <v>0</v>
      </c>
      <c r="H410" s="1780">
        <v>0</v>
      </c>
      <c r="I410" s="1780">
        <v>0</v>
      </c>
      <c r="J410" s="1780">
        <v>0</v>
      </c>
      <c r="K410" s="1780">
        <v>1</v>
      </c>
      <c r="L410" s="1780">
        <v>1</v>
      </c>
      <c r="M410" s="1780">
        <v>1</v>
      </c>
      <c r="N410" s="1780">
        <v>1</v>
      </c>
      <c r="O410" s="1780">
        <v>1</v>
      </c>
      <c r="P410" s="1780">
        <v>1</v>
      </c>
      <c r="Q410" s="1780">
        <v>1</v>
      </c>
      <c r="R410" s="1780">
        <v>1</v>
      </c>
      <c r="S410" s="1780">
        <v>0</v>
      </c>
      <c r="T410" s="1780">
        <v>0</v>
      </c>
      <c r="U410" s="1780">
        <v>0</v>
      </c>
      <c r="V410" s="1780">
        <v>0</v>
      </c>
      <c r="W410" s="1780">
        <v>0</v>
      </c>
      <c r="X410" s="1780">
        <v>0</v>
      </c>
      <c r="Y410" s="1780">
        <v>0</v>
      </c>
      <c r="Z410" s="1780">
        <v>0</v>
      </c>
      <c r="AA410" s="1756">
        <f>SUM(C410:Z410)</f>
        <v>8</v>
      </c>
      <c r="AB410" s="1757">
        <f>AA410*SUM($C$14)</f>
        <v>416</v>
      </c>
    </row>
    <row r="411" spans="2:28" x14ac:dyDescent="0.25">
      <c r="B411" s="1767" t="s">
        <v>1432</v>
      </c>
      <c r="C411" s="1780">
        <v>0</v>
      </c>
      <c r="D411" s="1780">
        <v>0</v>
      </c>
      <c r="E411" s="1780">
        <v>0</v>
      </c>
      <c r="F411" s="1780">
        <v>0</v>
      </c>
      <c r="G411" s="1780">
        <v>0</v>
      </c>
      <c r="H411" s="1780">
        <v>0</v>
      </c>
      <c r="I411" s="1780">
        <v>0</v>
      </c>
      <c r="J411" s="1780">
        <v>0</v>
      </c>
      <c r="K411" s="1780">
        <v>0</v>
      </c>
      <c r="L411" s="1780">
        <v>0</v>
      </c>
      <c r="M411" s="1780">
        <v>0</v>
      </c>
      <c r="N411" s="1780">
        <v>0</v>
      </c>
      <c r="O411" s="1780">
        <v>0</v>
      </c>
      <c r="P411" s="1780">
        <v>0</v>
      </c>
      <c r="Q411" s="1780">
        <v>0</v>
      </c>
      <c r="R411" s="1780">
        <v>0</v>
      </c>
      <c r="S411" s="1780">
        <v>0</v>
      </c>
      <c r="T411" s="1780">
        <v>0</v>
      </c>
      <c r="U411" s="1780">
        <v>0</v>
      </c>
      <c r="V411" s="1780">
        <v>0</v>
      </c>
      <c r="W411" s="1780">
        <v>0</v>
      </c>
      <c r="X411" s="1780">
        <v>0</v>
      </c>
      <c r="Y411" s="1780">
        <v>0</v>
      </c>
      <c r="Z411" s="1780">
        <v>0</v>
      </c>
      <c r="AA411" s="1756">
        <f>SUM(C411:Z411)</f>
        <v>0</v>
      </c>
      <c r="AB411" s="1757">
        <f>AA411*$C$15</f>
        <v>0</v>
      </c>
    </row>
    <row r="412" spans="2:28" x14ac:dyDescent="0.25">
      <c r="B412" s="1769" t="s">
        <v>1463</v>
      </c>
      <c r="C412" s="1781">
        <v>0</v>
      </c>
      <c r="D412" s="1781">
        <v>0</v>
      </c>
      <c r="E412" s="1781">
        <v>0</v>
      </c>
      <c r="F412" s="1781">
        <v>0</v>
      </c>
      <c r="G412" s="1781">
        <v>0</v>
      </c>
      <c r="H412" s="1781">
        <v>0</v>
      </c>
      <c r="I412" s="1781">
        <v>0</v>
      </c>
      <c r="J412" s="1781">
        <v>0</v>
      </c>
      <c r="K412" s="1781">
        <v>0</v>
      </c>
      <c r="L412" s="1781">
        <v>0</v>
      </c>
      <c r="M412" s="1781">
        <v>0</v>
      </c>
      <c r="N412" s="1781">
        <v>0</v>
      </c>
      <c r="O412" s="1781">
        <v>0</v>
      </c>
      <c r="P412" s="1781">
        <v>0</v>
      </c>
      <c r="Q412" s="1781">
        <v>0</v>
      </c>
      <c r="R412" s="1781">
        <v>0</v>
      </c>
      <c r="S412" s="1781">
        <v>0</v>
      </c>
      <c r="T412" s="1781">
        <v>0</v>
      </c>
      <c r="U412" s="1781">
        <v>0</v>
      </c>
      <c r="V412" s="1781">
        <v>0</v>
      </c>
      <c r="W412" s="1781">
        <v>0</v>
      </c>
      <c r="X412" s="1781">
        <v>0</v>
      </c>
      <c r="Y412" s="1781">
        <v>0</v>
      </c>
      <c r="Z412" s="1781">
        <v>0</v>
      </c>
      <c r="AA412" s="1760">
        <f>SUM(C412:Z412)</f>
        <v>0</v>
      </c>
      <c r="AB412" s="1761">
        <f>AA412*SUM($C$8)</f>
        <v>0</v>
      </c>
    </row>
    <row r="413" spans="2:28" x14ac:dyDescent="0.25">
      <c r="B413" s="2500" t="s">
        <v>1464</v>
      </c>
      <c r="C413" s="2501"/>
      <c r="D413" s="2501"/>
      <c r="E413" s="2501"/>
      <c r="F413" s="2501"/>
      <c r="G413" s="2501"/>
      <c r="H413" s="2501"/>
      <c r="I413" s="2501"/>
      <c r="J413" s="2501"/>
      <c r="K413" s="2501"/>
      <c r="L413" s="2501"/>
      <c r="M413" s="2501"/>
      <c r="N413" s="2501"/>
      <c r="O413" s="2501"/>
      <c r="P413" s="2501"/>
      <c r="Q413" s="2501"/>
      <c r="R413" s="2501"/>
      <c r="S413" s="2501"/>
      <c r="T413" s="2501"/>
      <c r="U413" s="2501"/>
      <c r="V413" s="2501"/>
      <c r="W413" s="2501"/>
      <c r="X413" s="2501"/>
      <c r="Y413" s="2501"/>
      <c r="Z413" s="2501"/>
      <c r="AA413" s="2501"/>
      <c r="AB413" s="1749">
        <f>SUM(AB409:AB412)</f>
        <v>2916</v>
      </c>
    </row>
    <row r="414" spans="2:28" x14ac:dyDescent="0.25">
      <c r="B414" s="1715"/>
      <c r="C414" s="1715"/>
      <c r="D414" s="1715"/>
      <c r="E414" s="1715"/>
      <c r="F414" s="1715"/>
      <c r="G414" s="1715"/>
      <c r="H414" s="1715"/>
      <c r="I414" s="1715"/>
      <c r="J414" s="1715"/>
      <c r="K414" s="1715"/>
      <c r="L414" s="1715"/>
      <c r="M414" s="1715"/>
      <c r="N414" s="1715"/>
      <c r="O414" s="1715"/>
      <c r="P414" s="1715"/>
      <c r="Q414" s="1715"/>
      <c r="R414" s="1715"/>
      <c r="S414" s="1715"/>
      <c r="T414" s="1715"/>
      <c r="U414" s="1715"/>
      <c r="V414" s="1715"/>
      <c r="W414" s="1715"/>
      <c r="X414" s="1715"/>
      <c r="Y414" s="1715"/>
      <c r="Z414" s="1715"/>
      <c r="AA414" s="1715"/>
      <c r="AB414" s="1715"/>
    </row>
    <row r="415" spans="2:28" ht="15" customHeight="1" x14ac:dyDescent="0.25">
      <c r="B415" s="1715" t="s">
        <v>1434</v>
      </c>
      <c r="C415" s="2497" t="s">
        <v>1654</v>
      </c>
      <c r="D415" s="2498"/>
      <c r="E415" s="2498"/>
      <c r="F415" s="2498"/>
      <c r="G415" s="2498"/>
      <c r="H415" s="2498"/>
      <c r="I415" s="2498"/>
      <c r="J415" s="2498"/>
      <c r="K415" s="2498"/>
      <c r="L415" s="2498"/>
      <c r="M415" s="2498"/>
      <c r="N415" s="2498"/>
      <c r="O415" s="2498"/>
      <c r="P415" s="2498"/>
      <c r="Q415" s="2498"/>
      <c r="R415" s="2498"/>
      <c r="S415" s="2498"/>
      <c r="T415" s="2498"/>
      <c r="U415" s="2498"/>
      <c r="V415" s="2498"/>
      <c r="W415" s="2498"/>
      <c r="X415" s="2498"/>
      <c r="Y415" s="2498"/>
      <c r="Z415" s="2498"/>
      <c r="AA415" s="2498"/>
      <c r="AB415" s="2499"/>
    </row>
    <row r="416" spans="2:28" x14ac:dyDescent="0.25">
      <c r="B416" s="1715"/>
      <c r="C416" s="1715"/>
      <c r="D416" s="1715"/>
      <c r="E416" s="1715"/>
      <c r="F416" s="1715"/>
      <c r="G416" s="1715"/>
      <c r="H416" s="1715"/>
      <c r="I416" s="1715"/>
      <c r="J416" s="1715"/>
      <c r="K416" s="1715"/>
      <c r="L416" s="1715"/>
      <c r="M416" s="1715"/>
      <c r="N416" s="1715"/>
      <c r="O416" s="1715"/>
      <c r="P416" s="1715"/>
      <c r="Q416" s="1715"/>
      <c r="R416" s="1715"/>
      <c r="S416" s="1715"/>
      <c r="T416" s="1715"/>
      <c r="U416" s="1715"/>
      <c r="V416" s="1715"/>
      <c r="W416" s="1715"/>
      <c r="X416" s="1715"/>
      <c r="Y416" s="1715"/>
      <c r="Z416" s="1715"/>
      <c r="AA416" s="1715"/>
      <c r="AB416" s="1715"/>
    </row>
    <row r="417" spans="2:28" s="1748" customFormat="1" ht="21" customHeight="1" x14ac:dyDescent="0.25">
      <c r="B417" s="1747"/>
      <c r="C417" s="1746" t="s">
        <v>1435</v>
      </c>
      <c r="D417" s="1747" t="s">
        <v>1436</v>
      </c>
      <c r="E417" s="1747" t="s">
        <v>1437</v>
      </c>
      <c r="F417" s="1747" t="s">
        <v>1438</v>
      </c>
      <c r="G417" s="1747" t="s">
        <v>1439</v>
      </c>
      <c r="H417" s="1747" t="s">
        <v>1440</v>
      </c>
      <c r="I417" s="1747" t="s">
        <v>1441</v>
      </c>
      <c r="J417" s="1747" t="s">
        <v>1442</v>
      </c>
      <c r="K417" s="1747" t="s">
        <v>1443</v>
      </c>
      <c r="L417" s="1747" t="s">
        <v>1444</v>
      </c>
      <c r="M417" s="1747" t="s">
        <v>1445</v>
      </c>
      <c r="N417" s="1747" t="s">
        <v>1446</v>
      </c>
      <c r="O417" s="1747" t="s">
        <v>1447</v>
      </c>
      <c r="P417" s="1747" t="s">
        <v>1448</v>
      </c>
      <c r="Q417" s="1747" t="s">
        <v>1449</v>
      </c>
      <c r="R417" s="1747" t="s">
        <v>1450</v>
      </c>
      <c r="S417" s="1747" t="s">
        <v>1451</v>
      </c>
      <c r="T417" s="1747" t="s">
        <v>1452</v>
      </c>
      <c r="U417" s="1747" t="s">
        <v>1453</v>
      </c>
      <c r="V417" s="1747" t="s">
        <v>1454</v>
      </c>
      <c r="W417" s="1747" t="s">
        <v>1455</v>
      </c>
      <c r="X417" s="1747" t="s">
        <v>1456</v>
      </c>
      <c r="Y417" s="1747" t="s">
        <v>1457</v>
      </c>
      <c r="Z417" s="1747" t="s">
        <v>1458</v>
      </c>
      <c r="AA417" s="1747" t="s">
        <v>1466</v>
      </c>
      <c r="AB417" s="1747" t="s">
        <v>1467</v>
      </c>
    </row>
    <row r="418" spans="2:28" x14ac:dyDescent="0.25">
      <c r="B418" s="1765" t="s">
        <v>1461</v>
      </c>
      <c r="C418" s="1776">
        <v>0</v>
      </c>
      <c r="D418" s="1776">
        <v>0</v>
      </c>
      <c r="E418" s="1776">
        <v>0</v>
      </c>
      <c r="F418" s="1776">
        <v>0</v>
      </c>
      <c r="G418" s="1776">
        <v>0</v>
      </c>
      <c r="H418" s="1776">
        <v>0</v>
      </c>
      <c r="I418" s="1776">
        <v>0</v>
      </c>
      <c r="J418" s="1776">
        <v>0.15</v>
      </c>
      <c r="K418" s="1776">
        <v>0.7</v>
      </c>
      <c r="L418" s="1776">
        <v>0.9</v>
      </c>
      <c r="M418" s="1776">
        <v>0.9</v>
      </c>
      <c r="N418" s="1776">
        <v>0.9</v>
      </c>
      <c r="O418" s="1776">
        <v>0.5</v>
      </c>
      <c r="P418" s="1776">
        <v>0.85</v>
      </c>
      <c r="Q418" s="1776">
        <v>0.85</v>
      </c>
      <c r="R418" s="1776">
        <v>0.85</v>
      </c>
      <c r="S418" s="1776">
        <v>0.2</v>
      </c>
      <c r="T418" s="1776">
        <v>0</v>
      </c>
      <c r="U418" s="1776">
        <v>0</v>
      </c>
      <c r="V418" s="1776">
        <v>0</v>
      </c>
      <c r="W418" s="1776">
        <v>0</v>
      </c>
      <c r="X418" s="1776">
        <v>0</v>
      </c>
      <c r="Y418" s="1776">
        <v>0</v>
      </c>
      <c r="Z418" s="1776">
        <v>0</v>
      </c>
      <c r="AA418" s="1752">
        <f>SUM(C418:Z418)</f>
        <v>6.7999999999999989</v>
      </c>
      <c r="AB418" s="1753">
        <f>AA418*SUM($C$9:$C$13)</f>
        <v>1699.9999999999998</v>
      </c>
    </row>
    <row r="419" spans="2:28" x14ac:dyDescent="0.25">
      <c r="B419" s="1767" t="s">
        <v>1431</v>
      </c>
      <c r="C419" s="1777">
        <v>0</v>
      </c>
      <c r="D419" s="1777">
        <v>0</v>
      </c>
      <c r="E419" s="1777">
        <v>0</v>
      </c>
      <c r="F419" s="1777">
        <v>0</v>
      </c>
      <c r="G419" s="1777">
        <v>0</v>
      </c>
      <c r="H419" s="1777">
        <v>0</v>
      </c>
      <c r="I419" s="1777">
        <v>0</v>
      </c>
      <c r="J419" s="1777">
        <v>0</v>
      </c>
      <c r="K419" s="1777">
        <v>0.2</v>
      </c>
      <c r="L419" s="1777">
        <v>0.2</v>
      </c>
      <c r="M419" s="1777">
        <v>0.2</v>
      </c>
      <c r="N419" s="1777">
        <v>0.2</v>
      </c>
      <c r="O419" s="1777">
        <v>0.1</v>
      </c>
      <c r="P419" s="1777">
        <v>0.1</v>
      </c>
      <c r="Q419" s="1777">
        <v>0.1</v>
      </c>
      <c r="R419" s="1777">
        <v>0.1</v>
      </c>
      <c r="S419" s="1777">
        <v>0</v>
      </c>
      <c r="T419" s="1777">
        <v>0</v>
      </c>
      <c r="U419" s="1777">
        <v>0</v>
      </c>
      <c r="V419" s="1777">
        <v>0</v>
      </c>
      <c r="W419" s="1777">
        <v>0</v>
      </c>
      <c r="X419" s="1777">
        <v>0</v>
      </c>
      <c r="Y419" s="1777">
        <v>0</v>
      </c>
      <c r="Z419" s="1777">
        <v>0</v>
      </c>
      <c r="AA419" s="1756">
        <f>SUM(C419:Z419)</f>
        <v>1.2000000000000002</v>
      </c>
      <c r="AB419" s="1757">
        <f>AA419*SUM($C$14)</f>
        <v>62.400000000000006</v>
      </c>
    </row>
    <row r="420" spans="2:28" x14ac:dyDescent="0.25">
      <c r="B420" s="1767" t="s">
        <v>1432</v>
      </c>
      <c r="C420" s="1777">
        <v>0</v>
      </c>
      <c r="D420" s="1777">
        <v>0</v>
      </c>
      <c r="E420" s="1777">
        <v>0</v>
      </c>
      <c r="F420" s="1777">
        <v>0</v>
      </c>
      <c r="G420" s="1777">
        <v>0</v>
      </c>
      <c r="H420" s="1777">
        <v>0</v>
      </c>
      <c r="I420" s="1777">
        <v>0</v>
      </c>
      <c r="J420" s="1777">
        <v>0</v>
      </c>
      <c r="K420" s="1777">
        <v>0</v>
      </c>
      <c r="L420" s="1777">
        <v>0</v>
      </c>
      <c r="M420" s="1777">
        <v>0</v>
      </c>
      <c r="N420" s="1777">
        <v>0</v>
      </c>
      <c r="O420" s="1777">
        <v>0</v>
      </c>
      <c r="P420" s="1777">
        <v>0</v>
      </c>
      <c r="Q420" s="1777">
        <v>0</v>
      </c>
      <c r="R420" s="1777">
        <v>0</v>
      </c>
      <c r="S420" s="1777">
        <v>0</v>
      </c>
      <c r="T420" s="1777">
        <v>0</v>
      </c>
      <c r="U420" s="1777">
        <v>0</v>
      </c>
      <c r="V420" s="1777">
        <v>0</v>
      </c>
      <c r="W420" s="1777">
        <v>0</v>
      </c>
      <c r="X420" s="1777">
        <v>0</v>
      </c>
      <c r="Y420" s="1777">
        <v>0</v>
      </c>
      <c r="Z420" s="1777">
        <v>0</v>
      </c>
      <c r="AA420" s="1756">
        <f>SUM(C420:Z420)</f>
        <v>0</v>
      </c>
      <c r="AB420" s="1757">
        <f>AA420*$C$15</f>
        <v>0</v>
      </c>
    </row>
    <row r="421" spans="2:28" x14ac:dyDescent="0.25">
      <c r="B421" s="1769" t="s">
        <v>1463</v>
      </c>
      <c r="C421" s="1778">
        <v>0</v>
      </c>
      <c r="D421" s="1778">
        <v>0</v>
      </c>
      <c r="E421" s="1778">
        <v>0</v>
      </c>
      <c r="F421" s="1778">
        <v>0</v>
      </c>
      <c r="G421" s="1778">
        <v>0</v>
      </c>
      <c r="H421" s="1778">
        <v>0</v>
      </c>
      <c r="I421" s="1778">
        <v>0</v>
      </c>
      <c r="J421" s="1778">
        <v>0</v>
      </c>
      <c r="K421" s="1778">
        <v>0</v>
      </c>
      <c r="L421" s="1778">
        <v>0</v>
      </c>
      <c r="M421" s="1778">
        <v>0</v>
      </c>
      <c r="N421" s="1778">
        <v>0</v>
      </c>
      <c r="O421" s="1778">
        <v>0</v>
      </c>
      <c r="P421" s="1778">
        <v>0</v>
      </c>
      <c r="Q421" s="1778">
        <v>0</v>
      </c>
      <c r="R421" s="1778">
        <v>0</v>
      </c>
      <c r="S421" s="1778">
        <v>0</v>
      </c>
      <c r="T421" s="1778">
        <v>0</v>
      </c>
      <c r="U421" s="1778">
        <v>0</v>
      </c>
      <c r="V421" s="1778">
        <v>0</v>
      </c>
      <c r="W421" s="1778">
        <v>0</v>
      </c>
      <c r="X421" s="1778">
        <v>0</v>
      </c>
      <c r="Y421" s="1778">
        <v>0</v>
      </c>
      <c r="Z421" s="1778">
        <v>0</v>
      </c>
      <c r="AA421" s="1760">
        <f>SUM(C421:Z421)</f>
        <v>0</v>
      </c>
      <c r="AB421" s="1761">
        <f>AA421*SUM($C$8)</f>
        <v>0</v>
      </c>
    </row>
    <row r="422" spans="2:28" x14ac:dyDescent="0.25">
      <c r="B422" s="2500" t="s">
        <v>1468</v>
      </c>
      <c r="C422" s="2501"/>
      <c r="D422" s="2501"/>
      <c r="E422" s="2501"/>
      <c r="F422" s="2501"/>
      <c r="G422" s="2501"/>
      <c r="H422" s="2501"/>
      <c r="I422" s="2501"/>
      <c r="J422" s="2501"/>
      <c r="K422" s="2501"/>
      <c r="L422" s="2501"/>
      <c r="M422" s="2501"/>
      <c r="N422" s="2501"/>
      <c r="O422" s="2501"/>
      <c r="P422" s="2501"/>
      <c r="Q422" s="2501"/>
      <c r="R422" s="2501"/>
      <c r="S422" s="2501"/>
      <c r="T422" s="2501"/>
      <c r="U422" s="2501"/>
      <c r="V422" s="2501"/>
      <c r="W422" s="2501"/>
      <c r="X422" s="2501"/>
      <c r="Y422" s="2501"/>
      <c r="Z422" s="2501"/>
      <c r="AA422" s="2501"/>
      <c r="AB422" s="1749">
        <f>SUM(AB418:AB421)</f>
        <v>1762.3999999999999</v>
      </c>
    </row>
    <row r="423" spans="2:28" x14ac:dyDescent="0.25">
      <c r="B423" s="1715"/>
      <c r="C423" s="1715"/>
      <c r="D423" s="1715"/>
      <c r="E423" s="1715"/>
      <c r="F423" s="1715"/>
      <c r="G423" s="1715"/>
      <c r="H423" s="1715"/>
      <c r="I423" s="1715"/>
      <c r="J423" s="1715"/>
      <c r="K423" s="1715"/>
      <c r="L423" s="1715"/>
      <c r="M423" s="1715"/>
      <c r="N423" s="1715"/>
      <c r="O423" s="1715"/>
      <c r="P423" s="1715"/>
      <c r="Q423" s="1715"/>
      <c r="R423" s="1715"/>
      <c r="S423" s="1715"/>
      <c r="T423" s="1715"/>
      <c r="U423" s="1715"/>
      <c r="V423" s="1715"/>
      <c r="W423" s="1715"/>
      <c r="X423" s="1715"/>
      <c r="Y423" s="1715"/>
      <c r="Z423" s="1715"/>
      <c r="AA423" s="1715"/>
      <c r="AB423" s="1715"/>
    </row>
    <row r="424" spans="2:28" ht="15" customHeight="1" x14ac:dyDescent="0.25">
      <c r="B424" s="1715" t="s">
        <v>1434</v>
      </c>
      <c r="C424" s="2497" t="s">
        <v>1655</v>
      </c>
      <c r="D424" s="2498"/>
      <c r="E424" s="2498"/>
      <c r="F424" s="2498"/>
      <c r="G424" s="2498"/>
      <c r="H424" s="2498"/>
      <c r="I424" s="2498"/>
      <c r="J424" s="2498"/>
      <c r="K424" s="2498"/>
      <c r="L424" s="2498"/>
      <c r="M424" s="2498"/>
      <c r="N424" s="2498"/>
      <c r="O424" s="2498"/>
      <c r="P424" s="2498"/>
      <c r="Q424" s="2498"/>
      <c r="R424" s="2498"/>
      <c r="S424" s="2498"/>
      <c r="T424" s="2498"/>
      <c r="U424" s="2498"/>
      <c r="V424" s="2498"/>
      <c r="W424" s="2498"/>
      <c r="X424" s="2498"/>
      <c r="Y424" s="2498"/>
      <c r="Z424" s="2498"/>
      <c r="AA424" s="2498"/>
      <c r="AB424" s="2499"/>
    </row>
    <row r="425" spans="2:28" x14ac:dyDescent="0.25">
      <c r="B425" s="1715"/>
      <c r="C425" s="1715"/>
      <c r="D425" s="1715"/>
      <c r="E425" s="1715"/>
      <c r="F425" s="1715"/>
      <c r="G425" s="1715"/>
      <c r="H425" s="1715"/>
      <c r="I425" s="1715"/>
      <c r="J425" s="1715"/>
      <c r="K425" s="1715"/>
      <c r="L425" s="1715"/>
      <c r="M425" s="1715"/>
      <c r="N425" s="1715"/>
      <c r="O425" s="1715"/>
      <c r="P425" s="1715"/>
      <c r="Q425" s="1715"/>
      <c r="R425" s="1715"/>
      <c r="S425" s="1715"/>
      <c r="T425" s="1715"/>
      <c r="U425" s="1715"/>
      <c r="V425" s="1715"/>
      <c r="W425" s="1715"/>
      <c r="X425" s="1715"/>
      <c r="Y425" s="1715"/>
      <c r="Z425" s="1715"/>
      <c r="AA425" s="1715"/>
      <c r="AB425" s="1715"/>
    </row>
    <row r="426" spans="2:28" s="1748" customFormat="1" ht="21" customHeight="1" x14ac:dyDescent="0.25">
      <c r="B426" s="1747"/>
      <c r="C426" s="1746" t="s">
        <v>1435</v>
      </c>
      <c r="D426" s="1747" t="s">
        <v>1436</v>
      </c>
      <c r="E426" s="1747" t="s">
        <v>1437</v>
      </c>
      <c r="F426" s="1747" t="s">
        <v>1438</v>
      </c>
      <c r="G426" s="1747" t="s">
        <v>1439</v>
      </c>
      <c r="H426" s="1747" t="s">
        <v>1440</v>
      </c>
      <c r="I426" s="1747" t="s">
        <v>1441</v>
      </c>
      <c r="J426" s="1747" t="s">
        <v>1442</v>
      </c>
      <c r="K426" s="1747" t="s">
        <v>1443</v>
      </c>
      <c r="L426" s="1747" t="s">
        <v>1444</v>
      </c>
      <c r="M426" s="1747" t="s">
        <v>1445</v>
      </c>
      <c r="N426" s="1747" t="s">
        <v>1446</v>
      </c>
      <c r="O426" s="1747" t="s">
        <v>1447</v>
      </c>
      <c r="P426" s="1747" t="s">
        <v>1448</v>
      </c>
      <c r="Q426" s="1747" t="s">
        <v>1449</v>
      </c>
      <c r="R426" s="1747" t="s">
        <v>1450</v>
      </c>
      <c r="S426" s="1747" t="s">
        <v>1451</v>
      </c>
      <c r="T426" s="1747" t="s">
        <v>1452</v>
      </c>
      <c r="U426" s="1747" t="s">
        <v>1453</v>
      </c>
      <c r="V426" s="1747" t="s">
        <v>1454</v>
      </c>
      <c r="W426" s="1747" t="s">
        <v>1455</v>
      </c>
      <c r="X426" s="1747" t="s">
        <v>1456</v>
      </c>
      <c r="Y426" s="1747" t="s">
        <v>1457</v>
      </c>
      <c r="Z426" s="1747" t="s">
        <v>1458</v>
      </c>
      <c r="AA426" s="1747" t="s">
        <v>1466</v>
      </c>
      <c r="AB426" s="1747" t="s">
        <v>1467</v>
      </c>
    </row>
    <row r="427" spans="2:28" x14ac:dyDescent="0.25">
      <c r="B427" s="1765" t="s">
        <v>1461</v>
      </c>
      <c r="C427" s="1776">
        <v>0.05</v>
      </c>
      <c r="D427" s="1776">
        <v>0.05</v>
      </c>
      <c r="E427" s="1776">
        <v>0.05</v>
      </c>
      <c r="F427" s="1776">
        <v>0.05</v>
      </c>
      <c r="G427" s="1776">
        <v>0.05</v>
      </c>
      <c r="H427" s="1776">
        <v>0.05</v>
      </c>
      <c r="I427" s="1776">
        <v>0.05</v>
      </c>
      <c r="J427" s="1776">
        <v>0.25</v>
      </c>
      <c r="K427" s="1776">
        <v>0.45</v>
      </c>
      <c r="L427" s="1776">
        <v>0.55000000000000004</v>
      </c>
      <c r="M427" s="1776">
        <v>0.55000000000000004</v>
      </c>
      <c r="N427" s="1776">
        <v>0.55000000000000004</v>
      </c>
      <c r="O427" s="1776">
        <v>0.5</v>
      </c>
      <c r="P427" s="1776">
        <v>0.55000000000000004</v>
      </c>
      <c r="Q427" s="1776">
        <v>0.55000000000000004</v>
      </c>
      <c r="R427" s="1776">
        <v>0.55000000000000004</v>
      </c>
      <c r="S427" s="1776">
        <v>0.55000000000000004</v>
      </c>
      <c r="T427" s="1776">
        <v>0.3</v>
      </c>
      <c r="U427" s="1776">
        <v>0.05</v>
      </c>
      <c r="V427" s="1776">
        <v>0.05</v>
      </c>
      <c r="W427" s="1776">
        <v>0.05</v>
      </c>
      <c r="X427" s="1776">
        <v>0.05</v>
      </c>
      <c r="Y427" s="1776">
        <v>0.05</v>
      </c>
      <c r="Z427" s="1776">
        <v>0.05</v>
      </c>
      <c r="AA427" s="1752">
        <f>SUM(C427:Z427)</f>
        <v>5.9999999999999982</v>
      </c>
      <c r="AB427" s="1753">
        <f>AA427*SUM($C$9:$C$13)</f>
        <v>1499.9999999999995</v>
      </c>
    </row>
    <row r="428" spans="2:28" x14ac:dyDescent="0.25">
      <c r="B428" s="1767" t="s">
        <v>1431</v>
      </c>
      <c r="C428" s="1777">
        <v>0.05</v>
      </c>
      <c r="D428" s="1777">
        <v>0.05</v>
      </c>
      <c r="E428" s="1777">
        <v>0.05</v>
      </c>
      <c r="F428" s="1777">
        <v>0.05</v>
      </c>
      <c r="G428" s="1777">
        <v>0.05</v>
      </c>
      <c r="H428" s="1777">
        <v>0.05</v>
      </c>
      <c r="I428" s="1777">
        <v>0.05</v>
      </c>
      <c r="J428" s="1777">
        <v>0.05</v>
      </c>
      <c r="K428" s="1777">
        <v>0.08</v>
      </c>
      <c r="L428" s="1777">
        <v>0.24</v>
      </c>
      <c r="M428" s="1777">
        <v>0.24</v>
      </c>
      <c r="N428" s="1777">
        <v>0.24</v>
      </c>
      <c r="O428" s="1777">
        <v>0.05</v>
      </c>
      <c r="P428" s="1777">
        <v>0.05</v>
      </c>
      <c r="Q428" s="1777">
        <v>0.05</v>
      </c>
      <c r="R428" s="1777">
        <v>0.05</v>
      </c>
      <c r="S428" s="1777">
        <v>0.05</v>
      </c>
      <c r="T428" s="1777">
        <v>0.05</v>
      </c>
      <c r="U428" s="1777">
        <v>0.05</v>
      </c>
      <c r="V428" s="1777">
        <v>0.05</v>
      </c>
      <c r="W428" s="1777">
        <v>0.05</v>
      </c>
      <c r="X428" s="1777">
        <v>0.05</v>
      </c>
      <c r="Y428" s="1777">
        <v>0.05</v>
      </c>
      <c r="Z428" s="1777">
        <v>0.05</v>
      </c>
      <c r="AA428" s="1756">
        <f>SUM(C428:Z428)</f>
        <v>1.8000000000000005</v>
      </c>
      <c r="AB428" s="1757">
        <f>AA428*SUM($C$14)</f>
        <v>93.600000000000023</v>
      </c>
    </row>
    <row r="429" spans="2:28" x14ac:dyDescent="0.25">
      <c r="B429" s="1767" t="s">
        <v>1432</v>
      </c>
      <c r="C429" s="1777">
        <v>0.05</v>
      </c>
      <c r="D429" s="1777">
        <v>0.05</v>
      </c>
      <c r="E429" s="1777">
        <v>0.05</v>
      </c>
      <c r="F429" s="1777">
        <v>0.05</v>
      </c>
      <c r="G429" s="1777">
        <v>0.05</v>
      </c>
      <c r="H429" s="1777">
        <v>0.05</v>
      </c>
      <c r="I429" s="1777">
        <v>0.05</v>
      </c>
      <c r="J429" s="1777">
        <v>0.05</v>
      </c>
      <c r="K429" s="1777">
        <v>0.05</v>
      </c>
      <c r="L429" s="1777">
        <v>0.05</v>
      </c>
      <c r="M429" s="1777">
        <v>0.05</v>
      </c>
      <c r="N429" s="1777">
        <v>0.05</v>
      </c>
      <c r="O429" s="1777">
        <v>0.05</v>
      </c>
      <c r="P429" s="1777">
        <v>0.05</v>
      </c>
      <c r="Q429" s="1777">
        <v>0.05</v>
      </c>
      <c r="R429" s="1777">
        <v>0.05</v>
      </c>
      <c r="S429" s="1777">
        <v>0.05</v>
      </c>
      <c r="T429" s="1777">
        <v>0.05</v>
      </c>
      <c r="U429" s="1777">
        <v>0.05</v>
      </c>
      <c r="V429" s="1777">
        <v>0.05</v>
      </c>
      <c r="W429" s="1777">
        <v>0.05</v>
      </c>
      <c r="X429" s="1777">
        <v>0.05</v>
      </c>
      <c r="Y429" s="1777">
        <v>0.05</v>
      </c>
      <c r="Z429" s="1777">
        <v>0.05</v>
      </c>
      <c r="AA429" s="1756">
        <f>SUM(C429:Z429)</f>
        <v>1.2000000000000004</v>
      </c>
      <c r="AB429" s="1757">
        <f>AA429*$C$15</f>
        <v>62.40000000000002</v>
      </c>
    </row>
    <row r="430" spans="2:28" x14ac:dyDescent="0.25">
      <c r="B430" s="1769" t="s">
        <v>1463</v>
      </c>
      <c r="C430" s="1778">
        <v>0.05</v>
      </c>
      <c r="D430" s="1778">
        <v>0.05</v>
      </c>
      <c r="E430" s="1778">
        <v>0.05</v>
      </c>
      <c r="F430" s="1778">
        <v>0.05</v>
      </c>
      <c r="G430" s="1778">
        <v>0.05</v>
      </c>
      <c r="H430" s="1778">
        <v>0.05</v>
      </c>
      <c r="I430" s="1778">
        <v>0.05</v>
      </c>
      <c r="J430" s="1778">
        <v>0.05</v>
      </c>
      <c r="K430" s="1778">
        <v>0.05</v>
      </c>
      <c r="L430" s="1778">
        <v>0.05</v>
      </c>
      <c r="M430" s="1778">
        <v>0.05</v>
      </c>
      <c r="N430" s="1778">
        <v>0.05</v>
      </c>
      <c r="O430" s="1778">
        <v>0.05</v>
      </c>
      <c r="P430" s="1778">
        <v>0.05</v>
      </c>
      <c r="Q430" s="1778">
        <v>0.05</v>
      </c>
      <c r="R430" s="1778">
        <v>0.05</v>
      </c>
      <c r="S430" s="1778">
        <v>0.05</v>
      </c>
      <c r="T430" s="1778">
        <v>0.05</v>
      </c>
      <c r="U430" s="1778">
        <v>0.05</v>
      </c>
      <c r="V430" s="1778">
        <v>0.05</v>
      </c>
      <c r="W430" s="1778">
        <v>0.05</v>
      </c>
      <c r="X430" s="1778">
        <v>0.05</v>
      </c>
      <c r="Y430" s="1778">
        <v>0.05</v>
      </c>
      <c r="Z430" s="1778">
        <v>0.05</v>
      </c>
      <c r="AA430" s="1760">
        <f>SUM(C430:Z430)</f>
        <v>1.2000000000000004</v>
      </c>
      <c r="AB430" s="1761">
        <f>AA430*SUM($C$8)</f>
        <v>13.200000000000005</v>
      </c>
    </row>
    <row r="431" spans="2:28" x14ac:dyDescent="0.25">
      <c r="B431" s="2500" t="s">
        <v>1468</v>
      </c>
      <c r="C431" s="2501"/>
      <c r="D431" s="2501"/>
      <c r="E431" s="2501"/>
      <c r="F431" s="2501"/>
      <c r="G431" s="2501"/>
      <c r="H431" s="2501"/>
      <c r="I431" s="2501"/>
      <c r="J431" s="2501"/>
      <c r="K431" s="2501"/>
      <c r="L431" s="2501"/>
      <c r="M431" s="2501"/>
      <c r="N431" s="2501"/>
      <c r="O431" s="2501"/>
      <c r="P431" s="2501"/>
      <c r="Q431" s="2501"/>
      <c r="R431" s="2501"/>
      <c r="S431" s="2501"/>
      <c r="T431" s="2501"/>
      <c r="U431" s="2501"/>
      <c r="V431" s="2501"/>
      <c r="W431" s="2501"/>
      <c r="X431" s="2501"/>
      <c r="Y431" s="2501"/>
      <c r="Z431" s="2501"/>
      <c r="AA431" s="2501"/>
      <c r="AB431" s="1749">
        <f>SUM(AB427:AB430)</f>
        <v>1669.1999999999996</v>
      </c>
    </row>
    <row r="432" spans="2:28" x14ac:dyDescent="0.25">
      <c r="B432" s="1715"/>
      <c r="C432" s="1715"/>
      <c r="D432" s="1715"/>
      <c r="E432" s="1715"/>
      <c r="F432" s="1715"/>
      <c r="G432" s="1715"/>
      <c r="H432" s="1715"/>
      <c r="I432" s="1715"/>
      <c r="J432" s="1715"/>
      <c r="K432" s="1715"/>
      <c r="L432" s="1715"/>
      <c r="M432" s="1715"/>
      <c r="N432" s="1715"/>
      <c r="O432" s="1715"/>
      <c r="P432" s="1715"/>
      <c r="Q432" s="1715"/>
      <c r="R432" s="1715"/>
      <c r="S432" s="1715"/>
      <c r="T432" s="1715"/>
      <c r="U432" s="1715"/>
      <c r="V432" s="1715"/>
      <c r="W432" s="1715"/>
      <c r="X432" s="1715"/>
      <c r="Y432" s="1715"/>
      <c r="Z432" s="1715"/>
      <c r="AA432" s="1715"/>
      <c r="AB432" s="1715"/>
    </row>
    <row r="433" spans="2:28" ht="15" customHeight="1" x14ac:dyDescent="0.25">
      <c r="B433" s="1715" t="s">
        <v>1434</v>
      </c>
      <c r="C433" s="2497" t="s">
        <v>1656</v>
      </c>
      <c r="D433" s="2498"/>
      <c r="E433" s="2498"/>
      <c r="F433" s="2498"/>
      <c r="G433" s="2498"/>
      <c r="H433" s="2498"/>
      <c r="I433" s="2498"/>
      <c r="J433" s="2498"/>
      <c r="K433" s="2498"/>
      <c r="L433" s="2498"/>
      <c r="M433" s="2498"/>
      <c r="N433" s="2498"/>
      <c r="O433" s="2498"/>
      <c r="P433" s="2498"/>
      <c r="Q433" s="2498"/>
      <c r="R433" s="2498"/>
      <c r="S433" s="2498"/>
      <c r="T433" s="2498"/>
      <c r="U433" s="2498"/>
      <c r="V433" s="2498"/>
      <c r="W433" s="2498"/>
      <c r="X433" s="2498"/>
      <c r="Y433" s="2498"/>
      <c r="Z433" s="2498"/>
      <c r="AA433" s="2498"/>
      <c r="AB433" s="2499"/>
    </row>
    <row r="434" spans="2:28" x14ac:dyDescent="0.25">
      <c r="B434" s="1715"/>
      <c r="C434" s="1715"/>
      <c r="D434" s="1715"/>
      <c r="E434" s="1715"/>
      <c r="F434" s="1715"/>
      <c r="G434" s="1715"/>
      <c r="H434" s="1715"/>
      <c r="I434" s="1715"/>
      <c r="J434" s="1715"/>
      <c r="K434" s="1715"/>
      <c r="L434" s="1715"/>
      <c r="M434" s="1715"/>
      <c r="N434" s="1715"/>
      <c r="O434" s="1715"/>
      <c r="P434" s="1715"/>
      <c r="Q434" s="1715"/>
      <c r="R434" s="1715"/>
      <c r="S434" s="1715"/>
      <c r="T434" s="1715"/>
      <c r="U434" s="1715"/>
      <c r="V434" s="1715"/>
      <c r="W434" s="1715"/>
      <c r="X434" s="1715"/>
      <c r="Y434" s="1715"/>
      <c r="Z434" s="1715"/>
      <c r="AA434" s="1715"/>
      <c r="AB434" s="1715"/>
    </row>
    <row r="435" spans="2:28" s="1748" customFormat="1" ht="21" customHeight="1" x14ac:dyDescent="0.25">
      <c r="B435" s="1747"/>
      <c r="C435" s="1746" t="s">
        <v>1435</v>
      </c>
      <c r="D435" s="1747" t="s">
        <v>1436</v>
      </c>
      <c r="E435" s="1747" t="s">
        <v>1437</v>
      </c>
      <c r="F435" s="1747" t="s">
        <v>1438</v>
      </c>
      <c r="G435" s="1747" t="s">
        <v>1439</v>
      </c>
      <c r="H435" s="1747" t="s">
        <v>1440</v>
      </c>
      <c r="I435" s="1747" t="s">
        <v>1441</v>
      </c>
      <c r="J435" s="1747" t="s">
        <v>1442</v>
      </c>
      <c r="K435" s="1747" t="s">
        <v>1443</v>
      </c>
      <c r="L435" s="1747" t="s">
        <v>1444</v>
      </c>
      <c r="M435" s="1747" t="s">
        <v>1445</v>
      </c>
      <c r="N435" s="1747" t="s">
        <v>1446</v>
      </c>
      <c r="O435" s="1747" t="s">
        <v>1447</v>
      </c>
      <c r="P435" s="1747" t="s">
        <v>1448</v>
      </c>
      <c r="Q435" s="1747" t="s">
        <v>1449</v>
      </c>
      <c r="R435" s="1747" t="s">
        <v>1450</v>
      </c>
      <c r="S435" s="1747" t="s">
        <v>1451</v>
      </c>
      <c r="T435" s="1747" t="s">
        <v>1452</v>
      </c>
      <c r="U435" s="1747" t="s">
        <v>1453</v>
      </c>
      <c r="V435" s="1747" t="s">
        <v>1454</v>
      </c>
      <c r="W435" s="1747" t="s">
        <v>1455</v>
      </c>
      <c r="X435" s="1747" t="s">
        <v>1456</v>
      </c>
      <c r="Y435" s="1747" t="s">
        <v>1457</v>
      </c>
      <c r="Z435" s="1747" t="s">
        <v>1458</v>
      </c>
      <c r="AA435" s="1747" t="s">
        <v>1466</v>
      </c>
      <c r="AB435" s="1747" t="s">
        <v>1467</v>
      </c>
    </row>
    <row r="436" spans="2:28" x14ac:dyDescent="0.25">
      <c r="B436" s="1765" t="s">
        <v>1461</v>
      </c>
      <c r="C436" s="1776">
        <v>0.05</v>
      </c>
      <c r="D436" s="1776">
        <v>0.05</v>
      </c>
      <c r="E436" s="1776">
        <v>0.05</v>
      </c>
      <c r="F436" s="1776">
        <v>0.05</v>
      </c>
      <c r="G436" s="1776">
        <v>0.05</v>
      </c>
      <c r="H436" s="1776">
        <v>0.05</v>
      </c>
      <c r="I436" s="1776">
        <v>0.05</v>
      </c>
      <c r="J436" s="1776">
        <v>0.4</v>
      </c>
      <c r="K436" s="1776">
        <v>0.7</v>
      </c>
      <c r="L436" s="1776">
        <v>0.9</v>
      </c>
      <c r="M436" s="1776">
        <v>0.9</v>
      </c>
      <c r="N436" s="1776">
        <v>0.9</v>
      </c>
      <c r="O436" s="1776">
        <v>0.8</v>
      </c>
      <c r="P436" s="1776">
        <v>0.9</v>
      </c>
      <c r="Q436" s="1776">
        <v>0.9</v>
      </c>
      <c r="R436" s="1776">
        <v>0.9</v>
      </c>
      <c r="S436" s="1776">
        <v>0.9</v>
      </c>
      <c r="T436" s="1776">
        <v>0.3</v>
      </c>
      <c r="U436" s="1776">
        <v>0.05</v>
      </c>
      <c r="V436" s="1776">
        <v>0.05</v>
      </c>
      <c r="W436" s="1776">
        <v>0.05</v>
      </c>
      <c r="X436" s="1776">
        <v>0.05</v>
      </c>
      <c r="Y436" s="1776">
        <v>0.05</v>
      </c>
      <c r="Z436" s="1776">
        <v>0.05</v>
      </c>
      <c r="AA436" s="1752">
        <f>SUM(C436:Z436)</f>
        <v>9.1500000000000057</v>
      </c>
      <c r="AB436" s="1753">
        <f>AA436*SUM($C$9:$C$13)</f>
        <v>2287.5000000000014</v>
      </c>
    </row>
    <row r="437" spans="2:28" x14ac:dyDescent="0.25">
      <c r="B437" s="1767" t="s">
        <v>1431</v>
      </c>
      <c r="C437" s="1777">
        <v>0.05</v>
      </c>
      <c r="D437" s="1777">
        <v>0.05</v>
      </c>
      <c r="E437" s="1777">
        <v>0.05</v>
      </c>
      <c r="F437" s="1777">
        <v>0.05</v>
      </c>
      <c r="G437" s="1777">
        <v>0.05</v>
      </c>
      <c r="H437" s="1777">
        <v>0.05</v>
      </c>
      <c r="I437" s="1777">
        <v>0.05</v>
      </c>
      <c r="J437" s="1777">
        <v>0.05</v>
      </c>
      <c r="K437" s="1777">
        <v>0.08</v>
      </c>
      <c r="L437" s="1777">
        <v>0.24</v>
      </c>
      <c r="M437" s="1777">
        <v>0.24</v>
      </c>
      <c r="N437" s="1777">
        <v>0.24</v>
      </c>
      <c r="O437" s="1777">
        <v>0.05</v>
      </c>
      <c r="P437" s="1777">
        <v>0.05</v>
      </c>
      <c r="Q437" s="1777">
        <v>0.05</v>
      </c>
      <c r="R437" s="1777">
        <v>0.05</v>
      </c>
      <c r="S437" s="1777">
        <v>0.05</v>
      </c>
      <c r="T437" s="1777">
        <v>0.05</v>
      </c>
      <c r="U437" s="1777">
        <v>0.05</v>
      </c>
      <c r="V437" s="1777">
        <v>0.05</v>
      </c>
      <c r="W437" s="1777">
        <v>0.05</v>
      </c>
      <c r="X437" s="1777">
        <v>0.05</v>
      </c>
      <c r="Y437" s="1777">
        <v>0.05</v>
      </c>
      <c r="Z437" s="1777">
        <v>0.05</v>
      </c>
      <c r="AA437" s="1756">
        <f>SUM(C437:Z437)</f>
        <v>1.8000000000000005</v>
      </c>
      <c r="AB437" s="1757">
        <f>AA437*SUM($C$14)</f>
        <v>93.600000000000023</v>
      </c>
    </row>
    <row r="438" spans="2:28" x14ac:dyDescent="0.25">
      <c r="B438" s="1767" t="s">
        <v>1432</v>
      </c>
      <c r="C438" s="1777">
        <v>0.05</v>
      </c>
      <c r="D438" s="1777">
        <v>0.05</v>
      </c>
      <c r="E438" s="1777">
        <v>0.05</v>
      </c>
      <c r="F438" s="1777">
        <v>0.05</v>
      </c>
      <c r="G438" s="1777">
        <v>0.05</v>
      </c>
      <c r="H438" s="1777">
        <v>0.05</v>
      </c>
      <c r="I438" s="1777">
        <v>0.05</v>
      </c>
      <c r="J438" s="1777">
        <v>0.05</v>
      </c>
      <c r="K438" s="1777">
        <v>0.05</v>
      </c>
      <c r="L438" s="1777">
        <v>0.05</v>
      </c>
      <c r="M438" s="1777">
        <v>0.05</v>
      </c>
      <c r="N438" s="1777">
        <v>0.05</v>
      </c>
      <c r="O438" s="1777">
        <v>0.05</v>
      </c>
      <c r="P438" s="1777">
        <v>0.05</v>
      </c>
      <c r="Q438" s="1777">
        <v>0.05</v>
      </c>
      <c r="R438" s="1777">
        <v>0.05</v>
      </c>
      <c r="S438" s="1777">
        <v>0.05</v>
      </c>
      <c r="T438" s="1777">
        <v>0.05</v>
      </c>
      <c r="U438" s="1777">
        <v>0.05</v>
      </c>
      <c r="V438" s="1777">
        <v>0.05</v>
      </c>
      <c r="W438" s="1777">
        <v>0.05</v>
      </c>
      <c r="X438" s="1777">
        <v>0.05</v>
      </c>
      <c r="Y438" s="1777">
        <v>0.05</v>
      </c>
      <c r="Z438" s="1777">
        <v>0.05</v>
      </c>
      <c r="AA438" s="1756">
        <f>SUM(C438:Z438)</f>
        <v>1.2000000000000004</v>
      </c>
      <c r="AB438" s="1757">
        <f>AA438*$C$15</f>
        <v>62.40000000000002</v>
      </c>
    </row>
    <row r="439" spans="2:28" x14ac:dyDescent="0.25">
      <c r="B439" s="1769" t="s">
        <v>1463</v>
      </c>
      <c r="C439" s="1778">
        <v>0.05</v>
      </c>
      <c r="D439" s="1778">
        <v>0.05</v>
      </c>
      <c r="E439" s="1778">
        <v>0.05</v>
      </c>
      <c r="F439" s="1778">
        <v>0.05</v>
      </c>
      <c r="G439" s="1778">
        <v>0.05</v>
      </c>
      <c r="H439" s="1778">
        <v>0.05</v>
      </c>
      <c r="I439" s="1778">
        <v>0.05</v>
      </c>
      <c r="J439" s="1778">
        <v>0.05</v>
      </c>
      <c r="K439" s="1778">
        <v>0.05</v>
      </c>
      <c r="L439" s="1778">
        <v>0.05</v>
      </c>
      <c r="M439" s="1778">
        <v>0.05</v>
      </c>
      <c r="N439" s="1778">
        <v>0.05</v>
      </c>
      <c r="O439" s="1778">
        <v>0.05</v>
      </c>
      <c r="P439" s="1778">
        <v>0.05</v>
      </c>
      <c r="Q439" s="1778">
        <v>0.05</v>
      </c>
      <c r="R439" s="1778">
        <v>0.05</v>
      </c>
      <c r="S439" s="1778">
        <v>0.05</v>
      </c>
      <c r="T439" s="1778">
        <v>0.05</v>
      </c>
      <c r="U439" s="1778">
        <v>0.05</v>
      </c>
      <c r="V439" s="1778">
        <v>0.05</v>
      </c>
      <c r="W439" s="1778">
        <v>0.05</v>
      </c>
      <c r="X439" s="1778">
        <v>0.05</v>
      </c>
      <c r="Y439" s="1778">
        <v>0.05</v>
      </c>
      <c r="Z439" s="1778">
        <v>0.05</v>
      </c>
      <c r="AA439" s="1760">
        <f>SUM(C439:Z439)</f>
        <v>1.2000000000000004</v>
      </c>
      <c r="AB439" s="1761">
        <f>AA439*SUM($C$8)</f>
        <v>13.200000000000005</v>
      </c>
    </row>
    <row r="440" spans="2:28" x14ac:dyDescent="0.25">
      <c r="B440" s="2500" t="s">
        <v>1468</v>
      </c>
      <c r="C440" s="2501"/>
      <c r="D440" s="2501"/>
      <c r="E440" s="2501"/>
      <c r="F440" s="2501"/>
      <c r="G440" s="2501"/>
      <c r="H440" s="2501"/>
      <c r="I440" s="2501"/>
      <c r="J440" s="2501"/>
      <c r="K440" s="2501"/>
      <c r="L440" s="2501"/>
      <c r="M440" s="2501"/>
      <c r="N440" s="2501"/>
      <c r="O440" s="2501"/>
      <c r="P440" s="2501"/>
      <c r="Q440" s="2501"/>
      <c r="R440" s="2501"/>
      <c r="S440" s="2501"/>
      <c r="T440" s="2501"/>
      <c r="U440" s="2501"/>
      <c r="V440" s="2501"/>
      <c r="W440" s="2501"/>
      <c r="X440" s="2501"/>
      <c r="Y440" s="2501"/>
      <c r="Z440" s="2501"/>
      <c r="AA440" s="2501"/>
      <c r="AB440" s="1749">
        <f>SUM(AB436:AB439)</f>
        <v>2456.7000000000012</v>
      </c>
    </row>
    <row r="441" spans="2:28" x14ac:dyDescent="0.25">
      <c r="B441" s="1715"/>
      <c r="C441" s="1715"/>
      <c r="D441" s="1715"/>
      <c r="E441" s="1715"/>
      <c r="F441" s="1715"/>
      <c r="G441" s="1715"/>
      <c r="H441" s="1715"/>
      <c r="I441" s="1715"/>
      <c r="J441" s="1715"/>
      <c r="K441" s="1715"/>
      <c r="L441" s="1715"/>
      <c r="M441" s="1715"/>
      <c r="N441" s="1715"/>
      <c r="O441" s="1715"/>
      <c r="P441" s="1715"/>
      <c r="Q441" s="1715"/>
      <c r="R441" s="1715"/>
      <c r="S441" s="1715"/>
      <c r="T441" s="1715"/>
      <c r="U441" s="1715"/>
      <c r="V441" s="1715"/>
      <c r="W441" s="1715"/>
      <c r="X441" s="1715"/>
      <c r="Y441" s="1715"/>
      <c r="Z441" s="1715"/>
      <c r="AA441" s="1715"/>
      <c r="AB441" s="1715"/>
    </row>
    <row r="442" spans="2:28" ht="15" customHeight="1" x14ac:dyDescent="0.25">
      <c r="B442" s="1715" t="s">
        <v>1434</v>
      </c>
      <c r="C442" s="2497" t="s">
        <v>1657</v>
      </c>
      <c r="D442" s="2498"/>
      <c r="E442" s="2498"/>
      <c r="F442" s="2498"/>
      <c r="G442" s="2498"/>
      <c r="H442" s="2498"/>
      <c r="I442" s="2498"/>
      <c r="J442" s="2498"/>
      <c r="K442" s="2498"/>
      <c r="L442" s="2498"/>
      <c r="M442" s="2498"/>
      <c r="N442" s="2498"/>
      <c r="O442" s="2498"/>
      <c r="P442" s="2498"/>
      <c r="Q442" s="2498"/>
      <c r="R442" s="2498"/>
      <c r="S442" s="2498"/>
      <c r="T442" s="2498"/>
      <c r="U442" s="2498"/>
      <c r="V442" s="2498"/>
      <c r="W442" s="2498"/>
      <c r="X442" s="2498"/>
      <c r="Y442" s="2498"/>
      <c r="Z442" s="2498"/>
      <c r="AA442" s="2498"/>
      <c r="AB442" s="2499"/>
    </row>
    <row r="443" spans="2:28" x14ac:dyDescent="0.25">
      <c r="B443" s="1715"/>
      <c r="C443" s="1715"/>
      <c r="D443" s="1715"/>
      <c r="E443" s="1715"/>
      <c r="F443" s="1715"/>
      <c r="G443" s="1715"/>
      <c r="H443" s="1715"/>
      <c r="I443" s="1715"/>
      <c r="J443" s="1715"/>
      <c r="K443" s="1715"/>
      <c r="L443" s="1715"/>
      <c r="M443" s="1715"/>
      <c r="N443" s="1715"/>
      <c r="O443" s="1715"/>
      <c r="P443" s="1715"/>
      <c r="Q443" s="1715"/>
      <c r="R443" s="1715"/>
      <c r="S443" s="1715"/>
      <c r="T443" s="1715"/>
      <c r="U443" s="1715"/>
      <c r="V443" s="1715"/>
      <c r="W443" s="1715"/>
      <c r="X443" s="1715"/>
      <c r="Y443" s="1715"/>
      <c r="Z443" s="1715"/>
      <c r="AA443" s="1715"/>
      <c r="AB443" s="1715"/>
    </row>
    <row r="444" spans="2:28" s="1748" customFormat="1" ht="21" customHeight="1" x14ac:dyDescent="0.25">
      <c r="B444" s="1747"/>
      <c r="C444" s="1746" t="s">
        <v>1435</v>
      </c>
      <c r="D444" s="1747" t="s">
        <v>1436</v>
      </c>
      <c r="E444" s="1747" t="s">
        <v>1437</v>
      </c>
      <c r="F444" s="1747" t="s">
        <v>1438</v>
      </c>
      <c r="G444" s="1747" t="s">
        <v>1439</v>
      </c>
      <c r="H444" s="1747" t="s">
        <v>1440</v>
      </c>
      <c r="I444" s="1747" t="s">
        <v>1441</v>
      </c>
      <c r="J444" s="1747" t="s">
        <v>1442</v>
      </c>
      <c r="K444" s="1747" t="s">
        <v>1443</v>
      </c>
      <c r="L444" s="1747" t="s">
        <v>1444</v>
      </c>
      <c r="M444" s="1747" t="s">
        <v>1445</v>
      </c>
      <c r="N444" s="1747" t="s">
        <v>1446</v>
      </c>
      <c r="O444" s="1747" t="s">
        <v>1447</v>
      </c>
      <c r="P444" s="1747" t="s">
        <v>1448</v>
      </c>
      <c r="Q444" s="1747" t="s">
        <v>1449</v>
      </c>
      <c r="R444" s="1747" t="s">
        <v>1450</v>
      </c>
      <c r="S444" s="1747" t="s">
        <v>1451</v>
      </c>
      <c r="T444" s="1747" t="s">
        <v>1452</v>
      </c>
      <c r="U444" s="1747" t="s">
        <v>1453</v>
      </c>
      <c r="V444" s="1747" t="s">
        <v>1454</v>
      </c>
      <c r="W444" s="1747" t="s">
        <v>1455</v>
      </c>
      <c r="X444" s="1747" t="s">
        <v>1456</v>
      </c>
      <c r="Y444" s="1747" t="s">
        <v>1457</v>
      </c>
      <c r="Z444" s="1747" t="s">
        <v>1458</v>
      </c>
      <c r="AA444" s="1747" t="s">
        <v>1466</v>
      </c>
      <c r="AB444" s="1747" t="s">
        <v>1467</v>
      </c>
    </row>
    <row r="445" spans="2:28" x14ac:dyDescent="0.25">
      <c r="B445" s="1765" t="s">
        <v>1461</v>
      </c>
      <c r="C445" s="1776">
        <v>0.02</v>
      </c>
      <c r="D445" s="1776">
        <v>0.02</v>
      </c>
      <c r="E445" s="1776">
        <v>0.02</v>
      </c>
      <c r="F445" s="1776">
        <v>0.02</v>
      </c>
      <c r="G445" s="1776">
        <v>0.05</v>
      </c>
      <c r="H445" s="1776">
        <v>7.0000000000000007E-2</v>
      </c>
      <c r="I445" s="1776">
        <v>7.0000000000000007E-2</v>
      </c>
      <c r="J445" s="1776">
        <v>0.1</v>
      </c>
      <c r="K445" s="1776">
        <v>0.3</v>
      </c>
      <c r="L445" s="1776">
        <v>0.36</v>
      </c>
      <c r="M445" s="1776">
        <v>0.36</v>
      </c>
      <c r="N445" s="1776">
        <v>0.46</v>
      </c>
      <c r="O445" s="1776">
        <v>0.56999999999999995</v>
      </c>
      <c r="P445" s="1776">
        <v>0.43</v>
      </c>
      <c r="Q445" s="1776">
        <v>0.38</v>
      </c>
      <c r="R445" s="1776">
        <v>0.4</v>
      </c>
      <c r="S445" s="1776">
        <v>0.3</v>
      </c>
      <c r="T445" s="1776">
        <v>0.18</v>
      </c>
      <c r="U445" s="1776">
        <v>0.03</v>
      </c>
      <c r="V445" s="1776">
        <v>0.03</v>
      </c>
      <c r="W445" s="1776">
        <v>0.03</v>
      </c>
      <c r="X445" s="1776">
        <v>0.03</v>
      </c>
      <c r="Y445" s="1776">
        <v>0.03</v>
      </c>
      <c r="Z445" s="1776">
        <v>0.03</v>
      </c>
      <c r="AA445" s="1752">
        <f>SUM(C445:Z445)</f>
        <v>4.2900000000000009</v>
      </c>
      <c r="AB445" s="1753">
        <f>AA445*SUM($C$9:$C$13)</f>
        <v>1072.5000000000002</v>
      </c>
    </row>
    <row r="446" spans="2:28" x14ac:dyDescent="0.25">
      <c r="B446" s="1767" t="s">
        <v>1431</v>
      </c>
      <c r="C446" s="1777">
        <v>0.02</v>
      </c>
      <c r="D446" s="1777">
        <v>0.02</v>
      </c>
      <c r="E446" s="1777">
        <v>0.02</v>
      </c>
      <c r="F446" s="1777">
        <v>0.02</v>
      </c>
      <c r="G446" s="1777">
        <v>0.02</v>
      </c>
      <c r="H446" s="1777">
        <v>0.02</v>
      </c>
      <c r="I446" s="1777">
        <v>0.02</v>
      </c>
      <c r="J446" s="1777">
        <v>0.02</v>
      </c>
      <c r="K446" s="1777">
        <v>0.06</v>
      </c>
      <c r="L446" s="1777">
        <v>0.12</v>
      </c>
      <c r="M446" s="1777">
        <v>0.12</v>
      </c>
      <c r="N446" s="1777">
        <v>0.17</v>
      </c>
      <c r="O446" s="1777">
        <v>0.04</v>
      </c>
      <c r="P446" s="1777">
        <v>0.04</v>
      </c>
      <c r="Q446" s="1777">
        <v>0.02</v>
      </c>
      <c r="R446" s="1777">
        <v>0.02</v>
      </c>
      <c r="S446" s="1777">
        <v>0.02</v>
      </c>
      <c r="T446" s="1777">
        <v>0.02</v>
      </c>
      <c r="U446" s="1777">
        <v>0.02</v>
      </c>
      <c r="V446" s="1777">
        <v>0.02</v>
      </c>
      <c r="W446" s="1777">
        <v>0.02</v>
      </c>
      <c r="X446" s="1777">
        <v>0.02</v>
      </c>
      <c r="Y446" s="1777">
        <v>0.02</v>
      </c>
      <c r="Z446" s="1777">
        <v>0.02</v>
      </c>
      <c r="AA446" s="1756">
        <f>SUM(C446:Z446)</f>
        <v>0.91000000000000025</v>
      </c>
      <c r="AB446" s="1757">
        <f>AA446*SUM($C$14)</f>
        <v>47.320000000000014</v>
      </c>
    </row>
    <row r="447" spans="2:28" x14ac:dyDescent="0.25">
      <c r="B447" s="1767" t="s">
        <v>1432</v>
      </c>
      <c r="C447" s="1777">
        <v>0.02</v>
      </c>
      <c r="D447" s="1777">
        <v>0.02</v>
      </c>
      <c r="E447" s="1777">
        <v>0.02</v>
      </c>
      <c r="F447" s="1777">
        <v>0.02</v>
      </c>
      <c r="G447" s="1777">
        <v>0.02</v>
      </c>
      <c r="H447" s="1777">
        <v>0.02</v>
      </c>
      <c r="I447" s="1777">
        <v>0.02</v>
      </c>
      <c r="J447" s="1777">
        <v>0.02</v>
      </c>
      <c r="K447" s="1777">
        <v>0.02</v>
      </c>
      <c r="L447" s="1777">
        <v>0.02</v>
      </c>
      <c r="M447" s="1777">
        <v>0.02</v>
      </c>
      <c r="N447" s="1777">
        <v>0.02</v>
      </c>
      <c r="O447" s="1777">
        <v>0.04</v>
      </c>
      <c r="P447" s="1777">
        <v>0.04</v>
      </c>
      <c r="Q447" s="1777">
        <v>0.02</v>
      </c>
      <c r="R447" s="1777">
        <v>0.02</v>
      </c>
      <c r="S447" s="1777">
        <v>0.02</v>
      </c>
      <c r="T447" s="1777">
        <v>0.02</v>
      </c>
      <c r="U447" s="1777">
        <v>0.02</v>
      </c>
      <c r="V447" s="1777">
        <v>0.02</v>
      </c>
      <c r="W447" s="1777">
        <v>0.02</v>
      </c>
      <c r="X447" s="1777">
        <v>0.02</v>
      </c>
      <c r="Y447" s="1777">
        <v>0.02</v>
      </c>
      <c r="Z447" s="1777">
        <v>0.02</v>
      </c>
      <c r="AA447" s="1756">
        <f>SUM(C447:Z447)</f>
        <v>0.52000000000000013</v>
      </c>
      <c r="AB447" s="1757">
        <f>AA447*$C$15</f>
        <v>27.040000000000006</v>
      </c>
    </row>
    <row r="448" spans="2:28" x14ac:dyDescent="0.25">
      <c r="B448" s="1769" t="s">
        <v>1463</v>
      </c>
      <c r="C448" s="1778">
        <v>0.02</v>
      </c>
      <c r="D448" s="1778">
        <v>0.02</v>
      </c>
      <c r="E448" s="1778">
        <v>0.02</v>
      </c>
      <c r="F448" s="1778">
        <v>0.02</v>
      </c>
      <c r="G448" s="1778">
        <v>0.02</v>
      </c>
      <c r="H448" s="1778">
        <v>0.02</v>
      </c>
      <c r="I448" s="1778">
        <v>0.02</v>
      </c>
      <c r="J448" s="1778">
        <v>0.02</v>
      </c>
      <c r="K448" s="1778">
        <v>0.02</v>
      </c>
      <c r="L448" s="1778">
        <v>0.02</v>
      </c>
      <c r="M448" s="1778">
        <v>0.02</v>
      </c>
      <c r="N448" s="1778">
        <v>0.02</v>
      </c>
      <c r="O448" s="1778">
        <v>0.04</v>
      </c>
      <c r="P448" s="1778">
        <v>0.04</v>
      </c>
      <c r="Q448" s="1778">
        <v>0.02</v>
      </c>
      <c r="R448" s="1778">
        <v>0.02</v>
      </c>
      <c r="S448" s="1778">
        <v>0.02</v>
      </c>
      <c r="T448" s="1778">
        <v>0.02</v>
      </c>
      <c r="U448" s="1778">
        <v>0.02</v>
      </c>
      <c r="V448" s="1778">
        <v>0.02</v>
      </c>
      <c r="W448" s="1778">
        <v>0.02</v>
      </c>
      <c r="X448" s="1778">
        <v>0.02</v>
      </c>
      <c r="Y448" s="1778">
        <v>0.02</v>
      </c>
      <c r="Z448" s="1778">
        <v>0.02</v>
      </c>
      <c r="AA448" s="1760">
        <f>SUM(C448:Z448)</f>
        <v>0.52000000000000013</v>
      </c>
      <c r="AB448" s="1761">
        <f>AA448*SUM($C$8)</f>
        <v>5.7200000000000015</v>
      </c>
    </row>
    <row r="449" spans="2:28" x14ac:dyDescent="0.25">
      <c r="B449" s="2500" t="s">
        <v>1468</v>
      </c>
      <c r="C449" s="2501"/>
      <c r="D449" s="2501"/>
      <c r="E449" s="2501"/>
      <c r="F449" s="2501"/>
      <c r="G449" s="2501"/>
      <c r="H449" s="2501"/>
      <c r="I449" s="2501"/>
      <c r="J449" s="2501"/>
      <c r="K449" s="2501"/>
      <c r="L449" s="2501"/>
      <c r="M449" s="2501"/>
      <c r="N449" s="2501"/>
      <c r="O449" s="2501"/>
      <c r="P449" s="2501"/>
      <c r="Q449" s="2501"/>
      <c r="R449" s="2501"/>
      <c r="S449" s="2501"/>
      <c r="T449" s="2501"/>
      <c r="U449" s="2501"/>
      <c r="V449" s="2501"/>
      <c r="W449" s="2501"/>
      <c r="X449" s="2501"/>
      <c r="Y449" s="2501"/>
      <c r="Z449" s="2501"/>
      <c r="AA449" s="2501"/>
      <c r="AB449" s="1749">
        <f>SUM(AB445:AB448)</f>
        <v>1152.5800000000002</v>
      </c>
    </row>
    <row r="450" spans="2:28" x14ac:dyDescent="0.25">
      <c r="B450" s="1715"/>
      <c r="C450" s="1715"/>
      <c r="D450" s="1715"/>
      <c r="E450" s="1715"/>
      <c r="F450" s="1715"/>
      <c r="G450" s="1715"/>
      <c r="H450" s="1715"/>
      <c r="I450" s="1715"/>
      <c r="J450" s="1715"/>
      <c r="K450" s="1715"/>
      <c r="L450" s="1715"/>
      <c r="M450" s="1715"/>
      <c r="N450" s="1715"/>
      <c r="O450" s="1715"/>
      <c r="P450" s="1715"/>
      <c r="Q450" s="1715"/>
      <c r="R450" s="1715"/>
      <c r="S450" s="1715"/>
      <c r="T450" s="1715"/>
      <c r="U450" s="1715"/>
      <c r="V450" s="1715"/>
      <c r="W450" s="1715"/>
      <c r="X450" s="1715"/>
      <c r="Y450" s="1715"/>
      <c r="Z450" s="1715"/>
      <c r="AA450" s="1715"/>
      <c r="AB450" s="1715"/>
    </row>
    <row r="451" spans="2:28" ht="15" customHeight="1" x14ac:dyDescent="0.25">
      <c r="B451" s="1715" t="s">
        <v>1434</v>
      </c>
      <c r="C451" s="2497" t="s">
        <v>1658</v>
      </c>
      <c r="D451" s="2498"/>
      <c r="E451" s="2498"/>
      <c r="F451" s="2498"/>
      <c r="G451" s="2498"/>
      <c r="H451" s="2498"/>
      <c r="I451" s="2498"/>
      <c r="J451" s="2498"/>
      <c r="K451" s="2498"/>
      <c r="L451" s="2498"/>
      <c r="M451" s="2498"/>
      <c r="N451" s="2498"/>
      <c r="O451" s="2498"/>
      <c r="P451" s="2498"/>
      <c r="Q451" s="2498"/>
      <c r="R451" s="2498"/>
      <c r="S451" s="2498"/>
      <c r="T451" s="2498"/>
      <c r="U451" s="2498"/>
      <c r="V451" s="2498"/>
      <c r="W451" s="2498"/>
      <c r="X451" s="2498"/>
      <c r="Y451" s="2498"/>
      <c r="Z451" s="2498"/>
      <c r="AA451" s="2498"/>
      <c r="AB451" s="2499"/>
    </row>
    <row r="452" spans="2:28" x14ac:dyDescent="0.25">
      <c r="B452" s="1715"/>
      <c r="C452" s="1715"/>
      <c r="D452" s="1715"/>
      <c r="E452" s="1715"/>
      <c r="F452" s="1715"/>
      <c r="G452" s="1715"/>
      <c r="H452" s="1715"/>
      <c r="I452" s="1715"/>
      <c r="J452" s="1715"/>
      <c r="K452" s="1715"/>
      <c r="L452" s="1715"/>
      <c r="M452" s="1715"/>
      <c r="N452" s="1715"/>
      <c r="O452" s="1715"/>
      <c r="P452" s="1715"/>
      <c r="Q452" s="1715"/>
      <c r="R452" s="1715"/>
      <c r="S452" s="1715"/>
      <c r="T452" s="1715"/>
      <c r="U452" s="1715"/>
      <c r="V452" s="1715"/>
      <c r="W452" s="1715"/>
      <c r="X452" s="1715"/>
      <c r="Y452" s="1715"/>
      <c r="Z452" s="1715"/>
      <c r="AA452" s="1715"/>
      <c r="AB452" s="1715"/>
    </row>
    <row r="453" spans="2:28" s="1748" customFormat="1" ht="21" customHeight="1" x14ac:dyDescent="0.25">
      <c r="B453" s="1747"/>
      <c r="C453" s="1746" t="s">
        <v>1435</v>
      </c>
      <c r="D453" s="1747" t="s">
        <v>1436</v>
      </c>
      <c r="E453" s="1747" t="s">
        <v>1437</v>
      </c>
      <c r="F453" s="1747" t="s">
        <v>1438</v>
      </c>
      <c r="G453" s="1747" t="s">
        <v>1439</v>
      </c>
      <c r="H453" s="1747" t="s">
        <v>1440</v>
      </c>
      <c r="I453" s="1747" t="s">
        <v>1441</v>
      </c>
      <c r="J453" s="1747" t="s">
        <v>1442</v>
      </c>
      <c r="K453" s="1747" t="s">
        <v>1443</v>
      </c>
      <c r="L453" s="1747" t="s">
        <v>1444</v>
      </c>
      <c r="M453" s="1747" t="s">
        <v>1445</v>
      </c>
      <c r="N453" s="1747" t="s">
        <v>1446</v>
      </c>
      <c r="O453" s="1747" t="s">
        <v>1447</v>
      </c>
      <c r="P453" s="1747" t="s">
        <v>1448</v>
      </c>
      <c r="Q453" s="1747" t="s">
        <v>1449</v>
      </c>
      <c r="R453" s="1747" t="s">
        <v>1450</v>
      </c>
      <c r="S453" s="1747" t="s">
        <v>1451</v>
      </c>
      <c r="T453" s="1747" t="s">
        <v>1452</v>
      </c>
      <c r="U453" s="1747" t="s">
        <v>1453</v>
      </c>
      <c r="V453" s="1747" t="s">
        <v>1454</v>
      </c>
      <c r="W453" s="1747" t="s">
        <v>1455</v>
      </c>
      <c r="X453" s="1747" t="s">
        <v>1456</v>
      </c>
      <c r="Y453" s="1747" t="s">
        <v>1457</v>
      </c>
      <c r="Z453" s="1747" t="s">
        <v>1458</v>
      </c>
      <c r="AA453" s="1747" t="s">
        <v>1466</v>
      </c>
      <c r="AB453" s="1747" t="s">
        <v>1467</v>
      </c>
    </row>
    <row r="454" spans="2:28" x14ac:dyDescent="0.25">
      <c r="B454" s="1765" t="s">
        <v>1461</v>
      </c>
      <c r="C454" s="1776">
        <v>0</v>
      </c>
      <c r="D454" s="1776">
        <v>0</v>
      </c>
      <c r="E454" s="1776">
        <v>0</v>
      </c>
      <c r="F454" s="1776">
        <v>0</v>
      </c>
      <c r="G454" s="1776">
        <v>0</v>
      </c>
      <c r="H454" s="1776">
        <v>0</v>
      </c>
      <c r="I454" s="1776">
        <v>0</v>
      </c>
      <c r="J454" s="1776">
        <v>0</v>
      </c>
      <c r="K454" s="1776">
        <v>0</v>
      </c>
      <c r="L454" s="1776">
        <v>0</v>
      </c>
      <c r="M454" s="1776">
        <v>0.3</v>
      </c>
      <c r="N454" s="1776">
        <v>0</v>
      </c>
      <c r="O454" s="1776">
        <v>0</v>
      </c>
      <c r="P454" s="1776">
        <v>0</v>
      </c>
      <c r="Q454" s="1776">
        <v>0</v>
      </c>
      <c r="R454" s="1776">
        <v>0.4</v>
      </c>
      <c r="S454" s="1776">
        <v>0</v>
      </c>
      <c r="T454" s="1776">
        <v>0</v>
      </c>
      <c r="U454" s="1776">
        <v>0</v>
      </c>
      <c r="V454" s="1776">
        <v>0</v>
      </c>
      <c r="W454" s="1776">
        <v>0</v>
      </c>
      <c r="X454" s="1776">
        <v>0</v>
      </c>
      <c r="Y454" s="1776">
        <v>0</v>
      </c>
      <c r="Z454" s="1776">
        <v>0</v>
      </c>
      <c r="AA454" s="1752">
        <f>SUM(C454:Z454)</f>
        <v>0.7</v>
      </c>
      <c r="AB454" s="1753">
        <f>AA454*SUM($C$9:$C$13)</f>
        <v>175</v>
      </c>
    </row>
    <row r="455" spans="2:28" x14ac:dyDescent="0.25">
      <c r="B455" s="1767" t="s">
        <v>1431</v>
      </c>
      <c r="C455" s="1777">
        <v>0</v>
      </c>
      <c r="D455" s="1777">
        <v>0</v>
      </c>
      <c r="E455" s="1777">
        <v>0</v>
      </c>
      <c r="F455" s="1777">
        <v>0</v>
      </c>
      <c r="G455" s="1777">
        <v>0</v>
      </c>
      <c r="H455" s="1777">
        <v>0</v>
      </c>
      <c r="I455" s="1777">
        <v>0</v>
      </c>
      <c r="J455" s="1777">
        <v>0</v>
      </c>
      <c r="K455" s="1777">
        <v>0</v>
      </c>
      <c r="L455" s="1777">
        <v>0</v>
      </c>
      <c r="M455" s="1777">
        <v>0</v>
      </c>
      <c r="N455" s="1777">
        <v>0</v>
      </c>
      <c r="O455" s="1777">
        <v>0</v>
      </c>
      <c r="P455" s="1777">
        <v>0</v>
      </c>
      <c r="Q455" s="1777">
        <v>0</v>
      </c>
      <c r="R455" s="1777">
        <v>0</v>
      </c>
      <c r="S455" s="1777">
        <v>0</v>
      </c>
      <c r="T455" s="1777">
        <v>0</v>
      </c>
      <c r="U455" s="1777">
        <v>0</v>
      </c>
      <c r="V455" s="1777">
        <v>0</v>
      </c>
      <c r="W455" s="1777">
        <v>0</v>
      </c>
      <c r="X455" s="1777">
        <v>0</v>
      </c>
      <c r="Y455" s="1777">
        <v>0</v>
      </c>
      <c r="Z455" s="1777">
        <v>0</v>
      </c>
      <c r="AA455" s="1756">
        <f>SUM(C455:Z455)</f>
        <v>0</v>
      </c>
      <c r="AB455" s="1757">
        <f>AA455*SUM($C$14)</f>
        <v>0</v>
      </c>
    </row>
    <row r="456" spans="2:28" x14ac:dyDescent="0.25">
      <c r="B456" s="1767" t="s">
        <v>1432</v>
      </c>
      <c r="C456" s="1777">
        <v>0</v>
      </c>
      <c r="D456" s="1777">
        <v>0</v>
      </c>
      <c r="E456" s="1777">
        <v>0</v>
      </c>
      <c r="F456" s="1777">
        <v>0</v>
      </c>
      <c r="G456" s="1777">
        <v>0</v>
      </c>
      <c r="H456" s="1777">
        <v>0</v>
      </c>
      <c r="I456" s="1777">
        <v>0</v>
      </c>
      <c r="J456" s="1777">
        <v>0</v>
      </c>
      <c r="K456" s="1777">
        <v>0</v>
      </c>
      <c r="L456" s="1777">
        <v>0</v>
      </c>
      <c r="M456" s="1777">
        <v>0</v>
      </c>
      <c r="N456" s="1777">
        <v>0</v>
      </c>
      <c r="O456" s="1777">
        <v>0</v>
      </c>
      <c r="P456" s="1777">
        <v>0</v>
      </c>
      <c r="Q456" s="1777">
        <v>0</v>
      </c>
      <c r="R456" s="1777">
        <v>0</v>
      </c>
      <c r="S456" s="1777">
        <v>0</v>
      </c>
      <c r="T456" s="1777">
        <v>0</v>
      </c>
      <c r="U456" s="1777">
        <v>0</v>
      </c>
      <c r="V456" s="1777">
        <v>0</v>
      </c>
      <c r="W456" s="1777">
        <v>0</v>
      </c>
      <c r="X456" s="1777">
        <v>0</v>
      </c>
      <c r="Y456" s="1777">
        <v>0</v>
      </c>
      <c r="Z456" s="1777">
        <v>0</v>
      </c>
      <c r="AA456" s="1756">
        <f>SUM(C456:Z456)</f>
        <v>0</v>
      </c>
      <c r="AB456" s="1757">
        <f>AA456*$C$15</f>
        <v>0</v>
      </c>
    </row>
    <row r="457" spans="2:28" x14ac:dyDescent="0.25">
      <c r="B457" s="1769" t="s">
        <v>1463</v>
      </c>
      <c r="C457" s="1778">
        <v>0</v>
      </c>
      <c r="D457" s="1778">
        <v>0</v>
      </c>
      <c r="E457" s="1778">
        <v>0</v>
      </c>
      <c r="F457" s="1778">
        <v>0</v>
      </c>
      <c r="G457" s="1778">
        <v>0</v>
      </c>
      <c r="H457" s="1778">
        <v>0</v>
      </c>
      <c r="I457" s="1778">
        <v>0</v>
      </c>
      <c r="J457" s="1778">
        <v>0</v>
      </c>
      <c r="K457" s="1778">
        <v>0</v>
      </c>
      <c r="L457" s="1778">
        <v>0</v>
      </c>
      <c r="M457" s="1778">
        <v>0</v>
      </c>
      <c r="N457" s="1778">
        <v>0</v>
      </c>
      <c r="O457" s="1778">
        <v>0</v>
      </c>
      <c r="P457" s="1778">
        <v>0</v>
      </c>
      <c r="Q457" s="1778">
        <v>0</v>
      </c>
      <c r="R457" s="1778">
        <v>0</v>
      </c>
      <c r="S457" s="1778">
        <v>0</v>
      </c>
      <c r="T457" s="1778">
        <v>0</v>
      </c>
      <c r="U457" s="1778">
        <v>0</v>
      </c>
      <c r="V457" s="1778">
        <v>0</v>
      </c>
      <c r="W457" s="1778">
        <v>0</v>
      </c>
      <c r="X457" s="1778">
        <v>0</v>
      </c>
      <c r="Y457" s="1778">
        <v>0</v>
      </c>
      <c r="Z457" s="1778">
        <v>0</v>
      </c>
      <c r="AA457" s="1760">
        <f>SUM(C457:Z457)</f>
        <v>0</v>
      </c>
      <c r="AB457" s="1761">
        <f>AA457*SUM($C$8)</f>
        <v>0</v>
      </c>
    </row>
    <row r="458" spans="2:28" x14ac:dyDescent="0.25">
      <c r="B458" s="2500" t="s">
        <v>1468</v>
      </c>
      <c r="C458" s="2501"/>
      <c r="D458" s="2501"/>
      <c r="E458" s="2501"/>
      <c r="F458" s="2501"/>
      <c r="G458" s="2501"/>
      <c r="H458" s="2501"/>
      <c r="I458" s="2501"/>
      <c r="J458" s="2501"/>
      <c r="K458" s="2501"/>
      <c r="L458" s="2501"/>
      <c r="M458" s="2501"/>
      <c r="N458" s="2501"/>
      <c r="O458" s="2501"/>
      <c r="P458" s="2501"/>
      <c r="Q458" s="2501"/>
      <c r="R458" s="2501"/>
      <c r="S458" s="2501"/>
      <c r="T458" s="2501"/>
      <c r="U458" s="2501"/>
      <c r="V458" s="2501"/>
      <c r="W458" s="2501"/>
      <c r="X458" s="2501"/>
      <c r="Y458" s="2501"/>
      <c r="Z458" s="2501"/>
      <c r="AA458" s="2501"/>
      <c r="AB458" s="1749">
        <f>SUM(AB454:AB457)</f>
        <v>175</v>
      </c>
    </row>
    <row r="459" spans="2:28" x14ac:dyDescent="0.25">
      <c r="B459" s="1715"/>
      <c r="C459" s="1715"/>
      <c r="D459" s="1715"/>
      <c r="E459" s="1715"/>
      <c r="F459" s="1715"/>
      <c r="G459" s="1715"/>
      <c r="H459" s="1715"/>
      <c r="I459" s="1715"/>
      <c r="J459" s="1715"/>
      <c r="K459" s="1715"/>
      <c r="L459" s="1715"/>
      <c r="M459" s="1715"/>
      <c r="N459" s="1715"/>
      <c r="O459" s="1715"/>
      <c r="P459" s="1715"/>
      <c r="Q459" s="1715"/>
      <c r="R459" s="1715"/>
      <c r="S459" s="1715"/>
      <c r="T459" s="1715"/>
      <c r="U459" s="1715"/>
      <c r="V459" s="1715"/>
      <c r="W459" s="1715"/>
      <c r="X459" s="1715"/>
      <c r="Y459" s="1715"/>
      <c r="Z459" s="1715"/>
      <c r="AA459" s="1715"/>
      <c r="AB459" s="1715"/>
    </row>
    <row r="460" spans="2:28" x14ac:dyDescent="0.25">
      <c r="B460" s="1726" t="s">
        <v>1659</v>
      </c>
      <c r="C460" s="1715"/>
      <c r="D460" s="1715"/>
      <c r="E460" s="1715"/>
      <c r="F460" s="1715"/>
      <c r="G460" s="1715"/>
      <c r="H460" s="1715"/>
      <c r="I460" s="1715"/>
      <c r="J460" s="1715"/>
      <c r="K460" s="1715"/>
      <c r="L460" s="1715"/>
      <c r="M460" s="1715"/>
      <c r="N460" s="1715"/>
      <c r="O460" s="1715"/>
      <c r="P460" s="1715"/>
      <c r="Q460" s="1715"/>
      <c r="R460" s="1715"/>
      <c r="S460" s="1715"/>
      <c r="T460" s="1715"/>
      <c r="U460" s="1715"/>
      <c r="V460" s="1715"/>
      <c r="W460" s="1715"/>
      <c r="X460" s="1715"/>
      <c r="Y460" s="1715"/>
      <c r="Z460" s="1715"/>
      <c r="AA460" s="1715"/>
      <c r="AB460" s="1715"/>
    </row>
    <row r="461" spans="2:28" x14ac:dyDescent="0.25">
      <c r="B461" s="1715"/>
      <c r="C461" s="1715"/>
      <c r="D461" s="1715"/>
      <c r="E461" s="1715"/>
      <c r="F461" s="1715"/>
      <c r="G461" s="1715"/>
      <c r="H461" s="1715"/>
      <c r="I461" s="1715"/>
      <c r="J461" s="1715"/>
      <c r="K461" s="1715"/>
      <c r="L461" s="1715"/>
      <c r="M461" s="1715"/>
      <c r="N461" s="1715"/>
      <c r="O461" s="1715"/>
      <c r="P461" s="1715"/>
      <c r="Q461" s="1715"/>
      <c r="R461" s="1715"/>
      <c r="S461" s="1715"/>
      <c r="T461" s="1715"/>
      <c r="U461" s="1715"/>
      <c r="V461" s="1715"/>
      <c r="W461" s="1715"/>
      <c r="X461" s="1715"/>
      <c r="Y461" s="1715"/>
      <c r="Z461" s="1715"/>
      <c r="AA461" s="1715"/>
      <c r="AB461" s="1715"/>
    </row>
    <row r="462" spans="2:28" ht="15" customHeight="1" x14ac:dyDescent="0.25">
      <c r="B462" s="1715" t="s">
        <v>1434</v>
      </c>
      <c r="C462" s="2497" t="s">
        <v>1660</v>
      </c>
      <c r="D462" s="2498"/>
      <c r="E462" s="2498"/>
      <c r="F462" s="2498"/>
      <c r="G462" s="2498"/>
      <c r="H462" s="2498"/>
      <c r="I462" s="2498"/>
      <c r="J462" s="2498"/>
      <c r="K462" s="2498"/>
      <c r="L462" s="2498"/>
      <c r="M462" s="2498"/>
      <c r="N462" s="2498"/>
      <c r="O462" s="2498"/>
      <c r="P462" s="2498"/>
      <c r="Q462" s="2498"/>
      <c r="R462" s="2498"/>
      <c r="S462" s="2498"/>
      <c r="T462" s="2498"/>
      <c r="U462" s="2498"/>
      <c r="V462" s="2498"/>
      <c r="W462" s="2498"/>
      <c r="X462" s="2498"/>
      <c r="Y462" s="2498"/>
      <c r="Z462" s="2498"/>
      <c r="AA462" s="2498"/>
      <c r="AB462" s="2499"/>
    </row>
    <row r="463" spans="2:28" x14ac:dyDescent="0.25">
      <c r="B463" s="1715"/>
      <c r="C463" s="1715"/>
      <c r="D463" s="1715"/>
      <c r="E463" s="1715"/>
      <c r="F463" s="1715"/>
      <c r="G463" s="1715"/>
      <c r="H463" s="1715"/>
      <c r="I463" s="1715"/>
      <c r="J463" s="1715"/>
      <c r="K463" s="1715"/>
      <c r="L463" s="1715"/>
      <c r="M463" s="1715"/>
      <c r="N463" s="1715"/>
      <c r="O463" s="1715"/>
      <c r="P463" s="1715"/>
      <c r="Q463" s="1715"/>
      <c r="R463" s="1715"/>
      <c r="S463" s="1715"/>
      <c r="T463" s="1715"/>
      <c r="U463" s="1715"/>
      <c r="V463" s="1715"/>
      <c r="W463" s="1715"/>
      <c r="X463" s="1715"/>
      <c r="Y463" s="1715"/>
      <c r="Z463" s="1715"/>
      <c r="AA463" s="1715"/>
      <c r="AB463" s="1715"/>
    </row>
    <row r="464" spans="2:28" s="1748" customFormat="1" ht="21" customHeight="1" x14ac:dyDescent="0.25">
      <c r="B464" s="1747"/>
      <c r="C464" s="1746" t="s">
        <v>1435</v>
      </c>
      <c r="D464" s="1747" t="s">
        <v>1436</v>
      </c>
      <c r="E464" s="1747" t="s">
        <v>1437</v>
      </c>
      <c r="F464" s="1747" t="s">
        <v>1438</v>
      </c>
      <c r="G464" s="1747" t="s">
        <v>1439</v>
      </c>
      <c r="H464" s="1747" t="s">
        <v>1440</v>
      </c>
      <c r="I464" s="1747" t="s">
        <v>1441</v>
      </c>
      <c r="J464" s="1747" t="s">
        <v>1442</v>
      </c>
      <c r="K464" s="1747" t="s">
        <v>1443</v>
      </c>
      <c r="L464" s="1747" t="s">
        <v>1444</v>
      </c>
      <c r="M464" s="1747" t="s">
        <v>1445</v>
      </c>
      <c r="N464" s="1747" t="s">
        <v>1446</v>
      </c>
      <c r="O464" s="1747" t="s">
        <v>1447</v>
      </c>
      <c r="P464" s="1747" t="s">
        <v>1448</v>
      </c>
      <c r="Q464" s="1747" t="s">
        <v>1449</v>
      </c>
      <c r="R464" s="1747" t="s">
        <v>1450</v>
      </c>
      <c r="S464" s="1747" t="s">
        <v>1451</v>
      </c>
      <c r="T464" s="1747" t="s">
        <v>1452</v>
      </c>
      <c r="U464" s="1747" t="s">
        <v>1453</v>
      </c>
      <c r="V464" s="1747" t="s">
        <v>1454</v>
      </c>
      <c r="W464" s="1747" t="s">
        <v>1455</v>
      </c>
      <c r="X464" s="1747" t="s">
        <v>1456</v>
      </c>
      <c r="Y464" s="1747" t="s">
        <v>1457</v>
      </c>
      <c r="Z464" s="1747" t="s">
        <v>1458</v>
      </c>
      <c r="AA464" s="1747" t="s">
        <v>1459</v>
      </c>
      <c r="AB464" s="1747" t="s">
        <v>1460</v>
      </c>
    </row>
    <row r="465" spans="2:28" x14ac:dyDescent="0.25">
      <c r="B465" s="1765" t="s">
        <v>1461</v>
      </c>
      <c r="C465" s="1779">
        <v>0</v>
      </c>
      <c r="D465" s="1779">
        <v>0</v>
      </c>
      <c r="E465" s="1779">
        <v>0</v>
      </c>
      <c r="F465" s="1779">
        <v>0</v>
      </c>
      <c r="G465" s="1779">
        <v>0</v>
      </c>
      <c r="H465" s="1779">
        <v>1</v>
      </c>
      <c r="I465" s="1779">
        <v>1</v>
      </c>
      <c r="J465" s="1779">
        <v>1</v>
      </c>
      <c r="K465" s="1779">
        <v>1</v>
      </c>
      <c r="L465" s="1779">
        <v>1</v>
      </c>
      <c r="M465" s="1779">
        <v>1</v>
      </c>
      <c r="N465" s="1779">
        <v>1</v>
      </c>
      <c r="O465" s="1779">
        <v>1</v>
      </c>
      <c r="P465" s="1779">
        <v>1</v>
      </c>
      <c r="Q465" s="1779">
        <v>1</v>
      </c>
      <c r="R465" s="1779">
        <v>1</v>
      </c>
      <c r="S465" s="1779">
        <v>1</v>
      </c>
      <c r="T465" s="1779">
        <v>1</v>
      </c>
      <c r="U465" s="1779">
        <v>1</v>
      </c>
      <c r="V465" s="1779">
        <v>1</v>
      </c>
      <c r="W465" s="1779">
        <v>1</v>
      </c>
      <c r="X465" s="1779">
        <v>1</v>
      </c>
      <c r="Y465" s="1779">
        <v>1</v>
      </c>
      <c r="Z465" s="1779">
        <v>0</v>
      </c>
      <c r="AA465" s="1752">
        <f>SUM(C465:Z465)</f>
        <v>18</v>
      </c>
      <c r="AB465" s="1753">
        <f>AA465*SUM($C$9:$C$13)</f>
        <v>4500</v>
      </c>
    </row>
    <row r="466" spans="2:28" x14ac:dyDescent="0.25">
      <c r="B466" s="1767" t="s">
        <v>1431</v>
      </c>
      <c r="C466" s="1780">
        <v>0</v>
      </c>
      <c r="D466" s="1780">
        <v>0</v>
      </c>
      <c r="E466" s="1780">
        <v>0</v>
      </c>
      <c r="F466" s="1780">
        <v>0</v>
      </c>
      <c r="G466" s="1780">
        <v>0</v>
      </c>
      <c r="H466" s="1780">
        <v>0</v>
      </c>
      <c r="I466" s="1780">
        <v>1</v>
      </c>
      <c r="J466" s="1780">
        <v>1</v>
      </c>
      <c r="K466" s="1780">
        <v>1</v>
      </c>
      <c r="L466" s="1780">
        <v>1</v>
      </c>
      <c r="M466" s="1780">
        <v>1</v>
      </c>
      <c r="N466" s="1780">
        <v>1</v>
      </c>
      <c r="O466" s="1780">
        <v>1</v>
      </c>
      <c r="P466" s="1780">
        <v>1</v>
      </c>
      <c r="Q466" s="1780">
        <v>1</v>
      </c>
      <c r="R466" s="1780">
        <v>1</v>
      </c>
      <c r="S466" s="1780">
        <v>1</v>
      </c>
      <c r="T466" s="1780">
        <v>1</v>
      </c>
      <c r="U466" s="1780">
        <v>1</v>
      </c>
      <c r="V466" s="1780">
        <v>1</v>
      </c>
      <c r="W466" s="1780">
        <v>1</v>
      </c>
      <c r="X466" s="1780">
        <v>1</v>
      </c>
      <c r="Y466" s="1780">
        <v>1</v>
      </c>
      <c r="Z466" s="1780">
        <v>0</v>
      </c>
      <c r="AA466" s="1756">
        <f>SUM(C466:Z466)</f>
        <v>17</v>
      </c>
      <c r="AB466" s="1757">
        <f>AA466*SUM($C$14)</f>
        <v>884</v>
      </c>
    </row>
    <row r="467" spans="2:28" x14ac:dyDescent="0.25">
      <c r="B467" s="1767" t="s">
        <v>1432</v>
      </c>
      <c r="C467" s="1780">
        <v>0</v>
      </c>
      <c r="D467" s="1780">
        <v>0</v>
      </c>
      <c r="E467" s="1780">
        <v>0</v>
      </c>
      <c r="F467" s="1780">
        <v>0</v>
      </c>
      <c r="G467" s="1780">
        <v>0</v>
      </c>
      <c r="H467" s="1780">
        <v>0</v>
      </c>
      <c r="I467" s="1780">
        <v>1</v>
      </c>
      <c r="J467" s="1780">
        <v>1</v>
      </c>
      <c r="K467" s="1780">
        <v>1</v>
      </c>
      <c r="L467" s="1780">
        <v>1</v>
      </c>
      <c r="M467" s="1780">
        <v>1</v>
      </c>
      <c r="N467" s="1780">
        <v>1</v>
      </c>
      <c r="O467" s="1780">
        <v>1</v>
      </c>
      <c r="P467" s="1780">
        <v>1</v>
      </c>
      <c r="Q467" s="1780">
        <v>1</v>
      </c>
      <c r="R467" s="1780">
        <v>1</v>
      </c>
      <c r="S467" s="1780">
        <v>1</v>
      </c>
      <c r="T467" s="1780">
        <v>1</v>
      </c>
      <c r="U467" s="1780">
        <v>1</v>
      </c>
      <c r="V467" s="1780">
        <v>1</v>
      </c>
      <c r="W467" s="1780">
        <v>1</v>
      </c>
      <c r="X467" s="1780">
        <v>1</v>
      </c>
      <c r="Y467" s="1780">
        <v>1</v>
      </c>
      <c r="Z467" s="1780">
        <v>0</v>
      </c>
      <c r="AA467" s="1756">
        <f>SUM(C467:Z467)</f>
        <v>17</v>
      </c>
      <c r="AB467" s="1757">
        <f>AA467*$C$15</f>
        <v>884</v>
      </c>
    </row>
    <row r="468" spans="2:28" x14ac:dyDescent="0.25">
      <c r="B468" s="1769" t="s">
        <v>1432</v>
      </c>
      <c r="C468" s="1781">
        <v>0</v>
      </c>
      <c r="D468" s="1781">
        <v>0</v>
      </c>
      <c r="E468" s="1781">
        <v>0</v>
      </c>
      <c r="F468" s="1781">
        <v>0</v>
      </c>
      <c r="G468" s="1781">
        <v>0</v>
      </c>
      <c r="H468" s="1781">
        <v>0</v>
      </c>
      <c r="I468" s="1781">
        <v>1</v>
      </c>
      <c r="J468" s="1781">
        <v>1</v>
      </c>
      <c r="K468" s="1781">
        <v>1</v>
      </c>
      <c r="L468" s="1781">
        <v>1</v>
      </c>
      <c r="M468" s="1781">
        <v>1</v>
      </c>
      <c r="N468" s="1781">
        <v>1</v>
      </c>
      <c r="O468" s="1781">
        <v>1</v>
      </c>
      <c r="P468" s="1781">
        <v>1</v>
      </c>
      <c r="Q468" s="1781">
        <v>1</v>
      </c>
      <c r="R468" s="1781">
        <v>1</v>
      </c>
      <c r="S468" s="1781">
        <v>1</v>
      </c>
      <c r="T468" s="1781">
        <v>1</v>
      </c>
      <c r="U468" s="1781">
        <v>1</v>
      </c>
      <c r="V468" s="1781">
        <v>1</v>
      </c>
      <c r="W468" s="1781">
        <v>1</v>
      </c>
      <c r="X468" s="1781">
        <v>1</v>
      </c>
      <c r="Y468" s="1781">
        <v>1</v>
      </c>
      <c r="Z468" s="1781">
        <v>0</v>
      </c>
      <c r="AA468" s="1760">
        <f>SUM(C468:Z468)</f>
        <v>17</v>
      </c>
      <c r="AB468" s="1761">
        <f>AA468*SUM($C$8)</f>
        <v>187</v>
      </c>
    </row>
    <row r="469" spans="2:28" x14ac:dyDescent="0.25">
      <c r="B469" s="2500" t="s">
        <v>1464</v>
      </c>
      <c r="C469" s="2501"/>
      <c r="D469" s="2501"/>
      <c r="E469" s="2501"/>
      <c r="F469" s="2501"/>
      <c r="G469" s="2501"/>
      <c r="H469" s="2501"/>
      <c r="I469" s="2501"/>
      <c r="J469" s="2501"/>
      <c r="K469" s="2501"/>
      <c r="L469" s="2501"/>
      <c r="M469" s="2501"/>
      <c r="N469" s="2501"/>
      <c r="O469" s="2501"/>
      <c r="P469" s="2501"/>
      <c r="Q469" s="2501"/>
      <c r="R469" s="2501"/>
      <c r="S469" s="2501"/>
      <c r="T469" s="2501"/>
      <c r="U469" s="2501"/>
      <c r="V469" s="2501"/>
      <c r="W469" s="2501"/>
      <c r="X469" s="2501"/>
      <c r="Y469" s="2501"/>
      <c r="Z469" s="2501"/>
      <c r="AA469" s="2501"/>
      <c r="AB469" s="1749">
        <f>SUM(AB465:AB468)</f>
        <v>6455</v>
      </c>
    </row>
    <row r="470" spans="2:28" x14ac:dyDescent="0.25">
      <c r="B470" s="1715"/>
      <c r="C470" s="1715"/>
      <c r="D470" s="1715"/>
      <c r="E470" s="1715"/>
      <c r="F470" s="1715"/>
      <c r="G470" s="1715"/>
      <c r="H470" s="1715"/>
      <c r="I470" s="1715"/>
      <c r="J470" s="1715"/>
      <c r="K470" s="1715"/>
      <c r="L470" s="1715"/>
      <c r="M470" s="1715"/>
      <c r="N470" s="1715"/>
      <c r="O470" s="1715"/>
      <c r="P470" s="1715"/>
      <c r="Q470" s="1715"/>
      <c r="R470" s="1715"/>
      <c r="S470" s="1715"/>
      <c r="T470" s="1715"/>
      <c r="U470" s="1715"/>
      <c r="V470" s="1715"/>
      <c r="W470" s="1715"/>
      <c r="X470" s="1715"/>
      <c r="Y470" s="1715"/>
      <c r="Z470" s="1715"/>
      <c r="AA470" s="1715"/>
      <c r="AB470" s="1715"/>
    </row>
    <row r="471" spans="2:28" ht="15" customHeight="1" x14ac:dyDescent="0.25">
      <c r="B471" s="1715" t="s">
        <v>1434</v>
      </c>
      <c r="C471" s="2497" t="s">
        <v>1661</v>
      </c>
      <c r="D471" s="2498"/>
      <c r="E471" s="2498"/>
      <c r="F471" s="2498"/>
      <c r="G471" s="2498"/>
      <c r="H471" s="2498"/>
      <c r="I471" s="2498"/>
      <c r="J471" s="2498"/>
      <c r="K471" s="2498"/>
      <c r="L471" s="2498"/>
      <c r="M471" s="2498"/>
      <c r="N471" s="2498"/>
      <c r="O471" s="2498"/>
      <c r="P471" s="2498"/>
      <c r="Q471" s="2498"/>
      <c r="R471" s="2498"/>
      <c r="S471" s="2498"/>
      <c r="T471" s="2498"/>
      <c r="U471" s="2498"/>
      <c r="V471" s="2498"/>
      <c r="W471" s="2498"/>
      <c r="X471" s="2498"/>
      <c r="Y471" s="2498"/>
      <c r="Z471" s="2498"/>
      <c r="AA471" s="2498"/>
      <c r="AB471" s="2499"/>
    </row>
    <row r="472" spans="2:28" x14ac:dyDescent="0.25">
      <c r="B472" s="1715"/>
      <c r="C472" s="1715"/>
      <c r="D472" s="1715"/>
      <c r="E472" s="1715"/>
      <c r="F472" s="1715"/>
      <c r="G472" s="1715"/>
      <c r="H472" s="1715"/>
      <c r="I472" s="1715"/>
      <c r="J472" s="1715"/>
      <c r="K472" s="1715"/>
      <c r="L472" s="1715"/>
      <c r="M472" s="1715"/>
      <c r="N472" s="1715"/>
      <c r="O472" s="1715"/>
      <c r="P472" s="1715"/>
      <c r="Q472" s="1715"/>
      <c r="R472" s="1715"/>
      <c r="S472" s="1715"/>
      <c r="T472" s="1715"/>
      <c r="U472" s="1715"/>
      <c r="V472" s="1715"/>
      <c r="W472" s="1715"/>
      <c r="X472" s="1715"/>
      <c r="Y472" s="1715"/>
      <c r="Z472" s="1715"/>
      <c r="AA472" s="1715"/>
      <c r="AB472" s="1715"/>
    </row>
    <row r="473" spans="2:28" s="1748" customFormat="1" ht="21" customHeight="1" x14ac:dyDescent="0.25">
      <c r="B473" s="1747"/>
      <c r="C473" s="1746" t="s">
        <v>1435</v>
      </c>
      <c r="D473" s="1747" t="s">
        <v>1436</v>
      </c>
      <c r="E473" s="1747" t="s">
        <v>1437</v>
      </c>
      <c r="F473" s="1747" t="s">
        <v>1438</v>
      </c>
      <c r="G473" s="1747" t="s">
        <v>1439</v>
      </c>
      <c r="H473" s="1747" t="s">
        <v>1440</v>
      </c>
      <c r="I473" s="1747" t="s">
        <v>1441</v>
      </c>
      <c r="J473" s="1747" t="s">
        <v>1442</v>
      </c>
      <c r="K473" s="1747" t="s">
        <v>1443</v>
      </c>
      <c r="L473" s="1747" t="s">
        <v>1444</v>
      </c>
      <c r="M473" s="1747" t="s">
        <v>1445</v>
      </c>
      <c r="N473" s="1747" t="s">
        <v>1446</v>
      </c>
      <c r="O473" s="1747" t="s">
        <v>1447</v>
      </c>
      <c r="P473" s="1747" t="s">
        <v>1448</v>
      </c>
      <c r="Q473" s="1747" t="s">
        <v>1449</v>
      </c>
      <c r="R473" s="1747" t="s">
        <v>1450</v>
      </c>
      <c r="S473" s="1747" t="s">
        <v>1451</v>
      </c>
      <c r="T473" s="1747" t="s">
        <v>1452</v>
      </c>
      <c r="U473" s="1747" t="s">
        <v>1453</v>
      </c>
      <c r="V473" s="1747" t="s">
        <v>1454</v>
      </c>
      <c r="W473" s="1747" t="s">
        <v>1455</v>
      </c>
      <c r="X473" s="1747" t="s">
        <v>1456</v>
      </c>
      <c r="Y473" s="1747" t="s">
        <v>1457</v>
      </c>
      <c r="Z473" s="1747" t="s">
        <v>1458</v>
      </c>
      <c r="AA473" s="1747" t="s">
        <v>1466</v>
      </c>
      <c r="AB473" s="1747" t="s">
        <v>1467</v>
      </c>
    </row>
    <row r="474" spans="2:28" x14ac:dyDescent="0.25">
      <c r="B474" s="1765" t="s">
        <v>1461</v>
      </c>
      <c r="C474" s="1776">
        <v>0</v>
      </c>
      <c r="D474" s="1776">
        <v>0</v>
      </c>
      <c r="E474" s="1776">
        <v>0</v>
      </c>
      <c r="F474" s="1776">
        <v>0</v>
      </c>
      <c r="G474" s="1776">
        <v>0</v>
      </c>
      <c r="H474" s="1776">
        <v>0</v>
      </c>
      <c r="I474" s="1776">
        <v>0</v>
      </c>
      <c r="J474" s="1776">
        <v>0</v>
      </c>
      <c r="K474" s="1776">
        <v>0.2</v>
      </c>
      <c r="L474" s="1776">
        <v>0.2</v>
      </c>
      <c r="M474" s="1776">
        <v>0.2</v>
      </c>
      <c r="N474" s="1776">
        <v>0.8</v>
      </c>
      <c r="O474" s="1776">
        <v>0.8</v>
      </c>
      <c r="P474" s="1776">
        <v>0.8</v>
      </c>
      <c r="Q474" s="1776">
        <v>0.8</v>
      </c>
      <c r="R474" s="1776">
        <v>0.8</v>
      </c>
      <c r="S474" s="1776">
        <v>0.8</v>
      </c>
      <c r="T474" s="1776">
        <v>0.8</v>
      </c>
      <c r="U474" s="1776">
        <v>0.2</v>
      </c>
      <c r="V474" s="1776">
        <v>0.2</v>
      </c>
      <c r="W474" s="1776">
        <v>0.2</v>
      </c>
      <c r="X474" s="1776">
        <v>0.2</v>
      </c>
      <c r="Y474" s="1776">
        <v>0.1</v>
      </c>
      <c r="Z474" s="1776">
        <v>0</v>
      </c>
      <c r="AA474" s="1752">
        <f>SUM(C474:Z474)</f>
        <v>7.1</v>
      </c>
      <c r="AB474" s="1753">
        <f>AA474*SUM($C$9:$C$13)</f>
        <v>1775</v>
      </c>
    </row>
    <row r="475" spans="2:28" x14ac:dyDescent="0.25">
      <c r="B475" s="1767" t="s">
        <v>1431</v>
      </c>
      <c r="C475" s="1777">
        <v>0</v>
      </c>
      <c r="D475" s="1777">
        <v>0</v>
      </c>
      <c r="E475" s="1777">
        <v>0</v>
      </c>
      <c r="F475" s="1777">
        <v>0</v>
      </c>
      <c r="G475" s="1777">
        <v>0</v>
      </c>
      <c r="H475" s="1777">
        <v>0</v>
      </c>
      <c r="I475" s="1777">
        <v>0</v>
      </c>
      <c r="J475" s="1777">
        <v>0</v>
      </c>
      <c r="K475" s="1777">
        <v>0.2</v>
      </c>
      <c r="L475" s="1777">
        <v>0.2</v>
      </c>
      <c r="M475" s="1777">
        <v>0.2</v>
      </c>
      <c r="N475" s="1777">
        <v>0.6</v>
      </c>
      <c r="O475" s="1777">
        <v>0.6</v>
      </c>
      <c r="P475" s="1777">
        <v>0.6</v>
      </c>
      <c r="Q475" s="1777">
        <v>0.6</v>
      </c>
      <c r="R475" s="1777">
        <v>0.6</v>
      </c>
      <c r="S475" s="1777">
        <v>0.6</v>
      </c>
      <c r="T475" s="1777">
        <v>0.6</v>
      </c>
      <c r="U475" s="1777">
        <v>0.6</v>
      </c>
      <c r="V475" s="1777">
        <v>0.6</v>
      </c>
      <c r="W475" s="1777">
        <v>0.6</v>
      </c>
      <c r="X475" s="1777">
        <v>0.8</v>
      </c>
      <c r="Y475" s="1777">
        <v>0.1</v>
      </c>
      <c r="Z475" s="1777">
        <v>0</v>
      </c>
      <c r="AA475" s="1756">
        <f>SUM(C475:Z475)</f>
        <v>7.4999999999999982</v>
      </c>
      <c r="AB475" s="1757">
        <f>AA475*SUM($C$14)</f>
        <v>389.99999999999989</v>
      </c>
    </row>
    <row r="476" spans="2:28" x14ac:dyDescent="0.25">
      <c r="B476" s="1767" t="s">
        <v>1432</v>
      </c>
      <c r="C476" s="1777">
        <v>0</v>
      </c>
      <c r="D476" s="1777">
        <v>0</v>
      </c>
      <c r="E476" s="1777">
        <v>0</v>
      </c>
      <c r="F476" s="1777">
        <v>0</v>
      </c>
      <c r="G476" s="1777">
        <v>0</v>
      </c>
      <c r="H476" s="1777">
        <v>0</v>
      </c>
      <c r="I476" s="1777">
        <v>0</v>
      </c>
      <c r="J476" s="1777">
        <v>0</v>
      </c>
      <c r="K476" s="1777">
        <v>0.1</v>
      </c>
      <c r="L476" s="1777">
        <v>0.1</v>
      </c>
      <c r="M476" s="1777">
        <v>0.1</v>
      </c>
      <c r="N476" s="1777">
        <v>0.1</v>
      </c>
      <c r="O476" s="1777">
        <v>0.1</v>
      </c>
      <c r="P476" s="1777">
        <v>0.7</v>
      </c>
      <c r="Q476" s="1777">
        <v>0.7</v>
      </c>
      <c r="R476" s="1777">
        <v>0.7</v>
      </c>
      <c r="S476" s="1777">
        <v>0.7</v>
      </c>
      <c r="T476" s="1777">
        <v>0.7</v>
      </c>
      <c r="U476" s="1777">
        <v>0.7</v>
      </c>
      <c r="V476" s="1777">
        <v>0.7</v>
      </c>
      <c r="W476" s="1777">
        <v>0.7</v>
      </c>
      <c r="X476" s="1777">
        <v>0.7</v>
      </c>
      <c r="Y476" s="1777">
        <v>0.2</v>
      </c>
      <c r="Z476" s="1777">
        <v>0</v>
      </c>
      <c r="AA476" s="1756">
        <f>SUM(C476:Z476)</f>
        <v>7.0000000000000009</v>
      </c>
      <c r="AB476" s="1757">
        <f>AA476*$C$15</f>
        <v>364.00000000000006</v>
      </c>
    </row>
    <row r="477" spans="2:28" x14ac:dyDescent="0.25">
      <c r="B477" s="1769" t="s">
        <v>1432</v>
      </c>
      <c r="C477" s="1778">
        <v>0</v>
      </c>
      <c r="D477" s="1778">
        <v>0</v>
      </c>
      <c r="E477" s="1778">
        <v>0</v>
      </c>
      <c r="F477" s="1778">
        <v>0</v>
      </c>
      <c r="G477" s="1778">
        <v>0</v>
      </c>
      <c r="H477" s="1778">
        <v>0</v>
      </c>
      <c r="I477" s="1778">
        <v>0</v>
      </c>
      <c r="J477" s="1778">
        <v>0</v>
      </c>
      <c r="K477" s="1778">
        <v>0.1</v>
      </c>
      <c r="L477" s="1778">
        <v>0.1</v>
      </c>
      <c r="M477" s="1778">
        <v>0.1</v>
      </c>
      <c r="N477" s="1778">
        <v>0.1</v>
      </c>
      <c r="O477" s="1778">
        <v>0.1</v>
      </c>
      <c r="P477" s="1778">
        <v>0.7</v>
      </c>
      <c r="Q477" s="1778">
        <v>0.7</v>
      </c>
      <c r="R477" s="1778">
        <v>0.7</v>
      </c>
      <c r="S477" s="1778">
        <v>0.7</v>
      </c>
      <c r="T477" s="1778">
        <v>0.7</v>
      </c>
      <c r="U477" s="1778">
        <v>0.7</v>
      </c>
      <c r="V477" s="1778">
        <v>0.7</v>
      </c>
      <c r="W477" s="1778">
        <v>0.7</v>
      </c>
      <c r="X477" s="1778">
        <v>0.7</v>
      </c>
      <c r="Y477" s="1778">
        <v>0.2</v>
      </c>
      <c r="Z477" s="1778">
        <v>0</v>
      </c>
      <c r="AA477" s="1760">
        <f>SUM(C477:Z477)</f>
        <v>7.0000000000000009</v>
      </c>
      <c r="AB477" s="1761">
        <f>AA477*SUM($C$8)</f>
        <v>77.000000000000014</v>
      </c>
    </row>
    <row r="478" spans="2:28" x14ac:dyDescent="0.25">
      <c r="B478" s="2500" t="s">
        <v>1468</v>
      </c>
      <c r="C478" s="2501"/>
      <c r="D478" s="2501"/>
      <c r="E478" s="2501"/>
      <c r="F478" s="2501"/>
      <c r="G478" s="2501"/>
      <c r="H478" s="2501"/>
      <c r="I478" s="2501"/>
      <c r="J478" s="2501"/>
      <c r="K478" s="2501"/>
      <c r="L478" s="2501"/>
      <c r="M478" s="2501"/>
      <c r="N478" s="2501"/>
      <c r="O478" s="2501"/>
      <c r="P478" s="2501"/>
      <c r="Q478" s="2501"/>
      <c r="R478" s="2501"/>
      <c r="S478" s="2501"/>
      <c r="T478" s="2501"/>
      <c r="U478" s="2501"/>
      <c r="V478" s="2501"/>
      <c r="W478" s="2501"/>
      <c r="X478" s="2501"/>
      <c r="Y478" s="2501"/>
      <c r="Z478" s="2501"/>
      <c r="AA478" s="2501"/>
      <c r="AB478" s="1749">
        <f>SUM(AB474:AB477)</f>
        <v>2606</v>
      </c>
    </row>
    <row r="479" spans="2:28" x14ac:dyDescent="0.25">
      <c r="B479" s="1715"/>
      <c r="C479" s="1715"/>
      <c r="D479" s="1715"/>
      <c r="E479" s="1715"/>
      <c r="F479" s="1715"/>
      <c r="G479" s="1715"/>
      <c r="H479" s="1715"/>
      <c r="I479" s="1715"/>
      <c r="J479" s="1715"/>
      <c r="K479" s="1715"/>
      <c r="L479" s="1715"/>
      <c r="M479" s="1715"/>
      <c r="N479" s="1715"/>
      <c r="O479" s="1715"/>
      <c r="P479" s="1715"/>
      <c r="Q479" s="1715"/>
      <c r="R479" s="1715"/>
      <c r="S479" s="1715"/>
      <c r="T479" s="1715"/>
      <c r="U479" s="1715"/>
      <c r="V479" s="1715"/>
      <c r="W479" s="1715"/>
      <c r="X479" s="1715"/>
      <c r="Y479" s="1715"/>
      <c r="Z479" s="1715"/>
      <c r="AA479" s="1715"/>
      <c r="AB479" s="1715"/>
    </row>
    <row r="480" spans="2:28" ht="15" customHeight="1" x14ac:dyDescent="0.25">
      <c r="B480" s="1715" t="s">
        <v>1434</v>
      </c>
      <c r="C480" s="2497" t="s">
        <v>1662</v>
      </c>
      <c r="D480" s="2498"/>
      <c r="E480" s="2498"/>
      <c r="F480" s="2498"/>
      <c r="G480" s="2498"/>
      <c r="H480" s="2498"/>
      <c r="I480" s="2498"/>
      <c r="J480" s="2498"/>
      <c r="K480" s="2498"/>
      <c r="L480" s="2498"/>
      <c r="M480" s="2498"/>
      <c r="N480" s="2498"/>
      <c r="O480" s="2498"/>
      <c r="P480" s="2498"/>
      <c r="Q480" s="2498"/>
      <c r="R480" s="2498"/>
      <c r="S480" s="2498"/>
      <c r="T480" s="2498"/>
      <c r="U480" s="2498"/>
      <c r="V480" s="2498"/>
      <c r="W480" s="2498"/>
      <c r="X480" s="2498"/>
      <c r="Y480" s="2498"/>
      <c r="Z480" s="2498"/>
      <c r="AA480" s="2498"/>
      <c r="AB480" s="2499"/>
    </row>
    <row r="481" spans="2:28" x14ac:dyDescent="0.25">
      <c r="B481" s="1715"/>
      <c r="C481" s="1715"/>
      <c r="D481" s="1715"/>
      <c r="E481" s="1715"/>
      <c r="F481" s="1715"/>
      <c r="G481" s="1715"/>
      <c r="H481" s="1715"/>
      <c r="I481" s="1715"/>
      <c r="J481" s="1715"/>
      <c r="K481" s="1715"/>
      <c r="L481" s="1715"/>
      <c r="M481" s="1715"/>
      <c r="N481" s="1715"/>
      <c r="O481" s="1715"/>
      <c r="P481" s="1715"/>
      <c r="Q481" s="1715"/>
      <c r="R481" s="1715"/>
      <c r="S481" s="1715"/>
      <c r="T481" s="1715"/>
      <c r="U481" s="1715"/>
      <c r="V481" s="1715"/>
      <c r="W481" s="1715"/>
      <c r="X481" s="1715"/>
      <c r="Y481" s="1715"/>
      <c r="Z481" s="1715"/>
      <c r="AA481" s="1715"/>
      <c r="AB481" s="1715"/>
    </row>
    <row r="482" spans="2:28" s="1748" customFormat="1" ht="21" customHeight="1" x14ac:dyDescent="0.25">
      <c r="B482" s="1747"/>
      <c r="C482" s="1746" t="s">
        <v>1435</v>
      </c>
      <c r="D482" s="1747" t="s">
        <v>1436</v>
      </c>
      <c r="E482" s="1747" t="s">
        <v>1437</v>
      </c>
      <c r="F482" s="1747" t="s">
        <v>1438</v>
      </c>
      <c r="G482" s="1747" t="s">
        <v>1439</v>
      </c>
      <c r="H482" s="1747" t="s">
        <v>1440</v>
      </c>
      <c r="I482" s="1747" t="s">
        <v>1441</v>
      </c>
      <c r="J482" s="1747" t="s">
        <v>1442</v>
      </c>
      <c r="K482" s="1747" t="s">
        <v>1443</v>
      </c>
      <c r="L482" s="1747" t="s">
        <v>1444</v>
      </c>
      <c r="M482" s="1747" t="s">
        <v>1445</v>
      </c>
      <c r="N482" s="1747" t="s">
        <v>1446</v>
      </c>
      <c r="O482" s="1747" t="s">
        <v>1447</v>
      </c>
      <c r="P482" s="1747" t="s">
        <v>1448</v>
      </c>
      <c r="Q482" s="1747" t="s">
        <v>1449</v>
      </c>
      <c r="R482" s="1747" t="s">
        <v>1450</v>
      </c>
      <c r="S482" s="1747" t="s">
        <v>1451</v>
      </c>
      <c r="T482" s="1747" t="s">
        <v>1452</v>
      </c>
      <c r="U482" s="1747" t="s">
        <v>1453</v>
      </c>
      <c r="V482" s="1747" t="s">
        <v>1454</v>
      </c>
      <c r="W482" s="1747" t="s">
        <v>1455</v>
      </c>
      <c r="X482" s="1747" t="s">
        <v>1456</v>
      </c>
      <c r="Y482" s="1747" t="s">
        <v>1457</v>
      </c>
      <c r="Z482" s="1747" t="s">
        <v>1458</v>
      </c>
      <c r="AA482" s="1747" t="s">
        <v>1466</v>
      </c>
      <c r="AB482" s="1747" t="s">
        <v>1467</v>
      </c>
    </row>
    <row r="483" spans="2:28" x14ac:dyDescent="0.25">
      <c r="B483" s="1765" t="s">
        <v>1461</v>
      </c>
      <c r="C483" s="1776">
        <v>0.05</v>
      </c>
      <c r="D483" s="1776">
        <v>0.05</v>
      </c>
      <c r="E483" s="1776">
        <v>0.05</v>
      </c>
      <c r="F483" s="1776">
        <v>0.05</v>
      </c>
      <c r="G483" s="1776">
        <v>0.05</v>
      </c>
      <c r="H483" s="1776">
        <v>0.05</v>
      </c>
      <c r="I483" s="1776">
        <v>0.35</v>
      </c>
      <c r="J483" s="1776">
        <v>0.35</v>
      </c>
      <c r="K483" s="1776">
        <v>0.35</v>
      </c>
      <c r="L483" s="1776">
        <v>0.65</v>
      </c>
      <c r="M483" s="1776">
        <v>0.65</v>
      </c>
      <c r="N483" s="1776">
        <v>0.65</v>
      </c>
      <c r="O483" s="1776">
        <v>0.65</v>
      </c>
      <c r="P483" s="1776">
        <v>0.65</v>
      </c>
      <c r="Q483" s="1776">
        <v>0.65</v>
      </c>
      <c r="R483" s="1776">
        <v>0.65</v>
      </c>
      <c r="S483" s="1776">
        <v>0.65</v>
      </c>
      <c r="T483" s="1776">
        <v>0.65</v>
      </c>
      <c r="U483" s="1776">
        <v>0.65</v>
      </c>
      <c r="V483" s="1776">
        <v>0.65</v>
      </c>
      <c r="W483" s="1776">
        <v>0.65</v>
      </c>
      <c r="X483" s="1776">
        <v>0.65</v>
      </c>
      <c r="Y483" s="1776">
        <v>0.25</v>
      </c>
      <c r="Z483" s="1776">
        <v>0.05</v>
      </c>
      <c r="AA483" s="1752">
        <f>SUM(C483:Z483)</f>
        <v>10.100000000000003</v>
      </c>
      <c r="AB483" s="1753">
        <f>AA483*SUM($C$9:$C$13)</f>
        <v>2525.0000000000009</v>
      </c>
    </row>
    <row r="484" spans="2:28" x14ac:dyDescent="0.25">
      <c r="B484" s="1767" t="s">
        <v>1431</v>
      </c>
      <c r="C484" s="1777">
        <v>0.05</v>
      </c>
      <c r="D484" s="1777">
        <v>0.05</v>
      </c>
      <c r="E484" s="1777">
        <v>0.05</v>
      </c>
      <c r="F484" s="1777">
        <v>0.05</v>
      </c>
      <c r="G484" s="1777">
        <v>0.05</v>
      </c>
      <c r="H484" s="1777">
        <v>0.05</v>
      </c>
      <c r="I484" s="1777">
        <v>0.05</v>
      </c>
      <c r="J484" s="1777">
        <v>0.3</v>
      </c>
      <c r="K484" s="1777">
        <v>0.3</v>
      </c>
      <c r="L484" s="1777">
        <v>0.4</v>
      </c>
      <c r="M484" s="1777">
        <v>0.4</v>
      </c>
      <c r="N484" s="1777">
        <v>0.4</v>
      </c>
      <c r="O484" s="1777">
        <v>0.4</v>
      </c>
      <c r="P484" s="1777">
        <v>0.4</v>
      </c>
      <c r="Q484" s="1777">
        <v>0.4</v>
      </c>
      <c r="R484" s="1777">
        <v>0.4</v>
      </c>
      <c r="S484" s="1777">
        <v>0.4</v>
      </c>
      <c r="T484" s="1777">
        <v>0.4</v>
      </c>
      <c r="U484" s="1777">
        <v>0.4</v>
      </c>
      <c r="V484" s="1777">
        <v>0.4</v>
      </c>
      <c r="W484" s="1777">
        <v>0.4</v>
      </c>
      <c r="X484" s="1777">
        <v>0.4</v>
      </c>
      <c r="Y484" s="1777">
        <v>0.4</v>
      </c>
      <c r="Z484" s="1777">
        <v>0.05</v>
      </c>
      <c r="AA484" s="1756">
        <f>SUM(C484:Z484)</f>
        <v>6.6000000000000014</v>
      </c>
      <c r="AB484" s="1757">
        <f>AA484*SUM($C$14)</f>
        <v>343.20000000000005</v>
      </c>
    </row>
    <row r="485" spans="2:28" x14ac:dyDescent="0.25">
      <c r="B485" s="1767" t="s">
        <v>1432</v>
      </c>
      <c r="C485" s="1777">
        <v>0.05</v>
      </c>
      <c r="D485" s="1777">
        <v>0.05</v>
      </c>
      <c r="E485" s="1777">
        <v>0.05</v>
      </c>
      <c r="F485" s="1777">
        <v>0.05</v>
      </c>
      <c r="G485" s="1777">
        <v>0.05</v>
      </c>
      <c r="H485" s="1777">
        <v>0.05</v>
      </c>
      <c r="I485" s="1777">
        <v>0.05</v>
      </c>
      <c r="J485" s="1777">
        <v>0.3</v>
      </c>
      <c r="K485" s="1777">
        <v>0.3</v>
      </c>
      <c r="L485" s="1777">
        <v>0.3</v>
      </c>
      <c r="M485" s="1777">
        <v>0.3</v>
      </c>
      <c r="N485" s="1777">
        <v>0.3</v>
      </c>
      <c r="O485" s="1777">
        <v>0.55000000000000004</v>
      </c>
      <c r="P485" s="1777">
        <v>0.55000000000000004</v>
      </c>
      <c r="Q485" s="1777">
        <v>0.55000000000000004</v>
      </c>
      <c r="R485" s="1777">
        <v>0.55000000000000004</v>
      </c>
      <c r="S485" s="1777">
        <v>0.55000000000000004</v>
      </c>
      <c r="T485" s="1777">
        <v>0.55000000000000004</v>
      </c>
      <c r="U485" s="1777">
        <v>0.55000000000000004</v>
      </c>
      <c r="V485" s="1777">
        <v>0.55000000000000004</v>
      </c>
      <c r="W485" s="1777">
        <v>0.55000000000000004</v>
      </c>
      <c r="X485" s="1777">
        <v>0.55000000000000004</v>
      </c>
      <c r="Y485" s="1777">
        <v>0.05</v>
      </c>
      <c r="Z485" s="1777">
        <v>0.05</v>
      </c>
      <c r="AA485" s="1756">
        <f>SUM(C485:Z485)</f>
        <v>7.4499999999999984</v>
      </c>
      <c r="AB485" s="1757">
        <f>AA485*$C$15</f>
        <v>387.39999999999992</v>
      </c>
    </row>
    <row r="486" spans="2:28" x14ac:dyDescent="0.25">
      <c r="B486" s="1769" t="s">
        <v>1432</v>
      </c>
      <c r="C486" s="1778">
        <v>0.05</v>
      </c>
      <c r="D486" s="1778">
        <v>0.05</v>
      </c>
      <c r="E486" s="1778">
        <v>0.05</v>
      </c>
      <c r="F486" s="1778">
        <v>0.05</v>
      </c>
      <c r="G486" s="1778">
        <v>0.05</v>
      </c>
      <c r="H486" s="1778">
        <v>0.05</v>
      </c>
      <c r="I486" s="1778">
        <v>0.05</v>
      </c>
      <c r="J486" s="1778">
        <v>0.3</v>
      </c>
      <c r="K486" s="1778">
        <v>0.3</v>
      </c>
      <c r="L486" s="1778">
        <v>0.3</v>
      </c>
      <c r="M486" s="1778">
        <v>0.3</v>
      </c>
      <c r="N486" s="1778">
        <v>0.3</v>
      </c>
      <c r="O486" s="1778">
        <v>0.55000000000000004</v>
      </c>
      <c r="P486" s="1778">
        <v>0.55000000000000004</v>
      </c>
      <c r="Q486" s="1778">
        <v>0.55000000000000004</v>
      </c>
      <c r="R486" s="1778">
        <v>0.55000000000000004</v>
      </c>
      <c r="S486" s="1778">
        <v>0.55000000000000004</v>
      </c>
      <c r="T486" s="1778">
        <v>0.55000000000000004</v>
      </c>
      <c r="U486" s="1778">
        <v>0.55000000000000004</v>
      </c>
      <c r="V486" s="1778">
        <v>0.55000000000000004</v>
      </c>
      <c r="W486" s="1778">
        <v>0.55000000000000004</v>
      </c>
      <c r="X486" s="1778">
        <v>0.55000000000000004</v>
      </c>
      <c r="Y486" s="1778">
        <v>0.05</v>
      </c>
      <c r="Z486" s="1778">
        <v>0.05</v>
      </c>
      <c r="AA486" s="1760">
        <f>SUM(C486:Z486)</f>
        <v>7.4499999999999984</v>
      </c>
      <c r="AB486" s="1761">
        <f>AA486*SUM($C$8)</f>
        <v>81.949999999999989</v>
      </c>
    </row>
    <row r="487" spans="2:28" x14ac:dyDescent="0.25">
      <c r="B487" s="2500" t="s">
        <v>1468</v>
      </c>
      <c r="C487" s="2501"/>
      <c r="D487" s="2501"/>
      <c r="E487" s="2501"/>
      <c r="F487" s="2501"/>
      <c r="G487" s="2501"/>
      <c r="H487" s="2501"/>
      <c r="I487" s="2501"/>
      <c r="J487" s="2501"/>
      <c r="K487" s="2501"/>
      <c r="L487" s="2501"/>
      <c r="M487" s="2501"/>
      <c r="N487" s="2501"/>
      <c r="O487" s="2501"/>
      <c r="P487" s="2501"/>
      <c r="Q487" s="2501"/>
      <c r="R487" s="2501"/>
      <c r="S487" s="2501"/>
      <c r="T487" s="2501"/>
      <c r="U487" s="2501"/>
      <c r="V487" s="2501"/>
      <c r="W487" s="2501"/>
      <c r="X487" s="2501"/>
      <c r="Y487" s="2501"/>
      <c r="Z487" s="2501"/>
      <c r="AA487" s="2501"/>
      <c r="AB487" s="1749">
        <f>SUM(AB483:AB486)</f>
        <v>3337.5500000000006</v>
      </c>
    </row>
    <row r="488" spans="2:28" x14ac:dyDescent="0.25">
      <c r="B488" s="1715"/>
      <c r="C488" s="1715"/>
      <c r="D488" s="1715"/>
      <c r="E488" s="1715"/>
      <c r="F488" s="1715"/>
      <c r="G488" s="1715"/>
      <c r="H488" s="1715"/>
      <c r="I488" s="1715"/>
      <c r="J488" s="1715"/>
      <c r="K488" s="1715"/>
      <c r="L488" s="1715"/>
      <c r="M488" s="1715"/>
      <c r="N488" s="1715"/>
      <c r="O488" s="1715"/>
      <c r="P488" s="1715"/>
      <c r="Q488" s="1715"/>
      <c r="R488" s="1715"/>
      <c r="S488" s="1715"/>
      <c r="T488" s="1715"/>
      <c r="U488" s="1715"/>
      <c r="V488" s="1715"/>
      <c r="W488" s="1715"/>
      <c r="X488" s="1715"/>
      <c r="Y488" s="1715"/>
      <c r="Z488" s="1715"/>
      <c r="AA488" s="1715"/>
      <c r="AB488" s="1715"/>
    </row>
    <row r="489" spans="2:28" ht="15" customHeight="1" x14ac:dyDescent="0.25">
      <c r="B489" s="1715" t="s">
        <v>1434</v>
      </c>
      <c r="C489" s="2497" t="s">
        <v>1663</v>
      </c>
      <c r="D489" s="2498"/>
      <c r="E489" s="2498"/>
      <c r="F489" s="2498"/>
      <c r="G489" s="2498"/>
      <c r="H489" s="2498"/>
      <c r="I489" s="2498"/>
      <c r="J489" s="2498"/>
      <c r="K489" s="2498"/>
      <c r="L489" s="2498"/>
      <c r="M489" s="2498"/>
      <c r="N489" s="2498"/>
      <c r="O489" s="2498"/>
      <c r="P489" s="2498"/>
      <c r="Q489" s="2498"/>
      <c r="R489" s="2498"/>
      <c r="S489" s="2498"/>
      <c r="T489" s="2498"/>
      <c r="U489" s="2498"/>
      <c r="V489" s="2498"/>
      <c r="W489" s="2498"/>
      <c r="X489" s="2498"/>
      <c r="Y489" s="2498"/>
      <c r="Z489" s="2498"/>
      <c r="AA489" s="2498"/>
      <c r="AB489" s="2499"/>
    </row>
    <row r="490" spans="2:28" x14ac:dyDescent="0.25">
      <c r="B490" s="1715"/>
      <c r="C490" s="1715"/>
      <c r="D490" s="1715"/>
      <c r="E490" s="1715"/>
      <c r="F490" s="1715"/>
      <c r="G490" s="1715"/>
      <c r="H490" s="1715"/>
      <c r="I490" s="1715"/>
      <c r="J490" s="1715"/>
      <c r="K490" s="1715"/>
      <c r="L490" s="1715"/>
      <c r="M490" s="1715"/>
      <c r="N490" s="1715"/>
      <c r="O490" s="1715"/>
      <c r="P490" s="1715"/>
      <c r="Q490" s="1715"/>
      <c r="R490" s="1715"/>
      <c r="S490" s="1715"/>
      <c r="T490" s="1715"/>
      <c r="U490" s="1715"/>
      <c r="V490" s="1715"/>
      <c r="W490" s="1715"/>
      <c r="X490" s="1715"/>
      <c r="Y490" s="1715"/>
      <c r="Z490" s="1715"/>
      <c r="AA490" s="1715"/>
      <c r="AB490" s="1715"/>
    </row>
    <row r="491" spans="2:28" s="1748" customFormat="1" ht="21" customHeight="1" x14ac:dyDescent="0.25">
      <c r="B491" s="1747"/>
      <c r="C491" s="1746" t="s">
        <v>1435</v>
      </c>
      <c r="D491" s="1747" t="s">
        <v>1436</v>
      </c>
      <c r="E491" s="1747" t="s">
        <v>1437</v>
      </c>
      <c r="F491" s="1747" t="s">
        <v>1438</v>
      </c>
      <c r="G491" s="1747" t="s">
        <v>1439</v>
      </c>
      <c r="H491" s="1747" t="s">
        <v>1440</v>
      </c>
      <c r="I491" s="1747" t="s">
        <v>1441</v>
      </c>
      <c r="J491" s="1747" t="s">
        <v>1442</v>
      </c>
      <c r="K491" s="1747" t="s">
        <v>1443</v>
      </c>
      <c r="L491" s="1747" t="s">
        <v>1444</v>
      </c>
      <c r="M491" s="1747" t="s">
        <v>1445</v>
      </c>
      <c r="N491" s="1747" t="s">
        <v>1446</v>
      </c>
      <c r="O491" s="1747" t="s">
        <v>1447</v>
      </c>
      <c r="P491" s="1747" t="s">
        <v>1448</v>
      </c>
      <c r="Q491" s="1747" t="s">
        <v>1449</v>
      </c>
      <c r="R491" s="1747" t="s">
        <v>1450</v>
      </c>
      <c r="S491" s="1747" t="s">
        <v>1451</v>
      </c>
      <c r="T491" s="1747" t="s">
        <v>1452</v>
      </c>
      <c r="U491" s="1747" t="s">
        <v>1453</v>
      </c>
      <c r="V491" s="1747" t="s">
        <v>1454</v>
      </c>
      <c r="W491" s="1747" t="s">
        <v>1455</v>
      </c>
      <c r="X491" s="1747" t="s">
        <v>1456</v>
      </c>
      <c r="Y491" s="1747" t="s">
        <v>1457</v>
      </c>
      <c r="Z491" s="1747" t="s">
        <v>1458</v>
      </c>
      <c r="AA491" s="1747" t="s">
        <v>1466</v>
      </c>
      <c r="AB491" s="1747" t="s">
        <v>1467</v>
      </c>
    </row>
    <row r="492" spans="2:28" x14ac:dyDescent="0.25">
      <c r="B492" s="1765" t="s">
        <v>1461</v>
      </c>
      <c r="C492" s="1776">
        <v>0.05</v>
      </c>
      <c r="D492" s="1776">
        <v>0.05</v>
      </c>
      <c r="E492" s="1776">
        <v>0.05</v>
      </c>
      <c r="F492" s="1776">
        <v>0.05</v>
      </c>
      <c r="G492" s="1776">
        <v>0.05</v>
      </c>
      <c r="H492" s="1776">
        <v>0.05</v>
      </c>
      <c r="I492" s="1776">
        <v>0.4</v>
      </c>
      <c r="J492" s="1776">
        <v>0.4</v>
      </c>
      <c r="K492" s="1776">
        <v>0.4</v>
      </c>
      <c r="L492" s="1776">
        <v>0.75</v>
      </c>
      <c r="M492" s="1776">
        <v>0.75</v>
      </c>
      <c r="N492" s="1776">
        <v>0.75</v>
      </c>
      <c r="O492" s="1776">
        <v>0.75</v>
      </c>
      <c r="P492" s="1776">
        <v>0.75</v>
      </c>
      <c r="Q492" s="1776">
        <v>0.75</v>
      </c>
      <c r="R492" s="1776">
        <v>0.75</v>
      </c>
      <c r="S492" s="1776">
        <v>0.75</v>
      </c>
      <c r="T492" s="1776">
        <v>0.75</v>
      </c>
      <c r="U492" s="1776">
        <v>0.75</v>
      </c>
      <c r="V492" s="1776">
        <v>0.75</v>
      </c>
      <c r="W492" s="1776">
        <v>0.75</v>
      </c>
      <c r="X492" s="1776">
        <v>0.75</v>
      </c>
      <c r="Y492" s="1776">
        <v>0.25</v>
      </c>
      <c r="Z492" s="1776">
        <v>0.05</v>
      </c>
      <c r="AA492" s="1752">
        <f>SUM(C492:Z492)</f>
        <v>11.55</v>
      </c>
      <c r="AB492" s="1753">
        <f>AA492*SUM($C$9:$C$13)</f>
        <v>2887.5</v>
      </c>
    </row>
    <row r="493" spans="2:28" x14ac:dyDescent="0.25">
      <c r="B493" s="1767" t="s">
        <v>1431</v>
      </c>
      <c r="C493" s="1777">
        <v>0.05</v>
      </c>
      <c r="D493" s="1777">
        <v>0.05</v>
      </c>
      <c r="E493" s="1777">
        <v>0.05</v>
      </c>
      <c r="F493" s="1777">
        <v>0.05</v>
      </c>
      <c r="G493" s="1777">
        <v>0.05</v>
      </c>
      <c r="H493" s="1777">
        <v>0.05</v>
      </c>
      <c r="I493" s="1777">
        <v>0.05</v>
      </c>
      <c r="J493" s="1777">
        <v>0.3</v>
      </c>
      <c r="K493" s="1777">
        <v>0.3</v>
      </c>
      <c r="L493" s="1777">
        <v>0.5</v>
      </c>
      <c r="M493" s="1777">
        <v>0.5</v>
      </c>
      <c r="N493" s="1777">
        <v>0.5</v>
      </c>
      <c r="O493" s="1777">
        <v>0.5</v>
      </c>
      <c r="P493" s="1777">
        <v>0.5</v>
      </c>
      <c r="Q493" s="1777">
        <v>0.5</v>
      </c>
      <c r="R493" s="1777">
        <v>0.5</v>
      </c>
      <c r="S493" s="1777">
        <v>0.5</v>
      </c>
      <c r="T493" s="1777">
        <v>0.5</v>
      </c>
      <c r="U493" s="1777">
        <v>0.5</v>
      </c>
      <c r="V493" s="1777">
        <v>0.5</v>
      </c>
      <c r="W493" s="1777">
        <v>0.5</v>
      </c>
      <c r="X493" s="1777">
        <v>0.5</v>
      </c>
      <c r="Y493" s="1777">
        <v>0.5</v>
      </c>
      <c r="Z493" s="1777">
        <v>0.05</v>
      </c>
      <c r="AA493" s="1756">
        <f>SUM(C493:Z493)</f>
        <v>8</v>
      </c>
      <c r="AB493" s="1757">
        <f>AA493*SUM($C$14)</f>
        <v>416</v>
      </c>
    </row>
    <row r="494" spans="2:28" x14ac:dyDescent="0.25">
      <c r="B494" s="1767" t="s">
        <v>1432</v>
      </c>
      <c r="C494" s="1777">
        <v>0.05</v>
      </c>
      <c r="D494" s="1777">
        <v>0.05</v>
      </c>
      <c r="E494" s="1777">
        <v>0.05</v>
      </c>
      <c r="F494" s="1777">
        <v>0.05</v>
      </c>
      <c r="G494" s="1777">
        <v>0.05</v>
      </c>
      <c r="H494" s="1777">
        <v>0.05</v>
      </c>
      <c r="I494" s="1777">
        <v>0.05</v>
      </c>
      <c r="J494" s="1777">
        <v>0.3</v>
      </c>
      <c r="K494" s="1777">
        <v>0.3</v>
      </c>
      <c r="L494" s="1777">
        <v>0.3</v>
      </c>
      <c r="M494" s="1777">
        <v>0.3</v>
      </c>
      <c r="N494" s="1777">
        <v>0.3</v>
      </c>
      <c r="O494" s="1777">
        <v>0.65</v>
      </c>
      <c r="P494" s="1777">
        <v>0.65</v>
      </c>
      <c r="Q494" s="1777">
        <v>0.65</v>
      </c>
      <c r="R494" s="1777">
        <v>0.65</v>
      </c>
      <c r="S494" s="1777">
        <v>0.65</v>
      </c>
      <c r="T494" s="1777">
        <v>0.65</v>
      </c>
      <c r="U494" s="1777">
        <v>0.65</v>
      </c>
      <c r="V494" s="1777">
        <v>0.65</v>
      </c>
      <c r="W494" s="1777">
        <v>0.65</v>
      </c>
      <c r="X494" s="1777">
        <v>0.65</v>
      </c>
      <c r="Y494" s="1777">
        <v>0.05</v>
      </c>
      <c r="Z494" s="1777">
        <v>0.05</v>
      </c>
      <c r="AA494" s="1756">
        <f>SUM(C494:Z494)</f>
        <v>8.4500000000000028</v>
      </c>
      <c r="AB494" s="1757">
        <f>AA494*$C$15</f>
        <v>439.40000000000015</v>
      </c>
    </row>
    <row r="495" spans="2:28" x14ac:dyDescent="0.25">
      <c r="B495" s="1769" t="s">
        <v>1432</v>
      </c>
      <c r="C495" s="1778">
        <v>0.05</v>
      </c>
      <c r="D495" s="1778">
        <v>0.05</v>
      </c>
      <c r="E495" s="1778">
        <v>0.05</v>
      </c>
      <c r="F495" s="1778">
        <v>0.05</v>
      </c>
      <c r="G495" s="1778">
        <v>0.05</v>
      </c>
      <c r="H495" s="1778">
        <v>0.05</v>
      </c>
      <c r="I495" s="1778">
        <v>0.05</v>
      </c>
      <c r="J495" s="1778">
        <v>0.3</v>
      </c>
      <c r="K495" s="1778">
        <v>0.3</v>
      </c>
      <c r="L495" s="1778">
        <v>0.3</v>
      </c>
      <c r="M495" s="1778">
        <v>0.3</v>
      </c>
      <c r="N495" s="1778">
        <v>0.3</v>
      </c>
      <c r="O495" s="1778">
        <v>0.65</v>
      </c>
      <c r="P495" s="1778">
        <v>0.65</v>
      </c>
      <c r="Q495" s="1778">
        <v>0.65</v>
      </c>
      <c r="R495" s="1778">
        <v>0.65</v>
      </c>
      <c r="S495" s="1778">
        <v>0.65</v>
      </c>
      <c r="T495" s="1778">
        <v>0.65</v>
      </c>
      <c r="U495" s="1778">
        <v>0.65</v>
      </c>
      <c r="V495" s="1778">
        <v>0.65</v>
      </c>
      <c r="W495" s="1778">
        <v>0.65</v>
      </c>
      <c r="X495" s="1778">
        <v>0.65</v>
      </c>
      <c r="Y495" s="1778">
        <v>0.05</v>
      </c>
      <c r="Z495" s="1778">
        <v>0.05</v>
      </c>
      <c r="AA495" s="1760">
        <f>SUM(C495:Z495)</f>
        <v>8.4500000000000028</v>
      </c>
      <c r="AB495" s="1761">
        <f>AA495*SUM($C$8)</f>
        <v>92.950000000000031</v>
      </c>
    </row>
    <row r="496" spans="2:28" x14ac:dyDescent="0.25">
      <c r="B496" s="2500" t="s">
        <v>1468</v>
      </c>
      <c r="C496" s="2501"/>
      <c r="D496" s="2501"/>
      <c r="E496" s="2501"/>
      <c r="F496" s="2501"/>
      <c r="G496" s="2501"/>
      <c r="H496" s="2501"/>
      <c r="I496" s="2501"/>
      <c r="J496" s="2501"/>
      <c r="K496" s="2501"/>
      <c r="L496" s="2501"/>
      <c r="M496" s="2501"/>
      <c r="N496" s="2501"/>
      <c r="O496" s="2501"/>
      <c r="P496" s="2501"/>
      <c r="Q496" s="2501"/>
      <c r="R496" s="2501"/>
      <c r="S496" s="2501"/>
      <c r="T496" s="2501"/>
      <c r="U496" s="2501"/>
      <c r="V496" s="2501"/>
      <c r="W496" s="2501"/>
      <c r="X496" s="2501"/>
      <c r="Y496" s="2501"/>
      <c r="Z496" s="2501"/>
      <c r="AA496" s="2501"/>
      <c r="AB496" s="1749">
        <f>SUM(AB492:AB495)</f>
        <v>3835.85</v>
      </c>
    </row>
    <row r="497" spans="2:28" x14ac:dyDescent="0.25">
      <c r="B497" s="1715"/>
      <c r="C497" s="1715"/>
      <c r="D497" s="1715"/>
      <c r="E497" s="1715"/>
      <c r="F497" s="1715"/>
      <c r="G497" s="1715"/>
      <c r="H497" s="1715"/>
      <c r="I497" s="1715"/>
      <c r="J497" s="1715"/>
      <c r="K497" s="1715"/>
      <c r="L497" s="1715"/>
      <c r="M497" s="1715"/>
      <c r="N497" s="1715"/>
      <c r="O497" s="1715"/>
      <c r="P497" s="1715"/>
      <c r="Q497" s="1715"/>
      <c r="R497" s="1715"/>
      <c r="S497" s="1715"/>
      <c r="T497" s="1715"/>
      <c r="U497" s="1715"/>
      <c r="V497" s="1715"/>
      <c r="W497" s="1715"/>
      <c r="X497" s="1715"/>
      <c r="Y497" s="1715"/>
      <c r="Z497" s="1715"/>
      <c r="AA497" s="1715"/>
      <c r="AB497" s="1715"/>
    </row>
    <row r="498" spans="2:28" ht="15" customHeight="1" x14ac:dyDescent="0.25">
      <c r="B498" s="1715" t="s">
        <v>1434</v>
      </c>
      <c r="C498" s="2497" t="s">
        <v>1664</v>
      </c>
      <c r="D498" s="2498"/>
      <c r="E498" s="2498"/>
      <c r="F498" s="2498"/>
      <c r="G498" s="2498"/>
      <c r="H498" s="2498"/>
      <c r="I498" s="2498"/>
      <c r="J498" s="2498"/>
      <c r="K498" s="2498"/>
      <c r="L498" s="2498"/>
      <c r="M498" s="2498"/>
      <c r="N498" s="2498"/>
      <c r="O498" s="2498"/>
      <c r="P498" s="2498"/>
      <c r="Q498" s="2498"/>
      <c r="R498" s="2498"/>
      <c r="S498" s="2498"/>
      <c r="T498" s="2498"/>
      <c r="U498" s="2498"/>
      <c r="V498" s="2498"/>
      <c r="W498" s="2498"/>
      <c r="X498" s="2498"/>
      <c r="Y498" s="2498"/>
      <c r="Z498" s="2498"/>
      <c r="AA498" s="2498"/>
      <c r="AB498" s="2499"/>
    </row>
    <row r="499" spans="2:28" x14ac:dyDescent="0.25">
      <c r="B499" s="1715"/>
      <c r="C499" s="1715"/>
      <c r="D499" s="1715"/>
      <c r="E499" s="1715"/>
      <c r="F499" s="1715"/>
      <c r="G499" s="1715"/>
      <c r="H499" s="1715"/>
      <c r="I499" s="1715"/>
      <c r="J499" s="1715"/>
      <c r="K499" s="1715"/>
      <c r="L499" s="1715"/>
      <c r="M499" s="1715"/>
      <c r="N499" s="1715"/>
      <c r="O499" s="1715"/>
      <c r="P499" s="1715"/>
      <c r="Q499" s="1715"/>
      <c r="R499" s="1715"/>
      <c r="S499" s="1715"/>
      <c r="T499" s="1715"/>
      <c r="U499" s="1715"/>
      <c r="V499" s="1715"/>
      <c r="W499" s="1715"/>
      <c r="X499" s="1715"/>
      <c r="Y499" s="1715"/>
      <c r="Z499" s="1715"/>
      <c r="AA499" s="1715"/>
      <c r="AB499" s="1715"/>
    </row>
    <row r="500" spans="2:28" s="1748" customFormat="1" ht="21" customHeight="1" x14ac:dyDescent="0.25">
      <c r="B500" s="1747"/>
      <c r="C500" s="1746" t="s">
        <v>1435</v>
      </c>
      <c r="D500" s="1747" t="s">
        <v>1436</v>
      </c>
      <c r="E500" s="1747" t="s">
        <v>1437</v>
      </c>
      <c r="F500" s="1747" t="s">
        <v>1438</v>
      </c>
      <c r="G500" s="1747" t="s">
        <v>1439</v>
      </c>
      <c r="H500" s="1747" t="s">
        <v>1440</v>
      </c>
      <c r="I500" s="1747" t="s">
        <v>1441</v>
      </c>
      <c r="J500" s="1747" t="s">
        <v>1442</v>
      </c>
      <c r="K500" s="1747" t="s">
        <v>1443</v>
      </c>
      <c r="L500" s="1747" t="s">
        <v>1444</v>
      </c>
      <c r="M500" s="1747" t="s">
        <v>1445</v>
      </c>
      <c r="N500" s="1747" t="s">
        <v>1446</v>
      </c>
      <c r="O500" s="1747" t="s">
        <v>1447</v>
      </c>
      <c r="P500" s="1747" t="s">
        <v>1448</v>
      </c>
      <c r="Q500" s="1747" t="s">
        <v>1449</v>
      </c>
      <c r="R500" s="1747" t="s">
        <v>1450</v>
      </c>
      <c r="S500" s="1747" t="s">
        <v>1451</v>
      </c>
      <c r="T500" s="1747" t="s">
        <v>1452</v>
      </c>
      <c r="U500" s="1747" t="s">
        <v>1453</v>
      </c>
      <c r="V500" s="1747" t="s">
        <v>1454</v>
      </c>
      <c r="W500" s="1747" t="s">
        <v>1455</v>
      </c>
      <c r="X500" s="1747" t="s">
        <v>1456</v>
      </c>
      <c r="Y500" s="1747" t="s">
        <v>1457</v>
      </c>
      <c r="Z500" s="1747" t="s">
        <v>1458</v>
      </c>
      <c r="AA500" s="1747" t="s">
        <v>1466</v>
      </c>
      <c r="AB500" s="1747" t="s">
        <v>1467</v>
      </c>
    </row>
    <row r="501" spans="2:28" x14ac:dyDescent="0.25">
      <c r="B501" s="1765" t="s">
        <v>1461</v>
      </c>
      <c r="C501" s="1776">
        <v>0</v>
      </c>
      <c r="D501" s="1776">
        <v>0</v>
      </c>
      <c r="E501" s="1776">
        <v>0</v>
      </c>
      <c r="F501" s="1776">
        <v>0</v>
      </c>
      <c r="G501" s="1776">
        <v>0</v>
      </c>
      <c r="H501" s="1776">
        <v>0</v>
      </c>
      <c r="I501" s="1776">
        <v>0</v>
      </c>
      <c r="J501" s="1776">
        <v>0</v>
      </c>
      <c r="K501" s="1776">
        <v>0</v>
      </c>
      <c r="L501" s="1776">
        <v>0.05</v>
      </c>
      <c r="M501" s="1776">
        <v>0.05</v>
      </c>
      <c r="N501" s="1776">
        <v>0.35</v>
      </c>
      <c r="O501" s="1776">
        <v>0.05</v>
      </c>
      <c r="P501" s="1776">
        <v>0.05</v>
      </c>
      <c r="Q501" s="1776">
        <v>0.05</v>
      </c>
      <c r="R501" s="1776">
        <v>0.05</v>
      </c>
      <c r="S501" s="1776">
        <v>0.05</v>
      </c>
      <c r="T501" s="1776">
        <v>0</v>
      </c>
      <c r="U501" s="1776">
        <v>0</v>
      </c>
      <c r="V501" s="1776">
        <v>0</v>
      </c>
      <c r="W501" s="1776">
        <v>0</v>
      </c>
      <c r="X501" s="1776">
        <v>0</v>
      </c>
      <c r="Y501" s="1776">
        <v>0</v>
      </c>
      <c r="Z501" s="1776">
        <v>0</v>
      </c>
      <c r="AA501" s="1752">
        <f>SUM(C501:Z501)</f>
        <v>0.70000000000000007</v>
      </c>
      <c r="AB501" s="1753">
        <f>AA501*SUM($C$9:$C$13)</f>
        <v>175.00000000000003</v>
      </c>
    </row>
    <row r="502" spans="2:28" x14ac:dyDescent="0.25">
      <c r="B502" s="1767" t="s">
        <v>1431</v>
      </c>
      <c r="C502" s="1777">
        <v>0</v>
      </c>
      <c r="D502" s="1777">
        <v>0</v>
      </c>
      <c r="E502" s="1777">
        <v>0</v>
      </c>
      <c r="F502" s="1777">
        <v>0</v>
      </c>
      <c r="G502" s="1777">
        <v>0</v>
      </c>
      <c r="H502" s="1777">
        <v>0</v>
      </c>
      <c r="I502" s="1777">
        <v>0</v>
      </c>
      <c r="J502" s="1777">
        <v>0</v>
      </c>
      <c r="K502" s="1777">
        <v>0</v>
      </c>
      <c r="L502" s="1777">
        <v>0.05</v>
      </c>
      <c r="M502" s="1777">
        <v>0.05</v>
      </c>
      <c r="N502" s="1777">
        <v>0.2</v>
      </c>
      <c r="O502" s="1777">
        <v>0</v>
      </c>
      <c r="P502" s="1777">
        <v>0</v>
      </c>
      <c r="Q502" s="1777">
        <v>0</v>
      </c>
      <c r="R502" s="1777">
        <v>0</v>
      </c>
      <c r="S502" s="1777">
        <v>0</v>
      </c>
      <c r="T502" s="1777">
        <v>0</v>
      </c>
      <c r="U502" s="1777">
        <v>0</v>
      </c>
      <c r="V502" s="1777">
        <v>0.65</v>
      </c>
      <c r="W502" s="1777">
        <v>0.3</v>
      </c>
      <c r="X502" s="1777">
        <v>0</v>
      </c>
      <c r="Y502" s="1777">
        <v>0</v>
      </c>
      <c r="Z502" s="1777">
        <v>0</v>
      </c>
      <c r="AA502" s="1756">
        <f>SUM(C502:Z502)</f>
        <v>1.25</v>
      </c>
      <c r="AB502" s="1757">
        <f>AA502*SUM($C$14)</f>
        <v>65</v>
      </c>
    </row>
    <row r="503" spans="2:28" x14ac:dyDescent="0.25">
      <c r="B503" s="1767" t="s">
        <v>1432</v>
      </c>
      <c r="C503" s="1777">
        <v>0</v>
      </c>
      <c r="D503" s="1777">
        <v>0</v>
      </c>
      <c r="E503" s="1777">
        <v>0</v>
      </c>
      <c r="F503" s="1777">
        <v>0</v>
      </c>
      <c r="G503" s="1777">
        <v>0</v>
      </c>
      <c r="H503" s="1777">
        <v>0</v>
      </c>
      <c r="I503" s="1777">
        <v>0</v>
      </c>
      <c r="J503" s="1777">
        <v>0</v>
      </c>
      <c r="K503" s="1777">
        <v>0</v>
      </c>
      <c r="L503" s="1777">
        <v>0.05</v>
      </c>
      <c r="M503" s="1777">
        <v>0.05</v>
      </c>
      <c r="N503" s="1777">
        <v>0.1</v>
      </c>
      <c r="O503" s="1777">
        <v>0</v>
      </c>
      <c r="P503" s="1777">
        <v>0</v>
      </c>
      <c r="Q503" s="1777">
        <v>0</v>
      </c>
      <c r="R503" s="1777">
        <v>0</v>
      </c>
      <c r="S503" s="1777">
        <v>0</v>
      </c>
      <c r="T503" s="1777">
        <v>0</v>
      </c>
      <c r="U503" s="1777">
        <v>0</v>
      </c>
      <c r="V503" s="1777">
        <v>0.65</v>
      </c>
      <c r="W503" s="1777">
        <v>0.3</v>
      </c>
      <c r="X503" s="1777">
        <v>0</v>
      </c>
      <c r="Y503" s="1777">
        <v>0</v>
      </c>
      <c r="Z503" s="1777">
        <v>0</v>
      </c>
      <c r="AA503" s="1756">
        <f>SUM(C503:Z503)</f>
        <v>1.1500000000000001</v>
      </c>
      <c r="AB503" s="1757">
        <f>AA503*$C$15</f>
        <v>59.800000000000004</v>
      </c>
    </row>
    <row r="504" spans="2:28" x14ac:dyDescent="0.25">
      <c r="B504" s="1769" t="s">
        <v>1432</v>
      </c>
      <c r="C504" s="1778">
        <v>0</v>
      </c>
      <c r="D504" s="1778">
        <v>0</v>
      </c>
      <c r="E504" s="1778">
        <v>0</v>
      </c>
      <c r="F504" s="1778">
        <v>0</v>
      </c>
      <c r="G504" s="1778">
        <v>0</v>
      </c>
      <c r="H504" s="1778">
        <v>0</v>
      </c>
      <c r="I504" s="1778">
        <v>0</v>
      </c>
      <c r="J504" s="1778">
        <v>0</v>
      </c>
      <c r="K504" s="1778">
        <v>0</v>
      </c>
      <c r="L504" s="1778">
        <v>0.05</v>
      </c>
      <c r="M504" s="1778">
        <v>0.05</v>
      </c>
      <c r="N504" s="1778">
        <v>0.1</v>
      </c>
      <c r="O504" s="1778">
        <v>0</v>
      </c>
      <c r="P504" s="1778">
        <v>0</v>
      </c>
      <c r="Q504" s="1778">
        <v>0</v>
      </c>
      <c r="R504" s="1778">
        <v>0</v>
      </c>
      <c r="S504" s="1778">
        <v>0</v>
      </c>
      <c r="T504" s="1778">
        <v>0</v>
      </c>
      <c r="U504" s="1778">
        <v>0</v>
      </c>
      <c r="V504" s="1778">
        <v>0.65</v>
      </c>
      <c r="W504" s="1778">
        <v>0.3</v>
      </c>
      <c r="X504" s="1778">
        <v>0</v>
      </c>
      <c r="Y504" s="1778">
        <v>0</v>
      </c>
      <c r="Z504" s="1778">
        <v>0</v>
      </c>
      <c r="AA504" s="1760">
        <f>SUM(C504:Z504)</f>
        <v>1.1500000000000001</v>
      </c>
      <c r="AB504" s="1761">
        <f>AA504*SUM($C$8)</f>
        <v>12.650000000000002</v>
      </c>
    </row>
    <row r="505" spans="2:28" x14ac:dyDescent="0.25">
      <c r="B505" s="2500" t="s">
        <v>1468</v>
      </c>
      <c r="C505" s="2501"/>
      <c r="D505" s="2501"/>
      <c r="E505" s="2501"/>
      <c r="F505" s="2501"/>
      <c r="G505" s="2501"/>
      <c r="H505" s="2501"/>
      <c r="I505" s="2501"/>
      <c r="J505" s="2501"/>
      <c r="K505" s="2501"/>
      <c r="L505" s="2501"/>
      <c r="M505" s="2501"/>
      <c r="N505" s="2501"/>
      <c r="O505" s="2501"/>
      <c r="P505" s="2501"/>
      <c r="Q505" s="2501"/>
      <c r="R505" s="2501"/>
      <c r="S505" s="2501"/>
      <c r="T505" s="2501"/>
      <c r="U505" s="2501"/>
      <c r="V505" s="2501"/>
      <c r="W505" s="2501"/>
      <c r="X505" s="2501"/>
      <c r="Y505" s="2501"/>
      <c r="Z505" s="2501"/>
      <c r="AA505" s="2501"/>
      <c r="AB505" s="1749">
        <f>SUM(AB501:AB504)</f>
        <v>312.45</v>
      </c>
    </row>
    <row r="506" spans="2:28" x14ac:dyDescent="0.25">
      <c r="B506" s="1715"/>
      <c r="C506" s="1715"/>
      <c r="D506" s="1715"/>
      <c r="E506" s="1715"/>
      <c r="F506" s="1715"/>
      <c r="G506" s="1715"/>
      <c r="H506" s="1715"/>
      <c r="I506" s="1715"/>
      <c r="J506" s="1715"/>
      <c r="K506" s="1715"/>
      <c r="L506" s="1715"/>
      <c r="M506" s="1715"/>
      <c r="N506" s="1715"/>
      <c r="O506" s="1715"/>
      <c r="P506" s="1715"/>
      <c r="Q506" s="1715"/>
      <c r="R506" s="1715"/>
      <c r="S506" s="1715"/>
      <c r="T506" s="1715"/>
      <c r="U506" s="1715"/>
      <c r="V506" s="1715"/>
      <c r="W506" s="1715"/>
      <c r="X506" s="1715"/>
      <c r="Y506" s="1715"/>
      <c r="Z506" s="1715"/>
      <c r="AA506" s="1715"/>
      <c r="AB506" s="1715"/>
    </row>
    <row r="507" spans="2:28" x14ac:dyDescent="0.25">
      <c r="B507" s="1715"/>
      <c r="C507" s="1715"/>
      <c r="D507" s="1715"/>
      <c r="E507" s="1715"/>
      <c r="F507" s="1715"/>
      <c r="G507" s="1715"/>
      <c r="H507" s="1715"/>
      <c r="I507" s="1715"/>
      <c r="J507" s="1715"/>
      <c r="K507" s="1715"/>
      <c r="L507" s="1715"/>
      <c r="M507" s="1715"/>
      <c r="N507" s="1715"/>
      <c r="O507" s="1715"/>
      <c r="P507" s="1715"/>
      <c r="Q507" s="1715"/>
      <c r="R507" s="1715"/>
      <c r="S507" s="1715"/>
      <c r="T507" s="1715"/>
      <c r="U507" s="1715"/>
      <c r="V507" s="1715"/>
      <c r="W507" s="1715"/>
      <c r="X507" s="1715"/>
      <c r="Y507" s="1715"/>
      <c r="Z507" s="1715"/>
      <c r="AA507" s="1715"/>
      <c r="AB507" s="1715"/>
    </row>
    <row r="508" spans="2:28" x14ac:dyDescent="0.25">
      <c r="B508" s="1715"/>
      <c r="C508" s="1715"/>
      <c r="D508" s="1715"/>
      <c r="E508" s="1715"/>
      <c r="F508" s="1715"/>
      <c r="G508" s="1715"/>
      <c r="H508" s="1715"/>
      <c r="I508" s="1715"/>
      <c r="J508" s="1715"/>
      <c r="K508" s="1715"/>
      <c r="L508" s="1715"/>
      <c r="M508" s="1715"/>
      <c r="N508" s="1715"/>
      <c r="O508" s="1715"/>
      <c r="P508" s="1715"/>
      <c r="Q508" s="1715"/>
      <c r="R508" s="1715"/>
      <c r="S508" s="1715"/>
      <c r="T508" s="1715"/>
      <c r="U508" s="1715"/>
      <c r="V508" s="1715"/>
      <c r="W508" s="1715"/>
      <c r="X508" s="1715"/>
      <c r="Y508" s="1715"/>
      <c r="Z508" s="1715"/>
      <c r="AA508" s="1715"/>
      <c r="AB508" s="1715"/>
    </row>
    <row r="509" spans="2:28" x14ac:dyDescent="0.25">
      <c r="B509" s="1714"/>
      <c r="C509" s="1714"/>
      <c r="D509" s="1714"/>
      <c r="E509" s="1714"/>
      <c r="F509" s="1714"/>
      <c r="G509" s="1714"/>
      <c r="H509" s="1714"/>
      <c r="I509" s="1714"/>
      <c r="J509" s="1714"/>
      <c r="K509" s="1714"/>
      <c r="L509" s="1714"/>
      <c r="M509" s="1714"/>
      <c r="N509" s="1714"/>
      <c r="O509" s="1714"/>
      <c r="P509" s="1714"/>
      <c r="Q509" s="1714"/>
      <c r="R509" s="1714"/>
      <c r="S509" s="1714"/>
      <c r="T509" s="1714"/>
      <c r="U509" s="1714"/>
      <c r="V509" s="1714"/>
      <c r="W509" s="1714"/>
      <c r="X509" s="1714"/>
      <c r="Y509" s="1714"/>
      <c r="Z509" s="1714"/>
      <c r="AA509" s="1714"/>
      <c r="AB509" s="1714"/>
    </row>
  </sheetData>
  <sheetProtection algorithmName="SHA-512" hashValue="sTD1Lo2HdcPU6oSYA32dCyHnCJf95jnTBI77ZtyFlCfKVBv0r5ReVrOXzaWyCaaRkaF2b+yBESujYUcYOKBPHA==" saltValue="4mgDB8Ecab1sPoOYBv6RyQ==" spinCount="100000" sheet="1" objects="1" scenarios="1"/>
  <mergeCells count="102">
    <mergeCell ref="C489:AB489"/>
    <mergeCell ref="B496:AA496"/>
    <mergeCell ref="C498:AB498"/>
    <mergeCell ref="B505:AA505"/>
    <mergeCell ref="C462:AB462"/>
    <mergeCell ref="B469:AA469"/>
    <mergeCell ref="C471:AB471"/>
    <mergeCell ref="B478:AA478"/>
    <mergeCell ref="C480:AB480"/>
    <mergeCell ref="B487:AA487"/>
    <mergeCell ref="B458:AA458"/>
    <mergeCell ref="C406:AB406"/>
    <mergeCell ref="B413:AA413"/>
    <mergeCell ref="C415:AB415"/>
    <mergeCell ref="B422:AA422"/>
    <mergeCell ref="C424:AB424"/>
    <mergeCell ref="B431:AA431"/>
    <mergeCell ref="C433:AB433"/>
    <mergeCell ref="B440:AA440"/>
    <mergeCell ref="C442:AB442"/>
    <mergeCell ref="B449:AA449"/>
    <mergeCell ref="C451:AB451"/>
    <mergeCell ref="B402:AA402"/>
    <mergeCell ref="C348:AB348"/>
    <mergeCell ref="B355:AA355"/>
    <mergeCell ref="C359:AB359"/>
    <mergeCell ref="B366:AA366"/>
    <mergeCell ref="C368:AB368"/>
    <mergeCell ref="B375:AA375"/>
    <mergeCell ref="C377:AB377"/>
    <mergeCell ref="B384:AA384"/>
    <mergeCell ref="C386:AB386"/>
    <mergeCell ref="B393:AA393"/>
    <mergeCell ref="C395:AB395"/>
    <mergeCell ref="B346:AA346"/>
    <mergeCell ref="C292:AB292"/>
    <mergeCell ref="B299:AA299"/>
    <mergeCell ref="C303:AB303"/>
    <mergeCell ref="B310:AA310"/>
    <mergeCell ref="C312:AB312"/>
    <mergeCell ref="B319:AA319"/>
    <mergeCell ref="C321:AB321"/>
    <mergeCell ref="B328:AA328"/>
    <mergeCell ref="C330:AB330"/>
    <mergeCell ref="B337:AA337"/>
    <mergeCell ref="C339:AB339"/>
    <mergeCell ref="B290:AA290"/>
    <mergeCell ref="C236:AB236"/>
    <mergeCell ref="B243:AA243"/>
    <mergeCell ref="C247:AB247"/>
    <mergeCell ref="B254:AA254"/>
    <mergeCell ref="C256:AB256"/>
    <mergeCell ref="B263:AA263"/>
    <mergeCell ref="C265:AB265"/>
    <mergeCell ref="B272:AA272"/>
    <mergeCell ref="C274:AB274"/>
    <mergeCell ref="B281:AA281"/>
    <mergeCell ref="C283:AB283"/>
    <mergeCell ref="B234:AA234"/>
    <mergeCell ref="C180:AB180"/>
    <mergeCell ref="B187:AA187"/>
    <mergeCell ref="C191:AB191"/>
    <mergeCell ref="B198:AA198"/>
    <mergeCell ref="C200:AB200"/>
    <mergeCell ref="B207:AA207"/>
    <mergeCell ref="C209:AB209"/>
    <mergeCell ref="B216:AA216"/>
    <mergeCell ref="C218:AB218"/>
    <mergeCell ref="B225:AA225"/>
    <mergeCell ref="C227:AB227"/>
    <mergeCell ref="B178:AA178"/>
    <mergeCell ref="B127:AA127"/>
    <mergeCell ref="C135:AB135"/>
    <mergeCell ref="B142:AA142"/>
    <mergeCell ref="C144:AB144"/>
    <mergeCell ref="B151:AA151"/>
    <mergeCell ref="C153:AB153"/>
    <mergeCell ref="B160:AA160"/>
    <mergeCell ref="C162:AB162"/>
    <mergeCell ref="B169:AA169"/>
    <mergeCell ref="C171:AB171"/>
    <mergeCell ref="B131:O131"/>
    <mergeCell ref="C51:O51"/>
    <mergeCell ref="C71:O71"/>
    <mergeCell ref="B43:AA43"/>
    <mergeCell ref="B5:Z5"/>
    <mergeCell ref="B6:AB6"/>
    <mergeCell ref="B27:AA27"/>
    <mergeCell ref="C21:O21"/>
    <mergeCell ref="C32:O32"/>
    <mergeCell ref="C121:AB121"/>
    <mergeCell ref="B57:AA57"/>
    <mergeCell ref="B82:AA82"/>
    <mergeCell ref="C91:AB91"/>
    <mergeCell ref="C97:AB97"/>
    <mergeCell ref="B103:AA103"/>
    <mergeCell ref="C105:AB105"/>
    <mergeCell ref="B111:AA111"/>
    <mergeCell ref="C113:AB113"/>
    <mergeCell ref="B119:AA119"/>
    <mergeCell ref="C61:O61"/>
    <mergeCell ref="B67:AA67"/>
  </mergeCells>
  <dataValidations count="2">
    <dataValidation type="list" errorStyle="warning" allowBlank="1" showErrorMessage="1" error="Enter a value of &quot;1&quot; or &quot;0&quot;" sqref="C35:Z42 C24:Z26 C194:Z197 C138:Z141 C465:Z468 C250:Z253 C362:Z365 C306:Z309 C409:Z412" xr:uid="{00000000-0002-0000-0500-000000000000}">
      <formula1>"1,0"</formula1>
    </dataValidation>
    <dataValidation type="decimal" errorStyle="warning" allowBlank="1" showErrorMessage="1" error="Enter a percentage value between 0% and 100%" sqref="C54:Z56 C74:Z81 C108:Z110 C116:Z118 C64:Z66" xr:uid="{00000000-0002-0000-0500-000001000000}">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7" r:id="rId4" name="btnEFLH_On_Off_Abbreviated">
              <controlPr defaultSize="0" print="0" autoFill="0" autoPict="0" macro="[0]!CopyPasteRange">
                <anchor moveWithCells="1">
                  <from>
                    <xdr:col>1</xdr:col>
                    <xdr:colOff>19050</xdr:colOff>
                    <xdr:row>28</xdr:row>
                    <xdr:rowOff>47625</xdr:rowOff>
                  </from>
                  <to>
                    <xdr:col>3</xdr:col>
                    <xdr:colOff>104775</xdr:colOff>
                    <xdr:row>28</xdr:row>
                    <xdr:rowOff>314325</xdr:rowOff>
                  </to>
                </anchor>
              </controlPr>
            </control>
          </mc:Choice>
        </mc:AlternateContent>
        <mc:AlternateContent xmlns:mc="http://schemas.openxmlformats.org/markup-compatibility/2006">
          <mc:Choice Requires="x14">
            <control shapeId="169988" r:id="rId5" name="btnEFLH_On_Off_Detailed">
              <controlPr defaultSize="0" print="0" autoFill="0" autoPict="0" macro="[0]!CopyPasteRange">
                <anchor moveWithCells="1">
                  <from>
                    <xdr:col>0</xdr:col>
                    <xdr:colOff>76200</xdr:colOff>
                    <xdr:row>44</xdr:row>
                    <xdr:rowOff>57150</xdr:rowOff>
                  </from>
                  <to>
                    <xdr:col>2</xdr:col>
                    <xdr:colOff>561975</xdr:colOff>
                    <xdr:row>44</xdr:row>
                    <xdr:rowOff>323850</xdr:rowOff>
                  </to>
                </anchor>
              </controlPr>
            </control>
          </mc:Choice>
        </mc:AlternateContent>
        <mc:AlternateContent xmlns:mc="http://schemas.openxmlformats.org/markup-compatibility/2006">
          <mc:Choice Requires="x14">
            <control shapeId="169990" r:id="rId6" name="btnEFLH_Fraction_Abbreviated">
              <controlPr defaultSize="0" print="0" autoFill="0" autoPict="0" macro="[0]!CopyPasteRange">
                <anchor moveWithCells="1">
                  <from>
                    <xdr:col>0</xdr:col>
                    <xdr:colOff>95250</xdr:colOff>
                    <xdr:row>58</xdr:row>
                    <xdr:rowOff>47625</xdr:rowOff>
                  </from>
                  <to>
                    <xdr:col>3</xdr:col>
                    <xdr:colOff>0</xdr:colOff>
                    <xdr:row>58</xdr:row>
                    <xdr:rowOff>314325</xdr:rowOff>
                  </to>
                </anchor>
              </controlPr>
            </control>
          </mc:Choice>
        </mc:AlternateContent>
        <mc:AlternateContent xmlns:mc="http://schemas.openxmlformats.org/markup-compatibility/2006">
          <mc:Choice Requires="x14">
            <control shapeId="169991" r:id="rId7" name="btnEFLH_Fraction_Detailed">
              <controlPr defaultSize="0" print="0" autoFill="0" autoPict="0" macro="[0]!CopyPasteRange">
                <anchor moveWithCells="1">
                  <from>
                    <xdr:col>0</xdr:col>
                    <xdr:colOff>57150</xdr:colOff>
                    <xdr:row>83</xdr:row>
                    <xdr:rowOff>19050</xdr:rowOff>
                  </from>
                  <to>
                    <xdr:col>2</xdr:col>
                    <xdr:colOff>542925</xdr:colOff>
                    <xdr:row>83</xdr:row>
                    <xdr:rowOff>285750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HP248"/>
  <sheetViews>
    <sheetView zoomScale="70" zoomScaleNormal="70" workbookViewId="0"/>
  </sheetViews>
  <sheetFormatPr defaultColWidth="9.140625" defaultRowHeight="15" outlineLevelCol="1" x14ac:dyDescent="0.25"/>
  <cols>
    <col min="1" max="1" width="1.7109375" customWidth="1"/>
    <col min="2" max="2" width="13.85546875" customWidth="1"/>
    <col min="3" max="3" width="29.42578125" style="659" customWidth="1"/>
    <col min="4" max="21" width="9.7109375" customWidth="1"/>
    <col min="22" max="23" width="2.7109375" style="897" customWidth="1"/>
    <col min="24" max="24" width="50.7109375" style="897" customWidth="1"/>
    <col min="25" max="26" width="9.140625" style="897"/>
    <col min="27" max="27" width="11" style="897" customWidth="1"/>
    <col min="28" max="29" width="9.140625" style="897"/>
    <col min="30" max="30" width="41.7109375" style="897" hidden="1" customWidth="1" outlineLevel="1"/>
    <col min="31" max="31" width="9.140625" style="897" collapsed="1"/>
    <col min="32" max="224" width="9.140625" style="897"/>
  </cols>
  <sheetData>
    <row r="1" spans="1:224" x14ac:dyDescent="0.25">
      <c r="A1" s="819" t="s">
        <v>1298</v>
      </c>
      <c r="B1" s="103"/>
      <c r="C1" s="103"/>
      <c r="D1" s="103"/>
      <c r="E1" s="103"/>
      <c r="F1" s="103"/>
      <c r="G1" s="102"/>
      <c r="H1" s="103"/>
      <c r="I1" s="102"/>
      <c r="J1" s="102"/>
      <c r="K1" s="103"/>
      <c r="L1" s="103"/>
      <c r="M1" s="103"/>
      <c r="N1" s="103"/>
      <c r="O1" s="103"/>
      <c r="P1" s="103"/>
      <c r="Q1" s="103"/>
      <c r="R1" s="103"/>
      <c r="S1" s="103"/>
      <c r="T1" s="103"/>
      <c r="U1" s="103"/>
    </row>
    <row r="2" spans="1:224" ht="24.75" x14ac:dyDescent="0.25">
      <c r="A2" s="819" t="s">
        <v>1298</v>
      </c>
      <c r="B2" s="44" t="s">
        <v>1378</v>
      </c>
      <c r="C2" s="44"/>
      <c r="D2" s="44"/>
      <c r="E2" s="44"/>
      <c r="F2" s="44"/>
      <c r="G2" s="44"/>
      <c r="H2" s="44"/>
      <c r="I2" s="44"/>
      <c r="J2" s="44"/>
      <c r="K2" s="44"/>
      <c r="L2" s="44"/>
      <c r="M2" s="44"/>
      <c r="N2" s="44"/>
      <c r="O2" s="44"/>
      <c r="P2" s="44"/>
      <c r="Q2" s="44"/>
      <c r="R2" s="44"/>
      <c r="S2" s="44"/>
      <c r="T2" s="44"/>
      <c r="U2" s="44"/>
    </row>
    <row r="3" spans="1:224" x14ac:dyDescent="0.25">
      <c r="A3" s="819" t="s">
        <v>1298</v>
      </c>
      <c r="B3" s="103"/>
      <c r="C3" s="103"/>
      <c r="D3" s="103"/>
      <c r="E3" s="103"/>
      <c r="F3" s="103"/>
      <c r="G3" s="102"/>
      <c r="H3" s="103"/>
      <c r="I3" s="102"/>
      <c r="J3" s="102"/>
      <c r="K3" s="103"/>
      <c r="L3" s="103"/>
      <c r="M3" s="103"/>
      <c r="N3" s="103"/>
      <c r="O3" s="103"/>
      <c r="P3" s="103"/>
      <c r="Q3" s="103"/>
      <c r="R3" s="103"/>
      <c r="S3" s="103"/>
      <c r="T3" s="103"/>
      <c r="U3" s="103"/>
    </row>
    <row r="4" spans="1:224" x14ac:dyDescent="0.25">
      <c r="A4" s="990" t="s">
        <v>1298</v>
      </c>
      <c r="B4" s="885"/>
      <c r="C4" s="885"/>
      <c r="D4" s="885"/>
      <c r="E4" s="885"/>
      <c r="F4" s="885"/>
      <c r="G4" s="885"/>
      <c r="H4" s="885"/>
      <c r="I4" s="885"/>
      <c r="J4" s="885"/>
      <c r="K4" s="885"/>
      <c r="L4" s="885"/>
      <c r="M4" s="885"/>
      <c r="N4" s="885"/>
      <c r="O4" s="885"/>
      <c r="P4" s="885"/>
      <c r="Q4" s="885"/>
      <c r="R4" s="897"/>
      <c r="S4" s="897"/>
      <c r="T4" s="897"/>
      <c r="U4" s="897"/>
    </row>
    <row r="5" spans="1:224" x14ac:dyDescent="0.25">
      <c r="A5" s="990" t="s">
        <v>1298</v>
      </c>
      <c r="B5" s="921" t="s">
        <v>1379</v>
      </c>
      <c r="C5" s="921"/>
      <c r="D5" s="919"/>
      <c r="E5" s="919"/>
      <c r="F5" s="919"/>
      <c r="G5" s="919"/>
      <c r="H5" s="919"/>
      <c r="I5" s="919"/>
      <c r="J5" s="919"/>
      <c r="K5" s="919"/>
      <c r="L5" s="919"/>
      <c r="M5" s="919"/>
      <c r="N5" s="919"/>
      <c r="O5" s="919"/>
      <c r="P5" s="919"/>
      <c r="Q5" s="919"/>
      <c r="R5" s="920"/>
      <c r="S5" s="920"/>
      <c r="T5" s="920"/>
      <c r="U5" s="920"/>
      <c r="V5" s="920"/>
      <c r="X5" s="897" t="s">
        <v>2090</v>
      </c>
    </row>
    <row r="6" spans="1:224" s="659" customFormat="1" x14ac:dyDescent="0.25">
      <c r="A6" s="990" t="s">
        <v>1298</v>
      </c>
      <c r="B6" s="907"/>
      <c r="C6" s="937"/>
      <c r="D6" s="907"/>
      <c r="E6" s="907"/>
      <c r="F6" s="907"/>
      <c r="G6" s="907"/>
      <c r="H6" s="907"/>
      <c r="I6" s="907"/>
      <c r="J6" s="907"/>
      <c r="K6" s="907"/>
      <c r="L6" s="907"/>
      <c r="M6" s="907"/>
      <c r="N6" s="907"/>
      <c r="O6" s="907"/>
      <c r="P6" s="907"/>
      <c r="Q6" s="907"/>
      <c r="R6" s="908"/>
      <c r="S6" s="908"/>
      <c r="T6" s="908"/>
      <c r="U6" s="908"/>
      <c r="V6" s="897"/>
      <c r="W6" s="897"/>
      <c r="X6" s="897"/>
      <c r="Y6" s="897"/>
      <c r="Z6" s="897"/>
      <c r="AA6" s="897"/>
      <c r="AB6" s="897"/>
      <c r="AC6" s="897"/>
      <c r="AD6" s="897"/>
      <c r="AE6" s="897"/>
      <c r="AF6" s="897"/>
      <c r="AG6" s="897"/>
      <c r="AH6" s="897"/>
      <c r="AI6" s="897"/>
      <c r="AJ6" s="897"/>
      <c r="AK6" s="897"/>
      <c r="AL6" s="897"/>
      <c r="AM6" s="897"/>
      <c r="AN6" s="897"/>
      <c r="AO6" s="897"/>
      <c r="AP6" s="897"/>
      <c r="AQ6" s="897"/>
      <c r="AR6" s="897"/>
      <c r="AS6" s="897"/>
      <c r="AT6" s="897"/>
      <c r="AU6" s="897"/>
      <c r="AV6" s="897"/>
      <c r="AW6" s="897"/>
      <c r="AX6" s="897"/>
      <c r="AY6" s="897"/>
      <c r="AZ6" s="897"/>
      <c r="BA6" s="897"/>
      <c r="BB6" s="897"/>
      <c r="BC6" s="897"/>
      <c r="BD6" s="897"/>
      <c r="BE6" s="897"/>
      <c r="BF6" s="897"/>
      <c r="BG6" s="897"/>
      <c r="BH6" s="897"/>
      <c r="BI6" s="897"/>
      <c r="BJ6" s="897"/>
      <c r="BK6" s="897"/>
      <c r="BL6" s="897"/>
      <c r="BM6" s="897"/>
      <c r="BN6" s="897"/>
      <c r="BO6" s="897"/>
      <c r="BP6" s="897"/>
      <c r="BQ6" s="897"/>
      <c r="BR6" s="897"/>
      <c r="BS6" s="897"/>
      <c r="BT6" s="897"/>
      <c r="BU6" s="897"/>
      <c r="BV6" s="897"/>
      <c r="BW6" s="897"/>
      <c r="BX6" s="897"/>
      <c r="BY6" s="897"/>
      <c r="BZ6" s="897"/>
      <c r="CA6" s="897"/>
      <c r="CB6" s="897"/>
      <c r="CC6" s="897"/>
      <c r="CD6" s="897"/>
      <c r="CE6" s="897"/>
      <c r="CF6" s="897"/>
      <c r="CG6" s="897"/>
      <c r="CH6" s="897"/>
      <c r="CI6" s="897"/>
      <c r="CJ6" s="897"/>
      <c r="CK6" s="897"/>
      <c r="CL6" s="897"/>
      <c r="CM6" s="897"/>
      <c r="CN6" s="897"/>
      <c r="CO6" s="897"/>
      <c r="CP6" s="897"/>
      <c r="CQ6" s="897"/>
      <c r="CR6" s="897"/>
      <c r="CS6" s="897"/>
      <c r="CT6" s="897"/>
      <c r="CU6" s="897"/>
      <c r="CV6" s="897"/>
      <c r="CW6" s="897"/>
      <c r="CX6" s="897"/>
      <c r="CY6" s="897"/>
      <c r="CZ6" s="897"/>
      <c r="DA6" s="897"/>
      <c r="DB6" s="897"/>
      <c r="DC6" s="897"/>
      <c r="DD6" s="897"/>
      <c r="DE6" s="897"/>
      <c r="DF6" s="897"/>
      <c r="DG6" s="897"/>
      <c r="DH6" s="897"/>
      <c r="DI6" s="897"/>
      <c r="DJ6" s="897"/>
      <c r="DK6" s="897"/>
      <c r="DL6" s="897"/>
      <c r="DM6" s="897"/>
      <c r="DN6" s="897"/>
      <c r="DO6" s="897"/>
      <c r="DP6" s="897"/>
      <c r="DQ6" s="897"/>
      <c r="DR6" s="897"/>
      <c r="DS6" s="897"/>
      <c r="DT6" s="897"/>
      <c r="DU6" s="897"/>
      <c r="DV6" s="897"/>
      <c r="DW6" s="897"/>
      <c r="DX6" s="897"/>
      <c r="DY6" s="897"/>
      <c r="DZ6" s="897"/>
      <c r="EA6" s="897"/>
      <c r="EB6" s="897"/>
      <c r="EC6" s="897"/>
      <c r="ED6" s="897"/>
      <c r="EE6" s="897"/>
      <c r="EF6" s="897"/>
      <c r="EG6" s="897"/>
      <c r="EH6" s="897"/>
      <c r="EI6" s="897"/>
      <c r="EJ6" s="897"/>
      <c r="EK6" s="897"/>
      <c r="EL6" s="897"/>
      <c r="EM6" s="897"/>
      <c r="EN6" s="897"/>
      <c r="EO6" s="897"/>
      <c r="EP6" s="897"/>
      <c r="EQ6" s="897"/>
      <c r="ER6" s="897"/>
      <c r="ES6" s="897"/>
      <c r="ET6" s="897"/>
      <c r="EU6" s="897"/>
      <c r="EV6" s="897"/>
      <c r="EW6" s="897"/>
      <c r="EX6" s="897"/>
      <c r="EY6" s="897"/>
      <c r="EZ6" s="897"/>
      <c r="FA6" s="897"/>
      <c r="FB6" s="897"/>
      <c r="FC6" s="897"/>
      <c r="FD6" s="897"/>
      <c r="FE6" s="897"/>
      <c r="FF6" s="897"/>
      <c r="FG6" s="897"/>
      <c r="FH6" s="897"/>
      <c r="FI6" s="897"/>
      <c r="FJ6" s="897"/>
      <c r="FK6" s="897"/>
      <c r="FL6" s="897"/>
      <c r="FM6" s="897"/>
      <c r="FN6" s="897"/>
      <c r="FO6" s="897"/>
      <c r="FP6" s="897"/>
      <c r="FQ6" s="897"/>
      <c r="FR6" s="897"/>
      <c r="FS6" s="897"/>
      <c r="FT6" s="897"/>
      <c r="FU6" s="897"/>
      <c r="FV6" s="897"/>
      <c r="FW6" s="897"/>
      <c r="FX6" s="897"/>
      <c r="FY6" s="897"/>
      <c r="FZ6" s="897"/>
      <c r="GA6" s="897"/>
      <c r="GB6" s="897"/>
      <c r="GC6" s="897"/>
      <c r="GD6" s="897"/>
      <c r="GE6" s="897"/>
      <c r="GF6" s="897"/>
      <c r="GG6" s="897"/>
      <c r="GH6" s="897"/>
      <c r="GI6" s="897"/>
      <c r="GJ6" s="897"/>
      <c r="GK6" s="897"/>
      <c r="GL6" s="897"/>
      <c r="GM6" s="897"/>
      <c r="GN6" s="897"/>
      <c r="GO6" s="897"/>
      <c r="GP6" s="897"/>
      <c r="GQ6" s="897"/>
      <c r="GR6" s="897"/>
      <c r="GS6" s="897"/>
      <c r="GT6" s="897"/>
      <c r="GU6" s="897"/>
      <c r="GV6" s="897"/>
      <c r="GW6" s="897"/>
      <c r="GX6" s="897"/>
      <c r="GY6" s="897"/>
      <c r="GZ6" s="897"/>
      <c r="HA6" s="897"/>
      <c r="HB6" s="897"/>
      <c r="HC6" s="897"/>
      <c r="HD6" s="897"/>
      <c r="HE6" s="897"/>
      <c r="HF6" s="897"/>
      <c r="HG6" s="897"/>
      <c r="HH6" s="897"/>
      <c r="HI6" s="897"/>
      <c r="HJ6" s="897"/>
      <c r="HK6" s="897"/>
      <c r="HL6" s="897"/>
      <c r="HM6" s="897"/>
      <c r="HN6" s="897"/>
      <c r="HO6" s="897"/>
      <c r="HP6" s="897"/>
    </row>
    <row r="7" spans="1:224" s="659" customFormat="1" ht="15.75" x14ac:dyDescent="0.25">
      <c r="A7" s="990" t="s">
        <v>1298</v>
      </c>
      <c r="B7" s="902" t="s">
        <v>1410</v>
      </c>
      <c r="C7" s="902"/>
      <c r="D7" s="907"/>
      <c r="E7" s="907"/>
      <c r="F7" s="907"/>
      <c r="G7" s="907"/>
      <c r="H7" s="907"/>
      <c r="I7" s="907"/>
      <c r="J7" s="907"/>
      <c r="K7" s="907"/>
      <c r="L7" s="907"/>
      <c r="M7" s="907"/>
      <c r="N7" s="907"/>
      <c r="O7" s="907"/>
      <c r="P7" s="907"/>
      <c r="Q7" s="907"/>
      <c r="R7" s="908"/>
      <c r="S7" s="908"/>
      <c r="T7" s="908"/>
      <c r="U7" s="908"/>
      <c r="V7" s="897"/>
      <c r="W7" s="897"/>
      <c r="X7" s="897"/>
      <c r="Y7" s="897"/>
      <c r="Z7" s="897"/>
      <c r="AA7" s="897"/>
      <c r="AB7" s="897"/>
      <c r="AC7" s="897"/>
      <c r="AD7" s="897"/>
      <c r="AE7" s="897"/>
      <c r="AF7" s="897"/>
      <c r="AG7" s="897"/>
      <c r="AH7" s="897"/>
      <c r="AI7" s="897"/>
      <c r="AJ7" s="897"/>
      <c r="AK7" s="897"/>
      <c r="AL7" s="897"/>
      <c r="AM7" s="897"/>
      <c r="AN7" s="897"/>
      <c r="AO7" s="897"/>
      <c r="AP7" s="897"/>
      <c r="AQ7" s="897"/>
      <c r="AR7" s="897"/>
      <c r="AS7" s="897"/>
      <c r="AT7" s="897"/>
      <c r="AU7" s="897"/>
      <c r="AV7" s="897"/>
      <c r="AW7" s="897"/>
      <c r="AX7" s="897"/>
      <c r="AY7" s="897"/>
      <c r="AZ7" s="897"/>
      <c r="BA7" s="897"/>
      <c r="BB7" s="897"/>
      <c r="BC7" s="897"/>
      <c r="BD7" s="897"/>
      <c r="BE7" s="897"/>
      <c r="BF7" s="897"/>
      <c r="BG7" s="897"/>
      <c r="BH7" s="897"/>
      <c r="BI7" s="897"/>
      <c r="BJ7" s="897"/>
      <c r="BK7" s="897"/>
      <c r="BL7" s="897"/>
      <c r="BM7" s="897"/>
      <c r="BN7" s="897"/>
      <c r="BO7" s="897"/>
      <c r="BP7" s="897"/>
      <c r="BQ7" s="897"/>
      <c r="BR7" s="897"/>
      <c r="BS7" s="897"/>
      <c r="BT7" s="897"/>
      <c r="BU7" s="897"/>
      <c r="BV7" s="897"/>
      <c r="BW7" s="897"/>
      <c r="BX7" s="897"/>
      <c r="BY7" s="897"/>
      <c r="BZ7" s="897"/>
      <c r="CA7" s="897"/>
      <c r="CB7" s="897"/>
      <c r="CC7" s="897"/>
      <c r="CD7" s="897"/>
      <c r="CE7" s="897"/>
      <c r="CF7" s="897"/>
      <c r="CG7" s="897"/>
      <c r="CH7" s="897"/>
      <c r="CI7" s="897"/>
      <c r="CJ7" s="897"/>
      <c r="CK7" s="897"/>
      <c r="CL7" s="897"/>
      <c r="CM7" s="897"/>
      <c r="CN7" s="897"/>
      <c r="CO7" s="897"/>
      <c r="CP7" s="897"/>
      <c r="CQ7" s="897"/>
      <c r="CR7" s="897"/>
      <c r="CS7" s="897"/>
      <c r="CT7" s="897"/>
      <c r="CU7" s="897"/>
      <c r="CV7" s="897"/>
      <c r="CW7" s="897"/>
      <c r="CX7" s="897"/>
      <c r="CY7" s="897"/>
      <c r="CZ7" s="897"/>
      <c r="DA7" s="897"/>
      <c r="DB7" s="897"/>
      <c r="DC7" s="897"/>
      <c r="DD7" s="897"/>
      <c r="DE7" s="897"/>
      <c r="DF7" s="897"/>
      <c r="DG7" s="897"/>
      <c r="DH7" s="897"/>
      <c r="DI7" s="897"/>
      <c r="DJ7" s="897"/>
      <c r="DK7" s="897"/>
      <c r="DL7" s="897"/>
      <c r="DM7" s="897"/>
      <c r="DN7" s="897"/>
      <c r="DO7" s="897"/>
      <c r="DP7" s="897"/>
      <c r="DQ7" s="897"/>
      <c r="DR7" s="897"/>
      <c r="DS7" s="897"/>
      <c r="DT7" s="897"/>
      <c r="DU7" s="897"/>
      <c r="DV7" s="897"/>
      <c r="DW7" s="897"/>
      <c r="DX7" s="897"/>
      <c r="DY7" s="897"/>
      <c r="DZ7" s="897"/>
      <c r="EA7" s="897"/>
      <c r="EB7" s="897"/>
      <c r="EC7" s="897"/>
      <c r="ED7" s="897"/>
      <c r="EE7" s="897"/>
      <c r="EF7" s="897"/>
      <c r="EG7" s="897"/>
      <c r="EH7" s="897"/>
      <c r="EI7" s="897"/>
      <c r="EJ7" s="897"/>
      <c r="EK7" s="897"/>
      <c r="EL7" s="897"/>
      <c r="EM7" s="897"/>
      <c r="EN7" s="897"/>
      <c r="EO7" s="897"/>
      <c r="EP7" s="897"/>
      <c r="EQ7" s="897"/>
      <c r="ER7" s="897"/>
      <c r="ES7" s="897"/>
      <c r="ET7" s="897"/>
      <c r="EU7" s="897"/>
      <c r="EV7" s="897"/>
      <c r="EW7" s="897"/>
      <c r="EX7" s="897"/>
      <c r="EY7" s="897"/>
      <c r="EZ7" s="897"/>
      <c r="FA7" s="897"/>
      <c r="FB7" s="897"/>
      <c r="FC7" s="897"/>
      <c r="FD7" s="897"/>
      <c r="FE7" s="897"/>
      <c r="FF7" s="897"/>
      <c r="FG7" s="897"/>
      <c r="FH7" s="897"/>
      <c r="FI7" s="897"/>
      <c r="FJ7" s="897"/>
      <c r="FK7" s="897"/>
      <c r="FL7" s="897"/>
      <c r="FM7" s="897"/>
      <c r="FN7" s="897"/>
      <c r="FO7" s="897"/>
      <c r="FP7" s="897"/>
      <c r="FQ7" s="897"/>
      <c r="FR7" s="897"/>
      <c r="FS7" s="897"/>
      <c r="FT7" s="897"/>
      <c r="FU7" s="897"/>
      <c r="FV7" s="897"/>
      <c r="FW7" s="897"/>
      <c r="FX7" s="897"/>
      <c r="FY7" s="897"/>
      <c r="FZ7" s="897"/>
      <c r="GA7" s="897"/>
      <c r="GB7" s="897"/>
      <c r="GC7" s="897"/>
      <c r="GD7" s="897"/>
      <c r="GE7" s="897"/>
      <c r="GF7" s="897"/>
      <c r="GG7" s="897"/>
      <c r="GH7" s="897"/>
      <c r="GI7" s="897"/>
      <c r="GJ7" s="897"/>
      <c r="GK7" s="897"/>
      <c r="GL7" s="897"/>
      <c r="GM7" s="897"/>
      <c r="GN7" s="897"/>
      <c r="GO7" s="897"/>
      <c r="GP7" s="897"/>
      <c r="GQ7" s="897"/>
      <c r="GR7" s="897"/>
      <c r="GS7" s="897"/>
      <c r="GT7" s="897"/>
      <c r="GU7" s="897"/>
      <c r="GV7" s="897"/>
      <c r="GW7" s="897"/>
      <c r="GX7" s="897"/>
      <c r="GY7" s="897"/>
      <c r="GZ7" s="897"/>
      <c r="HA7" s="897"/>
      <c r="HB7" s="897"/>
      <c r="HC7" s="897"/>
      <c r="HD7" s="897"/>
      <c r="HE7" s="897"/>
      <c r="HF7" s="897"/>
      <c r="HG7" s="897"/>
      <c r="HH7" s="897"/>
      <c r="HI7" s="897"/>
      <c r="HJ7" s="897"/>
      <c r="HK7" s="897"/>
      <c r="HL7" s="897"/>
      <c r="HM7" s="897"/>
      <c r="HN7" s="897"/>
      <c r="HO7" s="897"/>
      <c r="HP7" s="897"/>
    </row>
    <row r="8" spans="1:224" x14ac:dyDescent="0.25">
      <c r="A8" s="990" t="s">
        <v>1298</v>
      </c>
      <c r="B8" s="885"/>
      <c r="C8" s="885"/>
      <c r="D8" s="885"/>
      <c r="E8" s="885"/>
      <c r="F8" s="885"/>
      <c r="G8" s="885"/>
      <c r="H8" s="885"/>
      <c r="I8" s="885"/>
      <c r="J8" s="885"/>
      <c r="K8" s="885"/>
      <c r="L8" s="885"/>
      <c r="M8" s="885"/>
      <c r="N8" s="885"/>
      <c r="O8" s="885"/>
      <c r="P8" s="885"/>
      <c r="Q8" s="885"/>
      <c r="R8" s="897"/>
      <c r="S8" s="897"/>
      <c r="T8" s="897"/>
      <c r="U8" s="897"/>
    </row>
    <row r="9" spans="1:224" x14ac:dyDescent="0.25">
      <c r="A9" s="991" t="s">
        <v>1298</v>
      </c>
      <c r="B9" s="2519" t="s">
        <v>1357</v>
      </c>
      <c r="C9" s="2520"/>
      <c r="D9" s="2481" t="s">
        <v>1358</v>
      </c>
      <c r="E9" s="2483"/>
      <c r="F9" s="2481" t="s">
        <v>1359</v>
      </c>
      <c r="G9" s="2483"/>
      <c r="H9" s="2481" t="s">
        <v>1360</v>
      </c>
      <c r="I9" s="2483"/>
      <c r="J9" s="2481" t="s">
        <v>1361</v>
      </c>
      <c r="K9" s="2483"/>
      <c r="L9" s="2481" t="s">
        <v>1362</v>
      </c>
      <c r="M9" s="2483"/>
      <c r="N9" s="2481" t="s">
        <v>1363</v>
      </c>
      <c r="O9" s="2483"/>
      <c r="P9" s="2481" t="s">
        <v>1364</v>
      </c>
      <c r="Q9" s="2483"/>
      <c r="R9" s="2481" t="s">
        <v>1375</v>
      </c>
      <c r="S9" s="2483"/>
      <c r="T9" s="2481" t="s">
        <v>1376</v>
      </c>
      <c r="U9" s="2483"/>
    </row>
    <row r="10" spans="1:224" ht="38.25" x14ac:dyDescent="0.25">
      <c r="A10" s="991" t="s">
        <v>1298</v>
      </c>
      <c r="B10" s="2521"/>
      <c r="C10" s="2522"/>
      <c r="D10" s="1740" t="s">
        <v>1405</v>
      </c>
      <c r="E10" s="2059" t="str">
        <f>CONCATENATE("Average Floor Area",IF(SI_IP_Units="IP"," (sq ft)"," (sq m)"))</f>
        <v>Average Floor Area (sq ft)</v>
      </c>
      <c r="F10" s="1740" t="s">
        <v>1405</v>
      </c>
      <c r="G10" s="2059" t="str">
        <f>CONCATENATE("Average Floor Area",IF(SI_IP_Units="IP"," (sq ft)"," (sq m)"))</f>
        <v>Average Floor Area (sq ft)</v>
      </c>
      <c r="H10" s="1740" t="s">
        <v>1405</v>
      </c>
      <c r="I10" s="2059" t="str">
        <f>CONCATENATE("Average Floor Area",IF(SI_IP_Units="IP"," (sq ft)"," (sq m)"))</f>
        <v>Average Floor Area (sq ft)</v>
      </c>
      <c r="J10" s="1740" t="s">
        <v>1405</v>
      </c>
      <c r="K10" s="2059" t="str">
        <f>CONCATENATE("Average Floor Area",IF(SI_IP_Units="IP"," (sq ft)"," (sq m)"))</f>
        <v>Average Floor Area (sq ft)</v>
      </c>
      <c r="L10" s="1740" t="s">
        <v>1405</v>
      </c>
      <c r="M10" s="2059" t="str">
        <f>CONCATENATE("Average Floor Area",IF(SI_IP_Units="IP"," (sq ft)"," (sq m)"))</f>
        <v>Average Floor Area (sq ft)</v>
      </c>
      <c r="N10" s="1740" t="s">
        <v>1405</v>
      </c>
      <c r="O10" s="2059" t="str">
        <f>CONCATENATE("Average Floor Area",IF(SI_IP_Units="IP"," (sq ft)"," (sq m)"))</f>
        <v>Average Floor Area (sq ft)</v>
      </c>
      <c r="P10" s="1740" t="s">
        <v>1405</v>
      </c>
      <c r="Q10" s="2059" t="str">
        <f>CONCATENATE("Average Floor Area",IF(SI_IP_Units="IP"," (sq ft)"," (sq m)"))</f>
        <v>Average Floor Area (sq ft)</v>
      </c>
      <c r="R10" s="1740" t="s">
        <v>1405</v>
      </c>
      <c r="S10" s="2059" t="str">
        <f>CONCATENATE("Average Floor Area",IF(SI_IP_Units="IP"," (sq ft)"," (sq m)"))</f>
        <v>Average Floor Area (sq ft)</v>
      </c>
      <c r="T10" s="1740" t="s">
        <v>1405</v>
      </c>
      <c r="U10" s="2059" t="str">
        <f>CONCATENATE("Average Floor Area",IF(SI_IP_Units="IP"," (sq ft)"," (sq m)"))</f>
        <v>Average Floor Area (sq ft)</v>
      </c>
      <c r="AD10" s="918"/>
    </row>
    <row r="11" spans="1:224" s="659" customFormat="1" hidden="1" x14ac:dyDescent="0.25">
      <c r="A11" s="991" t="s">
        <v>1298</v>
      </c>
      <c r="B11" s="932" t="s">
        <v>1357</v>
      </c>
      <c r="C11" s="932"/>
      <c r="D11" s="932" t="s">
        <v>1391</v>
      </c>
      <c r="E11" s="932" t="s">
        <v>1387</v>
      </c>
      <c r="F11" s="932" t="s">
        <v>1388</v>
      </c>
      <c r="G11" s="932" t="s">
        <v>1389</v>
      </c>
      <c r="H11" s="932" t="s">
        <v>1390</v>
      </c>
      <c r="I11" s="933" t="s">
        <v>1392</v>
      </c>
      <c r="J11" s="932" t="s">
        <v>1393</v>
      </c>
      <c r="K11" s="932" t="s">
        <v>1394</v>
      </c>
      <c r="L11" s="932" t="s">
        <v>1395</v>
      </c>
      <c r="M11" s="932" t="s">
        <v>1396</v>
      </c>
      <c r="N11" s="932" t="s">
        <v>1397</v>
      </c>
      <c r="O11" s="932" t="s">
        <v>1398</v>
      </c>
      <c r="P11" s="932" t="s">
        <v>1399</v>
      </c>
      <c r="Q11" s="932" t="s">
        <v>1400</v>
      </c>
      <c r="R11" s="932" t="s">
        <v>1401</v>
      </c>
      <c r="S11" s="932" t="s">
        <v>1402</v>
      </c>
      <c r="T11" s="932" t="s">
        <v>1403</v>
      </c>
      <c r="U11" s="934" t="s">
        <v>1404</v>
      </c>
      <c r="V11" s="897"/>
      <c r="W11" s="897"/>
      <c r="X11" s="897"/>
      <c r="Y11" s="897"/>
      <c r="Z11" s="897"/>
      <c r="AA11" s="897"/>
      <c r="AB11" s="897"/>
      <c r="AC11" s="897"/>
      <c r="AD11" s="918"/>
      <c r="AE11" s="897"/>
      <c r="AF11" s="897"/>
      <c r="AG11" s="897"/>
      <c r="AH11" s="897"/>
      <c r="AI11" s="897"/>
      <c r="AJ11" s="897"/>
      <c r="AK11" s="897"/>
      <c r="AL11" s="897"/>
      <c r="AM11" s="897"/>
      <c r="AN11" s="897"/>
      <c r="AO11" s="897"/>
      <c r="AP11" s="897"/>
      <c r="AQ11" s="897"/>
      <c r="AR11" s="897"/>
      <c r="AS11" s="897"/>
      <c r="AT11" s="897"/>
      <c r="AU11" s="897"/>
      <c r="AV11" s="897"/>
      <c r="AW11" s="897"/>
      <c r="AX11" s="897"/>
      <c r="AY11" s="897"/>
      <c r="AZ11" s="897"/>
      <c r="BA11" s="897"/>
      <c r="BB11" s="897"/>
      <c r="BC11" s="897"/>
      <c r="BD11" s="897"/>
      <c r="BE11" s="897"/>
      <c r="BF11" s="897"/>
      <c r="BG11" s="897"/>
      <c r="BH11" s="897"/>
      <c r="BI11" s="897"/>
      <c r="BJ11" s="897"/>
      <c r="BK11" s="897"/>
      <c r="BL11" s="897"/>
      <c r="BM11" s="897"/>
      <c r="BN11" s="897"/>
      <c r="BO11" s="897"/>
      <c r="BP11" s="897"/>
      <c r="BQ11" s="897"/>
      <c r="BR11" s="897"/>
      <c r="BS11" s="897"/>
      <c r="BT11" s="897"/>
      <c r="BU11" s="897"/>
      <c r="BV11" s="897"/>
      <c r="BW11" s="897"/>
      <c r="BX11" s="897"/>
      <c r="BY11" s="897"/>
      <c r="BZ11" s="897"/>
      <c r="CA11" s="897"/>
      <c r="CB11" s="897"/>
      <c r="CC11" s="897"/>
      <c r="CD11" s="897"/>
      <c r="CE11" s="897"/>
      <c r="CF11" s="897"/>
      <c r="CG11" s="897"/>
      <c r="CH11" s="897"/>
      <c r="CI11" s="897"/>
      <c r="CJ11" s="897"/>
      <c r="CK11" s="897"/>
      <c r="CL11" s="897"/>
      <c r="CM11" s="897"/>
      <c r="CN11" s="897"/>
      <c r="CO11" s="897"/>
      <c r="CP11" s="897"/>
      <c r="CQ11" s="897"/>
      <c r="CR11" s="897"/>
      <c r="CS11" s="897"/>
      <c r="CT11" s="897"/>
      <c r="CU11" s="897"/>
      <c r="CV11" s="897"/>
      <c r="CW11" s="897"/>
      <c r="CX11" s="897"/>
      <c r="CY11" s="897"/>
      <c r="CZ11" s="897"/>
      <c r="DA11" s="897"/>
      <c r="DB11" s="897"/>
      <c r="DC11" s="897"/>
      <c r="DD11" s="897"/>
      <c r="DE11" s="897"/>
      <c r="DF11" s="897"/>
      <c r="DG11" s="897"/>
      <c r="DH11" s="897"/>
      <c r="DI11" s="897"/>
      <c r="DJ11" s="897"/>
      <c r="DK11" s="897"/>
      <c r="DL11" s="897"/>
      <c r="DM11" s="897"/>
      <c r="DN11" s="897"/>
      <c r="DO11" s="897"/>
      <c r="DP11" s="897"/>
      <c r="DQ11" s="897"/>
      <c r="DR11" s="897"/>
      <c r="DS11" s="897"/>
      <c r="DT11" s="897"/>
      <c r="DU11" s="897"/>
      <c r="DV11" s="897"/>
      <c r="DW11" s="897"/>
      <c r="DX11" s="897"/>
      <c r="DY11" s="897"/>
      <c r="DZ11" s="897"/>
      <c r="EA11" s="897"/>
      <c r="EB11" s="897"/>
      <c r="EC11" s="897"/>
      <c r="ED11" s="897"/>
      <c r="EE11" s="897"/>
      <c r="EF11" s="897"/>
      <c r="EG11" s="897"/>
      <c r="EH11" s="897"/>
      <c r="EI11" s="897"/>
      <c r="EJ11" s="897"/>
      <c r="EK11" s="897"/>
      <c r="EL11" s="897"/>
      <c r="EM11" s="897"/>
      <c r="EN11" s="897"/>
      <c r="EO11" s="897"/>
      <c r="EP11" s="897"/>
      <c r="EQ11" s="897"/>
      <c r="ER11" s="897"/>
      <c r="ES11" s="897"/>
      <c r="ET11" s="897"/>
      <c r="EU11" s="897"/>
      <c r="EV11" s="897"/>
      <c r="EW11" s="897"/>
      <c r="EX11" s="897"/>
      <c r="EY11" s="897"/>
      <c r="EZ11" s="897"/>
      <c r="FA11" s="897"/>
      <c r="FB11" s="897"/>
      <c r="FC11" s="897"/>
      <c r="FD11" s="897"/>
      <c r="FE11" s="897"/>
      <c r="FF11" s="897"/>
      <c r="FG11" s="897"/>
      <c r="FH11" s="897"/>
      <c r="FI11" s="897"/>
      <c r="FJ11" s="897"/>
      <c r="FK11" s="897"/>
      <c r="FL11" s="897"/>
      <c r="FM11" s="897"/>
      <c r="FN11" s="897"/>
      <c r="FO11" s="897"/>
      <c r="FP11" s="897"/>
      <c r="FQ11" s="897"/>
      <c r="FR11" s="897"/>
      <c r="FS11" s="897"/>
      <c r="FT11" s="897"/>
      <c r="FU11" s="897"/>
      <c r="FV11" s="897"/>
      <c r="FW11" s="897"/>
      <c r="FX11" s="897"/>
      <c r="FY11" s="897"/>
      <c r="FZ11" s="897"/>
      <c r="GA11" s="897"/>
      <c r="GB11" s="897"/>
      <c r="GC11" s="897"/>
      <c r="GD11" s="897"/>
      <c r="GE11" s="897"/>
      <c r="GF11" s="897"/>
      <c r="GG11" s="897"/>
      <c r="GH11" s="897"/>
      <c r="GI11" s="897"/>
      <c r="GJ11" s="897"/>
      <c r="GK11" s="897"/>
      <c r="GL11" s="897"/>
      <c r="GM11" s="897"/>
      <c r="GN11" s="897"/>
      <c r="GO11" s="897"/>
      <c r="GP11" s="897"/>
      <c r="GQ11" s="897"/>
      <c r="GR11" s="897"/>
      <c r="GS11" s="897"/>
      <c r="GT11" s="897"/>
      <c r="GU11" s="897"/>
      <c r="GV11" s="897"/>
      <c r="GW11" s="897"/>
      <c r="GX11" s="897"/>
      <c r="GY11" s="897"/>
      <c r="GZ11" s="897"/>
      <c r="HA11" s="897"/>
      <c r="HB11" s="897"/>
      <c r="HC11" s="897"/>
      <c r="HD11" s="897"/>
      <c r="HE11" s="897"/>
      <c r="HF11" s="897"/>
      <c r="HG11" s="897"/>
      <c r="HH11" s="897"/>
      <c r="HI11" s="897"/>
      <c r="HJ11" s="897"/>
      <c r="HK11" s="897"/>
      <c r="HL11" s="897"/>
      <c r="HM11" s="897"/>
      <c r="HN11" s="897"/>
      <c r="HO11" s="897"/>
      <c r="HP11" s="897"/>
    </row>
    <row r="12" spans="1:224" s="659" customFormat="1" ht="15" customHeight="1" x14ac:dyDescent="0.25">
      <c r="A12" s="888" t="s">
        <v>1298</v>
      </c>
      <c r="B12" s="950" t="str">
        <f>'Multiple Buildings Details'!B24</f>
        <v>SEA Building Addition</v>
      </c>
      <c r="C12" s="1175"/>
      <c r="D12" s="2060"/>
      <c r="E12" s="1692"/>
      <c r="F12" s="1692"/>
      <c r="G12" s="1692"/>
      <c r="H12" s="1692"/>
      <c r="I12" s="2061"/>
      <c r="J12" s="1692"/>
      <c r="K12" s="1692"/>
      <c r="L12" s="1692"/>
      <c r="M12" s="1692"/>
      <c r="N12" s="1692"/>
      <c r="O12" s="1692"/>
      <c r="P12" s="1692"/>
      <c r="Q12" s="1692"/>
      <c r="R12" s="1692"/>
      <c r="S12" s="1692"/>
      <c r="T12" s="1692"/>
      <c r="U12" s="2062"/>
      <c r="V12" s="897"/>
      <c r="W12" s="897"/>
      <c r="X12" s="2276"/>
      <c r="Y12" s="897"/>
      <c r="Z12" s="897"/>
      <c r="AA12" s="897"/>
      <c r="AB12" s="897"/>
      <c r="AC12" s="897"/>
      <c r="AD12" s="918"/>
      <c r="AE12" s="897"/>
      <c r="AF12" s="897"/>
      <c r="AG12" s="897"/>
      <c r="AH12" s="897"/>
      <c r="AI12" s="897"/>
      <c r="AJ12" s="897"/>
      <c r="AK12" s="897"/>
      <c r="AL12" s="897"/>
      <c r="AM12" s="897"/>
      <c r="AN12" s="897"/>
      <c r="AO12" s="897"/>
      <c r="AP12" s="897"/>
      <c r="AQ12" s="897"/>
      <c r="AR12" s="897"/>
      <c r="AS12" s="897"/>
      <c r="AT12" s="897"/>
      <c r="AU12" s="897"/>
      <c r="AV12" s="897"/>
      <c r="AW12" s="897"/>
      <c r="AX12" s="897"/>
      <c r="AY12" s="897"/>
      <c r="AZ12" s="897"/>
      <c r="BA12" s="897"/>
      <c r="BB12" s="897"/>
      <c r="BC12" s="897"/>
      <c r="BD12" s="897"/>
      <c r="BE12" s="897"/>
      <c r="BF12" s="897"/>
      <c r="BG12" s="897"/>
      <c r="BH12" s="897"/>
      <c r="BI12" s="897"/>
      <c r="BJ12" s="897"/>
      <c r="BK12" s="897"/>
      <c r="BL12" s="897"/>
      <c r="BM12" s="897"/>
      <c r="BN12" s="897"/>
      <c r="BO12" s="897"/>
      <c r="BP12" s="897"/>
      <c r="BQ12" s="897"/>
      <c r="BR12" s="897"/>
      <c r="BS12" s="897"/>
      <c r="BT12" s="897"/>
      <c r="BU12" s="897"/>
      <c r="BV12" s="897"/>
      <c r="BW12" s="897"/>
      <c r="BX12" s="897"/>
      <c r="BY12" s="897"/>
      <c r="BZ12" s="897"/>
      <c r="CA12" s="897"/>
      <c r="CB12" s="897"/>
      <c r="CC12" s="897"/>
      <c r="CD12" s="897"/>
      <c r="CE12" s="897"/>
      <c r="CF12" s="897"/>
      <c r="CG12" s="897"/>
      <c r="CH12" s="897"/>
      <c r="CI12" s="897"/>
      <c r="CJ12" s="897"/>
      <c r="CK12" s="897"/>
      <c r="CL12" s="897"/>
      <c r="CM12" s="897"/>
      <c r="CN12" s="897"/>
      <c r="CO12" s="897"/>
      <c r="CP12" s="897"/>
      <c r="CQ12" s="897"/>
      <c r="CR12" s="897"/>
      <c r="CS12" s="897"/>
      <c r="CT12" s="897"/>
      <c r="CU12" s="897"/>
      <c r="CV12" s="897"/>
      <c r="CW12" s="897"/>
      <c r="CX12" s="897"/>
      <c r="CY12" s="897"/>
      <c r="CZ12" s="897"/>
      <c r="DA12" s="897"/>
      <c r="DB12" s="897"/>
      <c r="DC12" s="897"/>
      <c r="DD12" s="897"/>
      <c r="DE12" s="897"/>
      <c r="DF12" s="897"/>
      <c r="DG12" s="897"/>
      <c r="DH12" s="897"/>
      <c r="DI12" s="897"/>
      <c r="DJ12" s="897"/>
      <c r="DK12" s="897"/>
      <c r="DL12" s="897"/>
      <c r="DM12" s="897"/>
      <c r="DN12" s="897"/>
      <c r="DO12" s="897"/>
      <c r="DP12" s="897"/>
      <c r="DQ12" s="897"/>
      <c r="DR12" s="897"/>
      <c r="DS12" s="897"/>
      <c r="DT12" s="897"/>
      <c r="DU12" s="897"/>
      <c r="DV12" s="897"/>
      <c r="DW12" s="897"/>
      <c r="DX12" s="897"/>
      <c r="DY12" s="897"/>
      <c r="DZ12" s="897"/>
      <c r="EA12" s="897"/>
      <c r="EB12" s="897"/>
      <c r="EC12" s="897"/>
      <c r="ED12" s="897"/>
      <c r="EE12" s="897"/>
      <c r="EF12" s="897"/>
      <c r="EG12" s="897"/>
      <c r="EH12" s="897"/>
      <c r="EI12" s="897"/>
      <c r="EJ12" s="897"/>
      <c r="EK12" s="897"/>
      <c r="EL12" s="897"/>
      <c r="EM12" s="897"/>
      <c r="EN12" s="897"/>
      <c r="EO12" s="897"/>
      <c r="EP12" s="897"/>
      <c r="EQ12" s="897"/>
      <c r="ER12" s="897"/>
      <c r="ES12" s="897"/>
      <c r="ET12" s="897"/>
      <c r="EU12" s="897"/>
      <c r="EV12" s="897"/>
      <c r="EW12" s="897"/>
      <c r="EX12" s="897"/>
      <c r="EY12" s="897"/>
      <c r="EZ12" s="897"/>
      <c r="FA12" s="897"/>
      <c r="FB12" s="897"/>
      <c r="FC12" s="897"/>
      <c r="FD12" s="897"/>
      <c r="FE12" s="897"/>
      <c r="FF12" s="897"/>
      <c r="FG12" s="897"/>
      <c r="FH12" s="897"/>
      <c r="FI12" s="897"/>
      <c r="FJ12" s="897"/>
      <c r="FK12" s="897"/>
      <c r="FL12" s="897"/>
      <c r="FM12" s="897"/>
      <c r="FN12" s="897"/>
      <c r="FO12" s="897"/>
      <c r="FP12" s="897"/>
      <c r="FQ12" s="897"/>
      <c r="FR12" s="897"/>
      <c r="FS12" s="897"/>
      <c r="FT12" s="897"/>
      <c r="FU12" s="897"/>
      <c r="FV12" s="897"/>
      <c r="FW12" s="897"/>
      <c r="FX12" s="897"/>
      <c r="FY12" s="897"/>
      <c r="FZ12" s="897"/>
      <c r="GA12" s="897"/>
      <c r="GB12" s="897"/>
      <c r="GC12" s="897"/>
      <c r="GD12" s="897"/>
      <c r="GE12" s="897"/>
      <c r="GF12" s="897"/>
      <c r="GG12" s="897"/>
      <c r="GH12" s="897"/>
      <c r="GI12" s="897"/>
      <c r="GJ12" s="897"/>
      <c r="GK12" s="897"/>
      <c r="GL12" s="897"/>
      <c r="GM12" s="897"/>
      <c r="GN12" s="897"/>
      <c r="GO12" s="897"/>
      <c r="GP12" s="897"/>
      <c r="GQ12" s="897"/>
      <c r="GR12" s="897"/>
      <c r="GS12" s="897"/>
      <c r="GT12" s="897"/>
      <c r="GU12" s="897"/>
      <c r="GV12" s="897"/>
      <c r="GW12" s="897"/>
      <c r="GX12" s="897"/>
      <c r="GY12" s="897"/>
      <c r="GZ12" s="897"/>
      <c r="HA12" s="897"/>
      <c r="HB12" s="897"/>
      <c r="HC12" s="897"/>
      <c r="HD12" s="897"/>
      <c r="HE12" s="897"/>
      <c r="HF12" s="897"/>
      <c r="HG12" s="897"/>
      <c r="HH12" s="897"/>
      <c r="HI12" s="897"/>
      <c r="HJ12" s="897"/>
      <c r="HK12" s="897"/>
      <c r="HL12" s="897"/>
      <c r="HM12" s="897"/>
      <c r="HN12" s="897"/>
      <c r="HO12" s="897"/>
      <c r="HP12" s="897"/>
    </row>
    <row r="13" spans="1:224" x14ac:dyDescent="0.25">
      <c r="A13" s="888" t="s">
        <v>1298</v>
      </c>
      <c r="B13" s="2510" t="s">
        <v>1365</v>
      </c>
      <c r="C13" s="2511"/>
      <c r="D13" s="2511"/>
      <c r="E13" s="2511"/>
      <c r="F13" s="2511"/>
      <c r="G13" s="2511"/>
      <c r="H13" s="2511"/>
      <c r="I13" s="2511"/>
      <c r="J13" s="2511"/>
      <c r="K13" s="2511"/>
      <c r="L13" s="2511"/>
      <c r="M13" s="2511"/>
      <c r="N13" s="2511"/>
      <c r="O13" s="2511"/>
      <c r="P13" s="2511"/>
      <c r="Q13" s="2511"/>
      <c r="R13" s="2511"/>
      <c r="S13" s="2512"/>
      <c r="T13" s="2063"/>
      <c r="U13" s="953">
        <f ca="1">SUM(OFFSET(MD_BUS_Index,1,MATCH($D$11,MD_BUS_Hdr,0)-1,COUNTA(MD_BUS_Index),1),
OFFSET(MD_BUS_Index,1,MATCH($F$11,MD_BUS_Hdr,0)-1,COUNTA(MD_BUS_Index),1),
OFFSET(MD_BUS_Index,1,MATCH($H$11,MD_BUS_Hdr,0)-1,COUNTA(MD_BUS_Index),1),
OFFSET(MD_BUS_Index,1,MATCH($J$11,MD_BUS_Hdr,0)-1,COUNTA(MD_BUS_Index),1),
OFFSET(MD_BUS_Index,1,MATCH($L$11,MD_BUS_Hdr,0)-1,COUNTA(MD_BUS_Index),1),
OFFSET(MD_BUS_Index,1,MATCH($N$11,MD_BUS_Hdr,0)-1,COUNTA(MD_BUS_Index),1),
OFFSET(MD_BUS_Index,1,MATCH($P$11,MD_BUS_Hdr,0)-1,COUNTA(MD_BUS_Index),1),
OFFSET(MD_BUS_Index,1,MATCH($R$11,MD_BUS_Hdr,0)-1,COUNTA(MD_BUS_Index),1),
OFFSET(MD_BUS_Index,1,MATCH($T$11,MD_BUS_Hdr,0)-1,COUNTA(MD_BUS_Index),1),
)</f>
        <v>0</v>
      </c>
      <c r="V13" s="924"/>
      <c r="W13" s="918"/>
      <c r="X13" s="2276"/>
      <c r="AD13" s="918"/>
    </row>
    <row r="14" spans="1:224" x14ac:dyDescent="0.25">
      <c r="A14" s="888" t="s">
        <v>1298</v>
      </c>
      <c r="B14" s="2510" t="s">
        <v>1366</v>
      </c>
      <c r="C14" s="2511"/>
      <c r="D14" s="2511"/>
      <c r="E14" s="2511"/>
      <c r="F14" s="2511"/>
      <c r="G14" s="2511"/>
      <c r="H14" s="2511"/>
      <c r="I14" s="2511"/>
      <c r="J14" s="2511"/>
      <c r="K14" s="2511"/>
      <c r="L14" s="2511"/>
      <c r="M14" s="2511"/>
      <c r="N14" s="2511"/>
      <c r="O14" s="2511"/>
      <c r="P14" s="2511"/>
      <c r="Q14" s="2511"/>
      <c r="R14" s="2511"/>
      <c r="S14" s="2512"/>
      <c r="T14" s="2064"/>
      <c r="U14" s="951">
        <f t="array" aca="1" ref="U14" ca="1">SUM(OFFSET(MD_BUS_Index,1,MATCH($D$11,MD_BUS_Hdr,0)-1,COUNTA(MD_BUS_Index),1),
OFFSET(MD_BUS_Index,1,MATCH($F$11,MD_BUS_Hdr,0)-1,COUNTA(MD_BUS_Index),1),
OFFSET(MD_BUS_Index,1,MATCH($H$11,MD_BUS_Hdr,0)-1,COUNTA(MD_BUS_Index),1)*2,
OFFSET(MD_BUS_Index,1,MATCH($J$11,MD_BUS_Hdr,0)-1,COUNTA(MD_BUS_Index),1)*3,
OFFSET(MD_BUS_Index,1,MATCH($L$11,MD_BUS_Hdr,0)-1,COUNTA(MD_BUS_Index),1)*4,
OFFSET(MD_BUS_Index,1,MATCH($N$11,MD_BUS_Hdr,0)-1,COUNTA(MD_BUS_Index),1)*5,
OFFSET(MD_BUS_Index,1,MATCH($P$11,MD_BUS_Hdr,0)-1,COUNTA(MD_BUS_Index),1)*6,
OFFSET(MD_BUS_Index,1,MATCH($R$11,MD_BUS_Hdr,0)-1,COUNTA(MD_BUS_Index),1)*7,
OFFSET(MD_BUS_Index,1,MATCH($T$11,MD_BUS_Hdr,0)-1,COUNTA(MD_BUS_Index),1)*8,
)</f>
        <v>0</v>
      </c>
      <c r="V14" s="924"/>
      <c r="W14" s="918"/>
      <c r="X14" s="2276"/>
      <c r="AD14" s="918"/>
    </row>
    <row r="15" spans="1:224" x14ac:dyDescent="0.25">
      <c r="A15" s="888" t="s">
        <v>1298</v>
      </c>
      <c r="B15" s="2510" t="str">
        <f>CONCATENATE("Total Area of Dwelling Units",IF(SI_IP_Units="IP"," (square feet)"," (square meters)"))</f>
        <v>Total Area of Dwelling Units (square feet)</v>
      </c>
      <c r="C15" s="2511"/>
      <c r="D15" s="2511"/>
      <c r="E15" s="2511"/>
      <c r="F15" s="2511"/>
      <c r="G15" s="2511"/>
      <c r="H15" s="2511"/>
      <c r="I15" s="2511"/>
      <c r="J15" s="2511"/>
      <c r="K15" s="2511"/>
      <c r="L15" s="2511"/>
      <c r="M15" s="2511"/>
      <c r="N15" s="2511"/>
      <c r="O15" s="2511"/>
      <c r="P15" s="2511"/>
      <c r="Q15" s="2511"/>
      <c r="R15" s="2511"/>
      <c r="S15" s="2512"/>
      <c r="T15" s="2064"/>
      <c r="U15" s="951">
        <f t="array" aca="1" ref="U15" ca="1">SUM(OFFSET(MD_BUS_Index,1,MATCH($D$11,MD_BUS_Hdr,0)-1,COUNTA(MD_BUS_Index),1)*OFFSET(MD_BUS_Index,1,MATCH($E$11,MD_BUS_Hdr,0)-1,COUNTA(MD_BUS_Index),1),
OFFSET(MD_BUS_Index,1,MATCH($F$11,MD_BUS_Hdr,0)-1,COUNTA(MD_BUS_Index),1)*OFFSET(MD_BUS_Index,1,MATCH($G$11,MD_BUS_Hdr,0)-1,COUNTA(MD_BUS_Index),1),
OFFSET(MD_BUS_Index,1,MATCH($H$11,MD_BUS_Hdr,0)-1,COUNTA(MD_BUS_Index),1)*OFFSET(MD_BUS_Index,1,MATCH($I$11,MD_BUS_Hdr,0)-1,COUNTA(MD_BUS_Index),1),
OFFSET(MD_BUS_Index,1,MATCH($J$11,MD_BUS_Hdr,0)-1,COUNTA(MD_BUS_Index),1)*OFFSET(MD_BUS_Index,1,MATCH($K$11,MD_BUS_Hdr,0)-1,COUNTA(MD_BUS_Index),1),
OFFSET(MD_BUS_Index,1,MATCH($L$11,MD_BUS_Hdr,0)-1,COUNTA(MD_BUS_Index),1)*OFFSET(MD_BUS_Index,1,MATCH($M$11,MD_BUS_Hdr,0)-1,COUNTA(MD_BUS_Index),1),
OFFSET(MD_BUS_Index,1,MATCH($N$11,MD_BUS_Hdr,0)-1,COUNTA(MD_BUS_Index),1)*OFFSET(MD_BUS_Index,1,MATCH($O$11,MD_BUS_Hdr,0)-1,COUNTA(MD_BUS_Index),1),
OFFSET(MD_BUS_Index,1,MATCH($P$11,MD_BUS_Hdr,0)-1,COUNTA(MD_BUS_Index),1)*OFFSET(MD_BUS_Index,1,MATCH($Q$11,MD_BUS_Hdr,0)-1,COUNTA(MD_BUS_Index),1),
OFFSET(MD_BUS_Index,1,MATCH($R$11,MD_BUS_Hdr,0)-1,COUNTA(MD_BUS_Index),1)*OFFSET(MD_BUS_Index,1,MATCH($S$11,MD_BUS_Hdr,0)-1,COUNTA(MD_BUS_Index),1),
OFFSET(MD_BUS_Index,1,MATCH($T$11,MD_BUS_Hdr,0)-1,COUNTA(MD_BUS_Index),1)*OFFSET(MD_BUS_Index,1,MATCH($U$11,MD_BUS_Hdr,0)-1,COUNTA(MD_BUS_Index),1),
)</f>
        <v>0</v>
      </c>
      <c r="X15" s="2276"/>
      <c r="AD15" s="918"/>
    </row>
    <row r="16" spans="1:224" hidden="1" x14ac:dyDescent="0.25">
      <c r="A16" s="888" t="s">
        <v>1298</v>
      </c>
      <c r="B16" s="2510" t="s">
        <v>1377</v>
      </c>
      <c r="C16" s="2511"/>
      <c r="D16" s="2511"/>
      <c r="E16" s="2511"/>
      <c r="F16" s="2511"/>
      <c r="G16" s="2511"/>
      <c r="H16" s="2511"/>
      <c r="I16" s="2511"/>
      <c r="J16" s="2511"/>
      <c r="K16" s="2511"/>
      <c r="L16" s="2511"/>
      <c r="M16" s="2511"/>
      <c r="N16" s="2511"/>
      <c r="O16" s="2511"/>
      <c r="P16" s="2511"/>
      <c r="Q16" s="2511"/>
      <c r="R16" s="2511"/>
      <c r="S16" s="2518"/>
      <c r="T16" s="954"/>
      <c r="U16" s="952">
        <f ca="1">IF(ISERROR(1/U13),0,U14/U13)</f>
        <v>0</v>
      </c>
    </row>
    <row r="17" spans="1:224" hidden="1" x14ac:dyDescent="0.25">
      <c r="A17" s="888" t="s">
        <v>1298</v>
      </c>
      <c r="B17" s="2510" t="str">
        <f>CONCATENATE("Average Floor Area Per Unit",IF(SI_IP_Units="IP"," (square feet)"," (square meters)"))</f>
        <v>Average Floor Area Per Unit (square feet)</v>
      </c>
      <c r="C17" s="2511"/>
      <c r="D17" s="2511"/>
      <c r="E17" s="2511"/>
      <c r="F17" s="2511"/>
      <c r="G17" s="2511"/>
      <c r="H17" s="2511"/>
      <c r="I17" s="2511"/>
      <c r="J17" s="2511"/>
      <c r="K17" s="2511"/>
      <c r="L17" s="2511"/>
      <c r="M17" s="2511"/>
      <c r="N17" s="2511"/>
      <c r="O17" s="2511"/>
      <c r="P17" s="2511"/>
      <c r="Q17" s="2511"/>
      <c r="R17" s="2511"/>
      <c r="S17" s="2518"/>
      <c r="T17" s="954"/>
      <c r="U17" s="951">
        <f ca="1">IF(ISERROR(1/U13),0,U15/U13)</f>
        <v>0</v>
      </c>
    </row>
    <row r="18" spans="1:224" hidden="1" x14ac:dyDescent="0.25">
      <c r="A18" s="888" t="s">
        <v>1298</v>
      </c>
      <c r="B18" s="2510" t="str">
        <f>CONCATENATE("Average Floor Area Per Unit for Reference Building",IF(SI_IP_Units="IP"," (square feet)"," (square meters)"))</f>
        <v>Average Floor Area Per Unit for Reference Building (square feet)</v>
      </c>
      <c r="C18" s="2511"/>
      <c r="D18" s="2511"/>
      <c r="E18" s="2511"/>
      <c r="F18" s="2511"/>
      <c r="G18" s="2511"/>
      <c r="H18" s="2511"/>
      <c r="I18" s="2511"/>
      <c r="J18" s="2511"/>
      <c r="K18" s="2511"/>
      <c r="L18" s="2511"/>
      <c r="M18" s="2511"/>
      <c r="N18" s="2511"/>
      <c r="O18" s="2511"/>
      <c r="P18" s="2511"/>
      <c r="Q18" s="2511"/>
      <c r="R18" s="2511"/>
      <c r="S18" s="2518"/>
      <c r="T18" s="954"/>
      <c r="U18" s="951">
        <f ca="1">IF(ISERROR(1/Avg_Bedrooms),0,ROUNDDOWN((Avg_Bedrooms-1)*(IF(SI_IP_Units="IP",600,55.6)),0)+IF(SI_IP_Units="IP",1000,93))</f>
        <v>0</v>
      </c>
    </row>
    <row r="19" spans="1:224" hidden="1" x14ac:dyDescent="0.25">
      <c r="A19" s="888" t="s">
        <v>1298</v>
      </c>
      <c r="B19" s="2510" t="s">
        <v>1380</v>
      </c>
      <c r="C19" s="2511"/>
      <c r="D19" s="2511"/>
      <c r="E19" s="2511"/>
      <c r="F19" s="2511"/>
      <c r="G19" s="2511"/>
      <c r="H19" s="2511"/>
      <c r="I19" s="2511"/>
      <c r="J19" s="2511"/>
      <c r="K19" s="2511"/>
      <c r="L19" s="2511"/>
      <c r="M19" s="2511"/>
      <c r="N19" s="2511"/>
      <c r="O19" s="2511"/>
      <c r="P19" s="2511"/>
      <c r="Q19" s="2511"/>
      <c r="R19" s="2511"/>
      <c r="S19" s="2518"/>
      <c r="T19" s="954"/>
      <c r="U19" s="951">
        <f ca="1">IF(ISERROR(1/U18),0,ROUNDDOWN((U18-Avg_Bedroom_Area)/(U18*4%),0))</f>
        <v>0</v>
      </c>
    </row>
    <row r="20" spans="1:224" x14ac:dyDescent="0.25">
      <c r="A20" s="888" t="s">
        <v>1298</v>
      </c>
      <c r="B20" s="897"/>
      <c r="C20" s="897"/>
      <c r="D20" s="897"/>
      <c r="E20" s="897"/>
      <c r="F20" s="897"/>
      <c r="G20" s="897"/>
      <c r="H20" s="897"/>
      <c r="I20" s="897"/>
      <c r="J20" s="897"/>
      <c r="K20" s="897"/>
      <c r="L20" s="897"/>
      <c r="M20" s="897"/>
      <c r="N20" s="897"/>
      <c r="O20" s="897"/>
      <c r="P20" s="897"/>
      <c r="Q20" s="897"/>
      <c r="R20" s="897"/>
      <c r="S20" s="897"/>
      <c r="T20" s="897"/>
      <c r="U20" s="897"/>
    </row>
    <row r="21" spans="1:224" ht="25.5" x14ac:dyDescent="0.25">
      <c r="A21" s="888" t="s">
        <v>1298</v>
      </c>
      <c r="B21" s="948" t="s">
        <v>1357</v>
      </c>
      <c r="C21" s="928"/>
      <c r="D21" s="928" t="s">
        <v>1408</v>
      </c>
      <c r="E21" s="929"/>
      <c r="F21" s="928" t="s">
        <v>1406</v>
      </c>
      <c r="G21" s="929"/>
      <c r="H21" s="928" t="s">
        <v>1407</v>
      </c>
      <c r="I21" s="930"/>
      <c r="J21" s="929"/>
      <c r="K21" s="928" t="s">
        <v>1377</v>
      </c>
      <c r="L21" s="930"/>
      <c r="M21" s="929"/>
      <c r="N21" s="928" t="str">
        <f>CONCATENATE("Average Floor Area per Unit",IF(SI_IP_Units="IP"," (square feet)"," (square meter)"))</f>
        <v>Average Floor Area per Unit (square feet)</v>
      </c>
      <c r="O21" s="930"/>
      <c r="P21" s="929"/>
      <c r="Q21" s="2507" t="str">
        <f>CONCATENATE("Average Floor Area Per Unit for Reference Building",IF(SI_IP_Units="IP"," (square feet)"," (square meter)"))</f>
        <v>Average Floor Area Per Unit for Reference Building (square feet)</v>
      </c>
      <c r="R21" s="2508"/>
      <c r="S21" s="2508"/>
      <c r="T21" s="2508"/>
      <c r="U21" s="2509"/>
      <c r="AD21" s="897" t="s">
        <v>1380</v>
      </c>
    </row>
    <row r="22" spans="1:224" s="659" customFormat="1" ht="15" customHeight="1" x14ac:dyDescent="0.25">
      <c r="A22" s="888" t="s">
        <v>1298</v>
      </c>
      <c r="B22" s="1176" t="str">
        <f>'Multiple Buildings Details'!B24</f>
        <v>SEA Building Addition</v>
      </c>
      <c r="C22" s="1177"/>
      <c r="D22" s="1177">
        <f>SUM(INDEX(MD_BUS_Table,MATCH($B22,MD_BUS_Index,0),MATCH($D$11,MD_BUS_Hdr,0)),
INDEX(MD_BUS_Table,MATCH($B22,MD_BUS_Index,0),MATCH($F$11,MD_BUS_Hdr,0)),
INDEX(MD_BUS_Table,MATCH($B22,MD_BUS_Index,0),MATCH($H$11,MD_BUS_Hdr,0)),
INDEX(MD_BUS_Table,MATCH($B22,MD_BUS_Index,0),MATCH($J$11,MD_BUS_Hdr,0)),
INDEX(MD_BUS_Table,MATCH($B22,MD_BUS_Index,0),MATCH($L$11,MD_BUS_Hdr,0)),
INDEX(MD_BUS_Table,MATCH($B22,MD_BUS_Index,0),MATCH($N$11,MD_BUS_Hdr,0)),
INDEX(MD_BUS_Table,MATCH($B22,MD_BUS_Index,0),MATCH($P$11,MD_BUS_Hdr,0)),
INDEX(MD_BUS_Table,MATCH($B22,MD_BUS_Index,0),MATCH($R$11,MD_BUS_Hdr,0)),
INDEX(MD_BUS_Table,MATCH($B22,MD_BUS_Index,0),MATCH($T$11,MD_BUS_Hdr,0)),
)</f>
        <v>0</v>
      </c>
      <c r="E22" s="1178"/>
      <c r="F22" s="1177">
        <f>SUM(INDEX(MD_BUS_Table,MATCH($B22,MD_BUS_Index,0),MATCH($D$11,MD_BUS_Hdr,0))*1,
INDEX(MD_BUS_Table,MATCH($B22,MD_BUS_Index,0),MATCH($F$11,MD_BUS_Hdr,0))*1,
INDEX(MD_BUS_Table,MATCH($B22,MD_BUS_Index,0),MATCH($H$11,MD_BUS_Hdr,0))*2,
INDEX(MD_BUS_Table,MATCH($B22,MD_BUS_Index,0),MATCH($J$11,MD_BUS_Hdr,0))*3,
INDEX(MD_BUS_Table,MATCH($B22,MD_BUS_Index,0),MATCH($L$11,MD_BUS_Hdr,0))*4,
INDEX(MD_BUS_Table,MATCH($B22,MD_BUS_Index,0),MATCH($N$11,MD_BUS_Hdr,0))*5,
INDEX(MD_BUS_Table,MATCH($B22,MD_BUS_Index,0),MATCH($P$11,MD_BUS_Hdr,0))*6,
INDEX(MD_BUS_Table,MATCH($B22,MD_BUS_Index,0),MATCH($R$11,MD_BUS_Hdr,0))*7,
INDEX(MD_BUS_Table,MATCH($B22,MD_BUS_Index,0),MATCH($T$11,MD_BUS_Hdr,0))*8,
)</f>
        <v>0</v>
      </c>
      <c r="G22" s="1178"/>
      <c r="H22" s="1192">
        <f>SUM(INDEX(MD_BUS_Table,MATCH($B22,MD_BUS_Index,0),MATCH($D$11,MD_BUS_Hdr,0))*INDEX(MD_BUS_Table,MATCH($B22,MD_BUS_Index,0),MATCH($E$11,MD_BUS_Hdr,0)),
INDEX(MD_BUS_Table,MATCH($B22,MD_BUS_Index,0),MATCH($F$11,MD_BUS_Hdr,0))*INDEX(MD_BUS_Table,MATCH($B22,MD_BUS_Index,0),MATCH($G$11,MD_BUS_Hdr,0)),
INDEX(MD_BUS_Table,MATCH($B22,MD_BUS_Index,0),MATCH($H$11,MD_BUS_Hdr,0))*INDEX(MD_BUS_Table,MATCH($B22,MD_BUS_Index,0),MATCH($I$11,MD_BUS_Hdr,0)),
INDEX(MD_BUS_Table,MATCH($B22,MD_BUS_Index,0),MATCH($J$11,MD_BUS_Hdr,0))*INDEX(MD_BUS_Table,MATCH($B22,MD_BUS_Index,0),MATCH($K$11,MD_BUS_Hdr,0)),
INDEX(MD_BUS_Table,MATCH($B22,MD_BUS_Index,0),MATCH($L$11,MD_BUS_Hdr,0))*INDEX(MD_BUS_Table,MATCH($B22,MD_BUS_Index,0),MATCH($M$11,MD_BUS_Hdr,0)),
INDEX(MD_BUS_Table,MATCH($B22,MD_BUS_Index,0),MATCH($N$11,MD_BUS_Hdr,0))*INDEX(MD_BUS_Table,MATCH($B22,MD_BUS_Index,0),MATCH($O$11,MD_BUS_Hdr,0)),
INDEX(MD_BUS_Table,MATCH($B22,MD_BUS_Index,0),MATCH($P$11,MD_BUS_Hdr,0))*INDEX(MD_BUS_Table,MATCH($B22,MD_BUS_Index,0),MATCH($Q$11,MD_BUS_Hdr,0)),
INDEX(MD_BUS_Table,MATCH($B22,MD_BUS_Index,0),MATCH($R$11,MD_BUS_Hdr,0))*INDEX(MD_BUS_Table,MATCH($B22,MD_BUS_Index,0),MATCH($S$11,MD_BUS_Hdr,0)),
INDEX(MD_BUS_Table,MATCH($B22,MD_BUS_Index,0),MATCH($T$11,MD_BUS_Hdr,0))*INDEX(MD_BUS_Table,MATCH($B22,MD_BUS_Index,0),MATCH($U$11,MD_BUS_Hdr,0)),
)</f>
        <v>0</v>
      </c>
      <c r="I22" s="1193"/>
      <c r="J22" s="1194"/>
      <c r="K22" s="1180">
        <f t="shared" ref="K22" si="0">IF(ISERROR(1/D22),0,F22/D22)</f>
        <v>0</v>
      </c>
      <c r="L22" s="1179"/>
      <c r="M22" s="1178"/>
      <c r="N22" s="1192">
        <f t="shared" ref="N22" si="1">IF(ISERROR(1/D22),0,H22/D22)</f>
        <v>0</v>
      </c>
      <c r="O22" s="1193"/>
      <c r="P22" s="1194"/>
      <c r="Q22" s="1192">
        <f>IF(ISERROR(1/K22),0,ROUNDDOWN((K22-1)*(IF(SI_IP_Units="IP",600,55.6)),0)+IF(SI_IP_Units="IP",1000,93))</f>
        <v>0</v>
      </c>
      <c r="R22" s="1193"/>
      <c r="S22" s="1193"/>
      <c r="T22" s="1193"/>
      <c r="U22" s="1194"/>
      <c r="V22" s="897"/>
      <c r="W22" s="897"/>
      <c r="X22" s="2276"/>
      <c r="Y22" s="897"/>
      <c r="Z22" s="897"/>
      <c r="AA22" s="897"/>
      <c r="AB22" s="897"/>
      <c r="AC22" s="897"/>
      <c r="AD22" s="923">
        <f t="shared" ref="AD22" si="2">IF(ISERROR(1/Q22),0,ROUNDDOWN((Q22-N22)/(Q22*4%),0))</f>
        <v>0</v>
      </c>
      <c r="AE22" s="897"/>
      <c r="AF22" s="897"/>
      <c r="AG22" s="897"/>
      <c r="AH22" s="897"/>
      <c r="AI22" s="897"/>
      <c r="AJ22" s="897"/>
      <c r="AK22" s="897"/>
      <c r="AL22" s="897"/>
      <c r="AM22" s="897"/>
      <c r="AN22" s="897"/>
      <c r="AO22" s="897"/>
      <c r="AP22" s="897"/>
      <c r="AQ22" s="897"/>
      <c r="AR22" s="897"/>
      <c r="AS22" s="897"/>
      <c r="AT22" s="897"/>
      <c r="AU22" s="897"/>
      <c r="AV22" s="897"/>
      <c r="AW22" s="897"/>
      <c r="AX22" s="897"/>
      <c r="AY22" s="897"/>
      <c r="AZ22" s="897"/>
      <c r="BA22" s="897"/>
      <c r="BB22" s="897"/>
      <c r="BC22" s="897"/>
      <c r="BD22" s="897"/>
      <c r="BE22" s="897"/>
      <c r="BF22" s="897"/>
      <c r="BG22" s="897"/>
      <c r="BH22" s="897"/>
      <c r="BI22" s="897"/>
      <c r="BJ22" s="897"/>
      <c r="BK22" s="897"/>
      <c r="BL22" s="897"/>
      <c r="BM22" s="897"/>
      <c r="BN22" s="897"/>
      <c r="BO22" s="897"/>
      <c r="BP22" s="897"/>
      <c r="BQ22" s="897"/>
      <c r="BR22" s="897"/>
      <c r="BS22" s="897"/>
      <c r="BT22" s="897"/>
      <c r="BU22" s="897"/>
      <c r="BV22" s="897"/>
      <c r="BW22" s="897"/>
      <c r="BX22" s="897"/>
      <c r="BY22" s="897"/>
      <c r="BZ22" s="897"/>
      <c r="CA22" s="897"/>
      <c r="CB22" s="897"/>
      <c r="CC22" s="897"/>
      <c r="CD22" s="897"/>
      <c r="CE22" s="897"/>
      <c r="CF22" s="897"/>
      <c r="CG22" s="897"/>
      <c r="CH22" s="897"/>
      <c r="CI22" s="897"/>
      <c r="CJ22" s="897"/>
      <c r="CK22" s="897"/>
      <c r="CL22" s="897"/>
      <c r="CM22" s="897"/>
      <c r="CN22" s="897"/>
      <c r="CO22" s="897"/>
      <c r="CP22" s="897"/>
      <c r="CQ22" s="897"/>
      <c r="CR22" s="897"/>
      <c r="CS22" s="897"/>
      <c r="CT22" s="897"/>
      <c r="CU22" s="897"/>
      <c r="CV22" s="897"/>
      <c r="CW22" s="897"/>
      <c r="CX22" s="897"/>
      <c r="CY22" s="897"/>
      <c r="CZ22" s="897"/>
      <c r="DA22" s="897"/>
      <c r="DB22" s="897"/>
      <c r="DC22" s="897"/>
      <c r="DD22" s="897"/>
      <c r="DE22" s="897"/>
      <c r="DF22" s="897"/>
      <c r="DG22" s="897"/>
      <c r="DH22" s="897"/>
      <c r="DI22" s="897"/>
      <c r="DJ22" s="897"/>
      <c r="DK22" s="897"/>
      <c r="DL22" s="897"/>
      <c r="DM22" s="897"/>
      <c r="DN22" s="897"/>
      <c r="DO22" s="897"/>
      <c r="DP22" s="897"/>
      <c r="DQ22" s="897"/>
      <c r="DR22" s="897"/>
      <c r="DS22" s="897"/>
      <c r="DT22" s="897"/>
      <c r="DU22" s="897"/>
      <c r="DV22" s="897"/>
      <c r="DW22" s="897"/>
      <c r="DX22" s="897"/>
      <c r="DY22" s="897"/>
      <c r="DZ22" s="897"/>
      <c r="EA22" s="897"/>
      <c r="EB22" s="897"/>
      <c r="EC22" s="897"/>
      <c r="ED22" s="897"/>
      <c r="EE22" s="897"/>
      <c r="EF22" s="897"/>
      <c r="EG22" s="897"/>
      <c r="EH22" s="897"/>
      <c r="EI22" s="897"/>
      <c r="EJ22" s="897"/>
      <c r="EK22" s="897"/>
      <c r="EL22" s="897"/>
      <c r="EM22" s="897"/>
      <c r="EN22" s="897"/>
      <c r="EO22" s="897"/>
      <c r="EP22" s="897"/>
      <c r="EQ22" s="897"/>
      <c r="ER22" s="897"/>
      <c r="ES22" s="897"/>
      <c r="ET22" s="897"/>
      <c r="EU22" s="897"/>
      <c r="EV22" s="897"/>
      <c r="EW22" s="897"/>
      <c r="EX22" s="897"/>
      <c r="EY22" s="897"/>
      <c r="EZ22" s="897"/>
      <c r="FA22" s="897"/>
      <c r="FB22" s="897"/>
      <c r="FC22" s="897"/>
      <c r="FD22" s="897"/>
      <c r="FE22" s="897"/>
      <c r="FF22" s="897"/>
      <c r="FG22" s="897"/>
      <c r="FH22" s="897"/>
      <c r="FI22" s="897"/>
      <c r="FJ22" s="897"/>
      <c r="FK22" s="897"/>
      <c r="FL22" s="897"/>
      <c r="FM22" s="897"/>
      <c r="FN22" s="897"/>
      <c r="FO22" s="897"/>
      <c r="FP22" s="897"/>
      <c r="FQ22" s="897"/>
      <c r="FR22" s="897"/>
      <c r="FS22" s="897"/>
      <c r="FT22" s="897"/>
      <c r="FU22" s="897"/>
      <c r="FV22" s="897"/>
      <c r="FW22" s="897"/>
      <c r="FX22" s="897"/>
      <c r="FY22" s="897"/>
      <c r="FZ22" s="897"/>
      <c r="GA22" s="897"/>
      <c r="GB22" s="897"/>
      <c r="GC22" s="897"/>
      <c r="GD22" s="897"/>
      <c r="GE22" s="897"/>
      <c r="GF22" s="897"/>
      <c r="GG22" s="897"/>
      <c r="GH22" s="897"/>
      <c r="GI22" s="897"/>
      <c r="GJ22" s="897"/>
      <c r="GK22" s="897"/>
      <c r="GL22" s="897"/>
      <c r="GM22" s="897"/>
      <c r="GN22" s="897"/>
      <c r="GO22" s="897"/>
      <c r="GP22" s="897"/>
      <c r="GQ22" s="897"/>
      <c r="GR22" s="897"/>
      <c r="GS22" s="897"/>
      <c r="GT22" s="897"/>
      <c r="GU22" s="897"/>
      <c r="GV22" s="897"/>
      <c r="GW22" s="897"/>
      <c r="GX22" s="897"/>
      <c r="GY22" s="897"/>
      <c r="GZ22" s="897"/>
      <c r="HA22" s="897"/>
      <c r="HB22" s="897"/>
      <c r="HC22" s="897"/>
      <c r="HD22" s="897"/>
      <c r="HE22" s="897"/>
      <c r="HF22" s="897"/>
      <c r="HG22" s="897"/>
      <c r="HH22" s="897"/>
      <c r="HI22" s="897"/>
      <c r="HJ22" s="897"/>
      <c r="HK22" s="897"/>
      <c r="HL22" s="897"/>
      <c r="HM22" s="897"/>
      <c r="HN22" s="897"/>
      <c r="HO22" s="897"/>
      <c r="HP22" s="897"/>
    </row>
    <row r="23" spans="1:224" x14ac:dyDescent="0.25">
      <c r="A23" s="888" t="s">
        <v>1298</v>
      </c>
      <c r="B23" s="897"/>
      <c r="C23" s="897"/>
      <c r="D23" s="897"/>
      <c r="E23" s="897"/>
      <c r="F23" s="897"/>
      <c r="G23" s="897"/>
      <c r="H23" s="897"/>
      <c r="I23" s="897"/>
      <c r="J23" s="897"/>
      <c r="K23" s="897"/>
      <c r="L23" s="897"/>
      <c r="M23" s="897"/>
      <c r="N23" s="897"/>
      <c r="O23" s="897"/>
      <c r="P23" s="897"/>
      <c r="Q23" s="897"/>
      <c r="R23" s="903"/>
      <c r="S23" s="903"/>
      <c r="T23" s="897"/>
      <c r="U23" s="897"/>
    </row>
    <row r="24" spans="1:224" s="659" customFormat="1" ht="15.75" x14ac:dyDescent="0.25">
      <c r="A24" s="888" t="s">
        <v>1298</v>
      </c>
      <c r="B24" s="28" t="s">
        <v>1409</v>
      </c>
      <c r="C24" s="28"/>
      <c r="D24" s="903"/>
      <c r="E24" s="904"/>
      <c r="F24" s="897"/>
      <c r="G24" s="897"/>
      <c r="H24" s="897"/>
      <c r="I24" s="897"/>
      <c r="J24" s="897"/>
      <c r="K24" s="897"/>
      <c r="L24" s="897"/>
      <c r="M24" s="897"/>
      <c r="N24" s="897"/>
      <c r="O24" s="897"/>
      <c r="P24" s="897"/>
      <c r="Q24" s="897"/>
      <c r="R24" s="897"/>
      <c r="S24" s="897"/>
      <c r="T24" s="897"/>
      <c r="U24" s="897"/>
      <c r="V24" s="897"/>
      <c r="W24" s="897"/>
      <c r="X24" s="897"/>
      <c r="Y24" s="897"/>
      <c r="Z24" s="897"/>
      <c r="AA24" s="897"/>
      <c r="AB24" s="897"/>
      <c r="AC24" s="897"/>
      <c r="AD24" s="897"/>
      <c r="AE24" s="897"/>
      <c r="AF24" s="897"/>
      <c r="AG24" s="897"/>
      <c r="AH24" s="897"/>
      <c r="AI24" s="897"/>
      <c r="AJ24" s="897"/>
      <c r="AK24" s="897"/>
      <c r="AL24" s="897"/>
      <c r="AM24" s="897"/>
      <c r="AN24" s="897"/>
      <c r="AO24" s="897"/>
      <c r="AP24" s="897"/>
      <c r="AQ24" s="897"/>
      <c r="AR24" s="897"/>
      <c r="AS24" s="897"/>
      <c r="AT24" s="897"/>
      <c r="AU24" s="897"/>
      <c r="AV24" s="897"/>
      <c r="AW24" s="897"/>
      <c r="AX24" s="897"/>
      <c r="AY24" s="897"/>
      <c r="AZ24" s="897"/>
      <c r="BA24" s="897"/>
      <c r="BB24" s="897"/>
      <c r="BC24" s="897"/>
      <c r="BD24" s="897"/>
      <c r="BE24" s="897"/>
      <c r="BF24" s="897"/>
      <c r="BG24" s="897"/>
      <c r="BH24" s="897"/>
      <c r="BI24" s="897"/>
      <c r="BJ24" s="897"/>
      <c r="BK24" s="897"/>
      <c r="BL24" s="897"/>
      <c r="BM24" s="897"/>
      <c r="BN24" s="897"/>
      <c r="BO24" s="897"/>
      <c r="BP24" s="897"/>
      <c r="BQ24" s="897"/>
      <c r="BR24" s="897"/>
      <c r="BS24" s="897"/>
      <c r="BT24" s="897"/>
      <c r="BU24" s="897"/>
      <c r="BV24" s="897"/>
      <c r="BW24" s="897"/>
      <c r="BX24" s="897"/>
      <c r="BY24" s="897"/>
      <c r="BZ24" s="897"/>
      <c r="CA24" s="897"/>
      <c r="CB24" s="897"/>
      <c r="CC24" s="897"/>
      <c r="CD24" s="897"/>
      <c r="CE24" s="897"/>
      <c r="CF24" s="897"/>
      <c r="CG24" s="897"/>
      <c r="CH24" s="897"/>
      <c r="CI24" s="897"/>
      <c r="CJ24" s="897"/>
      <c r="CK24" s="897"/>
      <c r="CL24" s="897"/>
      <c r="CM24" s="897"/>
      <c r="CN24" s="897"/>
      <c r="CO24" s="897"/>
      <c r="CP24" s="897"/>
      <c r="CQ24" s="897"/>
      <c r="CR24" s="897"/>
      <c r="CS24" s="897"/>
      <c r="CT24" s="897"/>
      <c r="CU24" s="897"/>
      <c r="CV24" s="897"/>
      <c r="CW24" s="897"/>
      <c r="CX24" s="897"/>
      <c r="CY24" s="897"/>
      <c r="CZ24" s="897"/>
      <c r="DA24" s="897"/>
      <c r="DB24" s="897"/>
      <c r="DC24" s="897"/>
      <c r="DD24" s="897"/>
      <c r="DE24" s="897"/>
      <c r="DF24" s="897"/>
      <c r="DG24" s="897"/>
      <c r="DH24" s="897"/>
      <c r="DI24" s="897"/>
      <c r="DJ24" s="897"/>
      <c r="DK24" s="897"/>
      <c r="DL24" s="897"/>
      <c r="DM24" s="897"/>
      <c r="DN24" s="897"/>
      <c r="DO24" s="897"/>
      <c r="DP24" s="897"/>
      <c r="DQ24" s="897"/>
      <c r="DR24" s="897"/>
      <c r="DS24" s="897"/>
      <c r="DT24" s="897"/>
      <c r="DU24" s="897"/>
      <c r="DV24" s="897"/>
      <c r="DW24" s="897"/>
      <c r="DX24" s="897"/>
      <c r="DY24" s="897"/>
      <c r="DZ24" s="897"/>
      <c r="EA24" s="897"/>
      <c r="EB24" s="897"/>
      <c r="EC24" s="897"/>
      <c r="ED24" s="897"/>
      <c r="EE24" s="897"/>
      <c r="EF24" s="897"/>
      <c r="EG24" s="897"/>
      <c r="EH24" s="897"/>
      <c r="EI24" s="897"/>
      <c r="EJ24" s="897"/>
      <c r="EK24" s="897"/>
      <c r="EL24" s="897"/>
      <c r="EM24" s="897"/>
      <c r="EN24" s="897"/>
      <c r="EO24" s="897"/>
      <c r="EP24" s="897"/>
      <c r="EQ24" s="897"/>
      <c r="ER24" s="897"/>
      <c r="ES24" s="897"/>
      <c r="ET24" s="897"/>
      <c r="EU24" s="897"/>
      <c r="EV24" s="897"/>
      <c r="EW24" s="897"/>
      <c r="EX24" s="897"/>
      <c r="EY24" s="897"/>
      <c r="EZ24" s="897"/>
      <c r="FA24" s="897"/>
      <c r="FB24" s="897"/>
      <c r="FC24" s="897"/>
      <c r="FD24" s="897"/>
      <c r="FE24" s="897"/>
      <c r="FF24" s="897"/>
      <c r="FG24" s="897"/>
      <c r="FH24" s="897"/>
      <c r="FI24" s="897"/>
      <c r="FJ24" s="897"/>
      <c r="FK24" s="897"/>
      <c r="FL24" s="897"/>
      <c r="FM24" s="897"/>
      <c r="FN24" s="897"/>
      <c r="FO24" s="897"/>
      <c r="FP24" s="897"/>
      <c r="FQ24" s="897"/>
      <c r="FR24" s="897"/>
      <c r="FS24" s="897"/>
      <c r="FT24" s="897"/>
      <c r="FU24" s="897"/>
      <c r="FV24" s="897"/>
      <c r="FW24" s="897"/>
      <c r="FX24" s="897"/>
      <c r="FY24" s="897"/>
      <c r="FZ24" s="897"/>
      <c r="GA24" s="897"/>
      <c r="GB24" s="897"/>
      <c r="GC24" s="897"/>
      <c r="GD24" s="897"/>
      <c r="GE24" s="897"/>
      <c r="GF24" s="897"/>
      <c r="GG24" s="897"/>
      <c r="GH24" s="897"/>
      <c r="GI24" s="897"/>
      <c r="GJ24" s="897"/>
      <c r="GK24" s="897"/>
      <c r="GL24" s="897"/>
      <c r="GM24" s="897"/>
      <c r="GN24" s="897"/>
      <c r="GO24" s="897"/>
      <c r="GP24" s="897"/>
      <c r="GQ24" s="897"/>
      <c r="GR24" s="897"/>
      <c r="GS24" s="897"/>
      <c r="GT24" s="897"/>
      <c r="GU24" s="897"/>
      <c r="GV24" s="897"/>
      <c r="GW24" s="897"/>
      <c r="GX24" s="897"/>
      <c r="GY24" s="897"/>
      <c r="GZ24" s="897"/>
      <c r="HA24" s="897"/>
      <c r="HB24" s="897"/>
      <c r="HC24" s="897"/>
      <c r="HD24" s="897"/>
      <c r="HE24" s="897"/>
      <c r="HF24" s="897"/>
      <c r="HG24" s="897"/>
      <c r="HH24" s="897"/>
      <c r="HI24" s="897"/>
      <c r="HJ24" s="897"/>
      <c r="HK24" s="897"/>
      <c r="HL24" s="897"/>
      <c r="HM24" s="897"/>
      <c r="HN24" s="897"/>
      <c r="HO24" s="897"/>
      <c r="HP24" s="897"/>
    </row>
    <row r="25" spans="1:224" s="659" customFormat="1" ht="13.5" customHeight="1" x14ac:dyDescent="0.25">
      <c r="A25" s="888" t="s">
        <v>1298</v>
      </c>
      <c r="B25" s="897"/>
      <c r="C25" s="897"/>
      <c r="D25" s="897"/>
      <c r="E25" s="897"/>
      <c r="F25" s="897"/>
      <c r="G25" s="897"/>
      <c r="H25" s="897"/>
      <c r="I25" s="897"/>
      <c r="J25" s="897"/>
      <c r="K25" s="922"/>
      <c r="L25" s="897"/>
      <c r="M25" s="897"/>
      <c r="N25" s="897"/>
      <c r="O25" s="897"/>
      <c r="P25" s="897"/>
      <c r="Q25" s="897"/>
      <c r="R25" s="897"/>
      <c r="S25" s="897"/>
      <c r="T25" s="897"/>
      <c r="U25" s="908"/>
      <c r="V25" s="897"/>
      <c r="W25" s="897"/>
      <c r="X25" s="897"/>
      <c r="Y25" s="897"/>
      <c r="Z25" s="897"/>
      <c r="AA25" s="897"/>
      <c r="AB25" s="897"/>
      <c r="AC25" s="897"/>
      <c r="AD25" s="897"/>
      <c r="AE25" s="897"/>
      <c r="AF25" s="897"/>
      <c r="AG25" s="897"/>
      <c r="AH25" s="897"/>
      <c r="AI25" s="897"/>
      <c r="AJ25" s="897"/>
      <c r="AK25" s="897"/>
      <c r="AL25" s="897"/>
      <c r="AM25" s="897"/>
      <c r="AN25" s="897"/>
      <c r="AO25" s="897"/>
      <c r="AP25" s="897"/>
      <c r="AQ25" s="897"/>
      <c r="AR25" s="897"/>
      <c r="AS25" s="897"/>
      <c r="AT25" s="897"/>
      <c r="AU25" s="897"/>
      <c r="AV25" s="897"/>
      <c r="AW25" s="897"/>
      <c r="AX25" s="897"/>
      <c r="AY25" s="897"/>
      <c r="AZ25" s="897"/>
      <c r="BA25" s="897"/>
      <c r="BB25" s="897"/>
      <c r="BC25" s="897"/>
      <c r="BD25" s="897"/>
      <c r="BE25" s="897"/>
      <c r="BF25" s="897"/>
      <c r="BG25" s="897"/>
      <c r="BH25" s="897"/>
      <c r="BI25" s="897"/>
      <c r="BJ25" s="897"/>
      <c r="BK25" s="897"/>
      <c r="BL25" s="897"/>
      <c r="BM25" s="897"/>
      <c r="BN25" s="897"/>
      <c r="BO25" s="897"/>
      <c r="BP25" s="897"/>
      <c r="BQ25" s="897"/>
      <c r="BR25" s="897"/>
      <c r="BS25" s="897"/>
      <c r="BT25" s="897"/>
      <c r="BU25" s="897"/>
      <c r="BV25" s="897"/>
      <c r="BW25" s="897"/>
      <c r="BX25" s="897"/>
      <c r="BY25" s="897"/>
      <c r="BZ25" s="897"/>
      <c r="CA25" s="897"/>
      <c r="CB25" s="897"/>
      <c r="CC25" s="897"/>
      <c r="CD25" s="897"/>
      <c r="CE25" s="897"/>
      <c r="CF25" s="897"/>
      <c r="CG25" s="897"/>
      <c r="CH25" s="897"/>
      <c r="CI25" s="897"/>
      <c r="CJ25" s="897"/>
      <c r="CK25" s="897"/>
      <c r="CL25" s="897"/>
      <c r="CM25" s="897"/>
      <c r="CN25" s="897"/>
      <c r="CO25" s="897"/>
      <c r="CP25" s="897"/>
      <c r="CQ25" s="897"/>
      <c r="CR25" s="897"/>
      <c r="CS25" s="897"/>
      <c r="CT25" s="897"/>
      <c r="CU25" s="897"/>
      <c r="CV25" s="897"/>
      <c r="CW25" s="897"/>
      <c r="CX25" s="897"/>
      <c r="CY25" s="897"/>
      <c r="CZ25" s="897"/>
      <c r="DA25" s="897"/>
      <c r="DB25" s="897"/>
      <c r="DC25" s="897"/>
      <c r="DD25" s="897"/>
      <c r="DE25" s="897"/>
      <c r="DF25" s="897"/>
      <c r="DG25" s="897"/>
      <c r="DH25" s="897"/>
      <c r="DI25" s="897"/>
      <c r="DJ25" s="897"/>
      <c r="DK25" s="897"/>
      <c r="DL25" s="897"/>
      <c r="DM25" s="897"/>
      <c r="DN25" s="897"/>
      <c r="DO25" s="897"/>
      <c r="DP25" s="897"/>
      <c r="DQ25" s="897"/>
      <c r="DR25" s="897"/>
      <c r="DS25" s="897"/>
      <c r="DT25" s="897"/>
      <c r="DU25" s="897"/>
      <c r="DV25" s="897"/>
      <c r="DW25" s="897"/>
      <c r="DX25" s="897"/>
      <c r="DY25" s="897"/>
      <c r="DZ25" s="897"/>
      <c r="EA25" s="897"/>
      <c r="EB25" s="897"/>
      <c r="EC25" s="897"/>
      <c r="ED25" s="897"/>
      <c r="EE25" s="897"/>
      <c r="EF25" s="897"/>
      <c r="EG25" s="897"/>
      <c r="EH25" s="897"/>
      <c r="EI25" s="897"/>
      <c r="EJ25" s="897"/>
      <c r="EK25" s="897"/>
      <c r="EL25" s="897"/>
      <c r="EM25" s="897"/>
      <c r="EN25" s="897"/>
      <c r="EO25" s="897"/>
      <c r="EP25" s="897"/>
      <c r="EQ25" s="897"/>
      <c r="ER25" s="897"/>
      <c r="ES25" s="897"/>
      <c r="ET25" s="897"/>
      <c r="EU25" s="897"/>
      <c r="EV25" s="897"/>
      <c r="EW25" s="897"/>
      <c r="EX25" s="897"/>
      <c r="EY25" s="897"/>
      <c r="EZ25" s="897"/>
      <c r="FA25" s="897"/>
      <c r="FB25" s="897"/>
      <c r="FC25" s="897"/>
      <c r="FD25" s="897"/>
      <c r="FE25" s="897"/>
      <c r="FF25" s="897"/>
      <c r="FG25" s="897"/>
      <c r="FH25" s="897"/>
      <c r="FI25" s="897"/>
      <c r="FJ25" s="897"/>
      <c r="FK25" s="897"/>
      <c r="FL25" s="897"/>
      <c r="FM25" s="897"/>
      <c r="FN25" s="897"/>
      <c r="FO25" s="897"/>
      <c r="FP25" s="897"/>
      <c r="FQ25" s="897"/>
      <c r="FR25" s="897"/>
      <c r="FS25" s="897"/>
      <c r="FT25" s="897"/>
      <c r="FU25" s="897"/>
      <c r="FV25" s="897"/>
      <c r="FW25" s="897"/>
      <c r="FX25" s="897"/>
      <c r="FY25" s="897"/>
      <c r="FZ25" s="897"/>
      <c r="GA25" s="897"/>
      <c r="GB25" s="897"/>
      <c r="GC25" s="897"/>
      <c r="GD25" s="897"/>
      <c r="GE25" s="897"/>
      <c r="GF25" s="897"/>
      <c r="GG25" s="897"/>
      <c r="GH25" s="897"/>
      <c r="GI25" s="897"/>
      <c r="GJ25" s="897"/>
      <c r="GK25" s="897"/>
      <c r="GL25" s="897"/>
      <c r="GM25" s="897"/>
      <c r="GN25" s="897"/>
      <c r="GO25" s="897"/>
      <c r="GP25" s="897"/>
      <c r="GQ25" s="897"/>
      <c r="GR25" s="897"/>
      <c r="GS25" s="897"/>
      <c r="GT25" s="897"/>
      <c r="GU25" s="897"/>
      <c r="GV25" s="897"/>
      <c r="GW25" s="897"/>
      <c r="GX25" s="897"/>
      <c r="GY25" s="897"/>
      <c r="GZ25" s="897"/>
      <c r="HA25" s="897"/>
      <c r="HB25" s="897"/>
      <c r="HC25" s="897"/>
      <c r="HD25" s="897"/>
      <c r="HE25" s="897"/>
      <c r="HF25" s="897"/>
      <c r="HG25" s="897"/>
      <c r="HH25" s="897"/>
      <c r="HI25" s="897"/>
      <c r="HJ25" s="897"/>
      <c r="HK25" s="897"/>
      <c r="HL25" s="897"/>
      <c r="HM25" s="897"/>
      <c r="HN25" s="897"/>
      <c r="HO25" s="897"/>
      <c r="HP25" s="897"/>
    </row>
    <row r="26" spans="1:224" s="659" customFormat="1" ht="35.25" customHeight="1" x14ac:dyDescent="0.25">
      <c r="A26" s="888" t="s">
        <v>1298</v>
      </c>
      <c r="B26" s="2587" t="s">
        <v>1610</v>
      </c>
      <c r="C26" s="2587"/>
      <c r="D26" s="2587"/>
      <c r="E26" s="2587"/>
      <c r="F26" s="2587"/>
      <c r="G26" s="2587"/>
      <c r="H26" s="2587"/>
      <c r="I26" s="2587"/>
      <c r="J26" s="2587"/>
      <c r="K26" s="2587"/>
      <c r="L26" s="2587"/>
      <c r="M26" s="2587"/>
      <c r="N26" s="2587"/>
      <c r="O26" s="2587"/>
      <c r="P26" s="2587"/>
      <c r="Q26" s="2587"/>
      <c r="R26" s="2587"/>
      <c r="S26" s="2587"/>
      <c r="T26" s="2587"/>
      <c r="U26" s="2587"/>
      <c r="V26" s="897"/>
      <c r="W26" s="897"/>
      <c r="X26" s="897"/>
      <c r="Y26" s="897"/>
      <c r="Z26" s="897"/>
      <c r="AA26" s="897"/>
      <c r="AB26" s="897"/>
      <c r="AC26" s="897"/>
      <c r="AD26" s="897"/>
      <c r="AE26" s="897"/>
      <c r="AF26" s="897"/>
      <c r="AG26" s="897"/>
      <c r="AH26" s="897"/>
      <c r="AI26" s="897"/>
      <c r="AJ26" s="897"/>
      <c r="AK26" s="897"/>
      <c r="AL26" s="897"/>
      <c r="AM26" s="897"/>
      <c r="AN26" s="897"/>
      <c r="AO26" s="897"/>
      <c r="AP26" s="897"/>
      <c r="AQ26" s="897"/>
      <c r="AR26" s="897"/>
      <c r="AS26" s="897"/>
      <c r="AT26" s="897"/>
      <c r="AU26" s="897"/>
      <c r="AV26" s="897"/>
      <c r="AW26" s="897"/>
      <c r="AX26" s="897"/>
      <c r="AY26" s="897"/>
      <c r="AZ26" s="897"/>
      <c r="BA26" s="897"/>
      <c r="BB26" s="897"/>
      <c r="BC26" s="897"/>
      <c r="BD26" s="897"/>
      <c r="BE26" s="897"/>
      <c r="BF26" s="897"/>
      <c r="BG26" s="897"/>
      <c r="BH26" s="897"/>
      <c r="BI26" s="897"/>
      <c r="BJ26" s="897"/>
      <c r="BK26" s="897"/>
      <c r="BL26" s="897"/>
      <c r="BM26" s="897"/>
      <c r="BN26" s="897"/>
      <c r="BO26" s="897"/>
      <c r="BP26" s="897"/>
      <c r="BQ26" s="897"/>
      <c r="BR26" s="897"/>
      <c r="BS26" s="897"/>
      <c r="BT26" s="897"/>
      <c r="BU26" s="897"/>
      <c r="BV26" s="897"/>
      <c r="BW26" s="897"/>
      <c r="BX26" s="897"/>
      <c r="BY26" s="897"/>
      <c r="BZ26" s="897"/>
      <c r="CA26" s="897"/>
      <c r="CB26" s="897"/>
      <c r="CC26" s="897"/>
      <c r="CD26" s="897"/>
      <c r="CE26" s="897"/>
      <c r="CF26" s="897"/>
      <c r="CG26" s="897"/>
      <c r="CH26" s="897"/>
      <c r="CI26" s="897"/>
      <c r="CJ26" s="897"/>
      <c r="CK26" s="897"/>
      <c r="CL26" s="897"/>
      <c r="CM26" s="897"/>
      <c r="CN26" s="897"/>
      <c r="CO26" s="897"/>
      <c r="CP26" s="897"/>
      <c r="CQ26" s="897"/>
      <c r="CR26" s="897"/>
      <c r="CS26" s="897"/>
      <c r="CT26" s="897"/>
      <c r="CU26" s="897"/>
      <c r="CV26" s="897"/>
      <c r="CW26" s="897"/>
      <c r="CX26" s="897"/>
      <c r="CY26" s="897"/>
      <c r="CZ26" s="897"/>
      <c r="DA26" s="897"/>
      <c r="DB26" s="897"/>
      <c r="DC26" s="897"/>
      <c r="DD26" s="897"/>
      <c r="DE26" s="897"/>
      <c r="DF26" s="897"/>
      <c r="DG26" s="897"/>
      <c r="DH26" s="897"/>
      <c r="DI26" s="897"/>
      <c r="DJ26" s="897"/>
      <c r="DK26" s="897"/>
      <c r="DL26" s="897"/>
      <c r="DM26" s="897"/>
      <c r="DN26" s="897"/>
      <c r="DO26" s="897"/>
      <c r="DP26" s="897"/>
      <c r="DQ26" s="897"/>
      <c r="DR26" s="897"/>
      <c r="DS26" s="897"/>
      <c r="DT26" s="897"/>
      <c r="DU26" s="897"/>
      <c r="DV26" s="897"/>
      <c r="DW26" s="897"/>
      <c r="DX26" s="897"/>
      <c r="DY26" s="897"/>
      <c r="DZ26" s="897"/>
      <c r="EA26" s="897"/>
      <c r="EB26" s="897"/>
      <c r="EC26" s="897"/>
      <c r="ED26" s="897"/>
      <c r="EE26" s="897"/>
      <c r="EF26" s="897"/>
      <c r="EG26" s="897"/>
      <c r="EH26" s="897"/>
      <c r="EI26" s="897"/>
      <c r="EJ26" s="897"/>
      <c r="EK26" s="897"/>
      <c r="EL26" s="897"/>
      <c r="EM26" s="897"/>
      <c r="EN26" s="897"/>
      <c r="EO26" s="897"/>
      <c r="EP26" s="897"/>
      <c r="EQ26" s="897"/>
      <c r="ER26" s="897"/>
      <c r="ES26" s="897"/>
      <c r="ET26" s="897"/>
      <c r="EU26" s="897"/>
      <c r="EV26" s="897"/>
      <c r="EW26" s="897"/>
      <c r="EX26" s="897"/>
      <c r="EY26" s="897"/>
      <c r="EZ26" s="897"/>
      <c r="FA26" s="897"/>
      <c r="FB26" s="897"/>
      <c r="FC26" s="897"/>
      <c r="FD26" s="897"/>
      <c r="FE26" s="897"/>
      <c r="FF26" s="897"/>
      <c r="FG26" s="897"/>
      <c r="FH26" s="897"/>
      <c r="FI26" s="897"/>
      <c r="FJ26" s="897"/>
      <c r="FK26" s="897"/>
      <c r="FL26" s="897"/>
      <c r="FM26" s="897"/>
      <c r="FN26" s="897"/>
      <c r="FO26" s="897"/>
      <c r="FP26" s="897"/>
      <c r="FQ26" s="897"/>
      <c r="FR26" s="897"/>
      <c r="FS26" s="897"/>
      <c r="FT26" s="897"/>
      <c r="FU26" s="897"/>
      <c r="FV26" s="897"/>
      <c r="FW26" s="897"/>
      <c r="FX26" s="897"/>
      <c r="FY26" s="897"/>
      <c r="FZ26" s="897"/>
      <c r="GA26" s="897"/>
      <c r="GB26" s="897"/>
      <c r="GC26" s="897"/>
      <c r="GD26" s="897"/>
      <c r="GE26" s="897"/>
      <c r="GF26" s="897"/>
      <c r="GG26" s="897"/>
      <c r="GH26" s="897"/>
      <c r="GI26" s="897"/>
      <c r="GJ26" s="897"/>
      <c r="GK26" s="897"/>
      <c r="GL26" s="897"/>
      <c r="GM26" s="897"/>
      <c r="GN26" s="897"/>
      <c r="GO26" s="897"/>
      <c r="GP26" s="897"/>
      <c r="GQ26" s="897"/>
      <c r="GR26" s="897"/>
      <c r="GS26" s="897"/>
      <c r="GT26" s="897"/>
      <c r="GU26" s="897"/>
      <c r="GV26" s="897"/>
      <c r="GW26" s="897"/>
      <c r="GX26" s="897"/>
      <c r="GY26" s="897"/>
      <c r="GZ26" s="897"/>
      <c r="HA26" s="897"/>
      <c r="HB26" s="897"/>
      <c r="HC26" s="897"/>
      <c r="HD26" s="897"/>
      <c r="HE26" s="897"/>
      <c r="HF26" s="897"/>
      <c r="HG26" s="897"/>
      <c r="HH26" s="897"/>
      <c r="HI26" s="897"/>
      <c r="HJ26" s="897"/>
      <c r="HK26" s="897"/>
      <c r="HL26" s="897"/>
      <c r="HM26" s="897"/>
      <c r="HN26" s="897"/>
      <c r="HO26" s="897"/>
      <c r="HP26" s="897"/>
    </row>
    <row r="27" spans="1:224" s="659" customFormat="1" ht="13.5" customHeight="1" x14ac:dyDescent="0.25">
      <c r="A27" s="888" t="s">
        <v>1298</v>
      </c>
      <c r="B27" s="897"/>
      <c r="C27" s="897"/>
      <c r="D27" s="897"/>
      <c r="E27" s="897"/>
      <c r="F27" s="897"/>
      <c r="G27" s="897"/>
      <c r="H27" s="897"/>
      <c r="I27" s="897"/>
      <c r="J27" s="897"/>
      <c r="K27" s="922"/>
      <c r="L27" s="897"/>
      <c r="M27" s="897"/>
      <c r="N27" s="897"/>
      <c r="O27" s="897"/>
      <c r="P27" s="897"/>
      <c r="Q27" s="897"/>
      <c r="R27" s="897"/>
      <c r="S27" s="897"/>
      <c r="T27" s="897"/>
      <c r="U27" s="908"/>
      <c r="V27" s="897"/>
      <c r="W27" s="897"/>
      <c r="X27" s="897"/>
      <c r="Y27" s="897"/>
      <c r="Z27" s="897"/>
      <c r="AA27" s="897"/>
      <c r="AB27" s="897"/>
      <c r="AC27" s="897"/>
      <c r="AD27" s="897"/>
      <c r="AE27" s="897"/>
      <c r="AF27" s="897"/>
      <c r="AG27" s="897"/>
      <c r="AH27" s="897"/>
      <c r="AI27" s="897"/>
      <c r="AJ27" s="897"/>
      <c r="AK27" s="897"/>
      <c r="AL27" s="897"/>
      <c r="AM27" s="897"/>
      <c r="AN27" s="897"/>
      <c r="AO27" s="897"/>
      <c r="AP27" s="897"/>
      <c r="AQ27" s="897"/>
      <c r="AR27" s="897"/>
      <c r="AS27" s="897"/>
      <c r="AT27" s="897"/>
      <c r="AU27" s="897"/>
      <c r="AV27" s="897"/>
      <c r="AW27" s="897"/>
      <c r="AX27" s="897"/>
      <c r="AY27" s="897"/>
      <c r="AZ27" s="897"/>
      <c r="BA27" s="897"/>
      <c r="BB27" s="897"/>
      <c r="BC27" s="897"/>
      <c r="BD27" s="897"/>
      <c r="BE27" s="897"/>
      <c r="BF27" s="897"/>
      <c r="BG27" s="897"/>
      <c r="BH27" s="897"/>
      <c r="BI27" s="897"/>
      <c r="BJ27" s="897"/>
      <c r="BK27" s="897"/>
      <c r="BL27" s="897"/>
      <c r="BM27" s="897"/>
      <c r="BN27" s="897"/>
      <c r="BO27" s="897"/>
      <c r="BP27" s="897"/>
      <c r="BQ27" s="897"/>
      <c r="BR27" s="897"/>
      <c r="BS27" s="897"/>
      <c r="BT27" s="897"/>
      <c r="BU27" s="897"/>
      <c r="BV27" s="897"/>
      <c r="BW27" s="897"/>
      <c r="BX27" s="897"/>
      <c r="BY27" s="897"/>
      <c r="BZ27" s="897"/>
      <c r="CA27" s="897"/>
      <c r="CB27" s="897"/>
      <c r="CC27" s="897"/>
      <c r="CD27" s="897"/>
      <c r="CE27" s="897"/>
      <c r="CF27" s="897"/>
      <c r="CG27" s="897"/>
      <c r="CH27" s="897"/>
      <c r="CI27" s="897"/>
      <c r="CJ27" s="897"/>
      <c r="CK27" s="897"/>
      <c r="CL27" s="897"/>
      <c r="CM27" s="897"/>
      <c r="CN27" s="897"/>
      <c r="CO27" s="897"/>
      <c r="CP27" s="897"/>
      <c r="CQ27" s="897"/>
      <c r="CR27" s="897"/>
      <c r="CS27" s="897"/>
      <c r="CT27" s="897"/>
      <c r="CU27" s="897"/>
      <c r="CV27" s="897"/>
      <c r="CW27" s="897"/>
      <c r="CX27" s="897"/>
      <c r="CY27" s="897"/>
      <c r="CZ27" s="897"/>
      <c r="DA27" s="897"/>
      <c r="DB27" s="897"/>
      <c r="DC27" s="897"/>
      <c r="DD27" s="897"/>
      <c r="DE27" s="897"/>
      <c r="DF27" s="897"/>
      <c r="DG27" s="897"/>
      <c r="DH27" s="897"/>
      <c r="DI27" s="897"/>
      <c r="DJ27" s="897"/>
      <c r="DK27" s="897"/>
      <c r="DL27" s="897"/>
      <c r="DM27" s="897"/>
      <c r="DN27" s="897"/>
      <c r="DO27" s="897"/>
      <c r="DP27" s="897"/>
      <c r="DQ27" s="897"/>
      <c r="DR27" s="897"/>
      <c r="DS27" s="897"/>
      <c r="DT27" s="897"/>
      <c r="DU27" s="897"/>
      <c r="DV27" s="897"/>
      <c r="DW27" s="897"/>
      <c r="DX27" s="897"/>
      <c r="DY27" s="897"/>
      <c r="DZ27" s="897"/>
      <c r="EA27" s="897"/>
      <c r="EB27" s="897"/>
      <c r="EC27" s="897"/>
      <c r="ED27" s="897"/>
      <c r="EE27" s="897"/>
      <c r="EF27" s="897"/>
      <c r="EG27" s="897"/>
      <c r="EH27" s="897"/>
      <c r="EI27" s="897"/>
      <c r="EJ27" s="897"/>
      <c r="EK27" s="897"/>
      <c r="EL27" s="897"/>
      <c r="EM27" s="897"/>
      <c r="EN27" s="897"/>
      <c r="EO27" s="897"/>
      <c r="EP27" s="897"/>
      <c r="EQ27" s="897"/>
      <c r="ER27" s="897"/>
      <c r="ES27" s="897"/>
      <c r="ET27" s="897"/>
      <c r="EU27" s="897"/>
      <c r="EV27" s="897"/>
      <c r="EW27" s="897"/>
      <c r="EX27" s="897"/>
      <c r="EY27" s="897"/>
      <c r="EZ27" s="897"/>
      <c r="FA27" s="897"/>
      <c r="FB27" s="897"/>
      <c r="FC27" s="897"/>
      <c r="FD27" s="897"/>
      <c r="FE27" s="897"/>
      <c r="FF27" s="897"/>
      <c r="FG27" s="897"/>
      <c r="FH27" s="897"/>
      <c r="FI27" s="897"/>
      <c r="FJ27" s="897"/>
      <c r="FK27" s="897"/>
      <c r="FL27" s="897"/>
      <c r="FM27" s="897"/>
      <c r="FN27" s="897"/>
      <c r="FO27" s="897"/>
      <c r="FP27" s="897"/>
      <c r="FQ27" s="897"/>
      <c r="FR27" s="897"/>
      <c r="FS27" s="897"/>
      <c r="FT27" s="897"/>
      <c r="FU27" s="897"/>
      <c r="FV27" s="897"/>
      <c r="FW27" s="897"/>
      <c r="FX27" s="897"/>
      <c r="FY27" s="897"/>
      <c r="FZ27" s="897"/>
      <c r="GA27" s="897"/>
      <c r="GB27" s="897"/>
      <c r="GC27" s="897"/>
      <c r="GD27" s="897"/>
      <c r="GE27" s="897"/>
      <c r="GF27" s="897"/>
      <c r="GG27" s="897"/>
      <c r="GH27" s="897"/>
      <c r="GI27" s="897"/>
      <c r="GJ27" s="897"/>
      <c r="GK27" s="897"/>
      <c r="GL27" s="897"/>
      <c r="GM27" s="897"/>
      <c r="GN27" s="897"/>
      <c r="GO27" s="897"/>
      <c r="GP27" s="897"/>
      <c r="GQ27" s="897"/>
      <c r="GR27" s="897"/>
      <c r="GS27" s="897"/>
      <c r="GT27" s="897"/>
      <c r="GU27" s="897"/>
      <c r="GV27" s="897"/>
      <c r="GW27" s="897"/>
      <c r="GX27" s="897"/>
      <c r="GY27" s="897"/>
      <c r="GZ27" s="897"/>
      <c r="HA27" s="897"/>
      <c r="HB27" s="897"/>
      <c r="HC27" s="897"/>
      <c r="HD27" s="897"/>
      <c r="HE27" s="897"/>
      <c r="HF27" s="897"/>
      <c r="HG27" s="897"/>
      <c r="HH27" s="897"/>
      <c r="HI27" s="897"/>
      <c r="HJ27" s="897"/>
      <c r="HK27" s="897"/>
      <c r="HL27" s="897"/>
      <c r="HM27" s="897"/>
      <c r="HN27" s="897"/>
      <c r="HO27" s="897"/>
      <c r="HP27" s="897"/>
    </row>
    <row r="28" spans="1:224" s="659" customFormat="1" x14ac:dyDescent="0.25">
      <c r="A28" s="888" t="s">
        <v>1298</v>
      </c>
      <c r="B28" s="2525" t="s">
        <v>1357</v>
      </c>
      <c r="C28" s="2526" t="s">
        <v>1476</v>
      </c>
      <c r="D28" s="2526" t="str">
        <f>CONCATENATE("Quantity ", IF(SI_IP_Units="IP", "(or sum total fan volume [cfm] for fans)","(or sum total fan volume [L/s] for fans)"))</f>
        <v>Quantity (or sum total fan volume [cfm] for fans)</v>
      </c>
      <c r="E28" s="2526" t="s">
        <v>1496</v>
      </c>
      <c r="F28" s="2526" t="s">
        <v>1507</v>
      </c>
      <c r="G28" s="2532"/>
      <c r="H28" s="2065" t="s">
        <v>1508</v>
      </c>
      <c r="I28" s="2066"/>
      <c r="J28" s="2066"/>
      <c r="K28" s="2067"/>
      <c r="L28" s="2072"/>
      <c r="M28" s="2065" t="s">
        <v>1514</v>
      </c>
      <c r="N28" s="2066"/>
      <c r="O28" s="2066"/>
      <c r="P28" s="2067"/>
      <c r="Q28" s="2072"/>
      <c r="R28" s="1765" t="str">
        <f>CONCATENATE("Annual Service Hot Water Load ",IF(SI_IP_Units="IP","(gallons/year)","(Liters/year)"))</f>
        <v>Annual Service Hot Water Load (gallons/year)</v>
      </c>
      <c r="S28" s="2070"/>
      <c r="T28" s="2070"/>
      <c r="U28" s="2071"/>
      <c r="V28" s="897"/>
      <c r="W28" s="897"/>
      <c r="X28" s="897"/>
      <c r="Y28" s="897"/>
      <c r="Z28" s="897"/>
      <c r="AA28" s="897"/>
      <c r="AB28" s="897"/>
      <c r="AC28" s="897"/>
      <c r="AD28" s="897"/>
      <c r="AE28" s="897"/>
      <c r="AF28" s="897"/>
      <c r="AG28" s="897"/>
      <c r="AH28" s="897"/>
      <c r="AI28" s="897"/>
      <c r="AJ28" s="897"/>
      <c r="AK28" s="897"/>
      <c r="AL28" s="897"/>
      <c r="AM28" s="897"/>
      <c r="AN28" s="897"/>
      <c r="AO28" s="897"/>
      <c r="AP28" s="897"/>
      <c r="AQ28" s="897"/>
      <c r="AR28" s="897"/>
      <c r="AS28" s="897"/>
      <c r="AT28" s="897"/>
      <c r="AU28" s="897"/>
      <c r="AV28" s="897"/>
      <c r="AW28" s="897"/>
      <c r="AX28" s="897"/>
      <c r="AY28" s="897"/>
      <c r="AZ28" s="897"/>
      <c r="BA28" s="897"/>
      <c r="BB28" s="897"/>
      <c r="BC28" s="897"/>
      <c r="BD28" s="897"/>
      <c r="BE28" s="897"/>
      <c r="BF28" s="897"/>
      <c r="BG28" s="897"/>
      <c r="BH28" s="897"/>
      <c r="BI28" s="897"/>
      <c r="BJ28" s="897"/>
      <c r="BK28" s="897"/>
      <c r="BL28" s="897"/>
      <c r="BM28" s="897"/>
      <c r="BN28" s="897"/>
      <c r="BO28" s="897"/>
      <c r="BP28" s="897"/>
      <c r="BQ28" s="897"/>
      <c r="BR28" s="897"/>
      <c r="BS28" s="897"/>
      <c r="BT28" s="897"/>
      <c r="BU28" s="897"/>
      <c r="BV28" s="897"/>
      <c r="BW28" s="897"/>
      <c r="BX28" s="897"/>
      <c r="BY28" s="897"/>
      <c r="BZ28" s="897"/>
      <c r="CA28" s="897"/>
      <c r="CB28" s="897"/>
      <c r="CC28" s="897"/>
      <c r="CD28" s="897"/>
      <c r="CE28" s="897"/>
      <c r="CF28" s="897"/>
      <c r="CG28" s="897"/>
      <c r="CH28" s="897"/>
      <c r="CI28" s="897"/>
      <c r="CJ28" s="897"/>
      <c r="CK28" s="897"/>
      <c r="CL28" s="897"/>
      <c r="CM28" s="897"/>
      <c r="CN28" s="897"/>
      <c r="CO28" s="897"/>
      <c r="CP28" s="897"/>
      <c r="CQ28" s="897"/>
      <c r="CR28" s="897"/>
      <c r="CS28" s="897"/>
      <c r="CT28" s="897"/>
      <c r="CU28" s="897"/>
      <c r="CV28" s="897"/>
      <c r="CW28" s="897"/>
      <c r="CX28" s="897"/>
      <c r="CY28" s="897"/>
      <c r="CZ28" s="897"/>
      <c r="DA28" s="897"/>
      <c r="DB28" s="897"/>
      <c r="DC28" s="897"/>
      <c r="DD28" s="897"/>
      <c r="DE28" s="897"/>
      <c r="DF28" s="897"/>
      <c r="DG28" s="897"/>
      <c r="DH28" s="897"/>
      <c r="DI28" s="897"/>
      <c r="DJ28" s="897"/>
      <c r="DK28" s="897"/>
      <c r="DL28" s="897"/>
      <c r="DM28" s="897"/>
      <c r="DN28" s="897"/>
      <c r="DO28" s="897"/>
      <c r="DP28" s="897"/>
      <c r="DQ28" s="897"/>
      <c r="DR28" s="897"/>
      <c r="DS28" s="897"/>
      <c r="DT28" s="897"/>
      <c r="DU28" s="897"/>
      <c r="DV28" s="897"/>
      <c r="DW28" s="897"/>
      <c r="DX28" s="897"/>
      <c r="DY28" s="897"/>
      <c r="DZ28" s="897"/>
      <c r="EA28" s="897"/>
      <c r="EB28" s="897"/>
      <c r="EC28" s="897"/>
      <c r="ED28" s="897"/>
      <c r="EE28" s="897"/>
      <c r="EF28" s="897"/>
      <c r="EG28" s="897"/>
      <c r="EH28" s="897"/>
      <c r="EI28" s="897"/>
      <c r="EJ28" s="897"/>
      <c r="EK28" s="897"/>
      <c r="EL28" s="897"/>
      <c r="EM28" s="897"/>
      <c r="EN28" s="897"/>
      <c r="EO28" s="897"/>
      <c r="EP28" s="897"/>
      <c r="EQ28" s="897"/>
      <c r="ER28" s="897"/>
      <c r="ES28" s="897"/>
      <c r="ET28" s="897"/>
      <c r="EU28" s="897"/>
      <c r="EV28" s="897"/>
      <c r="EW28" s="897"/>
      <c r="EX28" s="897"/>
      <c r="EY28" s="897"/>
      <c r="EZ28" s="897"/>
      <c r="FA28" s="897"/>
      <c r="FB28" s="897"/>
      <c r="FC28" s="897"/>
      <c r="FD28" s="897"/>
      <c r="FE28" s="897"/>
      <c r="FF28" s="897"/>
      <c r="FG28" s="897"/>
      <c r="FH28" s="897"/>
      <c r="FI28" s="897"/>
      <c r="FJ28" s="897"/>
      <c r="FK28" s="897"/>
      <c r="FL28" s="897"/>
      <c r="FM28" s="897"/>
      <c r="FN28" s="897"/>
      <c r="FO28" s="897"/>
      <c r="FP28" s="897"/>
      <c r="FQ28" s="897"/>
      <c r="FR28" s="897"/>
      <c r="FS28" s="897"/>
      <c r="FT28" s="897"/>
      <c r="FU28" s="897"/>
      <c r="FV28" s="897"/>
      <c r="FW28" s="897"/>
      <c r="FX28" s="897"/>
      <c r="FY28" s="897"/>
      <c r="FZ28" s="897"/>
      <c r="GA28" s="897"/>
      <c r="GB28" s="897"/>
      <c r="GC28" s="897"/>
      <c r="GD28" s="897"/>
      <c r="GE28" s="897"/>
      <c r="GF28" s="897"/>
      <c r="GG28" s="897"/>
      <c r="GH28" s="897"/>
      <c r="GI28" s="897"/>
      <c r="GJ28" s="897"/>
      <c r="GK28" s="897"/>
      <c r="GL28" s="897"/>
      <c r="GM28" s="897"/>
      <c r="GN28" s="897"/>
      <c r="GO28" s="897"/>
      <c r="GP28" s="897"/>
      <c r="GQ28" s="897"/>
      <c r="GR28" s="897"/>
      <c r="GS28" s="897"/>
      <c r="GT28" s="897"/>
      <c r="GU28" s="897"/>
      <c r="GV28" s="897"/>
      <c r="GW28" s="897"/>
      <c r="GX28" s="897"/>
      <c r="GY28" s="897"/>
      <c r="GZ28" s="897"/>
      <c r="HA28" s="897"/>
      <c r="HB28" s="897"/>
      <c r="HC28" s="897"/>
      <c r="HD28" s="897"/>
      <c r="HE28" s="897"/>
      <c r="HF28" s="897"/>
      <c r="HG28" s="897"/>
      <c r="HH28" s="897"/>
      <c r="HI28" s="897"/>
      <c r="HJ28" s="897"/>
      <c r="HK28" s="897"/>
      <c r="HL28" s="897"/>
      <c r="HM28" s="897"/>
      <c r="HN28" s="897"/>
      <c r="HO28" s="897"/>
      <c r="HP28" s="897"/>
    </row>
    <row r="29" spans="1:224" s="659" customFormat="1" ht="34.5" customHeight="1" x14ac:dyDescent="0.25">
      <c r="A29" s="888" t="s">
        <v>1298</v>
      </c>
      <c r="B29" s="2525"/>
      <c r="C29" s="2526"/>
      <c r="D29" s="2526"/>
      <c r="E29" s="2526"/>
      <c r="F29" s="2526"/>
      <c r="G29" s="2532"/>
      <c r="H29" s="2517" t="str">
        <f>CONCATENATE("Annual Consumption ",IF(SI_IP_Units="IP","(kWh/year)","kWh/year"))</f>
        <v>Annual Consumption (kWh/year)</v>
      </c>
      <c r="I29" s="2513"/>
      <c r="J29" s="2523" t="s">
        <v>1475</v>
      </c>
      <c r="K29" s="2527" t="s">
        <v>1474</v>
      </c>
      <c r="L29" s="2529"/>
      <c r="M29" s="2517" t="str">
        <f>CONCATENATE("Annual Consumption ",IF(SI_IP_Units="IP","(therms/year)","kWh/year"))</f>
        <v>Annual Consumption (therms/year)</v>
      </c>
      <c r="N29" s="2513"/>
      <c r="O29" s="2523" t="s">
        <v>1475</v>
      </c>
      <c r="P29" s="2527" t="s">
        <v>1474</v>
      </c>
      <c r="Q29" s="2529"/>
      <c r="R29" s="2517" t="s">
        <v>1519</v>
      </c>
      <c r="S29" s="2505" t="s">
        <v>1518</v>
      </c>
      <c r="T29" s="2513" t="s">
        <v>1520</v>
      </c>
      <c r="U29" s="2515" t="s">
        <v>1521</v>
      </c>
      <c r="V29" s="897"/>
      <c r="W29" s="897"/>
      <c r="X29" s="897"/>
      <c r="Y29" s="897"/>
      <c r="Z29" s="897"/>
      <c r="AA29" s="897"/>
      <c r="AB29" s="897"/>
      <c r="AC29" s="897"/>
      <c r="AD29" s="897"/>
      <c r="AE29" s="897"/>
      <c r="AF29" s="897"/>
      <c r="AG29" s="897"/>
      <c r="AH29" s="897"/>
      <c r="AI29" s="897"/>
      <c r="AJ29" s="897"/>
      <c r="AK29" s="897"/>
      <c r="AL29" s="897"/>
      <c r="AM29" s="897"/>
      <c r="AN29" s="897"/>
      <c r="AO29" s="897"/>
      <c r="AP29" s="897"/>
      <c r="AQ29" s="897"/>
      <c r="AR29" s="897"/>
      <c r="AS29" s="897"/>
      <c r="AT29" s="897"/>
      <c r="AU29" s="897"/>
      <c r="AV29" s="897"/>
      <c r="AW29" s="897"/>
      <c r="AX29" s="897"/>
      <c r="AY29" s="897"/>
      <c r="AZ29" s="897"/>
      <c r="BA29" s="897"/>
      <c r="BB29" s="897"/>
      <c r="BC29" s="897"/>
      <c r="BD29" s="897"/>
      <c r="BE29" s="897"/>
      <c r="BF29" s="897"/>
      <c r="BG29" s="897"/>
      <c r="BH29" s="897"/>
      <c r="BI29" s="897"/>
      <c r="BJ29" s="897"/>
      <c r="BK29" s="897"/>
      <c r="BL29" s="897"/>
      <c r="BM29" s="897"/>
      <c r="BN29" s="897"/>
      <c r="BO29" s="897"/>
      <c r="BP29" s="897"/>
      <c r="BQ29" s="897"/>
      <c r="BR29" s="897"/>
      <c r="BS29" s="897"/>
      <c r="BT29" s="897"/>
      <c r="BU29" s="897"/>
      <c r="BV29" s="897"/>
      <c r="BW29" s="897"/>
      <c r="BX29" s="897"/>
      <c r="BY29" s="897"/>
      <c r="BZ29" s="897"/>
      <c r="CA29" s="897"/>
      <c r="CB29" s="897"/>
      <c r="CC29" s="897"/>
      <c r="CD29" s="897"/>
      <c r="CE29" s="897"/>
      <c r="CF29" s="897"/>
      <c r="CG29" s="897"/>
      <c r="CH29" s="897"/>
      <c r="CI29" s="897"/>
      <c r="CJ29" s="897"/>
      <c r="CK29" s="897"/>
      <c r="CL29" s="897"/>
      <c r="CM29" s="897"/>
      <c r="CN29" s="897"/>
      <c r="CO29" s="897"/>
      <c r="CP29" s="897"/>
      <c r="CQ29" s="897"/>
      <c r="CR29" s="897"/>
      <c r="CS29" s="897"/>
      <c r="CT29" s="897"/>
      <c r="CU29" s="897"/>
      <c r="CV29" s="897"/>
      <c r="CW29" s="897"/>
      <c r="CX29" s="897"/>
      <c r="CY29" s="897"/>
      <c r="CZ29" s="897"/>
      <c r="DA29" s="897"/>
      <c r="DB29" s="897"/>
      <c r="DC29" s="897"/>
      <c r="DD29" s="897"/>
      <c r="DE29" s="897"/>
      <c r="DF29" s="897"/>
      <c r="DG29" s="897"/>
      <c r="DH29" s="897"/>
      <c r="DI29" s="897"/>
      <c r="DJ29" s="897"/>
      <c r="DK29" s="897"/>
      <c r="DL29" s="897"/>
      <c r="DM29" s="897"/>
      <c r="DN29" s="897"/>
      <c r="DO29" s="897"/>
      <c r="DP29" s="897"/>
      <c r="DQ29" s="897"/>
      <c r="DR29" s="897"/>
      <c r="DS29" s="897"/>
      <c r="DT29" s="897"/>
      <c r="DU29" s="897"/>
      <c r="DV29" s="897"/>
      <c r="DW29" s="897"/>
      <c r="DX29" s="897"/>
      <c r="DY29" s="897"/>
      <c r="DZ29" s="897"/>
      <c r="EA29" s="897"/>
      <c r="EB29" s="897"/>
      <c r="EC29" s="897"/>
      <c r="ED29" s="897"/>
      <c r="EE29" s="897"/>
      <c r="EF29" s="897"/>
      <c r="EG29" s="897"/>
      <c r="EH29" s="897"/>
      <c r="EI29" s="897"/>
      <c r="EJ29" s="897"/>
      <c r="EK29" s="897"/>
      <c r="EL29" s="897"/>
      <c r="EM29" s="897"/>
      <c r="EN29" s="897"/>
      <c r="EO29" s="897"/>
      <c r="EP29" s="897"/>
      <c r="EQ29" s="897"/>
      <c r="ER29" s="897"/>
      <c r="ES29" s="897"/>
      <c r="ET29" s="897"/>
      <c r="EU29" s="897"/>
      <c r="EV29" s="897"/>
      <c r="EW29" s="897"/>
      <c r="EX29" s="897"/>
      <c r="EY29" s="897"/>
      <c r="EZ29" s="897"/>
      <c r="FA29" s="897"/>
      <c r="FB29" s="897"/>
      <c r="FC29" s="897"/>
      <c r="FD29" s="897"/>
      <c r="FE29" s="897"/>
      <c r="FF29" s="897"/>
      <c r="FG29" s="897"/>
      <c r="FH29" s="897"/>
      <c r="FI29" s="897"/>
      <c r="FJ29" s="897"/>
      <c r="FK29" s="897"/>
      <c r="FL29" s="897"/>
      <c r="FM29" s="897"/>
      <c r="FN29" s="897"/>
      <c r="FO29" s="897"/>
      <c r="FP29" s="897"/>
      <c r="FQ29" s="897"/>
      <c r="FR29" s="897"/>
      <c r="FS29" s="897"/>
      <c r="FT29" s="897"/>
      <c r="FU29" s="897"/>
      <c r="FV29" s="897"/>
      <c r="FW29" s="897"/>
      <c r="FX29" s="897"/>
      <c r="FY29" s="897"/>
      <c r="FZ29" s="897"/>
      <c r="GA29" s="897"/>
      <c r="GB29" s="897"/>
      <c r="GC29" s="897"/>
      <c r="GD29" s="897"/>
      <c r="GE29" s="897"/>
      <c r="GF29" s="897"/>
      <c r="GG29" s="897"/>
      <c r="GH29" s="897"/>
      <c r="GI29" s="897"/>
      <c r="GJ29" s="897"/>
      <c r="GK29" s="897"/>
      <c r="GL29" s="897"/>
      <c r="GM29" s="897"/>
      <c r="GN29" s="897"/>
      <c r="GO29" s="897"/>
      <c r="GP29" s="897"/>
      <c r="GQ29" s="897"/>
      <c r="GR29" s="897"/>
      <c r="GS29" s="897"/>
      <c r="GT29" s="897"/>
      <c r="GU29" s="897"/>
      <c r="GV29" s="897"/>
      <c r="GW29" s="897"/>
      <c r="GX29" s="897"/>
      <c r="GY29" s="897"/>
      <c r="GZ29" s="897"/>
      <c r="HA29" s="897"/>
      <c r="HB29" s="897"/>
      <c r="HC29" s="897"/>
      <c r="HD29" s="897"/>
      <c r="HE29" s="897"/>
      <c r="HF29" s="897"/>
      <c r="HG29" s="897"/>
      <c r="HH29" s="897"/>
      <c r="HI29" s="897"/>
      <c r="HJ29" s="897"/>
      <c r="HK29" s="897"/>
      <c r="HL29" s="897"/>
      <c r="HM29" s="897"/>
      <c r="HN29" s="897"/>
      <c r="HO29" s="897"/>
      <c r="HP29" s="897"/>
    </row>
    <row r="30" spans="1:224" ht="25.5" customHeight="1" x14ac:dyDescent="0.25">
      <c r="A30" s="888" t="s">
        <v>1298</v>
      </c>
      <c r="B30" s="2525"/>
      <c r="C30" s="2526"/>
      <c r="D30" s="2526"/>
      <c r="E30" s="2526"/>
      <c r="F30" s="2526"/>
      <c r="G30" s="2532"/>
      <c r="H30" s="2068" t="s">
        <v>347</v>
      </c>
      <c r="I30" s="2069" t="s">
        <v>348</v>
      </c>
      <c r="J30" s="2524"/>
      <c r="K30" s="2528"/>
      <c r="L30" s="2530"/>
      <c r="M30" s="2068" t="s">
        <v>347</v>
      </c>
      <c r="N30" s="2069" t="s">
        <v>348</v>
      </c>
      <c r="O30" s="2524"/>
      <c r="P30" s="2528"/>
      <c r="Q30" s="2530"/>
      <c r="R30" s="2531"/>
      <c r="S30" s="2506"/>
      <c r="T30" s="2514"/>
      <c r="U30" s="2516"/>
      <c r="HL30"/>
      <c r="HM30"/>
      <c r="HN30"/>
      <c r="HO30"/>
      <c r="HP30"/>
    </row>
    <row r="31" spans="1:224" s="659" customFormat="1" ht="39" hidden="1" x14ac:dyDescent="0.25">
      <c r="A31" s="888" t="s">
        <v>1298</v>
      </c>
      <c r="B31" s="958" t="s">
        <v>1357</v>
      </c>
      <c r="C31" s="958" t="s">
        <v>1525</v>
      </c>
      <c r="D31" s="958" t="s">
        <v>1405</v>
      </c>
      <c r="E31" s="958" t="s">
        <v>1526</v>
      </c>
      <c r="F31" s="959" t="s">
        <v>1527</v>
      </c>
      <c r="G31" s="960" t="s">
        <v>1515</v>
      </c>
      <c r="H31" s="961" t="s">
        <v>1528</v>
      </c>
      <c r="I31" s="961" t="s">
        <v>1529</v>
      </c>
      <c r="J31" s="962" t="s">
        <v>1530</v>
      </c>
      <c r="K31" s="962" t="s">
        <v>1531</v>
      </c>
      <c r="L31" s="962" t="s">
        <v>1516</v>
      </c>
      <c r="M31" s="961" t="s">
        <v>1532</v>
      </c>
      <c r="N31" s="961" t="s">
        <v>1533</v>
      </c>
      <c r="O31" s="962" t="s">
        <v>1534</v>
      </c>
      <c r="P31" s="962" t="s">
        <v>1535</v>
      </c>
      <c r="Q31" s="962" t="s">
        <v>1517</v>
      </c>
      <c r="R31" s="962" t="s">
        <v>1536</v>
      </c>
      <c r="S31" s="962" t="s">
        <v>1537</v>
      </c>
      <c r="T31" s="962" t="s">
        <v>1538</v>
      </c>
      <c r="U31" s="962" t="s">
        <v>1539</v>
      </c>
      <c r="V31" s="897"/>
      <c r="W31" s="897"/>
      <c r="X31" s="897"/>
      <c r="Y31" s="897"/>
      <c r="Z31" s="897"/>
      <c r="AA31" s="897"/>
      <c r="AB31" s="897"/>
      <c r="AC31" s="897"/>
      <c r="AD31" s="897"/>
      <c r="AE31" s="897"/>
      <c r="AF31" s="897"/>
      <c r="AG31" s="897"/>
      <c r="AH31" s="897"/>
      <c r="AI31" s="897"/>
      <c r="AJ31" s="897"/>
      <c r="AK31" s="897"/>
      <c r="AL31" s="897"/>
      <c r="AM31" s="897"/>
      <c r="AN31" s="897"/>
      <c r="AO31" s="897"/>
      <c r="AP31" s="897"/>
      <c r="AQ31" s="897"/>
      <c r="AR31" s="897"/>
      <c r="AS31" s="897"/>
      <c r="AT31" s="897"/>
      <c r="AU31" s="897"/>
      <c r="AV31" s="897"/>
      <c r="AW31" s="897"/>
      <c r="AX31" s="897"/>
      <c r="AY31" s="897"/>
      <c r="AZ31" s="897"/>
      <c r="BA31" s="897"/>
      <c r="BB31" s="897"/>
      <c r="BC31" s="897"/>
      <c r="BD31" s="897"/>
      <c r="BE31" s="897"/>
      <c r="BF31" s="897"/>
      <c r="BG31" s="897"/>
      <c r="BH31" s="897"/>
      <c r="BI31" s="897"/>
      <c r="BJ31" s="897"/>
      <c r="BK31" s="897"/>
      <c r="BL31" s="897"/>
      <c r="BM31" s="897"/>
      <c r="BN31" s="897"/>
      <c r="BO31" s="897"/>
      <c r="BP31" s="897"/>
      <c r="BQ31" s="897"/>
      <c r="BR31" s="897"/>
      <c r="BS31" s="897"/>
      <c r="BT31" s="897"/>
      <c r="BU31" s="897"/>
      <c r="BV31" s="897"/>
      <c r="BW31" s="897"/>
      <c r="BX31" s="897"/>
      <c r="BY31" s="897"/>
      <c r="BZ31" s="897"/>
      <c r="CA31" s="897"/>
      <c r="CB31" s="897"/>
      <c r="CC31" s="897"/>
      <c r="CD31" s="897"/>
      <c r="CE31" s="897"/>
      <c r="CF31" s="897"/>
      <c r="CG31" s="897"/>
      <c r="CH31" s="897"/>
      <c r="CI31" s="897"/>
      <c r="CJ31" s="897"/>
      <c r="CK31" s="897"/>
      <c r="CL31" s="897"/>
      <c r="CM31" s="897"/>
      <c r="CN31" s="897"/>
      <c r="CO31" s="897"/>
      <c r="CP31" s="897"/>
      <c r="CQ31" s="897"/>
      <c r="CR31" s="897"/>
      <c r="CS31" s="897"/>
      <c r="CT31" s="897"/>
      <c r="CU31" s="897"/>
      <c r="CV31" s="897"/>
      <c r="CW31" s="897"/>
      <c r="CX31" s="897"/>
      <c r="CY31" s="897"/>
      <c r="CZ31" s="897"/>
      <c r="DA31" s="897"/>
      <c r="DB31" s="897"/>
      <c r="DC31" s="897"/>
      <c r="DD31" s="897"/>
      <c r="DE31" s="897"/>
      <c r="DF31" s="897"/>
      <c r="DG31" s="897"/>
      <c r="DH31" s="897"/>
      <c r="DI31" s="897"/>
      <c r="DJ31" s="897"/>
      <c r="DK31" s="897"/>
      <c r="DL31" s="897"/>
      <c r="DM31" s="897"/>
      <c r="DN31" s="897"/>
      <c r="DO31" s="897"/>
      <c r="DP31" s="897"/>
      <c r="DQ31" s="897"/>
      <c r="DR31" s="897"/>
      <c r="DS31" s="897"/>
      <c r="DT31" s="897"/>
      <c r="DU31" s="897"/>
      <c r="DV31" s="897"/>
      <c r="DW31" s="897"/>
      <c r="DX31" s="897"/>
      <c r="DY31" s="897"/>
      <c r="DZ31" s="897"/>
      <c r="EA31" s="897"/>
      <c r="EB31" s="897"/>
      <c r="EC31" s="897"/>
      <c r="ED31" s="897"/>
      <c r="EE31" s="897"/>
      <c r="EF31" s="897"/>
      <c r="EG31" s="897"/>
      <c r="EH31" s="897"/>
      <c r="EI31" s="897"/>
      <c r="EJ31" s="897"/>
      <c r="EK31" s="897"/>
      <c r="EL31" s="897"/>
      <c r="EM31" s="897"/>
      <c r="EN31" s="897"/>
      <c r="EO31" s="897"/>
      <c r="EP31" s="897"/>
      <c r="EQ31" s="897"/>
      <c r="ER31" s="897"/>
      <c r="ES31" s="897"/>
      <c r="ET31" s="897"/>
      <c r="EU31" s="897"/>
      <c r="EV31" s="897"/>
      <c r="EW31" s="897"/>
      <c r="EX31" s="897"/>
      <c r="EY31" s="897"/>
      <c r="EZ31" s="897"/>
      <c r="FA31" s="897"/>
      <c r="FB31" s="897"/>
      <c r="FC31" s="897"/>
      <c r="FD31" s="897"/>
      <c r="FE31" s="897"/>
      <c r="FF31" s="897"/>
      <c r="FG31" s="897"/>
      <c r="FH31" s="897"/>
      <c r="FI31" s="897"/>
      <c r="FJ31" s="897"/>
      <c r="FK31" s="897"/>
      <c r="FL31" s="897"/>
      <c r="FM31" s="897"/>
      <c r="FN31" s="897"/>
      <c r="FO31" s="897"/>
      <c r="FP31" s="897"/>
      <c r="FQ31" s="897"/>
      <c r="FR31" s="897"/>
      <c r="FS31" s="897"/>
      <c r="FT31" s="897"/>
      <c r="FU31" s="897"/>
      <c r="FV31" s="897"/>
      <c r="FW31" s="897"/>
      <c r="FX31" s="897"/>
      <c r="FY31" s="897"/>
      <c r="FZ31" s="897"/>
      <c r="GA31" s="897"/>
      <c r="GB31" s="897"/>
      <c r="GC31" s="897"/>
      <c r="GD31" s="897"/>
      <c r="GE31" s="897"/>
      <c r="GF31" s="897"/>
      <c r="GG31" s="897"/>
      <c r="GH31" s="897"/>
      <c r="GI31" s="897"/>
      <c r="GJ31" s="897"/>
      <c r="GK31" s="897"/>
      <c r="GL31" s="897"/>
      <c r="GM31" s="897"/>
      <c r="GN31" s="897"/>
      <c r="GO31" s="897"/>
      <c r="GP31" s="897"/>
      <c r="GQ31" s="897"/>
      <c r="GR31" s="897"/>
      <c r="GS31" s="897"/>
      <c r="GT31" s="897"/>
      <c r="GU31" s="897"/>
      <c r="GV31" s="897"/>
      <c r="GW31" s="897"/>
      <c r="GX31" s="897"/>
      <c r="GY31" s="897"/>
      <c r="GZ31" s="897"/>
      <c r="HA31" s="897"/>
      <c r="HB31" s="897"/>
      <c r="HC31" s="897"/>
      <c r="HD31" s="897"/>
      <c r="HE31" s="897"/>
      <c r="HF31" s="897"/>
      <c r="HG31" s="897"/>
      <c r="HH31" s="897"/>
      <c r="HI31" s="897"/>
      <c r="HJ31" s="897"/>
      <c r="HK31" s="897"/>
    </row>
    <row r="32" spans="1:224" s="659" customFormat="1" hidden="1" x14ac:dyDescent="0.25">
      <c r="A32" s="888" t="s">
        <v>915</v>
      </c>
      <c r="B32" s="2073" t="str">
        <f>GI_Project_Name</f>
        <v>SEA Building Addition</v>
      </c>
      <c r="C32" s="2074"/>
      <c r="D32" s="2075"/>
      <c r="E32" s="2075"/>
      <c r="F32" s="2076">
        <f t="shared" ref="F32:F35" si="3">IFERROR(INDEX(MD_BUS_SumTable,MATCH($B32,MD_BUS_SumIndex,0),MATCH($K$21,MD_BUS_SumHdr,0)),"")</f>
        <v>0</v>
      </c>
      <c r="G32" s="2110"/>
      <c r="H32" s="2077" t="str">
        <f t="shared" ref="H32:H35" si="4">IFERROR($D32*((VLOOKUP($C32,Homes_DwellingEqpLookup,2,FALSE)+VLOOKUP($C32,Homes_DwellingEqpLookup,6,FALSE)*$F32)*VLOOKUP($C32,Homes_DwellingEqpLookup,12,FALSE)),"")</f>
        <v/>
      </c>
      <c r="I32" s="2077" t="str">
        <f t="shared" ref="I32:I35" si="5">IFERROR(IF($E32="No",$H32,$D32*(VLOOKUP($C32,Homes_DwellingEqpLookup,3,FALSE)+VLOOKUP($C32,Homes_DwellingEqpLookup,6,FALSE)*$F32)*VLOOKUP($C32,Homes_DwellingEqpLookup,12,FALSE)),"")</f>
        <v/>
      </c>
      <c r="J32" s="2078" t="str">
        <f t="shared" ref="J32:J35" si="6">IFERROR(VLOOKUP($C32,Homes_DwellingEqpLookup,4,0),"")</f>
        <v/>
      </c>
      <c r="K32" s="2078" t="str">
        <f t="shared" ref="K32:K35" si="7">IFERROR(VLOOKUP($C32,Homes_DwellingEqpLookup,5,0),"")</f>
        <v/>
      </c>
      <c r="L32" s="2114"/>
      <c r="M32" s="2079" t="str">
        <f t="shared" ref="M32:M35" si="8">IFERROR($D32*((VLOOKUP($C32,Homes_DwellingEqpLookup,7,FALSE)+VLOOKUP($C32,Homes_DwellingEqpLookup,11,FALSE)*$F32)*VLOOKUP($C32,Homes_DwellingEqpLookup,12,FALSE)),"")</f>
        <v/>
      </c>
      <c r="N32" s="2080" t="str">
        <f t="shared" ref="N32:N35" si="9">IFERROR(IF($E32="No",$M32,$D32*(VLOOKUP($C32,Homes_DwellingEqpLookup,8,FALSE)+VLOOKUP($C32,Homes_DwellingEqpLookup,11,FALSE)*$F32)*VLOOKUP($C32,Homes_DwellingEqpLookup,12,FALSE)),"")</f>
        <v/>
      </c>
      <c r="O32" s="2081" t="str">
        <f t="shared" ref="O32:O35" si="10">IFERROR(VLOOKUP($C32,Homes_DwellingEqpLookup,9,0),"")</f>
        <v/>
      </c>
      <c r="P32" s="2081" t="str">
        <f t="shared" ref="P32:P35" si="11">IFERROR(VLOOKUP($C32,Homes_DwellingEqpLookup,10,0),"")</f>
        <v/>
      </c>
      <c r="Q32" s="2117"/>
      <c r="R32" s="2082" t="str">
        <f t="shared" ref="R32:R35" si="12">IFERROR(VLOOKUP($C32,Homes_DwellingEqpLookup,13,0),"")</f>
        <v/>
      </c>
      <c r="S32" s="2082" t="str">
        <f t="shared" ref="S32:S35" si="13">IFERROR(IF($E32="No",$R32,VLOOKUP($C32,Homes_DwellingEqpLookup,14,0)),"")</f>
        <v/>
      </c>
      <c r="T32" s="2082" t="str">
        <f>IFERROR($R32*$D32,"")</f>
        <v/>
      </c>
      <c r="U32" s="2083" t="str">
        <f>IFERROR($S32*$D32,"")</f>
        <v/>
      </c>
      <c r="V32" s="981"/>
      <c r="W32" s="981"/>
      <c r="X32" s="2276"/>
      <c r="Y32" s="981"/>
      <c r="Z32" s="897"/>
      <c r="AA32" s="897"/>
      <c r="AB32" s="897"/>
      <c r="AC32" s="897"/>
      <c r="AD32" s="897"/>
      <c r="AE32" s="897"/>
      <c r="AF32" s="897"/>
      <c r="AG32" s="897"/>
      <c r="AH32" s="897"/>
      <c r="AI32" s="897"/>
      <c r="AJ32" s="897"/>
      <c r="AK32" s="897"/>
      <c r="AL32" s="897"/>
      <c r="AM32" s="897"/>
      <c r="AN32" s="897"/>
      <c r="AO32" s="897"/>
      <c r="AP32" s="897"/>
      <c r="AQ32" s="897"/>
      <c r="AR32" s="897"/>
      <c r="AS32" s="897"/>
      <c r="AT32" s="897"/>
      <c r="AU32" s="897"/>
      <c r="AV32" s="897"/>
      <c r="AW32" s="897"/>
      <c r="AX32" s="897"/>
      <c r="AY32" s="897"/>
      <c r="AZ32" s="897"/>
      <c r="BA32" s="897"/>
      <c r="BB32" s="897"/>
      <c r="BC32" s="897"/>
      <c r="BD32" s="897"/>
      <c r="BE32" s="897"/>
      <c r="BF32" s="897"/>
      <c r="BG32" s="897"/>
      <c r="BH32" s="897"/>
      <c r="BI32" s="897"/>
      <c r="BJ32" s="897"/>
      <c r="BK32" s="897"/>
      <c r="BL32" s="897"/>
      <c r="BM32" s="897"/>
      <c r="BN32" s="897"/>
      <c r="BO32" s="897"/>
      <c r="BP32" s="897"/>
      <c r="BQ32" s="897"/>
      <c r="BR32" s="897"/>
      <c r="BS32" s="897"/>
      <c r="BT32" s="897"/>
      <c r="BU32" s="897"/>
      <c r="BV32" s="897"/>
      <c r="BW32" s="897"/>
      <c r="BX32" s="897"/>
      <c r="BY32" s="897"/>
      <c r="BZ32" s="897"/>
      <c r="CA32" s="897"/>
      <c r="CB32" s="897"/>
      <c r="CC32" s="897"/>
      <c r="CD32" s="897"/>
      <c r="CE32" s="897"/>
      <c r="CF32" s="897"/>
      <c r="CG32" s="897"/>
      <c r="CH32" s="897"/>
      <c r="CI32" s="897"/>
      <c r="CJ32" s="897"/>
      <c r="CK32" s="897"/>
      <c r="CL32" s="897"/>
      <c r="CM32" s="897"/>
      <c r="CN32" s="897"/>
      <c r="CO32" s="897"/>
      <c r="CP32" s="897"/>
      <c r="CQ32" s="897"/>
      <c r="CR32" s="897"/>
      <c r="CS32" s="897"/>
      <c r="CT32" s="897"/>
      <c r="CU32" s="897"/>
      <c r="CV32" s="897"/>
      <c r="CW32" s="897"/>
      <c r="CX32" s="897"/>
      <c r="CY32" s="897"/>
      <c r="CZ32" s="897"/>
      <c r="DA32" s="897"/>
      <c r="DB32" s="897"/>
      <c r="DC32" s="897"/>
      <c r="DD32" s="897"/>
      <c r="DE32" s="897"/>
      <c r="DF32" s="897"/>
      <c r="DG32" s="897"/>
      <c r="DH32" s="897"/>
      <c r="DI32" s="897"/>
      <c r="DJ32" s="897"/>
      <c r="DK32" s="897"/>
      <c r="DL32" s="897"/>
      <c r="DM32" s="897"/>
      <c r="DN32" s="897"/>
      <c r="DO32" s="897"/>
      <c r="DP32" s="897"/>
      <c r="DQ32" s="897"/>
      <c r="DR32" s="897"/>
      <c r="DS32" s="897"/>
      <c r="DT32" s="897"/>
      <c r="DU32" s="897"/>
      <c r="DV32" s="897"/>
      <c r="DW32" s="897"/>
      <c r="DX32" s="897"/>
      <c r="DY32" s="897"/>
      <c r="DZ32" s="897"/>
      <c r="EA32" s="897"/>
      <c r="EB32" s="897"/>
      <c r="EC32" s="897"/>
      <c r="ED32" s="897"/>
      <c r="EE32" s="897"/>
      <c r="EF32" s="897"/>
      <c r="EG32" s="897"/>
      <c r="EH32" s="897"/>
      <c r="EI32" s="897"/>
      <c r="EJ32" s="897"/>
      <c r="EK32" s="897"/>
      <c r="EL32" s="897"/>
      <c r="EM32" s="897"/>
      <c r="EN32" s="897"/>
      <c r="EO32" s="897"/>
      <c r="EP32" s="897"/>
      <c r="EQ32" s="897"/>
      <c r="ER32" s="897"/>
      <c r="ES32" s="897"/>
      <c r="ET32" s="897"/>
      <c r="EU32" s="897"/>
      <c r="EV32" s="897"/>
      <c r="EW32" s="897"/>
      <c r="EX32" s="897"/>
      <c r="EY32" s="897"/>
      <c r="EZ32" s="897"/>
      <c r="FA32" s="897"/>
      <c r="FB32" s="897"/>
      <c r="FC32" s="897"/>
      <c r="FD32" s="897"/>
      <c r="FE32" s="897"/>
      <c r="FF32" s="897"/>
      <c r="FG32" s="897"/>
      <c r="FH32" s="897"/>
      <c r="FI32" s="897"/>
      <c r="FJ32" s="897"/>
      <c r="FK32" s="897"/>
      <c r="FL32" s="897"/>
      <c r="FM32" s="897"/>
      <c r="FN32" s="897"/>
      <c r="FO32" s="897"/>
      <c r="FP32" s="897"/>
      <c r="FQ32" s="897"/>
      <c r="FR32" s="897"/>
      <c r="FS32" s="897"/>
      <c r="FT32" s="897"/>
      <c r="FU32" s="897"/>
      <c r="FV32" s="897"/>
      <c r="FW32" s="897"/>
      <c r="FX32" s="897"/>
      <c r="FY32" s="897"/>
      <c r="FZ32" s="897"/>
      <c r="GA32" s="897"/>
      <c r="GB32" s="897"/>
      <c r="GC32" s="897"/>
      <c r="GD32" s="897"/>
      <c r="GE32" s="897"/>
      <c r="GF32" s="897"/>
      <c r="GG32" s="897"/>
      <c r="GH32" s="897"/>
      <c r="GI32" s="897"/>
      <c r="GJ32" s="897"/>
      <c r="GK32" s="897"/>
      <c r="GL32" s="897"/>
      <c r="GM32" s="897"/>
      <c r="GN32" s="897"/>
      <c r="GO32" s="897"/>
      <c r="GP32" s="897"/>
      <c r="GQ32" s="897"/>
      <c r="GR32" s="897"/>
      <c r="GS32" s="897"/>
      <c r="GT32" s="897"/>
      <c r="GU32" s="897"/>
      <c r="GV32" s="897"/>
      <c r="GW32" s="897"/>
      <c r="GX32" s="897"/>
      <c r="GY32" s="897"/>
      <c r="GZ32" s="897"/>
      <c r="HA32" s="897"/>
      <c r="HB32" s="897"/>
      <c r="HC32" s="897"/>
      <c r="HD32" s="897"/>
      <c r="HE32" s="897"/>
      <c r="HF32" s="897"/>
      <c r="HG32" s="897"/>
      <c r="HH32" s="897"/>
      <c r="HI32" s="897"/>
      <c r="HJ32" s="897"/>
      <c r="HK32" s="897"/>
    </row>
    <row r="33" spans="1:224" s="659" customFormat="1" x14ac:dyDescent="0.25">
      <c r="A33" s="888"/>
      <c r="B33" s="2084" t="str">
        <f>GI_Project_Name</f>
        <v>SEA Building Addition</v>
      </c>
      <c r="C33" s="2085"/>
      <c r="D33" s="2086"/>
      <c r="E33" s="2086"/>
      <c r="F33" s="2087">
        <f t="shared" si="3"/>
        <v>0</v>
      </c>
      <c r="G33" s="2111"/>
      <c r="H33" s="2088" t="str">
        <f t="shared" si="4"/>
        <v/>
      </c>
      <c r="I33" s="2088" t="str">
        <f t="shared" si="5"/>
        <v/>
      </c>
      <c r="J33" s="2089" t="str">
        <f t="shared" si="6"/>
        <v/>
      </c>
      <c r="K33" s="2089" t="str">
        <f t="shared" si="7"/>
        <v/>
      </c>
      <c r="L33" s="2115"/>
      <c r="M33" s="2090" t="str">
        <f t="shared" si="8"/>
        <v/>
      </c>
      <c r="N33" s="2091" t="str">
        <f t="shared" si="9"/>
        <v/>
      </c>
      <c r="O33" s="2092" t="str">
        <f t="shared" si="10"/>
        <v/>
      </c>
      <c r="P33" s="2092" t="str">
        <f t="shared" si="11"/>
        <v/>
      </c>
      <c r="Q33" s="2118"/>
      <c r="R33" s="2093" t="str">
        <f t="shared" si="12"/>
        <v/>
      </c>
      <c r="S33" s="2093" t="str">
        <f t="shared" si="13"/>
        <v/>
      </c>
      <c r="T33" s="2094" t="str">
        <f t="shared" ref="T33" si="14">IFERROR($R33*$D33,"")</f>
        <v/>
      </c>
      <c r="U33" s="2095" t="str">
        <f t="shared" ref="U33" si="15">IFERROR($S33*$D33,"")</f>
        <v/>
      </c>
      <c r="V33" s="981"/>
      <c r="W33" s="981"/>
      <c r="X33" s="2276"/>
      <c r="Y33" s="981"/>
      <c r="Z33" s="1101"/>
      <c r="AA33" s="1101"/>
      <c r="AB33" s="1101"/>
      <c r="AC33" s="1101"/>
      <c r="AD33" s="1101"/>
      <c r="AE33" s="1101"/>
      <c r="AF33" s="1101"/>
      <c r="AG33" s="1101"/>
      <c r="AH33" s="1101"/>
      <c r="AI33" s="1101"/>
      <c r="AJ33" s="1101"/>
      <c r="AK33" s="1101"/>
      <c r="AL33" s="1101"/>
      <c r="AM33" s="1101"/>
      <c r="AN33" s="1101"/>
      <c r="AO33" s="1101"/>
      <c r="AP33" s="1101"/>
      <c r="AQ33" s="1101"/>
      <c r="AR33" s="1101"/>
      <c r="AS33" s="1101"/>
      <c r="AT33" s="1101"/>
      <c r="AU33" s="1101"/>
      <c r="AV33" s="1101"/>
      <c r="AW33" s="1101"/>
      <c r="AX33" s="1101"/>
      <c r="AY33" s="1101"/>
      <c r="AZ33" s="1101"/>
      <c r="BA33" s="1101"/>
      <c r="BB33" s="1101"/>
      <c r="BC33" s="1101"/>
      <c r="BD33" s="1101"/>
      <c r="BE33" s="1101"/>
      <c r="BF33" s="1101"/>
      <c r="BG33" s="1101"/>
      <c r="BH33" s="1101"/>
      <c r="BI33" s="1101"/>
      <c r="BJ33" s="1101"/>
      <c r="BK33" s="1101"/>
      <c r="BL33" s="1101"/>
      <c r="BM33" s="1101"/>
      <c r="BN33" s="1101"/>
      <c r="BO33" s="1101"/>
      <c r="BP33" s="1101"/>
      <c r="BQ33" s="1101"/>
      <c r="BR33" s="1101"/>
      <c r="BS33" s="1101"/>
      <c r="BT33" s="1101"/>
      <c r="BU33" s="1101"/>
      <c r="BV33" s="1101"/>
      <c r="BW33" s="1101"/>
      <c r="BX33" s="1101"/>
      <c r="BY33" s="1101"/>
      <c r="BZ33" s="1101"/>
      <c r="CA33" s="1101"/>
      <c r="CB33" s="1101"/>
      <c r="CC33" s="1101"/>
      <c r="CD33" s="1101"/>
      <c r="CE33" s="1101"/>
      <c r="CF33" s="1101"/>
      <c r="CG33" s="1101"/>
      <c r="CH33" s="1101"/>
      <c r="CI33" s="1101"/>
      <c r="CJ33" s="1101"/>
      <c r="CK33" s="1101"/>
      <c r="CL33" s="1101"/>
      <c r="CM33" s="1101"/>
      <c r="CN33" s="1101"/>
      <c r="CO33" s="1101"/>
      <c r="CP33" s="1101"/>
      <c r="CQ33" s="1101"/>
      <c r="CR33" s="1101"/>
      <c r="CS33" s="1101"/>
      <c r="CT33" s="1101"/>
      <c r="CU33" s="1101"/>
      <c r="CV33" s="1101"/>
      <c r="CW33" s="1101"/>
      <c r="CX33" s="1101"/>
      <c r="CY33" s="1101"/>
      <c r="CZ33" s="1101"/>
      <c r="DA33" s="1101"/>
      <c r="DB33" s="1101"/>
      <c r="DC33" s="1101"/>
      <c r="DD33" s="1101"/>
      <c r="DE33" s="1101"/>
      <c r="DF33" s="1101"/>
      <c r="DG33" s="1101"/>
      <c r="DH33" s="1101"/>
      <c r="DI33" s="1101"/>
      <c r="DJ33" s="1101"/>
      <c r="DK33" s="1101"/>
      <c r="DL33" s="1101"/>
      <c r="DM33" s="1101"/>
      <c r="DN33" s="1101"/>
      <c r="DO33" s="1101"/>
      <c r="DP33" s="1101"/>
      <c r="DQ33" s="1101"/>
      <c r="DR33" s="1101"/>
      <c r="DS33" s="1101"/>
      <c r="DT33" s="1101"/>
      <c r="DU33" s="1101"/>
      <c r="DV33" s="1101"/>
      <c r="DW33" s="1101"/>
      <c r="DX33" s="1101"/>
      <c r="DY33" s="1101"/>
      <c r="DZ33" s="1101"/>
      <c r="EA33" s="1101"/>
      <c r="EB33" s="1101"/>
      <c r="EC33" s="1101"/>
      <c r="ED33" s="1101"/>
      <c r="EE33" s="1101"/>
      <c r="EF33" s="1101"/>
      <c r="EG33" s="1101"/>
      <c r="EH33" s="1101"/>
      <c r="EI33" s="1101"/>
      <c r="EJ33" s="1101"/>
      <c r="EK33" s="1101"/>
      <c r="EL33" s="1101"/>
      <c r="EM33" s="1101"/>
      <c r="EN33" s="1101"/>
      <c r="EO33" s="1101"/>
      <c r="EP33" s="1101"/>
      <c r="EQ33" s="1101"/>
      <c r="ER33" s="1101"/>
      <c r="ES33" s="1101"/>
      <c r="ET33" s="1101"/>
      <c r="EU33" s="1101"/>
      <c r="EV33" s="1101"/>
      <c r="EW33" s="1101"/>
      <c r="EX33" s="1101"/>
      <c r="EY33" s="1101"/>
      <c r="EZ33" s="1101"/>
      <c r="FA33" s="1101"/>
      <c r="FB33" s="1101"/>
      <c r="FC33" s="1101"/>
      <c r="FD33" s="1101"/>
      <c r="FE33" s="1101"/>
      <c r="FF33" s="1101"/>
      <c r="FG33" s="1101"/>
      <c r="FH33" s="1101"/>
      <c r="FI33" s="1101"/>
      <c r="FJ33" s="1101"/>
      <c r="FK33" s="1101"/>
      <c r="FL33" s="1101"/>
      <c r="FM33" s="1101"/>
      <c r="FN33" s="1101"/>
      <c r="FO33" s="1101"/>
      <c r="FP33" s="1101"/>
      <c r="FQ33" s="1101"/>
      <c r="FR33" s="1101"/>
      <c r="FS33" s="1101"/>
      <c r="FT33" s="1101"/>
      <c r="FU33" s="1101"/>
      <c r="FV33" s="1101"/>
      <c r="FW33" s="1101"/>
      <c r="FX33" s="1101"/>
      <c r="FY33" s="1101"/>
      <c r="FZ33" s="1101"/>
      <c r="GA33" s="1101"/>
      <c r="GB33" s="1101"/>
      <c r="GC33" s="1101"/>
      <c r="GD33" s="1101"/>
      <c r="GE33" s="1101"/>
      <c r="GF33" s="1101"/>
      <c r="GG33" s="1101"/>
      <c r="GH33" s="1101"/>
      <c r="GI33" s="1101"/>
      <c r="GJ33" s="1101"/>
      <c r="GK33" s="1101"/>
      <c r="GL33" s="1101"/>
      <c r="GM33" s="1101"/>
      <c r="GN33" s="1101"/>
      <c r="GO33" s="1101"/>
      <c r="GP33" s="1101"/>
      <c r="GQ33" s="1101"/>
      <c r="GR33" s="1101"/>
      <c r="GS33" s="1101"/>
      <c r="GT33" s="1101"/>
      <c r="GU33" s="1101"/>
      <c r="GV33" s="1101"/>
      <c r="GW33" s="1101"/>
      <c r="GX33" s="1101"/>
      <c r="GY33" s="1101"/>
      <c r="GZ33" s="1101"/>
      <c r="HA33" s="1101"/>
      <c r="HB33" s="1101"/>
      <c r="HC33" s="1101"/>
      <c r="HD33" s="1101"/>
      <c r="HE33" s="1101"/>
      <c r="HF33" s="1101"/>
      <c r="HG33" s="1101"/>
      <c r="HH33" s="1101"/>
      <c r="HI33" s="1101"/>
      <c r="HJ33" s="1101"/>
      <c r="HK33" s="1101"/>
    </row>
    <row r="34" spans="1:224" x14ac:dyDescent="0.25">
      <c r="A34" s="888"/>
      <c r="B34" s="2084" t="str">
        <f>GI_Project_Name</f>
        <v>SEA Building Addition</v>
      </c>
      <c r="C34" s="2096"/>
      <c r="D34" s="2086"/>
      <c r="E34" s="2086"/>
      <c r="F34" s="2087">
        <f t="shared" si="3"/>
        <v>0</v>
      </c>
      <c r="G34" s="2112"/>
      <c r="H34" s="2088" t="str">
        <f t="shared" si="4"/>
        <v/>
      </c>
      <c r="I34" s="2088" t="str">
        <f t="shared" si="5"/>
        <v/>
      </c>
      <c r="J34" s="2089" t="str">
        <f t="shared" si="6"/>
        <v/>
      </c>
      <c r="K34" s="2089" t="str">
        <f t="shared" si="7"/>
        <v/>
      </c>
      <c r="L34" s="2115"/>
      <c r="M34" s="2090" t="str">
        <f t="shared" si="8"/>
        <v/>
      </c>
      <c r="N34" s="2091" t="str">
        <f t="shared" si="9"/>
        <v/>
      </c>
      <c r="O34" s="2092" t="str">
        <f t="shared" si="10"/>
        <v/>
      </c>
      <c r="P34" s="2092" t="str">
        <f t="shared" si="11"/>
        <v/>
      </c>
      <c r="Q34" s="2118"/>
      <c r="R34" s="2093" t="str">
        <f t="shared" si="12"/>
        <v/>
      </c>
      <c r="S34" s="2093" t="str">
        <f t="shared" si="13"/>
        <v/>
      </c>
      <c r="T34" s="2094" t="str">
        <f t="shared" ref="T34:T35" si="16">IFERROR($R34*$D34,"")</f>
        <v/>
      </c>
      <c r="U34" s="2097" t="str">
        <f t="shared" ref="U34:U35" si="17">IFERROR($S34*$D34,"")</f>
        <v/>
      </c>
      <c r="X34" s="2276"/>
      <c r="Y34" s="925"/>
      <c r="HL34"/>
      <c r="HM34"/>
      <c r="HN34"/>
      <c r="HO34"/>
      <c r="HP34"/>
    </row>
    <row r="35" spans="1:224" x14ac:dyDescent="0.25">
      <c r="A35" s="888"/>
      <c r="B35" s="2098" t="str">
        <f>GI_Project_Name</f>
        <v>SEA Building Addition</v>
      </c>
      <c r="C35" s="2099"/>
      <c r="D35" s="2100"/>
      <c r="E35" s="2100"/>
      <c r="F35" s="2101">
        <f t="shared" si="3"/>
        <v>0</v>
      </c>
      <c r="G35" s="2113"/>
      <c r="H35" s="2102" t="str">
        <f t="shared" si="4"/>
        <v/>
      </c>
      <c r="I35" s="2102" t="str">
        <f t="shared" si="5"/>
        <v/>
      </c>
      <c r="J35" s="2103" t="str">
        <f t="shared" si="6"/>
        <v/>
      </c>
      <c r="K35" s="2103" t="str">
        <f t="shared" si="7"/>
        <v/>
      </c>
      <c r="L35" s="2116"/>
      <c r="M35" s="2104" t="str">
        <f t="shared" si="8"/>
        <v/>
      </c>
      <c r="N35" s="2105" t="str">
        <f t="shared" si="9"/>
        <v/>
      </c>
      <c r="O35" s="2106" t="str">
        <f t="shared" si="10"/>
        <v/>
      </c>
      <c r="P35" s="2106" t="str">
        <f t="shared" si="11"/>
        <v/>
      </c>
      <c r="Q35" s="2119"/>
      <c r="R35" s="2107" t="str">
        <f t="shared" si="12"/>
        <v/>
      </c>
      <c r="S35" s="2107" t="str">
        <f t="shared" si="13"/>
        <v/>
      </c>
      <c r="T35" s="2108" t="str">
        <f t="shared" si="16"/>
        <v/>
      </c>
      <c r="U35" s="2109" t="str">
        <f t="shared" si="17"/>
        <v/>
      </c>
      <c r="X35" s="2276"/>
      <c r="Y35" s="926"/>
      <c r="HL35"/>
      <c r="HM35"/>
      <c r="HN35"/>
      <c r="HO35"/>
      <c r="HP35"/>
    </row>
    <row r="36" spans="1:224" x14ac:dyDescent="0.25">
      <c r="A36" s="888" t="s">
        <v>1298</v>
      </c>
      <c r="B36" s="897"/>
      <c r="C36" s="897"/>
      <c r="D36" s="897"/>
      <c r="E36" s="897"/>
      <c r="F36" s="897"/>
      <c r="G36" s="897"/>
      <c r="H36" s="897"/>
      <c r="I36" s="897"/>
      <c r="J36" s="897"/>
      <c r="K36" s="897"/>
      <c r="L36" s="897"/>
      <c r="M36" s="897"/>
      <c r="N36" s="897"/>
      <c r="O36" s="949"/>
      <c r="P36" s="897"/>
      <c r="Q36" s="897"/>
      <c r="R36" s="897"/>
      <c r="S36" s="897"/>
      <c r="T36" s="897"/>
      <c r="U36" s="897"/>
    </row>
    <row r="37" spans="1:224" x14ac:dyDescent="0.25">
      <c r="A37" s="888" t="s">
        <v>1298</v>
      </c>
      <c r="B37" s="897"/>
      <c r="C37" s="897"/>
      <c r="D37" s="897"/>
      <c r="E37" s="897"/>
      <c r="F37" s="897"/>
      <c r="G37" s="897"/>
      <c r="H37" s="897"/>
      <c r="I37" s="897"/>
      <c r="J37" s="897"/>
      <c r="K37" s="897"/>
      <c r="L37" s="897"/>
      <c r="M37" s="897"/>
      <c r="N37" s="897"/>
      <c r="O37" s="897"/>
      <c r="P37" s="897"/>
      <c r="Q37" s="897"/>
      <c r="R37" s="897"/>
      <c r="S37" s="897"/>
      <c r="T37" s="897"/>
      <c r="U37" s="897"/>
    </row>
    <row r="38" spans="1:224" x14ac:dyDescent="0.25">
      <c r="A38" s="888" t="s">
        <v>1298</v>
      </c>
      <c r="B38" s="927"/>
      <c r="C38" s="927"/>
      <c r="D38" s="918"/>
      <c r="E38" s="918"/>
      <c r="F38" s="897"/>
      <c r="G38" s="897"/>
      <c r="H38" s="897"/>
      <c r="I38" s="897"/>
      <c r="J38" s="897"/>
      <c r="K38" s="897"/>
      <c r="L38" s="897"/>
      <c r="M38" s="897"/>
      <c r="N38" s="897"/>
      <c r="O38" s="897"/>
      <c r="P38" s="897"/>
      <c r="Q38" s="897"/>
      <c r="R38" s="897"/>
      <c r="S38" s="897"/>
      <c r="T38" s="897"/>
      <c r="U38" s="897"/>
    </row>
    <row r="39" spans="1:224" ht="21" customHeight="1" x14ac:dyDescent="0.25">
      <c r="A39" s="888" t="s">
        <v>1298</v>
      </c>
      <c r="B39" s="918"/>
      <c r="C39" s="918"/>
      <c r="D39" s="918"/>
      <c r="E39" s="918"/>
      <c r="F39" s="897"/>
      <c r="G39" s="897"/>
      <c r="H39" s="897"/>
      <c r="I39" s="897"/>
      <c r="J39" s="897"/>
      <c r="K39" s="897"/>
      <c r="L39" s="897"/>
      <c r="M39" s="897"/>
      <c r="N39" s="897"/>
      <c r="O39" s="897"/>
      <c r="P39" s="897"/>
      <c r="Q39" s="897"/>
      <c r="R39" s="897"/>
      <c r="S39" s="897"/>
      <c r="T39" s="897"/>
      <c r="U39" s="897"/>
    </row>
    <row r="40" spans="1:224" ht="15.75" x14ac:dyDescent="0.25">
      <c r="A40" s="888" t="s">
        <v>1298</v>
      </c>
      <c r="B40" s="902" t="s">
        <v>1522</v>
      </c>
      <c r="C40" s="902"/>
      <c r="D40" s="897"/>
      <c r="E40" s="897"/>
      <c r="F40" s="897"/>
      <c r="G40" s="897"/>
      <c r="H40" s="897"/>
      <c r="I40" s="897"/>
      <c r="J40" s="897"/>
      <c r="K40" s="897"/>
      <c r="L40" s="897"/>
      <c r="M40" s="897"/>
      <c r="N40" s="897"/>
      <c r="O40" s="897"/>
      <c r="P40" s="897"/>
      <c r="Q40" s="897"/>
      <c r="R40" s="897"/>
      <c r="S40" s="897"/>
      <c r="T40" s="897"/>
      <c r="U40" s="897"/>
    </row>
    <row r="41" spans="1:224" s="659" customFormat="1" ht="15.75" x14ac:dyDescent="0.25">
      <c r="A41" s="888" t="s">
        <v>1298</v>
      </c>
      <c r="B41" s="902"/>
      <c r="C41" s="902"/>
      <c r="D41" s="897"/>
      <c r="E41" s="897"/>
      <c r="F41" s="897"/>
      <c r="G41" s="897"/>
      <c r="H41" s="897"/>
      <c r="I41" s="897"/>
      <c r="J41" s="897"/>
      <c r="K41" s="897"/>
      <c r="L41" s="897"/>
      <c r="M41" s="897"/>
      <c r="N41" s="897"/>
      <c r="O41" s="897"/>
      <c r="P41" s="897"/>
      <c r="Q41" s="897"/>
      <c r="R41" s="897"/>
      <c r="S41" s="897"/>
      <c r="T41" s="897"/>
      <c r="U41" s="897"/>
      <c r="V41" s="897"/>
      <c r="W41" s="897"/>
      <c r="X41" s="897"/>
      <c r="Y41" s="897"/>
      <c r="Z41" s="897"/>
      <c r="AA41" s="897"/>
      <c r="AB41" s="897"/>
      <c r="AC41" s="897"/>
      <c r="AD41" s="897"/>
      <c r="AE41" s="897"/>
      <c r="AF41" s="897"/>
      <c r="AG41" s="897"/>
      <c r="AH41" s="897"/>
      <c r="AI41" s="897"/>
      <c r="AJ41" s="897"/>
      <c r="AK41" s="897"/>
      <c r="AL41" s="897"/>
      <c r="AM41" s="897"/>
      <c r="AN41" s="897"/>
      <c r="AO41" s="897"/>
      <c r="AP41" s="897"/>
      <c r="AQ41" s="897"/>
      <c r="AR41" s="897"/>
      <c r="AS41" s="897"/>
      <c r="AT41" s="897"/>
      <c r="AU41" s="897"/>
      <c r="AV41" s="897"/>
      <c r="AW41" s="897"/>
      <c r="AX41" s="897"/>
      <c r="AY41" s="897"/>
      <c r="AZ41" s="897"/>
      <c r="BA41" s="897"/>
      <c r="BB41" s="897"/>
      <c r="BC41" s="897"/>
      <c r="BD41" s="897"/>
      <c r="BE41" s="897"/>
      <c r="BF41" s="897"/>
      <c r="BG41" s="897"/>
      <c r="BH41" s="897"/>
      <c r="BI41" s="897"/>
      <c r="BJ41" s="897"/>
      <c r="BK41" s="897"/>
      <c r="BL41" s="897"/>
      <c r="BM41" s="897"/>
      <c r="BN41" s="897"/>
      <c r="BO41" s="897"/>
      <c r="BP41" s="897"/>
      <c r="BQ41" s="897"/>
      <c r="BR41" s="897"/>
      <c r="BS41" s="897"/>
      <c r="BT41" s="897"/>
      <c r="BU41" s="897"/>
      <c r="BV41" s="897"/>
      <c r="BW41" s="897"/>
      <c r="BX41" s="897"/>
      <c r="BY41" s="897"/>
      <c r="BZ41" s="897"/>
      <c r="CA41" s="897"/>
      <c r="CB41" s="897"/>
      <c r="CC41" s="897"/>
      <c r="CD41" s="897"/>
      <c r="CE41" s="897"/>
      <c r="CF41" s="897"/>
      <c r="CG41" s="897"/>
      <c r="CH41" s="897"/>
      <c r="CI41" s="897"/>
      <c r="CJ41" s="897"/>
      <c r="CK41" s="897"/>
      <c r="CL41" s="897"/>
      <c r="CM41" s="897"/>
      <c r="CN41" s="897"/>
      <c r="CO41" s="897"/>
      <c r="CP41" s="897"/>
      <c r="CQ41" s="897"/>
      <c r="CR41" s="897"/>
      <c r="CS41" s="897"/>
      <c r="CT41" s="897"/>
      <c r="CU41" s="897"/>
      <c r="CV41" s="897"/>
      <c r="CW41" s="897"/>
      <c r="CX41" s="897"/>
      <c r="CY41" s="897"/>
      <c r="CZ41" s="897"/>
      <c r="DA41" s="897"/>
      <c r="DB41" s="897"/>
      <c r="DC41" s="897"/>
      <c r="DD41" s="897"/>
      <c r="DE41" s="897"/>
      <c r="DF41" s="897"/>
      <c r="DG41" s="897"/>
      <c r="DH41" s="897"/>
      <c r="DI41" s="897"/>
      <c r="DJ41" s="897"/>
      <c r="DK41" s="897"/>
      <c r="DL41" s="897"/>
      <c r="DM41" s="897"/>
      <c r="DN41" s="897"/>
      <c r="DO41" s="897"/>
      <c r="DP41" s="897"/>
      <c r="DQ41" s="897"/>
      <c r="DR41" s="897"/>
      <c r="DS41" s="897"/>
      <c r="DT41" s="897"/>
      <c r="DU41" s="897"/>
      <c r="DV41" s="897"/>
      <c r="DW41" s="897"/>
      <c r="DX41" s="897"/>
      <c r="DY41" s="897"/>
      <c r="DZ41" s="897"/>
      <c r="EA41" s="897"/>
      <c r="EB41" s="897"/>
      <c r="EC41" s="897"/>
      <c r="ED41" s="897"/>
      <c r="EE41" s="897"/>
      <c r="EF41" s="897"/>
      <c r="EG41" s="897"/>
      <c r="EH41" s="897"/>
      <c r="EI41" s="897"/>
      <c r="EJ41" s="897"/>
      <c r="EK41" s="897"/>
      <c r="EL41" s="897"/>
      <c r="EM41" s="897"/>
      <c r="EN41" s="897"/>
      <c r="EO41" s="897"/>
      <c r="EP41" s="897"/>
      <c r="EQ41" s="897"/>
      <c r="ER41" s="897"/>
      <c r="ES41" s="897"/>
      <c r="ET41" s="897"/>
      <c r="EU41" s="897"/>
      <c r="EV41" s="897"/>
      <c r="EW41" s="897"/>
      <c r="EX41" s="897"/>
      <c r="EY41" s="897"/>
      <c r="EZ41" s="897"/>
      <c r="FA41" s="897"/>
      <c r="FB41" s="897"/>
      <c r="FC41" s="897"/>
      <c r="FD41" s="897"/>
      <c r="FE41" s="897"/>
      <c r="FF41" s="897"/>
      <c r="FG41" s="897"/>
      <c r="FH41" s="897"/>
      <c r="FI41" s="897"/>
      <c r="FJ41" s="897"/>
      <c r="FK41" s="897"/>
      <c r="FL41" s="897"/>
      <c r="FM41" s="897"/>
      <c r="FN41" s="897"/>
      <c r="FO41" s="897"/>
      <c r="FP41" s="897"/>
      <c r="FQ41" s="897"/>
      <c r="FR41" s="897"/>
      <c r="FS41" s="897"/>
      <c r="FT41" s="897"/>
      <c r="FU41" s="897"/>
      <c r="FV41" s="897"/>
      <c r="FW41" s="897"/>
      <c r="FX41" s="897"/>
      <c r="FY41" s="897"/>
      <c r="FZ41" s="897"/>
      <c r="GA41" s="897"/>
      <c r="GB41" s="897"/>
      <c r="GC41" s="897"/>
      <c r="GD41" s="897"/>
      <c r="GE41" s="897"/>
      <c r="GF41" s="897"/>
      <c r="GG41" s="897"/>
      <c r="GH41" s="897"/>
      <c r="GI41" s="897"/>
      <c r="GJ41" s="897"/>
      <c r="GK41" s="897"/>
      <c r="GL41" s="897"/>
      <c r="GM41" s="897"/>
      <c r="GN41" s="897"/>
      <c r="GO41" s="897"/>
      <c r="GP41" s="897"/>
      <c r="GQ41" s="897"/>
      <c r="GR41" s="897"/>
      <c r="GS41" s="897"/>
      <c r="GT41" s="897"/>
      <c r="GU41" s="897"/>
      <c r="GV41" s="897"/>
      <c r="GW41" s="897"/>
      <c r="GX41" s="897"/>
      <c r="GY41" s="897"/>
      <c r="GZ41" s="897"/>
      <c r="HA41" s="897"/>
      <c r="HB41" s="897"/>
      <c r="HC41" s="897"/>
      <c r="HD41" s="897"/>
      <c r="HE41" s="897"/>
      <c r="HF41" s="897"/>
      <c r="HG41" s="897"/>
      <c r="HH41" s="897"/>
      <c r="HI41" s="897"/>
      <c r="HJ41" s="897"/>
      <c r="HK41" s="897"/>
      <c r="HL41" s="897"/>
      <c r="HM41" s="897"/>
      <c r="HN41" s="897"/>
      <c r="HO41" s="897"/>
      <c r="HP41" s="897"/>
    </row>
    <row r="42" spans="1:224" s="659" customFormat="1" ht="54" customHeight="1" x14ac:dyDescent="0.25">
      <c r="A42" s="888" t="s">
        <v>1298</v>
      </c>
      <c r="B42" s="2533" t="str">
        <f xml:space="preserve"> CONCATENATE("Report the modeled Receptacle Equipment and Appliances Equivalent Full Load Hours of Operation in the Schedules tab before referring to the table below."," The Equivalent Full Load Hours of Operation is used to calculate the equipment power density for resdential dwelling units that must be modeled based on the building equipment reported for the building."," After confirming the Equivalent Full Load Hours of Operation in the schedules tab, use the values below for the Baseline and Proposed Miscellaneous Equipment Loads in the Dwelling Units. These loads include ",IF(SI_IP_Units="IP","0.5 Watts per square foot ","5.38 Watts per square meter"), " of electric miscellaneous equipment load with a 0.9 sensible ratio and 0.1 latent ratio in addition to the equipment load sources selected above.")</f>
        <v>Report the modeled Receptacle Equipment and Appliances Equivalent Full Load Hours of Operation in the Schedules tab before referring to the table below. The Equivalent Full Load Hours of Operation is used to calculate the equipment power density for resdential dwelling units that must be modeled based on the building equipment reported for the building. After confirming the Equivalent Full Load Hours of Operation in the schedules tab, use the values below for the Baseline and Proposed Miscellaneous Equipment Loads in the Dwelling Units. These loads include 0.5 Watts per square foot  of electric miscellaneous equipment load with a 0.9 sensible ratio and 0.1 latent ratio in addition to the equipment load sources selected above.</v>
      </c>
      <c r="C42" s="2533"/>
      <c r="D42" s="2533"/>
      <c r="E42" s="2533"/>
      <c r="F42" s="2533"/>
      <c r="G42" s="2533"/>
      <c r="H42" s="2533"/>
      <c r="I42" s="2533"/>
      <c r="J42" s="2533"/>
      <c r="K42" s="2533"/>
      <c r="L42" s="2533"/>
      <c r="M42" s="2533"/>
      <c r="N42" s="2533"/>
      <c r="O42" s="2533"/>
      <c r="P42" s="2533"/>
      <c r="Q42" s="2533"/>
      <c r="R42" s="2533"/>
      <c r="S42" s="2533"/>
      <c r="T42" s="2533"/>
      <c r="U42" s="2533"/>
      <c r="V42" s="2533"/>
      <c r="W42" s="897"/>
      <c r="X42" s="897"/>
      <c r="Y42" s="897"/>
      <c r="Z42" s="897"/>
      <c r="AA42" s="897"/>
      <c r="AB42" s="897"/>
      <c r="AC42" s="897"/>
      <c r="AD42" s="897"/>
      <c r="AE42" s="897"/>
      <c r="AF42" s="897"/>
      <c r="AG42" s="897"/>
      <c r="AH42" s="897"/>
      <c r="AI42" s="897"/>
      <c r="AJ42" s="897"/>
      <c r="AK42" s="897"/>
      <c r="AL42" s="897"/>
      <c r="AM42" s="897"/>
      <c r="AN42" s="897"/>
      <c r="AO42" s="897"/>
      <c r="AP42" s="897"/>
      <c r="AQ42" s="897"/>
      <c r="AR42" s="897"/>
      <c r="AS42" s="897"/>
      <c r="AT42" s="897"/>
      <c r="AU42" s="897"/>
      <c r="AV42" s="897"/>
      <c r="AW42" s="897"/>
      <c r="AX42" s="897"/>
      <c r="AY42" s="897"/>
      <c r="AZ42" s="897"/>
      <c r="BA42" s="897"/>
      <c r="BB42" s="897"/>
      <c r="BC42" s="897"/>
      <c r="BD42" s="897"/>
      <c r="BE42" s="897"/>
      <c r="BF42" s="897"/>
      <c r="BG42" s="897"/>
      <c r="BH42" s="897"/>
      <c r="BI42" s="897"/>
      <c r="BJ42" s="897"/>
      <c r="BK42" s="897"/>
      <c r="BL42" s="897"/>
      <c r="BM42" s="897"/>
      <c r="BN42" s="897"/>
      <c r="BO42" s="897"/>
      <c r="BP42" s="897"/>
      <c r="BQ42" s="897"/>
      <c r="BR42" s="897"/>
      <c r="BS42" s="897"/>
      <c r="BT42" s="897"/>
      <c r="BU42" s="897"/>
      <c r="BV42" s="897"/>
      <c r="BW42" s="897"/>
      <c r="BX42" s="897"/>
      <c r="BY42" s="897"/>
      <c r="BZ42" s="897"/>
      <c r="CA42" s="897"/>
      <c r="CB42" s="897"/>
      <c r="CC42" s="897"/>
      <c r="CD42" s="897"/>
      <c r="CE42" s="897"/>
      <c r="CF42" s="897"/>
      <c r="CG42" s="897"/>
      <c r="CH42" s="897"/>
      <c r="CI42" s="897"/>
      <c r="CJ42" s="897"/>
      <c r="CK42" s="897"/>
      <c r="CL42" s="897"/>
      <c r="CM42" s="897"/>
      <c r="CN42" s="897"/>
      <c r="CO42" s="897"/>
      <c r="CP42" s="897"/>
      <c r="CQ42" s="897"/>
      <c r="CR42" s="897"/>
      <c r="CS42" s="897"/>
      <c r="CT42" s="897"/>
      <c r="CU42" s="897"/>
      <c r="CV42" s="897"/>
      <c r="CW42" s="897"/>
      <c r="CX42" s="897"/>
      <c r="CY42" s="897"/>
      <c r="CZ42" s="897"/>
      <c r="DA42" s="897"/>
      <c r="DB42" s="897"/>
      <c r="DC42" s="897"/>
      <c r="DD42" s="897"/>
      <c r="DE42" s="897"/>
      <c r="DF42" s="897"/>
      <c r="DG42" s="897"/>
      <c r="DH42" s="897"/>
      <c r="DI42" s="897"/>
      <c r="DJ42" s="897"/>
      <c r="DK42" s="897"/>
      <c r="DL42" s="897"/>
      <c r="DM42" s="897"/>
      <c r="DN42" s="897"/>
      <c r="DO42" s="897"/>
      <c r="DP42" s="897"/>
      <c r="DQ42" s="897"/>
      <c r="DR42" s="897"/>
      <c r="DS42" s="897"/>
      <c r="DT42" s="897"/>
      <c r="DU42" s="897"/>
      <c r="DV42" s="897"/>
      <c r="DW42" s="897"/>
      <c r="DX42" s="897"/>
      <c r="DY42" s="897"/>
      <c r="DZ42" s="897"/>
      <c r="EA42" s="897"/>
      <c r="EB42" s="897"/>
      <c r="EC42" s="897"/>
      <c r="ED42" s="897"/>
      <c r="EE42" s="897"/>
      <c r="EF42" s="897"/>
      <c r="EG42" s="897"/>
      <c r="EH42" s="897"/>
      <c r="EI42" s="897"/>
      <c r="EJ42" s="897"/>
      <c r="EK42" s="897"/>
      <c r="EL42" s="897"/>
      <c r="EM42" s="897"/>
      <c r="EN42" s="897"/>
      <c r="EO42" s="897"/>
      <c r="EP42" s="897"/>
      <c r="EQ42" s="897"/>
      <c r="ER42" s="897"/>
      <c r="ES42" s="897"/>
      <c r="ET42" s="897"/>
      <c r="EU42" s="897"/>
      <c r="EV42" s="897"/>
      <c r="EW42" s="897"/>
      <c r="EX42" s="897"/>
      <c r="EY42" s="897"/>
      <c r="EZ42" s="897"/>
      <c r="FA42" s="897"/>
      <c r="FB42" s="897"/>
      <c r="FC42" s="897"/>
      <c r="FD42" s="897"/>
      <c r="FE42" s="897"/>
      <c r="FF42" s="897"/>
      <c r="FG42" s="897"/>
      <c r="FH42" s="897"/>
      <c r="FI42" s="897"/>
      <c r="FJ42" s="897"/>
      <c r="FK42" s="897"/>
      <c r="FL42" s="897"/>
      <c r="FM42" s="897"/>
      <c r="FN42" s="897"/>
      <c r="FO42" s="897"/>
      <c r="FP42" s="897"/>
      <c r="FQ42" s="897"/>
      <c r="FR42" s="897"/>
      <c r="FS42" s="897"/>
      <c r="FT42" s="897"/>
      <c r="FU42" s="897"/>
      <c r="FV42" s="897"/>
      <c r="FW42" s="897"/>
      <c r="FX42" s="897"/>
      <c r="FY42" s="897"/>
      <c r="FZ42" s="897"/>
      <c r="GA42" s="897"/>
      <c r="GB42" s="897"/>
      <c r="GC42" s="897"/>
      <c r="GD42" s="897"/>
      <c r="GE42" s="897"/>
      <c r="GF42" s="897"/>
      <c r="GG42" s="897"/>
      <c r="GH42" s="897"/>
      <c r="GI42" s="897"/>
      <c r="GJ42" s="897"/>
      <c r="GK42" s="897"/>
      <c r="GL42" s="897"/>
      <c r="GM42" s="897"/>
      <c r="GN42" s="897"/>
      <c r="GO42" s="897"/>
      <c r="GP42" s="897"/>
      <c r="GQ42" s="897"/>
      <c r="GR42" s="897"/>
      <c r="GS42" s="897"/>
      <c r="GT42" s="897"/>
      <c r="GU42" s="897"/>
      <c r="GV42" s="897"/>
      <c r="GW42" s="897"/>
      <c r="GX42" s="897"/>
      <c r="GY42" s="897"/>
      <c r="GZ42" s="897"/>
      <c r="HA42" s="897"/>
      <c r="HB42" s="897"/>
      <c r="HC42" s="897"/>
      <c r="HD42" s="897"/>
      <c r="HE42" s="897"/>
      <c r="HF42" s="897"/>
      <c r="HG42" s="897"/>
      <c r="HH42" s="897"/>
      <c r="HI42" s="897"/>
      <c r="HJ42" s="897"/>
      <c r="HK42" s="897"/>
      <c r="HL42" s="897"/>
      <c r="HM42" s="897"/>
      <c r="HN42" s="897"/>
      <c r="HO42" s="897"/>
      <c r="HP42" s="897"/>
    </row>
    <row r="43" spans="1:224" s="659" customFormat="1" x14ac:dyDescent="0.25">
      <c r="A43" s="888" t="s">
        <v>1298</v>
      </c>
      <c r="B43" s="957"/>
      <c r="C43" s="957"/>
      <c r="D43" s="957"/>
      <c r="E43" s="957"/>
      <c r="F43" s="957"/>
      <c r="G43" s="957"/>
      <c r="H43" s="957"/>
      <c r="I43" s="957"/>
      <c r="J43" s="957"/>
      <c r="K43" s="957"/>
      <c r="L43" s="957"/>
      <c r="M43" s="957"/>
      <c r="N43" s="957"/>
      <c r="O43" s="957"/>
      <c r="P43" s="957"/>
      <c r="Q43" s="957"/>
      <c r="R43" s="957"/>
      <c r="S43" s="957"/>
      <c r="T43" s="957"/>
      <c r="U43" s="957"/>
      <c r="V43" s="957"/>
      <c r="W43" s="897"/>
      <c r="X43" s="897"/>
      <c r="Y43" s="897"/>
      <c r="Z43" s="897"/>
      <c r="AA43" s="897"/>
      <c r="AB43" s="897"/>
      <c r="AC43" s="897"/>
      <c r="AD43" s="897"/>
      <c r="AE43" s="897"/>
      <c r="AF43" s="897"/>
      <c r="AG43" s="897"/>
      <c r="AH43" s="897"/>
      <c r="AI43" s="897"/>
      <c r="AJ43" s="897"/>
      <c r="AK43" s="897"/>
      <c r="AL43" s="897"/>
      <c r="AM43" s="897"/>
      <c r="AN43" s="897"/>
      <c r="AO43" s="897"/>
      <c r="AP43" s="897"/>
      <c r="AQ43" s="897"/>
      <c r="AR43" s="897"/>
      <c r="AS43" s="897"/>
      <c r="AT43" s="897"/>
      <c r="AU43" s="897"/>
      <c r="AV43" s="897"/>
      <c r="AW43" s="897"/>
      <c r="AX43" s="897"/>
      <c r="AY43" s="897"/>
      <c r="AZ43" s="897"/>
      <c r="BA43" s="897"/>
      <c r="BB43" s="897"/>
      <c r="BC43" s="897"/>
      <c r="BD43" s="897"/>
      <c r="BE43" s="897"/>
      <c r="BF43" s="897"/>
      <c r="BG43" s="897"/>
      <c r="BH43" s="897"/>
      <c r="BI43" s="897"/>
      <c r="BJ43" s="897"/>
      <c r="BK43" s="897"/>
      <c r="BL43" s="897"/>
      <c r="BM43" s="897"/>
      <c r="BN43" s="897"/>
      <c r="BO43" s="897"/>
      <c r="BP43" s="897"/>
      <c r="BQ43" s="897"/>
      <c r="BR43" s="897"/>
      <c r="BS43" s="897"/>
      <c r="BT43" s="897"/>
      <c r="BU43" s="897"/>
      <c r="BV43" s="897"/>
      <c r="BW43" s="897"/>
      <c r="BX43" s="897"/>
      <c r="BY43" s="897"/>
      <c r="BZ43" s="897"/>
      <c r="CA43" s="897"/>
      <c r="CB43" s="897"/>
      <c r="CC43" s="897"/>
      <c r="CD43" s="897"/>
      <c r="CE43" s="897"/>
      <c r="CF43" s="897"/>
      <c r="CG43" s="897"/>
      <c r="CH43" s="897"/>
      <c r="CI43" s="897"/>
      <c r="CJ43" s="897"/>
      <c r="CK43" s="897"/>
      <c r="CL43" s="897"/>
      <c r="CM43" s="897"/>
      <c r="CN43" s="897"/>
      <c r="CO43" s="897"/>
      <c r="CP43" s="897"/>
      <c r="CQ43" s="897"/>
      <c r="CR43" s="897"/>
      <c r="CS43" s="897"/>
      <c r="CT43" s="897"/>
      <c r="CU43" s="897"/>
      <c r="CV43" s="897"/>
      <c r="CW43" s="897"/>
      <c r="CX43" s="897"/>
      <c r="CY43" s="897"/>
      <c r="CZ43" s="897"/>
      <c r="DA43" s="897"/>
      <c r="DB43" s="897"/>
      <c r="DC43" s="897"/>
      <c r="DD43" s="897"/>
      <c r="DE43" s="897"/>
      <c r="DF43" s="897"/>
      <c r="DG43" s="897"/>
      <c r="DH43" s="897"/>
      <c r="DI43" s="897"/>
      <c r="DJ43" s="897"/>
      <c r="DK43" s="897"/>
      <c r="DL43" s="897"/>
      <c r="DM43" s="897"/>
      <c r="DN43" s="897"/>
      <c r="DO43" s="897"/>
      <c r="DP43" s="897"/>
      <c r="DQ43" s="897"/>
      <c r="DR43" s="897"/>
      <c r="DS43" s="897"/>
      <c r="DT43" s="897"/>
      <c r="DU43" s="897"/>
      <c r="DV43" s="897"/>
      <c r="DW43" s="897"/>
      <c r="DX43" s="897"/>
      <c r="DY43" s="897"/>
      <c r="DZ43" s="897"/>
      <c r="EA43" s="897"/>
      <c r="EB43" s="897"/>
      <c r="EC43" s="897"/>
      <c r="ED43" s="897"/>
      <c r="EE43" s="897"/>
      <c r="EF43" s="897"/>
      <c r="EG43" s="897"/>
      <c r="EH43" s="897"/>
      <c r="EI43" s="897"/>
      <c r="EJ43" s="897"/>
      <c r="EK43" s="897"/>
      <c r="EL43" s="897"/>
      <c r="EM43" s="897"/>
      <c r="EN43" s="897"/>
      <c r="EO43" s="897"/>
      <c r="EP43" s="897"/>
      <c r="EQ43" s="897"/>
      <c r="ER43" s="897"/>
      <c r="ES43" s="897"/>
      <c r="ET43" s="897"/>
      <c r="EU43" s="897"/>
      <c r="EV43" s="897"/>
      <c r="EW43" s="897"/>
      <c r="EX43" s="897"/>
      <c r="EY43" s="897"/>
      <c r="EZ43" s="897"/>
      <c r="FA43" s="897"/>
      <c r="FB43" s="897"/>
      <c r="FC43" s="897"/>
      <c r="FD43" s="897"/>
      <c r="FE43" s="897"/>
      <c r="FF43" s="897"/>
      <c r="FG43" s="897"/>
      <c r="FH43" s="897"/>
      <c r="FI43" s="897"/>
      <c r="FJ43" s="897"/>
      <c r="FK43" s="897"/>
      <c r="FL43" s="897"/>
      <c r="FM43" s="897"/>
      <c r="FN43" s="897"/>
      <c r="FO43" s="897"/>
      <c r="FP43" s="897"/>
      <c r="FQ43" s="897"/>
      <c r="FR43" s="897"/>
      <c r="FS43" s="897"/>
      <c r="FT43" s="897"/>
      <c r="FU43" s="897"/>
      <c r="FV43" s="897"/>
      <c r="FW43" s="897"/>
      <c r="FX43" s="897"/>
      <c r="FY43" s="897"/>
      <c r="FZ43" s="897"/>
      <c r="GA43" s="897"/>
      <c r="GB43" s="897"/>
      <c r="GC43" s="897"/>
      <c r="GD43" s="897"/>
      <c r="GE43" s="897"/>
      <c r="GF43" s="897"/>
      <c r="GG43" s="897"/>
      <c r="GH43" s="897"/>
      <c r="GI43" s="897"/>
      <c r="GJ43" s="897"/>
      <c r="GK43" s="897"/>
      <c r="GL43" s="897"/>
      <c r="GM43" s="897"/>
      <c r="GN43" s="897"/>
      <c r="GO43" s="897"/>
      <c r="GP43" s="897"/>
      <c r="GQ43" s="897"/>
      <c r="GR43" s="897"/>
      <c r="GS43" s="897"/>
      <c r="GT43" s="897"/>
      <c r="GU43" s="897"/>
      <c r="GV43" s="897"/>
      <c r="GW43" s="897"/>
      <c r="GX43" s="897"/>
      <c r="GY43" s="897"/>
      <c r="GZ43" s="897"/>
      <c r="HA43" s="897"/>
      <c r="HB43" s="897"/>
      <c r="HC43" s="897"/>
      <c r="HD43" s="897"/>
      <c r="HE43" s="897"/>
      <c r="HF43" s="897"/>
      <c r="HG43" s="897"/>
      <c r="HH43" s="897"/>
      <c r="HI43" s="897"/>
      <c r="HJ43" s="897"/>
      <c r="HK43" s="897"/>
      <c r="HL43" s="897"/>
      <c r="HM43" s="897"/>
      <c r="HN43" s="897"/>
      <c r="HO43" s="897"/>
      <c r="HP43" s="897"/>
    </row>
    <row r="44" spans="1:224" s="659" customFormat="1" ht="30.75" x14ac:dyDescent="0.25">
      <c r="A44" s="888" t="s">
        <v>1298</v>
      </c>
      <c r="B44" s="2525" t="s">
        <v>1357</v>
      </c>
      <c r="C44" s="2525" t="s">
        <v>1523</v>
      </c>
      <c r="D44" s="2526" t="str">
        <f>CONCATENATE("Total Area of Dwelling Units",IF(SI_IP_Units="IP"," (square feet)"," (square meters)"))</f>
        <v>Total Area of Dwelling Units (square feet)</v>
      </c>
      <c r="E44" s="2534"/>
      <c r="F44" s="2120" t="s">
        <v>1524</v>
      </c>
      <c r="G44" s="2121"/>
      <c r="H44" s="2121"/>
      <c r="I44" s="2121"/>
      <c r="J44" s="2121"/>
      <c r="K44" s="2122"/>
      <c r="L44" s="2534"/>
      <c r="M44" s="2535" t="s">
        <v>1541</v>
      </c>
      <c r="N44" s="2536"/>
      <c r="O44" s="2536"/>
      <c r="P44" s="2536"/>
      <c r="Q44" s="2536"/>
      <c r="R44" s="2537"/>
      <c r="S44" s="2534"/>
      <c r="T44" s="2542" t="str">
        <f>CONCATENATE("Dwelling Unit Equipment Hot Water Loads ",IF(SI_IP_Units="IP","(gallons/year)","(Liters/year)"))</f>
        <v>Dwelling Unit Equipment Hot Water Loads (gallons/year)</v>
      </c>
      <c r="U44" s="2543"/>
      <c r="V44" s="897"/>
      <c r="W44" s="897"/>
      <c r="X44" s="897"/>
      <c r="Y44" s="897"/>
      <c r="Z44" s="897"/>
      <c r="AA44" s="897"/>
      <c r="AB44" s="897"/>
      <c r="AC44" s="897"/>
      <c r="AD44" s="897"/>
      <c r="AE44" s="897"/>
      <c r="AF44" s="897"/>
      <c r="AG44" s="897"/>
      <c r="AH44" s="897"/>
      <c r="AI44" s="897"/>
      <c r="AJ44" s="897"/>
      <c r="AK44" s="897"/>
      <c r="AL44" s="897"/>
      <c r="AM44" s="897"/>
      <c r="AN44" s="897"/>
      <c r="AO44" s="897"/>
      <c r="AP44" s="897"/>
      <c r="AQ44" s="897"/>
      <c r="AR44" s="897"/>
      <c r="AS44" s="897"/>
      <c r="AT44" s="897"/>
      <c r="AU44" s="897"/>
      <c r="AV44" s="897"/>
      <c r="AW44" s="897"/>
      <c r="AX44" s="897"/>
      <c r="AY44" s="897"/>
      <c r="AZ44" s="897"/>
      <c r="BA44" s="897"/>
      <c r="BB44" s="897"/>
      <c r="BC44" s="897"/>
      <c r="BD44" s="897"/>
      <c r="BE44" s="897"/>
      <c r="BF44" s="897"/>
      <c r="BG44" s="897"/>
      <c r="BH44" s="897"/>
      <c r="BI44" s="897"/>
      <c r="BJ44" s="897"/>
      <c r="BK44" s="897"/>
      <c r="BL44" s="897"/>
      <c r="BM44" s="897"/>
      <c r="BN44" s="897"/>
      <c r="BO44" s="897"/>
      <c r="BP44" s="897"/>
      <c r="BQ44" s="897"/>
      <c r="BR44" s="897"/>
      <c r="BS44" s="897"/>
      <c r="BT44" s="897"/>
      <c r="BU44" s="897"/>
      <c r="BV44" s="897"/>
      <c r="BW44" s="897"/>
      <c r="BX44" s="897"/>
      <c r="BY44" s="897"/>
      <c r="BZ44" s="897"/>
      <c r="CA44" s="897"/>
      <c r="CB44" s="897"/>
      <c r="CC44" s="897"/>
      <c r="CD44" s="897"/>
      <c r="CE44" s="897"/>
      <c r="CF44" s="897"/>
      <c r="CG44" s="897"/>
      <c r="CH44" s="897"/>
      <c r="CI44" s="897"/>
      <c r="CJ44" s="897"/>
      <c r="CK44" s="897"/>
      <c r="CL44" s="897"/>
      <c r="CM44" s="897"/>
      <c r="CN44" s="897"/>
      <c r="CO44" s="897"/>
      <c r="CP44" s="897"/>
      <c r="CQ44" s="897"/>
      <c r="CR44" s="897"/>
      <c r="CS44" s="897"/>
      <c r="CT44" s="897"/>
      <c r="CU44" s="897"/>
      <c r="CV44" s="897"/>
      <c r="CW44" s="897"/>
      <c r="CX44" s="897"/>
      <c r="CY44" s="897"/>
      <c r="CZ44" s="897"/>
      <c r="DA44" s="897"/>
      <c r="DB44" s="897"/>
      <c r="DC44" s="897"/>
      <c r="DD44" s="897"/>
      <c r="DE44" s="897"/>
      <c r="DF44" s="897"/>
      <c r="DG44" s="897"/>
      <c r="DH44" s="897"/>
      <c r="DI44" s="897"/>
      <c r="DJ44" s="897"/>
      <c r="DK44" s="897"/>
      <c r="DL44" s="897"/>
      <c r="DM44" s="897"/>
      <c r="DN44" s="897"/>
      <c r="DO44" s="897"/>
      <c r="DP44" s="897"/>
      <c r="DQ44" s="897"/>
      <c r="DR44" s="897"/>
      <c r="DS44" s="897"/>
      <c r="DT44" s="897"/>
      <c r="DU44" s="897"/>
      <c r="DV44" s="897"/>
      <c r="DW44" s="897"/>
      <c r="DX44" s="897"/>
      <c r="DY44" s="897"/>
      <c r="DZ44" s="897"/>
      <c r="EA44" s="897"/>
      <c r="EB44" s="897"/>
      <c r="EC44" s="897"/>
      <c r="ED44" s="897"/>
      <c r="EE44" s="897"/>
      <c r="EF44" s="897"/>
      <c r="EG44" s="897"/>
      <c r="EH44" s="897"/>
      <c r="EI44" s="897"/>
      <c r="EJ44" s="897"/>
      <c r="EK44" s="897"/>
      <c r="EL44" s="897"/>
      <c r="EM44" s="897"/>
      <c r="EN44" s="897"/>
      <c r="EO44" s="897"/>
      <c r="EP44" s="897"/>
      <c r="EQ44" s="897"/>
      <c r="ER44" s="897"/>
      <c r="ES44" s="897"/>
      <c r="ET44" s="897"/>
      <c r="EU44" s="897"/>
      <c r="EV44" s="897"/>
      <c r="EW44" s="897"/>
      <c r="EX44" s="897"/>
      <c r="EY44" s="897"/>
      <c r="EZ44" s="897"/>
      <c r="FA44" s="897"/>
      <c r="FB44" s="897"/>
      <c r="FC44" s="897"/>
      <c r="FD44" s="897"/>
      <c r="FE44" s="897"/>
      <c r="FF44" s="897"/>
      <c r="FG44" s="897"/>
      <c r="FH44" s="897"/>
      <c r="FI44" s="897"/>
      <c r="FJ44" s="897"/>
      <c r="FK44" s="897"/>
      <c r="FL44" s="897"/>
      <c r="FM44" s="897"/>
      <c r="FN44" s="897"/>
      <c r="FO44" s="897"/>
      <c r="FP44" s="897"/>
      <c r="FQ44" s="897"/>
      <c r="FR44" s="897"/>
      <c r="FS44" s="897"/>
      <c r="FT44" s="897"/>
      <c r="FU44" s="897"/>
      <c r="FV44" s="897"/>
      <c r="FW44" s="897"/>
      <c r="FX44" s="897"/>
      <c r="FY44" s="897"/>
      <c r="FZ44" s="897"/>
      <c r="GA44" s="897"/>
      <c r="GB44" s="897"/>
      <c r="GC44" s="897"/>
      <c r="GD44" s="897"/>
      <c r="GE44" s="897"/>
      <c r="GF44" s="897"/>
      <c r="GG44" s="897"/>
      <c r="GH44" s="897"/>
      <c r="GI44" s="897"/>
      <c r="GJ44" s="897"/>
      <c r="GK44" s="897"/>
      <c r="GL44" s="897"/>
      <c r="GM44" s="897"/>
      <c r="GN44" s="897"/>
      <c r="GO44" s="897"/>
      <c r="GP44" s="897"/>
      <c r="GQ44" s="897"/>
      <c r="GR44" s="897"/>
      <c r="GS44" s="897"/>
      <c r="GT44" s="897"/>
      <c r="GU44" s="897"/>
      <c r="GV44" s="897"/>
      <c r="GW44" s="897"/>
      <c r="GX44" s="897"/>
      <c r="GY44" s="897"/>
      <c r="GZ44" s="897"/>
      <c r="HA44" s="897"/>
      <c r="HB44" s="897"/>
      <c r="HC44" s="897"/>
      <c r="HD44" s="897"/>
      <c r="HE44" s="897"/>
      <c r="HF44" s="897"/>
      <c r="HG44" s="897"/>
      <c r="HH44" s="897"/>
    </row>
    <row r="45" spans="1:224" x14ac:dyDescent="0.25">
      <c r="A45" s="888" t="s">
        <v>1298</v>
      </c>
      <c r="B45" s="2525"/>
      <c r="C45" s="2525"/>
      <c r="D45" s="2526"/>
      <c r="E45" s="2534"/>
      <c r="F45" s="2123" t="s">
        <v>347</v>
      </c>
      <c r="G45" s="2124"/>
      <c r="H45" s="2124"/>
      <c r="I45" s="2124" t="s">
        <v>348</v>
      </c>
      <c r="J45" s="2124"/>
      <c r="K45" s="2125"/>
      <c r="L45" s="2534"/>
      <c r="M45" s="2538" t="s">
        <v>347</v>
      </c>
      <c r="N45" s="2539"/>
      <c r="O45" s="2539"/>
      <c r="P45" s="2540" t="s">
        <v>348</v>
      </c>
      <c r="Q45" s="2539"/>
      <c r="R45" s="2541"/>
      <c r="S45" s="2534"/>
      <c r="T45" s="2544"/>
      <c r="U45" s="2545"/>
      <c r="HI45"/>
      <c r="HJ45"/>
      <c r="HK45"/>
      <c r="HL45"/>
      <c r="HM45"/>
      <c r="HN45"/>
      <c r="HO45"/>
      <c r="HP45"/>
    </row>
    <row r="46" spans="1:224" ht="63.75" x14ac:dyDescent="0.25">
      <c r="A46" s="888" t="s">
        <v>1298</v>
      </c>
      <c r="B46" s="2525"/>
      <c r="C46" s="2525"/>
      <c r="D46" s="2526"/>
      <c r="E46" s="2534"/>
      <c r="F46" s="1892" t="str">
        <f>CONCATENATE("Equipment Power Density ", IF(SI_IP_Units="IP","(Watts/ sq ft)","(Watts/ sq m)"))</f>
        <v>Equipment Power Density (Watts/ sq ft)</v>
      </c>
      <c r="G46" s="2126" t="s">
        <v>1475</v>
      </c>
      <c r="H46" s="2126" t="s">
        <v>1474</v>
      </c>
      <c r="I46" s="1893" t="str">
        <f>CONCATENATE("Equipment Power Density ", IF(SI_IP_Units="IP","(Watts/ sq ft)","(Watts/ sq m)"))</f>
        <v>Equipment Power Density (Watts/ sq ft)</v>
      </c>
      <c r="J46" s="2126" t="s">
        <v>1475</v>
      </c>
      <c r="K46" s="1739" t="s">
        <v>1474</v>
      </c>
      <c r="L46" s="2534"/>
      <c r="M46" s="1892" t="str">
        <f>CONCATENATE("Equipment Power Density ", IF(SI_IP_Units="IP","(Btu/ sq ft)","(Watts/ sq m)"))</f>
        <v>Equipment Power Density (Btu/ sq ft)</v>
      </c>
      <c r="N46" s="2126" t="s">
        <v>1475</v>
      </c>
      <c r="O46" s="2126" t="s">
        <v>1474</v>
      </c>
      <c r="P46" s="1893" t="str">
        <f>CONCATENATE("Equipment Power Density ",  IF(SI_IP_Units="IP","(Btu/ sq ft)","(Watts/ sq m)"))</f>
        <v>Equipment Power Density (Btu/ sq ft)</v>
      </c>
      <c r="Q46" s="2126" t="s">
        <v>1475</v>
      </c>
      <c r="R46" s="1739" t="s">
        <v>1474</v>
      </c>
      <c r="S46" s="2534"/>
      <c r="T46" s="2127" t="s">
        <v>1554</v>
      </c>
      <c r="U46" s="2128" t="s">
        <v>348</v>
      </c>
      <c r="HI46"/>
      <c r="HJ46"/>
      <c r="HK46"/>
      <c r="HL46"/>
      <c r="HM46"/>
      <c r="HN46"/>
      <c r="HO46"/>
      <c r="HP46"/>
    </row>
    <row r="47" spans="1:224" s="659" customFormat="1" ht="45" hidden="1" x14ac:dyDescent="0.25">
      <c r="A47" s="888" t="s">
        <v>1298</v>
      </c>
      <c r="B47" s="964" t="str">
        <f>B44</f>
        <v>Building ID</v>
      </c>
      <c r="C47" s="964" t="s">
        <v>1386</v>
      </c>
      <c r="D47" s="965" t="s">
        <v>1540</v>
      </c>
      <c r="E47" s="966" t="s">
        <v>1515</v>
      </c>
      <c r="F47" s="965" t="s">
        <v>1544</v>
      </c>
      <c r="G47" s="965" t="s">
        <v>1542</v>
      </c>
      <c r="H47" s="967" t="s">
        <v>1543</v>
      </c>
      <c r="I47" s="965" t="s">
        <v>1545</v>
      </c>
      <c r="J47" s="965" t="s">
        <v>1546</v>
      </c>
      <c r="K47" s="967" t="s">
        <v>1547</v>
      </c>
      <c r="L47" s="965" t="s">
        <v>1516</v>
      </c>
      <c r="M47" s="965" t="s">
        <v>1548</v>
      </c>
      <c r="N47" s="967" t="s">
        <v>1549</v>
      </c>
      <c r="O47" s="967" t="s">
        <v>1550</v>
      </c>
      <c r="P47" s="965" t="s">
        <v>1551</v>
      </c>
      <c r="Q47" s="967" t="s">
        <v>1552</v>
      </c>
      <c r="R47" s="967" t="s">
        <v>1553</v>
      </c>
      <c r="S47" s="965" t="s">
        <v>1517</v>
      </c>
      <c r="T47" s="967" t="s">
        <v>1555</v>
      </c>
      <c r="U47" s="967" t="s">
        <v>1556</v>
      </c>
      <c r="V47" s="897"/>
      <c r="W47" s="897"/>
      <c r="X47" s="897"/>
      <c r="Y47" s="897"/>
      <c r="Z47" s="897"/>
      <c r="AA47" s="897"/>
      <c r="AB47" s="897"/>
      <c r="AC47" s="897"/>
      <c r="AD47" s="897"/>
      <c r="AE47" s="897"/>
      <c r="AF47" s="897"/>
      <c r="AG47" s="897"/>
      <c r="AH47" s="897"/>
      <c r="AI47" s="897"/>
      <c r="AJ47" s="897"/>
      <c r="AK47" s="897"/>
      <c r="AL47" s="897"/>
      <c r="AM47" s="897"/>
      <c r="AN47" s="897"/>
      <c r="AO47" s="897"/>
      <c r="AP47" s="897"/>
      <c r="AQ47" s="897"/>
      <c r="AR47" s="897"/>
      <c r="AS47" s="897"/>
      <c r="AT47" s="897"/>
      <c r="AU47" s="897"/>
      <c r="AV47" s="897"/>
      <c r="AW47" s="897"/>
      <c r="AX47" s="897"/>
      <c r="AY47" s="897"/>
      <c r="AZ47" s="897"/>
      <c r="BA47" s="897"/>
      <c r="BB47" s="897"/>
      <c r="BC47" s="897"/>
      <c r="BD47" s="897"/>
      <c r="BE47" s="897"/>
      <c r="BF47" s="897"/>
      <c r="BG47" s="897"/>
      <c r="BH47" s="897"/>
      <c r="BI47" s="897"/>
      <c r="BJ47" s="897"/>
      <c r="BK47" s="897"/>
      <c r="BL47" s="897"/>
      <c r="BM47" s="897"/>
      <c r="BN47" s="897"/>
      <c r="BO47" s="897"/>
      <c r="BP47" s="897"/>
      <c r="BQ47" s="897"/>
      <c r="BR47" s="897"/>
      <c r="BS47" s="897"/>
      <c r="BT47" s="897"/>
      <c r="BU47" s="897"/>
      <c r="BV47" s="897"/>
      <c r="BW47" s="897"/>
      <c r="BX47" s="897"/>
      <c r="BY47" s="897"/>
      <c r="BZ47" s="897"/>
      <c r="CA47" s="897"/>
      <c r="CB47" s="897"/>
      <c r="CC47" s="897"/>
      <c r="CD47" s="897"/>
      <c r="CE47" s="897"/>
      <c r="CF47" s="897"/>
      <c r="CG47" s="897"/>
      <c r="CH47" s="897"/>
      <c r="CI47" s="897"/>
      <c r="CJ47" s="897"/>
      <c r="CK47" s="897"/>
      <c r="CL47" s="897"/>
      <c r="CM47" s="897"/>
      <c r="CN47" s="897"/>
      <c r="CO47" s="897"/>
      <c r="CP47" s="897"/>
      <c r="CQ47" s="897"/>
      <c r="CR47" s="897"/>
      <c r="CS47" s="897"/>
      <c r="CT47" s="897"/>
      <c r="CU47" s="897"/>
      <c r="CV47" s="897"/>
      <c r="CW47" s="897"/>
      <c r="CX47" s="897"/>
      <c r="CY47" s="897"/>
      <c r="CZ47" s="897"/>
      <c r="DA47" s="897"/>
      <c r="DB47" s="897"/>
      <c r="DC47" s="897"/>
      <c r="DD47" s="897"/>
      <c r="DE47" s="897"/>
      <c r="DF47" s="897"/>
      <c r="DG47" s="897"/>
      <c r="DH47" s="897"/>
      <c r="DI47" s="897"/>
      <c r="DJ47" s="897"/>
      <c r="DK47" s="897"/>
      <c r="DL47" s="897"/>
      <c r="DM47" s="897"/>
      <c r="DN47" s="897"/>
      <c r="DO47" s="897"/>
      <c r="DP47" s="897"/>
      <c r="DQ47" s="897"/>
      <c r="DR47" s="897"/>
      <c r="DS47" s="897"/>
      <c r="DT47" s="897"/>
      <c r="DU47" s="897"/>
      <c r="DV47" s="897"/>
      <c r="DW47" s="897"/>
      <c r="DX47" s="897"/>
      <c r="DY47" s="897"/>
      <c r="DZ47" s="897"/>
      <c r="EA47" s="897"/>
      <c r="EB47" s="897"/>
      <c r="EC47" s="897"/>
      <c r="ED47" s="897"/>
      <c r="EE47" s="897"/>
      <c r="EF47" s="897"/>
      <c r="EG47" s="897"/>
      <c r="EH47" s="897"/>
      <c r="EI47" s="897"/>
      <c r="EJ47" s="897"/>
      <c r="EK47" s="897"/>
      <c r="EL47" s="897"/>
      <c r="EM47" s="897"/>
      <c r="EN47" s="897"/>
      <c r="EO47" s="897"/>
      <c r="EP47" s="897"/>
      <c r="EQ47" s="897"/>
      <c r="ER47" s="897"/>
      <c r="ES47" s="897"/>
      <c r="ET47" s="897"/>
      <c r="EU47" s="897"/>
      <c r="EV47" s="897"/>
      <c r="EW47" s="897"/>
      <c r="EX47" s="897"/>
      <c r="EY47" s="897"/>
      <c r="EZ47" s="897"/>
      <c r="FA47" s="897"/>
      <c r="FB47" s="897"/>
      <c r="FC47" s="897"/>
      <c r="FD47" s="897"/>
      <c r="FE47" s="897"/>
      <c r="FF47" s="897"/>
      <c r="FG47" s="897"/>
      <c r="FH47" s="897"/>
      <c r="FI47" s="897"/>
      <c r="FJ47" s="897"/>
      <c r="FK47" s="897"/>
      <c r="FL47" s="897"/>
      <c r="FM47" s="897"/>
      <c r="FN47" s="897"/>
      <c r="FO47" s="897"/>
      <c r="FP47" s="897"/>
      <c r="FQ47" s="897"/>
      <c r="FR47" s="897"/>
      <c r="FS47" s="897"/>
      <c r="FT47" s="897"/>
      <c r="FU47" s="897"/>
      <c r="FV47" s="897"/>
      <c r="FW47" s="897"/>
      <c r="FX47" s="897"/>
      <c r="FY47" s="897"/>
      <c r="FZ47" s="897"/>
      <c r="GA47" s="897"/>
      <c r="GB47" s="897"/>
      <c r="GC47" s="897"/>
      <c r="GD47" s="897"/>
      <c r="GE47" s="897"/>
      <c r="GF47" s="897"/>
      <c r="GG47" s="897"/>
      <c r="GH47" s="897"/>
      <c r="GI47" s="897"/>
      <c r="GJ47" s="897"/>
      <c r="GK47" s="897"/>
      <c r="GL47" s="897"/>
      <c r="GM47" s="897"/>
      <c r="GN47" s="897"/>
      <c r="GO47" s="897"/>
      <c r="GP47" s="897"/>
      <c r="GQ47" s="897"/>
      <c r="GR47" s="897"/>
      <c r="GS47" s="897"/>
      <c r="GT47" s="897"/>
      <c r="GU47" s="897"/>
      <c r="GV47" s="897"/>
      <c r="GW47" s="897"/>
      <c r="GX47" s="897"/>
      <c r="GY47" s="897"/>
      <c r="GZ47" s="897"/>
      <c r="HA47" s="897"/>
      <c r="HB47" s="897"/>
      <c r="HC47" s="897"/>
      <c r="HD47" s="897"/>
      <c r="HE47" s="897"/>
      <c r="HF47" s="897"/>
      <c r="HG47" s="897"/>
      <c r="HH47" s="897"/>
    </row>
    <row r="48" spans="1:224" s="659" customFormat="1" ht="15" customHeight="1" x14ac:dyDescent="0.25">
      <c r="A48" s="888" t="s">
        <v>1298</v>
      </c>
      <c r="B48" s="1139" t="str">
        <f>'Multiple Buildings Details'!B24</f>
        <v>SEA Building Addition</v>
      </c>
      <c r="C48" s="976">
        <f>Schedules!$F$12</f>
        <v>2117</v>
      </c>
      <c r="D48" s="1181">
        <f>INDEX(MD_BUS_SumTable,MATCH($B48,MD_BUS_SumIndex,0),MATCH($H$21,MD_BUS_SumHdr,0))</f>
        <v>0</v>
      </c>
      <c r="E48" s="1182"/>
      <c r="F48" s="1183" t="str">
        <f ca="1">IFERROR(SUMIF(MD_HDUEC_Index,$B48,OFFSET(MD_HDUEC_Index,0,MATCH($H$31,MD_HDUEC_Hdr,0)-1,ROWS(MD_HDUEC_Index),1))/$D48*1000/$C48+0.5*(IF(SI_IP_Units="IP",1,10.76)),"")</f>
        <v/>
      </c>
      <c r="G48" s="1183" t="str">
        <f ca="1">IFERROR((SUMPRODUCT(OFFSET(MD_HDUEC_Index,0,MATCH($H$31,MD_HDUEC_Hdr,0)-1,ROWS(MD_HDUEC_Index),1),OFFSET(MD_HDUEC_Index,0,MATCH($J$31,MD_HDUEC_Hdr,0)-1,ROWS(MD_HDUEC_Index),1),--(MD_HDUEC_Index=$B48))*1000/$C48+IF(SI_IP_Units="IP",0.5,0.5*10.76)*$D48*0.9)/(SUMIF(MD_HDUEC_Index,$B48,(OFFSET(MD_HDUEC_Index,0,MATCH($H$31,MD_HDUEC_Hdr,0)-1,ROWS(MD_HDUEC_Index),1)))*1000/$C48+IF(SI_IP_Units="IP",0.5,0.5*10.76)*$D48),"")</f>
        <v/>
      </c>
      <c r="H48" s="968" t="str">
        <f ca="1">IFERROR((SUMPRODUCT(OFFSET(MD_HDUEC_Index,0,MATCH($H$31,MD_HDUEC_Hdr,0)-1,ROWS(MD_HDUEC_Index),1),OFFSET(MD_HDUEC_Index,0,MATCH($K$31,MD_HDUEC_Hdr,0)-1,ROWS(MD_HDUEC_Index),1),--(MD_HDUEC_Index=$B48))*1000/$C48+IF(SI_IP_Units="IP",0.5,0.5*10.76)*$D48*0.1)/(SUMIF(MD_HDUEC_Index,$B48,(OFFSET(MD_HDUEC_Index,0,MATCH($H$31,MD_HDUEC_Hdr,0)-1,ROWS(MD_HDUEC_Index),1)))*1000/$C48+IF(SI_IP_Units="IP",0.5,0.5*10.76)*$D48),"")</f>
        <v/>
      </c>
      <c r="I48" s="968" t="str">
        <f ca="1">IFERROR(SUMIF(MD_HDUEC_Index,$B48,OFFSET(MD_HDUEC_Index,0,MATCH($I$31,MD_HDUEC_Hdr,0)-1,ROWS(MD_HDUEC_Index),1))/$D48*1000/$C48+0.5*(IF(SI_IP_Units="IP",1,10.76)),"")</f>
        <v/>
      </c>
      <c r="J48" s="1184" t="str">
        <f ca="1">IFERROR((SUMPRODUCT(OFFSET(MD_HDUEC_Index,0,MATCH($I$31,MD_HDUEC_Hdr,0)-1,ROWS(MD_HDUEC_Index),1),OFFSET(MD_HDUEC_Index,0,MATCH($J$31,MD_HDUEC_Hdr,0)-1,ROWS(MD_HDUEC_Index),1),--(MD_HDUEC_Index=$B48))*1000/$C48+IF(SI_IP_Units="IP",0.5,0.5*10.76)*$D48*0.9)/(SUMIF(MD_HDUEC_Index,$B48,(OFFSET(MD_HDUEC_Index,0,MATCH($I$31,MD_HDUEC_Hdr,0)-1,ROWS(MD_HDUEC_Index),1)))*1000/$C48+IF(SI_IP_Units="IP",0.5,0.5*10.76)*$D48),"")</f>
        <v/>
      </c>
      <c r="K48" s="1184" t="str">
        <f ca="1">IFERROR((SUMPRODUCT(OFFSET(MD_HDUEC_Index,0,MATCH($I$31,MD_HDUEC_Hdr,0)-1,ROWS(MD_HDUEC_Index),1),OFFSET(MD_HDUEC_Index,0,MATCH($K$31,MD_HDUEC_Hdr,0)-1,ROWS(MD_HDUEC_Index),1),--(MD_HDUEC_Index=$B48))*1000/$C48+IF(SI_IP_Units="IP",0.5,0.5*10.76)*$D48*0.1)/(SUMIF(MD_HDUEC_Index,$B48,(OFFSET(MD_HDUEC_Index,0,MATCH($I$31,MD_HDUEC_Hdr,0)-1,ROWS(MD_HDUEC_Index),1)))*1000/$C48+IF(SI_IP_Units="IP",0.5,0.5*10.76)*$D48),"")</f>
        <v/>
      </c>
      <c r="L48" s="956"/>
      <c r="M48" s="969" t="str">
        <f ca="1">IFERROR(SUMIF(MD_HDUEC_Index,$B48,OFFSET(MD_HDUEC_Index,0,MATCH($M$31,MD_HDUEC_Hdr,0)-1,ROWS(MD_HDUEC_Index),1))/$D48/$C48*IF(SI_IP_Units="IP",100000,1000),"")</f>
        <v/>
      </c>
      <c r="N48" s="969" t="str">
        <f ca="1">IFERROR(SUMPRODUCT(OFFSET(MD_HDUEC_Index,0,MATCH($M$31,MD_HDUEC_Hdr,0)-1,ROWS(MD_HDUEC_Index),1),OFFSET(MD_HDUEC_Index,0,MATCH($O$31,MD_HDUEC_Hdr,0)-1,ROWS(MD_HDUEC_Index),1),--(MD_HDUEC_Index=$B48))/SUMIF(MD_HDUEC_Index,$B48,OFFSET(MD_HDUEC_Index,0,MATCH($M$31,MD_HDUEC_Hdr,0)-1)),"")</f>
        <v/>
      </c>
      <c r="O48" s="969" t="str">
        <f ca="1">IFERROR(SUMPRODUCT(OFFSET(MD_HDUEC_Index,0,MATCH($M$31,MD_HDUEC_Hdr,0)-1,ROWS(MD_HDUEC_Index),1),OFFSET(MD_HDUEC_Index,0,MATCH($P$31,MD_HDUEC_Hdr,0)-1,ROWS(MD_HDUEC_Index),1),--(MD_HDUEC_Index=$B48))/SUMIF(MD_HDUEC_Index,$B48,OFFSET(MD_HDUEC_Index,0,MATCH($M$31,MD_HDUEC_Hdr,0)-1)),"")</f>
        <v/>
      </c>
      <c r="P48" s="1185" t="str">
        <f ca="1">IFERROR(SUMIF(MD_HDUEC_Index,$B48,OFFSET(MD_HDUEC_Index,0,MATCH($N$31,MD_HDUEC_Hdr,0)-1,ROWS(MD_HDUEC_Index),1))/$D48/$C48*IF(SI_IP_Units="IP",100000,1000),"")</f>
        <v/>
      </c>
      <c r="Q48" s="1185" t="str">
        <f ca="1">IFERROR(SUMPRODUCT(OFFSET(MD_HDUEC_Index,0,MATCH($N$31,MD_HDUEC_Hdr,0)-1,ROWS(MD_HDUEC_Index),1),OFFSET(MD_HDUEC_Index,0,MATCH($O$31,MD_HDUEC_Hdr,0)-1,ROWS(MD_HDUEC_Index),1),--(MD_HDUEC_Index=$B48))/SUMIF(MD_HDUEC_Index,$B48,OFFSET(MD_HDUEC_Index,0,MATCH($N$31,MD_HDUEC_Hdr,0)-1)),"")</f>
        <v/>
      </c>
      <c r="R48" s="1186" t="str">
        <f ca="1">IFERROR(SUMPRODUCT(OFFSET(MD_HDUEC_Index,0,MATCH($N$31,MD_HDUEC_Hdr,0)-1,ROWS(MD_HDUEC_Index),1),OFFSET(MD_HDUEC_Index,0,MATCH($P$31,MD_HDUEC_Hdr,0)-1,ROWS(MD_HDUEC_Index),1),--(MD_HDUEC_Index=$B48))/SUMIF(MD_HDUEC_Index,$B48,OFFSET(MD_HDUEC_Index,0,MATCH($N$31,MD_HDUEC_Hdr,0)-1)),"")</f>
        <v/>
      </c>
      <c r="S48" s="1187"/>
      <c r="T48" s="968">
        <f ca="1">IFERROR(SUMIF(MD_HDUEC_Index,$B48,OFFSET(MD_HDUEC_Index,0,MATCH($T$31,MD_HDUEC_Hdr,0)-1,ROWS(MD_HDUEC_Index),1)),"")</f>
        <v>0</v>
      </c>
      <c r="U48" s="968">
        <f ca="1">IFERROR(SUMIF(MD_HDUEC_Index,$B48,OFFSET(MD_HDUEC_Index,0,MATCH($U$31,MD_HDUEC_Hdr,0)-1,ROWS(MD_HDUEC_Index),1)),"")</f>
        <v>0</v>
      </c>
      <c r="V48" s="897"/>
      <c r="W48" s="897"/>
      <c r="X48" s="2276"/>
      <c r="Y48" s="897"/>
      <c r="Z48" s="897"/>
      <c r="AA48" s="897"/>
      <c r="AB48" s="897"/>
      <c r="AC48" s="897"/>
      <c r="AD48" s="897"/>
      <c r="AE48" s="897"/>
      <c r="AF48" s="897"/>
      <c r="AG48" s="897"/>
      <c r="AH48" s="897"/>
      <c r="AI48" s="897"/>
      <c r="AJ48" s="897"/>
      <c r="AK48" s="897"/>
      <c r="AL48" s="897"/>
      <c r="AM48" s="897"/>
      <c r="AN48" s="897"/>
      <c r="AO48" s="897"/>
      <c r="AP48" s="897"/>
      <c r="AQ48" s="897"/>
      <c r="AR48" s="897"/>
      <c r="AS48" s="897"/>
      <c r="AT48" s="897"/>
      <c r="AU48" s="897"/>
      <c r="AV48" s="897"/>
      <c r="AW48" s="897"/>
      <c r="AX48" s="897"/>
      <c r="AY48" s="897"/>
      <c r="AZ48" s="897"/>
      <c r="BA48" s="897"/>
      <c r="BB48" s="897"/>
      <c r="BC48" s="897"/>
      <c r="BD48" s="897"/>
      <c r="BE48" s="897"/>
      <c r="BF48" s="897"/>
      <c r="BG48" s="897"/>
      <c r="BH48" s="897"/>
      <c r="BI48" s="897"/>
      <c r="BJ48" s="897"/>
      <c r="BK48" s="897"/>
      <c r="BL48" s="897"/>
      <c r="BM48" s="897"/>
      <c r="BN48" s="897"/>
      <c r="BO48" s="897"/>
      <c r="BP48" s="897"/>
      <c r="BQ48" s="897"/>
      <c r="BR48" s="897"/>
      <c r="BS48" s="897"/>
      <c r="BT48" s="897"/>
      <c r="BU48" s="897"/>
      <c r="BV48" s="897"/>
      <c r="BW48" s="897"/>
      <c r="BX48" s="897"/>
      <c r="BY48" s="897"/>
      <c r="BZ48" s="897"/>
      <c r="CA48" s="897"/>
      <c r="CB48" s="897"/>
      <c r="CC48" s="897"/>
      <c r="CD48" s="897"/>
      <c r="CE48" s="897"/>
      <c r="CF48" s="897"/>
      <c r="CG48" s="897"/>
      <c r="CH48" s="897"/>
      <c r="CI48" s="897"/>
      <c r="CJ48" s="897"/>
      <c r="CK48" s="897"/>
      <c r="CL48" s="897"/>
      <c r="CM48" s="897"/>
      <c r="CN48" s="897"/>
      <c r="CO48" s="897"/>
      <c r="CP48" s="897"/>
      <c r="CQ48" s="897"/>
      <c r="CR48" s="897"/>
      <c r="CS48" s="897"/>
      <c r="CT48" s="897"/>
      <c r="CU48" s="897"/>
      <c r="CV48" s="897"/>
      <c r="CW48" s="897"/>
      <c r="CX48" s="897"/>
      <c r="CY48" s="897"/>
      <c r="CZ48" s="897"/>
      <c r="DA48" s="897"/>
      <c r="DB48" s="897"/>
      <c r="DC48" s="897"/>
      <c r="DD48" s="897"/>
      <c r="DE48" s="897"/>
      <c r="DF48" s="897"/>
      <c r="DG48" s="897"/>
      <c r="DH48" s="897"/>
      <c r="DI48" s="897"/>
      <c r="DJ48" s="897"/>
      <c r="DK48" s="897"/>
      <c r="DL48" s="897"/>
      <c r="DM48" s="897"/>
      <c r="DN48" s="897"/>
      <c r="DO48" s="897"/>
      <c r="DP48" s="897"/>
      <c r="DQ48" s="897"/>
      <c r="DR48" s="897"/>
      <c r="DS48" s="897"/>
      <c r="DT48" s="897"/>
      <c r="DU48" s="897"/>
      <c r="DV48" s="897"/>
      <c r="DW48" s="897"/>
      <c r="DX48" s="897"/>
      <c r="DY48" s="897"/>
      <c r="DZ48" s="897"/>
      <c r="EA48" s="897"/>
      <c r="EB48" s="897"/>
      <c r="EC48" s="897"/>
      <c r="ED48" s="897"/>
      <c r="EE48" s="897"/>
      <c r="EF48" s="897"/>
      <c r="EG48" s="897"/>
      <c r="EH48" s="897"/>
      <c r="EI48" s="897"/>
      <c r="EJ48" s="897"/>
      <c r="EK48" s="897"/>
      <c r="EL48" s="897"/>
      <c r="EM48" s="897"/>
      <c r="EN48" s="897"/>
      <c r="EO48" s="897"/>
      <c r="EP48" s="897"/>
      <c r="EQ48" s="897"/>
      <c r="ER48" s="897"/>
      <c r="ES48" s="897"/>
      <c r="ET48" s="897"/>
      <c r="EU48" s="897"/>
      <c r="EV48" s="897"/>
      <c r="EW48" s="897"/>
      <c r="EX48" s="897"/>
      <c r="EY48" s="897"/>
      <c r="EZ48" s="897"/>
      <c r="FA48" s="897"/>
      <c r="FB48" s="897"/>
      <c r="FC48" s="897"/>
      <c r="FD48" s="897"/>
      <c r="FE48" s="897"/>
      <c r="FF48" s="897"/>
      <c r="FG48" s="897"/>
      <c r="FH48" s="897"/>
      <c r="FI48" s="897"/>
      <c r="FJ48" s="897"/>
      <c r="FK48" s="897"/>
      <c r="FL48" s="897"/>
      <c r="FM48" s="897"/>
      <c r="FN48" s="897"/>
      <c r="FO48" s="897"/>
      <c r="FP48" s="897"/>
      <c r="FQ48" s="897"/>
      <c r="FR48" s="897"/>
      <c r="FS48" s="897"/>
      <c r="FT48" s="897"/>
      <c r="FU48" s="897"/>
      <c r="FV48" s="897"/>
      <c r="FW48" s="897"/>
      <c r="FX48" s="897"/>
      <c r="FY48" s="897"/>
      <c r="FZ48" s="897"/>
      <c r="GA48" s="897"/>
      <c r="GB48" s="897"/>
      <c r="GC48" s="897"/>
      <c r="GD48" s="897"/>
      <c r="GE48" s="897"/>
      <c r="GF48" s="897"/>
      <c r="GG48" s="897"/>
      <c r="GH48" s="897"/>
      <c r="GI48" s="897"/>
      <c r="GJ48" s="897"/>
      <c r="GK48" s="897"/>
      <c r="GL48" s="897"/>
      <c r="GM48" s="897"/>
      <c r="GN48" s="897"/>
      <c r="GO48" s="897"/>
      <c r="GP48" s="897"/>
      <c r="GQ48" s="897"/>
      <c r="GR48" s="897"/>
      <c r="GS48" s="897"/>
      <c r="GT48" s="897"/>
      <c r="GU48" s="897"/>
      <c r="GV48" s="897"/>
      <c r="GW48" s="897"/>
      <c r="GX48" s="897"/>
      <c r="GY48" s="897"/>
      <c r="GZ48" s="897"/>
      <c r="HA48" s="897"/>
      <c r="HB48" s="897"/>
      <c r="HC48" s="897"/>
      <c r="HD48" s="897"/>
      <c r="HE48" s="897"/>
      <c r="HF48" s="897"/>
      <c r="HG48" s="897"/>
      <c r="HH48" s="897"/>
    </row>
    <row r="49" spans="1:224" x14ac:dyDescent="0.25">
      <c r="A49" s="888" t="s">
        <v>1298</v>
      </c>
      <c r="B49" s="897"/>
      <c r="C49" s="897"/>
      <c r="D49" s="897"/>
      <c r="E49" s="897"/>
      <c r="F49" s="897"/>
      <c r="G49" s="897"/>
      <c r="H49" s="897"/>
      <c r="I49" s="897"/>
      <c r="J49" s="897"/>
      <c r="K49" s="897"/>
      <c r="L49" s="897"/>
      <c r="M49" s="963"/>
      <c r="N49" s="897"/>
      <c r="O49" s="897"/>
      <c r="P49" s="897"/>
      <c r="Q49" s="897"/>
      <c r="R49" s="897"/>
      <c r="S49" s="897"/>
      <c r="T49" s="897"/>
      <c r="U49" s="897"/>
    </row>
    <row r="50" spans="1:224" s="659" customFormat="1" x14ac:dyDescent="0.25">
      <c r="A50" s="888" t="s">
        <v>1298</v>
      </c>
      <c r="B50" s="897"/>
      <c r="C50" s="897"/>
      <c r="D50" s="897"/>
      <c r="E50" s="897"/>
      <c r="F50" s="897"/>
      <c r="G50" s="897"/>
      <c r="H50" s="897"/>
      <c r="I50" s="897"/>
      <c r="J50" s="897"/>
      <c r="K50" s="897"/>
      <c r="L50" s="897"/>
      <c r="M50" s="963"/>
      <c r="N50" s="897"/>
      <c r="O50" s="897"/>
      <c r="P50" s="897"/>
      <c r="Q50" s="897"/>
      <c r="R50" s="897"/>
      <c r="S50" s="897"/>
      <c r="T50" s="897"/>
      <c r="U50" s="897"/>
      <c r="V50" s="897"/>
      <c r="W50" s="897"/>
      <c r="X50" s="897"/>
      <c r="Y50" s="897"/>
      <c r="Z50" s="897"/>
      <c r="AA50" s="897"/>
      <c r="AB50" s="897"/>
      <c r="AC50" s="897"/>
      <c r="AD50" s="897"/>
      <c r="AE50" s="897"/>
      <c r="AF50" s="897"/>
      <c r="AG50" s="897"/>
      <c r="AH50" s="897"/>
      <c r="AI50" s="897"/>
      <c r="AJ50" s="897"/>
      <c r="AK50" s="897"/>
      <c r="AL50" s="897"/>
      <c r="AM50" s="897"/>
      <c r="AN50" s="897"/>
      <c r="AO50" s="897"/>
      <c r="AP50" s="897"/>
      <c r="AQ50" s="897"/>
      <c r="AR50" s="897"/>
      <c r="AS50" s="897"/>
      <c r="AT50" s="897"/>
      <c r="AU50" s="897"/>
      <c r="AV50" s="897"/>
      <c r="AW50" s="897"/>
      <c r="AX50" s="897"/>
      <c r="AY50" s="897"/>
      <c r="AZ50" s="897"/>
      <c r="BA50" s="897"/>
      <c r="BB50" s="897"/>
      <c r="BC50" s="897"/>
      <c r="BD50" s="897"/>
      <c r="BE50" s="897"/>
      <c r="BF50" s="897"/>
      <c r="BG50" s="897"/>
      <c r="BH50" s="897"/>
      <c r="BI50" s="897"/>
      <c r="BJ50" s="897"/>
      <c r="BK50" s="897"/>
      <c r="BL50" s="897"/>
      <c r="BM50" s="897"/>
      <c r="BN50" s="897"/>
      <c r="BO50" s="897"/>
      <c r="BP50" s="897"/>
      <c r="BQ50" s="897"/>
      <c r="BR50" s="897"/>
      <c r="BS50" s="897"/>
      <c r="BT50" s="897"/>
      <c r="BU50" s="897"/>
      <c r="BV50" s="897"/>
      <c r="BW50" s="897"/>
      <c r="BX50" s="897"/>
      <c r="BY50" s="897"/>
      <c r="BZ50" s="897"/>
      <c r="CA50" s="897"/>
      <c r="CB50" s="897"/>
      <c r="CC50" s="897"/>
      <c r="CD50" s="897"/>
      <c r="CE50" s="897"/>
      <c r="CF50" s="897"/>
      <c r="CG50" s="897"/>
      <c r="CH50" s="897"/>
      <c r="CI50" s="897"/>
      <c r="CJ50" s="897"/>
      <c r="CK50" s="897"/>
      <c r="CL50" s="897"/>
      <c r="CM50" s="897"/>
      <c r="CN50" s="897"/>
      <c r="CO50" s="897"/>
      <c r="CP50" s="897"/>
      <c r="CQ50" s="897"/>
      <c r="CR50" s="897"/>
      <c r="CS50" s="897"/>
      <c r="CT50" s="897"/>
      <c r="CU50" s="897"/>
      <c r="CV50" s="897"/>
      <c r="CW50" s="897"/>
      <c r="CX50" s="897"/>
      <c r="CY50" s="897"/>
      <c r="CZ50" s="897"/>
      <c r="DA50" s="897"/>
      <c r="DB50" s="897"/>
      <c r="DC50" s="897"/>
      <c r="DD50" s="897"/>
      <c r="DE50" s="897"/>
      <c r="DF50" s="897"/>
      <c r="DG50" s="897"/>
      <c r="DH50" s="897"/>
      <c r="DI50" s="897"/>
      <c r="DJ50" s="897"/>
      <c r="DK50" s="897"/>
      <c r="DL50" s="897"/>
      <c r="DM50" s="897"/>
      <c r="DN50" s="897"/>
      <c r="DO50" s="897"/>
      <c r="DP50" s="897"/>
      <c r="DQ50" s="897"/>
      <c r="DR50" s="897"/>
      <c r="DS50" s="897"/>
      <c r="DT50" s="897"/>
      <c r="DU50" s="897"/>
      <c r="DV50" s="897"/>
      <c r="DW50" s="897"/>
      <c r="DX50" s="897"/>
      <c r="DY50" s="897"/>
      <c r="DZ50" s="897"/>
      <c r="EA50" s="897"/>
      <c r="EB50" s="897"/>
      <c r="EC50" s="897"/>
      <c r="ED50" s="897"/>
      <c r="EE50" s="897"/>
      <c r="EF50" s="897"/>
      <c r="EG50" s="897"/>
      <c r="EH50" s="897"/>
      <c r="EI50" s="897"/>
      <c r="EJ50" s="897"/>
      <c r="EK50" s="897"/>
      <c r="EL50" s="897"/>
      <c r="EM50" s="897"/>
      <c r="EN50" s="897"/>
      <c r="EO50" s="897"/>
      <c r="EP50" s="897"/>
      <c r="EQ50" s="897"/>
      <c r="ER50" s="897"/>
      <c r="ES50" s="897"/>
      <c r="ET50" s="897"/>
      <c r="EU50" s="897"/>
      <c r="EV50" s="897"/>
      <c r="EW50" s="897"/>
      <c r="EX50" s="897"/>
      <c r="EY50" s="897"/>
      <c r="EZ50" s="897"/>
      <c r="FA50" s="897"/>
      <c r="FB50" s="897"/>
      <c r="FC50" s="897"/>
      <c r="FD50" s="897"/>
      <c r="FE50" s="897"/>
      <c r="FF50" s="897"/>
      <c r="FG50" s="897"/>
      <c r="FH50" s="897"/>
      <c r="FI50" s="897"/>
      <c r="FJ50" s="897"/>
      <c r="FK50" s="897"/>
      <c r="FL50" s="897"/>
      <c r="FM50" s="897"/>
      <c r="FN50" s="897"/>
      <c r="FO50" s="897"/>
      <c r="FP50" s="897"/>
      <c r="FQ50" s="897"/>
      <c r="FR50" s="897"/>
      <c r="FS50" s="897"/>
      <c r="FT50" s="897"/>
      <c r="FU50" s="897"/>
      <c r="FV50" s="897"/>
      <c r="FW50" s="897"/>
      <c r="FX50" s="897"/>
      <c r="FY50" s="897"/>
      <c r="FZ50" s="897"/>
      <c r="GA50" s="897"/>
      <c r="GB50" s="897"/>
      <c r="GC50" s="897"/>
      <c r="GD50" s="897"/>
      <c r="GE50" s="897"/>
      <c r="GF50" s="897"/>
      <c r="GG50" s="897"/>
      <c r="GH50" s="897"/>
      <c r="GI50" s="897"/>
      <c r="GJ50" s="897"/>
      <c r="GK50" s="897"/>
      <c r="GL50" s="897"/>
      <c r="GM50" s="897"/>
      <c r="GN50" s="897"/>
      <c r="GO50" s="897"/>
      <c r="GP50" s="897"/>
      <c r="GQ50" s="897"/>
      <c r="GR50" s="897"/>
      <c r="GS50" s="897"/>
      <c r="GT50" s="897"/>
      <c r="GU50" s="897"/>
      <c r="GV50" s="897"/>
      <c r="GW50" s="897"/>
      <c r="GX50" s="897"/>
      <c r="GY50" s="897"/>
      <c r="GZ50" s="897"/>
      <c r="HA50" s="897"/>
      <c r="HB50" s="897"/>
      <c r="HC50" s="897"/>
      <c r="HD50" s="897"/>
      <c r="HE50" s="897"/>
      <c r="HF50" s="897"/>
      <c r="HG50" s="897"/>
      <c r="HH50" s="897"/>
      <c r="HI50" s="897"/>
      <c r="HJ50" s="897"/>
      <c r="HK50" s="897"/>
      <c r="HL50" s="897"/>
      <c r="HM50" s="897"/>
      <c r="HN50" s="897"/>
      <c r="HO50" s="897"/>
      <c r="HP50" s="897"/>
    </row>
    <row r="51" spans="1:224" s="659" customFormat="1" ht="15.75" x14ac:dyDescent="0.25">
      <c r="A51" s="888" t="s">
        <v>1298</v>
      </c>
      <c r="B51" s="28" t="s">
        <v>1562</v>
      </c>
      <c r="C51" s="28"/>
      <c r="D51" s="903"/>
      <c r="E51" s="904"/>
      <c r="F51" s="897"/>
      <c r="G51" s="897"/>
      <c r="H51" s="897"/>
      <c r="I51" s="897"/>
      <c r="J51" s="897"/>
      <c r="K51" s="897"/>
      <c r="L51" s="897"/>
      <c r="M51" s="897"/>
      <c r="N51" s="897"/>
      <c r="O51" s="897"/>
      <c r="P51" s="897"/>
      <c r="Q51" s="897"/>
      <c r="R51" s="897"/>
      <c r="S51" s="897"/>
      <c r="T51" s="897"/>
      <c r="U51" s="897"/>
      <c r="V51" s="897"/>
      <c r="W51" s="897"/>
      <c r="X51" s="897"/>
      <c r="Y51" s="897"/>
      <c r="Z51" s="897"/>
      <c r="AA51" s="897"/>
      <c r="AB51" s="897"/>
      <c r="AC51" s="897"/>
      <c r="AD51" s="897"/>
      <c r="AE51" s="897"/>
      <c r="AF51" s="897"/>
      <c r="AG51" s="897"/>
      <c r="AH51" s="897"/>
      <c r="AI51" s="897"/>
      <c r="AJ51" s="897"/>
      <c r="AK51" s="897"/>
      <c r="AL51" s="897"/>
      <c r="AM51" s="897"/>
      <c r="AN51" s="897"/>
      <c r="AO51" s="897"/>
      <c r="AP51" s="897"/>
      <c r="AQ51" s="897"/>
      <c r="AR51" s="897"/>
      <c r="AS51" s="897"/>
      <c r="AT51" s="897"/>
      <c r="AU51" s="897"/>
      <c r="AV51" s="897"/>
      <c r="AW51" s="897"/>
      <c r="AX51" s="897"/>
      <c r="AY51" s="897"/>
      <c r="AZ51" s="897"/>
      <c r="BA51" s="897"/>
      <c r="BB51" s="897"/>
      <c r="BC51" s="897"/>
      <c r="BD51" s="897"/>
      <c r="BE51" s="897"/>
      <c r="BF51" s="897"/>
      <c r="BG51" s="897"/>
      <c r="BH51" s="897"/>
      <c r="BI51" s="897"/>
      <c r="BJ51" s="897"/>
      <c r="BK51" s="897"/>
      <c r="BL51" s="897"/>
      <c r="BM51" s="897"/>
      <c r="BN51" s="897"/>
      <c r="BO51" s="897"/>
      <c r="BP51" s="897"/>
      <c r="BQ51" s="897"/>
      <c r="BR51" s="897"/>
      <c r="BS51" s="897"/>
      <c r="BT51" s="897"/>
      <c r="BU51" s="897"/>
      <c r="BV51" s="897"/>
      <c r="BW51" s="897"/>
      <c r="BX51" s="897"/>
      <c r="BY51" s="897"/>
      <c r="BZ51" s="897"/>
      <c r="CA51" s="897"/>
      <c r="CB51" s="897"/>
      <c r="CC51" s="897"/>
      <c r="CD51" s="897"/>
      <c r="CE51" s="897"/>
      <c r="CF51" s="897"/>
      <c r="CG51" s="897"/>
      <c r="CH51" s="897"/>
      <c r="CI51" s="897"/>
      <c r="CJ51" s="897"/>
      <c r="CK51" s="897"/>
      <c r="CL51" s="897"/>
      <c r="CM51" s="897"/>
      <c r="CN51" s="897"/>
      <c r="CO51" s="897"/>
      <c r="CP51" s="897"/>
      <c r="CQ51" s="897"/>
      <c r="CR51" s="897"/>
      <c r="CS51" s="897"/>
      <c r="CT51" s="897"/>
      <c r="CU51" s="897"/>
      <c r="CV51" s="897"/>
      <c r="CW51" s="897"/>
      <c r="CX51" s="897"/>
      <c r="CY51" s="897"/>
      <c r="CZ51" s="897"/>
      <c r="DA51" s="897"/>
      <c r="DB51" s="897"/>
      <c r="DC51" s="897"/>
      <c r="DD51" s="897"/>
      <c r="DE51" s="897"/>
      <c r="DF51" s="897"/>
      <c r="DG51" s="897"/>
      <c r="DH51" s="897"/>
      <c r="DI51" s="897"/>
      <c r="DJ51" s="897"/>
      <c r="DK51" s="897"/>
      <c r="DL51" s="897"/>
      <c r="DM51" s="897"/>
      <c r="DN51" s="897"/>
      <c r="DO51" s="897"/>
      <c r="DP51" s="897"/>
      <c r="DQ51" s="897"/>
      <c r="DR51" s="897"/>
      <c r="DS51" s="897"/>
      <c r="DT51" s="897"/>
      <c r="DU51" s="897"/>
      <c r="DV51" s="897"/>
      <c r="DW51" s="897"/>
      <c r="DX51" s="897"/>
      <c r="DY51" s="897"/>
      <c r="DZ51" s="897"/>
      <c r="EA51" s="897"/>
      <c r="EB51" s="897"/>
      <c r="EC51" s="897"/>
      <c r="ED51" s="897"/>
      <c r="EE51" s="897"/>
      <c r="EF51" s="897"/>
      <c r="EG51" s="897"/>
      <c r="EH51" s="897"/>
      <c r="EI51" s="897"/>
      <c r="EJ51" s="897"/>
      <c r="EK51" s="897"/>
      <c r="EL51" s="897"/>
      <c r="EM51" s="897"/>
      <c r="EN51" s="897"/>
      <c r="EO51" s="897"/>
      <c r="EP51" s="897"/>
      <c r="EQ51" s="897"/>
      <c r="ER51" s="897"/>
      <c r="ES51" s="897"/>
      <c r="ET51" s="897"/>
      <c r="EU51" s="897"/>
      <c r="EV51" s="897"/>
      <c r="EW51" s="897"/>
      <c r="EX51" s="897"/>
      <c r="EY51" s="897"/>
      <c r="EZ51" s="897"/>
      <c r="FA51" s="897"/>
      <c r="FB51" s="897"/>
      <c r="FC51" s="897"/>
      <c r="FD51" s="897"/>
      <c r="FE51" s="897"/>
      <c r="FF51" s="897"/>
      <c r="FG51" s="897"/>
      <c r="FH51" s="897"/>
      <c r="FI51" s="897"/>
      <c r="FJ51" s="897"/>
      <c r="FK51" s="897"/>
      <c r="FL51" s="897"/>
      <c r="FM51" s="897"/>
      <c r="FN51" s="897"/>
      <c r="FO51" s="897"/>
      <c r="FP51" s="897"/>
      <c r="FQ51" s="897"/>
      <c r="FR51" s="897"/>
      <c r="FS51" s="897"/>
      <c r="FT51" s="897"/>
      <c r="FU51" s="897"/>
      <c r="FV51" s="897"/>
      <c r="FW51" s="897"/>
      <c r="FX51" s="897"/>
      <c r="FY51" s="897"/>
      <c r="FZ51" s="897"/>
      <c r="GA51" s="897"/>
      <c r="GB51" s="897"/>
      <c r="GC51" s="897"/>
      <c r="GD51" s="897"/>
      <c r="GE51" s="897"/>
      <c r="GF51" s="897"/>
      <c r="GG51" s="897"/>
      <c r="GH51" s="897"/>
      <c r="GI51" s="897"/>
      <c r="GJ51" s="897"/>
      <c r="GK51" s="897"/>
      <c r="GL51" s="897"/>
      <c r="GM51" s="897"/>
      <c r="GN51" s="897"/>
      <c r="GO51" s="897"/>
      <c r="GP51" s="897"/>
      <c r="GQ51" s="897"/>
      <c r="GR51" s="897"/>
      <c r="GS51" s="897"/>
      <c r="GT51" s="897"/>
      <c r="GU51" s="897"/>
      <c r="GV51" s="897"/>
      <c r="GW51" s="897"/>
      <c r="GX51" s="897"/>
      <c r="GY51" s="897"/>
      <c r="GZ51" s="897"/>
      <c r="HA51" s="897"/>
      <c r="HB51" s="897"/>
      <c r="HC51" s="897"/>
      <c r="HD51" s="897"/>
      <c r="HE51" s="897"/>
      <c r="HF51" s="897"/>
      <c r="HG51" s="897"/>
      <c r="HH51" s="897"/>
      <c r="HI51" s="897"/>
      <c r="HJ51" s="897"/>
      <c r="HK51" s="897"/>
      <c r="HL51" s="897"/>
      <c r="HM51" s="897"/>
      <c r="HN51" s="897"/>
      <c r="HO51" s="897"/>
      <c r="HP51" s="897"/>
    </row>
    <row r="52" spans="1:224" s="659" customFormat="1" x14ac:dyDescent="0.25">
      <c r="A52" s="888" t="s">
        <v>1298</v>
      </c>
      <c r="B52" s="897"/>
      <c r="C52" s="897"/>
      <c r="D52" s="897"/>
      <c r="E52" s="897"/>
      <c r="F52" s="897"/>
      <c r="G52" s="897"/>
      <c r="H52" s="897"/>
      <c r="I52" s="897"/>
      <c r="J52" s="897"/>
      <c r="K52" s="922"/>
      <c r="L52" s="897"/>
      <c r="M52" s="897"/>
      <c r="N52" s="897"/>
      <c r="O52" s="897"/>
      <c r="P52" s="897"/>
      <c r="Q52" s="897"/>
      <c r="R52" s="897"/>
      <c r="S52" s="897"/>
      <c r="T52" s="897"/>
      <c r="U52" s="908"/>
      <c r="V52" s="897"/>
      <c r="W52" s="897"/>
      <c r="X52" s="897"/>
      <c r="Y52" s="897"/>
      <c r="Z52" s="897"/>
      <c r="AA52" s="897"/>
      <c r="AB52" s="897"/>
      <c r="AC52" s="897"/>
      <c r="AD52" s="897"/>
      <c r="AE52" s="897"/>
      <c r="AF52" s="897"/>
      <c r="AG52" s="897"/>
      <c r="AH52" s="897"/>
      <c r="AI52" s="897"/>
      <c r="AJ52" s="897"/>
      <c r="AK52" s="897"/>
      <c r="AL52" s="897"/>
      <c r="AM52" s="897"/>
      <c r="AN52" s="897"/>
      <c r="AO52" s="897"/>
      <c r="AP52" s="897"/>
      <c r="AQ52" s="897"/>
      <c r="AR52" s="897"/>
      <c r="AS52" s="897"/>
      <c r="AT52" s="897"/>
      <c r="AU52" s="897"/>
      <c r="AV52" s="897"/>
      <c r="AW52" s="897"/>
      <c r="AX52" s="897"/>
      <c r="AY52" s="897"/>
      <c r="AZ52" s="897"/>
      <c r="BA52" s="897"/>
      <c r="BB52" s="897"/>
      <c r="BC52" s="897"/>
      <c r="BD52" s="897"/>
      <c r="BE52" s="897"/>
      <c r="BF52" s="897"/>
      <c r="BG52" s="897"/>
      <c r="BH52" s="897"/>
      <c r="BI52" s="897"/>
      <c r="BJ52" s="897"/>
      <c r="BK52" s="897"/>
      <c r="BL52" s="897"/>
      <c r="BM52" s="897"/>
      <c r="BN52" s="897"/>
      <c r="BO52" s="897"/>
      <c r="BP52" s="897"/>
      <c r="BQ52" s="897"/>
      <c r="BR52" s="897"/>
      <c r="BS52" s="897"/>
      <c r="BT52" s="897"/>
      <c r="BU52" s="897"/>
      <c r="BV52" s="897"/>
      <c r="BW52" s="897"/>
      <c r="BX52" s="897"/>
      <c r="BY52" s="897"/>
      <c r="BZ52" s="897"/>
      <c r="CA52" s="897"/>
      <c r="CB52" s="897"/>
      <c r="CC52" s="897"/>
      <c r="CD52" s="897"/>
      <c r="CE52" s="897"/>
      <c r="CF52" s="897"/>
      <c r="CG52" s="897"/>
      <c r="CH52" s="897"/>
      <c r="CI52" s="897"/>
      <c r="CJ52" s="897"/>
      <c r="CK52" s="897"/>
      <c r="CL52" s="897"/>
      <c r="CM52" s="897"/>
      <c r="CN52" s="897"/>
      <c r="CO52" s="897"/>
      <c r="CP52" s="897"/>
      <c r="CQ52" s="897"/>
      <c r="CR52" s="897"/>
      <c r="CS52" s="897"/>
      <c r="CT52" s="897"/>
      <c r="CU52" s="897"/>
      <c r="CV52" s="897"/>
      <c r="CW52" s="897"/>
      <c r="CX52" s="897"/>
      <c r="CY52" s="897"/>
      <c r="CZ52" s="897"/>
      <c r="DA52" s="897"/>
      <c r="DB52" s="897"/>
      <c r="DC52" s="897"/>
      <c r="DD52" s="897"/>
      <c r="DE52" s="897"/>
      <c r="DF52" s="897"/>
      <c r="DG52" s="897"/>
      <c r="DH52" s="897"/>
      <c r="DI52" s="897"/>
      <c r="DJ52" s="897"/>
      <c r="DK52" s="897"/>
      <c r="DL52" s="897"/>
      <c r="DM52" s="897"/>
      <c r="DN52" s="897"/>
      <c r="DO52" s="897"/>
      <c r="DP52" s="897"/>
      <c r="DQ52" s="897"/>
      <c r="DR52" s="897"/>
      <c r="DS52" s="897"/>
      <c r="DT52" s="897"/>
      <c r="DU52" s="897"/>
      <c r="DV52" s="897"/>
      <c r="DW52" s="897"/>
      <c r="DX52" s="897"/>
      <c r="DY52" s="897"/>
      <c r="DZ52" s="897"/>
      <c r="EA52" s="897"/>
      <c r="EB52" s="897"/>
      <c r="EC52" s="897"/>
      <c r="ED52" s="897"/>
      <c r="EE52" s="897"/>
      <c r="EF52" s="897"/>
      <c r="EG52" s="897"/>
      <c r="EH52" s="897"/>
      <c r="EI52" s="897"/>
      <c r="EJ52" s="897"/>
      <c r="EK52" s="897"/>
      <c r="EL52" s="897"/>
      <c r="EM52" s="897"/>
      <c r="EN52" s="897"/>
      <c r="EO52" s="897"/>
      <c r="EP52" s="897"/>
      <c r="EQ52" s="897"/>
      <c r="ER52" s="897"/>
      <c r="ES52" s="897"/>
      <c r="ET52" s="897"/>
      <c r="EU52" s="897"/>
      <c r="EV52" s="897"/>
      <c r="EW52" s="897"/>
      <c r="EX52" s="897"/>
      <c r="EY52" s="897"/>
      <c r="EZ52" s="897"/>
      <c r="FA52" s="897"/>
      <c r="FB52" s="897"/>
      <c r="FC52" s="897"/>
      <c r="FD52" s="897"/>
      <c r="FE52" s="897"/>
      <c r="FF52" s="897"/>
      <c r="FG52" s="897"/>
      <c r="FH52" s="897"/>
      <c r="FI52" s="897"/>
      <c r="FJ52" s="897"/>
      <c r="FK52" s="897"/>
      <c r="FL52" s="897"/>
      <c r="FM52" s="897"/>
      <c r="FN52" s="897"/>
      <c r="FO52" s="897"/>
      <c r="FP52" s="897"/>
      <c r="FQ52" s="897"/>
      <c r="FR52" s="897"/>
      <c r="FS52" s="897"/>
      <c r="FT52" s="897"/>
      <c r="FU52" s="897"/>
      <c r="FV52" s="897"/>
      <c r="FW52" s="897"/>
      <c r="FX52" s="897"/>
      <c r="FY52" s="897"/>
      <c r="FZ52" s="897"/>
      <c r="GA52" s="897"/>
      <c r="GB52" s="897"/>
      <c r="GC52" s="897"/>
      <c r="GD52" s="897"/>
      <c r="GE52" s="897"/>
      <c r="GF52" s="897"/>
      <c r="GG52" s="897"/>
      <c r="GH52" s="897"/>
      <c r="GI52" s="897"/>
      <c r="GJ52" s="897"/>
      <c r="GK52" s="897"/>
      <c r="GL52" s="897"/>
      <c r="GM52" s="897"/>
      <c r="GN52" s="897"/>
      <c r="GO52" s="897"/>
      <c r="GP52" s="897"/>
      <c r="GQ52" s="897"/>
      <c r="GR52" s="897"/>
      <c r="GS52" s="897"/>
      <c r="GT52" s="897"/>
      <c r="GU52" s="897"/>
      <c r="GV52" s="897"/>
      <c r="GW52" s="897"/>
      <c r="GX52" s="897"/>
      <c r="GY52" s="897"/>
      <c r="GZ52" s="897"/>
      <c r="HA52" s="897"/>
      <c r="HB52" s="897"/>
      <c r="HC52" s="897"/>
      <c r="HD52" s="897"/>
      <c r="HE52" s="897"/>
      <c r="HF52" s="897"/>
      <c r="HG52" s="897"/>
      <c r="HH52" s="897"/>
      <c r="HI52" s="897"/>
      <c r="HJ52" s="897"/>
      <c r="HK52" s="897"/>
      <c r="HL52" s="897"/>
      <c r="HM52" s="897"/>
      <c r="HN52" s="897"/>
      <c r="HO52" s="897"/>
      <c r="HP52" s="897"/>
    </row>
    <row r="53" spans="1:224" s="659" customFormat="1" x14ac:dyDescent="0.25">
      <c r="A53" s="888" t="s">
        <v>1298</v>
      </c>
      <c r="B53" s="1714" t="s">
        <v>1563</v>
      </c>
      <c r="C53" s="897"/>
      <c r="D53" s="897"/>
      <c r="E53" s="897"/>
      <c r="F53" s="897"/>
      <c r="G53" s="897"/>
      <c r="H53" s="897"/>
      <c r="I53" s="897"/>
      <c r="J53" s="897"/>
      <c r="K53" s="922"/>
      <c r="L53" s="897"/>
      <c r="M53" s="897"/>
      <c r="N53" s="897"/>
      <c r="O53" s="897"/>
      <c r="P53" s="897"/>
      <c r="Q53" s="897"/>
      <c r="R53" s="897"/>
      <c r="S53" s="897"/>
      <c r="T53" s="897"/>
      <c r="U53" s="908"/>
      <c r="V53" s="897"/>
      <c r="W53" s="897"/>
      <c r="X53" s="897"/>
      <c r="Y53" s="897"/>
      <c r="Z53" s="897"/>
      <c r="AA53" s="897"/>
      <c r="AB53" s="897"/>
      <c r="AC53" s="897"/>
      <c r="AD53" s="897"/>
      <c r="AE53" s="897"/>
      <c r="AF53" s="897"/>
      <c r="AG53" s="897"/>
      <c r="AH53" s="897"/>
      <c r="AI53" s="897"/>
      <c r="AJ53" s="897"/>
      <c r="AK53" s="897"/>
      <c r="AL53" s="897"/>
      <c r="AM53" s="897"/>
      <c r="AN53" s="897"/>
      <c r="AO53" s="897"/>
      <c r="AP53" s="897"/>
      <c r="AQ53" s="897"/>
      <c r="AR53" s="897"/>
      <c r="AS53" s="897"/>
      <c r="AT53" s="897"/>
      <c r="AU53" s="897"/>
      <c r="AV53" s="897"/>
      <c r="AW53" s="897"/>
      <c r="AX53" s="897"/>
      <c r="AY53" s="897"/>
      <c r="AZ53" s="897"/>
      <c r="BA53" s="897"/>
      <c r="BB53" s="897"/>
      <c r="BC53" s="897"/>
      <c r="BD53" s="897"/>
      <c r="BE53" s="897"/>
      <c r="BF53" s="897"/>
      <c r="BG53" s="897"/>
      <c r="BH53" s="897"/>
      <c r="BI53" s="897"/>
      <c r="BJ53" s="897"/>
      <c r="BK53" s="897"/>
      <c r="BL53" s="897"/>
      <c r="BM53" s="897"/>
      <c r="BN53" s="897"/>
      <c r="BO53" s="897"/>
      <c r="BP53" s="897"/>
      <c r="BQ53" s="897"/>
      <c r="BR53" s="897"/>
      <c r="BS53" s="897"/>
      <c r="BT53" s="897"/>
      <c r="BU53" s="897"/>
      <c r="BV53" s="897"/>
      <c r="BW53" s="897"/>
      <c r="BX53" s="897"/>
      <c r="BY53" s="897"/>
      <c r="BZ53" s="897"/>
      <c r="CA53" s="897"/>
      <c r="CB53" s="897"/>
      <c r="CC53" s="897"/>
      <c r="CD53" s="897"/>
      <c r="CE53" s="897"/>
      <c r="CF53" s="897"/>
      <c r="CG53" s="897"/>
      <c r="CH53" s="897"/>
      <c r="CI53" s="897"/>
      <c r="CJ53" s="897"/>
      <c r="CK53" s="897"/>
      <c r="CL53" s="897"/>
      <c r="CM53" s="897"/>
      <c r="CN53" s="897"/>
      <c r="CO53" s="897"/>
      <c r="CP53" s="897"/>
      <c r="CQ53" s="897"/>
      <c r="CR53" s="897"/>
      <c r="CS53" s="897"/>
      <c r="CT53" s="897"/>
      <c r="CU53" s="897"/>
      <c r="CV53" s="897"/>
      <c r="CW53" s="897"/>
      <c r="CX53" s="897"/>
      <c r="CY53" s="897"/>
      <c r="CZ53" s="897"/>
      <c r="DA53" s="897"/>
      <c r="DB53" s="897"/>
      <c r="DC53" s="897"/>
      <c r="DD53" s="897"/>
      <c r="DE53" s="897"/>
      <c r="DF53" s="897"/>
      <c r="DG53" s="897"/>
      <c r="DH53" s="897"/>
      <c r="DI53" s="897"/>
      <c r="DJ53" s="897"/>
      <c r="DK53" s="897"/>
      <c r="DL53" s="897"/>
      <c r="DM53" s="897"/>
      <c r="DN53" s="897"/>
      <c r="DO53" s="897"/>
      <c r="DP53" s="897"/>
      <c r="DQ53" s="897"/>
      <c r="DR53" s="897"/>
      <c r="DS53" s="897"/>
      <c r="DT53" s="897"/>
      <c r="DU53" s="897"/>
      <c r="DV53" s="897"/>
      <c r="DW53" s="897"/>
      <c r="DX53" s="897"/>
      <c r="DY53" s="897"/>
      <c r="DZ53" s="897"/>
      <c r="EA53" s="897"/>
      <c r="EB53" s="897"/>
      <c r="EC53" s="897"/>
      <c r="ED53" s="897"/>
      <c r="EE53" s="897"/>
      <c r="EF53" s="897"/>
      <c r="EG53" s="897"/>
      <c r="EH53" s="897"/>
      <c r="EI53" s="897"/>
      <c r="EJ53" s="897"/>
      <c r="EK53" s="897"/>
      <c r="EL53" s="897"/>
      <c r="EM53" s="897"/>
      <c r="EN53" s="897"/>
      <c r="EO53" s="897"/>
      <c r="EP53" s="897"/>
      <c r="EQ53" s="897"/>
      <c r="ER53" s="897"/>
      <c r="ES53" s="897"/>
      <c r="ET53" s="897"/>
      <c r="EU53" s="897"/>
      <c r="EV53" s="897"/>
      <c r="EW53" s="897"/>
      <c r="EX53" s="897"/>
      <c r="EY53" s="897"/>
      <c r="EZ53" s="897"/>
      <c r="FA53" s="897"/>
      <c r="FB53" s="897"/>
      <c r="FC53" s="897"/>
      <c r="FD53" s="897"/>
      <c r="FE53" s="897"/>
      <c r="FF53" s="897"/>
      <c r="FG53" s="897"/>
      <c r="FH53" s="897"/>
      <c r="FI53" s="897"/>
      <c r="FJ53" s="897"/>
      <c r="FK53" s="897"/>
      <c r="FL53" s="897"/>
      <c r="FM53" s="897"/>
      <c r="FN53" s="897"/>
      <c r="FO53" s="897"/>
      <c r="FP53" s="897"/>
      <c r="FQ53" s="897"/>
      <c r="FR53" s="897"/>
      <c r="FS53" s="897"/>
      <c r="FT53" s="897"/>
      <c r="FU53" s="897"/>
      <c r="FV53" s="897"/>
      <c r="FW53" s="897"/>
      <c r="FX53" s="897"/>
      <c r="FY53" s="897"/>
      <c r="FZ53" s="897"/>
      <c r="GA53" s="897"/>
      <c r="GB53" s="897"/>
      <c r="GC53" s="897"/>
      <c r="GD53" s="897"/>
      <c r="GE53" s="897"/>
      <c r="GF53" s="897"/>
      <c r="GG53" s="897"/>
      <c r="GH53" s="897"/>
      <c r="GI53" s="897"/>
      <c r="GJ53" s="897"/>
      <c r="GK53" s="897"/>
      <c r="GL53" s="897"/>
      <c r="GM53" s="897"/>
      <c r="GN53" s="897"/>
      <c r="GO53" s="897"/>
      <c r="GP53" s="897"/>
      <c r="GQ53" s="897"/>
      <c r="GR53" s="897"/>
      <c r="GS53" s="897"/>
      <c r="GT53" s="897"/>
      <c r="GU53" s="897"/>
      <c r="GV53" s="897"/>
      <c r="GW53" s="897"/>
      <c r="GX53" s="897"/>
      <c r="GY53" s="897"/>
      <c r="GZ53" s="897"/>
      <c r="HA53" s="897"/>
      <c r="HB53" s="897"/>
      <c r="HC53" s="897"/>
      <c r="HD53" s="897"/>
      <c r="HE53" s="897"/>
      <c r="HF53" s="897"/>
      <c r="HG53" s="897"/>
      <c r="HH53" s="897"/>
      <c r="HI53" s="897"/>
      <c r="HJ53" s="897"/>
      <c r="HK53" s="897"/>
      <c r="HL53" s="897"/>
      <c r="HM53" s="897"/>
      <c r="HN53" s="897"/>
      <c r="HO53" s="897"/>
      <c r="HP53" s="897"/>
    </row>
    <row r="54" spans="1:224" s="659" customFormat="1" x14ac:dyDescent="0.25">
      <c r="A54" s="888" t="s">
        <v>1298</v>
      </c>
      <c r="B54" s="897"/>
      <c r="C54" s="897"/>
      <c r="D54" s="897"/>
      <c r="E54" s="897"/>
      <c r="F54" s="897"/>
      <c r="G54" s="897"/>
      <c r="H54" s="897"/>
      <c r="I54" s="897"/>
      <c r="J54" s="897"/>
      <c r="K54" s="922"/>
      <c r="L54" s="897"/>
      <c r="M54" s="897"/>
      <c r="N54" s="897"/>
      <c r="O54" s="897"/>
      <c r="P54" s="897"/>
      <c r="Q54" s="897"/>
      <c r="R54" s="897"/>
      <c r="S54" s="897"/>
      <c r="T54" s="897"/>
      <c r="U54" s="908"/>
      <c r="V54" s="897"/>
      <c r="W54" s="897"/>
      <c r="X54" s="897"/>
      <c r="Y54" s="897"/>
      <c r="Z54" s="897"/>
      <c r="AA54" s="897"/>
      <c r="AB54" s="897"/>
      <c r="AC54" s="897"/>
      <c r="AD54" s="897"/>
      <c r="AE54" s="897"/>
      <c r="AF54" s="897"/>
      <c r="AG54" s="897"/>
      <c r="AH54" s="897"/>
      <c r="AI54" s="897"/>
      <c r="AJ54" s="897"/>
      <c r="AK54" s="897"/>
      <c r="AL54" s="897"/>
      <c r="AM54" s="897"/>
      <c r="AN54" s="897"/>
      <c r="AO54" s="897"/>
      <c r="AP54" s="897"/>
      <c r="AQ54" s="897"/>
      <c r="AR54" s="897"/>
      <c r="AS54" s="897"/>
      <c r="AT54" s="897"/>
      <c r="AU54" s="897"/>
      <c r="AV54" s="897"/>
      <c r="AW54" s="897"/>
      <c r="AX54" s="897"/>
      <c r="AY54" s="897"/>
      <c r="AZ54" s="897"/>
      <c r="BA54" s="897"/>
      <c r="BB54" s="897"/>
      <c r="BC54" s="897"/>
      <c r="BD54" s="897"/>
      <c r="BE54" s="897"/>
      <c r="BF54" s="897"/>
      <c r="BG54" s="897"/>
      <c r="BH54" s="897"/>
      <c r="BI54" s="897"/>
      <c r="BJ54" s="897"/>
      <c r="BK54" s="897"/>
      <c r="BL54" s="897"/>
      <c r="BM54" s="897"/>
      <c r="BN54" s="897"/>
      <c r="BO54" s="897"/>
      <c r="BP54" s="897"/>
      <c r="BQ54" s="897"/>
      <c r="BR54" s="897"/>
      <c r="BS54" s="897"/>
      <c r="BT54" s="897"/>
      <c r="BU54" s="897"/>
      <c r="BV54" s="897"/>
      <c r="BW54" s="897"/>
      <c r="BX54" s="897"/>
      <c r="BY54" s="897"/>
      <c r="BZ54" s="897"/>
      <c r="CA54" s="897"/>
      <c r="CB54" s="897"/>
      <c r="CC54" s="897"/>
      <c r="CD54" s="897"/>
      <c r="CE54" s="897"/>
      <c r="CF54" s="897"/>
      <c r="CG54" s="897"/>
      <c r="CH54" s="897"/>
      <c r="CI54" s="897"/>
      <c r="CJ54" s="897"/>
      <c r="CK54" s="897"/>
      <c r="CL54" s="897"/>
      <c r="CM54" s="897"/>
      <c r="CN54" s="897"/>
      <c r="CO54" s="897"/>
      <c r="CP54" s="897"/>
      <c r="CQ54" s="897"/>
      <c r="CR54" s="897"/>
      <c r="CS54" s="897"/>
      <c r="CT54" s="897"/>
      <c r="CU54" s="897"/>
      <c r="CV54" s="897"/>
      <c r="CW54" s="897"/>
      <c r="CX54" s="897"/>
      <c r="CY54" s="897"/>
      <c r="CZ54" s="897"/>
      <c r="DA54" s="897"/>
      <c r="DB54" s="897"/>
      <c r="DC54" s="897"/>
      <c r="DD54" s="897"/>
      <c r="DE54" s="897"/>
      <c r="DF54" s="897"/>
      <c r="DG54" s="897"/>
      <c r="DH54" s="897"/>
      <c r="DI54" s="897"/>
      <c r="DJ54" s="897"/>
      <c r="DK54" s="897"/>
      <c r="DL54" s="897"/>
      <c r="DM54" s="897"/>
      <c r="DN54" s="897"/>
      <c r="DO54" s="897"/>
      <c r="DP54" s="897"/>
      <c r="DQ54" s="897"/>
      <c r="DR54" s="897"/>
      <c r="DS54" s="897"/>
      <c r="DT54" s="897"/>
      <c r="DU54" s="897"/>
      <c r="DV54" s="897"/>
      <c r="DW54" s="897"/>
      <c r="DX54" s="897"/>
      <c r="DY54" s="897"/>
      <c r="DZ54" s="897"/>
      <c r="EA54" s="897"/>
      <c r="EB54" s="897"/>
      <c r="EC54" s="897"/>
      <c r="ED54" s="897"/>
      <c r="EE54" s="897"/>
      <c r="EF54" s="897"/>
      <c r="EG54" s="897"/>
      <c r="EH54" s="897"/>
      <c r="EI54" s="897"/>
      <c r="EJ54" s="897"/>
      <c r="EK54" s="897"/>
      <c r="EL54" s="897"/>
      <c r="EM54" s="897"/>
      <c r="EN54" s="897"/>
      <c r="EO54" s="897"/>
      <c r="EP54" s="897"/>
      <c r="EQ54" s="897"/>
      <c r="ER54" s="897"/>
      <c r="ES54" s="897"/>
      <c r="ET54" s="897"/>
      <c r="EU54" s="897"/>
      <c r="EV54" s="897"/>
      <c r="EW54" s="897"/>
      <c r="EX54" s="897"/>
      <c r="EY54" s="897"/>
      <c r="EZ54" s="897"/>
      <c r="FA54" s="897"/>
      <c r="FB54" s="897"/>
      <c r="FC54" s="897"/>
      <c r="FD54" s="897"/>
      <c r="FE54" s="897"/>
      <c r="FF54" s="897"/>
      <c r="FG54" s="897"/>
      <c r="FH54" s="897"/>
      <c r="FI54" s="897"/>
      <c r="FJ54" s="897"/>
      <c r="FK54" s="897"/>
      <c r="FL54" s="897"/>
      <c r="FM54" s="897"/>
      <c r="FN54" s="897"/>
      <c r="FO54" s="897"/>
      <c r="FP54" s="897"/>
      <c r="FQ54" s="897"/>
      <c r="FR54" s="897"/>
      <c r="FS54" s="897"/>
      <c r="FT54" s="897"/>
      <c r="FU54" s="897"/>
      <c r="FV54" s="897"/>
      <c r="FW54" s="897"/>
      <c r="FX54" s="897"/>
      <c r="FY54" s="897"/>
      <c r="FZ54" s="897"/>
      <c r="GA54" s="897"/>
      <c r="GB54" s="897"/>
      <c r="GC54" s="897"/>
      <c r="GD54" s="897"/>
      <c r="GE54" s="897"/>
      <c r="GF54" s="897"/>
      <c r="GG54" s="897"/>
      <c r="GH54" s="897"/>
      <c r="GI54" s="897"/>
      <c r="GJ54" s="897"/>
      <c r="GK54" s="897"/>
      <c r="GL54" s="897"/>
      <c r="GM54" s="897"/>
      <c r="GN54" s="897"/>
      <c r="GO54" s="897"/>
      <c r="GP54" s="897"/>
      <c r="GQ54" s="897"/>
      <c r="GR54" s="897"/>
      <c r="GS54" s="897"/>
      <c r="GT54" s="897"/>
      <c r="GU54" s="897"/>
      <c r="GV54" s="897"/>
      <c r="GW54" s="897"/>
      <c r="GX54" s="897"/>
      <c r="GY54" s="897"/>
      <c r="GZ54" s="897"/>
      <c r="HA54" s="897"/>
      <c r="HB54" s="897"/>
      <c r="HC54" s="897"/>
      <c r="HD54" s="897"/>
      <c r="HE54" s="897"/>
      <c r="HF54" s="897"/>
      <c r="HG54" s="897"/>
      <c r="HH54" s="897"/>
      <c r="HI54" s="897"/>
      <c r="HJ54" s="897"/>
      <c r="HK54" s="897"/>
      <c r="HL54" s="897"/>
      <c r="HM54" s="897"/>
      <c r="HN54" s="897"/>
      <c r="HO54" s="897"/>
      <c r="HP54" s="897"/>
    </row>
    <row r="55" spans="1:224" s="659" customFormat="1" x14ac:dyDescent="0.25">
      <c r="A55" s="888" t="s">
        <v>1298</v>
      </c>
      <c r="B55" s="2525" t="s">
        <v>1357</v>
      </c>
      <c r="C55" s="2526" t="s">
        <v>1476</v>
      </c>
      <c r="D55" s="2526" t="s">
        <v>1374</v>
      </c>
      <c r="E55" s="2583" t="s">
        <v>1564</v>
      </c>
      <c r="F55" s="2526" t="s">
        <v>1565</v>
      </c>
      <c r="G55" s="2582"/>
      <c r="H55" s="2535" t="s">
        <v>1508</v>
      </c>
      <c r="I55" s="2568"/>
      <c r="J55" s="2568"/>
      <c r="K55" s="2557"/>
      <c r="L55" s="2565"/>
      <c r="M55" s="2535" t="s">
        <v>1514</v>
      </c>
      <c r="N55" s="2568"/>
      <c r="O55" s="2568"/>
      <c r="P55" s="2557"/>
      <c r="Q55" s="2565"/>
      <c r="R55" s="2535" t="str">
        <f>CONCATENATE("Annual Service Hot Water Load ",IF(SI_IP_Units="IP","(gallons/year)","(Liters/year)"))</f>
        <v>Annual Service Hot Water Load (gallons/year)</v>
      </c>
      <c r="S55" s="2568"/>
      <c r="T55" s="2568"/>
      <c r="U55" s="2557"/>
      <c r="V55" s="897"/>
      <c r="W55" s="897"/>
      <c r="X55" s="897"/>
      <c r="Y55" s="897"/>
      <c r="Z55" s="897"/>
      <c r="AA55" s="897"/>
      <c r="AB55" s="897"/>
      <c r="AC55" s="897"/>
      <c r="AD55" s="897"/>
      <c r="AE55" s="897"/>
      <c r="AF55" s="897"/>
      <c r="AG55" s="897"/>
      <c r="AH55" s="897"/>
      <c r="AI55" s="897"/>
      <c r="AJ55" s="897"/>
      <c r="AK55" s="897"/>
      <c r="AL55" s="897"/>
      <c r="AM55" s="897"/>
      <c r="AN55" s="897"/>
      <c r="AO55" s="897"/>
      <c r="AP55" s="897"/>
      <c r="AQ55" s="897"/>
      <c r="AR55" s="897"/>
      <c r="AS55" s="897"/>
      <c r="AT55" s="897"/>
      <c r="AU55" s="897"/>
      <c r="AV55" s="897"/>
      <c r="AW55" s="897"/>
      <c r="AX55" s="897"/>
      <c r="AY55" s="897"/>
      <c r="AZ55" s="897"/>
      <c r="BA55" s="897"/>
      <c r="BB55" s="897"/>
      <c r="BC55" s="897"/>
      <c r="BD55" s="897"/>
      <c r="BE55" s="897"/>
      <c r="BF55" s="897"/>
      <c r="BG55" s="897"/>
      <c r="BH55" s="897"/>
      <c r="BI55" s="897"/>
      <c r="BJ55" s="897"/>
      <c r="BK55" s="897"/>
      <c r="BL55" s="897"/>
      <c r="BM55" s="897"/>
      <c r="BN55" s="897"/>
      <c r="BO55" s="897"/>
      <c r="BP55" s="897"/>
      <c r="BQ55" s="897"/>
      <c r="BR55" s="897"/>
      <c r="BS55" s="897"/>
      <c r="BT55" s="897"/>
      <c r="BU55" s="897"/>
      <c r="BV55" s="897"/>
      <c r="BW55" s="897"/>
      <c r="BX55" s="897"/>
      <c r="BY55" s="897"/>
      <c r="BZ55" s="897"/>
      <c r="CA55" s="897"/>
      <c r="CB55" s="897"/>
      <c r="CC55" s="897"/>
      <c r="CD55" s="897"/>
      <c r="CE55" s="897"/>
      <c r="CF55" s="897"/>
      <c r="CG55" s="897"/>
      <c r="CH55" s="897"/>
      <c r="CI55" s="897"/>
      <c r="CJ55" s="897"/>
      <c r="CK55" s="897"/>
      <c r="CL55" s="897"/>
      <c r="CM55" s="897"/>
      <c r="CN55" s="897"/>
      <c r="CO55" s="897"/>
      <c r="CP55" s="897"/>
      <c r="CQ55" s="897"/>
      <c r="CR55" s="897"/>
      <c r="CS55" s="897"/>
      <c r="CT55" s="897"/>
      <c r="CU55" s="897"/>
      <c r="CV55" s="897"/>
      <c r="CW55" s="897"/>
      <c r="CX55" s="897"/>
      <c r="CY55" s="897"/>
      <c r="CZ55" s="897"/>
      <c r="DA55" s="897"/>
      <c r="DB55" s="897"/>
      <c r="DC55" s="897"/>
      <c r="DD55" s="897"/>
      <c r="DE55" s="897"/>
      <c r="DF55" s="897"/>
      <c r="DG55" s="897"/>
      <c r="DH55" s="897"/>
      <c r="DI55" s="897"/>
      <c r="DJ55" s="897"/>
      <c r="DK55" s="897"/>
      <c r="DL55" s="897"/>
      <c r="DM55" s="897"/>
      <c r="DN55" s="897"/>
      <c r="DO55" s="897"/>
      <c r="DP55" s="897"/>
      <c r="DQ55" s="897"/>
      <c r="DR55" s="897"/>
      <c r="DS55" s="897"/>
      <c r="DT55" s="897"/>
      <c r="DU55" s="897"/>
      <c r="DV55" s="897"/>
      <c r="DW55" s="897"/>
      <c r="DX55" s="897"/>
      <c r="DY55" s="897"/>
      <c r="DZ55" s="897"/>
      <c r="EA55" s="897"/>
      <c r="EB55" s="897"/>
      <c r="EC55" s="897"/>
      <c r="ED55" s="897"/>
      <c r="EE55" s="897"/>
      <c r="EF55" s="897"/>
      <c r="EG55" s="897"/>
      <c r="EH55" s="897"/>
      <c r="EI55" s="897"/>
      <c r="EJ55" s="897"/>
      <c r="EK55" s="897"/>
      <c r="EL55" s="897"/>
      <c r="EM55" s="897"/>
      <c r="EN55" s="897"/>
      <c r="EO55" s="897"/>
      <c r="EP55" s="897"/>
      <c r="EQ55" s="897"/>
      <c r="ER55" s="897"/>
      <c r="ES55" s="897"/>
      <c r="ET55" s="897"/>
      <c r="EU55" s="897"/>
      <c r="EV55" s="897"/>
      <c r="EW55" s="897"/>
      <c r="EX55" s="897"/>
      <c r="EY55" s="897"/>
      <c r="EZ55" s="897"/>
      <c r="FA55" s="897"/>
      <c r="FB55" s="897"/>
      <c r="FC55" s="897"/>
      <c r="FD55" s="897"/>
      <c r="FE55" s="897"/>
      <c r="FF55" s="897"/>
      <c r="FG55" s="897"/>
      <c r="FH55" s="897"/>
      <c r="FI55" s="897"/>
      <c r="FJ55" s="897"/>
      <c r="FK55" s="897"/>
      <c r="FL55" s="897"/>
      <c r="FM55" s="897"/>
      <c r="FN55" s="897"/>
      <c r="FO55" s="897"/>
      <c r="FP55" s="897"/>
      <c r="FQ55" s="897"/>
      <c r="FR55" s="897"/>
      <c r="FS55" s="897"/>
      <c r="FT55" s="897"/>
      <c r="FU55" s="897"/>
      <c r="FV55" s="897"/>
      <c r="FW55" s="897"/>
      <c r="FX55" s="897"/>
      <c r="FY55" s="897"/>
      <c r="FZ55" s="897"/>
      <c r="GA55" s="897"/>
      <c r="GB55" s="897"/>
      <c r="GC55" s="897"/>
      <c r="GD55" s="897"/>
      <c r="GE55" s="897"/>
      <c r="GF55" s="897"/>
      <c r="GG55" s="897"/>
      <c r="GH55" s="897"/>
      <c r="GI55" s="897"/>
      <c r="GJ55" s="897"/>
      <c r="GK55" s="897"/>
      <c r="GL55" s="897"/>
      <c r="GM55" s="897"/>
      <c r="GN55" s="897"/>
      <c r="GO55" s="897"/>
      <c r="GP55" s="897"/>
      <c r="GQ55" s="897"/>
      <c r="GR55" s="897"/>
      <c r="GS55" s="897"/>
      <c r="GT55" s="897"/>
      <c r="GU55" s="897"/>
      <c r="GV55" s="897"/>
      <c r="GW55" s="897"/>
      <c r="GX55" s="897"/>
      <c r="GY55" s="897"/>
      <c r="GZ55" s="897"/>
      <c r="HA55" s="897"/>
      <c r="HB55" s="897"/>
      <c r="HC55" s="897"/>
      <c r="HD55" s="897"/>
      <c r="HE55" s="897"/>
      <c r="HF55" s="897"/>
      <c r="HG55" s="897"/>
      <c r="HH55" s="897"/>
      <c r="HI55" s="897"/>
      <c r="HJ55" s="897"/>
      <c r="HK55" s="897"/>
      <c r="HL55" s="897"/>
      <c r="HM55" s="897"/>
      <c r="HN55" s="897"/>
      <c r="HO55" s="897"/>
      <c r="HP55" s="897"/>
    </row>
    <row r="56" spans="1:224" s="659" customFormat="1" ht="27.75" customHeight="1" x14ac:dyDescent="0.25">
      <c r="A56" s="888" t="s">
        <v>1298</v>
      </c>
      <c r="B56" s="2582"/>
      <c r="C56" s="2582"/>
      <c r="D56" s="2582"/>
      <c r="E56" s="2582"/>
      <c r="F56" s="2584"/>
      <c r="G56" s="2582"/>
      <c r="H56" s="2538" t="str">
        <f>CONCATENATE("Annual Consumption ",IF(SI_IP_Units="IP","(kWh/year)","kWh/year"))</f>
        <v>Annual Consumption (kWh/year)</v>
      </c>
      <c r="I56" s="2560"/>
      <c r="J56" s="2569" t="s">
        <v>1475</v>
      </c>
      <c r="K56" s="2571" t="s">
        <v>1474</v>
      </c>
      <c r="L56" s="2566"/>
      <c r="M56" s="2538" t="str">
        <f>CONCATENATE("Annual Consumption ",IF(SI_IP_Units="IP","(therms/year)","kWh/year"))</f>
        <v>Annual Consumption (therms/year)</v>
      </c>
      <c r="N56" s="2560"/>
      <c r="O56" s="2569" t="s">
        <v>1475</v>
      </c>
      <c r="P56" s="2571" t="s">
        <v>1474</v>
      </c>
      <c r="Q56" s="2566"/>
      <c r="R56" s="2598" t="s">
        <v>1519</v>
      </c>
      <c r="S56" s="2569" t="s">
        <v>1566</v>
      </c>
      <c r="T56" s="2569" t="s">
        <v>1520</v>
      </c>
      <c r="U56" s="2571" t="s">
        <v>1521</v>
      </c>
      <c r="V56" s="897"/>
      <c r="W56" s="897"/>
      <c r="X56" s="897"/>
      <c r="Y56" s="897"/>
      <c r="Z56" s="897"/>
      <c r="AA56" s="897"/>
      <c r="AB56" s="897"/>
      <c r="AC56" s="897"/>
      <c r="AD56" s="897"/>
      <c r="AE56" s="897"/>
      <c r="AF56" s="897"/>
      <c r="AG56" s="897"/>
      <c r="AH56" s="897"/>
      <c r="AI56" s="897"/>
      <c r="AJ56" s="897"/>
      <c r="AK56" s="897"/>
      <c r="AL56" s="897"/>
      <c r="AM56" s="897"/>
      <c r="AN56" s="897"/>
      <c r="AO56" s="897"/>
      <c r="AP56" s="897"/>
      <c r="AQ56" s="897"/>
      <c r="AR56" s="897"/>
      <c r="AS56" s="897"/>
      <c r="AT56" s="897"/>
      <c r="AU56" s="897"/>
      <c r="AV56" s="897"/>
      <c r="AW56" s="897"/>
      <c r="AX56" s="897"/>
      <c r="AY56" s="897"/>
      <c r="AZ56" s="897"/>
      <c r="BA56" s="897"/>
      <c r="BB56" s="897"/>
      <c r="BC56" s="897"/>
      <c r="BD56" s="897"/>
      <c r="BE56" s="897"/>
      <c r="BF56" s="897"/>
      <c r="BG56" s="897"/>
      <c r="BH56" s="897"/>
      <c r="BI56" s="897"/>
      <c r="BJ56" s="897"/>
      <c r="BK56" s="897"/>
      <c r="BL56" s="897"/>
      <c r="BM56" s="897"/>
      <c r="BN56" s="897"/>
      <c r="BO56" s="897"/>
      <c r="BP56" s="897"/>
      <c r="BQ56" s="897"/>
      <c r="BR56" s="897"/>
      <c r="BS56" s="897"/>
      <c r="BT56" s="897"/>
      <c r="BU56" s="897"/>
      <c r="BV56" s="897"/>
      <c r="BW56" s="897"/>
      <c r="BX56" s="897"/>
      <c r="BY56" s="897"/>
      <c r="BZ56" s="897"/>
      <c r="CA56" s="897"/>
      <c r="CB56" s="897"/>
      <c r="CC56" s="897"/>
      <c r="CD56" s="897"/>
      <c r="CE56" s="897"/>
      <c r="CF56" s="897"/>
      <c r="CG56" s="897"/>
      <c r="CH56" s="897"/>
      <c r="CI56" s="897"/>
      <c r="CJ56" s="897"/>
      <c r="CK56" s="897"/>
      <c r="CL56" s="897"/>
      <c r="CM56" s="897"/>
      <c r="CN56" s="897"/>
      <c r="CO56" s="897"/>
      <c r="CP56" s="897"/>
      <c r="CQ56" s="897"/>
      <c r="CR56" s="897"/>
      <c r="CS56" s="897"/>
      <c r="CT56" s="897"/>
      <c r="CU56" s="897"/>
      <c r="CV56" s="897"/>
      <c r="CW56" s="897"/>
      <c r="CX56" s="897"/>
      <c r="CY56" s="897"/>
      <c r="CZ56" s="897"/>
      <c r="DA56" s="897"/>
      <c r="DB56" s="897"/>
      <c r="DC56" s="897"/>
      <c r="DD56" s="897"/>
      <c r="DE56" s="897"/>
      <c r="DF56" s="897"/>
      <c r="DG56" s="897"/>
      <c r="DH56" s="897"/>
      <c r="DI56" s="897"/>
      <c r="DJ56" s="897"/>
      <c r="DK56" s="897"/>
      <c r="DL56" s="897"/>
      <c r="DM56" s="897"/>
      <c r="DN56" s="897"/>
      <c r="DO56" s="897"/>
      <c r="DP56" s="897"/>
      <c r="DQ56" s="897"/>
      <c r="DR56" s="897"/>
      <c r="DS56" s="897"/>
      <c r="DT56" s="897"/>
      <c r="DU56" s="897"/>
      <c r="DV56" s="897"/>
      <c r="DW56" s="897"/>
      <c r="DX56" s="897"/>
      <c r="DY56" s="897"/>
      <c r="DZ56" s="897"/>
      <c r="EA56" s="897"/>
      <c r="EB56" s="897"/>
      <c r="EC56" s="897"/>
      <c r="ED56" s="897"/>
      <c r="EE56" s="897"/>
      <c r="EF56" s="897"/>
      <c r="EG56" s="897"/>
      <c r="EH56" s="897"/>
      <c r="EI56" s="897"/>
      <c r="EJ56" s="897"/>
      <c r="EK56" s="897"/>
      <c r="EL56" s="897"/>
      <c r="EM56" s="897"/>
      <c r="EN56" s="897"/>
      <c r="EO56" s="897"/>
      <c r="EP56" s="897"/>
      <c r="EQ56" s="897"/>
      <c r="ER56" s="897"/>
      <c r="ES56" s="897"/>
      <c r="ET56" s="897"/>
      <c r="EU56" s="897"/>
      <c r="EV56" s="897"/>
      <c r="EW56" s="897"/>
      <c r="EX56" s="897"/>
      <c r="EY56" s="897"/>
      <c r="EZ56" s="897"/>
      <c r="FA56" s="897"/>
      <c r="FB56" s="897"/>
      <c r="FC56" s="897"/>
      <c r="FD56" s="897"/>
      <c r="FE56" s="897"/>
      <c r="FF56" s="897"/>
      <c r="FG56" s="897"/>
      <c r="FH56" s="897"/>
      <c r="FI56" s="897"/>
      <c r="FJ56" s="897"/>
      <c r="FK56" s="897"/>
      <c r="FL56" s="897"/>
      <c r="FM56" s="897"/>
      <c r="FN56" s="897"/>
      <c r="FO56" s="897"/>
      <c r="FP56" s="897"/>
      <c r="FQ56" s="897"/>
      <c r="FR56" s="897"/>
      <c r="FS56" s="897"/>
      <c r="FT56" s="897"/>
      <c r="FU56" s="897"/>
      <c r="FV56" s="897"/>
      <c r="FW56" s="897"/>
      <c r="FX56" s="897"/>
      <c r="FY56" s="897"/>
      <c r="FZ56" s="897"/>
      <c r="GA56" s="897"/>
      <c r="GB56" s="897"/>
      <c r="GC56" s="897"/>
      <c r="GD56" s="897"/>
      <c r="GE56" s="897"/>
      <c r="GF56" s="897"/>
      <c r="GG56" s="897"/>
      <c r="GH56" s="897"/>
      <c r="GI56" s="897"/>
      <c r="GJ56" s="897"/>
      <c r="GK56" s="897"/>
      <c r="GL56" s="897"/>
      <c r="GM56" s="897"/>
      <c r="GN56" s="897"/>
      <c r="GO56" s="897"/>
      <c r="GP56" s="897"/>
      <c r="GQ56" s="897"/>
      <c r="GR56" s="897"/>
      <c r="GS56" s="897"/>
      <c r="GT56" s="897"/>
      <c r="GU56" s="897"/>
      <c r="GV56" s="897"/>
      <c r="GW56" s="897"/>
      <c r="GX56" s="897"/>
      <c r="GY56" s="897"/>
      <c r="GZ56" s="897"/>
      <c r="HA56" s="897"/>
      <c r="HB56" s="897"/>
      <c r="HC56" s="897"/>
      <c r="HD56" s="897"/>
      <c r="HE56" s="897"/>
      <c r="HF56" s="897"/>
      <c r="HG56" s="897"/>
      <c r="HH56" s="897"/>
      <c r="HI56" s="897"/>
      <c r="HJ56" s="897"/>
      <c r="HK56" s="897"/>
      <c r="HL56" s="897"/>
      <c r="HM56" s="897"/>
      <c r="HN56" s="897"/>
      <c r="HO56" s="897"/>
      <c r="HP56" s="897"/>
    </row>
    <row r="57" spans="1:224" s="659" customFormat="1" ht="20.25" customHeight="1" x14ac:dyDescent="0.25">
      <c r="A57" s="888" t="s">
        <v>1298</v>
      </c>
      <c r="B57" s="2582"/>
      <c r="C57" s="2582"/>
      <c r="D57" s="2582"/>
      <c r="E57" s="2582"/>
      <c r="F57" s="2584"/>
      <c r="G57" s="2582"/>
      <c r="H57" s="1892" t="s">
        <v>347</v>
      </c>
      <c r="I57" s="1893" t="s">
        <v>348</v>
      </c>
      <c r="J57" s="2570"/>
      <c r="K57" s="2572"/>
      <c r="L57" s="2567"/>
      <c r="M57" s="1892" t="s">
        <v>347</v>
      </c>
      <c r="N57" s="1893" t="s">
        <v>348</v>
      </c>
      <c r="O57" s="2570"/>
      <c r="P57" s="2572"/>
      <c r="Q57" s="2567"/>
      <c r="R57" s="2599"/>
      <c r="S57" s="2570"/>
      <c r="T57" s="2570"/>
      <c r="U57" s="2572"/>
      <c r="V57" s="897"/>
      <c r="W57" s="897"/>
      <c r="X57" s="897"/>
      <c r="Y57" s="897"/>
      <c r="Z57" s="897"/>
      <c r="AA57" s="897"/>
      <c r="AB57" s="897"/>
      <c r="AC57" s="897"/>
      <c r="AD57" s="897"/>
      <c r="AE57" s="897"/>
      <c r="AF57" s="897"/>
      <c r="AG57" s="897"/>
      <c r="AH57" s="897"/>
      <c r="AI57" s="897"/>
      <c r="AJ57" s="897"/>
      <c r="AK57" s="897"/>
      <c r="AL57" s="897"/>
      <c r="AM57" s="897"/>
      <c r="AN57" s="897"/>
      <c r="AO57" s="897"/>
      <c r="AP57" s="897"/>
      <c r="AQ57" s="897"/>
      <c r="AR57" s="897"/>
      <c r="AS57" s="897"/>
      <c r="AT57" s="897"/>
      <c r="AU57" s="897"/>
      <c r="AV57" s="897"/>
      <c r="AW57" s="897"/>
      <c r="AX57" s="897"/>
      <c r="AY57" s="897"/>
      <c r="AZ57" s="897"/>
      <c r="BA57" s="897"/>
      <c r="BB57" s="897"/>
      <c r="BC57" s="897"/>
      <c r="BD57" s="897"/>
      <c r="BE57" s="897"/>
      <c r="BF57" s="897"/>
      <c r="BG57" s="897"/>
      <c r="BH57" s="897"/>
      <c r="BI57" s="897"/>
      <c r="BJ57" s="897"/>
      <c r="BK57" s="897"/>
      <c r="BL57" s="897"/>
      <c r="BM57" s="897"/>
      <c r="BN57" s="897"/>
      <c r="BO57" s="897"/>
      <c r="BP57" s="897"/>
      <c r="BQ57" s="897"/>
      <c r="BR57" s="897"/>
      <c r="BS57" s="897"/>
      <c r="BT57" s="897"/>
      <c r="BU57" s="897"/>
      <c r="BV57" s="897"/>
      <c r="BW57" s="897"/>
      <c r="BX57" s="897"/>
      <c r="BY57" s="897"/>
      <c r="BZ57" s="897"/>
      <c r="CA57" s="897"/>
      <c r="CB57" s="897"/>
      <c r="CC57" s="897"/>
      <c r="CD57" s="897"/>
      <c r="CE57" s="897"/>
      <c r="CF57" s="897"/>
      <c r="CG57" s="897"/>
      <c r="CH57" s="897"/>
      <c r="CI57" s="897"/>
      <c r="CJ57" s="897"/>
      <c r="CK57" s="897"/>
      <c r="CL57" s="897"/>
      <c r="CM57" s="897"/>
      <c r="CN57" s="897"/>
      <c r="CO57" s="897"/>
      <c r="CP57" s="897"/>
      <c r="CQ57" s="897"/>
      <c r="CR57" s="897"/>
      <c r="CS57" s="897"/>
      <c r="CT57" s="897"/>
      <c r="CU57" s="897"/>
      <c r="CV57" s="897"/>
      <c r="CW57" s="897"/>
      <c r="CX57" s="897"/>
      <c r="CY57" s="897"/>
      <c r="CZ57" s="897"/>
      <c r="DA57" s="897"/>
      <c r="DB57" s="897"/>
      <c r="DC57" s="897"/>
      <c r="DD57" s="897"/>
      <c r="DE57" s="897"/>
      <c r="DF57" s="897"/>
      <c r="DG57" s="897"/>
      <c r="DH57" s="897"/>
      <c r="DI57" s="897"/>
      <c r="DJ57" s="897"/>
      <c r="DK57" s="897"/>
      <c r="DL57" s="897"/>
      <c r="DM57" s="897"/>
      <c r="DN57" s="897"/>
      <c r="DO57" s="897"/>
      <c r="DP57" s="897"/>
      <c r="DQ57" s="897"/>
      <c r="DR57" s="897"/>
      <c r="DS57" s="897"/>
      <c r="DT57" s="897"/>
      <c r="DU57" s="897"/>
      <c r="DV57" s="897"/>
      <c r="DW57" s="897"/>
      <c r="DX57" s="897"/>
      <c r="DY57" s="897"/>
      <c r="DZ57" s="897"/>
      <c r="EA57" s="897"/>
      <c r="EB57" s="897"/>
      <c r="EC57" s="897"/>
      <c r="ED57" s="897"/>
      <c r="EE57" s="897"/>
      <c r="EF57" s="897"/>
      <c r="EG57" s="897"/>
      <c r="EH57" s="897"/>
      <c r="EI57" s="897"/>
      <c r="EJ57" s="897"/>
      <c r="EK57" s="897"/>
      <c r="EL57" s="897"/>
      <c r="EM57" s="897"/>
      <c r="EN57" s="897"/>
      <c r="EO57" s="897"/>
      <c r="EP57" s="897"/>
      <c r="EQ57" s="897"/>
      <c r="ER57" s="897"/>
      <c r="ES57" s="897"/>
      <c r="ET57" s="897"/>
      <c r="EU57" s="897"/>
      <c r="EV57" s="897"/>
      <c r="EW57" s="897"/>
      <c r="EX57" s="897"/>
      <c r="EY57" s="897"/>
      <c r="EZ57" s="897"/>
      <c r="FA57" s="897"/>
      <c r="FB57" s="897"/>
      <c r="FC57" s="897"/>
      <c r="FD57" s="897"/>
      <c r="FE57" s="897"/>
      <c r="FF57" s="897"/>
      <c r="FG57" s="897"/>
      <c r="FH57" s="897"/>
      <c r="FI57" s="897"/>
      <c r="FJ57" s="897"/>
      <c r="FK57" s="897"/>
      <c r="FL57" s="897"/>
      <c r="FM57" s="897"/>
      <c r="FN57" s="897"/>
      <c r="FO57" s="897"/>
      <c r="FP57" s="897"/>
      <c r="FQ57" s="897"/>
      <c r="FR57" s="897"/>
      <c r="FS57" s="897"/>
      <c r="FT57" s="897"/>
      <c r="FU57" s="897"/>
      <c r="FV57" s="897"/>
      <c r="FW57" s="897"/>
      <c r="FX57" s="897"/>
      <c r="FY57" s="897"/>
      <c r="FZ57" s="897"/>
      <c r="GA57" s="897"/>
      <c r="GB57" s="897"/>
      <c r="GC57" s="897"/>
      <c r="GD57" s="897"/>
      <c r="GE57" s="897"/>
      <c r="GF57" s="897"/>
      <c r="GG57" s="897"/>
      <c r="GH57" s="897"/>
      <c r="GI57" s="897"/>
      <c r="GJ57" s="897"/>
      <c r="GK57" s="897"/>
      <c r="GL57" s="897"/>
      <c r="GM57" s="897"/>
      <c r="GN57" s="897"/>
      <c r="GO57" s="897"/>
      <c r="GP57" s="897"/>
      <c r="GQ57" s="897"/>
      <c r="GR57" s="897"/>
      <c r="GS57" s="897"/>
      <c r="GT57" s="897"/>
      <c r="GU57" s="897"/>
      <c r="GV57" s="897"/>
      <c r="GW57" s="897"/>
      <c r="GX57" s="897"/>
      <c r="GY57" s="897"/>
      <c r="GZ57" s="897"/>
      <c r="HA57" s="897"/>
      <c r="HB57" s="897"/>
      <c r="HC57" s="897"/>
      <c r="HD57" s="897"/>
      <c r="HE57" s="897"/>
      <c r="HF57" s="897"/>
      <c r="HG57" s="897"/>
      <c r="HH57" s="897"/>
      <c r="HI57" s="897"/>
      <c r="HJ57" s="897"/>
      <c r="HK57" s="897"/>
      <c r="HL57" s="897"/>
      <c r="HM57" s="897"/>
      <c r="HN57" s="897"/>
      <c r="HO57" s="897"/>
      <c r="HP57" s="897"/>
    </row>
    <row r="58" spans="1:224" s="659" customFormat="1" ht="39" x14ac:dyDescent="0.25">
      <c r="A58" s="888" t="s">
        <v>1298</v>
      </c>
      <c r="B58" s="958" t="s">
        <v>1357</v>
      </c>
      <c r="C58" s="958" t="s">
        <v>1525</v>
      </c>
      <c r="D58" s="958" t="s">
        <v>1405</v>
      </c>
      <c r="E58" s="958" t="s">
        <v>1526</v>
      </c>
      <c r="F58" s="959" t="s">
        <v>1527</v>
      </c>
      <c r="G58" s="960"/>
      <c r="H58" s="961" t="s">
        <v>1528</v>
      </c>
      <c r="I58" s="961" t="s">
        <v>1529</v>
      </c>
      <c r="J58" s="962" t="s">
        <v>1530</v>
      </c>
      <c r="K58" s="962" t="s">
        <v>1531</v>
      </c>
      <c r="L58" s="962"/>
      <c r="M58" s="961" t="s">
        <v>1532</v>
      </c>
      <c r="N58" s="961" t="s">
        <v>1533</v>
      </c>
      <c r="O58" s="962" t="s">
        <v>1534</v>
      </c>
      <c r="P58" s="962" t="s">
        <v>1535</v>
      </c>
      <c r="Q58" s="962"/>
      <c r="R58" s="962" t="s">
        <v>1536</v>
      </c>
      <c r="S58" s="962" t="s">
        <v>1537</v>
      </c>
      <c r="T58" s="962" t="s">
        <v>1538</v>
      </c>
      <c r="U58" s="962" t="s">
        <v>1539</v>
      </c>
      <c r="V58" s="897"/>
      <c r="W58" s="897"/>
      <c r="X58" s="897"/>
      <c r="Y58" s="897"/>
      <c r="Z58" s="897"/>
      <c r="AA58" s="897"/>
      <c r="AB58" s="897"/>
      <c r="AC58" s="897"/>
      <c r="AD58" s="897"/>
      <c r="AE58" s="897"/>
      <c r="AF58" s="897"/>
      <c r="AG58" s="897"/>
      <c r="AH58" s="897"/>
      <c r="AI58" s="897"/>
      <c r="AJ58" s="897"/>
      <c r="AK58" s="897"/>
      <c r="AL58" s="897"/>
      <c r="AM58" s="897"/>
      <c r="AN58" s="897"/>
      <c r="AO58" s="897"/>
      <c r="AP58" s="897"/>
      <c r="AQ58" s="897"/>
      <c r="AR58" s="897"/>
      <c r="AS58" s="897"/>
      <c r="AT58" s="897"/>
      <c r="AU58" s="897"/>
      <c r="AV58" s="897"/>
      <c r="AW58" s="897"/>
      <c r="AX58" s="897"/>
      <c r="AY58" s="897"/>
      <c r="AZ58" s="897"/>
      <c r="BA58" s="897"/>
      <c r="BB58" s="897"/>
      <c r="BC58" s="897"/>
      <c r="BD58" s="897"/>
      <c r="BE58" s="897"/>
      <c r="BF58" s="897"/>
      <c r="BG58" s="897"/>
      <c r="BH58" s="897"/>
      <c r="BI58" s="897"/>
      <c r="BJ58" s="897"/>
      <c r="BK58" s="897"/>
      <c r="BL58" s="897"/>
      <c r="BM58" s="897"/>
      <c r="BN58" s="897"/>
      <c r="BO58" s="897"/>
      <c r="BP58" s="897"/>
      <c r="BQ58" s="897"/>
      <c r="BR58" s="897"/>
      <c r="BS58" s="897"/>
      <c r="BT58" s="897"/>
      <c r="BU58" s="897"/>
      <c r="BV58" s="897"/>
      <c r="BW58" s="897"/>
      <c r="BX58" s="897"/>
      <c r="BY58" s="897"/>
      <c r="BZ58" s="897"/>
      <c r="CA58" s="897"/>
      <c r="CB58" s="897"/>
      <c r="CC58" s="897"/>
      <c r="CD58" s="897"/>
      <c r="CE58" s="897"/>
      <c r="CF58" s="897"/>
      <c r="CG58" s="897"/>
      <c r="CH58" s="897"/>
      <c r="CI58" s="897"/>
      <c r="CJ58" s="897"/>
      <c r="CK58" s="897"/>
      <c r="CL58" s="897"/>
      <c r="CM58" s="897"/>
      <c r="CN58" s="897"/>
      <c r="CO58" s="897"/>
      <c r="CP58" s="897"/>
      <c r="CQ58" s="897"/>
      <c r="CR58" s="897"/>
      <c r="CS58" s="897"/>
      <c r="CT58" s="897"/>
      <c r="CU58" s="897"/>
      <c r="CV58" s="897"/>
      <c r="CW58" s="897"/>
      <c r="CX58" s="897"/>
      <c r="CY58" s="897"/>
      <c r="CZ58" s="897"/>
      <c r="DA58" s="897"/>
      <c r="DB58" s="897"/>
      <c r="DC58" s="897"/>
      <c r="DD58" s="897"/>
      <c r="DE58" s="897"/>
      <c r="DF58" s="897"/>
      <c r="DG58" s="897"/>
      <c r="DH58" s="897"/>
      <c r="DI58" s="897"/>
      <c r="DJ58" s="897"/>
      <c r="DK58" s="897"/>
      <c r="DL58" s="897"/>
      <c r="DM58" s="897"/>
      <c r="DN58" s="897"/>
      <c r="DO58" s="897"/>
      <c r="DP58" s="897"/>
      <c r="DQ58" s="897"/>
      <c r="DR58" s="897"/>
      <c r="DS58" s="897"/>
      <c r="DT58" s="897"/>
      <c r="DU58" s="897"/>
      <c r="DV58" s="897"/>
      <c r="DW58" s="897"/>
      <c r="DX58" s="897"/>
      <c r="DY58" s="897"/>
      <c r="DZ58" s="897"/>
      <c r="EA58" s="897"/>
      <c r="EB58" s="897"/>
      <c r="EC58" s="897"/>
      <c r="ED58" s="897"/>
      <c r="EE58" s="897"/>
      <c r="EF58" s="897"/>
      <c r="EG58" s="897"/>
      <c r="EH58" s="897"/>
      <c r="EI58" s="897"/>
      <c r="EJ58" s="897"/>
      <c r="EK58" s="897"/>
      <c r="EL58" s="897"/>
      <c r="EM58" s="897"/>
      <c r="EN58" s="897"/>
      <c r="EO58" s="897"/>
      <c r="EP58" s="897"/>
      <c r="EQ58" s="897"/>
      <c r="ER58" s="897"/>
      <c r="ES58" s="897"/>
      <c r="ET58" s="897"/>
      <c r="EU58" s="897"/>
      <c r="EV58" s="897"/>
      <c r="EW58" s="897"/>
      <c r="EX58" s="897"/>
      <c r="EY58" s="897"/>
      <c r="EZ58" s="897"/>
      <c r="FA58" s="897"/>
      <c r="FB58" s="897"/>
      <c r="FC58" s="897"/>
      <c r="FD58" s="897"/>
      <c r="FE58" s="897"/>
      <c r="FF58" s="897"/>
      <c r="FG58" s="897"/>
      <c r="FH58" s="897"/>
      <c r="FI58" s="897"/>
      <c r="FJ58" s="897"/>
      <c r="FK58" s="897"/>
      <c r="FL58" s="897"/>
      <c r="FM58" s="897"/>
      <c r="FN58" s="897"/>
      <c r="FO58" s="897"/>
      <c r="FP58" s="897"/>
      <c r="FQ58" s="897"/>
      <c r="FR58" s="897"/>
      <c r="FS58" s="897"/>
      <c r="FT58" s="897"/>
      <c r="FU58" s="897"/>
      <c r="FV58" s="897"/>
      <c r="FW58" s="897"/>
      <c r="FX58" s="897"/>
      <c r="FY58" s="897"/>
      <c r="FZ58" s="897"/>
      <c r="GA58" s="897"/>
      <c r="GB58" s="897"/>
      <c r="GC58" s="897"/>
      <c r="GD58" s="897"/>
      <c r="GE58" s="897"/>
      <c r="GF58" s="897"/>
      <c r="GG58" s="897"/>
      <c r="GH58" s="897"/>
      <c r="GI58" s="897"/>
      <c r="GJ58" s="897"/>
      <c r="GK58" s="897"/>
      <c r="GL58" s="897"/>
      <c r="GM58" s="897"/>
      <c r="GN58" s="897"/>
      <c r="GO58" s="897"/>
      <c r="GP58" s="897"/>
      <c r="GQ58" s="897"/>
      <c r="GR58" s="897"/>
      <c r="GS58" s="897"/>
      <c r="GT58" s="897"/>
      <c r="GU58" s="897"/>
      <c r="GV58" s="897"/>
      <c r="GW58" s="897"/>
      <c r="GX58" s="897"/>
      <c r="GY58" s="897"/>
      <c r="GZ58" s="897"/>
      <c r="HA58" s="897"/>
      <c r="HB58" s="897"/>
      <c r="HC58" s="897"/>
      <c r="HD58" s="897"/>
      <c r="HE58" s="897"/>
      <c r="HF58" s="897"/>
      <c r="HG58" s="897"/>
      <c r="HH58" s="897"/>
      <c r="HI58" s="897"/>
      <c r="HJ58" s="897"/>
      <c r="HK58" s="897"/>
      <c r="HL58" s="897"/>
      <c r="HM58" s="897"/>
      <c r="HN58" s="897"/>
      <c r="HO58" s="897"/>
      <c r="HP58" s="897"/>
    </row>
    <row r="59" spans="1:224" s="659" customFormat="1" hidden="1" x14ac:dyDescent="0.25">
      <c r="A59" s="888" t="s">
        <v>917</v>
      </c>
      <c r="B59" s="2129" t="str">
        <f>GI_Project_Name</f>
        <v>SEA Building Addition</v>
      </c>
      <c r="C59" s="2130"/>
      <c r="D59" s="1923"/>
      <c r="E59" s="2131"/>
      <c r="F59" s="2132">
        <f t="shared" ref="F59:F62" si="18">IFERROR(INDEX(MD_BUS_SumTable,MATCH($B59,MD_BUS_SumIndex,0),MATCH($K$21,MD_BUS_SumHdr,0)),"")</f>
        <v>0</v>
      </c>
      <c r="G59" s="2142"/>
      <c r="H59" s="2133" t="str">
        <f t="shared" ref="H59:H62" si="19">IFERROR((VLOOKUP($C59,Homes_LaundryEqpLookup,2,FALSE)+VLOOKUP($C59,Homes_LaundryEqpLookup,6,FALSE)*$F59)*VLOOKUP($C59,Homes_LaundryEqpLookup,12,FALSE),"")</f>
        <v/>
      </c>
      <c r="I59" s="2133" t="str">
        <f t="shared" ref="I59:I62" si="20">IFERROR(IF($E59="No",$H59,(VLOOKUP($C59,Homes_LaundryEqpLookup,3,FALSE)+VLOOKUP($C59,Homes_LaundryEqpLookup,6,FALSE)*$F59)*VLOOKUP($C59,Homes_LaundryEqpLookup,12,FALSE)),"")</f>
        <v/>
      </c>
      <c r="J59" s="2134" t="str">
        <f t="shared" ref="J59:J62" si="21">IFERROR(VLOOKUP($C59,Homes_LaundryEqpLookup,4,0),"")</f>
        <v/>
      </c>
      <c r="K59" s="2134" t="str">
        <f t="shared" ref="K59:K62" si="22">IFERROR(VLOOKUP($C59,Homes_LaundryEqpLookup,5,0),"")</f>
        <v/>
      </c>
      <c r="L59" s="2142"/>
      <c r="M59" s="2133" t="str">
        <f t="shared" ref="M59:M62" si="23">IFERROR((VLOOKUP($C59,Homes_LaundryEqpLookup,7,FALSE)+VLOOKUP($C59,Homes_LaundryEqpLookup,11,FALSE)*$F59)*VLOOKUP($C59,Homes_LaundryEqpLookup,12,FALSE),"")</f>
        <v/>
      </c>
      <c r="N59" s="2133" t="str">
        <f t="shared" ref="N59:N62" si="24">IFERROR(IF($E59="No",$M59,(VLOOKUP($C59,Homes_LaundryEqpLookup,8,FALSE)+VLOOKUP($C59,Homes_LaundryEqpLookup,11,FALSE)*$F59)*VLOOKUP($C59,Homes_LaundryEqpLookup,12,FALSE)),"")</f>
        <v/>
      </c>
      <c r="O59" s="2134" t="str">
        <f t="shared" ref="O59:O62" si="25">IFERROR(VLOOKUP($C59,Homes_LaundryEqpLookup,9,0),"")</f>
        <v/>
      </c>
      <c r="P59" s="2134" t="str">
        <f t="shared" ref="P59:P62" si="26">IFERROR(VLOOKUP($C59,Homes_LaundryEqpLookup,10,0),"")</f>
        <v/>
      </c>
      <c r="Q59" s="2142"/>
      <c r="R59" s="2135" t="str">
        <f t="shared" ref="R59:R62" si="27">IFERROR(VLOOKUP($C59,Homes_LaundryEqpLookup,13,0),"")</f>
        <v/>
      </c>
      <c r="S59" s="2135" t="str">
        <f t="shared" ref="S59:S62" si="28">IFERROR(VLOOKUP($C59,Homes_LaundryEqpLookup,14,0),"")</f>
        <v/>
      </c>
      <c r="T59" s="2135" t="str">
        <f>IFERROR($R59*$D59,"")</f>
        <v/>
      </c>
      <c r="U59" s="2136" t="str">
        <f>IFERROR($S59*$D59,"")</f>
        <v/>
      </c>
      <c r="V59" s="897"/>
      <c r="W59" s="897"/>
      <c r="X59" s="2276"/>
      <c r="Y59" s="897"/>
      <c r="Z59" s="897"/>
      <c r="AA59" s="897"/>
      <c r="AB59" s="897"/>
      <c r="AC59" s="897"/>
      <c r="AD59" s="897"/>
      <c r="AE59" s="897"/>
      <c r="AF59" s="897"/>
      <c r="AG59" s="897"/>
      <c r="AH59" s="897"/>
      <c r="AI59" s="897"/>
      <c r="AJ59" s="897"/>
      <c r="AK59" s="897"/>
      <c r="AL59" s="897"/>
      <c r="AM59" s="897"/>
      <c r="AN59" s="897"/>
      <c r="AO59" s="897"/>
      <c r="AP59" s="897"/>
      <c r="AQ59" s="897"/>
      <c r="AR59" s="897"/>
      <c r="AS59" s="897"/>
      <c r="AT59" s="897"/>
      <c r="AU59" s="897"/>
      <c r="AV59" s="897"/>
      <c r="AW59" s="897"/>
      <c r="AX59" s="897"/>
      <c r="AY59" s="897"/>
      <c r="AZ59" s="897"/>
      <c r="BA59" s="897"/>
      <c r="BB59" s="897"/>
      <c r="BC59" s="897"/>
      <c r="BD59" s="897"/>
      <c r="BE59" s="897"/>
      <c r="BF59" s="897"/>
      <c r="BG59" s="897"/>
      <c r="BH59" s="897"/>
      <c r="BI59" s="897"/>
      <c r="BJ59" s="897"/>
      <c r="BK59" s="897"/>
      <c r="BL59" s="897"/>
      <c r="BM59" s="897"/>
      <c r="BN59" s="897"/>
      <c r="BO59" s="897"/>
      <c r="BP59" s="897"/>
      <c r="BQ59" s="897"/>
      <c r="BR59" s="897"/>
      <c r="BS59" s="897"/>
      <c r="BT59" s="897"/>
      <c r="BU59" s="897"/>
      <c r="BV59" s="897"/>
      <c r="BW59" s="897"/>
      <c r="BX59" s="897"/>
      <c r="BY59" s="897"/>
      <c r="BZ59" s="897"/>
      <c r="CA59" s="897"/>
      <c r="CB59" s="897"/>
      <c r="CC59" s="897"/>
      <c r="CD59" s="897"/>
      <c r="CE59" s="897"/>
      <c r="CF59" s="897"/>
      <c r="CG59" s="897"/>
      <c r="CH59" s="897"/>
      <c r="CI59" s="897"/>
      <c r="CJ59" s="897"/>
      <c r="CK59" s="897"/>
      <c r="CL59" s="897"/>
      <c r="CM59" s="897"/>
      <c r="CN59" s="897"/>
      <c r="CO59" s="897"/>
      <c r="CP59" s="897"/>
      <c r="CQ59" s="897"/>
      <c r="CR59" s="897"/>
      <c r="CS59" s="897"/>
      <c r="CT59" s="897"/>
      <c r="CU59" s="897"/>
      <c r="CV59" s="897"/>
      <c r="CW59" s="897"/>
      <c r="CX59" s="897"/>
      <c r="CY59" s="897"/>
      <c r="CZ59" s="897"/>
      <c r="DA59" s="897"/>
      <c r="DB59" s="897"/>
      <c r="DC59" s="897"/>
      <c r="DD59" s="897"/>
      <c r="DE59" s="897"/>
      <c r="DF59" s="897"/>
      <c r="DG59" s="897"/>
      <c r="DH59" s="897"/>
      <c r="DI59" s="897"/>
      <c r="DJ59" s="897"/>
      <c r="DK59" s="897"/>
      <c r="DL59" s="897"/>
      <c r="DM59" s="897"/>
      <c r="DN59" s="897"/>
      <c r="DO59" s="897"/>
      <c r="DP59" s="897"/>
      <c r="DQ59" s="897"/>
      <c r="DR59" s="897"/>
      <c r="DS59" s="897"/>
      <c r="DT59" s="897"/>
      <c r="DU59" s="897"/>
      <c r="DV59" s="897"/>
      <c r="DW59" s="897"/>
      <c r="DX59" s="897"/>
      <c r="DY59" s="897"/>
      <c r="DZ59" s="897"/>
      <c r="EA59" s="897"/>
      <c r="EB59" s="897"/>
      <c r="EC59" s="897"/>
      <c r="ED59" s="897"/>
      <c r="EE59" s="897"/>
      <c r="EF59" s="897"/>
      <c r="EG59" s="897"/>
      <c r="EH59" s="897"/>
      <c r="EI59" s="897"/>
      <c r="EJ59" s="897"/>
      <c r="EK59" s="897"/>
      <c r="EL59" s="897"/>
      <c r="EM59" s="897"/>
      <c r="EN59" s="897"/>
      <c r="EO59" s="897"/>
      <c r="EP59" s="897"/>
      <c r="EQ59" s="897"/>
      <c r="ER59" s="897"/>
      <c r="ES59" s="897"/>
      <c r="ET59" s="897"/>
      <c r="EU59" s="897"/>
      <c r="EV59" s="897"/>
      <c r="EW59" s="897"/>
      <c r="EX59" s="897"/>
      <c r="EY59" s="897"/>
      <c r="EZ59" s="897"/>
      <c r="FA59" s="897"/>
      <c r="FB59" s="897"/>
      <c r="FC59" s="897"/>
      <c r="FD59" s="897"/>
      <c r="FE59" s="897"/>
      <c r="FF59" s="897"/>
      <c r="FG59" s="897"/>
      <c r="FH59" s="897"/>
      <c r="FI59" s="897"/>
      <c r="FJ59" s="897"/>
      <c r="FK59" s="897"/>
      <c r="FL59" s="897"/>
      <c r="FM59" s="897"/>
      <c r="FN59" s="897"/>
      <c r="FO59" s="897"/>
      <c r="FP59" s="897"/>
      <c r="FQ59" s="897"/>
      <c r="FR59" s="897"/>
      <c r="FS59" s="897"/>
      <c r="FT59" s="897"/>
      <c r="FU59" s="897"/>
      <c r="FV59" s="897"/>
      <c r="FW59" s="897"/>
      <c r="FX59" s="897"/>
      <c r="FY59" s="897"/>
      <c r="FZ59" s="897"/>
      <c r="GA59" s="897"/>
      <c r="GB59" s="897"/>
      <c r="GC59" s="897"/>
      <c r="GD59" s="897"/>
      <c r="GE59" s="897"/>
      <c r="GF59" s="897"/>
      <c r="GG59" s="897"/>
      <c r="GH59" s="897"/>
      <c r="GI59" s="897"/>
      <c r="GJ59" s="897"/>
      <c r="GK59" s="897"/>
      <c r="GL59" s="897"/>
      <c r="GM59" s="897"/>
      <c r="GN59" s="897"/>
      <c r="GO59" s="897"/>
      <c r="GP59" s="897"/>
      <c r="GQ59" s="897"/>
      <c r="GR59" s="897"/>
      <c r="GS59" s="897"/>
      <c r="GT59" s="897"/>
      <c r="GU59" s="897"/>
      <c r="GV59" s="897"/>
      <c r="GW59" s="897"/>
      <c r="GX59" s="897"/>
      <c r="GY59" s="897"/>
      <c r="GZ59" s="897"/>
      <c r="HA59" s="897"/>
      <c r="HB59" s="897"/>
      <c r="HC59" s="897"/>
      <c r="HD59" s="897"/>
      <c r="HE59" s="897"/>
      <c r="HF59" s="897"/>
      <c r="HG59" s="897"/>
      <c r="HH59" s="897"/>
      <c r="HI59" s="897"/>
      <c r="HJ59" s="897"/>
      <c r="HK59" s="897"/>
      <c r="HL59" s="897"/>
      <c r="HM59" s="897"/>
      <c r="HN59" s="897"/>
      <c r="HO59" s="897"/>
      <c r="HP59" s="897"/>
    </row>
    <row r="60" spans="1:224" s="659" customFormat="1" x14ac:dyDescent="0.25">
      <c r="A60" s="888"/>
      <c r="B60" s="2084" t="str">
        <f>GI_Project_Name</f>
        <v>SEA Building Addition</v>
      </c>
      <c r="C60" s="1744"/>
      <c r="D60" s="1741"/>
      <c r="E60" s="2086"/>
      <c r="F60" s="1743">
        <f t="shared" si="18"/>
        <v>0</v>
      </c>
      <c r="G60" s="2143"/>
      <c r="H60" s="2090" t="str">
        <f t="shared" si="19"/>
        <v/>
      </c>
      <c r="I60" s="2090" t="str">
        <f t="shared" si="20"/>
        <v/>
      </c>
      <c r="J60" s="2089" t="str">
        <f t="shared" si="21"/>
        <v/>
      </c>
      <c r="K60" s="2089" t="str">
        <f t="shared" si="22"/>
        <v/>
      </c>
      <c r="L60" s="2143"/>
      <c r="M60" s="2090" t="str">
        <f t="shared" si="23"/>
        <v/>
      </c>
      <c r="N60" s="2090" t="str">
        <f t="shared" si="24"/>
        <v/>
      </c>
      <c r="O60" s="2089" t="str">
        <f t="shared" si="25"/>
        <v/>
      </c>
      <c r="P60" s="2089" t="str">
        <f t="shared" si="26"/>
        <v/>
      </c>
      <c r="Q60" s="2143"/>
      <c r="R60" s="2137" t="str">
        <f t="shared" si="27"/>
        <v/>
      </c>
      <c r="S60" s="2137" t="str">
        <f t="shared" si="28"/>
        <v/>
      </c>
      <c r="T60" s="2137" t="str">
        <f>IFERROR($R60*$D60,"")</f>
        <v/>
      </c>
      <c r="U60" s="2138" t="str">
        <f>IFERROR($S60*$D60,"")</f>
        <v/>
      </c>
      <c r="V60" s="1101"/>
      <c r="W60" s="1101"/>
      <c r="X60" s="2276"/>
      <c r="Y60" s="1101"/>
      <c r="Z60" s="1101"/>
      <c r="AA60" s="1101"/>
      <c r="AB60" s="1101"/>
      <c r="AC60" s="1101"/>
      <c r="AD60" s="1101"/>
      <c r="AE60" s="1101"/>
      <c r="AF60" s="1101"/>
      <c r="AG60" s="1101"/>
      <c r="AH60" s="1101"/>
      <c r="AI60" s="1101"/>
      <c r="AJ60" s="1101"/>
      <c r="AK60" s="1101"/>
      <c r="AL60" s="1101"/>
      <c r="AM60" s="1101"/>
      <c r="AN60" s="1101"/>
      <c r="AO60" s="1101"/>
      <c r="AP60" s="1101"/>
      <c r="AQ60" s="1101"/>
      <c r="AR60" s="1101"/>
      <c r="AS60" s="1101"/>
      <c r="AT60" s="1101"/>
      <c r="AU60" s="1101"/>
      <c r="AV60" s="1101"/>
      <c r="AW60" s="1101"/>
      <c r="AX60" s="1101"/>
      <c r="AY60" s="1101"/>
      <c r="AZ60" s="1101"/>
      <c r="BA60" s="1101"/>
      <c r="BB60" s="1101"/>
      <c r="BC60" s="1101"/>
      <c r="BD60" s="1101"/>
      <c r="BE60" s="1101"/>
      <c r="BF60" s="1101"/>
      <c r="BG60" s="1101"/>
      <c r="BH60" s="1101"/>
      <c r="BI60" s="1101"/>
      <c r="BJ60" s="1101"/>
      <c r="BK60" s="1101"/>
      <c r="BL60" s="1101"/>
      <c r="BM60" s="1101"/>
      <c r="BN60" s="1101"/>
      <c r="BO60" s="1101"/>
      <c r="BP60" s="1101"/>
      <c r="BQ60" s="1101"/>
      <c r="BR60" s="1101"/>
      <c r="BS60" s="1101"/>
      <c r="BT60" s="1101"/>
      <c r="BU60" s="1101"/>
      <c r="BV60" s="1101"/>
      <c r="BW60" s="1101"/>
      <c r="BX60" s="1101"/>
      <c r="BY60" s="1101"/>
      <c r="BZ60" s="1101"/>
      <c r="CA60" s="1101"/>
      <c r="CB60" s="1101"/>
      <c r="CC60" s="1101"/>
      <c r="CD60" s="1101"/>
      <c r="CE60" s="1101"/>
      <c r="CF60" s="1101"/>
      <c r="CG60" s="1101"/>
      <c r="CH60" s="1101"/>
      <c r="CI60" s="1101"/>
      <c r="CJ60" s="1101"/>
      <c r="CK60" s="1101"/>
      <c r="CL60" s="1101"/>
      <c r="CM60" s="1101"/>
      <c r="CN60" s="1101"/>
      <c r="CO60" s="1101"/>
      <c r="CP60" s="1101"/>
      <c r="CQ60" s="1101"/>
      <c r="CR60" s="1101"/>
      <c r="CS60" s="1101"/>
      <c r="CT60" s="1101"/>
      <c r="CU60" s="1101"/>
      <c r="CV60" s="1101"/>
      <c r="CW60" s="1101"/>
      <c r="CX60" s="1101"/>
      <c r="CY60" s="1101"/>
      <c r="CZ60" s="1101"/>
      <c r="DA60" s="1101"/>
      <c r="DB60" s="1101"/>
      <c r="DC60" s="1101"/>
      <c r="DD60" s="1101"/>
      <c r="DE60" s="1101"/>
      <c r="DF60" s="1101"/>
      <c r="DG60" s="1101"/>
      <c r="DH60" s="1101"/>
      <c r="DI60" s="1101"/>
      <c r="DJ60" s="1101"/>
      <c r="DK60" s="1101"/>
      <c r="DL60" s="1101"/>
      <c r="DM60" s="1101"/>
      <c r="DN60" s="1101"/>
      <c r="DO60" s="1101"/>
      <c r="DP60" s="1101"/>
      <c r="DQ60" s="1101"/>
      <c r="DR60" s="1101"/>
      <c r="DS60" s="1101"/>
      <c r="DT60" s="1101"/>
      <c r="DU60" s="1101"/>
      <c r="DV60" s="1101"/>
      <c r="DW60" s="1101"/>
      <c r="DX60" s="1101"/>
      <c r="DY60" s="1101"/>
      <c r="DZ60" s="1101"/>
      <c r="EA60" s="1101"/>
      <c r="EB60" s="1101"/>
      <c r="EC60" s="1101"/>
      <c r="ED60" s="1101"/>
      <c r="EE60" s="1101"/>
      <c r="EF60" s="1101"/>
      <c r="EG60" s="1101"/>
      <c r="EH60" s="1101"/>
      <c r="EI60" s="1101"/>
      <c r="EJ60" s="1101"/>
      <c r="EK60" s="1101"/>
      <c r="EL60" s="1101"/>
      <c r="EM60" s="1101"/>
      <c r="EN60" s="1101"/>
      <c r="EO60" s="1101"/>
      <c r="EP60" s="1101"/>
      <c r="EQ60" s="1101"/>
      <c r="ER60" s="1101"/>
      <c r="ES60" s="1101"/>
      <c r="ET60" s="1101"/>
      <c r="EU60" s="1101"/>
      <c r="EV60" s="1101"/>
      <c r="EW60" s="1101"/>
      <c r="EX60" s="1101"/>
      <c r="EY60" s="1101"/>
      <c r="EZ60" s="1101"/>
      <c r="FA60" s="1101"/>
      <c r="FB60" s="1101"/>
      <c r="FC60" s="1101"/>
      <c r="FD60" s="1101"/>
      <c r="FE60" s="1101"/>
      <c r="FF60" s="1101"/>
      <c r="FG60" s="1101"/>
      <c r="FH60" s="1101"/>
      <c r="FI60" s="1101"/>
      <c r="FJ60" s="1101"/>
      <c r="FK60" s="1101"/>
      <c r="FL60" s="1101"/>
      <c r="FM60" s="1101"/>
      <c r="FN60" s="1101"/>
      <c r="FO60" s="1101"/>
      <c r="FP60" s="1101"/>
      <c r="FQ60" s="1101"/>
      <c r="FR60" s="1101"/>
      <c r="FS60" s="1101"/>
      <c r="FT60" s="1101"/>
      <c r="FU60" s="1101"/>
      <c r="FV60" s="1101"/>
      <c r="FW60" s="1101"/>
      <c r="FX60" s="1101"/>
      <c r="FY60" s="1101"/>
      <c r="FZ60" s="1101"/>
      <c r="GA60" s="1101"/>
      <c r="GB60" s="1101"/>
      <c r="GC60" s="1101"/>
      <c r="GD60" s="1101"/>
      <c r="GE60" s="1101"/>
      <c r="GF60" s="1101"/>
      <c r="GG60" s="1101"/>
      <c r="GH60" s="1101"/>
      <c r="GI60" s="1101"/>
      <c r="GJ60" s="1101"/>
      <c r="GK60" s="1101"/>
      <c r="GL60" s="1101"/>
      <c r="GM60" s="1101"/>
      <c r="GN60" s="1101"/>
      <c r="GO60" s="1101"/>
      <c r="GP60" s="1101"/>
      <c r="GQ60" s="1101"/>
      <c r="GR60" s="1101"/>
      <c r="GS60" s="1101"/>
      <c r="GT60" s="1101"/>
      <c r="GU60" s="1101"/>
      <c r="GV60" s="1101"/>
      <c r="GW60" s="1101"/>
      <c r="GX60" s="1101"/>
      <c r="GY60" s="1101"/>
      <c r="GZ60" s="1101"/>
      <c r="HA60" s="1101"/>
      <c r="HB60" s="1101"/>
      <c r="HC60" s="1101"/>
      <c r="HD60" s="1101"/>
      <c r="HE60" s="1101"/>
      <c r="HF60" s="1101"/>
      <c r="HG60" s="1101"/>
      <c r="HH60" s="1101"/>
      <c r="HI60" s="1101"/>
      <c r="HJ60" s="1101"/>
      <c r="HK60" s="1101"/>
      <c r="HL60" s="1101"/>
      <c r="HM60" s="1101"/>
      <c r="HN60" s="1101"/>
      <c r="HO60" s="1101"/>
      <c r="HP60" s="1101"/>
    </row>
    <row r="61" spans="1:224" s="659" customFormat="1" ht="15" customHeight="1" x14ac:dyDescent="0.25">
      <c r="A61" s="992"/>
      <c r="B61" s="2084" t="str">
        <f>GI_Project_Name</f>
        <v>SEA Building Addition</v>
      </c>
      <c r="C61" s="1744"/>
      <c r="D61" s="1741"/>
      <c r="E61" s="2086"/>
      <c r="F61" s="1743">
        <f t="shared" si="18"/>
        <v>0</v>
      </c>
      <c r="G61" s="2143"/>
      <c r="H61" s="2090" t="str">
        <f t="shared" si="19"/>
        <v/>
      </c>
      <c r="I61" s="2090" t="str">
        <f t="shared" si="20"/>
        <v/>
      </c>
      <c r="J61" s="2089" t="str">
        <f t="shared" si="21"/>
        <v/>
      </c>
      <c r="K61" s="2089" t="str">
        <f t="shared" si="22"/>
        <v/>
      </c>
      <c r="L61" s="2143"/>
      <c r="M61" s="2090" t="str">
        <f t="shared" si="23"/>
        <v/>
      </c>
      <c r="N61" s="2090" t="str">
        <f t="shared" si="24"/>
        <v/>
      </c>
      <c r="O61" s="2089" t="str">
        <f t="shared" si="25"/>
        <v/>
      </c>
      <c r="P61" s="2089" t="str">
        <f t="shared" si="26"/>
        <v/>
      </c>
      <c r="Q61" s="2143"/>
      <c r="R61" s="2137" t="str">
        <f t="shared" si="27"/>
        <v/>
      </c>
      <c r="S61" s="2137" t="str">
        <f t="shared" si="28"/>
        <v/>
      </c>
      <c r="T61" s="2137" t="str">
        <f>IFERROR($R61*$D61,"")</f>
        <v/>
      </c>
      <c r="U61" s="2138" t="str">
        <f>IFERROR($S61*$D61,"")</f>
        <v/>
      </c>
      <c r="V61" s="897"/>
      <c r="W61" s="897"/>
      <c r="X61" s="2276"/>
      <c r="Y61" s="897"/>
      <c r="Z61" s="897"/>
      <c r="AA61" s="897"/>
      <c r="AB61" s="897"/>
      <c r="AC61" s="897"/>
      <c r="AD61" s="897"/>
      <c r="AE61" s="897"/>
      <c r="AF61" s="897"/>
      <c r="AG61" s="897"/>
      <c r="AH61" s="897"/>
      <c r="AI61" s="897"/>
      <c r="AJ61" s="897"/>
      <c r="AK61" s="897"/>
      <c r="AL61" s="897"/>
      <c r="AM61" s="897"/>
      <c r="AN61" s="897"/>
      <c r="AO61" s="897"/>
      <c r="AP61" s="897"/>
      <c r="AQ61" s="897"/>
      <c r="AR61" s="897"/>
      <c r="AS61" s="897"/>
      <c r="AT61" s="897"/>
      <c r="AU61" s="897"/>
      <c r="AV61" s="897"/>
      <c r="AW61" s="897"/>
      <c r="AX61" s="897"/>
      <c r="AY61" s="897"/>
      <c r="AZ61" s="897"/>
      <c r="BA61" s="897"/>
      <c r="BB61" s="897"/>
      <c r="BC61" s="897"/>
      <c r="BD61" s="897"/>
      <c r="BE61" s="897"/>
      <c r="BF61" s="897"/>
      <c r="BG61" s="897"/>
      <c r="BH61" s="897"/>
      <c r="BI61" s="897"/>
      <c r="BJ61" s="897"/>
      <c r="BK61" s="897"/>
      <c r="BL61" s="897"/>
      <c r="BM61" s="897"/>
      <c r="BN61" s="897"/>
      <c r="BO61" s="897"/>
      <c r="BP61" s="897"/>
      <c r="BQ61" s="897"/>
      <c r="BR61" s="897"/>
      <c r="BS61" s="897"/>
      <c r="BT61" s="897"/>
      <c r="BU61" s="897"/>
      <c r="BV61" s="897"/>
      <c r="BW61" s="897"/>
      <c r="BX61" s="897"/>
      <c r="BY61" s="897"/>
      <c r="BZ61" s="897"/>
      <c r="CA61" s="897"/>
      <c r="CB61" s="897"/>
      <c r="CC61" s="897"/>
      <c r="CD61" s="897"/>
      <c r="CE61" s="897"/>
      <c r="CF61" s="897"/>
      <c r="CG61" s="897"/>
      <c r="CH61" s="897"/>
      <c r="CI61" s="897"/>
      <c r="CJ61" s="897"/>
      <c r="CK61" s="897"/>
      <c r="CL61" s="897"/>
      <c r="CM61" s="897"/>
      <c r="CN61" s="897"/>
      <c r="CO61" s="897"/>
      <c r="CP61" s="897"/>
      <c r="CQ61" s="897"/>
      <c r="CR61" s="897"/>
      <c r="CS61" s="897"/>
      <c r="CT61" s="897"/>
      <c r="CU61" s="897"/>
      <c r="CV61" s="897"/>
      <c r="CW61" s="897"/>
      <c r="CX61" s="897"/>
      <c r="CY61" s="897"/>
      <c r="CZ61" s="897"/>
      <c r="DA61" s="897"/>
      <c r="DB61" s="897"/>
      <c r="DC61" s="897"/>
      <c r="DD61" s="897"/>
      <c r="DE61" s="897"/>
      <c r="DF61" s="897"/>
      <c r="DG61" s="897"/>
      <c r="DH61" s="897"/>
      <c r="DI61" s="897"/>
      <c r="DJ61" s="897"/>
      <c r="DK61" s="897"/>
      <c r="DL61" s="897"/>
      <c r="DM61" s="897"/>
      <c r="DN61" s="897"/>
      <c r="DO61" s="897"/>
      <c r="DP61" s="897"/>
      <c r="DQ61" s="897"/>
      <c r="DR61" s="897"/>
      <c r="DS61" s="897"/>
      <c r="DT61" s="897"/>
      <c r="DU61" s="897"/>
      <c r="DV61" s="897"/>
      <c r="DW61" s="897"/>
      <c r="DX61" s="897"/>
      <c r="DY61" s="897"/>
      <c r="DZ61" s="897"/>
      <c r="EA61" s="897"/>
      <c r="EB61" s="897"/>
      <c r="EC61" s="897"/>
      <c r="ED61" s="897"/>
      <c r="EE61" s="897"/>
      <c r="EF61" s="897"/>
      <c r="EG61" s="897"/>
      <c r="EH61" s="897"/>
      <c r="EI61" s="897"/>
      <c r="EJ61" s="897"/>
      <c r="EK61" s="897"/>
      <c r="EL61" s="897"/>
      <c r="EM61" s="897"/>
      <c r="EN61" s="897"/>
      <c r="EO61" s="897"/>
      <c r="EP61" s="897"/>
      <c r="EQ61" s="897"/>
      <c r="ER61" s="897"/>
      <c r="ES61" s="897"/>
      <c r="ET61" s="897"/>
      <c r="EU61" s="897"/>
      <c r="EV61" s="897"/>
      <c r="EW61" s="897"/>
      <c r="EX61" s="897"/>
      <c r="EY61" s="897"/>
      <c r="EZ61" s="897"/>
      <c r="FA61" s="897"/>
      <c r="FB61" s="897"/>
      <c r="FC61" s="897"/>
      <c r="FD61" s="897"/>
      <c r="FE61" s="897"/>
      <c r="FF61" s="897"/>
      <c r="FG61" s="897"/>
      <c r="FH61" s="897"/>
      <c r="FI61" s="897"/>
      <c r="FJ61" s="897"/>
      <c r="FK61" s="897"/>
      <c r="FL61" s="897"/>
      <c r="FM61" s="897"/>
      <c r="FN61" s="897"/>
      <c r="FO61" s="897"/>
      <c r="FP61" s="897"/>
      <c r="FQ61" s="897"/>
      <c r="FR61" s="897"/>
      <c r="FS61" s="897"/>
      <c r="FT61" s="897"/>
      <c r="FU61" s="897"/>
      <c r="FV61" s="897"/>
      <c r="FW61" s="897"/>
      <c r="FX61" s="897"/>
      <c r="FY61" s="897"/>
      <c r="FZ61" s="897"/>
      <c r="GA61" s="897"/>
      <c r="GB61" s="897"/>
      <c r="GC61" s="897"/>
      <c r="GD61" s="897"/>
      <c r="GE61" s="897"/>
      <c r="GF61" s="897"/>
      <c r="GG61" s="897"/>
      <c r="GH61" s="897"/>
      <c r="GI61" s="897"/>
      <c r="GJ61" s="897"/>
      <c r="GK61" s="897"/>
      <c r="GL61" s="897"/>
      <c r="GM61" s="897"/>
      <c r="GN61" s="897"/>
      <c r="GO61" s="897"/>
      <c r="GP61" s="897"/>
      <c r="GQ61" s="897"/>
      <c r="GR61" s="897"/>
      <c r="GS61" s="897"/>
      <c r="GT61" s="897"/>
      <c r="GU61" s="897"/>
      <c r="GV61" s="897"/>
      <c r="GW61" s="897"/>
      <c r="GX61" s="897"/>
      <c r="GY61" s="897"/>
      <c r="GZ61" s="897"/>
      <c r="HA61" s="897"/>
      <c r="HB61" s="897"/>
      <c r="HC61" s="897"/>
      <c r="HD61" s="897"/>
      <c r="HE61" s="897"/>
      <c r="HF61" s="897"/>
      <c r="HG61" s="897"/>
      <c r="HH61" s="897"/>
      <c r="HI61" s="897"/>
      <c r="HJ61" s="897"/>
      <c r="HK61" s="897"/>
      <c r="HL61" s="897"/>
      <c r="HM61" s="897"/>
      <c r="HN61" s="897"/>
      <c r="HO61" s="897"/>
      <c r="HP61" s="897"/>
    </row>
    <row r="62" spans="1:224" s="659" customFormat="1" ht="15" customHeight="1" x14ac:dyDescent="0.25">
      <c r="A62" s="992"/>
      <c r="B62" s="2098" t="str">
        <f>GI_Project_Name</f>
        <v>SEA Building Addition</v>
      </c>
      <c r="C62" s="1959"/>
      <c r="D62" s="1742"/>
      <c r="E62" s="2100"/>
      <c r="F62" s="2139">
        <f t="shared" si="18"/>
        <v>0</v>
      </c>
      <c r="G62" s="2144"/>
      <c r="H62" s="2104" t="str">
        <f t="shared" si="19"/>
        <v/>
      </c>
      <c r="I62" s="2104" t="str">
        <f t="shared" si="20"/>
        <v/>
      </c>
      <c r="J62" s="2103" t="str">
        <f t="shared" si="21"/>
        <v/>
      </c>
      <c r="K62" s="2103" t="str">
        <f t="shared" si="22"/>
        <v/>
      </c>
      <c r="L62" s="2144"/>
      <c r="M62" s="2104" t="str">
        <f t="shared" si="23"/>
        <v/>
      </c>
      <c r="N62" s="2104" t="str">
        <f t="shared" si="24"/>
        <v/>
      </c>
      <c r="O62" s="2103" t="str">
        <f t="shared" si="25"/>
        <v/>
      </c>
      <c r="P62" s="2103" t="str">
        <f t="shared" si="26"/>
        <v/>
      </c>
      <c r="Q62" s="2144"/>
      <c r="R62" s="2140" t="str">
        <f t="shared" si="27"/>
        <v/>
      </c>
      <c r="S62" s="2140" t="str">
        <f t="shared" si="28"/>
        <v/>
      </c>
      <c r="T62" s="2140" t="str">
        <f t="shared" ref="T62" si="29">IFERROR($R62*$D62,"")</f>
        <v/>
      </c>
      <c r="U62" s="2141" t="str">
        <f t="shared" ref="U62" si="30">IFERROR($S62*$D62,"")</f>
        <v/>
      </c>
      <c r="V62" s="897"/>
      <c r="W62" s="897"/>
      <c r="X62" s="2276"/>
      <c r="Y62" s="897"/>
      <c r="Z62" s="897"/>
      <c r="AA62" s="897"/>
      <c r="AB62" s="897"/>
      <c r="AC62" s="897"/>
      <c r="AD62" s="897"/>
      <c r="AE62" s="897"/>
      <c r="AF62" s="897"/>
      <c r="AG62" s="897"/>
      <c r="AH62" s="897"/>
      <c r="AI62" s="897"/>
      <c r="AJ62" s="897"/>
      <c r="AK62" s="897"/>
      <c r="AL62" s="897"/>
      <c r="AM62" s="897"/>
      <c r="AN62" s="897"/>
      <c r="AO62" s="897"/>
      <c r="AP62" s="897"/>
      <c r="AQ62" s="897"/>
      <c r="AR62" s="897"/>
      <c r="AS62" s="897"/>
      <c r="AT62" s="897"/>
      <c r="AU62" s="897"/>
      <c r="AV62" s="897"/>
      <c r="AW62" s="897"/>
      <c r="AX62" s="897"/>
      <c r="AY62" s="897"/>
      <c r="AZ62" s="897"/>
      <c r="BA62" s="897"/>
      <c r="BB62" s="897"/>
      <c r="BC62" s="897"/>
      <c r="BD62" s="897"/>
      <c r="BE62" s="897"/>
      <c r="BF62" s="897"/>
      <c r="BG62" s="897"/>
      <c r="BH62" s="897"/>
      <c r="BI62" s="897"/>
      <c r="BJ62" s="897"/>
      <c r="BK62" s="897"/>
      <c r="BL62" s="897"/>
      <c r="BM62" s="897"/>
      <c r="BN62" s="897"/>
      <c r="BO62" s="897"/>
      <c r="BP62" s="897"/>
      <c r="BQ62" s="897"/>
      <c r="BR62" s="897"/>
      <c r="BS62" s="897"/>
      <c r="BT62" s="897"/>
      <c r="BU62" s="897"/>
      <c r="BV62" s="897"/>
      <c r="BW62" s="897"/>
      <c r="BX62" s="897"/>
      <c r="BY62" s="897"/>
      <c r="BZ62" s="897"/>
      <c r="CA62" s="897"/>
      <c r="CB62" s="897"/>
      <c r="CC62" s="897"/>
      <c r="CD62" s="897"/>
      <c r="CE62" s="897"/>
      <c r="CF62" s="897"/>
      <c r="CG62" s="897"/>
      <c r="CH62" s="897"/>
      <c r="CI62" s="897"/>
      <c r="CJ62" s="897"/>
      <c r="CK62" s="897"/>
      <c r="CL62" s="897"/>
      <c r="CM62" s="897"/>
      <c r="CN62" s="897"/>
      <c r="CO62" s="897"/>
      <c r="CP62" s="897"/>
      <c r="CQ62" s="897"/>
      <c r="CR62" s="897"/>
      <c r="CS62" s="897"/>
      <c r="CT62" s="897"/>
      <c r="CU62" s="897"/>
      <c r="CV62" s="897"/>
      <c r="CW62" s="897"/>
      <c r="CX62" s="897"/>
      <c r="CY62" s="897"/>
      <c r="CZ62" s="897"/>
      <c r="DA62" s="897"/>
      <c r="DB62" s="897"/>
      <c r="DC62" s="897"/>
      <c r="DD62" s="897"/>
      <c r="DE62" s="897"/>
      <c r="DF62" s="897"/>
      <c r="DG62" s="897"/>
      <c r="DH62" s="897"/>
      <c r="DI62" s="897"/>
      <c r="DJ62" s="897"/>
      <c r="DK62" s="897"/>
      <c r="DL62" s="897"/>
      <c r="DM62" s="897"/>
      <c r="DN62" s="897"/>
      <c r="DO62" s="897"/>
      <c r="DP62" s="897"/>
      <c r="DQ62" s="897"/>
      <c r="DR62" s="897"/>
      <c r="DS62" s="897"/>
      <c r="DT62" s="897"/>
      <c r="DU62" s="897"/>
      <c r="DV62" s="897"/>
      <c r="DW62" s="897"/>
      <c r="DX62" s="897"/>
      <c r="DY62" s="897"/>
      <c r="DZ62" s="897"/>
      <c r="EA62" s="897"/>
      <c r="EB62" s="897"/>
      <c r="EC62" s="897"/>
      <c r="ED62" s="897"/>
      <c r="EE62" s="897"/>
      <c r="EF62" s="897"/>
      <c r="EG62" s="897"/>
      <c r="EH62" s="897"/>
      <c r="EI62" s="897"/>
      <c r="EJ62" s="897"/>
      <c r="EK62" s="897"/>
      <c r="EL62" s="897"/>
      <c r="EM62" s="897"/>
      <c r="EN62" s="897"/>
      <c r="EO62" s="897"/>
      <c r="EP62" s="897"/>
      <c r="EQ62" s="897"/>
      <c r="ER62" s="897"/>
      <c r="ES62" s="897"/>
      <c r="ET62" s="897"/>
      <c r="EU62" s="897"/>
      <c r="EV62" s="897"/>
      <c r="EW62" s="897"/>
      <c r="EX62" s="897"/>
      <c r="EY62" s="897"/>
      <c r="EZ62" s="897"/>
      <c r="FA62" s="897"/>
      <c r="FB62" s="897"/>
      <c r="FC62" s="897"/>
      <c r="FD62" s="897"/>
      <c r="FE62" s="897"/>
      <c r="FF62" s="897"/>
      <c r="FG62" s="897"/>
      <c r="FH62" s="897"/>
      <c r="FI62" s="897"/>
      <c r="FJ62" s="897"/>
      <c r="FK62" s="897"/>
      <c r="FL62" s="897"/>
      <c r="FM62" s="897"/>
      <c r="FN62" s="897"/>
      <c r="FO62" s="897"/>
      <c r="FP62" s="897"/>
      <c r="FQ62" s="897"/>
      <c r="FR62" s="897"/>
      <c r="FS62" s="897"/>
      <c r="FT62" s="897"/>
      <c r="FU62" s="897"/>
      <c r="FV62" s="897"/>
      <c r="FW62" s="897"/>
      <c r="FX62" s="897"/>
      <c r="FY62" s="897"/>
      <c r="FZ62" s="897"/>
      <c r="GA62" s="897"/>
      <c r="GB62" s="897"/>
      <c r="GC62" s="897"/>
      <c r="GD62" s="897"/>
      <c r="GE62" s="897"/>
      <c r="GF62" s="897"/>
      <c r="GG62" s="897"/>
      <c r="GH62" s="897"/>
      <c r="GI62" s="897"/>
      <c r="GJ62" s="897"/>
      <c r="GK62" s="897"/>
      <c r="GL62" s="897"/>
      <c r="GM62" s="897"/>
      <c r="GN62" s="897"/>
      <c r="GO62" s="897"/>
      <c r="GP62" s="897"/>
      <c r="GQ62" s="897"/>
      <c r="GR62" s="897"/>
      <c r="GS62" s="897"/>
      <c r="GT62" s="897"/>
      <c r="GU62" s="897"/>
      <c r="GV62" s="897"/>
      <c r="GW62" s="897"/>
      <c r="GX62" s="897"/>
      <c r="GY62" s="897"/>
      <c r="GZ62" s="897"/>
      <c r="HA62" s="897"/>
      <c r="HB62" s="897"/>
      <c r="HC62" s="897"/>
      <c r="HD62" s="897"/>
      <c r="HE62" s="897"/>
      <c r="HF62" s="897"/>
      <c r="HG62" s="897"/>
      <c r="HH62" s="897"/>
      <c r="HI62" s="897"/>
      <c r="HJ62" s="897"/>
      <c r="HK62" s="897"/>
      <c r="HL62" s="897"/>
      <c r="HM62" s="897"/>
      <c r="HN62" s="897"/>
      <c r="HO62" s="897"/>
      <c r="HP62" s="897"/>
    </row>
    <row r="63" spans="1:224" s="659" customFormat="1" x14ac:dyDescent="0.25">
      <c r="A63" s="888" t="s">
        <v>1298</v>
      </c>
      <c r="B63" s="897"/>
      <c r="C63" s="897"/>
      <c r="D63" s="897"/>
      <c r="E63" s="897"/>
      <c r="F63" s="897"/>
      <c r="G63" s="897"/>
      <c r="H63" s="897"/>
      <c r="I63" s="897"/>
      <c r="J63" s="897"/>
      <c r="K63" s="897"/>
      <c r="L63" s="897"/>
      <c r="M63" s="897"/>
      <c r="N63" s="897"/>
      <c r="O63" s="897"/>
      <c r="P63" s="897"/>
      <c r="Q63" s="897"/>
      <c r="R63" s="897"/>
      <c r="S63" s="897"/>
      <c r="T63" s="897"/>
      <c r="U63" s="897"/>
      <c r="V63" s="897"/>
      <c r="W63" s="897"/>
      <c r="X63" s="897"/>
      <c r="Y63" s="897"/>
      <c r="Z63" s="897"/>
      <c r="AA63" s="897"/>
      <c r="AB63" s="897"/>
      <c r="AC63" s="897"/>
      <c r="AD63" s="897"/>
      <c r="AE63" s="897"/>
      <c r="AF63" s="897"/>
      <c r="AG63" s="897"/>
      <c r="AH63" s="897"/>
      <c r="AI63" s="897"/>
      <c r="AJ63" s="897"/>
      <c r="AK63" s="897"/>
      <c r="AL63" s="897"/>
      <c r="AM63" s="897"/>
      <c r="AN63" s="897"/>
      <c r="AO63" s="897"/>
      <c r="AP63" s="897"/>
      <c r="AQ63" s="897"/>
      <c r="AR63" s="897"/>
      <c r="AS63" s="897"/>
      <c r="AT63" s="897"/>
      <c r="AU63" s="897"/>
      <c r="AV63" s="897"/>
      <c r="AW63" s="897"/>
      <c r="AX63" s="897"/>
      <c r="AY63" s="897"/>
      <c r="AZ63" s="897"/>
      <c r="BA63" s="897"/>
      <c r="BB63" s="897"/>
      <c r="BC63" s="897"/>
      <c r="BD63" s="897"/>
      <c r="BE63" s="897"/>
      <c r="BF63" s="897"/>
      <c r="BG63" s="897"/>
      <c r="BH63" s="897"/>
      <c r="BI63" s="897"/>
      <c r="BJ63" s="897"/>
      <c r="BK63" s="897"/>
      <c r="BL63" s="897"/>
      <c r="BM63" s="897"/>
      <c r="BN63" s="897"/>
      <c r="BO63" s="897"/>
      <c r="BP63" s="897"/>
      <c r="BQ63" s="897"/>
      <c r="BR63" s="897"/>
      <c r="BS63" s="897"/>
      <c r="BT63" s="897"/>
      <c r="BU63" s="897"/>
      <c r="BV63" s="897"/>
      <c r="BW63" s="897"/>
      <c r="BX63" s="897"/>
      <c r="BY63" s="897"/>
      <c r="BZ63" s="897"/>
      <c r="CA63" s="897"/>
      <c r="CB63" s="897"/>
      <c r="CC63" s="897"/>
      <c r="CD63" s="897"/>
      <c r="CE63" s="897"/>
      <c r="CF63" s="897"/>
      <c r="CG63" s="897"/>
      <c r="CH63" s="897"/>
      <c r="CI63" s="897"/>
      <c r="CJ63" s="897"/>
      <c r="CK63" s="897"/>
      <c r="CL63" s="897"/>
      <c r="CM63" s="897"/>
      <c r="CN63" s="897"/>
      <c r="CO63" s="897"/>
      <c r="CP63" s="897"/>
      <c r="CQ63" s="897"/>
      <c r="CR63" s="897"/>
      <c r="CS63" s="897"/>
      <c r="CT63" s="897"/>
      <c r="CU63" s="897"/>
      <c r="CV63" s="897"/>
      <c r="CW63" s="897"/>
      <c r="CX63" s="897"/>
      <c r="CY63" s="897"/>
      <c r="CZ63" s="897"/>
      <c r="DA63" s="897"/>
      <c r="DB63" s="897"/>
      <c r="DC63" s="897"/>
      <c r="DD63" s="897"/>
      <c r="DE63" s="897"/>
      <c r="DF63" s="897"/>
      <c r="DG63" s="897"/>
      <c r="DH63" s="897"/>
      <c r="DI63" s="897"/>
      <c r="DJ63" s="897"/>
      <c r="DK63" s="897"/>
      <c r="DL63" s="897"/>
      <c r="DM63" s="897"/>
      <c r="DN63" s="897"/>
      <c r="DO63" s="897"/>
      <c r="DP63" s="897"/>
      <c r="DQ63" s="897"/>
      <c r="DR63" s="897"/>
      <c r="DS63" s="897"/>
      <c r="DT63" s="897"/>
      <c r="DU63" s="897"/>
      <c r="DV63" s="897"/>
      <c r="DW63" s="897"/>
      <c r="DX63" s="897"/>
      <c r="DY63" s="897"/>
      <c r="DZ63" s="897"/>
      <c r="EA63" s="897"/>
      <c r="EB63" s="897"/>
      <c r="EC63" s="897"/>
      <c r="ED63" s="897"/>
      <c r="EE63" s="897"/>
      <c r="EF63" s="897"/>
      <c r="EG63" s="897"/>
      <c r="EH63" s="897"/>
      <c r="EI63" s="897"/>
      <c r="EJ63" s="897"/>
      <c r="EK63" s="897"/>
      <c r="EL63" s="897"/>
      <c r="EM63" s="897"/>
      <c r="EN63" s="897"/>
      <c r="EO63" s="897"/>
      <c r="EP63" s="897"/>
      <c r="EQ63" s="897"/>
      <c r="ER63" s="897"/>
      <c r="ES63" s="897"/>
      <c r="ET63" s="897"/>
      <c r="EU63" s="897"/>
      <c r="EV63" s="897"/>
      <c r="EW63" s="897"/>
      <c r="EX63" s="897"/>
      <c r="EY63" s="897"/>
      <c r="EZ63" s="897"/>
      <c r="FA63" s="897"/>
      <c r="FB63" s="897"/>
      <c r="FC63" s="897"/>
      <c r="FD63" s="897"/>
      <c r="FE63" s="897"/>
      <c r="FF63" s="897"/>
      <c r="FG63" s="897"/>
      <c r="FH63" s="897"/>
      <c r="FI63" s="897"/>
      <c r="FJ63" s="897"/>
      <c r="FK63" s="897"/>
      <c r="FL63" s="897"/>
      <c r="FM63" s="897"/>
      <c r="FN63" s="897"/>
      <c r="FO63" s="897"/>
      <c r="FP63" s="897"/>
      <c r="FQ63" s="897"/>
      <c r="FR63" s="897"/>
      <c r="FS63" s="897"/>
      <c r="FT63" s="897"/>
      <c r="FU63" s="897"/>
      <c r="FV63" s="897"/>
      <c r="FW63" s="897"/>
      <c r="FX63" s="897"/>
      <c r="FY63" s="897"/>
      <c r="FZ63" s="897"/>
      <c r="GA63" s="897"/>
      <c r="GB63" s="897"/>
      <c r="GC63" s="897"/>
      <c r="GD63" s="897"/>
      <c r="GE63" s="897"/>
      <c r="GF63" s="897"/>
      <c r="GG63" s="897"/>
      <c r="GH63" s="897"/>
      <c r="GI63" s="897"/>
      <c r="GJ63" s="897"/>
      <c r="GK63" s="897"/>
      <c r="GL63" s="897"/>
      <c r="GM63" s="897"/>
      <c r="GN63" s="897"/>
      <c r="GO63" s="897"/>
      <c r="GP63" s="897"/>
      <c r="GQ63" s="897"/>
      <c r="GR63" s="897"/>
      <c r="GS63" s="897"/>
      <c r="GT63" s="897"/>
      <c r="GU63" s="897"/>
      <c r="GV63" s="897"/>
      <c r="GW63" s="897"/>
      <c r="GX63" s="897"/>
      <c r="GY63" s="897"/>
      <c r="GZ63" s="897"/>
      <c r="HA63" s="897"/>
      <c r="HB63" s="897"/>
      <c r="HC63" s="897"/>
      <c r="HD63" s="897"/>
      <c r="HE63" s="897"/>
      <c r="HF63" s="897"/>
      <c r="HG63" s="897"/>
      <c r="HH63" s="897"/>
      <c r="HI63" s="897"/>
      <c r="HJ63" s="897"/>
      <c r="HK63" s="897"/>
      <c r="HL63" s="897"/>
      <c r="HM63" s="897"/>
      <c r="HN63" s="897"/>
      <c r="HO63" s="897"/>
      <c r="HP63" s="897"/>
    </row>
    <row r="64" spans="1:224" s="659" customFormat="1" x14ac:dyDescent="0.25">
      <c r="A64" s="888" t="s">
        <v>1298</v>
      </c>
      <c r="B64" s="897"/>
      <c r="C64" s="897"/>
      <c r="D64" s="897"/>
      <c r="E64" s="897"/>
      <c r="F64" s="897"/>
      <c r="G64" s="897"/>
      <c r="H64" s="897"/>
      <c r="I64" s="897"/>
      <c r="J64" s="897"/>
      <c r="K64" s="897"/>
      <c r="L64" s="897"/>
      <c r="M64" s="897"/>
      <c r="N64" s="897"/>
      <c r="O64" s="897"/>
      <c r="P64" s="897"/>
      <c r="Q64" s="897"/>
      <c r="R64" s="897"/>
      <c r="S64" s="897"/>
      <c r="T64" s="897"/>
      <c r="U64" s="897"/>
      <c r="V64" s="897"/>
      <c r="W64" s="897"/>
      <c r="X64" s="897"/>
      <c r="Y64" s="897"/>
      <c r="Z64" s="897"/>
      <c r="AA64" s="897"/>
      <c r="AB64" s="897"/>
      <c r="AC64" s="897"/>
      <c r="AD64" s="897"/>
      <c r="AE64" s="897"/>
      <c r="AF64" s="897"/>
      <c r="AG64" s="897"/>
      <c r="AH64" s="897"/>
      <c r="AI64" s="897"/>
      <c r="AJ64" s="897"/>
      <c r="AK64" s="897"/>
      <c r="AL64" s="897"/>
      <c r="AM64" s="897"/>
      <c r="AN64" s="897"/>
      <c r="AO64" s="897"/>
      <c r="AP64" s="897"/>
      <c r="AQ64" s="897"/>
      <c r="AR64" s="897"/>
      <c r="AS64" s="897"/>
      <c r="AT64" s="897"/>
      <c r="AU64" s="897"/>
      <c r="AV64" s="897"/>
      <c r="AW64" s="897"/>
      <c r="AX64" s="897"/>
      <c r="AY64" s="897"/>
      <c r="AZ64" s="897"/>
      <c r="BA64" s="897"/>
      <c r="BB64" s="897"/>
      <c r="BC64" s="897"/>
      <c r="BD64" s="897"/>
      <c r="BE64" s="897"/>
      <c r="BF64" s="897"/>
      <c r="BG64" s="897"/>
      <c r="BH64" s="897"/>
      <c r="BI64" s="897"/>
      <c r="BJ64" s="897"/>
      <c r="BK64" s="897"/>
      <c r="BL64" s="897"/>
      <c r="BM64" s="897"/>
      <c r="BN64" s="897"/>
      <c r="BO64" s="897"/>
      <c r="BP64" s="897"/>
      <c r="BQ64" s="897"/>
      <c r="BR64" s="897"/>
      <c r="BS64" s="897"/>
      <c r="BT64" s="897"/>
      <c r="BU64" s="897"/>
      <c r="BV64" s="897"/>
      <c r="BW64" s="897"/>
      <c r="BX64" s="897"/>
      <c r="BY64" s="897"/>
      <c r="BZ64" s="897"/>
      <c r="CA64" s="897"/>
      <c r="CB64" s="897"/>
      <c r="CC64" s="897"/>
      <c r="CD64" s="897"/>
      <c r="CE64" s="897"/>
      <c r="CF64" s="897"/>
      <c r="CG64" s="897"/>
      <c r="CH64" s="897"/>
      <c r="CI64" s="897"/>
      <c r="CJ64" s="897"/>
      <c r="CK64" s="897"/>
      <c r="CL64" s="897"/>
      <c r="CM64" s="897"/>
      <c r="CN64" s="897"/>
      <c r="CO64" s="897"/>
      <c r="CP64" s="897"/>
      <c r="CQ64" s="897"/>
      <c r="CR64" s="897"/>
      <c r="CS64" s="897"/>
      <c r="CT64" s="897"/>
      <c r="CU64" s="897"/>
      <c r="CV64" s="897"/>
      <c r="CW64" s="897"/>
      <c r="CX64" s="897"/>
      <c r="CY64" s="897"/>
      <c r="CZ64" s="897"/>
      <c r="DA64" s="897"/>
      <c r="DB64" s="897"/>
      <c r="DC64" s="897"/>
      <c r="DD64" s="897"/>
      <c r="DE64" s="897"/>
      <c r="DF64" s="897"/>
      <c r="DG64" s="897"/>
      <c r="DH64" s="897"/>
      <c r="DI64" s="897"/>
      <c r="DJ64" s="897"/>
      <c r="DK64" s="897"/>
      <c r="DL64" s="897"/>
      <c r="DM64" s="897"/>
      <c r="DN64" s="897"/>
      <c r="DO64" s="897"/>
      <c r="DP64" s="897"/>
      <c r="DQ64" s="897"/>
      <c r="DR64" s="897"/>
      <c r="DS64" s="897"/>
      <c r="DT64" s="897"/>
      <c r="DU64" s="897"/>
      <c r="DV64" s="897"/>
      <c r="DW64" s="897"/>
      <c r="DX64" s="897"/>
      <c r="DY64" s="897"/>
      <c r="DZ64" s="897"/>
      <c r="EA64" s="897"/>
      <c r="EB64" s="897"/>
      <c r="EC64" s="897"/>
      <c r="ED64" s="897"/>
      <c r="EE64" s="897"/>
      <c r="EF64" s="897"/>
      <c r="EG64" s="897"/>
      <c r="EH64" s="897"/>
      <c r="EI64" s="897"/>
      <c r="EJ64" s="897"/>
      <c r="EK64" s="897"/>
      <c r="EL64" s="897"/>
      <c r="EM64" s="897"/>
      <c r="EN64" s="897"/>
      <c r="EO64" s="897"/>
      <c r="EP64" s="897"/>
      <c r="EQ64" s="897"/>
      <c r="ER64" s="897"/>
      <c r="ES64" s="897"/>
      <c r="ET64" s="897"/>
      <c r="EU64" s="897"/>
      <c r="EV64" s="897"/>
      <c r="EW64" s="897"/>
      <c r="EX64" s="897"/>
      <c r="EY64" s="897"/>
      <c r="EZ64" s="897"/>
      <c r="FA64" s="897"/>
      <c r="FB64" s="897"/>
      <c r="FC64" s="897"/>
      <c r="FD64" s="897"/>
      <c r="FE64" s="897"/>
      <c r="FF64" s="897"/>
      <c r="FG64" s="897"/>
      <c r="FH64" s="897"/>
      <c r="FI64" s="897"/>
      <c r="FJ64" s="897"/>
      <c r="FK64" s="897"/>
      <c r="FL64" s="897"/>
      <c r="FM64" s="897"/>
      <c r="FN64" s="897"/>
      <c r="FO64" s="897"/>
      <c r="FP64" s="897"/>
      <c r="FQ64" s="897"/>
      <c r="FR64" s="897"/>
      <c r="FS64" s="897"/>
      <c r="FT64" s="897"/>
      <c r="FU64" s="897"/>
      <c r="FV64" s="897"/>
      <c r="FW64" s="897"/>
      <c r="FX64" s="897"/>
      <c r="FY64" s="897"/>
      <c r="FZ64" s="897"/>
      <c r="GA64" s="897"/>
      <c r="GB64" s="897"/>
      <c r="GC64" s="897"/>
      <c r="GD64" s="897"/>
      <c r="GE64" s="897"/>
      <c r="GF64" s="897"/>
      <c r="GG64" s="897"/>
      <c r="GH64" s="897"/>
      <c r="GI64" s="897"/>
      <c r="GJ64" s="897"/>
      <c r="GK64" s="897"/>
      <c r="GL64" s="897"/>
      <c r="GM64" s="897"/>
      <c r="GN64" s="897"/>
      <c r="GO64" s="897"/>
      <c r="GP64" s="897"/>
      <c r="GQ64" s="897"/>
      <c r="GR64" s="897"/>
      <c r="GS64" s="897"/>
      <c r="GT64" s="897"/>
      <c r="GU64" s="897"/>
      <c r="GV64" s="897"/>
      <c r="GW64" s="897"/>
      <c r="GX64" s="897"/>
      <c r="GY64" s="897"/>
      <c r="GZ64" s="897"/>
      <c r="HA64" s="897"/>
      <c r="HB64" s="897"/>
      <c r="HC64" s="897"/>
      <c r="HD64" s="897"/>
      <c r="HE64" s="897"/>
      <c r="HF64" s="897"/>
      <c r="HG64" s="897"/>
      <c r="HH64" s="897"/>
      <c r="HI64" s="897"/>
      <c r="HJ64" s="897"/>
      <c r="HK64" s="897"/>
      <c r="HL64" s="897"/>
      <c r="HM64" s="897"/>
      <c r="HN64" s="897"/>
      <c r="HO64" s="897"/>
      <c r="HP64" s="897"/>
    </row>
    <row r="65" spans="1:224" s="659" customFormat="1" x14ac:dyDescent="0.25">
      <c r="A65" s="888" t="s">
        <v>1298</v>
      </c>
      <c r="B65" s="897"/>
      <c r="C65" s="897"/>
      <c r="D65" s="897"/>
      <c r="E65" s="897"/>
      <c r="F65" s="897"/>
      <c r="G65" s="897"/>
      <c r="H65" s="897"/>
      <c r="I65" s="897"/>
      <c r="J65" s="897"/>
      <c r="K65" s="897"/>
      <c r="L65" s="897"/>
      <c r="M65" s="897"/>
      <c r="N65" s="897"/>
      <c r="O65" s="897"/>
      <c r="P65" s="897"/>
      <c r="Q65" s="897"/>
      <c r="R65" s="897"/>
      <c r="S65" s="897"/>
      <c r="T65" s="897"/>
      <c r="U65" s="897"/>
      <c r="V65" s="897"/>
      <c r="W65" s="897"/>
      <c r="X65" s="897"/>
      <c r="Y65" s="897"/>
      <c r="Z65" s="897"/>
      <c r="AA65" s="897"/>
      <c r="AB65" s="897"/>
      <c r="AC65" s="897"/>
      <c r="AD65" s="897"/>
      <c r="AE65" s="897"/>
      <c r="AF65" s="897"/>
      <c r="AG65" s="897"/>
      <c r="AH65" s="897"/>
      <c r="AI65" s="897"/>
      <c r="AJ65" s="897"/>
      <c r="AK65" s="897"/>
      <c r="AL65" s="897"/>
      <c r="AM65" s="897"/>
      <c r="AN65" s="897"/>
      <c r="AO65" s="897"/>
      <c r="AP65" s="897"/>
      <c r="AQ65" s="897"/>
      <c r="AR65" s="897"/>
      <c r="AS65" s="897"/>
      <c r="AT65" s="897"/>
      <c r="AU65" s="897"/>
      <c r="AV65" s="897"/>
      <c r="AW65" s="897"/>
      <c r="AX65" s="897"/>
      <c r="AY65" s="897"/>
      <c r="AZ65" s="897"/>
      <c r="BA65" s="897"/>
      <c r="BB65" s="897"/>
      <c r="BC65" s="897"/>
      <c r="BD65" s="897"/>
      <c r="BE65" s="897"/>
      <c r="BF65" s="897"/>
      <c r="BG65" s="897"/>
      <c r="BH65" s="897"/>
      <c r="BI65" s="897"/>
      <c r="BJ65" s="897"/>
      <c r="BK65" s="897"/>
      <c r="BL65" s="897"/>
      <c r="BM65" s="897"/>
      <c r="BN65" s="897"/>
      <c r="BO65" s="897"/>
      <c r="BP65" s="897"/>
      <c r="BQ65" s="897"/>
      <c r="BR65" s="897"/>
      <c r="BS65" s="897"/>
      <c r="BT65" s="897"/>
      <c r="BU65" s="897"/>
      <c r="BV65" s="897"/>
      <c r="BW65" s="897"/>
      <c r="BX65" s="897"/>
      <c r="BY65" s="897"/>
      <c r="BZ65" s="897"/>
      <c r="CA65" s="897"/>
      <c r="CB65" s="897"/>
      <c r="CC65" s="897"/>
      <c r="CD65" s="897"/>
      <c r="CE65" s="897"/>
      <c r="CF65" s="897"/>
      <c r="CG65" s="897"/>
      <c r="CH65" s="897"/>
      <c r="CI65" s="897"/>
      <c r="CJ65" s="897"/>
      <c r="CK65" s="897"/>
      <c r="CL65" s="897"/>
      <c r="CM65" s="897"/>
      <c r="CN65" s="897"/>
      <c r="CO65" s="897"/>
      <c r="CP65" s="897"/>
      <c r="CQ65" s="897"/>
      <c r="CR65" s="897"/>
      <c r="CS65" s="897"/>
      <c r="CT65" s="897"/>
      <c r="CU65" s="897"/>
      <c r="CV65" s="897"/>
      <c r="CW65" s="897"/>
      <c r="CX65" s="897"/>
      <c r="CY65" s="897"/>
      <c r="CZ65" s="897"/>
      <c r="DA65" s="897"/>
      <c r="DB65" s="897"/>
      <c r="DC65" s="897"/>
      <c r="DD65" s="897"/>
      <c r="DE65" s="897"/>
      <c r="DF65" s="897"/>
      <c r="DG65" s="897"/>
      <c r="DH65" s="897"/>
      <c r="DI65" s="897"/>
      <c r="DJ65" s="897"/>
      <c r="DK65" s="897"/>
      <c r="DL65" s="897"/>
      <c r="DM65" s="897"/>
      <c r="DN65" s="897"/>
      <c r="DO65" s="897"/>
      <c r="DP65" s="897"/>
      <c r="DQ65" s="897"/>
      <c r="DR65" s="897"/>
      <c r="DS65" s="897"/>
      <c r="DT65" s="897"/>
      <c r="DU65" s="897"/>
      <c r="DV65" s="897"/>
      <c r="DW65" s="897"/>
      <c r="DX65" s="897"/>
      <c r="DY65" s="897"/>
      <c r="DZ65" s="897"/>
      <c r="EA65" s="897"/>
      <c r="EB65" s="897"/>
      <c r="EC65" s="897"/>
      <c r="ED65" s="897"/>
      <c r="EE65" s="897"/>
      <c r="EF65" s="897"/>
      <c r="EG65" s="897"/>
      <c r="EH65" s="897"/>
      <c r="EI65" s="897"/>
      <c r="EJ65" s="897"/>
      <c r="EK65" s="897"/>
      <c r="EL65" s="897"/>
      <c r="EM65" s="897"/>
      <c r="EN65" s="897"/>
      <c r="EO65" s="897"/>
      <c r="EP65" s="897"/>
      <c r="EQ65" s="897"/>
      <c r="ER65" s="897"/>
      <c r="ES65" s="897"/>
      <c r="ET65" s="897"/>
      <c r="EU65" s="897"/>
      <c r="EV65" s="897"/>
      <c r="EW65" s="897"/>
      <c r="EX65" s="897"/>
      <c r="EY65" s="897"/>
      <c r="EZ65" s="897"/>
      <c r="FA65" s="897"/>
      <c r="FB65" s="897"/>
      <c r="FC65" s="897"/>
      <c r="FD65" s="897"/>
      <c r="FE65" s="897"/>
      <c r="FF65" s="897"/>
      <c r="FG65" s="897"/>
      <c r="FH65" s="897"/>
      <c r="FI65" s="897"/>
      <c r="FJ65" s="897"/>
      <c r="FK65" s="897"/>
      <c r="FL65" s="897"/>
      <c r="FM65" s="897"/>
      <c r="FN65" s="897"/>
      <c r="FO65" s="897"/>
      <c r="FP65" s="897"/>
      <c r="FQ65" s="897"/>
      <c r="FR65" s="897"/>
      <c r="FS65" s="897"/>
      <c r="FT65" s="897"/>
      <c r="FU65" s="897"/>
      <c r="FV65" s="897"/>
      <c r="FW65" s="897"/>
      <c r="FX65" s="897"/>
      <c r="FY65" s="897"/>
      <c r="FZ65" s="897"/>
      <c r="GA65" s="897"/>
      <c r="GB65" s="897"/>
      <c r="GC65" s="897"/>
      <c r="GD65" s="897"/>
      <c r="GE65" s="897"/>
      <c r="GF65" s="897"/>
      <c r="GG65" s="897"/>
      <c r="GH65" s="897"/>
      <c r="GI65" s="897"/>
      <c r="GJ65" s="897"/>
      <c r="GK65" s="897"/>
      <c r="GL65" s="897"/>
      <c r="GM65" s="897"/>
      <c r="GN65" s="897"/>
      <c r="GO65" s="897"/>
      <c r="GP65" s="897"/>
      <c r="GQ65" s="897"/>
      <c r="GR65" s="897"/>
      <c r="GS65" s="897"/>
      <c r="GT65" s="897"/>
      <c r="GU65" s="897"/>
      <c r="GV65" s="897"/>
      <c r="GW65" s="897"/>
      <c r="GX65" s="897"/>
      <c r="GY65" s="897"/>
      <c r="GZ65" s="897"/>
      <c r="HA65" s="897"/>
      <c r="HB65" s="897"/>
      <c r="HC65" s="897"/>
      <c r="HD65" s="897"/>
      <c r="HE65" s="897"/>
      <c r="HF65" s="897"/>
      <c r="HG65" s="897"/>
      <c r="HH65" s="897"/>
      <c r="HI65" s="897"/>
      <c r="HJ65" s="897"/>
      <c r="HK65" s="897"/>
      <c r="HL65" s="897"/>
      <c r="HM65" s="897"/>
      <c r="HN65" s="897"/>
      <c r="HO65" s="897"/>
      <c r="HP65" s="897"/>
    </row>
    <row r="66" spans="1:224" s="659" customFormat="1" x14ac:dyDescent="0.25">
      <c r="A66" s="888" t="s">
        <v>1298</v>
      </c>
      <c r="B66" s="897"/>
      <c r="C66" s="897"/>
      <c r="D66" s="897"/>
      <c r="E66" s="897"/>
      <c r="F66" s="897"/>
      <c r="G66" s="897"/>
      <c r="H66" s="897"/>
      <c r="I66" s="897"/>
      <c r="J66" s="897"/>
      <c r="K66" s="897"/>
      <c r="L66" s="897"/>
      <c r="M66" s="963"/>
      <c r="N66" s="897"/>
      <c r="O66" s="897"/>
      <c r="P66" s="897"/>
      <c r="Q66" s="897"/>
      <c r="R66" s="897"/>
      <c r="S66" s="897"/>
      <c r="T66" s="897"/>
      <c r="U66" s="897"/>
      <c r="V66" s="897"/>
      <c r="W66" s="897"/>
      <c r="X66" s="897"/>
      <c r="Y66" s="897"/>
      <c r="Z66" s="897"/>
      <c r="AA66" s="897"/>
      <c r="AB66" s="897"/>
      <c r="AC66" s="897"/>
      <c r="AD66" s="897"/>
      <c r="AE66" s="897"/>
      <c r="AF66" s="897"/>
      <c r="AG66" s="897"/>
      <c r="AH66" s="897"/>
      <c r="AI66" s="897"/>
      <c r="AJ66" s="897"/>
      <c r="AK66" s="897"/>
      <c r="AL66" s="897"/>
      <c r="AM66" s="897"/>
      <c r="AN66" s="897"/>
      <c r="AO66" s="897"/>
      <c r="AP66" s="897"/>
      <c r="AQ66" s="897"/>
      <c r="AR66" s="897"/>
      <c r="AS66" s="897"/>
      <c r="AT66" s="897"/>
      <c r="AU66" s="897"/>
      <c r="AV66" s="897"/>
      <c r="AW66" s="897"/>
      <c r="AX66" s="897"/>
      <c r="AY66" s="897"/>
      <c r="AZ66" s="897"/>
      <c r="BA66" s="897"/>
      <c r="BB66" s="897"/>
      <c r="BC66" s="897"/>
      <c r="BD66" s="897"/>
      <c r="BE66" s="897"/>
      <c r="BF66" s="897"/>
      <c r="BG66" s="897"/>
      <c r="BH66" s="897"/>
      <c r="BI66" s="897"/>
      <c r="BJ66" s="897"/>
      <c r="BK66" s="897"/>
      <c r="BL66" s="897"/>
      <c r="BM66" s="897"/>
      <c r="BN66" s="897"/>
      <c r="BO66" s="897"/>
      <c r="BP66" s="897"/>
      <c r="BQ66" s="897"/>
      <c r="BR66" s="897"/>
      <c r="BS66" s="897"/>
      <c r="BT66" s="897"/>
      <c r="BU66" s="897"/>
      <c r="BV66" s="897"/>
      <c r="BW66" s="897"/>
      <c r="BX66" s="897"/>
      <c r="BY66" s="897"/>
      <c r="BZ66" s="897"/>
      <c r="CA66" s="897"/>
      <c r="CB66" s="897"/>
      <c r="CC66" s="897"/>
      <c r="CD66" s="897"/>
      <c r="CE66" s="897"/>
      <c r="CF66" s="897"/>
      <c r="CG66" s="897"/>
      <c r="CH66" s="897"/>
      <c r="CI66" s="897"/>
      <c r="CJ66" s="897"/>
      <c r="CK66" s="897"/>
      <c r="CL66" s="897"/>
      <c r="CM66" s="897"/>
      <c r="CN66" s="897"/>
      <c r="CO66" s="897"/>
      <c r="CP66" s="897"/>
      <c r="CQ66" s="897"/>
      <c r="CR66" s="897"/>
      <c r="CS66" s="897"/>
      <c r="CT66" s="897"/>
      <c r="CU66" s="897"/>
      <c r="CV66" s="897"/>
      <c r="CW66" s="897"/>
      <c r="CX66" s="897"/>
      <c r="CY66" s="897"/>
      <c r="CZ66" s="897"/>
      <c r="DA66" s="897"/>
      <c r="DB66" s="897"/>
      <c r="DC66" s="897"/>
      <c r="DD66" s="897"/>
      <c r="DE66" s="897"/>
      <c r="DF66" s="897"/>
      <c r="DG66" s="897"/>
      <c r="DH66" s="897"/>
      <c r="DI66" s="897"/>
      <c r="DJ66" s="897"/>
      <c r="DK66" s="897"/>
      <c r="DL66" s="897"/>
      <c r="DM66" s="897"/>
      <c r="DN66" s="897"/>
      <c r="DO66" s="897"/>
      <c r="DP66" s="897"/>
      <c r="DQ66" s="897"/>
      <c r="DR66" s="897"/>
      <c r="DS66" s="897"/>
      <c r="DT66" s="897"/>
      <c r="DU66" s="897"/>
      <c r="DV66" s="897"/>
      <c r="DW66" s="897"/>
      <c r="DX66" s="897"/>
      <c r="DY66" s="897"/>
      <c r="DZ66" s="897"/>
      <c r="EA66" s="897"/>
      <c r="EB66" s="897"/>
      <c r="EC66" s="897"/>
      <c r="ED66" s="897"/>
      <c r="EE66" s="897"/>
      <c r="EF66" s="897"/>
      <c r="EG66" s="897"/>
      <c r="EH66" s="897"/>
      <c r="EI66" s="897"/>
      <c r="EJ66" s="897"/>
      <c r="EK66" s="897"/>
      <c r="EL66" s="897"/>
      <c r="EM66" s="897"/>
      <c r="EN66" s="897"/>
      <c r="EO66" s="897"/>
      <c r="EP66" s="897"/>
      <c r="EQ66" s="897"/>
      <c r="ER66" s="897"/>
      <c r="ES66" s="897"/>
      <c r="ET66" s="897"/>
      <c r="EU66" s="897"/>
      <c r="EV66" s="897"/>
      <c r="EW66" s="897"/>
      <c r="EX66" s="897"/>
      <c r="EY66" s="897"/>
      <c r="EZ66" s="897"/>
      <c r="FA66" s="897"/>
      <c r="FB66" s="897"/>
      <c r="FC66" s="897"/>
      <c r="FD66" s="897"/>
      <c r="FE66" s="897"/>
      <c r="FF66" s="897"/>
      <c r="FG66" s="897"/>
      <c r="FH66" s="897"/>
      <c r="FI66" s="897"/>
      <c r="FJ66" s="897"/>
      <c r="FK66" s="897"/>
      <c r="FL66" s="897"/>
      <c r="FM66" s="897"/>
      <c r="FN66" s="897"/>
      <c r="FO66" s="897"/>
      <c r="FP66" s="897"/>
      <c r="FQ66" s="897"/>
      <c r="FR66" s="897"/>
      <c r="FS66" s="897"/>
      <c r="FT66" s="897"/>
      <c r="FU66" s="897"/>
      <c r="FV66" s="897"/>
      <c r="FW66" s="897"/>
      <c r="FX66" s="897"/>
      <c r="FY66" s="897"/>
      <c r="FZ66" s="897"/>
      <c r="GA66" s="897"/>
      <c r="GB66" s="897"/>
      <c r="GC66" s="897"/>
      <c r="GD66" s="897"/>
      <c r="GE66" s="897"/>
      <c r="GF66" s="897"/>
      <c r="GG66" s="897"/>
      <c r="GH66" s="897"/>
      <c r="GI66" s="897"/>
      <c r="GJ66" s="897"/>
      <c r="GK66" s="897"/>
      <c r="GL66" s="897"/>
      <c r="GM66" s="897"/>
      <c r="GN66" s="897"/>
      <c r="GO66" s="897"/>
      <c r="GP66" s="897"/>
      <c r="GQ66" s="897"/>
      <c r="GR66" s="897"/>
      <c r="GS66" s="897"/>
      <c r="GT66" s="897"/>
      <c r="GU66" s="897"/>
      <c r="GV66" s="897"/>
      <c r="GW66" s="897"/>
      <c r="GX66" s="897"/>
      <c r="GY66" s="897"/>
      <c r="GZ66" s="897"/>
      <c r="HA66" s="897"/>
      <c r="HB66" s="897"/>
      <c r="HC66" s="897"/>
      <c r="HD66" s="897"/>
      <c r="HE66" s="897"/>
      <c r="HF66" s="897"/>
      <c r="HG66" s="897"/>
      <c r="HH66" s="897"/>
      <c r="HI66" s="897"/>
      <c r="HJ66" s="897"/>
      <c r="HK66" s="897"/>
      <c r="HL66" s="897"/>
      <c r="HM66" s="897"/>
      <c r="HN66" s="897"/>
      <c r="HO66" s="897"/>
      <c r="HP66" s="897"/>
    </row>
    <row r="67" spans="1:224" ht="15.75" x14ac:dyDescent="0.25">
      <c r="A67" s="888" t="s">
        <v>1298</v>
      </c>
      <c r="B67" s="902" t="s">
        <v>1557</v>
      </c>
      <c r="C67" s="902"/>
      <c r="D67" s="897"/>
      <c r="E67" s="897"/>
      <c r="F67" s="897"/>
      <c r="G67" s="897"/>
      <c r="H67" s="897"/>
      <c r="I67" s="897"/>
      <c r="J67" s="897"/>
      <c r="K67" s="897"/>
      <c r="L67" s="897"/>
      <c r="M67" s="897"/>
      <c r="N67" s="897"/>
      <c r="O67" s="897"/>
      <c r="P67" s="897"/>
      <c r="Q67" s="897"/>
      <c r="R67" s="897"/>
      <c r="S67" s="897"/>
      <c r="T67" s="897"/>
      <c r="U67" s="897"/>
    </row>
    <row r="68" spans="1:224" x14ac:dyDescent="0.25">
      <c r="A68" s="888" t="s">
        <v>1298</v>
      </c>
      <c r="B68" s="897"/>
      <c r="C68" s="897"/>
      <c r="D68" s="897"/>
      <c r="E68" s="897"/>
      <c r="F68" s="897"/>
      <c r="G68" s="897"/>
      <c r="H68" s="897"/>
      <c r="I68" s="897"/>
      <c r="J68" s="897"/>
      <c r="K68" s="922"/>
      <c r="L68" s="897"/>
      <c r="M68" s="897"/>
      <c r="N68" s="897"/>
      <c r="O68" s="897"/>
      <c r="P68" s="897"/>
      <c r="Q68" s="897"/>
      <c r="R68" s="897"/>
      <c r="S68" s="897"/>
      <c r="T68" s="897"/>
      <c r="U68" s="908"/>
    </row>
    <row r="69" spans="1:224" ht="53.25" customHeight="1" x14ac:dyDescent="0.25">
      <c r="A69" s="888" t="s">
        <v>1298</v>
      </c>
      <c r="B69" s="2585" t="str">
        <f xml:space="preserve"> CONCATENATE("Identify the equivalent full load hours of operation and building area for the landury room(s) below. ","In the energy model(s), use the values below for the Baseline and Proposed Miscellaneous Equipment Loads in the Laundry Rooms. These loads include ",IF(SI_IP_Units="IP","0.2 Watts per square foot ","2.15 Watts per square meter"), " of electric miscellaneous equipment load with a 1.0 sensible ratio and 0.0 latent ratio in addition to the equipment load sources selected above."," Note that the Equivalent Full Load Hours of operation noted here must be consistent with that of the energy model in order for the equipment power densities"," listed here to appropriately calculate the annual laundry miscellaneous energy consumption in the energy model.")</f>
        <v>Identify the equivalent full load hours of operation and building area for the landury room(s) below. In the energy model(s), use the values below for the Baseline and Proposed Miscellaneous Equipment Loads in the Laundry Rooms. These loads include 0.2 Watts per square foot  of electric miscellaneous equipment load with a 1.0 sensible ratio and 0.0 latent ratio in addition to the equipment load sources selected above. Note that the Equivalent Full Load Hours of operation noted here must be consistent with that of the energy model in order for the equipment power densities listed here to appropriately calculate the annual laundry miscellaneous energy consumption in the energy model.</v>
      </c>
      <c r="C69" s="2586"/>
      <c r="D69" s="2586"/>
      <c r="E69" s="2586"/>
      <c r="F69" s="2586"/>
      <c r="G69" s="2586"/>
      <c r="H69" s="2586"/>
      <c r="I69" s="2586"/>
      <c r="J69" s="2586"/>
      <c r="K69" s="2586"/>
      <c r="L69" s="2586"/>
      <c r="M69" s="2586"/>
      <c r="N69" s="2586"/>
      <c r="O69" s="2586"/>
      <c r="P69" s="2586"/>
      <c r="Q69" s="2586"/>
      <c r="R69" s="2586"/>
      <c r="S69" s="2586"/>
      <c r="T69" s="2586"/>
      <c r="U69" s="2586"/>
    </row>
    <row r="70" spans="1:224" x14ac:dyDescent="0.25">
      <c r="A70" s="888" t="s">
        <v>1298</v>
      </c>
      <c r="B70" s="897"/>
      <c r="C70" s="897"/>
      <c r="D70" s="897"/>
      <c r="E70" s="897"/>
      <c r="F70" s="897"/>
      <c r="G70" s="897"/>
      <c r="H70" s="897"/>
      <c r="I70" s="897"/>
      <c r="J70" s="897"/>
      <c r="K70" s="897"/>
      <c r="L70" s="897"/>
      <c r="M70" s="897"/>
      <c r="N70" s="897"/>
      <c r="O70" s="897"/>
      <c r="P70" s="897"/>
      <c r="Q70" s="897"/>
      <c r="R70" s="897"/>
      <c r="S70" s="897"/>
      <c r="T70" s="897"/>
      <c r="U70" s="897"/>
    </row>
    <row r="71" spans="1:224" ht="27" customHeight="1" x14ac:dyDescent="0.25">
      <c r="A71" s="888" t="s">
        <v>1298</v>
      </c>
      <c r="B71" s="2478" t="s">
        <v>1357</v>
      </c>
      <c r="C71" s="2526" t="s">
        <v>1523</v>
      </c>
      <c r="D71" s="2546" t="str">
        <f>CONCATENATE("Total Area of Laundry Rooms",IF(SI_IP_Units="IP"," (square feet)"," (square meters)"))</f>
        <v>Total Area of Laundry Rooms (square feet)</v>
      </c>
      <c r="E71" s="2549"/>
      <c r="F71" s="2535" t="s">
        <v>1558</v>
      </c>
      <c r="G71" s="2552"/>
      <c r="H71" s="2552"/>
      <c r="I71" s="2552"/>
      <c r="J71" s="2552"/>
      <c r="K71" s="2553"/>
      <c r="L71" s="2554"/>
      <c r="M71" s="2535" t="s">
        <v>1559</v>
      </c>
      <c r="N71" s="2552"/>
      <c r="O71" s="2552"/>
      <c r="P71" s="2552"/>
      <c r="Q71" s="2552"/>
      <c r="R71" s="2553"/>
      <c r="S71" s="2554"/>
      <c r="T71" s="2535" t="str">
        <f>CONCATENATE("Laundry Room Equipment Hot Water Loads ",IF(SI_IP_Units="IP","(gallons/year)","(Liters/year)"))</f>
        <v>Laundry Room Equipment Hot Water Loads (gallons/year)</v>
      </c>
      <c r="U71" s="2557"/>
    </row>
    <row r="72" spans="1:224" x14ac:dyDescent="0.25">
      <c r="A72" s="888" t="s">
        <v>1298</v>
      </c>
      <c r="B72" s="2555"/>
      <c r="C72" s="2582"/>
      <c r="D72" s="2547"/>
      <c r="E72" s="2550"/>
      <c r="F72" s="2538" t="s">
        <v>347</v>
      </c>
      <c r="G72" s="2560"/>
      <c r="H72" s="2560"/>
      <c r="I72" s="2540" t="s">
        <v>348</v>
      </c>
      <c r="J72" s="2561"/>
      <c r="K72" s="2562"/>
      <c r="L72" s="2555"/>
      <c r="M72" s="2538" t="s">
        <v>347</v>
      </c>
      <c r="N72" s="2560"/>
      <c r="O72" s="2560"/>
      <c r="P72" s="2540" t="s">
        <v>348</v>
      </c>
      <c r="Q72" s="2560"/>
      <c r="R72" s="2559"/>
      <c r="S72" s="2555"/>
      <c r="T72" s="2558"/>
      <c r="U72" s="2559"/>
    </row>
    <row r="73" spans="1:224" ht="63.75" x14ac:dyDescent="0.25">
      <c r="A73" s="888" t="s">
        <v>1298</v>
      </c>
      <c r="B73" s="2556"/>
      <c r="C73" s="2582"/>
      <c r="D73" s="2548"/>
      <c r="E73" s="2551"/>
      <c r="F73" s="1892" t="str">
        <f>CONCATENATE("Equipment Power Density ", IF(SI_IP_Units="IP","(Watts/ sq ft)","(Watts/ sq m)"))</f>
        <v>Equipment Power Density (Watts/ sq ft)</v>
      </c>
      <c r="G73" s="2126" t="s">
        <v>1475</v>
      </c>
      <c r="H73" s="2126" t="s">
        <v>1474</v>
      </c>
      <c r="I73" s="1893" t="str">
        <f>CONCATENATE("Equipment Power Density ", IF(SI_IP_Units="IP","(Watts/ sq ft)","(Watts/ sq m)"))</f>
        <v>Equipment Power Density (Watts/ sq ft)</v>
      </c>
      <c r="J73" s="2126" t="s">
        <v>1475</v>
      </c>
      <c r="K73" s="1739" t="s">
        <v>1474</v>
      </c>
      <c r="L73" s="2556"/>
      <c r="M73" s="1892" t="str">
        <f>CONCATENATE("Equipment Power Density ",  IF(SI_IP_Units="IP","(Btu/ sq ft)","(Watts/ sq m)"))</f>
        <v>Equipment Power Density (Btu/ sq ft)</v>
      </c>
      <c r="N73" s="2126" t="s">
        <v>1475</v>
      </c>
      <c r="O73" s="2126" t="s">
        <v>1474</v>
      </c>
      <c r="P73" s="1893" t="str">
        <f>CONCATENATE("Equipment Power Density ", IF(SI_IP_Units="IP","(Btu/ sq ft)","(Watts/ sq m)"))</f>
        <v>Equipment Power Density (Btu/ sq ft)</v>
      </c>
      <c r="Q73" s="2126" t="s">
        <v>1475</v>
      </c>
      <c r="R73" s="1739" t="s">
        <v>1474</v>
      </c>
      <c r="S73" s="2556"/>
      <c r="T73" s="1738" t="s">
        <v>1554</v>
      </c>
      <c r="U73" s="311" t="s">
        <v>348</v>
      </c>
    </row>
    <row r="74" spans="1:224" s="659" customFormat="1" ht="45" hidden="1" x14ac:dyDescent="0.25">
      <c r="A74" s="888" t="s">
        <v>1298</v>
      </c>
      <c r="B74" s="970" t="s">
        <v>1357</v>
      </c>
      <c r="C74" s="971" t="s">
        <v>1386</v>
      </c>
      <c r="D74" s="960" t="s">
        <v>1540</v>
      </c>
      <c r="E74" s="993" t="s">
        <v>1515</v>
      </c>
      <c r="F74" s="965" t="s">
        <v>1544</v>
      </c>
      <c r="G74" s="965" t="s">
        <v>1542</v>
      </c>
      <c r="H74" s="967" t="s">
        <v>1543</v>
      </c>
      <c r="I74" s="965" t="s">
        <v>1545</v>
      </c>
      <c r="J74" s="965" t="s">
        <v>1546</v>
      </c>
      <c r="K74" s="967" t="s">
        <v>1547</v>
      </c>
      <c r="L74" s="965" t="s">
        <v>1516</v>
      </c>
      <c r="M74" s="965" t="s">
        <v>1548</v>
      </c>
      <c r="N74" s="967" t="s">
        <v>1549</v>
      </c>
      <c r="O74" s="967" t="s">
        <v>1550</v>
      </c>
      <c r="P74" s="965" t="s">
        <v>1551</v>
      </c>
      <c r="Q74" s="967" t="s">
        <v>1552</v>
      </c>
      <c r="R74" s="967" t="s">
        <v>1553</v>
      </c>
      <c r="S74" s="965" t="s">
        <v>1517</v>
      </c>
      <c r="T74" s="967" t="s">
        <v>1555</v>
      </c>
      <c r="U74" s="967" t="s">
        <v>1556</v>
      </c>
      <c r="V74" s="897"/>
      <c r="W74" s="897"/>
      <c r="X74" s="897"/>
      <c r="Y74" s="897"/>
      <c r="Z74" s="897"/>
      <c r="AA74" s="897"/>
      <c r="AB74" s="897"/>
      <c r="AC74" s="897"/>
      <c r="AD74" s="897"/>
      <c r="AE74" s="897"/>
      <c r="AF74" s="897"/>
      <c r="AG74" s="897"/>
      <c r="AH74" s="897"/>
      <c r="AI74" s="897"/>
      <c r="AJ74" s="897"/>
      <c r="AK74" s="897"/>
      <c r="AL74" s="897"/>
      <c r="AM74" s="897"/>
      <c r="AN74" s="897"/>
      <c r="AO74" s="897"/>
      <c r="AP74" s="897"/>
      <c r="AQ74" s="897"/>
      <c r="AR74" s="897"/>
      <c r="AS74" s="897"/>
      <c r="AT74" s="897"/>
      <c r="AU74" s="897"/>
      <c r="AV74" s="897"/>
      <c r="AW74" s="897"/>
      <c r="AX74" s="897"/>
      <c r="AY74" s="897"/>
      <c r="AZ74" s="897"/>
      <c r="BA74" s="897"/>
      <c r="BB74" s="897"/>
      <c r="BC74" s="897"/>
      <c r="BD74" s="897"/>
      <c r="BE74" s="897"/>
      <c r="BF74" s="897"/>
      <c r="BG74" s="897"/>
      <c r="BH74" s="897"/>
      <c r="BI74" s="897"/>
      <c r="BJ74" s="897"/>
      <c r="BK74" s="897"/>
      <c r="BL74" s="897"/>
      <c r="BM74" s="897"/>
      <c r="BN74" s="897"/>
      <c r="BO74" s="897"/>
      <c r="BP74" s="897"/>
      <c r="BQ74" s="897"/>
      <c r="BR74" s="897"/>
      <c r="BS74" s="897"/>
      <c r="BT74" s="897"/>
      <c r="BU74" s="897"/>
      <c r="BV74" s="897"/>
      <c r="BW74" s="897"/>
      <c r="BX74" s="897"/>
      <c r="BY74" s="897"/>
      <c r="BZ74" s="897"/>
      <c r="CA74" s="897"/>
      <c r="CB74" s="897"/>
      <c r="CC74" s="897"/>
      <c r="CD74" s="897"/>
      <c r="CE74" s="897"/>
      <c r="CF74" s="897"/>
      <c r="CG74" s="897"/>
      <c r="CH74" s="897"/>
      <c r="CI74" s="897"/>
      <c r="CJ74" s="897"/>
      <c r="CK74" s="897"/>
      <c r="CL74" s="897"/>
      <c r="CM74" s="897"/>
      <c r="CN74" s="897"/>
      <c r="CO74" s="897"/>
      <c r="CP74" s="897"/>
      <c r="CQ74" s="897"/>
      <c r="CR74" s="897"/>
      <c r="CS74" s="897"/>
      <c r="CT74" s="897"/>
      <c r="CU74" s="897"/>
      <c r="CV74" s="897"/>
      <c r="CW74" s="897"/>
      <c r="CX74" s="897"/>
      <c r="CY74" s="897"/>
      <c r="CZ74" s="897"/>
      <c r="DA74" s="897"/>
      <c r="DB74" s="897"/>
      <c r="DC74" s="897"/>
      <c r="DD74" s="897"/>
      <c r="DE74" s="897"/>
      <c r="DF74" s="897"/>
      <c r="DG74" s="897"/>
      <c r="DH74" s="897"/>
      <c r="DI74" s="897"/>
      <c r="DJ74" s="897"/>
      <c r="DK74" s="897"/>
      <c r="DL74" s="897"/>
      <c r="DM74" s="897"/>
      <c r="DN74" s="897"/>
      <c r="DO74" s="897"/>
      <c r="DP74" s="897"/>
      <c r="DQ74" s="897"/>
      <c r="DR74" s="897"/>
      <c r="DS74" s="897"/>
      <c r="DT74" s="897"/>
      <c r="DU74" s="897"/>
      <c r="DV74" s="897"/>
      <c r="DW74" s="897"/>
      <c r="DX74" s="897"/>
      <c r="DY74" s="897"/>
      <c r="DZ74" s="897"/>
      <c r="EA74" s="897"/>
      <c r="EB74" s="897"/>
      <c r="EC74" s="897"/>
      <c r="ED74" s="897"/>
      <c r="EE74" s="897"/>
      <c r="EF74" s="897"/>
      <c r="EG74" s="897"/>
      <c r="EH74" s="897"/>
      <c r="EI74" s="897"/>
      <c r="EJ74" s="897"/>
      <c r="EK74" s="897"/>
      <c r="EL74" s="897"/>
      <c r="EM74" s="897"/>
      <c r="EN74" s="897"/>
      <c r="EO74" s="897"/>
      <c r="EP74" s="897"/>
      <c r="EQ74" s="897"/>
      <c r="ER74" s="897"/>
      <c r="ES74" s="897"/>
      <c r="ET74" s="897"/>
      <c r="EU74" s="897"/>
      <c r="EV74" s="897"/>
      <c r="EW74" s="897"/>
      <c r="EX74" s="897"/>
      <c r="EY74" s="897"/>
      <c r="EZ74" s="897"/>
      <c r="FA74" s="897"/>
      <c r="FB74" s="897"/>
      <c r="FC74" s="897"/>
      <c r="FD74" s="897"/>
      <c r="FE74" s="897"/>
      <c r="FF74" s="897"/>
      <c r="FG74" s="897"/>
      <c r="FH74" s="897"/>
      <c r="FI74" s="897"/>
      <c r="FJ74" s="897"/>
      <c r="FK74" s="897"/>
      <c r="FL74" s="897"/>
      <c r="FM74" s="897"/>
      <c r="FN74" s="897"/>
      <c r="FO74" s="897"/>
      <c r="FP74" s="897"/>
      <c r="FQ74" s="897"/>
      <c r="FR74" s="897"/>
      <c r="FS74" s="897"/>
      <c r="FT74" s="897"/>
      <c r="FU74" s="897"/>
      <c r="FV74" s="897"/>
      <c r="FW74" s="897"/>
      <c r="FX74" s="897"/>
      <c r="FY74" s="897"/>
      <c r="FZ74" s="897"/>
      <c r="GA74" s="897"/>
      <c r="GB74" s="897"/>
      <c r="GC74" s="897"/>
      <c r="GD74" s="897"/>
      <c r="GE74" s="897"/>
      <c r="GF74" s="897"/>
      <c r="GG74" s="897"/>
      <c r="GH74" s="897"/>
      <c r="GI74" s="897"/>
      <c r="GJ74" s="897"/>
      <c r="GK74" s="897"/>
      <c r="GL74" s="897"/>
      <c r="GM74" s="897"/>
      <c r="GN74" s="897"/>
      <c r="GO74" s="897"/>
      <c r="GP74" s="897"/>
      <c r="GQ74" s="897"/>
      <c r="GR74" s="897"/>
      <c r="GS74" s="897"/>
      <c r="GT74" s="897"/>
      <c r="GU74" s="897"/>
      <c r="GV74" s="897"/>
      <c r="GW74" s="897"/>
      <c r="GX74" s="897"/>
      <c r="GY74" s="897"/>
      <c r="GZ74" s="897"/>
      <c r="HA74" s="897"/>
      <c r="HB74" s="897"/>
      <c r="HC74" s="897"/>
      <c r="HD74" s="897"/>
      <c r="HE74" s="897"/>
      <c r="HF74" s="897"/>
      <c r="HG74" s="897"/>
      <c r="HH74" s="897"/>
      <c r="HI74" s="897"/>
      <c r="HJ74" s="897"/>
      <c r="HK74" s="897"/>
      <c r="HL74" s="897"/>
      <c r="HM74" s="897"/>
      <c r="HN74" s="897"/>
      <c r="HO74" s="897"/>
      <c r="HP74" s="897"/>
    </row>
    <row r="75" spans="1:224" s="659" customFormat="1" x14ac:dyDescent="0.25">
      <c r="A75" s="888" t="s">
        <v>1298</v>
      </c>
      <c r="B75" s="1188" t="str">
        <f>'Multiple Buildings Details'!B24</f>
        <v>SEA Building Addition</v>
      </c>
      <c r="C75" s="2353"/>
      <c r="D75" s="2354"/>
      <c r="E75" s="1189"/>
      <c r="F75" s="1183" t="str">
        <f ca="1">IFERROR(SUMIF(MD_Laundry_Index,$B75,OFFSET(MD_Laundry_Index,0,MATCH($H$58,MD_Laundry_Hdr,0)-1,ROWS(MD_Laundry_Index),1))/$D75*1000/$C75+0.2*(IF(SI_IP_Units="IP",1,2.15)),"")</f>
        <v/>
      </c>
      <c r="G75" s="1184" t="str">
        <f ca="1">IFERROR((SUMPRODUCT(OFFSET(MD_Laundry_Index,0,MATCH($H$58,MD_Laundry_Hdr,0)-1,ROWS(MD_Laundry_Index),1),OFFSET(MD_Laundry_Index,0,MATCH($J$58,MD_Laundry_Hdr,0)-1,ROWS(MD_Laundry_Index),1),--(MD_Laundry_Index=$B75))*1000/$C75+IF(SI_IP_Units="IP",0.2,0.2*10.76)*$D75*1)/(SUMIF(MD_Laundry_Index,$B75,(OFFSET(MD_Laundry_Index,0,MATCH($H$58,MD_Laundry_Hdr,0)-1,ROWS(MD_Laundry_Index),1)))*1000/$C75+IF(SI_IP_Units="IP",0.2,0.2*10.76)*$D75),"")</f>
        <v/>
      </c>
      <c r="H75" s="1184" t="str">
        <f ca="1">IFERROR((SUMPRODUCT(OFFSET(MD_Laundry_Index,0,MATCH($H$58,MD_Laundry_Hdr,0)-1,ROWS(MD_Laundry_Index),1),OFFSET(MD_Laundry_Index,0,MATCH($K$58,MD_Laundry_Hdr,0)-1,ROWS(MD_Laundry_Index),1),--(MD_Laundry_Index=$B75))*1000/$C75+IF(SI_IP_Units="IP",0.2,0.2*10.76)*$D75*0)/(SUMIF(MD_Laundry_Index,$B75,(OFFSET(MD_Laundry_Index,0,MATCH($H$58,MD_Laundry_Hdr,0)-1,ROWS(MD_Laundry_Index),1)))*1000/$C75+IF(SI_IP_Units="IP",0.2,0.2*10.76)*$D75),"")</f>
        <v/>
      </c>
      <c r="I75" s="968" t="str">
        <f ca="1">IFERROR(SUMIF(MD_Laundry_Index,$B75,OFFSET(MD_Laundry_Index,0,MATCH($I$58,MD_Laundry_Hdr,0)-1,ROWS(MD_Laundry_Index),1))/$D75*1000/$C75+0.2*(IF(SI_IP_Units="IP",1,10.76)),"")</f>
        <v/>
      </c>
      <c r="J75" s="968" t="str">
        <f ca="1">IFERROR((SUMPRODUCT(OFFSET(MD_Laundry_Index,0,MATCH($I$58,MD_Laundry_Hdr,0)-1,ROWS(MD_Laundry_Index),1),OFFSET(MD_Laundry_Index,0,MATCH($J$58,MD_Laundry_Hdr,0)-1,ROWS(MD_Laundry_Index),1),--(MD_Laundry_Index=$B75))*1000/$C75+IF(SI_IP_Units="IP",0.2,0.2*10.76)*$D75*1)/(SUMIF(MD_Laundry_Index,$B75,(OFFSET(MD_Laundry_Index,0,MATCH($I$58,MD_Laundry_Hdr,0)-1,ROWS(MD_Laundry_Index),1)))*1000/$C75+IF(SI_IP_Units="IP",0.2,0.2*10.76)*$D75),"")</f>
        <v/>
      </c>
      <c r="K75" s="1184" t="str">
        <f ca="1">IFERROR((SUMPRODUCT(OFFSET(MD_Laundry_Index,0,MATCH($I$58,MD_Laundry_Hdr,0)-1,ROWS(MD_Laundry_Index),1),OFFSET(MD_Laundry_Index,0,MATCH($K$58,MD_Laundry_Hdr,0)-1,ROWS(MD_Laundry_Index),1),--(MD_Laundry_Index=$B75))*1000/$C75+IF(SI_IP_Units="IP",0.2,0.2*10.76)*$D75*0)/(SUMIF(MD_Laundry_Index,$B75,(OFFSET(MD_Laundry_Index,0,MATCH($I$58,MD_Laundry_Hdr,0)-1,ROWS(MD_Laundry_Index),1)))*1000/$C75+IF(SI_IP_Units="IP",0.2,0.2*10.76)*$D75),"")</f>
        <v/>
      </c>
      <c r="L75" s="1189"/>
      <c r="M75" s="1183" t="str">
        <f ca="1">IFERROR(SUMIF(MD_Laundry_Index,$B75,OFFSET(MD_Laundry_Index,0,MATCH($M$58,MD_Laundry_Hdr,0)-1,ROWS(MD_Laundry_Index),1))/$D75/$C75*IF(SI_IP_Units="IP",100000,1000),"")</f>
        <v/>
      </c>
      <c r="N75" s="968" t="str">
        <f ca="1">IFERROR(SUMPRODUCT(OFFSET(MD_Laundry_Index,0,MATCH($M$58,MD_Laundry_Hdr,0)-1,ROWS(MD_Laundry_Index),1),OFFSET(MD_Laundry_Index,0,MATCH($O$58,MD_Laundry_Hdr,0)-1,ROWS(MD_Laundry_Index),1),--(MD_Laundry_Index=$B75))/SUMIF(MD_Laundry_Index,$B75,OFFSET(MD_Laundry_Index,0,MATCH($M$58,MD_Laundry_Hdr,0)-1)),"")</f>
        <v/>
      </c>
      <c r="O75" s="1184" t="str">
        <f ca="1">IFERROR(SUMPRODUCT(OFFSET(MD_Laundry_Index,0,MATCH($M$58,MD_Laundry_Hdr,0)-1,ROWS(MD_Laundry_Index),1),OFFSET(MD_Laundry_Index,0,MATCH($P$58,MD_Laundry_Hdr,0)-1,ROWS(MD_Laundry_Index),1),--(MD_Laundry_Index=$B75))/SUMIF(MD_Laundry_Index,$B75,OFFSET(MD_Laundry_Index,0,MATCH($M$58,MD_Laundry_Hdr,0)-1)),"")</f>
        <v/>
      </c>
      <c r="P75" s="968" t="str">
        <f ca="1">IFERROR(SUMIF(MD_Laundry_Index,$B75,OFFSET(MD_Laundry_Index,0,MATCH($N$58,MD_Laundry_Hdr,0)-1,ROWS(MD_Laundry_Index),1))/$D75/$C75*IF(SI_IP_Units="IP",100000,1000),"")</f>
        <v/>
      </c>
      <c r="Q75" s="968" t="str">
        <f ca="1">IFERROR(SUMPRODUCT(OFFSET(MD_Laundry_Index,0,MATCH($N$58,MD_Laundry_Hdr,0)-1,ROWS(MD_Laundry_Index),1),OFFSET(MD_Laundry_Index,0,MATCH($O$58,MD_Laundry_Hdr,0)-1,ROWS(MD_Laundry_Index),1),--(MD_Laundry_Index=$B75))/SUMIF(MD_Laundry_Index,$B75,OFFSET(MD_Laundry_Index,0,MATCH($N$58,MD_Laundry_Hdr,0)-1)),"")</f>
        <v/>
      </c>
      <c r="R75" s="1184" t="str">
        <f ca="1">IFERROR(SUMPRODUCT(OFFSET(MD_Laundry_Index,0,MATCH($N$58,MD_Laundry_Hdr,0)-1,ROWS(MD_Laundry_Index),1),OFFSET(MD_Laundry_Index,0,MATCH($P$58,MD_Laundry_Hdr,0)-1,ROWS(MD_Laundry_Index),1),--(MD_Laundry_Index=$B75))/SUMIF(MD_Laundry_Index,$B75,OFFSET(MD_Laundry_Index,0,MATCH($N$58,MD_Laundry_Hdr,0)-1)),"")</f>
        <v/>
      </c>
      <c r="S75" s="1189"/>
      <c r="T75" s="1190">
        <f ca="1">IFERROR(SUMIF(MD_Laundry_Index,$B75,OFFSET(MD_Laundry_Index,0,MATCH($T$58,MD_Laundry_Hdr,0)-1,ROWS(MD_Laundry_Index),1)),"")</f>
        <v>0</v>
      </c>
      <c r="U75" s="976">
        <f ca="1">IFERROR(SUMIF(MD_Laundry_Index,$B75,OFFSET(MD_Laundry_Index,0,MATCH($U$58,MD_Laundry_Hdr,0)-1,ROWS(MD_Laundry_Index),1)),"")</f>
        <v>0</v>
      </c>
      <c r="V75" s="897"/>
      <c r="W75" s="897"/>
      <c r="X75" s="2276"/>
      <c r="Y75" s="897"/>
      <c r="Z75" s="897"/>
      <c r="AA75" s="897"/>
      <c r="AB75" s="897"/>
      <c r="AC75" s="897"/>
      <c r="AD75" s="897"/>
      <c r="AE75" s="897"/>
      <c r="AF75" s="897"/>
      <c r="AG75" s="897"/>
      <c r="AH75" s="897"/>
      <c r="AI75" s="897"/>
      <c r="AJ75" s="897"/>
      <c r="AK75" s="897"/>
      <c r="AL75" s="897"/>
      <c r="AM75" s="897"/>
      <c r="AN75" s="897"/>
      <c r="AO75" s="897"/>
      <c r="AP75" s="897"/>
      <c r="AQ75" s="897"/>
      <c r="AR75" s="897"/>
      <c r="AS75" s="897"/>
      <c r="AT75" s="897"/>
      <c r="AU75" s="897"/>
      <c r="AV75" s="897"/>
      <c r="AW75" s="897"/>
      <c r="AX75" s="897"/>
      <c r="AY75" s="897"/>
      <c r="AZ75" s="897"/>
      <c r="BA75" s="897"/>
      <c r="BB75" s="897"/>
      <c r="BC75" s="897"/>
      <c r="BD75" s="897"/>
      <c r="BE75" s="897"/>
      <c r="BF75" s="897"/>
      <c r="BG75" s="897"/>
      <c r="BH75" s="897"/>
      <c r="BI75" s="897"/>
      <c r="BJ75" s="897"/>
      <c r="BK75" s="897"/>
      <c r="BL75" s="897"/>
      <c r="BM75" s="897"/>
      <c r="BN75" s="897"/>
      <c r="BO75" s="897"/>
      <c r="BP75" s="897"/>
      <c r="BQ75" s="897"/>
      <c r="BR75" s="897"/>
      <c r="BS75" s="897"/>
      <c r="BT75" s="897"/>
      <c r="BU75" s="897"/>
      <c r="BV75" s="897"/>
      <c r="BW75" s="897"/>
      <c r="BX75" s="897"/>
      <c r="BY75" s="897"/>
      <c r="BZ75" s="897"/>
      <c r="CA75" s="897"/>
      <c r="CB75" s="897"/>
      <c r="CC75" s="897"/>
      <c r="CD75" s="897"/>
      <c r="CE75" s="897"/>
      <c r="CF75" s="897"/>
      <c r="CG75" s="897"/>
      <c r="CH75" s="897"/>
      <c r="CI75" s="897"/>
      <c r="CJ75" s="897"/>
      <c r="CK75" s="897"/>
      <c r="CL75" s="897"/>
      <c r="CM75" s="897"/>
      <c r="CN75" s="897"/>
      <c r="CO75" s="897"/>
      <c r="CP75" s="897"/>
      <c r="CQ75" s="897"/>
      <c r="CR75" s="897"/>
      <c r="CS75" s="897"/>
      <c r="CT75" s="897"/>
      <c r="CU75" s="897"/>
      <c r="CV75" s="897"/>
      <c r="CW75" s="897"/>
      <c r="CX75" s="897"/>
      <c r="CY75" s="897"/>
      <c r="CZ75" s="897"/>
      <c r="DA75" s="897"/>
      <c r="DB75" s="897"/>
      <c r="DC75" s="897"/>
      <c r="DD75" s="897"/>
      <c r="DE75" s="897"/>
      <c r="DF75" s="897"/>
      <c r="DG75" s="897"/>
      <c r="DH75" s="897"/>
      <c r="DI75" s="897"/>
      <c r="DJ75" s="897"/>
      <c r="DK75" s="897"/>
      <c r="DL75" s="897"/>
      <c r="DM75" s="897"/>
      <c r="DN75" s="897"/>
      <c r="DO75" s="897"/>
      <c r="DP75" s="897"/>
      <c r="DQ75" s="897"/>
      <c r="DR75" s="897"/>
      <c r="DS75" s="897"/>
      <c r="DT75" s="897"/>
      <c r="DU75" s="897"/>
      <c r="DV75" s="897"/>
      <c r="DW75" s="897"/>
      <c r="DX75" s="897"/>
      <c r="DY75" s="897"/>
      <c r="DZ75" s="897"/>
      <c r="EA75" s="897"/>
      <c r="EB75" s="897"/>
      <c r="EC75" s="897"/>
      <c r="ED75" s="897"/>
      <c r="EE75" s="897"/>
      <c r="EF75" s="897"/>
      <c r="EG75" s="897"/>
      <c r="EH75" s="897"/>
      <c r="EI75" s="897"/>
      <c r="EJ75" s="897"/>
      <c r="EK75" s="897"/>
      <c r="EL75" s="897"/>
      <c r="EM75" s="897"/>
      <c r="EN75" s="897"/>
      <c r="EO75" s="897"/>
      <c r="EP75" s="897"/>
      <c r="EQ75" s="897"/>
      <c r="ER75" s="897"/>
      <c r="ES75" s="897"/>
      <c r="ET75" s="897"/>
      <c r="EU75" s="897"/>
      <c r="EV75" s="897"/>
      <c r="EW75" s="897"/>
      <c r="EX75" s="897"/>
      <c r="EY75" s="897"/>
      <c r="EZ75" s="897"/>
      <c r="FA75" s="897"/>
      <c r="FB75" s="897"/>
      <c r="FC75" s="897"/>
      <c r="FD75" s="897"/>
      <c r="FE75" s="897"/>
      <c r="FF75" s="897"/>
      <c r="FG75" s="897"/>
      <c r="FH75" s="897"/>
      <c r="FI75" s="897"/>
      <c r="FJ75" s="897"/>
      <c r="FK75" s="897"/>
      <c r="FL75" s="897"/>
      <c r="FM75" s="897"/>
      <c r="FN75" s="897"/>
      <c r="FO75" s="897"/>
      <c r="FP75" s="897"/>
      <c r="FQ75" s="897"/>
      <c r="FR75" s="897"/>
      <c r="FS75" s="897"/>
      <c r="FT75" s="897"/>
      <c r="FU75" s="897"/>
      <c r="FV75" s="897"/>
      <c r="FW75" s="897"/>
      <c r="FX75" s="897"/>
      <c r="FY75" s="897"/>
      <c r="FZ75" s="897"/>
      <c r="GA75" s="897"/>
      <c r="GB75" s="897"/>
      <c r="GC75" s="897"/>
      <c r="GD75" s="897"/>
      <c r="GE75" s="897"/>
      <c r="GF75" s="897"/>
      <c r="GG75" s="897"/>
      <c r="GH75" s="897"/>
      <c r="GI75" s="897"/>
      <c r="GJ75" s="897"/>
      <c r="GK75" s="897"/>
      <c r="GL75" s="897"/>
      <c r="GM75" s="897"/>
      <c r="GN75" s="897"/>
      <c r="GO75" s="897"/>
      <c r="GP75" s="897"/>
      <c r="GQ75" s="897"/>
      <c r="GR75" s="897"/>
      <c r="GS75" s="897"/>
      <c r="GT75" s="897"/>
      <c r="GU75" s="897"/>
      <c r="GV75" s="897"/>
      <c r="GW75" s="897"/>
      <c r="GX75" s="897"/>
      <c r="GY75" s="897"/>
      <c r="GZ75" s="897"/>
      <c r="HA75" s="897"/>
      <c r="HB75" s="897"/>
      <c r="HC75" s="897"/>
      <c r="HD75" s="897"/>
      <c r="HE75" s="897"/>
      <c r="HF75" s="897"/>
      <c r="HG75" s="897"/>
      <c r="HH75" s="897"/>
      <c r="HI75" s="897"/>
      <c r="HJ75" s="897"/>
      <c r="HK75" s="897"/>
      <c r="HL75" s="897"/>
      <c r="HM75" s="897"/>
      <c r="HN75" s="897"/>
      <c r="HO75" s="897"/>
      <c r="HP75" s="897"/>
    </row>
    <row r="76" spans="1:224" x14ac:dyDescent="0.25">
      <c r="A76" s="888" t="s">
        <v>1298</v>
      </c>
      <c r="B76" s="897"/>
      <c r="C76" s="897"/>
      <c r="D76" s="897"/>
      <c r="E76" s="897"/>
      <c r="F76" s="897"/>
      <c r="G76" s="897"/>
      <c r="H76" s="897"/>
      <c r="I76" s="897"/>
      <c r="J76" s="897"/>
      <c r="K76" s="897"/>
      <c r="L76" s="897"/>
      <c r="M76" s="897"/>
      <c r="N76" s="897"/>
      <c r="O76" s="897"/>
      <c r="P76" s="897"/>
      <c r="Q76" s="897"/>
      <c r="R76" s="897"/>
      <c r="S76" s="897"/>
      <c r="T76" s="897"/>
      <c r="U76" s="897"/>
    </row>
    <row r="77" spans="1:224" x14ac:dyDescent="0.25">
      <c r="A77" s="888" t="s">
        <v>1298</v>
      </c>
      <c r="B77" s="1101"/>
      <c r="C77" s="1101"/>
      <c r="D77" s="897"/>
      <c r="E77" s="897"/>
      <c r="F77" s="897"/>
      <c r="G77" s="897"/>
      <c r="H77" s="897"/>
      <c r="I77" s="897"/>
      <c r="J77" s="897"/>
      <c r="K77" s="897"/>
      <c r="L77" s="897"/>
      <c r="M77" s="897"/>
      <c r="N77" s="897"/>
      <c r="O77" s="897"/>
      <c r="P77" s="897"/>
      <c r="Q77" s="897"/>
      <c r="R77" s="897"/>
      <c r="S77" s="897"/>
      <c r="T77" s="897"/>
      <c r="U77" s="897"/>
    </row>
    <row r="78" spans="1:224" ht="15.75" x14ac:dyDescent="0.25">
      <c r="A78" s="888" t="s">
        <v>1298</v>
      </c>
      <c r="B78" s="902" t="s">
        <v>1560</v>
      </c>
      <c r="C78" s="1101"/>
      <c r="D78" s="897"/>
      <c r="E78" s="897"/>
      <c r="F78" s="897"/>
      <c r="G78" s="897"/>
      <c r="H78" s="897"/>
      <c r="I78" s="897"/>
      <c r="J78" s="897"/>
      <c r="K78" s="897"/>
      <c r="L78" s="897"/>
      <c r="M78" s="897"/>
      <c r="N78" s="897"/>
      <c r="O78" s="897"/>
      <c r="P78" s="897"/>
      <c r="Q78" s="897"/>
      <c r="R78" s="897"/>
      <c r="S78" s="897"/>
      <c r="T78" s="897"/>
      <c r="U78" s="897"/>
    </row>
    <row r="79" spans="1:224" x14ac:dyDescent="0.25">
      <c r="A79" s="888" t="s">
        <v>1298</v>
      </c>
      <c r="B79" s="659"/>
      <c r="C79" s="1101"/>
      <c r="D79" s="897"/>
      <c r="E79" s="897"/>
      <c r="F79" s="897"/>
      <c r="G79" s="897"/>
      <c r="H79" s="897"/>
      <c r="I79" s="897"/>
      <c r="J79" s="897"/>
      <c r="K79" s="897"/>
      <c r="L79" s="897"/>
      <c r="M79" s="897"/>
      <c r="N79" s="897"/>
      <c r="O79" s="897"/>
      <c r="P79" s="897"/>
      <c r="Q79" s="897"/>
      <c r="R79" s="897"/>
      <c r="S79" s="897"/>
      <c r="T79" s="897"/>
      <c r="U79" s="897"/>
    </row>
    <row r="80" spans="1:224" ht="27" customHeight="1" x14ac:dyDescent="0.25">
      <c r="A80" s="888" t="s">
        <v>1298</v>
      </c>
      <c r="B80" s="2573" t="s">
        <v>1561</v>
      </c>
      <c r="C80" s="2574"/>
      <c r="D80" s="2574"/>
      <c r="E80" s="2575"/>
      <c r="F80" s="2575"/>
      <c r="G80" s="2575"/>
      <c r="H80" s="2575"/>
      <c r="I80" s="2575"/>
      <c r="J80" s="2576"/>
      <c r="K80" s="2576"/>
      <c r="L80" s="2576"/>
      <c r="M80" s="2576"/>
      <c r="N80" s="2576"/>
      <c r="O80" s="2576"/>
      <c r="P80" s="2576"/>
      <c r="Q80" s="2576"/>
      <c r="R80" s="2577" t="s">
        <v>1367</v>
      </c>
      <c r="S80" s="2575"/>
      <c r="T80" s="2575"/>
      <c r="U80" s="2578"/>
    </row>
    <row r="81" spans="1:24" x14ac:dyDescent="0.25">
      <c r="A81" s="888" t="s">
        <v>1298</v>
      </c>
      <c r="B81" s="2146" t="s">
        <v>1368</v>
      </c>
      <c r="C81" s="2579" t="s">
        <v>1369</v>
      </c>
      <c r="D81" s="2580"/>
      <c r="E81" s="2580"/>
      <c r="F81" s="2580"/>
      <c r="G81" s="2580"/>
      <c r="H81" s="2580"/>
      <c r="I81" s="2580"/>
      <c r="J81" s="2581"/>
      <c r="K81" s="2581"/>
      <c r="L81" s="2581"/>
      <c r="M81" s="2581"/>
      <c r="N81" s="2581"/>
      <c r="O81" s="2581"/>
      <c r="P81" s="2581"/>
      <c r="Q81" s="2581"/>
      <c r="R81" s="2145"/>
      <c r="S81" s="1580">
        <f>IF(SI_IP_Units="IP",12,45)</f>
        <v>12</v>
      </c>
      <c r="T81" s="2563" t="str">
        <f>IF(SI_IP_Units="IP","gallons/day","liters/day")</f>
        <v>gallons/day</v>
      </c>
      <c r="U81" s="2564"/>
      <c r="X81" s="2276"/>
    </row>
    <row r="82" spans="1:24" x14ac:dyDescent="0.25">
      <c r="A82" s="888" t="s">
        <v>1298</v>
      </c>
      <c r="B82" s="2147" t="s">
        <v>1370</v>
      </c>
      <c r="C82" s="2579" t="s">
        <v>1371</v>
      </c>
      <c r="D82" s="2580"/>
      <c r="E82" s="2580"/>
      <c r="F82" s="2580"/>
      <c r="G82" s="2580"/>
      <c r="H82" s="2580"/>
      <c r="I82" s="2580"/>
      <c r="J82" s="2581"/>
      <c r="K82" s="2581"/>
      <c r="L82" s="2581"/>
      <c r="M82" s="2581"/>
      <c r="N82" s="2581"/>
      <c r="O82" s="2581"/>
      <c r="P82" s="2581"/>
      <c r="Q82" s="2581"/>
      <c r="R82" s="2145"/>
      <c r="S82" s="1580">
        <f>IF(SI_IP_Units="IP",25,95)</f>
        <v>25</v>
      </c>
      <c r="T82" s="2563" t="str">
        <f>IF(SI_IP_Units="IP","gallons/day","liters/day")</f>
        <v>gallons/day</v>
      </c>
      <c r="U82" s="2564"/>
      <c r="X82" s="2276"/>
    </row>
    <row r="83" spans="1:24" x14ac:dyDescent="0.25">
      <c r="A83" s="888" t="s">
        <v>1298</v>
      </c>
      <c r="B83" s="2147" t="s">
        <v>1372</v>
      </c>
      <c r="C83" s="2579" t="s">
        <v>1373</v>
      </c>
      <c r="D83" s="2580"/>
      <c r="E83" s="2580"/>
      <c r="F83" s="2580"/>
      <c r="G83" s="2580"/>
      <c r="H83" s="2580"/>
      <c r="I83" s="2580"/>
      <c r="J83" s="2581"/>
      <c r="K83" s="2581"/>
      <c r="L83" s="2581"/>
      <c r="M83" s="2581"/>
      <c r="N83" s="2581"/>
      <c r="O83" s="2581"/>
      <c r="P83" s="2581"/>
      <c r="Q83" s="2581"/>
      <c r="R83" s="2145"/>
      <c r="S83" s="1580">
        <f>IF(SI_IP_Units="IP",44,167)</f>
        <v>44</v>
      </c>
      <c r="T83" s="2563" t="str">
        <f>IF(SI_IP_Units="IP","gallons/day","liters/day")</f>
        <v>gallons/day</v>
      </c>
      <c r="U83" s="2564"/>
      <c r="X83" s="2276"/>
    </row>
    <row r="84" spans="1:24" x14ac:dyDescent="0.25">
      <c r="A84" s="888" t="s">
        <v>1298</v>
      </c>
      <c r="B84" s="897"/>
      <c r="C84" s="897"/>
      <c r="D84" s="897"/>
      <c r="E84" s="897"/>
      <c r="F84" s="897"/>
      <c r="G84" s="897"/>
      <c r="H84" s="897"/>
      <c r="I84" s="897"/>
      <c r="J84" s="897"/>
      <c r="K84" s="897"/>
      <c r="L84" s="897"/>
      <c r="M84" s="897"/>
      <c r="N84" s="897"/>
      <c r="O84" s="897"/>
      <c r="P84" s="897"/>
      <c r="Q84" s="897"/>
      <c r="R84" s="897"/>
      <c r="S84" s="897"/>
      <c r="T84" s="897"/>
      <c r="U84" s="897"/>
    </row>
    <row r="85" spans="1:24" ht="90" customHeight="1" x14ac:dyDescent="0.25">
      <c r="A85" s="888" t="s">
        <v>1298</v>
      </c>
      <c r="B85" s="2585" t="str">
        <f>CONCATENATE("Report the modeled Service Water Heating Full Load Hours of Operation in the Schedules tab before referring to the table below."," The Equivalent Full Load Hours of Operation is used to calculate the DHW modeled peak residential flow a the DHW Heater that must be modeled to be consistent with the annual hot water consumption calculated here."," After confirming the Equivalent Full Load Hours of Operation in the schedules tab,","Identify the residential service water heating usage profile, and the average fixture flows for sink and shower fixtures. Supply temperature at fixture point of use shall be ",IF(SI_IP_Units="IP","120 degrees F","49 degrees C"),". If the modeled supply DHW temperature from the DHW heater is higher than this,"," indicate the supply DHW temperature from the DHW heater and the average cold water input temperature below.","
This information along with the appliance information entered above and the schedule data from the schedules tab is used to determine the DHW modeled Peak Flow at DHW heater,","which should be input into the energy model.")</f>
        <v>Report the modeled Service Water Heating Full Load Hours of Operation in the Schedules tab before referring to the table below. The Equivalent Full Load Hours of Operation is used to calculate the DHW modeled peak residential flow a the DHW Heater that must be modeled to be consistent with the annual hot water consumption calculated here. After confirming the Equivalent Full Load Hours of Operation in the schedules tab,Identify the residential service water heating usage profile, and the average fixture flows for sink and shower fixtures. Supply temperature at fixture point of use shall be 120 degrees F. If the modeled supply DHW temperature from the DHW heater is higher than this, indicate the supply DHW temperature from the DHW heater and the average cold water input temperature below.
This information along with the appliance information entered above and the schedule data from the schedules tab is used to determine the DHW modeled Peak Flow at DHW heater,which should be input into the energy model.</v>
      </c>
      <c r="C85" s="2586"/>
      <c r="D85" s="2586"/>
      <c r="E85" s="2586"/>
      <c r="F85" s="2586"/>
      <c r="G85" s="2586"/>
      <c r="H85" s="2586"/>
      <c r="I85" s="2586"/>
      <c r="J85" s="2586"/>
      <c r="K85" s="2586"/>
      <c r="L85" s="2586"/>
      <c r="M85" s="2586"/>
      <c r="N85" s="2586"/>
      <c r="O85" s="2586"/>
      <c r="P85" s="2586"/>
      <c r="Q85" s="2586"/>
      <c r="R85" s="2586"/>
      <c r="S85" s="2586"/>
      <c r="T85" s="2586"/>
      <c r="U85" s="2586"/>
    </row>
    <row r="86" spans="1:24" x14ac:dyDescent="0.25">
      <c r="A86" s="888" t="s">
        <v>1298</v>
      </c>
      <c r="B86" s="897"/>
      <c r="C86" s="897"/>
      <c r="D86" s="897"/>
      <c r="E86" s="897"/>
      <c r="F86" s="897"/>
      <c r="G86" s="897"/>
      <c r="H86" s="897"/>
      <c r="I86" s="897"/>
      <c r="J86" s="897"/>
      <c r="K86" s="897"/>
      <c r="L86" s="897"/>
      <c r="M86" s="897"/>
      <c r="N86" s="897"/>
      <c r="O86" s="897"/>
      <c r="P86" s="897"/>
      <c r="Q86" s="897"/>
      <c r="R86" s="897"/>
      <c r="S86" s="897"/>
      <c r="T86" s="897"/>
      <c r="U86" s="897"/>
    </row>
    <row r="87" spans="1:24" ht="27.75" customHeight="1" x14ac:dyDescent="0.25">
      <c r="A87" s="888" t="s">
        <v>1298</v>
      </c>
      <c r="B87" s="2525" t="s">
        <v>1357</v>
      </c>
      <c r="C87" s="2526" t="s">
        <v>1567</v>
      </c>
      <c r="D87" s="2486" t="str">
        <f>CONCATENATE("Average Fixture Flows ",IF(SI_IP_Units="IP","(gallons/minute)","(Liters/second)"))</f>
        <v>Average Fixture Flows (gallons/minute)</v>
      </c>
      <c r="E87" s="2591"/>
      <c r="F87" s="2486" t="str">
        <f>CONCATENATE("DHW Temperature Settings ",IF(SI_IP_Units="IP","(degrees F)","(degrees C)"))</f>
        <v>DHW Temperature Settings (degrees F)</v>
      </c>
      <c r="G87" s="2594"/>
      <c r="H87" s="2591"/>
      <c r="I87" s="2486" t="str">
        <f>CONCATENATE("DHW Sink and Shower Fixture Loads at Point of Use",IF(SI_IP_Units="IP"," (gallons / year)", "(Liters / year)"))</f>
        <v>DHW Sink and Shower Fixture Loads at Point of Use (gallons / year)</v>
      </c>
      <c r="J87" s="2591"/>
      <c r="K87" s="2486" t="str">
        <f>CONCATENATE("DHW In-Unit Appliance Loads at Point of Use",IF(SI_IP_Units="IP"," (gallons / year)", "(Liters / year)"))</f>
        <v>DHW In-Unit Appliance Loads at Point of Use (gallons / year)</v>
      </c>
      <c r="L87" s="2591"/>
      <c r="M87" s="2486" t="str">
        <f>CONCATENATE("DHW Laundry Room Equipment Loads at Point of Use",IF(SI_IP_Units="IP"," (gallons / year)", "(Liters / year)"))</f>
        <v>DHW Laundry Room Equipment Loads at Point of Use (gallons / year)</v>
      </c>
      <c r="N87" s="2591"/>
      <c r="O87" s="2486" t="str">
        <f>CONCATENATE("DHW Total Residential Loads at Point of Use",IF(SI_IP_Units="IP"," (gallons / year)", "(Liters / year)"))</f>
        <v>DHW Total Residential Loads at Point of Use (gallons / year)</v>
      </c>
      <c r="P87" s="2591"/>
      <c r="Q87" s="2486" t="str">
        <f>CONCATENATE("DHW Total Residential Loads at DHW Heater",IF(SI_IP_Units="IP"," (gallons / year)", "(Liters / year)"))</f>
        <v>DHW Total Residential Loads at DHW Heater (gallons / year)</v>
      </c>
      <c r="R87" s="2591"/>
      <c r="S87" s="2595" t="s">
        <v>1568</v>
      </c>
      <c r="T87" s="2486" t="str">
        <f>CONCATENATE("DHW Modeled Peak Residential Flow at DHW Heater",IF(SI_IP_Units="IP"," (gallons / minute)", "(Liters / second)"))</f>
        <v>DHW Modeled Peak Residential Flow at DHW Heater (gallons / minute)</v>
      </c>
      <c r="U87" s="2591"/>
    </row>
    <row r="88" spans="1:24" ht="27.75" customHeight="1" x14ac:dyDescent="0.25">
      <c r="A88" s="888" t="s">
        <v>1298</v>
      </c>
      <c r="B88" s="2525"/>
      <c r="C88" s="2526"/>
      <c r="D88" s="2592"/>
      <c r="E88" s="2593"/>
      <c r="F88" s="2470" t="s">
        <v>1569</v>
      </c>
      <c r="G88" s="2468" t="s">
        <v>1570</v>
      </c>
      <c r="H88" s="2469" t="s">
        <v>1571</v>
      </c>
      <c r="I88" s="2592"/>
      <c r="J88" s="2593"/>
      <c r="K88" s="2592"/>
      <c r="L88" s="2593"/>
      <c r="M88" s="2592"/>
      <c r="N88" s="2593"/>
      <c r="O88" s="2592"/>
      <c r="P88" s="2593"/>
      <c r="Q88" s="2592"/>
      <c r="R88" s="2593"/>
      <c r="S88" s="2595"/>
      <c r="T88" s="2592"/>
      <c r="U88" s="2593"/>
    </row>
    <row r="89" spans="1:24" ht="38.25" customHeight="1" x14ac:dyDescent="0.25">
      <c r="A89" s="888" t="s">
        <v>1298</v>
      </c>
      <c r="B89" s="2589"/>
      <c r="C89" s="2590"/>
      <c r="D89" s="1738" t="s">
        <v>1572</v>
      </c>
      <c r="E89" s="1739" t="s">
        <v>1573</v>
      </c>
      <c r="F89" s="2596"/>
      <c r="G89" s="2597"/>
      <c r="H89" s="2588"/>
      <c r="I89" s="1738" t="s">
        <v>347</v>
      </c>
      <c r="J89" s="1739" t="s">
        <v>348</v>
      </c>
      <c r="K89" s="1738" t="s">
        <v>347</v>
      </c>
      <c r="L89" s="1739" t="s">
        <v>348</v>
      </c>
      <c r="M89" s="1738" t="s">
        <v>347</v>
      </c>
      <c r="N89" s="1739" t="s">
        <v>348</v>
      </c>
      <c r="O89" s="1738" t="s">
        <v>347</v>
      </c>
      <c r="P89" s="1739" t="s">
        <v>348</v>
      </c>
      <c r="Q89" s="1738" t="s">
        <v>347</v>
      </c>
      <c r="R89" s="1739" t="s">
        <v>348</v>
      </c>
      <c r="S89" s="2590"/>
      <c r="T89" s="1738" t="s">
        <v>347</v>
      </c>
      <c r="U89" s="1739" t="s">
        <v>348</v>
      </c>
    </row>
    <row r="90" spans="1:24" ht="51.75" hidden="1" x14ac:dyDescent="0.25">
      <c r="A90" s="888" t="s">
        <v>1298</v>
      </c>
      <c r="B90" s="977" t="s">
        <v>1357</v>
      </c>
      <c r="C90" s="977" t="s">
        <v>1574</v>
      </c>
      <c r="D90" s="978" t="s">
        <v>1575</v>
      </c>
      <c r="E90" s="977" t="s">
        <v>1576</v>
      </c>
      <c r="F90" s="979" t="s">
        <v>1577</v>
      </c>
      <c r="G90" s="980" t="s">
        <v>1578</v>
      </c>
      <c r="H90" s="980" t="s">
        <v>1579</v>
      </c>
      <c r="I90" s="979" t="s">
        <v>1580</v>
      </c>
      <c r="J90" s="980" t="s">
        <v>1581</v>
      </c>
      <c r="K90" s="980" t="s">
        <v>1582</v>
      </c>
      <c r="L90" s="978" t="s">
        <v>1583</v>
      </c>
      <c r="M90" s="979" t="s">
        <v>1584</v>
      </c>
      <c r="N90" s="980" t="s">
        <v>1585</v>
      </c>
      <c r="O90" s="980" t="s">
        <v>1586</v>
      </c>
      <c r="P90" s="979" t="s">
        <v>1587</v>
      </c>
      <c r="Q90" s="980" t="s">
        <v>1588</v>
      </c>
      <c r="R90" s="980" t="s">
        <v>1589</v>
      </c>
      <c r="S90" s="978" t="s">
        <v>1590</v>
      </c>
      <c r="T90" s="980" t="s">
        <v>1591</v>
      </c>
      <c r="U90" s="979" t="s">
        <v>1592</v>
      </c>
    </row>
    <row r="91" spans="1:24" x14ac:dyDescent="0.25">
      <c r="A91" s="888" t="s">
        <v>1298</v>
      </c>
      <c r="B91" s="975" t="str">
        <f>'Multiple Buildings Details'!B24</f>
        <v>SEA Building Addition</v>
      </c>
      <c r="C91" s="1505"/>
      <c r="D91" s="1506"/>
      <c r="E91" s="1506"/>
      <c r="F91" s="1507"/>
      <c r="G91" s="1508"/>
      <c r="H91" s="1195">
        <f>IF(SI_IP_Units="IP",120,CONVERT(120,"F","C"))</f>
        <v>120</v>
      </c>
      <c r="I91" s="976" t="str">
        <f>IFERROR(VLOOKUP($C91,Res_Usage_Profile_Table,18,FALSE)*365*INDEX(MD_BUS_SumTable,MATCH($B91,MD_BUS_SumIndex,0),MATCH($F$21,MD_BUS_SumHdr,0)),"N/A")</f>
        <v>N/A</v>
      </c>
      <c r="J91" s="976" t="str">
        <f>IF(ISERROR(1/$D91/$E91),$I91,IFERROR($I91*IF(SI_IP_Units="IP",(0.36+0.54*$D91/2.5+0.1*$E91/2.2),(0.36+0.54*$D91/0.16+0.1*$E91/0.14)),$I91))</f>
        <v>N/A</v>
      </c>
      <c r="K91" s="1196">
        <f ca="1">IFERROR(SUMIF(MD_HDUEC_Index,$B91,OFFSET(MD_HDUEC_Index,0,MATCH($T$31,MD_HDUEC_Hdr,0)-1,ROWS(MD_HDUEC_Index),1)),"N/A")</f>
        <v>0</v>
      </c>
      <c r="L91" s="1196">
        <f ca="1">IFERROR(SUMIF(MD_HDUEC_Index,$B91,OFFSET(MD_HDUEC_Index,0,MATCH($U$31,MD_HDUEC_Hdr,0)-1,ROWS(MD_HDUEC_Index),1)),"N/A")</f>
        <v>0</v>
      </c>
      <c r="M91" s="1191">
        <f ca="1">IFERROR(SUMIF(MD_Laundry_Index,$B91,OFFSET(MD_Laundry_Index,0,MATCH($T$58,MD_Laundry_Hdr,0)-1,ROWS(MD_Laundry_Index),1)),"N/A")</f>
        <v>0</v>
      </c>
      <c r="N91" s="976">
        <f ca="1">IFERROR(SUMIF(MD_Laundry_Index,$B91,OFFSET(MD_Laundry_Index,0,MATCH($U$58,MD_Laundry_Hdr,0)-1,ROWS(MD_Laundry_Index),1)),"N/A")</f>
        <v>0</v>
      </c>
      <c r="O91" s="1196">
        <f ca="1">IFERROR(SUM(I91,K91,M91),0)</f>
        <v>0</v>
      </c>
      <c r="P91" s="1196">
        <f ca="1">IFERROR(SUM(J91,L91,N91),0)</f>
        <v>0</v>
      </c>
      <c r="Q91" s="976">
        <f ca="1">IFERROR(IF(ISERROR(1/$G91),O91,($H91-$G91)/($F91-$G91)*O91),O91)</f>
        <v>0</v>
      </c>
      <c r="R91" s="976">
        <f ca="1">IFERROR(IF(ISERROR(1/$G91),P91,($H91-$G91)/($F91-$G91)*P91),P91)</f>
        <v>0</v>
      </c>
      <c r="S91" s="1197">
        <f>Schedules!$E$12</f>
        <v>2446</v>
      </c>
      <c r="T91" s="1198">
        <f t="shared" ref="T91:U91" ca="1" si="31">IFERROR(IF(SI_IP_Units="IP",Q91/$S91/60,Q91/$S91/60/60),"N/A")</f>
        <v>0</v>
      </c>
      <c r="U91" s="1198">
        <f t="shared" ca="1" si="31"/>
        <v>0</v>
      </c>
      <c r="X91" s="2276"/>
    </row>
    <row r="92" spans="1:24" x14ac:dyDescent="0.25">
      <c r="A92" s="888" t="s">
        <v>1298</v>
      </c>
      <c r="B92" s="2148" t="s">
        <v>1593</v>
      </c>
      <c r="C92" s="897"/>
      <c r="D92" s="897"/>
      <c r="E92" s="897"/>
      <c r="F92" s="897"/>
      <c r="G92" s="897"/>
      <c r="H92" s="897"/>
      <c r="I92" s="897"/>
      <c r="J92" s="897"/>
      <c r="K92" s="897"/>
      <c r="L92" s="897"/>
      <c r="M92" s="897"/>
      <c r="N92" s="897"/>
      <c r="O92" s="897"/>
      <c r="P92" s="897"/>
      <c r="Q92" s="897"/>
      <c r="R92" s="897"/>
      <c r="S92" s="897"/>
      <c r="T92" s="897"/>
      <c r="U92" s="897"/>
    </row>
    <row r="93" spans="1:24" x14ac:dyDescent="0.25">
      <c r="A93" s="992"/>
      <c r="B93" s="897"/>
      <c r="C93" s="897"/>
      <c r="D93" s="897"/>
      <c r="E93" s="897"/>
      <c r="F93" s="897"/>
      <c r="G93" s="897"/>
      <c r="H93" s="897"/>
      <c r="I93" s="897"/>
      <c r="J93" s="897"/>
      <c r="K93" s="897"/>
      <c r="L93" s="897"/>
      <c r="M93" s="897"/>
      <c r="N93" s="897"/>
      <c r="O93" s="897"/>
      <c r="P93" s="897"/>
      <c r="Q93" s="897"/>
      <c r="R93" s="897"/>
      <c r="S93" s="897"/>
      <c r="T93" s="897"/>
      <c r="U93" s="897"/>
    </row>
    <row r="94" spans="1:24" x14ac:dyDescent="0.25">
      <c r="A94" s="992"/>
      <c r="B94" s="897"/>
      <c r="C94" s="897"/>
      <c r="D94" s="897"/>
      <c r="E94" s="897"/>
      <c r="F94" s="897"/>
      <c r="G94" s="897"/>
      <c r="H94" s="897"/>
      <c r="I94" s="897"/>
      <c r="J94" s="897"/>
      <c r="K94" s="897"/>
      <c r="L94" s="897"/>
      <c r="M94" s="897"/>
      <c r="N94" s="897"/>
      <c r="O94" s="897"/>
      <c r="P94" s="897"/>
      <c r="Q94" s="897"/>
      <c r="R94" s="897"/>
      <c r="S94" s="897"/>
      <c r="T94" s="897"/>
      <c r="U94" s="897"/>
    </row>
    <row r="95" spans="1:24" x14ac:dyDescent="0.25">
      <c r="A95" s="897"/>
      <c r="B95" s="897"/>
      <c r="C95" s="897"/>
      <c r="D95" s="897"/>
      <c r="E95" s="897"/>
      <c r="F95" s="897"/>
      <c r="G95" s="897"/>
      <c r="H95" s="897"/>
      <c r="I95" s="897"/>
      <c r="J95" s="897"/>
      <c r="K95" s="897"/>
      <c r="L95" s="897"/>
      <c r="M95" s="897"/>
      <c r="N95" s="897"/>
      <c r="O95" s="897"/>
      <c r="P95" s="897"/>
      <c r="Q95" s="897"/>
      <c r="R95" s="897"/>
      <c r="S95" s="897"/>
      <c r="T95" s="897"/>
      <c r="U95" s="897"/>
    </row>
    <row r="96" spans="1:24" x14ac:dyDescent="0.25">
      <c r="A96" s="897"/>
      <c r="B96" s="897"/>
      <c r="C96" s="897"/>
      <c r="D96" s="897"/>
      <c r="E96" s="897"/>
      <c r="F96" s="897"/>
      <c r="G96" s="897"/>
      <c r="H96" s="897"/>
      <c r="I96" s="897"/>
      <c r="J96" s="897"/>
      <c r="K96" s="897"/>
      <c r="L96" s="897"/>
      <c r="M96" s="897"/>
      <c r="N96" s="897"/>
      <c r="O96" s="897"/>
      <c r="P96" s="897"/>
      <c r="Q96" s="897"/>
      <c r="R96" s="897"/>
      <c r="S96" s="897"/>
      <c r="T96" s="897"/>
      <c r="U96" s="897"/>
    </row>
    <row r="97" spans="1:21" x14ac:dyDescent="0.25">
      <c r="A97" s="897"/>
      <c r="B97" s="897"/>
      <c r="C97" s="897"/>
      <c r="D97" s="897"/>
      <c r="E97" s="897"/>
      <c r="F97" s="897"/>
      <c r="G97" s="897"/>
      <c r="H97" s="897"/>
      <c r="I97" s="897"/>
      <c r="J97" s="897"/>
      <c r="K97" s="897"/>
      <c r="L97" s="897"/>
      <c r="M97" s="897"/>
      <c r="N97" s="897"/>
      <c r="O97" s="897"/>
      <c r="P97" s="897"/>
      <c r="Q97" s="897"/>
      <c r="R97" s="897"/>
      <c r="S97" s="897"/>
      <c r="T97" s="897"/>
      <c r="U97" s="897"/>
    </row>
    <row r="98" spans="1:21" x14ac:dyDescent="0.25">
      <c r="A98" s="897"/>
      <c r="B98" s="897"/>
      <c r="C98" s="897"/>
      <c r="D98" s="897"/>
      <c r="E98" s="897"/>
      <c r="F98" s="897"/>
      <c r="G98" s="897"/>
      <c r="H98" s="897"/>
      <c r="I98" s="897"/>
      <c r="J98" s="897"/>
      <c r="K98" s="897"/>
      <c r="L98" s="897"/>
      <c r="M98" s="897"/>
      <c r="N98" s="897"/>
      <c r="O98" s="897"/>
      <c r="P98" s="897"/>
      <c r="Q98" s="897"/>
      <c r="R98" s="897"/>
      <c r="S98" s="897"/>
      <c r="T98" s="897"/>
      <c r="U98" s="897"/>
    </row>
    <row r="99" spans="1:21" x14ac:dyDescent="0.25">
      <c r="A99" s="897"/>
      <c r="B99" s="897"/>
      <c r="C99" s="897"/>
      <c r="D99" s="897"/>
      <c r="E99" s="897"/>
      <c r="F99" s="897"/>
      <c r="G99" s="897"/>
      <c r="H99" s="897"/>
      <c r="I99" s="897"/>
      <c r="J99" s="897"/>
      <c r="K99" s="897"/>
      <c r="L99" s="897"/>
      <c r="M99" s="897"/>
      <c r="N99" s="897"/>
      <c r="O99" s="897"/>
      <c r="P99" s="897"/>
      <c r="Q99" s="897"/>
      <c r="R99" s="897"/>
      <c r="S99" s="897"/>
      <c r="T99" s="897"/>
      <c r="U99" s="897"/>
    </row>
    <row r="100" spans="1:21" x14ac:dyDescent="0.25">
      <c r="A100" s="897"/>
      <c r="B100" s="897"/>
      <c r="C100" s="897"/>
      <c r="D100" s="897"/>
      <c r="E100" s="897"/>
      <c r="F100" s="897"/>
      <c r="G100" s="897"/>
      <c r="H100" s="897"/>
      <c r="I100" s="897"/>
      <c r="J100" s="897"/>
      <c r="K100" s="897"/>
      <c r="L100" s="897"/>
      <c r="M100" s="897"/>
      <c r="N100" s="897"/>
      <c r="O100" s="897"/>
      <c r="P100" s="897"/>
      <c r="Q100" s="897"/>
      <c r="R100" s="897"/>
      <c r="S100" s="897"/>
      <c r="T100" s="897"/>
      <c r="U100" s="897"/>
    </row>
    <row r="101" spans="1:21" x14ac:dyDescent="0.25">
      <c r="A101" s="897"/>
      <c r="B101" s="897"/>
      <c r="C101" s="897"/>
      <c r="D101" s="897"/>
      <c r="E101" s="897"/>
      <c r="F101" s="897"/>
      <c r="G101" s="897"/>
      <c r="H101" s="897"/>
      <c r="I101" s="897"/>
      <c r="J101" s="897"/>
      <c r="K101" s="897"/>
      <c r="L101" s="897"/>
      <c r="M101" s="897"/>
      <c r="N101" s="897"/>
      <c r="O101" s="897"/>
      <c r="P101" s="897"/>
      <c r="Q101" s="897"/>
      <c r="R101" s="897"/>
      <c r="S101" s="897"/>
      <c r="T101" s="897"/>
      <c r="U101" s="897"/>
    </row>
    <row r="102" spans="1:21" x14ac:dyDescent="0.25">
      <c r="A102" s="897"/>
      <c r="B102" s="897"/>
      <c r="C102" s="897"/>
      <c r="D102" s="897"/>
      <c r="E102" s="897"/>
      <c r="F102" s="897"/>
      <c r="G102" s="897"/>
      <c r="H102" s="897"/>
      <c r="I102" s="897"/>
      <c r="J102" s="897"/>
      <c r="K102" s="897"/>
      <c r="L102" s="897"/>
      <c r="M102" s="897"/>
      <c r="N102" s="897"/>
      <c r="O102" s="897"/>
      <c r="P102" s="897"/>
      <c r="Q102" s="897"/>
      <c r="R102" s="897"/>
      <c r="S102" s="897"/>
      <c r="T102" s="897"/>
      <c r="U102" s="897"/>
    </row>
    <row r="103" spans="1:21" x14ac:dyDescent="0.25">
      <c r="A103" s="897"/>
      <c r="B103" s="897"/>
      <c r="C103" s="897"/>
      <c r="D103" s="897"/>
      <c r="E103" s="897"/>
      <c r="F103" s="897"/>
      <c r="G103" s="897"/>
      <c r="H103" s="897"/>
      <c r="I103" s="897"/>
      <c r="J103" s="897"/>
      <c r="K103" s="897"/>
      <c r="L103" s="897"/>
      <c r="M103" s="897"/>
      <c r="N103" s="897"/>
      <c r="O103" s="897"/>
      <c r="P103" s="897"/>
      <c r="Q103" s="897"/>
      <c r="R103" s="897"/>
      <c r="S103" s="897"/>
      <c r="T103" s="897"/>
      <c r="U103" s="897"/>
    </row>
    <row r="104" spans="1:21" x14ac:dyDescent="0.25">
      <c r="A104" s="897"/>
      <c r="B104" s="897"/>
      <c r="C104" s="897"/>
      <c r="D104" s="897"/>
      <c r="E104" s="897"/>
      <c r="F104" s="897"/>
      <c r="G104" s="897"/>
      <c r="H104" s="897"/>
      <c r="I104" s="897"/>
      <c r="J104" s="897"/>
      <c r="K104" s="897"/>
      <c r="L104" s="897"/>
      <c r="M104" s="897"/>
      <c r="N104" s="897"/>
      <c r="O104" s="897"/>
      <c r="P104" s="897"/>
      <c r="Q104" s="897"/>
      <c r="R104" s="897"/>
      <c r="S104" s="897"/>
      <c r="T104" s="897"/>
      <c r="U104" s="897"/>
    </row>
    <row r="105" spans="1:21" x14ac:dyDescent="0.25">
      <c r="A105" s="897"/>
      <c r="B105" s="897"/>
      <c r="C105" s="897"/>
      <c r="D105" s="897"/>
      <c r="E105" s="897"/>
      <c r="F105" s="897"/>
      <c r="G105" s="897"/>
      <c r="H105" s="897"/>
      <c r="I105" s="897"/>
      <c r="J105" s="897"/>
      <c r="K105" s="897"/>
      <c r="L105" s="897"/>
      <c r="M105" s="897"/>
      <c r="N105" s="897"/>
      <c r="O105" s="897"/>
      <c r="P105" s="897"/>
      <c r="Q105" s="897"/>
      <c r="R105" s="897"/>
      <c r="S105" s="897"/>
      <c r="T105" s="897"/>
      <c r="U105" s="897"/>
    </row>
    <row r="106" spans="1:21" x14ac:dyDescent="0.25">
      <c r="A106" s="897"/>
      <c r="B106" s="897"/>
      <c r="C106" s="897"/>
      <c r="D106" s="897"/>
      <c r="E106" s="897"/>
      <c r="F106" s="897"/>
      <c r="G106" s="897"/>
      <c r="H106" s="897"/>
      <c r="I106" s="897"/>
      <c r="J106" s="897"/>
      <c r="K106" s="897"/>
      <c r="L106" s="897"/>
      <c r="M106" s="897"/>
      <c r="N106" s="897"/>
      <c r="O106" s="897"/>
      <c r="P106" s="897"/>
      <c r="Q106" s="897"/>
      <c r="R106" s="897"/>
      <c r="S106" s="897"/>
      <c r="T106" s="897"/>
      <c r="U106" s="897"/>
    </row>
    <row r="107" spans="1:21" x14ac:dyDescent="0.25">
      <c r="A107" s="897"/>
      <c r="B107" s="897"/>
      <c r="C107" s="897"/>
      <c r="D107" s="897"/>
      <c r="E107" s="897"/>
      <c r="F107" s="897"/>
      <c r="G107" s="897"/>
      <c r="H107" s="897"/>
      <c r="I107" s="897"/>
      <c r="J107" s="897"/>
      <c r="K107" s="897"/>
      <c r="L107" s="897"/>
      <c r="M107" s="897"/>
      <c r="N107" s="897"/>
      <c r="O107" s="897"/>
      <c r="P107" s="897"/>
      <c r="Q107" s="897"/>
      <c r="R107" s="897"/>
      <c r="S107" s="897"/>
      <c r="T107" s="897"/>
      <c r="U107" s="897"/>
    </row>
    <row r="108" spans="1:21" x14ac:dyDescent="0.25">
      <c r="A108" s="897"/>
      <c r="B108" s="897"/>
      <c r="C108" s="897"/>
      <c r="D108" s="897"/>
      <c r="E108" s="897"/>
      <c r="F108" s="897"/>
      <c r="G108" s="897"/>
      <c r="H108" s="897"/>
      <c r="I108" s="897"/>
      <c r="J108" s="897"/>
      <c r="K108" s="897"/>
      <c r="L108" s="897"/>
      <c r="M108" s="897"/>
      <c r="N108" s="897"/>
      <c r="O108" s="897"/>
      <c r="P108" s="897"/>
      <c r="Q108" s="897"/>
      <c r="R108" s="897"/>
      <c r="S108" s="897"/>
      <c r="T108" s="897"/>
      <c r="U108" s="897"/>
    </row>
    <row r="109" spans="1:21" x14ac:dyDescent="0.25">
      <c r="A109" s="897"/>
      <c r="B109" s="897"/>
      <c r="C109" s="897"/>
      <c r="D109" s="897"/>
      <c r="E109" s="897"/>
      <c r="F109" s="897"/>
      <c r="G109" s="897"/>
      <c r="H109" s="897"/>
      <c r="I109" s="897"/>
      <c r="J109" s="897"/>
      <c r="K109" s="897"/>
      <c r="L109" s="897"/>
      <c r="M109" s="897"/>
      <c r="N109" s="897"/>
      <c r="O109" s="897"/>
      <c r="P109" s="897"/>
      <c r="Q109" s="897"/>
      <c r="R109" s="897"/>
      <c r="S109" s="897"/>
      <c r="T109" s="897"/>
      <c r="U109" s="897"/>
    </row>
    <row r="110" spans="1:21" x14ac:dyDescent="0.25">
      <c r="A110" s="897"/>
      <c r="B110" s="897"/>
      <c r="C110" s="897"/>
      <c r="D110" s="897"/>
      <c r="E110" s="897"/>
      <c r="F110" s="897"/>
      <c r="G110" s="897"/>
      <c r="H110" s="897"/>
      <c r="I110" s="897"/>
      <c r="J110" s="897"/>
      <c r="K110" s="897"/>
      <c r="L110" s="897"/>
      <c r="M110" s="897"/>
      <c r="N110" s="897"/>
      <c r="O110" s="897"/>
      <c r="P110" s="897"/>
      <c r="Q110" s="897"/>
      <c r="R110" s="897"/>
      <c r="S110" s="897"/>
      <c r="T110" s="897"/>
      <c r="U110" s="897"/>
    </row>
    <row r="111" spans="1:21" x14ac:dyDescent="0.25">
      <c r="A111" s="897"/>
      <c r="B111" s="897"/>
      <c r="C111" s="897"/>
      <c r="D111" s="897"/>
      <c r="E111" s="897"/>
      <c r="F111" s="897"/>
      <c r="G111" s="897"/>
      <c r="H111" s="897"/>
      <c r="I111" s="897"/>
      <c r="J111" s="897"/>
      <c r="K111" s="897"/>
      <c r="L111" s="897"/>
      <c r="M111" s="897"/>
      <c r="N111" s="897"/>
      <c r="O111" s="897"/>
      <c r="P111" s="897"/>
      <c r="Q111" s="897"/>
      <c r="R111" s="897"/>
      <c r="S111" s="897"/>
      <c r="T111" s="897"/>
      <c r="U111" s="897"/>
    </row>
    <row r="112" spans="1:21" x14ac:dyDescent="0.25">
      <c r="A112" s="897"/>
      <c r="B112" s="897"/>
      <c r="C112" s="897"/>
      <c r="D112" s="897"/>
      <c r="E112" s="897"/>
      <c r="F112" s="897"/>
      <c r="G112" s="897"/>
      <c r="H112" s="897"/>
      <c r="I112" s="897"/>
      <c r="J112" s="897"/>
      <c r="K112" s="897"/>
      <c r="L112" s="897"/>
      <c r="M112" s="897"/>
      <c r="N112" s="897"/>
      <c r="O112" s="897"/>
      <c r="P112" s="897"/>
      <c r="Q112" s="897"/>
      <c r="R112" s="897"/>
      <c r="S112" s="897"/>
      <c r="T112" s="897"/>
      <c r="U112" s="897"/>
    </row>
    <row r="113" spans="1:21" x14ac:dyDescent="0.25">
      <c r="A113" s="897"/>
      <c r="B113" s="897"/>
      <c r="C113" s="897"/>
      <c r="D113" s="897"/>
      <c r="E113" s="897"/>
      <c r="F113" s="897"/>
      <c r="G113" s="897"/>
      <c r="H113" s="897"/>
      <c r="I113" s="897"/>
      <c r="J113" s="897"/>
      <c r="K113" s="897"/>
      <c r="L113" s="897"/>
      <c r="M113" s="897"/>
      <c r="N113" s="897"/>
      <c r="O113" s="897"/>
      <c r="P113" s="897"/>
      <c r="Q113" s="897"/>
      <c r="R113" s="897"/>
      <c r="S113" s="897"/>
      <c r="T113" s="897"/>
      <c r="U113" s="897"/>
    </row>
    <row r="114" spans="1:21" x14ac:dyDescent="0.25">
      <c r="A114" s="897"/>
      <c r="B114" s="897"/>
      <c r="C114" s="897"/>
      <c r="D114" s="897"/>
      <c r="E114" s="897"/>
      <c r="F114" s="897"/>
      <c r="G114" s="897"/>
      <c r="H114" s="897"/>
      <c r="I114" s="897"/>
      <c r="J114" s="897"/>
      <c r="K114" s="897"/>
      <c r="L114" s="897"/>
      <c r="M114" s="897"/>
      <c r="N114" s="897"/>
      <c r="O114" s="897"/>
      <c r="P114" s="897"/>
      <c r="Q114" s="897"/>
      <c r="R114" s="897"/>
      <c r="S114" s="897"/>
      <c r="T114" s="897"/>
      <c r="U114" s="897"/>
    </row>
    <row r="115" spans="1:21" x14ac:dyDescent="0.25">
      <c r="A115" s="897"/>
      <c r="B115" s="897"/>
      <c r="C115" s="897"/>
      <c r="D115" s="897"/>
      <c r="E115" s="897"/>
      <c r="F115" s="897"/>
      <c r="G115" s="897"/>
      <c r="H115" s="897"/>
      <c r="I115" s="897"/>
      <c r="J115" s="897"/>
      <c r="K115" s="897"/>
      <c r="L115" s="897"/>
      <c r="M115" s="897"/>
      <c r="N115" s="897"/>
      <c r="O115" s="897"/>
      <c r="P115" s="897"/>
      <c r="Q115" s="897"/>
      <c r="R115" s="897"/>
      <c r="S115" s="897"/>
      <c r="T115" s="897"/>
      <c r="U115" s="897"/>
    </row>
    <row r="116" spans="1:21" x14ac:dyDescent="0.25">
      <c r="A116" s="897"/>
      <c r="B116" s="897"/>
      <c r="C116" s="897"/>
      <c r="D116" s="897"/>
      <c r="E116" s="897"/>
      <c r="F116" s="897"/>
      <c r="G116" s="897"/>
      <c r="H116" s="897"/>
      <c r="I116" s="897"/>
      <c r="J116" s="897"/>
      <c r="K116" s="897"/>
      <c r="L116" s="897"/>
      <c r="M116" s="897"/>
      <c r="N116" s="897"/>
      <c r="O116" s="897"/>
      <c r="P116" s="897"/>
      <c r="Q116" s="897"/>
      <c r="R116" s="897"/>
      <c r="S116" s="897"/>
      <c r="T116" s="897"/>
      <c r="U116" s="897"/>
    </row>
    <row r="117" spans="1:21" x14ac:dyDescent="0.25">
      <c r="A117" s="897"/>
      <c r="B117" s="897"/>
      <c r="C117" s="897"/>
      <c r="D117" s="897"/>
      <c r="E117" s="897"/>
      <c r="F117" s="897"/>
      <c r="G117" s="897"/>
      <c r="H117" s="897"/>
      <c r="I117" s="897"/>
      <c r="J117" s="897"/>
      <c r="K117" s="897"/>
      <c r="L117" s="897"/>
      <c r="M117" s="897"/>
      <c r="N117" s="897"/>
      <c r="O117" s="897"/>
      <c r="P117" s="897"/>
      <c r="Q117" s="897"/>
      <c r="R117" s="897"/>
      <c r="S117" s="897"/>
      <c r="T117" s="897"/>
      <c r="U117" s="897"/>
    </row>
    <row r="118" spans="1:21" x14ac:dyDescent="0.25">
      <c r="A118" s="897"/>
      <c r="B118" s="897"/>
      <c r="C118" s="897"/>
      <c r="D118" s="897"/>
      <c r="E118" s="897"/>
      <c r="F118" s="897"/>
      <c r="G118" s="897"/>
      <c r="H118" s="897"/>
      <c r="I118" s="897"/>
      <c r="J118" s="897"/>
      <c r="K118" s="897"/>
      <c r="L118" s="897"/>
      <c r="M118" s="897"/>
      <c r="N118" s="897"/>
      <c r="O118" s="897"/>
      <c r="P118" s="897"/>
      <c r="Q118" s="897"/>
      <c r="R118" s="897"/>
      <c r="S118" s="897"/>
      <c r="T118" s="897"/>
      <c r="U118" s="897"/>
    </row>
    <row r="119" spans="1:21" x14ac:dyDescent="0.25">
      <c r="A119" s="897"/>
      <c r="B119" s="897"/>
      <c r="C119" s="897"/>
      <c r="D119" s="897"/>
      <c r="E119" s="897"/>
      <c r="F119" s="897"/>
      <c r="G119" s="897"/>
      <c r="H119" s="897"/>
      <c r="I119" s="897"/>
      <c r="J119" s="897"/>
      <c r="K119" s="897"/>
      <c r="L119" s="897"/>
      <c r="M119" s="897"/>
      <c r="N119" s="897"/>
      <c r="O119" s="897"/>
      <c r="P119" s="897"/>
      <c r="Q119" s="897"/>
      <c r="R119" s="897"/>
      <c r="S119" s="897"/>
      <c r="T119" s="897"/>
      <c r="U119" s="897"/>
    </row>
    <row r="120" spans="1:21" x14ac:dyDescent="0.25">
      <c r="A120" s="897"/>
      <c r="B120" s="897"/>
      <c r="C120" s="897"/>
      <c r="D120" s="897"/>
      <c r="E120" s="897"/>
      <c r="F120" s="897"/>
      <c r="G120" s="897"/>
      <c r="H120" s="897"/>
      <c r="I120" s="897"/>
      <c r="J120" s="897"/>
      <c r="K120" s="897"/>
      <c r="L120" s="897"/>
      <c r="M120" s="897"/>
      <c r="N120" s="897"/>
      <c r="O120" s="897"/>
      <c r="P120" s="897"/>
      <c r="Q120" s="897"/>
      <c r="R120" s="897"/>
      <c r="S120" s="897"/>
      <c r="T120" s="897"/>
      <c r="U120" s="897"/>
    </row>
    <row r="121" spans="1:21" x14ac:dyDescent="0.25">
      <c r="A121" s="897"/>
      <c r="B121" s="897"/>
      <c r="C121" s="897"/>
      <c r="D121" s="897"/>
      <c r="E121" s="897"/>
      <c r="F121" s="897"/>
      <c r="G121" s="897"/>
      <c r="H121" s="897"/>
      <c r="I121" s="897"/>
      <c r="J121" s="897"/>
      <c r="K121" s="897"/>
      <c r="L121" s="897"/>
      <c r="M121" s="897"/>
      <c r="N121" s="897"/>
      <c r="O121" s="897"/>
      <c r="P121" s="897"/>
      <c r="Q121" s="897"/>
      <c r="R121" s="897"/>
      <c r="S121" s="897"/>
      <c r="T121" s="897"/>
      <c r="U121" s="897"/>
    </row>
    <row r="122" spans="1:21" x14ac:dyDescent="0.25">
      <c r="A122" s="897"/>
      <c r="B122" s="897"/>
      <c r="C122" s="897"/>
      <c r="D122" s="897"/>
      <c r="E122" s="897"/>
      <c r="F122" s="897"/>
      <c r="G122" s="897"/>
      <c r="H122" s="897"/>
      <c r="I122" s="897"/>
      <c r="J122" s="897"/>
      <c r="K122" s="897"/>
      <c r="L122" s="897"/>
      <c r="M122" s="897"/>
      <c r="N122" s="897"/>
      <c r="O122" s="897"/>
      <c r="P122" s="897"/>
      <c r="Q122" s="897"/>
      <c r="R122" s="897"/>
      <c r="S122" s="897"/>
      <c r="T122" s="897"/>
      <c r="U122" s="897"/>
    </row>
    <row r="123" spans="1:21" x14ac:dyDescent="0.25">
      <c r="A123" s="897"/>
      <c r="B123" s="897"/>
      <c r="C123" s="897"/>
      <c r="D123" s="897"/>
      <c r="E123" s="897"/>
      <c r="F123" s="897"/>
      <c r="G123" s="897"/>
      <c r="H123" s="897"/>
      <c r="I123" s="897"/>
      <c r="J123" s="897"/>
      <c r="K123" s="897"/>
      <c r="L123" s="897"/>
      <c r="M123" s="897"/>
      <c r="N123" s="897"/>
      <c r="O123" s="897"/>
      <c r="P123" s="897"/>
      <c r="Q123" s="897"/>
      <c r="R123" s="897"/>
      <c r="S123" s="897"/>
      <c r="T123" s="897"/>
      <c r="U123" s="897"/>
    </row>
    <row r="124" spans="1:21" x14ac:dyDescent="0.25">
      <c r="A124" s="897"/>
      <c r="B124" s="897"/>
      <c r="C124" s="897"/>
      <c r="D124" s="897"/>
      <c r="E124" s="897"/>
      <c r="F124" s="897"/>
      <c r="G124" s="897"/>
      <c r="H124" s="897"/>
      <c r="I124" s="897"/>
      <c r="J124" s="897"/>
      <c r="K124" s="897"/>
      <c r="L124" s="897"/>
      <c r="M124" s="897"/>
      <c r="N124" s="897"/>
      <c r="O124" s="897"/>
      <c r="P124" s="897"/>
      <c r="Q124" s="897"/>
      <c r="R124" s="897"/>
      <c r="S124" s="897"/>
      <c r="T124" s="897"/>
      <c r="U124" s="897"/>
    </row>
    <row r="125" spans="1:21" x14ac:dyDescent="0.25">
      <c r="A125" s="897"/>
      <c r="B125" s="897"/>
      <c r="C125" s="897"/>
      <c r="D125" s="897"/>
      <c r="E125" s="897"/>
      <c r="F125" s="897"/>
      <c r="G125" s="897"/>
      <c r="H125" s="897"/>
      <c r="I125" s="897"/>
      <c r="J125" s="897"/>
      <c r="K125" s="897"/>
      <c r="L125" s="897"/>
      <c r="M125" s="897"/>
      <c r="N125" s="897"/>
      <c r="O125" s="897"/>
      <c r="P125" s="897"/>
      <c r="Q125" s="897"/>
      <c r="R125" s="897"/>
      <c r="S125" s="897"/>
      <c r="T125" s="897"/>
      <c r="U125" s="897"/>
    </row>
    <row r="126" spans="1:21" x14ac:dyDescent="0.25">
      <c r="A126" s="897"/>
      <c r="B126" s="897"/>
      <c r="C126" s="897"/>
      <c r="D126" s="897"/>
      <c r="E126" s="897"/>
      <c r="F126" s="897"/>
      <c r="G126" s="897"/>
      <c r="H126" s="897"/>
      <c r="I126" s="897"/>
      <c r="J126" s="897"/>
      <c r="K126" s="897"/>
      <c r="L126" s="897"/>
      <c r="M126" s="897"/>
      <c r="N126" s="897"/>
      <c r="O126" s="897"/>
      <c r="P126" s="897"/>
      <c r="Q126" s="897"/>
      <c r="R126" s="897"/>
      <c r="S126" s="897"/>
      <c r="T126" s="897"/>
      <c r="U126" s="897"/>
    </row>
    <row r="127" spans="1:21" x14ac:dyDescent="0.25">
      <c r="A127" s="897"/>
      <c r="B127" s="897"/>
      <c r="C127" s="897"/>
      <c r="D127" s="897"/>
      <c r="E127" s="897"/>
      <c r="F127" s="897"/>
      <c r="G127" s="897"/>
      <c r="H127" s="897"/>
      <c r="I127" s="897"/>
      <c r="J127" s="897"/>
      <c r="K127" s="897"/>
      <c r="L127" s="897"/>
      <c r="M127" s="897"/>
      <c r="N127" s="897"/>
      <c r="O127" s="897"/>
      <c r="P127" s="897"/>
      <c r="Q127" s="897"/>
      <c r="R127" s="897"/>
      <c r="S127" s="897"/>
      <c r="T127" s="897"/>
      <c r="U127" s="897"/>
    </row>
    <row r="128" spans="1:21" x14ac:dyDescent="0.25">
      <c r="A128" s="897"/>
      <c r="B128" s="897"/>
      <c r="C128" s="897"/>
      <c r="D128" s="897"/>
      <c r="E128" s="897"/>
      <c r="F128" s="897"/>
      <c r="G128" s="897"/>
      <c r="H128" s="897"/>
      <c r="I128" s="897"/>
      <c r="J128" s="897"/>
      <c r="K128" s="897"/>
      <c r="L128" s="897"/>
      <c r="M128" s="897"/>
      <c r="N128" s="897"/>
      <c r="O128" s="897"/>
      <c r="P128" s="897"/>
      <c r="Q128" s="897"/>
      <c r="R128" s="897"/>
      <c r="S128" s="897"/>
      <c r="T128" s="897"/>
      <c r="U128" s="897"/>
    </row>
    <row r="129" spans="1:21" x14ac:dyDescent="0.25">
      <c r="A129" s="897"/>
      <c r="B129" s="897"/>
      <c r="C129" s="897"/>
      <c r="D129" s="897"/>
      <c r="E129" s="897"/>
      <c r="F129" s="897"/>
      <c r="G129" s="897"/>
      <c r="H129" s="897"/>
      <c r="I129" s="897"/>
      <c r="J129" s="897"/>
      <c r="K129" s="897"/>
      <c r="L129" s="897"/>
      <c r="M129" s="897"/>
      <c r="N129" s="897"/>
      <c r="O129" s="897"/>
      <c r="P129" s="897"/>
      <c r="Q129" s="897"/>
      <c r="R129" s="897"/>
      <c r="S129" s="897"/>
      <c r="T129" s="897"/>
      <c r="U129" s="897"/>
    </row>
    <row r="130" spans="1:21" x14ac:dyDescent="0.25">
      <c r="A130" s="897"/>
      <c r="B130" s="897"/>
      <c r="C130" s="897"/>
      <c r="D130" s="897"/>
      <c r="E130" s="897"/>
      <c r="F130" s="897"/>
      <c r="G130" s="897"/>
      <c r="H130" s="897"/>
      <c r="I130" s="897"/>
      <c r="J130" s="897"/>
      <c r="K130" s="897"/>
      <c r="L130" s="897"/>
      <c r="M130" s="897"/>
      <c r="N130" s="897"/>
      <c r="O130" s="897"/>
      <c r="P130" s="897"/>
      <c r="Q130" s="897"/>
      <c r="R130" s="897"/>
      <c r="S130" s="897"/>
      <c r="T130" s="897"/>
      <c r="U130" s="897"/>
    </row>
    <row r="131" spans="1:21" x14ac:dyDescent="0.25">
      <c r="A131" s="897"/>
      <c r="B131" s="897"/>
      <c r="C131" s="897"/>
      <c r="D131" s="897"/>
      <c r="E131" s="897"/>
      <c r="F131" s="897"/>
      <c r="G131" s="897"/>
      <c r="H131" s="897"/>
      <c r="I131" s="897"/>
      <c r="J131" s="897"/>
      <c r="K131" s="897"/>
      <c r="L131" s="897"/>
      <c r="M131" s="897"/>
      <c r="N131" s="897"/>
      <c r="O131" s="897"/>
      <c r="P131" s="897"/>
      <c r="Q131" s="897"/>
      <c r="R131" s="897"/>
      <c r="S131" s="897"/>
      <c r="T131" s="897"/>
      <c r="U131" s="897"/>
    </row>
    <row r="132" spans="1:21" x14ac:dyDescent="0.25">
      <c r="A132" s="897"/>
      <c r="B132" s="897"/>
      <c r="C132" s="897"/>
      <c r="D132" s="897"/>
      <c r="E132" s="897"/>
      <c r="F132" s="897"/>
      <c r="G132" s="897"/>
      <c r="H132" s="897"/>
      <c r="I132" s="897"/>
      <c r="J132" s="897"/>
      <c r="K132" s="897"/>
      <c r="L132" s="897"/>
      <c r="M132" s="897"/>
      <c r="N132" s="897"/>
      <c r="O132" s="897"/>
      <c r="P132" s="897"/>
      <c r="Q132" s="897"/>
      <c r="R132" s="897"/>
      <c r="S132" s="897"/>
      <c r="T132" s="897"/>
      <c r="U132" s="897"/>
    </row>
    <row r="133" spans="1:21" x14ac:dyDescent="0.25">
      <c r="A133" s="897"/>
      <c r="B133" s="897"/>
      <c r="C133" s="897"/>
      <c r="D133" s="897"/>
      <c r="E133" s="897"/>
      <c r="F133" s="897"/>
      <c r="G133" s="897"/>
      <c r="H133" s="897"/>
      <c r="I133" s="897"/>
      <c r="J133" s="897"/>
      <c r="K133" s="897"/>
      <c r="L133" s="897"/>
      <c r="M133" s="897"/>
      <c r="N133" s="897"/>
      <c r="O133" s="897"/>
      <c r="P133" s="897"/>
      <c r="Q133" s="897"/>
      <c r="R133" s="897"/>
      <c r="S133" s="897"/>
      <c r="T133" s="897"/>
      <c r="U133" s="897"/>
    </row>
    <row r="134" spans="1:21" x14ac:dyDescent="0.25">
      <c r="A134" s="897"/>
      <c r="B134" s="897"/>
      <c r="C134" s="897"/>
      <c r="D134" s="897"/>
      <c r="E134" s="897"/>
      <c r="F134" s="897"/>
      <c r="G134" s="897"/>
      <c r="H134" s="897"/>
      <c r="I134" s="897"/>
      <c r="J134" s="897"/>
      <c r="K134" s="897"/>
      <c r="L134" s="897"/>
      <c r="M134" s="897"/>
      <c r="N134" s="897"/>
      <c r="O134" s="897"/>
      <c r="P134" s="897"/>
      <c r="Q134" s="897"/>
      <c r="R134" s="897"/>
      <c r="S134" s="897"/>
      <c r="T134" s="897"/>
      <c r="U134" s="897"/>
    </row>
    <row r="135" spans="1:21" x14ac:dyDescent="0.25">
      <c r="A135" s="897"/>
      <c r="B135" s="897"/>
      <c r="C135" s="897"/>
      <c r="D135" s="897"/>
      <c r="E135" s="897"/>
      <c r="F135" s="897"/>
      <c r="G135" s="897"/>
      <c r="H135" s="897"/>
      <c r="I135" s="897"/>
      <c r="J135" s="897"/>
      <c r="K135" s="897"/>
      <c r="L135" s="897"/>
      <c r="M135" s="897"/>
      <c r="N135" s="897"/>
      <c r="O135" s="897"/>
      <c r="P135" s="897"/>
      <c r="Q135" s="897"/>
      <c r="R135" s="897"/>
      <c r="S135" s="897"/>
      <c r="T135" s="897"/>
      <c r="U135" s="897"/>
    </row>
    <row r="136" spans="1:21" x14ac:dyDescent="0.25">
      <c r="A136" s="897"/>
      <c r="B136" s="897"/>
      <c r="C136" s="897"/>
      <c r="D136" s="897"/>
      <c r="E136" s="897"/>
      <c r="F136" s="897"/>
      <c r="G136" s="897"/>
      <c r="H136" s="897"/>
      <c r="I136" s="897"/>
      <c r="J136" s="897"/>
      <c r="K136" s="897"/>
      <c r="L136" s="897"/>
      <c r="M136" s="897"/>
      <c r="N136" s="897"/>
      <c r="O136" s="897"/>
      <c r="P136" s="897"/>
      <c r="Q136" s="897"/>
      <c r="R136" s="897"/>
      <c r="S136" s="897"/>
      <c r="T136" s="897"/>
      <c r="U136" s="897"/>
    </row>
    <row r="137" spans="1:21" x14ac:dyDescent="0.25">
      <c r="A137" s="897"/>
      <c r="B137" s="897"/>
      <c r="C137" s="897"/>
      <c r="D137" s="897"/>
      <c r="E137" s="897"/>
      <c r="F137" s="897"/>
      <c r="G137" s="897"/>
      <c r="H137" s="897"/>
      <c r="I137" s="897"/>
      <c r="J137" s="897"/>
      <c r="K137" s="897"/>
      <c r="L137" s="897"/>
      <c r="M137" s="897"/>
      <c r="N137" s="897"/>
      <c r="O137" s="897"/>
      <c r="P137" s="897"/>
      <c r="Q137" s="897"/>
      <c r="R137" s="897"/>
      <c r="S137" s="897"/>
      <c r="T137" s="897"/>
      <c r="U137" s="897"/>
    </row>
    <row r="138" spans="1:21" x14ac:dyDescent="0.25">
      <c r="A138" s="897"/>
      <c r="B138" s="897"/>
      <c r="C138" s="897"/>
      <c r="D138" s="897"/>
      <c r="E138" s="897"/>
      <c r="F138" s="897"/>
      <c r="G138" s="897"/>
      <c r="H138" s="897"/>
      <c r="I138" s="897"/>
      <c r="J138" s="897"/>
      <c r="K138" s="897"/>
      <c r="L138" s="897"/>
      <c r="M138" s="897"/>
      <c r="N138" s="897"/>
      <c r="O138" s="897"/>
      <c r="P138" s="897"/>
      <c r="Q138" s="897"/>
      <c r="R138" s="897"/>
      <c r="S138" s="897"/>
      <c r="T138" s="897"/>
      <c r="U138" s="897"/>
    </row>
    <row r="139" spans="1:21" x14ac:dyDescent="0.25">
      <c r="A139" s="897"/>
      <c r="B139" s="897"/>
      <c r="C139" s="897"/>
      <c r="D139" s="897"/>
      <c r="E139" s="897"/>
      <c r="F139" s="897"/>
      <c r="G139" s="897"/>
      <c r="H139" s="897"/>
      <c r="I139" s="897"/>
      <c r="J139" s="897"/>
      <c r="K139" s="897"/>
      <c r="L139" s="897"/>
      <c r="M139" s="897"/>
      <c r="N139" s="897"/>
      <c r="O139" s="897"/>
      <c r="P139" s="897"/>
      <c r="Q139" s="897"/>
      <c r="R139" s="897"/>
      <c r="S139" s="897"/>
      <c r="T139" s="897"/>
      <c r="U139" s="897"/>
    </row>
    <row r="140" spans="1:21" x14ac:dyDescent="0.25">
      <c r="A140" s="897"/>
      <c r="B140" s="897"/>
      <c r="C140" s="897"/>
      <c r="D140" s="897"/>
      <c r="E140" s="897"/>
      <c r="F140" s="897"/>
      <c r="G140" s="897"/>
      <c r="H140" s="897"/>
      <c r="I140" s="897"/>
      <c r="J140" s="897"/>
      <c r="K140" s="897"/>
      <c r="L140" s="897"/>
      <c r="M140" s="897"/>
      <c r="N140" s="897"/>
      <c r="O140" s="897"/>
      <c r="P140" s="897"/>
      <c r="Q140" s="897"/>
      <c r="R140" s="897"/>
      <c r="S140" s="897"/>
      <c r="T140" s="897"/>
      <c r="U140" s="897"/>
    </row>
    <row r="141" spans="1:21" x14ac:dyDescent="0.25">
      <c r="A141" s="897"/>
      <c r="B141" s="897"/>
      <c r="C141" s="897"/>
      <c r="D141" s="897"/>
      <c r="E141" s="897"/>
      <c r="F141" s="897"/>
      <c r="G141" s="897"/>
      <c r="H141" s="897"/>
      <c r="I141" s="897"/>
      <c r="J141" s="897"/>
      <c r="K141" s="897"/>
      <c r="L141" s="897"/>
      <c r="M141" s="897"/>
      <c r="N141" s="897"/>
      <c r="O141" s="897"/>
      <c r="P141" s="897"/>
      <c r="Q141" s="897"/>
      <c r="R141" s="897"/>
      <c r="S141" s="897"/>
      <c r="T141" s="897"/>
      <c r="U141" s="897"/>
    </row>
    <row r="142" spans="1:21" x14ac:dyDescent="0.25">
      <c r="A142" s="897"/>
      <c r="B142" s="897"/>
      <c r="C142" s="897"/>
      <c r="D142" s="897"/>
      <c r="E142" s="897"/>
      <c r="F142" s="897"/>
      <c r="G142" s="897"/>
      <c r="H142" s="897"/>
      <c r="I142" s="897"/>
      <c r="J142" s="897"/>
      <c r="K142" s="897"/>
      <c r="L142" s="897"/>
      <c r="M142" s="897"/>
      <c r="N142" s="897"/>
      <c r="O142" s="897"/>
      <c r="P142" s="897"/>
      <c r="Q142" s="897"/>
      <c r="R142" s="897"/>
      <c r="S142" s="897"/>
      <c r="T142" s="897"/>
      <c r="U142" s="897"/>
    </row>
    <row r="143" spans="1:21" x14ac:dyDescent="0.25">
      <c r="A143" s="897"/>
      <c r="B143" s="897"/>
      <c r="C143" s="897"/>
      <c r="D143" s="897"/>
      <c r="E143" s="897"/>
      <c r="F143" s="897"/>
      <c r="G143" s="897"/>
      <c r="H143" s="897"/>
      <c r="I143" s="897"/>
      <c r="J143" s="897"/>
      <c r="K143" s="897"/>
      <c r="L143" s="897"/>
      <c r="M143" s="897"/>
      <c r="N143" s="897"/>
      <c r="O143" s="897"/>
      <c r="P143" s="897"/>
      <c r="Q143" s="897"/>
      <c r="R143" s="897"/>
      <c r="S143" s="897"/>
      <c r="T143" s="897"/>
      <c r="U143" s="897"/>
    </row>
    <row r="144" spans="1:21" x14ac:dyDescent="0.25">
      <c r="A144" s="897"/>
      <c r="B144" s="897"/>
      <c r="C144" s="897"/>
      <c r="D144" s="897"/>
      <c r="E144" s="897"/>
      <c r="F144" s="897"/>
      <c r="G144" s="897"/>
      <c r="H144" s="897"/>
      <c r="I144" s="897"/>
      <c r="J144" s="897"/>
      <c r="K144" s="897"/>
      <c r="L144" s="897"/>
      <c r="M144" s="897"/>
      <c r="N144" s="897"/>
      <c r="O144" s="897"/>
      <c r="P144" s="897"/>
      <c r="Q144" s="897"/>
      <c r="R144" s="897"/>
      <c r="S144" s="897"/>
      <c r="T144" s="897"/>
      <c r="U144" s="897"/>
    </row>
    <row r="145" spans="1:21" x14ac:dyDescent="0.25">
      <c r="A145" s="897"/>
      <c r="B145" s="897"/>
      <c r="C145" s="897"/>
      <c r="D145" s="897"/>
      <c r="E145" s="897"/>
      <c r="F145" s="897"/>
      <c r="G145" s="897"/>
      <c r="H145" s="897"/>
      <c r="I145" s="897"/>
      <c r="J145" s="897"/>
      <c r="K145" s="897"/>
      <c r="L145" s="897"/>
      <c r="M145" s="897"/>
      <c r="N145" s="897"/>
      <c r="O145" s="897"/>
      <c r="P145" s="897"/>
      <c r="Q145" s="897"/>
      <c r="R145" s="897"/>
      <c r="S145" s="897"/>
      <c r="T145" s="897"/>
      <c r="U145" s="897"/>
    </row>
    <row r="146" spans="1:21" x14ac:dyDescent="0.25">
      <c r="A146" s="897"/>
      <c r="B146" s="897"/>
      <c r="C146" s="897"/>
      <c r="D146" s="897"/>
      <c r="E146" s="897"/>
      <c r="F146" s="897"/>
      <c r="G146" s="897"/>
      <c r="H146" s="897"/>
      <c r="I146" s="897"/>
      <c r="J146" s="897"/>
      <c r="K146" s="897"/>
      <c r="L146" s="897"/>
      <c r="M146" s="897"/>
      <c r="N146" s="897"/>
      <c r="O146" s="897"/>
      <c r="P146" s="897"/>
      <c r="Q146" s="897"/>
      <c r="R146" s="897"/>
      <c r="S146" s="897"/>
      <c r="T146" s="897"/>
      <c r="U146" s="897"/>
    </row>
    <row r="147" spans="1:21" x14ac:dyDescent="0.25">
      <c r="A147" s="897"/>
      <c r="B147" s="897"/>
      <c r="C147" s="897"/>
      <c r="D147" s="897"/>
      <c r="E147" s="897"/>
      <c r="F147" s="897"/>
      <c r="G147" s="897"/>
      <c r="H147" s="897"/>
      <c r="I147" s="897"/>
      <c r="J147" s="897"/>
      <c r="K147" s="897"/>
      <c r="L147" s="897"/>
      <c r="M147" s="897"/>
      <c r="N147" s="897"/>
      <c r="O147" s="897"/>
      <c r="P147" s="897"/>
      <c r="Q147" s="897"/>
      <c r="R147" s="897"/>
      <c r="S147" s="897"/>
      <c r="T147" s="897"/>
      <c r="U147" s="897"/>
    </row>
    <row r="148" spans="1:21" x14ac:dyDescent="0.25">
      <c r="A148" s="897"/>
      <c r="B148" s="897"/>
      <c r="C148" s="897"/>
      <c r="D148" s="897"/>
      <c r="E148" s="897"/>
      <c r="F148" s="897"/>
      <c r="G148" s="897"/>
      <c r="H148" s="897"/>
      <c r="I148" s="897"/>
      <c r="J148" s="897"/>
      <c r="K148" s="897"/>
      <c r="L148" s="897"/>
      <c r="M148" s="897"/>
      <c r="N148" s="897"/>
      <c r="O148" s="897"/>
      <c r="P148" s="897"/>
      <c r="Q148" s="897"/>
      <c r="R148" s="897"/>
      <c r="S148" s="897"/>
      <c r="T148" s="897"/>
      <c r="U148" s="897"/>
    </row>
    <row r="149" spans="1:21" x14ac:dyDescent="0.25">
      <c r="A149" s="897"/>
      <c r="B149" s="897"/>
      <c r="C149" s="897"/>
      <c r="D149" s="897"/>
      <c r="E149" s="897"/>
      <c r="F149" s="897"/>
      <c r="G149" s="897"/>
      <c r="H149" s="897"/>
      <c r="I149" s="897"/>
      <c r="J149" s="897"/>
      <c r="K149" s="897"/>
      <c r="L149" s="897"/>
      <c r="M149" s="897"/>
      <c r="N149" s="897"/>
      <c r="O149" s="897"/>
      <c r="P149" s="897"/>
      <c r="Q149" s="897"/>
      <c r="R149" s="897"/>
      <c r="S149" s="897"/>
      <c r="T149" s="897"/>
      <c r="U149" s="897"/>
    </row>
    <row r="150" spans="1:21" x14ac:dyDescent="0.25">
      <c r="A150" s="897"/>
      <c r="B150" s="897"/>
      <c r="C150" s="897"/>
      <c r="D150" s="897"/>
      <c r="E150" s="897"/>
      <c r="F150" s="897"/>
      <c r="G150" s="897"/>
      <c r="H150" s="897"/>
      <c r="I150" s="897"/>
      <c r="J150" s="897"/>
      <c r="K150" s="897"/>
      <c r="L150" s="897"/>
      <c r="M150" s="897"/>
      <c r="N150" s="897"/>
      <c r="O150" s="897"/>
      <c r="P150" s="897"/>
      <c r="Q150" s="897"/>
      <c r="R150" s="897"/>
      <c r="S150" s="897"/>
      <c r="T150" s="897"/>
      <c r="U150" s="897"/>
    </row>
    <row r="151" spans="1:21" x14ac:dyDescent="0.25">
      <c r="A151" s="897"/>
      <c r="B151" s="897"/>
      <c r="C151" s="897"/>
      <c r="D151" s="897"/>
      <c r="E151" s="897"/>
      <c r="F151" s="897"/>
      <c r="G151" s="897"/>
      <c r="H151" s="897"/>
      <c r="I151" s="897"/>
      <c r="J151" s="897"/>
      <c r="K151" s="897"/>
      <c r="L151" s="897"/>
      <c r="M151" s="897"/>
      <c r="N151" s="897"/>
      <c r="O151" s="897"/>
      <c r="P151" s="897"/>
      <c r="Q151" s="897"/>
      <c r="R151" s="897"/>
      <c r="S151" s="897"/>
      <c r="T151" s="897"/>
      <c r="U151" s="897"/>
    </row>
    <row r="152" spans="1:21" x14ac:dyDescent="0.25">
      <c r="A152" s="897"/>
      <c r="B152" s="897"/>
      <c r="C152" s="897"/>
      <c r="D152" s="897"/>
      <c r="E152" s="897"/>
      <c r="F152" s="897"/>
      <c r="G152" s="897"/>
      <c r="H152" s="897"/>
      <c r="I152" s="897"/>
      <c r="J152" s="897"/>
      <c r="K152" s="897"/>
      <c r="L152" s="897"/>
      <c r="M152" s="897"/>
      <c r="N152" s="897"/>
      <c r="O152" s="897"/>
      <c r="P152" s="897"/>
      <c r="Q152" s="897"/>
      <c r="R152" s="897"/>
      <c r="S152" s="897"/>
      <c r="T152" s="897"/>
      <c r="U152" s="897"/>
    </row>
    <row r="153" spans="1:21" x14ac:dyDescent="0.25">
      <c r="A153" s="897"/>
      <c r="B153" s="897"/>
      <c r="C153" s="897"/>
      <c r="D153" s="897"/>
      <c r="E153" s="897"/>
      <c r="F153" s="897"/>
      <c r="G153" s="897"/>
      <c r="H153" s="897"/>
      <c r="I153" s="897"/>
      <c r="J153" s="897"/>
      <c r="K153" s="897"/>
      <c r="L153" s="897"/>
      <c r="M153" s="897"/>
      <c r="N153" s="897"/>
      <c r="O153" s="897"/>
      <c r="P153" s="897"/>
      <c r="Q153" s="897"/>
      <c r="R153" s="897"/>
      <c r="S153" s="897"/>
      <c r="T153" s="897"/>
      <c r="U153" s="897"/>
    </row>
    <row r="154" spans="1:21" x14ac:dyDescent="0.25">
      <c r="A154" s="897"/>
      <c r="B154" s="897"/>
      <c r="C154" s="897"/>
      <c r="D154" s="897"/>
      <c r="E154" s="897"/>
      <c r="F154" s="897"/>
      <c r="G154" s="897"/>
      <c r="H154" s="897"/>
      <c r="I154" s="897"/>
      <c r="J154" s="897"/>
      <c r="K154" s="897"/>
      <c r="L154" s="897"/>
      <c r="M154" s="897"/>
      <c r="N154" s="897"/>
      <c r="O154" s="897"/>
      <c r="P154" s="897"/>
      <c r="Q154" s="897"/>
      <c r="R154" s="897"/>
      <c r="S154" s="897"/>
      <c r="T154" s="897"/>
      <c r="U154" s="897"/>
    </row>
    <row r="155" spans="1:21" x14ac:dyDescent="0.25">
      <c r="A155" s="897"/>
      <c r="B155" s="897"/>
      <c r="C155" s="897"/>
      <c r="D155" s="897"/>
      <c r="E155" s="897"/>
      <c r="F155" s="897"/>
      <c r="G155" s="897"/>
      <c r="H155" s="897"/>
      <c r="I155" s="897"/>
      <c r="J155" s="897"/>
      <c r="K155" s="897"/>
      <c r="L155" s="897"/>
      <c r="M155" s="897"/>
      <c r="N155" s="897"/>
      <c r="O155" s="897"/>
      <c r="P155" s="897"/>
      <c r="Q155" s="897"/>
      <c r="R155" s="897"/>
      <c r="S155" s="897"/>
      <c r="T155" s="897"/>
      <c r="U155" s="897"/>
    </row>
    <row r="156" spans="1:21" x14ac:dyDescent="0.25">
      <c r="A156" s="897"/>
      <c r="B156" s="897"/>
      <c r="C156" s="897"/>
      <c r="D156" s="897"/>
      <c r="E156" s="897"/>
      <c r="F156" s="897"/>
      <c r="G156" s="897"/>
      <c r="H156" s="897"/>
      <c r="I156" s="897"/>
      <c r="J156" s="897"/>
      <c r="K156" s="897"/>
      <c r="L156" s="897"/>
      <c r="M156" s="897"/>
      <c r="N156" s="897"/>
      <c r="O156" s="897"/>
      <c r="P156" s="897"/>
      <c r="Q156" s="897"/>
      <c r="R156" s="897"/>
      <c r="S156" s="897"/>
      <c r="T156" s="897"/>
      <c r="U156" s="897"/>
    </row>
    <row r="157" spans="1:21" x14ac:dyDescent="0.25">
      <c r="A157" s="897"/>
      <c r="B157" s="897"/>
      <c r="C157" s="897"/>
      <c r="D157" s="897"/>
      <c r="E157" s="897"/>
      <c r="F157" s="897"/>
      <c r="G157" s="897"/>
      <c r="H157" s="897"/>
      <c r="I157" s="897"/>
      <c r="J157" s="897"/>
      <c r="K157" s="897"/>
      <c r="L157" s="897"/>
      <c r="M157" s="897"/>
      <c r="N157" s="897"/>
      <c r="O157" s="897"/>
      <c r="P157" s="897"/>
      <c r="Q157" s="897"/>
      <c r="R157" s="897"/>
      <c r="S157" s="897"/>
      <c r="T157" s="897"/>
      <c r="U157" s="897"/>
    </row>
    <row r="158" spans="1:21" x14ac:dyDescent="0.25">
      <c r="A158" s="897"/>
      <c r="B158" s="897"/>
      <c r="C158" s="897"/>
      <c r="D158" s="897"/>
      <c r="E158" s="897"/>
      <c r="F158" s="897"/>
      <c r="G158" s="897"/>
      <c r="H158" s="897"/>
      <c r="I158" s="897"/>
      <c r="J158" s="897"/>
      <c r="K158" s="897"/>
      <c r="L158" s="897"/>
      <c r="M158" s="897"/>
      <c r="N158" s="897"/>
      <c r="O158" s="897"/>
      <c r="P158" s="897"/>
      <c r="Q158" s="897"/>
      <c r="R158" s="897"/>
      <c r="S158" s="897"/>
      <c r="T158" s="897"/>
      <c r="U158" s="897"/>
    </row>
    <row r="159" spans="1:21" x14ac:dyDescent="0.25">
      <c r="A159" s="897"/>
      <c r="B159" s="897"/>
      <c r="C159" s="897"/>
      <c r="D159" s="897"/>
      <c r="E159" s="897"/>
      <c r="F159" s="897"/>
      <c r="G159" s="897"/>
      <c r="H159" s="897"/>
      <c r="I159" s="897"/>
      <c r="J159" s="897"/>
      <c r="K159" s="897"/>
      <c r="L159" s="897"/>
      <c r="M159" s="897"/>
      <c r="N159" s="897"/>
      <c r="O159" s="897"/>
      <c r="P159" s="897"/>
      <c r="Q159" s="897"/>
      <c r="R159" s="897"/>
      <c r="S159" s="897"/>
      <c r="T159" s="897"/>
      <c r="U159" s="897"/>
    </row>
    <row r="160" spans="1:21" x14ac:dyDescent="0.25">
      <c r="A160" s="897"/>
      <c r="B160" s="897"/>
      <c r="C160" s="897"/>
      <c r="D160" s="897"/>
      <c r="E160" s="897"/>
      <c r="F160" s="897"/>
      <c r="G160" s="897"/>
      <c r="H160" s="897"/>
      <c r="I160" s="897"/>
      <c r="J160" s="897"/>
      <c r="K160" s="897"/>
      <c r="L160" s="897"/>
      <c r="M160" s="897"/>
      <c r="N160" s="897"/>
      <c r="O160" s="897"/>
      <c r="P160" s="897"/>
      <c r="Q160" s="897"/>
      <c r="R160" s="897"/>
      <c r="S160" s="897"/>
      <c r="T160" s="897"/>
      <c r="U160" s="897"/>
    </row>
    <row r="161" spans="1:21" x14ac:dyDescent="0.25">
      <c r="A161" s="897"/>
      <c r="B161" s="897"/>
      <c r="C161" s="897"/>
      <c r="D161" s="897"/>
      <c r="E161" s="897"/>
      <c r="F161" s="897"/>
      <c r="G161" s="897"/>
      <c r="H161" s="897"/>
      <c r="I161" s="897"/>
      <c r="J161" s="897"/>
      <c r="K161" s="897"/>
      <c r="L161" s="897"/>
      <c r="M161" s="897"/>
      <c r="N161" s="897"/>
      <c r="O161" s="897"/>
      <c r="P161" s="897"/>
      <c r="Q161" s="897"/>
      <c r="R161" s="897"/>
      <c r="S161" s="897"/>
      <c r="T161" s="897"/>
      <c r="U161" s="897"/>
    </row>
    <row r="162" spans="1:21" x14ac:dyDescent="0.25">
      <c r="A162" s="897"/>
      <c r="B162" s="897"/>
      <c r="C162" s="897"/>
      <c r="D162" s="897"/>
      <c r="E162" s="897"/>
      <c r="F162" s="897"/>
      <c r="G162" s="897"/>
      <c r="H162" s="897"/>
      <c r="I162" s="897"/>
      <c r="J162" s="897"/>
      <c r="K162" s="897"/>
      <c r="L162" s="897"/>
      <c r="M162" s="897"/>
      <c r="N162" s="897"/>
      <c r="O162" s="897"/>
      <c r="P162" s="897"/>
      <c r="Q162" s="897"/>
      <c r="R162" s="897"/>
      <c r="S162" s="897"/>
      <c r="T162" s="897"/>
      <c r="U162" s="897"/>
    </row>
    <row r="163" spans="1:21" x14ac:dyDescent="0.25">
      <c r="A163" s="897"/>
      <c r="B163" s="897"/>
      <c r="C163" s="897"/>
      <c r="D163" s="897"/>
      <c r="E163" s="897"/>
      <c r="F163" s="897"/>
      <c r="G163" s="897"/>
      <c r="H163" s="897"/>
      <c r="I163" s="897"/>
      <c r="J163" s="897"/>
      <c r="K163" s="897"/>
      <c r="L163" s="897"/>
      <c r="M163" s="897"/>
      <c r="N163" s="897"/>
      <c r="O163" s="897"/>
      <c r="P163" s="897"/>
      <c r="Q163" s="897"/>
      <c r="R163" s="897"/>
      <c r="S163" s="897"/>
      <c r="T163" s="897"/>
      <c r="U163" s="897"/>
    </row>
    <row r="164" spans="1:21" x14ac:dyDescent="0.25">
      <c r="A164" s="897"/>
      <c r="B164" s="897"/>
      <c r="C164" s="897"/>
      <c r="D164" s="897"/>
      <c r="E164" s="897"/>
      <c r="F164" s="897"/>
      <c r="G164" s="897"/>
      <c r="H164" s="897"/>
      <c r="I164" s="897"/>
      <c r="J164" s="897"/>
      <c r="K164" s="897"/>
      <c r="L164" s="897"/>
      <c r="M164" s="897"/>
      <c r="N164" s="897"/>
      <c r="O164" s="897"/>
      <c r="P164" s="897"/>
      <c r="Q164" s="897"/>
      <c r="R164" s="897"/>
      <c r="S164" s="897"/>
      <c r="T164" s="897"/>
      <c r="U164" s="897"/>
    </row>
    <row r="165" spans="1:21" x14ac:dyDescent="0.25">
      <c r="A165" s="897"/>
      <c r="B165" s="897"/>
      <c r="C165" s="897"/>
      <c r="D165" s="897"/>
      <c r="E165" s="897"/>
      <c r="F165" s="897"/>
      <c r="G165" s="897"/>
      <c r="H165" s="897"/>
      <c r="I165" s="897"/>
      <c r="J165" s="897"/>
      <c r="K165" s="897"/>
      <c r="L165" s="897"/>
      <c r="M165" s="897"/>
      <c r="N165" s="897"/>
      <c r="O165" s="897"/>
      <c r="P165" s="897"/>
      <c r="Q165" s="897"/>
      <c r="R165" s="897"/>
      <c r="S165" s="897"/>
      <c r="T165" s="897"/>
      <c r="U165" s="897"/>
    </row>
    <row r="166" spans="1:21" x14ac:dyDescent="0.25">
      <c r="A166" s="897"/>
      <c r="B166" s="897"/>
      <c r="C166" s="897"/>
      <c r="D166" s="897"/>
      <c r="E166" s="897"/>
      <c r="F166" s="897"/>
      <c r="G166" s="897"/>
      <c r="H166" s="897"/>
      <c r="I166" s="897"/>
      <c r="J166" s="897"/>
      <c r="K166" s="897"/>
      <c r="L166" s="897"/>
      <c r="M166" s="897"/>
      <c r="N166" s="897"/>
      <c r="O166" s="897"/>
      <c r="P166" s="897"/>
      <c r="Q166" s="897"/>
      <c r="R166" s="897"/>
      <c r="S166" s="897"/>
      <c r="T166" s="897"/>
      <c r="U166" s="897"/>
    </row>
    <row r="167" spans="1:21" x14ac:dyDescent="0.25">
      <c r="A167" s="897"/>
      <c r="B167" s="897"/>
      <c r="C167" s="897"/>
      <c r="D167" s="897"/>
      <c r="E167" s="897"/>
      <c r="F167" s="897"/>
      <c r="G167" s="897"/>
      <c r="H167" s="897"/>
      <c r="I167" s="897"/>
      <c r="J167" s="897"/>
      <c r="K167" s="897"/>
      <c r="L167" s="897"/>
      <c r="M167" s="897"/>
      <c r="N167" s="897"/>
      <c r="O167" s="897"/>
      <c r="P167" s="897"/>
      <c r="Q167" s="897"/>
      <c r="R167" s="897"/>
      <c r="S167" s="897"/>
      <c r="T167" s="897"/>
      <c r="U167" s="897"/>
    </row>
    <row r="168" spans="1:21" x14ac:dyDescent="0.25">
      <c r="A168" s="897"/>
      <c r="B168" s="897"/>
      <c r="C168" s="897"/>
      <c r="D168" s="897"/>
      <c r="E168" s="897"/>
      <c r="F168" s="897"/>
      <c r="G168" s="897"/>
      <c r="H168" s="897"/>
      <c r="I168" s="897"/>
      <c r="J168" s="897"/>
      <c r="K168" s="897"/>
      <c r="L168" s="897"/>
      <c r="M168" s="897"/>
      <c r="N168" s="897"/>
      <c r="O168" s="897"/>
      <c r="P168" s="897"/>
      <c r="Q168" s="897"/>
      <c r="R168" s="897"/>
      <c r="S168" s="897"/>
      <c r="T168" s="897"/>
      <c r="U168" s="897"/>
    </row>
    <row r="169" spans="1:21" x14ac:dyDescent="0.25">
      <c r="A169" s="897"/>
      <c r="B169" s="897"/>
      <c r="C169" s="897"/>
      <c r="D169" s="897"/>
      <c r="E169" s="897"/>
      <c r="F169" s="897"/>
      <c r="G169" s="897"/>
      <c r="H169" s="897"/>
      <c r="I169" s="897"/>
      <c r="J169" s="897"/>
      <c r="K169" s="897"/>
      <c r="L169" s="897"/>
      <c r="M169" s="897"/>
      <c r="N169" s="897"/>
      <c r="O169" s="897"/>
      <c r="P169" s="897"/>
      <c r="Q169" s="897"/>
      <c r="R169" s="897"/>
      <c r="S169" s="897"/>
      <c r="T169" s="897"/>
      <c r="U169" s="897"/>
    </row>
    <row r="170" spans="1:21" x14ac:dyDescent="0.25">
      <c r="A170" s="897"/>
      <c r="B170" s="897"/>
      <c r="C170" s="897"/>
      <c r="D170" s="897"/>
      <c r="E170" s="897"/>
      <c r="F170" s="897"/>
      <c r="G170" s="897"/>
      <c r="H170" s="897"/>
      <c r="I170" s="897"/>
      <c r="J170" s="897"/>
      <c r="K170" s="897"/>
      <c r="L170" s="897"/>
      <c r="M170" s="897"/>
      <c r="N170" s="897"/>
      <c r="O170" s="897"/>
      <c r="P170" s="897"/>
      <c r="Q170" s="897"/>
      <c r="R170" s="897"/>
      <c r="S170" s="897"/>
      <c r="T170" s="897"/>
      <c r="U170" s="897"/>
    </row>
    <row r="171" spans="1:21" x14ac:dyDescent="0.25">
      <c r="A171" s="897"/>
      <c r="B171" s="897"/>
      <c r="C171" s="897"/>
      <c r="D171" s="897"/>
      <c r="E171" s="897"/>
      <c r="F171" s="897"/>
      <c r="G171" s="897"/>
      <c r="H171" s="897"/>
      <c r="I171" s="897"/>
      <c r="J171" s="897"/>
      <c r="K171" s="897"/>
      <c r="L171" s="897"/>
      <c r="M171" s="897"/>
      <c r="N171" s="897"/>
      <c r="O171" s="897"/>
      <c r="P171" s="897"/>
      <c r="Q171" s="897"/>
      <c r="R171" s="897"/>
      <c r="S171" s="897"/>
      <c r="T171" s="897"/>
      <c r="U171" s="897"/>
    </row>
    <row r="172" spans="1:21" x14ac:dyDescent="0.25">
      <c r="A172" s="897"/>
      <c r="B172" s="897"/>
      <c r="C172" s="897"/>
      <c r="D172" s="897"/>
      <c r="E172" s="897"/>
      <c r="F172" s="897"/>
      <c r="G172" s="897"/>
      <c r="H172" s="897"/>
      <c r="I172" s="897"/>
      <c r="J172" s="897"/>
      <c r="K172" s="897"/>
      <c r="L172" s="897"/>
      <c r="M172" s="897"/>
      <c r="N172" s="897"/>
      <c r="O172" s="897"/>
      <c r="P172" s="897"/>
      <c r="Q172" s="897"/>
      <c r="R172" s="897"/>
      <c r="S172" s="897"/>
      <c r="T172" s="897"/>
      <c r="U172" s="897"/>
    </row>
    <row r="173" spans="1:21" x14ac:dyDescent="0.25">
      <c r="A173" s="897"/>
      <c r="B173" s="897"/>
      <c r="C173" s="897"/>
      <c r="D173" s="897"/>
      <c r="E173" s="897"/>
      <c r="F173" s="897"/>
      <c r="G173" s="897"/>
      <c r="H173" s="897"/>
      <c r="I173" s="897"/>
      <c r="J173" s="897"/>
      <c r="K173" s="897"/>
      <c r="L173" s="897"/>
      <c r="M173" s="897"/>
      <c r="N173" s="897"/>
      <c r="O173" s="897"/>
      <c r="P173" s="897"/>
      <c r="Q173" s="897"/>
      <c r="R173" s="897"/>
      <c r="S173" s="897"/>
      <c r="T173" s="897"/>
      <c r="U173" s="897"/>
    </row>
    <row r="174" spans="1:21" x14ac:dyDescent="0.25">
      <c r="A174" s="897"/>
      <c r="B174" s="897"/>
      <c r="C174" s="897"/>
      <c r="D174" s="897"/>
      <c r="E174" s="897"/>
      <c r="F174" s="897"/>
      <c r="G174" s="897"/>
      <c r="H174" s="897"/>
      <c r="I174" s="897"/>
      <c r="J174" s="897"/>
      <c r="K174" s="897"/>
      <c r="L174" s="897"/>
      <c r="M174" s="897"/>
      <c r="N174" s="897"/>
      <c r="O174" s="897"/>
      <c r="P174" s="897"/>
      <c r="Q174" s="897"/>
      <c r="R174" s="897"/>
      <c r="S174" s="897"/>
      <c r="T174" s="897"/>
      <c r="U174" s="897"/>
    </row>
    <row r="175" spans="1:21" x14ac:dyDescent="0.25">
      <c r="A175" s="897"/>
      <c r="B175" s="897"/>
      <c r="C175" s="897"/>
      <c r="D175" s="897"/>
      <c r="E175" s="897"/>
      <c r="F175" s="897"/>
      <c r="G175" s="897"/>
      <c r="H175" s="897"/>
      <c r="I175" s="897"/>
      <c r="J175" s="897"/>
      <c r="K175" s="897"/>
      <c r="L175" s="897"/>
      <c r="M175" s="897"/>
      <c r="N175" s="897"/>
      <c r="O175" s="897"/>
      <c r="P175" s="897"/>
      <c r="Q175" s="897"/>
      <c r="R175" s="897"/>
      <c r="S175" s="897"/>
      <c r="T175" s="897"/>
      <c r="U175" s="897"/>
    </row>
    <row r="176" spans="1:21" x14ac:dyDescent="0.25">
      <c r="A176" s="897"/>
      <c r="B176" s="897"/>
      <c r="C176" s="897"/>
      <c r="D176" s="897"/>
      <c r="E176" s="897"/>
      <c r="F176" s="897"/>
      <c r="G176" s="897"/>
      <c r="H176" s="897"/>
      <c r="I176" s="897"/>
      <c r="J176" s="897"/>
      <c r="K176" s="897"/>
      <c r="L176" s="897"/>
      <c r="M176" s="897"/>
      <c r="N176" s="897"/>
      <c r="O176" s="897"/>
      <c r="P176" s="897"/>
      <c r="Q176" s="897"/>
      <c r="R176" s="897"/>
      <c r="S176" s="897"/>
      <c r="T176" s="897"/>
      <c r="U176" s="897"/>
    </row>
    <row r="177" spans="1:21" x14ac:dyDescent="0.25">
      <c r="A177" s="897"/>
      <c r="B177" s="897"/>
      <c r="C177" s="897"/>
      <c r="D177" s="897"/>
      <c r="E177" s="897"/>
      <c r="F177" s="897"/>
      <c r="G177" s="897"/>
      <c r="H177" s="897"/>
      <c r="I177" s="897"/>
      <c r="J177" s="897"/>
      <c r="K177" s="897"/>
      <c r="L177" s="897"/>
      <c r="M177" s="897"/>
      <c r="N177" s="897"/>
      <c r="O177" s="897"/>
      <c r="P177" s="897"/>
      <c r="Q177" s="897"/>
      <c r="R177" s="897"/>
      <c r="S177" s="897"/>
      <c r="T177" s="897"/>
      <c r="U177" s="897"/>
    </row>
    <row r="178" spans="1:21" x14ac:dyDescent="0.25">
      <c r="A178" s="897"/>
      <c r="B178" s="897"/>
      <c r="C178" s="897"/>
      <c r="D178" s="897"/>
      <c r="E178" s="897"/>
      <c r="F178" s="897"/>
      <c r="G178" s="897"/>
      <c r="H178" s="897"/>
      <c r="I178" s="897"/>
      <c r="J178" s="897"/>
      <c r="K178" s="897"/>
      <c r="L178" s="897"/>
      <c r="M178" s="897"/>
      <c r="N178" s="897"/>
      <c r="O178" s="897"/>
      <c r="P178" s="897"/>
      <c r="Q178" s="897"/>
      <c r="R178" s="897"/>
      <c r="S178" s="897"/>
      <c r="T178" s="897"/>
      <c r="U178" s="897"/>
    </row>
    <row r="179" spans="1:21" x14ac:dyDescent="0.25">
      <c r="A179" s="897"/>
      <c r="B179" s="897"/>
      <c r="C179" s="897"/>
      <c r="D179" s="897"/>
      <c r="E179" s="897"/>
      <c r="F179" s="897"/>
      <c r="G179" s="897"/>
      <c r="H179" s="897"/>
      <c r="I179" s="897"/>
      <c r="J179" s="897"/>
      <c r="K179" s="897"/>
      <c r="L179" s="897"/>
      <c r="M179" s="897"/>
      <c r="N179" s="897"/>
      <c r="O179" s="897"/>
      <c r="P179" s="897"/>
      <c r="Q179" s="897"/>
      <c r="R179" s="897"/>
      <c r="S179" s="897"/>
      <c r="T179" s="897"/>
      <c r="U179" s="897"/>
    </row>
    <row r="180" spans="1:21" x14ac:dyDescent="0.25">
      <c r="A180" s="897"/>
      <c r="B180" s="897"/>
      <c r="C180" s="897"/>
      <c r="D180" s="897"/>
      <c r="E180" s="897"/>
      <c r="F180" s="897"/>
      <c r="G180" s="897"/>
      <c r="H180" s="897"/>
      <c r="I180" s="897"/>
      <c r="J180" s="897"/>
      <c r="K180" s="897"/>
      <c r="L180" s="897"/>
      <c r="M180" s="897"/>
      <c r="N180" s="897"/>
      <c r="O180" s="897"/>
      <c r="P180" s="897"/>
      <c r="Q180" s="897"/>
      <c r="R180" s="897"/>
      <c r="S180" s="897"/>
      <c r="T180" s="897"/>
      <c r="U180" s="897"/>
    </row>
    <row r="181" spans="1:21" x14ac:dyDescent="0.25">
      <c r="A181" s="897"/>
      <c r="B181" s="897"/>
      <c r="C181" s="897"/>
      <c r="D181" s="897"/>
      <c r="E181" s="897"/>
      <c r="F181" s="897"/>
      <c r="G181" s="897"/>
      <c r="H181" s="897"/>
      <c r="I181" s="897"/>
      <c r="J181" s="897"/>
      <c r="K181" s="897"/>
      <c r="L181" s="897"/>
      <c r="M181" s="897"/>
      <c r="N181" s="897"/>
      <c r="O181" s="897"/>
      <c r="P181" s="897"/>
      <c r="Q181" s="897"/>
      <c r="R181" s="897"/>
      <c r="S181" s="897"/>
      <c r="T181" s="897"/>
      <c r="U181" s="897"/>
    </row>
    <row r="182" spans="1:21" x14ac:dyDescent="0.25">
      <c r="A182" s="897"/>
      <c r="B182" s="897"/>
      <c r="C182" s="897"/>
      <c r="D182" s="897"/>
      <c r="E182" s="897"/>
      <c r="F182" s="897"/>
      <c r="G182" s="897"/>
      <c r="H182" s="897"/>
      <c r="I182" s="897"/>
      <c r="J182" s="897"/>
      <c r="K182" s="897"/>
      <c r="L182" s="897"/>
      <c r="M182" s="897"/>
      <c r="N182" s="897"/>
      <c r="O182" s="897"/>
      <c r="P182" s="897"/>
      <c r="Q182" s="897"/>
      <c r="R182" s="897"/>
      <c r="S182" s="897"/>
      <c r="T182" s="897"/>
      <c r="U182" s="897"/>
    </row>
    <row r="183" spans="1:21" x14ac:dyDescent="0.25">
      <c r="A183" s="897"/>
      <c r="B183" s="897"/>
      <c r="C183" s="897"/>
      <c r="D183" s="897"/>
      <c r="E183" s="897"/>
      <c r="F183" s="897"/>
      <c r="G183" s="897"/>
      <c r="H183" s="897"/>
      <c r="I183" s="897"/>
      <c r="J183" s="897"/>
      <c r="K183" s="897"/>
      <c r="L183" s="897"/>
      <c r="M183" s="897"/>
      <c r="N183" s="897"/>
      <c r="O183" s="897"/>
      <c r="P183" s="897"/>
      <c r="Q183" s="897"/>
      <c r="R183" s="897"/>
      <c r="S183" s="897"/>
      <c r="T183" s="897"/>
      <c r="U183" s="897"/>
    </row>
    <row r="184" spans="1:21" x14ac:dyDescent="0.25">
      <c r="A184" s="897"/>
      <c r="B184" s="897"/>
      <c r="C184" s="897"/>
      <c r="D184" s="897"/>
      <c r="E184" s="897"/>
      <c r="F184" s="897"/>
      <c r="G184" s="897"/>
      <c r="H184" s="897"/>
      <c r="I184" s="897"/>
      <c r="J184" s="897"/>
      <c r="K184" s="897"/>
      <c r="L184" s="897"/>
      <c r="M184" s="897"/>
      <c r="N184" s="897"/>
      <c r="O184" s="897"/>
      <c r="P184" s="897"/>
      <c r="Q184" s="897"/>
      <c r="R184" s="897"/>
      <c r="S184" s="897"/>
      <c r="T184" s="897"/>
      <c r="U184" s="897"/>
    </row>
    <row r="185" spans="1:21" x14ac:dyDescent="0.25">
      <c r="A185" s="897"/>
      <c r="B185" s="897"/>
      <c r="C185" s="897"/>
      <c r="D185" s="897"/>
      <c r="E185" s="897"/>
      <c r="F185" s="897"/>
      <c r="G185" s="897"/>
      <c r="H185" s="897"/>
      <c r="I185" s="897"/>
      <c r="J185" s="897"/>
      <c r="K185" s="897"/>
      <c r="L185" s="897"/>
      <c r="M185" s="897"/>
      <c r="N185" s="897"/>
      <c r="O185" s="897"/>
      <c r="P185" s="897"/>
      <c r="Q185" s="897"/>
      <c r="R185" s="897"/>
      <c r="S185" s="897"/>
      <c r="T185" s="897"/>
      <c r="U185" s="897"/>
    </row>
    <row r="186" spans="1:21" x14ac:dyDescent="0.25">
      <c r="A186" s="897"/>
      <c r="B186" s="897"/>
      <c r="C186" s="897"/>
      <c r="D186" s="897"/>
      <c r="E186" s="897"/>
      <c r="F186" s="897"/>
      <c r="G186" s="897"/>
      <c r="H186" s="897"/>
      <c r="I186" s="897"/>
      <c r="J186" s="897"/>
      <c r="K186" s="897"/>
      <c r="L186" s="897"/>
      <c r="M186" s="897"/>
      <c r="N186" s="897"/>
      <c r="O186" s="897"/>
      <c r="P186" s="897"/>
      <c r="Q186" s="897"/>
      <c r="R186" s="897"/>
      <c r="S186" s="897"/>
      <c r="T186" s="897"/>
      <c r="U186" s="897"/>
    </row>
    <row r="187" spans="1:21" x14ac:dyDescent="0.25">
      <c r="A187" s="897"/>
      <c r="B187" s="897"/>
      <c r="C187" s="897"/>
      <c r="D187" s="897"/>
      <c r="E187" s="897"/>
      <c r="F187" s="897"/>
      <c r="G187" s="897"/>
      <c r="H187" s="897"/>
      <c r="I187" s="897"/>
      <c r="J187" s="897"/>
      <c r="K187" s="897"/>
      <c r="L187" s="897"/>
      <c r="M187" s="897"/>
      <c r="N187" s="897"/>
      <c r="O187" s="897"/>
      <c r="P187" s="897"/>
      <c r="Q187" s="897"/>
      <c r="R187" s="897"/>
      <c r="S187" s="897"/>
      <c r="T187" s="897"/>
      <c r="U187" s="897"/>
    </row>
    <row r="188" spans="1:21" x14ac:dyDescent="0.25">
      <c r="A188" s="897"/>
      <c r="B188" s="897"/>
      <c r="C188" s="897"/>
      <c r="D188" s="897"/>
      <c r="E188" s="897"/>
      <c r="F188" s="897"/>
      <c r="G188" s="897"/>
      <c r="H188" s="897"/>
      <c r="I188" s="897"/>
      <c r="J188" s="897"/>
      <c r="K188" s="897"/>
      <c r="L188" s="897"/>
      <c r="M188" s="897"/>
      <c r="N188" s="897"/>
      <c r="O188" s="897"/>
      <c r="P188" s="897"/>
      <c r="Q188" s="897"/>
      <c r="R188" s="897"/>
      <c r="S188" s="897"/>
      <c r="T188" s="897"/>
      <c r="U188" s="897"/>
    </row>
    <row r="189" spans="1:21" x14ac:dyDescent="0.25">
      <c r="A189" s="897"/>
      <c r="B189" s="897"/>
      <c r="C189" s="897"/>
      <c r="D189" s="897"/>
      <c r="E189" s="897"/>
      <c r="F189" s="897"/>
      <c r="G189" s="897"/>
      <c r="H189" s="897"/>
      <c r="I189" s="897"/>
      <c r="J189" s="897"/>
      <c r="K189" s="897"/>
      <c r="L189" s="897"/>
      <c r="M189" s="897"/>
      <c r="N189" s="897"/>
      <c r="O189" s="897"/>
      <c r="P189" s="897"/>
      <c r="Q189" s="897"/>
      <c r="R189" s="897"/>
      <c r="S189" s="897"/>
      <c r="T189" s="897"/>
      <c r="U189" s="897"/>
    </row>
    <row r="190" spans="1:21" x14ac:dyDescent="0.25">
      <c r="A190" s="897"/>
      <c r="B190" s="897"/>
      <c r="C190" s="897"/>
      <c r="D190" s="897"/>
      <c r="E190" s="897"/>
      <c r="F190" s="897"/>
      <c r="G190" s="897"/>
      <c r="H190" s="897"/>
      <c r="I190" s="897"/>
      <c r="J190" s="897"/>
      <c r="K190" s="897"/>
      <c r="L190" s="897"/>
      <c r="M190" s="897"/>
      <c r="N190" s="897"/>
      <c r="O190" s="897"/>
      <c r="P190" s="897"/>
      <c r="Q190" s="897"/>
      <c r="R190" s="897"/>
      <c r="S190" s="897"/>
      <c r="T190" s="897"/>
      <c r="U190" s="897"/>
    </row>
    <row r="191" spans="1:21" x14ac:dyDescent="0.25">
      <c r="A191" s="897"/>
      <c r="B191" s="897"/>
      <c r="C191" s="897"/>
      <c r="D191" s="897"/>
      <c r="E191" s="897"/>
      <c r="F191" s="897"/>
      <c r="G191" s="897"/>
      <c r="H191" s="897"/>
      <c r="I191" s="897"/>
      <c r="J191" s="897"/>
      <c r="K191" s="897"/>
      <c r="L191" s="897"/>
      <c r="M191" s="897"/>
      <c r="N191" s="897"/>
      <c r="O191" s="897"/>
      <c r="P191" s="897"/>
      <c r="Q191" s="897"/>
      <c r="R191" s="897"/>
      <c r="S191" s="897"/>
      <c r="T191" s="897"/>
      <c r="U191" s="897"/>
    </row>
    <row r="192" spans="1:21" x14ac:dyDescent="0.25">
      <c r="A192" s="897"/>
      <c r="B192" s="897"/>
      <c r="C192" s="897"/>
      <c r="D192" s="897"/>
      <c r="E192" s="897"/>
      <c r="F192" s="897"/>
      <c r="G192" s="897"/>
      <c r="H192" s="897"/>
      <c r="I192" s="897"/>
      <c r="J192" s="897"/>
      <c r="K192" s="897"/>
      <c r="L192" s="897"/>
      <c r="M192" s="897"/>
      <c r="N192" s="897"/>
      <c r="O192" s="897"/>
      <c r="P192" s="897"/>
      <c r="Q192" s="897"/>
      <c r="R192" s="897"/>
      <c r="S192" s="897"/>
      <c r="T192" s="897"/>
      <c r="U192" s="897"/>
    </row>
    <row r="193" spans="1:21" x14ac:dyDescent="0.25">
      <c r="A193" s="897"/>
      <c r="B193" s="897"/>
      <c r="C193" s="897"/>
      <c r="D193" s="897"/>
      <c r="E193" s="897"/>
      <c r="F193" s="897"/>
      <c r="G193" s="897"/>
      <c r="H193" s="897"/>
      <c r="I193" s="897"/>
      <c r="J193" s="897"/>
      <c r="K193" s="897"/>
      <c r="L193" s="897"/>
      <c r="M193" s="897"/>
      <c r="N193" s="897"/>
      <c r="O193" s="897"/>
      <c r="P193" s="897"/>
      <c r="Q193" s="897"/>
      <c r="R193" s="897"/>
      <c r="S193" s="897"/>
      <c r="T193" s="897"/>
      <c r="U193" s="897"/>
    </row>
    <row r="194" spans="1:21" x14ac:dyDescent="0.25">
      <c r="A194" s="897"/>
      <c r="B194" s="897"/>
      <c r="C194" s="897"/>
      <c r="D194" s="897"/>
      <c r="E194" s="897"/>
      <c r="F194" s="897"/>
      <c r="G194" s="897"/>
      <c r="H194" s="897"/>
      <c r="I194" s="897"/>
      <c r="J194" s="897"/>
      <c r="K194" s="897"/>
      <c r="L194" s="897"/>
      <c r="M194" s="897"/>
      <c r="N194" s="897"/>
      <c r="O194" s="897"/>
      <c r="P194" s="897"/>
      <c r="Q194" s="897"/>
      <c r="R194" s="897"/>
      <c r="S194" s="897"/>
      <c r="T194" s="897"/>
      <c r="U194" s="897"/>
    </row>
    <row r="195" spans="1:21" x14ac:dyDescent="0.25">
      <c r="A195" s="897"/>
      <c r="B195" s="897"/>
      <c r="C195" s="897"/>
      <c r="D195" s="897"/>
      <c r="E195" s="897"/>
      <c r="F195" s="897"/>
      <c r="G195" s="897"/>
      <c r="H195" s="897"/>
      <c r="I195" s="897"/>
      <c r="J195" s="897"/>
      <c r="K195" s="897"/>
      <c r="L195" s="897"/>
      <c r="M195" s="897"/>
      <c r="N195" s="897"/>
      <c r="O195" s="897"/>
      <c r="P195" s="897"/>
      <c r="Q195" s="897"/>
      <c r="R195" s="897"/>
      <c r="S195" s="897"/>
      <c r="T195" s="897"/>
      <c r="U195" s="897"/>
    </row>
    <row r="196" spans="1:21" x14ac:dyDescent="0.25">
      <c r="A196" s="897"/>
      <c r="B196" s="897"/>
      <c r="C196" s="897"/>
      <c r="D196" s="897"/>
      <c r="E196" s="897"/>
      <c r="F196" s="897"/>
      <c r="G196" s="897"/>
      <c r="H196" s="897"/>
      <c r="I196" s="897"/>
      <c r="J196" s="897"/>
      <c r="K196" s="897"/>
      <c r="L196" s="897"/>
      <c r="M196" s="897"/>
      <c r="N196" s="897"/>
      <c r="O196" s="897"/>
      <c r="P196" s="897"/>
      <c r="Q196" s="897"/>
      <c r="R196" s="897"/>
      <c r="S196" s="897"/>
      <c r="T196" s="897"/>
      <c r="U196" s="897"/>
    </row>
    <row r="197" spans="1:21" x14ac:dyDescent="0.25">
      <c r="A197" s="897"/>
      <c r="B197" s="897"/>
      <c r="C197" s="897"/>
      <c r="D197" s="897"/>
      <c r="E197" s="897"/>
      <c r="F197" s="897"/>
      <c r="G197" s="897"/>
      <c r="H197" s="897"/>
      <c r="I197" s="897"/>
      <c r="J197" s="897"/>
      <c r="K197" s="897"/>
      <c r="L197" s="897"/>
      <c r="M197" s="897"/>
      <c r="N197" s="897"/>
      <c r="O197" s="897"/>
      <c r="P197" s="897"/>
      <c r="Q197" s="897"/>
      <c r="R197" s="897"/>
      <c r="S197" s="897"/>
      <c r="T197" s="897"/>
      <c r="U197" s="897"/>
    </row>
    <row r="198" spans="1:21" x14ac:dyDescent="0.25">
      <c r="A198" s="897"/>
      <c r="B198" s="897"/>
      <c r="C198" s="897"/>
      <c r="D198" s="897"/>
      <c r="E198" s="897"/>
      <c r="F198" s="897"/>
      <c r="G198" s="897"/>
      <c r="H198" s="897"/>
      <c r="I198" s="897"/>
      <c r="J198" s="897"/>
      <c r="K198" s="897"/>
      <c r="L198" s="897"/>
      <c r="M198" s="897"/>
      <c r="N198" s="897"/>
      <c r="O198" s="897"/>
      <c r="P198" s="897"/>
      <c r="Q198" s="897"/>
      <c r="R198" s="897"/>
      <c r="S198" s="897"/>
      <c r="T198" s="897"/>
      <c r="U198" s="897"/>
    </row>
    <row r="199" spans="1:21" x14ac:dyDescent="0.25">
      <c r="A199" s="897"/>
      <c r="B199" s="897"/>
      <c r="C199" s="897"/>
      <c r="D199" s="897"/>
      <c r="E199" s="897"/>
      <c r="F199" s="897"/>
      <c r="G199" s="897"/>
      <c r="H199" s="897"/>
      <c r="I199" s="897"/>
      <c r="J199" s="897"/>
      <c r="K199" s="897"/>
      <c r="L199" s="897"/>
      <c r="M199" s="897"/>
      <c r="N199" s="897"/>
      <c r="O199" s="897"/>
      <c r="P199" s="897"/>
      <c r="Q199" s="897"/>
      <c r="R199" s="897"/>
      <c r="S199" s="897"/>
      <c r="T199" s="897"/>
      <c r="U199" s="897"/>
    </row>
    <row r="200" spans="1:21" x14ac:dyDescent="0.25">
      <c r="A200" s="897"/>
      <c r="B200" s="897"/>
      <c r="C200" s="897"/>
      <c r="D200" s="897"/>
      <c r="E200" s="897"/>
      <c r="F200" s="897"/>
      <c r="G200" s="897"/>
      <c r="H200" s="897"/>
      <c r="I200" s="897"/>
      <c r="J200" s="897"/>
      <c r="K200" s="897"/>
      <c r="L200" s="897"/>
      <c r="M200" s="897"/>
      <c r="N200" s="897"/>
      <c r="O200" s="897"/>
      <c r="P200" s="897"/>
      <c r="Q200" s="897"/>
      <c r="R200" s="897"/>
      <c r="S200" s="897"/>
      <c r="T200" s="897"/>
      <c r="U200" s="897"/>
    </row>
    <row r="201" spans="1:21" x14ac:dyDescent="0.25">
      <c r="A201" s="897"/>
      <c r="B201" s="897"/>
      <c r="C201" s="897"/>
      <c r="D201" s="897"/>
      <c r="E201" s="897"/>
      <c r="F201" s="897"/>
      <c r="G201" s="897"/>
      <c r="H201" s="897"/>
      <c r="I201" s="897"/>
      <c r="J201" s="897"/>
      <c r="K201" s="897"/>
      <c r="L201" s="897"/>
      <c r="M201" s="897"/>
      <c r="N201" s="897"/>
      <c r="O201" s="897"/>
      <c r="P201" s="897"/>
      <c r="Q201" s="897"/>
      <c r="R201" s="897"/>
      <c r="S201" s="897"/>
      <c r="T201" s="897"/>
      <c r="U201" s="897"/>
    </row>
    <row r="202" spans="1:21" x14ac:dyDescent="0.25">
      <c r="A202" s="897"/>
      <c r="B202" s="897"/>
      <c r="C202" s="897"/>
      <c r="D202" s="897"/>
      <c r="E202" s="897"/>
      <c r="F202" s="897"/>
      <c r="G202" s="897"/>
      <c r="H202" s="897"/>
      <c r="I202" s="897"/>
      <c r="J202" s="897"/>
      <c r="K202" s="897"/>
      <c r="L202" s="897"/>
      <c r="M202" s="897"/>
      <c r="N202" s="897"/>
      <c r="O202" s="897"/>
      <c r="P202" s="897"/>
      <c r="Q202" s="897"/>
      <c r="R202" s="897"/>
      <c r="S202" s="897"/>
      <c r="T202" s="897"/>
      <c r="U202" s="897"/>
    </row>
    <row r="203" spans="1:21" x14ac:dyDescent="0.25">
      <c r="A203" s="897"/>
      <c r="B203" s="897"/>
      <c r="C203" s="897"/>
      <c r="D203" s="897"/>
      <c r="E203" s="897"/>
      <c r="F203" s="897"/>
      <c r="G203" s="897"/>
      <c r="H203" s="897"/>
      <c r="I203" s="897"/>
      <c r="J203" s="897"/>
      <c r="K203" s="897"/>
      <c r="L203" s="897"/>
      <c r="M203" s="897"/>
      <c r="N203" s="897"/>
      <c r="O203" s="897"/>
      <c r="P203" s="897"/>
      <c r="Q203" s="897"/>
      <c r="R203" s="897"/>
      <c r="S203" s="897"/>
      <c r="T203" s="897"/>
      <c r="U203" s="897"/>
    </row>
    <row r="204" spans="1:21" x14ac:dyDescent="0.25">
      <c r="A204" s="897"/>
      <c r="B204" s="897"/>
      <c r="C204" s="897"/>
      <c r="D204" s="897"/>
      <c r="E204" s="897"/>
      <c r="F204" s="897"/>
      <c r="G204" s="897"/>
      <c r="H204" s="897"/>
      <c r="I204" s="897"/>
      <c r="J204" s="897"/>
      <c r="K204" s="897"/>
      <c r="L204" s="897"/>
      <c r="M204" s="897"/>
      <c r="N204" s="897"/>
      <c r="O204" s="897"/>
      <c r="P204" s="897"/>
      <c r="Q204" s="897"/>
      <c r="R204" s="897"/>
      <c r="S204" s="897"/>
      <c r="T204" s="897"/>
      <c r="U204" s="897"/>
    </row>
    <row r="205" spans="1:21" x14ac:dyDescent="0.25">
      <c r="A205" s="897"/>
      <c r="B205" s="897"/>
      <c r="C205" s="897"/>
      <c r="D205" s="897"/>
      <c r="E205" s="897"/>
      <c r="F205" s="897"/>
      <c r="G205" s="897"/>
      <c r="H205" s="897"/>
      <c r="I205" s="897"/>
      <c r="J205" s="897"/>
      <c r="K205" s="897"/>
      <c r="L205" s="897"/>
      <c r="M205" s="897"/>
      <c r="N205" s="897"/>
      <c r="O205" s="897"/>
      <c r="P205" s="897"/>
      <c r="Q205" s="897"/>
      <c r="R205" s="897"/>
      <c r="S205" s="897"/>
      <c r="T205" s="897"/>
      <c r="U205" s="897"/>
    </row>
    <row r="206" spans="1:21" x14ac:dyDescent="0.25">
      <c r="A206" s="897"/>
      <c r="B206" s="897"/>
      <c r="C206" s="897"/>
      <c r="D206" s="897"/>
      <c r="E206" s="897"/>
      <c r="F206" s="897"/>
      <c r="G206" s="897"/>
      <c r="H206" s="897"/>
      <c r="I206" s="897"/>
      <c r="J206" s="897"/>
      <c r="K206" s="897"/>
      <c r="L206" s="897"/>
      <c r="M206" s="897"/>
      <c r="N206" s="897"/>
      <c r="O206" s="897"/>
      <c r="P206" s="897"/>
      <c r="Q206" s="897"/>
      <c r="R206" s="897"/>
      <c r="S206" s="897"/>
      <c r="T206" s="897"/>
      <c r="U206" s="897"/>
    </row>
    <row r="207" spans="1:21" x14ac:dyDescent="0.25">
      <c r="A207" s="897"/>
      <c r="B207" s="897"/>
      <c r="C207" s="897"/>
      <c r="D207" s="897"/>
      <c r="E207" s="897"/>
      <c r="F207" s="897"/>
      <c r="G207" s="897"/>
      <c r="H207" s="897"/>
      <c r="I207" s="897"/>
      <c r="J207" s="897"/>
      <c r="K207" s="897"/>
      <c r="L207" s="897"/>
      <c r="M207" s="897"/>
      <c r="N207" s="897"/>
      <c r="O207" s="897"/>
      <c r="P207" s="897"/>
      <c r="Q207" s="897"/>
      <c r="R207" s="897"/>
      <c r="S207" s="897"/>
      <c r="T207" s="897"/>
      <c r="U207" s="897"/>
    </row>
    <row r="208" spans="1:21" x14ac:dyDescent="0.25">
      <c r="A208" s="897"/>
      <c r="B208" s="897"/>
      <c r="C208" s="897"/>
      <c r="D208" s="897"/>
      <c r="E208" s="897"/>
      <c r="F208" s="897"/>
      <c r="G208" s="897"/>
      <c r="H208" s="897"/>
      <c r="I208" s="897"/>
      <c r="J208" s="897"/>
      <c r="K208" s="897"/>
      <c r="L208" s="897"/>
      <c r="M208" s="897"/>
      <c r="N208" s="897"/>
      <c r="O208" s="897"/>
      <c r="P208" s="897"/>
      <c r="Q208" s="897"/>
      <c r="R208" s="897"/>
      <c r="S208" s="897"/>
      <c r="T208" s="897"/>
      <c r="U208" s="897"/>
    </row>
    <row r="209" spans="1:21" x14ac:dyDescent="0.25">
      <c r="A209" s="897"/>
      <c r="B209" s="897"/>
      <c r="C209" s="897"/>
      <c r="D209" s="897"/>
      <c r="E209" s="897"/>
      <c r="F209" s="897"/>
      <c r="G209" s="897"/>
      <c r="H209" s="897"/>
      <c r="I209" s="897"/>
      <c r="J209" s="897"/>
      <c r="K209" s="897"/>
      <c r="L209" s="897"/>
      <c r="M209" s="897"/>
      <c r="N209" s="897"/>
      <c r="O209" s="897"/>
      <c r="P209" s="897"/>
      <c r="Q209" s="897"/>
      <c r="R209" s="897"/>
      <c r="S209" s="897"/>
      <c r="T209" s="897"/>
      <c r="U209" s="897"/>
    </row>
    <row r="210" spans="1:21" x14ac:dyDescent="0.25">
      <c r="A210" s="897"/>
      <c r="B210" s="897"/>
      <c r="C210" s="897"/>
      <c r="D210" s="897"/>
      <c r="E210" s="897"/>
      <c r="F210" s="897"/>
      <c r="G210" s="897"/>
      <c r="H210" s="897"/>
      <c r="I210" s="897"/>
      <c r="J210" s="897"/>
      <c r="K210" s="897"/>
      <c r="L210" s="897"/>
      <c r="M210" s="897"/>
      <c r="N210" s="897"/>
      <c r="O210" s="897"/>
      <c r="P210" s="897"/>
      <c r="Q210" s="897"/>
      <c r="R210" s="897"/>
      <c r="S210" s="897"/>
      <c r="T210" s="897"/>
      <c r="U210" s="897"/>
    </row>
    <row r="211" spans="1:21" x14ac:dyDescent="0.25">
      <c r="A211" s="897"/>
      <c r="B211" s="897"/>
      <c r="C211" s="897"/>
      <c r="D211" s="897"/>
      <c r="E211" s="897"/>
      <c r="F211" s="897"/>
      <c r="G211" s="897"/>
      <c r="H211" s="897"/>
      <c r="I211" s="897"/>
      <c r="J211" s="897"/>
      <c r="K211" s="897"/>
      <c r="L211" s="897"/>
      <c r="M211" s="897"/>
      <c r="N211" s="897"/>
      <c r="O211" s="897"/>
      <c r="P211" s="897"/>
      <c r="Q211" s="897"/>
      <c r="R211" s="897"/>
      <c r="S211" s="897"/>
      <c r="T211" s="897"/>
      <c r="U211" s="897"/>
    </row>
    <row r="212" spans="1:21" x14ac:dyDescent="0.25">
      <c r="A212" s="897"/>
      <c r="B212" s="897"/>
      <c r="C212" s="897"/>
      <c r="D212" s="897"/>
      <c r="E212" s="897"/>
      <c r="F212" s="897"/>
      <c r="G212" s="897"/>
      <c r="H212" s="897"/>
      <c r="I212" s="897"/>
      <c r="J212" s="897"/>
      <c r="K212" s="897"/>
      <c r="L212" s="897"/>
      <c r="M212" s="897"/>
      <c r="N212" s="897"/>
      <c r="O212" s="897"/>
      <c r="P212" s="897"/>
      <c r="Q212" s="897"/>
      <c r="R212" s="897"/>
      <c r="S212" s="897"/>
      <c r="T212" s="897"/>
      <c r="U212" s="897"/>
    </row>
    <row r="213" spans="1:21" x14ac:dyDescent="0.25">
      <c r="A213" s="897"/>
      <c r="B213" s="897"/>
      <c r="C213" s="897"/>
      <c r="D213" s="897"/>
      <c r="E213" s="897"/>
      <c r="F213" s="897"/>
      <c r="G213" s="897"/>
      <c r="H213" s="897"/>
      <c r="I213" s="897"/>
      <c r="J213" s="897"/>
      <c r="K213" s="897"/>
      <c r="L213" s="897"/>
      <c r="M213" s="897"/>
      <c r="N213" s="897"/>
      <c r="O213" s="897"/>
      <c r="P213" s="897"/>
      <c r="Q213" s="897"/>
      <c r="R213" s="897"/>
      <c r="S213" s="897"/>
      <c r="T213" s="897"/>
      <c r="U213" s="897"/>
    </row>
    <row r="214" spans="1:21" x14ac:dyDescent="0.25">
      <c r="A214" s="897"/>
      <c r="B214" s="897"/>
      <c r="C214" s="897"/>
      <c r="D214" s="897"/>
      <c r="E214" s="897"/>
      <c r="F214" s="897"/>
      <c r="G214" s="897"/>
      <c r="H214" s="897"/>
      <c r="I214" s="897"/>
      <c r="J214" s="897"/>
      <c r="K214" s="897"/>
      <c r="L214" s="897"/>
      <c r="M214" s="897"/>
      <c r="N214" s="897"/>
      <c r="O214" s="897"/>
      <c r="P214" s="897"/>
      <c r="Q214" s="897"/>
      <c r="R214" s="897"/>
      <c r="S214" s="897"/>
      <c r="T214" s="897"/>
      <c r="U214" s="897"/>
    </row>
    <row r="215" spans="1:21" x14ac:dyDescent="0.25">
      <c r="A215" s="897"/>
      <c r="B215" s="897"/>
      <c r="C215" s="897"/>
      <c r="D215" s="897"/>
      <c r="E215" s="897"/>
      <c r="F215" s="897"/>
      <c r="G215" s="897"/>
      <c r="H215" s="897"/>
      <c r="I215" s="897"/>
      <c r="J215" s="897"/>
      <c r="K215" s="897"/>
      <c r="L215" s="897"/>
      <c r="M215" s="897"/>
      <c r="N215" s="897"/>
      <c r="O215" s="897"/>
      <c r="P215" s="897"/>
      <c r="Q215" s="897"/>
      <c r="R215" s="897"/>
      <c r="S215" s="897"/>
      <c r="T215" s="897"/>
      <c r="U215" s="897"/>
    </row>
    <row r="216" spans="1:21" x14ac:dyDescent="0.25">
      <c r="A216" s="897"/>
      <c r="B216" s="897"/>
      <c r="C216" s="897"/>
      <c r="D216" s="897"/>
      <c r="E216" s="897"/>
      <c r="F216" s="897"/>
      <c r="G216" s="897"/>
      <c r="H216" s="897"/>
      <c r="I216" s="897"/>
      <c r="J216" s="897"/>
      <c r="K216" s="897"/>
      <c r="L216" s="897"/>
      <c r="M216" s="897"/>
      <c r="N216" s="897"/>
      <c r="O216" s="897"/>
      <c r="P216" s="897"/>
      <c r="Q216" s="897"/>
      <c r="R216" s="897"/>
      <c r="S216" s="897"/>
      <c r="T216" s="897"/>
      <c r="U216" s="897"/>
    </row>
    <row r="217" spans="1:21" x14ac:dyDescent="0.25">
      <c r="A217" s="897"/>
      <c r="B217" s="897"/>
      <c r="C217" s="897"/>
      <c r="D217" s="897"/>
      <c r="E217" s="897"/>
      <c r="F217" s="897"/>
      <c r="G217" s="897"/>
      <c r="H217" s="897"/>
      <c r="I217" s="897"/>
      <c r="J217" s="897"/>
      <c r="K217" s="897"/>
      <c r="L217" s="897"/>
      <c r="M217" s="897"/>
      <c r="N217" s="897"/>
      <c r="O217" s="897"/>
      <c r="P217" s="897"/>
      <c r="Q217" s="897"/>
      <c r="R217" s="897"/>
      <c r="S217" s="897"/>
      <c r="T217" s="897"/>
      <c r="U217" s="897"/>
    </row>
    <row r="218" spans="1:21" x14ac:dyDescent="0.25">
      <c r="A218" s="897"/>
      <c r="B218" s="897"/>
      <c r="C218" s="897"/>
      <c r="D218" s="897"/>
      <c r="E218" s="897"/>
      <c r="F218" s="897"/>
      <c r="G218" s="897"/>
      <c r="H218" s="897"/>
      <c r="I218" s="897"/>
      <c r="J218" s="897"/>
      <c r="K218" s="897"/>
      <c r="L218" s="897"/>
      <c r="M218" s="897"/>
      <c r="N218" s="897"/>
      <c r="O218" s="897"/>
      <c r="P218" s="897"/>
      <c r="Q218" s="897"/>
      <c r="R218" s="897"/>
      <c r="S218" s="897"/>
      <c r="T218" s="897"/>
      <c r="U218" s="897"/>
    </row>
    <row r="219" spans="1:21" x14ac:dyDescent="0.25">
      <c r="A219" s="897"/>
      <c r="B219" s="897"/>
      <c r="C219" s="897"/>
      <c r="D219" s="897"/>
      <c r="E219" s="897"/>
      <c r="F219" s="897"/>
      <c r="G219" s="897"/>
      <c r="H219" s="897"/>
      <c r="I219" s="897"/>
      <c r="J219" s="897"/>
      <c r="K219" s="897"/>
      <c r="L219" s="897"/>
      <c r="M219" s="897"/>
      <c r="N219" s="897"/>
      <c r="O219" s="897"/>
      <c r="P219" s="897"/>
      <c r="Q219" s="897"/>
      <c r="R219" s="897"/>
      <c r="S219" s="897"/>
      <c r="T219" s="897"/>
      <c r="U219" s="897"/>
    </row>
    <row r="220" spans="1:21" x14ac:dyDescent="0.25">
      <c r="A220" s="897"/>
      <c r="B220" s="897"/>
      <c r="C220" s="897"/>
      <c r="D220" s="897"/>
      <c r="E220" s="897"/>
      <c r="F220" s="897"/>
      <c r="G220" s="897"/>
      <c r="H220" s="897"/>
      <c r="I220" s="897"/>
      <c r="J220" s="897"/>
      <c r="K220" s="897"/>
      <c r="L220" s="897"/>
      <c r="M220" s="897"/>
      <c r="N220" s="897"/>
      <c r="O220" s="897"/>
      <c r="P220" s="897"/>
      <c r="Q220" s="897"/>
      <c r="R220" s="897"/>
      <c r="S220" s="897"/>
      <c r="T220" s="897"/>
      <c r="U220" s="897"/>
    </row>
    <row r="221" spans="1:21" x14ac:dyDescent="0.25">
      <c r="A221" s="897"/>
      <c r="B221" s="897"/>
      <c r="C221" s="897"/>
      <c r="D221" s="897"/>
      <c r="E221" s="897"/>
      <c r="F221" s="897"/>
      <c r="G221" s="897"/>
      <c r="H221" s="897"/>
      <c r="I221" s="897"/>
      <c r="J221" s="897"/>
      <c r="K221" s="897"/>
      <c r="L221" s="897"/>
      <c r="M221" s="897"/>
      <c r="N221" s="897"/>
      <c r="O221" s="897"/>
      <c r="P221" s="897"/>
      <c r="Q221" s="897"/>
      <c r="R221" s="897"/>
      <c r="S221" s="897"/>
      <c r="T221" s="897"/>
      <c r="U221" s="897"/>
    </row>
    <row r="222" spans="1:21" x14ac:dyDescent="0.25">
      <c r="A222" s="897"/>
      <c r="B222" s="897"/>
      <c r="C222" s="897"/>
      <c r="D222" s="897"/>
      <c r="E222" s="897"/>
      <c r="F222" s="897"/>
      <c r="G222" s="897"/>
      <c r="H222" s="897"/>
      <c r="I222" s="897"/>
      <c r="J222" s="897"/>
      <c r="K222" s="897"/>
      <c r="L222" s="897"/>
      <c r="M222" s="897"/>
      <c r="N222" s="897"/>
      <c r="O222" s="897"/>
      <c r="P222" s="897"/>
      <c r="Q222" s="897"/>
      <c r="R222" s="897"/>
      <c r="S222" s="897"/>
      <c r="T222" s="897"/>
      <c r="U222" s="897"/>
    </row>
    <row r="223" spans="1:21" x14ac:dyDescent="0.25">
      <c r="A223" s="897"/>
      <c r="B223" s="897"/>
      <c r="C223" s="897"/>
      <c r="D223" s="897"/>
      <c r="E223" s="897"/>
      <c r="F223" s="897"/>
      <c r="G223" s="897"/>
      <c r="H223" s="897"/>
      <c r="I223" s="897"/>
      <c r="J223" s="897"/>
      <c r="K223" s="897"/>
      <c r="L223" s="897"/>
      <c r="M223" s="897"/>
      <c r="N223" s="897"/>
      <c r="O223" s="897"/>
      <c r="P223" s="897"/>
      <c r="Q223" s="897"/>
      <c r="R223" s="897"/>
      <c r="S223" s="897"/>
      <c r="T223" s="897"/>
      <c r="U223" s="897"/>
    </row>
    <row r="224" spans="1:21" x14ac:dyDescent="0.25">
      <c r="A224" s="897"/>
      <c r="B224" s="897"/>
      <c r="C224" s="897"/>
      <c r="D224" s="897"/>
      <c r="E224" s="897"/>
      <c r="F224" s="897"/>
      <c r="G224" s="897"/>
      <c r="H224" s="897"/>
      <c r="I224" s="897"/>
      <c r="J224" s="897"/>
      <c r="K224" s="897"/>
      <c r="L224" s="897"/>
      <c r="M224" s="897"/>
      <c r="N224" s="897"/>
      <c r="O224" s="897"/>
      <c r="P224" s="897"/>
      <c r="Q224" s="897"/>
      <c r="R224" s="897"/>
      <c r="S224" s="897"/>
      <c r="T224" s="897"/>
      <c r="U224" s="897"/>
    </row>
    <row r="225" spans="1:21" x14ac:dyDescent="0.25">
      <c r="A225" s="897"/>
      <c r="B225" s="897"/>
      <c r="C225" s="897"/>
      <c r="D225" s="897"/>
      <c r="E225" s="897"/>
      <c r="F225" s="897"/>
      <c r="G225" s="897"/>
      <c r="H225" s="897"/>
      <c r="I225" s="897"/>
      <c r="J225" s="897"/>
      <c r="K225" s="897"/>
      <c r="L225" s="897"/>
      <c r="M225" s="897"/>
      <c r="N225" s="897"/>
      <c r="O225" s="897"/>
      <c r="P225" s="897"/>
      <c r="Q225" s="897"/>
      <c r="R225" s="897"/>
      <c r="S225" s="897"/>
      <c r="T225" s="897"/>
      <c r="U225" s="897"/>
    </row>
    <row r="226" spans="1:21" x14ac:dyDescent="0.25">
      <c r="A226" s="897"/>
      <c r="B226" s="897"/>
      <c r="C226" s="897"/>
      <c r="D226" s="897"/>
      <c r="E226" s="897"/>
      <c r="F226" s="897"/>
      <c r="G226" s="897"/>
      <c r="H226" s="897"/>
      <c r="I226" s="897"/>
      <c r="J226" s="897"/>
      <c r="K226" s="897"/>
      <c r="L226" s="897"/>
      <c r="M226" s="897"/>
      <c r="N226" s="897"/>
      <c r="O226" s="897"/>
      <c r="P226" s="897"/>
      <c r="Q226" s="897"/>
      <c r="R226" s="897"/>
      <c r="S226" s="897"/>
      <c r="T226" s="897"/>
      <c r="U226" s="897"/>
    </row>
    <row r="227" spans="1:21" x14ac:dyDescent="0.25">
      <c r="A227" s="897"/>
      <c r="B227" s="897"/>
      <c r="C227" s="897"/>
      <c r="D227" s="897"/>
      <c r="E227" s="897"/>
      <c r="F227" s="897"/>
      <c r="G227" s="897"/>
      <c r="H227" s="897"/>
      <c r="I227" s="897"/>
      <c r="J227" s="897"/>
      <c r="K227" s="897"/>
      <c r="L227" s="897"/>
      <c r="M227" s="897"/>
      <c r="N227" s="897"/>
      <c r="O227" s="897"/>
      <c r="P227" s="897"/>
      <c r="Q227" s="897"/>
      <c r="R227" s="897"/>
      <c r="S227" s="897"/>
      <c r="T227" s="897"/>
      <c r="U227" s="897"/>
    </row>
    <row r="228" spans="1:21" x14ac:dyDescent="0.25">
      <c r="A228" s="897"/>
      <c r="B228" s="897"/>
      <c r="C228" s="897"/>
      <c r="D228" s="897"/>
      <c r="E228" s="897"/>
      <c r="F228" s="897"/>
      <c r="G228" s="897"/>
      <c r="H228" s="897"/>
      <c r="I228" s="897"/>
      <c r="J228" s="897"/>
      <c r="K228" s="897"/>
      <c r="L228" s="897"/>
      <c r="M228" s="897"/>
      <c r="N228" s="897"/>
      <c r="O228" s="897"/>
      <c r="P228" s="897"/>
      <c r="Q228" s="897"/>
      <c r="R228" s="897"/>
      <c r="S228" s="897"/>
      <c r="T228" s="897"/>
      <c r="U228" s="897"/>
    </row>
    <row r="229" spans="1:21" x14ac:dyDescent="0.25">
      <c r="A229" s="897"/>
      <c r="B229" s="897"/>
      <c r="C229" s="897"/>
      <c r="D229" s="897"/>
      <c r="E229" s="897"/>
      <c r="F229" s="897"/>
      <c r="G229" s="897"/>
      <c r="H229" s="897"/>
      <c r="I229" s="897"/>
      <c r="J229" s="897"/>
      <c r="K229" s="897"/>
      <c r="L229" s="897"/>
      <c r="M229" s="897"/>
      <c r="N229" s="897"/>
      <c r="O229" s="897"/>
      <c r="P229" s="897"/>
      <c r="Q229" s="897"/>
      <c r="R229" s="897"/>
      <c r="S229" s="897"/>
      <c r="T229" s="897"/>
      <c r="U229" s="897"/>
    </row>
    <row r="230" spans="1:21" x14ac:dyDescent="0.25">
      <c r="A230" s="897"/>
      <c r="B230" s="897"/>
      <c r="C230" s="897"/>
      <c r="D230" s="897"/>
      <c r="E230" s="897"/>
      <c r="F230" s="897"/>
      <c r="G230" s="897"/>
      <c r="H230" s="897"/>
      <c r="I230" s="897"/>
      <c r="J230" s="897"/>
      <c r="K230" s="897"/>
      <c r="L230" s="897"/>
      <c r="M230" s="897"/>
      <c r="N230" s="897"/>
      <c r="O230" s="897"/>
      <c r="P230" s="897"/>
      <c r="Q230" s="897"/>
      <c r="R230" s="897"/>
      <c r="S230" s="897"/>
      <c r="T230" s="897"/>
      <c r="U230" s="897"/>
    </row>
    <row r="231" spans="1:21" x14ac:dyDescent="0.25">
      <c r="A231" s="897"/>
      <c r="B231" s="897"/>
      <c r="C231" s="897"/>
      <c r="D231" s="897"/>
      <c r="E231" s="897"/>
      <c r="F231" s="897"/>
      <c r="G231" s="897"/>
      <c r="H231" s="897"/>
      <c r="I231" s="897"/>
      <c r="J231" s="897"/>
      <c r="K231" s="897"/>
      <c r="L231" s="897"/>
      <c r="M231" s="897"/>
      <c r="N231" s="897"/>
      <c r="O231" s="897"/>
      <c r="P231" s="897"/>
      <c r="Q231" s="897"/>
      <c r="R231" s="897"/>
      <c r="S231" s="897"/>
      <c r="T231" s="897"/>
      <c r="U231" s="897"/>
    </row>
    <row r="232" spans="1:21" x14ac:dyDescent="0.25">
      <c r="A232" s="897"/>
      <c r="B232" s="897"/>
      <c r="C232" s="897"/>
      <c r="D232" s="897"/>
      <c r="E232" s="897"/>
      <c r="F232" s="897"/>
      <c r="G232" s="897"/>
      <c r="H232" s="897"/>
      <c r="I232" s="897"/>
      <c r="J232" s="897"/>
      <c r="K232" s="897"/>
      <c r="L232" s="897"/>
      <c r="M232" s="897"/>
      <c r="N232" s="897"/>
      <c r="O232" s="897"/>
      <c r="P232" s="897"/>
      <c r="Q232" s="897"/>
      <c r="R232" s="897"/>
      <c r="S232" s="897"/>
      <c r="T232" s="897"/>
      <c r="U232" s="897"/>
    </row>
    <row r="233" spans="1:21" x14ac:dyDescent="0.25">
      <c r="A233" s="897"/>
      <c r="B233" s="897"/>
      <c r="C233" s="897"/>
      <c r="D233" s="897"/>
      <c r="E233" s="897"/>
      <c r="F233" s="897"/>
      <c r="G233" s="897"/>
      <c r="H233" s="897"/>
      <c r="I233" s="897"/>
      <c r="J233" s="897"/>
      <c r="K233" s="897"/>
      <c r="L233" s="897"/>
      <c r="M233" s="897"/>
      <c r="N233" s="897"/>
      <c r="O233" s="897"/>
      <c r="P233" s="897"/>
      <c r="Q233" s="897"/>
      <c r="R233" s="897"/>
      <c r="S233" s="897"/>
      <c r="T233" s="897"/>
      <c r="U233" s="897"/>
    </row>
    <row r="234" spans="1:21" x14ac:dyDescent="0.25">
      <c r="A234" s="897"/>
      <c r="B234" s="897"/>
      <c r="C234" s="897"/>
      <c r="D234" s="897"/>
      <c r="E234" s="897"/>
      <c r="F234" s="897"/>
      <c r="G234" s="897"/>
      <c r="H234" s="897"/>
      <c r="I234" s="897"/>
      <c r="J234" s="897"/>
      <c r="K234" s="897"/>
      <c r="L234" s="897"/>
      <c r="M234" s="897"/>
      <c r="N234" s="897"/>
      <c r="O234" s="897"/>
      <c r="P234" s="897"/>
      <c r="Q234" s="897"/>
      <c r="R234" s="897"/>
      <c r="S234" s="897"/>
      <c r="T234" s="897"/>
      <c r="U234" s="897"/>
    </row>
    <row r="235" spans="1:21" x14ac:dyDescent="0.25">
      <c r="A235" s="897"/>
      <c r="B235" s="897"/>
      <c r="C235" s="897"/>
      <c r="D235" s="897"/>
      <c r="E235" s="897"/>
      <c r="F235" s="897"/>
      <c r="G235" s="897"/>
      <c r="H235" s="897"/>
      <c r="I235" s="897"/>
      <c r="J235" s="897"/>
      <c r="K235" s="897"/>
      <c r="L235" s="897"/>
      <c r="M235" s="897"/>
      <c r="N235" s="897"/>
      <c r="O235" s="897"/>
      <c r="P235" s="897"/>
      <c r="Q235" s="897"/>
      <c r="R235" s="897"/>
      <c r="S235" s="897"/>
      <c r="T235" s="897"/>
      <c r="U235" s="897"/>
    </row>
    <row r="236" spans="1:21" x14ac:dyDescent="0.25">
      <c r="A236" s="897"/>
      <c r="B236" s="897"/>
      <c r="C236" s="897"/>
      <c r="D236" s="897"/>
      <c r="E236" s="897"/>
      <c r="F236" s="897"/>
      <c r="G236" s="897"/>
      <c r="H236" s="897"/>
      <c r="I236" s="897"/>
      <c r="J236" s="897"/>
      <c r="K236" s="897"/>
      <c r="L236" s="897"/>
      <c r="M236" s="897"/>
      <c r="N236" s="897"/>
      <c r="O236" s="897"/>
      <c r="P236" s="897"/>
      <c r="Q236" s="897"/>
      <c r="R236" s="897"/>
      <c r="S236" s="897"/>
      <c r="T236" s="897"/>
      <c r="U236" s="897"/>
    </row>
    <row r="237" spans="1:21" x14ac:dyDescent="0.25">
      <c r="A237" s="897"/>
      <c r="B237" s="897"/>
      <c r="C237" s="897"/>
      <c r="D237" s="897"/>
      <c r="E237" s="897"/>
      <c r="F237" s="897"/>
      <c r="G237" s="897"/>
      <c r="H237" s="897"/>
      <c r="I237" s="897"/>
      <c r="J237" s="897"/>
      <c r="K237" s="897"/>
      <c r="L237" s="897"/>
      <c r="M237" s="897"/>
      <c r="N237" s="897"/>
      <c r="O237" s="897"/>
      <c r="P237" s="897"/>
      <c r="Q237" s="897"/>
      <c r="R237" s="897"/>
      <c r="S237" s="897"/>
      <c r="T237" s="897"/>
      <c r="U237" s="897"/>
    </row>
    <row r="238" spans="1:21" x14ac:dyDescent="0.25">
      <c r="B238" s="897"/>
      <c r="C238" s="897"/>
      <c r="D238" s="897"/>
      <c r="E238" s="897"/>
      <c r="F238" s="897"/>
      <c r="G238" s="897"/>
      <c r="H238" s="897"/>
      <c r="I238" s="897"/>
      <c r="J238" s="897"/>
      <c r="K238" s="897"/>
      <c r="L238" s="897"/>
      <c r="M238" s="897"/>
      <c r="N238" s="897"/>
      <c r="O238" s="897"/>
      <c r="P238" s="897"/>
      <c r="Q238" s="897"/>
      <c r="R238" s="897"/>
      <c r="S238" s="897"/>
      <c r="T238" s="897"/>
      <c r="U238" s="897"/>
    </row>
    <row r="239" spans="1:21" x14ac:dyDescent="0.25">
      <c r="B239" s="897"/>
      <c r="C239" s="897"/>
      <c r="D239" s="897"/>
      <c r="E239" s="897"/>
      <c r="F239" s="897"/>
      <c r="G239" s="897"/>
      <c r="H239" s="897"/>
      <c r="I239" s="897"/>
      <c r="J239" s="897"/>
      <c r="K239" s="897"/>
      <c r="L239" s="897"/>
      <c r="M239" s="897"/>
      <c r="N239" s="897"/>
      <c r="O239" s="897"/>
      <c r="P239" s="897"/>
      <c r="Q239" s="897"/>
      <c r="R239" s="897"/>
      <c r="S239" s="897"/>
      <c r="T239" s="897"/>
      <c r="U239" s="897"/>
    </row>
    <row r="240" spans="1:21" x14ac:dyDescent="0.25">
      <c r="B240" s="897"/>
      <c r="C240" s="897"/>
      <c r="D240" s="897"/>
      <c r="E240" s="897"/>
      <c r="F240" s="897"/>
      <c r="G240" s="897"/>
      <c r="H240" s="897"/>
      <c r="I240" s="897"/>
      <c r="J240" s="897"/>
      <c r="K240" s="897"/>
      <c r="L240" s="897"/>
      <c r="M240" s="897"/>
      <c r="N240" s="897"/>
      <c r="O240" s="897"/>
      <c r="P240" s="897"/>
      <c r="Q240" s="897"/>
      <c r="R240" s="897"/>
      <c r="S240" s="897"/>
      <c r="T240" s="897"/>
      <c r="U240" s="897"/>
    </row>
    <row r="241" spans="2:21" x14ac:dyDescent="0.25">
      <c r="B241" s="897"/>
      <c r="C241" s="897"/>
      <c r="D241" s="897"/>
      <c r="E241" s="897"/>
      <c r="F241" s="897"/>
      <c r="G241" s="897"/>
      <c r="H241" s="897"/>
      <c r="I241" s="897"/>
      <c r="J241" s="897"/>
      <c r="K241" s="897"/>
      <c r="L241" s="897"/>
      <c r="M241" s="897"/>
      <c r="N241" s="897"/>
      <c r="O241" s="897"/>
      <c r="P241" s="897"/>
      <c r="Q241" s="897"/>
      <c r="R241" s="897"/>
      <c r="S241" s="897"/>
      <c r="T241" s="897"/>
      <c r="U241" s="897"/>
    </row>
    <row r="242" spans="2:21" x14ac:dyDescent="0.25">
      <c r="B242" s="897"/>
      <c r="C242" s="897"/>
      <c r="D242" s="897"/>
      <c r="E242" s="897"/>
      <c r="F242" s="897"/>
      <c r="G242" s="897"/>
      <c r="H242" s="897"/>
      <c r="I242" s="897"/>
      <c r="J242" s="897"/>
      <c r="K242" s="897"/>
      <c r="L242" s="897"/>
      <c r="M242" s="897"/>
      <c r="N242" s="897"/>
      <c r="O242" s="897"/>
      <c r="P242" s="897"/>
      <c r="Q242" s="897"/>
      <c r="R242" s="897"/>
      <c r="S242" s="897"/>
      <c r="T242" s="897"/>
      <c r="U242" s="897"/>
    </row>
    <row r="243" spans="2:21" x14ac:dyDescent="0.25">
      <c r="B243" s="897"/>
      <c r="C243" s="897"/>
      <c r="D243" s="897"/>
      <c r="E243" s="897"/>
      <c r="F243" s="897"/>
      <c r="G243" s="897"/>
      <c r="H243" s="897"/>
      <c r="I243" s="897"/>
      <c r="J243" s="897"/>
      <c r="K243" s="897"/>
      <c r="L243" s="897"/>
      <c r="M243" s="897"/>
      <c r="N243" s="897"/>
      <c r="O243" s="897"/>
      <c r="P243" s="897"/>
      <c r="Q243" s="897"/>
      <c r="R243" s="897"/>
      <c r="S243" s="897"/>
      <c r="T243" s="897"/>
      <c r="U243" s="897"/>
    </row>
    <row r="244" spans="2:21" x14ac:dyDescent="0.25">
      <c r="B244" s="897"/>
      <c r="C244" s="897"/>
      <c r="D244" s="897"/>
      <c r="E244" s="897"/>
      <c r="F244" s="897"/>
      <c r="G244" s="897"/>
      <c r="H244" s="897"/>
      <c r="I244" s="897"/>
      <c r="J244" s="897"/>
      <c r="K244" s="897"/>
      <c r="L244" s="897"/>
      <c r="M244" s="897"/>
      <c r="N244" s="897"/>
      <c r="O244" s="897"/>
      <c r="P244" s="897"/>
      <c r="Q244" s="897"/>
      <c r="R244" s="897"/>
      <c r="S244" s="897"/>
      <c r="T244" s="897"/>
      <c r="U244" s="897"/>
    </row>
    <row r="245" spans="2:21" x14ac:dyDescent="0.25">
      <c r="B245" s="897"/>
      <c r="C245" s="897"/>
      <c r="D245" s="897"/>
      <c r="E245" s="897"/>
      <c r="F245" s="897"/>
      <c r="G245" s="897"/>
      <c r="H245" s="897"/>
      <c r="I245" s="897"/>
      <c r="J245" s="897"/>
      <c r="K245" s="897"/>
      <c r="L245" s="897"/>
      <c r="M245" s="897"/>
      <c r="N245" s="897"/>
      <c r="O245" s="897"/>
      <c r="P245" s="897"/>
      <c r="Q245" s="897"/>
      <c r="R245" s="897"/>
      <c r="S245" s="897"/>
      <c r="T245" s="897"/>
      <c r="U245" s="897"/>
    </row>
    <row r="246" spans="2:21" x14ac:dyDescent="0.25">
      <c r="B246" s="897"/>
      <c r="C246" s="897"/>
      <c r="D246" s="897"/>
      <c r="E246" s="897"/>
      <c r="F246" s="897"/>
      <c r="G246" s="897"/>
      <c r="H246" s="897"/>
      <c r="I246" s="897"/>
      <c r="J246" s="897"/>
      <c r="K246" s="897"/>
      <c r="L246" s="897"/>
      <c r="M246" s="897"/>
      <c r="N246" s="897"/>
      <c r="O246" s="897"/>
      <c r="P246" s="897"/>
      <c r="Q246" s="897"/>
      <c r="R246" s="897"/>
      <c r="S246" s="897"/>
      <c r="T246" s="897"/>
      <c r="U246" s="897"/>
    </row>
    <row r="247" spans="2:21" x14ac:dyDescent="0.25">
      <c r="B247" s="897"/>
      <c r="C247" s="897"/>
      <c r="D247" s="897"/>
      <c r="E247" s="897"/>
      <c r="F247" s="897"/>
      <c r="G247" s="897"/>
      <c r="H247" s="897"/>
      <c r="I247" s="897"/>
      <c r="J247" s="897"/>
      <c r="K247" s="897"/>
      <c r="L247" s="897"/>
      <c r="M247" s="897"/>
      <c r="N247" s="897"/>
      <c r="O247" s="897"/>
      <c r="P247" s="897"/>
      <c r="Q247" s="897"/>
      <c r="R247" s="897"/>
      <c r="S247" s="897"/>
      <c r="T247" s="897"/>
      <c r="U247" s="897"/>
    </row>
    <row r="248" spans="2:21" x14ac:dyDescent="0.25">
      <c r="B248" s="897"/>
      <c r="C248" s="897"/>
      <c r="D248" s="897"/>
      <c r="E248" s="897"/>
      <c r="F248" s="897"/>
      <c r="G248" s="897"/>
      <c r="H248" s="897"/>
      <c r="I248" s="897"/>
      <c r="J248" s="897"/>
      <c r="K248" s="897"/>
      <c r="L248" s="897"/>
      <c r="M248" s="897"/>
      <c r="N248" s="897"/>
      <c r="O248" s="897"/>
      <c r="P248" s="897"/>
      <c r="Q248" s="897"/>
      <c r="R248" s="897"/>
      <c r="S248" s="897"/>
      <c r="T248" s="897"/>
      <c r="U248" s="897"/>
    </row>
  </sheetData>
  <sheetProtection algorithmName="SHA-512" hashValue="Z9fVfC7ZsF/zmon8FhZrXUiEBeoQt1KIEkjv/wIEYVVAKIHH/PM1mq+rmhQuMEJX+kyCN53h9xLDenCaWEPmDg==" saltValue="Pv+M4wfVl6utbIpMMhgcDg==" spinCount="100000" sheet="1" objects="1" scenarios="1"/>
  <dataConsolidate/>
  <customSheetViews>
    <customSheetView guid="{75D6F8CE-A4F4-4FDD-BA92-7996F9E19FA9}" hiddenRows="1" topLeftCell="A37">
      <selection activeCell="G52" sqref="G52"/>
      <pageMargins left="0.7" right="0.7" top="0.75" bottom="0.75" header="0.3" footer="0.3"/>
      <pageSetup orientation="portrait" r:id="rId1"/>
    </customSheetView>
  </customSheetViews>
  <mergeCells count="106">
    <mergeCell ref="B26:U26"/>
    <mergeCell ref="H88:H89"/>
    <mergeCell ref="T56:T57"/>
    <mergeCell ref="U56:U57"/>
    <mergeCell ref="B85:U85"/>
    <mergeCell ref="B87:B89"/>
    <mergeCell ref="C87:C89"/>
    <mergeCell ref="D87:E88"/>
    <mergeCell ref="F87:H87"/>
    <mergeCell ref="I87:J88"/>
    <mergeCell ref="K87:L88"/>
    <mergeCell ref="M87:N88"/>
    <mergeCell ref="O87:P88"/>
    <mergeCell ref="Q87:R88"/>
    <mergeCell ref="S87:S89"/>
    <mergeCell ref="T87:U88"/>
    <mergeCell ref="F88:F89"/>
    <mergeCell ref="G88:G89"/>
    <mergeCell ref="M56:N56"/>
    <mergeCell ref="O56:O57"/>
    <mergeCell ref="P56:P57"/>
    <mergeCell ref="R56:R57"/>
    <mergeCell ref="S56:S57"/>
    <mergeCell ref="C83:Q83"/>
    <mergeCell ref="T83:U83"/>
    <mergeCell ref="Q55:Q57"/>
    <mergeCell ref="R55:U55"/>
    <mergeCell ref="H56:I56"/>
    <mergeCell ref="J56:J57"/>
    <mergeCell ref="K56:K57"/>
    <mergeCell ref="B80:Q80"/>
    <mergeCell ref="R80:U80"/>
    <mergeCell ref="C81:Q81"/>
    <mergeCell ref="T81:U81"/>
    <mergeCell ref="B55:B57"/>
    <mergeCell ref="C55:C57"/>
    <mergeCell ref="D55:D57"/>
    <mergeCell ref="E55:E57"/>
    <mergeCell ref="F55:F57"/>
    <mergeCell ref="G55:G57"/>
    <mergeCell ref="H55:K55"/>
    <mergeCell ref="L55:L57"/>
    <mergeCell ref="M55:P55"/>
    <mergeCell ref="C82:Q82"/>
    <mergeCell ref="T82:U82"/>
    <mergeCell ref="B69:U69"/>
    <mergeCell ref="B71:B73"/>
    <mergeCell ref="C71:C73"/>
    <mergeCell ref="D71:D73"/>
    <mergeCell ref="E71:E73"/>
    <mergeCell ref="F71:K71"/>
    <mergeCell ref="L71:L73"/>
    <mergeCell ref="M71:R71"/>
    <mergeCell ref="S71:S73"/>
    <mergeCell ref="T71:U72"/>
    <mergeCell ref="F72:H72"/>
    <mergeCell ref="I72:K72"/>
    <mergeCell ref="M72:O72"/>
    <mergeCell ref="P72:R72"/>
    <mergeCell ref="B42:V42"/>
    <mergeCell ref="B44:B46"/>
    <mergeCell ref="C44:C46"/>
    <mergeCell ref="D44:D46"/>
    <mergeCell ref="E44:E46"/>
    <mergeCell ref="L44:L46"/>
    <mergeCell ref="M44:R44"/>
    <mergeCell ref="M45:O45"/>
    <mergeCell ref="P45:R45"/>
    <mergeCell ref="S44:S46"/>
    <mergeCell ref="T44:U45"/>
    <mergeCell ref="C28:C30"/>
    <mergeCell ref="D28:D30"/>
    <mergeCell ref="E28:E30"/>
    <mergeCell ref="F28:F30"/>
    <mergeCell ref="P29:P30"/>
    <mergeCell ref="Q29:Q30"/>
    <mergeCell ref="R29:R30"/>
    <mergeCell ref="G28:G30"/>
    <mergeCell ref="H29:I29"/>
    <mergeCell ref="L29:L30"/>
    <mergeCell ref="J29:J30"/>
    <mergeCell ref="K29:K30"/>
    <mergeCell ref="S29:S30"/>
    <mergeCell ref="Q21:U21"/>
    <mergeCell ref="T9:U9"/>
    <mergeCell ref="N9:O9"/>
    <mergeCell ref="P9:Q9"/>
    <mergeCell ref="B15:S15"/>
    <mergeCell ref="D9:E9"/>
    <mergeCell ref="F9:G9"/>
    <mergeCell ref="B13:S13"/>
    <mergeCell ref="T29:T30"/>
    <mergeCell ref="U29:U30"/>
    <mergeCell ref="M29:N29"/>
    <mergeCell ref="B14:S14"/>
    <mergeCell ref="J9:K9"/>
    <mergeCell ref="L9:M9"/>
    <mergeCell ref="H9:I9"/>
    <mergeCell ref="B16:S16"/>
    <mergeCell ref="B17:S17"/>
    <mergeCell ref="B18:S18"/>
    <mergeCell ref="B19:S19"/>
    <mergeCell ref="R9:S9"/>
    <mergeCell ref="B9:C10"/>
    <mergeCell ref="O29:O30"/>
    <mergeCell ref="B28:B30"/>
  </mergeCells>
  <dataValidations count="6">
    <dataValidation type="list" allowBlank="1" showInputMessage="1" showErrorMessage="1" sqref="E59:E62 E32:E35" xr:uid="{00000000-0002-0000-0600-000000000000}">
      <formula1>"Yes, No"</formula1>
    </dataValidation>
    <dataValidation type="list" allowBlank="1" showInputMessage="1" showErrorMessage="1" sqref="C59:C62" xr:uid="{00000000-0002-0000-0600-000001000000}">
      <formula1>Homes_LaundryEqpList</formula1>
    </dataValidation>
    <dataValidation type="list" allowBlank="1" showInputMessage="1" showErrorMessage="1" sqref="C32:C35" xr:uid="{00000000-0002-0000-0600-000002000000}">
      <formula1>Homes_DwellingEqpList</formula1>
    </dataValidation>
    <dataValidation type="list" allowBlank="1" showInputMessage="1" showErrorMessage="1" sqref="B59:B62 B32:B35" xr:uid="{00000000-0002-0000-0600-000003000000}">
      <formula1>BuildingIDLookup</formula1>
    </dataValidation>
    <dataValidation type="decimal" allowBlank="1" showInputMessage="1" showErrorMessage="1" sqref="D12:U12" xr:uid="{00000000-0002-0000-0600-000004000000}">
      <formula1>0</formula1>
      <formula2>100000</formula2>
    </dataValidation>
    <dataValidation type="list" allowBlank="1" showInputMessage="1" showErrorMessage="1" sqref="C91" xr:uid="{00000000-0002-0000-0600-000005000000}">
      <formula1>MD_SWH_Profile</formula1>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0835" r:id="rId5" name="Button 3">
              <controlPr defaultSize="0" print="0" autoFill="0" autoPict="0" macro="[0]!addA">
                <anchor moveWithCells="1" sizeWithCells="1">
                  <from>
                    <xdr:col>1</xdr:col>
                    <xdr:colOff>19050</xdr:colOff>
                    <xdr:row>36</xdr:row>
                    <xdr:rowOff>171450</xdr:rowOff>
                  </from>
                  <to>
                    <xdr:col>2</xdr:col>
                    <xdr:colOff>552450</xdr:colOff>
                    <xdr:row>38</xdr:row>
                    <xdr:rowOff>38100</xdr:rowOff>
                  </to>
                </anchor>
              </controlPr>
            </control>
          </mc:Choice>
        </mc:AlternateContent>
        <mc:AlternateContent xmlns:mc="http://schemas.openxmlformats.org/markup-compatibility/2006">
          <mc:Choice Requires="x14">
            <control shapeId="120837" r:id="rId6" name="Button 5">
              <controlPr defaultSize="0" print="0" autoFill="0" autoPict="0" macro="[0]!DeleteSome">
                <anchor moveWithCells="1" sizeWithCells="1">
                  <from>
                    <xdr:col>2</xdr:col>
                    <xdr:colOff>628650</xdr:colOff>
                    <xdr:row>36</xdr:row>
                    <xdr:rowOff>171450</xdr:rowOff>
                  </from>
                  <to>
                    <xdr:col>3</xdr:col>
                    <xdr:colOff>314325</xdr:colOff>
                    <xdr:row>38</xdr:row>
                    <xdr:rowOff>38100</xdr:rowOff>
                  </to>
                </anchor>
              </controlPr>
            </control>
          </mc:Choice>
        </mc:AlternateContent>
        <mc:AlternateContent xmlns:mc="http://schemas.openxmlformats.org/markup-compatibility/2006">
          <mc:Choice Requires="x14">
            <control shapeId="120839" r:id="rId7" name="Button 7">
              <controlPr defaultSize="0" print="0" autoFill="0" autoPict="0" macro="[0]!addB">
                <anchor moveWithCells="1" sizeWithCells="1">
                  <from>
                    <xdr:col>1</xdr:col>
                    <xdr:colOff>19050</xdr:colOff>
                    <xdr:row>63</xdr:row>
                    <xdr:rowOff>85725</xdr:rowOff>
                  </from>
                  <to>
                    <xdr:col>2</xdr:col>
                    <xdr:colOff>552450</xdr:colOff>
                    <xdr:row>64</xdr:row>
                    <xdr:rowOff>142875</xdr:rowOff>
                  </to>
                </anchor>
              </controlPr>
            </control>
          </mc:Choice>
        </mc:AlternateContent>
        <mc:AlternateContent xmlns:mc="http://schemas.openxmlformats.org/markup-compatibility/2006">
          <mc:Choice Requires="x14">
            <control shapeId="120840" r:id="rId8" name="Button 8">
              <controlPr defaultSize="0" print="0" autoFill="0" autoPict="0" macro="[0]!DeleteSome">
                <anchor moveWithCells="1" sizeWithCells="1">
                  <from>
                    <xdr:col>2</xdr:col>
                    <xdr:colOff>628650</xdr:colOff>
                    <xdr:row>63</xdr:row>
                    <xdr:rowOff>85725</xdr:rowOff>
                  </from>
                  <to>
                    <xdr:col>3</xdr:col>
                    <xdr:colOff>314325</xdr:colOff>
                    <xdr:row>64</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Z98"/>
  <sheetViews>
    <sheetView showGridLines="0" zoomScale="90" zoomScaleNormal="90" zoomScaleSheetLayoutView="100" zoomScalePageLayoutView="90" workbookViewId="0">
      <selection activeCell="L47" sqref="L47"/>
    </sheetView>
  </sheetViews>
  <sheetFormatPr defaultColWidth="8.7109375" defaultRowHeight="12.75" outlineLevelCol="1" x14ac:dyDescent="0.25"/>
  <cols>
    <col min="1" max="1" width="2.7109375" style="672" customWidth="1"/>
    <col min="2" max="3" width="14.7109375" style="111" customWidth="1"/>
    <col min="4" max="4" width="12.7109375" style="111" customWidth="1"/>
    <col min="5" max="5" width="1.7109375" style="99" customWidth="1"/>
    <col min="6" max="6" width="40.7109375" style="111" customWidth="1"/>
    <col min="7" max="7" width="14.7109375" style="99" customWidth="1"/>
    <col min="8" max="8" width="40.7109375" style="111" customWidth="1"/>
    <col min="9" max="9" width="14.7109375" style="111" customWidth="1"/>
    <col min="10" max="10" width="2" style="111" customWidth="1"/>
    <col min="11" max="12" width="14.7109375" style="99" customWidth="1"/>
    <col min="13" max="13" width="2.7109375" style="99" customWidth="1"/>
    <col min="14" max="14" width="10.7109375" style="106" hidden="1" customWidth="1" outlineLevel="1"/>
    <col min="15" max="16" width="10.7109375" style="99" hidden="1" customWidth="1" outlineLevel="1"/>
    <col min="17" max="17" width="8.7109375" style="100" hidden="1" customWidth="1" outlineLevel="1"/>
    <col min="18" max="18" width="8.7109375" style="99" hidden="1" customWidth="1" outlineLevel="1"/>
    <col min="19" max="19" width="2.7109375" style="99" customWidth="1" collapsed="1"/>
    <col min="20" max="20" width="2.7109375" style="99" customWidth="1"/>
    <col min="21" max="21" width="50.7109375" style="99" customWidth="1"/>
    <col min="22" max="26" width="8.7109375" style="99" customWidth="1"/>
    <col min="27" max="16384" width="8.7109375" style="99"/>
  </cols>
  <sheetData>
    <row r="1" spans="1:21" x14ac:dyDescent="0.2">
      <c r="A1" s="819" t="s">
        <v>1298</v>
      </c>
      <c r="B1" s="103"/>
      <c r="C1" s="103"/>
      <c r="D1" s="103"/>
      <c r="E1" s="103"/>
      <c r="F1" s="102"/>
      <c r="G1" s="103"/>
      <c r="H1" s="102"/>
      <c r="I1" s="102"/>
      <c r="J1" s="103"/>
      <c r="K1" s="103"/>
      <c r="L1" s="103"/>
      <c r="M1" s="104"/>
      <c r="N1" s="104"/>
      <c r="O1" s="104"/>
      <c r="Q1" s="99"/>
    </row>
    <row r="2" spans="1:21" ht="24.75" customHeight="1" x14ac:dyDescent="0.2">
      <c r="A2" s="819" t="s">
        <v>1298</v>
      </c>
      <c r="B2" s="44" t="s">
        <v>1031</v>
      </c>
      <c r="C2" s="44"/>
      <c r="D2" s="44"/>
      <c r="E2" s="44"/>
      <c r="F2" s="44"/>
      <c r="G2" s="44"/>
      <c r="H2" s="44"/>
      <c r="I2" s="44"/>
      <c r="J2" s="44"/>
      <c r="K2" s="44"/>
      <c r="L2" s="44"/>
      <c r="M2" s="104"/>
      <c r="N2" s="104"/>
      <c r="O2" s="104"/>
      <c r="Q2" s="99"/>
    </row>
    <row r="3" spans="1:21" ht="15" customHeight="1" x14ac:dyDescent="0.2">
      <c r="A3" s="819" t="s">
        <v>1298</v>
      </c>
      <c r="B3" s="103"/>
      <c r="C3" s="103"/>
      <c r="D3" s="103"/>
      <c r="E3" s="103"/>
      <c r="F3" s="102"/>
      <c r="G3" s="103"/>
      <c r="H3" s="102"/>
      <c r="I3" s="102"/>
      <c r="J3" s="103"/>
      <c r="K3" s="103"/>
      <c r="L3" s="103"/>
      <c r="M3" s="104"/>
      <c r="N3" s="104"/>
      <c r="O3" s="104"/>
      <c r="Q3" s="99"/>
    </row>
    <row r="4" spans="1:21" s="104" customFormat="1" ht="21.75" customHeight="1" x14ac:dyDescent="0.2">
      <c r="A4" s="675" t="s">
        <v>1298</v>
      </c>
    </row>
    <row r="5" spans="1:21" ht="46.5" customHeight="1" x14ac:dyDescent="0.2">
      <c r="A5" s="675" t="s">
        <v>1298</v>
      </c>
      <c r="B5" s="2626" t="s">
        <v>1136</v>
      </c>
      <c r="C5" s="2626"/>
      <c r="D5" s="2626"/>
      <c r="E5" s="2626"/>
      <c r="F5" s="2626"/>
      <c r="G5" s="2626"/>
      <c r="H5" s="2626"/>
      <c r="I5" s="2626"/>
      <c r="J5" s="2626"/>
      <c r="K5" s="2626"/>
      <c r="L5" s="43"/>
      <c r="M5" s="43"/>
      <c r="N5" s="43"/>
      <c r="Q5" s="99"/>
      <c r="U5" s="887" t="s">
        <v>2090</v>
      </c>
    </row>
    <row r="6" spans="1:21" ht="20.25" customHeight="1" x14ac:dyDescent="0.2">
      <c r="A6" s="675" t="s">
        <v>1298</v>
      </c>
      <c r="B6" s="97"/>
      <c r="C6" s="97"/>
      <c r="D6" s="97"/>
      <c r="E6" s="97"/>
      <c r="F6" s="97"/>
      <c r="G6" s="97"/>
      <c r="H6" s="97"/>
      <c r="I6" s="97"/>
      <c r="J6" s="97"/>
      <c r="K6" s="97"/>
      <c r="L6" s="97"/>
      <c r="M6" s="100"/>
      <c r="N6" s="100"/>
      <c r="Q6" s="99"/>
    </row>
    <row r="7" spans="1:21" ht="24" customHeight="1" x14ac:dyDescent="0.2">
      <c r="A7" s="675" t="s">
        <v>1298</v>
      </c>
      <c r="B7" s="28" t="s">
        <v>177</v>
      </c>
      <c r="C7" s="105"/>
      <c r="D7" s="105"/>
      <c r="E7" s="105"/>
      <c r="F7" s="105"/>
      <c r="G7" s="105"/>
      <c r="H7" s="836"/>
      <c r="I7" s="105"/>
      <c r="J7" s="105"/>
      <c r="K7" s="105"/>
      <c r="L7" s="105"/>
      <c r="M7" s="100"/>
      <c r="N7" s="100"/>
      <c r="Q7" s="99"/>
    </row>
    <row r="8" spans="1:21" ht="15" customHeight="1" x14ac:dyDescent="0.2">
      <c r="A8" s="675" t="s">
        <v>1298</v>
      </c>
      <c r="B8" s="31"/>
      <c r="C8" s="105"/>
      <c r="D8" s="105"/>
      <c r="E8" s="105"/>
      <c r="F8" s="105"/>
      <c r="G8" s="105"/>
      <c r="H8" s="105"/>
      <c r="I8" s="105"/>
      <c r="J8" s="105"/>
      <c r="K8" s="105"/>
      <c r="L8" s="105"/>
      <c r="M8" s="100"/>
      <c r="N8" s="100"/>
      <c r="Q8" s="99"/>
    </row>
    <row r="9" spans="1:21" ht="45" customHeight="1" x14ac:dyDescent="0.25">
      <c r="A9" s="675" t="s">
        <v>1298</v>
      </c>
      <c r="B9" s="2636" t="s">
        <v>1108</v>
      </c>
      <c r="C9" s="2628"/>
      <c r="D9" s="2628"/>
      <c r="E9" s="2628"/>
      <c r="F9" s="2629"/>
      <c r="G9" s="2637" t="s">
        <v>2246</v>
      </c>
      <c r="H9" s="2638"/>
      <c r="I9" s="2638"/>
      <c r="J9" s="2638"/>
      <c r="K9" s="2638"/>
      <c r="L9" s="2607"/>
      <c r="M9" s="100"/>
      <c r="N9" s="100"/>
      <c r="O9" s="100"/>
      <c r="P9" s="100"/>
      <c r="Q9" s="99"/>
      <c r="U9" s="2271"/>
    </row>
    <row r="10" spans="1:21" ht="15" customHeight="1" x14ac:dyDescent="0.2">
      <c r="A10" s="675" t="s">
        <v>1298</v>
      </c>
      <c r="B10" s="101"/>
      <c r="C10" s="101"/>
      <c r="D10" s="101"/>
      <c r="E10" s="101"/>
      <c r="F10" s="101"/>
      <c r="G10" s="586"/>
      <c r="H10" s="586"/>
      <c r="I10" s="586"/>
      <c r="J10" s="586"/>
      <c r="K10" s="586"/>
      <c r="L10" s="587"/>
      <c r="M10" s="100"/>
      <c r="N10" s="100"/>
      <c r="Q10" s="99"/>
    </row>
    <row r="11" spans="1:21" ht="33" customHeight="1" x14ac:dyDescent="0.25">
      <c r="A11" s="675" t="s">
        <v>1298</v>
      </c>
      <c r="B11" s="2627" t="s">
        <v>178</v>
      </c>
      <c r="C11" s="2628"/>
      <c r="D11" s="2628"/>
      <c r="E11" s="2628"/>
      <c r="F11" s="2629"/>
      <c r="G11" s="2637" t="s">
        <v>2247</v>
      </c>
      <c r="H11" s="2638"/>
      <c r="I11" s="2638"/>
      <c r="J11" s="2638"/>
      <c r="K11" s="2638"/>
      <c r="L11" s="2607"/>
      <c r="M11" s="100"/>
      <c r="N11" s="100"/>
      <c r="O11" s="100"/>
      <c r="P11" s="100"/>
      <c r="Q11" s="99"/>
      <c r="U11" s="2271"/>
    </row>
    <row r="12" spans="1:21" ht="15" customHeight="1" x14ac:dyDescent="0.2">
      <c r="A12" s="675" t="s">
        <v>1298</v>
      </c>
      <c r="B12" s="101"/>
      <c r="C12" s="101"/>
      <c r="D12" s="101"/>
      <c r="E12" s="101"/>
      <c r="F12" s="101"/>
      <c r="G12" s="586"/>
      <c r="H12" s="586"/>
      <c r="I12" s="586"/>
      <c r="J12" s="586"/>
      <c r="K12" s="586"/>
      <c r="L12" s="587"/>
      <c r="M12" s="100"/>
      <c r="N12" s="100"/>
      <c r="Q12" s="99"/>
    </row>
    <row r="13" spans="1:21" ht="34.5" customHeight="1" x14ac:dyDescent="0.25">
      <c r="A13" s="675" t="s">
        <v>1298</v>
      </c>
      <c r="B13" s="2630" t="s">
        <v>433</v>
      </c>
      <c r="C13" s="2631"/>
      <c r="D13" s="2631"/>
      <c r="E13" s="2631"/>
      <c r="F13" s="2632"/>
      <c r="G13" s="2637" t="s">
        <v>2248</v>
      </c>
      <c r="H13" s="2638"/>
      <c r="I13" s="2638"/>
      <c r="J13" s="2638"/>
      <c r="K13" s="2638"/>
      <c r="L13" s="2607"/>
      <c r="M13" s="100"/>
      <c r="N13" s="100"/>
      <c r="O13" s="100"/>
      <c r="Q13" s="99"/>
      <c r="U13" s="2271"/>
    </row>
    <row r="14" spans="1:21" ht="15" customHeight="1" x14ac:dyDescent="0.2">
      <c r="A14" s="675" t="s">
        <v>1298</v>
      </c>
      <c r="B14" s="109"/>
      <c r="C14" s="109"/>
      <c r="D14" s="109"/>
      <c r="E14" s="109"/>
      <c r="F14" s="109"/>
      <c r="G14" s="110"/>
      <c r="H14" s="99"/>
      <c r="I14" s="99"/>
      <c r="J14" s="108"/>
      <c r="K14" s="108"/>
      <c r="L14" s="105"/>
      <c r="M14" s="100"/>
      <c r="N14" s="100"/>
      <c r="Q14" s="99"/>
    </row>
    <row r="15" spans="1:21" ht="63" customHeight="1" x14ac:dyDescent="0.25">
      <c r="A15" s="675" t="s">
        <v>1298</v>
      </c>
      <c r="B15" s="2633" t="s">
        <v>1173</v>
      </c>
      <c r="C15" s="2634"/>
      <c r="D15" s="2634"/>
      <c r="E15" s="2634"/>
      <c r="F15" s="2635"/>
      <c r="G15" s="2637" t="s">
        <v>2249</v>
      </c>
      <c r="H15" s="2638"/>
      <c r="I15" s="2638"/>
      <c r="J15" s="2638"/>
      <c r="K15" s="2638"/>
      <c r="L15" s="2607"/>
      <c r="M15" s="100"/>
      <c r="N15" s="100"/>
      <c r="O15" s="100"/>
      <c r="P15" s="100"/>
      <c r="Q15" s="99"/>
      <c r="U15" s="2271"/>
    </row>
    <row r="16" spans="1:21" s="1" customFormat="1" ht="15" customHeight="1" x14ac:dyDescent="0.25">
      <c r="A16" s="675" t="s">
        <v>1298</v>
      </c>
      <c r="H16" s="99"/>
      <c r="I16" s="99"/>
      <c r="N16" s="100"/>
      <c r="O16" s="99"/>
      <c r="P16" s="99"/>
    </row>
    <row r="17" spans="1:21" ht="33" customHeight="1" x14ac:dyDescent="0.25">
      <c r="A17" s="675" t="s">
        <v>1298</v>
      </c>
      <c r="B17" s="2624" t="s">
        <v>1174</v>
      </c>
      <c r="C17" s="2625"/>
      <c r="D17" s="2625"/>
      <c r="E17" s="2625"/>
      <c r="F17" s="2625"/>
      <c r="G17" s="2625"/>
      <c r="H17" s="2625"/>
      <c r="I17" s="2625"/>
      <c r="J17" s="2625"/>
      <c r="K17" s="2606" t="s">
        <v>25</v>
      </c>
      <c r="L17" s="2607"/>
      <c r="M17" s="1"/>
      <c r="N17" s="100"/>
      <c r="Q17" s="99"/>
      <c r="U17" s="2271"/>
    </row>
    <row r="18" spans="1:21" ht="10.5" customHeight="1" x14ac:dyDescent="0.25">
      <c r="A18" s="675" t="s">
        <v>1298</v>
      </c>
      <c r="B18" s="112"/>
      <c r="C18" s="113"/>
      <c r="D18" s="113"/>
      <c r="E18" s="113"/>
      <c r="F18" s="113"/>
      <c r="G18" s="113"/>
      <c r="H18" s="114"/>
      <c r="I18" s="114"/>
      <c r="J18" s="114"/>
      <c r="K18" s="108"/>
      <c r="L18" s="1"/>
      <c r="M18" s="1"/>
      <c r="N18" s="100"/>
      <c r="Q18" s="99"/>
    </row>
    <row r="19" spans="1:21" ht="33" customHeight="1" x14ac:dyDescent="0.25">
      <c r="A19" s="675" t="s">
        <v>1298</v>
      </c>
      <c r="B19" s="2624" t="str">
        <f>IF(RatingSystem_IDC,CONCATENATE("All existing envelope opaque assemblies were modeled as required by Table 5.5 for the project's climate zone and Table G3.1#5(Proposed)(b) as lightweight assembly types,"," and are not modeled using Exception (f) per Rating system requirements"),CONCATENATE("All baseline existing roofs, above-grade exterior walls, below-grade exterior walls, exposed floors, slab-on-grade floors, and opaque doors were modeled"," using the existing conditions prior to any revisions in spaces with unchanged space conditioning categories."))</f>
        <v>All baseline existing roofs, above-grade exterior walls, below-grade exterior walls, exposed floors, slab-on-grade floors, and opaque doors were modeled using the existing conditions prior to any revisions in spaces with unchanged space conditioning categories.</v>
      </c>
      <c r="C19" s="2625"/>
      <c r="D19" s="2625"/>
      <c r="E19" s="2625"/>
      <c r="F19" s="2625"/>
      <c r="G19" s="2625"/>
      <c r="H19" s="2625"/>
      <c r="I19" s="2625"/>
      <c r="J19" s="2625"/>
      <c r="K19" s="2606" t="s">
        <v>1068</v>
      </c>
      <c r="L19" s="2607"/>
      <c r="M19" s="108"/>
      <c r="N19" s="100"/>
      <c r="Q19" s="99"/>
      <c r="U19" s="2271"/>
    </row>
    <row r="20" spans="1:21" ht="10.5" customHeight="1" x14ac:dyDescent="0.2">
      <c r="A20" s="675" t="s">
        <v>1298</v>
      </c>
      <c r="B20" s="112"/>
      <c r="C20" s="113"/>
      <c r="D20" s="113"/>
      <c r="E20" s="113"/>
      <c r="F20" s="113"/>
      <c r="G20" s="113"/>
      <c r="H20" s="114"/>
      <c r="I20" s="114"/>
      <c r="J20" s="114"/>
      <c r="K20" s="108"/>
      <c r="L20" s="108"/>
      <c r="M20" s="108"/>
      <c r="N20" s="100"/>
      <c r="Q20" s="99"/>
    </row>
    <row r="21" spans="1:21" ht="33" customHeight="1" x14ac:dyDescent="0.25">
      <c r="A21" s="675" t="s">
        <v>1298</v>
      </c>
      <c r="B21" s="2624" t="s">
        <v>1133</v>
      </c>
      <c r="C21" s="2625"/>
      <c r="D21" s="2625"/>
      <c r="E21" s="2625"/>
      <c r="F21" s="2625"/>
      <c r="G21" s="2625"/>
      <c r="H21" s="2625"/>
      <c r="I21" s="2625"/>
      <c r="J21" s="2625"/>
      <c r="K21" s="2606" t="s">
        <v>25</v>
      </c>
      <c r="L21" s="2607"/>
      <c r="M21" s="108"/>
      <c r="N21" s="100"/>
      <c r="Q21" s="99"/>
      <c r="U21" s="2271"/>
    </row>
    <row r="22" spans="1:21" ht="10.5" customHeight="1" x14ac:dyDescent="0.2">
      <c r="A22" s="675" t="s">
        <v>1298</v>
      </c>
      <c r="B22" s="112"/>
      <c r="C22" s="113"/>
      <c r="D22" s="113"/>
      <c r="E22" s="113"/>
      <c r="F22" s="113"/>
      <c r="G22" s="113"/>
      <c r="H22" s="114"/>
      <c r="I22" s="114"/>
      <c r="J22" s="114"/>
      <c r="K22" s="108"/>
      <c r="L22" s="108"/>
      <c r="M22" s="108"/>
      <c r="N22" s="100"/>
      <c r="Q22" s="99"/>
    </row>
    <row r="23" spans="1:21" ht="21" customHeight="1" x14ac:dyDescent="0.25">
      <c r="A23" s="675" t="s">
        <v>1298</v>
      </c>
      <c r="B23" s="2624" t="s">
        <v>1134</v>
      </c>
      <c r="C23" s="2625"/>
      <c r="D23" s="2625"/>
      <c r="E23" s="2625"/>
      <c r="F23" s="2625"/>
      <c r="G23" s="2625"/>
      <c r="H23" s="2625"/>
      <c r="I23" s="2625"/>
      <c r="J23" s="2625"/>
      <c r="K23" s="2606" t="s">
        <v>25</v>
      </c>
      <c r="L23" s="2607"/>
      <c r="M23" s="108"/>
      <c r="N23" s="100"/>
      <c r="Q23" s="99"/>
      <c r="U23" s="2271"/>
    </row>
    <row r="24" spans="1:21" s="1" customFormat="1" ht="21" customHeight="1" x14ac:dyDescent="0.25">
      <c r="A24" s="675" t="s">
        <v>1298</v>
      </c>
      <c r="L24" s="108"/>
      <c r="M24" s="108"/>
      <c r="N24" s="100"/>
      <c r="O24" s="99"/>
    </row>
    <row r="25" spans="1:21" ht="54.75" customHeight="1" x14ac:dyDescent="0.2">
      <c r="A25" s="675" t="s">
        <v>1298</v>
      </c>
      <c r="B25" s="2608" t="s">
        <v>304</v>
      </c>
      <c r="C25" s="2608"/>
      <c r="D25" s="2608"/>
      <c r="E25" s="2608"/>
      <c r="F25" s="2608"/>
      <c r="G25" s="2608"/>
      <c r="H25" s="2608"/>
      <c r="I25" s="2608"/>
      <c r="J25" s="2608"/>
      <c r="K25" s="2608"/>
      <c r="L25" s="2609"/>
      <c r="M25" s="115"/>
      <c r="N25" s="115"/>
      <c r="Q25" s="99"/>
    </row>
    <row r="26" spans="1:21" ht="21" customHeight="1" x14ac:dyDescent="0.25">
      <c r="A26" s="675" t="s">
        <v>1298</v>
      </c>
      <c r="B26" s="2610"/>
      <c r="C26" s="2611"/>
      <c r="D26" s="2611"/>
      <c r="E26" s="2611"/>
      <c r="F26" s="2611"/>
      <c r="G26" s="2611"/>
      <c r="H26" s="2611"/>
      <c r="I26" s="2611"/>
      <c r="J26" s="2611"/>
      <c r="K26" s="2611"/>
      <c r="L26" s="2612"/>
      <c r="M26" s="115"/>
      <c r="N26" s="115"/>
      <c r="Q26" s="99"/>
      <c r="U26" s="2271"/>
    </row>
    <row r="27" spans="1:21" ht="30.75" customHeight="1" x14ac:dyDescent="0.2">
      <c r="A27" s="675" t="s">
        <v>1298</v>
      </c>
      <c r="B27" s="32"/>
      <c r="C27" s="33"/>
      <c r="D27" s="33"/>
      <c r="E27" s="33"/>
      <c r="F27" s="33"/>
      <c r="G27" s="33"/>
      <c r="H27" s="33"/>
      <c r="I27" s="33"/>
      <c r="J27" s="33"/>
      <c r="K27" s="33"/>
      <c r="L27" s="115"/>
      <c r="M27" s="100"/>
      <c r="N27" s="100"/>
      <c r="Q27" s="99"/>
    </row>
    <row r="28" spans="1:21" ht="30" customHeight="1" x14ac:dyDescent="0.2">
      <c r="A28" s="675" t="s">
        <v>1298</v>
      </c>
      <c r="B28" s="28" t="s">
        <v>179</v>
      </c>
      <c r="C28" s="33"/>
      <c r="D28" s="33"/>
      <c r="E28" s="33"/>
      <c r="F28" s="33"/>
      <c r="G28" s="33"/>
      <c r="H28" s="33"/>
      <c r="I28" s="33"/>
      <c r="J28" s="33"/>
      <c r="K28" s="33"/>
      <c r="L28" s="33"/>
      <c r="M28" s="100"/>
      <c r="N28" s="100"/>
      <c r="Q28" s="99"/>
    </row>
    <row r="29" spans="1:21" ht="26.25" customHeight="1" x14ac:dyDescent="0.2">
      <c r="A29" s="675" t="s">
        <v>1298</v>
      </c>
      <c r="B29" s="123" t="s">
        <v>4</v>
      </c>
      <c r="C29" s="33"/>
      <c r="D29" s="33"/>
      <c r="E29" s="33"/>
      <c r="F29" s="33"/>
      <c r="G29" s="33"/>
      <c r="H29" s="33"/>
      <c r="I29" s="33"/>
      <c r="J29" s="33"/>
      <c r="K29" s="33"/>
      <c r="L29" s="33"/>
      <c r="M29" s="100"/>
      <c r="N29" s="100"/>
      <c r="Q29" s="99"/>
    </row>
    <row r="30" spans="1:21" ht="34.15" customHeight="1" x14ac:dyDescent="0.2">
      <c r="A30" s="675" t="s">
        <v>1298</v>
      </c>
      <c r="B30" s="2620" t="s">
        <v>305</v>
      </c>
      <c r="C30" s="2621"/>
      <c r="D30" s="2619"/>
      <c r="E30" s="938"/>
      <c r="F30" s="2620" t="s">
        <v>347</v>
      </c>
      <c r="G30" s="2619"/>
      <c r="H30" s="2618" t="s">
        <v>348</v>
      </c>
      <c r="I30" s="2619"/>
      <c r="J30" s="46"/>
      <c r="K30" s="2620" t="s">
        <v>1175</v>
      </c>
      <c r="L30" s="2619"/>
      <c r="M30" s="33"/>
      <c r="N30" s="99"/>
      <c r="Q30" s="99"/>
    </row>
    <row r="31" spans="1:21" ht="38.25" x14ac:dyDescent="0.2">
      <c r="A31" s="675" t="s">
        <v>1298</v>
      </c>
      <c r="B31" s="1732" t="s">
        <v>1357</v>
      </c>
      <c r="C31" s="316" t="s">
        <v>303</v>
      </c>
      <c r="D31" s="1734" t="s">
        <v>22</v>
      </c>
      <c r="E31" s="939"/>
      <c r="F31" s="305" t="s">
        <v>3</v>
      </c>
      <c r="G31" s="306" t="s">
        <v>1990</v>
      </c>
      <c r="H31" s="1783" t="s">
        <v>3</v>
      </c>
      <c r="I31" s="1734" t="s">
        <v>307</v>
      </c>
      <c r="J31" s="47"/>
      <c r="K31" s="1732" t="s">
        <v>347</v>
      </c>
      <c r="L31" s="1734" t="s">
        <v>348</v>
      </c>
      <c r="M31" s="33"/>
      <c r="N31" s="99"/>
      <c r="Q31" s="99"/>
    </row>
    <row r="32" spans="1:21" ht="66.75" customHeight="1" x14ac:dyDescent="0.2">
      <c r="A32" s="1097" t="s">
        <v>1298</v>
      </c>
      <c r="B32" s="2613" t="s">
        <v>1888</v>
      </c>
      <c r="C32" s="2614"/>
      <c r="D32" s="2615"/>
      <c r="E32" s="1146"/>
      <c r="F32" s="2600" t="s">
        <v>1704</v>
      </c>
      <c r="G32" s="2601"/>
      <c r="H32" s="2600" t="s">
        <v>1705</v>
      </c>
      <c r="I32" s="2601"/>
      <c r="J32" s="1146"/>
      <c r="K32" s="2600" t="s">
        <v>1706</v>
      </c>
      <c r="L32" s="2601"/>
      <c r="M32" s="33"/>
      <c r="N32" s="99"/>
      <c r="Q32" s="99"/>
    </row>
    <row r="33" spans="1:26" ht="66.75" hidden="1" customHeight="1" x14ac:dyDescent="0.2">
      <c r="A33" s="1097" t="s">
        <v>1298</v>
      </c>
      <c r="B33" s="1784" t="str">
        <f>B31</f>
        <v>Building ID</v>
      </c>
      <c r="C33" s="1784" t="str">
        <f t="shared" ref="C33:L33" si="0">C31</f>
        <v>New or 
Existing
Construction</v>
      </c>
      <c r="D33" s="1784" t="str">
        <f t="shared" si="0"/>
        <v>Space-Conditioning Category</v>
      </c>
      <c r="E33" s="1439"/>
      <c r="F33" s="1784" t="s">
        <v>1988</v>
      </c>
      <c r="G33" s="1784" t="str">
        <f t="shared" si="0"/>
        <v>Assembly U-factor</v>
      </c>
      <c r="H33" s="1784" t="s">
        <v>1989</v>
      </c>
      <c r="I33" s="1784" t="str">
        <f t="shared" si="0"/>
        <v>Assembly 
U-factor</v>
      </c>
      <c r="J33" s="1439"/>
      <c r="K33" s="1784" t="str">
        <f t="shared" si="0"/>
        <v>Baseline</v>
      </c>
      <c r="L33" s="1784" t="str">
        <f t="shared" si="0"/>
        <v>Proposed</v>
      </c>
      <c r="M33" s="33"/>
      <c r="N33" s="99"/>
      <c r="Q33" s="1655" t="s">
        <v>1986</v>
      </c>
      <c r="R33" s="1655" t="s">
        <v>1987</v>
      </c>
    </row>
    <row r="34" spans="1:26" ht="33" hidden="1" customHeight="1" x14ac:dyDescent="0.25">
      <c r="A34" s="672" t="s">
        <v>915</v>
      </c>
      <c r="B34" s="1092" t="str">
        <f>GI_Project_Name</f>
        <v>SEA Building Addition</v>
      </c>
      <c r="C34" s="1096"/>
      <c r="D34" s="567"/>
      <c r="E34" s="940"/>
      <c r="F34" s="1658" t="str">
        <f>IF(AND($O34&lt;&gt;0,$D34&lt;&gt;""),$O34,"")</f>
        <v/>
      </c>
      <c r="G34" s="1660" t="str">
        <f>IF(AND($P34&lt;&gt;0,$D34&lt;&gt;""),$P34,"")</f>
        <v/>
      </c>
      <c r="H34" s="1093"/>
      <c r="I34" s="351"/>
      <c r="J34" s="940"/>
      <c r="K34" s="384"/>
      <c r="L34" s="383"/>
      <c r="M34" s="475"/>
      <c r="N34" s="941"/>
      <c r="O34" s="942">
        <f>IFERROR(IF(C34="New",INDEX('Envelope Assumptions'!$A$2:$D$38,MATCH('General Information'!$J$12,'Envelope Assumptions'!$A$2:$A$38,0),MATCH(D34,'Envelope Assumptions'!$A$2:$D$2,0)),0),"")</f>
        <v>0</v>
      </c>
      <c r="P34" s="1654">
        <f>IFERROR(IF(C34="New",INDEX('Envelope Assumptions'!$X$2:$Z$38,MATCH('General Information'!$J$12,'Envelope Assumptions'!$A$2:$A$38,0),MATCH(D34,'Envelope Assumptions'!$X$2:$Z$2,0)),0),"")</f>
        <v>0</v>
      </c>
      <c r="Q34" s="1656" t="str">
        <f>IF(AND($O34&lt;&gt;0,$D34&lt;&gt;""),$O34,"")</f>
        <v/>
      </c>
      <c r="R34" s="1657" t="str">
        <f>IF(AND($P34&lt;&gt;0,$D34&lt;&gt;""),$P34,"")</f>
        <v/>
      </c>
      <c r="S34" s="941"/>
      <c r="T34" s="941"/>
      <c r="U34" s="2271"/>
      <c r="V34" s="941"/>
      <c r="W34" s="941"/>
      <c r="X34" s="941"/>
      <c r="Y34" s="941"/>
      <c r="Z34" s="941"/>
    </row>
    <row r="35" spans="1:26" ht="33" customHeight="1" x14ac:dyDescent="0.25">
      <c r="B35" s="1092" t="str">
        <f>GI_Project_Name</f>
        <v>SEA Building Addition</v>
      </c>
      <c r="C35" s="1096" t="s">
        <v>434</v>
      </c>
      <c r="D35" s="567" t="s">
        <v>24</v>
      </c>
      <c r="E35" s="940"/>
      <c r="F35" s="1658" t="str">
        <f t="shared" ref="F35:F36" si="1">IF(AND($O35&lt;&gt;0,$D35&lt;&gt;""),$O35,"")</f>
        <v>R-20 insulation entirely above deck with a U-factor of 0.048</v>
      </c>
      <c r="G35" s="1660" t="str">
        <f t="shared" ref="G35:G36" si="2">IF(AND($P35&lt;&gt;0,$D35&lt;&gt;""),$P35,"")</f>
        <v>U-0.048</v>
      </c>
      <c r="H35" s="2358" t="s">
        <v>2256</v>
      </c>
      <c r="I35" s="351">
        <v>3.9E-2</v>
      </c>
      <c r="J35" s="940"/>
      <c r="K35" s="384" t="s">
        <v>2250</v>
      </c>
      <c r="L35" s="383" t="s">
        <v>2251</v>
      </c>
      <c r="M35" s="475"/>
      <c r="N35" s="941"/>
      <c r="O35" s="1096" t="str">
        <f>IFERROR(IF(C35="New",INDEX('Envelope Assumptions'!$A$2:$D$38,MATCH('General Information'!$J$12,'Envelope Assumptions'!$A$2:$A$38,0),MATCH(D35,'Envelope Assumptions'!$A$2:$D$2,0)),0),"")</f>
        <v>R-20 insulation entirely above deck with a U-factor of 0.048</v>
      </c>
      <c r="P35" s="792" t="str">
        <f>IFERROR(IF(C35="New",INDEX('Envelope Assumptions'!$X$2:$Z$38,MATCH('General Information'!$J$12,'Envelope Assumptions'!$A$2:$A$38,0),MATCH(D35,'Envelope Assumptions'!$X$2:$Z$2,0)),0),"")</f>
        <v>U-0.048</v>
      </c>
      <c r="Q35" s="1656" t="str">
        <f t="shared" ref="Q35:Q36" si="3">IF(AND($O35&lt;&gt;0,$D35&lt;&gt;""),$O35,"")</f>
        <v>R-20 insulation entirely above deck with a U-factor of 0.048</v>
      </c>
      <c r="R35" s="1657" t="str">
        <f t="shared" ref="R35:R36" si="4">IF(AND($P35&lt;&gt;0,$D35&lt;&gt;""),$P35,"")</f>
        <v>U-0.048</v>
      </c>
      <c r="S35" s="941"/>
      <c r="T35" s="941"/>
      <c r="U35" s="2277" t="s">
        <v>2250</v>
      </c>
      <c r="V35" s="941"/>
      <c r="W35" s="941"/>
      <c r="X35" s="941"/>
      <c r="Y35" s="941"/>
      <c r="Z35" s="941"/>
    </row>
    <row r="36" spans="1:26" ht="33" customHeight="1" x14ac:dyDescent="0.25">
      <c r="B36" s="1092" t="str">
        <f>GI_Project_Name</f>
        <v>SEA Building Addition</v>
      </c>
      <c r="C36" s="1096"/>
      <c r="D36" s="567"/>
      <c r="E36" s="357"/>
      <c r="F36" s="1658" t="str">
        <f t="shared" si="1"/>
        <v/>
      </c>
      <c r="G36" s="1660" t="str">
        <f t="shared" si="2"/>
        <v/>
      </c>
      <c r="H36" s="1093"/>
      <c r="I36" s="351"/>
      <c r="J36" s="357"/>
      <c r="K36" s="384"/>
      <c r="L36" s="383"/>
      <c r="M36" s="33"/>
      <c r="N36" s="99"/>
      <c r="O36" s="1096">
        <f>IFERROR(IF(C36="New",INDEX('Envelope Assumptions'!$A$2:$D$38,MATCH('General Information'!$J$12,'Envelope Assumptions'!$A$2:$A$38,0),MATCH(D36,'Envelope Assumptions'!$A$2:$D$2,0)),0),"")</f>
        <v>0</v>
      </c>
      <c r="P36" s="792">
        <f>IFERROR(IF(C36="New",INDEX('Envelope Assumptions'!$X$2:$Z$38,MATCH('General Information'!$J$12,'Envelope Assumptions'!$A$2:$A$38,0),MATCH(D36,'Envelope Assumptions'!$X$2:$Z$2,0)),0),"")</f>
        <v>0</v>
      </c>
      <c r="Q36" s="1656" t="str">
        <f t="shared" si="3"/>
        <v/>
      </c>
      <c r="R36" s="1657" t="str">
        <f t="shared" si="4"/>
        <v/>
      </c>
      <c r="U36" s="2271"/>
    </row>
    <row r="37" spans="1:26" s="1" customFormat="1" ht="40.5" customHeight="1" x14ac:dyDescent="0.25">
      <c r="A37" s="675" t="s">
        <v>1298</v>
      </c>
      <c r="E37" s="837"/>
      <c r="F37" s="837"/>
      <c r="N37" s="377"/>
      <c r="O37" s="378"/>
      <c r="P37" s="379"/>
    </row>
    <row r="38" spans="1:26" s="1" customFormat="1" ht="20.25" customHeight="1" x14ac:dyDescent="0.25">
      <c r="A38" s="675" t="s">
        <v>1298</v>
      </c>
      <c r="E38" s="487"/>
      <c r="F38" s="487"/>
      <c r="N38" s="377"/>
      <c r="O38" s="378"/>
      <c r="P38" s="379"/>
    </row>
    <row r="39" spans="1:26" ht="26.25" customHeight="1" x14ac:dyDescent="0.2">
      <c r="A39" s="675" t="s">
        <v>1298</v>
      </c>
      <c r="B39" s="123" t="s">
        <v>7</v>
      </c>
      <c r="C39" s="33"/>
      <c r="D39" s="33"/>
      <c r="E39" s="475"/>
      <c r="F39" s="475"/>
      <c r="G39" s="33"/>
      <c r="H39" s="33"/>
      <c r="I39" s="33"/>
      <c r="J39" s="33"/>
      <c r="K39" s="33"/>
      <c r="L39" s="33"/>
      <c r="M39" s="100"/>
      <c r="N39" s="380"/>
      <c r="O39" s="381"/>
      <c r="P39" s="376"/>
      <c r="Q39" s="99"/>
    </row>
    <row r="40" spans="1:26" ht="26.25" customHeight="1" x14ac:dyDescent="0.2">
      <c r="A40" s="675" t="s">
        <v>1298</v>
      </c>
      <c r="B40" s="2620" t="s">
        <v>305</v>
      </c>
      <c r="C40" s="2621"/>
      <c r="D40" s="2619"/>
      <c r="E40" s="46"/>
      <c r="F40" s="2616" t="s">
        <v>347</v>
      </c>
      <c r="G40" s="2617"/>
      <c r="H40" s="2618" t="s">
        <v>348</v>
      </c>
      <c r="I40" s="2619"/>
      <c r="J40" s="99"/>
      <c r="L40" s="33"/>
      <c r="M40" s="100"/>
      <c r="N40" s="380"/>
      <c r="O40" s="381"/>
      <c r="P40" s="376"/>
    </row>
    <row r="41" spans="1:26" ht="54.75" customHeight="1" x14ac:dyDescent="0.2">
      <c r="A41" s="675" t="s">
        <v>1298</v>
      </c>
      <c r="B41" s="1732" t="s">
        <v>1357</v>
      </c>
      <c r="C41" s="316" t="s">
        <v>303</v>
      </c>
      <c r="D41" s="1734" t="s">
        <v>22</v>
      </c>
      <c r="E41" s="47"/>
      <c r="F41" s="305" t="s">
        <v>3</v>
      </c>
      <c r="G41" s="838" t="s">
        <v>1990</v>
      </c>
      <c r="H41" s="1732" t="s">
        <v>3</v>
      </c>
      <c r="I41" s="1734" t="s">
        <v>307</v>
      </c>
      <c r="J41" s="99"/>
      <c r="N41" s="382"/>
      <c r="O41" s="381"/>
      <c r="P41" s="376"/>
    </row>
    <row r="42" spans="1:26" ht="80.25" customHeight="1" x14ac:dyDescent="0.2">
      <c r="A42" s="1097" t="s">
        <v>1298</v>
      </c>
      <c r="B42" s="2613" t="s">
        <v>1888</v>
      </c>
      <c r="C42" s="2614"/>
      <c r="D42" s="2615"/>
      <c r="E42" s="357"/>
      <c r="F42" s="2600" t="s">
        <v>1707</v>
      </c>
      <c r="G42" s="2601"/>
      <c r="H42" s="2600" t="s">
        <v>1708</v>
      </c>
      <c r="I42" s="2601"/>
      <c r="J42" s="99"/>
      <c r="N42" s="382"/>
      <c r="O42" s="381"/>
      <c r="P42" s="376"/>
    </row>
    <row r="43" spans="1:26" ht="51" hidden="1" x14ac:dyDescent="0.2">
      <c r="A43" s="1097" t="s">
        <v>1298</v>
      </c>
      <c r="B43" s="1785" t="str">
        <f>B41</f>
        <v>Building ID</v>
      </c>
      <c r="C43" s="1785" t="str">
        <f>C41</f>
        <v>New or 
Existing
Construction</v>
      </c>
      <c r="D43" s="1785" t="str">
        <f>D41</f>
        <v>Space-Conditioning Category</v>
      </c>
      <c r="E43" s="1440"/>
      <c r="F43" s="2242" t="s">
        <v>1988</v>
      </c>
      <c r="G43" s="2242" t="str">
        <f>G41</f>
        <v>Assembly U-factor</v>
      </c>
      <c r="H43" s="1785" t="s">
        <v>1989</v>
      </c>
      <c r="I43" s="1785" t="str">
        <f>I41</f>
        <v>Assembly 
U-factor</v>
      </c>
      <c r="J43" s="99"/>
      <c r="N43" s="382"/>
      <c r="O43" s="381"/>
      <c r="P43" s="376"/>
      <c r="Q43" s="1655" t="s">
        <v>1986</v>
      </c>
      <c r="R43" s="1655" t="s">
        <v>1987</v>
      </c>
    </row>
    <row r="44" spans="1:26" ht="33" hidden="1" customHeight="1" x14ac:dyDescent="0.25">
      <c r="A44" s="673" t="s">
        <v>917</v>
      </c>
      <c r="B44" s="1092" t="str">
        <f>GI_Project_Name</f>
        <v>SEA Building Addition</v>
      </c>
      <c r="C44" s="1096"/>
      <c r="D44" s="567"/>
      <c r="E44" s="357"/>
      <c r="F44" s="1658" t="str">
        <f>IF(AND($O44&lt;&gt;0,$D44&lt;&gt;""),$O44,"")</f>
        <v/>
      </c>
      <c r="G44" s="1659" t="str">
        <f>IF(AND($P44&lt;&gt;0,$D44&lt;&gt;""),$P44,"")</f>
        <v/>
      </c>
      <c r="H44" s="1092"/>
      <c r="I44" s="351"/>
      <c r="O44" s="375">
        <f>IFERROR(IF(C44="New",INDEX('Envelope Assumptions'!$E$2:$G$38,MATCH('General Information'!$J$12,'Envelope Assumptions'!$A$2:$A$38,0),MATCH(D44,'Envelope Assumptions'!$E$2:$G$2,0)),0),"")</f>
        <v>0</v>
      </c>
      <c r="P44" s="1663">
        <f>IFERROR(IF(C44="New",INDEX('Envelope Assumptions'!$AA$2:$AC$38,MATCH('General Information'!$J$12,'Envelope Assumptions'!$A$2:$A$38,0),MATCH(D44,'Envelope Assumptions'!$AA$2:$AC$2,0)),0),"")</f>
        <v>0</v>
      </c>
      <c r="Q44" s="1657" t="str">
        <f>IF(AND($O44&lt;&gt;0,$D44&lt;&gt;""),$O44,"")</f>
        <v/>
      </c>
      <c r="R44" s="1657" t="str">
        <f>IF(AND($P44&lt;&gt;0,$D44&lt;&gt;""),$P44,"")</f>
        <v/>
      </c>
      <c r="U44" s="2271"/>
    </row>
    <row r="45" spans="1:26" ht="33" customHeight="1" x14ac:dyDescent="0.25">
      <c r="A45" s="673"/>
      <c r="B45" s="1092" t="str">
        <f>GI_Project_Name</f>
        <v>SEA Building Addition</v>
      </c>
      <c r="C45" s="1096" t="s">
        <v>434</v>
      </c>
      <c r="D45" s="567" t="s">
        <v>24</v>
      </c>
      <c r="E45" s="357"/>
      <c r="F45" s="1658" t="str">
        <f t="shared" ref="F45:F46" si="5">IF(AND($O45&lt;&gt;0,$D45&lt;&gt;""),$O45,"")</f>
        <v>steel-framed with R-13 cavity insulation with a U-factor of 0.124</v>
      </c>
      <c r="G45" s="1659" t="str">
        <f t="shared" ref="G45:G46" si="6">IF(AND($P45&lt;&gt;0,$D45&lt;&gt;""),$P45,"")</f>
        <v>U-0.124</v>
      </c>
      <c r="H45" s="1092" t="s">
        <v>2255</v>
      </c>
      <c r="I45" s="351">
        <v>0.06</v>
      </c>
      <c r="O45" s="1096" t="str">
        <f>IFERROR(IF(C45="New",INDEX('Envelope Assumptions'!$E$2:$G$38,MATCH('General Information'!$J$12,'Envelope Assumptions'!$A$2:$A$38,0),MATCH(D45,'Envelope Assumptions'!$E$2:$G$2,0)),0),"")</f>
        <v>steel-framed with R-13 cavity insulation with a U-factor of 0.124</v>
      </c>
      <c r="P45" s="792" t="str">
        <f>IFERROR(IF(C45="New",INDEX('Envelope Assumptions'!$AA$2:$AC$38,MATCH('General Information'!$J$12,'Envelope Assumptions'!$A$2:$A$38,0),MATCH(D45,'Envelope Assumptions'!$AA$2:$AC$2,0)),0),"")</f>
        <v>U-0.124</v>
      </c>
      <c r="Q45" s="1657" t="str">
        <f t="shared" ref="Q45:Q46" si="7">IF(AND($O45&lt;&gt;0,$D45&lt;&gt;""),$O45,"")</f>
        <v>steel-framed with R-13 cavity insulation with a U-factor of 0.124</v>
      </c>
      <c r="R45" s="1657" t="str">
        <f t="shared" ref="R45:R46" si="8">IF(AND($P45&lt;&gt;0,$D45&lt;&gt;""),$P45,"")</f>
        <v>U-0.124</v>
      </c>
      <c r="U45" s="2271"/>
    </row>
    <row r="46" spans="1:26" ht="33" customHeight="1" x14ac:dyDescent="0.25">
      <c r="A46" s="673"/>
      <c r="B46" s="1092" t="str">
        <f>GI_Project_Name</f>
        <v>SEA Building Addition</v>
      </c>
      <c r="C46" s="1096"/>
      <c r="D46" s="567"/>
      <c r="E46" s="357"/>
      <c r="F46" s="1658" t="str">
        <f t="shared" si="5"/>
        <v/>
      </c>
      <c r="G46" s="1659" t="str">
        <f t="shared" si="6"/>
        <v/>
      </c>
      <c r="H46" s="1092"/>
      <c r="I46" s="351"/>
      <c r="O46" s="1096">
        <f>IFERROR(IF(C46="New",INDEX('Envelope Assumptions'!$E$2:$G$38,MATCH('General Information'!$J$12,'Envelope Assumptions'!$A$2:$A$38,0),MATCH(D46,'Envelope Assumptions'!$E$2:$G$2,0)),0),"")</f>
        <v>0</v>
      </c>
      <c r="P46" s="792">
        <f>IFERROR(IF(C46="New",INDEX('Envelope Assumptions'!$AA$2:$AC$38,MATCH('General Information'!$J$12,'Envelope Assumptions'!$A$2:$A$38,0),MATCH(D46,'Envelope Assumptions'!$AA$2:$AC$2,0)),0),"")</f>
        <v>0</v>
      </c>
      <c r="Q46" s="1657" t="str">
        <f t="shared" si="7"/>
        <v/>
      </c>
      <c r="R46" s="1657" t="str">
        <f t="shared" si="8"/>
        <v/>
      </c>
      <c r="U46" s="2271"/>
    </row>
    <row r="47" spans="1:26" s="1" customFormat="1" ht="40.5" customHeight="1" x14ac:dyDescent="0.25">
      <c r="A47" s="675" t="s">
        <v>1298</v>
      </c>
      <c r="E47" s="487"/>
      <c r="F47" s="487"/>
      <c r="N47" s="377"/>
      <c r="O47" s="378"/>
      <c r="P47" s="379"/>
    </row>
    <row r="48" spans="1:26" s="1" customFormat="1" ht="20.25" customHeight="1" x14ac:dyDescent="0.25">
      <c r="A48" s="675" t="s">
        <v>1298</v>
      </c>
      <c r="E48" s="487"/>
      <c r="F48" s="487"/>
      <c r="N48" s="377"/>
      <c r="O48" s="378"/>
      <c r="P48" s="379"/>
    </row>
    <row r="49" spans="1:21" ht="26.25" customHeight="1" x14ac:dyDescent="0.2">
      <c r="A49" s="675" t="s">
        <v>1298</v>
      </c>
      <c r="B49" s="123" t="s">
        <v>8</v>
      </c>
      <c r="C49" s="33"/>
      <c r="D49" s="33"/>
      <c r="E49" s="475"/>
      <c r="F49" s="475"/>
      <c r="G49" s="33"/>
      <c r="H49" s="33"/>
      <c r="I49" s="33"/>
      <c r="J49" s="33"/>
      <c r="K49" s="33"/>
      <c r="L49" s="33"/>
      <c r="M49" s="100"/>
      <c r="N49" s="380"/>
      <c r="O49" s="381"/>
      <c r="P49" s="376"/>
      <c r="Q49" s="99"/>
    </row>
    <row r="50" spans="1:21" ht="26.25" customHeight="1" x14ac:dyDescent="0.2">
      <c r="A50" s="675" t="s">
        <v>1298</v>
      </c>
      <c r="B50" s="2620" t="s">
        <v>305</v>
      </c>
      <c r="C50" s="2621"/>
      <c r="D50" s="2619"/>
      <c r="E50" s="46"/>
      <c r="F50" s="2616" t="s">
        <v>347</v>
      </c>
      <c r="G50" s="2617"/>
      <c r="H50" s="2618" t="s">
        <v>348</v>
      </c>
      <c r="I50" s="2619"/>
      <c r="J50" s="99"/>
      <c r="L50" s="33"/>
      <c r="M50" s="100"/>
      <c r="N50" s="380"/>
      <c r="O50" s="381"/>
      <c r="P50" s="376"/>
      <c r="Q50" s="99"/>
    </row>
    <row r="51" spans="1:21" ht="54.75" customHeight="1" x14ac:dyDescent="0.2">
      <c r="A51" s="675" t="s">
        <v>1298</v>
      </c>
      <c r="B51" s="1732" t="s">
        <v>1357</v>
      </c>
      <c r="C51" s="316" t="s">
        <v>303</v>
      </c>
      <c r="D51" s="1734" t="s">
        <v>22</v>
      </c>
      <c r="E51" s="47"/>
      <c r="F51" s="305" t="s">
        <v>3</v>
      </c>
      <c r="G51" s="838" t="s">
        <v>1992</v>
      </c>
      <c r="H51" s="1732" t="s">
        <v>3</v>
      </c>
      <c r="I51" s="1734" t="s">
        <v>814</v>
      </c>
      <c r="J51" s="99"/>
      <c r="N51" s="382"/>
      <c r="O51" s="381"/>
      <c r="P51" s="376"/>
      <c r="Q51" s="99"/>
    </row>
    <row r="52" spans="1:21" ht="91.5" customHeight="1" x14ac:dyDescent="0.2">
      <c r="A52" s="1097" t="s">
        <v>1298</v>
      </c>
      <c r="B52" s="2613" t="s">
        <v>1888</v>
      </c>
      <c r="C52" s="2614"/>
      <c r="D52" s="2615"/>
      <c r="E52" s="357"/>
      <c r="F52" s="2600" t="s">
        <v>1709</v>
      </c>
      <c r="G52" s="2601"/>
      <c r="H52" s="2600" t="s">
        <v>1710</v>
      </c>
      <c r="I52" s="2601"/>
      <c r="J52" s="99"/>
      <c r="N52" s="382"/>
      <c r="O52" s="381"/>
      <c r="P52" s="376"/>
      <c r="Q52" s="99"/>
    </row>
    <row r="53" spans="1:21" ht="51" hidden="1" x14ac:dyDescent="0.2">
      <c r="A53" s="1097" t="s">
        <v>1298</v>
      </c>
      <c r="B53" s="1785" t="str">
        <f>B51</f>
        <v>Building ID</v>
      </c>
      <c r="C53" s="1785" t="str">
        <f>C51</f>
        <v>New or 
Existing
Construction</v>
      </c>
      <c r="D53" s="1785" t="str">
        <f>D51</f>
        <v>Space-Conditioning Category</v>
      </c>
      <c r="E53" s="1440"/>
      <c r="F53" s="1785" t="s">
        <v>1988</v>
      </c>
      <c r="G53" s="1785" t="str">
        <f>G51</f>
        <v>Assembly C-factor</v>
      </c>
      <c r="H53" s="1785" t="s">
        <v>1989</v>
      </c>
      <c r="I53" s="1785" t="str">
        <f>I51</f>
        <v>Assembly
C-factor</v>
      </c>
      <c r="J53" s="99"/>
      <c r="N53" s="382"/>
      <c r="O53" s="381"/>
      <c r="P53" s="376"/>
      <c r="Q53" s="1655" t="s">
        <v>1986</v>
      </c>
      <c r="R53" s="1655" t="s">
        <v>1991</v>
      </c>
    </row>
    <row r="54" spans="1:21" ht="33" hidden="1" customHeight="1" x14ac:dyDescent="0.2">
      <c r="A54" s="675" t="s">
        <v>918</v>
      </c>
      <c r="B54" s="1092" t="str">
        <f>GI_Project_Name</f>
        <v>SEA Building Addition</v>
      </c>
      <c r="C54" s="1096"/>
      <c r="D54" s="567"/>
      <c r="E54" s="357"/>
      <c r="F54" s="1658" t="str">
        <f>IF(AND($O54&lt;&gt;0,$D54&lt;&gt;""),$O54,"")</f>
        <v/>
      </c>
      <c r="G54" s="1659" t="str">
        <f>IF(AND($P54&lt;&gt;0,$D54&lt;&gt;""),$P54,"")</f>
        <v/>
      </c>
      <c r="H54" s="1092"/>
      <c r="I54" s="351"/>
      <c r="O54" s="1096">
        <f>IFERROR(IF(C54="New",INDEX('Envelope Assumptions'!H$2:$J$38,MATCH('General Information'!$J$12,'Envelope Assumptions'!$A$2:$A$38,0),MATCH(D54,'Envelope Assumptions'!$H$2:$J$2,0)),0),"")</f>
        <v>0</v>
      </c>
      <c r="P54" s="792">
        <f>IFERROR(IF(C54="New",INDEX('Envelope Assumptions'!$AD$2:$AF$38,MATCH('General Information'!$J$12,'Envelope Assumptions'!$A$2:$A$38,0),MATCH(D54,'Envelope Assumptions'!$AD$2:$AF$2,0)),0),"")</f>
        <v>0</v>
      </c>
      <c r="Q54" s="1657" t="str">
        <f>IF(AND($O54&lt;&gt;0,$D54&lt;&gt;""),$O54,"")</f>
        <v/>
      </c>
      <c r="R54" s="1657" t="str">
        <f>IF(AND($P54&lt;&gt;0,$D54&lt;&gt;""),$P54,"")</f>
        <v/>
      </c>
      <c r="U54" s="2271"/>
    </row>
    <row r="55" spans="1:21" ht="33" customHeight="1" x14ac:dyDescent="0.2">
      <c r="A55" s="675"/>
      <c r="B55" s="1092" t="str">
        <f>GI_Project_Name</f>
        <v>SEA Building Addition</v>
      </c>
      <c r="C55" s="1096"/>
      <c r="D55" s="567"/>
      <c r="E55" s="357"/>
      <c r="F55" s="1658" t="str">
        <f t="shared" ref="F55:F56" si="9">IF(AND($O55&lt;&gt;0,$D55&lt;&gt;""),$O55,"")</f>
        <v/>
      </c>
      <c r="G55" s="1659" t="str">
        <f t="shared" ref="G55:G56" si="10">IF(AND($P55&lt;&gt;0,$D55&lt;&gt;""),$P55,"")</f>
        <v/>
      </c>
      <c r="H55" s="1092"/>
      <c r="I55" s="351"/>
      <c r="O55" s="1096">
        <f>IFERROR(IF(C55="New",INDEX('Envelope Assumptions'!H$2:$J$38,MATCH('General Information'!$J$12,'Envelope Assumptions'!$A$2:$A$38,0),MATCH(D55,'Envelope Assumptions'!$H$2:$J$2,0)),0),"")</f>
        <v>0</v>
      </c>
      <c r="P55" s="792">
        <f>IFERROR(IF(C55="New",INDEX('Envelope Assumptions'!$AD$2:$AF$38,MATCH('General Information'!$J$12,'Envelope Assumptions'!$A$2:$A$38,0),MATCH(D55,'Envelope Assumptions'!$AD$2:$AF$2,0)),0),"")</f>
        <v>0</v>
      </c>
      <c r="Q55" s="1657" t="str">
        <f t="shared" ref="Q55:Q56" si="11">IF(AND($O55&lt;&gt;0,$D55&lt;&gt;""),$O55,"")</f>
        <v/>
      </c>
      <c r="R55" s="1657" t="str">
        <f t="shared" ref="R55:R56" si="12">IF(AND($P55&lt;&gt;0,$D55&lt;&gt;""),$P55,"")</f>
        <v/>
      </c>
      <c r="U55" s="2271"/>
    </row>
    <row r="56" spans="1:21" ht="33" customHeight="1" x14ac:dyDescent="0.2">
      <c r="A56" s="675"/>
      <c r="B56" s="353" t="str">
        <f>GI_Project_Name</f>
        <v>SEA Building Addition</v>
      </c>
      <c r="C56" s="253"/>
      <c r="D56" s="354"/>
      <c r="E56" s="358"/>
      <c r="F56" s="1661" t="str">
        <f t="shared" si="9"/>
        <v/>
      </c>
      <c r="G56" s="1662" t="str">
        <f t="shared" si="10"/>
        <v/>
      </c>
      <c r="H56" s="353"/>
      <c r="I56" s="356"/>
      <c r="O56" s="1096">
        <f>IFERROR(IF(C56="New",INDEX('Envelope Assumptions'!H$2:$J$38,MATCH('General Information'!$J$12,'Envelope Assumptions'!$A$2:$A$38,0),MATCH(D56,'Envelope Assumptions'!$H$2:$J$2,0)),0),"")</f>
        <v>0</v>
      </c>
      <c r="P56" s="792">
        <f>IFERROR(IF(C56="New",INDEX('Envelope Assumptions'!$AD$2:$AF$38,MATCH('General Information'!$J$12,'Envelope Assumptions'!$A$2:$A$38,0),MATCH(D56,'Envelope Assumptions'!$AD$2:$AF$2,0)),0),"")</f>
        <v>0</v>
      </c>
      <c r="Q56" s="1657" t="str">
        <f t="shared" si="11"/>
        <v/>
      </c>
      <c r="R56" s="1657" t="str">
        <f t="shared" si="12"/>
        <v/>
      </c>
      <c r="U56" s="2271"/>
    </row>
    <row r="57" spans="1:21" s="1" customFormat="1" ht="39" customHeight="1" x14ac:dyDescent="0.25">
      <c r="A57" s="674" t="s">
        <v>1298</v>
      </c>
      <c r="E57" s="487"/>
      <c r="F57" s="487"/>
      <c r="O57" s="377"/>
      <c r="P57" s="378"/>
    </row>
    <row r="58" spans="1:21" s="1" customFormat="1" ht="20.25" customHeight="1" x14ac:dyDescent="0.25">
      <c r="A58" s="674" t="s">
        <v>1298</v>
      </c>
      <c r="E58" s="487"/>
      <c r="F58" s="487"/>
      <c r="O58" s="377"/>
      <c r="P58" s="378"/>
    </row>
    <row r="59" spans="1:21" ht="26.25" customHeight="1" x14ac:dyDescent="0.25">
      <c r="A59" s="674" t="s">
        <v>1298</v>
      </c>
      <c r="B59" s="123" t="s">
        <v>21</v>
      </c>
      <c r="C59" s="33"/>
      <c r="D59" s="33"/>
      <c r="E59" s="475"/>
      <c r="F59" s="475"/>
      <c r="G59" s="33"/>
      <c r="H59" s="33"/>
      <c r="I59" s="33"/>
      <c r="J59" s="33"/>
      <c r="K59" s="33"/>
      <c r="L59" s="33"/>
      <c r="M59" s="100"/>
      <c r="O59" s="380"/>
      <c r="P59" s="381"/>
      <c r="Q59" s="99"/>
    </row>
    <row r="60" spans="1:21" ht="26.25" customHeight="1" x14ac:dyDescent="0.25">
      <c r="A60" s="674" t="s">
        <v>1298</v>
      </c>
      <c r="B60" s="2620" t="s">
        <v>305</v>
      </c>
      <c r="C60" s="2621"/>
      <c r="D60" s="2619"/>
      <c r="E60" s="46"/>
      <c r="F60" s="2616" t="s">
        <v>347</v>
      </c>
      <c r="G60" s="2617"/>
      <c r="H60" s="2618" t="s">
        <v>348</v>
      </c>
      <c r="I60" s="2619"/>
      <c r="J60" s="99"/>
      <c r="L60" s="33"/>
      <c r="M60" s="100"/>
      <c r="O60" s="380"/>
      <c r="P60" s="381"/>
    </row>
    <row r="61" spans="1:21" ht="54.75" customHeight="1" x14ac:dyDescent="0.25">
      <c r="A61" s="674" t="s">
        <v>1298</v>
      </c>
      <c r="B61" s="1732" t="s">
        <v>1357</v>
      </c>
      <c r="C61" s="316" t="s">
        <v>303</v>
      </c>
      <c r="D61" s="1734" t="s">
        <v>22</v>
      </c>
      <c r="E61" s="47"/>
      <c r="F61" s="305" t="s">
        <v>3</v>
      </c>
      <c r="G61" s="838" t="s">
        <v>1990</v>
      </c>
      <c r="H61" s="1732" t="s">
        <v>3</v>
      </c>
      <c r="I61" s="1734" t="s">
        <v>307</v>
      </c>
      <c r="J61" s="99"/>
      <c r="O61" s="382"/>
      <c r="P61" s="381"/>
    </row>
    <row r="62" spans="1:21" ht="108.75" customHeight="1" x14ac:dyDescent="0.25">
      <c r="A62" s="674" t="s">
        <v>1298</v>
      </c>
      <c r="B62" s="2613" t="s">
        <v>1888</v>
      </c>
      <c r="C62" s="2614"/>
      <c r="D62" s="2615"/>
      <c r="E62" s="357"/>
      <c r="F62" s="2600" t="s">
        <v>1711</v>
      </c>
      <c r="G62" s="2601"/>
      <c r="H62" s="2600" t="s">
        <v>1712</v>
      </c>
      <c r="I62" s="2601"/>
      <c r="J62" s="99"/>
      <c r="O62" s="382"/>
      <c r="P62" s="381"/>
    </row>
    <row r="63" spans="1:21" ht="51" hidden="1" x14ac:dyDescent="0.25">
      <c r="A63" s="674" t="s">
        <v>1298</v>
      </c>
      <c r="B63" s="1785" t="str">
        <f>B61</f>
        <v>Building ID</v>
      </c>
      <c r="C63" s="1785" t="str">
        <f>C61</f>
        <v>New or 
Existing
Construction</v>
      </c>
      <c r="D63" s="1785" t="str">
        <f>D61</f>
        <v>Space-Conditioning Category</v>
      </c>
      <c r="E63" s="1440"/>
      <c r="F63" s="1785" t="s">
        <v>1988</v>
      </c>
      <c r="G63" s="1785" t="str">
        <f>G61</f>
        <v>Assembly U-factor</v>
      </c>
      <c r="H63" s="1785" t="s">
        <v>1989</v>
      </c>
      <c r="I63" s="1785" t="str">
        <f>I61</f>
        <v>Assembly 
U-factor</v>
      </c>
      <c r="J63" s="99"/>
      <c r="O63" s="382"/>
      <c r="P63" s="381"/>
      <c r="Q63" s="1655" t="s">
        <v>1986</v>
      </c>
      <c r="R63" s="1655" t="s">
        <v>1987</v>
      </c>
    </row>
    <row r="64" spans="1:21" ht="33" hidden="1" customHeight="1" x14ac:dyDescent="0.25">
      <c r="A64" s="673" t="s">
        <v>919</v>
      </c>
      <c r="B64" s="1092" t="str">
        <f>GI_Project_Name</f>
        <v>SEA Building Addition</v>
      </c>
      <c r="C64" s="1096"/>
      <c r="D64" s="567"/>
      <c r="E64" s="357"/>
      <c r="F64" s="1658" t="str">
        <f>IF(AND($O64&lt;&gt;0,$D64&lt;&gt;""),$O64,"")</f>
        <v/>
      </c>
      <c r="G64" s="1659" t="str">
        <f>IF(AND($P64&lt;&gt;0,$D64&lt;&gt;""),$P64,"")</f>
        <v/>
      </c>
      <c r="H64" s="1092"/>
      <c r="I64" s="351"/>
      <c r="O64" s="375">
        <f>IFERROR(IF(C64="New",INDEX('Envelope Assumptions'!K$2:$M$38,MATCH('General Information'!$J$12,'Envelope Assumptions'!$A$2:$A$38,0),MATCH(D64,'Envelope Assumptions'!$K$2:$M$2,0)),0),"")</f>
        <v>0</v>
      </c>
      <c r="P64" s="1663">
        <f>IFERROR(IF(C64="New",INDEX('Envelope Assumptions'!$AG$2:$AI$38,MATCH('General Information'!$J$12,'Envelope Assumptions'!$A$2:$A$38,0),MATCH(D64,'Envelope Assumptions'!$AG$2:$AI$2,0)),0),"")</f>
        <v>0</v>
      </c>
      <c r="Q64" s="1657" t="str">
        <f>IF(AND($O64&lt;&gt;0,$D64&lt;&gt;""),$O64,"")</f>
        <v/>
      </c>
      <c r="R64" s="1657" t="str">
        <f>IF(AND($P64&lt;&gt;0,$D64&lt;&gt;""),$P64,"")</f>
        <v/>
      </c>
      <c r="U64" s="2271"/>
    </row>
    <row r="65" spans="1:21" ht="33" customHeight="1" x14ac:dyDescent="0.25">
      <c r="A65" s="673"/>
      <c r="B65" s="1092" t="str">
        <f>GI_Project_Name</f>
        <v>SEA Building Addition</v>
      </c>
      <c r="C65" s="1096"/>
      <c r="D65" s="567"/>
      <c r="E65" s="357"/>
      <c r="F65" s="1658" t="str">
        <f t="shared" ref="F65:F66" si="13">IF(AND($O65&lt;&gt;0,$D65&lt;&gt;""),$O65,"")</f>
        <v/>
      </c>
      <c r="G65" s="1659" t="str">
        <f t="shared" ref="G65:G66" si="14">IF(AND($P65&lt;&gt;0,$D65&lt;&gt;""),$P65,"")</f>
        <v/>
      </c>
      <c r="H65" s="1092"/>
      <c r="I65" s="351"/>
      <c r="O65" s="1096">
        <f>IFERROR(IF(C65="New",INDEX('Envelope Assumptions'!K$2:$M$38,MATCH('General Information'!$J$12,'Envelope Assumptions'!$A$2:$A$38,0),MATCH(D65,'Envelope Assumptions'!$K$2:$M$2,0)),0),"")</f>
        <v>0</v>
      </c>
      <c r="P65" s="792">
        <f>IFERROR(IF(C65="New",INDEX('Envelope Assumptions'!$AG$2:$AI$38,MATCH('General Information'!$J$12,'Envelope Assumptions'!$A$2:$A$38,0),MATCH(D65,'Envelope Assumptions'!$AG$2:$AI$2,0)),0),"")</f>
        <v>0</v>
      </c>
      <c r="Q65" s="1657" t="str">
        <f t="shared" ref="Q65:Q66" si="15">IF(AND($O65&lt;&gt;0,$D65&lt;&gt;""),$O65,"")</f>
        <v/>
      </c>
      <c r="R65" s="1657" t="str">
        <f t="shared" ref="R65:R66" si="16">IF(AND($P65&lt;&gt;0,$D65&lt;&gt;""),$P65,"")</f>
        <v/>
      </c>
      <c r="U65" s="2271"/>
    </row>
    <row r="66" spans="1:21" ht="33" customHeight="1" x14ac:dyDescent="0.25">
      <c r="B66" s="353" t="str">
        <f>GI_Project_Name</f>
        <v>SEA Building Addition</v>
      </c>
      <c r="C66" s="253"/>
      <c r="D66" s="354"/>
      <c r="E66" s="358"/>
      <c r="F66" s="1661" t="str">
        <f t="shared" si="13"/>
        <v/>
      </c>
      <c r="G66" s="1662" t="str">
        <f t="shared" si="14"/>
        <v/>
      </c>
      <c r="H66" s="353"/>
      <c r="I66" s="356"/>
      <c r="O66" s="1096">
        <f>IFERROR(IF(C66="New",INDEX('Envelope Assumptions'!K$2:$M$38,MATCH('General Information'!$J$12,'Envelope Assumptions'!$A$2:$A$38,0),MATCH(D66,'Envelope Assumptions'!$K$2:$M$2,0)),0),"")</f>
        <v>0</v>
      </c>
      <c r="P66" s="792">
        <f>IFERROR(IF(C66="New",INDEX('Envelope Assumptions'!$AG$2:$AI$38,MATCH('General Information'!$J$12,'Envelope Assumptions'!$A$2:$A$38,0),MATCH(D66,'Envelope Assumptions'!$AG$2:$AI$2,0)),0),"")</f>
        <v>0</v>
      </c>
      <c r="Q66" s="1657" t="str">
        <f t="shared" si="15"/>
        <v/>
      </c>
      <c r="R66" s="1657" t="str">
        <f t="shared" si="16"/>
        <v/>
      </c>
      <c r="U66" s="2271"/>
    </row>
    <row r="67" spans="1:21" s="1" customFormat="1" ht="41.25" customHeight="1" x14ac:dyDescent="0.25">
      <c r="A67" s="674" t="s">
        <v>1298</v>
      </c>
      <c r="E67" s="487"/>
      <c r="F67" s="487"/>
      <c r="O67" s="377"/>
      <c r="P67" s="378"/>
    </row>
    <row r="68" spans="1:21" s="1" customFormat="1" ht="20.25" customHeight="1" x14ac:dyDescent="0.25">
      <c r="A68" s="674" t="s">
        <v>1298</v>
      </c>
      <c r="E68" s="487"/>
      <c r="F68" s="487"/>
      <c r="O68" s="377"/>
      <c r="P68" s="378"/>
    </row>
    <row r="69" spans="1:21" ht="26.25" customHeight="1" x14ac:dyDescent="0.25">
      <c r="A69" s="674" t="s">
        <v>1298</v>
      </c>
      <c r="B69" s="123" t="s">
        <v>1</v>
      </c>
      <c r="C69" s="33"/>
      <c r="D69" s="33"/>
      <c r="E69" s="475"/>
      <c r="F69" s="475"/>
      <c r="G69" s="33"/>
      <c r="H69" s="33"/>
      <c r="I69" s="33"/>
      <c r="J69" s="33"/>
      <c r="K69" s="33"/>
      <c r="L69" s="33"/>
      <c r="M69" s="100"/>
      <c r="O69" s="380"/>
      <c r="P69" s="381"/>
      <c r="Q69" s="99"/>
    </row>
    <row r="70" spans="1:21" ht="26.25" customHeight="1" x14ac:dyDescent="0.25">
      <c r="A70" s="674" t="s">
        <v>1298</v>
      </c>
      <c r="B70" s="2620" t="s">
        <v>305</v>
      </c>
      <c r="C70" s="2621"/>
      <c r="D70" s="2619"/>
      <c r="E70" s="46"/>
      <c r="F70" s="2616" t="s">
        <v>347</v>
      </c>
      <c r="G70" s="2617"/>
      <c r="H70" s="2618" t="s">
        <v>348</v>
      </c>
      <c r="I70" s="2619"/>
      <c r="J70" s="99"/>
      <c r="L70" s="33"/>
      <c r="M70" s="100"/>
      <c r="O70" s="380"/>
      <c r="P70" s="381"/>
    </row>
    <row r="71" spans="1:21" ht="55.5" customHeight="1" x14ac:dyDescent="0.25">
      <c r="A71" s="674" t="s">
        <v>1298</v>
      </c>
      <c r="B71" s="1732" t="s">
        <v>1357</v>
      </c>
      <c r="C71" s="316" t="s">
        <v>303</v>
      </c>
      <c r="D71" s="1734" t="s">
        <v>22</v>
      </c>
      <c r="E71" s="47"/>
      <c r="F71" s="305" t="s">
        <v>3</v>
      </c>
      <c r="G71" s="838" t="s">
        <v>1994</v>
      </c>
      <c r="H71" s="1732" t="s">
        <v>3</v>
      </c>
      <c r="I71" s="1734" t="s">
        <v>815</v>
      </c>
      <c r="J71" s="99"/>
      <c r="O71" s="382"/>
      <c r="P71" s="381"/>
    </row>
    <row r="72" spans="1:21" ht="83.25" customHeight="1" x14ac:dyDescent="0.25">
      <c r="A72" s="674" t="s">
        <v>1298</v>
      </c>
      <c r="B72" s="2613" t="s">
        <v>1888</v>
      </c>
      <c r="C72" s="2614"/>
      <c r="D72" s="2615"/>
      <c r="E72" s="357"/>
      <c r="F72" s="2600" t="s">
        <v>1713</v>
      </c>
      <c r="G72" s="2601"/>
      <c r="H72" s="2600" t="s">
        <v>1714</v>
      </c>
      <c r="I72" s="2601"/>
      <c r="J72" s="99"/>
      <c r="O72" s="382"/>
      <c r="P72" s="381"/>
    </row>
    <row r="73" spans="1:21" ht="51" hidden="1" x14ac:dyDescent="0.25">
      <c r="A73" s="674" t="s">
        <v>1298</v>
      </c>
      <c r="B73" s="1785" t="str">
        <f>B71</f>
        <v>Building ID</v>
      </c>
      <c r="C73" s="1785" t="str">
        <f>C71</f>
        <v>New or 
Existing
Construction</v>
      </c>
      <c r="D73" s="1785" t="str">
        <f>D71</f>
        <v>Space-Conditioning Category</v>
      </c>
      <c r="E73" s="1440"/>
      <c r="F73" s="1785" t="s">
        <v>1988</v>
      </c>
      <c r="G73" s="1785" t="str">
        <f>G71</f>
        <v>Assembly F-factor</v>
      </c>
      <c r="H73" s="1785" t="s">
        <v>1989</v>
      </c>
      <c r="I73" s="1785" t="str">
        <f>I71</f>
        <v>Assembly 
F-factor</v>
      </c>
      <c r="J73" s="99"/>
      <c r="O73" s="382"/>
      <c r="P73" s="381"/>
      <c r="Q73" s="1655" t="s">
        <v>1986</v>
      </c>
      <c r="R73" s="1655" t="s">
        <v>1993</v>
      </c>
    </row>
    <row r="74" spans="1:21" ht="33" hidden="1" customHeight="1" x14ac:dyDescent="0.25">
      <c r="A74" s="673" t="s">
        <v>920</v>
      </c>
      <c r="B74" s="1092" t="str">
        <f>GI_Project_Name</f>
        <v>SEA Building Addition</v>
      </c>
      <c r="C74" s="1096"/>
      <c r="D74" s="567"/>
      <c r="E74" s="352"/>
      <c r="F74" s="1658" t="str">
        <f>IF(AND($O74&lt;&gt;0,$D74&lt;&gt;""),$O74,"")</f>
        <v/>
      </c>
      <c r="G74" s="1659" t="str">
        <f>IF(AND($P74&lt;&gt;0,$D74&lt;&gt;""),$P74,"")</f>
        <v/>
      </c>
      <c r="H74" s="1092"/>
      <c r="I74" s="351"/>
      <c r="O74" s="375">
        <f>IFERROR(IF(C74="New",INDEX('Envelope Assumptions'!N$2:$P$38,MATCH('General Information'!$J$12,'Envelope Assumptions'!$A$2:$A$38,0),MATCH(D74,'Envelope Assumptions'!$N$2:$P$2,0)),0),"")</f>
        <v>0</v>
      </c>
      <c r="P74" s="1663">
        <f>IFERROR(IF(C74="New",INDEX('Envelope Assumptions'!$AJ$2:$AL$38,MATCH('General Information'!$J$12,'Envelope Assumptions'!$A$2:$A$38,0),MATCH(D74,'Envelope Assumptions'!$AJ$2:$AL$2,0)),0),"")</f>
        <v>0</v>
      </c>
      <c r="Q74" s="1657" t="str">
        <f>IF(AND($O74&lt;&gt;0,$D74&lt;&gt;""),$O74,"")</f>
        <v/>
      </c>
      <c r="R74" s="1657" t="str">
        <f>IF(AND($P74&lt;&gt;0,$D74&lt;&gt;""),$P74,"")</f>
        <v/>
      </c>
      <c r="U74" s="2271"/>
    </row>
    <row r="75" spans="1:21" ht="33" customHeight="1" x14ac:dyDescent="0.25">
      <c r="A75" s="673"/>
      <c r="B75" s="1092" t="str">
        <f>GI_Project_Name</f>
        <v>SEA Building Addition</v>
      </c>
      <c r="C75" s="1096"/>
      <c r="D75" s="567"/>
      <c r="E75" s="352"/>
      <c r="F75" s="1658" t="str">
        <f t="shared" ref="F75:F76" si="17">IF(AND($O75&lt;&gt;0,$D75&lt;&gt;""),$O75,"")</f>
        <v/>
      </c>
      <c r="G75" s="1659" t="str">
        <f t="shared" ref="G75:G76" si="18">IF(AND($P75&lt;&gt;0,$D75&lt;&gt;""),$P75,"")</f>
        <v/>
      </c>
      <c r="H75" s="1092"/>
      <c r="I75" s="351"/>
      <c r="O75" s="1096">
        <f>IFERROR(IF(C75="New",INDEX('Envelope Assumptions'!N$2:$P$38,MATCH('General Information'!$J$12,'Envelope Assumptions'!$A$2:$A$38,0),MATCH(D75,'Envelope Assumptions'!$N$2:$P$2,0)),0),"")</f>
        <v>0</v>
      </c>
      <c r="P75" s="792">
        <f>IFERROR(IF(C75="New",INDEX('Envelope Assumptions'!$AJ$2:$AL$38,MATCH('General Information'!$J$12,'Envelope Assumptions'!$A$2:$A$38,0),MATCH(D75,'Envelope Assumptions'!$AJ$2:$AL$2,0)),0),"")</f>
        <v>0</v>
      </c>
      <c r="Q75" s="1657" t="str">
        <f t="shared" ref="Q75:Q76" si="19">IF(AND($O75&lt;&gt;0,$D75&lt;&gt;""),$O75,"")</f>
        <v/>
      </c>
      <c r="R75" s="1657" t="str">
        <f t="shared" ref="R75:R76" si="20">IF(AND($P75&lt;&gt;0,$D75&lt;&gt;""),$P75,"")</f>
        <v/>
      </c>
      <c r="U75" s="2271"/>
    </row>
    <row r="76" spans="1:21" ht="33" customHeight="1" x14ac:dyDescent="0.25">
      <c r="B76" s="353" t="str">
        <f>GI_Project_Name</f>
        <v>SEA Building Addition</v>
      </c>
      <c r="C76" s="253"/>
      <c r="D76" s="354"/>
      <c r="E76" s="355"/>
      <c r="F76" s="1661" t="str">
        <f t="shared" si="17"/>
        <v/>
      </c>
      <c r="G76" s="1662" t="str">
        <f t="shared" si="18"/>
        <v/>
      </c>
      <c r="H76" s="353"/>
      <c r="I76" s="356"/>
      <c r="O76" s="1096">
        <f>IFERROR(IF(C76="New",INDEX('Envelope Assumptions'!N$2:$P$38,MATCH('General Information'!$J$12,'Envelope Assumptions'!$A$2:$A$38,0),MATCH(D76,'Envelope Assumptions'!$N$2:$P$2,0)),0),"")</f>
        <v>0</v>
      </c>
      <c r="P76" s="792">
        <f>IFERROR(IF(C76="New",INDEX('Envelope Assumptions'!$AJ$2:$AL$38,MATCH('General Information'!$J$12,'Envelope Assumptions'!$A$2:$A$38,0),MATCH(D76,'Envelope Assumptions'!$AJ$2:$AL$2,0)),0),"")</f>
        <v>0</v>
      </c>
      <c r="Q76" s="1657" t="str">
        <f t="shared" si="19"/>
        <v/>
      </c>
      <c r="R76" s="1657" t="str">
        <f t="shared" si="20"/>
        <v/>
      </c>
      <c r="U76" s="2271"/>
    </row>
    <row r="77" spans="1:21" s="1" customFormat="1" ht="39.75" customHeight="1" x14ac:dyDescent="0.25">
      <c r="A77" s="674" t="s">
        <v>1298</v>
      </c>
      <c r="E77" s="487"/>
      <c r="F77" s="487"/>
      <c r="O77" s="377"/>
      <c r="P77" s="378"/>
    </row>
    <row r="78" spans="1:21" s="1" customFormat="1" ht="20.25" customHeight="1" x14ac:dyDescent="0.25">
      <c r="A78" s="674" t="s">
        <v>1298</v>
      </c>
      <c r="E78" s="487"/>
      <c r="F78" s="487"/>
      <c r="O78" s="377"/>
      <c r="P78" s="378"/>
    </row>
    <row r="79" spans="1:21" ht="26.25" customHeight="1" x14ac:dyDescent="0.25">
      <c r="A79" s="674" t="s">
        <v>1298</v>
      </c>
      <c r="B79" s="123" t="s">
        <v>2</v>
      </c>
      <c r="C79" s="33"/>
      <c r="D79" s="33"/>
      <c r="E79" s="475"/>
      <c r="F79" s="475"/>
      <c r="G79" s="33"/>
      <c r="H79" s="33"/>
      <c r="I79" s="33"/>
      <c r="J79" s="33"/>
      <c r="K79" s="33"/>
      <c r="L79" s="33"/>
      <c r="M79" s="100"/>
      <c r="O79" s="380"/>
      <c r="P79" s="381"/>
      <c r="Q79" s="99"/>
    </row>
    <row r="80" spans="1:21" ht="26.25" customHeight="1" x14ac:dyDescent="0.25">
      <c r="A80" s="674" t="s">
        <v>1298</v>
      </c>
      <c r="B80" s="2620" t="s">
        <v>305</v>
      </c>
      <c r="C80" s="2621"/>
      <c r="D80" s="2619"/>
      <c r="E80" s="46"/>
      <c r="F80" s="2622" t="s">
        <v>347</v>
      </c>
      <c r="G80" s="2623"/>
      <c r="H80" s="2618" t="s">
        <v>348</v>
      </c>
      <c r="I80" s="2619"/>
      <c r="J80" s="99"/>
      <c r="L80" s="33"/>
      <c r="M80" s="100"/>
      <c r="O80" s="380"/>
      <c r="P80" s="381"/>
    </row>
    <row r="81" spans="1:21" ht="54.75" customHeight="1" x14ac:dyDescent="0.25">
      <c r="A81" s="674" t="s">
        <v>1298</v>
      </c>
      <c r="B81" s="1732" t="s">
        <v>1357</v>
      </c>
      <c r="C81" s="316" t="s">
        <v>303</v>
      </c>
      <c r="D81" s="1734" t="s">
        <v>22</v>
      </c>
      <c r="E81" s="47"/>
      <c r="F81" s="305" t="s">
        <v>3</v>
      </c>
      <c r="G81" s="838" t="s">
        <v>1990</v>
      </c>
      <c r="H81" s="1732" t="s">
        <v>3</v>
      </c>
      <c r="I81" s="1734" t="s">
        <v>307</v>
      </c>
      <c r="J81" s="99"/>
      <c r="O81" s="382"/>
      <c r="P81" s="381"/>
    </row>
    <row r="82" spans="1:21" ht="69" customHeight="1" x14ac:dyDescent="0.25">
      <c r="A82" s="674" t="s">
        <v>1298</v>
      </c>
      <c r="B82" s="2613" t="s">
        <v>1888</v>
      </c>
      <c r="C82" s="2614"/>
      <c r="D82" s="2615"/>
      <c r="E82" s="357"/>
      <c r="F82" s="2600" t="s">
        <v>1715</v>
      </c>
      <c r="G82" s="2601"/>
      <c r="H82" s="2600" t="s">
        <v>1716</v>
      </c>
      <c r="I82" s="2601"/>
      <c r="J82" s="99"/>
      <c r="O82" s="382"/>
      <c r="P82" s="381"/>
    </row>
    <row r="83" spans="1:21" ht="51" hidden="1" x14ac:dyDescent="0.25">
      <c r="A83" s="674" t="s">
        <v>1298</v>
      </c>
      <c r="B83" s="1785" t="str">
        <f>B81</f>
        <v>Building ID</v>
      </c>
      <c r="C83" s="1785" t="str">
        <f>C81</f>
        <v>New or 
Existing
Construction</v>
      </c>
      <c r="D83" s="1785" t="str">
        <f>D81</f>
        <v>Space-Conditioning Category</v>
      </c>
      <c r="E83" s="1440"/>
      <c r="F83" s="1785" t="s">
        <v>1988</v>
      </c>
      <c r="G83" s="1785" t="str">
        <f>G81</f>
        <v>Assembly U-factor</v>
      </c>
      <c r="H83" s="1785" t="s">
        <v>1989</v>
      </c>
      <c r="I83" s="1785" t="str">
        <f>I81</f>
        <v>Assembly 
U-factor</v>
      </c>
      <c r="J83" s="99"/>
      <c r="O83" s="382"/>
      <c r="P83" s="381"/>
      <c r="Q83" s="1655" t="s">
        <v>1986</v>
      </c>
      <c r="R83" s="1655" t="s">
        <v>1987</v>
      </c>
    </row>
    <row r="84" spans="1:21" ht="33" hidden="1" customHeight="1" x14ac:dyDescent="0.25">
      <c r="A84" s="673" t="s">
        <v>921</v>
      </c>
      <c r="B84" s="1092" t="str">
        <f>GI_Project_Name</f>
        <v>SEA Building Addition</v>
      </c>
      <c r="C84" s="1096"/>
      <c r="D84" s="567"/>
      <c r="E84" s="349"/>
      <c r="F84" s="1658" t="str">
        <f>IF(AND($O84&lt;&gt;0,$D84&lt;&gt;""),$O84,"")</f>
        <v/>
      </c>
      <c r="G84" s="1659" t="str">
        <f>IF(AND($P84&lt;&gt;0,$D84&lt;&gt;""),$P84,"")</f>
        <v/>
      </c>
      <c r="H84" s="1092"/>
      <c r="I84" s="351"/>
      <c r="O84" s="375">
        <f>IFERROR(IF(C84="New",CONCATENATE("Swinging Doors: ",INDEX('Envelope Assumptions'!Q$2:$S$38,MATCH('General Information'!$J$12,'Envelope Assumptions'!$A$2:$A$38,0),MATCH(D84,'Envelope Assumptions'!$Q$2:$S$2,0)),"; Nonswinging Doors: ",INDEX('Envelope Assumptions'!T$2:$V$38,MATCH('General Information'!$J$12,'Envelope Assumptions'!$A$2:$A$38,0),MATCH(D84,'Envelope Assumptions'!$T$2:$V$2,0))),0),"")</f>
        <v>0</v>
      </c>
      <c r="P84" s="1663">
        <f>IFERROR(IF(C84="New",CONCATENATE(INDEX('Envelope Assumptions'!AM$2:$AO$38,MATCH('General Information'!$J$12,'Envelope Assumptions'!$A$2:$A$38,0),MATCH(D84,'Envelope Assumptions'!$AM$2:$AO$2,0))," / ",INDEX('Envelope Assumptions'!AP$2:$AR$38,MATCH('General Information'!$J$12,'Envelope Assumptions'!$A$2:$A$38,0),MATCH(D84,'Envelope Assumptions'!$AP$2:$AR$2,0))),0),0)</f>
        <v>0</v>
      </c>
      <c r="Q84" s="1657" t="str">
        <f>IF(AND($O84&lt;&gt;0,$D84&lt;&gt;""),$O84,"")</f>
        <v/>
      </c>
      <c r="R84" s="1657" t="str">
        <f>IF(AND($P84&lt;&gt;0,$D84&lt;&gt;""),$P84,"")</f>
        <v/>
      </c>
      <c r="U84" s="2271"/>
    </row>
    <row r="85" spans="1:21" ht="33" customHeight="1" x14ac:dyDescent="0.25">
      <c r="A85" s="673"/>
      <c r="B85" s="1092" t="str">
        <f>GI_Project_Name</f>
        <v>SEA Building Addition</v>
      </c>
      <c r="C85" s="1096" t="s">
        <v>434</v>
      </c>
      <c r="D85" s="567" t="s">
        <v>24</v>
      </c>
      <c r="E85" s="349"/>
      <c r="F85" s="1658" t="str">
        <f>IF(AND($O85&lt;&gt;0,$D85&lt;&gt;""),$O85,"")</f>
        <v>Swinging Doors: U-factor of 0.700; Nonswinging Doors: U-factor of 1.450</v>
      </c>
      <c r="G85" s="1659" t="str">
        <f>IF(AND($P85&lt;&gt;0,$D85&lt;&gt;""),$P85,"")</f>
        <v>U-0.700 / U-1.450</v>
      </c>
      <c r="H85" s="1092" t="s">
        <v>2252</v>
      </c>
      <c r="I85" s="351">
        <v>0.2</v>
      </c>
      <c r="O85" s="375" t="str">
        <f>IFERROR(IF(C85="New",CONCATENATE("Swinging Doors: ",INDEX('Envelope Assumptions'!Q$2:$S$38,MATCH('General Information'!$J$12,'Envelope Assumptions'!$A$2:$A$38,0),MATCH(D85,'Envelope Assumptions'!$Q$2:$S$2,0)),"; Nonswinging Doors: ",INDEX('Envelope Assumptions'!T$2:$V$38,MATCH('General Information'!$J$12,'Envelope Assumptions'!$A$2:$A$38,0),MATCH(D85,'Envelope Assumptions'!$T$2:$V$2,0))),0),"")</f>
        <v>Swinging Doors: U-factor of 0.700; Nonswinging Doors: U-factor of 1.450</v>
      </c>
      <c r="P85" s="1663" t="str">
        <f>IFERROR(IF(C85="New",CONCATENATE(INDEX('Envelope Assumptions'!AM$2:$AO$38,MATCH('General Information'!$J$12,'Envelope Assumptions'!$A$2:$A$38,0),MATCH(D85,'Envelope Assumptions'!$AM$2:$AO$2,0))," / ",INDEX('Envelope Assumptions'!AP$2:$AR$38,MATCH('General Information'!$J$12,'Envelope Assumptions'!$A$2:$A$38,0),MATCH(D85,'Envelope Assumptions'!$AP$2:$AR$2,0))),0),0)</f>
        <v>U-0.700 / U-1.450</v>
      </c>
      <c r="Q85" s="1657" t="str">
        <f>IF(AND($O85&lt;&gt;0,$D85&lt;&gt;""),$O85,"")</f>
        <v>Swinging Doors: U-factor of 0.700; Nonswinging Doors: U-factor of 1.450</v>
      </c>
      <c r="R85" s="1657" t="str">
        <f>IF(AND($P85&lt;&gt;0,$D85&lt;&gt;""),$P85,"")</f>
        <v>U-0.700 / U-1.450</v>
      </c>
      <c r="U85" s="2271"/>
    </row>
    <row r="86" spans="1:21" ht="33" customHeight="1" x14ac:dyDescent="0.25">
      <c r="A86" s="673"/>
      <c r="B86" s="1092" t="str">
        <f>GI_Project_Name</f>
        <v>SEA Building Addition</v>
      </c>
      <c r="C86" s="1096"/>
      <c r="D86" s="567"/>
      <c r="E86" s="349"/>
      <c r="F86" s="1658" t="str">
        <f t="shared" ref="F86" si="21">IF(AND($O86&lt;&gt;0,$D86&lt;&gt;""),$O86,"")</f>
        <v/>
      </c>
      <c r="G86" s="1659" t="str">
        <f t="shared" ref="G86" si="22">IF(AND($P86&lt;&gt;0,$D86&lt;&gt;""),$P86,"")</f>
        <v/>
      </c>
      <c r="H86" s="1092"/>
      <c r="I86" s="351"/>
      <c r="O86" s="1096">
        <f>IFERROR(IF(C86="New",CONCATENATE("Swinging Doors: ",INDEX('Envelope Assumptions'!Q$2:$S$38,MATCH('General Information'!$J$12,'Envelope Assumptions'!$A$2:$A$38,0),MATCH(D86,'Envelope Assumptions'!$Q$2:$S$2,0)),"; Nonswinging Doors: ",INDEX('Envelope Assumptions'!T$2:$V$38,MATCH('General Information'!$J$12,'Envelope Assumptions'!$A$2:$A$38,0),MATCH(D86,'Envelope Assumptions'!$T$2:$V$2,0))),0),"")</f>
        <v>0</v>
      </c>
      <c r="P86" s="792">
        <f>IFERROR(IF(C86="New",CONCATENATE(INDEX('Envelope Assumptions'!AM$2:$AO$38,MATCH('General Information'!$J$12,'Envelope Assumptions'!$A$2:$A$38,0),MATCH(D86,'Envelope Assumptions'!$AM$2:$AO$2,0))," / ",INDEX('Envelope Assumptions'!AP$2:$AR$38,MATCH('General Information'!$J$12,'Envelope Assumptions'!$A$2:$A$38,0),MATCH(D86,'Envelope Assumptions'!$AP$2:$AR$2,0))),0),0)</f>
        <v>0</v>
      </c>
      <c r="Q86" s="1657" t="str">
        <f t="shared" ref="Q86" si="23">IF(AND($O86&lt;&gt;0,$D86&lt;&gt;""),$O86,"")</f>
        <v/>
      </c>
      <c r="R86" s="1657" t="str">
        <f t="shared" ref="R86" si="24">IF(AND($P86&lt;&gt;0,$D86&lt;&gt;""),$P86,"")</f>
        <v/>
      </c>
      <c r="U86" s="2277"/>
    </row>
    <row r="87" spans="1:21" ht="40.5" customHeight="1" x14ac:dyDescent="0.25">
      <c r="A87" s="674" t="s">
        <v>1298</v>
      </c>
      <c r="B87" s="99"/>
      <c r="C87" s="99"/>
      <c r="D87" s="99"/>
      <c r="F87" s="99"/>
      <c r="H87" s="99"/>
      <c r="I87" s="99"/>
      <c r="J87" s="99"/>
      <c r="N87" s="99"/>
      <c r="Q87" s="99"/>
    </row>
    <row r="88" spans="1:21" s="1" customFormat="1" ht="20.25" customHeight="1" x14ac:dyDescent="0.25">
      <c r="A88" s="674" t="s">
        <v>1298</v>
      </c>
    </row>
    <row r="89" spans="1:21" ht="20.25" customHeight="1" x14ac:dyDescent="0.25">
      <c r="A89" s="674" t="s">
        <v>1298</v>
      </c>
      <c r="B89" s="106" t="s">
        <v>23</v>
      </c>
      <c r="C89" s="106"/>
      <c r="D89" s="106"/>
      <c r="E89" s="106"/>
      <c r="F89" s="106"/>
      <c r="G89" s="106"/>
      <c r="H89" s="106"/>
      <c r="I89" s="106"/>
      <c r="J89" s="106"/>
      <c r="K89" s="106"/>
      <c r="L89" s="106"/>
      <c r="M89" s="100"/>
      <c r="N89" s="100"/>
      <c r="Q89" s="99"/>
    </row>
    <row r="90" spans="1:21" ht="21" customHeight="1" x14ac:dyDescent="0.25">
      <c r="A90" s="674" t="s">
        <v>1298</v>
      </c>
      <c r="B90" s="2602"/>
      <c r="C90" s="2603"/>
      <c r="D90" s="2603"/>
      <c r="E90" s="2603"/>
      <c r="F90" s="2603"/>
      <c r="G90" s="2603"/>
      <c r="H90" s="2603"/>
      <c r="I90" s="2604"/>
      <c r="J90" s="2604"/>
      <c r="K90" s="2604"/>
      <c r="L90" s="2605"/>
      <c r="M90" s="100"/>
      <c r="N90" s="100"/>
      <c r="Q90" s="99"/>
    </row>
    <row r="91" spans="1:21" x14ac:dyDescent="0.25">
      <c r="B91" s="99"/>
      <c r="I91" s="106"/>
      <c r="J91" s="106"/>
      <c r="K91" s="106"/>
      <c r="L91" s="106"/>
    </row>
    <row r="92" spans="1:21" x14ac:dyDescent="0.25">
      <c r="B92" s="99"/>
    </row>
    <row r="93" spans="1:21" x14ac:dyDescent="0.25">
      <c r="B93" s="99"/>
    </row>
    <row r="94" spans="1:21" x14ac:dyDescent="0.25">
      <c r="B94" s="99"/>
    </row>
    <row r="95" spans="1:21" x14ac:dyDescent="0.25">
      <c r="B95" s="99"/>
    </row>
    <row r="96" spans="1:21" x14ac:dyDescent="0.25">
      <c r="B96" s="99"/>
    </row>
    <row r="97" spans="2:2" x14ac:dyDescent="0.25">
      <c r="B97" s="99"/>
    </row>
    <row r="98" spans="2:2" x14ac:dyDescent="0.25">
      <c r="B98" s="99"/>
    </row>
  </sheetData>
  <sheetProtection algorithmName="SHA-512" hashValue="RafXeJyn/MN/9MAGGOiSuMG+v2cBcWF45l+WxYoDuqcOJJbWdmSEOivfYsfzozJLh6YUEhf77oTGXjVlzVJDWw==" saltValue="M5NQDo+aWgz9YseP2rZuRA==" spinCount="100000" sheet="1" objects="1" scenarios="1"/>
  <customSheetViews>
    <customSheetView guid="{75D6F8CE-A4F4-4FDD-BA92-7996F9E19FA9}" scale="90" showGridLines="0" hiddenRows="1" topLeftCell="A27">
      <selection activeCell="G27" sqref="G27"/>
      <rowBreaks count="1" manualBreakCount="1">
        <brk id="82" min="1" max="9" man="1"/>
      </rowBreaks>
      <pageMargins left="0.25" right="0.25" top="0.75" bottom="0.75" header="0" footer="0"/>
      <pageSetup scale="74" fitToWidth="0" fitToHeight="0" orientation="portrait" r:id="rId1"/>
    </customSheetView>
  </customSheetViews>
  <mergeCells count="58">
    <mergeCell ref="B19:J19"/>
    <mergeCell ref="B5:K5"/>
    <mergeCell ref="B11:F11"/>
    <mergeCell ref="B13:F13"/>
    <mergeCell ref="B15:F15"/>
    <mergeCell ref="B17:J17"/>
    <mergeCell ref="B9:F9"/>
    <mergeCell ref="G9:L9"/>
    <mergeCell ref="G11:L11"/>
    <mergeCell ref="G13:L13"/>
    <mergeCell ref="G15:L15"/>
    <mergeCell ref="K17:L17"/>
    <mergeCell ref="K30:L30"/>
    <mergeCell ref="B30:D30"/>
    <mergeCell ref="B32:D32"/>
    <mergeCell ref="F32:G32"/>
    <mergeCell ref="H32:I32"/>
    <mergeCell ref="K32:L32"/>
    <mergeCell ref="B40:D40"/>
    <mergeCell ref="B50:D50"/>
    <mergeCell ref="B21:J21"/>
    <mergeCell ref="B23:J23"/>
    <mergeCell ref="F30:G30"/>
    <mergeCell ref="H30:I30"/>
    <mergeCell ref="H40:I40"/>
    <mergeCell ref="F40:G40"/>
    <mergeCell ref="B82:D82"/>
    <mergeCell ref="F82:G82"/>
    <mergeCell ref="H82:I82"/>
    <mergeCell ref="F50:G50"/>
    <mergeCell ref="H50:I50"/>
    <mergeCell ref="B60:D60"/>
    <mergeCell ref="B70:D70"/>
    <mergeCell ref="B80:D80"/>
    <mergeCell ref="B72:D72"/>
    <mergeCell ref="F72:G72"/>
    <mergeCell ref="F80:G80"/>
    <mergeCell ref="H80:I80"/>
    <mergeCell ref="F60:G60"/>
    <mergeCell ref="H60:I60"/>
    <mergeCell ref="F70:G70"/>
    <mergeCell ref="H70:I70"/>
    <mergeCell ref="H72:I72"/>
    <mergeCell ref="B90:L90"/>
    <mergeCell ref="K19:L19"/>
    <mergeCell ref="K21:L21"/>
    <mergeCell ref="K23:L23"/>
    <mergeCell ref="B25:L25"/>
    <mergeCell ref="B26:L26"/>
    <mergeCell ref="B52:D52"/>
    <mergeCell ref="F52:G52"/>
    <mergeCell ref="H52:I52"/>
    <mergeCell ref="B62:D62"/>
    <mergeCell ref="F62:G62"/>
    <mergeCell ref="H62:I62"/>
    <mergeCell ref="B42:D42"/>
    <mergeCell ref="F42:G42"/>
    <mergeCell ref="H42:I42"/>
  </mergeCells>
  <conditionalFormatting sqref="F34:G36">
    <cfRule type="expression" dxfId="79" priority="310" stopIfTrue="1">
      <formula>$C34&lt;&gt;"Existing"</formula>
    </cfRule>
  </conditionalFormatting>
  <conditionalFormatting sqref="F43:G46">
    <cfRule type="expression" dxfId="78" priority="5">
      <formula>$C43&lt;&gt;"Existing"</formula>
    </cfRule>
  </conditionalFormatting>
  <conditionalFormatting sqref="F54:G56">
    <cfRule type="expression" dxfId="77" priority="4">
      <formula>$C54&lt;&gt;"Existing"</formula>
    </cfRule>
  </conditionalFormatting>
  <conditionalFormatting sqref="F64:G66">
    <cfRule type="expression" dxfId="76" priority="3">
      <formula>$C64&lt;&gt;"Existing"</formula>
    </cfRule>
  </conditionalFormatting>
  <conditionalFormatting sqref="F74:G76">
    <cfRule type="expression" dxfId="75" priority="2">
      <formula>$C74&lt;&gt;"Existing"</formula>
    </cfRule>
  </conditionalFormatting>
  <conditionalFormatting sqref="F84:G86">
    <cfRule type="expression" dxfId="74" priority="1">
      <formula>$C84&lt;&gt;"Existing"</formula>
    </cfRule>
  </conditionalFormatting>
  <dataValidations count="14">
    <dataValidation type="list" allowBlank="1" showInputMessage="1" showErrorMessage="1" sqref="G13" xr:uid="{00000000-0002-0000-0700-000000000000}">
      <formula1>"Yes, N/A (no semiheated space)"</formula1>
    </dataValidation>
    <dataValidation type="list" allowBlank="1" showInputMessage="1" showErrorMessage="1" sqref="G15:G16" xr:uid="{00000000-0002-0000-0700-000001000000}">
      <formula1>"Yes, N/A (no opaque assemblies separating conditioned and semiheated/unconditioned space"</formula1>
    </dataValidation>
    <dataValidation type="list" allowBlank="1" showInputMessage="1" sqref="K19 K21 K17" xr:uid="{00000000-0002-0000-0700-000002000000}">
      <formula1>"Yes,No, N/A"</formula1>
    </dataValidation>
    <dataValidation type="list" allowBlank="1" showInputMessage="1" showErrorMessage="1" sqref="F22:G22 F20:G20 F18:G18" xr:uid="{00000000-0002-0000-0700-000003000000}">
      <formula1>"100% new construction, 100% existing renovation, Combination of new construction and existing renovation"</formula1>
    </dataValidation>
    <dataValidation type="list" allowBlank="1" showInputMessage="1" sqref="K23" xr:uid="{00000000-0002-0000-0700-000004000000}">
      <formula1>"Yes,No"</formula1>
    </dataValidation>
    <dataValidation allowBlank="1" showErrorMessage="1" sqref="E38:F39 G37:N39 B37:D39" xr:uid="{00000000-0002-0000-0700-000005000000}"/>
    <dataValidation allowBlank="1" showInputMessage="1" showErrorMessage="1" prompt="Enter the Proposed above-grade exterior wall construction assembly U-factor" sqref="J57 J77 J67" xr:uid="{00000000-0002-0000-0700-000006000000}"/>
    <dataValidation type="list" allowBlank="1" showInputMessage="1" showErrorMessage="1" sqref="G11:K11" xr:uid="{00000000-0002-0000-0700-000007000000}">
      <formula1>"No changes to space conditioning categories, Yes and the associated constructions in the Baseline case have been modeled using the Appendix G requirements for new construction, N/A (no existing space)"</formula1>
    </dataValidation>
    <dataValidation type="list" allowBlank="1" showInputMessage="1" showErrorMessage="1" sqref="C74:C76 C64:C66 C34:C36 C54:C56 C44:C46 C84:C86" xr:uid="{00000000-0002-0000-0700-000008000000}">
      <formula1>"New,Existing"</formula1>
    </dataValidation>
    <dataValidation type="list" errorStyle="warning" allowBlank="1" showErrorMessage="1" errorTitle="Invalid Entry" error="Please select Nonresidential, Residential, Semiheated, or Unconditioned" sqref="D74:D76 D64:D66 D34:D36 D54:D56 D44:D46 D84:D86" xr:uid="{00000000-0002-0000-0700-000009000000}">
      <formula1>"Nonresidential,Residential,Semiheated,Unconditioned"</formula1>
    </dataValidation>
    <dataValidation type="list" allowBlank="1" showInputMessage="1" showErrorMessage="1" sqref="G9:K9" xr:uid="{00000000-0002-0000-0700-00000A000000}">
      <formula1>"Yes,No,N/A (no residential spaces)"</formula1>
    </dataValidation>
    <dataValidation type="list" errorStyle="warning" allowBlank="1" showErrorMessage="1" errorTitle="Invalid Entry" error="Please verify that the Proposed roof has been modeled with a reflectivity of 0.30 or 0.45 as required by Table G3.1#5(Proposed)(c)" sqref="L34:L36" xr:uid="{00000000-0002-0000-0700-00000B000000}">
      <formula1>"Reflectance 0.3 / Emittance 0.9, Other (describe in additional notes below)"</formula1>
    </dataValidation>
    <dataValidation type="list" errorStyle="warning" allowBlank="1" showErrorMessage="1" errorTitle="Invalid Entry" error="Please verify that the Baseline roof has been modeled with a reflectivity of 0.3 as required by Table G3.1#5(Baseline)(e)" sqref="K34:K36" xr:uid="{00000000-0002-0000-0700-00000C000000}">
      <formula1>"Reflectance 0.55 / Emittance 0.75, Reflectance 0.3 / Emittance 0.9"</formula1>
    </dataValidation>
    <dataValidation type="list" allowBlank="1" showInputMessage="1" showErrorMessage="1" sqref="B74:B76 B34:B36 B44:B46 B64:B66 B54:B56 B84:B86" xr:uid="{00000000-0002-0000-0700-00000D000000}">
      <formula1>BuildingIDLookup</formula1>
    </dataValidation>
  </dataValidations>
  <pageMargins left="0.25" right="0.25" top="0.75" bottom="0.75" header="0" footer="0"/>
  <pageSetup scale="74" fitToWidth="0" fitToHeight="0" orientation="portrait" r:id="rId2"/>
  <rowBreaks count="1" manualBreakCount="1">
    <brk id="92" min="1" max="9" man="1"/>
  </rowBreaks>
  <drawing r:id="rId3"/>
  <legacyDrawing r:id="rId4"/>
  <mc:AlternateContent xmlns:mc="http://schemas.openxmlformats.org/markup-compatibility/2006">
    <mc:Choice Requires="x14">
      <controls>
        <mc:AlternateContent xmlns:mc="http://schemas.openxmlformats.org/markup-compatibility/2006">
          <mc:Choice Requires="x14">
            <control shapeId="20485" r:id="rId5" name="Button 5">
              <controlPr defaultSize="0" print="0" autoFill="0" autoPict="0" macro="[0]!addA">
                <anchor moveWithCells="1">
                  <from>
                    <xdr:col>0</xdr:col>
                    <xdr:colOff>152400</xdr:colOff>
                    <xdr:row>36</xdr:row>
                    <xdr:rowOff>171450</xdr:rowOff>
                  </from>
                  <to>
                    <xdr:col>2</xdr:col>
                    <xdr:colOff>361950</xdr:colOff>
                    <xdr:row>37</xdr:row>
                    <xdr:rowOff>0</xdr:rowOff>
                  </to>
                </anchor>
              </controlPr>
            </control>
          </mc:Choice>
        </mc:AlternateContent>
        <mc:AlternateContent xmlns:mc="http://schemas.openxmlformats.org/markup-compatibility/2006">
          <mc:Choice Requires="x14">
            <control shapeId="20525" r:id="rId6" name="Button 45">
              <controlPr defaultSize="0" print="0" autoFill="0" autoPict="0" macro="[0]!addB">
                <anchor moveWithCells="1">
                  <from>
                    <xdr:col>1</xdr:col>
                    <xdr:colOff>19050</xdr:colOff>
                    <xdr:row>46</xdr:row>
                    <xdr:rowOff>133350</xdr:rowOff>
                  </from>
                  <to>
                    <xdr:col>2</xdr:col>
                    <xdr:colOff>419100</xdr:colOff>
                    <xdr:row>46</xdr:row>
                    <xdr:rowOff>400050</xdr:rowOff>
                  </to>
                </anchor>
              </controlPr>
            </control>
          </mc:Choice>
        </mc:AlternateContent>
        <mc:AlternateContent xmlns:mc="http://schemas.openxmlformats.org/markup-compatibility/2006">
          <mc:Choice Requires="x14">
            <control shapeId="20526" r:id="rId7" name="Button 46">
              <controlPr defaultSize="0" print="0" autoFill="0" autoPict="0" macro="[0]!addC">
                <anchor moveWithCells="1">
                  <from>
                    <xdr:col>1</xdr:col>
                    <xdr:colOff>19050</xdr:colOff>
                    <xdr:row>56</xdr:row>
                    <xdr:rowOff>133350</xdr:rowOff>
                  </from>
                  <to>
                    <xdr:col>2</xdr:col>
                    <xdr:colOff>419100</xdr:colOff>
                    <xdr:row>56</xdr:row>
                    <xdr:rowOff>400050</xdr:rowOff>
                  </to>
                </anchor>
              </controlPr>
            </control>
          </mc:Choice>
        </mc:AlternateContent>
        <mc:AlternateContent xmlns:mc="http://schemas.openxmlformats.org/markup-compatibility/2006">
          <mc:Choice Requires="x14">
            <control shapeId="20527" r:id="rId8" name="Button 47">
              <controlPr defaultSize="0" print="0" autoFill="0" autoPict="0" macro="[0]!addD">
                <anchor moveWithCells="1">
                  <from>
                    <xdr:col>0</xdr:col>
                    <xdr:colOff>171450</xdr:colOff>
                    <xdr:row>66</xdr:row>
                    <xdr:rowOff>133350</xdr:rowOff>
                  </from>
                  <to>
                    <xdr:col>2</xdr:col>
                    <xdr:colOff>400050</xdr:colOff>
                    <xdr:row>66</xdr:row>
                    <xdr:rowOff>400050</xdr:rowOff>
                  </to>
                </anchor>
              </controlPr>
            </control>
          </mc:Choice>
        </mc:AlternateContent>
        <mc:AlternateContent xmlns:mc="http://schemas.openxmlformats.org/markup-compatibility/2006">
          <mc:Choice Requires="x14">
            <control shapeId="20529" r:id="rId9" name="Button 49">
              <controlPr defaultSize="0" print="0" autoFill="0" autoPict="0" macro="[0]!addE">
                <anchor moveWithCells="1">
                  <from>
                    <xdr:col>1</xdr:col>
                    <xdr:colOff>0</xdr:colOff>
                    <xdr:row>76</xdr:row>
                    <xdr:rowOff>133350</xdr:rowOff>
                  </from>
                  <to>
                    <xdr:col>2</xdr:col>
                    <xdr:colOff>400050</xdr:colOff>
                    <xdr:row>76</xdr:row>
                    <xdr:rowOff>400050</xdr:rowOff>
                  </to>
                </anchor>
              </controlPr>
            </control>
          </mc:Choice>
        </mc:AlternateContent>
        <mc:AlternateContent xmlns:mc="http://schemas.openxmlformats.org/markup-compatibility/2006">
          <mc:Choice Requires="x14">
            <control shapeId="20530" r:id="rId10" name="Button 50">
              <controlPr defaultSize="0" print="0" autoFill="0" autoPict="0" macro="[0]!addF">
                <anchor moveWithCells="1">
                  <from>
                    <xdr:col>0</xdr:col>
                    <xdr:colOff>152400</xdr:colOff>
                    <xdr:row>86</xdr:row>
                    <xdr:rowOff>95250</xdr:rowOff>
                  </from>
                  <to>
                    <xdr:col>2</xdr:col>
                    <xdr:colOff>361950</xdr:colOff>
                    <xdr:row>86</xdr:row>
                    <xdr:rowOff>381000</xdr:rowOff>
                  </to>
                </anchor>
              </controlPr>
            </control>
          </mc:Choice>
        </mc:AlternateContent>
        <mc:AlternateContent xmlns:mc="http://schemas.openxmlformats.org/markup-compatibility/2006">
          <mc:Choice Requires="x14">
            <control shapeId="20560" r:id="rId11" name="Button 80">
              <controlPr defaultSize="0" print="0" autoFill="0" autoPict="0" macro="[0]!DeleteSome">
                <anchor moveWithCells="1">
                  <from>
                    <xdr:col>2</xdr:col>
                    <xdr:colOff>428625</xdr:colOff>
                    <xdr:row>36</xdr:row>
                    <xdr:rowOff>180975</xdr:rowOff>
                  </from>
                  <to>
                    <xdr:col>3</xdr:col>
                    <xdr:colOff>819150</xdr:colOff>
                    <xdr:row>37</xdr:row>
                    <xdr:rowOff>0</xdr:rowOff>
                  </to>
                </anchor>
              </controlPr>
            </control>
          </mc:Choice>
        </mc:AlternateContent>
        <mc:AlternateContent xmlns:mc="http://schemas.openxmlformats.org/markup-compatibility/2006">
          <mc:Choice Requires="x14">
            <control shapeId="20561" r:id="rId12" name="Button 81">
              <controlPr defaultSize="0" print="0" autoFill="0" autoPict="0" macro="[0]!DeleteSome">
                <anchor moveWithCells="1">
                  <from>
                    <xdr:col>2</xdr:col>
                    <xdr:colOff>476250</xdr:colOff>
                    <xdr:row>46</xdr:row>
                    <xdr:rowOff>133350</xdr:rowOff>
                  </from>
                  <to>
                    <xdr:col>4</xdr:col>
                    <xdr:colOff>28575</xdr:colOff>
                    <xdr:row>46</xdr:row>
                    <xdr:rowOff>400050</xdr:rowOff>
                  </to>
                </anchor>
              </controlPr>
            </control>
          </mc:Choice>
        </mc:AlternateContent>
        <mc:AlternateContent xmlns:mc="http://schemas.openxmlformats.org/markup-compatibility/2006">
          <mc:Choice Requires="x14">
            <control shapeId="20562" r:id="rId13" name="Button 82">
              <controlPr defaultSize="0" print="0" autoFill="0" autoPict="0" macro="[0]!DeleteSome">
                <anchor moveWithCells="1">
                  <from>
                    <xdr:col>2</xdr:col>
                    <xdr:colOff>495300</xdr:colOff>
                    <xdr:row>56</xdr:row>
                    <xdr:rowOff>133350</xdr:rowOff>
                  </from>
                  <to>
                    <xdr:col>4</xdr:col>
                    <xdr:colOff>38100</xdr:colOff>
                    <xdr:row>56</xdr:row>
                    <xdr:rowOff>400050</xdr:rowOff>
                  </to>
                </anchor>
              </controlPr>
            </control>
          </mc:Choice>
        </mc:AlternateContent>
        <mc:AlternateContent xmlns:mc="http://schemas.openxmlformats.org/markup-compatibility/2006">
          <mc:Choice Requires="x14">
            <control shapeId="20563" r:id="rId14" name="Button 83">
              <controlPr defaultSize="0" print="0" autoFill="0" autoPict="0" macro="[0]!DeleteSome">
                <anchor moveWithCells="1">
                  <from>
                    <xdr:col>2</xdr:col>
                    <xdr:colOff>457200</xdr:colOff>
                    <xdr:row>66</xdr:row>
                    <xdr:rowOff>133350</xdr:rowOff>
                  </from>
                  <to>
                    <xdr:col>4</xdr:col>
                    <xdr:colOff>0</xdr:colOff>
                    <xdr:row>66</xdr:row>
                    <xdr:rowOff>400050</xdr:rowOff>
                  </to>
                </anchor>
              </controlPr>
            </control>
          </mc:Choice>
        </mc:AlternateContent>
        <mc:AlternateContent xmlns:mc="http://schemas.openxmlformats.org/markup-compatibility/2006">
          <mc:Choice Requires="x14">
            <control shapeId="20564" r:id="rId15" name="Button 84">
              <controlPr defaultSize="0" print="0" autoFill="0" autoPict="0" macro="[0]!DeleteSome">
                <anchor moveWithCells="1">
                  <from>
                    <xdr:col>2</xdr:col>
                    <xdr:colOff>476250</xdr:colOff>
                    <xdr:row>76</xdr:row>
                    <xdr:rowOff>133350</xdr:rowOff>
                  </from>
                  <to>
                    <xdr:col>4</xdr:col>
                    <xdr:colOff>19050</xdr:colOff>
                    <xdr:row>76</xdr:row>
                    <xdr:rowOff>400050</xdr:rowOff>
                  </to>
                </anchor>
              </controlPr>
            </control>
          </mc:Choice>
        </mc:AlternateContent>
        <mc:AlternateContent xmlns:mc="http://schemas.openxmlformats.org/markup-compatibility/2006">
          <mc:Choice Requires="x14">
            <control shapeId="20565" r:id="rId16" name="Button 85">
              <controlPr defaultSize="0" print="0" autoFill="0" autoPict="0" macro="[0]!DeleteSome">
                <anchor moveWithCells="1">
                  <from>
                    <xdr:col>2</xdr:col>
                    <xdr:colOff>438150</xdr:colOff>
                    <xdr:row>86</xdr:row>
                    <xdr:rowOff>114300</xdr:rowOff>
                  </from>
                  <to>
                    <xdr:col>3</xdr:col>
                    <xdr:colOff>828675</xdr:colOff>
                    <xdr:row>86</xdr:row>
                    <xdr:rowOff>381000</xdr:rowOff>
                  </to>
                </anchor>
              </controlPr>
            </control>
          </mc:Choice>
        </mc:AlternateContent>
        <mc:AlternateContent xmlns:mc="http://schemas.openxmlformats.org/markup-compatibility/2006">
          <mc:Choice Requires="x14">
            <control shapeId="20567" r:id="rId17" name="Button 87">
              <controlPr defaultSize="0" print="0" autoFill="0" autoPict="0" macro="[0]!Copy_Default_OA_OBEC_Table">
                <anchor moveWithCells="1">
                  <from>
                    <xdr:col>10</xdr:col>
                    <xdr:colOff>428625</xdr:colOff>
                    <xdr:row>36</xdr:row>
                    <xdr:rowOff>180975</xdr:rowOff>
                  </from>
                  <to>
                    <xdr:col>11</xdr:col>
                    <xdr:colOff>819150</xdr:colOff>
                    <xdr:row>37</xdr:row>
                    <xdr:rowOff>0</xdr:rowOff>
                  </to>
                </anchor>
              </controlPr>
            </control>
          </mc:Choice>
        </mc:AlternateContent>
        <mc:AlternateContent xmlns:mc="http://schemas.openxmlformats.org/markup-compatibility/2006">
          <mc:Choice Requires="x14">
            <control shapeId="20570" r:id="rId18" name="Button 90">
              <controlPr defaultSize="0" print="0" autoFill="0" autoPict="0" macro="[0]!Copy_Default_OA_AGEWC_Table">
                <anchor moveWithCells="1">
                  <from>
                    <xdr:col>7</xdr:col>
                    <xdr:colOff>2276475</xdr:colOff>
                    <xdr:row>46</xdr:row>
                    <xdr:rowOff>133350</xdr:rowOff>
                  </from>
                  <to>
                    <xdr:col>8</xdr:col>
                    <xdr:colOff>942975</xdr:colOff>
                    <xdr:row>46</xdr:row>
                    <xdr:rowOff>400050</xdr:rowOff>
                  </to>
                </anchor>
              </controlPr>
            </control>
          </mc:Choice>
        </mc:AlternateContent>
        <mc:AlternateContent xmlns:mc="http://schemas.openxmlformats.org/markup-compatibility/2006">
          <mc:Choice Requires="x14">
            <control shapeId="20572" r:id="rId19" name="Button 92">
              <controlPr defaultSize="0" print="0" autoFill="0" autoPict="0" macro="[0]!Copy_Default_OA_BGEWC_Table">
                <anchor moveWithCells="1">
                  <from>
                    <xdr:col>7</xdr:col>
                    <xdr:colOff>2190750</xdr:colOff>
                    <xdr:row>56</xdr:row>
                    <xdr:rowOff>133350</xdr:rowOff>
                  </from>
                  <to>
                    <xdr:col>8</xdr:col>
                    <xdr:colOff>847725</xdr:colOff>
                    <xdr:row>56</xdr:row>
                    <xdr:rowOff>400050</xdr:rowOff>
                  </to>
                </anchor>
              </controlPr>
            </control>
          </mc:Choice>
        </mc:AlternateContent>
        <mc:AlternateContent xmlns:mc="http://schemas.openxmlformats.org/markup-compatibility/2006">
          <mc:Choice Requires="x14">
            <control shapeId="20573" r:id="rId20" name="Button 93">
              <controlPr defaultSize="0" print="0" autoFill="0" autoPict="0" macro="[0]!Copy_Default_OA_EFC_Table">
                <anchor moveWithCells="1">
                  <from>
                    <xdr:col>7</xdr:col>
                    <xdr:colOff>2286000</xdr:colOff>
                    <xdr:row>66</xdr:row>
                    <xdr:rowOff>133350</xdr:rowOff>
                  </from>
                  <to>
                    <xdr:col>8</xdr:col>
                    <xdr:colOff>942975</xdr:colOff>
                    <xdr:row>66</xdr:row>
                    <xdr:rowOff>400050</xdr:rowOff>
                  </to>
                </anchor>
              </controlPr>
            </control>
          </mc:Choice>
        </mc:AlternateContent>
        <mc:AlternateContent xmlns:mc="http://schemas.openxmlformats.org/markup-compatibility/2006">
          <mc:Choice Requires="x14">
            <control shapeId="20575" r:id="rId21" name="Button 95">
              <controlPr defaultSize="0" print="0" autoFill="0" autoPict="0" macro="[0]!Copy_Default_OA_SOGF_Table">
                <anchor moveWithCells="1">
                  <from>
                    <xdr:col>7</xdr:col>
                    <xdr:colOff>2314575</xdr:colOff>
                    <xdr:row>76</xdr:row>
                    <xdr:rowOff>133350</xdr:rowOff>
                  </from>
                  <to>
                    <xdr:col>8</xdr:col>
                    <xdr:colOff>971550</xdr:colOff>
                    <xdr:row>76</xdr:row>
                    <xdr:rowOff>400050</xdr:rowOff>
                  </to>
                </anchor>
              </controlPr>
            </control>
          </mc:Choice>
        </mc:AlternateContent>
        <mc:AlternateContent xmlns:mc="http://schemas.openxmlformats.org/markup-compatibility/2006">
          <mc:Choice Requires="x14">
            <control shapeId="20576" r:id="rId22" name="Button 96">
              <controlPr defaultSize="0" print="0" autoFill="0" autoPict="0" macro="[0]!Copy_Default_OA_OD_Table">
                <anchor moveWithCells="1">
                  <from>
                    <xdr:col>7</xdr:col>
                    <xdr:colOff>2286000</xdr:colOff>
                    <xdr:row>86</xdr:row>
                    <xdr:rowOff>114300</xdr:rowOff>
                  </from>
                  <to>
                    <xdr:col>8</xdr:col>
                    <xdr:colOff>952500</xdr:colOff>
                    <xdr:row>86</xdr:row>
                    <xdr:rowOff>381000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ErrorMessage="1" xr:uid="{00000000-0002-0000-0700-00000E000000}">
          <x14:formula1>
            <xm:f>Instructions!$I$43:$I$60</xm:f>
          </x14:formula1>
          <xm:sqref>K23</xm:sqref>
        </x14:dataValidation>
        <x14:dataValidation type="list" allowBlank="1" showInputMessage="1" showErrorMessage="1" xr:uid="{00000000-0002-0000-0700-00000F000000}">
          <x14:formula1>
            <xm:f>Instructions!$I$33:$I$34</xm:f>
          </x14:formula1>
          <xm:sqref>C74:C76</xm:sqref>
        </x14:dataValidation>
        <x14:dataValidation type="list" errorStyle="warning" allowBlank="1" showErrorMessage="1" errorTitle="Invalid Entry" error="Please select Nonresidential, Residential, Semiheated, or Unconditioned" xr:uid="{00000000-0002-0000-0700-000010000000}">
          <x14:formula1>
            <xm:f>Instructions!$I$37:$I$40</xm:f>
          </x14:formula1>
          <xm:sqref>D74:D76</xm:sqref>
        </x14:dataValidation>
      </x14:dataValidations>
    </ex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dimension ref="A1:Z73"/>
  <sheetViews>
    <sheetView showGridLines="0" zoomScale="90" zoomScaleNormal="90" zoomScaleSheetLayoutView="120" zoomScalePageLayoutView="90" workbookViewId="0">
      <selection activeCell="K21" sqref="K21:K22"/>
    </sheetView>
  </sheetViews>
  <sheetFormatPr defaultColWidth="8.7109375" defaultRowHeight="12.75" outlineLevelCol="1" x14ac:dyDescent="0.25"/>
  <cols>
    <col min="1" max="1" width="2.5703125" style="337" customWidth="1"/>
    <col min="2" max="2" width="14.42578125" style="391" customWidth="1"/>
    <col min="3" max="3" width="14.7109375" style="391" customWidth="1"/>
    <col min="4" max="4" width="13" style="391" customWidth="1"/>
    <col min="5" max="5" width="2.42578125" style="337" customWidth="1"/>
    <col min="6" max="6" width="30.140625" style="391" customWidth="1"/>
    <col min="7" max="7" width="14.7109375" style="391" customWidth="1"/>
    <col min="8" max="8" width="15.5703125" style="337" customWidth="1"/>
    <col min="9" max="9" width="30.140625" style="391" customWidth="1"/>
    <col min="10" max="11" width="14.7109375" style="391" customWidth="1"/>
    <col min="12" max="12" width="9.42578125" style="337" customWidth="1"/>
    <col min="13" max="13" width="2.7109375" style="994" customWidth="1"/>
    <col min="14" max="14" width="2.7109375" style="337" customWidth="1"/>
    <col min="15" max="16" width="10.7109375" style="337" hidden="1" customWidth="1" outlineLevel="1"/>
    <col min="17" max="19" width="8.7109375" style="337" hidden="1" customWidth="1" outlineLevel="1"/>
    <col min="20" max="20" width="2.7109375" style="337" customWidth="1" collapsed="1"/>
    <col min="21" max="21" width="2.7109375" style="337" customWidth="1"/>
    <col min="22" max="22" width="50.7109375" style="337" customWidth="1"/>
    <col min="23" max="28" width="8.7109375" style="337" customWidth="1"/>
    <col min="29" max="16384" width="8.7109375" style="337"/>
  </cols>
  <sheetData>
    <row r="1" spans="1:22" x14ac:dyDescent="0.25">
      <c r="A1" s="819" t="s">
        <v>1298</v>
      </c>
      <c r="B1" s="386"/>
      <c r="C1" s="386"/>
      <c r="D1" s="386"/>
      <c r="E1" s="386"/>
      <c r="F1" s="385"/>
      <c r="G1" s="386"/>
      <c r="H1" s="385"/>
      <c r="I1" s="385"/>
      <c r="J1" s="386"/>
      <c r="K1" s="386"/>
      <c r="L1" s="386"/>
      <c r="M1" s="1001"/>
      <c r="N1" s="387"/>
      <c r="O1" s="387"/>
      <c r="P1" s="387"/>
    </row>
    <row r="2" spans="1:22" ht="24.75" customHeight="1" x14ac:dyDescent="0.25">
      <c r="A2" s="819" t="s">
        <v>1298</v>
      </c>
      <c r="B2" s="44" t="s">
        <v>1032</v>
      </c>
      <c r="C2" s="49"/>
      <c r="D2" s="49"/>
      <c r="E2" s="49"/>
      <c r="F2" s="49"/>
      <c r="G2" s="49"/>
      <c r="H2" s="49"/>
      <c r="I2" s="49"/>
      <c r="J2" s="49"/>
      <c r="K2" s="49"/>
      <c r="L2" s="49"/>
      <c r="M2" s="1002"/>
      <c r="N2" s="79"/>
      <c r="O2" s="79"/>
      <c r="P2" s="79"/>
    </row>
    <row r="3" spans="1:22" ht="15" customHeight="1" x14ac:dyDescent="0.25">
      <c r="A3" s="819" t="s">
        <v>1298</v>
      </c>
      <c r="B3" s="386"/>
      <c r="C3" s="386"/>
      <c r="D3" s="386"/>
      <c r="E3" s="386"/>
      <c r="F3" s="385"/>
      <c r="G3" s="386"/>
      <c r="H3" s="385"/>
      <c r="I3" s="385"/>
      <c r="J3" s="386"/>
      <c r="K3" s="386"/>
      <c r="L3" s="386"/>
      <c r="M3" s="1001"/>
      <c r="N3" s="387"/>
      <c r="O3" s="387"/>
      <c r="P3" s="387"/>
    </row>
    <row r="4" spans="1:22" s="388" customFormat="1" ht="21.75" customHeight="1" x14ac:dyDescent="0.2">
      <c r="A4" s="675" t="s">
        <v>1298</v>
      </c>
      <c r="K4" s="389"/>
      <c r="L4" s="389"/>
      <c r="M4" s="1003"/>
      <c r="N4" s="389"/>
      <c r="O4" s="389"/>
      <c r="P4" s="389"/>
    </row>
    <row r="5" spans="1:22" ht="30" customHeight="1" x14ac:dyDescent="0.2">
      <c r="A5" s="675" t="s">
        <v>1298</v>
      </c>
      <c r="B5" s="28" t="s">
        <v>1503</v>
      </c>
      <c r="C5" s="33"/>
      <c r="D5" s="33"/>
      <c r="E5" s="33"/>
      <c r="F5" s="33"/>
      <c r="G5" s="33"/>
      <c r="H5" s="33"/>
      <c r="I5" s="33"/>
      <c r="J5" s="33"/>
      <c r="K5" s="33"/>
      <c r="L5" s="390"/>
      <c r="M5" s="1004"/>
      <c r="N5" s="390"/>
      <c r="P5" s="389"/>
    </row>
    <row r="6" spans="1:22" ht="40.5" customHeight="1" x14ac:dyDescent="0.2">
      <c r="A6" s="675" t="s">
        <v>1298</v>
      </c>
      <c r="B6" s="2626" t="s">
        <v>1053</v>
      </c>
      <c r="C6" s="2626"/>
      <c r="D6" s="2626"/>
      <c r="E6" s="2626"/>
      <c r="F6" s="2626"/>
      <c r="G6" s="2626"/>
      <c r="H6" s="2626"/>
      <c r="I6" s="2626"/>
      <c r="J6" s="2626"/>
      <c r="K6" s="43"/>
      <c r="P6" s="389"/>
      <c r="V6" s="887" t="s">
        <v>2090</v>
      </c>
    </row>
    <row r="7" spans="1:22" ht="21" customHeight="1" x14ac:dyDescent="0.2">
      <c r="A7" s="675"/>
      <c r="B7" s="2639" t="s">
        <v>1961</v>
      </c>
      <c r="C7" s="2639"/>
      <c r="D7" s="2639"/>
      <c r="E7" s="2639"/>
      <c r="F7" s="2639"/>
      <c r="G7" s="2639"/>
      <c r="H7" s="2639"/>
      <c r="I7" s="2639"/>
      <c r="J7" s="2639"/>
      <c r="K7" s="2639"/>
      <c r="L7" s="996" t="s">
        <v>25</v>
      </c>
      <c r="M7" s="1581"/>
      <c r="P7" s="389"/>
      <c r="V7" s="996"/>
    </row>
    <row r="8" spans="1:22" ht="21" customHeight="1" x14ac:dyDescent="0.2">
      <c r="A8" s="675"/>
      <c r="B8" s="2639" t="s">
        <v>1962</v>
      </c>
      <c r="C8" s="2639"/>
      <c r="D8" s="2639"/>
      <c r="E8" s="2639"/>
      <c r="F8" s="2639"/>
      <c r="G8" s="2639"/>
      <c r="H8" s="2639"/>
      <c r="I8" s="2639"/>
      <c r="J8" s="2639"/>
      <c r="K8" s="2639"/>
      <c r="L8" s="996" t="s">
        <v>25</v>
      </c>
      <c r="M8" s="1581"/>
      <c r="P8" s="389"/>
      <c r="V8" s="996"/>
    </row>
    <row r="9" spans="1:22" ht="21" customHeight="1" x14ac:dyDescent="0.2">
      <c r="A9" s="675"/>
      <c r="B9" s="2639" t="s">
        <v>1757</v>
      </c>
      <c r="C9" s="2639"/>
      <c r="D9" s="2639"/>
      <c r="E9" s="2639"/>
      <c r="F9" s="2639"/>
      <c r="G9" s="2639"/>
      <c r="H9" s="2639"/>
      <c r="I9" s="2639"/>
      <c r="J9" s="2639"/>
      <c r="K9" s="2639"/>
      <c r="L9" s="996" t="s">
        <v>25</v>
      </c>
      <c r="M9" s="1581"/>
      <c r="P9" s="389"/>
      <c r="V9" s="996"/>
    </row>
    <row r="10" spans="1:22" ht="33" customHeight="1" x14ac:dyDescent="0.2">
      <c r="A10" s="1097"/>
      <c r="B10" s="2639" t="str">
        <f>IF(RatingSystem_IDC,CONCATENATE("All existing fenestration has been modeled as required by Table 5.5 for the project's climate zone and Table G3.1#5(Proposed)(c)  and (d)"," and are not modeled using Exception (f) per Rating system requirements"),CONCATENATE("All baseline existing fenestration for spaces with unchanged space conditioning categories has been modeled using existing conditions prior to revisions that are part of the project scope of work."))</f>
        <v>All baseline existing fenestration for spaces with unchanged space conditioning categories has been modeled using existing conditions prior to revisions that are part of the project scope of work.</v>
      </c>
      <c r="C10" s="2639"/>
      <c r="D10" s="2639"/>
      <c r="E10" s="2639"/>
      <c r="F10" s="2639"/>
      <c r="G10" s="2639"/>
      <c r="H10" s="2639"/>
      <c r="I10" s="2639"/>
      <c r="J10" s="2639"/>
      <c r="K10" s="2639"/>
      <c r="L10" s="996" t="s">
        <v>1068</v>
      </c>
      <c r="M10" s="1581"/>
      <c r="P10" s="389"/>
      <c r="V10" s="996"/>
    </row>
    <row r="11" spans="1:22" ht="21" customHeight="1" x14ac:dyDescent="0.2">
      <c r="A11" s="675"/>
      <c r="B11" s="2656" t="s">
        <v>1756</v>
      </c>
      <c r="C11" s="2656"/>
      <c r="D11" s="2656"/>
      <c r="E11" s="2656"/>
      <c r="F11" s="2656"/>
      <c r="G11" s="2656"/>
      <c r="H11" s="2656"/>
      <c r="I11" s="2656"/>
      <c r="J11" s="2656"/>
      <c r="K11" s="2656"/>
      <c r="L11" s="996" t="s">
        <v>25</v>
      </c>
      <c r="M11" s="1581"/>
      <c r="P11" s="389"/>
      <c r="V11" s="996"/>
    </row>
    <row r="12" spans="1:22" ht="17.25" customHeight="1" x14ac:dyDescent="0.2">
      <c r="A12" s="675"/>
      <c r="B12" s="896"/>
      <c r="C12" s="896"/>
      <c r="D12" s="896"/>
      <c r="E12" s="896"/>
      <c r="F12" s="896"/>
      <c r="G12" s="896"/>
      <c r="H12" s="896"/>
      <c r="I12" s="896"/>
      <c r="J12" s="896"/>
      <c r="K12" s="896"/>
      <c r="L12" s="1582"/>
      <c r="M12" s="995"/>
      <c r="P12" s="389"/>
    </row>
    <row r="13" spans="1:22" ht="56.25" customHeight="1" x14ac:dyDescent="0.2">
      <c r="A13" s="675"/>
      <c r="B13" s="2652" t="s">
        <v>1594</v>
      </c>
      <c r="C13" s="2652"/>
      <c r="D13" s="2652"/>
      <c r="E13" s="2652"/>
      <c r="F13" s="2652"/>
      <c r="G13" s="2652"/>
      <c r="H13" s="2652"/>
      <c r="I13" s="2652"/>
      <c r="J13" s="2652"/>
      <c r="K13" s="2652"/>
      <c r="L13" s="2652"/>
      <c r="M13" s="1000"/>
      <c r="P13" s="389"/>
    </row>
    <row r="14" spans="1:22" ht="40.5" customHeight="1" x14ac:dyDescent="0.2">
      <c r="A14" s="675"/>
      <c r="B14" s="2653"/>
      <c r="C14" s="2654"/>
      <c r="D14" s="2654"/>
      <c r="E14" s="2654"/>
      <c r="F14" s="2654"/>
      <c r="G14" s="2654"/>
      <c r="H14" s="2654"/>
      <c r="I14" s="2654"/>
      <c r="J14" s="2654"/>
      <c r="K14" s="2654"/>
      <c r="L14" s="2655"/>
      <c r="M14" s="1005"/>
      <c r="P14" s="389"/>
      <c r="V14" s="996"/>
    </row>
    <row r="15" spans="1:22" ht="17.25" customHeight="1" x14ac:dyDescent="0.2">
      <c r="A15" s="675"/>
      <c r="B15" s="973"/>
      <c r="C15" s="973"/>
      <c r="D15" s="972"/>
      <c r="E15" s="972"/>
      <c r="F15" s="972"/>
      <c r="G15" s="972"/>
      <c r="H15" s="972"/>
      <c r="I15" s="972"/>
      <c r="J15" s="972"/>
      <c r="K15" s="43"/>
      <c r="P15" s="389"/>
    </row>
    <row r="16" spans="1:22" ht="40.5" customHeight="1" x14ac:dyDescent="0.2">
      <c r="A16" s="675" t="s">
        <v>1298</v>
      </c>
      <c r="B16" s="2647" t="s">
        <v>1357</v>
      </c>
      <c r="C16" s="2648"/>
      <c r="D16" s="1790" t="str">
        <f>'Multiple Buildings Details'!B24</f>
        <v>SEA Building Addition</v>
      </c>
      <c r="E16" s="945"/>
      <c r="F16" s="945"/>
      <c r="G16" s="945"/>
      <c r="H16" s="945"/>
      <c r="I16" s="946"/>
      <c r="J16" s="946"/>
      <c r="K16" s="43"/>
      <c r="P16" s="389"/>
    </row>
    <row r="17" spans="1:22" ht="26.25" customHeight="1" x14ac:dyDescent="0.2">
      <c r="A17" s="675" t="s">
        <v>1298</v>
      </c>
      <c r="B17" s="2649" t="s">
        <v>0</v>
      </c>
      <c r="C17" s="2650"/>
      <c r="D17" s="2651"/>
      <c r="E17" s="982"/>
      <c r="F17" s="2644" t="s">
        <v>347</v>
      </c>
      <c r="G17" s="2645"/>
      <c r="H17" s="2645"/>
      <c r="I17" s="2645" t="s">
        <v>348</v>
      </c>
      <c r="J17" s="2645"/>
      <c r="K17" s="2646"/>
      <c r="L17" s="997"/>
      <c r="M17" s="1004"/>
    </row>
    <row r="18" spans="1:22" ht="102" customHeight="1" x14ac:dyDescent="0.2">
      <c r="A18" s="1097"/>
      <c r="B18" s="2681" t="s">
        <v>1703</v>
      </c>
      <c r="C18" s="2682"/>
      <c r="D18" s="2683"/>
      <c r="E18" s="1164"/>
      <c r="F18" s="2684" t="s">
        <v>1717</v>
      </c>
      <c r="G18" s="2685"/>
      <c r="H18" s="2686"/>
      <c r="I18" s="2684" t="s">
        <v>1718</v>
      </c>
      <c r="J18" s="2685"/>
      <c r="K18" s="2686"/>
      <c r="L18" s="998"/>
      <c r="M18" s="1004"/>
    </row>
    <row r="19" spans="1:22" ht="21.75" customHeight="1" x14ac:dyDescent="0.2">
      <c r="A19" s="675" t="s">
        <v>1298</v>
      </c>
      <c r="B19" s="2687" t="s">
        <v>916</v>
      </c>
      <c r="C19" s="2687"/>
      <c r="D19" s="2526" t="s">
        <v>19</v>
      </c>
      <c r="E19" s="983"/>
      <c r="F19" s="2679" t="str">
        <f>CONCATENATE("Above-Grade Wall Area
",IF(SI_IP_Units="IP"," (sq ft)"," (sq m)"))</f>
        <v>Above-Grade Wall Area
 (sq ft)</v>
      </c>
      <c r="G19" s="2657" t="s">
        <v>13</v>
      </c>
      <c r="H19" s="2657"/>
      <c r="I19" s="2679" t="str">
        <f>CONCATENATE("Above-Grade Wall Area
",IF(SI_IP_Units="IP"," (sq ft)"," (sq m)"))</f>
        <v>Above-Grade Wall Area
 (sq ft)</v>
      </c>
      <c r="J19" s="2657" t="s">
        <v>13</v>
      </c>
      <c r="K19" s="2658"/>
      <c r="L19" s="998"/>
      <c r="M19" s="1004"/>
    </row>
    <row r="20" spans="1:22" ht="21.75" customHeight="1" x14ac:dyDescent="0.2">
      <c r="A20" s="675" t="s">
        <v>1298</v>
      </c>
      <c r="B20" s="2687"/>
      <c r="C20" s="2687"/>
      <c r="D20" s="2526"/>
      <c r="E20" s="983"/>
      <c r="F20" s="2680"/>
      <c r="G20" s="308" t="str">
        <f>IF(SI_IP_Units="IP"," (sq ft)"," (sq m)")</f>
        <v xml:space="preserve"> (sq ft)</v>
      </c>
      <c r="H20" s="308" t="s">
        <v>20</v>
      </c>
      <c r="I20" s="2680"/>
      <c r="J20" s="747" t="str">
        <f>IF(SI_IP_Units="IP"," (sq ft)"," (sq m)")</f>
        <v xml:space="preserve"> (sq ft)</v>
      </c>
      <c r="K20" s="311" t="s">
        <v>20</v>
      </c>
      <c r="L20" s="998"/>
      <c r="M20" s="1004"/>
      <c r="O20" s="1526" t="s">
        <v>1357</v>
      </c>
      <c r="P20" s="1526" t="s">
        <v>1839</v>
      </c>
      <c r="Q20" s="1526" t="s">
        <v>1840</v>
      </c>
      <c r="R20" s="887" t="s">
        <v>2005</v>
      </c>
    </row>
    <row r="21" spans="1:22" ht="21.75" customHeight="1" x14ac:dyDescent="0.2">
      <c r="A21" s="675" t="s">
        <v>1298</v>
      </c>
      <c r="B21" s="2687"/>
      <c r="C21" s="2687"/>
      <c r="D21" s="1795" t="s">
        <v>14</v>
      </c>
      <c r="E21" s="984"/>
      <c r="F21" s="1798">
        <f>6055+830</f>
        <v>6885</v>
      </c>
      <c r="G21" s="363">
        <f>1338+475+67</f>
        <v>1880</v>
      </c>
      <c r="H21" s="364">
        <f>IFERROR(G21/F21,"")</f>
        <v>0.27305737109658679</v>
      </c>
      <c r="I21" s="371" t="s">
        <v>1137</v>
      </c>
      <c r="J21" s="363">
        <v>1880</v>
      </c>
      <c r="K21" s="365">
        <f>IFERROR(J21/F21,"")</f>
        <v>0.27305737109658679</v>
      </c>
      <c r="L21" s="998"/>
      <c r="M21" s="1004"/>
      <c r="V21" s="996"/>
    </row>
    <row r="22" spans="1:22" ht="21.75" customHeight="1" x14ac:dyDescent="0.2">
      <c r="A22" s="675" t="s">
        <v>1298</v>
      </c>
      <c r="B22" s="2687"/>
      <c r="C22" s="2687"/>
      <c r="D22" s="1796" t="s">
        <v>15</v>
      </c>
      <c r="E22" s="984"/>
      <c r="F22" s="1799">
        <f>5215+531+775</f>
        <v>6521</v>
      </c>
      <c r="G22" s="1091">
        <f>1080+485+448</f>
        <v>2013</v>
      </c>
      <c r="H22" s="1800">
        <f t="shared" ref="H22:H24" si="0">IFERROR(G22/F22,"")</f>
        <v>0.30869498543168228</v>
      </c>
      <c r="I22" s="372" t="s">
        <v>1137</v>
      </c>
      <c r="J22" s="1091">
        <v>2013</v>
      </c>
      <c r="K22" s="1801">
        <f t="shared" ref="K22:K24" si="1">IFERROR(J22/F22,"")</f>
        <v>0.30869498543168228</v>
      </c>
      <c r="L22" s="998"/>
      <c r="M22" s="1004"/>
      <c r="V22" s="996"/>
    </row>
    <row r="23" spans="1:22" ht="22.5" customHeight="1" x14ac:dyDescent="0.2">
      <c r="A23" s="675" t="s">
        <v>1298</v>
      </c>
      <c r="B23" s="2687"/>
      <c r="C23" s="2687"/>
      <c r="D23" s="1796" t="s">
        <v>16</v>
      </c>
      <c r="E23" s="947"/>
      <c r="F23" s="1799">
        <f>2112+3943+805</f>
        <v>6860</v>
      </c>
      <c r="G23" s="1091">
        <v>365</v>
      </c>
      <c r="H23" s="1800">
        <f t="shared" si="0"/>
        <v>5.3206997084548104E-2</v>
      </c>
      <c r="I23" s="372" t="s">
        <v>1137</v>
      </c>
      <c r="J23" s="1091">
        <v>365</v>
      </c>
      <c r="K23" s="1801">
        <f t="shared" si="1"/>
        <v>5.3206997084548104E-2</v>
      </c>
      <c r="L23" s="998"/>
      <c r="M23" s="1004"/>
      <c r="V23" s="996"/>
    </row>
    <row r="24" spans="1:22" ht="21.75" customHeight="1" x14ac:dyDescent="0.2">
      <c r="A24" s="675" t="s">
        <v>1298</v>
      </c>
      <c r="B24" s="2687"/>
      <c r="C24" s="2687"/>
      <c r="D24" s="1797" t="s">
        <v>17</v>
      </c>
      <c r="E24" s="947"/>
      <c r="F24" s="1802">
        <f>5215+463+775</f>
        <v>6453</v>
      </c>
      <c r="G24" s="1803">
        <f>1124+228+67+448</f>
        <v>1867</v>
      </c>
      <c r="H24" s="1804">
        <f t="shared" si="0"/>
        <v>0.28932279559894625</v>
      </c>
      <c r="I24" s="373" t="s">
        <v>1137</v>
      </c>
      <c r="J24" s="1803">
        <v>1867</v>
      </c>
      <c r="K24" s="1805">
        <f t="shared" si="1"/>
        <v>0.28932279559894625</v>
      </c>
      <c r="L24" s="998"/>
      <c r="M24" s="1004"/>
      <c r="V24" s="996"/>
    </row>
    <row r="25" spans="1:22" ht="21.75" customHeight="1" x14ac:dyDescent="0.2">
      <c r="A25" s="675" t="s">
        <v>1298</v>
      </c>
      <c r="B25" s="2687"/>
      <c r="C25" s="2687"/>
      <c r="D25" s="394" t="s">
        <v>18</v>
      </c>
      <c r="E25" s="50"/>
      <c r="F25" s="366">
        <f>SUM(F21:F24)</f>
        <v>26719</v>
      </c>
      <c r="G25" s="367">
        <f>SUM(G21:G24)</f>
        <v>6125</v>
      </c>
      <c r="H25" s="368">
        <f>IFERROR(G25/I25,0)</f>
        <v>0.22923762116845689</v>
      </c>
      <c r="I25" s="367">
        <f>F25</f>
        <v>26719</v>
      </c>
      <c r="J25" s="369">
        <f>SUM(J21:J24)</f>
        <v>6125</v>
      </c>
      <c r="K25" s="368">
        <f>IFERROR(J25/I25,0)</f>
        <v>0.22923762116845689</v>
      </c>
      <c r="L25" s="998"/>
      <c r="M25" s="1004"/>
      <c r="O25" s="1527">
        <f ca="1">IF(ResDwellingUnitsExist="No",D16,INDEX(MBD_BS_Table,MATCH(OFFSET(O25,-9,-11,1,1),MBD_BS_Index,0),MATCH('Multiple Buildings Details'!$E$22,MBD_BS_Hdr,0)))</f>
        <v>1</v>
      </c>
      <c r="P25" s="1528">
        <f>IFERROR(IF(AND(H25&lt;0.4,K25&lt;0.4),ABS(H25-K25)/MIN(H25,K25),""),0)</f>
        <v>0</v>
      </c>
      <c r="Q25" s="1527" t="b">
        <f>IFERROR(AND(H25&gt;40.5%,K25&gt;40.5%),FALSE)</f>
        <v>0</v>
      </c>
    </row>
    <row r="26" spans="1:22" ht="24.75" customHeight="1" x14ac:dyDescent="0.2">
      <c r="A26" s="675" t="s">
        <v>1298</v>
      </c>
      <c r="B26" s="2678" t="s">
        <v>428</v>
      </c>
      <c r="C26" s="2678"/>
      <c r="D26" s="2678"/>
      <c r="E26" s="947"/>
      <c r="F26" s="2679" t="str">
        <f>CONCATENATE("Roof Area
",IF(SI_IP_Units="IP"," (sq ft)"," (sq m)"))</f>
        <v>Roof Area
 (sq ft)</v>
      </c>
      <c r="G26" s="2657" t="s">
        <v>27</v>
      </c>
      <c r="H26" s="2657"/>
      <c r="I26" s="2679" t="str">
        <f>CONCATENATE("Roof Area
",IF(SI_IP_Units="IP"," (sq ft)"," (sq m)"))</f>
        <v>Roof Area
 (sq ft)</v>
      </c>
      <c r="J26" s="2657" t="s">
        <v>27</v>
      </c>
      <c r="K26" s="2658"/>
      <c r="L26" s="998"/>
      <c r="M26" s="1004"/>
    </row>
    <row r="27" spans="1:22" ht="22.5" customHeight="1" x14ac:dyDescent="0.2">
      <c r="A27" s="675" t="s">
        <v>1298</v>
      </c>
      <c r="B27" s="2678"/>
      <c r="C27" s="2678"/>
      <c r="D27" s="2678"/>
      <c r="E27" s="947"/>
      <c r="F27" s="2680"/>
      <c r="G27" s="747" t="str">
        <f>IF(SI_IP_Units="IP"," (sq ft)"," (sq m)")</f>
        <v xml:space="preserve"> (sq ft)</v>
      </c>
      <c r="H27" s="308" t="s">
        <v>20</v>
      </c>
      <c r="I27" s="2680"/>
      <c r="J27" s="747" t="str">
        <f>IF(SI_IP_Units="IP"," (sq ft)"," (sq m)")</f>
        <v xml:space="preserve"> (sq ft)</v>
      </c>
      <c r="K27" s="311" t="s">
        <v>20</v>
      </c>
      <c r="L27" s="998"/>
      <c r="M27" s="1004"/>
    </row>
    <row r="28" spans="1:22" ht="22.5" customHeight="1" x14ac:dyDescent="0.2">
      <c r="A28" s="675" t="s">
        <v>1298</v>
      </c>
      <c r="B28" s="2678"/>
      <c r="C28" s="2678"/>
      <c r="D28" s="2678"/>
      <c r="E28" s="947"/>
      <c r="F28" s="360">
        <f>5215+2150</f>
        <v>7365</v>
      </c>
      <c r="G28" s="257">
        <v>0</v>
      </c>
      <c r="H28" s="361">
        <f>IFERROR(G28/F28,0)</f>
        <v>0</v>
      </c>
      <c r="I28" s="374" t="s">
        <v>1137</v>
      </c>
      <c r="J28" s="257">
        <v>0</v>
      </c>
      <c r="K28" s="362">
        <f>IFERROR(J28/F28,0)</f>
        <v>0</v>
      </c>
      <c r="L28" s="998"/>
      <c r="M28" s="1004"/>
      <c r="V28" s="996"/>
    </row>
    <row r="29" spans="1:22" ht="17.25" customHeight="1" x14ac:dyDescent="0.2">
      <c r="A29" s="675" t="s">
        <v>1298</v>
      </c>
      <c r="B29" s="2643" t="s">
        <v>1758</v>
      </c>
      <c r="C29" s="2643"/>
      <c r="D29" s="2643"/>
      <c r="E29" s="947"/>
      <c r="F29" s="56" t="s">
        <v>1499</v>
      </c>
      <c r="G29" s="936" t="s">
        <v>1504</v>
      </c>
      <c r="H29" s="936" t="s">
        <v>438</v>
      </c>
      <c r="I29" s="936" t="s">
        <v>1499</v>
      </c>
      <c r="J29" s="936" t="s">
        <v>1504</v>
      </c>
      <c r="K29" s="57" t="s">
        <v>438</v>
      </c>
      <c r="L29" s="998"/>
      <c r="M29" s="1004"/>
    </row>
    <row r="30" spans="1:22" ht="28.5" customHeight="1" x14ac:dyDescent="0.2">
      <c r="A30" s="675" t="s">
        <v>1298</v>
      </c>
      <c r="B30" s="2643"/>
      <c r="C30" s="2643"/>
      <c r="D30" s="2643"/>
      <c r="E30" s="985"/>
      <c r="F30" s="1680" t="s">
        <v>2253</v>
      </c>
      <c r="G30" s="1681"/>
      <c r="H30" s="1681"/>
      <c r="I30" s="1806" t="s">
        <v>1137</v>
      </c>
      <c r="J30" s="1806" t="s">
        <v>1137</v>
      </c>
      <c r="K30" s="1806" t="s">
        <v>1137</v>
      </c>
      <c r="L30" s="999"/>
      <c r="M30" s="1004"/>
      <c r="O30" s="1527" t="str">
        <f ca="1">CONCATENATE(INDEX(MBD_BS_Table,MATCH(OFFSET(O30,-14,-11,1,1),MBD_BS_Index,0),MATCH('Multiple Buildings Details'!$E$22,MBD_BS_Hdr,0))," zones")</f>
        <v>1 zones</v>
      </c>
      <c r="P30" s="1527">
        <f t="array" ref="P30">SUM(IFERROR(VALUE(IF(ISNUMBER(F30:H30),F30:H30,IFERROR(LEFT(F30:H30,IFERROR(FIND("to",F30:H30)-1,"")),""))),""))+SUM(IFERROR(FIND("&gt;100",F30:H30)*100,""))</f>
        <v>100</v>
      </c>
      <c r="V30" s="996"/>
    </row>
    <row r="31" spans="1:22" x14ac:dyDescent="0.2">
      <c r="A31" s="675" t="s">
        <v>1298</v>
      </c>
    </row>
    <row r="32" spans="1:22" s="118" customFormat="1" ht="21" hidden="1" customHeight="1" x14ac:dyDescent="0.25">
      <c r="A32" s="1791" t="s">
        <v>1298</v>
      </c>
      <c r="B32" s="2662" t="s">
        <v>2017</v>
      </c>
      <c r="C32" s="2662"/>
      <c r="D32" s="2662"/>
      <c r="E32" s="2662"/>
      <c r="F32" s="2662"/>
      <c r="G32" s="2662"/>
      <c r="H32" s="2662"/>
      <c r="I32" s="2662"/>
      <c r="J32" s="2662"/>
      <c r="K32" s="2662"/>
      <c r="L32" s="1792"/>
      <c r="M32" s="1793"/>
      <c r="N32" s="1794"/>
      <c r="O32" s="1792"/>
    </row>
    <row r="33" spans="1:23" ht="15" hidden="1" customHeight="1" x14ac:dyDescent="0.2">
      <c r="A33" s="675"/>
      <c r="B33" s="2670"/>
      <c r="C33" s="2671"/>
      <c r="D33" s="2671"/>
      <c r="E33" s="2671"/>
      <c r="F33" s="2671"/>
      <c r="G33" s="2671"/>
      <c r="H33" s="2671"/>
      <c r="I33" s="2671"/>
      <c r="J33" s="2671"/>
      <c r="K33" s="2672"/>
      <c r="L33" s="43"/>
      <c r="M33" s="1584"/>
      <c r="N33" s="1585"/>
      <c r="O33" s="1529" t="s">
        <v>18</v>
      </c>
      <c r="P33" s="1530">
        <f>MAX(P15:P32)</f>
        <v>100</v>
      </c>
      <c r="Q33" s="1527" t="b">
        <f>IF(COUNTIF(Q15:Q32,TRUE)&gt;0,TRUE,FALSE)</f>
        <v>0</v>
      </c>
      <c r="V33" s="996"/>
    </row>
    <row r="34" spans="1:23" ht="30.75" hidden="1" customHeight="1" x14ac:dyDescent="0.2">
      <c r="A34" s="675"/>
      <c r="B34" s="2663" t="str">
        <f>IF(IFERROR(FIND("*",B33),FALSE),"* Please ensure that the site plan provided for the Project Information forms clearly indicate the constraints to comply with Table G3.1.5 (a) (baseline) Exception 1","")</f>
        <v/>
      </c>
      <c r="C34" s="2663"/>
      <c r="D34" s="2663"/>
      <c r="E34" s="2663"/>
      <c r="F34" s="2663"/>
      <c r="G34" s="2663"/>
      <c r="H34" s="2663"/>
      <c r="I34" s="2663"/>
      <c r="J34" s="2663"/>
      <c r="K34" s="873"/>
      <c r="L34" s="43"/>
      <c r="M34" s="1584"/>
      <c r="N34" s="1585"/>
      <c r="O34" s="43"/>
      <c r="P34" s="43"/>
    </row>
    <row r="35" spans="1:23" ht="9" hidden="1" customHeight="1" x14ac:dyDescent="0.2">
      <c r="A35" s="675"/>
      <c r="B35" s="873"/>
      <c r="C35" s="873"/>
      <c r="D35" s="873"/>
      <c r="E35" s="873"/>
      <c r="F35" s="873"/>
      <c r="G35" s="873"/>
      <c r="H35" s="873"/>
      <c r="I35" s="873"/>
      <c r="J35" s="873"/>
      <c r="K35" s="873"/>
      <c r="L35" s="43"/>
      <c r="M35" s="1584"/>
      <c r="N35" s="1585"/>
      <c r="O35" s="43"/>
      <c r="P35" s="43"/>
    </row>
    <row r="36" spans="1:23" ht="25.5" customHeight="1" x14ac:dyDescent="0.2">
      <c r="A36" s="675"/>
      <c r="B36" s="972"/>
      <c r="C36" s="972"/>
      <c r="D36" s="972"/>
      <c r="E36" s="972"/>
      <c r="F36" s="974"/>
      <c r="G36" s="974"/>
      <c r="H36" s="972"/>
      <c r="I36" s="972"/>
      <c r="J36" s="972"/>
      <c r="K36" s="972"/>
      <c r="L36" s="43"/>
      <c r="M36" s="1584"/>
      <c r="N36" s="1585"/>
      <c r="O36" s="43"/>
      <c r="P36" s="43"/>
    </row>
    <row r="37" spans="1:23" ht="9" customHeight="1" x14ac:dyDescent="0.2">
      <c r="A37" s="675"/>
      <c r="B37" s="935"/>
      <c r="C37" s="935"/>
      <c r="D37" s="935"/>
      <c r="E37" s="935"/>
      <c r="F37" s="935"/>
      <c r="G37" s="935"/>
      <c r="H37" s="935"/>
      <c r="I37" s="935"/>
      <c r="J37" s="935"/>
      <c r="K37" s="935"/>
      <c r="L37" s="43"/>
      <c r="M37" s="1584"/>
      <c r="N37" s="1585"/>
      <c r="O37" s="43"/>
      <c r="P37" s="43"/>
    </row>
    <row r="38" spans="1:23" ht="30" customHeight="1" x14ac:dyDescent="0.2">
      <c r="A38" s="675" t="s">
        <v>1298</v>
      </c>
      <c r="B38" s="28" t="s">
        <v>280</v>
      </c>
      <c r="C38" s="33"/>
      <c r="D38" s="33"/>
      <c r="E38" s="33"/>
      <c r="F38" s="33"/>
      <c r="G38" s="33"/>
      <c r="H38" s="33"/>
      <c r="I38" s="33"/>
      <c r="J38" s="33"/>
      <c r="K38" s="33"/>
      <c r="L38" s="390"/>
      <c r="M38" s="1581"/>
      <c r="N38" s="1586"/>
    </row>
    <row r="39" spans="1:23" ht="41.25" customHeight="1" x14ac:dyDescent="0.2">
      <c r="A39" s="675" t="s">
        <v>1298</v>
      </c>
      <c r="B39" s="2626" t="s">
        <v>1138</v>
      </c>
      <c r="C39" s="2626"/>
      <c r="D39" s="2626"/>
      <c r="E39" s="2626"/>
      <c r="F39" s="2626"/>
      <c r="G39" s="2626"/>
      <c r="H39" s="2626"/>
      <c r="I39" s="2626"/>
      <c r="J39" s="2626"/>
      <c r="K39" s="2626"/>
      <c r="L39" s="43"/>
      <c r="M39" s="1584"/>
      <c r="N39" s="1585"/>
      <c r="O39" s="43"/>
      <c r="P39" s="43"/>
    </row>
    <row r="40" spans="1:23" ht="26.25" customHeight="1" x14ac:dyDescent="0.2">
      <c r="A40" s="675" t="s">
        <v>1298</v>
      </c>
      <c r="B40" s="123" t="s">
        <v>9</v>
      </c>
      <c r="C40" s="33"/>
      <c r="D40" s="33"/>
      <c r="E40" s="475"/>
      <c r="F40" s="475"/>
      <c r="G40" s="475"/>
      <c r="H40" s="33"/>
      <c r="I40" s="33"/>
      <c r="J40" s="33"/>
      <c r="K40" s="51"/>
      <c r="L40" s="390"/>
      <c r="M40" s="1581"/>
      <c r="N40" s="1586"/>
    </row>
    <row r="41" spans="1:23" ht="26.25" customHeight="1" x14ac:dyDescent="0.2">
      <c r="A41" s="675" t="s">
        <v>1298</v>
      </c>
      <c r="B41" s="2664" t="s">
        <v>305</v>
      </c>
      <c r="C41" s="2665"/>
      <c r="D41" s="2666"/>
      <c r="E41" s="987"/>
      <c r="F41" s="2667" t="s">
        <v>347</v>
      </c>
      <c r="G41" s="2668"/>
      <c r="H41" s="2669"/>
      <c r="I41" s="2664" t="s">
        <v>348</v>
      </c>
      <c r="J41" s="2665"/>
      <c r="K41" s="2665"/>
      <c r="L41" s="2666"/>
      <c r="M41" s="1587"/>
      <c r="N41" s="1587"/>
    </row>
    <row r="42" spans="1:23" ht="55.5" customHeight="1" x14ac:dyDescent="0.2">
      <c r="A42" s="675" t="s">
        <v>1298</v>
      </c>
      <c r="B42" s="309" t="s">
        <v>1357</v>
      </c>
      <c r="C42" s="310" t="s">
        <v>306</v>
      </c>
      <c r="D42" s="1808" t="s">
        <v>22</v>
      </c>
      <c r="E42" s="988"/>
      <c r="F42" s="309" t="s">
        <v>3</v>
      </c>
      <c r="G42" s="310" t="s">
        <v>1990</v>
      </c>
      <c r="H42" s="1808" t="s">
        <v>11</v>
      </c>
      <c r="I42" s="309" t="s">
        <v>3</v>
      </c>
      <c r="J42" s="310" t="s">
        <v>307</v>
      </c>
      <c r="K42" s="310" t="s">
        <v>11</v>
      </c>
      <c r="L42" s="1808" t="s">
        <v>12</v>
      </c>
      <c r="M42" s="1588"/>
      <c r="N42" s="1588"/>
    </row>
    <row r="43" spans="1:23" ht="122.25" customHeight="1" x14ac:dyDescent="0.2">
      <c r="A43" s="1097" t="s">
        <v>1298</v>
      </c>
      <c r="B43" s="2613" t="s">
        <v>1703</v>
      </c>
      <c r="C43" s="2614"/>
      <c r="D43" s="2615"/>
      <c r="E43" s="1164"/>
      <c r="F43" s="2600" t="s">
        <v>1719</v>
      </c>
      <c r="G43" s="2659"/>
      <c r="H43" s="2660"/>
      <c r="I43" s="2600" t="s">
        <v>1720</v>
      </c>
      <c r="J43" s="2661"/>
      <c r="K43" s="2661"/>
      <c r="L43" s="2601"/>
      <c r="M43" s="1588"/>
      <c r="N43" s="1588"/>
    </row>
    <row r="44" spans="1:23" ht="33.75" hidden="1" x14ac:dyDescent="0.2">
      <c r="A44" s="1097" t="s">
        <v>1298</v>
      </c>
      <c r="B44" s="1785" t="str">
        <f>B42</f>
        <v>Building ID</v>
      </c>
      <c r="C44" s="1785" t="str">
        <f>C42</f>
        <v>New or 
Existing Construction</v>
      </c>
      <c r="D44" s="1785" t="str">
        <f>D42</f>
        <v>Space-Conditioning Category</v>
      </c>
      <c r="E44" s="1164"/>
      <c r="F44" s="1785" t="str">
        <f t="shared" ref="F44:L44" si="2">F42</f>
        <v>Description</v>
      </c>
      <c r="G44" s="1785" t="s">
        <v>1997</v>
      </c>
      <c r="H44" s="1785" t="s">
        <v>1996</v>
      </c>
      <c r="I44" s="1785" t="str">
        <f t="shared" si="2"/>
        <v>Description</v>
      </c>
      <c r="J44" s="1785" t="str">
        <f t="shared" si="2"/>
        <v>Assembly 
U-factor</v>
      </c>
      <c r="K44" s="1785" t="str">
        <f t="shared" si="2"/>
        <v>SHGC</v>
      </c>
      <c r="L44" s="1785" t="str">
        <f t="shared" si="2"/>
        <v>VLT</v>
      </c>
      <c r="M44" s="1588"/>
      <c r="N44" s="1588"/>
      <c r="R44" s="1665" t="s">
        <v>1987</v>
      </c>
      <c r="S44" s="1665" t="s">
        <v>1995</v>
      </c>
    </row>
    <row r="45" spans="1:23" ht="33.75" hidden="1" customHeight="1" x14ac:dyDescent="0.25">
      <c r="A45" s="672" t="s">
        <v>915</v>
      </c>
      <c r="B45" s="1092" t="str">
        <f>GI_Project_Name</f>
        <v>SEA Building Addition</v>
      </c>
      <c r="C45" s="1096"/>
      <c r="D45" s="567"/>
      <c r="E45" s="454"/>
      <c r="F45" s="1658"/>
      <c r="G45" s="1664" t="str">
        <f>IF($C45="Existing","Provide U-Factor",IF($P45&lt;&gt;0,$P45,""))</f>
        <v/>
      </c>
      <c r="H45" s="1660" t="str">
        <f>IF($C45="Existing", "Provide SHGC",IF($Q45&lt;&gt;0,$Q45,""))</f>
        <v/>
      </c>
      <c r="I45" s="1092"/>
      <c r="J45" s="1090"/>
      <c r="K45" s="1090"/>
      <c r="L45" s="351"/>
      <c r="M45" s="1589"/>
      <c r="N45" s="1589"/>
      <c r="O45" s="376"/>
      <c r="P45" s="370">
        <f>IFERROR(IF(AND(C45="New",D45&lt;&gt;"Semiheated"),INDEX('Envelope Assumptions'!$AT$2:$AW$38,MATCH('General Information'!$J$12,'Envelope Assumptions'!$A$2:$A$38,0),MATCH(F45,'Envelope Assumptions'!$AT$2:$AW$2,0)),0),"")</f>
        <v>0</v>
      </c>
      <c r="Q45" s="1663">
        <f>IFERROR(IF(AND(OR('General Information'!$C$48="3B",'General Information'!$C$48="3C"),$C45="New",$D45="Residential"),0,IF(AND($C45="New",$D45&lt;&gt;"Semiheated"),INDEX('Envelope Assumptions'!$AX$2:$AX$38,MATCH('General Information'!$J$12,'Envelope Assumptions'!$A$2:$A$38,0)),0)),"")</f>
        <v>0</v>
      </c>
      <c r="R45" s="1666" t="str">
        <f>IF($C45="Existing","Provide U-Factor",IF($P45&lt;&gt;0,$P45,""))</f>
        <v/>
      </c>
      <c r="S45" s="1666" t="str">
        <f>IF($C45="Existing", "Provide SHGC",IF($Q45&lt;&gt;0,$Q45,""))</f>
        <v/>
      </c>
      <c r="V45" s="2277"/>
    </row>
    <row r="46" spans="1:23" ht="33.75" customHeight="1" x14ac:dyDescent="0.25">
      <c r="A46" s="672"/>
      <c r="B46" s="1092" t="str">
        <f>GI_Project_Name</f>
        <v>SEA Building Addition</v>
      </c>
      <c r="C46" s="1096" t="s">
        <v>434</v>
      </c>
      <c r="D46" s="567" t="s">
        <v>24</v>
      </c>
      <c r="E46" s="454"/>
      <c r="F46" s="823" t="s">
        <v>34</v>
      </c>
      <c r="G46" s="1667">
        <f t="shared" ref="G46:G47" si="3">IF($C46="Existing","Provide U-Factor",IF($P46&lt;&gt;0,$P46,""))</f>
        <v>0.7</v>
      </c>
      <c r="H46" s="1668">
        <f t="shared" ref="H46:H47" si="4">IF($C46="Existing", "Provide SHGC",IF($Q46&lt;&gt;0,$Q46,""))</f>
        <v>0.25</v>
      </c>
      <c r="I46" s="823" t="s">
        <v>2254</v>
      </c>
      <c r="J46" s="824">
        <v>0.28999999999999998</v>
      </c>
      <c r="K46" s="824">
        <v>0.27</v>
      </c>
      <c r="L46" s="825">
        <v>0.62</v>
      </c>
      <c r="M46" s="1589"/>
      <c r="N46" s="1589"/>
      <c r="O46" s="376"/>
      <c r="P46" s="1090">
        <f>IFERROR(IF(AND(C46="New",D46&lt;&gt;"Semiheated"),INDEX('Envelope Assumptions'!$AT$2:$AW$38,MATCH('General Information'!$J$12,'Envelope Assumptions'!$A$2:$A$38,0),MATCH(F46,'Envelope Assumptions'!$AT$2:$AW$2,0)),0),"")</f>
        <v>0.7</v>
      </c>
      <c r="Q46" s="1090">
        <f>IFERROR(IF(AND(OR('General Information'!$C$48="3B",'General Information'!$C$48="3C"),$C46="New",$D46="Residential"),0,IF(AND($C46="New",$D46&lt;&gt;"Semiheated"),INDEX('Envelope Assumptions'!$AX$2:$AX$38,MATCH('General Information'!$J$12,'Envelope Assumptions'!$A$2:$A$38,0)),0)),"")</f>
        <v>0.25</v>
      </c>
      <c r="R46" s="1666">
        <f t="shared" ref="R46:R47" si="5">IF($C46="Existing","Provide U-Factor",IF($P46&lt;&gt;0,$P46,""))</f>
        <v>0.7</v>
      </c>
      <c r="S46" s="1666">
        <f t="shared" ref="S46:S47" si="6">IF($C46="Existing", "Provide SHGC",IF($Q46&lt;&gt;0,$Q46,""))</f>
        <v>0.25</v>
      </c>
      <c r="V46" s="996"/>
    </row>
    <row r="47" spans="1:23" ht="33.75" customHeight="1" x14ac:dyDescent="0.25">
      <c r="A47" s="672"/>
      <c r="B47" s="353" t="str">
        <f>GI_Project_Name</f>
        <v>SEA Building Addition</v>
      </c>
      <c r="C47" s="253"/>
      <c r="D47" s="354"/>
      <c r="E47" s="989"/>
      <c r="F47" s="1661"/>
      <c r="G47" s="1669" t="str">
        <f t="shared" si="3"/>
        <v/>
      </c>
      <c r="H47" s="1670" t="str">
        <f t="shared" si="4"/>
        <v/>
      </c>
      <c r="I47" s="353"/>
      <c r="J47" s="266"/>
      <c r="K47" s="266"/>
      <c r="L47" s="356"/>
      <c r="M47" s="1589"/>
      <c r="N47" s="1589"/>
      <c r="O47" s="376"/>
      <c r="P47" s="1090">
        <f>IFERROR(IF(AND(C47="New",D47&lt;&gt;"Semiheated"),INDEX('Envelope Assumptions'!$AT$2:$AW$38,MATCH('General Information'!$J$12,'Envelope Assumptions'!$A$2:$A$38,0),MATCH(F47,'Envelope Assumptions'!$AT$2:$AW$2,0)),0),"")</f>
        <v>0</v>
      </c>
      <c r="Q47" s="1090">
        <f>IFERROR(IF(AND(OR('General Information'!$C$48="3B",'General Information'!$C$48="3C"),$C47="New",$D47="Residential"),0,IF(AND($C47="New",$D47&lt;&gt;"Semiheated"),INDEX('Envelope Assumptions'!$AX$2:$AX$38,MATCH('General Information'!$J$12,'Envelope Assumptions'!$A$2:$A$38,0)),0)),"")</f>
        <v>0</v>
      </c>
      <c r="R47" s="1666" t="str">
        <f t="shared" si="5"/>
        <v/>
      </c>
      <c r="S47" s="1666" t="str">
        <f t="shared" si="6"/>
        <v/>
      </c>
      <c r="V47" s="996"/>
    </row>
    <row r="48" spans="1:23" s="388" customFormat="1" ht="39.75" customHeight="1" x14ac:dyDescent="0.2">
      <c r="A48" s="675" t="s">
        <v>1298</v>
      </c>
      <c r="E48" s="839"/>
      <c r="F48" s="839"/>
      <c r="G48" s="839"/>
      <c r="M48" s="1590"/>
      <c r="N48" s="839"/>
      <c r="S48" s="337"/>
      <c r="T48" s="337"/>
      <c r="U48" s="337"/>
      <c r="V48" s="337"/>
      <c r="W48" s="337"/>
    </row>
    <row r="49" spans="1:23" s="388" customFormat="1" ht="20.25" customHeight="1" x14ac:dyDescent="0.2">
      <c r="A49" s="675" t="s">
        <v>1298</v>
      </c>
      <c r="E49" s="839"/>
      <c r="F49" s="839"/>
      <c r="G49" s="839"/>
      <c r="M49" s="1590"/>
      <c r="N49" s="839"/>
      <c r="S49" s="30"/>
      <c r="T49" s="30"/>
      <c r="U49" s="30"/>
      <c r="V49" s="30"/>
      <c r="W49" s="30"/>
    </row>
    <row r="50" spans="1:23" ht="26.25" customHeight="1" x14ac:dyDescent="0.2">
      <c r="A50" s="675" t="s">
        <v>1298</v>
      </c>
      <c r="B50" s="125" t="s">
        <v>10</v>
      </c>
      <c r="C50" s="51"/>
      <c r="D50" s="51"/>
      <c r="E50" s="840"/>
      <c r="F50" s="840"/>
      <c r="G50" s="840"/>
      <c r="H50" s="51"/>
      <c r="I50" s="51"/>
      <c r="J50" s="51"/>
      <c r="K50" s="51"/>
      <c r="L50" s="390"/>
      <c r="M50" s="1581"/>
      <c r="N50" s="1586"/>
    </row>
    <row r="51" spans="1:23" ht="26.25" customHeight="1" x14ac:dyDescent="0.2">
      <c r="A51" s="675" t="s">
        <v>1298</v>
      </c>
      <c r="B51" s="2664" t="s">
        <v>305</v>
      </c>
      <c r="C51" s="2665"/>
      <c r="D51" s="2666"/>
      <c r="E51" s="116"/>
      <c r="F51" s="2667" t="s">
        <v>347</v>
      </c>
      <c r="G51" s="2668"/>
      <c r="H51" s="2669"/>
      <c r="I51" s="2675" t="s">
        <v>348</v>
      </c>
      <c r="J51" s="2665"/>
      <c r="K51" s="2665"/>
      <c r="L51" s="2666"/>
      <c r="M51" s="1587"/>
      <c r="N51" s="1583"/>
    </row>
    <row r="52" spans="1:23" ht="55.5" customHeight="1" x14ac:dyDescent="0.2">
      <c r="A52" s="675" t="s">
        <v>1298</v>
      </c>
      <c r="B52" s="1809" t="s">
        <v>1357</v>
      </c>
      <c r="C52" s="310" t="s">
        <v>306</v>
      </c>
      <c r="D52" s="1808" t="s">
        <v>22</v>
      </c>
      <c r="E52" s="117"/>
      <c r="F52" s="1809" t="s">
        <v>3</v>
      </c>
      <c r="G52" s="1810" t="s">
        <v>307</v>
      </c>
      <c r="H52" s="1808" t="s">
        <v>11</v>
      </c>
      <c r="I52" s="1807" t="s">
        <v>3</v>
      </c>
      <c r="J52" s="310" t="s">
        <v>307</v>
      </c>
      <c r="K52" s="310" t="s">
        <v>11</v>
      </c>
      <c r="L52" s="1808" t="s">
        <v>12</v>
      </c>
      <c r="M52" s="1588"/>
      <c r="N52" s="1583"/>
    </row>
    <row r="53" spans="1:23" ht="123" customHeight="1" x14ac:dyDescent="0.2">
      <c r="A53" s="1097" t="s">
        <v>1298</v>
      </c>
      <c r="B53" s="2613" t="s">
        <v>1703</v>
      </c>
      <c r="C53" s="2614"/>
      <c r="D53" s="2615"/>
      <c r="E53" s="1164"/>
      <c r="F53" s="2600" t="s">
        <v>1721</v>
      </c>
      <c r="G53" s="2659"/>
      <c r="H53" s="2660"/>
      <c r="I53" s="2600" t="s">
        <v>1722</v>
      </c>
      <c r="J53" s="2661"/>
      <c r="K53" s="2661"/>
      <c r="L53" s="2601"/>
      <c r="M53" s="1588"/>
      <c r="N53" s="1583"/>
    </row>
    <row r="54" spans="1:23" ht="33.75" hidden="1" x14ac:dyDescent="0.2">
      <c r="A54" s="1097" t="s">
        <v>1298</v>
      </c>
      <c r="B54" s="1785" t="str">
        <f>B52</f>
        <v>Building ID</v>
      </c>
      <c r="C54" s="1785" t="str">
        <f>C52</f>
        <v>New or 
Existing Construction</v>
      </c>
      <c r="D54" s="1785" t="str">
        <f>D52</f>
        <v>Space-Conditioning Category</v>
      </c>
      <c r="E54" s="1441"/>
      <c r="F54" s="1785" t="s">
        <v>1988</v>
      </c>
      <c r="G54" s="1785" t="s">
        <v>1997</v>
      </c>
      <c r="H54" s="1785" t="s">
        <v>1996</v>
      </c>
      <c r="I54" s="1785" t="s">
        <v>1989</v>
      </c>
      <c r="J54" s="1785" t="str">
        <f t="shared" ref="J54:L54" si="7">J52</f>
        <v>Assembly 
U-factor</v>
      </c>
      <c r="K54" s="1785" t="str">
        <f t="shared" si="7"/>
        <v>SHGC</v>
      </c>
      <c r="L54" s="1785" t="str">
        <f t="shared" si="7"/>
        <v>VLT</v>
      </c>
      <c r="M54" s="1588"/>
      <c r="N54" s="1583"/>
      <c r="R54" s="1665" t="s">
        <v>1987</v>
      </c>
      <c r="S54" s="1665" t="s">
        <v>1995</v>
      </c>
    </row>
    <row r="55" spans="1:23" ht="33.75" hidden="1" customHeight="1" x14ac:dyDescent="0.25">
      <c r="A55" s="672" t="s">
        <v>917</v>
      </c>
      <c r="B55" s="1811" t="str">
        <f>GI_Project_Name</f>
        <v>SEA Building Addition</v>
      </c>
      <c r="C55" s="1812"/>
      <c r="D55" s="1812"/>
      <c r="E55" s="1813"/>
      <c r="F55" s="2243"/>
      <c r="G55" s="1815" t="str">
        <f>IF($C55="Existing","Provide U-Factor",IF($P55&lt;&gt;0,$P55,""))</f>
        <v/>
      </c>
      <c r="H55" s="1815" t="str">
        <f>IF($C55="Existing", "Provide SHGC",IF($Q55&lt;&gt;0,$Q55,""))</f>
        <v/>
      </c>
      <c r="I55" s="1814"/>
      <c r="J55" s="1816"/>
      <c r="K55" s="1816"/>
      <c r="L55" s="1817"/>
      <c r="M55" s="1589"/>
      <c r="N55" s="943"/>
      <c r="O55" s="376"/>
      <c r="P55" s="370">
        <f>IFERROR(IF(AND(C55="New",D55&lt;&gt;"Semiheated"),INDEX('Envelope Assumptions'!$AY$2:$BD$38,MATCH('General Information'!$J$12,'Envelope Assumptions'!$A$2:$A$38,0),MATCH(F55,'Envelope Assumptions'!$AY$2:$BD$2,0)),0),"")</f>
        <v>0</v>
      </c>
      <c r="Q55" s="1663">
        <f>IFERROR(IF(AND(C55="New",D55="Nonresidential"),INDEX('Envelope Assumptions'!$BE$2:$BJ$38,MATCH('General Information'!$J$12,'Envelope Assumptions'!$A$2:$A$38,0),MATCH(F55,'Envelope Assumptions'!$BE$2:$BJ$2,0)),0),"")</f>
        <v>0</v>
      </c>
      <c r="R55" s="1666" t="str">
        <f>IF($C55="Existing","Provide U-Factor",IF($P55&lt;&gt;0,$P55,""))</f>
        <v/>
      </c>
      <c r="S55" s="1666" t="str">
        <f>IF($C55="Existing", "Provide SHGC",IF($Q55&lt;&gt;0,$Q55,""))</f>
        <v/>
      </c>
      <c r="V55" s="996"/>
    </row>
    <row r="56" spans="1:23" ht="33" customHeight="1" x14ac:dyDescent="0.25">
      <c r="B56" s="1818" t="str">
        <f>GI_Project_Name</f>
        <v>SEA Building Addition</v>
      </c>
      <c r="C56" s="1819"/>
      <c r="D56" s="1819"/>
      <c r="E56" s="1820"/>
      <c r="F56" s="2256"/>
      <c r="G56" s="1821" t="str">
        <f t="shared" ref="G56:G57" si="8">IF($C56="Existing","Provide U-Factor",IF($P56&lt;&gt;0,$P56,""))</f>
        <v/>
      </c>
      <c r="H56" s="1821" t="str">
        <f t="shared" ref="H56:H57" si="9">IF($C56="Existing", "Provide SHGC",IF($Q56&lt;&gt;0,$Q56,""))</f>
        <v/>
      </c>
      <c r="I56" s="1819"/>
      <c r="J56" s="1822"/>
      <c r="K56" s="1822"/>
      <c r="L56" s="1823"/>
      <c r="M56" s="1589"/>
      <c r="N56" s="943"/>
      <c r="O56" s="376"/>
      <c r="P56" s="1090">
        <f>IFERROR(IF(AND(C56="New",D56&lt;&gt;"Semiheated"),INDEX('Envelope Assumptions'!$AY$2:$BD$38,MATCH('General Information'!$J$12,'Envelope Assumptions'!$A$2:$A$38,0),MATCH(F56,'Envelope Assumptions'!$AY$2:$BD$2,0)),0),"")</f>
        <v>0</v>
      </c>
      <c r="Q56" s="1090">
        <f>IFERROR(IF(AND(C56="New",D56="Nonresidential"),INDEX('Envelope Assumptions'!$BE$2:$BJ$38,MATCH('General Information'!$J$12,'Envelope Assumptions'!$A$2:$A$38,0),MATCH(F56,'Envelope Assumptions'!$BE$2:$BJ$2,0)),0),"")</f>
        <v>0</v>
      </c>
      <c r="R56" s="1666" t="str">
        <f t="shared" ref="R56:R57" si="10">IF($C56="Existing","Provide U-Factor",IF($P56&lt;&gt;0,$P56,""))</f>
        <v/>
      </c>
      <c r="S56" s="1666" t="str">
        <f t="shared" ref="S56:S57" si="11">IF($C56="Existing", "Provide SHGC",IF($Q56&lt;&gt;0,$Q56,""))</f>
        <v/>
      </c>
      <c r="V56" s="996"/>
    </row>
    <row r="57" spans="1:23" ht="33" customHeight="1" x14ac:dyDescent="0.25">
      <c r="A57" s="672"/>
      <c r="B57" s="1824" t="str">
        <f>GI_Project_Name</f>
        <v>SEA Building Addition</v>
      </c>
      <c r="C57" s="1825"/>
      <c r="D57" s="1825"/>
      <c r="E57" s="1826"/>
      <c r="F57" s="2244"/>
      <c r="G57" s="1827" t="str">
        <f t="shared" si="8"/>
        <v/>
      </c>
      <c r="H57" s="1827" t="str">
        <f t="shared" si="9"/>
        <v/>
      </c>
      <c r="I57" s="1825"/>
      <c r="J57" s="1828"/>
      <c r="K57" s="1828"/>
      <c r="L57" s="1829"/>
      <c r="M57" s="1589"/>
      <c r="N57" s="943"/>
      <c r="O57" s="376"/>
      <c r="P57" s="1090">
        <f>IFERROR(IF(AND(C57="New",D57&lt;&gt;"Semiheated"),INDEX('Envelope Assumptions'!$AY$2:$BD$38,MATCH('General Information'!$J$12,'Envelope Assumptions'!$A$2:$A$38,0),MATCH(F57,'Envelope Assumptions'!$AY$2:$BD$2,0)),0),"")</f>
        <v>0</v>
      </c>
      <c r="Q57" s="1090">
        <f>IFERROR(IF(AND(C57="New",D57="Nonresidential"),INDEX('Envelope Assumptions'!$BE$2:$BJ$38,MATCH('General Information'!$J$12,'Envelope Assumptions'!$A$2:$A$38,0),MATCH(F57,'Envelope Assumptions'!$BE$2:$BJ$2,0)),0),"")</f>
        <v>0</v>
      </c>
      <c r="R57" s="1666" t="str">
        <f t="shared" si="10"/>
        <v/>
      </c>
      <c r="S57" s="1666" t="str">
        <f t="shared" si="11"/>
        <v/>
      </c>
      <c r="V57" s="996"/>
    </row>
    <row r="58" spans="1:23" s="388" customFormat="1" ht="41.25" customHeight="1" x14ac:dyDescent="0.2">
      <c r="A58" s="675" t="s">
        <v>1298</v>
      </c>
      <c r="E58" s="839"/>
      <c r="F58" s="839"/>
      <c r="G58" s="839"/>
      <c r="M58" s="1590"/>
      <c r="N58" s="839"/>
      <c r="S58" s="337"/>
      <c r="T58" s="337"/>
      <c r="U58" s="337"/>
      <c r="V58" s="337"/>
      <c r="W58" s="337"/>
    </row>
    <row r="59" spans="1:23" s="388" customFormat="1" ht="20.25" customHeight="1" x14ac:dyDescent="0.2">
      <c r="A59" s="675" t="s">
        <v>1298</v>
      </c>
      <c r="E59" s="839"/>
      <c r="F59" s="839"/>
      <c r="G59" s="839"/>
      <c r="M59" s="1590"/>
      <c r="N59" s="839"/>
      <c r="S59" s="337"/>
      <c r="T59" s="337"/>
      <c r="U59" s="337"/>
      <c r="V59" s="337"/>
      <c r="W59" s="337"/>
    </row>
    <row r="60" spans="1:23" ht="21" customHeight="1" x14ac:dyDescent="0.2">
      <c r="A60" s="675" t="s">
        <v>1298</v>
      </c>
      <c r="B60" s="2673" t="s">
        <v>1135</v>
      </c>
      <c r="C60" s="2674"/>
      <c r="D60" s="2674"/>
      <c r="E60" s="2674"/>
      <c r="F60" s="2674"/>
      <c r="G60" s="2674"/>
      <c r="H60" s="2676" t="s">
        <v>30</v>
      </c>
      <c r="I60" s="2676"/>
      <c r="J60" s="2676"/>
      <c r="K60" s="2676"/>
      <c r="L60" s="2677"/>
      <c r="M60" s="1582"/>
      <c r="N60" s="1583"/>
      <c r="V60" s="2277"/>
    </row>
    <row r="61" spans="1:23" s="1" customFormat="1" ht="20.25" customHeight="1" x14ac:dyDescent="0.25">
      <c r="A61" s="675" t="s">
        <v>1298</v>
      </c>
      <c r="M61" s="981"/>
      <c r="N61" s="487"/>
    </row>
    <row r="62" spans="1:23" ht="20.25" customHeight="1" x14ac:dyDescent="0.2">
      <c r="A62" s="675" t="s">
        <v>1298</v>
      </c>
      <c r="B62" s="98"/>
      <c r="C62" s="98"/>
      <c r="D62" s="98"/>
      <c r="E62" s="98"/>
      <c r="F62" s="98"/>
      <c r="G62" s="98"/>
      <c r="H62" s="98"/>
      <c r="I62" s="98"/>
      <c r="J62" s="98"/>
      <c r="K62" s="98"/>
      <c r="M62" s="1582"/>
      <c r="N62" s="1583"/>
    </row>
    <row r="63" spans="1:23" ht="20.25" customHeight="1" x14ac:dyDescent="0.2">
      <c r="A63" s="675" t="s">
        <v>1298</v>
      </c>
      <c r="B63" s="392" t="s">
        <v>23</v>
      </c>
      <c r="C63" s="392"/>
      <c r="D63" s="392"/>
      <c r="E63" s="392"/>
      <c r="F63" s="392"/>
      <c r="G63" s="392"/>
      <c r="H63" s="392"/>
      <c r="I63" s="392"/>
      <c r="J63" s="392"/>
      <c r="K63" s="392"/>
      <c r="L63" s="390"/>
      <c r="M63" s="1581"/>
      <c r="N63" s="1586"/>
      <c r="O63" s="390"/>
    </row>
    <row r="64" spans="1:23" ht="21" customHeight="1" x14ac:dyDescent="0.2">
      <c r="A64" s="675" t="s">
        <v>1298</v>
      </c>
      <c r="B64" s="2640"/>
      <c r="C64" s="2641"/>
      <c r="D64" s="2641"/>
      <c r="E64" s="2641"/>
      <c r="F64" s="2641"/>
      <c r="G64" s="2641"/>
      <c r="H64" s="2641"/>
      <c r="I64" s="2641"/>
      <c r="J64" s="2641"/>
      <c r="K64" s="2641"/>
      <c r="L64" s="2642"/>
      <c r="M64" s="1581"/>
      <c r="N64" s="1586"/>
      <c r="O64" s="390"/>
    </row>
    <row r="65" spans="1:26" x14ac:dyDescent="0.25">
      <c r="B65" s="337"/>
    </row>
    <row r="66" spans="1:26" hidden="1" x14ac:dyDescent="0.25"/>
    <row r="67" spans="1:26" s="391" customFormat="1" hidden="1" x14ac:dyDescent="0.25">
      <c r="A67" s="337"/>
      <c r="E67" s="337"/>
      <c r="H67" s="393" t="s">
        <v>28</v>
      </c>
      <c r="L67" s="337"/>
      <c r="M67" s="994"/>
      <c r="N67" s="337"/>
      <c r="O67" s="337"/>
      <c r="P67" s="337"/>
      <c r="Q67" s="337"/>
      <c r="R67" s="337"/>
      <c r="S67" s="337"/>
      <c r="T67" s="337"/>
      <c r="U67" s="337"/>
      <c r="V67" s="337"/>
      <c r="W67" s="337"/>
      <c r="X67" s="337"/>
      <c r="Y67" s="337"/>
      <c r="Z67" s="337"/>
    </row>
    <row r="68" spans="1:26" s="391" customFormat="1" hidden="1" x14ac:dyDescent="0.25">
      <c r="E68" s="337"/>
      <c r="H68" s="393" t="s">
        <v>31</v>
      </c>
      <c r="M68" s="1001"/>
    </row>
    <row r="69" spans="1:26" s="391" customFormat="1" hidden="1" x14ac:dyDescent="0.25">
      <c r="E69" s="337"/>
      <c r="H69" s="393" t="s">
        <v>29</v>
      </c>
      <c r="M69" s="1001"/>
    </row>
    <row r="70" spans="1:26" s="391" customFormat="1" hidden="1" x14ac:dyDescent="0.25">
      <c r="E70" s="337"/>
      <c r="H70" s="393" t="s">
        <v>30</v>
      </c>
      <c r="M70" s="1001"/>
    </row>
    <row r="71" spans="1:26" s="391" customFormat="1" hidden="1" x14ac:dyDescent="0.25">
      <c r="E71" s="337"/>
      <c r="H71" s="393" t="s">
        <v>32</v>
      </c>
      <c r="M71" s="1001"/>
    </row>
    <row r="72" spans="1:26" s="391" customFormat="1" hidden="1" x14ac:dyDescent="0.25">
      <c r="E72" s="337"/>
      <c r="H72" s="393" t="s">
        <v>151</v>
      </c>
      <c r="M72" s="1001"/>
    </row>
    <row r="73" spans="1:26" s="391" customFormat="1" hidden="1" x14ac:dyDescent="0.25">
      <c r="B73" s="393"/>
      <c r="E73" s="337"/>
      <c r="H73" s="337"/>
      <c r="M73" s="1001"/>
    </row>
  </sheetData>
  <sheetProtection algorithmName="SHA-512" hashValue="hmqFuI4G/kVidMpwS2WkCkKXAHt5WcPYJOLF/5bvkHZRh7Mdh54lh4sluOA/QpLCLf+u1UYyKIXKUE7olSJGXg==" saltValue="kTHTh8VSStbcgcCvDV65xA==" spinCount="100000" sheet="1" objects="1" scenarios="1"/>
  <dataConsolidate/>
  <customSheetViews>
    <customSheetView guid="{75D6F8CE-A4F4-4FDD-BA92-7996F9E19FA9}" scale="90" showGridLines="0" hiddenRows="1">
      <selection activeCell="O14" sqref="O14"/>
      <pageMargins left="0.25" right="0.25" top="0.75" bottom="0.75" header="0.3" footer="0.3"/>
      <pageSetup scale="75" fitToWidth="0" fitToHeight="0" orientation="portrait" verticalDpi="1200" r:id="rId1"/>
    </customSheetView>
  </customSheetViews>
  <mergeCells count="46">
    <mergeCell ref="B26:D28"/>
    <mergeCell ref="F26:F27"/>
    <mergeCell ref="G26:H26"/>
    <mergeCell ref="I26:I27"/>
    <mergeCell ref="B18:D18"/>
    <mergeCell ref="F18:H18"/>
    <mergeCell ref="I18:K18"/>
    <mergeCell ref="G19:H19"/>
    <mergeCell ref="I19:I20"/>
    <mergeCell ref="J19:K19"/>
    <mergeCell ref="B19:C25"/>
    <mergeCell ref="F19:F20"/>
    <mergeCell ref="B60:G60"/>
    <mergeCell ref="F51:H51"/>
    <mergeCell ref="I51:L51"/>
    <mergeCell ref="H60:L60"/>
    <mergeCell ref="B53:D53"/>
    <mergeCell ref="F53:H53"/>
    <mergeCell ref="I53:L53"/>
    <mergeCell ref="B51:D51"/>
    <mergeCell ref="B43:D43"/>
    <mergeCell ref="F43:H43"/>
    <mergeCell ref="I43:L43"/>
    <mergeCell ref="B32:K32"/>
    <mergeCell ref="B34:J34"/>
    <mergeCell ref="B41:D41"/>
    <mergeCell ref="F41:H41"/>
    <mergeCell ref="I41:L41"/>
    <mergeCell ref="B39:K39"/>
    <mergeCell ref="B33:K33"/>
    <mergeCell ref="B10:K10"/>
    <mergeCell ref="B64:L64"/>
    <mergeCell ref="B29:D30"/>
    <mergeCell ref="B6:J6"/>
    <mergeCell ref="F17:H17"/>
    <mergeCell ref="I17:K17"/>
    <mergeCell ref="B16:C16"/>
    <mergeCell ref="B17:D17"/>
    <mergeCell ref="B7:K7"/>
    <mergeCell ref="B8:K8"/>
    <mergeCell ref="B9:K9"/>
    <mergeCell ref="B13:L13"/>
    <mergeCell ref="B14:L14"/>
    <mergeCell ref="B11:K11"/>
    <mergeCell ref="J26:K26"/>
    <mergeCell ref="D19:D20"/>
  </mergeCells>
  <conditionalFormatting sqref="G45:H47">
    <cfRule type="expression" dxfId="73" priority="331" stopIfTrue="1">
      <formula>$C45&lt;&gt;"Existing"</formula>
    </cfRule>
  </conditionalFormatting>
  <conditionalFormatting sqref="G55:H57">
    <cfRule type="expression" dxfId="72" priority="3">
      <formula>$C55&lt;&gt;"Existing"</formula>
    </cfRule>
  </conditionalFormatting>
  <conditionalFormatting sqref="F45:F47">
    <cfRule type="expression" dxfId="71" priority="2">
      <formula>IF($C45&lt;&gt;"New",TRUE,FALSE)</formula>
    </cfRule>
  </conditionalFormatting>
  <conditionalFormatting sqref="F55:F57">
    <cfRule type="expression" dxfId="70" priority="1">
      <formula>IF($C55&lt;&gt;"New",TRUE,FALSE)</formula>
    </cfRule>
  </conditionalFormatting>
  <dataValidations count="12">
    <dataValidation allowBlank="1" showErrorMessage="1" sqref="J21:J24 G21:G24 B58:O59 B48:O49" xr:uid="{00000000-0002-0000-0800-000000000000}"/>
    <dataValidation type="list" allowBlank="1" showInputMessage="1" sqref="H60" xr:uid="{00000000-0002-0000-0800-000001000000}">
      <formula1>UfactorMethod</formula1>
    </dataValidation>
    <dataValidation type="list" errorStyle="warning" allowBlank="1" showErrorMessage="1" errorTitle="Invalid Entry" error="Please select Nonresidential, Residential, Semiheated, or Unconditioned" sqref="D55:D57 D45:D47" xr:uid="{00000000-0002-0000-0800-000002000000}">
      <formula1>"Nonresidential,Residential,Semiheated,Unconditioned"</formula1>
    </dataValidation>
    <dataValidation type="list" allowBlank="1" showInputMessage="1" showErrorMessage="1" sqref="C55:C57 C45:C47" xr:uid="{00000000-0002-0000-0800-000003000000}">
      <formula1>"New,Existing"</formula1>
    </dataValidation>
    <dataValidation type="list" allowBlank="1" showInputMessage="1" showErrorMessage="1" sqref="B33" xr:uid="{00000000-0002-0000-0800-000004000000}">
      <formula1>BaselineOrientationExemptions</formula1>
    </dataValidation>
    <dataValidation type="list" allowBlank="1" showInputMessage="1" showErrorMessage="1" sqref="F55" xr:uid="{00000000-0002-0000-0800-000005000000}">
      <formula1>IF($C55="New",SkyLightDescs,"")</formula1>
    </dataValidation>
    <dataValidation type="list" allowBlank="1" showInputMessage="1" showErrorMessage="1" sqref="M12 L7:L9 L11" xr:uid="{00000000-0002-0000-0800-000006000000}">
      <formula1>"Yes,No"</formula1>
    </dataValidation>
    <dataValidation type="list" allowBlank="1" showInputMessage="1" showErrorMessage="1" sqref="B55:B57 B45:B47" xr:uid="{00000000-0002-0000-0800-000007000000}">
      <formula1>BuildingIDLookup</formula1>
    </dataValidation>
    <dataValidation type="list" allowBlank="1" sqref="F30:K30" xr:uid="{00000000-0002-0000-0800-000008000000}">
      <formula1>"1 to 5,6 to 10,11 to 15,16 to 25,25 to 50,50 to 100,&gt;100"</formula1>
    </dataValidation>
    <dataValidation type="list" allowBlank="1" sqref="F45:F47" xr:uid="{00000000-0002-0000-0800-000009000000}">
      <formula1>IF($C45="New",VertGlazeDescs,"")</formula1>
    </dataValidation>
    <dataValidation type="list" allowBlank="1" showInputMessage="1" showErrorMessage="1" sqref="L10" xr:uid="{00000000-0002-0000-0800-00000A000000}">
      <formula1>"Yes,No,N/A"</formula1>
    </dataValidation>
    <dataValidation type="list" allowBlank="1" sqref="F56 F57" xr:uid="{00000000-0002-0000-0800-00000B000000}">
      <formula1>IF($C56="New",SkyLightDescs,"")</formula1>
    </dataValidation>
  </dataValidations>
  <pageMargins left="0.25" right="0.25" top="0.75" bottom="0.75" header="0.3" footer="0.3"/>
  <pageSetup scale="75" fitToWidth="0" fitToHeight="0"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5319" r:id="rId5" name="Button 23">
              <controlPr defaultSize="0" print="0" autoFill="0" autoPict="0" macro="[0]!addA">
                <anchor moveWithCells="1">
                  <from>
                    <xdr:col>1</xdr:col>
                    <xdr:colOff>0</xdr:colOff>
                    <xdr:row>47</xdr:row>
                    <xdr:rowOff>171450</xdr:rowOff>
                  </from>
                  <to>
                    <xdr:col>2</xdr:col>
                    <xdr:colOff>409575</xdr:colOff>
                    <xdr:row>47</xdr:row>
                    <xdr:rowOff>438150</xdr:rowOff>
                  </to>
                </anchor>
              </controlPr>
            </control>
          </mc:Choice>
        </mc:AlternateContent>
        <mc:AlternateContent xmlns:mc="http://schemas.openxmlformats.org/markup-compatibility/2006">
          <mc:Choice Requires="x14">
            <control shapeId="55320" r:id="rId6" name="Button 24">
              <controlPr defaultSize="0" print="0" autoFill="0" autoPict="0" macro="[0]!addB">
                <anchor moveWithCells="1">
                  <from>
                    <xdr:col>1</xdr:col>
                    <xdr:colOff>0</xdr:colOff>
                    <xdr:row>57</xdr:row>
                    <xdr:rowOff>152400</xdr:rowOff>
                  </from>
                  <to>
                    <xdr:col>2</xdr:col>
                    <xdr:colOff>400050</xdr:colOff>
                    <xdr:row>57</xdr:row>
                    <xdr:rowOff>438150</xdr:rowOff>
                  </to>
                </anchor>
              </controlPr>
            </control>
          </mc:Choice>
        </mc:AlternateContent>
        <mc:AlternateContent xmlns:mc="http://schemas.openxmlformats.org/markup-compatibility/2006">
          <mc:Choice Requires="x14">
            <control shapeId="55339" r:id="rId7" name="Button 43">
              <controlPr defaultSize="0" print="0" autoFill="0" autoPict="0" macro="[0]!DeleteSome">
                <anchor moveWithCells="1">
                  <from>
                    <xdr:col>2</xdr:col>
                    <xdr:colOff>466725</xdr:colOff>
                    <xdr:row>47</xdr:row>
                    <xdr:rowOff>161925</xdr:rowOff>
                  </from>
                  <to>
                    <xdr:col>4</xdr:col>
                    <xdr:colOff>0</xdr:colOff>
                    <xdr:row>47</xdr:row>
                    <xdr:rowOff>428625</xdr:rowOff>
                  </to>
                </anchor>
              </controlPr>
            </control>
          </mc:Choice>
        </mc:AlternateContent>
        <mc:AlternateContent xmlns:mc="http://schemas.openxmlformats.org/markup-compatibility/2006">
          <mc:Choice Requires="x14">
            <control shapeId="55340" r:id="rId8" name="Button 44">
              <controlPr defaultSize="0" print="0" autoFill="0" autoPict="0" macro="[0]!DeleteSome">
                <anchor moveWithCells="1">
                  <from>
                    <xdr:col>2</xdr:col>
                    <xdr:colOff>476250</xdr:colOff>
                    <xdr:row>57</xdr:row>
                    <xdr:rowOff>152400</xdr:rowOff>
                  </from>
                  <to>
                    <xdr:col>4</xdr:col>
                    <xdr:colOff>0</xdr:colOff>
                    <xdr:row>57</xdr:row>
                    <xdr:rowOff>419100</xdr:rowOff>
                  </to>
                </anchor>
              </controlPr>
            </control>
          </mc:Choice>
        </mc:AlternateContent>
        <mc:AlternateContent xmlns:mc="http://schemas.openxmlformats.org/markup-compatibility/2006">
          <mc:Choice Requires="x14">
            <control shapeId="55342" r:id="rId9" name="Button 46">
              <controlPr defaultSize="0" print="0" autoFill="0" autoPict="0" macro="[0]!Copy_Default_SF_VG_Table">
                <anchor moveWithCells="1">
                  <from>
                    <xdr:col>10</xdr:col>
                    <xdr:colOff>238125</xdr:colOff>
                    <xdr:row>47</xdr:row>
                    <xdr:rowOff>161925</xdr:rowOff>
                  </from>
                  <to>
                    <xdr:col>12</xdr:col>
                    <xdr:colOff>9525</xdr:colOff>
                    <xdr:row>47</xdr:row>
                    <xdr:rowOff>428625</xdr:rowOff>
                  </to>
                </anchor>
              </controlPr>
            </control>
          </mc:Choice>
        </mc:AlternateContent>
        <mc:AlternateContent xmlns:mc="http://schemas.openxmlformats.org/markup-compatibility/2006">
          <mc:Choice Requires="x14">
            <control shapeId="55343" r:id="rId10" name="Button 47">
              <controlPr defaultSize="0" print="0" autoFill="0" autoPict="0" macro="[0]!Copy_Default_SF_S_Table">
                <anchor moveWithCells="1">
                  <from>
                    <xdr:col>10</xdr:col>
                    <xdr:colOff>247650</xdr:colOff>
                    <xdr:row>57</xdr:row>
                    <xdr:rowOff>152400</xdr:rowOff>
                  </from>
                  <to>
                    <xdr:col>12</xdr:col>
                    <xdr:colOff>9525</xdr:colOff>
                    <xdr:row>57</xdr:row>
                    <xdr:rowOff>419100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xr:uid="{00000000-0002-0000-0800-00000C000000}">
          <x14:formula1>
            <xm:f>'Envelope Assumptions'!$AY$2:$BJ$2</xm:f>
          </x14:formula1>
          <xm:sqref>F55</xm:sqref>
        </x14:dataValidation>
        <x14:dataValidation type="list" errorStyle="warning" allowBlank="1" showErrorMessage="1" errorTitle="Invalid Entry" error="Please select Nonresidential, Residential, Semiheated, or Unconditioned" xr:uid="{00000000-0002-0000-0800-00000D000000}">
          <x14:formula1>
            <xm:f>Instructions!$I$37:$I$40</xm:f>
          </x14:formula1>
          <xm:sqref>D45:D47</xm:sqref>
        </x14:dataValidation>
        <x14:dataValidation type="list" allowBlank="1" xr:uid="{00000000-0002-0000-0800-00000E000000}">
          <x14:formula1>
            <xm:f>'Envelope Assumptions'!$AT$2:$AW$2</xm:f>
          </x14:formula1>
          <xm:sqref>F45:F47</xm:sqref>
        </x14:dataValidation>
        <x14:dataValidation type="list" allowBlank="1" showInputMessage="1" showErrorMessage="1" xr:uid="{00000000-0002-0000-0800-00000F000000}">
          <x14:formula1>
            <xm:f>Instructions!$I$33:$I$34</xm:f>
          </x14:formula1>
          <xm:sqref>C45:C47</xm:sqref>
        </x14:dataValidation>
      </x14:dataValidations>
    </ex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C00000"/>
  </sheetPr>
  <dimension ref="A1:BJ38"/>
  <sheetViews>
    <sheetView showGridLines="0" zoomScale="80" zoomScaleNormal="80" zoomScalePageLayoutView="80" workbookViewId="0">
      <pane xSplit="1" ySplit="2" topLeftCell="AN3" activePane="bottomRight" state="frozen"/>
      <selection activeCell="K10" sqref="K10"/>
      <selection pane="topRight" activeCell="K10" sqref="K10"/>
      <selection pane="bottomLeft" activeCell="K10" sqref="K10"/>
      <selection pane="bottomRight" activeCell="BE2" sqref="BE2:BJ2"/>
    </sheetView>
  </sheetViews>
  <sheetFormatPr defaultColWidth="8.7109375" defaultRowHeight="12.75" x14ac:dyDescent="0.25"/>
  <cols>
    <col min="1" max="1" width="10.7109375" style="84" customWidth="1"/>
    <col min="2" max="22" width="18.7109375" style="118" customWidth="1"/>
    <col min="23" max="23" width="4.7109375" style="764" customWidth="1"/>
    <col min="24" max="44" width="10.7109375" style="118" customWidth="1"/>
    <col min="45" max="45" width="4.7109375" style="764" customWidth="1"/>
    <col min="46" max="62" width="10.7109375" style="118" customWidth="1"/>
    <col min="63" max="16384" width="8.7109375" style="118"/>
  </cols>
  <sheetData>
    <row r="1" spans="1:62" ht="32.25" customHeight="1" x14ac:dyDescent="0.25">
      <c r="A1" s="2697" t="s">
        <v>43</v>
      </c>
      <c r="B1" s="2689" t="s">
        <v>4</v>
      </c>
      <c r="C1" s="2689"/>
      <c r="D1" s="2690"/>
      <c r="E1" s="2688" t="s">
        <v>7</v>
      </c>
      <c r="F1" s="2689"/>
      <c r="G1" s="2690"/>
      <c r="H1" s="2688" t="s">
        <v>8</v>
      </c>
      <c r="I1" s="2689"/>
      <c r="J1" s="2690"/>
      <c r="K1" s="2688" t="s">
        <v>21</v>
      </c>
      <c r="L1" s="2689"/>
      <c r="M1" s="2690"/>
      <c r="N1" s="2688" t="s">
        <v>1</v>
      </c>
      <c r="O1" s="2689"/>
      <c r="P1" s="2690"/>
      <c r="Q1" s="2688" t="s">
        <v>912</v>
      </c>
      <c r="R1" s="2689"/>
      <c r="S1" s="2689"/>
      <c r="T1" s="2688" t="s">
        <v>914</v>
      </c>
      <c r="U1" s="2689"/>
      <c r="V1" s="2689"/>
      <c r="W1" s="313"/>
      <c r="X1" s="2698" t="s">
        <v>4</v>
      </c>
      <c r="Y1" s="2699"/>
      <c r="Z1" s="2700"/>
      <c r="AA1" s="2701" t="s">
        <v>7</v>
      </c>
      <c r="AB1" s="2699"/>
      <c r="AC1" s="2702"/>
      <c r="AD1" s="2698" t="s">
        <v>8</v>
      </c>
      <c r="AE1" s="2699"/>
      <c r="AF1" s="2700"/>
      <c r="AG1" s="2701" t="s">
        <v>21</v>
      </c>
      <c r="AH1" s="2699"/>
      <c r="AI1" s="2702"/>
      <c r="AJ1" s="2698" t="s">
        <v>1</v>
      </c>
      <c r="AK1" s="2699"/>
      <c r="AL1" s="2700"/>
      <c r="AM1" s="2688" t="s">
        <v>912</v>
      </c>
      <c r="AN1" s="2689"/>
      <c r="AO1" s="2690"/>
      <c r="AP1" s="2688" t="s">
        <v>913</v>
      </c>
      <c r="AQ1" s="2689"/>
      <c r="AR1" s="2690"/>
      <c r="AT1" s="2691" t="s">
        <v>9</v>
      </c>
      <c r="AU1" s="2692"/>
      <c r="AV1" s="2692"/>
      <c r="AW1" s="2679"/>
      <c r="AX1" s="2693" t="s">
        <v>11</v>
      </c>
      <c r="AY1" s="2691" t="s">
        <v>1130</v>
      </c>
      <c r="AZ1" s="2695"/>
      <c r="BA1" s="2695"/>
      <c r="BB1" s="2695"/>
      <c r="BC1" s="2695"/>
      <c r="BD1" s="2696"/>
      <c r="BE1" s="2691" t="s">
        <v>1131</v>
      </c>
      <c r="BF1" s="2695"/>
      <c r="BG1" s="2695"/>
      <c r="BH1" s="2695"/>
      <c r="BI1" s="2695"/>
      <c r="BJ1" s="2696"/>
    </row>
    <row r="2" spans="1:62" s="83" customFormat="1" ht="95.25" customHeight="1" x14ac:dyDescent="0.25">
      <c r="A2" s="2697"/>
      <c r="B2" s="338" t="s">
        <v>24</v>
      </c>
      <c r="C2" s="339" t="s">
        <v>26</v>
      </c>
      <c r="D2" s="340" t="s">
        <v>59</v>
      </c>
      <c r="E2" s="305" t="s">
        <v>24</v>
      </c>
      <c r="F2" s="316" t="s">
        <v>26</v>
      </c>
      <c r="G2" s="306" t="s">
        <v>59</v>
      </c>
      <c r="H2" s="305" t="s">
        <v>24</v>
      </c>
      <c r="I2" s="316" t="s">
        <v>26</v>
      </c>
      <c r="J2" s="306" t="s">
        <v>59</v>
      </c>
      <c r="K2" s="305" t="s">
        <v>24</v>
      </c>
      <c r="L2" s="316" t="s">
        <v>26</v>
      </c>
      <c r="M2" s="306" t="s">
        <v>59</v>
      </c>
      <c r="N2" s="305" t="s">
        <v>24</v>
      </c>
      <c r="O2" s="316" t="s">
        <v>26</v>
      </c>
      <c r="P2" s="306" t="s">
        <v>59</v>
      </c>
      <c r="Q2" s="305" t="s">
        <v>24</v>
      </c>
      <c r="R2" s="316" t="s">
        <v>26</v>
      </c>
      <c r="S2" s="316" t="s">
        <v>59</v>
      </c>
      <c r="T2" s="316" t="s">
        <v>24</v>
      </c>
      <c r="U2" s="316" t="s">
        <v>26</v>
      </c>
      <c r="V2" s="306" t="s">
        <v>59</v>
      </c>
      <c r="W2" s="314"/>
      <c r="X2" s="317" t="s">
        <v>24</v>
      </c>
      <c r="Y2" s="318" t="s">
        <v>26</v>
      </c>
      <c r="Z2" s="319" t="s">
        <v>59</v>
      </c>
      <c r="AA2" s="320" t="s">
        <v>24</v>
      </c>
      <c r="AB2" s="318" t="s">
        <v>26</v>
      </c>
      <c r="AC2" s="321" t="s">
        <v>59</v>
      </c>
      <c r="AD2" s="341" t="s">
        <v>24</v>
      </c>
      <c r="AE2" s="342" t="s">
        <v>26</v>
      </c>
      <c r="AF2" s="343" t="s">
        <v>59</v>
      </c>
      <c r="AG2" s="344" t="s">
        <v>24</v>
      </c>
      <c r="AH2" s="342" t="s">
        <v>26</v>
      </c>
      <c r="AI2" s="345" t="s">
        <v>59</v>
      </c>
      <c r="AJ2" s="341" t="s">
        <v>24</v>
      </c>
      <c r="AK2" s="342" t="s">
        <v>26</v>
      </c>
      <c r="AL2" s="343" t="s">
        <v>59</v>
      </c>
      <c r="AM2" s="346" t="s">
        <v>24</v>
      </c>
      <c r="AN2" s="347" t="s">
        <v>26</v>
      </c>
      <c r="AO2" s="348" t="s">
        <v>59</v>
      </c>
      <c r="AP2" s="346" t="s">
        <v>24</v>
      </c>
      <c r="AQ2" s="347" t="s">
        <v>26</v>
      </c>
      <c r="AR2" s="348" t="s">
        <v>59</v>
      </c>
      <c r="AS2" s="765"/>
      <c r="AT2" s="309" t="s">
        <v>33</v>
      </c>
      <c r="AU2" s="310" t="s">
        <v>34</v>
      </c>
      <c r="AV2" s="310" t="s">
        <v>35</v>
      </c>
      <c r="AW2" s="310" t="s">
        <v>36</v>
      </c>
      <c r="AX2" s="2694"/>
      <c r="AY2" s="746" t="s">
        <v>37</v>
      </c>
      <c r="AZ2" s="747" t="s">
        <v>38</v>
      </c>
      <c r="BA2" s="747" t="s">
        <v>39</v>
      </c>
      <c r="BB2" s="747" t="s">
        <v>40</v>
      </c>
      <c r="BC2" s="747" t="s">
        <v>41</v>
      </c>
      <c r="BD2" s="311" t="s">
        <v>42</v>
      </c>
      <c r="BE2" s="746" t="s">
        <v>37</v>
      </c>
      <c r="BF2" s="747" t="s">
        <v>38</v>
      </c>
      <c r="BG2" s="747" t="s">
        <v>39</v>
      </c>
      <c r="BH2" s="747" t="s">
        <v>40</v>
      </c>
      <c r="BI2" s="747" t="s">
        <v>41</v>
      </c>
      <c r="BJ2" s="311" t="s">
        <v>42</v>
      </c>
    </row>
    <row r="3" spans="1:62" s="312" customFormat="1" ht="60" x14ac:dyDescent="0.25">
      <c r="A3" s="329" t="s">
        <v>821</v>
      </c>
      <c r="B3" s="333" t="s">
        <v>224</v>
      </c>
      <c r="C3" s="322" t="s">
        <v>225</v>
      </c>
      <c r="D3" s="322" t="s">
        <v>226</v>
      </c>
      <c r="E3" s="322" t="s">
        <v>231</v>
      </c>
      <c r="F3" s="322" t="s">
        <v>231</v>
      </c>
      <c r="G3" s="322" t="s">
        <v>232</v>
      </c>
      <c r="H3" s="322" t="s">
        <v>237</v>
      </c>
      <c r="I3" s="322" t="s">
        <v>237</v>
      </c>
      <c r="J3" s="322" t="s">
        <v>237</v>
      </c>
      <c r="K3" s="322" t="s">
        <v>212</v>
      </c>
      <c r="L3" s="322" t="s">
        <v>212</v>
      </c>
      <c r="M3" s="322" t="s">
        <v>212</v>
      </c>
      <c r="N3" s="322" t="s">
        <v>217</v>
      </c>
      <c r="O3" s="322" t="s">
        <v>217</v>
      </c>
      <c r="P3" s="322" t="s">
        <v>217</v>
      </c>
      <c r="Q3" s="322" t="s">
        <v>221</v>
      </c>
      <c r="R3" s="322" t="s">
        <v>221</v>
      </c>
      <c r="S3" s="322" t="s">
        <v>221</v>
      </c>
      <c r="T3" s="322" t="s">
        <v>222</v>
      </c>
      <c r="U3" s="322" t="s">
        <v>222</v>
      </c>
      <c r="V3" s="322" t="s">
        <v>222</v>
      </c>
      <c r="W3" s="766"/>
      <c r="X3" s="322" t="s">
        <v>182</v>
      </c>
      <c r="Y3" s="322" t="s">
        <v>183</v>
      </c>
      <c r="Z3" s="322" t="s">
        <v>184</v>
      </c>
      <c r="AA3" s="322" t="s">
        <v>185</v>
      </c>
      <c r="AB3" s="322" t="s">
        <v>185</v>
      </c>
      <c r="AC3" s="322" t="s">
        <v>186</v>
      </c>
      <c r="AD3" s="322" t="s">
        <v>197</v>
      </c>
      <c r="AE3" s="322" t="s">
        <v>197</v>
      </c>
      <c r="AF3" s="322" t="s">
        <v>197</v>
      </c>
      <c r="AG3" s="322" t="s">
        <v>187</v>
      </c>
      <c r="AH3" s="322" t="s">
        <v>187</v>
      </c>
      <c r="AI3" s="322" t="s">
        <v>187</v>
      </c>
      <c r="AJ3" s="322" t="s">
        <v>188</v>
      </c>
      <c r="AK3" s="322" t="s">
        <v>188</v>
      </c>
      <c r="AL3" s="322" t="s">
        <v>188</v>
      </c>
      <c r="AM3" s="322" t="s">
        <v>189</v>
      </c>
      <c r="AN3" s="322" t="s">
        <v>189</v>
      </c>
      <c r="AO3" s="322" t="s">
        <v>189</v>
      </c>
      <c r="AP3" s="322" t="s">
        <v>190</v>
      </c>
      <c r="AQ3" s="322" t="s">
        <v>190</v>
      </c>
      <c r="AR3" s="322" t="s">
        <v>190</v>
      </c>
      <c r="AS3" s="766"/>
      <c r="AT3" s="322">
        <v>1.2</v>
      </c>
      <c r="AU3" s="322">
        <v>1.2</v>
      </c>
      <c r="AV3" s="322">
        <v>1.2</v>
      </c>
      <c r="AW3" s="322">
        <v>1.2</v>
      </c>
      <c r="AX3" s="322">
        <v>0.25</v>
      </c>
      <c r="AY3" s="322">
        <v>1.98</v>
      </c>
      <c r="AZ3" s="322">
        <v>1.98</v>
      </c>
      <c r="BA3" s="322">
        <v>1.9</v>
      </c>
      <c r="BB3" s="322">
        <v>1.9</v>
      </c>
      <c r="BC3" s="322">
        <v>1.36</v>
      </c>
      <c r="BD3" s="322">
        <v>1.36</v>
      </c>
      <c r="BE3" s="322">
        <v>0.36</v>
      </c>
      <c r="BF3" s="322">
        <v>0.19</v>
      </c>
      <c r="BG3" s="322">
        <v>0.34</v>
      </c>
      <c r="BH3" s="322">
        <v>0.27</v>
      </c>
      <c r="BI3" s="322">
        <v>0.36</v>
      </c>
      <c r="BJ3" s="323">
        <v>0.19</v>
      </c>
    </row>
    <row r="4" spans="1:62" s="312" customFormat="1" ht="59.25" customHeight="1" x14ac:dyDescent="0.25">
      <c r="A4" s="330" t="s">
        <v>822</v>
      </c>
      <c r="B4" s="334" t="s">
        <v>818</v>
      </c>
      <c r="C4" s="315" t="s">
        <v>819</v>
      </c>
      <c r="D4" s="315" t="s">
        <v>820</v>
      </c>
      <c r="E4" s="315" t="s">
        <v>823</v>
      </c>
      <c r="F4" s="315" t="s">
        <v>823</v>
      </c>
      <c r="G4" s="315" t="s">
        <v>824</v>
      </c>
      <c r="H4" s="315" t="s">
        <v>825</v>
      </c>
      <c r="I4" s="315" t="s">
        <v>825</v>
      </c>
      <c r="J4" s="315" t="s">
        <v>825</v>
      </c>
      <c r="K4" s="315" t="s">
        <v>826</v>
      </c>
      <c r="L4" s="315" t="s">
        <v>826</v>
      </c>
      <c r="M4" s="315" t="s">
        <v>826</v>
      </c>
      <c r="N4" s="315" t="s">
        <v>827</v>
      </c>
      <c r="O4" s="315" t="s">
        <v>827</v>
      </c>
      <c r="P4" s="315" t="s">
        <v>827</v>
      </c>
      <c r="Q4" s="315" t="s">
        <v>828</v>
      </c>
      <c r="R4" s="315" t="s">
        <v>828</v>
      </c>
      <c r="S4" s="315" t="s">
        <v>828</v>
      </c>
      <c r="T4" s="315" t="s">
        <v>829</v>
      </c>
      <c r="U4" s="315" t="s">
        <v>829</v>
      </c>
      <c r="V4" s="315" t="s">
        <v>829</v>
      </c>
      <c r="W4" s="766"/>
      <c r="X4" s="315" t="s">
        <v>830</v>
      </c>
      <c r="Y4" s="315" t="s">
        <v>831</v>
      </c>
      <c r="Z4" s="315" t="s">
        <v>832</v>
      </c>
      <c r="AA4" s="315" t="s">
        <v>833</v>
      </c>
      <c r="AB4" s="315" t="s">
        <v>833</v>
      </c>
      <c r="AC4" s="315" t="s">
        <v>834</v>
      </c>
      <c r="AD4" s="315" t="s">
        <v>835</v>
      </c>
      <c r="AE4" s="315" t="s">
        <v>835</v>
      </c>
      <c r="AF4" s="315" t="s">
        <v>835</v>
      </c>
      <c r="AG4" s="315" t="s">
        <v>836</v>
      </c>
      <c r="AH4" s="315" t="s">
        <v>836</v>
      </c>
      <c r="AI4" s="315" t="s">
        <v>836</v>
      </c>
      <c r="AJ4" s="315" t="s">
        <v>837</v>
      </c>
      <c r="AK4" s="315" t="s">
        <v>837</v>
      </c>
      <c r="AL4" s="315" t="s">
        <v>837</v>
      </c>
      <c r="AM4" s="315" t="s">
        <v>838</v>
      </c>
      <c r="AN4" s="315" t="s">
        <v>838</v>
      </c>
      <c r="AO4" s="315" t="s">
        <v>838</v>
      </c>
      <c r="AP4" s="315" t="s">
        <v>839</v>
      </c>
      <c r="AQ4" s="315" t="s">
        <v>839</v>
      </c>
      <c r="AR4" s="315" t="s">
        <v>839</v>
      </c>
      <c r="AS4" s="766"/>
      <c r="AT4" s="315">
        <v>6.81</v>
      </c>
      <c r="AU4" s="315">
        <v>6.81</v>
      </c>
      <c r="AV4" s="315">
        <v>6.81</v>
      </c>
      <c r="AW4" s="315">
        <v>6.81</v>
      </c>
      <c r="AX4" s="315">
        <v>0.25</v>
      </c>
      <c r="AY4" s="315">
        <v>11.24</v>
      </c>
      <c r="AZ4" s="315">
        <v>11.24</v>
      </c>
      <c r="BA4" s="315">
        <v>10.79</v>
      </c>
      <c r="BB4" s="315">
        <v>10.79</v>
      </c>
      <c r="BC4" s="315">
        <v>7.72</v>
      </c>
      <c r="BD4" s="315">
        <v>7.72</v>
      </c>
      <c r="BE4" s="315">
        <v>0.36</v>
      </c>
      <c r="BF4" s="315">
        <v>0.19</v>
      </c>
      <c r="BG4" s="315">
        <v>0.34</v>
      </c>
      <c r="BH4" s="315">
        <v>0.27</v>
      </c>
      <c r="BI4" s="315">
        <v>0.36</v>
      </c>
      <c r="BJ4" s="324">
        <v>0.19</v>
      </c>
    </row>
    <row r="5" spans="1:62" s="312" customFormat="1" ht="60" x14ac:dyDescent="0.25">
      <c r="A5" s="331" t="s">
        <v>878</v>
      </c>
      <c r="B5" s="335" t="s">
        <v>224</v>
      </c>
      <c r="C5" s="325" t="s">
        <v>225</v>
      </c>
      <c r="D5" s="325" t="s">
        <v>226</v>
      </c>
      <c r="E5" s="325" t="s">
        <v>231</v>
      </c>
      <c r="F5" s="325" t="s">
        <v>231</v>
      </c>
      <c r="G5" s="325" t="s">
        <v>232</v>
      </c>
      <c r="H5" s="325" t="s">
        <v>237</v>
      </c>
      <c r="I5" s="325" t="s">
        <v>237</v>
      </c>
      <c r="J5" s="325" t="s">
        <v>237</v>
      </c>
      <c r="K5" s="325" t="s">
        <v>212</v>
      </c>
      <c r="L5" s="325" t="s">
        <v>212</v>
      </c>
      <c r="M5" s="325" t="s">
        <v>212</v>
      </c>
      <c r="N5" s="325" t="s">
        <v>217</v>
      </c>
      <c r="O5" s="325" t="s">
        <v>217</v>
      </c>
      <c r="P5" s="325" t="s">
        <v>217</v>
      </c>
      <c r="Q5" s="325" t="s">
        <v>221</v>
      </c>
      <c r="R5" s="325" t="s">
        <v>221</v>
      </c>
      <c r="S5" s="325" t="s">
        <v>221</v>
      </c>
      <c r="T5" s="325" t="s">
        <v>222</v>
      </c>
      <c r="U5" s="325" t="s">
        <v>222</v>
      </c>
      <c r="V5" s="325" t="s">
        <v>222</v>
      </c>
      <c r="W5" s="766"/>
      <c r="X5" s="325" t="s">
        <v>182</v>
      </c>
      <c r="Y5" s="325" t="s">
        <v>183</v>
      </c>
      <c r="Z5" s="325" t="s">
        <v>184</v>
      </c>
      <c r="AA5" s="325" t="s">
        <v>185</v>
      </c>
      <c r="AB5" s="325" t="s">
        <v>185</v>
      </c>
      <c r="AC5" s="325" t="s">
        <v>186</v>
      </c>
      <c r="AD5" s="325" t="s">
        <v>197</v>
      </c>
      <c r="AE5" s="325" t="s">
        <v>197</v>
      </c>
      <c r="AF5" s="325" t="s">
        <v>197</v>
      </c>
      <c r="AG5" s="325" t="s">
        <v>187</v>
      </c>
      <c r="AH5" s="325" t="s">
        <v>187</v>
      </c>
      <c r="AI5" s="325" t="s">
        <v>187</v>
      </c>
      <c r="AJ5" s="325" t="s">
        <v>188</v>
      </c>
      <c r="AK5" s="325" t="s">
        <v>188</v>
      </c>
      <c r="AL5" s="325" t="s">
        <v>188</v>
      </c>
      <c r="AM5" s="325" t="s">
        <v>189</v>
      </c>
      <c r="AN5" s="325" t="s">
        <v>189</v>
      </c>
      <c r="AO5" s="325" t="s">
        <v>189</v>
      </c>
      <c r="AP5" s="325" t="s">
        <v>190</v>
      </c>
      <c r="AQ5" s="325" t="s">
        <v>190</v>
      </c>
      <c r="AR5" s="325" t="s">
        <v>190</v>
      </c>
      <c r="AS5" s="766"/>
      <c r="AT5" s="325">
        <v>1.2</v>
      </c>
      <c r="AU5" s="325">
        <v>1.2</v>
      </c>
      <c r="AV5" s="325">
        <v>1.2</v>
      </c>
      <c r="AW5" s="325">
        <v>1.2</v>
      </c>
      <c r="AX5" s="325">
        <v>0.25</v>
      </c>
      <c r="AY5" s="325">
        <v>1.98</v>
      </c>
      <c r="AZ5" s="325">
        <v>1.98</v>
      </c>
      <c r="BA5" s="325">
        <v>1.9</v>
      </c>
      <c r="BB5" s="325">
        <v>1.9</v>
      </c>
      <c r="BC5" s="325">
        <v>1.36</v>
      </c>
      <c r="BD5" s="325">
        <v>1.36</v>
      </c>
      <c r="BE5" s="325">
        <v>0.36</v>
      </c>
      <c r="BF5" s="325">
        <v>0.19</v>
      </c>
      <c r="BG5" s="325">
        <v>0.34</v>
      </c>
      <c r="BH5" s="325">
        <v>0.27</v>
      </c>
      <c r="BI5" s="325">
        <v>0.36</v>
      </c>
      <c r="BJ5" s="326">
        <v>0.19</v>
      </c>
    </row>
    <row r="6" spans="1:62" s="312" customFormat="1" ht="67.5" customHeight="1" x14ac:dyDescent="0.25">
      <c r="A6" s="330" t="s">
        <v>911</v>
      </c>
      <c r="B6" s="334" t="s">
        <v>818</v>
      </c>
      <c r="C6" s="315" t="s">
        <v>819</v>
      </c>
      <c r="D6" s="315" t="s">
        <v>820</v>
      </c>
      <c r="E6" s="315" t="s">
        <v>823</v>
      </c>
      <c r="F6" s="315" t="s">
        <v>823</v>
      </c>
      <c r="G6" s="315" t="s">
        <v>824</v>
      </c>
      <c r="H6" s="315" t="s">
        <v>825</v>
      </c>
      <c r="I6" s="315" t="s">
        <v>825</v>
      </c>
      <c r="J6" s="315" t="s">
        <v>825</v>
      </c>
      <c r="K6" s="315" t="s">
        <v>826</v>
      </c>
      <c r="L6" s="315" t="s">
        <v>826</v>
      </c>
      <c r="M6" s="315" t="s">
        <v>826</v>
      </c>
      <c r="N6" s="315" t="s">
        <v>827</v>
      </c>
      <c r="O6" s="315" t="s">
        <v>827</v>
      </c>
      <c r="P6" s="315" t="s">
        <v>827</v>
      </c>
      <c r="Q6" s="315" t="s">
        <v>828</v>
      </c>
      <c r="R6" s="315" t="s">
        <v>828</v>
      </c>
      <c r="S6" s="315" t="s">
        <v>828</v>
      </c>
      <c r="T6" s="315" t="s">
        <v>829</v>
      </c>
      <c r="U6" s="315" t="s">
        <v>829</v>
      </c>
      <c r="V6" s="315" t="s">
        <v>829</v>
      </c>
      <c r="W6" s="766"/>
      <c r="X6" s="315" t="s">
        <v>830</v>
      </c>
      <c r="Y6" s="315" t="s">
        <v>831</v>
      </c>
      <c r="Z6" s="315" t="s">
        <v>832</v>
      </c>
      <c r="AA6" s="315" t="s">
        <v>833</v>
      </c>
      <c r="AB6" s="315" t="s">
        <v>833</v>
      </c>
      <c r="AC6" s="315" t="s">
        <v>834</v>
      </c>
      <c r="AD6" s="315" t="s">
        <v>835</v>
      </c>
      <c r="AE6" s="315" t="s">
        <v>835</v>
      </c>
      <c r="AF6" s="315" t="s">
        <v>835</v>
      </c>
      <c r="AG6" s="315" t="s">
        <v>836</v>
      </c>
      <c r="AH6" s="315" t="s">
        <v>836</v>
      </c>
      <c r="AI6" s="315" t="s">
        <v>836</v>
      </c>
      <c r="AJ6" s="315" t="s">
        <v>837</v>
      </c>
      <c r="AK6" s="315" t="s">
        <v>837</v>
      </c>
      <c r="AL6" s="315" t="s">
        <v>837</v>
      </c>
      <c r="AM6" s="315" t="s">
        <v>838</v>
      </c>
      <c r="AN6" s="315" t="s">
        <v>838</v>
      </c>
      <c r="AO6" s="315" t="s">
        <v>838</v>
      </c>
      <c r="AP6" s="315" t="s">
        <v>839</v>
      </c>
      <c r="AQ6" s="315" t="s">
        <v>839</v>
      </c>
      <c r="AR6" s="315" t="s">
        <v>839</v>
      </c>
      <c r="AS6" s="766"/>
      <c r="AT6" s="315">
        <v>6.81</v>
      </c>
      <c r="AU6" s="315">
        <v>6.81</v>
      </c>
      <c r="AV6" s="315">
        <v>6.81</v>
      </c>
      <c r="AW6" s="315">
        <v>6.81</v>
      </c>
      <c r="AX6" s="315">
        <v>0.25</v>
      </c>
      <c r="AY6" s="315">
        <v>11.24</v>
      </c>
      <c r="AZ6" s="315">
        <v>11.24</v>
      </c>
      <c r="BA6" s="315">
        <v>10.79</v>
      </c>
      <c r="BB6" s="315">
        <v>10.79</v>
      </c>
      <c r="BC6" s="315">
        <v>7.72</v>
      </c>
      <c r="BD6" s="315">
        <v>7.72</v>
      </c>
      <c r="BE6" s="315">
        <v>0.36</v>
      </c>
      <c r="BF6" s="315">
        <v>0.19</v>
      </c>
      <c r="BG6" s="315">
        <v>0.34</v>
      </c>
      <c r="BH6" s="315">
        <v>0.27</v>
      </c>
      <c r="BI6" s="315">
        <v>0.36</v>
      </c>
      <c r="BJ6" s="324">
        <v>0.19</v>
      </c>
    </row>
    <row r="7" spans="1:62" s="312" customFormat="1" ht="60" x14ac:dyDescent="0.25">
      <c r="A7" s="331" t="s">
        <v>879</v>
      </c>
      <c r="B7" s="335" t="s">
        <v>225</v>
      </c>
      <c r="C7" s="325" t="s">
        <v>225</v>
      </c>
      <c r="D7" s="325" t="s">
        <v>226</v>
      </c>
      <c r="E7" s="325" t="s">
        <v>231</v>
      </c>
      <c r="F7" s="325" t="s">
        <v>233</v>
      </c>
      <c r="G7" s="325" t="s">
        <v>231</v>
      </c>
      <c r="H7" s="325" t="s">
        <v>237</v>
      </c>
      <c r="I7" s="325" t="s">
        <v>237</v>
      </c>
      <c r="J7" s="325" t="s">
        <v>237</v>
      </c>
      <c r="K7" s="325" t="s">
        <v>213</v>
      </c>
      <c r="L7" s="325" t="s">
        <v>213</v>
      </c>
      <c r="M7" s="325" t="s">
        <v>214</v>
      </c>
      <c r="N7" s="325" t="s">
        <v>217</v>
      </c>
      <c r="O7" s="325" t="s">
        <v>217</v>
      </c>
      <c r="P7" s="325" t="s">
        <v>217</v>
      </c>
      <c r="Q7" s="325" t="s">
        <v>221</v>
      </c>
      <c r="R7" s="325" t="s">
        <v>221</v>
      </c>
      <c r="S7" s="325" t="s">
        <v>221</v>
      </c>
      <c r="T7" s="325" t="s">
        <v>222</v>
      </c>
      <c r="U7" s="325" t="s">
        <v>223</v>
      </c>
      <c r="V7" s="325" t="s">
        <v>222</v>
      </c>
      <c r="W7" s="766"/>
      <c r="X7" s="325" t="s">
        <v>183</v>
      </c>
      <c r="Y7" s="325" t="s">
        <v>183</v>
      </c>
      <c r="Z7" s="325" t="s">
        <v>184</v>
      </c>
      <c r="AA7" s="325" t="s">
        <v>185</v>
      </c>
      <c r="AB7" s="325" t="s">
        <v>191</v>
      </c>
      <c r="AC7" s="325" t="s">
        <v>185</v>
      </c>
      <c r="AD7" s="325" t="s">
        <v>197</v>
      </c>
      <c r="AE7" s="325" t="s">
        <v>197</v>
      </c>
      <c r="AF7" s="325" t="s">
        <v>197</v>
      </c>
      <c r="AG7" s="325" t="s">
        <v>192</v>
      </c>
      <c r="AH7" s="325" t="s">
        <v>192</v>
      </c>
      <c r="AI7" s="325" t="s">
        <v>193</v>
      </c>
      <c r="AJ7" s="325" t="s">
        <v>188</v>
      </c>
      <c r="AK7" s="325" t="s">
        <v>188</v>
      </c>
      <c r="AL7" s="325" t="s">
        <v>188</v>
      </c>
      <c r="AM7" s="325" t="s">
        <v>189</v>
      </c>
      <c r="AN7" s="325" t="s">
        <v>189</v>
      </c>
      <c r="AO7" s="325" t="s">
        <v>189</v>
      </c>
      <c r="AP7" s="325" t="s">
        <v>190</v>
      </c>
      <c r="AQ7" s="325" t="s">
        <v>194</v>
      </c>
      <c r="AR7" s="325" t="s">
        <v>190</v>
      </c>
      <c r="AS7" s="766"/>
      <c r="AT7" s="325">
        <v>0.75</v>
      </c>
      <c r="AU7" s="325">
        <v>0.7</v>
      </c>
      <c r="AV7" s="325">
        <v>1.1000000000000001</v>
      </c>
      <c r="AW7" s="325">
        <v>0.75</v>
      </c>
      <c r="AX7" s="325">
        <v>0.25</v>
      </c>
      <c r="AY7" s="325">
        <v>1.98</v>
      </c>
      <c r="AZ7" s="325">
        <v>1.98</v>
      </c>
      <c r="BA7" s="325">
        <v>1.9</v>
      </c>
      <c r="BB7" s="325">
        <v>1.9</v>
      </c>
      <c r="BC7" s="325">
        <v>1.36</v>
      </c>
      <c r="BD7" s="325">
        <v>1.36</v>
      </c>
      <c r="BE7" s="325">
        <v>0.36</v>
      </c>
      <c r="BF7" s="325">
        <v>0.19</v>
      </c>
      <c r="BG7" s="325">
        <v>0.39</v>
      </c>
      <c r="BH7" s="325">
        <v>0.34</v>
      </c>
      <c r="BI7" s="325">
        <v>0.36</v>
      </c>
      <c r="BJ7" s="326">
        <v>0.19</v>
      </c>
    </row>
    <row r="8" spans="1:62" s="312" customFormat="1" ht="72" x14ac:dyDescent="0.25">
      <c r="A8" s="330" t="s">
        <v>910</v>
      </c>
      <c r="B8" s="334" t="s">
        <v>819</v>
      </c>
      <c r="C8" s="315" t="s">
        <v>819</v>
      </c>
      <c r="D8" s="315" t="s">
        <v>820</v>
      </c>
      <c r="E8" s="315" t="s">
        <v>823</v>
      </c>
      <c r="F8" s="315" t="s">
        <v>840</v>
      </c>
      <c r="G8" s="315" t="s">
        <v>823</v>
      </c>
      <c r="H8" s="315" t="s">
        <v>825</v>
      </c>
      <c r="I8" s="315" t="s">
        <v>825</v>
      </c>
      <c r="J8" s="315" t="s">
        <v>825</v>
      </c>
      <c r="K8" s="315" t="s">
        <v>841</v>
      </c>
      <c r="L8" s="315" t="s">
        <v>841</v>
      </c>
      <c r="M8" s="315" t="s">
        <v>842</v>
      </c>
      <c r="N8" s="315" t="s">
        <v>827</v>
      </c>
      <c r="O8" s="315" t="s">
        <v>827</v>
      </c>
      <c r="P8" s="315" t="s">
        <v>827</v>
      </c>
      <c r="Q8" s="315" t="s">
        <v>828</v>
      </c>
      <c r="R8" s="315" t="s">
        <v>828</v>
      </c>
      <c r="S8" s="315" t="s">
        <v>828</v>
      </c>
      <c r="T8" s="315" t="s">
        <v>829</v>
      </c>
      <c r="U8" s="315" t="s">
        <v>843</v>
      </c>
      <c r="V8" s="315" t="s">
        <v>829</v>
      </c>
      <c r="W8" s="766"/>
      <c r="X8" s="315" t="s">
        <v>831</v>
      </c>
      <c r="Y8" s="315" t="s">
        <v>831</v>
      </c>
      <c r="Z8" s="315" t="s">
        <v>832</v>
      </c>
      <c r="AA8" s="315" t="s">
        <v>833</v>
      </c>
      <c r="AB8" s="315" t="s">
        <v>844</v>
      </c>
      <c r="AC8" s="315" t="s">
        <v>833</v>
      </c>
      <c r="AD8" s="315" t="s">
        <v>835</v>
      </c>
      <c r="AE8" s="315" t="s">
        <v>835</v>
      </c>
      <c r="AF8" s="315" t="s">
        <v>835</v>
      </c>
      <c r="AG8" s="315" t="s">
        <v>845</v>
      </c>
      <c r="AH8" s="315" t="s">
        <v>845</v>
      </c>
      <c r="AI8" s="315" t="s">
        <v>846</v>
      </c>
      <c r="AJ8" s="315" t="s">
        <v>837</v>
      </c>
      <c r="AK8" s="315" t="s">
        <v>837</v>
      </c>
      <c r="AL8" s="315" t="s">
        <v>837</v>
      </c>
      <c r="AM8" s="315" t="s">
        <v>838</v>
      </c>
      <c r="AN8" s="315" t="s">
        <v>838</v>
      </c>
      <c r="AO8" s="315" t="s">
        <v>838</v>
      </c>
      <c r="AP8" s="315" t="s">
        <v>839</v>
      </c>
      <c r="AQ8" s="315" t="s">
        <v>847</v>
      </c>
      <c r="AR8" s="315" t="s">
        <v>839</v>
      </c>
      <c r="AS8" s="766"/>
      <c r="AT8" s="315">
        <v>4.26</v>
      </c>
      <c r="AU8" s="315">
        <v>3.97</v>
      </c>
      <c r="AV8" s="315">
        <v>6.25</v>
      </c>
      <c r="AW8" s="315">
        <v>4.26</v>
      </c>
      <c r="AX8" s="315">
        <v>0.25</v>
      </c>
      <c r="AY8" s="315">
        <v>11.24</v>
      </c>
      <c r="AZ8" s="315">
        <v>11.24</v>
      </c>
      <c r="BA8" s="315">
        <v>10.79</v>
      </c>
      <c r="BB8" s="315">
        <v>10.79</v>
      </c>
      <c r="BC8" s="315">
        <v>7.72</v>
      </c>
      <c r="BD8" s="315">
        <v>7.72</v>
      </c>
      <c r="BE8" s="315">
        <v>0.36</v>
      </c>
      <c r="BF8" s="315">
        <v>0.19</v>
      </c>
      <c r="BG8" s="315">
        <v>0.39</v>
      </c>
      <c r="BH8" s="315">
        <v>0.34</v>
      </c>
      <c r="BI8" s="315">
        <v>0.36</v>
      </c>
      <c r="BJ8" s="324">
        <v>0.19</v>
      </c>
    </row>
    <row r="9" spans="1:62" s="312" customFormat="1" ht="60" x14ac:dyDescent="0.25">
      <c r="A9" s="331" t="s">
        <v>880</v>
      </c>
      <c r="B9" s="335" t="s">
        <v>225</v>
      </c>
      <c r="C9" s="325" t="s">
        <v>225</v>
      </c>
      <c r="D9" s="325" t="s">
        <v>226</v>
      </c>
      <c r="E9" s="325" t="s">
        <v>231</v>
      </c>
      <c r="F9" s="325" t="s">
        <v>233</v>
      </c>
      <c r="G9" s="325" t="s">
        <v>231</v>
      </c>
      <c r="H9" s="325" t="s">
        <v>237</v>
      </c>
      <c r="I9" s="325" t="s">
        <v>237</v>
      </c>
      <c r="J9" s="325" t="s">
        <v>237</v>
      </c>
      <c r="K9" s="325" t="s">
        <v>213</v>
      </c>
      <c r="L9" s="325" t="s">
        <v>213</v>
      </c>
      <c r="M9" s="325" t="s">
        <v>214</v>
      </c>
      <c r="N9" s="325" t="s">
        <v>217</v>
      </c>
      <c r="O9" s="325" t="s">
        <v>217</v>
      </c>
      <c r="P9" s="325" t="s">
        <v>217</v>
      </c>
      <c r="Q9" s="325" t="s">
        <v>221</v>
      </c>
      <c r="R9" s="325" t="s">
        <v>221</v>
      </c>
      <c r="S9" s="325" t="s">
        <v>221</v>
      </c>
      <c r="T9" s="325" t="s">
        <v>222</v>
      </c>
      <c r="U9" s="325" t="s">
        <v>223</v>
      </c>
      <c r="V9" s="325" t="s">
        <v>222</v>
      </c>
      <c r="W9" s="766"/>
      <c r="X9" s="325" t="s">
        <v>183</v>
      </c>
      <c r="Y9" s="325" t="s">
        <v>183</v>
      </c>
      <c r="Z9" s="325" t="s">
        <v>184</v>
      </c>
      <c r="AA9" s="325" t="s">
        <v>185</v>
      </c>
      <c r="AB9" s="325" t="s">
        <v>191</v>
      </c>
      <c r="AC9" s="325" t="s">
        <v>185</v>
      </c>
      <c r="AD9" s="325" t="s">
        <v>197</v>
      </c>
      <c r="AE9" s="325" t="s">
        <v>197</v>
      </c>
      <c r="AF9" s="325" t="s">
        <v>197</v>
      </c>
      <c r="AG9" s="325" t="s">
        <v>192</v>
      </c>
      <c r="AH9" s="325" t="s">
        <v>192</v>
      </c>
      <c r="AI9" s="325" t="s">
        <v>193</v>
      </c>
      <c r="AJ9" s="325" t="s">
        <v>188</v>
      </c>
      <c r="AK9" s="325" t="s">
        <v>188</v>
      </c>
      <c r="AL9" s="325" t="s">
        <v>188</v>
      </c>
      <c r="AM9" s="325" t="s">
        <v>189</v>
      </c>
      <c r="AN9" s="325" t="s">
        <v>189</v>
      </c>
      <c r="AO9" s="325" t="s">
        <v>189</v>
      </c>
      <c r="AP9" s="325" t="s">
        <v>190</v>
      </c>
      <c r="AQ9" s="325" t="s">
        <v>194</v>
      </c>
      <c r="AR9" s="325" t="s">
        <v>190</v>
      </c>
      <c r="AS9" s="766"/>
      <c r="AT9" s="325">
        <v>0.75</v>
      </c>
      <c r="AU9" s="325">
        <v>0.7</v>
      </c>
      <c r="AV9" s="325">
        <v>1.1000000000000001</v>
      </c>
      <c r="AW9" s="325">
        <v>0.75</v>
      </c>
      <c r="AX9" s="325">
        <v>0.25</v>
      </c>
      <c r="AY9" s="325">
        <v>1.98</v>
      </c>
      <c r="AZ9" s="325">
        <v>1.98</v>
      </c>
      <c r="BA9" s="325">
        <v>1.9</v>
      </c>
      <c r="BB9" s="325">
        <v>1.9</v>
      </c>
      <c r="BC9" s="325">
        <v>1.36</v>
      </c>
      <c r="BD9" s="325">
        <v>1.36</v>
      </c>
      <c r="BE9" s="325">
        <v>0.36</v>
      </c>
      <c r="BF9" s="325">
        <v>0.19</v>
      </c>
      <c r="BG9" s="325">
        <v>0.39</v>
      </c>
      <c r="BH9" s="325">
        <v>0.34</v>
      </c>
      <c r="BI9" s="325">
        <v>0.36</v>
      </c>
      <c r="BJ9" s="326">
        <v>0.19</v>
      </c>
    </row>
    <row r="10" spans="1:62" s="312" customFormat="1" ht="72" x14ac:dyDescent="0.25">
      <c r="A10" s="330" t="s">
        <v>909</v>
      </c>
      <c r="B10" s="334" t="s">
        <v>819</v>
      </c>
      <c r="C10" s="315" t="s">
        <v>819</v>
      </c>
      <c r="D10" s="315" t="s">
        <v>820</v>
      </c>
      <c r="E10" s="315" t="s">
        <v>823</v>
      </c>
      <c r="F10" s="315" t="s">
        <v>840</v>
      </c>
      <c r="G10" s="315" t="s">
        <v>823</v>
      </c>
      <c r="H10" s="315" t="s">
        <v>825</v>
      </c>
      <c r="I10" s="315" t="s">
        <v>825</v>
      </c>
      <c r="J10" s="315" t="s">
        <v>825</v>
      </c>
      <c r="K10" s="315" t="s">
        <v>841</v>
      </c>
      <c r="L10" s="315" t="s">
        <v>841</v>
      </c>
      <c r="M10" s="315" t="s">
        <v>842</v>
      </c>
      <c r="N10" s="315" t="s">
        <v>827</v>
      </c>
      <c r="O10" s="315" t="s">
        <v>827</v>
      </c>
      <c r="P10" s="315" t="s">
        <v>827</v>
      </c>
      <c r="Q10" s="315" t="s">
        <v>828</v>
      </c>
      <c r="R10" s="315" t="s">
        <v>828</v>
      </c>
      <c r="S10" s="315" t="s">
        <v>828</v>
      </c>
      <c r="T10" s="315" t="s">
        <v>829</v>
      </c>
      <c r="U10" s="315" t="s">
        <v>843</v>
      </c>
      <c r="V10" s="315" t="s">
        <v>829</v>
      </c>
      <c r="W10" s="766"/>
      <c r="X10" s="315" t="s">
        <v>831</v>
      </c>
      <c r="Y10" s="315" t="s">
        <v>831</v>
      </c>
      <c r="Z10" s="315" t="s">
        <v>832</v>
      </c>
      <c r="AA10" s="315" t="s">
        <v>833</v>
      </c>
      <c r="AB10" s="315" t="s">
        <v>844</v>
      </c>
      <c r="AC10" s="315" t="s">
        <v>833</v>
      </c>
      <c r="AD10" s="315" t="s">
        <v>835</v>
      </c>
      <c r="AE10" s="315" t="s">
        <v>835</v>
      </c>
      <c r="AF10" s="315" t="s">
        <v>835</v>
      </c>
      <c r="AG10" s="315" t="s">
        <v>845</v>
      </c>
      <c r="AH10" s="315" t="s">
        <v>845</v>
      </c>
      <c r="AI10" s="315" t="s">
        <v>846</v>
      </c>
      <c r="AJ10" s="315" t="s">
        <v>837</v>
      </c>
      <c r="AK10" s="315" t="s">
        <v>837</v>
      </c>
      <c r="AL10" s="315" t="s">
        <v>837</v>
      </c>
      <c r="AM10" s="315" t="s">
        <v>838</v>
      </c>
      <c r="AN10" s="315" t="s">
        <v>838</v>
      </c>
      <c r="AO10" s="315" t="s">
        <v>838</v>
      </c>
      <c r="AP10" s="315" t="s">
        <v>839</v>
      </c>
      <c r="AQ10" s="315" t="s">
        <v>847</v>
      </c>
      <c r="AR10" s="315" t="s">
        <v>839</v>
      </c>
      <c r="AS10" s="766"/>
      <c r="AT10" s="315">
        <v>4.26</v>
      </c>
      <c r="AU10" s="315">
        <v>3.97</v>
      </c>
      <c r="AV10" s="315">
        <v>6.25</v>
      </c>
      <c r="AW10" s="315">
        <v>4.26</v>
      </c>
      <c r="AX10" s="315">
        <v>0.25</v>
      </c>
      <c r="AY10" s="315">
        <v>11.24</v>
      </c>
      <c r="AZ10" s="315">
        <v>11.24</v>
      </c>
      <c r="BA10" s="315">
        <v>10.79</v>
      </c>
      <c r="BB10" s="315">
        <v>10.79</v>
      </c>
      <c r="BC10" s="315">
        <v>7.72</v>
      </c>
      <c r="BD10" s="315">
        <v>7.72</v>
      </c>
      <c r="BE10" s="315">
        <v>0.36</v>
      </c>
      <c r="BF10" s="315">
        <v>0.19</v>
      </c>
      <c r="BG10" s="315">
        <v>0.39</v>
      </c>
      <c r="BH10" s="315">
        <v>0.34</v>
      </c>
      <c r="BI10" s="315">
        <v>0.36</v>
      </c>
      <c r="BJ10" s="324">
        <v>0.19</v>
      </c>
    </row>
    <row r="11" spans="1:62" s="312" customFormat="1" ht="60" x14ac:dyDescent="0.25">
      <c r="A11" s="331" t="s">
        <v>881</v>
      </c>
      <c r="B11" s="335" t="s">
        <v>225</v>
      </c>
      <c r="C11" s="325" t="s">
        <v>225</v>
      </c>
      <c r="D11" s="325" t="s">
        <v>227</v>
      </c>
      <c r="E11" s="325" t="s">
        <v>234</v>
      </c>
      <c r="F11" s="325" t="s">
        <v>233</v>
      </c>
      <c r="G11" s="325" t="s">
        <v>231</v>
      </c>
      <c r="H11" s="325" t="s">
        <v>237</v>
      </c>
      <c r="I11" s="325" t="s">
        <v>237</v>
      </c>
      <c r="J11" s="325" t="s">
        <v>237</v>
      </c>
      <c r="K11" s="325" t="s">
        <v>213</v>
      </c>
      <c r="L11" s="325" t="s">
        <v>213</v>
      </c>
      <c r="M11" s="325" t="s">
        <v>214</v>
      </c>
      <c r="N11" s="325" t="s">
        <v>217</v>
      </c>
      <c r="O11" s="325" t="s">
        <v>217</v>
      </c>
      <c r="P11" s="325" t="s">
        <v>217</v>
      </c>
      <c r="Q11" s="325" t="s">
        <v>221</v>
      </c>
      <c r="R11" s="325" t="s">
        <v>221</v>
      </c>
      <c r="S11" s="325" t="s">
        <v>221</v>
      </c>
      <c r="T11" s="325" t="s">
        <v>222</v>
      </c>
      <c r="U11" s="325" t="s">
        <v>223</v>
      </c>
      <c r="V11" s="325" t="s">
        <v>222</v>
      </c>
      <c r="W11" s="766"/>
      <c r="X11" s="325" t="s">
        <v>183</v>
      </c>
      <c r="Y11" s="325" t="s">
        <v>183</v>
      </c>
      <c r="Z11" s="325" t="s">
        <v>195</v>
      </c>
      <c r="AA11" s="325" t="s">
        <v>196</v>
      </c>
      <c r="AB11" s="325" t="s">
        <v>191</v>
      </c>
      <c r="AC11" s="325" t="s">
        <v>185</v>
      </c>
      <c r="AD11" s="325" t="s">
        <v>197</v>
      </c>
      <c r="AE11" s="325" t="s">
        <v>197</v>
      </c>
      <c r="AF11" s="325" t="s">
        <v>197</v>
      </c>
      <c r="AG11" s="325" t="s">
        <v>192</v>
      </c>
      <c r="AH11" s="325" t="s">
        <v>192</v>
      </c>
      <c r="AI11" s="325" t="s">
        <v>193</v>
      </c>
      <c r="AJ11" s="325" t="s">
        <v>188</v>
      </c>
      <c r="AK11" s="325" t="s">
        <v>188</v>
      </c>
      <c r="AL11" s="325" t="s">
        <v>188</v>
      </c>
      <c r="AM11" s="325" t="s">
        <v>189</v>
      </c>
      <c r="AN11" s="325" t="s">
        <v>189</v>
      </c>
      <c r="AO11" s="325" t="s">
        <v>189</v>
      </c>
      <c r="AP11" s="325" t="s">
        <v>190</v>
      </c>
      <c r="AQ11" s="325" t="s">
        <v>194</v>
      </c>
      <c r="AR11" s="325" t="s">
        <v>190</v>
      </c>
      <c r="AS11" s="766"/>
      <c r="AT11" s="325">
        <v>0.65</v>
      </c>
      <c r="AU11" s="325">
        <v>0.6</v>
      </c>
      <c r="AV11" s="325">
        <v>0.9</v>
      </c>
      <c r="AW11" s="325">
        <v>0.65</v>
      </c>
      <c r="AX11" s="325">
        <v>0.25</v>
      </c>
      <c r="AY11" s="325">
        <v>1.17</v>
      </c>
      <c r="AZ11" s="325">
        <v>1.17</v>
      </c>
      <c r="BA11" s="325">
        <v>1.3</v>
      </c>
      <c r="BB11" s="325">
        <v>1.3</v>
      </c>
      <c r="BC11" s="325">
        <v>0.69</v>
      </c>
      <c r="BD11" s="325">
        <v>0.69</v>
      </c>
      <c r="BE11" s="325">
        <v>0.39</v>
      </c>
      <c r="BF11" s="325">
        <v>0.19</v>
      </c>
      <c r="BG11" s="325">
        <v>0.65</v>
      </c>
      <c r="BH11" s="325">
        <v>0.34</v>
      </c>
      <c r="BI11" s="325">
        <v>0.39</v>
      </c>
      <c r="BJ11" s="326">
        <v>0.19</v>
      </c>
    </row>
    <row r="12" spans="1:62" s="312" customFormat="1" ht="72" x14ac:dyDescent="0.25">
      <c r="A12" s="330" t="s">
        <v>908</v>
      </c>
      <c r="B12" s="334" t="s">
        <v>819</v>
      </c>
      <c r="C12" s="315" t="s">
        <v>819</v>
      </c>
      <c r="D12" s="315" t="s">
        <v>848</v>
      </c>
      <c r="E12" s="315" t="s">
        <v>849</v>
      </c>
      <c r="F12" s="315" t="s">
        <v>840</v>
      </c>
      <c r="G12" s="315" t="s">
        <v>823</v>
      </c>
      <c r="H12" s="315" t="s">
        <v>825</v>
      </c>
      <c r="I12" s="315" t="s">
        <v>825</v>
      </c>
      <c r="J12" s="315" t="s">
        <v>825</v>
      </c>
      <c r="K12" s="315" t="s">
        <v>841</v>
      </c>
      <c r="L12" s="315" t="s">
        <v>841</v>
      </c>
      <c r="M12" s="315" t="s">
        <v>842</v>
      </c>
      <c r="N12" s="315" t="s">
        <v>827</v>
      </c>
      <c r="O12" s="315" t="s">
        <v>827</v>
      </c>
      <c r="P12" s="315" t="s">
        <v>827</v>
      </c>
      <c r="Q12" s="315" t="s">
        <v>828</v>
      </c>
      <c r="R12" s="315" t="s">
        <v>828</v>
      </c>
      <c r="S12" s="315" t="s">
        <v>828</v>
      </c>
      <c r="T12" s="315" t="s">
        <v>829</v>
      </c>
      <c r="U12" s="315" t="s">
        <v>843</v>
      </c>
      <c r="V12" s="315" t="s">
        <v>829</v>
      </c>
      <c r="W12" s="766"/>
      <c r="X12" s="315" t="s">
        <v>831</v>
      </c>
      <c r="Y12" s="315" t="s">
        <v>831</v>
      </c>
      <c r="Z12" s="315" t="s">
        <v>850</v>
      </c>
      <c r="AA12" s="315" t="s">
        <v>851</v>
      </c>
      <c r="AB12" s="315" t="s">
        <v>844</v>
      </c>
      <c r="AC12" s="315" t="s">
        <v>833</v>
      </c>
      <c r="AD12" s="315" t="s">
        <v>835</v>
      </c>
      <c r="AE12" s="315" t="s">
        <v>835</v>
      </c>
      <c r="AF12" s="315" t="s">
        <v>835</v>
      </c>
      <c r="AG12" s="315" t="s">
        <v>845</v>
      </c>
      <c r="AH12" s="315" t="s">
        <v>845</v>
      </c>
      <c r="AI12" s="315" t="s">
        <v>846</v>
      </c>
      <c r="AJ12" s="315" t="s">
        <v>837</v>
      </c>
      <c r="AK12" s="315" t="s">
        <v>837</v>
      </c>
      <c r="AL12" s="315" t="s">
        <v>837</v>
      </c>
      <c r="AM12" s="315" t="s">
        <v>838</v>
      </c>
      <c r="AN12" s="315" t="s">
        <v>838</v>
      </c>
      <c r="AO12" s="315" t="s">
        <v>838</v>
      </c>
      <c r="AP12" s="315" t="s">
        <v>839</v>
      </c>
      <c r="AQ12" s="315" t="s">
        <v>847</v>
      </c>
      <c r="AR12" s="315" t="s">
        <v>839</v>
      </c>
      <c r="AS12" s="766"/>
      <c r="AT12" s="315">
        <v>3.69</v>
      </c>
      <c r="AU12" s="315">
        <v>3.41</v>
      </c>
      <c r="AV12" s="315">
        <v>5.1100000000000003</v>
      </c>
      <c r="AW12" s="315">
        <v>3.69</v>
      </c>
      <c r="AX12" s="315">
        <v>0.25</v>
      </c>
      <c r="AY12" s="315">
        <v>6.64</v>
      </c>
      <c r="AZ12" s="315">
        <v>6.64</v>
      </c>
      <c r="BA12" s="315">
        <v>7.38</v>
      </c>
      <c r="BB12" s="315">
        <v>7.38</v>
      </c>
      <c r="BC12" s="315">
        <v>3.92</v>
      </c>
      <c r="BD12" s="315">
        <v>3.92</v>
      </c>
      <c r="BE12" s="315">
        <v>0.39</v>
      </c>
      <c r="BF12" s="315">
        <v>0.19</v>
      </c>
      <c r="BG12" s="315">
        <v>0.65</v>
      </c>
      <c r="BH12" s="315">
        <v>0.34</v>
      </c>
      <c r="BI12" s="315">
        <v>0.39</v>
      </c>
      <c r="BJ12" s="324">
        <v>0.19</v>
      </c>
    </row>
    <row r="13" spans="1:62" s="312" customFormat="1" ht="60" x14ac:dyDescent="0.25">
      <c r="A13" s="331" t="s">
        <v>882</v>
      </c>
      <c r="B13" s="335" t="s">
        <v>225</v>
      </c>
      <c r="C13" s="325" t="s">
        <v>225</v>
      </c>
      <c r="D13" s="325" t="s">
        <v>227</v>
      </c>
      <c r="E13" s="325" t="s">
        <v>234</v>
      </c>
      <c r="F13" s="325" t="s">
        <v>233</v>
      </c>
      <c r="G13" s="325" t="s">
        <v>231</v>
      </c>
      <c r="H13" s="325" t="s">
        <v>237</v>
      </c>
      <c r="I13" s="325" t="s">
        <v>237</v>
      </c>
      <c r="J13" s="325" t="s">
        <v>237</v>
      </c>
      <c r="K13" s="325" t="s">
        <v>213</v>
      </c>
      <c r="L13" s="325" t="s">
        <v>213</v>
      </c>
      <c r="M13" s="325" t="s">
        <v>214</v>
      </c>
      <c r="N13" s="325" t="s">
        <v>217</v>
      </c>
      <c r="O13" s="325" t="s">
        <v>217</v>
      </c>
      <c r="P13" s="325" t="s">
        <v>217</v>
      </c>
      <c r="Q13" s="325" t="s">
        <v>221</v>
      </c>
      <c r="R13" s="325" t="s">
        <v>221</v>
      </c>
      <c r="S13" s="325" t="s">
        <v>221</v>
      </c>
      <c r="T13" s="325" t="s">
        <v>222</v>
      </c>
      <c r="U13" s="325" t="s">
        <v>223</v>
      </c>
      <c r="V13" s="325" t="s">
        <v>222</v>
      </c>
      <c r="W13" s="766"/>
      <c r="X13" s="325" t="s">
        <v>183</v>
      </c>
      <c r="Y13" s="325" t="s">
        <v>183</v>
      </c>
      <c r="Z13" s="325" t="s">
        <v>195</v>
      </c>
      <c r="AA13" s="325" t="s">
        <v>196</v>
      </c>
      <c r="AB13" s="325" t="s">
        <v>191</v>
      </c>
      <c r="AC13" s="325" t="s">
        <v>185</v>
      </c>
      <c r="AD13" s="325" t="s">
        <v>197</v>
      </c>
      <c r="AE13" s="325" t="s">
        <v>197</v>
      </c>
      <c r="AF13" s="325" t="s">
        <v>197</v>
      </c>
      <c r="AG13" s="325" t="s">
        <v>192</v>
      </c>
      <c r="AH13" s="325" t="s">
        <v>192</v>
      </c>
      <c r="AI13" s="325" t="s">
        <v>193</v>
      </c>
      <c r="AJ13" s="325" t="s">
        <v>188</v>
      </c>
      <c r="AK13" s="325" t="s">
        <v>188</v>
      </c>
      <c r="AL13" s="325" t="s">
        <v>188</v>
      </c>
      <c r="AM13" s="325" t="s">
        <v>189</v>
      </c>
      <c r="AN13" s="325" t="s">
        <v>189</v>
      </c>
      <c r="AO13" s="325" t="s">
        <v>189</v>
      </c>
      <c r="AP13" s="325" t="s">
        <v>190</v>
      </c>
      <c r="AQ13" s="325" t="s">
        <v>194</v>
      </c>
      <c r="AR13" s="325" t="s">
        <v>190</v>
      </c>
      <c r="AS13" s="766"/>
      <c r="AT13" s="325">
        <v>0.65</v>
      </c>
      <c r="AU13" s="325">
        <v>0.6</v>
      </c>
      <c r="AV13" s="325">
        <v>0.9</v>
      </c>
      <c r="AW13" s="325">
        <v>0.65</v>
      </c>
      <c r="AX13" s="325">
        <v>0.25</v>
      </c>
      <c r="AY13" s="325">
        <v>1.17</v>
      </c>
      <c r="AZ13" s="325">
        <v>1.17</v>
      </c>
      <c r="BA13" s="325">
        <v>1.3</v>
      </c>
      <c r="BB13" s="325">
        <v>1.3</v>
      </c>
      <c r="BC13" s="325">
        <v>0.69</v>
      </c>
      <c r="BD13" s="325">
        <v>0.69</v>
      </c>
      <c r="BE13" s="325">
        <v>0.39</v>
      </c>
      <c r="BF13" s="325">
        <v>0.19</v>
      </c>
      <c r="BG13" s="325">
        <v>0.65</v>
      </c>
      <c r="BH13" s="325">
        <v>0.34</v>
      </c>
      <c r="BI13" s="325">
        <v>0.39</v>
      </c>
      <c r="BJ13" s="326">
        <v>0.19</v>
      </c>
    </row>
    <row r="14" spans="1:62" s="312" customFormat="1" ht="72" x14ac:dyDescent="0.25">
      <c r="A14" s="330" t="s">
        <v>907</v>
      </c>
      <c r="B14" s="334" t="s">
        <v>819</v>
      </c>
      <c r="C14" s="315" t="s">
        <v>819</v>
      </c>
      <c r="D14" s="315" t="s">
        <v>848</v>
      </c>
      <c r="E14" s="315" t="s">
        <v>849</v>
      </c>
      <c r="F14" s="315" t="s">
        <v>840</v>
      </c>
      <c r="G14" s="315" t="s">
        <v>823</v>
      </c>
      <c r="H14" s="315" t="s">
        <v>825</v>
      </c>
      <c r="I14" s="315" t="s">
        <v>825</v>
      </c>
      <c r="J14" s="315" t="s">
        <v>825</v>
      </c>
      <c r="K14" s="315" t="s">
        <v>841</v>
      </c>
      <c r="L14" s="315" t="s">
        <v>841</v>
      </c>
      <c r="M14" s="315" t="s">
        <v>842</v>
      </c>
      <c r="N14" s="315" t="s">
        <v>827</v>
      </c>
      <c r="O14" s="315" t="s">
        <v>827</v>
      </c>
      <c r="P14" s="315" t="s">
        <v>827</v>
      </c>
      <c r="Q14" s="315" t="s">
        <v>828</v>
      </c>
      <c r="R14" s="315" t="s">
        <v>828</v>
      </c>
      <c r="S14" s="315" t="s">
        <v>828</v>
      </c>
      <c r="T14" s="315" t="s">
        <v>829</v>
      </c>
      <c r="U14" s="315" t="s">
        <v>843</v>
      </c>
      <c r="V14" s="315" t="s">
        <v>829</v>
      </c>
      <c r="W14" s="766"/>
      <c r="X14" s="315" t="s">
        <v>831</v>
      </c>
      <c r="Y14" s="315" t="s">
        <v>831</v>
      </c>
      <c r="Z14" s="315" t="s">
        <v>850</v>
      </c>
      <c r="AA14" s="315" t="s">
        <v>851</v>
      </c>
      <c r="AB14" s="315" t="s">
        <v>844</v>
      </c>
      <c r="AC14" s="315" t="s">
        <v>833</v>
      </c>
      <c r="AD14" s="315" t="s">
        <v>835</v>
      </c>
      <c r="AE14" s="315" t="s">
        <v>835</v>
      </c>
      <c r="AF14" s="315" t="s">
        <v>835</v>
      </c>
      <c r="AG14" s="315" t="s">
        <v>845</v>
      </c>
      <c r="AH14" s="315" t="s">
        <v>845</v>
      </c>
      <c r="AI14" s="315" t="s">
        <v>846</v>
      </c>
      <c r="AJ14" s="315" t="s">
        <v>837</v>
      </c>
      <c r="AK14" s="315" t="s">
        <v>837</v>
      </c>
      <c r="AL14" s="315" t="s">
        <v>837</v>
      </c>
      <c r="AM14" s="315" t="s">
        <v>838</v>
      </c>
      <c r="AN14" s="315" t="s">
        <v>838</v>
      </c>
      <c r="AO14" s="315" t="s">
        <v>838</v>
      </c>
      <c r="AP14" s="315" t="s">
        <v>839</v>
      </c>
      <c r="AQ14" s="315" t="s">
        <v>847</v>
      </c>
      <c r="AR14" s="315" t="s">
        <v>839</v>
      </c>
      <c r="AS14" s="766"/>
      <c r="AT14" s="315">
        <v>3.69</v>
      </c>
      <c r="AU14" s="315">
        <v>3.41</v>
      </c>
      <c r="AV14" s="315">
        <v>5.1100000000000003</v>
      </c>
      <c r="AW14" s="315">
        <v>3.69</v>
      </c>
      <c r="AX14" s="315">
        <v>0.25</v>
      </c>
      <c r="AY14" s="315">
        <v>6.64</v>
      </c>
      <c r="AZ14" s="315">
        <v>6.64</v>
      </c>
      <c r="BA14" s="315">
        <v>7.38</v>
      </c>
      <c r="BB14" s="315">
        <v>7.38</v>
      </c>
      <c r="BC14" s="315">
        <v>3.92</v>
      </c>
      <c r="BD14" s="315">
        <v>3.92</v>
      </c>
      <c r="BE14" s="315">
        <v>0.39</v>
      </c>
      <c r="BF14" s="315">
        <v>0.19</v>
      </c>
      <c r="BG14" s="315">
        <v>0.65</v>
      </c>
      <c r="BH14" s="315">
        <v>0.34</v>
      </c>
      <c r="BI14" s="315">
        <v>0.39</v>
      </c>
      <c r="BJ14" s="324">
        <v>0.19</v>
      </c>
    </row>
    <row r="15" spans="1:62" s="312" customFormat="1" ht="60" x14ac:dyDescent="0.25">
      <c r="A15" s="331" t="s">
        <v>883</v>
      </c>
      <c r="B15" s="335" t="s">
        <v>225</v>
      </c>
      <c r="C15" s="325" t="s">
        <v>225</v>
      </c>
      <c r="D15" s="325" t="s">
        <v>227</v>
      </c>
      <c r="E15" s="325" t="s">
        <v>234</v>
      </c>
      <c r="F15" s="325" t="s">
        <v>233</v>
      </c>
      <c r="G15" s="325" t="s">
        <v>231</v>
      </c>
      <c r="H15" s="325" t="s">
        <v>237</v>
      </c>
      <c r="I15" s="325" t="s">
        <v>237</v>
      </c>
      <c r="J15" s="325" t="s">
        <v>237</v>
      </c>
      <c r="K15" s="325" t="s">
        <v>213</v>
      </c>
      <c r="L15" s="325" t="s">
        <v>213</v>
      </c>
      <c r="M15" s="325" t="s">
        <v>214</v>
      </c>
      <c r="N15" s="325" t="s">
        <v>217</v>
      </c>
      <c r="O15" s="325" t="s">
        <v>217</v>
      </c>
      <c r="P15" s="325" t="s">
        <v>217</v>
      </c>
      <c r="Q15" s="325" t="s">
        <v>221</v>
      </c>
      <c r="R15" s="325" t="s">
        <v>221</v>
      </c>
      <c r="S15" s="325" t="s">
        <v>221</v>
      </c>
      <c r="T15" s="325" t="s">
        <v>222</v>
      </c>
      <c r="U15" s="325" t="s">
        <v>223</v>
      </c>
      <c r="V15" s="325" t="s">
        <v>222</v>
      </c>
      <c r="W15" s="766"/>
      <c r="X15" s="325" t="s">
        <v>183</v>
      </c>
      <c r="Y15" s="325" t="s">
        <v>183</v>
      </c>
      <c r="Z15" s="325" t="s">
        <v>195</v>
      </c>
      <c r="AA15" s="325" t="s">
        <v>196</v>
      </c>
      <c r="AB15" s="325" t="s">
        <v>191</v>
      </c>
      <c r="AC15" s="325" t="s">
        <v>185</v>
      </c>
      <c r="AD15" s="325" t="s">
        <v>197</v>
      </c>
      <c r="AE15" s="325" t="s">
        <v>197</v>
      </c>
      <c r="AF15" s="325" t="s">
        <v>197</v>
      </c>
      <c r="AG15" s="325" t="s">
        <v>192</v>
      </c>
      <c r="AH15" s="325" t="s">
        <v>192</v>
      </c>
      <c r="AI15" s="325" t="s">
        <v>193</v>
      </c>
      <c r="AJ15" s="325" t="s">
        <v>188</v>
      </c>
      <c r="AK15" s="325" t="s">
        <v>188</v>
      </c>
      <c r="AL15" s="325" t="s">
        <v>188</v>
      </c>
      <c r="AM15" s="325" t="s">
        <v>189</v>
      </c>
      <c r="AN15" s="325" t="s">
        <v>189</v>
      </c>
      <c r="AO15" s="325" t="s">
        <v>189</v>
      </c>
      <c r="AP15" s="325" t="s">
        <v>190</v>
      </c>
      <c r="AQ15" s="325" t="s">
        <v>194</v>
      </c>
      <c r="AR15" s="325" t="s">
        <v>190</v>
      </c>
      <c r="AS15" s="766"/>
      <c r="AT15" s="325">
        <v>0.65</v>
      </c>
      <c r="AU15" s="325">
        <v>0.6</v>
      </c>
      <c r="AV15" s="325">
        <v>0.9</v>
      </c>
      <c r="AW15" s="325">
        <v>0.65</v>
      </c>
      <c r="AX15" s="325">
        <v>0.25</v>
      </c>
      <c r="AY15" s="325">
        <v>1.17</v>
      </c>
      <c r="AZ15" s="325">
        <v>1.17</v>
      </c>
      <c r="BA15" s="325">
        <v>1.3</v>
      </c>
      <c r="BB15" s="325">
        <v>1.3</v>
      </c>
      <c r="BC15" s="325">
        <v>0.69</v>
      </c>
      <c r="BD15" s="325">
        <v>0.69</v>
      </c>
      <c r="BE15" s="325">
        <v>0.39</v>
      </c>
      <c r="BF15" s="325">
        <v>0.19</v>
      </c>
      <c r="BG15" s="325">
        <v>0.65</v>
      </c>
      <c r="BH15" s="325">
        <v>0.34</v>
      </c>
      <c r="BI15" s="325">
        <v>0.39</v>
      </c>
      <c r="BJ15" s="326">
        <v>0.19</v>
      </c>
    </row>
    <row r="16" spans="1:62" s="312" customFormat="1" ht="72" x14ac:dyDescent="0.25">
      <c r="A16" s="330" t="s">
        <v>906</v>
      </c>
      <c r="B16" s="334" t="s">
        <v>819</v>
      </c>
      <c r="C16" s="315" t="s">
        <v>819</v>
      </c>
      <c r="D16" s="315" t="s">
        <v>848</v>
      </c>
      <c r="E16" s="315" t="s">
        <v>849</v>
      </c>
      <c r="F16" s="315" t="s">
        <v>840</v>
      </c>
      <c r="G16" s="315" t="s">
        <v>823</v>
      </c>
      <c r="H16" s="315" t="s">
        <v>825</v>
      </c>
      <c r="I16" s="315" t="s">
        <v>825</v>
      </c>
      <c r="J16" s="315" t="s">
        <v>825</v>
      </c>
      <c r="K16" s="315" t="s">
        <v>841</v>
      </c>
      <c r="L16" s="315" t="s">
        <v>841</v>
      </c>
      <c r="M16" s="315" t="s">
        <v>842</v>
      </c>
      <c r="N16" s="315" t="s">
        <v>827</v>
      </c>
      <c r="O16" s="315" t="s">
        <v>827</v>
      </c>
      <c r="P16" s="315" t="s">
        <v>827</v>
      </c>
      <c r="Q16" s="315" t="s">
        <v>828</v>
      </c>
      <c r="R16" s="315" t="s">
        <v>828</v>
      </c>
      <c r="S16" s="315" t="s">
        <v>828</v>
      </c>
      <c r="T16" s="315" t="s">
        <v>829</v>
      </c>
      <c r="U16" s="315" t="s">
        <v>843</v>
      </c>
      <c r="V16" s="315" t="s">
        <v>829</v>
      </c>
      <c r="W16" s="766"/>
      <c r="X16" s="315" t="s">
        <v>831</v>
      </c>
      <c r="Y16" s="315" t="s">
        <v>831</v>
      </c>
      <c r="Z16" s="315" t="s">
        <v>850</v>
      </c>
      <c r="AA16" s="315" t="s">
        <v>851</v>
      </c>
      <c r="AB16" s="315" t="s">
        <v>844</v>
      </c>
      <c r="AC16" s="315" t="s">
        <v>833</v>
      </c>
      <c r="AD16" s="315" t="s">
        <v>835</v>
      </c>
      <c r="AE16" s="315" t="s">
        <v>835</v>
      </c>
      <c r="AF16" s="315" t="s">
        <v>835</v>
      </c>
      <c r="AG16" s="315" t="s">
        <v>845</v>
      </c>
      <c r="AH16" s="315" t="s">
        <v>845</v>
      </c>
      <c r="AI16" s="315" t="s">
        <v>846</v>
      </c>
      <c r="AJ16" s="315" t="s">
        <v>837</v>
      </c>
      <c r="AK16" s="315" t="s">
        <v>837</v>
      </c>
      <c r="AL16" s="315" t="s">
        <v>837</v>
      </c>
      <c r="AM16" s="315" t="s">
        <v>838</v>
      </c>
      <c r="AN16" s="315" t="s">
        <v>838</v>
      </c>
      <c r="AO16" s="315" t="s">
        <v>838</v>
      </c>
      <c r="AP16" s="315" t="s">
        <v>839</v>
      </c>
      <c r="AQ16" s="315" t="s">
        <v>847</v>
      </c>
      <c r="AR16" s="315" t="s">
        <v>839</v>
      </c>
      <c r="AS16" s="766"/>
      <c r="AT16" s="315">
        <v>3.69</v>
      </c>
      <c r="AU16" s="315">
        <v>3.41</v>
      </c>
      <c r="AV16" s="315">
        <v>5.1100000000000003</v>
      </c>
      <c r="AW16" s="315">
        <v>3.69</v>
      </c>
      <c r="AX16" s="315">
        <v>0.25</v>
      </c>
      <c r="AY16" s="315">
        <v>6.64</v>
      </c>
      <c r="AZ16" s="315">
        <v>6.64</v>
      </c>
      <c r="BA16" s="315">
        <v>7.38</v>
      </c>
      <c r="BB16" s="315">
        <v>7.38</v>
      </c>
      <c r="BC16" s="315">
        <v>3.92</v>
      </c>
      <c r="BD16" s="315">
        <v>3.92</v>
      </c>
      <c r="BE16" s="315">
        <v>0.39</v>
      </c>
      <c r="BF16" s="315">
        <v>0.19</v>
      </c>
      <c r="BG16" s="315">
        <v>0.65</v>
      </c>
      <c r="BH16" s="315">
        <v>0.34</v>
      </c>
      <c r="BI16" s="315">
        <v>0.39</v>
      </c>
      <c r="BJ16" s="324">
        <v>0.19</v>
      </c>
    </row>
    <row r="17" spans="1:62" s="312" customFormat="1" ht="72" x14ac:dyDescent="0.25">
      <c r="A17" s="331" t="s">
        <v>884</v>
      </c>
      <c r="B17" s="335" t="s">
        <v>225</v>
      </c>
      <c r="C17" s="325" t="s">
        <v>225</v>
      </c>
      <c r="D17" s="325" t="s">
        <v>227</v>
      </c>
      <c r="E17" s="325" t="s">
        <v>233</v>
      </c>
      <c r="F17" s="325" t="s">
        <v>233</v>
      </c>
      <c r="G17" s="325" t="s">
        <v>231</v>
      </c>
      <c r="H17" s="325" t="s">
        <v>237</v>
      </c>
      <c r="I17" s="325" t="s">
        <v>238</v>
      </c>
      <c r="J17" s="325" t="s">
        <v>237</v>
      </c>
      <c r="K17" s="325" t="s">
        <v>215</v>
      </c>
      <c r="L17" s="325" t="s">
        <v>215</v>
      </c>
      <c r="M17" s="325" t="s">
        <v>214</v>
      </c>
      <c r="N17" s="325" t="s">
        <v>217</v>
      </c>
      <c r="O17" s="325" t="s">
        <v>218</v>
      </c>
      <c r="P17" s="325" t="s">
        <v>217</v>
      </c>
      <c r="Q17" s="325" t="s">
        <v>221</v>
      </c>
      <c r="R17" s="325" t="s">
        <v>221</v>
      </c>
      <c r="S17" s="325" t="s">
        <v>221</v>
      </c>
      <c r="T17" s="325" t="s">
        <v>223</v>
      </c>
      <c r="U17" s="325" t="s">
        <v>223</v>
      </c>
      <c r="V17" s="325" t="s">
        <v>222</v>
      </c>
      <c r="W17" s="766"/>
      <c r="X17" s="325" t="s">
        <v>183</v>
      </c>
      <c r="Y17" s="325" t="s">
        <v>183</v>
      </c>
      <c r="Z17" s="325" t="s">
        <v>195</v>
      </c>
      <c r="AA17" s="325" t="s">
        <v>191</v>
      </c>
      <c r="AB17" s="325" t="s">
        <v>191</v>
      </c>
      <c r="AC17" s="325" t="s">
        <v>185</v>
      </c>
      <c r="AD17" s="325" t="s">
        <v>197</v>
      </c>
      <c r="AE17" s="325" t="s">
        <v>198</v>
      </c>
      <c r="AF17" s="325" t="s">
        <v>197</v>
      </c>
      <c r="AG17" s="325" t="s">
        <v>199</v>
      </c>
      <c r="AH17" s="325" t="s">
        <v>199</v>
      </c>
      <c r="AI17" s="325" t="s">
        <v>193</v>
      </c>
      <c r="AJ17" s="325" t="s">
        <v>188</v>
      </c>
      <c r="AK17" s="325" t="s">
        <v>200</v>
      </c>
      <c r="AL17" s="325" t="s">
        <v>188</v>
      </c>
      <c r="AM17" s="325" t="s">
        <v>189</v>
      </c>
      <c r="AN17" s="325" t="s">
        <v>189</v>
      </c>
      <c r="AO17" s="325" t="s">
        <v>189</v>
      </c>
      <c r="AP17" s="325" t="s">
        <v>201</v>
      </c>
      <c r="AQ17" s="325" t="s">
        <v>194</v>
      </c>
      <c r="AR17" s="325" t="s">
        <v>190</v>
      </c>
      <c r="AS17" s="766"/>
      <c r="AT17" s="325">
        <v>0.4</v>
      </c>
      <c r="AU17" s="325">
        <v>0.5</v>
      </c>
      <c r="AV17" s="325">
        <v>0.85</v>
      </c>
      <c r="AW17" s="325">
        <v>0.55000000000000004</v>
      </c>
      <c r="AX17" s="325">
        <v>0.4</v>
      </c>
      <c r="AY17" s="325">
        <v>1.17</v>
      </c>
      <c r="AZ17" s="325">
        <v>1.17</v>
      </c>
      <c r="BA17" s="325">
        <v>1.3</v>
      </c>
      <c r="BB17" s="325">
        <v>1.3</v>
      </c>
      <c r="BC17" s="325">
        <v>0.69</v>
      </c>
      <c r="BD17" s="325">
        <v>0.69</v>
      </c>
      <c r="BE17" s="325">
        <v>0.49</v>
      </c>
      <c r="BF17" s="325">
        <v>0.39</v>
      </c>
      <c r="BG17" s="325">
        <v>0.65</v>
      </c>
      <c r="BH17" s="325">
        <v>0.34</v>
      </c>
      <c r="BI17" s="325">
        <v>0.49</v>
      </c>
      <c r="BJ17" s="326">
        <v>0.39</v>
      </c>
    </row>
    <row r="18" spans="1:62" s="312" customFormat="1" ht="84" x14ac:dyDescent="0.25">
      <c r="A18" s="330" t="s">
        <v>905</v>
      </c>
      <c r="B18" s="334" t="s">
        <v>819</v>
      </c>
      <c r="C18" s="315" t="s">
        <v>819</v>
      </c>
      <c r="D18" s="315" t="s">
        <v>848</v>
      </c>
      <c r="E18" s="315" t="s">
        <v>840</v>
      </c>
      <c r="F18" s="315" t="s">
        <v>840</v>
      </c>
      <c r="G18" s="315" t="s">
        <v>823</v>
      </c>
      <c r="H18" s="315" t="s">
        <v>825</v>
      </c>
      <c r="I18" s="315" t="s">
        <v>852</v>
      </c>
      <c r="J18" s="315" t="s">
        <v>825</v>
      </c>
      <c r="K18" s="315" t="s">
        <v>853</v>
      </c>
      <c r="L18" s="315" t="s">
        <v>853</v>
      </c>
      <c r="M18" s="315" t="s">
        <v>842</v>
      </c>
      <c r="N18" s="315" t="s">
        <v>827</v>
      </c>
      <c r="O18" s="315" t="s">
        <v>854</v>
      </c>
      <c r="P18" s="315" t="s">
        <v>827</v>
      </c>
      <c r="Q18" s="315" t="s">
        <v>828</v>
      </c>
      <c r="R18" s="315" t="s">
        <v>828</v>
      </c>
      <c r="S18" s="315" t="s">
        <v>828</v>
      </c>
      <c r="T18" s="315" t="s">
        <v>843</v>
      </c>
      <c r="U18" s="315" t="s">
        <v>843</v>
      </c>
      <c r="V18" s="315" t="s">
        <v>829</v>
      </c>
      <c r="W18" s="766"/>
      <c r="X18" s="315" t="s">
        <v>831</v>
      </c>
      <c r="Y18" s="315" t="s">
        <v>831</v>
      </c>
      <c r="Z18" s="315" t="s">
        <v>850</v>
      </c>
      <c r="AA18" s="315" t="s">
        <v>844</v>
      </c>
      <c r="AB18" s="315" t="s">
        <v>844</v>
      </c>
      <c r="AC18" s="315" t="s">
        <v>833</v>
      </c>
      <c r="AD18" s="315" t="s">
        <v>835</v>
      </c>
      <c r="AE18" s="315" t="s">
        <v>855</v>
      </c>
      <c r="AF18" s="315" t="s">
        <v>835</v>
      </c>
      <c r="AG18" s="315" t="s">
        <v>856</v>
      </c>
      <c r="AH18" s="315" t="s">
        <v>856</v>
      </c>
      <c r="AI18" s="315" t="s">
        <v>846</v>
      </c>
      <c r="AJ18" s="315" t="s">
        <v>837</v>
      </c>
      <c r="AK18" s="315" t="s">
        <v>857</v>
      </c>
      <c r="AL18" s="315" t="s">
        <v>837</v>
      </c>
      <c r="AM18" s="315" t="s">
        <v>838</v>
      </c>
      <c r="AN18" s="315" t="s">
        <v>838</v>
      </c>
      <c r="AO18" s="315" t="s">
        <v>838</v>
      </c>
      <c r="AP18" s="315" t="s">
        <v>847</v>
      </c>
      <c r="AQ18" s="315" t="s">
        <v>847</v>
      </c>
      <c r="AR18" s="315" t="s">
        <v>839</v>
      </c>
      <c r="AS18" s="766"/>
      <c r="AT18" s="315">
        <v>2.27</v>
      </c>
      <c r="AU18" s="315">
        <v>2.84</v>
      </c>
      <c r="AV18" s="315">
        <v>4.83</v>
      </c>
      <c r="AW18" s="315">
        <v>3.12</v>
      </c>
      <c r="AX18" s="315">
        <v>0.4</v>
      </c>
      <c r="AY18" s="315">
        <v>6.64</v>
      </c>
      <c r="AZ18" s="315">
        <v>6.64</v>
      </c>
      <c r="BA18" s="315">
        <v>7.38</v>
      </c>
      <c r="BB18" s="315">
        <v>7.38</v>
      </c>
      <c r="BC18" s="315">
        <v>3.92</v>
      </c>
      <c r="BD18" s="315">
        <v>3.92</v>
      </c>
      <c r="BE18" s="315">
        <v>0.49</v>
      </c>
      <c r="BF18" s="315">
        <v>0.39</v>
      </c>
      <c r="BG18" s="315">
        <v>0.65</v>
      </c>
      <c r="BH18" s="315">
        <v>0.34</v>
      </c>
      <c r="BI18" s="315">
        <v>0.49</v>
      </c>
      <c r="BJ18" s="324">
        <v>0.39</v>
      </c>
    </row>
    <row r="19" spans="1:62" s="312" customFormat="1" ht="72" x14ac:dyDescent="0.25">
      <c r="A19" s="331" t="s">
        <v>885</v>
      </c>
      <c r="B19" s="335" t="s">
        <v>225</v>
      </c>
      <c r="C19" s="325" t="s">
        <v>225</v>
      </c>
      <c r="D19" s="325" t="s">
        <v>227</v>
      </c>
      <c r="E19" s="325" t="s">
        <v>233</v>
      </c>
      <c r="F19" s="325" t="s">
        <v>233</v>
      </c>
      <c r="G19" s="325" t="s">
        <v>231</v>
      </c>
      <c r="H19" s="325" t="s">
        <v>237</v>
      </c>
      <c r="I19" s="325" t="s">
        <v>238</v>
      </c>
      <c r="J19" s="325" t="s">
        <v>237</v>
      </c>
      <c r="K19" s="325" t="s">
        <v>215</v>
      </c>
      <c r="L19" s="325" t="s">
        <v>215</v>
      </c>
      <c r="M19" s="325" t="s">
        <v>214</v>
      </c>
      <c r="N19" s="325" t="s">
        <v>217</v>
      </c>
      <c r="O19" s="325" t="s">
        <v>218</v>
      </c>
      <c r="P19" s="325" t="s">
        <v>217</v>
      </c>
      <c r="Q19" s="325" t="s">
        <v>221</v>
      </c>
      <c r="R19" s="325" t="s">
        <v>221</v>
      </c>
      <c r="S19" s="325" t="s">
        <v>221</v>
      </c>
      <c r="T19" s="325" t="s">
        <v>223</v>
      </c>
      <c r="U19" s="325" t="s">
        <v>223</v>
      </c>
      <c r="V19" s="325" t="s">
        <v>222</v>
      </c>
      <c r="W19" s="766"/>
      <c r="X19" s="325" t="s">
        <v>183</v>
      </c>
      <c r="Y19" s="325" t="s">
        <v>183</v>
      </c>
      <c r="Z19" s="325" t="s">
        <v>195</v>
      </c>
      <c r="AA19" s="325" t="s">
        <v>191</v>
      </c>
      <c r="AB19" s="325" t="s">
        <v>191</v>
      </c>
      <c r="AC19" s="325" t="s">
        <v>185</v>
      </c>
      <c r="AD19" s="325" t="s">
        <v>197</v>
      </c>
      <c r="AE19" s="325" t="s">
        <v>198</v>
      </c>
      <c r="AF19" s="325" t="s">
        <v>197</v>
      </c>
      <c r="AG19" s="325" t="s">
        <v>199</v>
      </c>
      <c r="AH19" s="325" t="s">
        <v>199</v>
      </c>
      <c r="AI19" s="325" t="s">
        <v>193</v>
      </c>
      <c r="AJ19" s="325" t="s">
        <v>188</v>
      </c>
      <c r="AK19" s="325" t="s">
        <v>200</v>
      </c>
      <c r="AL19" s="325" t="s">
        <v>188</v>
      </c>
      <c r="AM19" s="325" t="s">
        <v>189</v>
      </c>
      <c r="AN19" s="325" t="s">
        <v>189</v>
      </c>
      <c r="AO19" s="325" t="s">
        <v>189</v>
      </c>
      <c r="AP19" s="325" t="s">
        <v>201</v>
      </c>
      <c r="AQ19" s="325" t="s">
        <v>194</v>
      </c>
      <c r="AR19" s="325" t="s">
        <v>190</v>
      </c>
      <c r="AS19" s="766"/>
      <c r="AT19" s="325">
        <v>0.4</v>
      </c>
      <c r="AU19" s="325">
        <v>0.5</v>
      </c>
      <c r="AV19" s="325">
        <v>0.85</v>
      </c>
      <c r="AW19" s="325">
        <v>0.55000000000000004</v>
      </c>
      <c r="AX19" s="325">
        <v>0.4</v>
      </c>
      <c r="AY19" s="325">
        <v>1.17</v>
      </c>
      <c r="AZ19" s="325">
        <v>1.17</v>
      </c>
      <c r="BA19" s="325">
        <v>1.3</v>
      </c>
      <c r="BB19" s="325">
        <v>1.3</v>
      </c>
      <c r="BC19" s="325">
        <v>0.69</v>
      </c>
      <c r="BD19" s="325">
        <v>0.69</v>
      </c>
      <c r="BE19" s="325">
        <v>0.49</v>
      </c>
      <c r="BF19" s="325">
        <v>0.39</v>
      </c>
      <c r="BG19" s="325">
        <v>0.65</v>
      </c>
      <c r="BH19" s="325">
        <v>0.34</v>
      </c>
      <c r="BI19" s="325">
        <v>0.49</v>
      </c>
      <c r="BJ19" s="326">
        <v>0.39</v>
      </c>
    </row>
    <row r="20" spans="1:62" s="312" customFormat="1" ht="84" x14ac:dyDescent="0.25">
      <c r="A20" s="330" t="s">
        <v>904</v>
      </c>
      <c r="B20" s="334" t="s">
        <v>819</v>
      </c>
      <c r="C20" s="315" t="s">
        <v>819</v>
      </c>
      <c r="D20" s="315" t="s">
        <v>848</v>
      </c>
      <c r="E20" s="315" t="s">
        <v>840</v>
      </c>
      <c r="F20" s="315" t="s">
        <v>840</v>
      </c>
      <c r="G20" s="315" t="s">
        <v>823</v>
      </c>
      <c r="H20" s="315" t="s">
        <v>825</v>
      </c>
      <c r="I20" s="315" t="s">
        <v>852</v>
      </c>
      <c r="J20" s="315" t="s">
        <v>825</v>
      </c>
      <c r="K20" s="315" t="s">
        <v>853</v>
      </c>
      <c r="L20" s="315" t="s">
        <v>853</v>
      </c>
      <c r="M20" s="315" t="s">
        <v>842</v>
      </c>
      <c r="N20" s="315" t="s">
        <v>827</v>
      </c>
      <c r="O20" s="315" t="s">
        <v>854</v>
      </c>
      <c r="P20" s="315" t="s">
        <v>827</v>
      </c>
      <c r="Q20" s="315" t="s">
        <v>828</v>
      </c>
      <c r="R20" s="315" t="s">
        <v>828</v>
      </c>
      <c r="S20" s="315" t="s">
        <v>828</v>
      </c>
      <c r="T20" s="315" t="s">
        <v>843</v>
      </c>
      <c r="U20" s="315" t="s">
        <v>843</v>
      </c>
      <c r="V20" s="315" t="s">
        <v>829</v>
      </c>
      <c r="W20" s="766"/>
      <c r="X20" s="315" t="s">
        <v>831</v>
      </c>
      <c r="Y20" s="315" t="s">
        <v>831</v>
      </c>
      <c r="Z20" s="315" t="s">
        <v>850</v>
      </c>
      <c r="AA20" s="315" t="s">
        <v>844</v>
      </c>
      <c r="AB20" s="315" t="s">
        <v>844</v>
      </c>
      <c r="AC20" s="315" t="s">
        <v>833</v>
      </c>
      <c r="AD20" s="315" t="s">
        <v>835</v>
      </c>
      <c r="AE20" s="315" t="s">
        <v>855</v>
      </c>
      <c r="AF20" s="315" t="s">
        <v>835</v>
      </c>
      <c r="AG20" s="315" t="s">
        <v>856</v>
      </c>
      <c r="AH20" s="315" t="s">
        <v>856</v>
      </c>
      <c r="AI20" s="315" t="s">
        <v>846</v>
      </c>
      <c r="AJ20" s="315" t="s">
        <v>837</v>
      </c>
      <c r="AK20" s="315" t="s">
        <v>857</v>
      </c>
      <c r="AL20" s="315" t="s">
        <v>837</v>
      </c>
      <c r="AM20" s="315" t="s">
        <v>838</v>
      </c>
      <c r="AN20" s="315" t="s">
        <v>838</v>
      </c>
      <c r="AO20" s="315" t="s">
        <v>838</v>
      </c>
      <c r="AP20" s="315" t="s">
        <v>847</v>
      </c>
      <c r="AQ20" s="315" t="s">
        <v>847</v>
      </c>
      <c r="AR20" s="315" t="s">
        <v>839</v>
      </c>
      <c r="AS20" s="766"/>
      <c r="AT20" s="315">
        <v>2.27</v>
      </c>
      <c r="AU20" s="315">
        <v>2.84</v>
      </c>
      <c r="AV20" s="315">
        <v>4.83</v>
      </c>
      <c r="AW20" s="315">
        <v>3.12</v>
      </c>
      <c r="AX20" s="315">
        <v>0.4</v>
      </c>
      <c r="AY20" s="315">
        <v>6.64</v>
      </c>
      <c r="AZ20" s="315">
        <v>6.64</v>
      </c>
      <c r="BA20" s="315">
        <v>7.38</v>
      </c>
      <c r="BB20" s="315">
        <v>7.38</v>
      </c>
      <c r="BC20" s="315">
        <v>3.92</v>
      </c>
      <c r="BD20" s="315">
        <v>3.92</v>
      </c>
      <c r="BE20" s="315">
        <v>0.49</v>
      </c>
      <c r="BF20" s="315">
        <v>0.39</v>
      </c>
      <c r="BG20" s="315">
        <v>0.65</v>
      </c>
      <c r="BH20" s="315">
        <v>0.34</v>
      </c>
      <c r="BI20" s="315">
        <v>0.49</v>
      </c>
      <c r="BJ20" s="324">
        <v>0.39</v>
      </c>
    </row>
    <row r="21" spans="1:62" s="312" customFormat="1" ht="72" x14ac:dyDescent="0.25">
      <c r="A21" s="331" t="s">
        <v>886</v>
      </c>
      <c r="B21" s="335" t="s">
        <v>225</v>
      </c>
      <c r="C21" s="325" t="s">
        <v>225</v>
      </c>
      <c r="D21" s="325" t="s">
        <v>227</v>
      </c>
      <c r="E21" s="325" t="s">
        <v>233</v>
      </c>
      <c r="F21" s="325" t="s">
        <v>233</v>
      </c>
      <c r="G21" s="325" t="s">
        <v>231</v>
      </c>
      <c r="H21" s="325" t="s">
        <v>237</v>
      </c>
      <c r="I21" s="325" t="s">
        <v>238</v>
      </c>
      <c r="J21" s="325" t="s">
        <v>237</v>
      </c>
      <c r="K21" s="325" t="s">
        <v>215</v>
      </c>
      <c r="L21" s="325" t="s">
        <v>215</v>
      </c>
      <c r="M21" s="325" t="s">
        <v>214</v>
      </c>
      <c r="N21" s="325" t="s">
        <v>217</v>
      </c>
      <c r="O21" s="325" t="s">
        <v>218</v>
      </c>
      <c r="P21" s="325" t="s">
        <v>217</v>
      </c>
      <c r="Q21" s="325" t="s">
        <v>221</v>
      </c>
      <c r="R21" s="325" t="s">
        <v>221</v>
      </c>
      <c r="S21" s="325" t="s">
        <v>221</v>
      </c>
      <c r="T21" s="325" t="s">
        <v>223</v>
      </c>
      <c r="U21" s="325" t="s">
        <v>223</v>
      </c>
      <c r="V21" s="325" t="s">
        <v>222</v>
      </c>
      <c r="W21" s="766"/>
      <c r="X21" s="325" t="s">
        <v>183</v>
      </c>
      <c r="Y21" s="325" t="s">
        <v>183</v>
      </c>
      <c r="Z21" s="325" t="s">
        <v>195</v>
      </c>
      <c r="AA21" s="325" t="s">
        <v>191</v>
      </c>
      <c r="AB21" s="325" t="s">
        <v>191</v>
      </c>
      <c r="AC21" s="325" t="s">
        <v>185</v>
      </c>
      <c r="AD21" s="325" t="s">
        <v>197</v>
      </c>
      <c r="AE21" s="325" t="s">
        <v>198</v>
      </c>
      <c r="AF21" s="325" t="s">
        <v>197</v>
      </c>
      <c r="AG21" s="325" t="s">
        <v>199</v>
      </c>
      <c r="AH21" s="325" t="s">
        <v>199</v>
      </c>
      <c r="AI21" s="325" t="s">
        <v>193</v>
      </c>
      <c r="AJ21" s="325" t="s">
        <v>188</v>
      </c>
      <c r="AK21" s="325" t="s">
        <v>200</v>
      </c>
      <c r="AL21" s="325" t="s">
        <v>188</v>
      </c>
      <c r="AM21" s="325" t="s">
        <v>189</v>
      </c>
      <c r="AN21" s="325" t="s">
        <v>189</v>
      </c>
      <c r="AO21" s="325" t="s">
        <v>189</v>
      </c>
      <c r="AP21" s="325" t="s">
        <v>201</v>
      </c>
      <c r="AQ21" s="325" t="s">
        <v>194</v>
      </c>
      <c r="AR21" s="325" t="s">
        <v>190</v>
      </c>
      <c r="AS21" s="766"/>
      <c r="AT21" s="325">
        <v>0.4</v>
      </c>
      <c r="AU21" s="325">
        <v>0.5</v>
      </c>
      <c r="AV21" s="325">
        <v>0.85</v>
      </c>
      <c r="AW21" s="325">
        <v>0.55000000000000004</v>
      </c>
      <c r="AX21" s="325">
        <v>0.4</v>
      </c>
      <c r="AY21" s="325">
        <v>1.17</v>
      </c>
      <c r="AZ21" s="325">
        <v>1.17</v>
      </c>
      <c r="BA21" s="325">
        <v>1.3</v>
      </c>
      <c r="BB21" s="325">
        <v>1.3</v>
      </c>
      <c r="BC21" s="325">
        <v>0.69</v>
      </c>
      <c r="BD21" s="325">
        <v>0.69</v>
      </c>
      <c r="BE21" s="325">
        <v>0.49</v>
      </c>
      <c r="BF21" s="325">
        <v>0.39</v>
      </c>
      <c r="BG21" s="325">
        <v>0.65</v>
      </c>
      <c r="BH21" s="325">
        <v>0.34</v>
      </c>
      <c r="BI21" s="325">
        <v>0.49</v>
      </c>
      <c r="BJ21" s="326">
        <v>0.39</v>
      </c>
    </row>
    <row r="22" spans="1:62" s="312" customFormat="1" ht="84" x14ac:dyDescent="0.25">
      <c r="A22" s="330" t="s">
        <v>903</v>
      </c>
      <c r="B22" s="334" t="s">
        <v>819</v>
      </c>
      <c r="C22" s="315" t="s">
        <v>819</v>
      </c>
      <c r="D22" s="315" t="s">
        <v>848</v>
      </c>
      <c r="E22" s="315" t="s">
        <v>840</v>
      </c>
      <c r="F22" s="315" t="s">
        <v>840</v>
      </c>
      <c r="G22" s="315" t="s">
        <v>823</v>
      </c>
      <c r="H22" s="315" t="s">
        <v>825</v>
      </c>
      <c r="I22" s="315" t="s">
        <v>852</v>
      </c>
      <c r="J22" s="315" t="s">
        <v>825</v>
      </c>
      <c r="K22" s="315" t="s">
        <v>853</v>
      </c>
      <c r="L22" s="315" t="s">
        <v>853</v>
      </c>
      <c r="M22" s="315" t="s">
        <v>842</v>
      </c>
      <c r="N22" s="315" t="s">
        <v>827</v>
      </c>
      <c r="O22" s="315" t="s">
        <v>854</v>
      </c>
      <c r="P22" s="315" t="s">
        <v>827</v>
      </c>
      <c r="Q22" s="315" t="s">
        <v>828</v>
      </c>
      <c r="R22" s="315" t="s">
        <v>828</v>
      </c>
      <c r="S22" s="315" t="s">
        <v>828</v>
      </c>
      <c r="T22" s="315" t="s">
        <v>843</v>
      </c>
      <c r="U22" s="315" t="s">
        <v>843</v>
      </c>
      <c r="V22" s="315" t="s">
        <v>829</v>
      </c>
      <c r="W22" s="766"/>
      <c r="X22" s="315" t="s">
        <v>831</v>
      </c>
      <c r="Y22" s="315" t="s">
        <v>831</v>
      </c>
      <c r="Z22" s="315" t="s">
        <v>850</v>
      </c>
      <c r="AA22" s="315" t="s">
        <v>844</v>
      </c>
      <c r="AB22" s="315" t="s">
        <v>844</v>
      </c>
      <c r="AC22" s="315" t="s">
        <v>833</v>
      </c>
      <c r="AD22" s="315" t="s">
        <v>835</v>
      </c>
      <c r="AE22" s="315" t="s">
        <v>855</v>
      </c>
      <c r="AF22" s="315" t="s">
        <v>835</v>
      </c>
      <c r="AG22" s="315" t="s">
        <v>856</v>
      </c>
      <c r="AH22" s="315" t="s">
        <v>856</v>
      </c>
      <c r="AI22" s="315" t="s">
        <v>846</v>
      </c>
      <c r="AJ22" s="315" t="s">
        <v>837</v>
      </c>
      <c r="AK22" s="315" t="s">
        <v>857</v>
      </c>
      <c r="AL22" s="315" t="s">
        <v>837</v>
      </c>
      <c r="AM22" s="315" t="s">
        <v>838</v>
      </c>
      <c r="AN22" s="315" t="s">
        <v>838</v>
      </c>
      <c r="AO22" s="315" t="s">
        <v>838</v>
      </c>
      <c r="AP22" s="315" t="s">
        <v>847</v>
      </c>
      <c r="AQ22" s="315" t="s">
        <v>847</v>
      </c>
      <c r="AR22" s="315" t="s">
        <v>839</v>
      </c>
      <c r="AS22" s="766"/>
      <c r="AT22" s="315">
        <v>2.27</v>
      </c>
      <c r="AU22" s="315">
        <v>2.84</v>
      </c>
      <c r="AV22" s="315">
        <v>4.83</v>
      </c>
      <c r="AW22" s="315">
        <v>3.12</v>
      </c>
      <c r="AX22" s="315">
        <v>0.4</v>
      </c>
      <c r="AY22" s="315">
        <v>6.64</v>
      </c>
      <c r="AZ22" s="315">
        <v>6.64</v>
      </c>
      <c r="BA22" s="315">
        <v>7.38</v>
      </c>
      <c r="BB22" s="315">
        <v>7.38</v>
      </c>
      <c r="BC22" s="315">
        <v>3.92</v>
      </c>
      <c r="BD22" s="315">
        <v>3.92</v>
      </c>
      <c r="BE22" s="315">
        <v>0.49</v>
      </c>
      <c r="BF22" s="315">
        <v>0.39</v>
      </c>
      <c r="BG22" s="315">
        <v>0.65</v>
      </c>
      <c r="BH22" s="315">
        <v>0.34</v>
      </c>
      <c r="BI22" s="315">
        <v>0.49</v>
      </c>
      <c r="BJ22" s="324">
        <v>0.39</v>
      </c>
    </row>
    <row r="23" spans="1:62" s="312" customFormat="1" ht="72" x14ac:dyDescent="0.25">
      <c r="A23" s="331" t="s">
        <v>887</v>
      </c>
      <c r="B23" s="335" t="s">
        <v>225</v>
      </c>
      <c r="C23" s="325" t="s">
        <v>225</v>
      </c>
      <c r="D23" s="325" t="s">
        <v>228</v>
      </c>
      <c r="E23" s="325" t="s">
        <v>233</v>
      </c>
      <c r="F23" s="325" t="s">
        <v>233</v>
      </c>
      <c r="G23" s="325" t="s">
        <v>231</v>
      </c>
      <c r="H23" s="325" t="s">
        <v>238</v>
      </c>
      <c r="I23" s="325" t="s">
        <v>238</v>
      </c>
      <c r="J23" s="325" t="s">
        <v>237</v>
      </c>
      <c r="K23" s="325" t="s">
        <v>215</v>
      </c>
      <c r="L23" s="325" t="s">
        <v>215</v>
      </c>
      <c r="M23" s="325" t="s">
        <v>213</v>
      </c>
      <c r="N23" s="325" t="s">
        <v>217</v>
      </c>
      <c r="O23" s="325" t="s">
        <v>218</v>
      </c>
      <c r="P23" s="325" t="s">
        <v>217</v>
      </c>
      <c r="Q23" s="325" t="s">
        <v>221</v>
      </c>
      <c r="R23" s="325" t="s">
        <v>223</v>
      </c>
      <c r="S23" s="325" t="s">
        <v>221</v>
      </c>
      <c r="T23" s="325" t="s">
        <v>223</v>
      </c>
      <c r="U23" s="325" t="s">
        <v>223</v>
      </c>
      <c r="V23" s="325" t="s">
        <v>222</v>
      </c>
      <c r="W23" s="766"/>
      <c r="X23" s="325" t="s">
        <v>183</v>
      </c>
      <c r="Y23" s="325" t="s">
        <v>183</v>
      </c>
      <c r="Z23" s="325" t="s">
        <v>202</v>
      </c>
      <c r="AA23" s="325" t="s">
        <v>191</v>
      </c>
      <c r="AB23" s="325" t="s">
        <v>191</v>
      </c>
      <c r="AC23" s="325" t="s">
        <v>185</v>
      </c>
      <c r="AD23" s="325" t="s">
        <v>198</v>
      </c>
      <c r="AE23" s="325" t="s">
        <v>198</v>
      </c>
      <c r="AF23" s="325" t="s">
        <v>197</v>
      </c>
      <c r="AG23" s="325" t="s">
        <v>199</v>
      </c>
      <c r="AH23" s="325" t="s">
        <v>199</v>
      </c>
      <c r="AI23" s="325" t="s">
        <v>203</v>
      </c>
      <c r="AJ23" s="325" t="s">
        <v>188</v>
      </c>
      <c r="AK23" s="325" t="s">
        <v>200</v>
      </c>
      <c r="AL23" s="325" t="s">
        <v>188</v>
      </c>
      <c r="AM23" s="325" t="s">
        <v>189</v>
      </c>
      <c r="AN23" s="325" t="s">
        <v>194</v>
      </c>
      <c r="AO23" s="325" t="s">
        <v>189</v>
      </c>
      <c r="AP23" s="325" t="s">
        <v>194</v>
      </c>
      <c r="AQ23" s="325" t="s">
        <v>194</v>
      </c>
      <c r="AR23" s="325" t="s">
        <v>190</v>
      </c>
      <c r="AS23" s="766"/>
      <c r="AT23" s="325">
        <v>0.35</v>
      </c>
      <c r="AU23" s="325">
        <v>0.45</v>
      </c>
      <c r="AV23" s="325">
        <v>0.8</v>
      </c>
      <c r="AW23" s="325">
        <v>0.55000000000000004</v>
      </c>
      <c r="AX23" s="325">
        <v>0.4</v>
      </c>
      <c r="AY23" s="325">
        <v>1.17</v>
      </c>
      <c r="AZ23" s="325">
        <v>1.17</v>
      </c>
      <c r="BA23" s="325">
        <v>1.1000000000000001</v>
      </c>
      <c r="BB23" s="325">
        <v>1.1000000000000001</v>
      </c>
      <c r="BC23" s="325">
        <v>0.69</v>
      </c>
      <c r="BD23" s="325">
        <v>0.69</v>
      </c>
      <c r="BE23" s="325">
        <v>0.49</v>
      </c>
      <c r="BF23" s="325">
        <v>0.39</v>
      </c>
      <c r="BG23" s="325">
        <v>0.77</v>
      </c>
      <c r="BH23" s="325">
        <v>0.62</v>
      </c>
      <c r="BI23" s="325">
        <v>0.49</v>
      </c>
      <c r="BJ23" s="326">
        <v>0.39</v>
      </c>
    </row>
    <row r="24" spans="1:62" s="312" customFormat="1" ht="84" x14ac:dyDescent="0.25">
      <c r="A24" s="330" t="s">
        <v>902</v>
      </c>
      <c r="B24" s="334" t="s">
        <v>819</v>
      </c>
      <c r="C24" s="315" t="s">
        <v>819</v>
      </c>
      <c r="D24" s="315" t="s">
        <v>858</v>
      </c>
      <c r="E24" s="315" t="s">
        <v>840</v>
      </c>
      <c r="F24" s="315" t="s">
        <v>840</v>
      </c>
      <c r="G24" s="315" t="s">
        <v>823</v>
      </c>
      <c r="H24" s="315" t="s">
        <v>852</v>
      </c>
      <c r="I24" s="315" t="s">
        <v>852</v>
      </c>
      <c r="J24" s="315" t="s">
        <v>825</v>
      </c>
      <c r="K24" s="315" t="s">
        <v>853</v>
      </c>
      <c r="L24" s="315" t="s">
        <v>853</v>
      </c>
      <c r="M24" s="315" t="s">
        <v>841</v>
      </c>
      <c r="N24" s="315" t="s">
        <v>827</v>
      </c>
      <c r="O24" s="315" t="s">
        <v>854</v>
      </c>
      <c r="P24" s="315" t="s">
        <v>827</v>
      </c>
      <c r="Q24" s="315" t="s">
        <v>828</v>
      </c>
      <c r="R24" s="315" t="s">
        <v>843</v>
      </c>
      <c r="S24" s="315" t="s">
        <v>828</v>
      </c>
      <c r="T24" s="315" t="s">
        <v>843</v>
      </c>
      <c r="U24" s="315" t="s">
        <v>843</v>
      </c>
      <c r="V24" s="315" t="s">
        <v>829</v>
      </c>
      <c r="W24" s="766"/>
      <c r="X24" s="315" t="s">
        <v>831</v>
      </c>
      <c r="Y24" s="315" t="s">
        <v>831</v>
      </c>
      <c r="Z24" s="315" t="s">
        <v>859</v>
      </c>
      <c r="AA24" s="315" t="s">
        <v>844</v>
      </c>
      <c r="AB24" s="315" t="s">
        <v>844</v>
      </c>
      <c r="AC24" s="315" t="s">
        <v>833</v>
      </c>
      <c r="AD24" s="315" t="s">
        <v>855</v>
      </c>
      <c r="AE24" s="315" t="s">
        <v>855</v>
      </c>
      <c r="AF24" s="315" t="s">
        <v>835</v>
      </c>
      <c r="AG24" s="315" t="s">
        <v>856</v>
      </c>
      <c r="AH24" s="315" t="s">
        <v>856</v>
      </c>
      <c r="AI24" s="315" t="s">
        <v>860</v>
      </c>
      <c r="AJ24" s="315" t="s">
        <v>837</v>
      </c>
      <c r="AK24" s="315" t="s">
        <v>857</v>
      </c>
      <c r="AL24" s="315" t="s">
        <v>837</v>
      </c>
      <c r="AM24" s="315" t="s">
        <v>838</v>
      </c>
      <c r="AN24" s="315" t="s">
        <v>847</v>
      </c>
      <c r="AO24" s="315" t="s">
        <v>838</v>
      </c>
      <c r="AP24" s="315" t="s">
        <v>847</v>
      </c>
      <c r="AQ24" s="315" t="s">
        <v>847</v>
      </c>
      <c r="AR24" s="315" t="s">
        <v>839</v>
      </c>
      <c r="AS24" s="766"/>
      <c r="AT24" s="315">
        <v>1.99</v>
      </c>
      <c r="AU24" s="315">
        <v>2.56</v>
      </c>
      <c r="AV24" s="315">
        <v>4.54</v>
      </c>
      <c r="AW24" s="315">
        <v>3.12</v>
      </c>
      <c r="AX24" s="315">
        <v>0.4</v>
      </c>
      <c r="AY24" s="315">
        <v>6.64</v>
      </c>
      <c r="AZ24" s="315">
        <v>6.64</v>
      </c>
      <c r="BA24" s="315">
        <v>6.25</v>
      </c>
      <c r="BB24" s="315">
        <v>6.25</v>
      </c>
      <c r="BC24" s="315">
        <v>3.92</v>
      </c>
      <c r="BD24" s="315">
        <v>3.92</v>
      </c>
      <c r="BE24" s="315">
        <v>0.49</v>
      </c>
      <c r="BF24" s="315">
        <v>0.39</v>
      </c>
      <c r="BG24" s="315">
        <v>0.77</v>
      </c>
      <c r="BH24" s="315">
        <v>0.62</v>
      </c>
      <c r="BI24" s="315">
        <v>0.49</v>
      </c>
      <c r="BJ24" s="324">
        <v>0.39</v>
      </c>
    </row>
    <row r="25" spans="1:62" s="312" customFormat="1" ht="72" x14ac:dyDescent="0.25">
      <c r="A25" s="331" t="s">
        <v>888</v>
      </c>
      <c r="B25" s="335" t="s">
        <v>225</v>
      </c>
      <c r="C25" s="325" t="s">
        <v>225</v>
      </c>
      <c r="D25" s="325" t="s">
        <v>228</v>
      </c>
      <c r="E25" s="325" t="s">
        <v>233</v>
      </c>
      <c r="F25" s="325" t="s">
        <v>233</v>
      </c>
      <c r="G25" s="325" t="s">
        <v>231</v>
      </c>
      <c r="H25" s="325" t="s">
        <v>238</v>
      </c>
      <c r="I25" s="325" t="s">
        <v>238</v>
      </c>
      <c r="J25" s="325" t="s">
        <v>237</v>
      </c>
      <c r="K25" s="325" t="s">
        <v>215</v>
      </c>
      <c r="L25" s="325" t="s">
        <v>215</v>
      </c>
      <c r="M25" s="325" t="s">
        <v>213</v>
      </c>
      <c r="N25" s="325" t="s">
        <v>217</v>
      </c>
      <c r="O25" s="325" t="s">
        <v>218</v>
      </c>
      <c r="P25" s="325" t="s">
        <v>217</v>
      </c>
      <c r="Q25" s="325" t="s">
        <v>221</v>
      </c>
      <c r="R25" s="325" t="s">
        <v>223</v>
      </c>
      <c r="S25" s="325" t="s">
        <v>221</v>
      </c>
      <c r="T25" s="325" t="s">
        <v>223</v>
      </c>
      <c r="U25" s="325" t="s">
        <v>223</v>
      </c>
      <c r="V25" s="325" t="s">
        <v>222</v>
      </c>
      <c r="W25" s="766"/>
      <c r="X25" s="325" t="s">
        <v>183</v>
      </c>
      <c r="Y25" s="325" t="s">
        <v>183</v>
      </c>
      <c r="Z25" s="325" t="s">
        <v>202</v>
      </c>
      <c r="AA25" s="325" t="s">
        <v>191</v>
      </c>
      <c r="AB25" s="325" t="s">
        <v>191</v>
      </c>
      <c r="AC25" s="325" t="s">
        <v>185</v>
      </c>
      <c r="AD25" s="325" t="s">
        <v>198</v>
      </c>
      <c r="AE25" s="325" t="s">
        <v>198</v>
      </c>
      <c r="AF25" s="325" t="s">
        <v>197</v>
      </c>
      <c r="AG25" s="325" t="s">
        <v>199</v>
      </c>
      <c r="AH25" s="325" t="s">
        <v>199</v>
      </c>
      <c r="AI25" s="325" t="s">
        <v>203</v>
      </c>
      <c r="AJ25" s="325" t="s">
        <v>188</v>
      </c>
      <c r="AK25" s="325" t="s">
        <v>200</v>
      </c>
      <c r="AL25" s="325" t="s">
        <v>188</v>
      </c>
      <c r="AM25" s="325" t="s">
        <v>189</v>
      </c>
      <c r="AN25" s="325" t="s">
        <v>194</v>
      </c>
      <c r="AO25" s="325" t="s">
        <v>189</v>
      </c>
      <c r="AP25" s="325" t="s">
        <v>194</v>
      </c>
      <c r="AQ25" s="325" t="s">
        <v>194</v>
      </c>
      <c r="AR25" s="325" t="s">
        <v>190</v>
      </c>
      <c r="AS25" s="766"/>
      <c r="AT25" s="325">
        <v>0.35</v>
      </c>
      <c r="AU25" s="325">
        <v>0.45</v>
      </c>
      <c r="AV25" s="325">
        <v>0.8</v>
      </c>
      <c r="AW25" s="325">
        <v>0.55000000000000004</v>
      </c>
      <c r="AX25" s="325">
        <v>0.4</v>
      </c>
      <c r="AY25" s="325">
        <v>1.17</v>
      </c>
      <c r="AZ25" s="325">
        <v>1.17</v>
      </c>
      <c r="BA25" s="325">
        <v>1.1000000000000001</v>
      </c>
      <c r="BB25" s="325">
        <v>1.1000000000000001</v>
      </c>
      <c r="BC25" s="325">
        <v>0.69</v>
      </c>
      <c r="BD25" s="325">
        <v>0.69</v>
      </c>
      <c r="BE25" s="325">
        <v>0.49</v>
      </c>
      <c r="BF25" s="325">
        <v>0.39</v>
      </c>
      <c r="BG25" s="325">
        <v>0.77</v>
      </c>
      <c r="BH25" s="325">
        <v>0.62</v>
      </c>
      <c r="BI25" s="325">
        <v>0.49</v>
      </c>
      <c r="BJ25" s="326">
        <v>0.39</v>
      </c>
    </row>
    <row r="26" spans="1:62" s="312" customFormat="1" ht="84" x14ac:dyDescent="0.25">
      <c r="A26" s="330" t="s">
        <v>901</v>
      </c>
      <c r="B26" s="334" t="s">
        <v>819</v>
      </c>
      <c r="C26" s="315" t="s">
        <v>819</v>
      </c>
      <c r="D26" s="315" t="s">
        <v>858</v>
      </c>
      <c r="E26" s="315" t="s">
        <v>840</v>
      </c>
      <c r="F26" s="315" t="s">
        <v>840</v>
      </c>
      <c r="G26" s="315" t="s">
        <v>823</v>
      </c>
      <c r="H26" s="315" t="s">
        <v>852</v>
      </c>
      <c r="I26" s="315" t="s">
        <v>852</v>
      </c>
      <c r="J26" s="315" t="s">
        <v>825</v>
      </c>
      <c r="K26" s="315" t="s">
        <v>853</v>
      </c>
      <c r="L26" s="315" t="s">
        <v>853</v>
      </c>
      <c r="M26" s="315" t="s">
        <v>841</v>
      </c>
      <c r="N26" s="315" t="s">
        <v>827</v>
      </c>
      <c r="O26" s="315" t="s">
        <v>854</v>
      </c>
      <c r="P26" s="315" t="s">
        <v>827</v>
      </c>
      <c r="Q26" s="315" t="s">
        <v>828</v>
      </c>
      <c r="R26" s="315" t="s">
        <v>843</v>
      </c>
      <c r="S26" s="315" t="s">
        <v>828</v>
      </c>
      <c r="T26" s="315" t="s">
        <v>843</v>
      </c>
      <c r="U26" s="315" t="s">
        <v>843</v>
      </c>
      <c r="V26" s="315" t="s">
        <v>829</v>
      </c>
      <c r="W26" s="766"/>
      <c r="X26" s="315" t="s">
        <v>831</v>
      </c>
      <c r="Y26" s="315" t="s">
        <v>831</v>
      </c>
      <c r="Z26" s="315" t="s">
        <v>859</v>
      </c>
      <c r="AA26" s="315" t="s">
        <v>844</v>
      </c>
      <c r="AB26" s="315" t="s">
        <v>844</v>
      </c>
      <c r="AC26" s="315" t="s">
        <v>833</v>
      </c>
      <c r="AD26" s="315" t="s">
        <v>855</v>
      </c>
      <c r="AE26" s="315" t="s">
        <v>855</v>
      </c>
      <c r="AF26" s="315" t="s">
        <v>835</v>
      </c>
      <c r="AG26" s="315" t="s">
        <v>856</v>
      </c>
      <c r="AH26" s="315" t="s">
        <v>856</v>
      </c>
      <c r="AI26" s="315" t="s">
        <v>860</v>
      </c>
      <c r="AJ26" s="315" t="s">
        <v>837</v>
      </c>
      <c r="AK26" s="315" t="s">
        <v>857</v>
      </c>
      <c r="AL26" s="315" t="s">
        <v>837</v>
      </c>
      <c r="AM26" s="315" t="s">
        <v>838</v>
      </c>
      <c r="AN26" s="315" t="s">
        <v>847</v>
      </c>
      <c r="AO26" s="315" t="s">
        <v>838</v>
      </c>
      <c r="AP26" s="315" t="s">
        <v>847</v>
      </c>
      <c r="AQ26" s="315" t="s">
        <v>847</v>
      </c>
      <c r="AR26" s="315" t="s">
        <v>839</v>
      </c>
      <c r="AS26" s="766"/>
      <c r="AT26" s="315">
        <v>1.99</v>
      </c>
      <c r="AU26" s="315">
        <v>2.56</v>
      </c>
      <c r="AV26" s="315">
        <v>4.54</v>
      </c>
      <c r="AW26" s="315">
        <v>3.12</v>
      </c>
      <c r="AX26" s="315">
        <v>0.4</v>
      </c>
      <c r="AY26" s="315">
        <v>6.64</v>
      </c>
      <c r="AZ26" s="315">
        <v>6.64</v>
      </c>
      <c r="BA26" s="315">
        <v>6.25</v>
      </c>
      <c r="BB26" s="315">
        <v>6.25</v>
      </c>
      <c r="BC26" s="315">
        <v>3.92</v>
      </c>
      <c r="BD26" s="315">
        <v>3.92</v>
      </c>
      <c r="BE26" s="315">
        <v>0.49</v>
      </c>
      <c r="BF26" s="315">
        <v>0.39</v>
      </c>
      <c r="BG26" s="315">
        <v>0.77</v>
      </c>
      <c r="BH26" s="315">
        <v>0.62</v>
      </c>
      <c r="BI26" s="315">
        <v>0.49</v>
      </c>
      <c r="BJ26" s="324">
        <v>0.39</v>
      </c>
    </row>
    <row r="27" spans="1:62" s="312" customFormat="1" ht="72" x14ac:dyDescent="0.25">
      <c r="A27" s="331" t="s">
        <v>889</v>
      </c>
      <c r="B27" s="335" t="s">
        <v>225</v>
      </c>
      <c r="C27" s="325" t="s">
        <v>225</v>
      </c>
      <c r="D27" s="325" t="s">
        <v>228</v>
      </c>
      <c r="E27" s="325" t="s">
        <v>233</v>
      </c>
      <c r="F27" s="325" t="s">
        <v>233</v>
      </c>
      <c r="G27" s="325" t="s">
        <v>231</v>
      </c>
      <c r="H27" s="325" t="s">
        <v>238</v>
      </c>
      <c r="I27" s="325" t="s">
        <v>238</v>
      </c>
      <c r="J27" s="325" t="s">
        <v>237</v>
      </c>
      <c r="K27" s="325" t="s">
        <v>215</v>
      </c>
      <c r="L27" s="325" t="s">
        <v>215</v>
      </c>
      <c r="M27" s="325" t="s">
        <v>213</v>
      </c>
      <c r="N27" s="325" t="s">
        <v>217</v>
      </c>
      <c r="O27" s="325" t="s">
        <v>218</v>
      </c>
      <c r="P27" s="325" t="s">
        <v>217</v>
      </c>
      <c r="Q27" s="325" t="s">
        <v>221</v>
      </c>
      <c r="R27" s="325" t="s">
        <v>223</v>
      </c>
      <c r="S27" s="325" t="s">
        <v>221</v>
      </c>
      <c r="T27" s="325" t="s">
        <v>223</v>
      </c>
      <c r="U27" s="325" t="s">
        <v>223</v>
      </c>
      <c r="V27" s="325" t="s">
        <v>222</v>
      </c>
      <c r="W27" s="766"/>
      <c r="X27" s="325" t="s">
        <v>183</v>
      </c>
      <c r="Y27" s="325" t="s">
        <v>183</v>
      </c>
      <c r="Z27" s="325" t="s">
        <v>202</v>
      </c>
      <c r="AA27" s="325" t="s">
        <v>191</v>
      </c>
      <c r="AB27" s="325" t="s">
        <v>191</v>
      </c>
      <c r="AC27" s="325" t="s">
        <v>185</v>
      </c>
      <c r="AD27" s="325" t="s">
        <v>198</v>
      </c>
      <c r="AE27" s="325" t="s">
        <v>198</v>
      </c>
      <c r="AF27" s="325" t="s">
        <v>197</v>
      </c>
      <c r="AG27" s="325" t="s">
        <v>199</v>
      </c>
      <c r="AH27" s="325" t="s">
        <v>199</v>
      </c>
      <c r="AI27" s="325" t="s">
        <v>203</v>
      </c>
      <c r="AJ27" s="325" t="s">
        <v>188</v>
      </c>
      <c r="AK27" s="325" t="s">
        <v>200</v>
      </c>
      <c r="AL27" s="325" t="s">
        <v>188</v>
      </c>
      <c r="AM27" s="325" t="s">
        <v>189</v>
      </c>
      <c r="AN27" s="325" t="s">
        <v>194</v>
      </c>
      <c r="AO27" s="325" t="s">
        <v>189</v>
      </c>
      <c r="AP27" s="325" t="s">
        <v>194</v>
      </c>
      <c r="AQ27" s="325" t="s">
        <v>194</v>
      </c>
      <c r="AR27" s="325" t="s">
        <v>190</v>
      </c>
      <c r="AS27" s="766"/>
      <c r="AT27" s="325">
        <v>0.35</v>
      </c>
      <c r="AU27" s="325">
        <v>0.45</v>
      </c>
      <c r="AV27" s="325">
        <v>0.8</v>
      </c>
      <c r="AW27" s="325">
        <v>0.55000000000000004</v>
      </c>
      <c r="AX27" s="325">
        <v>0.4</v>
      </c>
      <c r="AY27" s="325">
        <v>1.17</v>
      </c>
      <c r="AZ27" s="325">
        <v>1.17</v>
      </c>
      <c r="BA27" s="325">
        <v>1.1000000000000001</v>
      </c>
      <c r="BB27" s="325">
        <v>1.1000000000000001</v>
      </c>
      <c r="BC27" s="325">
        <v>0.69</v>
      </c>
      <c r="BD27" s="325">
        <v>0.69</v>
      </c>
      <c r="BE27" s="325">
        <v>0.49</v>
      </c>
      <c r="BF27" s="325">
        <v>0.39</v>
      </c>
      <c r="BG27" s="325">
        <v>0.77</v>
      </c>
      <c r="BH27" s="325">
        <v>0.62</v>
      </c>
      <c r="BI27" s="325">
        <v>0.49</v>
      </c>
      <c r="BJ27" s="326">
        <v>0.39</v>
      </c>
    </row>
    <row r="28" spans="1:62" s="312" customFormat="1" ht="84" x14ac:dyDescent="0.25">
      <c r="A28" s="330" t="s">
        <v>900</v>
      </c>
      <c r="B28" s="334" t="s">
        <v>819</v>
      </c>
      <c r="C28" s="315" t="s">
        <v>819</v>
      </c>
      <c r="D28" s="315" t="s">
        <v>858</v>
      </c>
      <c r="E28" s="315" t="s">
        <v>840</v>
      </c>
      <c r="F28" s="315" t="s">
        <v>840</v>
      </c>
      <c r="G28" s="315" t="s">
        <v>823</v>
      </c>
      <c r="H28" s="315" t="s">
        <v>852</v>
      </c>
      <c r="I28" s="315" t="s">
        <v>852</v>
      </c>
      <c r="J28" s="315" t="s">
        <v>825</v>
      </c>
      <c r="K28" s="315" t="s">
        <v>853</v>
      </c>
      <c r="L28" s="315" t="s">
        <v>853</v>
      </c>
      <c r="M28" s="315" t="s">
        <v>841</v>
      </c>
      <c r="N28" s="315" t="s">
        <v>827</v>
      </c>
      <c r="O28" s="315" t="s">
        <v>854</v>
      </c>
      <c r="P28" s="315" t="s">
        <v>827</v>
      </c>
      <c r="Q28" s="315" t="s">
        <v>828</v>
      </c>
      <c r="R28" s="315" t="s">
        <v>843</v>
      </c>
      <c r="S28" s="315" t="s">
        <v>828</v>
      </c>
      <c r="T28" s="315" t="s">
        <v>843</v>
      </c>
      <c r="U28" s="315" t="s">
        <v>843</v>
      </c>
      <c r="V28" s="315" t="s">
        <v>829</v>
      </c>
      <c r="W28" s="766"/>
      <c r="X28" s="315" t="s">
        <v>831</v>
      </c>
      <c r="Y28" s="315" t="s">
        <v>831</v>
      </c>
      <c r="Z28" s="315" t="s">
        <v>859</v>
      </c>
      <c r="AA28" s="315" t="s">
        <v>844</v>
      </c>
      <c r="AB28" s="315" t="s">
        <v>844</v>
      </c>
      <c r="AC28" s="315" t="s">
        <v>833</v>
      </c>
      <c r="AD28" s="315" t="s">
        <v>855</v>
      </c>
      <c r="AE28" s="315" t="s">
        <v>855</v>
      </c>
      <c r="AF28" s="315" t="s">
        <v>835</v>
      </c>
      <c r="AG28" s="315" t="s">
        <v>856</v>
      </c>
      <c r="AH28" s="315" t="s">
        <v>856</v>
      </c>
      <c r="AI28" s="315" t="s">
        <v>860</v>
      </c>
      <c r="AJ28" s="315" t="s">
        <v>837</v>
      </c>
      <c r="AK28" s="315" t="s">
        <v>857</v>
      </c>
      <c r="AL28" s="315" t="s">
        <v>837</v>
      </c>
      <c r="AM28" s="315" t="s">
        <v>838</v>
      </c>
      <c r="AN28" s="315" t="s">
        <v>847</v>
      </c>
      <c r="AO28" s="315" t="s">
        <v>838</v>
      </c>
      <c r="AP28" s="315" t="s">
        <v>847</v>
      </c>
      <c r="AQ28" s="315" t="s">
        <v>847</v>
      </c>
      <c r="AR28" s="315" t="s">
        <v>839</v>
      </c>
      <c r="AS28" s="766"/>
      <c r="AT28" s="315">
        <v>1.99</v>
      </c>
      <c r="AU28" s="315">
        <v>2.56</v>
      </c>
      <c r="AV28" s="315">
        <v>4.54</v>
      </c>
      <c r="AW28" s="315">
        <v>3.12</v>
      </c>
      <c r="AX28" s="315">
        <v>0.4</v>
      </c>
      <c r="AY28" s="315">
        <v>6.64</v>
      </c>
      <c r="AZ28" s="315">
        <v>6.64</v>
      </c>
      <c r="BA28" s="315">
        <v>6.25</v>
      </c>
      <c r="BB28" s="315">
        <v>6.25</v>
      </c>
      <c r="BC28" s="315">
        <v>3.92</v>
      </c>
      <c r="BD28" s="315">
        <v>3.92</v>
      </c>
      <c r="BE28" s="315">
        <v>0.49</v>
      </c>
      <c r="BF28" s="315">
        <v>0.39</v>
      </c>
      <c r="BG28" s="315">
        <v>0.77</v>
      </c>
      <c r="BH28" s="315">
        <v>0.62</v>
      </c>
      <c r="BI28" s="315">
        <v>0.49</v>
      </c>
      <c r="BJ28" s="324">
        <v>0.39</v>
      </c>
    </row>
    <row r="29" spans="1:62" s="312" customFormat="1" ht="72" x14ac:dyDescent="0.25">
      <c r="A29" s="331" t="s">
        <v>890</v>
      </c>
      <c r="B29" s="335" t="s">
        <v>225</v>
      </c>
      <c r="C29" s="325" t="s">
        <v>225</v>
      </c>
      <c r="D29" s="325" t="s">
        <v>229</v>
      </c>
      <c r="E29" s="325" t="s">
        <v>233</v>
      </c>
      <c r="F29" s="325" t="s">
        <v>233</v>
      </c>
      <c r="G29" s="325" t="s">
        <v>231</v>
      </c>
      <c r="H29" s="325" t="s">
        <v>238</v>
      </c>
      <c r="I29" s="325" t="s">
        <v>238</v>
      </c>
      <c r="J29" s="325" t="s">
        <v>237</v>
      </c>
      <c r="K29" s="325" t="s">
        <v>215</v>
      </c>
      <c r="L29" s="325" t="s">
        <v>216</v>
      </c>
      <c r="M29" s="325" t="s">
        <v>213</v>
      </c>
      <c r="N29" s="325" t="s">
        <v>218</v>
      </c>
      <c r="O29" s="325" t="s">
        <v>219</v>
      </c>
      <c r="P29" s="325" t="s">
        <v>217</v>
      </c>
      <c r="Q29" s="325" t="s">
        <v>221</v>
      </c>
      <c r="R29" s="325" t="s">
        <v>223</v>
      </c>
      <c r="S29" s="325" t="s">
        <v>221</v>
      </c>
      <c r="T29" s="325" t="s">
        <v>223</v>
      </c>
      <c r="U29" s="325" t="s">
        <v>223</v>
      </c>
      <c r="V29" s="325" t="s">
        <v>222</v>
      </c>
      <c r="W29" s="766"/>
      <c r="X29" s="325" t="s">
        <v>183</v>
      </c>
      <c r="Y29" s="325" t="s">
        <v>183</v>
      </c>
      <c r="Z29" s="325" t="s">
        <v>204</v>
      </c>
      <c r="AA29" s="325" t="s">
        <v>191</v>
      </c>
      <c r="AB29" s="325" t="s">
        <v>191</v>
      </c>
      <c r="AC29" s="325" t="s">
        <v>185</v>
      </c>
      <c r="AD29" s="325" t="s">
        <v>198</v>
      </c>
      <c r="AE29" s="325" t="s">
        <v>198</v>
      </c>
      <c r="AF29" s="325" t="s">
        <v>197</v>
      </c>
      <c r="AG29" s="325" t="s">
        <v>199</v>
      </c>
      <c r="AH29" s="325" t="s">
        <v>205</v>
      </c>
      <c r="AI29" s="325" t="s">
        <v>203</v>
      </c>
      <c r="AJ29" s="325" t="s">
        <v>200</v>
      </c>
      <c r="AK29" s="325" t="s">
        <v>206</v>
      </c>
      <c r="AL29" s="325" t="s">
        <v>188</v>
      </c>
      <c r="AM29" s="325" t="s">
        <v>189</v>
      </c>
      <c r="AN29" s="325" t="s">
        <v>194</v>
      </c>
      <c r="AO29" s="325" t="s">
        <v>189</v>
      </c>
      <c r="AP29" s="325" t="s">
        <v>194</v>
      </c>
      <c r="AQ29" s="325" t="s">
        <v>194</v>
      </c>
      <c r="AR29" s="325" t="s">
        <v>190</v>
      </c>
      <c r="AS29" s="766"/>
      <c r="AT29" s="325">
        <v>0.35</v>
      </c>
      <c r="AU29" s="325">
        <v>0.45</v>
      </c>
      <c r="AV29" s="325">
        <v>0.8</v>
      </c>
      <c r="AW29" s="325">
        <v>0.55000000000000004</v>
      </c>
      <c r="AX29" s="325">
        <v>0.4</v>
      </c>
      <c r="AY29" s="325">
        <v>1.17</v>
      </c>
      <c r="AZ29" s="325">
        <v>1.17</v>
      </c>
      <c r="BA29" s="325">
        <v>0.87</v>
      </c>
      <c r="BB29" s="325">
        <v>0.87</v>
      </c>
      <c r="BC29" s="325">
        <v>0.69</v>
      </c>
      <c r="BD29" s="325">
        <v>0.69</v>
      </c>
      <c r="BE29" s="325">
        <v>0.49</v>
      </c>
      <c r="BF29" s="325">
        <v>0.49</v>
      </c>
      <c r="BG29" s="325">
        <v>0.71</v>
      </c>
      <c r="BH29" s="325">
        <v>0.57999999999999996</v>
      </c>
      <c r="BI29" s="325">
        <v>0.49</v>
      </c>
      <c r="BJ29" s="326">
        <v>0.49</v>
      </c>
    </row>
    <row r="30" spans="1:62" s="312" customFormat="1" ht="84" x14ac:dyDescent="0.25">
      <c r="A30" s="330" t="s">
        <v>899</v>
      </c>
      <c r="B30" s="334" t="s">
        <v>819</v>
      </c>
      <c r="C30" s="315" t="s">
        <v>819</v>
      </c>
      <c r="D30" s="315" t="s">
        <v>861</v>
      </c>
      <c r="E30" s="315" t="s">
        <v>840</v>
      </c>
      <c r="F30" s="315" t="s">
        <v>840</v>
      </c>
      <c r="G30" s="315" t="s">
        <v>823</v>
      </c>
      <c r="H30" s="315" t="s">
        <v>852</v>
      </c>
      <c r="I30" s="315" t="s">
        <v>852</v>
      </c>
      <c r="J30" s="315" t="s">
        <v>825</v>
      </c>
      <c r="K30" s="315" t="s">
        <v>853</v>
      </c>
      <c r="L30" s="315" t="s">
        <v>862</v>
      </c>
      <c r="M30" s="315" t="s">
        <v>841</v>
      </c>
      <c r="N30" s="315" t="s">
        <v>854</v>
      </c>
      <c r="O30" s="315" t="s">
        <v>863</v>
      </c>
      <c r="P30" s="315" t="s">
        <v>827</v>
      </c>
      <c r="Q30" s="315" t="s">
        <v>828</v>
      </c>
      <c r="R30" s="315" t="s">
        <v>843</v>
      </c>
      <c r="S30" s="315" t="s">
        <v>828</v>
      </c>
      <c r="T30" s="315" t="s">
        <v>843</v>
      </c>
      <c r="U30" s="315" t="s">
        <v>843</v>
      </c>
      <c r="V30" s="315" t="s">
        <v>829</v>
      </c>
      <c r="W30" s="766"/>
      <c r="X30" s="315" t="s">
        <v>831</v>
      </c>
      <c r="Y30" s="315" t="s">
        <v>831</v>
      </c>
      <c r="Z30" s="315" t="s">
        <v>864</v>
      </c>
      <c r="AA30" s="315" t="s">
        <v>844</v>
      </c>
      <c r="AB30" s="315" t="s">
        <v>844</v>
      </c>
      <c r="AC30" s="315" t="s">
        <v>833</v>
      </c>
      <c r="AD30" s="315" t="s">
        <v>855</v>
      </c>
      <c r="AE30" s="315" t="s">
        <v>855</v>
      </c>
      <c r="AF30" s="315" t="s">
        <v>835</v>
      </c>
      <c r="AG30" s="315" t="s">
        <v>856</v>
      </c>
      <c r="AH30" s="315" t="s">
        <v>865</v>
      </c>
      <c r="AI30" s="315" t="s">
        <v>860</v>
      </c>
      <c r="AJ30" s="315" t="s">
        <v>857</v>
      </c>
      <c r="AK30" s="315" t="s">
        <v>866</v>
      </c>
      <c r="AL30" s="315" t="s">
        <v>837</v>
      </c>
      <c r="AM30" s="315" t="s">
        <v>838</v>
      </c>
      <c r="AN30" s="315" t="s">
        <v>847</v>
      </c>
      <c r="AO30" s="315" t="s">
        <v>838</v>
      </c>
      <c r="AP30" s="315" t="s">
        <v>847</v>
      </c>
      <c r="AQ30" s="315" t="s">
        <v>847</v>
      </c>
      <c r="AR30" s="315" t="s">
        <v>839</v>
      </c>
      <c r="AS30" s="766"/>
      <c r="AT30" s="315">
        <v>1.99</v>
      </c>
      <c r="AU30" s="315">
        <v>2.56</v>
      </c>
      <c r="AV30" s="315">
        <v>4.54</v>
      </c>
      <c r="AW30" s="315">
        <v>3.12</v>
      </c>
      <c r="AX30" s="315">
        <v>0.4</v>
      </c>
      <c r="AY30" s="315">
        <v>6.64</v>
      </c>
      <c r="AZ30" s="315">
        <v>6.64</v>
      </c>
      <c r="BA30" s="315">
        <v>4.9400000000000004</v>
      </c>
      <c r="BB30" s="315">
        <v>4.9400000000000004</v>
      </c>
      <c r="BC30" s="315">
        <v>3.92</v>
      </c>
      <c r="BD30" s="315">
        <v>3.92</v>
      </c>
      <c r="BE30" s="315">
        <v>0.49</v>
      </c>
      <c r="BF30" s="315">
        <v>0.49</v>
      </c>
      <c r="BG30" s="315">
        <v>0.71</v>
      </c>
      <c r="BH30" s="315">
        <v>0.57999999999999996</v>
      </c>
      <c r="BI30" s="315">
        <v>0.49</v>
      </c>
      <c r="BJ30" s="324">
        <v>0.49</v>
      </c>
    </row>
    <row r="31" spans="1:62" s="312" customFormat="1" ht="72" x14ac:dyDescent="0.25">
      <c r="A31" s="331" t="s">
        <v>891</v>
      </c>
      <c r="B31" s="335" t="s">
        <v>225</v>
      </c>
      <c r="C31" s="325" t="s">
        <v>225</v>
      </c>
      <c r="D31" s="325" t="s">
        <v>229</v>
      </c>
      <c r="E31" s="325" t="s">
        <v>233</v>
      </c>
      <c r="F31" s="325" t="s">
        <v>233</v>
      </c>
      <c r="G31" s="325" t="s">
        <v>231</v>
      </c>
      <c r="H31" s="325" t="s">
        <v>238</v>
      </c>
      <c r="I31" s="325" t="s">
        <v>238</v>
      </c>
      <c r="J31" s="325" t="s">
        <v>237</v>
      </c>
      <c r="K31" s="325" t="s">
        <v>215</v>
      </c>
      <c r="L31" s="325" t="s">
        <v>216</v>
      </c>
      <c r="M31" s="325" t="s">
        <v>213</v>
      </c>
      <c r="N31" s="325" t="s">
        <v>218</v>
      </c>
      <c r="O31" s="325" t="s">
        <v>219</v>
      </c>
      <c r="P31" s="325" t="s">
        <v>217</v>
      </c>
      <c r="Q31" s="325" t="s">
        <v>221</v>
      </c>
      <c r="R31" s="325" t="s">
        <v>223</v>
      </c>
      <c r="S31" s="325" t="s">
        <v>221</v>
      </c>
      <c r="T31" s="325" t="s">
        <v>223</v>
      </c>
      <c r="U31" s="325" t="s">
        <v>223</v>
      </c>
      <c r="V31" s="325" t="s">
        <v>222</v>
      </c>
      <c r="W31" s="766"/>
      <c r="X31" s="325" t="s">
        <v>183</v>
      </c>
      <c r="Y31" s="325" t="s">
        <v>183</v>
      </c>
      <c r="Z31" s="325" t="s">
        <v>204</v>
      </c>
      <c r="AA31" s="325" t="s">
        <v>191</v>
      </c>
      <c r="AB31" s="325" t="s">
        <v>191</v>
      </c>
      <c r="AC31" s="325" t="s">
        <v>185</v>
      </c>
      <c r="AD31" s="325" t="s">
        <v>198</v>
      </c>
      <c r="AE31" s="325" t="s">
        <v>198</v>
      </c>
      <c r="AF31" s="325" t="s">
        <v>197</v>
      </c>
      <c r="AG31" s="325" t="s">
        <v>199</v>
      </c>
      <c r="AH31" s="325" t="s">
        <v>205</v>
      </c>
      <c r="AI31" s="325" t="s">
        <v>203</v>
      </c>
      <c r="AJ31" s="325" t="s">
        <v>200</v>
      </c>
      <c r="AK31" s="325" t="s">
        <v>206</v>
      </c>
      <c r="AL31" s="325" t="s">
        <v>188</v>
      </c>
      <c r="AM31" s="325" t="s">
        <v>189</v>
      </c>
      <c r="AN31" s="325" t="s">
        <v>194</v>
      </c>
      <c r="AO31" s="325" t="s">
        <v>189</v>
      </c>
      <c r="AP31" s="325" t="s">
        <v>194</v>
      </c>
      <c r="AQ31" s="325" t="s">
        <v>194</v>
      </c>
      <c r="AR31" s="325" t="s">
        <v>190</v>
      </c>
      <c r="AS31" s="766"/>
      <c r="AT31" s="325">
        <v>0.35</v>
      </c>
      <c r="AU31" s="325">
        <v>0.45</v>
      </c>
      <c r="AV31" s="325">
        <v>0.8</v>
      </c>
      <c r="AW31" s="325">
        <v>0.55000000000000004</v>
      </c>
      <c r="AX31" s="325">
        <v>0.4</v>
      </c>
      <c r="AY31" s="325">
        <v>1.17</v>
      </c>
      <c r="AZ31" s="325">
        <v>1.17</v>
      </c>
      <c r="BA31" s="325">
        <v>0.87</v>
      </c>
      <c r="BB31" s="325">
        <v>0.87</v>
      </c>
      <c r="BC31" s="325">
        <v>0.69</v>
      </c>
      <c r="BD31" s="325">
        <v>0.69</v>
      </c>
      <c r="BE31" s="325">
        <v>0.49</v>
      </c>
      <c r="BF31" s="325">
        <v>0.49</v>
      </c>
      <c r="BG31" s="325">
        <v>0.71</v>
      </c>
      <c r="BH31" s="325">
        <v>0.57999999999999996</v>
      </c>
      <c r="BI31" s="325">
        <v>0.49</v>
      </c>
      <c r="BJ31" s="326">
        <v>0.49</v>
      </c>
    </row>
    <row r="32" spans="1:62" s="312" customFormat="1" ht="84" x14ac:dyDescent="0.25">
      <c r="A32" s="330" t="s">
        <v>898</v>
      </c>
      <c r="B32" s="334" t="s">
        <v>819</v>
      </c>
      <c r="C32" s="315" t="s">
        <v>819</v>
      </c>
      <c r="D32" s="315" t="s">
        <v>861</v>
      </c>
      <c r="E32" s="315" t="s">
        <v>840</v>
      </c>
      <c r="F32" s="315" t="s">
        <v>840</v>
      </c>
      <c r="G32" s="315" t="s">
        <v>823</v>
      </c>
      <c r="H32" s="315" t="s">
        <v>852</v>
      </c>
      <c r="I32" s="315" t="s">
        <v>852</v>
      </c>
      <c r="J32" s="315" t="s">
        <v>825</v>
      </c>
      <c r="K32" s="315" t="s">
        <v>853</v>
      </c>
      <c r="L32" s="315" t="s">
        <v>862</v>
      </c>
      <c r="M32" s="315" t="s">
        <v>841</v>
      </c>
      <c r="N32" s="315" t="s">
        <v>854</v>
      </c>
      <c r="O32" s="315" t="s">
        <v>863</v>
      </c>
      <c r="P32" s="315" t="s">
        <v>827</v>
      </c>
      <c r="Q32" s="315" t="s">
        <v>828</v>
      </c>
      <c r="R32" s="315" t="s">
        <v>843</v>
      </c>
      <c r="S32" s="315" t="s">
        <v>828</v>
      </c>
      <c r="T32" s="315" t="s">
        <v>843</v>
      </c>
      <c r="U32" s="315" t="s">
        <v>843</v>
      </c>
      <c r="V32" s="315" t="s">
        <v>829</v>
      </c>
      <c r="W32" s="766"/>
      <c r="X32" s="315" t="s">
        <v>831</v>
      </c>
      <c r="Y32" s="315" t="s">
        <v>831</v>
      </c>
      <c r="Z32" s="315" t="s">
        <v>864</v>
      </c>
      <c r="AA32" s="315" t="s">
        <v>844</v>
      </c>
      <c r="AB32" s="315" t="s">
        <v>844</v>
      </c>
      <c r="AC32" s="315" t="s">
        <v>833</v>
      </c>
      <c r="AD32" s="315" t="s">
        <v>855</v>
      </c>
      <c r="AE32" s="315" t="s">
        <v>855</v>
      </c>
      <c r="AF32" s="315" t="s">
        <v>835</v>
      </c>
      <c r="AG32" s="315" t="s">
        <v>856</v>
      </c>
      <c r="AH32" s="315" t="s">
        <v>865</v>
      </c>
      <c r="AI32" s="315" t="s">
        <v>860</v>
      </c>
      <c r="AJ32" s="315" t="s">
        <v>857</v>
      </c>
      <c r="AK32" s="315" t="s">
        <v>866</v>
      </c>
      <c r="AL32" s="315" t="s">
        <v>837</v>
      </c>
      <c r="AM32" s="315" t="s">
        <v>838</v>
      </c>
      <c r="AN32" s="315" t="s">
        <v>847</v>
      </c>
      <c r="AO32" s="315" t="s">
        <v>838</v>
      </c>
      <c r="AP32" s="315" t="s">
        <v>847</v>
      </c>
      <c r="AQ32" s="315" t="s">
        <v>847</v>
      </c>
      <c r="AR32" s="315" t="s">
        <v>839</v>
      </c>
      <c r="AS32" s="766"/>
      <c r="AT32" s="315">
        <v>1.99</v>
      </c>
      <c r="AU32" s="315">
        <v>2.56</v>
      </c>
      <c r="AV32" s="315">
        <v>4.54</v>
      </c>
      <c r="AW32" s="315">
        <v>3.12</v>
      </c>
      <c r="AX32" s="315">
        <v>0.4</v>
      </c>
      <c r="AY32" s="315">
        <v>6.64</v>
      </c>
      <c r="AZ32" s="315">
        <v>6.64</v>
      </c>
      <c r="BA32" s="315">
        <v>4.9400000000000004</v>
      </c>
      <c r="BB32" s="315">
        <v>4.9400000000000004</v>
      </c>
      <c r="BC32" s="315">
        <v>3.92</v>
      </c>
      <c r="BD32" s="315">
        <v>3.92</v>
      </c>
      <c r="BE32" s="315">
        <v>0.49</v>
      </c>
      <c r="BF32" s="315">
        <v>0.49</v>
      </c>
      <c r="BG32" s="315">
        <v>0.71</v>
      </c>
      <c r="BH32" s="315">
        <v>0.57999999999999996</v>
      </c>
      <c r="BI32" s="315">
        <v>0.49</v>
      </c>
      <c r="BJ32" s="324">
        <v>0.49</v>
      </c>
    </row>
    <row r="33" spans="1:62" s="312" customFormat="1" ht="72" x14ac:dyDescent="0.25">
      <c r="A33" s="331" t="s">
        <v>892</v>
      </c>
      <c r="B33" s="335" t="s">
        <v>225</v>
      </c>
      <c r="C33" s="325" t="s">
        <v>225</v>
      </c>
      <c r="D33" s="325" t="s">
        <v>229</v>
      </c>
      <c r="E33" s="325" t="s">
        <v>233</v>
      </c>
      <c r="F33" s="325" t="s">
        <v>235</v>
      </c>
      <c r="G33" s="325" t="s">
        <v>231</v>
      </c>
      <c r="H33" s="325" t="s">
        <v>238</v>
      </c>
      <c r="I33" s="325" t="s">
        <v>239</v>
      </c>
      <c r="J33" s="325" t="s">
        <v>237</v>
      </c>
      <c r="K33" s="325" t="s">
        <v>215</v>
      </c>
      <c r="L33" s="325" t="s">
        <v>216</v>
      </c>
      <c r="M33" s="325" t="s">
        <v>213</v>
      </c>
      <c r="N33" s="325" t="s">
        <v>219</v>
      </c>
      <c r="O33" s="325" t="s">
        <v>219</v>
      </c>
      <c r="P33" s="325" t="s">
        <v>217</v>
      </c>
      <c r="Q33" s="325" t="s">
        <v>223</v>
      </c>
      <c r="R33" s="325" t="s">
        <v>223</v>
      </c>
      <c r="S33" s="325" t="s">
        <v>221</v>
      </c>
      <c r="T33" s="325" t="s">
        <v>223</v>
      </c>
      <c r="U33" s="325" t="s">
        <v>223</v>
      </c>
      <c r="V33" s="325" t="s">
        <v>222</v>
      </c>
      <c r="W33" s="766"/>
      <c r="X33" s="325" t="s">
        <v>183</v>
      </c>
      <c r="Y33" s="325" t="s">
        <v>183</v>
      </c>
      <c r="Z33" s="325" t="s">
        <v>204</v>
      </c>
      <c r="AA33" s="325" t="s">
        <v>191</v>
      </c>
      <c r="AB33" s="325" t="s">
        <v>207</v>
      </c>
      <c r="AC33" s="325" t="s">
        <v>185</v>
      </c>
      <c r="AD33" s="325" t="s">
        <v>198</v>
      </c>
      <c r="AE33" s="325" t="s">
        <v>208</v>
      </c>
      <c r="AF33" s="325" t="s">
        <v>197</v>
      </c>
      <c r="AG33" s="325" t="s">
        <v>199</v>
      </c>
      <c r="AH33" s="325" t="s">
        <v>205</v>
      </c>
      <c r="AI33" s="325" t="s">
        <v>203</v>
      </c>
      <c r="AJ33" s="325" t="s">
        <v>206</v>
      </c>
      <c r="AK33" s="325" t="s">
        <v>206</v>
      </c>
      <c r="AL33" s="325" t="s">
        <v>188</v>
      </c>
      <c r="AM33" s="325" t="s">
        <v>194</v>
      </c>
      <c r="AN33" s="325" t="s">
        <v>194</v>
      </c>
      <c r="AO33" s="325" t="s">
        <v>189</v>
      </c>
      <c r="AP33" s="325" t="s">
        <v>194</v>
      </c>
      <c r="AQ33" s="325" t="s">
        <v>194</v>
      </c>
      <c r="AR33" s="325" t="s">
        <v>190</v>
      </c>
      <c r="AS33" s="766"/>
      <c r="AT33" s="325">
        <v>0.35</v>
      </c>
      <c r="AU33" s="325">
        <v>0.4</v>
      </c>
      <c r="AV33" s="325">
        <v>0.8</v>
      </c>
      <c r="AW33" s="325">
        <v>0.45</v>
      </c>
      <c r="AX33" s="325">
        <v>0.45</v>
      </c>
      <c r="AY33" s="325">
        <v>1.17</v>
      </c>
      <c r="AZ33" s="325">
        <v>1.17</v>
      </c>
      <c r="BA33" s="325">
        <v>0.87</v>
      </c>
      <c r="BB33" s="325">
        <v>0.87</v>
      </c>
      <c r="BC33" s="325">
        <v>0.69</v>
      </c>
      <c r="BD33" s="325">
        <v>0.69</v>
      </c>
      <c r="BE33" s="325">
        <v>0.68</v>
      </c>
      <c r="BF33" s="325">
        <v>0.64</v>
      </c>
      <c r="BG33" s="325">
        <v>0.77</v>
      </c>
      <c r="BH33" s="325">
        <v>0.71</v>
      </c>
      <c r="BI33" s="325">
        <v>0.68</v>
      </c>
      <c r="BJ33" s="326">
        <v>0.64</v>
      </c>
    </row>
    <row r="34" spans="1:62" s="312" customFormat="1" ht="84" x14ac:dyDescent="0.25">
      <c r="A34" s="330" t="s">
        <v>897</v>
      </c>
      <c r="B34" s="334" t="s">
        <v>819</v>
      </c>
      <c r="C34" s="315" t="s">
        <v>819</v>
      </c>
      <c r="D34" s="315" t="s">
        <v>861</v>
      </c>
      <c r="E34" s="315" t="s">
        <v>840</v>
      </c>
      <c r="F34" s="315" t="s">
        <v>867</v>
      </c>
      <c r="G34" s="315" t="s">
        <v>823</v>
      </c>
      <c r="H34" s="315" t="s">
        <v>852</v>
      </c>
      <c r="I34" s="315" t="s">
        <v>868</v>
      </c>
      <c r="J34" s="315" t="s">
        <v>825</v>
      </c>
      <c r="K34" s="315" t="s">
        <v>853</v>
      </c>
      <c r="L34" s="315" t="s">
        <v>862</v>
      </c>
      <c r="M34" s="315" t="s">
        <v>841</v>
      </c>
      <c r="N34" s="315" t="s">
        <v>863</v>
      </c>
      <c r="O34" s="315" t="s">
        <v>863</v>
      </c>
      <c r="P34" s="315" t="s">
        <v>827</v>
      </c>
      <c r="Q34" s="315" t="s">
        <v>843</v>
      </c>
      <c r="R34" s="315" t="s">
        <v>843</v>
      </c>
      <c r="S34" s="315" t="s">
        <v>828</v>
      </c>
      <c r="T34" s="315" t="s">
        <v>843</v>
      </c>
      <c r="U34" s="315" t="s">
        <v>843</v>
      </c>
      <c r="V34" s="315" t="s">
        <v>829</v>
      </c>
      <c r="W34" s="766"/>
      <c r="X34" s="315" t="s">
        <v>831</v>
      </c>
      <c r="Y34" s="315" t="s">
        <v>831</v>
      </c>
      <c r="Z34" s="315" t="s">
        <v>864</v>
      </c>
      <c r="AA34" s="315" t="s">
        <v>844</v>
      </c>
      <c r="AB34" s="315" t="s">
        <v>869</v>
      </c>
      <c r="AC34" s="315" t="s">
        <v>833</v>
      </c>
      <c r="AD34" s="315" t="s">
        <v>855</v>
      </c>
      <c r="AE34" s="315" t="s">
        <v>870</v>
      </c>
      <c r="AF34" s="315" t="s">
        <v>835</v>
      </c>
      <c r="AG34" s="315" t="s">
        <v>856</v>
      </c>
      <c r="AH34" s="315" t="s">
        <v>865</v>
      </c>
      <c r="AI34" s="315" t="s">
        <v>860</v>
      </c>
      <c r="AJ34" s="315" t="s">
        <v>866</v>
      </c>
      <c r="AK34" s="315" t="s">
        <v>866</v>
      </c>
      <c r="AL34" s="315" t="s">
        <v>837</v>
      </c>
      <c r="AM34" s="315" t="s">
        <v>847</v>
      </c>
      <c r="AN34" s="315" t="s">
        <v>847</v>
      </c>
      <c r="AO34" s="315" t="s">
        <v>838</v>
      </c>
      <c r="AP34" s="315" t="s">
        <v>847</v>
      </c>
      <c r="AQ34" s="315" t="s">
        <v>847</v>
      </c>
      <c r="AR34" s="315" t="s">
        <v>839</v>
      </c>
      <c r="AS34" s="766"/>
      <c r="AT34" s="315">
        <v>1.99</v>
      </c>
      <c r="AU34" s="315">
        <v>2.27</v>
      </c>
      <c r="AV34" s="315">
        <v>4.54</v>
      </c>
      <c r="AW34" s="315">
        <v>2.56</v>
      </c>
      <c r="AX34" s="315">
        <v>0.45</v>
      </c>
      <c r="AY34" s="315">
        <v>6.64</v>
      </c>
      <c r="AZ34" s="315">
        <v>6.64</v>
      </c>
      <c r="BA34" s="315">
        <v>4.9400000000000004</v>
      </c>
      <c r="BB34" s="315">
        <v>4.9400000000000004</v>
      </c>
      <c r="BC34" s="315">
        <v>3.92</v>
      </c>
      <c r="BD34" s="315">
        <v>3.92</v>
      </c>
      <c r="BE34" s="315">
        <v>0.68</v>
      </c>
      <c r="BF34" s="315">
        <v>0.64</v>
      </c>
      <c r="BG34" s="315">
        <v>0.77</v>
      </c>
      <c r="BH34" s="315">
        <v>0.71</v>
      </c>
      <c r="BI34" s="315">
        <v>0.68</v>
      </c>
      <c r="BJ34" s="324">
        <v>0.64</v>
      </c>
    </row>
    <row r="35" spans="1:62" s="312" customFormat="1" ht="72" x14ac:dyDescent="0.25">
      <c r="A35" s="331" t="s">
        <v>893</v>
      </c>
      <c r="B35" s="335" t="s">
        <v>225</v>
      </c>
      <c r="C35" s="325" t="s">
        <v>225</v>
      </c>
      <c r="D35" s="325" t="s">
        <v>229</v>
      </c>
      <c r="E35" s="325" t="s">
        <v>233</v>
      </c>
      <c r="F35" s="325" t="s">
        <v>235</v>
      </c>
      <c r="G35" s="325" t="s">
        <v>231</v>
      </c>
      <c r="H35" s="325" t="s">
        <v>238</v>
      </c>
      <c r="I35" s="325" t="s">
        <v>239</v>
      </c>
      <c r="J35" s="325" t="s">
        <v>237</v>
      </c>
      <c r="K35" s="325" t="s">
        <v>215</v>
      </c>
      <c r="L35" s="325" t="s">
        <v>216</v>
      </c>
      <c r="M35" s="325" t="s">
        <v>213</v>
      </c>
      <c r="N35" s="325" t="s">
        <v>219</v>
      </c>
      <c r="O35" s="325" t="s">
        <v>219</v>
      </c>
      <c r="P35" s="325" t="s">
        <v>217</v>
      </c>
      <c r="Q35" s="325" t="s">
        <v>223</v>
      </c>
      <c r="R35" s="325" t="s">
        <v>223</v>
      </c>
      <c r="S35" s="325" t="s">
        <v>221</v>
      </c>
      <c r="T35" s="325" t="s">
        <v>223</v>
      </c>
      <c r="U35" s="325" t="s">
        <v>223</v>
      </c>
      <c r="V35" s="325" t="s">
        <v>222</v>
      </c>
      <c r="W35" s="766"/>
      <c r="X35" s="325" t="s">
        <v>183</v>
      </c>
      <c r="Y35" s="325" t="s">
        <v>183</v>
      </c>
      <c r="Z35" s="325" t="s">
        <v>204</v>
      </c>
      <c r="AA35" s="325" t="s">
        <v>191</v>
      </c>
      <c r="AB35" s="325" t="s">
        <v>207</v>
      </c>
      <c r="AC35" s="325" t="s">
        <v>185</v>
      </c>
      <c r="AD35" s="325" t="s">
        <v>198</v>
      </c>
      <c r="AE35" s="325" t="s">
        <v>208</v>
      </c>
      <c r="AF35" s="325" t="s">
        <v>197</v>
      </c>
      <c r="AG35" s="325" t="s">
        <v>199</v>
      </c>
      <c r="AH35" s="325" t="s">
        <v>205</v>
      </c>
      <c r="AI35" s="325" t="s">
        <v>203</v>
      </c>
      <c r="AJ35" s="325" t="s">
        <v>206</v>
      </c>
      <c r="AK35" s="325" t="s">
        <v>206</v>
      </c>
      <c r="AL35" s="325" t="s">
        <v>188</v>
      </c>
      <c r="AM35" s="325" t="s">
        <v>194</v>
      </c>
      <c r="AN35" s="325" t="s">
        <v>194</v>
      </c>
      <c r="AO35" s="325" t="s">
        <v>189</v>
      </c>
      <c r="AP35" s="325" t="s">
        <v>194</v>
      </c>
      <c r="AQ35" s="325" t="s">
        <v>194</v>
      </c>
      <c r="AR35" s="325" t="s">
        <v>190</v>
      </c>
      <c r="AS35" s="766"/>
      <c r="AT35" s="325">
        <v>0.35</v>
      </c>
      <c r="AU35" s="325">
        <v>0.4</v>
      </c>
      <c r="AV35" s="325">
        <v>0.8</v>
      </c>
      <c r="AW35" s="325">
        <v>0.45</v>
      </c>
      <c r="AX35" s="325">
        <v>0.45</v>
      </c>
      <c r="AY35" s="325">
        <v>1.17</v>
      </c>
      <c r="AZ35" s="325">
        <v>1.17</v>
      </c>
      <c r="BA35" s="325">
        <v>0.87</v>
      </c>
      <c r="BB35" s="325">
        <v>0.87</v>
      </c>
      <c r="BC35" s="325">
        <v>0.69</v>
      </c>
      <c r="BD35" s="325">
        <v>0.69</v>
      </c>
      <c r="BE35" s="325">
        <v>0.68</v>
      </c>
      <c r="BF35" s="325">
        <v>0.64</v>
      </c>
      <c r="BG35" s="325">
        <v>0.77</v>
      </c>
      <c r="BH35" s="325">
        <v>0.71</v>
      </c>
      <c r="BI35" s="325">
        <v>0.68</v>
      </c>
      <c r="BJ35" s="326">
        <v>0.64</v>
      </c>
    </row>
    <row r="36" spans="1:62" s="312" customFormat="1" ht="84" x14ac:dyDescent="0.25">
      <c r="A36" s="330" t="s">
        <v>896</v>
      </c>
      <c r="B36" s="334" t="s">
        <v>819</v>
      </c>
      <c r="C36" s="315" t="s">
        <v>819</v>
      </c>
      <c r="D36" s="315" t="s">
        <v>861</v>
      </c>
      <c r="E36" s="315" t="s">
        <v>840</v>
      </c>
      <c r="F36" s="315" t="s">
        <v>867</v>
      </c>
      <c r="G36" s="315" t="s">
        <v>823</v>
      </c>
      <c r="H36" s="315" t="s">
        <v>852</v>
      </c>
      <c r="I36" s="315" t="s">
        <v>868</v>
      </c>
      <c r="J36" s="315" t="s">
        <v>825</v>
      </c>
      <c r="K36" s="315" t="s">
        <v>853</v>
      </c>
      <c r="L36" s="315" t="s">
        <v>862</v>
      </c>
      <c r="M36" s="315" t="s">
        <v>841</v>
      </c>
      <c r="N36" s="315" t="s">
        <v>863</v>
      </c>
      <c r="O36" s="315" t="s">
        <v>863</v>
      </c>
      <c r="P36" s="315" t="s">
        <v>827</v>
      </c>
      <c r="Q36" s="315" t="s">
        <v>843</v>
      </c>
      <c r="R36" s="315" t="s">
        <v>843</v>
      </c>
      <c r="S36" s="315" t="s">
        <v>828</v>
      </c>
      <c r="T36" s="315" t="s">
        <v>843</v>
      </c>
      <c r="U36" s="315" t="s">
        <v>843</v>
      </c>
      <c r="V36" s="315" t="s">
        <v>829</v>
      </c>
      <c r="W36" s="766"/>
      <c r="X36" s="315" t="s">
        <v>831</v>
      </c>
      <c r="Y36" s="315" t="s">
        <v>831</v>
      </c>
      <c r="Z36" s="315" t="s">
        <v>864</v>
      </c>
      <c r="AA36" s="315" t="s">
        <v>844</v>
      </c>
      <c r="AB36" s="315" t="s">
        <v>869</v>
      </c>
      <c r="AC36" s="315" t="s">
        <v>833</v>
      </c>
      <c r="AD36" s="315" t="s">
        <v>855</v>
      </c>
      <c r="AE36" s="315" t="s">
        <v>870</v>
      </c>
      <c r="AF36" s="315" t="s">
        <v>835</v>
      </c>
      <c r="AG36" s="315" t="s">
        <v>856</v>
      </c>
      <c r="AH36" s="315" t="s">
        <v>865</v>
      </c>
      <c r="AI36" s="315" t="s">
        <v>860</v>
      </c>
      <c r="AJ36" s="315" t="s">
        <v>866</v>
      </c>
      <c r="AK36" s="315" t="s">
        <v>866</v>
      </c>
      <c r="AL36" s="315" t="s">
        <v>837</v>
      </c>
      <c r="AM36" s="315" t="s">
        <v>847</v>
      </c>
      <c r="AN36" s="315" t="s">
        <v>847</v>
      </c>
      <c r="AO36" s="315" t="s">
        <v>838</v>
      </c>
      <c r="AP36" s="315" t="s">
        <v>847</v>
      </c>
      <c r="AQ36" s="315" t="s">
        <v>847</v>
      </c>
      <c r="AR36" s="315" t="s">
        <v>839</v>
      </c>
      <c r="AS36" s="766"/>
      <c r="AT36" s="315">
        <v>1.99</v>
      </c>
      <c r="AU36" s="315">
        <v>2.27</v>
      </c>
      <c r="AV36" s="315">
        <v>4.54</v>
      </c>
      <c r="AW36" s="315">
        <v>2.56</v>
      </c>
      <c r="AX36" s="315">
        <v>0.45</v>
      </c>
      <c r="AY36" s="315">
        <v>6.64</v>
      </c>
      <c r="AZ36" s="315">
        <v>6.64</v>
      </c>
      <c r="BA36" s="315">
        <v>4.9400000000000004</v>
      </c>
      <c r="BB36" s="315">
        <v>4.9400000000000004</v>
      </c>
      <c r="BC36" s="315">
        <v>3.92</v>
      </c>
      <c r="BD36" s="315">
        <v>3.92</v>
      </c>
      <c r="BE36" s="315">
        <v>0.68</v>
      </c>
      <c r="BF36" s="315">
        <v>0.64</v>
      </c>
      <c r="BG36" s="315">
        <v>0.77</v>
      </c>
      <c r="BH36" s="315">
        <v>0.71</v>
      </c>
      <c r="BI36" s="315">
        <v>0.68</v>
      </c>
      <c r="BJ36" s="324">
        <v>0.64</v>
      </c>
    </row>
    <row r="37" spans="1:62" s="312" customFormat="1" ht="72" x14ac:dyDescent="0.25">
      <c r="A37" s="331" t="s">
        <v>894</v>
      </c>
      <c r="B37" s="335" t="s">
        <v>225</v>
      </c>
      <c r="C37" s="325" t="s">
        <v>225</v>
      </c>
      <c r="D37" s="325" t="s">
        <v>230</v>
      </c>
      <c r="E37" s="325" t="s">
        <v>233</v>
      </c>
      <c r="F37" s="325" t="s">
        <v>236</v>
      </c>
      <c r="G37" s="325" t="s">
        <v>234</v>
      </c>
      <c r="H37" s="325" t="s">
        <v>238</v>
      </c>
      <c r="I37" s="325" t="s">
        <v>240</v>
      </c>
      <c r="J37" s="325" t="s">
        <v>237</v>
      </c>
      <c r="K37" s="325" t="s">
        <v>216</v>
      </c>
      <c r="L37" s="325" t="s">
        <v>216</v>
      </c>
      <c r="M37" s="325" t="s">
        <v>213</v>
      </c>
      <c r="N37" s="325" t="s">
        <v>219</v>
      </c>
      <c r="O37" s="325" t="s">
        <v>220</v>
      </c>
      <c r="P37" s="325" t="s">
        <v>217</v>
      </c>
      <c r="Q37" s="325" t="s">
        <v>223</v>
      </c>
      <c r="R37" s="325" t="s">
        <v>223</v>
      </c>
      <c r="S37" s="325" t="s">
        <v>221</v>
      </c>
      <c r="T37" s="325" t="s">
        <v>223</v>
      </c>
      <c r="U37" s="325" t="s">
        <v>223</v>
      </c>
      <c r="V37" s="325" t="s">
        <v>223</v>
      </c>
      <c r="W37" s="766"/>
      <c r="X37" s="325" t="s">
        <v>183</v>
      </c>
      <c r="Y37" s="325" t="s">
        <v>183</v>
      </c>
      <c r="Z37" s="325" t="s">
        <v>182</v>
      </c>
      <c r="AA37" s="325" t="s">
        <v>191</v>
      </c>
      <c r="AB37" s="325" t="s">
        <v>209</v>
      </c>
      <c r="AC37" s="325" t="s">
        <v>196</v>
      </c>
      <c r="AD37" s="325" t="s">
        <v>198</v>
      </c>
      <c r="AE37" s="325" t="s">
        <v>210</v>
      </c>
      <c r="AF37" s="325" t="s">
        <v>197</v>
      </c>
      <c r="AG37" s="325" t="s">
        <v>205</v>
      </c>
      <c r="AH37" s="325" t="s">
        <v>205</v>
      </c>
      <c r="AI37" s="325" t="s">
        <v>203</v>
      </c>
      <c r="AJ37" s="325" t="s">
        <v>206</v>
      </c>
      <c r="AK37" s="325" t="s">
        <v>211</v>
      </c>
      <c r="AL37" s="325" t="s">
        <v>188</v>
      </c>
      <c r="AM37" s="325" t="s">
        <v>194</v>
      </c>
      <c r="AN37" s="325" t="s">
        <v>194</v>
      </c>
      <c r="AO37" s="325" t="s">
        <v>189</v>
      </c>
      <c r="AP37" s="325" t="s">
        <v>194</v>
      </c>
      <c r="AQ37" s="325" t="s">
        <v>194</v>
      </c>
      <c r="AR37" s="325" t="s">
        <v>194</v>
      </c>
      <c r="AS37" s="766"/>
      <c r="AT37" s="325">
        <v>0.35</v>
      </c>
      <c r="AU37" s="325">
        <v>0.4</v>
      </c>
      <c r="AV37" s="325">
        <v>0.8</v>
      </c>
      <c r="AW37" s="325">
        <v>0.45</v>
      </c>
      <c r="AX37" s="325">
        <v>0.45</v>
      </c>
      <c r="AY37" s="325">
        <v>0.98</v>
      </c>
      <c r="AZ37" s="325">
        <v>0.98</v>
      </c>
      <c r="BA37" s="325">
        <v>0.61</v>
      </c>
      <c r="BB37" s="325">
        <v>0.61</v>
      </c>
      <c r="BC37" s="325">
        <v>0.57999999999999996</v>
      </c>
      <c r="BD37" s="325">
        <v>0.57999999999999996</v>
      </c>
      <c r="BE37" s="325">
        <v>0.68</v>
      </c>
      <c r="BF37" s="325">
        <v>0.64</v>
      </c>
      <c r="BG37" s="325">
        <v>0.77</v>
      </c>
      <c r="BH37" s="325">
        <v>0.71</v>
      </c>
      <c r="BI37" s="325">
        <v>0.68</v>
      </c>
      <c r="BJ37" s="326">
        <v>0.64</v>
      </c>
    </row>
    <row r="38" spans="1:62" ht="89.25" x14ac:dyDescent="0.25">
      <c r="A38" s="332" t="s">
        <v>895</v>
      </c>
      <c r="B38" s="336" t="s">
        <v>819</v>
      </c>
      <c r="C38" s="327" t="s">
        <v>819</v>
      </c>
      <c r="D38" s="327" t="s">
        <v>818</v>
      </c>
      <c r="E38" s="327" t="s">
        <v>840</v>
      </c>
      <c r="F38" s="327" t="s">
        <v>871</v>
      </c>
      <c r="G38" s="327" t="s">
        <v>849</v>
      </c>
      <c r="H38" s="327" t="s">
        <v>852</v>
      </c>
      <c r="I38" s="327" t="s">
        <v>872</v>
      </c>
      <c r="J38" s="327" t="s">
        <v>825</v>
      </c>
      <c r="K38" s="327" t="s">
        <v>862</v>
      </c>
      <c r="L38" s="327" t="s">
        <v>862</v>
      </c>
      <c r="M38" s="327" t="s">
        <v>841</v>
      </c>
      <c r="N38" s="327" t="s">
        <v>863</v>
      </c>
      <c r="O38" s="327" t="s">
        <v>873</v>
      </c>
      <c r="P38" s="327" t="s">
        <v>827</v>
      </c>
      <c r="Q38" s="327" t="s">
        <v>843</v>
      </c>
      <c r="R38" s="327" t="s">
        <v>843</v>
      </c>
      <c r="S38" s="327" t="s">
        <v>828</v>
      </c>
      <c r="T38" s="327" t="s">
        <v>843</v>
      </c>
      <c r="U38" s="327" t="s">
        <v>843</v>
      </c>
      <c r="V38" s="327" t="s">
        <v>843</v>
      </c>
      <c r="W38" s="767"/>
      <c r="X38" s="327" t="s">
        <v>831</v>
      </c>
      <c r="Y38" s="327" t="s">
        <v>831</v>
      </c>
      <c r="Z38" s="327" t="s">
        <v>830</v>
      </c>
      <c r="AA38" s="327" t="s">
        <v>844</v>
      </c>
      <c r="AB38" s="327" t="s">
        <v>874</v>
      </c>
      <c r="AC38" s="327" t="s">
        <v>851</v>
      </c>
      <c r="AD38" s="327" t="s">
        <v>855</v>
      </c>
      <c r="AE38" s="327" t="s">
        <v>875</v>
      </c>
      <c r="AF38" s="327" t="s">
        <v>835</v>
      </c>
      <c r="AG38" s="327" t="s">
        <v>865</v>
      </c>
      <c r="AH38" s="327" t="s">
        <v>865</v>
      </c>
      <c r="AI38" s="327" t="s">
        <v>860</v>
      </c>
      <c r="AJ38" s="327" t="s">
        <v>866</v>
      </c>
      <c r="AK38" s="327" t="s">
        <v>876</v>
      </c>
      <c r="AL38" s="327" t="s">
        <v>837</v>
      </c>
      <c r="AM38" s="327" t="s">
        <v>847</v>
      </c>
      <c r="AN38" s="327" t="s">
        <v>847</v>
      </c>
      <c r="AO38" s="327" t="s">
        <v>838</v>
      </c>
      <c r="AP38" s="327" t="s">
        <v>847</v>
      </c>
      <c r="AQ38" s="327" t="s">
        <v>847</v>
      </c>
      <c r="AR38" s="327" t="s">
        <v>847</v>
      </c>
      <c r="AS38" s="767"/>
      <c r="AT38" s="327">
        <v>1.99</v>
      </c>
      <c r="AU38" s="327">
        <v>2.27</v>
      </c>
      <c r="AV38" s="327">
        <v>4.54</v>
      </c>
      <c r="AW38" s="327">
        <v>2.56</v>
      </c>
      <c r="AX38" s="327">
        <v>0.45</v>
      </c>
      <c r="AY38" s="327">
        <v>5.56</v>
      </c>
      <c r="AZ38" s="327">
        <v>5.56</v>
      </c>
      <c r="BA38" s="327">
        <v>3.46</v>
      </c>
      <c r="BB38" s="327">
        <v>3.46</v>
      </c>
      <c r="BC38" s="327">
        <v>3.29</v>
      </c>
      <c r="BD38" s="327">
        <v>3.29</v>
      </c>
      <c r="BE38" s="327" t="s">
        <v>877</v>
      </c>
      <c r="BF38" s="327" t="s">
        <v>877</v>
      </c>
      <c r="BG38" s="327" t="s">
        <v>877</v>
      </c>
      <c r="BH38" s="327" t="s">
        <v>877</v>
      </c>
      <c r="BI38" s="327" t="s">
        <v>877</v>
      </c>
      <c r="BJ38" s="328" t="s">
        <v>877</v>
      </c>
    </row>
  </sheetData>
  <sheetProtection algorithmName="SHA-512" hashValue="xceXlzumwsHbOOhhhxb5PBImrewHZZyrBOS4bNmA55qPOGtcSP5lsCpPa9RpesjagvEFNSL+6ar13yUeHYVuYQ==" saltValue="MElAq2rfsHBKwRzAh7+ZDQ==" spinCount="100000" sheet="1" objects="1" scenarios="1"/>
  <customSheetViews>
    <customSheetView guid="{75D6F8CE-A4F4-4FDD-BA92-7996F9E19FA9}" scale="80" showGridLines="0">
      <pane xSplit="1" ySplit="2" topLeftCell="B3" activePane="bottomRight" state="frozen"/>
      <selection pane="bottomRight" activeCell="E12" sqref="E12"/>
      <pageMargins left="0.7" right="0.7" top="0.75" bottom="0.75" header="0.3" footer="0.3"/>
      <pageSetup orientation="portrait"/>
    </customSheetView>
  </customSheetViews>
  <mergeCells count="19">
    <mergeCell ref="AM1:AO1"/>
    <mergeCell ref="AJ1:AL1"/>
    <mergeCell ref="Q1:S1"/>
    <mergeCell ref="T1:V1"/>
    <mergeCell ref="B1:D1"/>
    <mergeCell ref="E1:G1"/>
    <mergeCell ref="H1:J1"/>
    <mergeCell ref="K1:M1"/>
    <mergeCell ref="N1:P1"/>
    <mergeCell ref="A1:A2"/>
    <mergeCell ref="X1:Z1"/>
    <mergeCell ref="AA1:AC1"/>
    <mergeCell ref="AD1:AF1"/>
    <mergeCell ref="AG1:AI1"/>
    <mergeCell ref="AP1:AR1"/>
    <mergeCell ref="AT1:AW1"/>
    <mergeCell ref="AX1:AX2"/>
    <mergeCell ref="AY1:BD1"/>
    <mergeCell ref="BE1:BJ1"/>
  </mergeCells>
  <pageMargins left="0.7" right="0.7" top="0.75" bottom="0.75" header="0.3" footer="0.3"/>
  <pageSetup orientation="portrait"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ZZ151"/>
  <sheetViews>
    <sheetView showGridLines="0" zoomScale="85" zoomScaleNormal="85" zoomScaleSheetLayoutView="120" zoomScalePageLayoutView="90" workbookViewId="0">
      <selection activeCell="J128" sqref="J128:L128"/>
    </sheetView>
  </sheetViews>
  <sheetFormatPr defaultColWidth="8.7109375" defaultRowHeight="12.75" outlineLevelCol="1" x14ac:dyDescent="0.2"/>
  <cols>
    <col min="1" max="1" width="3.7109375" style="675" customWidth="1"/>
    <col min="2" max="2" width="14.140625" style="36" customWidth="1"/>
    <col min="3" max="3" width="35.42578125" style="36" customWidth="1"/>
    <col min="4" max="4" width="12.28515625" style="36" customWidth="1"/>
    <col min="5" max="5" width="2.140625" style="36" customWidth="1"/>
    <col min="6" max="6" width="14.7109375" style="36" customWidth="1"/>
    <col min="7" max="7" width="8.42578125" style="36" customWidth="1"/>
    <col min="8" max="8" width="11.5703125" style="36" customWidth="1"/>
    <col min="9" max="9" width="14" style="36" customWidth="1"/>
    <col min="10" max="10" width="14.7109375" style="36" customWidth="1"/>
    <col min="11" max="11" width="12.28515625" style="36" customWidth="1"/>
    <col min="12" max="12" width="26" style="36" customWidth="1"/>
    <col min="13" max="13" width="9.140625" style="36" customWidth="1"/>
    <col min="14" max="14" width="11.42578125" style="94" customWidth="1"/>
    <col min="15" max="16" width="11.7109375" style="2" customWidth="1"/>
    <col min="17" max="17" width="9.140625" style="2" customWidth="1"/>
    <col min="18" max="18" width="2.7109375" style="36" customWidth="1"/>
    <col min="19" max="27" width="8.7109375" style="36" hidden="1" customWidth="1" outlineLevel="1"/>
    <col min="28" max="28" width="2.7109375" style="36" customWidth="1" collapsed="1"/>
    <col min="29" max="29" width="2.7109375" style="36" customWidth="1"/>
    <col min="30" max="30" width="50.7109375" style="36" customWidth="1"/>
    <col min="31" max="16384" width="8.7109375" style="36"/>
  </cols>
  <sheetData>
    <row r="1" spans="1:30" s="25" customFormat="1" x14ac:dyDescent="0.25">
      <c r="A1" s="819" t="s">
        <v>1298</v>
      </c>
      <c r="B1" s="35"/>
      <c r="C1" s="35"/>
      <c r="D1" s="35"/>
      <c r="E1" s="35"/>
      <c r="F1" s="35"/>
      <c r="G1" s="35"/>
      <c r="H1" s="34"/>
      <c r="I1" s="35"/>
      <c r="J1" s="34"/>
      <c r="K1" s="34"/>
      <c r="L1" s="35"/>
      <c r="M1" s="35"/>
      <c r="N1" s="35"/>
      <c r="O1" s="35"/>
      <c r="P1" s="35"/>
      <c r="Q1" s="35"/>
    </row>
    <row r="2" spans="1:30" s="25" customFormat="1" ht="24.75" customHeight="1" x14ac:dyDescent="0.25">
      <c r="A2" s="819" t="s">
        <v>1298</v>
      </c>
      <c r="B2" s="44" t="s">
        <v>301</v>
      </c>
      <c r="C2" s="49"/>
      <c r="D2" s="49"/>
      <c r="E2" s="49"/>
      <c r="F2" s="49"/>
      <c r="G2" s="49"/>
      <c r="H2" s="49"/>
      <c r="I2" s="49"/>
      <c r="J2" s="49"/>
      <c r="K2" s="49"/>
      <c r="L2" s="49"/>
      <c r="M2" s="49"/>
      <c r="N2" s="49"/>
      <c r="O2" s="49"/>
      <c r="P2" s="49"/>
      <c r="Q2" s="49"/>
    </row>
    <row r="3" spans="1:30" s="25" customFormat="1" ht="15" customHeight="1" x14ac:dyDescent="0.25">
      <c r="A3" s="819" t="s">
        <v>1298</v>
      </c>
      <c r="B3" s="35"/>
      <c r="C3" s="35"/>
      <c r="D3" s="35"/>
      <c r="E3" s="35"/>
      <c r="F3" s="35"/>
      <c r="G3" s="35"/>
      <c r="H3" s="34"/>
      <c r="I3" s="35"/>
      <c r="J3" s="34"/>
      <c r="K3" s="34"/>
      <c r="L3" s="35"/>
      <c r="M3" s="35"/>
      <c r="N3" s="35"/>
      <c r="O3" s="35"/>
      <c r="P3" s="35"/>
      <c r="Q3" s="35"/>
    </row>
    <row r="4" spans="1:30" ht="21.75" customHeight="1" x14ac:dyDescent="0.2">
      <c r="A4" s="675" t="s">
        <v>1298</v>
      </c>
      <c r="M4" s="769"/>
      <c r="N4" s="768"/>
      <c r="O4" s="768"/>
      <c r="P4" s="768"/>
    </row>
    <row r="5" spans="1:30" s="25" customFormat="1" ht="30" customHeight="1" x14ac:dyDescent="0.2">
      <c r="A5" s="675" t="s">
        <v>1298</v>
      </c>
      <c r="B5" s="28" t="s">
        <v>281</v>
      </c>
      <c r="C5" s="33"/>
      <c r="D5" s="33"/>
      <c r="E5" s="33"/>
      <c r="F5" s="33"/>
      <c r="G5" s="33"/>
      <c r="H5" s="33"/>
      <c r="I5" s="33"/>
      <c r="J5" s="33"/>
      <c r="K5" s="33"/>
      <c r="L5" s="33"/>
      <c r="M5" s="33"/>
      <c r="N5" s="118"/>
      <c r="O5" s="118"/>
      <c r="P5" s="118"/>
      <c r="Q5" s="118"/>
    </row>
    <row r="6" spans="1:30" ht="48.75" customHeight="1" x14ac:dyDescent="0.25">
      <c r="A6" s="675" t="s">
        <v>1298</v>
      </c>
      <c r="B6" s="2626" t="s">
        <v>1054</v>
      </c>
      <c r="C6" s="2626"/>
      <c r="D6" s="2626"/>
      <c r="E6" s="2626"/>
      <c r="F6" s="2626"/>
      <c r="G6" s="2626"/>
      <c r="H6" s="2626"/>
      <c r="I6" s="2626"/>
      <c r="J6" s="2626"/>
      <c r="K6" s="2626"/>
      <c r="L6" s="2626"/>
      <c r="M6" s="2859"/>
      <c r="N6" s="2859"/>
      <c r="O6" s="2859"/>
      <c r="P6" s="2859"/>
      <c r="Q6" s="2859"/>
      <c r="AD6" s="1082" t="s">
        <v>2090</v>
      </c>
    </row>
    <row r="7" spans="1:30" s="25" customFormat="1" ht="26.25" customHeight="1" x14ac:dyDescent="0.2">
      <c r="A7" s="675" t="s">
        <v>1298</v>
      </c>
      <c r="B7" s="31" t="s">
        <v>180</v>
      </c>
      <c r="C7" s="33"/>
      <c r="D7" s="33"/>
      <c r="E7" s="33"/>
      <c r="F7" s="33"/>
      <c r="G7" s="33"/>
      <c r="H7" s="33"/>
      <c r="I7" s="33"/>
      <c r="J7" s="33"/>
      <c r="K7" s="33"/>
      <c r="L7" s="33"/>
      <c r="M7" s="33"/>
      <c r="N7" s="430"/>
      <c r="O7" s="118"/>
      <c r="P7" s="118"/>
      <c r="Q7" s="118"/>
    </row>
    <row r="8" spans="1:30" ht="18" customHeight="1" x14ac:dyDescent="0.25">
      <c r="A8" s="675" t="s">
        <v>1298</v>
      </c>
      <c r="B8" s="2771" t="s">
        <v>1139</v>
      </c>
      <c r="C8" s="2705"/>
      <c r="D8" s="2705"/>
      <c r="E8" s="2705"/>
      <c r="F8" s="2705"/>
      <c r="G8" s="2705"/>
      <c r="H8" s="2705"/>
      <c r="I8" s="2705"/>
      <c r="J8" s="2705"/>
      <c r="K8" s="2705"/>
      <c r="L8" s="2705"/>
      <c r="M8" s="2705"/>
      <c r="N8" s="2705"/>
      <c r="O8" s="2705"/>
      <c r="P8" s="2830" t="s">
        <v>25</v>
      </c>
      <c r="Q8" s="2831"/>
      <c r="AD8" s="2278"/>
    </row>
    <row r="9" spans="1:30" customFormat="1" ht="9.75" customHeight="1" x14ac:dyDescent="0.25">
      <c r="A9" s="675" t="s">
        <v>1298</v>
      </c>
      <c r="B9" s="1148"/>
      <c r="C9" s="1148"/>
      <c r="D9" s="1148"/>
      <c r="E9" s="1148"/>
      <c r="F9" s="1148"/>
      <c r="G9" s="1148"/>
      <c r="H9" s="1148"/>
      <c r="I9" s="1148"/>
      <c r="J9" s="1148"/>
      <c r="K9" s="1148"/>
      <c r="L9" s="1216"/>
      <c r="M9" s="1148"/>
      <c r="N9" s="94"/>
      <c r="O9" s="1217"/>
      <c r="P9" s="678"/>
      <c r="Q9" s="2"/>
    </row>
    <row r="10" spans="1:30" ht="20.25" customHeight="1" x14ac:dyDescent="0.25">
      <c r="A10" s="675" t="s">
        <v>1298</v>
      </c>
      <c r="B10" s="2822" t="s">
        <v>1140</v>
      </c>
      <c r="C10" s="2705"/>
      <c r="D10" s="2705"/>
      <c r="E10" s="2705"/>
      <c r="F10" s="2705"/>
      <c r="G10" s="2705"/>
      <c r="H10" s="2705"/>
      <c r="I10" s="2705"/>
      <c r="J10" s="2705"/>
      <c r="K10" s="2705"/>
      <c r="L10" s="2705"/>
      <c r="M10" s="2705"/>
      <c r="N10" s="2705"/>
      <c r="O10" s="2705"/>
      <c r="P10" s="2830" t="s">
        <v>25</v>
      </c>
      <c r="Q10" s="2831"/>
      <c r="AD10" s="2278"/>
    </row>
    <row r="11" spans="1:30" s="1" customFormat="1" ht="9.75" customHeight="1" x14ac:dyDescent="0.25">
      <c r="A11" s="675" t="s">
        <v>1298</v>
      </c>
      <c r="B11" s="1148"/>
      <c r="C11" s="1148"/>
      <c r="D11" s="1148"/>
      <c r="E11" s="1148"/>
      <c r="F11" s="1148"/>
      <c r="G11" s="1148"/>
      <c r="H11" s="1148"/>
      <c r="I11" s="1148"/>
      <c r="J11" s="1148"/>
      <c r="K11" s="1148"/>
      <c r="L11" s="1148"/>
      <c r="M11" s="1148"/>
      <c r="N11" s="1148"/>
      <c r="O11" s="1217"/>
      <c r="P11" s="678"/>
    </row>
    <row r="12" spans="1:30" ht="29.25" customHeight="1" x14ac:dyDescent="0.25">
      <c r="A12" s="675" t="s">
        <v>1298</v>
      </c>
      <c r="B12" s="2771" t="s">
        <v>989</v>
      </c>
      <c r="C12" s="2705"/>
      <c r="D12" s="2705"/>
      <c r="E12" s="2705"/>
      <c r="F12" s="2705"/>
      <c r="G12" s="2705"/>
      <c r="H12" s="2705"/>
      <c r="I12" s="2705"/>
      <c r="J12" s="2705"/>
      <c r="K12" s="2705"/>
      <c r="L12" s="2705"/>
      <c r="M12" s="2705"/>
      <c r="N12" s="2705"/>
      <c r="O12" s="2705"/>
      <c r="P12" s="2830" t="s">
        <v>25</v>
      </c>
      <c r="Q12" s="2831"/>
      <c r="AD12" s="2278"/>
    </row>
    <row r="13" spans="1:30" s="1" customFormat="1" ht="9.75" customHeight="1" x14ac:dyDescent="0.25">
      <c r="A13" s="675" t="s">
        <v>1298</v>
      </c>
      <c r="B13" s="1148"/>
      <c r="C13" s="1148"/>
      <c r="D13" s="1148"/>
      <c r="E13" s="1148"/>
      <c r="F13" s="1148"/>
      <c r="G13" s="1148"/>
      <c r="H13" s="1148"/>
      <c r="I13" s="1148"/>
      <c r="J13" s="1148"/>
      <c r="K13" s="1148"/>
      <c r="L13" s="1148"/>
      <c r="M13" s="1148"/>
      <c r="N13" s="1148"/>
      <c r="O13" s="1217"/>
      <c r="P13" s="678"/>
    </row>
    <row r="14" spans="1:30" ht="40.5" customHeight="1" x14ac:dyDescent="0.25">
      <c r="A14" s="675" t="s">
        <v>1298</v>
      </c>
      <c r="B14" s="2771" t="s">
        <v>1049</v>
      </c>
      <c r="C14" s="2705"/>
      <c r="D14" s="2705"/>
      <c r="E14" s="2705"/>
      <c r="F14" s="2705"/>
      <c r="G14" s="2705"/>
      <c r="H14" s="2705"/>
      <c r="I14" s="2705"/>
      <c r="J14" s="2705"/>
      <c r="K14" s="2705"/>
      <c r="L14" s="2705"/>
      <c r="M14" s="2705"/>
      <c r="N14" s="2705"/>
      <c r="O14" s="2705"/>
      <c r="P14" s="2830" t="s">
        <v>25</v>
      </c>
      <c r="Q14" s="2831"/>
      <c r="AD14" s="2278"/>
    </row>
    <row r="15" spans="1:30" s="1" customFormat="1" ht="9.75" customHeight="1" x14ac:dyDescent="0.25">
      <c r="A15" s="675" t="s">
        <v>1298</v>
      </c>
      <c r="B15" s="1148"/>
      <c r="C15" s="1148"/>
      <c r="D15" s="1148"/>
      <c r="E15" s="1148"/>
      <c r="F15" s="1148"/>
      <c r="G15" s="1148"/>
      <c r="H15" s="1148"/>
      <c r="I15" s="1148"/>
      <c r="J15" s="1148"/>
      <c r="K15" s="1148"/>
      <c r="L15" s="1148"/>
      <c r="M15" s="1148"/>
      <c r="N15" s="1148"/>
      <c r="O15" s="1217"/>
      <c r="P15" s="678"/>
    </row>
    <row r="16" spans="1:30" ht="32.25" customHeight="1" x14ac:dyDescent="0.25">
      <c r="A16" s="675" t="s">
        <v>1298</v>
      </c>
      <c r="B16" s="2771" t="s">
        <v>1050</v>
      </c>
      <c r="C16" s="2705"/>
      <c r="D16" s="2705"/>
      <c r="E16" s="2705"/>
      <c r="F16" s="2705"/>
      <c r="G16" s="2705"/>
      <c r="H16" s="2705"/>
      <c r="I16" s="2705"/>
      <c r="J16" s="2705"/>
      <c r="K16" s="2705"/>
      <c r="L16" s="2705"/>
      <c r="M16" s="2705"/>
      <c r="N16" s="2705"/>
      <c r="O16" s="2705"/>
      <c r="P16" s="2830" t="s">
        <v>25</v>
      </c>
      <c r="Q16" s="2831"/>
      <c r="AD16" s="2278"/>
    </row>
    <row r="17" spans="1:30" s="1" customFormat="1" ht="9.75" customHeight="1" x14ac:dyDescent="0.25">
      <c r="A17" s="675" t="s">
        <v>1298</v>
      </c>
      <c r="B17" s="1148"/>
      <c r="C17" s="1148"/>
      <c r="D17" s="1148"/>
      <c r="E17" s="1148"/>
      <c r="F17" s="1148"/>
      <c r="G17" s="1148"/>
      <c r="H17" s="1148"/>
      <c r="I17" s="1148"/>
      <c r="J17" s="1148"/>
      <c r="K17" s="1148"/>
      <c r="L17" s="1148"/>
      <c r="M17" s="1148"/>
      <c r="N17" s="1148"/>
      <c r="O17" s="1217"/>
      <c r="P17" s="678"/>
    </row>
    <row r="18" spans="1:30" ht="20.25" customHeight="1" x14ac:dyDescent="0.25">
      <c r="A18" s="675" t="s">
        <v>1298</v>
      </c>
      <c r="B18" s="2771" t="s">
        <v>990</v>
      </c>
      <c r="C18" s="2705"/>
      <c r="D18" s="2705"/>
      <c r="E18" s="2705"/>
      <c r="F18" s="2705"/>
      <c r="G18" s="2705"/>
      <c r="H18" s="2705"/>
      <c r="I18" s="2705"/>
      <c r="J18" s="2705"/>
      <c r="K18" s="2705"/>
      <c r="L18" s="2705"/>
      <c r="M18" s="2705"/>
      <c r="N18" s="2705"/>
      <c r="O18" s="2705"/>
      <c r="P18" s="2830" t="s">
        <v>25</v>
      </c>
      <c r="Q18" s="2831"/>
      <c r="AD18" s="2278"/>
    </row>
    <row r="19" spans="1:30" ht="15" customHeight="1" x14ac:dyDescent="0.2">
      <c r="A19" s="675" t="s">
        <v>1298</v>
      </c>
      <c r="B19" s="40"/>
      <c r="C19" s="40"/>
      <c r="D19" s="40"/>
      <c r="E19" s="40"/>
      <c r="F19" s="40"/>
      <c r="G19" s="40"/>
      <c r="H19" s="40"/>
      <c r="I19" s="40"/>
      <c r="J19" s="40"/>
      <c r="K19" s="40"/>
      <c r="L19" s="1149"/>
    </row>
    <row r="20" spans="1:30" s="25" customFormat="1" ht="50.25" customHeight="1" x14ac:dyDescent="0.25">
      <c r="A20" s="675" t="s">
        <v>1298</v>
      </c>
      <c r="B20" s="2864" t="s">
        <v>309</v>
      </c>
      <c r="C20" s="2864"/>
      <c r="D20" s="2864"/>
      <c r="E20" s="2864"/>
      <c r="F20" s="2864"/>
      <c r="G20" s="2864"/>
      <c r="H20" s="2864"/>
      <c r="I20" s="2864"/>
      <c r="J20" s="2864"/>
      <c r="K20" s="2864"/>
      <c r="L20" s="2864"/>
      <c r="M20" s="2859"/>
      <c r="N20" s="2859"/>
      <c r="O20" s="2859"/>
      <c r="P20" s="2859"/>
      <c r="Q20" s="2859"/>
    </row>
    <row r="21" spans="1:30" s="25" customFormat="1" ht="15" x14ac:dyDescent="0.2">
      <c r="A21" s="675" t="s">
        <v>1298</v>
      </c>
      <c r="B21" s="2602"/>
      <c r="C21" s="2603"/>
      <c r="D21" s="2603"/>
      <c r="E21" s="2603"/>
      <c r="F21" s="2603"/>
      <c r="G21" s="2603"/>
      <c r="H21" s="2603"/>
      <c r="I21" s="2603"/>
      <c r="J21" s="2603"/>
      <c r="K21" s="2603"/>
      <c r="L21" s="2603"/>
      <c r="M21" s="2604"/>
      <c r="N21" s="2604"/>
      <c r="O21" s="2604"/>
      <c r="P21" s="2604"/>
      <c r="Q21" s="2605"/>
      <c r="AD21" s="2279"/>
    </row>
    <row r="22" spans="1:30" ht="20.25" customHeight="1" x14ac:dyDescent="0.2">
      <c r="A22" s="675" t="s">
        <v>1298</v>
      </c>
      <c r="B22" s="53"/>
      <c r="C22" s="53"/>
      <c r="D22" s="53"/>
      <c r="E22" s="53"/>
      <c r="F22" s="37"/>
      <c r="G22" s="37"/>
      <c r="H22" s="37"/>
      <c r="I22" s="37"/>
      <c r="J22" s="37"/>
      <c r="K22" s="37"/>
      <c r="L22" s="37"/>
    </row>
    <row r="23" spans="1:30" s="25" customFormat="1" ht="26.25" customHeight="1" x14ac:dyDescent="0.2">
      <c r="A23" s="675" t="s">
        <v>1298</v>
      </c>
      <c r="B23" s="31" t="s">
        <v>96</v>
      </c>
      <c r="C23" s="33"/>
      <c r="D23" s="33"/>
      <c r="E23" s="33"/>
      <c r="F23" s="33"/>
      <c r="G23" s="33"/>
      <c r="H23" s="33"/>
      <c r="I23" s="33"/>
      <c r="J23" s="33"/>
      <c r="K23" s="33"/>
      <c r="L23" s="33"/>
      <c r="M23" s="33"/>
      <c r="N23" s="430"/>
      <c r="O23" s="118"/>
      <c r="P23" s="118"/>
      <c r="Q23" s="118"/>
    </row>
    <row r="24" spans="1:30" ht="48" customHeight="1" x14ac:dyDescent="0.25">
      <c r="A24" s="675" t="s">
        <v>1298</v>
      </c>
      <c r="B24" s="2857" t="s">
        <v>1141</v>
      </c>
      <c r="C24" s="2704"/>
      <c r="D24" s="2704"/>
      <c r="E24" s="2704"/>
      <c r="F24" s="2704"/>
      <c r="G24" s="2704"/>
      <c r="H24" s="2704"/>
      <c r="I24" s="2704"/>
      <c r="J24" s="2704"/>
      <c r="K24" s="2704"/>
      <c r="L24" s="2870"/>
      <c r="M24" s="2870"/>
      <c r="N24" s="2870"/>
      <c r="O24" s="2865" t="s">
        <v>1759</v>
      </c>
      <c r="P24" s="2866"/>
      <c r="Q24" s="2867"/>
      <c r="Z24" s="1531">
        <v>1</v>
      </c>
      <c r="AD24" s="2278"/>
    </row>
    <row r="25" spans="1:30" x14ac:dyDescent="0.2">
      <c r="A25" s="675" t="s">
        <v>1298</v>
      </c>
      <c r="B25" s="53"/>
      <c r="C25" s="53"/>
      <c r="D25" s="53"/>
      <c r="E25" s="53"/>
      <c r="F25" s="37"/>
      <c r="G25" s="37"/>
      <c r="H25" s="37"/>
      <c r="I25" s="37"/>
      <c r="J25" s="37"/>
      <c r="K25" s="37"/>
      <c r="L25" s="37"/>
      <c r="P25" s="433"/>
    </row>
    <row r="26" spans="1:30" s="25" customFormat="1" ht="26.25" customHeight="1" x14ac:dyDescent="0.2">
      <c r="A26" s="675" t="s">
        <v>1298</v>
      </c>
      <c r="B26" s="42" t="s">
        <v>1058</v>
      </c>
      <c r="C26" s="33"/>
      <c r="D26" s="33"/>
      <c r="E26" s="33"/>
      <c r="F26" s="33"/>
      <c r="G26" s="33"/>
      <c r="H26" s="33"/>
      <c r="I26" s="33"/>
      <c r="J26" s="33"/>
      <c r="K26" s="33"/>
      <c r="L26" s="33"/>
      <c r="M26" s="33"/>
      <c r="N26" s="430"/>
      <c r="O26" s="118"/>
      <c r="P26" s="118"/>
      <c r="Q26" s="118"/>
    </row>
    <row r="27" spans="1:30" s="25" customFormat="1" ht="21" customHeight="1" x14ac:dyDescent="0.2">
      <c r="A27" s="675" t="s">
        <v>1298</v>
      </c>
      <c r="B27" s="76" t="s">
        <v>1060</v>
      </c>
      <c r="C27" s="33"/>
      <c r="D27" s="33"/>
      <c r="E27" s="33"/>
      <c r="F27" s="33"/>
      <c r="G27" s="33"/>
      <c r="H27" s="33"/>
      <c r="I27" s="33"/>
      <c r="J27" s="33"/>
      <c r="K27" s="33"/>
      <c r="L27" s="33"/>
      <c r="M27" s="33"/>
      <c r="N27" s="430"/>
      <c r="O27" s="118"/>
      <c r="P27" s="118"/>
      <c r="Q27" s="118"/>
    </row>
    <row r="28" spans="1:30" s="26" customFormat="1" ht="26.25" customHeight="1" x14ac:dyDescent="0.2">
      <c r="A28" s="675" t="s">
        <v>1298</v>
      </c>
      <c r="B28" s="2711" t="s">
        <v>305</v>
      </c>
      <c r="C28" s="2712"/>
      <c r="D28" s="2733"/>
      <c r="E28" s="1884"/>
      <c r="F28" s="2711" t="s">
        <v>347</v>
      </c>
      <c r="G28" s="2733"/>
      <c r="H28" s="2711" t="s">
        <v>348</v>
      </c>
      <c r="I28" s="2712"/>
      <c r="J28" s="2712"/>
      <c r="K28" s="2712"/>
      <c r="L28" s="2712"/>
      <c r="M28" s="2713"/>
      <c r="N28" s="2713"/>
      <c r="O28" s="2713"/>
      <c r="P28" s="2713"/>
      <c r="Q28" s="2714"/>
    </row>
    <row r="29" spans="1:30" s="26" customFormat="1" ht="63.75" customHeight="1" x14ac:dyDescent="0.2">
      <c r="A29" s="675" t="s">
        <v>1298</v>
      </c>
      <c r="B29" s="1881" t="s">
        <v>1357</v>
      </c>
      <c r="C29" s="1882" t="s">
        <v>1059</v>
      </c>
      <c r="D29" s="1883" t="str">
        <f>IF(SI_IP_Units="IP","Total Building Type Area
(sq ft)","Total Building Type Area
(sq m)")</f>
        <v>Total Building Type Area
(sq ft)</v>
      </c>
      <c r="E29" s="1146"/>
      <c r="F29" s="2721" t="str">
        <f>IF(SI_IP_Units="IP","Modeled LPD
(W/sq ft)","Modeled LPD
(W/sq m)")</f>
        <v>Modeled LPD
(W/sq ft)</v>
      </c>
      <c r="G29" s="2722"/>
      <c r="H29" s="1881" t="str">
        <f>IF(SI_IP_Units="IP","Design LPD
(W/sq ft)","Design LPD
(W/sq m)")</f>
        <v>Design LPD
(W/sq ft)</v>
      </c>
      <c r="I29" s="1882" t="s">
        <v>310</v>
      </c>
      <c r="J29" s="1882" t="s">
        <v>311</v>
      </c>
      <c r="K29" s="1882" t="str">
        <f>IF(SI_IP_Units="IP","Modelled LPD
(W/sq ft)","Modelled LPD
(W/sq m)")</f>
        <v>Modelled LPD
(W/sq ft)</v>
      </c>
      <c r="L29" s="2730" t="s">
        <v>94</v>
      </c>
      <c r="M29" s="2731"/>
      <c r="N29" s="2731"/>
      <c r="O29" s="2731"/>
      <c r="P29" s="2731"/>
      <c r="Q29" s="2732"/>
    </row>
    <row r="30" spans="1:30" s="26" customFormat="1" ht="192.75" customHeight="1" x14ac:dyDescent="0.2">
      <c r="A30" s="1097" t="s">
        <v>1298</v>
      </c>
      <c r="B30" s="1837" t="s">
        <v>1888</v>
      </c>
      <c r="C30" s="2769" t="s">
        <v>1723</v>
      </c>
      <c r="D30" s="2770"/>
      <c r="E30" s="1830"/>
      <c r="F30" s="2790" t="s">
        <v>1724</v>
      </c>
      <c r="G30" s="2769"/>
      <c r="H30" s="1838" t="s">
        <v>1725</v>
      </c>
      <c r="I30" s="1838" t="s">
        <v>1726</v>
      </c>
      <c r="J30" s="2769" t="s">
        <v>1727</v>
      </c>
      <c r="K30" s="2769"/>
      <c r="L30" s="2769" t="s">
        <v>1728</v>
      </c>
      <c r="M30" s="2808"/>
      <c r="N30" s="2808"/>
      <c r="O30" s="2808"/>
      <c r="P30" s="2808"/>
      <c r="Q30" s="2809"/>
    </row>
    <row r="31" spans="1:30" s="26" customFormat="1" ht="51" hidden="1" x14ac:dyDescent="0.2">
      <c r="A31" s="675" t="s">
        <v>1298</v>
      </c>
      <c r="B31" s="1868" t="str">
        <f>B29</f>
        <v>Building ID</v>
      </c>
      <c r="C31" s="1831" t="str">
        <f t="shared" ref="C31:L31" si="0">C29</f>
        <v>Table 9.5.1 
Building Area Type</v>
      </c>
      <c r="D31" s="1831" t="str">
        <f t="shared" si="0"/>
        <v>Total Building Type Area
(sq ft)</v>
      </c>
      <c r="E31" s="1223">
        <f t="shared" si="0"/>
        <v>0</v>
      </c>
      <c r="F31" s="1831" t="str">
        <f t="shared" si="0"/>
        <v>Modeled LPD
(W/sq ft)</v>
      </c>
      <c r="G31" s="1831">
        <f t="shared" si="0"/>
        <v>0</v>
      </c>
      <c r="H31" s="1831" t="str">
        <f t="shared" si="0"/>
        <v>Design LPD
(W/sq ft)</v>
      </c>
      <c r="I31" s="1831" t="str">
        <f t="shared" si="0"/>
        <v>Automatic Lighting 
Controls and Space Types</v>
      </c>
      <c r="J31" s="1831" t="str">
        <f t="shared" si="0"/>
        <v>Table G3.2 Power 
Adjustment</v>
      </c>
      <c r="K31" s="1831" t="str">
        <f t="shared" si="0"/>
        <v>Modelled LPD
(W/sq ft)</v>
      </c>
      <c r="L31" s="1831" t="str">
        <f t="shared" si="0"/>
        <v>Daylighting Controls</v>
      </c>
      <c r="M31" s="1832"/>
      <c r="N31" s="1833"/>
      <c r="O31" s="1832"/>
      <c r="P31" s="1832"/>
      <c r="Q31" s="1869"/>
    </row>
    <row r="32" spans="1:30" s="26" customFormat="1" ht="15" hidden="1" customHeight="1" x14ac:dyDescent="0.2">
      <c r="A32" s="675"/>
      <c r="B32" s="1870" t="str">
        <f>'Multiple Buildings Details'!B24</f>
        <v>SEA Building Addition</v>
      </c>
      <c r="C32" s="1219" t="str">
        <f>"Residential Dwelling Units"</f>
        <v>Residential Dwelling Units</v>
      </c>
      <c r="D32" s="1209"/>
      <c r="E32" s="1224"/>
      <c r="F32" s="2725">
        <f>0.9*IF(SI_IP_Units="IP",1,CONVERT(1,"m","ft")^2)</f>
        <v>0.9</v>
      </c>
      <c r="G32" s="2725"/>
      <c r="H32" s="1220"/>
      <c r="I32" s="1731"/>
      <c r="J32" s="1221"/>
      <c r="K32" s="1220"/>
      <c r="L32" s="2676"/>
      <c r="M32" s="2873"/>
      <c r="N32" s="2873"/>
      <c r="O32" s="2873"/>
      <c r="P32" s="2873"/>
      <c r="Q32" s="2874"/>
      <c r="AD32" s="2295"/>
    </row>
    <row r="33" spans="1:702" ht="15" hidden="1" customHeight="1" x14ac:dyDescent="0.25">
      <c r="A33" s="675" t="s">
        <v>915</v>
      </c>
      <c r="B33" s="1871" t="str">
        <f>GI_Project_Name</f>
        <v>SEA Building Addition</v>
      </c>
      <c r="C33" s="1733"/>
      <c r="D33" s="1209"/>
      <c r="E33" s="1224"/>
      <c r="F33" s="2725" t="str">
        <f>IFERROR(VLOOKUP(C33,'Lighting Assumptions'!A:C,IF(SI_IP_Units="SI",3,2)),"")</f>
        <v/>
      </c>
      <c r="G33" s="2725"/>
      <c r="H33" s="1220"/>
      <c r="I33" s="1731"/>
      <c r="J33" s="1221"/>
      <c r="K33" s="1220"/>
      <c r="L33" s="2676"/>
      <c r="M33" s="2744"/>
      <c r="N33" s="2744"/>
      <c r="O33" s="2744"/>
      <c r="P33" s="2744"/>
      <c r="Q33" s="2849"/>
      <c r="Z33" s="831"/>
      <c r="AA33" s="831"/>
      <c r="AB33" s="831"/>
      <c r="AC33" s="831"/>
      <c r="AD33" s="2278"/>
      <c r="AE33" s="831"/>
      <c r="AF33" s="831"/>
      <c r="AG33" s="831"/>
      <c r="AH33" s="831"/>
      <c r="AI33" s="831"/>
      <c r="AJ33" s="831"/>
      <c r="AK33" s="831"/>
      <c r="AL33" s="831"/>
      <c r="AM33" s="831"/>
      <c r="AN33" s="831"/>
      <c r="AO33" s="831"/>
      <c r="AP33" s="831"/>
      <c r="AQ33" s="831"/>
      <c r="AR33" s="831"/>
      <c r="AS33" s="831"/>
      <c r="AT33" s="831"/>
      <c r="AU33" s="831"/>
      <c r="AV33" s="831"/>
      <c r="AW33" s="831"/>
      <c r="AX33" s="831"/>
      <c r="AY33" s="831"/>
      <c r="AZ33" s="831"/>
      <c r="BA33" s="831"/>
      <c r="BB33" s="831"/>
      <c r="BC33" s="831"/>
      <c r="BD33" s="831"/>
      <c r="BE33" s="831"/>
      <c r="BF33" s="831"/>
      <c r="BG33" s="831"/>
      <c r="BH33" s="831"/>
      <c r="BI33" s="831"/>
      <c r="BJ33" s="831"/>
      <c r="BK33" s="831"/>
      <c r="BL33" s="831"/>
      <c r="BM33" s="831"/>
      <c r="BN33" s="831"/>
      <c r="BO33" s="831"/>
      <c r="BP33" s="831"/>
      <c r="BQ33" s="831"/>
      <c r="BR33" s="831"/>
      <c r="BS33" s="831"/>
      <c r="BT33" s="831"/>
      <c r="BU33" s="831"/>
      <c r="BV33" s="831"/>
      <c r="BW33" s="831"/>
      <c r="BX33" s="831"/>
      <c r="BY33" s="831"/>
      <c r="BZ33" s="831"/>
      <c r="CA33" s="831"/>
      <c r="CB33" s="831"/>
      <c r="CC33" s="831"/>
      <c r="CD33" s="831"/>
      <c r="CE33" s="831"/>
      <c r="CF33" s="831"/>
      <c r="CG33" s="831"/>
      <c r="CH33" s="831"/>
      <c r="CI33" s="831"/>
      <c r="CJ33" s="831"/>
      <c r="CK33" s="831"/>
      <c r="CL33" s="831"/>
      <c r="CM33" s="831"/>
      <c r="CN33" s="831"/>
      <c r="CO33" s="831"/>
      <c r="CP33" s="831"/>
      <c r="CQ33" s="831"/>
      <c r="CR33" s="831"/>
      <c r="CS33" s="831"/>
      <c r="CT33" s="831"/>
      <c r="CU33" s="831"/>
      <c r="CV33" s="831"/>
      <c r="CW33" s="831"/>
      <c r="CX33" s="831"/>
      <c r="CY33" s="831"/>
      <c r="CZ33" s="831"/>
      <c r="DA33" s="831"/>
      <c r="DB33" s="831"/>
      <c r="DC33" s="831"/>
      <c r="DD33" s="831"/>
      <c r="DE33" s="831"/>
      <c r="DF33" s="831"/>
      <c r="DG33" s="831"/>
      <c r="DH33" s="831"/>
      <c r="DI33" s="831"/>
      <c r="DJ33" s="831"/>
      <c r="DK33" s="831"/>
      <c r="DL33" s="831"/>
      <c r="DM33" s="831"/>
      <c r="DN33" s="831"/>
      <c r="DO33" s="831"/>
      <c r="DP33" s="831"/>
      <c r="DQ33" s="831"/>
      <c r="DR33" s="831"/>
      <c r="DS33" s="831"/>
      <c r="DT33" s="831"/>
      <c r="DU33" s="831"/>
      <c r="DV33" s="831"/>
      <c r="DW33" s="831"/>
      <c r="DX33" s="831"/>
      <c r="DY33" s="831"/>
      <c r="DZ33" s="831"/>
      <c r="EA33" s="831"/>
      <c r="EB33" s="831"/>
      <c r="EC33" s="831"/>
      <c r="ED33" s="831"/>
      <c r="EE33" s="831"/>
      <c r="EF33" s="831"/>
      <c r="EG33" s="831"/>
      <c r="EH33" s="831"/>
      <c r="EI33" s="831"/>
      <c r="EJ33" s="831"/>
      <c r="EK33" s="831"/>
      <c r="EL33" s="831"/>
      <c r="EM33" s="831"/>
      <c r="EN33" s="831"/>
      <c r="EO33" s="831"/>
      <c r="EP33" s="831"/>
      <c r="EQ33" s="831"/>
      <c r="ER33" s="831"/>
      <c r="ES33" s="831"/>
      <c r="ET33" s="831"/>
      <c r="EU33" s="831"/>
      <c r="EV33" s="831"/>
      <c r="EW33" s="831"/>
      <c r="EX33" s="831"/>
      <c r="EY33" s="831"/>
      <c r="EZ33" s="831"/>
      <c r="FA33" s="831"/>
      <c r="FB33" s="831"/>
      <c r="FC33" s="831"/>
      <c r="FD33" s="831"/>
      <c r="FE33" s="831"/>
      <c r="FF33" s="831"/>
      <c r="FG33" s="831"/>
      <c r="FH33" s="831"/>
      <c r="FI33" s="831"/>
      <c r="FJ33" s="831"/>
      <c r="FK33" s="831"/>
      <c r="FL33" s="831"/>
      <c r="FM33" s="831"/>
      <c r="FN33" s="831"/>
      <c r="FO33" s="831"/>
      <c r="FP33" s="831"/>
      <c r="FQ33" s="831"/>
      <c r="FR33" s="831"/>
      <c r="FS33" s="831"/>
      <c r="FT33" s="831"/>
      <c r="FU33" s="831"/>
      <c r="FV33" s="831"/>
      <c r="FW33" s="831"/>
      <c r="FX33" s="831"/>
      <c r="FY33" s="831"/>
      <c r="FZ33" s="831"/>
      <c r="GA33" s="831"/>
      <c r="GB33" s="831"/>
      <c r="GC33" s="831"/>
      <c r="GD33" s="831"/>
      <c r="GE33" s="831"/>
      <c r="GF33" s="831"/>
      <c r="GG33" s="831"/>
      <c r="GH33" s="831"/>
      <c r="GI33" s="831"/>
      <c r="GJ33" s="831"/>
      <c r="GK33" s="831"/>
      <c r="GL33" s="831"/>
      <c r="GM33" s="831"/>
      <c r="GN33" s="831"/>
      <c r="GO33" s="831"/>
      <c r="GP33" s="831"/>
      <c r="GQ33" s="831"/>
      <c r="GR33" s="831"/>
      <c r="GS33" s="831"/>
      <c r="GT33" s="831"/>
      <c r="GU33" s="831"/>
      <c r="GV33" s="831"/>
      <c r="GW33" s="831"/>
      <c r="GX33" s="831"/>
      <c r="GY33" s="831"/>
      <c r="GZ33" s="831"/>
      <c r="HA33" s="831"/>
      <c r="HB33" s="831"/>
      <c r="HC33" s="831"/>
      <c r="HD33" s="831"/>
      <c r="HE33" s="831"/>
      <c r="HF33" s="831"/>
      <c r="HG33" s="831"/>
      <c r="HH33" s="831"/>
      <c r="HI33" s="831"/>
      <c r="HJ33" s="831"/>
      <c r="HK33" s="831"/>
      <c r="HL33" s="831"/>
      <c r="HM33" s="831"/>
      <c r="HN33" s="831"/>
      <c r="HO33" s="831"/>
      <c r="HP33" s="831"/>
      <c r="HQ33" s="831"/>
      <c r="HR33" s="831"/>
      <c r="HS33" s="831"/>
      <c r="HT33" s="831"/>
      <c r="HU33" s="831"/>
      <c r="HV33" s="831"/>
      <c r="HW33" s="831"/>
      <c r="HX33" s="831"/>
      <c r="HY33" s="831"/>
      <c r="HZ33" s="831"/>
      <c r="IA33" s="831"/>
      <c r="IB33" s="831"/>
      <c r="IC33" s="831"/>
      <c r="ID33" s="831"/>
      <c r="IE33" s="831"/>
      <c r="IF33" s="831"/>
      <c r="IG33" s="831"/>
      <c r="IH33" s="831"/>
      <c r="II33" s="831"/>
      <c r="IJ33" s="831"/>
      <c r="IK33" s="831"/>
      <c r="IL33" s="831"/>
      <c r="IM33" s="831"/>
      <c r="IN33" s="831"/>
      <c r="IO33" s="831"/>
      <c r="IP33" s="831"/>
      <c r="IQ33" s="831"/>
      <c r="IR33" s="831"/>
      <c r="IS33" s="831"/>
      <c r="IT33" s="831"/>
      <c r="IU33" s="831"/>
      <c r="IV33" s="831"/>
      <c r="IW33" s="831"/>
      <c r="IX33" s="831"/>
      <c r="IY33" s="831"/>
      <c r="IZ33" s="831"/>
      <c r="JA33" s="831"/>
      <c r="JB33" s="831"/>
      <c r="JC33" s="831"/>
      <c r="JD33" s="831"/>
      <c r="JE33" s="831"/>
      <c r="JF33" s="831"/>
      <c r="JG33" s="831"/>
      <c r="JH33" s="831"/>
      <c r="JI33" s="831"/>
      <c r="JJ33" s="831"/>
      <c r="JK33" s="831"/>
      <c r="JL33" s="831"/>
      <c r="JM33" s="831"/>
      <c r="JN33" s="831"/>
      <c r="JO33" s="831"/>
      <c r="JP33" s="831"/>
      <c r="JQ33" s="831"/>
      <c r="JR33" s="831"/>
      <c r="JS33" s="831"/>
      <c r="JT33" s="831"/>
      <c r="JU33" s="831"/>
      <c r="JV33" s="831"/>
      <c r="JW33" s="831"/>
      <c r="JX33" s="831"/>
      <c r="JY33" s="831"/>
      <c r="JZ33" s="831"/>
      <c r="KA33" s="831"/>
      <c r="KB33" s="831"/>
      <c r="KC33" s="831"/>
      <c r="KD33" s="831"/>
      <c r="KE33" s="831"/>
      <c r="KF33" s="831"/>
      <c r="KG33" s="831"/>
      <c r="KH33" s="831"/>
      <c r="KI33" s="831"/>
      <c r="KJ33" s="831"/>
      <c r="KK33" s="831"/>
      <c r="KL33" s="831"/>
      <c r="KM33" s="831"/>
      <c r="KN33" s="831"/>
      <c r="KO33" s="831"/>
      <c r="KP33" s="831"/>
      <c r="KQ33" s="831"/>
      <c r="KR33" s="831"/>
      <c r="KS33" s="831"/>
      <c r="KT33" s="831"/>
      <c r="KU33" s="831"/>
      <c r="KV33" s="831"/>
      <c r="KW33" s="831"/>
      <c r="KX33" s="831"/>
      <c r="KY33" s="831"/>
      <c r="KZ33" s="831"/>
      <c r="LA33" s="831"/>
      <c r="LB33" s="831"/>
      <c r="LC33" s="831"/>
      <c r="LD33" s="831"/>
      <c r="LE33" s="831"/>
      <c r="LF33" s="831"/>
      <c r="LG33" s="831"/>
      <c r="LH33" s="831"/>
      <c r="LI33" s="831"/>
      <c r="LJ33" s="831"/>
      <c r="LK33" s="831"/>
      <c r="LL33" s="831"/>
      <c r="LM33" s="831"/>
      <c r="LN33" s="831"/>
      <c r="LO33" s="831"/>
      <c r="LP33" s="831"/>
      <c r="LQ33" s="831"/>
      <c r="LR33" s="831"/>
      <c r="LS33" s="831"/>
      <c r="LT33" s="831"/>
      <c r="LU33" s="831"/>
      <c r="LV33" s="831"/>
      <c r="LW33" s="831"/>
      <c r="LX33" s="831"/>
      <c r="LY33" s="831"/>
      <c r="LZ33" s="831"/>
      <c r="MA33" s="831"/>
      <c r="MB33" s="831"/>
      <c r="MC33" s="831"/>
      <c r="MD33" s="831"/>
      <c r="ME33" s="831"/>
      <c r="MF33" s="831"/>
      <c r="MG33" s="831"/>
      <c r="MH33" s="831"/>
      <c r="MI33" s="831"/>
      <c r="MJ33" s="831"/>
      <c r="MK33" s="831"/>
      <c r="ML33" s="831"/>
      <c r="MM33" s="831"/>
      <c r="MN33" s="831"/>
      <c r="MO33" s="831"/>
      <c r="MP33" s="831"/>
      <c r="MQ33" s="831"/>
      <c r="MR33" s="831"/>
      <c r="MS33" s="831"/>
      <c r="MT33" s="831"/>
      <c r="MU33" s="831"/>
      <c r="MV33" s="831"/>
      <c r="MW33" s="831"/>
      <c r="MX33" s="831"/>
      <c r="MY33" s="831"/>
      <c r="MZ33" s="831"/>
      <c r="NA33" s="831"/>
      <c r="NB33" s="831"/>
      <c r="NC33" s="831"/>
      <c r="ND33" s="831"/>
      <c r="NE33" s="831"/>
      <c r="NF33" s="831"/>
      <c r="NG33" s="831"/>
      <c r="NH33" s="831"/>
      <c r="NI33" s="831"/>
      <c r="NJ33" s="831"/>
      <c r="NK33" s="831"/>
      <c r="NL33" s="831"/>
      <c r="NM33" s="831"/>
      <c r="NN33" s="831"/>
      <c r="NO33" s="831"/>
      <c r="NP33" s="831"/>
      <c r="NQ33" s="831"/>
      <c r="NR33" s="831"/>
      <c r="NS33" s="831"/>
      <c r="NT33" s="831"/>
      <c r="NU33" s="831"/>
      <c r="NV33" s="831"/>
      <c r="NW33" s="831"/>
      <c r="NX33" s="831"/>
      <c r="NY33" s="831"/>
      <c r="NZ33" s="831"/>
      <c r="OA33" s="831"/>
      <c r="OB33" s="831"/>
      <c r="OC33" s="831"/>
      <c r="OD33" s="831"/>
      <c r="OE33" s="831"/>
      <c r="OF33" s="831"/>
      <c r="OG33" s="831"/>
      <c r="OH33" s="831"/>
      <c r="OI33" s="831"/>
      <c r="OJ33" s="831"/>
      <c r="OK33" s="831"/>
      <c r="OL33" s="831"/>
      <c r="OM33" s="831"/>
      <c r="ON33" s="831"/>
      <c r="OO33" s="831"/>
      <c r="OP33" s="831"/>
      <c r="OQ33" s="831"/>
      <c r="OR33" s="831"/>
      <c r="OS33" s="831"/>
      <c r="OT33" s="831"/>
      <c r="OU33" s="831"/>
      <c r="OV33" s="831"/>
      <c r="OW33" s="831"/>
      <c r="OX33" s="831"/>
      <c r="OY33" s="831"/>
      <c r="OZ33" s="831"/>
      <c r="PA33" s="831"/>
      <c r="PB33" s="831"/>
      <c r="PC33" s="831"/>
      <c r="PD33" s="831"/>
      <c r="PE33" s="831"/>
      <c r="PF33" s="831"/>
      <c r="PG33" s="831"/>
      <c r="PH33" s="831"/>
      <c r="PI33" s="831"/>
      <c r="PJ33" s="831"/>
      <c r="PK33" s="831"/>
      <c r="PL33" s="831"/>
      <c r="PM33" s="831"/>
      <c r="PN33" s="831"/>
      <c r="PO33" s="831"/>
      <c r="PP33" s="831"/>
      <c r="PQ33" s="831"/>
      <c r="PR33" s="831"/>
      <c r="PS33" s="831"/>
      <c r="PT33" s="831"/>
      <c r="PU33" s="831"/>
      <c r="PV33" s="831"/>
      <c r="PW33" s="831"/>
      <c r="PX33" s="831"/>
      <c r="PY33" s="831"/>
      <c r="PZ33" s="831"/>
      <c r="QA33" s="831"/>
      <c r="QB33" s="831"/>
      <c r="QC33" s="831"/>
      <c r="QD33" s="831"/>
      <c r="QE33" s="831"/>
      <c r="QF33" s="831"/>
      <c r="QG33" s="831"/>
      <c r="QH33" s="831"/>
      <c r="QI33" s="831"/>
      <c r="QJ33" s="831"/>
      <c r="QK33" s="831"/>
      <c r="QL33" s="831"/>
      <c r="QM33" s="831"/>
      <c r="QN33" s="831"/>
      <c r="QO33" s="831"/>
      <c r="QP33" s="831"/>
      <c r="QQ33" s="831"/>
      <c r="QR33" s="831"/>
      <c r="QS33" s="831"/>
      <c r="QT33" s="831"/>
      <c r="QU33" s="831"/>
      <c r="QV33" s="831"/>
      <c r="QW33" s="831"/>
      <c r="QX33" s="831"/>
      <c r="QY33" s="831"/>
      <c r="QZ33" s="831"/>
      <c r="RA33" s="831"/>
      <c r="RB33" s="831"/>
      <c r="RC33" s="831"/>
      <c r="RD33" s="831"/>
      <c r="RE33" s="831"/>
      <c r="RF33" s="831"/>
      <c r="RG33" s="831"/>
      <c r="RH33" s="831"/>
      <c r="RI33" s="831"/>
      <c r="RJ33" s="831"/>
      <c r="RK33" s="831"/>
      <c r="RL33" s="831"/>
      <c r="RM33" s="831"/>
      <c r="RN33" s="831"/>
      <c r="RO33" s="831"/>
      <c r="RP33" s="831"/>
      <c r="RQ33" s="831"/>
      <c r="RR33" s="831"/>
      <c r="RS33" s="831"/>
      <c r="RT33" s="831"/>
      <c r="RU33" s="831"/>
      <c r="RV33" s="831"/>
      <c r="RW33" s="831"/>
      <c r="RX33" s="831"/>
      <c r="RY33" s="831"/>
      <c r="RZ33" s="831"/>
      <c r="SA33" s="831"/>
      <c r="SB33" s="831"/>
      <c r="SC33" s="831"/>
      <c r="SD33" s="831"/>
      <c r="SE33" s="831"/>
      <c r="SF33" s="831"/>
      <c r="SG33" s="831"/>
      <c r="SH33" s="831"/>
      <c r="SI33" s="831"/>
      <c r="SJ33" s="831"/>
      <c r="SK33" s="831"/>
      <c r="SL33" s="831"/>
      <c r="SM33" s="831"/>
      <c r="SN33" s="831"/>
      <c r="SO33" s="831"/>
      <c r="SP33" s="831"/>
      <c r="SQ33" s="831"/>
      <c r="SR33" s="831"/>
      <c r="SS33" s="831"/>
      <c r="ST33" s="831"/>
      <c r="SU33" s="831"/>
      <c r="SV33" s="831"/>
      <c r="SW33" s="831"/>
      <c r="SX33" s="831"/>
      <c r="SY33" s="831"/>
      <c r="SZ33" s="831"/>
      <c r="TA33" s="831"/>
      <c r="TB33" s="831"/>
      <c r="TC33" s="831"/>
      <c r="TD33" s="831"/>
      <c r="TE33" s="831"/>
      <c r="TF33" s="831"/>
      <c r="TG33" s="831"/>
      <c r="TH33" s="831"/>
      <c r="TI33" s="831"/>
      <c r="TJ33" s="831"/>
      <c r="TK33" s="831"/>
      <c r="TL33" s="831"/>
      <c r="TM33" s="831"/>
      <c r="TN33" s="831"/>
      <c r="TO33" s="831"/>
      <c r="TP33" s="831"/>
      <c r="TQ33" s="831"/>
      <c r="TR33" s="831"/>
      <c r="TS33" s="831"/>
      <c r="TT33" s="831"/>
      <c r="TU33" s="831"/>
      <c r="TV33" s="831"/>
      <c r="TW33" s="831"/>
      <c r="TX33" s="831"/>
      <c r="TY33" s="831"/>
      <c r="TZ33" s="831"/>
      <c r="UA33" s="831"/>
      <c r="UB33" s="831"/>
      <c r="UC33" s="831"/>
      <c r="UD33" s="831"/>
      <c r="UE33" s="831"/>
      <c r="UF33" s="831"/>
      <c r="UG33" s="831"/>
      <c r="UH33" s="831"/>
      <c r="UI33" s="831"/>
      <c r="UJ33" s="831"/>
      <c r="UK33" s="831"/>
      <c r="UL33" s="831"/>
      <c r="UM33" s="831"/>
      <c r="UN33" s="831"/>
      <c r="UO33" s="831"/>
      <c r="UP33" s="831"/>
      <c r="UQ33" s="831"/>
      <c r="UR33" s="831"/>
      <c r="US33" s="831"/>
      <c r="UT33" s="831"/>
      <c r="UU33" s="831"/>
      <c r="UV33" s="831"/>
      <c r="UW33" s="831"/>
      <c r="UX33" s="831"/>
      <c r="UY33" s="831"/>
      <c r="UZ33" s="831"/>
      <c r="VA33" s="831"/>
      <c r="VB33" s="831"/>
      <c r="VC33" s="831"/>
      <c r="VD33" s="831"/>
      <c r="VE33" s="831"/>
      <c r="VF33" s="831"/>
      <c r="VG33" s="831"/>
      <c r="VH33" s="831"/>
      <c r="VI33" s="831"/>
      <c r="VJ33" s="831"/>
      <c r="VK33" s="831"/>
      <c r="VL33" s="831"/>
      <c r="VM33" s="831"/>
      <c r="VN33" s="831"/>
      <c r="VO33" s="831"/>
      <c r="VP33" s="831"/>
      <c r="VQ33" s="831"/>
      <c r="VR33" s="831"/>
      <c r="VS33" s="831"/>
      <c r="VT33" s="831"/>
      <c r="VU33" s="831"/>
      <c r="VV33" s="831"/>
      <c r="VW33" s="831"/>
      <c r="VX33" s="831"/>
      <c r="VY33" s="831"/>
      <c r="VZ33" s="831"/>
      <c r="WA33" s="831"/>
      <c r="WB33" s="831"/>
      <c r="WC33" s="831"/>
      <c r="WD33" s="831"/>
      <c r="WE33" s="831"/>
      <c r="WF33" s="831"/>
      <c r="WG33" s="831"/>
      <c r="WH33" s="831"/>
      <c r="WI33" s="831"/>
      <c r="WJ33" s="831"/>
      <c r="WK33" s="831"/>
      <c r="WL33" s="831"/>
      <c r="WM33" s="831"/>
      <c r="WN33" s="831"/>
      <c r="WO33" s="831"/>
      <c r="WP33" s="831"/>
      <c r="WQ33" s="831"/>
      <c r="WR33" s="831"/>
      <c r="WS33" s="831"/>
      <c r="WT33" s="831"/>
      <c r="WU33" s="831"/>
      <c r="WV33" s="831"/>
      <c r="WW33" s="831"/>
      <c r="WX33" s="831"/>
      <c r="WY33" s="831"/>
      <c r="WZ33" s="831"/>
      <c r="XA33" s="831"/>
      <c r="XB33" s="831"/>
      <c r="XC33" s="831"/>
      <c r="XD33" s="831"/>
      <c r="XE33" s="831"/>
      <c r="XF33" s="831"/>
      <c r="XG33" s="831"/>
      <c r="XH33" s="831"/>
      <c r="XI33" s="831"/>
      <c r="XJ33" s="831"/>
      <c r="XK33" s="831"/>
      <c r="XL33" s="831"/>
      <c r="XM33" s="831"/>
      <c r="XN33" s="831"/>
      <c r="XO33" s="831"/>
      <c r="XP33" s="831"/>
      <c r="XQ33" s="831"/>
      <c r="XR33" s="831"/>
      <c r="XS33" s="831"/>
      <c r="XT33" s="831"/>
      <c r="XU33" s="831"/>
      <c r="XV33" s="831"/>
      <c r="XW33" s="831"/>
      <c r="XX33" s="831"/>
      <c r="XY33" s="831"/>
      <c r="XZ33" s="831"/>
      <c r="YA33" s="831"/>
      <c r="YB33" s="831"/>
      <c r="YC33" s="831"/>
      <c r="YD33" s="831"/>
      <c r="YE33" s="831"/>
      <c r="YF33" s="831"/>
      <c r="YG33" s="831"/>
      <c r="YH33" s="831"/>
      <c r="YI33" s="831"/>
      <c r="YJ33" s="831"/>
      <c r="YK33" s="831"/>
      <c r="YL33" s="831"/>
      <c r="YM33" s="831"/>
      <c r="YN33" s="831"/>
      <c r="YO33" s="831"/>
      <c r="YP33" s="831"/>
      <c r="YQ33" s="831"/>
      <c r="YR33" s="831"/>
      <c r="YS33" s="831"/>
      <c r="YT33" s="831"/>
      <c r="YU33" s="831"/>
      <c r="YV33" s="831"/>
      <c r="YW33" s="831"/>
      <c r="YX33" s="831"/>
      <c r="YY33" s="831"/>
      <c r="YZ33" s="831"/>
      <c r="ZA33" s="831"/>
      <c r="ZB33" s="831"/>
      <c r="ZC33" s="831"/>
      <c r="ZD33" s="831"/>
      <c r="ZE33" s="831"/>
      <c r="ZF33" s="831"/>
      <c r="ZG33" s="831"/>
      <c r="ZH33" s="831"/>
      <c r="ZI33" s="831"/>
      <c r="ZJ33" s="831"/>
      <c r="ZK33" s="831"/>
      <c r="ZL33" s="831"/>
      <c r="ZM33" s="831"/>
      <c r="ZN33" s="831"/>
      <c r="ZO33" s="831"/>
      <c r="ZP33" s="831"/>
      <c r="ZQ33" s="831"/>
      <c r="ZR33" s="831"/>
      <c r="ZS33" s="831"/>
      <c r="ZT33" s="831"/>
      <c r="ZU33" s="831"/>
      <c r="ZV33" s="831"/>
      <c r="ZW33" s="831"/>
      <c r="ZX33" s="831"/>
      <c r="ZY33" s="831"/>
      <c r="ZZ33" s="831"/>
    </row>
    <row r="34" spans="1:702" ht="15" customHeight="1" x14ac:dyDescent="0.25">
      <c r="B34" s="1871" t="str">
        <f>GI_Project_Name</f>
        <v>SEA Building Addition</v>
      </c>
      <c r="C34" s="1733" t="s">
        <v>78</v>
      </c>
      <c r="D34" s="1209">
        <v>34856</v>
      </c>
      <c r="E34" s="1224"/>
      <c r="F34" s="2725">
        <f>IFERROR(VLOOKUP(C34,'Lighting Assumptions'!A:C,IF(SI_IP_Units="SI",3,2)),"")</f>
        <v>0.9</v>
      </c>
      <c r="G34" s="2725"/>
      <c r="H34" s="1220">
        <v>0.66</v>
      </c>
      <c r="I34" s="1731"/>
      <c r="J34" s="1221" t="s">
        <v>1068</v>
      </c>
      <c r="K34" s="1220">
        <v>0.65</v>
      </c>
      <c r="L34" s="2676"/>
      <c r="M34" s="2744"/>
      <c r="N34" s="2744"/>
      <c r="O34" s="2744"/>
      <c r="P34" s="2744"/>
      <c r="Q34" s="2849"/>
      <c r="Z34" s="831"/>
      <c r="AA34" s="831"/>
      <c r="AB34" s="831"/>
      <c r="AC34" s="831"/>
      <c r="AD34" s="2281"/>
      <c r="AE34" s="831"/>
      <c r="AF34" s="831"/>
      <c r="AG34" s="831"/>
      <c r="AH34" s="831"/>
      <c r="AI34" s="831"/>
      <c r="AJ34" s="831"/>
      <c r="AK34" s="831"/>
      <c r="AL34" s="831"/>
      <c r="AM34" s="831"/>
      <c r="AN34" s="831"/>
      <c r="AO34" s="831"/>
      <c r="AP34" s="831"/>
      <c r="AQ34" s="831"/>
      <c r="AR34" s="831"/>
      <c r="AS34" s="831"/>
      <c r="AT34" s="831"/>
      <c r="AU34" s="831"/>
      <c r="AV34" s="831"/>
      <c r="AW34" s="831"/>
      <c r="AX34" s="831"/>
      <c r="AY34" s="831"/>
      <c r="AZ34" s="831"/>
      <c r="BA34" s="831"/>
      <c r="BB34" s="831"/>
      <c r="BC34" s="831"/>
      <c r="BD34" s="831"/>
      <c r="BE34" s="831"/>
      <c r="BF34" s="831"/>
      <c r="BG34" s="831"/>
      <c r="BH34" s="831"/>
      <c r="BI34" s="831"/>
      <c r="BJ34" s="831"/>
      <c r="BK34" s="831"/>
      <c r="BL34" s="831"/>
      <c r="BM34" s="831"/>
      <c r="BN34" s="831"/>
      <c r="BO34" s="831"/>
      <c r="BP34" s="831"/>
      <c r="BQ34" s="831"/>
      <c r="BR34" s="831"/>
      <c r="BS34" s="831"/>
      <c r="BT34" s="831"/>
      <c r="BU34" s="831"/>
      <c r="BV34" s="831"/>
      <c r="BW34" s="831"/>
      <c r="BX34" s="831"/>
      <c r="BY34" s="831"/>
      <c r="BZ34" s="831"/>
      <c r="CA34" s="831"/>
      <c r="CB34" s="831"/>
      <c r="CC34" s="831"/>
      <c r="CD34" s="831"/>
      <c r="CE34" s="831"/>
      <c r="CF34" s="831"/>
      <c r="CG34" s="831"/>
      <c r="CH34" s="831"/>
      <c r="CI34" s="831"/>
      <c r="CJ34" s="831"/>
      <c r="CK34" s="831"/>
      <c r="CL34" s="831"/>
      <c r="CM34" s="831"/>
      <c r="CN34" s="831"/>
      <c r="CO34" s="831"/>
      <c r="CP34" s="831"/>
      <c r="CQ34" s="831"/>
      <c r="CR34" s="831"/>
      <c r="CS34" s="831"/>
      <c r="CT34" s="831"/>
      <c r="CU34" s="831"/>
      <c r="CV34" s="831"/>
      <c r="CW34" s="831"/>
      <c r="CX34" s="831"/>
      <c r="CY34" s="831"/>
      <c r="CZ34" s="831"/>
      <c r="DA34" s="831"/>
      <c r="DB34" s="831"/>
      <c r="DC34" s="831"/>
      <c r="DD34" s="831"/>
      <c r="DE34" s="831"/>
      <c r="DF34" s="831"/>
      <c r="DG34" s="831"/>
      <c r="DH34" s="831"/>
      <c r="DI34" s="831"/>
      <c r="DJ34" s="831"/>
      <c r="DK34" s="831"/>
      <c r="DL34" s="831"/>
      <c r="DM34" s="831"/>
      <c r="DN34" s="831"/>
      <c r="DO34" s="831"/>
      <c r="DP34" s="831"/>
      <c r="DQ34" s="831"/>
      <c r="DR34" s="831"/>
      <c r="DS34" s="831"/>
      <c r="DT34" s="831"/>
      <c r="DU34" s="831"/>
      <c r="DV34" s="831"/>
      <c r="DW34" s="831"/>
      <c r="DX34" s="831"/>
      <c r="DY34" s="831"/>
      <c r="DZ34" s="831"/>
      <c r="EA34" s="831"/>
      <c r="EB34" s="831"/>
      <c r="EC34" s="831"/>
      <c r="ED34" s="831"/>
      <c r="EE34" s="831"/>
      <c r="EF34" s="831"/>
      <c r="EG34" s="831"/>
      <c r="EH34" s="831"/>
      <c r="EI34" s="831"/>
      <c r="EJ34" s="831"/>
      <c r="EK34" s="831"/>
      <c r="EL34" s="831"/>
      <c r="EM34" s="831"/>
      <c r="EN34" s="831"/>
      <c r="EO34" s="831"/>
      <c r="EP34" s="831"/>
      <c r="EQ34" s="831"/>
      <c r="ER34" s="831"/>
      <c r="ES34" s="831"/>
      <c r="ET34" s="831"/>
      <c r="EU34" s="831"/>
      <c r="EV34" s="831"/>
      <c r="EW34" s="831"/>
      <c r="EX34" s="831"/>
      <c r="EY34" s="831"/>
      <c r="EZ34" s="831"/>
      <c r="FA34" s="831"/>
      <c r="FB34" s="831"/>
      <c r="FC34" s="831"/>
      <c r="FD34" s="831"/>
      <c r="FE34" s="831"/>
      <c r="FF34" s="831"/>
      <c r="FG34" s="831"/>
      <c r="FH34" s="831"/>
      <c r="FI34" s="831"/>
      <c r="FJ34" s="831"/>
      <c r="FK34" s="831"/>
      <c r="FL34" s="831"/>
      <c r="FM34" s="831"/>
      <c r="FN34" s="831"/>
      <c r="FO34" s="831"/>
      <c r="FP34" s="831"/>
      <c r="FQ34" s="831"/>
      <c r="FR34" s="831"/>
      <c r="FS34" s="831"/>
      <c r="FT34" s="831"/>
      <c r="FU34" s="831"/>
      <c r="FV34" s="831"/>
      <c r="FW34" s="831"/>
      <c r="FX34" s="831"/>
      <c r="FY34" s="831"/>
      <c r="FZ34" s="831"/>
      <c r="GA34" s="831"/>
      <c r="GB34" s="831"/>
      <c r="GC34" s="831"/>
      <c r="GD34" s="831"/>
      <c r="GE34" s="831"/>
      <c r="GF34" s="831"/>
      <c r="GG34" s="831"/>
      <c r="GH34" s="831"/>
      <c r="GI34" s="831"/>
      <c r="GJ34" s="831"/>
      <c r="GK34" s="831"/>
      <c r="GL34" s="831"/>
      <c r="GM34" s="831"/>
      <c r="GN34" s="831"/>
      <c r="GO34" s="831"/>
      <c r="GP34" s="831"/>
      <c r="GQ34" s="831"/>
      <c r="GR34" s="831"/>
      <c r="GS34" s="831"/>
      <c r="GT34" s="831"/>
      <c r="GU34" s="831"/>
      <c r="GV34" s="831"/>
      <c r="GW34" s="831"/>
      <c r="GX34" s="831"/>
      <c r="GY34" s="831"/>
      <c r="GZ34" s="831"/>
      <c r="HA34" s="831"/>
      <c r="HB34" s="831"/>
      <c r="HC34" s="831"/>
      <c r="HD34" s="831"/>
      <c r="HE34" s="831"/>
      <c r="HF34" s="831"/>
      <c r="HG34" s="831"/>
      <c r="HH34" s="831"/>
      <c r="HI34" s="831"/>
      <c r="HJ34" s="831"/>
      <c r="HK34" s="831"/>
      <c r="HL34" s="831"/>
      <c r="HM34" s="831"/>
      <c r="HN34" s="831"/>
      <c r="HO34" s="831"/>
      <c r="HP34" s="831"/>
      <c r="HQ34" s="831"/>
      <c r="HR34" s="831"/>
      <c r="HS34" s="831"/>
      <c r="HT34" s="831"/>
      <c r="HU34" s="831"/>
      <c r="HV34" s="831"/>
      <c r="HW34" s="831"/>
      <c r="HX34" s="831"/>
      <c r="HY34" s="831"/>
      <c r="HZ34" s="831"/>
      <c r="IA34" s="831"/>
      <c r="IB34" s="831"/>
      <c r="IC34" s="831"/>
      <c r="ID34" s="831"/>
      <c r="IE34" s="831"/>
      <c r="IF34" s="831"/>
      <c r="IG34" s="831"/>
      <c r="IH34" s="831"/>
      <c r="II34" s="831"/>
      <c r="IJ34" s="831"/>
      <c r="IK34" s="831"/>
      <c r="IL34" s="831"/>
      <c r="IM34" s="831"/>
      <c r="IN34" s="831"/>
      <c r="IO34" s="831"/>
      <c r="IP34" s="831"/>
      <c r="IQ34" s="831"/>
      <c r="IR34" s="831"/>
      <c r="IS34" s="831"/>
      <c r="IT34" s="831"/>
      <c r="IU34" s="831"/>
      <c r="IV34" s="831"/>
      <c r="IW34" s="831"/>
      <c r="IX34" s="831"/>
      <c r="IY34" s="831"/>
      <c r="IZ34" s="831"/>
      <c r="JA34" s="831"/>
      <c r="JB34" s="831"/>
      <c r="JC34" s="831"/>
      <c r="JD34" s="831"/>
      <c r="JE34" s="831"/>
      <c r="JF34" s="831"/>
      <c r="JG34" s="831"/>
      <c r="JH34" s="831"/>
      <c r="JI34" s="831"/>
      <c r="JJ34" s="831"/>
      <c r="JK34" s="831"/>
      <c r="JL34" s="831"/>
      <c r="JM34" s="831"/>
      <c r="JN34" s="831"/>
      <c r="JO34" s="831"/>
      <c r="JP34" s="831"/>
      <c r="JQ34" s="831"/>
      <c r="JR34" s="831"/>
      <c r="JS34" s="831"/>
      <c r="JT34" s="831"/>
      <c r="JU34" s="831"/>
      <c r="JV34" s="831"/>
      <c r="JW34" s="831"/>
      <c r="JX34" s="831"/>
      <c r="JY34" s="831"/>
      <c r="JZ34" s="831"/>
      <c r="KA34" s="831"/>
      <c r="KB34" s="831"/>
      <c r="KC34" s="831"/>
      <c r="KD34" s="831"/>
      <c r="KE34" s="831"/>
      <c r="KF34" s="831"/>
      <c r="KG34" s="831"/>
      <c r="KH34" s="831"/>
      <c r="KI34" s="831"/>
      <c r="KJ34" s="831"/>
      <c r="KK34" s="831"/>
      <c r="KL34" s="831"/>
      <c r="KM34" s="831"/>
      <c r="KN34" s="831"/>
      <c r="KO34" s="831"/>
      <c r="KP34" s="831"/>
      <c r="KQ34" s="831"/>
      <c r="KR34" s="831"/>
      <c r="KS34" s="831"/>
      <c r="KT34" s="831"/>
      <c r="KU34" s="831"/>
      <c r="KV34" s="831"/>
      <c r="KW34" s="831"/>
      <c r="KX34" s="831"/>
      <c r="KY34" s="831"/>
      <c r="KZ34" s="831"/>
      <c r="LA34" s="831"/>
      <c r="LB34" s="831"/>
      <c r="LC34" s="831"/>
      <c r="LD34" s="831"/>
      <c r="LE34" s="831"/>
      <c r="LF34" s="831"/>
      <c r="LG34" s="831"/>
      <c r="LH34" s="831"/>
      <c r="LI34" s="831"/>
      <c r="LJ34" s="831"/>
      <c r="LK34" s="831"/>
      <c r="LL34" s="831"/>
      <c r="LM34" s="831"/>
      <c r="LN34" s="831"/>
      <c r="LO34" s="831"/>
      <c r="LP34" s="831"/>
      <c r="LQ34" s="831"/>
      <c r="LR34" s="831"/>
      <c r="LS34" s="831"/>
      <c r="LT34" s="831"/>
      <c r="LU34" s="831"/>
      <c r="LV34" s="831"/>
      <c r="LW34" s="831"/>
      <c r="LX34" s="831"/>
      <c r="LY34" s="831"/>
      <c r="LZ34" s="831"/>
      <c r="MA34" s="831"/>
      <c r="MB34" s="831"/>
      <c r="MC34" s="831"/>
      <c r="MD34" s="831"/>
      <c r="ME34" s="831"/>
      <c r="MF34" s="831"/>
      <c r="MG34" s="831"/>
      <c r="MH34" s="831"/>
      <c r="MI34" s="831"/>
      <c r="MJ34" s="831"/>
      <c r="MK34" s="831"/>
      <c r="ML34" s="831"/>
      <c r="MM34" s="831"/>
      <c r="MN34" s="831"/>
      <c r="MO34" s="831"/>
      <c r="MP34" s="831"/>
      <c r="MQ34" s="831"/>
      <c r="MR34" s="831"/>
      <c r="MS34" s="831"/>
      <c r="MT34" s="831"/>
      <c r="MU34" s="831"/>
      <c r="MV34" s="831"/>
      <c r="MW34" s="831"/>
      <c r="MX34" s="831"/>
      <c r="MY34" s="831"/>
      <c r="MZ34" s="831"/>
      <c r="NA34" s="831"/>
      <c r="NB34" s="831"/>
      <c r="NC34" s="831"/>
      <c r="ND34" s="831"/>
      <c r="NE34" s="831"/>
      <c r="NF34" s="831"/>
      <c r="NG34" s="831"/>
      <c r="NH34" s="831"/>
      <c r="NI34" s="831"/>
      <c r="NJ34" s="831"/>
      <c r="NK34" s="831"/>
      <c r="NL34" s="831"/>
      <c r="NM34" s="831"/>
      <c r="NN34" s="831"/>
      <c r="NO34" s="831"/>
      <c r="NP34" s="831"/>
      <c r="NQ34" s="831"/>
      <c r="NR34" s="831"/>
      <c r="NS34" s="831"/>
      <c r="NT34" s="831"/>
      <c r="NU34" s="831"/>
      <c r="NV34" s="831"/>
      <c r="NW34" s="831"/>
      <c r="NX34" s="831"/>
      <c r="NY34" s="831"/>
      <c r="NZ34" s="831"/>
      <c r="OA34" s="831"/>
      <c r="OB34" s="831"/>
      <c r="OC34" s="831"/>
      <c r="OD34" s="831"/>
      <c r="OE34" s="831"/>
      <c r="OF34" s="831"/>
      <c r="OG34" s="831"/>
      <c r="OH34" s="831"/>
      <c r="OI34" s="831"/>
      <c r="OJ34" s="831"/>
      <c r="OK34" s="831"/>
      <c r="OL34" s="831"/>
      <c r="OM34" s="831"/>
      <c r="ON34" s="831"/>
      <c r="OO34" s="831"/>
      <c r="OP34" s="831"/>
      <c r="OQ34" s="831"/>
      <c r="OR34" s="831"/>
      <c r="OS34" s="831"/>
      <c r="OT34" s="831"/>
      <c r="OU34" s="831"/>
      <c r="OV34" s="831"/>
      <c r="OW34" s="831"/>
      <c r="OX34" s="831"/>
      <c r="OY34" s="831"/>
      <c r="OZ34" s="831"/>
      <c r="PA34" s="831"/>
      <c r="PB34" s="831"/>
      <c r="PC34" s="831"/>
      <c r="PD34" s="831"/>
      <c r="PE34" s="831"/>
      <c r="PF34" s="831"/>
      <c r="PG34" s="831"/>
      <c r="PH34" s="831"/>
      <c r="PI34" s="831"/>
      <c r="PJ34" s="831"/>
      <c r="PK34" s="831"/>
      <c r="PL34" s="831"/>
      <c r="PM34" s="831"/>
      <c r="PN34" s="831"/>
      <c r="PO34" s="831"/>
      <c r="PP34" s="831"/>
      <c r="PQ34" s="831"/>
      <c r="PR34" s="831"/>
      <c r="PS34" s="831"/>
      <c r="PT34" s="831"/>
      <c r="PU34" s="831"/>
      <c r="PV34" s="831"/>
      <c r="PW34" s="831"/>
      <c r="PX34" s="831"/>
      <c r="PY34" s="831"/>
      <c r="PZ34" s="831"/>
      <c r="QA34" s="831"/>
      <c r="QB34" s="831"/>
      <c r="QC34" s="831"/>
      <c r="QD34" s="831"/>
      <c r="QE34" s="831"/>
      <c r="QF34" s="831"/>
      <c r="QG34" s="831"/>
      <c r="QH34" s="831"/>
      <c r="QI34" s="831"/>
      <c r="QJ34" s="831"/>
      <c r="QK34" s="831"/>
      <c r="QL34" s="831"/>
      <c r="QM34" s="831"/>
      <c r="QN34" s="831"/>
      <c r="QO34" s="831"/>
      <c r="QP34" s="831"/>
      <c r="QQ34" s="831"/>
      <c r="QR34" s="831"/>
      <c r="QS34" s="831"/>
      <c r="QT34" s="831"/>
      <c r="QU34" s="831"/>
      <c r="QV34" s="831"/>
      <c r="QW34" s="831"/>
      <c r="QX34" s="831"/>
      <c r="QY34" s="831"/>
      <c r="QZ34" s="831"/>
      <c r="RA34" s="831"/>
      <c r="RB34" s="831"/>
      <c r="RC34" s="831"/>
      <c r="RD34" s="831"/>
      <c r="RE34" s="831"/>
      <c r="RF34" s="831"/>
      <c r="RG34" s="831"/>
      <c r="RH34" s="831"/>
      <c r="RI34" s="831"/>
      <c r="RJ34" s="831"/>
      <c r="RK34" s="831"/>
      <c r="RL34" s="831"/>
      <c r="RM34" s="831"/>
      <c r="RN34" s="831"/>
      <c r="RO34" s="831"/>
      <c r="RP34" s="831"/>
      <c r="RQ34" s="831"/>
      <c r="RR34" s="831"/>
      <c r="RS34" s="831"/>
      <c r="RT34" s="831"/>
      <c r="RU34" s="831"/>
      <c r="RV34" s="831"/>
      <c r="RW34" s="831"/>
      <c r="RX34" s="831"/>
      <c r="RY34" s="831"/>
      <c r="RZ34" s="831"/>
      <c r="SA34" s="831"/>
      <c r="SB34" s="831"/>
      <c r="SC34" s="831"/>
      <c r="SD34" s="831"/>
      <c r="SE34" s="831"/>
      <c r="SF34" s="831"/>
      <c r="SG34" s="831"/>
      <c r="SH34" s="831"/>
      <c r="SI34" s="831"/>
      <c r="SJ34" s="831"/>
      <c r="SK34" s="831"/>
      <c r="SL34" s="831"/>
      <c r="SM34" s="831"/>
      <c r="SN34" s="831"/>
      <c r="SO34" s="831"/>
      <c r="SP34" s="831"/>
      <c r="SQ34" s="831"/>
      <c r="SR34" s="831"/>
      <c r="SS34" s="831"/>
      <c r="ST34" s="831"/>
      <c r="SU34" s="831"/>
      <c r="SV34" s="831"/>
      <c r="SW34" s="831"/>
      <c r="SX34" s="831"/>
      <c r="SY34" s="831"/>
      <c r="SZ34" s="831"/>
      <c r="TA34" s="831"/>
      <c r="TB34" s="831"/>
      <c r="TC34" s="831"/>
      <c r="TD34" s="831"/>
      <c r="TE34" s="831"/>
      <c r="TF34" s="831"/>
      <c r="TG34" s="831"/>
      <c r="TH34" s="831"/>
      <c r="TI34" s="831"/>
      <c r="TJ34" s="831"/>
      <c r="TK34" s="831"/>
      <c r="TL34" s="831"/>
      <c r="TM34" s="831"/>
      <c r="TN34" s="831"/>
      <c r="TO34" s="831"/>
      <c r="TP34" s="831"/>
      <c r="TQ34" s="831"/>
      <c r="TR34" s="831"/>
      <c r="TS34" s="831"/>
      <c r="TT34" s="831"/>
      <c r="TU34" s="831"/>
      <c r="TV34" s="831"/>
      <c r="TW34" s="831"/>
      <c r="TX34" s="831"/>
      <c r="TY34" s="831"/>
      <c r="TZ34" s="831"/>
      <c r="UA34" s="831"/>
      <c r="UB34" s="831"/>
      <c r="UC34" s="831"/>
      <c r="UD34" s="831"/>
      <c r="UE34" s="831"/>
      <c r="UF34" s="831"/>
      <c r="UG34" s="831"/>
      <c r="UH34" s="831"/>
      <c r="UI34" s="831"/>
      <c r="UJ34" s="831"/>
      <c r="UK34" s="831"/>
      <c r="UL34" s="831"/>
      <c r="UM34" s="831"/>
      <c r="UN34" s="831"/>
      <c r="UO34" s="831"/>
      <c r="UP34" s="831"/>
      <c r="UQ34" s="831"/>
      <c r="UR34" s="831"/>
      <c r="US34" s="831"/>
      <c r="UT34" s="831"/>
      <c r="UU34" s="831"/>
      <c r="UV34" s="831"/>
      <c r="UW34" s="831"/>
      <c r="UX34" s="831"/>
      <c r="UY34" s="831"/>
      <c r="UZ34" s="831"/>
      <c r="VA34" s="831"/>
      <c r="VB34" s="831"/>
      <c r="VC34" s="831"/>
      <c r="VD34" s="831"/>
      <c r="VE34" s="831"/>
      <c r="VF34" s="831"/>
      <c r="VG34" s="831"/>
      <c r="VH34" s="831"/>
      <c r="VI34" s="831"/>
      <c r="VJ34" s="831"/>
      <c r="VK34" s="831"/>
      <c r="VL34" s="831"/>
      <c r="VM34" s="831"/>
      <c r="VN34" s="831"/>
      <c r="VO34" s="831"/>
      <c r="VP34" s="831"/>
      <c r="VQ34" s="831"/>
      <c r="VR34" s="831"/>
      <c r="VS34" s="831"/>
      <c r="VT34" s="831"/>
      <c r="VU34" s="831"/>
      <c r="VV34" s="831"/>
      <c r="VW34" s="831"/>
      <c r="VX34" s="831"/>
      <c r="VY34" s="831"/>
      <c r="VZ34" s="831"/>
      <c r="WA34" s="831"/>
      <c r="WB34" s="831"/>
      <c r="WC34" s="831"/>
      <c r="WD34" s="831"/>
      <c r="WE34" s="831"/>
      <c r="WF34" s="831"/>
      <c r="WG34" s="831"/>
      <c r="WH34" s="831"/>
      <c r="WI34" s="831"/>
      <c r="WJ34" s="831"/>
      <c r="WK34" s="831"/>
      <c r="WL34" s="831"/>
      <c r="WM34" s="831"/>
      <c r="WN34" s="831"/>
      <c r="WO34" s="831"/>
      <c r="WP34" s="831"/>
      <c r="WQ34" s="831"/>
      <c r="WR34" s="831"/>
      <c r="WS34" s="831"/>
      <c r="WT34" s="831"/>
      <c r="WU34" s="831"/>
      <c r="WV34" s="831"/>
      <c r="WW34" s="831"/>
      <c r="WX34" s="831"/>
      <c r="WY34" s="831"/>
      <c r="WZ34" s="831"/>
      <c r="XA34" s="831"/>
      <c r="XB34" s="831"/>
      <c r="XC34" s="831"/>
      <c r="XD34" s="831"/>
      <c r="XE34" s="831"/>
      <c r="XF34" s="831"/>
      <c r="XG34" s="831"/>
      <c r="XH34" s="831"/>
      <c r="XI34" s="831"/>
      <c r="XJ34" s="831"/>
      <c r="XK34" s="831"/>
      <c r="XL34" s="831"/>
      <c r="XM34" s="831"/>
      <c r="XN34" s="831"/>
      <c r="XO34" s="831"/>
      <c r="XP34" s="831"/>
      <c r="XQ34" s="831"/>
      <c r="XR34" s="831"/>
      <c r="XS34" s="831"/>
      <c r="XT34" s="831"/>
      <c r="XU34" s="831"/>
      <c r="XV34" s="831"/>
      <c r="XW34" s="831"/>
      <c r="XX34" s="831"/>
      <c r="XY34" s="831"/>
      <c r="XZ34" s="831"/>
      <c r="YA34" s="831"/>
      <c r="YB34" s="831"/>
      <c r="YC34" s="831"/>
      <c r="YD34" s="831"/>
      <c r="YE34" s="831"/>
      <c r="YF34" s="831"/>
      <c r="YG34" s="831"/>
      <c r="YH34" s="831"/>
      <c r="YI34" s="831"/>
      <c r="YJ34" s="831"/>
      <c r="YK34" s="831"/>
      <c r="YL34" s="831"/>
      <c r="YM34" s="831"/>
      <c r="YN34" s="831"/>
      <c r="YO34" s="831"/>
      <c r="YP34" s="831"/>
      <c r="YQ34" s="831"/>
      <c r="YR34" s="831"/>
      <c r="YS34" s="831"/>
      <c r="YT34" s="831"/>
      <c r="YU34" s="831"/>
      <c r="YV34" s="831"/>
      <c r="YW34" s="831"/>
      <c r="YX34" s="831"/>
      <c r="YY34" s="831"/>
      <c r="YZ34" s="831"/>
      <c r="ZA34" s="831"/>
      <c r="ZB34" s="831"/>
      <c r="ZC34" s="831"/>
      <c r="ZD34" s="831"/>
      <c r="ZE34" s="831"/>
      <c r="ZF34" s="831"/>
      <c r="ZG34" s="831"/>
      <c r="ZH34" s="831"/>
      <c r="ZI34" s="831"/>
      <c r="ZJ34" s="831"/>
      <c r="ZK34" s="831"/>
      <c r="ZL34" s="831"/>
      <c r="ZM34" s="831"/>
      <c r="ZN34" s="831"/>
      <c r="ZO34" s="831"/>
      <c r="ZP34" s="831"/>
      <c r="ZQ34" s="831"/>
      <c r="ZR34" s="831"/>
      <c r="ZS34" s="831"/>
      <c r="ZT34" s="831"/>
      <c r="ZU34" s="831"/>
      <c r="ZV34" s="831"/>
      <c r="ZW34" s="831"/>
      <c r="ZX34" s="831"/>
      <c r="ZY34" s="831"/>
      <c r="ZZ34" s="831"/>
    </row>
    <row r="35" spans="1:702" ht="15" customHeight="1" x14ac:dyDescent="0.25">
      <c r="B35" s="1872" t="str">
        <f>GI_Project_Name</f>
        <v>SEA Building Addition</v>
      </c>
      <c r="C35" s="1873"/>
      <c r="D35" s="1874"/>
      <c r="E35" s="1225"/>
      <c r="F35" s="2729" t="str">
        <f>IFERROR(VLOOKUP(C35,'Lighting Assumptions'!A:C,IF(SI_IP_Units="SI",3,2)),"")</f>
        <v/>
      </c>
      <c r="G35" s="2729"/>
      <c r="H35" s="1875"/>
      <c r="I35" s="1876"/>
      <c r="J35" s="1877"/>
      <c r="K35" s="1875"/>
      <c r="L35" s="2715"/>
      <c r="M35" s="2716"/>
      <c r="N35" s="2716"/>
      <c r="O35" s="2716"/>
      <c r="P35" s="2716"/>
      <c r="Q35" s="2717"/>
      <c r="AD35" s="2278"/>
    </row>
    <row r="36" spans="1:702" ht="21" customHeight="1" x14ac:dyDescent="0.25">
      <c r="B36" s="2199" t="s">
        <v>18</v>
      </c>
      <c r="C36" s="2200"/>
      <c r="D36" s="1879">
        <f>IFERROR(SUM(D32:D35),0)</f>
        <v>34856</v>
      </c>
      <c r="E36" s="1878"/>
      <c r="F36" s="2772">
        <f>IFERROR(SUMPRODUCT($D32:$D35,F32:F35)/SUM($D32:$D35),0)</f>
        <v>0.9</v>
      </c>
      <c r="G36" s="2772"/>
      <c r="H36" s="1880">
        <f>IFERROR(SUMPRODUCT($D32:$D35,H32:H35)/SUM($D32:$D35),0)</f>
        <v>0.66</v>
      </c>
      <c r="I36" s="1878"/>
      <c r="J36" s="1878"/>
      <c r="K36" s="1880">
        <f>IFERROR(SUMPRODUCT($D32:$D35,K32:K35)/SUM($D32:$D35),0)</f>
        <v>0.65</v>
      </c>
      <c r="L36" s="2718"/>
      <c r="M36" s="2719"/>
      <c r="N36" s="2719"/>
      <c r="O36" s="2719"/>
      <c r="P36" s="2719"/>
      <c r="Q36" s="2720"/>
      <c r="AD36" s="2278"/>
    </row>
    <row r="37" spans="1:702" ht="9.75" customHeight="1" x14ac:dyDescent="0.2">
      <c r="B37" s="909"/>
      <c r="C37" s="910"/>
      <c r="D37" s="911"/>
      <c r="E37" s="912"/>
      <c r="F37" s="912"/>
      <c r="G37" s="911"/>
      <c r="H37" s="913"/>
      <c r="I37" s="914"/>
      <c r="J37" s="915"/>
      <c r="K37" s="913"/>
      <c r="L37" s="914"/>
    </row>
    <row r="38" spans="1:702" ht="38.25" customHeight="1" x14ac:dyDescent="0.2">
      <c r="A38" s="675" t="s">
        <v>1298</v>
      </c>
      <c r="E38" s="38"/>
      <c r="F38" s="38"/>
      <c r="G38" s="38"/>
      <c r="H38" s="38"/>
      <c r="I38" s="38"/>
      <c r="J38" s="38"/>
      <c r="K38" s="38"/>
      <c r="L38" s="38"/>
    </row>
    <row r="39" spans="1:702" ht="16.5" customHeight="1" x14ac:dyDescent="0.2">
      <c r="A39" s="675" t="s">
        <v>1298</v>
      </c>
      <c r="E39" s="38"/>
      <c r="F39" s="38"/>
      <c r="G39" s="38"/>
      <c r="H39" s="38"/>
      <c r="I39" s="38"/>
      <c r="J39" s="38"/>
      <c r="K39" s="38"/>
      <c r="L39" s="38"/>
    </row>
    <row r="40" spans="1:702" ht="20.25" hidden="1" customHeight="1" x14ac:dyDescent="0.25">
      <c r="A40" s="675" t="s">
        <v>1298</v>
      </c>
      <c r="B40" s="2726" t="s">
        <v>1357</v>
      </c>
      <c r="C40" s="2726" t="str">
        <f>CONCATENATE("Total Space Area ",IF(SI_IP_Units="IP","(sq ft)","(sq m)"))</f>
        <v>Total Space Area (sq ft)</v>
      </c>
      <c r="D40" s="2727"/>
      <c r="E40" s="2727"/>
      <c r="F40" s="2727"/>
      <c r="G40" s="2728" t="s">
        <v>1681</v>
      </c>
      <c r="H40" s="2727"/>
      <c r="I40" s="2727"/>
      <c r="J40" s="2727"/>
      <c r="K40" s="2727"/>
      <c r="L40" s="2728" t="s">
        <v>1685</v>
      </c>
      <c r="M40" s="2727"/>
      <c r="N40" s="2727"/>
      <c r="O40" s="2727"/>
      <c r="P40" s="2727"/>
      <c r="Q40" s="2727"/>
    </row>
    <row r="41" spans="1:702" ht="56.25" hidden="1" customHeight="1" x14ac:dyDescent="0.25">
      <c r="A41" s="675" t="s">
        <v>1298</v>
      </c>
      <c r="B41" s="2726"/>
      <c r="C41" s="2726"/>
      <c r="D41" s="2727"/>
      <c r="E41" s="2727"/>
      <c r="F41" s="2727"/>
      <c r="G41" s="2726" t="str">
        <f>CONCATENATE("Baseline Maximum Allowance",CHAR(10),IF(SI_IP_Units="IP","(W/sq ft)","(W/sq m)"))</f>
        <v>Baseline Maximum Allowance
(W/sq ft)</v>
      </c>
      <c r="H41" s="2727"/>
      <c r="I41" s="2727"/>
      <c r="J41" s="2726" t="str">
        <f>CONCATENATE("Design Maximum Allowance",CHAR(10),IF(SI_IP_Units="IP","(W/sq ft)","(W/sq m)"))</f>
        <v>Design Maximum Allowance
(W/sq ft)</v>
      </c>
      <c r="K41" s="2727"/>
      <c r="L41" s="2726" t="str">
        <f>CONCATENATE("Baseline Maximum Allowance",CHAR(10),"(kW)")</f>
        <v>Baseline Maximum Allowance
(kW)</v>
      </c>
      <c r="M41" s="2727"/>
      <c r="N41" s="2727"/>
      <c r="O41" s="2726" t="str">
        <f>CONCATENATE("Design Maximum Allowance",CHAR(10),"(kW)")</f>
        <v>Design Maximum Allowance
(kW)</v>
      </c>
      <c r="P41" s="2727"/>
      <c r="Q41" s="2727"/>
    </row>
    <row r="42" spans="1:702" s="1207" customFormat="1" ht="56.25" hidden="1" customHeight="1" x14ac:dyDescent="0.2">
      <c r="A42" s="1199"/>
      <c r="B42" s="1230" t="str">
        <f>B40</f>
        <v>Building ID</v>
      </c>
      <c r="C42" s="1230" t="str">
        <f>C40</f>
        <v>Total Space Area (sq ft)</v>
      </c>
      <c r="D42" s="1231"/>
      <c r="E42" s="1231"/>
      <c r="F42" s="1231"/>
      <c r="G42" s="1232" t="s">
        <v>1682</v>
      </c>
      <c r="H42" s="1232"/>
      <c r="I42" s="1231"/>
      <c r="J42" s="1230" t="s">
        <v>1595</v>
      </c>
      <c r="K42" s="1231"/>
      <c r="L42" s="1232" t="s">
        <v>1683</v>
      </c>
      <c r="M42" s="1231"/>
      <c r="N42" s="1233"/>
      <c r="O42" s="1230" t="s">
        <v>1684</v>
      </c>
      <c r="P42" s="1234"/>
      <c r="Q42" s="1234"/>
    </row>
    <row r="43" spans="1:702" ht="18.75" hidden="1" customHeight="1" x14ac:dyDescent="0.25">
      <c r="A43" s="675" t="s">
        <v>1298</v>
      </c>
      <c r="B43" s="1229" t="str">
        <f>'Multiple Buildings Details'!B24</f>
        <v>SEA Building Addition</v>
      </c>
      <c r="C43" s="2706">
        <f>IFERROR(SUMIF(L_BAMInput_Index,"="&amp;$B43,$D$31:$D$35),"")</f>
        <v>34856</v>
      </c>
      <c r="D43" s="2707"/>
      <c r="E43" s="2707"/>
      <c r="F43" s="2707"/>
      <c r="G43" s="2723">
        <f>IFERROR(SUMPRODUCT(--($B$31:$B$35=$B43),$D$31:$D$35,$F$31:$F$35)/SUMIF($B$31:$B$35,"="&amp;$B43,$D$31:$D$35),0)</f>
        <v>0.9</v>
      </c>
      <c r="H43" s="2724"/>
      <c r="I43" s="2724"/>
      <c r="J43" s="2723">
        <f>IFERROR(SUMPRODUCT(--($B$31:$B$35=$B43),$D$31:$D$35,$K$31:$K$35)/SUMIF($B$31:$B$35,"="&amp;$B43,$D$31:$D$35),0)</f>
        <v>0.65</v>
      </c>
      <c r="K43" s="2724"/>
      <c r="L43" s="2734">
        <f>IFERROR(SUMPRODUCT(--($B$31:$B$35=$B43),$D$31:$D$35,$F$31:$F$35)/1000,0)</f>
        <v>31.3704</v>
      </c>
      <c r="M43" s="2724"/>
      <c r="N43" s="2724"/>
      <c r="O43" s="2723">
        <f>IFERROR(SUMPRODUCT(--($B$31:$B$35=$B43),$D$31:$D$35,$K$31:$K$35)/1000,0)</f>
        <v>22.656400000000001</v>
      </c>
      <c r="P43" s="2724"/>
      <c r="Q43" s="2724"/>
    </row>
    <row r="44" spans="1:702" ht="20.25" hidden="1" customHeight="1" x14ac:dyDescent="0.2">
      <c r="A44" s="675" t="s">
        <v>1298</v>
      </c>
      <c r="E44" s="38"/>
      <c r="F44" s="38"/>
      <c r="G44" s="38"/>
      <c r="H44" s="38"/>
      <c r="I44" s="38"/>
      <c r="J44" s="38"/>
      <c r="K44" s="38"/>
      <c r="L44" s="38"/>
    </row>
    <row r="45" spans="1:702" s="25" customFormat="1" ht="26.25" hidden="1" customHeight="1" x14ac:dyDescent="0.2">
      <c r="A45" s="675" t="s">
        <v>1298</v>
      </c>
      <c r="B45" s="770" t="str">
        <f>IF(L38="Building Area Method","Building Area Method","Space by Space Method")</f>
        <v>Space by Space Method</v>
      </c>
      <c r="C45" s="33"/>
      <c r="D45" s="33"/>
      <c r="E45" s="33"/>
      <c r="F45" s="33"/>
      <c r="G45" s="33"/>
      <c r="H45" s="33"/>
      <c r="I45" s="33"/>
      <c r="J45" s="33"/>
      <c r="K45" s="33"/>
      <c r="L45" s="33"/>
      <c r="M45" s="33"/>
      <c r="N45" s="430"/>
      <c r="O45" s="118"/>
      <c r="P45" s="118"/>
      <c r="Q45" s="118"/>
    </row>
    <row r="46" spans="1:702" s="25" customFormat="1" ht="60" hidden="1" customHeight="1" x14ac:dyDescent="0.25">
      <c r="A46" s="675" t="s">
        <v>1298</v>
      </c>
      <c r="B46" s="2871" t="s">
        <v>1296</v>
      </c>
      <c r="C46" s="2864"/>
      <c r="D46" s="2864"/>
      <c r="E46" s="2864"/>
      <c r="F46" s="2864"/>
      <c r="G46" s="2864"/>
      <c r="H46" s="2864"/>
      <c r="I46" s="2864"/>
      <c r="J46" s="2864"/>
      <c r="K46" s="2864"/>
      <c r="L46" s="2864"/>
      <c r="M46" s="2872"/>
      <c r="N46" s="2872"/>
      <c r="O46" s="2872"/>
      <c r="P46" s="2872"/>
      <c r="Q46" s="2872"/>
    </row>
    <row r="47" spans="1:702" s="500" customFormat="1" ht="21" hidden="1" customHeight="1" x14ac:dyDescent="0.25">
      <c r="A47" s="675" t="s">
        <v>1298</v>
      </c>
      <c r="B47" s="2703" t="s">
        <v>1294</v>
      </c>
      <c r="C47" s="2704"/>
      <c r="D47" s="2704"/>
      <c r="E47" s="2704"/>
      <c r="F47" s="2704"/>
      <c r="G47" s="2704"/>
      <c r="H47" s="2704"/>
      <c r="I47" s="2704"/>
      <c r="J47" s="2704"/>
      <c r="K47" s="2704"/>
      <c r="L47" s="2705"/>
      <c r="M47" s="2705"/>
      <c r="N47" s="2705"/>
      <c r="O47" s="2705"/>
      <c r="P47" s="2735" t="s">
        <v>1959</v>
      </c>
      <c r="Q47" s="2736"/>
      <c r="AD47" s="2280"/>
    </row>
    <row r="48" spans="1:702" s="552" customFormat="1" ht="9" hidden="1" customHeight="1" x14ac:dyDescent="0.25">
      <c r="A48" s="675" t="s">
        <v>1298</v>
      </c>
      <c r="B48" s="2784"/>
      <c r="C48" s="2784"/>
      <c r="D48" s="2784"/>
      <c r="E48" s="2784"/>
      <c r="F48" s="2784"/>
      <c r="G48" s="2784"/>
      <c r="H48" s="2784"/>
      <c r="I48" s="2784"/>
      <c r="J48" s="2784"/>
      <c r="K48" s="2784"/>
      <c r="L48" s="2784"/>
      <c r="M48" s="553"/>
      <c r="N48" s="554"/>
      <c r="P48" s="764"/>
    </row>
    <row r="49" spans="1:30" s="500" customFormat="1" ht="21" hidden="1" customHeight="1" x14ac:dyDescent="0.25">
      <c r="A49" s="675" t="s">
        <v>1298</v>
      </c>
      <c r="B49" s="2703" t="s">
        <v>1295</v>
      </c>
      <c r="C49" s="2704"/>
      <c r="D49" s="2704"/>
      <c r="E49" s="2704"/>
      <c r="F49" s="2704"/>
      <c r="G49" s="2704"/>
      <c r="H49" s="2704"/>
      <c r="I49" s="2704"/>
      <c r="J49" s="2704"/>
      <c r="K49" s="2704"/>
      <c r="L49" s="2705"/>
      <c r="M49" s="2705"/>
      <c r="N49" s="2705"/>
      <c r="O49" s="2705"/>
      <c r="P49" s="2735" t="s">
        <v>1959</v>
      </c>
      <c r="Q49" s="2736"/>
      <c r="AD49" s="2280"/>
    </row>
    <row r="50" spans="1:30" s="500" customFormat="1" ht="18.75" hidden="1" customHeight="1" x14ac:dyDescent="0.2">
      <c r="A50" s="675" t="s">
        <v>1298</v>
      </c>
      <c r="B50" s="2788"/>
      <c r="C50" s="2788"/>
      <c r="D50" s="2788"/>
      <c r="E50" s="2788"/>
      <c r="F50" s="2788"/>
      <c r="G50" s="2788"/>
      <c r="H50" s="2788"/>
      <c r="I50" s="2788"/>
      <c r="J50" s="2788"/>
      <c r="K50" s="2788"/>
      <c r="L50" s="2788"/>
      <c r="M50" s="33"/>
      <c r="N50" s="33"/>
      <c r="O50" s="33"/>
      <c r="P50" s="830"/>
      <c r="Q50" s="118"/>
    </row>
    <row r="51" spans="1:30" s="25" customFormat="1" ht="21" hidden="1" customHeight="1" x14ac:dyDescent="0.2">
      <c r="A51" s="675" t="s">
        <v>1298</v>
      </c>
      <c r="B51" s="76"/>
      <c r="C51" s="33"/>
      <c r="D51" s="33"/>
      <c r="E51" s="33"/>
      <c r="F51" s="33"/>
      <c r="G51" s="33"/>
      <c r="H51" s="33"/>
      <c r="I51" s="33"/>
      <c r="J51" s="33"/>
      <c r="K51" s="33"/>
      <c r="L51" s="33"/>
      <c r="M51" s="33"/>
      <c r="N51" s="430"/>
      <c r="O51" s="118"/>
      <c r="P51" s="118"/>
      <c r="Q51" s="118"/>
    </row>
    <row r="52" spans="1:30" s="26" customFormat="1" ht="26.25" hidden="1" customHeight="1" x14ac:dyDescent="0.2">
      <c r="A52" s="675" t="s">
        <v>1298</v>
      </c>
      <c r="B52" s="2620" t="s">
        <v>305</v>
      </c>
      <c r="C52" s="2621"/>
      <c r="D52" s="2619"/>
      <c r="E52" s="1006"/>
      <c r="F52" s="2620" t="s">
        <v>347</v>
      </c>
      <c r="G52" s="2621"/>
      <c r="H52" s="2621"/>
      <c r="I52" s="2621"/>
      <c r="J52" s="2621"/>
      <c r="K52" s="2621"/>
      <c r="L52" s="2619"/>
      <c r="M52" s="2620" t="s">
        <v>348</v>
      </c>
      <c r="N52" s="2621"/>
      <c r="O52" s="2621"/>
      <c r="P52" s="2621"/>
      <c r="Q52" s="2619"/>
    </row>
    <row r="53" spans="1:30" s="26" customFormat="1" ht="40.5" hidden="1" customHeight="1" x14ac:dyDescent="0.2">
      <c r="A53" s="675" t="s">
        <v>1298</v>
      </c>
      <c r="B53" s="2811" t="s">
        <v>1357</v>
      </c>
      <c r="C53" s="2505" t="str">
        <f>IF(B45="Space by Space Method","Table 9.6.1 Space Type","Table 9.5.1 
Building Area Type")</f>
        <v>Table 9.6.1 Space Type</v>
      </c>
      <c r="D53" s="2785" t="str">
        <f>IF(SI_IP_Units="IP","Total Space Type Area
(sq ft)","Total Space Type Area
(sq m)")</f>
        <v>Total Space Type Area
(sq ft)</v>
      </c>
      <c r="E53" s="1038"/>
      <c r="F53" s="2811" t="str">
        <f>IF(SI_IP_Units="IP","Maximum Allowance
(W/sq ft)","Maximum Allowance
(W/sq m)")</f>
        <v>Maximum Allowance
(W/sq ft)</v>
      </c>
      <c r="G53" s="2789" t="s">
        <v>1062</v>
      </c>
      <c r="H53" s="2789"/>
      <c r="I53" s="2789"/>
      <c r="J53" s="2789"/>
      <c r="K53" s="2789"/>
      <c r="L53" s="2785" t="str">
        <f>IF(SI_IP_Units="IP","Total Baseline LPD Allowance
(W/sq ft)","Total Baseline LPD Allowance
(W/sq m)")</f>
        <v>Total Baseline LPD Allowance
(W/sq ft)</v>
      </c>
      <c r="M53" s="2811" t="str">
        <f>IF(SI_IP_Units="IP","Design LPD
(W/sq ft)","Design LPD
(W/sq m)")</f>
        <v>Design LPD
(W/sq ft)</v>
      </c>
      <c r="N53" s="2816" t="s">
        <v>1064</v>
      </c>
      <c r="O53" s="2818" t="s">
        <v>1065</v>
      </c>
      <c r="P53" s="2819"/>
      <c r="Q53" s="2785" t="str">
        <f>IF(SI_IP_Units="IP","Modeled Design LPD
(W/sq ft)","Design LPD
(W/sq m)")</f>
        <v>Modeled Design LPD
(W/sq ft)</v>
      </c>
    </row>
    <row r="54" spans="1:30" s="26" customFormat="1" ht="63.75" hidden="1" customHeight="1" x14ac:dyDescent="0.2">
      <c r="A54" s="675" t="s">
        <v>1298</v>
      </c>
      <c r="B54" s="2812"/>
      <c r="C54" s="2506"/>
      <c r="D54" s="2786"/>
      <c r="E54" s="1038"/>
      <c r="F54" s="2812"/>
      <c r="G54" s="2780" t="str">
        <f>IF(SI_IP_Units="IP","Luminaire Mounting Height (ft)","Luminaire Mounting Height (m)")</f>
        <v>Luminaire Mounting Height (ft)</v>
      </c>
      <c r="H54" s="2780"/>
      <c r="I54" s="2379" t="str">
        <f>IF(SI_IP_Units="IP","Work-plane 
(ft)", "Work-plane 
(m)")</f>
        <v>Work-plane 
(ft)</v>
      </c>
      <c r="J54" s="2379" t="str">
        <f>IF(SI_IP_Units="IP","Room 
Perimeter Length 
(ft)","Room 
Perimeter Length 
(m)")</f>
        <v>Room 
Perimeter Length 
(ft)</v>
      </c>
      <c r="K54" s="2379" t="s">
        <v>1063</v>
      </c>
      <c r="L54" s="2786"/>
      <c r="M54" s="2812"/>
      <c r="N54" s="2817"/>
      <c r="O54" s="2379" t="s">
        <v>1066</v>
      </c>
      <c r="P54" s="2379" t="s">
        <v>1760</v>
      </c>
      <c r="Q54" s="2786"/>
    </row>
    <row r="55" spans="1:30" s="26" customFormat="1" ht="159" hidden="1" customHeight="1" x14ac:dyDescent="0.2">
      <c r="A55" s="1097" t="s">
        <v>1298</v>
      </c>
      <c r="B55" s="2868" t="s">
        <v>1888</v>
      </c>
      <c r="C55" s="2840"/>
      <c r="D55" s="2869"/>
      <c r="E55" s="1146"/>
      <c r="F55" s="2790"/>
      <c r="G55" s="2769"/>
      <c r="H55" s="2769"/>
      <c r="I55" s="2769"/>
      <c r="J55" s="2769"/>
      <c r="K55" s="2769"/>
      <c r="L55" s="2770"/>
      <c r="M55" s="2790" t="s">
        <v>1729</v>
      </c>
      <c r="N55" s="2769"/>
      <c r="O55" s="2769"/>
      <c r="P55" s="2769"/>
      <c r="Q55" s="2770"/>
    </row>
    <row r="56" spans="1:30" s="26" customFormat="1" ht="63.75" hidden="1" customHeight="1" x14ac:dyDescent="0.2">
      <c r="A56" s="675" t="s">
        <v>1298</v>
      </c>
      <c r="B56" s="1141" t="s">
        <v>1357</v>
      </c>
      <c r="C56" s="1142" t="s">
        <v>1691</v>
      </c>
      <c r="D56" s="1143" t="s">
        <v>1692</v>
      </c>
      <c r="E56" s="1140"/>
      <c r="F56" s="1141" t="s">
        <v>1693</v>
      </c>
      <c r="G56" s="2814" t="s">
        <v>1694</v>
      </c>
      <c r="H56" s="2814"/>
      <c r="I56" s="2382" t="s">
        <v>1695</v>
      </c>
      <c r="J56" s="2382" t="s">
        <v>1696</v>
      </c>
      <c r="K56" s="2382" t="s">
        <v>1697</v>
      </c>
      <c r="L56" s="1143" t="s">
        <v>1698</v>
      </c>
      <c r="M56" s="1141" t="s">
        <v>1595</v>
      </c>
      <c r="N56" s="1840" t="s">
        <v>1699</v>
      </c>
      <c r="O56" s="2382" t="s">
        <v>1700</v>
      </c>
      <c r="P56" s="1841" t="s">
        <v>1701</v>
      </c>
      <c r="Q56" s="1143" t="s">
        <v>2001</v>
      </c>
    </row>
    <row r="57" spans="1:30" s="26" customFormat="1" ht="14.25" hidden="1" customHeight="1" x14ac:dyDescent="0.2">
      <c r="A57" s="675" t="s">
        <v>1298</v>
      </c>
      <c r="B57" s="1051" t="str">
        <f>'Multiple Buildings Details'!B24</f>
        <v>SEA Building Addition</v>
      </c>
      <c r="C57" s="1007" t="str">
        <f>"Residential Dwelling Units"</f>
        <v>Residential Dwelling Units</v>
      </c>
      <c r="D57" s="820"/>
      <c r="E57" s="55"/>
      <c r="F57" s="1008">
        <f>0.9*IF(SI_IP_Units="IP",1,CONVERT(1,"m","ft")^2)</f>
        <v>0.9</v>
      </c>
      <c r="G57" s="2813"/>
      <c r="H57" s="2813"/>
      <c r="I57" s="2381"/>
      <c r="J57" s="2381"/>
      <c r="K57" s="1009" t="str">
        <f t="shared" ref="K57:K58" si="1">IFERROR(2.5*(G57-I57)*J57/D57,"")</f>
        <v/>
      </c>
      <c r="L57" s="588">
        <f>IF($P$47="Yes",IFERROR(IF(VLOOKUP(C57,'Lighting Assumptions'!D:G,4,FALSE)="N/A",F57,IF(VLOOKUP(C57,'Lighting Assumptions'!D:G,4,FALSE)="A/A",F57*1.2,IF(K57&gt;VLOOKUP(C57,'Lighting Assumptions'!D:G,4,FALSE),F57*1.2,F57))),""),F57)</f>
        <v>0.9</v>
      </c>
      <c r="M57" s="437"/>
      <c r="N57" s="2362"/>
      <c r="O57" s="2245"/>
      <c r="P57" s="2246"/>
      <c r="Q57" s="588" t="str">
        <f t="shared" ref="Q57" si="2">IFERROR(IF($M57&gt;0,IFERROR($M57-$O57*$P57/$D57,$M57),""),"")</f>
        <v/>
      </c>
      <c r="AD57" s="2295"/>
    </row>
    <row r="58" spans="1:30" ht="15" hidden="1" customHeight="1" x14ac:dyDescent="0.2">
      <c r="A58" s="675" t="s">
        <v>917</v>
      </c>
      <c r="B58" s="821" t="str">
        <f>GI_Project_Name</f>
        <v>SEA Building Addition</v>
      </c>
      <c r="C58" s="821"/>
      <c r="D58" s="820"/>
      <c r="E58" s="55"/>
      <c r="F58" s="1008" t="str">
        <f>IFERROR(IF(SI_IP_Units="IP",VLOOKUP(C58,'Lighting Assumptions'!$D$1:$F$97,2,FALSE),VLOOKUP(C58,'Lighting Assumptions'!$D$1:$F$97,3,FALSE)),"")</f>
        <v/>
      </c>
      <c r="G58" s="2813"/>
      <c r="H58" s="2813"/>
      <c r="I58" s="2381"/>
      <c r="J58" s="2381"/>
      <c r="K58" s="1009" t="str">
        <f t="shared" si="1"/>
        <v/>
      </c>
      <c r="L58" s="588" t="str">
        <f>IF($P$47="Yes",IFERROR(IF(VLOOKUP(C58,'Lighting Assumptions'!D:G,4,FALSE)="N/A",F58,IF(VLOOKUP(C58,'Lighting Assumptions'!D:G,4,FALSE)="A/A",F58*1.2,IF(K58&gt;VLOOKUP(C58,'Lighting Assumptions'!D:G,4,FALSE),F58*1.2,F58))),""),F58)</f>
        <v/>
      </c>
      <c r="M58" s="437"/>
      <c r="N58" s="2362"/>
      <c r="O58" s="2363"/>
      <c r="P58" s="2364"/>
      <c r="Q58" s="588" t="str">
        <f>IFERROR(IF($M58&gt;0,IFERROR($M58-$O58*$P58/$D58,$M58),""),"")</f>
        <v/>
      </c>
      <c r="AD58" s="2278"/>
    </row>
    <row r="59" spans="1:30" ht="15" hidden="1" customHeight="1" x14ac:dyDescent="0.2">
      <c r="B59" s="821" t="str">
        <f>GI_Project_Name</f>
        <v>SEA Building Addition</v>
      </c>
      <c r="C59" s="821" t="s">
        <v>274</v>
      </c>
      <c r="D59" s="820"/>
      <c r="E59" s="55"/>
      <c r="F59" s="1008">
        <f>IFERROR(IF(SI_IP_Units="IP",VLOOKUP(C59,'Lighting Assumptions'!$D$1:$F$97,2,FALSE),VLOOKUP(C59,'Lighting Assumptions'!$D$1:$F$97,3,FALSE)),"")</f>
        <v>1.1100000000000001</v>
      </c>
      <c r="G59" s="2813"/>
      <c r="H59" s="2813"/>
      <c r="I59" s="2381"/>
      <c r="J59" s="2381"/>
      <c r="K59" s="1009" t="str">
        <f>IFERROR(2.5*(G59-I59)*J59/D59,"")</f>
        <v/>
      </c>
      <c r="L59" s="588">
        <f>IF($P$47="Yes",IFERROR(IF(VLOOKUP(C59,'Lighting Assumptions'!D:G,4,FALSE)="N/A",F59,IF(VLOOKUP(C59,'Lighting Assumptions'!D:G,4,FALSE)="A/A",F59*1.2,IF(K59&gt;VLOOKUP(C59,'Lighting Assumptions'!D:G,4,FALSE),F59*1.2,F59))),""),F59)</f>
        <v>1.1100000000000001</v>
      </c>
      <c r="M59" s="437"/>
      <c r="N59" s="2362"/>
      <c r="O59" s="2363"/>
      <c r="P59" s="2364"/>
      <c r="Q59" s="588" t="str">
        <f t="shared" ref="Q59:Q62" si="3">IFERROR(IF($M59&gt;0,IFERROR($M59-$O59*$P59/$D59,$M59),""),"")</f>
        <v/>
      </c>
      <c r="AD59" s="2278"/>
    </row>
    <row r="60" spans="1:30" ht="15" hidden="1" customHeight="1" x14ac:dyDescent="0.2">
      <c r="B60" s="785" t="str">
        <f>GI_Project_Name</f>
        <v>SEA Building Addition</v>
      </c>
      <c r="C60" s="785" t="s">
        <v>275</v>
      </c>
      <c r="D60" s="435"/>
      <c r="E60" s="55"/>
      <c r="F60" s="1008">
        <f>IFERROR(IF(SI_IP_Units="IP",VLOOKUP(C60,'Lighting Assumptions'!$D$1:$F$97,2,FALSE),VLOOKUP(C60,'Lighting Assumptions'!$D$1:$F$97,3,FALSE)),"")</f>
        <v>0.98</v>
      </c>
      <c r="G60" s="2813"/>
      <c r="H60" s="2813"/>
      <c r="I60" s="2381"/>
      <c r="J60" s="2381"/>
      <c r="K60" s="1009" t="str">
        <f t="shared" ref="K60" si="4">IFERROR(2.5*(G60-I60)*J60/D60,"")</f>
        <v/>
      </c>
      <c r="L60" s="588">
        <f>IF($P$47="Yes",IFERROR(IF(VLOOKUP(C60,'Lighting Assumptions'!D:G,4,FALSE)="N/A",F60,IF(VLOOKUP(C60,'Lighting Assumptions'!D:G,4,FALSE)="A/A",F60*1.2,IF(K60&gt;VLOOKUP(C60,'Lighting Assumptions'!D:G,4,FALSE),F60*1.2,F60))),""),F60)</f>
        <v>0.98</v>
      </c>
      <c r="M60" s="437"/>
      <c r="N60" s="2362"/>
      <c r="O60" s="2363"/>
      <c r="P60" s="2364"/>
      <c r="Q60" s="588" t="str">
        <f t="shared" si="3"/>
        <v/>
      </c>
      <c r="AD60" s="2278"/>
    </row>
    <row r="61" spans="1:30" ht="15" hidden="1" customHeight="1" x14ac:dyDescent="0.2">
      <c r="B61" s="785" t="str">
        <f>GI_Project_Name</f>
        <v>SEA Building Addition</v>
      </c>
      <c r="C61" s="785"/>
      <c r="D61" s="435"/>
      <c r="E61" s="55"/>
      <c r="F61" s="1008" t="str">
        <f>IFERROR(IF(SI_IP_Units="IP",VLOOKUP(C61,'Lighting Assumptions'!$D$1:$F$97,2,FALSE),VLOOKUP(C61,'Lighting Assumptions'!$D$1:$F$97,3,FALSE)),"")</f>
        <v/>
      </c>
      <c r="G61" s="2813"/>
      <c r="H61" s="2813"/>
      <c r="I61" s="2381"/>
      <c r="J61" s="2381"/>
      <c r="K61" s="1009" t="str">
        <f t="shared" ref="K61:K62" si="5">IFERROR(2.5*(G61-I61)*J61/D61,"")</f>
        <v/>
      </c>
      <c r="L61" s="588" t="str">
        <f>IF($P$47="Yes",IFERROR(IF(VLOOKUP(C61,'Lighting Assumptions'!D:G,4,FALSE)="N/A",F61,IF(VLOOKUP(C61,'Lighting Assumptions'!D:G,4,FALSE)="A/A",F61*1.2,IF(K61&gt;VLOOKUP(C61,'Lighting Assumptions'!D:G,4,FALSE),F61*1.2,F61))),""),F61)</f>
        <v/>
      </c>
      <c r="M61" s="437"/>
      <c r="N61" s="2362"/>
      <c r="O61" s="2363"/>
      <c r="P61" s="2364"/>
      <c r="Q61" s="588" t="str">
        <f t="shared" si="3"/>
        <v/>
      </c>
      <c r="AD61" s="2278"/>
    </row>
    <row r="62" spans="1:30" ht="15" hidden="1" customHeight="1" x14ac:dyDescent="0.2">
      <c r="B62" s="1852" t="str">
        <f>GI_Project_Name</f>
        <v>SEA Building Addition</v>
      </c>
      <c r="C62" s="1852"/>
      <c r="D62" s="1853"/>
      <c r="E62" s="55"/>
      <c r="F62" s="1854" t="str">
        <f>IFERROR(IF(SI_IP_Units="IP",VLOOKUP(C62,'Lighting Assumptions'!$D$1:$F$97,2,FALSE),VLOOKUP(C62,'Lighting Assumptions'!$D$1:$F$97,3,FALSE)),"")</f>
        <v/>
      </c>
      <c r="G62" s="2810"/>
      <c r="H62" s="2810"/>
      <c r="I62" s="2380"/>
      <c r="J62" s="2380"/>
      <c r="K62" s="1855" t="str">
        <f t="shared" si="5"/>
        <v/>
      </c>
      <c r="L62" s="1856" t="str">
        <f>IF($P$47="Yes",IFERROR(IF(VLOOKUP(C62,'Lighting Assumptions'!D:G,4,FALSE)="N/A",F62,IF(VLOOKUP(C62,'Lighting Assumptions'!D:G,4,FALSE)="A/A",F62*1.2,IF(K62&gt;VLOOKUP(C62,'Lighting Assumptions'!D:G,4,FALSE),F62*1.2,F62))),""),F62)</f>
        <v/>
      </c>
      <c r="M62" s="1857"/>
      <c r="N62" s="2365"/>
      <c r="O62" s="2366"/>
      <c r="P62" s="2367"/>
      <c r="Q62" s="1856" t="str">
        <f t="shared" si="3"/>
        <v/>
      </c>
      <c r="AD62" s="2278"/>
    </row>
    <row r="63" spans="1:30" ht="21" hidden="1" customHeight="1" x14ac:dyDescent="0.2">
      <c r="A63" s="675" t="s">
        <v>1298</v>
      </c>
      <c r="B63" s="2820" t="s">
        <v>18</v>
      </c>
      <c r="C63" s="2821"/>
      <c r="D63" s="436">
        <f>SUM(D56:D62)</f>
        <v>0</v>
      </c>
      <c r="E63" s="1858"/>
      <c r="F63" s="1859">
        <f>IFERROR(SUMPRODUCT($D56:$D62,F56:F62)/SUM($D56:$D62),0)</f>
        <v>0</v>
      </c>
      <c r="G63" s="1860"/>
      <c r="H63" s="1861"/>
      <c r="I63" s="1862"/>
      <c r="J63" s="1862"/>
      <c r="K63" s="1862"/>
      <c r="L63" s="1863">
        <f>IFERROR(SUMPRODUCT($D56:$D62,$L56:$L62)/SUM($D56:$D62),0)</f>
        <v>0</v>
      </c>
      <c r="M63" s="1864">
        <f>IFERROR(SUMPRODUCT($D56:$D62,$M56:$M62)/SUM($D56:$D62),0)</f>
        <v>0</v>
      </c>
      <c r="N63" s="1865"/>
      <c r="O63" s="1865"/>
      <c r="P63" s="1866"/>
      <c r="Q63" s="1867">
        <f>IFERROR(SUMPRODUCT($D56:$D62,$Q56:$Q62)/SUM($D56:$D62),0)</f>
        <v>0</v>
      </c>
      <c r="AD63" s="2278"/>
    </row>
    <row r="64" spans="1:30" ht="13.5" hidden="1" customHeight="1" x14ac:dyDescent="0.2">
      <c r="A64" s="675" t="s">
        <v>1298</v>
      </c>
      <c r="B64" s="986"/>
      <c r="C64" s="986"/>
      <c r="D64" s="910"/>
      <c r="E64" s="911"/>
      <c r="F64" s="912"/>
      <c r="G64" s="1041"/>
      <c r="H64" s="1041"/>
      <c r="I64" s="1041"/>
      <c r="J64" s="1041"/>
      <c r="K64" s="1041"/>
      <c r="L64" s="913"/>
      <c r="M64" s="913"/>
      <c r="N64" s="1042"/>
      <c r="O64" s="1042"/>
      <c r="P64" s="1042"/>
      <c r="Q64" s="1043"/>
    </row>
    <row r="65" spans="1:30" ht="38.25" hidden="1" customHeight="1" x14ac:dyDescent="0.2">
      <c r="A65" s="675" t="s">
        <v>1298</v>
      </c>
      <c r="E65" s="38"/>
      <c r="F65" s="38"/>
      <c r="G65" s="38"/>
      <c r="H65" s="38"/>
      <c r="I65" s="38"/>
      <c r="J65" s="38"/>
      <c r="K65" s="38"/>
      <c r="L65" s="38"/>
    </row>
    <row r="66" spans="1:30" ht="27.75" hidden="1" customHeight="1" x14ac:dyDescent="0.25">
      <c r="A66" s="1097"/>
      <c r="B66" s="2773" t="s">
        <v>1357</v>
      </c>
      <c r="C66" s="2773" t="str">
        <f>CONCATENATE("Total Space Area ",IF(SI_IP_Units="IP","(sq ft)","(sq m)"))</f>
        <v>Total Space Area (sq ft)</v>
      </c>
      <c r="D66" s="2787"/>
      <c r="E66" s="2787"/>
      <c r="F66" s="2787"/>
      <c r="G66" s="2773" t="s">
        <v>1681</v>
      </c>
      <c r="H66" s="2787"/>
      <c r="I66" s="2787"/>
      <c r="J66" s="2787"/>
      <c r="K66" s="2787"/>
      <c r="L66" s="2773" t="s">
        <v>1685</v>
      </c>
      <c r="M66" s="2787"/>
      <c r="N66" s="2787"/>
      <c r="O66" s="2787"/>
      <c r="P66" s="2787"/>
      <c r="Q66" s="2787"/>
    </row>
    <row r="67" spans="1:30" ht="34.5" hidden="1" customHeight="1" x14ac:dyDescent="0.25">
      <c r="A67" s="675" t="s">
        <v>1298</v>
      </c>
      <c r="B67" s="2773"/>
      <c r="C67" s="2773"/>
      <c r="D67" s="2787"/>
      <c r="E67" s="2787"/>
      <c r="F67" s="2787"/>
      <c r="G67" s="2773" t="str">
        <f>CONCATENATE("Baseline Maximum Allowance",CHAR(10),IF(SI_IP_Units="IP","(W/sq ft)","(W/sq m)"))</f>
        <v>Baseline Maximum Allowance
(W/sq ft)</v>
      </c>
      <c r="H67" s="2787"/>
      <c r="I67" s="2787"/>
      <c r="J67" s="2773" t="str">
        <f>CONCATENATE("Design Maximum Allowance",CHAR(10),IF(SI_IP_Units="IP","(W/sq ft)","(W/sq m)"))</f>
        <v>Design Maximum Allowance
(W/sq ft)</v>
      </c>
      <c r="K67" s="2774"/>
      <c r="L67" s="2815" t="str">
        <f>CONCATENATE("Baseline Maximum Allowance",CHAR(10),"(kW)")</f>
        <v>Baseline Maximum Allowance
(kW)</v>
      </c>
      <c r="M67" s="2774"/>
      <c r="N67" s="2774"/>
      <c r="O67" s="2815" t="str">
        <f>CONCATENATE("Design Maximum Allowance",CHAR(10),"(kW)")</f>
        <v>Design Maximum Allowance
(kW)</v>
      </c>
      <c r="P67" s="2787"/>
      <c r="Q67" s="2787"/>
    </row>
    <row r="68" spans="1:30" s="1207" customFormat="1" ht="25.5" hidden="1" x14ac:dyDescent="0.25">
      <c r="A68" s="1199"/>
      <c r="B68" s="1200" t="str">
        <f>B66</f>
        <v>Building ID</v>
      </c>
      <c r="C68" s="1200" t="str">
        <f>C66</f>
        <v>Total Space Area (sq ft)</v>
      </c>
      <c r="D68" s="1201"/>
      <c r="E68" s="1201"/>
      <c r="F68" s="1201"/>
      <c r="G68" s="1200" t="s">
        <v>1682</v>
      </c>
      <c r="H68" s="1200"/>
      <c r="I68" s="1202"/>
      <c r="J68" s="1200" t="s">
        <v>1595</v>
      </c>
      <c r="K68" s="1203"/>
      <c r="L68" s="1204" t="s">
        <v>1683</v>
      </c>
      <c r="M68" s="1200"/>
      <c r="N68" s="1205"/>
      <c r="O68" s="1200" t="s">
        <v>1684</v>
      </c>
      <c r="P68" s="1206"/>
      <c r="Q68" s="1206"/>
    </row>
    <row r="69" spans="1:30" ht="20.25" hidden="1" customHeight="1" x14ac:dyDescent="0.25">
      <c r="A69" s="675" t="s">
        <v>1298</v>
      </c>
      <c r="B69" s="1053" t="str">
        <f>'Multiple Buildings Details'!B24</f>
        <v>SEA Building Addition</v>
      </c>
      <c r="C69" s="2806">
        <f>SUMIF($B$56:$B$62,"="&amp;B69,$D$56:$D$62)</f>
        <v>0</v>
      </c>
      <c r="D69" s="2787"/>
      <c r="E69" s="2787"/>
      <c r="F69" s="2787"/>
      <c r="G69" s="2807">
        <f>IFERROR(SUMPRODUCT(--($B$56:$B$62=$B69),$D$56:$D$62,$L$56:$L$62)/$C69,0)</f>
        <v>0</v>
      </c>
      <c r="H69" s="2787"/>
      <c r="I69" s="2787"/>
      <c r="J69" s="2796">
        <f>IFERROR(SUMPRODUCT(--($B$56:$B$62=$B69),$D$56:$D$62,$Q$56:$Q$62)/$C69,0)</f>
        <v>0</v>
      </c>
      <c r="K69" s="2774"/>
      <c r="L69" s="2796">
        <f>SUMPRODUCT(--($B$56:$B$62=$B69),$L$56:$L$62,$D$56:$D$62)/1000</f>
        <v>0</v>
      </c>
      <c r="M69" s="2774"/>
      <c r="N69" s="2774"/>
      <c r="O69" s="2796">
        <f>SUMPRODUCT(--($B$56:$B$62=$B69),$D$56:$D$62,$Q$56:$Q$62)/1000</f>
        <v>0</v>
      </c>
      <c r="P69" s="2787"/>
      <c r="Q69" s="2787"/>
    </row>
    <row r="70" spans="1:30" ht="20.25" hidden="1" customHeight="1" x14ac:dyDescent="0.2">
      <c r="A70" s="675" t="s">
        <v>1298</v>
      </c>
      <c r="E70" s="38"/>
      <c r="F70" s="38"/>
      <c r="G70" s="38"/>
      <c r="H70" s="38"/>
      <c r="I70" s="38"/>
      <c r="J70" s="38"/>
      <c r="K70" s="38"/>
      <c r="L70" s="38"/>
      <c r="S70" s="94"/>
      <c r="T70" s="2"/>
      <c r="U70" s="2"/>
      <c r="V70" s="2"/>
    </row>
    <row r="71" spans="1:30" s="25" customFormat="1" ht="26.25" hidden="1" customHeight="1" x14ac:dyDescent="0.2">
      <c r="A71" s="675" t="s">
        <v>1298</v>
      </c>
      <c r="B71" s="42" t="s">
        <v>1061</v>
      </c>
      <c r="C71" s="33"/>
      <c r="D71" s="33"/>
      <c r="E71" s="33"/>
      <c r="F71" s="33"/>
      <c r="G71" s="33"/>
      <c r="H71" s="33"/>
      <c r="I71" s="33"/>
      <c r="J71" s="33"/>
      <c r="K71" s="33"/>
      <c r="L71" s="33"/>
      <c r="M71" s="33"/>
      <c r="S71" s="430"/>
      <c r="T71" s="118"/>
      <c r="U71" s="118"/>
      <c r="V71" s="118"/>
    </row>
    <row r="72" spans="1:30" s="25" customFormat="1" ht="26.25" hidden="1" customHeight="1" x14ac:dyDescent="0.2">
      <c r="A72" s="675" t="s">
        <v>1298</v>
      </c>
      <c r="B72" s="2781" t="s">
        <v>1357</v>
      </c>
      <c r="C72" s="2781" t="s">
        <v>95</v>
      </c>
      <c r="D72" s="2781"/>
      <c r="E72" s="1208"/>
      <c r="F72" s="2783" t="s">
        <v>809</v>
      </c>
      <c r="G72" s="2783"/>
      <c r="H72" s="1213"/>
      <c r="I72" s="2775" t="s">
        <v>1111</v>
      </c>
      <c r="J72" s="2776"/>
      <c r="K72" s="2777"/>
      <c r="L72" s="2777"/>
      <c r="M72" s="2777"/>
      <c r="N72" s="2724"/>
      <c r="O72" s="2724"/>
      <c r="P72" s="2724"/>
      <c r="Q72" s="2724"/>
      <c r="S72" s="430"/>
      <c r="T72" s="118"/>
      <c r="U72" s="118"/>
      <c r="V72" s="118"/>
    </row>
    <row r="73" spans="1:30" ht="69.75" hidden="1" customHeight="1" x14ac:dyDescent="0.2">
      <c r="A73" s="675" t="s">
        <v>1298</v>
      </c>
      <c r="B73" s="2782"/>
      <c r="C73" s="2782"/>
      <c r="D73" s="2782"/>
      <c r="E73" s="1208"/>
      <c r="F73" s="1213" t="str">
        <f>IF(SI_IP_Units="IP","Floor Area
(sq ft)","Floor Area
(sq m)")</f>
        <v>Floor Area
(sq ft)</v>
      </c>
      <c r="G73" s="1213" t="s">
        <v>1110</v>
      </c>
      <c r="H73" s="1214"/>
      <c r="I73" s="2778"/>
      <c r="J73" s="2778"/>
      <c r="K73" s="2778"/>
      <c r="L73" s="2778"/>
      <c r="M73" s="2778"/>
      <c r="N73" s="2779"/>
      <c r="O73" s="2779"/>
      <c r="P73" s="2779"/>
      <c r="Q73" s="2779"/>
      <c r="S73" s="2"/>
      <c r="T73" s="2"/>
      <c r="U73" s="2"/>
      <c r="V73" s="2"/>
    </row>
    <row r="74" spans="1:30" ht="86.25" hidden="1" customHeight="1" x14ac:dyDescent="0.2">
      <c r="A74" s="1097" t="s">
        <v>1298</v>
      </c>
      <c r="B74" s="1837" t="s">
        <v>1888</v>
      </c>
      <c r="C74" s="2769" t="s">
        <v>1730</v>
      </c>
      <c r="D74" s="2770"/>
      <c r="E74" s="1839"/>
      <c r="F74" s="2790" t="s">
        <v>1731</v>
      </c>
      <c r="G74" s="2770"/>
      <c r="H74" s="1146"/>
      <c r="I74" s="2790"/>
      <c r="J74" s="2808"/>
      <c r="K74" s="2808"/>
      <c r="L74" s="2808"/>
      <c r="M74" s="2808"/>
      <c r="N74" s="2808"/>
      <c r="O74" s="2808"/>
      <c r="P74" s="2808"/>
      <c r="Q74" s="2809"/>
      <c r="S74" s="2"/>
      <c r="T74" s="2"/>
      <c r="U74" s="2"/>
      <c r="V74" s="2"/>
    </row>
    <row r="75" spans="1:30" ht="56.25" hidden="1" x14ac:dyDescent="0.25">
      <c r="A75" s="1097" t="s">
        <v>1298</v>
      </c>
      <c r="B75" s="1834" t="str">
        <f>B72</f>
        <v>Building ID</v>
      </c>
      <c r="C75" s="1834" t="str">
        <f>C72</f>
        <v>Table 9.6.1 Space Type</v>
      </c>
      <c r="D75" s="1834"/>
      <c r="E75" s="1442"/>
      <c r="F75" s="1835" t="str">
        <f>F73</f>
        <v>Floor Area
(sq ft)</v>
      </c>
      <c r="G75" s="1835" t="str">
        <f>G73</f>
        <v>Additional Power Allowance (W)</v>
      </c>
      <c r="H75" s="1443"/>
      <c r="I75" s="1842" t="str">
        <f>I72</f>
        <v>Additional Lighting Power Description or Additional Control Method</v>
      </c>
      <c r="J75" s="1836"/>
      <c r="K75" s="1836"/>
      <c r="L75" s="1836"/>
      <c r="M75" s="1836"/>
      <c r="N75" s="1836"/>
      <c r="O75" s="1836"/>
      <c r="P75" s="1836"/>
      <c r="Q75" s="1836"/>
      <c r="S75" s="2"/>
      <c r="T75" s="2"/>
      <c r="U75" s="2"/>
      <c r="V75" s="2"/>
    </row>
    <row r="76" spans="1:30" ht="15" hidden="1" customHeight="1" x14ac:dyDescent="0.2">
      <c r="A76" s="675" t="s">
        <v>919</v>
      </c>
      <c r="B76" s="1503" t="str">
        <f t="shared" ref="B76:B81" si="6">GI_Project_Name</f>
        <v>SEA Building Addition</v>
      </c>
      <c r="C76" s="2768"/>
      <c r="D76" s="2768"/>
      <c r="E76" s="1208"/>
      <c r="F76" s="1209"/>
      <c r="G76" s="1210"/>
      <c r="H76" s="1214"/>
      <c r="I76" s="2801"/>
      <c r="J76" s="2802"/>
      <c r="K76" s="2802"/>
      <c r="L76" s="2802"/>
      <c r="M76" s="2802"/>
      <c r="N76" s="2802"/>
      <c r="O76" s="2802"/>
      <c r="P76" s="2802"/>
      <c r="Q76" s="2803"/>
      <c r="S76" s="94"/>
      <c r="T76" s="2"/>
      <c r="U76" s="2"/>
      <c r="V76" s="2"/>
      <c r="AD76" s="2278"/>
    </row>
    <row r="77" spans="1:30" ht="15" hidden="1" customHeight="1" x14ac:dyDescent="0.25">
      <c r="B77" s="1503" t="str">
        <f t="shared" si="6"/>
        <v>SEA Building Addition</v>
      </c>
      <c r="C77" s="2768"/>
      <c r="D77" s="2768"/>
      <c r="E77" s="1208"/>
      <c r="F77" s="1209"/>
      <c r="G77" s="1210"/>
      <c r="H77" s="1214"/>
      <c r="I77" s="2804"/>
      <c r="J77" s="2805"/>
      <c r="K77" s="2805"/>
      <c r="L77" s="2805"/>
      <c r="M77" s="2805"/>
      <c r="N77" s="2744"/>
      <c r="O77" s="2744"/>
      <c r="P77" s="2744"/>
      <c r="Q77" s="2744"/>
      <c r="S77" s="94"/>
      <c r="T77" s="2"/>
      <c r="U77" s="2"/>
      <c r="V77" s="2"/>
      <c r="AD77" s="2278"/>
    </row>
    <row r="78" spans="1:30" ht="15" hidden="1" customHeight="1" x14ac:dyDescent="0.25">
      <c r="B78" s="1503" t="str">
        <f t="shared" si="6"/>
        <v>SEA Building Addition</v>
      </c>
      <c r="C78" s="2768"/>
      <c r="D78" s="2768"/>
      <c r="E78" s="1208"/>
      <c r="F78" s="1209"/>
      <c r="G78" s="1210"/>
      <c r="H78" s="1214"/>
      <c r="I78" s="2804"/>
      <c r="J78" s="2805"/>
      <c r="K78" s="2805"/>
      <c r="L78" s="2805"/>
      <c r="M78" s="2805"/>
      <c r="N78" s="2744"/>
      <c r="O78" s="2744"/>
      <c r="P78" s="2744"/>
      <c r="Q78" s="2744"/>
      <c r="S78" s="94"/>
      <c r="T78" s="2"/>
      <c r="U78" s="2"/>
      <c r="V78" s="2"/>
      <c r="AD78" s="2278"/>
    </row>
    <row r="79" spans="1:30" ht="15" hidden="1" customHeight="1" x14ac:dyDescent="0.25">
      <c r="B79" s="1503" t="str">
        <f t="shared" si="6"/>
        <v>SEA Building Addition</v>
      </c>
      <c r="C79" s="2768"/>
      <c r="D79" s="2768"/>
      <c r="E79" s="1208"/>
      <c r="F79" s="1209"/>
      <c r="G79" s="1210"/>
      <c r="H79" s="1214"/>
      <c r="I79" s="2804"/>
      <c r="J79" s="2805"/>
      <c r="K79" s="2805"/>
      <c r="L79" s="2805"/>
      <c r="M79" s="2805"/>
      <c r="N79" s="2744"/>
      <c r="O79" s="2744"/>
      <c r="P79" s="2744"/>
      <c r="Q79" s="2744"/>
      <c r="S79" s="94"/>
      <c r="T79" s="2"/>
      <c r="U79" s="2"/>
      <c r="V79" s="2"/>
      <c r="AD79" s="2278"/>
    </row>
    <row r="80" spans="1:30" ht="15" hidden="1" customHeight="1" x14ac:dyDescent="0.25">
      <c r="B80" s="1503" t="str">
        <f t="shared" si="6"/>
        <v>SEA Building Addition</v>
      </c>
      <c r="C80" s="2768"/>
      <c r="D80" s="2768"/>
      <c r="E80" s="1208"/>
      <c r="F80" s="1209"/>
      <c r="G80" s="1210"/>
      <c r="H80" s="1214"/>
      <c r="I80" s="2804"/>
      <c r="J80" s="2805"/>
      <c r="K80" s="2805"/>
      <c r="L80" s="2805"/>
      <c r="M80" s="2805"/>
      <c r="N80" s="2744"/>
      <c r="O80" s="2744"/>
      <c r="P80" s="2744"/>
      <c r="Q80" s="2744"/>
      <c r="S80" s="94"/>
      <c r="T80" s="2"/>
      <c r="U80" s="2"/>
      <c r="V80" s="2"/>
      <c r="AD80" s="2278"/>
    </row>
    <row r="81" spans="1:30" ht="15" hidden="1" customHeight="1" x14ac:dyDescent="0.25">
      <c r="B81" s="1503" t="str">
        <f t="shared" si="6"/>
        <v>SEA Building Addition</v>
      </c>
      <c r="C81" s="2768"/>
      <c r="D81" s="2768"/>
      <c r="E81" s="1208"/>
      <c r="F81" s="1209"/>
      <c r="G81" s="1210"/>
      <c r="H81" s="1214"/>
      <c r="I81" s="2804"/>
      <c r="J81" s="2805"/>
      <c r="K81" s="2805"/>
      <c r="L81" s="2805"/>
      <c r="M81" s="2805"/>
      <c r="N81" s="2744"/>
      <c r="O81" s="2744"/>
      <c r="P81" s="2744"/>
      <c r="Q81" s="2744"/>
      <c r="S81" s="94"/>
      <c r="T81" s="2"/>
      <c r="U81" s="2"/>
      <c r="V81" s="2"/>
      <c r="AD81" s="2278"/>
    </row>
    <row r="82" spans="1:30" ht="21" hidden="1" customHeight="1" x14ac:dyDescent="0.25">
      <c r="A82" s="675" t="s">
        <v>1298</v>
      </c>
      <c r="B82" s="2844" t="s">
        <v>18</v>
      </c>
      <c r="C82" s="2845"/>
      <c r="D82" s="2846"/>
      <c r="E82" s="1208"/>
      <c r="F82" s="1211">
        <f>SUM(F76:F81)</f>
        <v>0</v>
      </c>
      <c r="G82" s="1212">
        <f>IFERROR(IF(P83="Yes",(SUMPRODUCT($F76:$F81,G76:G81)/SUM($F76:$F81)+1000),SUMPRODUCT($F76:$F81,G76:G81)/SUM($F76:$F81)),0)</f>
        <v>0</v>
      </c>
      <c r="H82" s="1215"/>
      <c r="I82" s="2847"/>
      <c r="J82" s="2724"/>
      <c r="K82" s="2724"/>
      <c r="L82" s="2724"/>
      <c r="M82" s="2724"/>
      <c r="N82" s="2724"/>
      <c r="O82" s="2724"/>
      <c r="P82" s="2724"/>
      <c r="Q82" s="2724"/>
      <c r="S82" s="94"/>
      <c r="T82" s="2"/>
      <c r="U82" s="2"/>
      <c r="V82" s="2"/>
      <c r="AD82" s="2278"/>
    </row>
    <row r="83" spans="1:30" ht="21" hidden="1" customHeight="1" x14ac:dyDescent="0.25">
      <c r="A83" s="675" t="s">
        <v>1298</v>
      </c>
      <c r="B83" s="2761" t="s">
        <v>810</v>
      </c>
      <c r="C83" s="2762"/>
      <c r="D83" s="2762"/>
      <c r="E83" s="2762"/>
      <c r="F83" s="2762"/>
      <c r="G83" s="2762"/>
      <c r="H83" s="2762"/>
      <c r="I83" s="2762"/>
      <c r="J83" s="2762"/>
      <c r="K83" s="2762"/>
      <c r="L83" s="2763"/>
      <c r="M83" s="2763"/>
      <c r="N83" s="2763"/>
      <c r="O83" s="2764"/>
      <c r="P83" s="2842"/>
      <c r="Q83" s="2843"/>
      <c r="S83" s="94"/>
      <c r="T83" s="2"/>
      <c r="U83" s="2"/>
      <c r="V83" s="2"/>
      <c r="AD83" s="2278"/>
    </row>
    <row r="84" spans="1:30" ht="45" hidden="1" customHeight="1" x14ac:dyDescent="0.25">
      <c r="A84" s="675" t="s">
        <v>1298</v>
      </c>
      <c r="B84" s="2792" t="s">
        <v>1732</v>
      </c>
      <c r="C84" s="2793"/>
      <c r="D84" s="2793"/>
      <c r="E84" s="2793"/>
      <c r="F84" s="2793"/>
      <c r="G84" s="2793"/>
      <c r="H84" s="2793"/>
      <c r="I84" s="2793"/>
      <c r="J84" s="2793"/>
      <c r="K84" s="2793"/>
      <c r="L84" s="2794"/>
      <c r="M84" s="2794"/>
      <c r="N84" s="2794"/>
      <c r="O84" s="2795"/>
      <c r="P84" s="2606"/>
      <c r="Q84" s="2797"/>
      <c r="S84" s="94"/>
      <c r="T84" s="2"/>
      <c r="U84" s="2"/>
      <c r="V84" s="2"/>
      <c r="AD84" s="2278"/>
    </row>
    <row r="85" spans="1:30" ht="21" hidden="1" customHeight="1" x14ac:dyDescent="0.25">
      <c r="A85" s="675" t="s">
        <v>1298</v>
      </c>
      <c r="B85" s="2798" t="s">
        <v>1142</v>
      </c>
      <c r="C85" s="2799"/>
      <c r="D85" s="2799"/>
      <c r="E85" s="2799"/>
      <c r="F85" s="2799"/>
      <c r="G85" s="2799"/>
      <c r="H85" s="2799"/>
      <c r="I85" s="2799"/>
      <c r="J85" s="2799"/>
      <c r="K85" s="2799"/>
      <c r="L85" s="2794"/>
      <c r="M85" s="2794"/>
      <c r="N85" s="2794"/>
      <c r="O85" s="2795"/>
      <c r="P85" s="2606"/>
      <c r="Q85" s="2797"/>
      <c r="S85" s="94"/>
      <c r="T85" s="2"/>
      <c r="U85" s="2"/>
      <c r="V85" s="2"/>
      <c r="AD85" s="2278"/>
    </row>
    <row r="86" spans="1:30" ht="21" hidden="1" customHeight="1" x14ac:dyDescent="0.2">
      <c r="A86" s="675" t="s">
        <v>1298</v>
      </c>
      <c r="B86" s="1039"/>
      <c r="C86" s="539"/>
      <c r="D86" s="539"/>
      <c r="E86" s="539"/>
      <c r="F86" s="539"/>
      <c r="G86" s="539"/>
      <c r="H86" s="539"/>
      <c r="I86" s="539"/>
      <c r="J86" s="539"/>
      <c r="K86" s="539"/>
      <c r="L86" s="1040"/>
      <c r="M86" s="1040"/>
      <c r="S86" s="94"/>
      <c r="T86" s="2"/>
      <c r="U86" s="2"/>
      <c r="V86" s="2"/>
    </row>
    <row r="87" spans="1:30" ht="38.25" hidden="1" customHeight="1" x14ac:dyDescent="0.2">
      <c r="A87" s="675" t="s">
        <v>1298</v>
      </c>
      <c r="S87" s="94"/>
      <c r="T87" s="2"/>
      <c r="U87" s="2"/>
      <c r="V87" s="2"/>
    </row>
    <row r="88" spans="1:30" ht="30.75" hidden="1" customHeight="1" x14ac:dyDescent="0.25">
      <c r="A88" s="675" t="s">
        <v>1298</v>
      </c>
      <c r="B88" s="1235" t="s">
        <v>1357</v>
      </c>
      <c r="C88" s="2800" t="s">
        <v>1608</v>
      </c>
      <c r="D88" s="2727"/>
      <c r="E88" s="2727"/>
      <c r="F88" s="2727"/>
      <c r="G88" s="2726" t="str">
        <f>CONCATENATE("Maximum Allowance",CHAR(10),IF(SI_IP_Units="IP","(W/sq ft)","(W/sq m)"))</f>
        <v>Maximum Allowance
(W/sq ft)</v>
      </c>
      <c r="H88" s="2727"/>
      <c r="I88" s="2727"/>
      <c r="J88" s="2727"/>
      <c r="K88" s="2727"/>
      <c r="L88" s="2726" t="str">
        <f>CONCATENATE("Design Maximum Allowance",CHAR(10),"(kW)")</f>
        <v>Design Maximum Allowance
(kW)</v>
      </c>
      <c r="M88" s="2727"/>
      <c r="N88" s="2727"/>
      <c r="O88" s="2727"/>
      <c r="P88" s="2727"/>
      <c r="Q88" s="2727"/>
      <c r="S88" s="94"/>
      <c r="T88" s="2"/>
      <c r="U88" s="2"/>
      <c r="V88" s="2"/>
    </row>
    <row r="89" spans="1:30" ht="15.75" hidden="1" customHeight="1" x14ac:dyDescent="0.2">
      <c r="A89" s="1097"/>
      <c r="B89" s="1226" t="str">
        <f>B88</f>
        <v>Building ID</v>
      </c>
      <c r="C89" s="1226" t="str">
        <f>C88</f>
        <v>Total Space Area</v>
      </c>
      <c r="D89" s="1227"/>
      <c r="E89" s="1227"/>
      <c r="F89" s="1227"/>
      <c r="G89" s="1226" t="s">
        <v>1686</v>
      </c>
      <c r="H89" s="1236"/>
      <c r="I89" s="1227"/>
      <c r="J89" s="1227"/>
      <c r="K89" s="1227"/>
      <c r="L89" s="1226" t="s">
        <v>1687</v>
      </c>
      <c r="M89" s="1227"/>
      <c r="N89" s="1218"/>
      <c r="O89" s="1228"/>
      <c r="P89" s="1228"/>
      <c r="Q89" s="1228"/>
      <c r="S89" s="94"/>
      <c r="T89" s="2"/>
      <c r="U89" s="2"/>
      <c r="V89" s="2"/>
    </row>
    <row r="90" spans="1:30" ht="18" hidden="1" customHeight="1" x14ac:dyDescent="0.25">
      <c r="A90" s="675" t="s">
        <v>1298</v>
      </c>
      <c r="B90" s="1229" t="str">
        <f>'Multiple Buildings Details'!B24</f>
        <v>SEA Building Addition</v>
      </c>
      <c r="C90" s="2706">
        <f>SUMIF($B$76:$B$81,"="&amp;B90,$F$76:$F$81)</f>
        <v>0</v>
      </c>
      <c r="D90" s="2707"/>
      <c r="E90" s="2707"/>
      <c r="F90" s="2707"/>
      <c r="G90" s="2723">
        <f>IFERROR(SUMIF($B$76:$B$81,"="&amp;B90,$G$76:$G$81)/$C90,0)</f>
        <v>0</v>
      </c>
      <c r="H90" s="2724"/>
      <c r="I90" s="2724"/>
      <c r="J90" s="2724"/>
      <c r="K90" s="2724"/>
      <c r="L90" s="2742">
        <f>SUMIF($B$76:$B$81,"="&amp;B90,$G$76:$G$81)/1000</f>
        <v>0</v>
      </c>
      <c r="M90" s="2724"/>
      <c r="N90" s="2724"/>
      <c r="O90" s="2724"/>
      <c r="P90" s="2724"/>
      <c r="Q90" s="2724"/>
      <c r="S90" s="94"/>
      <c r="T90" s="2"/>
      <c r="U90" s="2"/>
      <c r="V90" s="2"/>
    </row>
    <row r="91" spans="1:30" ht="18" hidden="1" customHeight="1" x14ac:dyDescent="0.2">
      <c r="A91" s="675" t="s">
        <v>1298</v>
      </c>
      <c r="B91" s="1052"/>
      <c r="C91" s="1016"/>
      <c r="D91" s="1016"/>
      <c r="S91" s="94"/>
      <c r="T91" s="2"/>
      <c r="U91" s="2"/>
      <c r="V91" s="2"/>
    </row>
    <row r="92" spans="1:30" ht="19.5" customHeight="1" x14ac:dyDescent="0.2">
      <c r="A92" s="675" t="s">
        <v>1298</v>
      </c>
      <c r="E92" s="38"/>
      <c r="F92" s="38"/>
      <c r="G92" s="2791"/>
      <c r="H92" s="2791"/>
      <c r="I92" s="38"/>
      <c r="J92" s="38"/>
      <c r="K92" s="38"/>
      <c r="L92" s="38"/>
      <c r="S92" s="94"/>
      <c r="T92" s="2"/>
      <c r="U92" s="2"/>
      <c r="V92" s="2"/>
    </row>
    <row r="93" spans="1:30" s="25" customFormat="1" ht="19.5" customHeight="1" x14ac:dyDescent="0.2">
      <c r="A93" s="675" t="s">
        <v>1298</v>
      </c>
      <c r="B93" s="123" t="s">
        <v>321</v>
      </c>
      <c r="C93" s="33"/>
      <c r="D93" s="33"/>
      <c r="E93" s="33"/>
      <c r="F93" s="33"/>
      <c r="G93" s="33"/>
      <c r="H93" s="33"/>
      <c r="I93" s="33"/>
      <c r="J93" s="33"/>
      <c r="K93" s="33"/>
      <c r="L93" s="33"/>
      <c r="M93" s="33"/>
      <c r="S93" s="430"/>
      <c r="T93" s="118"/>
      <c r="U93" s="118"/>
      <c r="V93" s="118"/>
    </row>
    <row r="94" spans="1:30" s="25" customFormat="1" ht="25.5" customHeight="1" x14ac:dyDescent="0.2">
      <c r="A94" s="1097"/>
      <c r="B94" s="1109" t="str">
        <f>"Total modeled interior lighting power, based on inputs above"</f>
        <v>Total modeled interior lighting power, based on inputs above</v>
      </c>
      <c r="C94" s="33"/>
      <c r="D94" s="33"/>
      <c r="E94" s="33"/>
      <c r="F94" s="33"/>
      <c r="G94" s="33"/>
      <c r="H94" s="33"/>
      <c r="I94" s="33"/>
      <c r="J94" s="33"/>
      <c r="K94" s="33"/>
      <c r="L94" s="33"/>
      <c r="M94" s="33"/>
      <c r="S94" s="430"/>
      <c r="T94" s="118"/>
      <c r="U94" s="118"/>
      <c r="V94" s="118"/>
    </row>
    <row r="95" spans="1:30" ht="21" customHeight="1" x14ac:dyDescent="0.25">
      <c r="A95" s="675" t="s">
        <v>1298</v>
      </c>
      <c r="B95" s="2698" t="s">
        <v>1357</v>
      </c>
      <c r="C95" s="2748"/>
      <c r="D95" s="2748"/>
      <c r="E95" s="2748"/>
      <c r="F95" s="2748"/>
      <c r="G95" s="2747" t="s">
        <v>1681</v>
      </c>
      <c r="H95" s="2748"/>
      <c r="I95" s="2748"/>
      <c r="J95" s="2748"/>
      <c r="K95" s="2748"/>
      <c r="L95" s="2747" t="s">
        <v>1685</v>
      </c>
      <c r="M95" s="2906"/>
      <c r="N95" s="2906"/>
      <c r="O95" s="2906"/>
      <c r="P95" s="2906"/>
      <c r="Q95" s="2740"/>
      <c r="S95" s="94"/>
      <c r="T95" s="2"/>
      <c r="U95" s="2"/>
      <c r="V95" s="2"/>
    </row>
    <row r="96" spans="1:30" ht="25.5" x14ac:dyDescent="0.25">
      <c r="A96" s="675" t="s">
        <v>1298</v>
      </c>
      <c r="B96" s="2903"/>
      <c r="C96" s="2904"/>
      <c r="D96" s="2904"/>
      <c r="E96" s="2904"/>
      <c r="F96" s="2904"/>
      <c r="G96" s="2506" t="str">
        <f>CONCATENATE("Baseline Maximum Allowance",CHAR(10),IF(SI_IP_Units="IP","(W/sq ft)","(W/sq m)"))</f>
        <v>Baseline Maximum Allowance
(W/sq ft)</v>
      </c>
      <c r="H96" s="2904"/>
      <c r="I96" s="2904"/>
      <c r="J96" s="1888" t="str">
        <f>CONCATENATE("Design Maximum Allowance",CHAR(10),IF(SI_IP_Units="IP","(W/sq ft)","(W/sq m)"))</f>
        <v>Design Maximum Allowance
(W/sq ft)</v>
      </c>
      <c r="K96" s="1888"/>
      <c r="L96" s="2506" t="str">
        <f>CONCATENATE("Baseline Maximum Allowance",CHAR(10),"(kW)")</f>
        <v>Baseline Maximum Allowance
(kW)</v>
      </c>
      <c r="M96" s="2767"/>
      <c r="N96" s="2767"/>
      <c r="O96" s="2506" t="str">
        <f>CONCATENATE("Design Maximum Allowance",CHAR(10),"(kW)")</f>
        <v>Design Maximum Allowance
(kW)</v>
      </c>
      <c r="P96" s="2751"/>
      <c r="Q96" s="2757"/>
      <c r="S96" s="94"/>
      <c r="T96" s="2"/>
      <c r="U96" s="2"/>
      <c r="V96" s="2"/>
    </row>
    <row r="97" spans="1:30" hidden="1" x14ac:dyDescent="0.2">
      <c r="A97" s="1097"/>
      <c r="B97" s="1889" t="str">
        <f>B95</f>
        <v>Building ID</v>
      </c>
      <c r="C97" s="1886"/>
      <c r="D97" s="1886"/>
      <c r="E97" s="1886"/>
      <c r="F97" s="1886"/>
      <c r="G97" s="1885" t="s">
        <v>1682</v>
      </c>
      <c r="H97" s="1886"/>
      <c r="I97" s="1886"/>
      <c r="J97" s="1885" t="s">
        <v>1595</v>
      </c>
      <c r="K97" s="1885"/>
      <c r="L97" s="1885" t="s">
        <v>1683</v>
      </c>
      <c r="M97" s="1885"/>
      <c r="N97" s="1833"/>
      <c r="O97" s="1885" t="s">
        <v>1684</v>
      </c>
      <c r="P97" s="1887"/>
      <c r="Q97" s="1890"/>
      <c r="S97" s="94"/>
      <c r="T97" s="2"/>
      <c r="U97" s="2"/>
      <c r="V97" s="2"/>
    </row>
    <row r="98" spans="1:30" ht="21" customHeight="1" x14ac:dyDescent="0.2">
      <c r="A98" s="1097" t="s">
        <v>1298</v>
      </c>
      <c r="B98" s="2755" t="str">
        <f>'Multiple Buildings Details'!B24</f>
        <v>SEA Building Addition</v>
      </c>
      <c r="C98" s="2756"/>
      <c r="D98" s="2756"/>
      <c r="E98" s="2756"/>
      <c r="F98" s="2756"/>
      <c r="G98" s="2911">
        <f ca="1">IF($Z$24=2,
IFERROR(SUM(SUMIF(L_SxS_SumIndex,"="&amp;$B98,OFFSET(L_SxS_SumIndex,0,MATCH($L$68,L_SxS_SumHdr,0)-1)),SUMIF(L_SXSALP_SumIndex,"="&amp;$B98,OFFSET(L_SXSALP_SumIndex,0,MATCH($L$89,L_SxSALP_SumHdr,0)-1)))/SUMIF(L_SxS_SumIndex,"="&amp;$B98,OFFSET(L_SxS_SumIndex,0,MATCH($C$68,L_SxS_SumHdr,0)-1))*1000,0),
IFERROR(SUMIF(L_BAM_SumIndex,"="&amp;$B98,OFFSET(L_BAM_SumIndex,0,MATCH($L$42,L_BAM_SumHdr,0)-1))/SUMIF(L_BAM_SumIndex,"="&amp;$B98,OFFSET(L_BAM_SumIndex,0,MATCH($C$42,L_BAM_SumHdr,0)-1))*1000,0))</f>
        <v>0.9</v>
      </c>
      <c r="H98" s="2909"/>
      <c r="I98" s="2909"/>
      <c r="J98" s="2765">
        <f ca="1">IF($Z$24=2,
IFERROR(SUM(SUMIF(L_SxS_SumIndex,"="&amp;$B98,OFFSET(L_SxS_SumIndex,0,MATCH($O$68,L_SxS_SumHdr,0)-1)),SUMIF(L_SXSALP_SumIndex,"="&amp;$B98,OFFSET(L_SXSALP_SumIndex,0,MATCH($L$89,L_SxSALP_SumHdr,0)-1)))/SUMIF(L_SxS_SumIndex,"="&amp;$B98,OFFSET(L_SxS_SumIndex,0,MATCH($C$68,L_SxS_SumHdr,0)-1))*1000,0),
IFERROR(SUMIF(L_BAM_SumIndex,"="&amp;$B98,OFFSET(L_BAM_SumIndex,0,MATCH($O$42,L_BAM_SumHdr,0)-1))/SUMIF(L_BAM_SumIndex,"="&amp;$B98,OFFSET(L_BAM_SumIndex,0,MATCH($C$42,L_BAM_SumHdr,0)-1))*1000,0))</f>
        <v>0.65000000000000013</v>
      </c>
      <c r="K98" s="2766"/>
      <c r="L98" s="2907">
        <f ca="1">IF($Z$24=2,
IFERROR(SUM(SUMIF(L_SxS_SumIndex,"="&amp;$B98,OFFSET(L_SxS_SumIndex,0,MATCH($L$68,L_SxS_SumHdr,0)-1)),SUMIF(L_SXSALP_SumIndex,"="&amp;$B98,OFFSET(L_SXSALP_SumIndex,0,MATCH($L$89,L_SxSALP_SumHdr,0)-1))),0),
IFERROR(SUMIF(L_BAM_SumIndex,"="&amp;$B98,OFFSET(L_BAM_SumIndex,0,MATCH($L$42,L_BAM_SumHdr,0)-1)),0))</f>
        <v>31.3704</v>
      </c>
      <c r="M98" s="2908"/>
      <c r="N98" s="2908"/>
      <c r="O98" s="2907">
        <f ca="1">IF($Z$24=2,
IFERROR(SUM(SUMIF(L_SxS_SumIndex,"="&amp;$B98,OFFSET(L_SxS_SumIndex,0,MATCH($O$68,L_SxS_SumHdr,0)-1)),SUMIF(L_SXSALP_SumIndex,"="&amp;$B98,OFFSET(L_SXSALP_SumIndex,0,MATCH($L$89,L_SxSALP_SumHdr,0)-1))),0),
IFERROR(SUMIF(L_BAM_SumIndex,"="&amp;$B98,OFFSET(L_BAM_SumIndex,0,MATCH($O$42,L_BAM_SumHdr,0)-1)),0))</f>
        <v>22.656400000000001</v>
      </c>
      <c r="P98" s="2909"/>
      <c r="Q98" s="2910"/>
      <c r="S98" s="94"/>
      <c r="T98" s="2"/>
      <c r="U98" s="2"/>
      <c r="V98" s="2"/>
      <c r="AD98" s="2278"/>
    </row>
    <row r="99" spans="1:30" s="538" customFormat="1" ht="30" customHeight="1" x14ac:dyDescent="0.2">
      <c r="A99" s="675" t="s">
        <v>1298</v>
      </c>
      <c r="B99" s="539"/>
      <c r="C99" s="539"/>
      <c r="D99" s="539"/>
      <c r="E99" s="539"/>
      <c r="F99" s="539"/>
      <c r="G99" s="539"/>
      <c r="H99" s="539"/>
      <c r="I99" s="539"/>
      <c r="J99" s="540"/>
      <c r="K99" s="540"/>
      <c r="L99" s="540"/>
      <c r="S99" s="541"/>
      <c r="T99" s="542"/>
      <c r="U99" s="542"/>
      <c r="V99" s="542"/>
    </row>
    <row r="100" spans="1:30" s="25" customFormat="1" ht="26.25" customHeight="1" x14ac:dyDescent="0.2">
      <c r="A100" s="675" t="s">
        <v>1298</v>
      </c>
      <c r="B100" s="42" t="s">
        <v>241</v>
      </c>
      <c r="C100" s="33"/>
      <c r="D100" s="33"/>
      <c r="E100" s="33"/>
      <c r="F100" s="33"/>
      <c r="G100" s="33"/>
      <c r="H100" s="33"/>
      <c r="I100" s="33"/>
      <c r="J100" s="33"/>
      <c r="K100" s="33"/>
      <c r="L100" s="33"/>
      <c r="M100" s="33"/>
      <c r="S100" s="430"/>
      <c r="T100" s="118"/>
      <c r="U100" s="118"/>
      <c r="V100" s="118"/>
    </row>
    <row r="101" spans="1:30" ht="62.25" customHeight="1" x14ac:dyDescent="0.25">
      <c r="A101" s="675" t="s">
        <v>1298</v>
      </c>
      <c r="B101" s="1847" t="s">
        <v>1357</v>
      </c>
      <c r="C101" s="2841" t="s">
        <v>3</v>
      </c>
      <c r="D101" s="2841"/>
      <c r="E101" s="2841"/>
      <c r="F101" s="2841"/>
      <c r="G101" s="2758" t="s">
        <v>134</v>
      </c>
      <c r="H101" s="2758"/>
      <c r="I101" s="2758"/>
      <c r="J101" s="2758"/>
      <c r="K101" s="2759"/>
      <c r="L101" s="2758" t="s">
        <v>314</v>
      </c>
      <c r="M101" s="2912"/>
      <c r="N101" s="2912"/>
      <c r="O101" s="2758" t="s">
        <v>125</v>
      </c>
      <c r="P101" s="2759"/>
      <c r="Q101" s="2760"/>
      <c r="S101" s="94"/>
      <c r="T101" s="2"/>
      <c r="U101" s="2"/>
      <c r="V101" s="2"/>
    </row>
    <row r="102" spans="1:30" ht="93" customHeight="1" x14ac:dyDescent="0.2">
      <c r="A102" s="1097" t="s">
        <v>1298</v>
      </c>
      <c r="B102" s="1837" t="s">
        <v>1888</v>
      </c>
      <c r="C102" s="2769" t="s">
        <v>1733</v>
      </c>
      <c r="D102" s="2769"/>
      <c r="E102" s="2769"/>
      <c r="F102" s="2769"/>
      <c r="G102" s="2769" t="s">
        <v>1734</v>
      </c>
      <c r="H102" s="2769"/>
      <c r="I102" s="2769"/>
      <c r="J102" s="2769"/>
      <c r="K102" s="2808"/>
      <c r="L102" s="2840"/>
      <c r="M102" s="2808"/>
      <c r="N102" s="2808"/>
      <c r="O102" s="2769" t="s">
        <v>1735</v>
      </c>
      <c r="P102" s="2808"/>
      <c r="Q102" s="2809"/>
      <c r="S102" s="94"/>
      <c r="T102" s="2"/>
      <c r="U102" s="2"/>
      <c r="V102" s="2"/>
    </row>
    <row r="103" spans="1:30" ht="45" hidden="1" x14ac:dyDescent="0.25">
      <c r="A103" s="1097" t="s">
        <v>1298</v>
      </c>
      <c r="B103" s="1848" t="str">
        <f>B101</f>
        <v>Building ID</v>
      </c>
      <c r="C103" s="1834" t="str">
        <f>C101</f>
        <v>Description</v>
      </c>
      <c r="D103" s="1835"/>
      <c r="E103" s="1835"/>
      <c r="F103" s="1835"/>
      <c r="G103" s="1834" t="str">
        <f>G101</f>
        <v>Section 9.2.2.3 Exemption</v>
      </c>
      <c r="H103" s="1835"/>
      <c r="I103" s="1835"/>
      <c r="J103" s="1835"/>
      <c r="K103" s="1836"/>
      <c r="L103" s="1834" t="str">
        <f>L101</f>
        <v>Total Process Lighting Power (W)</v>
      </c>
      <c r="M103" s="1836"/>
      <c r="N103" s="1836"/>
      <c r="O103" s="1834" t="str">
        <f>O101</f>
        <v>Modeled Identically In Baseline?</v>
      </c>
      <c r="P103" s="1836"/>
      <c r="Q103" s="1849"/>
      <c r="S103" s="94"/>
      <c r="T103" s="2"/>
      <c r="U103" s="2"/>
      <c r="V103" s="2"/>
    </row>
    <row r="104" spans="1:30" ht="15" customHeight="1" x14ac:dyDescent="0.25">
      <c r="A104" s="675" t="s">
        <v>1298</v>
      </c>
      <c r="B104" s="1850" t="str">
        <f>GI_Project_Name</f>
        <v>SEA Building Addition</v>
      </c>
      <c r="C104" s="2741"/>
      <c r="D104" s="2741"/>
      <c r="E104" s="2741"/>
      <c r="F104" s="2741"/>
      <c r="G104" s="2848"/>
      <c r="H104" s="2848"/>
      <c r="I104" s="2848"/>
      <c r="J104" s="2848"/>
      <c r="K104" s="2744"/>
      <c r="L104" s="2743"/>
      <c r="M104" s="2744"/>
      <c r="N104" s="2744"/>
      <c r="O104" s="2848"/>
      <c r="P104" s="2744"/>
      <c r="Q104" s="2849"/>
      <c r="S104" s="94"/>
      <c r="T104" s="2"/>
      <c r="U104" s="2"/>
      <c r="V104" s="2"/>
      <c r="AD104" s="2278"/>
    </row>
    <row r="105" spans="1:30" ht="15" customHeight="1" x14ac:dyDescent="0.25">
      <c r="A105" s="675" t="s">
        <v>1298</v>
      </c>
      <c r="B105" s="1850" t="str">
        <f>GI_Project_Name</f>
        <v>SEA Building Addition</v>
      </c>
      <c r="C105" s="2741"/>
      <c r="D105" s="2741"/>
      <c r="E105" s="2741"/>
      <c r="F105" s="2741"/>
      <c r="G105" s="2848"/>
      <c r="H105" s="2848"/>
      <c r="I105" s="2848"/>
      <c r="J105" s="2848"/>
      <c r="K105" s="2744"/>
      <c r="L105" s="2743"/>
      <c r="M105" s="2744"/>
      <c r="N105" s="2744"/>
      <c r="O105" s="2848"/>
      <c r="P105" s="2744"/>
      <c r="Q105" s="2849"/>
      <c r="S105" s="94"/>
      <c r="T105" s="2"/>
      <c r="U105" s="2"/>
      <c r="V105" s="2"/>
      <c r="AD105" s="2278"/>
    </row>
    <row r="106" spans="1:30" ht="15" customHeight="1" x14ac:dyDescent="0.25">
      <c r="A106" s="1097" t="s">
        <v>1298</v>
      </c>
      <c r="B106" s="1851" t="str">
        <f>GI_Project_Name</f>
        <v>SEA Building Addition</v>
      </c>
      <c r="C106" s="2919"/>
      <c r="D106" s="2919"/>
      <c r="E106" s="2919"/>
      <c r="F106" s="2919"/>
      <c r="G106" s="2753"/>
      <c r="H106" s="2753"/>
      <c r="I106" s="2753"/>
      <c r="J106" s="2753"/>
      <c r="K106" s="2746"/>
      <c r="L106" s="2745"/>
      <c r="M106" s="2746"/>
      <c r="N106" s="2746"/>
      <c r="O106" s="2753"/>
      <c r="P106" s="2746"/>
      <c r="Q106" s="2754"/>
      <c r="S106" s="94"/>
      <c r="T106" s="2"/>
      <c r="U106" s="2"/>
      <c r="V106" s="2"/>
      <c r="AD106" s="2278"/>
    </row>
    <row r="107" spans="1:30" ht="20.25" customHeight="1" x14ac:dyDescent="0.2">
      <c r="A107" s="675" t="s">
        <v>1298</v>
      </c>
      <c r="H107" s="54"/>
      <c r="I107" s="54"/>
      <c r="J107" s="54"/>
      <c r="M107" s="33"/>
      <c r="S107" s="94"/>
      <c r="T107" s="2"/>
      <c r="U107" s="2"/>
      <c r="V107" s="2"/>
    </row>
    <row r="108" spans="1:30" s="25" customFormat="1" ht="30" customHeight="1" x14ac:dyDescent="0.2">
      <c r="A108" s="675" t="s">
        <v>1298</v>
      </c>
      <c r="B108" s="28" t="s">
        <v>282</v>
      </c>
      <c r="C108" s="33"/>
      <c r="D108" s="33"/>
      <c r="E108" s="33"/>
      <c r="F108" s="33"/>
      <c r="G108" s="33"/>
      <c r="H108" s="33"/>
      <c r="I108" s="33"/>
      <c r="J108" s="33"/>
      <c r="K108" s="33"/>
      <c r="L108" s="33"/>
      <c r="M108" s="33"/>
      <c r="S108" s="118"/>
      <c r="T108" s="118"/>
      <c r="U108" s="118"/>
      <c r="V108" s="118"/>
    </row>
    <row r="109" spans="1:30" ht="40.5" customHeight="1" x14ac:dyDescent="0.25">
      <c r="A109" s="675" t="s">
        <v>1298</v>
      </c>
      <c r="B109" s="2858" t="s">
        <v>312</v>
      </c>
      <c r="C109" s="2858"/>
      <c r="D109" s="2858"/>
      <c r="E109" s="2858"/>
      <c r="F109" s="2858"/>
      <c r="G109" s="2858"/>
      <c r="H109" s="2858"/>
      <c r="I109" s="2858"/>
      <c r="J109" s="2858"/>
      <c r="K109" s="2858"/>
      <c r="L109" s="2858"/>
      <c r="M109" s="2859"/>
      <c r="N109" s="2859"/>
      <c r="O109" s="2859"/>
      <c r="P109" s="2859"/>
      <c r="Q109" s="2859"/>
      <c r="S109" s="94"/>
      <c r="T109" s="2"/>
      <c r="U109" s="2"/>
      <c r="V109" s="2"/>
    </row>
    <row r="110" spans="1:30" s="25" customFormat="1" ht="26.25" customHeight="1" x14ac:dyDescent="0.2">
      <c r="A110" s="675" t="s">
        <v>1298</v>
      </c>
      <c r="B110" s="123" t="s">
        <v>181</v>
      </c>
      <c r="C110" s="33"/>
      <c r="D110" s="33"/>
      <c r="E110" s="33"/>
      <c r="F110" s="33"/>
      <c r="G110" s="33"/>
      <c r="H110" s="33"/>
      <c r="I110" s="33"/>
      <c r="J110" s="33"/>
      <c r="K110" s="33"/>
      <c r="L110" s="33"/>
      <c r="M110" s="33"/>
      <c r="S110" s="430"/>
      <c r="T110" s="118"/>
      <c r="U110" s="118"/>
      <c r="V110" s="118"/>
    </row>
    <row r="111" spans="1:30" ht="33.75" customHeight="1" x14ac:dyDescent="0.25">
      <c r="A111" s="675" t="s">
        <v>1298</v>
      </c>
      <c r="B111" s="2857" t="s">
        <v>1176</v>
      </c>
      <c r="C111" s="2704"/>
      <c r="D111" s="2704"/>
      <c r="E111" s="2704"/>
      <c r="F111" s="2704"/>
      <c r="G111" s="2704"/>
      <c r="H111" s="2704"/>
      <c r="I111" s="2704"/>
      <c r="J111" s="2704"/>
      <c r="K111" s="2704"/>
      <c r="L111" s="2705"/>
      <c r="M111" s="2705"/>
      <c r="N111" s="2705"/>
      <c r="O111" s="2705"/>
      <c r="P111" s="2830" t="s">
        <v>25</v>
      </c>
      <c r="Q111" s="2831"/>
      <c r="S111" s="94"/>
      <c r="T111" s="2"/>
      <c r="U111" s="2"/>
      <c r="V111" s="2"/>
      <c r="AD111" s="2278"/>
    </row>
    <row r="112" spans="1:30" ht="20.25" customHeight="1" x14ac:dyDescent="0.2">
      <c r="A112" s="675" t="s">
        <v>1298</v>
      </c>
      <c r="B112" s="39"/>
      <c r="C112" s="39"/>
      <c r="D112" s="39"/>
      <c r="E112" s="39"/>
      <c r="F112" s="39"/>
      <c r="G112" s="39"/>
      <c r="H112" s="39"/>
      <c r="I112" s="39"/>
      <c r="J112" s="37"/>
      <c r="K112" s="37"/>
      <c r="L112" s="37"/>
      <c r="S112" s="94"/>
      <c r="T112" s="2"/>
      <c r="U112" s="2"/>
      <c r="V112" s="2"/>
    </row>
    <row r="113" spans="1:30" s="25" customFormat="1" ht="26.25" customHeight="1" x14ac:dyDescent="0.2">
      <c r="A113" s="675" t="s">
        <v>1298</v>
      </c>
      <c r="B113" s="123" t="s">
        <v>286</v>
      </c>
      <c r="C113" s="33"/>
      <c r="D113" s="33"/>
      <c r="E113" s="33"/>
      <c r="F113" s="33"/>
      <c r="G113" s="33"/>
      <c r="H113" s="33"/>
      <c r="I113" s="33"/>
      <c r="J113" s="33"/>
      <c r="K113" s="33"/>
      <c r="L113" s="33"/>
      <c r="M113" s="33"/>
      <c r="S113" s="430"/>
      <c r="T113" s="118"/>
      <c r="U113" s="118"/>
      <c r="V113" s="118"/>
    </row>
    <row r="114" spans="1:30" ht="48" customHeight="1" x14ac:dyDescent="0.25">
      <c r="A114" s="675" t="s">
        <v>1298</v>
      </c>
      <c r="B114" s="56" t="s">
        <v>296</v>
      </c>
      <c r="C114" s="2749" t="s">
        <v>287</v>
      </c>
      <c r="D114" s="2749"/>
      <c r="E114" s="2749"/>
      <c r="F114" s="2749"/>
      <c r="G114" s="2749"/>
      <c r="H114" s="2749"/>
      <c r="I114" s="2749"/>
      <c r="J114" s="2749"/>
      <c r="K114" s="2749"/>
      <c r="L114" s="2705"/>
      <c r="M114" s="2749" t="s">
        <v>313</v>
      </c>
      <c r="N114" s="2705"/>
      <c r="O114" s="2705"/>
      <c r="P114" s="2705"/>
      <c r="Q114" s="2832"/>
      <c r="S114" s="94"/>
      <c r="T114" s="2"/>
      <c r="U114" s="2"/>
      <c r="V114" s="2"/>
    </row>
    <row r="115" spans="1:30" ht="48" hidden="1" customHeight="1" x14ac:dyDescent="0.25">
      <c r="A115" s="1097"/>
      <c r="B115" s="1899" t="s">
        <v>1867</v>
      </c>
      <c r="C115" s="1900" t="s">
        <v>3</v>
      </c>
      <c r="D115" s="1900"/>
      <c r="E115" s="1900"/>
      <c r="F115" s="1900"/>
      <c r="G115" s="1900"/>
      <c r="H115" s="1900"/>
      <c r="I115" s="1900"/>
      <c r="J115" s="1900"/>
      <c r="K115" s="1900"/>
      <c r="L115" s="1901"/>
      <c r="M115" s="1900" t="s">
        <v>1868</v>
      </c>
      <c r="N115" s="1901"/>
      <c r="O115" s="1901"/>
      <c r="P115" s="1901"/>
      <c r="Q115" s="1902"/>
      <c r="S115" s="94"/>
      <c r="T115" s="2"/>
      <c r="U115" s="2"/>
      <c r="V115" s="2"/>
    </row>
    <row r="116" spans="1:30" ht="33" customHeight="1" x14ac:dyDescent="0.25">
      <c r="A116" s="675" t="s">
        <v>1298</v>
      </c>
      <c r="B116" s="1891" t="s">
        <v>290</v>
      </c>
      <c r="C116" s="2750" t="str">
        <f>IFERROR(VLOOKUP($B116,'Lighting Assumptions'!V3:X7,2,FALSE),"")</f>
        <v>All other areas</v>
      </c>
      <c r="D116" s="2750"/>
      <c r="E116" s="2750"/>
      <c r="F116" s="2750"/>
      <c r="G116" s="2750"/>
      <c r="H116" s="2750"/>
      <c r="I116" s="2750"/>
      <c r="J116" s="2750"/>
      <c r="K116" s="2750"/>
      <c r="L116" s="2751"/>
      <c r="M116" s="2833">
        <f>IFERROR(VLOOKUP($B116,'Lighting Assumptions'!V3:X7,3,FALSE),"")</f>
        <v>750</v>
      </c>
      <c r="N116" s="2834"/>
      <c r="O116" s="2834"/>
      <c r="P116" s="2834"/>
      <c r="Q116" s="2835"/>
      <c r="S116" s="94"/>
      <c r="T116" s="2"/>
      <c r="U116" s="2"/>
      <c r="V116" s="2"/>
      <c r="AD116" s="2278"/>
    </row>
    <row r="117" spans="1:30" ht="20.25" customHeight="1" x14ac:dyDescent="0.2">
      <c r="A117" s="675" t="s">
        <v>1298</v>
      </c>
      <c r="B117" s="39"/>
      <c r="C117" s="39"/>
      <c r="D117" s="39"/>
      <c r="E117" s="39"/>
      <c r="F117" s="39"/>
      <c r="G117" s="39"/>
      <c r="H117" s="39"/>
      <c r="I117" s="39"/>
      <c r="J117" s="37"/>
      <c r="K117" s="37"/>
      <c r="L117" s="37"/>
      <c r="S117" s="94"/>
      <c r="T117" s="2"/>
      <c r="U117" s="2"/>
      <c r="V117" s="2"/>
    </row>
    <row r="118" spans="1:30" s="25" customFormat="1" ht="26.25" customHeight="1" x14ac:dyDescent="0.2">
      <c r="A118" s="675" t="s">
        <v>1298</v>
      </c>
      <c r="B118" s="123" t="s">
        <v>113</v>
      </c>
      <c r="C118" s="33"/>
      <c r="D118" s="33"/>
      <c r="E118" s="33"/>
      <c r="F118" s="33"/>
      <c r="G118" s="33"/>
      <c r="H118" s="33"/>
      <c r="I118" s="33"/>
      <c r="J118" s="33"/>
      <c r="K118" s="33"/>
      <c r="L118" s="33"/>
      <c r="M118" s="33"/>
      <c r="S118" s="430"/>
      <c r="T118" s="118"/>
      <c r="U118" s="118"/>
      <c r="V118" s="118"/>
    </row>
    <row r="119" spans="1:30" s="25" customFormat="1" ht="21" customHeight="1" x14ac:dyDescent="0.2">
      <c r="A119" s="675" t="s">
        <v>1298</v>
      </c>
      <c r="B119" s="76" t="s">
        <v>435</v>
      </c>
      <c r="C119" s="33"/>
      <c r="D119" s="33"/>
      <c r="E119" s="33"/>
      <c r="F119" s="33"/>
      <c r="G119" s="33"/>
      <c r="H119" s="33"/>
      <c r="I119" s="33"/>
      <c r="J119" s="33"/>
      <c r="K119" s="33"/>
      <c r="L119" s="33"/>
      <c r="M119" s="33"/>
      <c r="S119" s="430"/>
      <c r="T119" s="118"/>
      <c r="U119" s="118"/>
      <c r="V119" s="118"/>
    </row>
    <row r="120" spans="1:30" ht="26.25" customHeight="1" x14ac:dyDescent="0.25">
      <c r="A120" s="675" t="s">
        <v>1298</v>
      </c>
      <c r="B120" s="2664" t="s">
        <v>305</v>
      </c>
      <c r="C120" s="2665"/>
      <c r="D120" s="2665"/>
      <c r="E120" s="2665"/>
      <c r="F120" s="2665"/>
      <c r="G120" s="2665"/>
      <c r="H120" s="2666"/>
      <c r="I120" s="2664" t="s">
        <v>347</v>
      </c>
      <c r="J120" s="2665"/>
      <c r="K120" s="2665"/>
      <c r="L120" s="2740"/>
      <c r="M120" s="2836" t="s">
        <v>348</v>
      </c>
      <c r="N120" s="2837"/>
      <c r="O120" s="2837"/>
      <c r="P120" s="2837"/>
      <c r="Q120" s="2838"/>
      <c r="S120" s="2"/>
      <c r="T120" s="2"/>
      <c r="U120" s="2"/>
      <c r="V120" s="2"/>
    </row>
    <row r="121" spans="1:30" ht="68.25" customHeight="1" x14ac:dyDescent="0.25">
      <c r="A121" s="675" t="s">
        <v>1298</v>
      </c>
      <c r="B121" s="2752" t="s">
        <v>122</v>
      </c>
      <c r="C121" s="2524"/>
      <c r="D121" s="2524"/>
      <c r="E121" s="2524"/>
      <c r="F121" s="2524" t="s">
        <v>112</v>
      </c>
      <c r="G121" s="2524"/>
      <c r="H121" s="311" t="str">
        <f>IF(SI_IP_Units="IP","Total Area 
(sq ft) 
or Length 
(ft)","Total Area 
(sq m) 
or Length 
(m)")</f>
        <v>Total Area 
(sq ft) 
or Length 
(ft)</v>
      </c>
      <c r="I121" s="746" t="s">
        <v>135</v>
      </c>
      <c r="J121" s="2524" t="s">
        <v>316</v>
      </c>
      <c r="K121" s="2524"/>
      <c r="L121" s="2757"/>
      <c r="M121" s="2737" t="s">
        <v>317</v>
      </c>
      <c r="N121" s="2738"/>
      <c r="O121" s="2738"/>
      <c r="P121" s="2738"/>
      <c r="Q121" s="2739"/>
      <c r="S121" s="2"/>
      <c r="T121" s="2"/>
      <c r="U121" s="2"/>
      <c r="V121" s="2"/>
    </row>
    <row r="122" spans="1:30" ht="63.75" x14ac:dyDescent="0.25">
      <c r="A122" s="1097" t="s">
        <v>1298</v>
      </c>
      <c r="B122" s="1896" t="s">
        <v>122</v>
      </c>
      <c r="C122" s="1223"/>
      <c r="D122" s="1223"/>
      <c r="E122" s="1223"/>
      <c r="F122" s="1223" t="s">
        <v>112</v>
      </c>
      <c r="G122" s="1223"/>
      <c r="H122" s="1223" t="str">
        <f>IF(SI_IP_Units="IP","Total Area 
(sq ft) 
or Length 
(ft)","Total Area 
(sq m) 
or Length 
(m)")</f>
        <v>Total Area 
(sq ft) 
or Length 
(ft)</v>
      </c>
      <c r="I122" s="1223" t="s">
        <v>135</v>
      </c>
      <c r="J122" s="1223" t="s">
        <v>316</v>
      </c>
      <c r="K122" s="1223"/>
      <c r="L122" s="1894"/>
      <c r="M122" s="1223" t="s">
        <v>317</v>
      </c>
      <c r="N122" s="1895"/>
      <c r="O122" s="1895"/>
      <c r="P122" s="1895"/>
      <c r="Q122" s="1897"/>
      <c r="S122" s="2"/>
      <c r="T122" s="2"/>
      <c r="U122" s="2"/>
      <c r="V122" s="2"/>
    </row>
    <row r="123" spans="1:30" ht="83.25" customHeight="1" x14ac:dyDescent="0.25">
      <c r="A123" s="1097"/>
      <c r="B123" s="1845" t="s">
        <v>1888</v>
      </c>
      <c r="C123" s="2827" t="s">
        <v>1736</v>
      </c>
      <c r="D123" s="2827"/>
      <c r="E123" s="2827"/>
      <c r="F123" s="2827"/>
      <c r="G123" s="2839"/>
      <c r="H123" s="1846" t="s">
        <v>1737</v>
      </c>
      <c r="I123" s="1846" t="s">
        <v>1738</v>
      </c>
      <c r="J123" s="2827"/>
      <c r="K123" s="2827"/>
      <c r="L123" s="2828"/>
      <c r="M123" s="2827" t="s">
        <v>1739</v>
      </c>
      <c r="N123" s="2828"/>
      <c r="O123" s="2828"/>
      <c r="P123" s="2828"/>
      <c r="Q123" s="2829"/>
      <c r="S123" s="2"/>
      <c r="T123" s="2"/>
      <c r="U123" s="2"/>
      <c r="V123" s="2"/>
    </row>
    <row r="124" spans="1:30" ht="15" hidden="1" customHeight="1" x14ac:dyDescent="0.2">
      <c r="A124" s="675" t="s">
        <v>918</v>
      </c>
      <c r="B124" s="2854"/>
      <c r="C124" s="2855"/>
      <c r="D124" s="2855"/>
      <c r="E124" s="2855"/>
      <c r="F124" s="2856" t="str">
        <f>IFERROR(VLOOKUP(B124,'Lighting Assumptions'!$I$4:$J$17,2,FALSE),"")</f>
        <v/>
      </c>
      <c r="G124" s="2856"/>
      <c r="H124" s="1843"/>
      <c r="I124" s="1844" t="str">
        <f>IFERROR(INDEX(ZoneTable,MATCH(B124,INDEX(ZoneTable,,1),0),MATCH($B$116&amp;" "&amp;SI_IP_Units,INDEX(ZoneTable,3,),0)),"")</f>
        <v/>
      </c>
      <c r="J124" s="2708" t="str">
        <f t="shared" ref="J124" si="7">IFERROR(H124*I124,"")</f>
        <v/>
      </c>
      <c r="K124" s="2709"/>
      <c r="L124" s="2710"/>
      <c r="M124" s="2824"/>
      <c r="N124" s="2825"/>
      <c r="O124" s="2825"/>
      <c r="P124" s="2825"/>
      <c r="Q124" s="2826"/>
      <c r="S124" s="2"/>
      <c r="T124" s="2"/>
      <c r="U124" s="2"/>
      <c r="V124" s="2"/>
      <c r="AD124" s="2278"/>
    </row>
    <row r="125" spans="1:30" ht="15" customHeight="1" x14ac:dyDescent="0.25">
      <c r="B125" s="2850" t="s">
        <v>97</v>
      </c>
      <c r="C125" s="2851"/>
      <c r="D125" s="2851"/>
      <c r="E125" s="2851"/>
      <c r="F125" s="2823" t="str">
        <f>IFERROR(VLOOKUP(B125,'Lighting Assumptions'!$I$4:$J$17,2,FALSE),"")</f>
        <v>Length</v>
      </c>
      <c r="G125" s="2823"/>
      <c r="H125" s="1209">
        <v>336</v>
      </c>
      <c r="I125" s="1237">
        <f>IFERROR(INDEX(ZoneTable,MATCH(B125,INDEX(ZoneTable,,1),0),MATCH($B$116&amp;" "&amp;SI_IP_Units,INDEX(ZoneTable,3,),0)),"")</f>
        <v>0.8</v>
      </c>
      <c r="J125" s="2852">
        <f t="shared" ref="J125" si="8">IFERROR(H125*I125,"")</f>
        <v>268.8</v>
      </c>
      <c r="K125" s="2852"/>
      <c r="L125" s="2853"/>
      <c r="M125" s="2916">
        <v>262</v>
      </c>
      <c r="N125" s="2917"/>
      <c r="O125" s="2917"/>
      <c r="P125" s="2917"/>
      <c r="Q125" s="2918"/>
      <c r="S125" s="2"/>
      <c r="T125" s="2"/>
      <c r="U125" s="2"/>
      <c r="V125" s="2"/>
      <c r="AD125" s="2278"/>
    </row>
    <row r="126" spans="1:30" ht="15" customHeight="1" x14ac:dyDescent="0.25">
      <c r="B126" s="2850" t="s">
        <v>102</v>
      </c>
      <c r="C126" s="2851"/>
      <c r="D126" s="2851"/>
      <c r="E126" s="2851"/>
      <c r="F126" s="2823" t="str">
        <f>IFERROR(VLOOKUP(B126,'Lighting Assumptions'!$I$4:$J$17,2,FALSE),"")</f>
        <v>Length</v>
      </c>
      <c r="G126" s="2823"/>
      <c r="H126" s="1209">
        <v>12</v>
      </c>
      <c r="I126" s="1237">
        <f>IFERROR(INDEX(ZoneTable,MATCH(B126,INDEX(ZoneTable,,1),0),MATCH($B$116&amp;" "&amp;SI_IP_Units,INDEX(ZoneTable,3,),0)),"")</f>
        <v>30</v>
      </c>
      <c r="J126" s="2852">
        <f t="shared" ref="J126:J127" si="9">IFERROR(H126*I126,"")</f>
        <v>360</v>
      </c>
      <c r="K126" s="2852"/>
      <c r="L126" s="2853"/>
      <c r="M126" s="2916">
        <v>96</v>
      </c>
      <c r="N126" s="2917"/>
      <c r="O126" s="2917"/>
      <c r="P126" s="2917"/>
      <c r="Q126" s="2918"/>
      <c r="S126" s="2"/>
      <c r="T126" s="2"/>
      <c r="U126" s="2"/>
      <c r="V126" s="2"/>
      <c r="AD126" s="2278"/>
    </row>
    <row r="127" spans="1:30" ht="15" customHeight="1" x14ac:dyDescent="0.25">
      <c r="B127" s="2860" t="s">
        <v>103</v>
      </c>
      <c r="C127" s="2861"/>
      <c r="D127" s="2861"/>
      <c r="E127" s="2861"/>
      <c r="F127" s="2905" t="str">
        <f>IFERROR(VLOOKUP(B127,'Lighting Assumptions'!$I$4:$J$17,2,FALSE),"")</f>
        <v>Length</v>
      </c>
      <c r="G127" s="2905"/>
      <c r="H127" s="1874">
        <v>12</v>
      </c>
      <c r="I127" s="1898">
        <f>IFERROR(INDEX(ZoneTable,MATCH(B127,INDEX(ZoneTable,,1),0),MATCH($B$116&amp;" "&amp;SI_IP_Units,INDEX(ZoneTable,3,),0)),"")</f>
        <v>20</v>
      </c>
      <c r="J127" s="2920">
        <f t="shared" si="9"/>
        <v>240</v>
      </c>
      <c r="K127" s="2920"/>
      <c r="L127" s="2921"/>
      <c r="M127" s="2913">
        <v>68</v>
      </c>
      <c r="N127" s="2914"/>
      <c r="O127" s="2914"/>
      <c r="P127" s="2914"/>
      <c r="Q127" s="2915"/>
      <c r="S127" s="2"/>
      <c r="T127" s="2"/>
      <c r="U127" s="2"/>
      <c r="V127" s="2"/>
      <c r="AD127" s="2278"/>
    </row>
    <row r="128" spans="1:30" ht="20.25" customHeight="1" x14ac:dyDescent="0.25">
      <c r="A128" s="675" t="s">
        <v>1298</v>
      </c>
      <c r="B128" s="2898" t="s">
        <v>315</v>
      </c>
      <c r="C128" s="2899"/>
      <c r="D128" s="2899"/>
      <c r="E128" s="2899"/>
      <c r="F128" s="2899"/>
      <c r="G128" s="2899"/>
      <c r="H128" s="2899"/>
      <c r="I128" s="2899"/>
      <c r="J128" s="2900">
        <f>IFERROR(SUM(J124:J127),"")</f>
        <v>868.8</v>
      </c>
      <c r="K128" s="2900"/>
      <c r="L128" s="2901"/>
      <c r="M128" s="2900">
        <f>IFERROR(SUM(M124:M127),"")</f>
        <v>426</v>
      </c>
      <c r="N128" s="2901"/>
      <c r="O128" s="2901"/>
      <c r="P128" s="2901"/>
      <c r="Q128" s="2902"/>
      <c r="S128" s="2"/>
      <c r="T128" s="2"/>
      <c r="U128" s="2"/>
      <c r="V128" s="2"/>
      <c r="AD128" s="2278"/>
    </row>
    <row r="129" spans="1:30" ht="39" customHeight="1" x14ac:dyDescent="0.2">
      <c r="A129" s="675" t="s">
        <v>1298</v>
      </c>
      <c r="S129" s="94"/>
      <c r="T129" s="2"/>
      <c r="U129" s="2"/>
      <c r="V129" s="2"/>
    </row>
    <row r="130" spans="1:30" ht="20.25" customHeight="1" x14ac:dyDescent="0.2">
      <c r="A130" s="675" t="s">
        <v>1298</v>
      </c>
      <c r="B130" s="59"/>
      <c r="C130" s="59"/>
      <c r="D130" s="59"/>
      <c r="E130" s="59"/>
      <c r="F130" s="59"/>
      <c r="G130" s="59"/>
      <c r="H130" s="59"/>
      <c r="I130" s="59"/>
      <c r="J130" s="58"/>
      <c r="K130" s="58"/>
      <c r="L130" s="58"/>
      <c r="S130" s="94"/>
      <c r="T130" s="2"/>
      <c r="U130" s="2"/>
      <c r="V130" s="2"/>
    </row>
    <row r="131" spans="1:30" s="25" customFormat="1" ht="26.25" customHeight="1" x14ac:dyDescent="0.2">
      <c r="A131" s="675" t="s">
        <v>1298</v>
      </c>
      <c r="B131" s="123" t="s">
        <v>114</v>
      </c>
      <c r="C131" s="33"/>
      <c r="D131" s="33"/>
      <c r="E131" s="33"/>
      <c r="F131" s="33"/>
      <c r="G131" s="33"/>
      <c r="H131" s="33"/>
      <c r="I131" s="33"/>
      <c r="J131" s="33"/>
      <c r="K131" s="33"/>
      <c r="L131" s="33"/>
      <c r="M131" s="33"/>
      <c r="S131" s="430"/>
      <c r="T131" s="118"/>
      <c r="U131" s="118"/>
      <c r="V131" s="118"/>
    </row>
    <row r="132" spans="1:30" s="25" customFormat="1" ht="21" customHeight="1" x14ac:dyDescent="0.2">
      <c r="A132" s="675" t="s">
        <v>1298</v>
      </c>
      <c r="B132" s="76" t="s">
        <v>436</v>
      </c>
      <c r="C132" s="33"/>
      <c r="D132" s="33"/>
      <c r="E132" s="33"/>
      <c r="F132" s="33"/>
      <c r="G132" s="33"/>
      <c r="H132" s="33"/>
      <c r="I132" s="33"/>
      <c r="J132" s="33"/>
      <c r="K132" s="33"/>
      <c r="L132" s="33"/>
      <c r="M132" s="33"/>
      <c r="S132" s="430"/>
      <c r="T132" s="118"/>
      <c r="U132" s="118"/>
      <c r="V132" s="118"/>
    </row>
    <row r="133" spans="1:30" ht="26.25" customHeight="1" x14ac:dyDescent="0.25">
      <c r="A133" s="675" t="s">
        <v>1298</v>
      </c>
      <c r="B133" s="2664" t="s">
        <v>305</v>
      </c>
      <c r="C133" s="2665"/>
      <c r="D133" s="2665"/>
      <c r="E133" s="2665"/>
      <c r="F133" s="2665"/>
      <c r="G133" s="2665"/>
      <c r="H133" s="2666"/>
      <c r="I133" s="2664" t="s">
        <v>347</v>
      </c>
      <c r="J133" s="2665"/>
      <c r="K133" s="2665"/>
      <c r="L133" s="2740"/>
      <c r="M133" s="2836" t="s">
        <v>348</v>
      </c>
      <c r="N133" s="2837"/>
      <c r="O133" s="2837"/>
      <c r="P133" s="2837"/>
      <c r="Q133" s="2838"/>
      <c r="S133" s="2"/>
      <c r="T133" s="2"/>
      <c r="U133" s="2"/>
      <c r="V133" s="2"/>
    </row>
    <row r="134" spans="1:30" ht="66" customHeight="1" x14ac:dyDescent="0.25">
      <c r="A134" s="675" t="s">
        <v>1298</v>
      </c>
      <c r="B134" s="2752" t="s">
        <v>123</v>
      </c>
      <c r="C134" s="2524"/>
      <c r="D134" s="2524"/>
      <c r="E134" s="2524"/>
      <c r="F134" s="2524" t="s">
        <v>115</v>
      </c>
      <c r="G134" s="2524"/>
      <c r="H134" s="311" t="s">
        <v>118</v>
      </c>
      <c r="I134" s="746" t="s">
        <v>135</v>
      </c>
      <c r="J134" s="2524" t="s">
        <v>316</v>
      </c>
      <c r="K134" s="2524"/>
      <c r="L134" s="2757"/>
      <c r="M134" s="2737" t="s">
        <v>317</v>
      </c>
      <c r="N134" s="2738"/>
      <c r="O134" s="2738"/>
      <c r="P134" s="2738"/>
      <c r="Q134" s="2739"/>
      <c r="S134" s="2"/>
      <c r="T134" s="2"/>
      <c r="U134" s="2"/>
      <c r="V134" s="2"/>
      <c r="W134" s="1532" t="s">
        <v>1203</v>
      </c>
      <c r="X134" s="1532" t="s">
        <v>348</v>
      </c>
    </row>
    <row r="135" spans="1:30" ht="49.5" customHeight="1" x14ac:dyDescent="0.25">
      <c r="A135" s="1097"/>
      <c r="B135" s="1845" t="s">
        <v>1888</v>
      </c>
      <c r="C135" s="2827" t="s">
        <v>1740</v>
      </c>
      <c r="D135" s="2827"/>
      <c r="E135" s="2827"/>
      <c r="F135" s="2827"/>
      <c r="G135" s="2827"/>
      <c r="H135" s="2827"/>
      <c r="I135" s="2827" t="s">
        <v>1741</v>
      </c>
      <c r="J135" s="2827"/>
      <c r="K135" s="2827"/>
      <c r="L135" s="2828"/>
      <c r="M135" s="2827" t="s">
        <v>1739</v>
      </c>
      <c r="N135" s="2828"/>
      <c r="O135" s="2828"/>
      <c r="P135" s="2828"/>
      <c r="Q135" s="2829"/>
      <c r="S135" s="2"/>
      <c r="T135" s="2"/>
      <c r="U135" s="2"/>
      <c r="V135" s="2"/>
      <c r="W135" s="434"/>
      <c r="X135" s="434"/>
    </row>
    <row r="136" spans="1:30" ht="49.5" hidden="1" customHeight="1" x14ac:dyDescent="0.25">
      <c r="A136" s="1097"/>
      <c r="B136" s="1848" t="s">
        <v>1865</v>
      </c>
      <c r="C136" s="1842"/>
      <c r="D136" s="1842"/>
      <c r="E136" s="1842"/>
      <c r="F136" s="1842" t="str">
        <f>F134</f>
        <v>Required Input</v>
      </c>
      <c r="G136" s="1842"/>
      <c r="H136" s="1842" t="str">
        <f>H134</f>
        <v>Quantity of Required Input for Project</v>
      </c>
      <c r="I136" s="1842" t="str">
        <f>I134</f>
        <v>Allowed LPD</v>
      </c>
      <c r="J136" s="1842" t="str">
        <f>J134</f>
        <v>Lighting Power Allowance 
(W)</v>
      </c>
      <c r="K136" s="1842"/>
      <c r="L136" s="1836"/>
      <c r="M136" s="1842" t="str">
        <f>M134</f>
        <v>Design Lighting Power 
(W)</v>
      </c>
      <c r="N136" s="1836"/>
      <c r="O136" s="1836"/>
      <c r="P136" s="1836"/>
      <c r="Q136" s="1849"/>
      <c r="S136" s="2"/>
      <c r="T136" s="2"/>
      <c r="U136" s="2"/>
      <c r="V136" s="2"/>
      <c r="W136" s="434"/>
      <c r="X136" s="434"/>
    </row>
    <row r="137" spans="1:30" ht="21" customHeight="1" x14ac:dyDescent="0.25">
      <c r="A137" s="675" t="s">
        <v>1298</v>
      </c>
      <c r="B137" s="2882" t="s">
        <v>105</v>
      </c>
      <c r="C137" s="2883"/>
      <c r="D137" s="2883"/>
      <c r="E137" s="2883"/>
      <c r="F137" s="2884" t="s">
        <v>110</v>
      </c>
      <c r="G137" s="2884"/>
      <c r="H137" s="1209"/>
      <c r="I137" s="1222">
        <f>IF(SI_IP_Units="IP",
IF(ISBLANK(F137),0,IF(OR(B116="Zone 0",B116="Zone 1"),0,IF(B116="Zone 2",IF(F137="Area",0.1,2.5),IF(B116="Zone 3",IF(F137="Area",0.15,3.75),IF(B116="Zone 4",IF(F137="Area",0.2,5),""))))),IF(ISBLANK(F137),0,IF(OR(B116="Zone 0",B116="Zone 1"),0,IF(B116="Zone 2",IF(F137="Area",1.1,6),IF(B116="Zone 3",IF(F137="Area",1.6,12.3),IF(B116="Zone 4",IF(F137="Area",2.2,16.4),"")))))
)</f>
        <v>0.15</v>
      </c>
      <c r="J137" s="2892">
        <f>IFERROR(H137*I137,"")</f>
        <v>0</v>
      </c>
      <c r="K137" s="2892"/>
      <c r="L137" s="2724"/>
      <c r="M137" s="2886"/>
      <c r="N137" s="2744"/>
      <c r="O137" s="2744"/>
      <c r="P137" s="2744"/>
      <c r="Q137" s="2849"/>
      <c r="S137" s="94"/>
      <c r="T137" s="2"/>
      <c r="U137" s="2"/>
      <c r="V137" s="2"/>
      <c r="W137" s="1533">
        <f t="shared" ref="W137:W142" si="10">IF(ISERROR(1/M137),0,MIN(J137,M137))</f>
        <v>0</v>
      </c>
      <c r="X137" s="1534">
        <f t="shared" ref="X137:X142" si="11">M137</f>
        <v>0</v>
      </c>
      <c r="Y137" s="1535" t="b">
        <f t="shared" ref="Y137:Y142" si="12">IF(M137&gt;J137,TRUE,FALSE)</f>
        <v>0</v>
      </c>
      <c r="AD137" s="2278"/>
    </row>
    <row r="138" spans="1:30" ht="33" customHeight="1" x14ac:dyDescent="0.25">
      <c r="A138" s="675" t="s">
        <v>1298</v>
      </c>
      <c r="B138" s="2882" t="s">
        <v>126</v>
      </c>
      <c r="C138" s="2883"/>
      <c r="D138" s="2883"/>
      <c r="E138" s="2883"/>
      <c r="F138" s="2881" t="s">
        <v>117</v>
      </c>
      <c r="G138" s="2881"/>
      <c r="H138" s="1209"/>
      <c r="I138" s="1222" t="s">
        <v>319</v>
      </c>
      <c r="J138" s="2892" t="str">
        <f>IFERROR(IF(H138&gt;0,IF(H138=1,270,(270+(H138-1)*90)),""),"")</f>
        <v/>
      </c>
      <c r="K138" s="2892"/>
      <c r="L138" s="2724"/>
      <c r="M138" s="2886"/>
      <c r="N138" s="2744"/>
      <c r="O138" s="2744"/>
      <c r="P138" s="2744"/>
      <c r="Q138" s="2849"/>
      <c r="S138" s="94"/>
      <c r="T138" s="2"/>
      <c r="U138" s="2"/>
      <c r="V138" s="2"/>
      <c r="W138" s="1533">
        <f t="shared" si="10"/>
        <v>0</v>
      </c>
      <c r="X138" s="1534">
        <f t="shared" si="11"/>
        <v>0</v>
      </c>
      <c r="Y138" s="1535" t="b">
        <f t="shared" si="12"/>
        <v>0</v>
      </c>
      <c r="AD138" s="2278"/>
    </row>
    <row r="139" spans="1:30" ht="21" customHeight="1" x14ac:dyDescent="0.25">
      <c r="A139" s="675" t="s">
        <v>1298</v>
      </c>
      <c r="B139" s="2882" t="s">
        <v>106</v>
      </c>
      <c r="C139" s="2883"/>
      <c r="D139" s="2883"/>
      <c r="E139" s="2883"/>
      <c r="F139" s="2881" t="s">
        <v>116</v>
      </c>
      <c r="G139" s="2881"/>
      <c r="H139" s="1209"/>
      <c r="I139" s="1222">
        <f>IF(SI_IP_Units="IP",0.75,8.1)</f>
        <v>0.75</v>
      </c>
      <c r="J139" s="2892">
        <f>IFERROR(H139*I139,"")</f>
        <v>0</v>
      </c>
      <c r="K139" s="2892"/>
      <c r="L139" s="2724"/>
      <c r="M139" s="2886"/>
      <c r="N139" s="2744"/>
      <c r="O139" s="2744"/>
      <c r="P139" s="2744"/>
      <c r="Q139" s="2849"/>
      <c r="S139" s="94"/>
      <c r="T139" s="2"/>
      <c r="U139" s="2"/>
      <c r="V139" s="2"/>
      <c r="W139" s="1533">
        <f t="shared" si="10"/>
        <v>0</v>
      </c>
      <c r="X139" s="1534">
        <f t="shared" si="11"/>
        <v>0</v>
      </c>
      <c r="Y139" s="1535" t="b">
        <f t="shared" si="12"/>
        <v>0</v>
      </c>
      <c r="AD139" s="2278"/>
    </row>
    <row r="140" spans="1:30" ht="33" customHeight="1" x14ac:dyDescent="0.25">
      <c r="A140" s="675" t="s">
        <v>1298</v>
      </c>
      <c r="B140" s="2882" t="s">
        <v>107</v>
      </c>
      <c r="C140" s="2883"/>
      <c r="D140" s="2883"/>
      <c r="E140" s="2883"/>
      <c r="F140" s="2881" t="s">
        <v>116</v>
      </c>
      <c r="G140" s="2881"/>
      <c r="H140" s="1209"/>
      <c r="I140" s="1238">
        <f>IF(SI_IP_Units="IP",0.5,5.4)</f>
        <v>0.5</v>
      </c>
      <c r="J140" s="2892">
        <f>IFERROR(H140*I140,"")</f>
        <v>0</v>
      </c>
      <c r="K140" s="2892"/>
      <c r="L140" s="2724"/>
      <c r="M140" s="2886"/>
      <c r="N140" s="2744"/>
      <c r="O140" s="2744"/>
      <c r="P140" s="2744"/>
      <c r="Q140" s="2849"/>
      <c r="S140" s="94"/>
      <c r="T140" s="2"/>
      <c r="U140" s="2"/>
      <c r="V140" s="2"/>
      <c r="W140" s="1533">
        <f t="shared" si="10"/>
        <v>0</v>
      </c>
      <c r="X140" s="1534">
        <f t="shared" si="11"/>
        <v>0</v>
      </c>
      <c r="Y140" s="1535" t="b">
        <f t="shared" si="12"/>
        <v>0</v>
      </c>
      <c r="AD140" s="2278"/>
    </row>
    <row r="141" spans="1:30" ht="21" customHeight="1" x14ac:dyDescent="0.25">
      <c r="A141" s="675" t="s">
        <v>1298</v>
      </c>
      <c r="B141" s="2882" t="s">
        <v>108</v>
      </c>
      <c r="C141" s="2883"/>
      <c r="D141" s="2883"/>
      <c r="E141" s="2883"/>
      <c r="F141" s="2881" t="s">
        <v>119</v>
      </c>
      <c r="G141" s="2881"/>
      <c r="H141" s="1209"/>
      <c r="I141" s="1239">
        <v>400</v>
      </c>
      <c r="J141" s="2892">
        <f>IFERROR(H141*I141,"")</f>
        <v>0</v>
      </c>
      <c r="K141" s="2892"/>
      <c r="L141" s="2724"/>
      <c r="M141" s="2886"/>
      <c r="N141" s="2744"/>
      <c r="O141" s="2744"/>
      <c r="P141" s="2744"/>
      <c r="Q141" s="2849"/>
      <c r="S141" s="94"/>
      <c r="T141" s="2"/>
      <c r="U141" s="2"/>
      <c r="V141" s="2"/>
      <c r="W141" s="1533">
        <f t="shared" si="10"/>
        <v>0</v>
      </c>
      <c r="X141" s="1534">
        <f t="shared" si="11"/>
        <v>0</v>
      </c>
      <c r="Y141" s="1535" t="b">
        <f t="shared" si="12"/>
        <v>0</v>
      </c>
      <c r="AD141" s="2278"/>
    </row>
    <row r="142" spans="1:30" ht="21" customHeight="1" x14ac:dyDescent="0.25">
      <c r="A142" s="675" t="s">
        <v>1298</v>
      </c>
      <c r="B142" s="2894" t="s">
        <v>109</v>
      </c>
      <c r="C142" s="2895"/>
      <c r="D142" s="2895"/>
      <c r="E142" s="2895"/>
      <c r="F142" s="2896" t="s">
        <v>120</v>
      </c>
      <c r="G142" s="2896"/>
      <c r="H142" s="1874"/>
      <c r="I142" s="1903">
        <v>800</v>
      </c>
      <c r="J142" s="2893">
        <f>IFERROR(H142*I142,"")</f>
        <v>0</v>
      </c>
      <c r="K142" s="2893"/>
      <c r="L142" s="2779"/>
      <c r="M142" s="2897"/>
      <c r="N142" s="2716"/>
      <c r="O142" s="2716"/>
      <c r="P142" s="2716"/>
      <c r="Q142" s="2717"/>
      <c r="S142" s="94"/>
      <c r="T142" s="2"/>
      <c r="U142" s="2"/>
      <c r="V142" s="2"/>
      <c r="W142" s="1533">
        <f t="shared" si="10"/>
        <v>0</v>
      </c>
      <c r="X142" s="1534">
        <f t="shared" si="11"/>
        <v>0</v>
      </c>
      <c r="Y142" s="1535" t="b">
        <f t="shared" si="12"/>
        <v>0</v>
      </c>
      <c r="AD142" s="2278"/>
    </row>
    <row r="143" spans="1:30" ht="20.25" customHeight="1" x14ac:dyDescent="0.25">
      <c r="A143" s="675" t="s">
        <v>1298</v>
      </c>
      <c r="B143" s="2888" t="s">
        <v>320</v>
      </c>
      <c r="C143" s="2889"/>
      <c r="D143" s="2889"/>
      <c r="E143" s="2889"/>
      <c r="F143" s="2889"/>
      <c r="G143" s="2889"/>
      <c r="H143" s="2889"/>
      <c r="I143" s="2889"/>
      <c r="J143" s="2885">
        <f>IFERROR(SUM(W137:W142),"")</f>
        <v>0</v>
      </c>
      <c r="K143" s="2885"/>
      <c r="L143" s="2719"/>
      <c r="M143" s="2891">
        <f>IFERROR(SUM(M137:M142),"")</f>
        <v>0</v>
      </c>
      <c r="N143" s="2719"/>
      <c r="O143" s="2719"/>
      <c r="P143" s="2719"/>
      <c r="Q143" s="2720"/>
      <c r="S143" s="2"/>
      <c r="T143" s="2"/>
      <c r="U143" s="2"/>
      <c r="V143" s="2"/>
      <c r="W143" s="1536">
        <f>SUM(W137:W142)+$M$116</f>
        <v>750</v>
      </c>
      <c r="X143" s="1537">
        <f>SUM(X137:X142)</f>
        <v>0</v>
      </c>
      <c r="Y143" s="1538" t="b">
        <f>IF(X143&gt;W143,TRUE,FALSE)</f>
        <v>0</v>
      </c>
      <c r="Z143" s="1532" t="s">
        <v>1204</v>
      </c>
      <c r="AD143" s="2278"/>
    </row>
    <row r="144" spans="1:30" ht="20.25" customHeight="1" x14ac:dyDescent="0.2">
      <c r="A144" s="675" t="s">
        <v>1298</v>
      </c>
      <c r="B144" s="59"/>
      <c r="C144" s="59"/>
      <c r="D144" s="59"/>
      <c r="E144" s="59"/>
      <c r="F144" s="59"/>
      <c r="G144" s="59"/>
      <c r="H144" s="59"/>
      <c r="I144" s="59"/>
      <c r="J144" s="58"/>
      <c r="K144" s="58"/>
      <c r="L144" s="58"/>
      <c r="S144" s="94"/>
      <c r="T144" s="2"/>
      <c r="U144" s="2"/>
      <c r="V144" s="2"/>
    </row>
    <row r="145" spans="1:30" s="25" customFormat="1" ht="26.25" customHeight="1" x14ac:dyDescent="0.2">
      <c r="A145" s="675" t="s">
        <v>1298</v>
      </c>
      <c r="B145" s="123" t="s">
        <v>321</v>
      </c>
      <c r="C145" s="33"/>
      <c r="D145" s="33"/>
      <c r="E145" s="33"/>
      <c r="F145" s="33"/>
      <c r="G145" s="33"/>
      <c r="H145" s="33"/>
      <c r="I145" s="33"/>
      <c r="J145" s="33"/>
      <c r="K145" s="33"/>
      <c r="L145" s="33"/>
      <c r="M145" s="33"/>
      <c r="S145" s="430"/>
      <c r="T145" s="118"/>
      <c r="U145" s="118"/>
      <c r="V145" s="118"/>
    </row>
    <row r="146" spans="1:30" ht="26.25" customHeight="1" x14ac:dyDescent="0.25">
      <c r="A146" s="675" t="s">
        <v>1298</v>
      </c>
      <c r="B146" s="2890" t="s">
        <v>121</v>
      </c>
      <c r="C146" s="2877"/>
      <c r="D146" s="2877"/>
      <c r="E146" s="2877"/>
      <c r="F146" s="2877"/>
      <c r="G146" s="2877"/>
      <c r="H146" s="2877"/>
      <c r="I146" s="2877"/>
      <c r="J146" s="2877" t="s">
        <v>347</v>
      </c>
      <c r="K146" s="2877"/>
      <c r="L146" s="2719"/>
      <c r="M146" s="2877" t="s">
        <v>348</v>
      </c>
      <c r="N146" s="2719"/>
      <c r="O146" s="2719"/>
      <c r="P146" s="2719"/>
      <c r="Q146" s="2720"/>
      <c r="S146" s="94"/>
      <c r="T146" s="2"/>
      <c r="U146" s="2"/>
      <c r="V146" s="2"/>
    </row>
    <row r="147" spans="1:30" ht="26.25" hidden="1" customHeight="1" x14ac:dyDescent="0.25">
      <c r="A147" s="1097"/>
      <c r="B147" s="1906" t="s">
        <v>1865</v>
      </c>
      <c r="C147" s="1904"/>
      <c r="D147" s="1904"/>
      <c r="E147" s="1904"/>
      <c r="F147" s="1904"/>
      <c r="G147" s="1904"/>
      <c r="H147" s="1904"/>
      <c r="I147" s="1904"/>
      <c r="J147" s="1904" t="s">
        <v>1554</v>
      </c>
      <c r="K147" s="1904"/>
      <c r="L147" s="1905"/>
      <c r="M147" s="1904" t="s">
        <v>1866</v>
      </c>
      <c r="N147" s="1905"/>
      <c r="O147" s="1905"/>
      <c r="P147" s="1905"/>
      <c r="Q147" s="1907"/>
      <c r="S147" s="94"/>
      <c r="T147" s="2"/>
      <c r="U147" s="2"/>
      <c r="V147" s="2"/>
    </row>
    <row r="148" spans="1:30" ht="21" customHeight="1" x14ac:dyDescent="0.25">
      <c r="A148" s="675" t="s">
        <v>1298</v>
      </c>
      <c r="B148" s="2862" t="s">
        <v>1109</v>
      </c>
      <c r="C148" s="2863"/>
      <c r="D148" s="2863"/>
      <c r="E148" s="2863"/>
      <c r="F148" s="2863"/>
      <c r="G148" s="2863"/>
      <c r="H148" s="2863"/>
      <c r="I148" s="2863"/>
      <c r="J148" s="2878">
        <f>IFERROR(($J$128+$J$143+$M$116)/1000,0)</f>
        <v>1.6188</v>
      </c>
      <c r="K148" s="2878"/>
      <c r="L148" s="2879"/>
      <c r="M148" s="2878">
        <f>IFERROR(($M$128+$M$143)/1000,0)</f>
        <v>0.42599999999999999</v>
      </c>
      <c r="N148" s="2879"/>
      <c r="O148" s="2879"/>
      <c r="P148" s="2879"/>
      <c r="Q148" s="2880"/>
      <c r="S148" s="94"/>
      <c r="T148" s="2"/>
      <c r="U148" s="2"/>
      <c r="V148" s="2"/>
      <c r="Y148" s="1539" t="b">
        <f>IF(M148&gt;J148,TRUE,FALSE)</f>
        <v>0</v>
      </c>
      <c r="AD148" s="2281"/>
    </row>
    <row r="149" spans="1:30" ht="48.75" customHeight="1" x14ac:dyDescent="0.2">
      <c r="A149" s="675" t="s">
        <v>1298</v>
      </c>
      <c r="S149" s="94"/>
      <c r="T149" s="2"/>
      <c r="U149" s="2"/>
      <c r="V149" s="2"/>
    </row>
    <row r="150" spans="1:30" s="25" customFormat="1" ht="39.950000000000003" customHeight="1" x14ac:dyDescent="0.2">
      <c r="A150" s="675" t="s">
        <v>1298</v>
      </c>
      <c r="B150" s="2887" t="s">
        <v>23</v>
      </c>
      <c r="C150" s="2887"/>
      <c r="D150" s="2887"/>
      <c r="E150" s="2887"/>
      <c r="F150" s="2887"/>
      <c r="G150" s="2887"/>
      <c r="H150" s="2887"/>
      <c r="I150" s="2887"/>
      <c r="J150" s="2887"/>
      <c r="K150" s="2887"/>
      <c r="L150" s="2887"/>
      <c r="M150" s="27"/>
      <c r="S150" s="430"/>
      <c r="T150" s="118"/>
      <c r="U150" s="118"/>
      <c r="V150" s="118"/>
    </row>
    <row r="151" spans="1:30" s="25" customFormat="1" ht="21" customHeight="1" x14ac:dyDescent="0.2">
      <c r="A151" s="675" t="s">
        <v>1298</v>
      </c>
      <c r="B151" s="2602"/>
      <c r="C151" s="2603"/>
      <c r="D151" s="2603"/>
      <c r="E151" s="2603"/>
      <c r="F151" s="2603"/>
      <c r="G151" s="2603"/>
      <c r="H151" s="2603"/>
      <c r="I151" s="2603"/>
      <c r="J151" s="2603"/>
      <c r="K151" s="2603"/>
      <c r="L151" s="2603"/>
      <c r="M151" s="2875"/>
      <c r="N151" s="2875"/>
      <c r="O151" s="2875"/>
      <c r="P151" s="2875"/>
      <c r="Q151" s="2876"/>
      <c r="S151" s="430"/>
      <c r="T151" s="118"/>
      <c r="U151" s="118"/>
      <c r="V151" s="118"/>
      <c r="AD151" s="2279"/>
    </row>
  </sheetData>
  <sheetProtection algorithmName="SHA-512" hashValue="dpAVp3qgXjrPThBJCbDv0KH7emTTAA9yZWVdB3DzJ1+bm9jE+OJEFisvW+5lQvsBsgfDDjzc4IVZQ+G3GcMHBg==" saltValue="G5lSCcvr/kKfDXSdZQwuMg==" spinCount="100000" sheet="1" objects="1" scenarios="1"/>
  <customSheetViews>
    <customSheetView guid="{75D6F8CE-A4F4-4FDD-BA92-7996F9E19FA9}" scale="90" showGridLines="0" hiddenRows="1">
      <selection activeCell="N112" sqref="N112"/>
      <pageMargins left="0.25" right="0.25" top="0.75" bottom="0.75" header="0.3" footer="0.3"/>
      <pageSetup scale="75" orientation="portrait" verticalDpi="1200" r:id="rId1"/>
    </customSheetView>
  </customSheetViews>
  <mergeCells count="242">
    <mergeCell ref="B95:F96"/>
    <mergeCell ref="G96:I96"/>
    <mergeCell ref="F127:G127"/>
    <mergeCell ref="L95:Q95"/>
    <mergeCell ref="L98:N98"/>
    <mergeCell ref="O98:Q98"/>
    <mergeCell ref="G98:I98"/>
    <mergeCell ref="L101:N101"/>
    <mergeCell ref="O105:Q105"/>
    <mergeCell ref="C102:F102"/>
    <mergeCell ref="O102:Q102"/>
    <mergeCell ref="M127:Q127"/>
    <mergeCell ref="M125:Q125"/>
    <mergeCell ref="M126:Q126"/>
    <mergeCell ref="F126:G126"/>
    <mergeCell ref="G105:K105"/>
    <mergeCell ref="G106:K106"/>
    <mergeCell ref="G104:K104"/>
    <mergeCell ref="C106:F106"/>
    <mergeCell ref="G102:K102"/>
    <mergeCell ref="J123:L123"/>
    <mergeCell ref="J125:L125"/>
    <mergeCell ref="J121:L121"/>
    <mergeCell ref="J127:L127"/>
    <mergeCell ref="J141:L141"/>
    <mergeCell ref="J142:L142"/>
    <mergeCell ref="F141:G141"/>
    <mergeCell ref="B142:E142"/>
    <mergeCell ref="F142:G142"/>
    <mergeCell ref="B141:E141"/>
    <mergeCell ref="M142:Q142"/>
    <mergeCell ref="B133:H133"/>
    <mergeCell ref="B128:I128"/>
    <mergeCell ref="J138:L138"/>
    <mergeCell ref="J128:L128"/>
    <mergeCell ref="M135:Q135"/>
    <mergeCell ref="I135:L135"/>
    <mergeCell ref="M133:Q133"/>
    <mergeCell ref="M134:Q134"/>
    <mergeCell ref="M128:Q128"/>
    <mergeCell ref="J139:L139"/>
    <mergeCell ref="J140:L140"/>
    <mergeCell ref="C135:E135"/>
    <mergeCell ref="I133:L133"/>
    <mergeCell ref="J134:L134"/>
    <mergeCell ref="F135:H135"/>
    <mergeCell ref="B134:E134"/>
    <mergeCell ref="F134:G134"/>
    <mergeCell ref="B151:Q151"/>
    <mergeCell ref="J146:L146"/>
    <mergeCell ref="J148:L148"/>
    <mergeCell ref="M146:Q146"/>
    <mergeCell ref="M148:Q148"/>
    <mergeCell ref="F138:G138"/>
    <mergeCell ref="F139:G139"/>
    <mergeCell ref="F140:G140"/>
    <mergeCell ref="B137:E137"/>
    <mergeCell ref="B138:E138"/>
    <mergeCell ref="F137:G137"/>
    <mergeCell ref="B139:E139"/>
    <mergeCell ref="B140:E140"/>
    <mergeCell ref="J143:L143"/>
    <mergeCell ref="M137:Q137"/>
    <mergeCell ref="M138:Q138"/>
    <mergeCell ref="M139:Q139"/>
    <mergeCell ref="M140:Q140"/>
    <mergeCell ref="M141:Q141"/>
    <mergeCell ref="B150:L150"/>
    <mergeCell ref="B143:I143"/>
    <mergeCell ref="B146:I146"/>
    <mergeCell ref="M143:Q143"/>
    <mergeCell ref="J137:L137"/>
    <mergeCell ref="B148:I148"/>
    <mergeCell ref="B6:Q6"/>
    <mergeCell ref="B21:Q21"/>
    <mergeCell ref="B20:Q20"/>
    <mergeCell ref="O24:Q24"/>
    <mergeCell ref="C30:D30"/>
    <mergeCell ref="F30:G30"/>
    <mergeCell ref="J30:K30"/>
    <mergeCell ref="B55:D55"/>
    <mergeCell ref="F55:L55"/>
    <mergeCell ref="B24:N24"/>
    <mergeCell ref="B46:Q46"/>
    <mergeCell ref="L30:Q30"/>
    <mergeCell ref="L32:Q32"/>
    <mergeCell ref="L33:Q33"/>
    <mergeCell ref="L34:Q34"/>
    <mergeCell ref="B40:B41"/>
    <mergeCell ref="P8:Q8"/>
    <mergeCell ref="P10:Q10"/>
    <mergeCell ref="P12:Q12"/>
    <mergeCell ref="P14:Q14"/>
    <mergeCell ref="P16:Q16"/>
    <mergeCell ref="P18:Q18"/>
    <mergeCell ref="B8:O8"/>
    <mergeCell ref="B126:E126"/>
    <mergeCell ref="J126:L126"/>
    <mergeCell ref="B125:E125"/>
    <mergeCell ref="C123:E123"/>
    <mergeCell ref="B124:E124"/>
    <mergeCell ref="F124:G124"/>
    <mergeCell ref="B111:O111"/>
    <mergeCell ref="B109:Q109"/>
    <mergeCell ref="B127:E127"/>
    <mergeCell ref="B10:O10"/>
    <mergeCell ref="F125:G125"/>
    <mergeCell ref="L67:N67"/>
    <mergeCell ref="G67:I67"/>
    <mergeCell ref="O69:Q69"/>
    <mergeCell ref="C81:D81"/>
    <mergeCell ref="M124:Q124"/>
    <mergeCell ref="M123:Q123"/>
    <mergeCell ref="P111:Q111"/>
    <mergeCell ref="I79:Q79"/>
    <mergeCell ref="C79:D79"/>
    <mergeCell ref="M114:Q114"/>
    <mergeCell ref="M116:Q116"/>
    <mergeCell ref="M120:Q120"/>
    <mergeCell ref="F123:G123"/>
    <mergeCell ref="L102:N102"/>
    <mergeCell ref="C101:F101"/>
    <mergeCell ref="G101:K101"/>
    <mergeCell ref="G90:K90"/>
    <mergeCell ref="P83:Q83"/>
    <mergeCell ref="I78:Q78"/>
    <mergeCell ref="B82:D82"/>
    <mergeCell ref="I82:Q82"/>
    <mergeCell ref="O104:Q104"/>
    <mergeCell ref="G62:H62"/>
    <mergeCell ref="F53:F54"/>
    <mergeCell ref="C53:C54"/>
    <mergeCell ref="M53:M54"/>
    <mergeCell ref="G61:H61"/>
    <mergeCell ref="G58:H58"/>
    <mergeCell ref="G57:H57"/>
    <mergeCell ref="G56:H56"/>
    <mergeCell ref="O67:Q67"/>
    <mergeCell ref="M55:Q55"/>
    <mergeCell ref="N53:N54"/>
    <mergeCell ref="O53:P53"/>
    <mergeCell ref="Q53:Q54"/>
    <mergeCell ref="G60:H60"/>
    <mergeCell ref="C66:F67"/>
    <mergeCell ref="D53:D54"/>
    <mergeCell ref="B63:C63"/>
    <mergeCell ref="B66:B67"/>
    <mergeCell ref="B53:B54"/>
    <mergeCell ref="G59:H59"/>
    <mergeCell ref="F74:G74"/>
    <mergeCell ref="G92:H92"/>
    <mergeCell ref="B84:O84"/>
    <mergeCell ref="J69:K69"/>
    <mergeCell ref="P85:Q85"/>
    <mergeCell ref="B85:O85"/>
    <mergeCell ref="G88:K88"/>
    <mergeCell ref="L88:Q88"/>
    <mergeCell ref="C88:F88"/>
    <mergeCell ref="I76:Q76"/>
    <mergeCell ref="I80:Q80"/>
    <mergeCell ref="C76:D76"/>
    <mergeCell ref="I77:Q77"/>
    <mergeCell ref="P84:Q84"/>
    <mergeCell ref="C78:D78"/>
    <mergeCell ref="C77:D77"/>
    <mergeCell ref="I81:Q81"/>
    <mergeCell ref="C69:F69"/>
    <mergeCell ref="G69:I69"/>
    <mergeCell ref="I74:Q74"/>
    <mergeCell ref="L69:N69"/>
    <mergeCell ref="B12:O12"/>
    <mergeCell ref="B14:O14"/>
    <mergeCell ref="B16:O16"/>
    <mergeCell ref="B18:O18"/>
    <mergeCell ref="F36:G36"/>
    <mergeCell ref="L41:N41"/>
    <mergeCell ref="J43:K43"/>
    <mergeCell ref="J67:K67"/>
    <mergeCell ref="I72:Q73"/>
    <mergeCell ref="G41:I41"/>
    <mergeCell ref="G40:K40"/>
    <mergeCell ref="F52:L52"/>
    <mergeCell ref="G54:H54"/>
    <mergeCell ref="B72:B73"/>
    <mergeCell ref="F72:G72"/>
    <mergeCell ref="C72:D73"/>
    <mergeCell ref="B48:L48"/>
    <mergeCell ref="B52:D52"/>
    <mergeCell ref="L53:L54"/>
    <mergeCell ref="G66:K66"/>
    <mergeCell ref="B47:O47"/>
    <mergeCell ref="L66:Q66"/>
    <mergeCell ref="B50:L50"/>
    <mergeCell ref="G53:K53"/>
    <mergeCell ref="M52:Q52"/>
    <mergeCell ref="M121:Q121"/>
    <mergeCell ref="I120:L120"/>
    <mergeCell ref="C104:F104"/>
    <mergeCell ref="C105:F105"/>
    <mergeCell ref="L90:Q90"/>
    <mergeCell ref="L104:N104"/>
    <mergeCell ref="L105:N105"/>
    <mergeCell ref="L106:N106"/>
    <mergeCell ref="G95:K95"/>
    <mergeCell ref="C114:L114"/>
    <mergeCell ref="C116:L116"/>
    <mergeCell ref="B121:E121"/>
    <mergeCell ref="F121:G121"/>
    <mergeCell ref="B120:H120"/>
    <mergeCell ref="O106:Q106"/>
    <mergeCell ref="B98:F98"/>
    <mergeCell ref="O96:Q96"/>
    <mergeCell ref="O101:Q101"/>
    <mergeCell ref="B83:O83"/>
    <mergeCell ref="J98:K98"/>
    <mergeCell ref="L96:N96"/>
    <mergeCell ref="C80:D80"/>
    <mergeCell ref="C74:D74"/>
    <mergeCell ref="B49:O49"/>
    <mergeCell ref="C90:F90"/>
    <mergeCell ref="J124:L124"/>
    <mergeCell ref="H28:Q28"/>
    <mergeCell ref="L35:Q35"/>
    <mergeCell ref="L36:Q36"/>
    <mergeCell ref="F29:G29"/>
    <mergeCell ref="G43:I43"/>
    <mergeCell ref="F34:G34"/>
    <mergeCell ref="F32:G32"/>
    <mergeCell ref="O41:Q41"/>
    <mergeCell ref="L40:Q40"/>
    <mergeCell ref="O43:Q43"/>
    <mergeCell ref="C40:F41"/>
    <mergeCell ref="F35:G35"/>
    <mergeCell ref="L29:Q29"/>
    <mergeCell ref="C43:F43"/>
    <mergeCell ref="J41:K41"/>
    <mergeCell ref="F33:G33"/>
    <mergeCell ref="F28:G28"/>
    <mergeCell ref="B28:D28"/>
    <mergeCell ref="L43:N43"/>
    <mergeCell ref="P47:Q47"/>
    <mergeCell ref="P49:Q49"/>
  </mergeCells>
  <conditionalFormatting sqref="G53:K54">
    <cfRule type="expression" dxfId="69" priority="1287">
      <formula>IF($P$47="NO",TRUE,FALSE)</formula>
    </cfRule>
  </conditionalFormatting>
  <conditionalFormatting sqref="N56:P62">
    <cfRule type="expression" dxfId="68" priority="276">
      <formula>IF($L$51="No",TRUE,FALSE)</formula>
    </cfRule>
    <cfRule type="expression" dxfId="67" priority="1289">
      <formula>IF($P$49="No",TRUE,FALSE)</formula>
    </cfRule>
  </conditionalFormatting>
  <conditionalFormatting sqref="O56:P62">
    <cfRule type="expression" dxfId="66" priority="275">
      <formula>IF($L$51="Yes via the software program",TRUE,IF($L$51="Yes via schedule adjustments",TRUE,FALSE))</formula>
    </cfRule>
    <cfRule type="expression" dxfId="65" priority="1291">
      <formula>IF($P$49="Yes via the software program",TRUE,IF($P$49="Yes via schedule adjustments",TRUE,FALSE))</formula>
    </cfRule>
  </conditionalFormatting>
  <conditionalFormatting sqref="G56:G62">
    <cfRule type="expression" dxfId="64" priority="1295">
      <formula>IF($P$49="NO",TRUE,FALSE)</formula>
    </cfRule>
  </conditionalFormatting>
  <conditionalFormatting sqref="G56:K62">
    <cfRule type="expression" dxfId="63" priority="23">
      <formula>IF($P$47="NO",TRUE,FALSE)</formula>
    </cfRule>
  </conditionalFormatting>
  <conditionalFormatting sqref="N53:P54">
    <cfRule type="expression" dxfId="62" priority="22">
      <formula>IF($P$49="No",TRUE,FALSE)</formula>
    </cfRule>
  </conditionalFormatting>
  <conditionalFormatting sqref="O53:P54">
    <cfRule type="expression" dxfId="61" priority="21">
      <formula>IF($P$49="Yes via the software program",TRUE,IF($P$49="Yes via schedule adjustments",TRUE,FALSE))</formula>
    </cfRule>
  </conditionalFormatting>
  <conditionalFormatting sqref="N56:N62">
    <cfRule type="expression" dxfId="60" priority="20">
      <formula>IF($P$49="Yes via control factors",TRUE,FALSE)</formula>
    </cfRule>
    <cfRule type="expression" dxfId="59" priority="274">
      <formula>IF($L$51="Yes via control factors",TRUE,FALSE)</formula>
    </cfRule>
  </conditionalFormatting>
  <conditionalFormatting sqref="I56:K62">
    <cfRule type="expression" dxfId="58" priority="19">
      <formula>IF($P$49="NO",TRUE,FALSE)</formula>
    </cfRule>
  </conditionalFormatting>
  <dataValidations count="15">
    <dataValidation type="list" allowBlank="1" showInputMessage="1" showErrorMessage="1" sqref="P111 O104:O106 P8:P18 P47 M48" xr:uid="{00000000-0002-0000-0A00-000000000000}">
      <formula1>"Yes,No"</formula1>
    </dataValidation>
    <dataValidation type="list" allowBlank="1" showInputMessage="1" showErrorMessage="1" sqref="B116" xr:uid="{00000000-0002-0000-0A00-000001000000}">
      <formula1>Zone</formula1>
    </dataValidation>
    <dataValidation type="list" allowBlank="1" showInputMessage="1" showErrorMessage="1" sqref="F137:G137" xr:uid="{00000000-0002-0000-0A00-000002000000}">
      <formula1>"Area,Length"</formula1>
    </dataValidation>
    <dataValidation allowBlank="1" showErrorMessage="1" sqref="H138:H142" xr:uid="{00000000-0002-0000-0A00-000003000000}"/>
    <dataValidation type="decimal" operator="greaterThanOrEqual" allowBlank="1" showInputMessage="1" showErrorMessage="1" error="Please enter the value only (without any labels)" sqref="E58:E62 E33:E35 H33:H35 K33:K35 M57:M62" xr:uid="{00000000-0002-0000-0A00-000004000000}">
      <formula1>0</formula1>
    </dataValidation>
    <dataValidation type="list" allowBlank="1" showInputMessage="1" showErrorMessage="1" sqref="P49" xr:uid="{00000000-0002-0000-0A00-000005000000}">
      <formula1>"No, Yes via the software program, Yes via schedule adjustments, Yes via control factors"</formula1>
    </dataValidation>
    <dataValidation type="list" allowBlank="1" showInputMessage="1" showErrorMessage="1" sqref="B124:E127" xr:uid="{00000000-0002-0000-0A00-000006000000}">
      <formula1>TradableSurfaces</formula1>
    </dataValidation>
    <dataValidation type="list" allowBlank="1" showInputMessage="1" showErrorMessage="1" sqref="B58:B62 B104:B106 B33:B35 B76:B81" xr:uid="{00000000-0002-0000-0A00-000007000000}">
      <formula1>BuildingIDLookupAlt</formula1>
    </dataValidation>
    <dataValidation type="list" allowBlank="1" showInputMessage="1" showErrorMessage="1" sqref="P58:P62" xr:uid="{00000000-0002-0000-0A00-000008000000}">
      <formula1>"N/A, 0%, 5%, 10%, 20%, 25%, 30%"</formula1>
    </dataValidation>
    <dataValidation type="list" allowBlank="1" showErrorMessage="1" sqref="C58:C62" xr:uid="{00000000-0002-0000-0A00-000009000000}">
      <formula1>SxSCategories</formula1>
    </dataValidation>
    <dataValidation type="list" allowBlank="1" showErrorMessage="1" sqref="J33:J35" xr:uid="{00000000-0002-0000-0A00-00000A000000}">
      <formula1>"N/A,0%,10%,15%"</formula1>
    </dataValidation>
    <dataValidation type="list" allowBlank="1" showErrorMessage="1" sqref="C33:C35" xr:uid="{00000000-0002-0000-0A00-00000B000000}">
      <formula1>BAMCategories</formula1>
    </dataValidation>
    <dataValidation type="list" allowBlank="1" showInputMessage="1" sqref="L86 P83:P85" xr:uid="{00000000-0002-0000-0A00-00000C000000}">
      <formula1>"Yes,No"</formula1>
    </dataValidation>
    <dataValidation allowBlank="1" sqref="I76:I81" xr:uid="{00000000-0002-0000-0A00-00000D000000}"/>
    <dataValidation type="list" allowBlank="1" showInputMessage="1" showErrorMessage="1" sqref="C76:D81" xr:uid="{00000000-0002-0000-0A00-00000E000000}">
      <formula1>SelectedSxS</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123" r:id="rId5" name="Button 3">
              <controlPr defaultSize="0" print="0" autoFill="0" autoPict="0" macro="[0]!addA">
                <anchor moveWithCells="1">
                  <from>
                    <xdr:col>1</xdr:col>
                    <xdr:colOff>0</xdr:colOff>
                    <xdr:row>37</xdr:row>
                    <xdr:rowOff>0</xdr:rowOff>
                  </from>
                  <to>
                    <xdr:col>2</xdr:col>
                    <xdr:colOff>438150</xdr:colOff>
                    <xdr:row>37</xdr:row>
                    <xdr:rowOff>266700</xdr:rowOff>
                  </to>
                </anchor>
              </controlPr>
            </control>
          </mc:Choice>
        </mc:AlternateContent>
        <mc:AlternateContent xmlns:mc="http://schemas.openxmlformats.org/markup-compatibility/2006">
          <mc:Choice Requires="x14">
            <control shapeId="5152" r:id="rId6" name="Button 32">
              <controlPr defaultSize="0" print="0" autoFill="0" autoPict="0" macro="[0]!addC">
                <anchor moveWithCells="1">
                  <from>
                    <xdr:col>1</xdr:col>
                    <xdr:colOff>19050</xdr:colOff>
                    <xdr:row>128</xdr:row>
                    <xdr:rowOff>114300</xdr:rowOff>
                  </from>
                  <to>
                    <xdr:col>2</xdr:col>
                    <xdr:colOff>447675</xdr:colOff>
                    <xdr:row>128</xdr:row>
                    <xdr:rowOff>400050</xdr:rowOff>
                  </to>
                </anchor>
              </controlPr>
            </control>
          </mc:Choice>
        </mc:AlternateContent>
        <mc:AlternateContent xmlns:mc="http://schemas.openxmlformats.org/markup-compatibility/2006">
          <mc:Choice Requires="x14">
            <control shapeId="5336" r:id="rId7" name="Button 216">
              <controlPr defaultSize="0" print="0" autoFill="0" autoPict="0" macro="[0]!addB">
                <anchor moveWithCells="1">
                  <from>
                    <xdr:col>1</xdr:col>
                    <xdr:colOff>19050</xdr:colOff>
                    <xdr:row>64</xdr:row>
                    <xdr:rowOff>0</xdr:rowOff>
                  </from>
                  <to>
                    <xdr:col>2</xdr:col>
                    <xdr:colOff>457200</xdr:colOff>
                    <xdr:row>92</xdr:row>
                    <xdr:rowOff>0</xdr:rowOff>
                  </to>
                </anchor>
              </controlPr>
            </control>
          </mc:Choice>
        </mc:AlternateContent>
        <mc:AlternateContent xmlns:mc="http://schemas.openxmlformats.org/markup-compatibility/2006">
          <mc:Choice Requires="x14">
            <control shapeId="5374" r:id="rId8" name="Button 254">
              <controlPr defaultSize="0" print="0" autoFill="0" autoPict="0" macro="[0]!DeleteSome">
                <anchor moveWithCells="1">
                  <from>
                    <xdr:col>2</xdr:col>
                    <xdr:colOff>485775</xdr:colOff>
                    <xdr:row>128</xdr:row>
                    <xdr:rowOff>123825</xdr:rowOff>
                  </from>
                  <to>
                    <xdr:col>2</xdr:col>
                    <xdr:colOff>1828800</xdr:colOff>
                    <xdr:row>128</xdr:row>
                    <xdr:rowOff>400050</xdr:rowOff>
                  </to>
                </anchor>
              </controlPr>
            </control>
          </mc:Choice>
        </mc:AlternateContent>
        <mc:AlternateContent xmlns:mc="http://schemas.openxmlformats.org/markup-compatibility/2006">
          <mc:Choice Requires="x14">
            <control shapeId="5375" r:id="rId9" name="Button 255">
              <controlPr defaultSize="0" print="0" autoFill="0" autoPict="0" macro="[0]!DeleteSome">
                <anchor moveWithCells="1">
                  <from>
                    <xdr:col>2</xdr:col>
                    <xdr:colOff>495300</xdr:colOff>
                    <xdr:row>37</xdr:row>
                    <xdr:rowOff>0</xdr:rowOff>
                  </from>
                  <to>
                    <xdr:col>2</xdr:col>
                    <xdr:colOff>1838325</xdr:colOff>
                    <xdr:row>37</xdr:row>
                    <xdr:rowOff>266700</xdr:rowOff>
                  </to>
                </anchor>
              </controlPr>
            </control>
          </mc:Choice>
        </mc:AlternateContent>
        <mc:AlternateContent xmlns:mc="http://schemas.openxmlformats.org/markup-compatibility/2006">
          <mc:Choice Requires="x14">
            <control shapeId="5377" r:id="rId10" name="Button 257">
              <controlPr defaultSize="0" print="0" autoFill="0" autoPict="0" macro="[0]!DeleteSome">
                <anchor moveWithCells="1">
                  <from>
                    <xdr:col>2</xdr:col>
                    <xdr:colOff>571500</xdr:colOff>
                    <xdr:row>64</xdr:row>
                    <xdr:rowOff>0</xdr:rowOff>
                  </from>
                  <to>
                    <xdr:col>2</xdr:col>
                    <xdr:colOff>1914525</xdr:colOff>
                    <xdr:row>91</xdr:row>
                    <xdr:rowOff>228600</xdr:rowOff>
                  </to>
                </anchor>
              </controlPr>
            </control>
          </mc:Choice>
        </mc:AlternateContent>
        <mc:AlternateContent xmlns:mc="http://schemas.openxmlformats.org/markup-compatibility/2006">
          <mc:Choice Requires="x14">
            <control shapeId="5379" r:id="rId11" name="Option Button 259">
              <controlPr defaultSize="0" autoFill="0" autoLine="0" autoPict="0" macro="[0]!LightingOption">
                <anchor moveWithCells="1">
                  <from>
                    <xdr:col>14</xdr:col>
                    <xdr:colOff>57150</xdr:colOff>
                    <xdr:row>22</xdr:row>
                    <xdr:rowOff>323850</xdr:rowOff>
                  </from>
                  <to>
                    <xdr:col>14</xdr:col>
                    <xdr:colOff>438150</xdr:colOff>
                    <xdr:row>23</xdr:row>
                    <xdr:rowOff>285750</xdr:rowOff>
                  </to>
                </anchor>
              </controlPr>
            </control>
          </mc:Choice>
        </mc:AlternateContent>
        <mc:AlternateContent xmlns:mc="http://schemas.openxmlformats.org/markup-compatibility/2006">
          <mc:Choice Requires="x14">
            <control shapeId="5380" r:id="rId12" name="Option Button 260">
              <controlPr defaultSize="0" autoFill="0" autoLine="0" autoPict="0" macro="[0]!LightingOption">
                <anchor moveWithCells="1">
                  <from>
                    <xdr:col>14</xdr:col>
                    <xdr:colOff>66675</xdr:colOff>
                    <xdr:row>23</xdr:row>
                    <xdr:rowOff>314325</xdr:rowOff>
                  </from>
                  <to>
                    <xdr:col>14</xdr:col>
                    <xdr:colOff>438150</xdr:colOff>
                    <xdr:row>23</xdr:row>
                    <xdr:rowOff>571500</xdr:rowOff>
                  </to>
                </anchor>
              </controlPr>
            </control>
          </mc:Choice>
        </mc:AlternateContent>
        <mc:AlternateContent xmlns:mc="http://schemas.openxmlformats.org/markup-compatibility/2006">
          <mc:Choice Requires="x14">
            <control shapeId="5381" r:id="rId13" name="Button 261">
              <controlPr defaultSize="0" print="0" autoFill="0" autoPict="0" macro="[0]!addD">
                <anchor moveWithCells="1">
                  <from>
                    <xdr:col>1</xdr:col>
                    <xdr:colOff>9525</xdr:colOff>
                    <xdr:row>86</xdr:row>
                    <xdr:rowOff>0</xdr:rowOff>
                  </from>
                  <to>
                    <xdr:col>2</xdr:col>
                    <xdr:colOff>438150</xdr:colOff>
                    <xdr:row>92</xdr:row>
                    <xdr:rowOff>0</xdr:rowOff>
                  </to>
                </anchor>
              </controlPr>
            </control>
          </mc:Choice>
        </mc:AlternateContent>
        <mc:AlternateContent xmlns:mc="http://schemas.openxmlformats.org/markup-compatibility/2006">
          <mc:Choice Requires="x14">
            <control shapeId="5382" r:id="rId14" name="Button 262">
              <controlPr defaultSize="0" print="0" autoFill="0" autoPict="0" macro="[0]!DeleteSome">
                <anchor moveWithCells="1">
                  <from>
                    <xdr:col>2</xdr:col>
                    <xdr:colOff>504825</xdr:colOff>
                    <xdr:row>86</xdr:row>
                    <xdr:rowOff>0</xdr:rowOff>
                  </from>
                  <to>
                    <xdr:col>2</xdr:col>
                    <xdr:colOff>1857375</xdr:colOff>
                    <xdr:row>92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F000000}">
          <x14:formula1>
            <xm:f>'Lighting Assumptions'!$I$4:$I$17</xm:f>
          </x14:formula1>
          <xm:sqref>B124:E127</xm:sqref>
        </x14:dataValidation>
      </x14:dataValidations>
    </ex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C00000"/>
  </sheetPr>
  <dimension ref="A1:X97"/>
  <sheetViews>
    <sheetView showGridLines="0" zoomScale="85" zoomScaleNormal="85" zoomScalePageLayoutView="90" workbookViewId="0">
      <pane ySplit="2" topLeftCell="A81" activePane="bottomLeft" state="frozen"/>
      <selection activeCell="K10" sqref="K10"/>
      <selection pane="bottomLeft" activeCell="G11" sqref="G11"/>
    </sheetView>
  </sheetViews>
  <sheetFormatPr defaultColWidth="8.7109375" defaultRowHeight="12.75" x14ac:dyDescent="0.25"/>
  <cols>
    <col min="1" max="1" width="24.7109375" style="26" customWidth="1"/>
    <col min="2" max="3" width="10.7109375" style="26" customWidth="1"/>
    <col min="4" max="4" width="36" style="26" customWidth="1"/>
    <col min="5" max="7" width="10.7109375" style="26" customWidth="1"/>
    <col min="8" max="8" width="5.42578125" style="26" bestFit="1" customWidth="1"/>
    <col min="9" max="9" width="44.7109375" style="26" bestFit="1" customWidth="1"/>
    <col min="10" max="10" width="8.7109375" style="26"/>
    <col min="11" max="20" width="6.7109375" style="26" customWidth="1"/>
    <col min="21" max="21" width="4.7109375" style="26" customWidth="1"/>
    <col min="22" max="22" width="8.7109375" style="26"/>
    <col min="23" max="23" width="124.28515625" style="26" customWidth="1"/>
    <col min="24" max="24" width="10.7109375" style="26" customWidth="1"/>
    <col min="25" max="16384" width="8.7109375" style="26"/>
  </cols>
  <sheetData>
    <row r="1" spans="1:24" ht="93" customHeight="1" x14ac:dyDescent="0.25">
      <c r="A1" s="2922" t="s">
        <v>92</v>
      </c>
      <c r="B1" s="2699" t="s">
        <v>923</v>
      </c>
      <c r="C1" s="2702"/>
      <c r="D1" s="2922" t="s">
        <v>93</v>
      </c>
      <c r="E1" s="2699" t="s">
        <v>1226</v>
      </c>
      <c r="F1" s="2699"/>
      <c r="G1" s="2926" t="s">
        <v>1067</v>
      </c>
      <c r="H1" s="395"/>
      <c r="I1" s="2930" t="s">
        <v>113</v>
      </c>
      <c r="J1" s="2928" t="s">
        <v>115</v>
      </c>
      <c r="K1" s="424" t="s">
        <v>297</v>
      </c>
      <c r="L1" s="424" t="s">
        <v>288</v>
      </c>
      <c r="M1" s="424" t="s">
        <v>289</v>
      </c>
      <c r="N1" s="424" t="s">
        <v>290</v>
      </c>
      <c r="O1" s="426" t="s">
        <v>291</v>
      </c>
      <c r="P1" s="423" t="s">
        <v>297</v>
      </c>
      <c r="Q1" s="424" t="s">
        <v>288</v>
      </c>
      <c r="R1" s="424" t="s">
        <v>289</v>
      </c>
      <c r="S1" s="424" t="s">
        <v>290</v>
      </c>
      <c r="T1" s="425" t="s">
        <v>291</v>
      </c>
      <c r="V1" s="2932" t="s">
        <v>296</v>
      </c>
      <c r="W1" s="2924" t="s">
        <v>287</v>
      </c>
      <c r="X1" s="2926" t="s">
        <v>925</v>
      </c>
    </row>
    <row r="2" spans="1:24" ht="24" customHeight="1" x14ac:dyDescent="0.25">
      <c r="A2" s="2923"/>
      <c r="B2" s="41" t="s">
        <v>922</v>
      </c>
      <c r="C2" s="307" t="s">
        <v>924</v>
      </c>
      <c r="D2" s="2923"/>
      <c r="E2" s="41" t="s">
        <v>922</v>
      </c>
      <c r="F2" s="41" t="s">
        <v>924</v>
      </c>
      <c r="G2" s="2927"/>
      <c r="H2" s="395"/>
      <c r="I2" s="2931"/>
      <c r="J2" s="2929"/>
      <c r="K2" s="316" t="s">
        <v>816</v>
      </c>
      <c r="L2" s="316" t="s">
        <v>816</v>
      </c>
      <c r="M2" s="316" t="s">
        <v>816</v>
      </c>
      <c r="N2" s="316" t="s">
        <v>816</v>
      </c>
      <c r="O2" s="543" t="s">
        <v>816</v>
      </c>
      <c r="P2" s="305" t="s">
        <v>817</v>
      </c>
      <c r="Q2" s="316" t="s">
        <v>817</v>
      </c>
      <c r="R2" s="316" t="s">
        <v>817</v>
      </c>
      <c r="S2" s="316" t="s">
        <v>817</v>
      </c>
      <c r="T2" s="306" t="s">
        <v>817</v>
      </c>
      <c r="V2" s="2933"/>
      <c r="W2" s="2925"/>
      <c r="X2" s="2927"/>
    </row>
    <row r="3" spans="1:24" s="402" customFormat="1" ht="15" customHeight="1" x14ac:dyDescent="0.25">
      <c r="A3" s="397" t="s">
        <v>60</v>
      </c>
      <c r="B3" s="398">
        <v>0.82</v>
      </c>
      <c r="C3" s="399">
        <v>8.8000000000000007</v>
      </c>
      <c r="D3" s="699" t="s">
        <v>926</v>
      </c>
      <c r="E3" s="691">
        <v>0.03</v>
      </c>
      <c r="F3" s="691">
        <v>1.0589999999999999</v>
      </c>
      <c r="G3" s="692" t="s">
        <v>1068</v>
      </c>
      <c r="H3" s="400"/>
      <c r="I3" s="703"/>
      <c r="J3" s="706"/>
      <c r="K3" s="703" t="str">
        <f t="shared" ref="K3:T3" si="0">K1&amp;" "&amp;K2</f>
        <v>Zone 0 IP</v>
      </c>
      <c r="L3" s="704" t="str">
        <f t="shared" si="0"/>
        <v>Zone 1 IP</v>
      </c>
      <c r="M3" s="704" t="str">
        <f t="shared" si="0"/>
        <v>Zone 2 IP</v>
      </c>
      <c r="N3" s="704" t="str">
        <f t="shared" si="0"/>
        <v>Zone 3 IP</v>
      </c>
      <c r="O3" s="704" t="str">
        <f t="shared" si="0"/>
        <v>Zone 4 IP</v>
      </c>
      <c r="P3" s="704" t="str">
        <f t="shared" si="0"/>
        <v>Zone 0 SI</v>
      </c>
      <c r="Q3" s="704" t="str">
        <f t="shared" si="0"/>
        <v>Zone 1 SI</v>
      </c>
      <c r="R3" s="704" t="str">
        <f t="shared" si="0"/>
        <v>Zone 2 SI</v>
      </c>
      <c r="S3" s="704" t="str">
        <f t="shared" si="0"/>
        <v>Zone 3 SI</v>
      </c>
      <c r="T3" s="705" t="str">
        <f t="shared" si="0"/>
        <v>Zone 4 SI</v>
      </c>
      <c r="V3" s="419" t="s">
        <v>297</v>
      </c>
      <c r="W3" s="420" t="s">
        <v>298</v>
      </c>
      <c r="X3" s="401">
        <v>0</v>
      </c>
    </row>
    <row r="4" spans="1:24" s="402" customFormat="1" ht="15" customHeight="1" x14ac:dyDescent="0.25">
      <c r="A4" s="403" t="s">
        <v>61</v>
      </c>
      <c r="B4" s="404">
        <v>1.08</v>
      </c>
      <c r="C4" s="405">
        <v>11.6</v>
      </c>
      <c r="D4" s="414" t="s">
        <v>927</v>
      </c>
      <c r="E4" s="693">
        <v>0.02</v>
      </c>
      <c r="F4" s="693">
        <v>0.70599999999999996</v>
      </c>
      <c r="G4" s="694" t="s">
        <v>1068</v>
      </c>
      <c r="H4" s="400"/>
      <c r="I4" s="544" t="s">
        <v>318</v>
      </c>
      <c r="J4" s="545" t="s">
        <v>110</v>
      </c>
      <c r="K4" s="546">
        <v>0</v>
      </c>
      <c r="L4" s="547">
        <v>0.04</v>
      </c>
      <c r="M4" s="547">
        <v>0.06</v>
      </c>
      <c r="N4" s="547">
        <v>0.1</v>
      </c>
      <c r="O4" s="548">
        <v>0.13</v>
      </c>
      <c r="P4" s="549">
        <v>0</v>
      </c>
      <c r="Q4" s="547">
        <v>0.43</v>
      </c>
      <c r="R4" s="547">
        <v>0.65</v>
      </c>
      <c r="S4" s="547">
        <v>1.1000000000000001</v>
      </c>
      <c r="T4" s="550">
        <v>1.4</v>
      </c>
      <c r="V4" s="406" t="s">
        <v>288</v>
      </c>
      <c r="W4" s="421" t="s">
        <v>292</v>
      </c>
      <c r="X4" s="409">
        <v>500</v>
      </c>
    </row>
    <row r="5" spans="1:24" s="402" customFormat="1" ht="15" customHeight="1" x14ac:dyDescent="0.25">
      <c r="A5" s="403" t="s">
        <v>62</v>
      </c>
      <c r="B5" s="404">
        <v>1.05</v>
      </c>
      <c r="C5" s="405">
        <v>11.3</v>
      </c>
      <c r="D5" s="414" t="s">
        <v>1963</v>
      </c>
      <c r="E5" s="693">
        <v>0.79</v>
      </c>
      <c r="F5" s="693">
        <v>8.5</v>
      </c>
      <c r="G5" s="694">
        <v>6</v>
      </c>
      <c r="H5" s="400"/>
      <c r="I5" s="406" t="s">
        <v>97</v>
      </c>
      <c r="J5" s="409" t="s">
        <v>111</v>
      </c>
      <c r="K5" s="407">
        <v>0</v>
      </c>
      <c r="L5" s="408">
        <v>0.7</v>
      </c>
      <c r="M5" s="408">
        <v>0.7</v>
      </c>
      <c r="N5" s="408">
        <v>0.8</v>
      </c>
      <c r="O5" s="438">
        <v>1</v>
      </c>
      <c r="P5" s="406">
        <v>0</v>
      </c>
      <c r="Q5" s="408">
        <v>2.2999999999999998</v>
      </c>
      <c r="R5" s="408">
        <v>2.2999999999999998</v>
      </c>
      <c r="S5" s="408">
        <v>2.6</v>
      </c>
      <c r="T5" s="440">
        <v>3.3</v>
      </c>
      <c r="V5" s="406" t="s">
        <v>289</v>
      </c>
      <c r="W5" s="375" t="s">
        <v>295</v>
      </c>
      <c r="X5" s="409">
        <v>600</v>
      </c>
    </row>
    <row r="6" spans="1:24" s="402" customFormat="1" ht="15" customHeight="1" x14ac:dyDescent="0.25">
      <c r="A6" s="403" t="s">
        <v>63</v>
      </c>
      <c r="B6" s="404">
        <v>0.99</v>
      </c>
      <c r="C6" s="405">
        <v>10.7</v>
      </c>
      <c r="D6" s="414" t="s">
        <v>1964</v>
      </c>
      <c r="E6" s="693">
        <v>2.4300000000000002</v>
      </c>
      <c r="F6" s="693">
        <v>26.2</v>
      </c>
      <c r="G6" s="694">
        <v>8</v>
      </c>
      <c r="H6" s="400"/>
      <c r="I6" s="406" t="s">
        <v>98</v>
      </c>
      <c r="J6" s="409" t="s">
        <v>110</v>
      </c>
      <c r="K6" s="407">
        <v>0</v>
      </c>
      <c r="L6" s="408">
        <v>0.14000000000000001</v>
      </c>
      <c r="M6" s="408">
        <v>0.14000000000000001</v>
      </c>
      <c r="N6" s="408">
        <v>0.16</v>
      </c>
      <c r="O6" s="438">
        <v>0.2</v>
      </c>
      <c r="P6" s="406">
        <v>0</v>
      </c>
      <c r="Q6" s="408">
        <v>1.5</v>
      </c>
      <c r="R6" s="408">
        <v>1.5</v>
      </c>
      <c r="S6" s="408">
        <v>1.7</v>
      </c>
      <c r="T6" s="440">
        <v>2.2000000000000002</v>
      </c>
      <c r="V6" s="406" t="s">
        <v>290</v>
      </c>
      <c r="W6" s="421" t="s">
        <v>293</v>
      </c>
      <c r="X6" s="409">
        <v>750</v>
      </c>
    </row>
    <row r="7" spans="1:24" s="402" customFormat="1" ht="15" customHeight="1" x14ac:dyDescent="0.25">
      <c r="A7" s="403" t="s">
        <v>64</v>
      </c>
      <c r="B7" s="404">
        <v>0.9</v>
      </c>
      <c r="C7" s="405">
        <v>9.6999999999999993</v>
      </c>
      <c r="D7" s="414" t="s">
        <v>1965</v>
      </c>
      <c r="E7" s="693">
        <v>1.1399999999999999</v>
      </c>
      <c r="F7" s="693">
        <v>12.3</v>
      </c>
      <c r="G7" s="694">
        <v>4</v>
      </c>
      <c r="H7" s="400"/>
      <c r="I7" s="406" t="s">
        <v>99</v>
      </c>
      <c r="J7" s="409" t="s">
        <v>110</v>
      </c>
      <c r="K7" s="407">
        <v>0</v>
      </c>
      <c r="L7" s="408">
        <v>0.14000000000000001</v>
      </c>
      <c r="M7" s="408">
        <v>0.14000000000000001</v>
      </c>
      <c r="N7" s="408">
        <v>0.16</v>
      </c>
      <c r="O7" s="438">
        <v>0.2</v>
      </c>
      <c r="P7" s="406">
        <v>0</v>
      </c>
      <c r="Q7" s="408">
        <v>1.5</v>
      </c>
      <c r="R7" s="408">
        <v>1.5</v>
      </c>
      <c r="S7" s="408">
        <v>1.7</v>
      </c>
      <c r="T7" s="440">
        <v>2.2000000000000002</v>
      </c>
      <c r="V7" s="410" t="s">
        <v>291</v>
      </c>
      <c r="W7" s="422" t="s">
        <v>294</v>
      </c>
      <c r="X7" s="413">
        <v>1300</v>
      </c>
    </row>
    <row r="8" spans="1:24" s="402" customFormat="1" ht="15" customHeight="1" x14ac:dyDescent="0.25">
      <c r="A8" s="403" t="s">
        <v>65</v>
      </c>
      <c r="B8" s="404">
        <v>0.89</v>
      </c>
      <c r="C8" s="405">
        <v>9.6</v>
      </c>
      <c r="D8" s="700" t="s">
        <v>930</v>
      </c>
      <c r="E8" s="693">
        <v>1.24</v>
      </c>
      <c r="F8" s="693">
        <v>13.3</v>
      </c>
      <c r="G8" s="694">
        <v>4</v>
      </c>
      <c r="H8" s="400"/>
      <c r="I8" s="406" t="s">
        <v>100</v>
      </c>
      <c r="J8" s="409" t="s">
        <v>110</v>
      </c>
      <c r="K8" s="407">
        <v>0</v>
      </c>
      <c r="L8" s="408">
        <v>0.75</v>
      </c>
      <c r="M8" s="408">
        <v>1</v>
      </c>
      <c r="N8" s="408">
        <v>1</v>
      </c>
      <c r="O8" s="438">
        <v>1</v>
      </c>
      <c r="P8" s="406">
        <v>0</v>
      </c>
      <c r="Q8" s="408">
        <v>1.5</v>
      </c>
      <c r="R8" s="408">
        <v>1.5</v>
      </c>
      <c r="S8" s="408">
        <v>1.7</v>
      </c>
      <c r="T8" s="440">
        <v>2.2000000000000002</v>
      </c>
    </row>
    <row r="9" spans="1:24" s="402" customFormat="1" ht="15" customHeight="1" x14ac:dyDescent="0.25">
      <c r="A9" s="403" t="s">
        <v>66</v>
      </c>
      <c r="B9" s="404">
        <v>0.61</v>
      </c>
      <c r="C9" s="405">
        <v>6.6</v>
      </c>
      <c r="D9" s="700" t="s">
        <v>931</v>
      </c>
      <c r="E9" s="693">
        <v>1.23</v>
      </c>
      <c r="F9" s="693">
        <v>13.2</v>
      </c>
      <c r="G9" s="694">
        <v>6</v>
      </c>
      <c r="H9" s="400"/>
      <c r="I9" s="406" t="s">
        <v>1181</v>
      </c>
      <c r="J9" s="409" t="s">
        <v>110</v>
      </c>
      <c r="K9" s="407">
        <v>0</v>
      </c>
      <c r="L9" s="408">
        <v>0.15</v>
      </c>
      <c r="M9" s="408">
        <v>0.15</v>
      </c>
      <c r="N9" s="408">
        <v>0.2</v>
      </c>
      <c r="O9" s="438">
        <v>0.3</v>
      </c>
      <c r="P9" s="406">
        <v>0</v>
      </c>
      <c r="Q9" s="408">
        <v>1.6</v>
      </c>
      <c r="R9" s="408">
        <v>1.6</v>
      </c>
      <c r="S9" s="408">
        <v>2.2000000000000002</v>
      </c>
      <c r="T9" s="440">
        <v>3.2</v>
      </c>
    </row>
    <row r="10" spans="1:24" s="402" customFormat="1" ht="15" customHeight="1" x14ac:dyDescent="0.25">
      <c r="A10" s="403" t="s">
        <v>67</v>
      </c>
      <c r="B10" s="404">
        <v>0.88</v>
      </c>
      <c r="C10" s="405">
        <v>9.5</v>
      </c>
      <c r="D10" s="414" t="s">
        <v>932</v>
      </c>
      <c r="E10" s="693">
        <v>0.66</v>
      </c>
      <c r="F10" s="693">
        <v>7.1</v>
      </c>
      <c r="G10" s="695" t="s">
        <v>1070</v>
      </c>
      <c r="H10" s="400"/>
      <c r="I10" s="406" t="s">
        <v>1182</v>
      </c>
      <c r="J10" s="409" t="s">
        <v>110</v>
      </c>
      <c r="K10" s="407">
        <v>0</v>
      </c>
      <c r="L10" s="408">
        <v>0.04</v>
      </c>
      <c r="M10" s="408">
        <v>0.05</v>
      </c>
      <c r="N10" s="408">
        <v>0.05</v>
      </c>
      <c r="O10" s="438">
        <v>0.05</v>
      </c>
      <c r="P10" s="406">
        <v>0</v>
      </c>
      <c r="Q10" s="408">
        <v>0.43</v>
      </c>
      <c r="R10" s="408">
        <v>0.54</v>
      </c>
      <c r="S10" s="408">
        <v>0.54</v>
      </c>
      <c r="T10" s="440">
        <v>0.54</v>
      </c>
    </row>
    <row r="11" spans="1:24" s="402" customFormat="1" ht="15" customHeight="1" x14ac:dyDescent="0.25">
      <c r="A11" s="403" t="s">
        <v>270</v>
      </c>
      <c r="B11" s="404">
        <v>0.71</v>
      </c>
      <c r="C11" s="405">
        <v>7.6</v>
      </c>
      <c r="D11" s="414" t="s">
        <v>2238</v>
      </c>
      <c r="E11" s="693">
        <v>0.65</v>
      </c>
      <c r="F11" s="693">
        <v>7</v>
      </c>
      <c r="G11" s="694">
        <v>4</v>
      </c>
      <c r="H11" s="400"/>
      <c r="I11" s="406" t="s">
        <v>101</v>
      </c>
      <c r="J11" s="409" t="s">
        <v>110</v>
      </c>
      <c r="K11" s="407">
        <v>0</v>
      </c>
      <c r="L11" s="408">
        <v>0.75</v>
      </c>
      <c r="M11" s="408">
        <v>1</v>
      </c>
      <c r="N11" s="408">
        <v>1</v>
      </c>
      <c r="O11" s="438">
        <v>1</v>
      </c>
      <c r="P11" s="406">
        <v>0</v>
      </c>
      <c r="Q11" s="408">
        <v>8.1</v>
      </c>
      <c r="R11" s="408">
        <v>10.8</v>
      </c>
      <c r="S11" s="408">
        <v>10.8</v>
      </c>
      <c r="T11" s="440">
        <v>10.8</v>
      </c>
    </row>
    <row r="12" spans="1:24" s="402" customFormat="1" ht="15" customHeight="1" x14ac:dyDescent="0.25">
      <c r="A12" s="403" t="s">
        <v>68</v>
      </c>
      <c r="B12" s="404">
        <v>1</v>
      </c>
      <c r="C12" s="405">
        <v>10.8</v>
      </c>
      <c r="D12" s="414" t="s">
        <v>928</v>
      </c>
      <c r="E12" s="693">
        <v>1.31</v>
      </c>
      <c r="F12" s="693">
        <v>14.1</v>
      </c>
      <c r="G12" s="694">
        <v>4</v>
      </c>
      <c r="H12" s="400"/>
      <c r="I12" s="406" t="s">
        <v>102</v>
      </c>
      <c r="J12" s="409" t="s">
        <v>111</v>
      </c>
      <c r="K12" s="407">
        <v>0</v>
      </c>
      <c r="L12" s="408">
        <v>20</v>
      </c>
      <c r="M12" s="408">
        <v>20</v>
      </c>
      <c r="N12" s="408">
        <v>30</v>
      </c>
      <c r="O12" s="438">
        <v>30</v>
      </c>
      <c r="P12" s="406">
        <v>0</v>
      </c>
      <c r="Q12" s="408">
        <v>66</v>
      </c>
      <c r="R12" s="408">
        <v>66</v>
      </c>
      <c r="S12" s="408">
        <v>98</v>
      </c>
      <c r="T12" s="440">
        <v>98</v>
      </c>
    </row>
    <row r="13" spans="1:24" s="402" customFormat="1" ht="15" customHeight="1" x14ac:dyDescent="0.25">
      <c r="A13" s="403" t="s">
        <v>69</v>
      </c>
      <c r="B13" s="404">
        <v>0.87</v>
      </c>
      <c r="C13" s="405">
        <v>9.4</v>
      </c>
      <c r="D13" s="414" t="s">
        <v>929</v>
      </c>
      <c r="E13" s="693">
        <v>0.89</v>
      </c>
      <c r="F13" s="693">
        <v>9.6</v>
      </c>
      <c r="G13" s="694">
        <v>4</v>
      </c>
      <c r="H13" s="400"/>
      <c r="I13" s="406" t="s">
        <v>103</v>
      </c>
      <c r="J13" s="409" t="s">
        <v>111</v>
      </c>
      <c r="K13" s="407">
        <v>0</v>
      </c>
      <c r="L13" s="408">
        <v>20</v>
      </c>
      <c r="M13" s="408">
        <v>20</v>
      </c>
      <c r="N13" s="408">
        <v>20</v>
      </c>
      <c r="O13" s="438">
        <v>20</v>
      </c>
      <c r="P13" s="406">
        <v>0</v>
      </c>
      <c r="Q13" s="408">
        <v>66</v>
      </c>
      <c r="R13" s="408">
        <v>66</v>
      </c>
      <c r="S13" s="408">
        <v>66</v>
      </c>
      <c r="T13" s="440">
        <v>66</v>
      </c>
    </row>
    <row r="14" spans="1:24" s="402" customFormat="1" ht="15" customHeight="1" x14ac:dyDescent="0.25">
      <c r="A14" s="403" t="s">
        <v>70</v>
      </c>
      <c r="B14" s="404">
        <v>1.21</v>
      </c>
      <c r="C14" s="405">
        <v>13</v>
      </c>
      <c r="D14" s="414" t="s">
        <v>1983</v>
      </c>
      <c r="E14" s="693">
        <v>0.4</v>
      </c>
      <c r="F14" s="693">
        <v>4.3</v>
      </c>
      <c r="G14" s="694">
        <v>6</v>
      </c>
      <c r="H14" s="400"/>
      <c r="I14" s="406" t="s">
        <v>1180</v>
      </c>
      <c r="J14" s="409" t="s">
        <v>110</v>
      </c>
      <c r="K14" s="407">
        <v>0</v>
      </c>
      <c r="L14" s="408">
        <v>0.25</v>
      </c>
      <c r="M14" s="408">
        <v>0.25</v>
      </c>
      <c r="N14" s="408">
        <v>0.4</v>
      </c>
      <c r="O14" s="438">
        <v>0.4</v>
      </c>
      <c r="P14" s="406">
        <v>0</v>
      </c>
      <c r="Q14" s="408">
        <v>2.7</v>
      </c>
      <c r="R14" s="408">
        <v>2.7</v>
      </c>
      <c r="S14" s="408">
        <v>4.3</v>
      </c>
      <c r="T14" s="440">
        <v>4.3</v>
      </c>
    </row>
    <row r="15" spans="1:24" s="402" customFormat="1" ht="15" customHeight="1" x14ac:dyDescent="0.25">
      <c r="A15" s="403" t="s">
        <v>71</v>
      </c>
      <c r="B15" s="404">
        <v>1</v>
      </c>
      <c r="C15" s="405">
        <v>10.8</v>
      </c>
      <c r="D15" s="414" t="s">
        <v>933</v>
      </c>
      <c r="E15" s="693">
        <v>0.95</v>
      </c>
      <c r="F15" s="693">
        <v>10.199999999999999</v>
      </c>
      <c r="G15" s="694">
        <v>6</v>
      </c>
      <c r="H15" s="400"/>
      <c r="I15" s="406" t="s">
        <v>1183</v>
      </c>
      <c r="J15" s="409" t="s">
        <v>110</v>
      </c>
      <c r="K15" s="407">
        <v>0</v>
      </c>
      <c r="L15" s="408">
        <v>0.6</v>
      </c>
      <c r="M15" s="408">
        <v>0.6</v>
      </c>
      <c r="N15" s="408">
        <v>0.8</v>
      </c>
      <c r="O15" s="438">
        <v>1</v>
      </c>
      <c r="P15" s="406">
        <v>0</v>
      </c>
      <c r="Q15" s="408">
        <v>6.5</v>
      </c>
      <c r="R15" s="408">
        <v>6.5</v>
      </c>
      <c r="S15" s="408">
        <v>8.6</v>
      </c>
      <c r="T15" s="440">
        <v>10.8</v>
      </c>
    </row>
    <row r="16" spans="1:24" s="402" customFormat="1" ht="15" customHeight="1" x14ac:dyDescent="0.25">
      <c r="A16" s="403" t="s">
        <v>72</v>
      </c>
      <c r="B16" s="404">
        <v>1.18</v>
      </c>
      <c r="C16" s="405">
        <v>12.7</v>
      </c>
      <c r="D16" s="414" t="s">
        <v>934</v>
      </c>
      <c r="E16" s="693">
        <v>0.99</v>
      </c>
      <c r="F16" s="693">
        <v>10.7</v>
      </c>
      <c r="G16" s="694">
        <v>6</v>
      </c>
      <c r="H16" s="400"/>
      <c r="I16" s="406" t="s">
        <v>1179</v>
      </c>
      <c r="J16" s="409" t="s">
        <v>110</v>
      </c>
      <c r="K16" s="407">
        <v>0</v>
      </c>
      <c r="L16" s="408">
        <v>0.25</v>
      </c>
      <c r="M16" s="408">
        <v>0.25</v>
      </c>
      <c r="N16" s="408">
        <v>0.5</v>
      </c>
      <c r="O16" s="438">
        <v>0.7</v>
      </c>
      <c r="P16" s="406">
        <v>0</v>
      </c>
      <c r="Q16" s="408">
        <v>2.7</v>
      </c>
      <c r="R16" s="408">
        <v>2.7</v>
      </c>
      <c r="S16" s="408">
        <v>5.4</v>
      </c>
      <c r="T16" s="440">
        <v>7.5</v>
      </c>
    </row>
    <row r="17" spans="1:20" s="402" customFormat="1" ht="15" customHeight="1" x14ac:dyDescent="0.25">
      <c r="A17" s="403" t="s">
        <v>73</v>
      </c>
      <c r="B17" s="404">
        <v>1.1100000000000001</v>
      </c>
      <c r="C17" s="405">
        <v>11.9</v>
      </c>
      <c r="D17" s="414" t="s">
        <v>272</v>
      </c>
      <c r="E17" s="693">
        <v>1.28</v>
      </c>
      <c r="F17" s="693">
        <v>13.8</v>
      </c>
      <c r="G17" s="694">
        <v>6</v>
      </c>
      <c r="H17" s="400"/>
      <c r="I17" s="410" t="s">
        <v>104</v>
      </c>
      <c r="J17" s="413" t="s">
        <v>111</v>
      </c>
      <c r="K17" s="411">
        <v>0</v>
      </c>
      <c r="L17" s="412">
        <v>0</v>
      </c>
      <c r="M17" s="412">
        <v>10</v>
      </c>
      <c r="N17" s="412">
        <v>10</v>
      </c>
      <c r="O17" s="439">
        <v>30</v>
      </c>
      <c r="P17" s="410">
        <v>0</v>
      </c>
      <c r="Q17" s="412">
        <v>0</v>
      </c>
      <c r="R17" s="412">
        <v>33</v>
      </c>
      <c r="S17" s="412">
        <v>33</v>
      </c>
      <c r="T17" s="441">
        <v>98</v>
      </c>
    </row>
    <row r="18" spans="1:20" s="402" customFormat="1" ht="15" customHeight="1" x14ac:dyDescent="0.25">
      <c r="A18" s="403" t="s">
        <v>74</v>
      </c>
      <c r="B18" s="404">
        <v>0.88</v>
      </c>
      <c r="C18" s="405">
        <v>9.5</v>
      </c>
      <c r="D18" s="414" t="s">
        <v>273</v>
      </c>
      <c r="E18" s="693">
        <v>1.81</v>
      </c>
      <c r="F18" s="693">
        <v>19.5</v>
      </c>
      <c r="G18" s="694">
        <v>6</v>
      </c>
      <c r="H18" s="400"/>
      <c r="I18" s="396"/>
      <c r="K18" s="396"/>
      <c r="P18" s="396"/>
    </row>
    <row r="19" spans="1:20" s="402" customFormat="1" ht="15" customHeight="1" x14ac:dyDescent="0.25">
      <c r="A19" s="403" t="s">
        <v>75</v>
      </c>
      <c r="B19" s="404">
        <v>0.83</v>
      </c>
      <c r="C19" s="405">
        <v>8.9</v>
      </c>
      <c r="D19" s="414" t="s">
        <v>1069</v>
      </c>
      <c r="E19" s="693">
        <v>0.9</v>
      </c>
      <c r="F19" s="696">
        <v>9.68</v>
      </c>
      <c r="G19" s="694">
        <v>4</v>
      </c>
      <c r="H19" s="400"/>
      <c r="I19" s="396"/>
      <c r="K19" s="396"/>
      <c r="P19" s="396"/>
    </row>
    <row r="20" spans="1:20" s="402" customFormat="1" ht="15" customHeight="1" x14ac:dyDescent="0.25">
      <c r="A20" s="403" t="s">
        <v>76</v>
      </c>
      <c r="B20" s="404">
        <v>0.6</v>
      </c>
      <c r="C20" s="405">
        <v>6.5</v>
      </c>
      <c r="D20" s="414" t="s">
        <v>935</v>
      </c>
      <c r="E20" s="693">
        <v>0.64</v>
      </c>
      <c r="F20" s="693">
        <v>6.88</v>
      </c>
      <c r="G20" s="694">
        <v>6</v>
      </c>
      <c r="H20" s="400"/>
      <c r="I20" s="396"/>
      <c r="K20" s="396"/>
      <c r="P20" s="396"/>
    </row>
    <row r="21" spans="1:20" s="402" customFormat="1" ht="15" customHeight="1" x14ac:dyDescent="0.25">
      <c r="A21" s="403" t="s">
        <v>77</v>
      </c>
      <c r="B21" s="404">
        <v>1.06</v>
      </c>
      <c r="C21" s="405">
        <v>11.4</v>
      </c>
      <c r="D21" s="414" t="s">
        <v>936</v>
      </c>
      <c r="E21" s="693">
        <v>2</v>
      </c>
      <c r="F21" s="693">
        <v>21.5</v>
      </c>
      <c r="G21" s="694">
        <v>6</v>
      </c>
      <c r="H21" s="400"/>
      <c r="I21" s="396"/>
      <c r="K21" s="396"/>
      <c r="P21" s="396"/>
    </row>
    <row r="22" spans="1:20" s="402" customFormat="1" ht="15" customHeight="1" x14ac:dyDescent="0.25">
      <c r="A22" s="403" t="s">
        <v>78</v>
      </c>
      <c r="B22" s="404">
        <v>0.9</v>
      </c>
      <c r="C22" s="405">
        <v>9.6999999999999993</v>
      </c>
      <c r="D22" s="414" t="s">
        <v>937</v>
      </c>
      <c r="E22" s="693">
        <v>0.52</v>
      </c>
      <c r="F22" s="693">
        <v>5.6</v>
      </c>
      <c r="G22" s="694">
        <v>4</v>
      </c>
      <c r="H22" s="400"/>
    </row>
    <row r="23" spans="1:20" s="402" customFormat="1" ht="15" customHeight="1" x14ac:dyDescent="0.25">
      <c r="A23" s="403" t="s">
        <v>79</v>
      </c>
      <c r="B23" s="404">
        <v>0.25</v>
      </c>
      <c r="C23" s="405">
        <v>2.7</v>
      </c>
      <c r="D23" s="700" t="s">
        <v>938</v>
      </c>
      <c r="E23" s="693">
        <v>0.75</v>
      </c>
      <c r="F23" s="693">
        <v>8.1</v>
      </c>
      <c r="G23" s="694">
        <v>6</v>
      </c>
      <c r="H23" s="400"/>
    </row>
    <row r="24" spans="1:20" s="402" customFormat="1" ht="15" customHeight="1" x14ac:dyDescent="0.25">
      <c r="A24" s="403" t="s">
        <v>80</v>
      </c>
      <c r="B24" s="404">
        <v>0.97</v>
      </c>
      <c r="C24" s="405">
        <v>10.4</v>
      </c>
      <c r="D24" s="414" t="s">
        <v>939</v>
      </c>
      <c r="E24" s="693">
        <v>0.73</v>
      </c>
      <c r="F24" s="693">
        <v>7.9</v>
      </c>
      <c r="G24" s="694">
        <v>4</v>
      </c>
      <c r="H24" s="400"/>
    </row>
    <row r="25" spans="1:20" s="402" customFormat="1" ht="15" customHeight="1" x14ac:dyDescent="0.25">
      <c r="A25" s="403" t="s">
        <v>81</v>
      </c>
      <c r="B25" s="404">
        <v>1.39</v>
      </c>
      <c r="C25" s="405">
        <v>15</v>
      </c>
      <c r="D25" s="700" t="s">
        <v>274</v>
      </c>
      <c r="E25" s="693">
        <v>1.1100000000000001</v>
      </c>
      <c r="F25" s="693">
        <v>11.9</v>
      </c>
      <c r="G25" s="694">
        <v>8</v>
      </c>
      <c r="H25" s="400"/>
    </row>
    <row r="26" spans="1:20" s="402" customFormat="1" ht="15" customHeight="1" x14ac:dyDescent="0.25">
      <c r="A26" s="403" t="s">
        <v>271</v>
      </c>
      <c r="B26" s="404">
        <v>0.96</v>
      </c>
      <c r="C26" s="405">
        <v>10.3</v>
      </c>
      <c r="D26" s="700" t="s">
        <v>275</v>
      </c>
      <c r="E26" s="693">
        <v>0.98</v>
      </c>
      <c r="F26" s="693">
        <v>10.5</v>
      </c>
      <c r="G26" s="694">
        <v>4</v>
      </c>
      <c r="H26" s="400"/>
    </row>
    <row r="27" spans="1:20" s="402" customFormat="1" ht="15" customHeight="1" x14ac:dyDescent="0.25">
      <c r="A27" s="403" t="s">
        <v>82</v>
      </c>
      <c r="B27" s="404">
        <v>0.87</v>
      </c>
      <c r="C27" s="405">
        <v>9.4</v>
      </c>
      <c r="D27" s="414" t="s">
        <v>91</v>
      </c>
      <c r="E27" s="693">
        <v>0.98</v>
      </c>
      <c r="F27" s="693">
        <v>10.5</v>
      </c>
      <c r="G27" s="694">
        <v>8</v>
      </c>
      <c r="H27" s="400"/>
    </row>
    <row r="28" spans="1:20" s="402" customFormat="1" ht="15" customHeight="1" x14ac:dyDescent="0.25">
      <c r="A28" s="403" t="s">
        <v>83</v>
      </c>
      <c r="B28" s="404">
        <v>1.05</v>
      </c>
      <c r="C28" s="405">
        <v>11.3</v>
      </c>
      <c r="D28" s="414" t="s">
        <v>940</v>
      </c>
      <c r="E28" s="693">
        <v>1.68</v>
      </c>
      <c r="F28" s="693">
        <v>18.100000000000001</v>
      </c>
      <c r="G28" s="694">
        <v>6</v>
      </c>
      <c r="H28" s="400"/>
    </row>
    <row r="29" spans="1:20" s="402" customFormat="1" ht="15" customHeight="1" x14ac:dyDescent="0.25">
      <c r="A29" s="403" t="s">
        <v>84</v>
      </c>
      <c r="B29" s="404">
        <v>1.4</v>
      </c>
      <c r="C29" s="405">
        <v>15.1</v>
      </c>
      <c r="D29" s="414" t="s">
        <v>276</v>
      </c>
      <c r="E29" s="693">
        <v>0.69</v>
      </c>
      <c r="F29" s="693">
        <v>7.4</v>
      </c>
      <c r="G29" s="694">
        <v>10</v>
      </c>
      <c r="H29" s="400"/>
    </row>
    <row r="30" spans="1:20" s="402" customFormat="1" ht="15" customHeight="1" x14ac:dyDescent="0.25">
      <c r="A30" s="403" t="s">
        <v>85</v>
      </c>
      <c r="B30" s="404">
        <v>0.99</v>
      </c>
      <c r="C30" s="405">
        <v>10.7</v>
      </c>
      <c r="D30" s="414" t="s">
        <v>277</v>
      </c>
      <c r="E30" s="693">
        <v>0.63</v>
      </c>
      <c r="F30" s="693">
        <v>6.8</v>
      </c>
      <c r="G30" s="694">
        <v>6</v>
      </c>
      <c r="H30" s="400"/>
    </row>
    <row r="31" spans="1:20" s="402" customFormat="1" ht="15" customHeight="1" x14ac:dyDescent="0.25">
      <c r="A31" s="403" t="s">
        <v>86</v>
      </c>
      <c r="B31" s="404">
        <v>0.78</v>
      </c>
      <c r="C31" s="405">
        <v>8.4</v>
      </c>
      <c r="D31" s="414" t="s">
        <v>90</v>
      </c>
      <c r="E31" s="693">
        <v>1.59</v>
      </c>
      <c r="F31" s="693">
        <v>17.100000000000001</v>
      </c>
      <c r="G31" s="694">
        <v>6</v>
      </c>
      <c r="H31" s="400"/>
    </row>
    <row r="32" spans="1:20" s="402" customFormat="1" ht="15" customHeight="1" x14ac:dyDescent="0.25">
      <c r="A32" s="403" t="s">
        <v>87</v>
      </c>
      <c r="B32" s="404">
        <v>0.92</v>
      </c>
      <c r="C32" s="405">
        <v>9.9</v>
      </c>
      <c r="D32" s="700" t="s">
        <v>278</v>
      </c>
      <c r="E32" s="693">
        <v>0.67</v>
      </c>
      <c r="F32" s="693">
        <v>7.2</v>
      </c>
      <c r="G32" s="694">
        <v>4</v>
      </c>
      <c r="H32" s="400"/>
    </row>
    <row r="33" spans="1:8" s="402" customFormat="1" ht="15" customHeight="1" x14ac:dyDescent="0.25">
      <c r="A33" s="403" t="s">
        <v>88</v>
      </c>
      <c r="B33" s="404">
        <v>0.77</v>
      </c>
      <c r="C33" s="405">
        <v>8.3000000000000007</v>
      </c>
      <c r="D33" s="700" t="s">
        <v>941</v>
      </c>
      <c r="E33" s="693">
        <v>1.38</v>
      </c>
      <c r="F33" s="693">
        <v>14.9</v>
      </c>
      <c r="G33" s="694">
        <v>6</v>
      </c>
      <c r="H33" s="400"/>
    </row>
    <row r="34" spans="1:8" s="402" customFormat="1" ht="15" customHeight="1" x14ac:dyDescent="0.25">
      <c r="A34" s="403" t="s">
        <v>89</v>
      </c>
      <c r="B34" s="404">
        <v>0.66</v>
      </c>
      <c r="C34" s="405">
        <v>7.1</v>
      </c>
      <c r="D34" s="700" t="s">
        <v>942</v>
      </c>
      <c r="E34" s="693">
        <v>0.82</v>
      </c>
      <c r="F34" s="693">
        <v>8.8000000000000007</v>
      </c>
      <c r="G34" s="694">
        <v>4</v>
      </c>
      <c r="H34" s="400"/>
    </row>
    <row r="35" spans="1:8" s="402" customFormat="1" ht="15" customHeight="1" x14ac:dyDescent="0.25">
      <c r="A35" s="415" t="s">
        <v>90</v>
      </c>
      <c r="B35" s="416">
        <v>1.2</v>
      </c>
      <c r="C35" s="417">
        <v>12.9</v>
      </c>
      <c r="D35" s="700" t="s">
        <v>943</v>
      </c>
      <c r="E35" s="693">
        <v>1.45</v>
      </c>
      <c r="F35" s="693">
        <v>15.6</v>
      </c>
      <c r="G35" s="694">
        <v>4</v>
      </c>
      <c r="H35" s="400"/>
    </row>
    <row r="36" spans="1:8" s="402" customFormat="1" ht="15" customHeight="1" x14ac:dyDescent="0.25">
      <c r="A36" s="418"/>
      <c r="B36" s="400"/>
      <c r="C36" s="400"/>
      <c r="D36" s="414" t="s">
        <v>1966</v>
      </c>
      <c r="E36" s="693">
        <v>1.72</v>
      </c>
      <c r="F36" s="693">
        <v>18.5</v>
      </c>
      <c r="G36" s="694">
        <v>6</v>
      </c>
      <c r="H36" s="400"/>
    </row>
    <row r="37" spans="1:8" s="402" customFormat="1" ht="15" customHeight="1" x14ac:dyDescent="0.25">
      <c r="A37" s="418"/>
      <c r="B37" s="400"/>
      <c r="C37" s="400"/>
      <c r="D37" s="414" t="s">
        <v>1967</v>
      </c>
      <c r="E37" s="693">
        <v>1.1000000000000001</v>
      </c>
      <c r="F37" s="693">
        <v>11.8</v>
      </c>
      <c r="G37" s="694">
        <v>6</v>
      </c>
      <c r="H37" s="400"/>
    </row>
    <row r="38" spans="1:8" s="402" customFormat="1" ht="15" customHeight="1" x14ac:dyDescent="0.25">
      <c r="A38" s="418"/>
      <c r="B38" s="400"/>
      <c r="C38" s="400"/>
      <c r="D38" s="414" t="s">
        <v>1968</v>
      </c>
      <c r="E38" s="693">
        <v>1.17</v>
      </c>
      <c r="F38" s="693">
        <v>12.6</v>
      </c>
      <c r="G38" s="694">
        <v>8</v>
      </c>
      <c r="H38" s="400"/>
    </row>
    <row r="39" spans="1:8" s="402" customFormat="1" ht="15" customHeight="1" x14ac:dyDescent="0.25">
      <c r="A39" s="418"/>
      <c r="B39" s="400"/>
      <c r="C39" s="400"/>
      <c r="D39" s="414" t="s">
        <v>1971</v>
      </c>
      <c r="E39" s="693">
        <v>0.43</v>
      </c>
      <c r="F39" s="693">
        <v>4.5999999999999996</v>
      </c>
      <c r="G39" s="694">
        <v>4</v>
      </c>
      <c r="H39" s="400"/>
    </row>
    <row r="40" spans="1:8" s="402" customFormat="1" ht="15" customHeight="1" x14ac:dyDescent="0.25">
      <c r="A40" s="418"/>
      <c r="B40" s="418"/>
      <c r="C40" s="418"/>
      <c r="D40" s="414" t="s">
        <v>1972</v>
      </c>
      <c r="E40" s="693">
        <v>1.34</v>
      </c>
      <c r="F40" s="693">
        <v>14.4</v>
      </c>
      <c r="G40" s="694">
        <v>4</v>
      </c>
      <c r="H40" s="400"/>
    </row>
    <row r="41" spans="1:8" s="402" customFormat="1" ht="15" customHeight="1" x14ac:dyDescent="0.25">
      <c r="A41" s="418"/>
      <c r="B41" s="418"/>
      <c r="C41" s="418"/>
      <c r="D41" s="414" t="s">
        <v>1973</v>
      </c>
      <c r="E41" s="693">
        <v>1.07</v>
      </c>
      <c r="F41" s="693">
        <v>11.5</v>
      </c>
      <c r="G41" s="694">
        <v>6</v>
      </c>
      <c r="H41" s="400"/>
    </row>
    <row r="42" spans="1:8" s="402" customFormat="1" ht="15" customHeight="1" x14ac:dyDescent="0.25">
      <c r="A42" s="418"/>
      <c r="B42" s="418"/>
      <c r="C42" s="418"/>
      <c r="D42" s="414" t="s">
        <v>944</v>
      </c>
      <c r="E42" s="693">
        <v>0.38</v>
      </c>
      <c r="F42" s="693">
        <v>4.0999999999999996</v>
      </c>
      <c r="G42" s="694">
        <v>8</v>
      </c>
      <c r="H42" s="400"/>
    </row>
    <row r="43" spans="1:8" s="402" customFormat="1" ht="15" customHeight="1" x14ac:dyDescent="0.25">
      <c r="A43" s="418"/>
      <c r="B43" s="418"/>
      <c r="C43" s="418"/>
      <c r="D43" s="414" t="s">
        <v>945</v>
      </c>
      <c r="E43" s="693">
        <v>0.56000000000000005</v>
      </c>
      <c r="F43" s="693">
        <v>6</v>
      </c>
      <c r="G43" s="694">
        <v>4</v>
      </c>
      <c r="H43" s="400"/>
    </row>
    <row r="44" spans="1:8" s="402" customFormat="1" ht="15" customHeight="1" x14ac:dyDescent="0.25">
      <c r="A44" s="418"/>
      <c r="B44" s="418"/>
      <c r="C44" s="418"/>
      <c r="D44" s="414" t="s">
        <v>946</v>
      </c>
      <c r="E44" s="693">
        <v>0.25</v>
      </c>
      <c r="F44" s="693">
        <v>2.7</v>
      </c>
      <c r="G44" s="694">
        <v>6</v>
      </c>
      <c r="H44" s="400"/>
    </row>
    <row r="45" spans="1:8" s="402" customFormat="1" ht="15" customHeight="1" x14ac:dyDescent="0.25">
      <c r="A45" s="418"/>
      <c r="B45" s="418"/>
      <c r="C45" s="418"/>
      <c r="D45" s="414" t="s">
        <v>1969</v>
      </c>
      <c r="E45" s="693">
        <v>0.72</v>
      </c>
      <c r="F45" s="693">
        <v>7.8</v>
      </c>
      <c r="G45" s="694">
        <v>4</v>
      </c>
      <c r="H45" s="400"/>
    </row>
    <row r="46" spans="1:8" s="402" customFormat="1" ht="15" customHeight="1" x14ac:dyDescent="0.25">
      <c r="A46" s="418"/>
      <c r="B46" s="418"/>
      <c r="C46" s="418"/>
      <c r="D46" s="414" t="s">
        <v>1970</v>
      </c>
      <c r="E46" s="693">
        <v>0.43</v>
      </c>
      <c r="F46" s="693">
        <v>4.5999999999999996</v>
      </c>
      <c r="G46" s="694">
        <v>6</v>
      </c>
      <c r="H46" s="400"/>
    </row>
    <row r="47" spans="1:8" s="402" customFormat="1" ht="15" customHeight="1" x14ac:dyDescent="0.25">
      <c r="A47" s="418"/>
      <c r="B47" s="418"/>
      <c r="C47" s="418"/>
      <c r="D47" s="414" t="s">
        <v>947</v>
      </c>
      <c r="E47" s="693">
        <v>1.2</v>
      </c>
      <c r="F47" s="693">
        <v>12.9</v>
      </c>
      <c r="G47" s="694">
        <v>4</v>
      </c>
      <c r="H47" s="400"/>
    </row>
    <row r="48" spans="1:8" s="402" customFormat="1" ht="15" customHeight="1" x14ac:dyDescent="0.25">
      <c r="A48" s="418"/>
      <c r="B48" s="418"/>
      <c r="C48" s="418"/>
      <c r="D48" s="414" t="s">
        <v>948</v>
      </c>
      <c r="E48" s="693">
        <v>0.89</v>
      </c>
      <c r="F48" s="693">
        <v>9.6</v>
      </c>
      <c r="G48" s="695" t="s">
        <v>1070</v>
      </c>
      <c r="H48" s="400"/>
    </row>
    <row r="49" spans="1:8" s="402" customFormat="1" ht="15" customHeight="1" x14ac:dyDescent="0.25">
      <c r="A49" s="418"/>
      <c r="B49" s="418"/>
      <c r="C49" s="418"/>
      <c r="D49" s="414" t="s">
        <v>949</v>
      </c>
      <c r="E49" s="693">
        <v>2.2599999999999998</v>
      </c>
      <c r="F49" s="693">
        <v>24.3</v>
      </c>
      <c r="G49" s="694">
        <v>6</v>
      </c>
      <c r="H49" s="400"/>
    </row>
    <row r="50" spans="1:8" s="402" customFormat="1" ht="15" customHeight="1" x14ac:dyDescent="0.25">
      <c r="A50" s="418"/>
      <c r="B50" s="418"/>
      <c r="C50" s="418"/>
      <c r="D50" s="414" t="s">
        <v>950</v>
      </c>
      <c r="E50" s="693">
        <v>1.66</v>
      </c>
      <c r="F50" s="693">
        <v>17.899999999999999</v>
      </c>
      <c r="G50" s="694">
        <v>8</v>
      </c>
      <c r="H50" s="400"/>
    </row>
    <row r="51" spans="1:8" s="402" customFormat="1" ht="15" customHeight="1" x14ac:dyDescent="0.25">
      <c r="A51" s="418"/>
      <c r="B51" s="418"/>
      <c r="C51" s="418"/>
      <c r="D51" s="414" t="s">
        <v>951</v>
      </c>
      <c r="E51" s="693">
        <v>0.6</v>
      </c>
      <c r="F51" s="693">
        <v>6.5</v>
      </c>
      <c r="G51" s="694">
        <v>4</v>
      </c>
      <c r="H51" s="400"/>
    </row>
    <row r="52" spans="1:8" s="402" customFormat="1" ht="15" customHeight="1" x14ac:dyDescent="0.25">
      <c r="A52" s="418"/>
      <c r="B52" s="418"/>
      <c r="C52" s="418"/>
      <c r="D52" s="414" t="s">
        <v>952</v>
      </c>
      <c r="E52" s="693">
        <v>1.07</v>
      </c>
      <c r="F52" s="693">
        <v>11.5</v>
      </c>
      <c r="G52" s="694">
        <v>6</v>
      </c>
      <c r="H52" s="400"/>
    </row>
    <row r="53" spans="1:8" s="402" customFormat="1" ht="15" customHeight="1" x14ac:dyDescent="0.25">
      <c r="A53" s="418"/>
      <c r="B53" s="418"/>
      <c r="C53" s="418"/>
      <c r="D53" s="414" t="s">
        <v>953</v>
      </c>
      <c r="E53" s="693">
        <v>1.27</v>
      </c>
      <c r="F53" s="693">
        <v>13.7</v>
      </c>
      <c r="G53" s="694">
        <v>6</v>
      </c>
      <c r="H53" s="400"/>
    </row>
    <row r="54" spans="1:8" s="402" customFormat="1" ht="15" customHeight="1" x14ac:dyDescent="0.25">
      <c r="A54" s="418"/>
      <c r="B54" s="418"/>
      <c r="C54" s="418"/>
      <c r="D54" s="414" t="s">
        <v>954</v>
      </c>
      <c r="E54" s="693">
        <v>0.88</v>
      </c>
      <c r="F54" s="693">
        <v>9.5</v>
      </c>
      <c r="G54" s="694">
        <v>6</v>
      </c>
      <c r="H54" s="400"/>
    </row>
    <row r="55" spans="1:8" s="402" customFormat="1" ht="15" customHeight="1" x14ac:dyDescent="0.25">
      <c r="A55" s="418"/>
      <c r="B55" s="418"/>
      <c r="C55" s="418"/>
      <c r="D55" s="414" t="s">
        <v>955</v>
      </c>
      <c r="E55" s="693">
        <v>0.87</v>
      </c>
      <c r="F55" s="693">
        <v>9.4</v>
      </c>
      <c r="G55" s="694">
        <v>6</v>
      </c>
      <c r="H55" s="400"/>
    </row>
    <row r="56" spans="1:8" s="402" customFormat="1" ht="15" customHeight="1" x14ac:dyDescent="0.25">
      <c r="A56" s="418"/>
      <c r="B56" s="418"/>
      <c r="C56" s="418"/>
      <c r="D56" s="414" t="s">
        <v>956</v>
      </c>
      <c r="E56" s="693">
        <v>1.89</v>
      </c>
      <c r="F56" s="693">
        <v>20.3</v>
      </c>
      <c r="G56" s="694">
        <v>6</v>
      </c>
      <c r="H56" s="400"/>
    </row>
    <row r="57" spans="1:8" s="402" customFormat="1" ht="15" customHeight="1" x14ac:dyDescent="0.25">
      <c r="A57" s="418"/>
      <c r="B57" s="418"/>
      <c r="C57" s="418"/>
      <c r="D57" s="414" t="s">
        <v>957</v>
      </c>
      <c r="E57" s="693">
        <v>0.62</v>
      </c>
      <c r="F57" s="693">
        <v>6.7</v>
      </c>
      <c r="G57" s="694">
        <v>6</v>
      </c>
      <c r="H57" s="400"/>
    </row>
    <row r="58" spans="1:8" s="402" customFormat="1" ht="15" customHeight="1" x14ac:dyDescent="0.25">
      <c r="A58" s="418"/>
      <c r="B58" s="418"/>
      <c r="C58" s="418"/>
      <c r="D58" s="414" t="s">
        <v>958</v>
      </c>
      <c r="E58" s="693">
        <v>1.1399999999999999</v>
      </c>
      <c r="F58" s="693">
        <v>12.3</v>
      </c>
      <c r="G58" s="694">
        <v>6</v>
      </c>
      <c r="H58" s="400"/>
    </row>
    <row r="59" spans="1:8" s="402" customFormat="1" ht="15" customHeight="1" x14ac:dyDescent="0.25">
      <c r="A59" s="418"/>
      <c r="B59" s="418"/>
      <c r="C59" s="418"/>
      <c r="D59" s="414" t="s">
        <v>959</v>
      </c>
      <c r="E59" s="693">
        <v>0.91</v>
      </c>
      <c r="F59" s="693">
        <v>9.8000000000000007</v>
      </c>
      <c r="G59" s="694">
        <v>6</v>
      </c>
      <c r="H59" s="400"/>
    </row>
    <row r="60" spans="1:8" s="402" customFormat="1" ht="15" customHeight="1" x14ac:dyDescent="0.25">
      <c r="A60" s="418"/>
      <c r="B60" s="418"/>
      <c r="C60" s="418"/>
      <c r="D60" s="414" t="s">
        <v>960</v>
      </c>
      <c r="E60" s="693">
        <v>1.32</v>
      </c>
      <c r="F60" s="693">
        <v>14.2</v>
      </c>
      <c r="G60" s="694">
        <v>6</v>
      </c>
      <c r="H60" s="400"/>
    </row>
    <row r="61" spans="1:8" s="402" customFormat="1" ht="15" customHeight="1" x14ac:dyDescent="0.25">
      <c r="A61" s="418"/>
      <c r="B61" s="418"/>
      <c r="C61" s="418"/>
      <c r="D61" s="414" t="s">
        <v>961</v>
      </c>
      <c r="E61" s="693">
        <v>1.1499999999999999</v>
      </c>
      <c r="F61" s="693">
        <v>12.4</v>
      </c>
      <c r="G61" s="694">
        <v>6</v>
      </c>
      <c r="H61" s="400"/>
    </row>
    <row r="62" spans="1:8" s="402" customFormat="1" ht="15" customHeight="1" x14ac:dyDescent="0.25">
      <c r="A62" s="418"/>
      <c r="B62" s="418"/>
      <c r="C62" s="418"/>
      <c r="D62" s="414" t="s">
        <v>1974</v>
      </c>
      <c r="E62" s="693">
        <v>0.82</v>
      </c>
      <c r="F62" s="693">
        <v>8.8000000000000007</v>
      </c>
      <c r="G62" s="694">
        <v>4</v>
      </c>
      <c r="H62" s="400"/>
    </row>
    <row r="63" spans="1:8" s="402" customFormat="1" ht="15" customHeight="1" x14ac:dyDescent="0.25">
      <c r="A63" s="418"/>
      <c r="B63" s="418"/>
      <c r="C63" s="418"/>
      <c r="D63" s="414" t="s">
        <v>1975</v>
      </c>
      <c r="E63" s="693">
        <v>1.1100000000000001</v>
      </c>
      <c r="F63" s="693">
        <v>11.9</v>
      </c>
      <c r="G63" s="694">
        <v>6</v>
      </c>
      <c r="H63" s="400"/>
    </row>
    <row r="64" spans="1:8" s="402" customFormat="1" ht="15" customHeight="1" x14ac:dyDescent="0.25">
      <c r="A64" s="418"/>
      <c r="B64" s="418"/>
      <c r="C64" s="418"/>
      <c r="D64" s="414" t="s">
        <v>1976</v>
      </c>
      <c r="E64" s="693">
        <v>1.06</v>
      </c>
      <c r="F64" s="693">
        <v>11.4</v>
      </c>
      <c r="G64" s="694">
        <v>4</v>
      </c>
      <c r="H64" s="400"/>
    </row>
    <row r="65" spans="1:8" s="402" customFormat="1" ht="15" customHeight="1" x14ac:dyDescent="0.25">
      <c r="A65" s="418"/>
      <c r="B65" s="418"/>
      <c r="C65" s="418"/>
      <c r="D65" s="414" t="s">
        <v>1977</v>
      </c>
      <c r="E65" s="693">
        <v>0.88</v>
      </c>
      <c r="F65" s="693">
        <v>9.5</v>
      </c>
      <c r="G65" s="694">
        <v>4</v>
      </c>
      <c r="H65" s="400"/>
    </row>
    <row r="66" spans="1:8" s="402" customFormat="1" ht="15" customHeight="1" x14ac:dyDescent="0.25">
      <c r="A66" s="418"/>
      <c r="B66" s="418"/>
      <c r="C66" s="418"/>
      <c r="D66" s="414" t="s">
        <v>1978</v>
      </c>
      <c r="E66" s="693">
        <v>0.75</v>
      </c>
      <c r="F66" s="693">
        <v>8.1</v>
      </c>
      <c r="G66" s="694">
        <v>6</v>
      </c>
      <c r="H66" s="400"/>
    </row>
    <row r="67" spans="1:8" s="402" customFormat="1" ht="15" customHeight="1" x14ac:dyDescent="0.25">
      <c r="A67" s="418"/>
      <c r="B67" s="418"/>
      <c r="C67" s="418"/>
      <c r="D67" s="414" t="s">
        <v>962</v>
      </c>
      <c r="E67" s="693">
        <v>0.72</v>
      </c>
      <c r="F67" s="693">
        <v>7.8</v>
      </c>
      <c r="G67" s="694">
        <v>4</v>
      </c>
      <c r="H67" s="400"/>
    </row>
    <row r="68" spans="1:8" s="402" customFormat="1" ht="15" customHeight="1" x14ac:dyDescent="0.25">
      <c r="A68" s="418"/>
      <c r="B68" s="418"/>
      <c r="C68" s="418"/>
      <c r="D68" s="414" t="s">
        <v>963</v>
      </c>
      <c r="E68" s="693">
        <v>0.93</v>
      </c>
      <c r="F68" s="693">
        <v>10</v>
      </c>
      <c r="G68" s="694">
        <v>4</v>
      </c>
      <c r="H68" s="400"/>
    </row>
    <row r="69" spans="1:8" s="402" customFormat="1" ht="15" customHeight="1" x14ac:dyDescent="0.25">
      <c r="A69" s="418"/>
      <c r="B69" s="418"/>
      <c r="C69" s="418"/>
      <c r="D69" s="414" t="s">
        <v>964</v>
      </c>
      <c r="E69" s="693">
        <v>1.71</v>
      </c>
      <c r="F69" s="693">
        <v>18.399999999999999</v>
      </c>
      <c r="G69" s="694">
        <v>4</v>
      </c>
      <c r="H69" s="400"/>
    </row>
    <row r="70" spans="1:8" s="402" customFormat="1" ht="15" customHeight="1" x14ac:dyDescent="0.25">
      <c r="A70" s="418"/>
      <c r="B70" s="418"/>
      <c r="C70" s="418"/>
      <c r="D70" s="701" t="s">
        <v>965</v>
      </c>
      <c r="E70" s="693">
        <v>0.41</v>
      </c>
      <c r="F70" s="693">
        <v>4.4000000000000004</v>
      </c>
      <c r="G70" s="695" t="s">
        <v>1070</v>
      </c>
      <c r="H70" s="400"/>
    </row>
    <row r="71" spans="1:8" s="402" customFormat="1" ht="15" customHeight="1" x14ac:dyDescent="0.25">
      <c r="A71" s="418"/>
      <c r="B71" s="418"/>
      <c r="C71" s="418"/>
      <c r="D71" s="701" t="s">
        <v>966</v>
      </c>
      <c r="E71" s="693">
        <v>1.29</v>
      </c>
      <c r="F71" s="693">
        <v>13.9</v>
      </c>
      <c r="G71" s="694">
        <v>4</v>
      </c>
      <c r="H71" s="400"/>
    </row>
    <row r="72" spans="1:8" s="402" customFormat="1" ht="15" customHeight="1" x14ac:dyDescent="0.25">
      <c r="A72" s="418"/>
      <c r="B72" s="418"/>
      <c r="C72" s="418"/>
      <c r="D72" s="701" t="s">
        <v>967</v>
      </c>
      <c r="E72" s="693">
        <v>0.95</v>
      </c>
      <c r="F72" s="693">
        <v>10.199999999999999</v>
      </c>
      <c r="G72" s="694">
        <v>6</v>
      </c>
      <c r="H72" s="400"/>
    </row>
    <row r="73" spans="1:8" s="402" customFormat="1" ht="15" customHeight="1" x14ac:dyDescent="0.25">
      <c r="A73" s="418"/>
      <c r="B73" s="418"/>
      <c r="C73" s="418"/>
      <c r="D73" s="414" t="s">
        <v>1979</v>
      </c>
      <c r="E73" s="693">
        <v>1.05</v>
      </c>
      <c r="F73" s="693">
        <v>11.3</v>
      </c>
      <c r="G73" s="694">
        <v>4</v>
      </c>
      <c r="H73" s="400"/>
    </row>
    <row r="74" spans="1:8" s="402" customFormat="1" ht="15" customHeight="1" x14ac:dyDescent="0.25">
      <c r="A74" s="418"/>
      <c r="B74" s="418"/>
      <c r="C74" s="418"/>
      <c r="D74" s="414" t="s">
        <v>1980</v>
      </c>
      <c r="E74" s="693">
        <v>1.23</v>
      </c>
      <c r="F74" s="693">
        <v>13.2</v>
      </c>
      <c r="G74" s="694">
        <v>4</v>
      </c>
      <c r="H74" s="400"/>
    </row>
    <row r="75" spans="1:8" s="402" customFormat="1" ht="15" customHeight="1" x14ac:dyDescent="0.25">
      <c r="A75" s="418"/>
      <c r="B75" s="418"/>
      <c r="C75" s="418"/>
      <c r="D75" s="701" t="s">
        <v>1981</v>
      </c>
      <c r="E75" s="693">
        <v>1.19</v>
      </c>
      <c r="F75" s="693">
        <v>12.8</v>
      </c>
      <c r="G75" s="694">
        <v>4</v>
      </c>
      <c r="H75" s="400"/>
    </row>
    <row r="76" spans="1:8" s="402" customFormat="1" ht="15" customHeight="1" x14ac:dyDescent="0.25">
      <c r="A76" s="418"/>
      <c r="B76" s="418"/>
      <c r="C76" s="418"/>
      <c r="D76" s="701" t="s">
        <v>968</v>
      </c>
      <c r="E76" s="693">
        <v>1.05</v>
      </c>
      <c r="F76" s="693">
        <v>11.3</v>
      </c>
      <c r="G76" s="694">
        <v>6</v>
      </c>
      <c r="H76" s="400"/>
    </row>
    <row r="77" spans="1:8" s="402" customFormat="1" ht="15" customHeight="1" x14ac:dyDescent="0.25">
      <c r="A77" s="418"/>
      <c r="B77" s="418"/>
      <c r="C77" s="418"/>
      <c r="D77" s="701" t="s">
        <v>969</v>
      </c>
      <c r="E77" s="693">
        <v>1.02</v>
      </c>
      <c r="F77" s="693">
        <v>11</v>
      </c>
      <c r="G77" s="694">
        <v>6</v>
      </c>
      <c r="H77" s="400"/>
    </row>
    <row r="78" spans="1:8" s="402" customFormat="1" ht="15" customHeight="1" x14ac:dyDescent="0.25">
      <c r="A78" s="418"/>
      <c r="B78" s="418"/>
      <c r="C78" s="418"/>
      <c r="D78" s="414" t="s">
        <v>970</v>
      </c>
      <c r="E78" s="693">
        <v>0.19</v>
      </c>
      <c r="F78" s="693">
        <v>2</v>
      </c>
      <c r="G78" s="694">
        <v>4</v>
      </c>
      <c r="H78" s="400"/>
    </row>
    <row r="79" spans="1:8" s="402" customFormat="1" ht="15" customHeight="1" x14ac:dyDescent="0.25">
      <c r="A79" s="418"/>
      <c r="B79" s="418"/>
      <c r="C79" s="418"/>
      <c r="D79" s="701" t="s">
        <v>971</v>
      </c>
      <c r="E79" s="693">
        <v>0.94</v>
      </c>
      <c r="F79" s="693">
        <v>10.1</v>
      </c>
      <c r="G79" s="694">
        <v>4</v>
      </c>
      <c r="H79" s="400"/>
    </row>
    <row r="80" spans="1:8" s="402" customFormat="1" ht="15" customHeight="1" x14ac:dyDescent="0.25">
      <c r="A80" s="418"/>
      <c r="B80" s="418"/>
      <c r="C80" s="418"/>
      <c r="D80" s="701" t="s">
        <v>972</v>
      </c>
      <c r="E80" s="693">
        <v>1.53</v>
      </c>
      <c r="F80" s="693">
        <v>16.5</v>
      </c>
      <c r="G80" s="694">
        <v>4</v>
      </c>
      <c r="H80" s="400"/>
    </row>
    <row r="81" spans="1:20" s="402" customFormat="1" ht="15" customHeight="1" x14ac:dyDescent="0.25">
      <c r="A81" s="418"/>
      <c r="B81" s="418"/>
      <c r="C81" s="418"/>
      <c r="D81" s="414" t="s">
        <v>973</v>
      </c>
      <c r="E81" s="693">
        <v>0.64</v>
      </c>
      <c r="F81" s="693">
        <v>6.9</v>
      </c>
      <c r="G81" s="694">
        <v>4</v>
      </c>
      <c r="H81" s="400"/>
    </row>
    <row r="82" spans="1:20" s="402" customFormat="1" ht="15" customHeight="1" x14ac:dyDescent="0.25">
      <c r="A82" s="418"/>
      <c r="B82" s="418"/>
      <c r="C82" s="418"/>
      <c r="D82" s="414" t="s">
        <v>974</v>
      </c>
      <c r="E82" s="693">
        <v>1.53</v>
      </c>
      <c r="F82" s="693">
        <v>16.5</v>
      </c>
      <c r="G82" s="694">
        <v>4</v>
      </c>
      <c r="H82" s="400"/>
    </row>
    <row r="83" spans="1:20" s="402" customFormat="1" ht="15" customHeight="1" x14ac:dyDescent="0.25">
      <c r="A83" s="418"/>
      <c r="B83" s="418"/>
      <c r="C83" s="418"/>
      <c r="D83" s="414" t="s">
        <v>975</v>
      </c>
      <c r="E83" s="693">
        <v>0.87</v>
      </c>
      <c r="F83" s="693">
        <v>9.4</v>
      </c>
      <c r="G83" s="694">
        <v>8</v>
      </c>
      <c r="H83" s="400"/>
    </row>
    <row r="84" spans="1:20" s="402" customFormat="1" ht="15" customHeight="1" x14ac:dyDescent="0.25">
      <c r="A84" s="418"/>
      <c r="B84" s="418"/>
      <c r="C84" s="418"/>
      <c r="D84" s="414" t="s">
        <v>976</v>
      </c>
      <c r="E84" s="693">
        <v>1.1000000000000001</v>
      </c>
      <c r="F84" s="693">
        <v>11.8</v>
      </c>
      <c r="G84" s="694">
        <v>4</v>
      </c>
      <c r="H84" s="400"/>
    </row>
    <row r="85" spans="1:20" s="402" customFormat="1" ht="15" customHeight="1" x14ac:dyDescent="0.25">
      <c r="A85" s="418"/>
      <c r="B85" s="418"/>
      <c r="C85" s="418"/>
      <c r="D85" s="414" t="s">
        <v>1982</v>
      </c>
      <c r="E85" s="693">
        <v>1.68</v>
      </c>
      <c r="F85" s="693">
        <v>18.100000000000001</v>
      </c>
      <c r="G85" s="694">
        <v>6</v>
      </c>
      <c r="H85" s="400"/>
    </row>
    <row r="86" spans="1:20" s="402" customFormat="1" ht="15" customHeight="1" x14ac:dyDescent="0.25">
      <c r="A86" s="418"/>
      <c r="B86" s="418"/>
      <c r="C86" s="418"/>
      <c r="D86" s="414" t="s">
        <v>977</v>
      </c>
      <c r="E86" s="693">
        <v>0.43</v>
      </c>
      <c r="F86" s="693">
        <v>4.5999999999999996</v>
      </c>
      <c r="G86" s="694">
        <v>4</v>
      </c>
      <c r="H86" s="400"/>
    </row>
    <row r="87" spans="1:20" s="402" customFormat="1" ht="15" customHeight="1" x14ac:dyDescent="0.25">
      <c r="A87" s="418"/>
      <c r="B87" s="418"/>
      <c r="C87" s="418"/>
      <c r="D87" s="414" t="s">
        <v>978</v>
      </c>
      <c r="E87" s="693">
        <v>0.72</v>
      </c>
      <c r="F87" s="693">
        <v>7.8</v>
      </c>
      <c r="G87" s="694">
        <v>4</v>
      </c>
      <c r="H87" s="400"/>
    </row>
    <row r="88" spans="1:20" s="402" customFormat="1" ht="15" customHeight="1" x14ac:dyDescent="0.25">
      <c r="A88" s="418"/>
      <c r="B88" s="418"/>
      <c r="C88" s="418"/>
      <c r="D88" s="414" t="s">
        <v>979</v>
      </c>
      <c r="E88" s="693">
        <v>1.2</v>
      </c>
      <c r="F88" s="693">
        <v>12.9</v>
      </c>
      <c r="G88" s="694">
        <v>4</v>
      </c>
      <c r="H88" s="400"/>
    </row>
    <row r="89" spans="1:20" s="402" customFormat="1" ht="15" customHeight="1" x14ac:dyDescent="0.25">
      <c r="A89" s="418"/>
      <c r="B89" s="418"/>
      <c r="C89" s="418"/>
      <c r="D89" s="414" t="s">
        <v>980</v>
      </c>
      <c r="E89" s="693">
        <v>1.92</v>
      </c>
      <c r="F89" s="693">
        <v>20.7</v>
      </c>
      <c r="G89" s="694">
        <v>4</v>
      </c>
      <c r="H89" s="400"/>
    </row>
    <row r="90" spans="1:20" s="402" customFormat="1" ht="15" customHeight="1" x14ac:dyDescent="0.25">
      <c r="A90" s="418"/>
      <c r="B90" s="418"/>
      <c r="C90" s="418"/>
      <c r="D90" s="414" t="s">
        <v>981</v>
      </c>
      <c r="E90" s="693">
        <v>3.01</v>
      </c>
      <c r="F90" s="693">
        <v>32.4</v>
      </c>
      <c r="G90" s="694">
        <v>4</v>
      </c>
      <c r="H90" s="400"/>
    </row>
    <row r="91" spans="1:20" s="402" customFormat="1" ht="15" customHeight="1" x14ac:dyDescent="0.25">
      <c r="A91" s="418"/>
      <c r="B91" s="418"/>
      <c r="C91" s="418"/>
      <c r="D91" s="414" t="s">
        <v>982</v>
      </c>
      <c r="E91" s="693">
        <v>2.68</v>
      </c>
      <c r="F91" s="693">
        <v>28.8</v>
      </c>
      <c r="G91" s="694">
        <v>4</v>
      </c>
      <c r="H91" s="400"/>
    </row>
    <row r="92" spans="1:20" s="402" customFormat="1" ht="15" customHeight="1" x14ac:dyDescent="0.25">
      <c r="A92" s="418"/>
      <c r="B92" s="418"/>
      <c r="C92" s="418"/>
      <c r="D92" s="414" t="s">
        <v>983</v>
      </c>
      <c r="E92" s="693">
        <v>0.76</v>
      </c>
      <c r="F92" s="693">
        <v>8.1999999999999993</v>
      </c>
      <c r="G92" s="694">
        <v>4</v>
      </c>
      <c r="H92" s="400"/>
    </row>
    <row r="93" spans="1:20" s="402" customFormat="1" ht="15" customHeight="1" x14ac:dyDescent="0.25">
      <c r="A93" s="418"/>
      <c r="B93" s="418"/>
      <c r="C93" s="418"/>
      <c r="D93" s="414" t="s">
        <v>984</v>
      </c>
      <c r="E93" s="693">
        <v>0.36</v>
      </c>
      <c r="F93" s="693">
        <v>3.9</v>
      </c>
      <c r="G93" s="694">
        <v>4</v>
      </c>
      <c r="H93" s="400"/>
    </row>
    <row r="94" spans="1:20" s="402" customFormat="1" ht="15" customHeight="1" x14ac:dyDescent="0.25">
      <c r="A94" s="418"/>
      <c r="B94" s="418"/>
      <c r="C94" s="418"/>
      <c r="D94" s="414" t="s">
        <v>985</v>
      </c>
      <c r="E94" s="693">
        <v>0.54</v>
      </c>
      <c r="F94" s="693">
        <v>5.8</v>
      </c>
      <c r="G94" s="694">
        <v>4</v>
      </c>
      <c r="H94" s="400"/>
    </row>
    <row r="95" spans="1:20" s="402" customFormat="1" ht="15" customHeight="1" x14ac:dyDescent="0.25">
      <c r="A95" s="418"/>
      <c r="B95" s="418"/>
      <c r="C95" s="418"/>
      <c r="D95" s="414" t="s">
        <v>986</v>
      </c>
      <c r="E95" s="693">
        <v>1.08</v>
      </c>
      <c r="F95" s="693">
        <v>11.6</v>
      </c>
      <c r="G95" s="694">
        <v>4</v>
      </c>
      <c r="H95" s="400"/>
      <c r="I95" s="26"/>
      <c r="J95" s="26"/>
      <c r="K95" s="26"/>
      <c r="L95" s="26"/>
      <c r="M95" s="26"/>
      <c r="N95" s="26"/>
      <c r="O95" s="26"/>
      <c r="P95" s="26"/>
      <c r="Q95" s="26"/>
      <c r="R95" s="26"/>
      <c r="S95" s="26"/>
      <c r="T95" s="26"/>
    </row>
    <row r="96" spans="1:20" x14ac:dyDescent="0.25">
      <c r="D96" s="700" t="s">
        <v>987</v>
      </c>
      <c r="E96" s="693">
        <v>0.95</v>
      </c>
      <c r="F96" s="693">
        <v>10.199999999999999</v>
      </c>
      <c r="G96" s="694">
        <v>6</v>
      </c>
    </row>
    <row r="97" spans="4:7" x14ac:dyDescent="0.25">
      <c r="D97" s="702" t="s">
        <v>988</v>
      </c>
      <c r="E97" s="697">
        <v>0.57999999999999996</v>
      </c>
      <c r="F97" s="697">
        <v>6.2</v>
      </c>
      <c r="G97" s="698">
        <v>4</v>
      </c>
    </row>
  </sheetData>
  <sheetProtection algorithmName="SHA-512" hashValue="ivL9eDwyo0+jHhpcgHI1Lkidzk98+ELiDwQhUhZ8A1Y1PNuru10q8ftVikdRnbe56ZXRvjIfgCyB5G1vsmpDeQ==" saltValue="Rh7sTVAt+JrNUL7y8iEoMw==" spinCount="100000" sheet="1" objects="1" scenarios="1"/>
  <customSheetViews>
    <customSheetView guid="{75D6F8CE-A4F4-4FDD-BA92-7996F9E19FA9}" scale="85" showGridLines="0">
      <pane ySplit="2" topLeftCell="A3" activePane="bottomLeft" state="frozen"/>
      <selection pane="bottomLeft" activeCell="M43" sqref="M43"/>
      <pageMargins left="0.7" right="0.7" top="0.75" bottom="0.75" header="0.3" footer="0.3"/>
      <pageSetup orientation="portrait"/>
    </customSheetView>
  </customSheetViews>
  <mergeCells count="10">
    <mergeCell ref="A1:A2"/>
    <mergeCell ref="D1:D2"/>
    <mergeCell ref="E1:F1"/>
    <mergeCell ref="W1:W2"/>
    <mergeCell ref="X1:X2"/>
    <mergeCell ref="J1:J2"/>
    <mergeCell ref="I1:I2"/>
    <mergeCell ref="V1:V2"/>
    <mergeCell ref="B1:C1"/>
    <mergeCell ref="G1:G2"/>
  </mergeCells>
  <pageMargins left="0.7" right="0.7" top="0.75" bottom="0.75" header="0.3" footer="0.3"/>
  <pageSetup orientation="portrait"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A89"/>
  <sheetViews>
    <sheetView showGridLines="0" zoomScaleNormal="100" zoomScaleSheetLayoutView="100" zoomScalePageLayoutView="90" workbookViewId="0">
      <selection activeCell="Q24" sqref="Q24"/>
    </sheetView>
  </sheetViews>
  <sheetFormatPr defaultColWidth="8.7109375" defaultRowHeight="12.75" outlineLevelCol="1" x14ac:dyDescent="0.2"/>
  <cols>
    <col min="1" max="1" width="3.7109375" style="36" customWidth="1"/>
    <col min="2" max="2" width="15" style="36" customWidth="1"/>
    <col min="3" max="3" width="15.140625" style="36" customWidth="1"/>
    <col min="4" max="4" width="15.5703125" style="36" customWidth="1"/>
    <col min="5" max="5" width="15.7109375" style="36" customWidth="1"/>
    <col min="6" max="6" width="17.140625" style="36" customWidth="1"/>
    <col min="7" max="7" width="20.140625" style="36" customWidth="1"/>
    <col min="8" max="8" width="9.7109375" style="61" customWidth="1"/>
    <col min="9" max="9" width="15.7109375" style="29" customWidth="1"/>
    <col min="10" max="11" width="2.7109375" style="36" customWidth="1"/>
    <col min="12" max="14" width="8.7109375" style="36" hidden="1" customWidth="1" outlineLevel="1"/>
    <col min="15" max="15" width="2.7109375" style="36" customWidth="1" collapsed="1"/>
    <col min="16" max="16" width="2.7109375" style="36" customWidth="1"/>
    <col min="17" max="17" width="50.7109375" style="36" customWidth="1"/>
    <col min="18" max="51" width="8.7109375" style="36" customWidth="1"/>
    <col min="52" max="16384" width="8.7109375" style="36"/>
  </cols>
  <sheetData>
    <row r="1" spans="1:18" s="25" customFormat="1" x14ac:dyDescent="0.2">
      <c r="A1" s="819" t="s">
        <v>1298</v>
      </c>
      <c r="B1" s="35"/>
      <c r="C1" s="35"/>
      <c r="D1" s="35"/>
      <c r="E1" s="35"/>
      <c r="F1" s="35"/>
      <c r="G1" s="35"/>
      <c r="H1" s="35"/>
      <c r="I1" s="35"/>
      <c r="J1" s="36"/>
      <c r="K1" s="36"/>
      <c r="L1" s="36"/>
      <c r="M1" s="36"/>
      <c r="N1" s="36"/>
    </row>
    <row r="2" spans="1:18" s="25" customFormat="1" ht="24.75" customHeight="1" x14ac:dyDescent="0.2">
      <c r="A2" s="819" t="s">
        <v>1298</v>
      </c>
      <c r="B2" s="44" t="s">
        <v>1033</v>
      </c>
      <c r="C2" s="49"/>
      <c r="D2" s="49"/>
      <c r="E2" s="49"/>
      <c r="F2" s="49"/>
      <c r="G2" s="49"/>
      <c r="H2" s="49"/>
      <c r="I2" s="49"/>
      <c r="J2" s="36"/>
      <c r="K2" s="36"/>
      <c r="L2" s="36"/>
      <c r="M2" s="36"/>
      <c r="N2" s="36"/>
    </row>
    <row r="3" spans="1:18" s="25" customFormat="1" ht="15" customHeight="1" x14ac:dyDescent="0.2">
      <c r="A3" s="819" t="s">
        <v>1298</v>
      </c>
      <c r="B3" s="35"/>
      <c r="C3" s="35"/>
      <c r="D3" s="35"/>
      <c r="E3" s="35"/>
      <c r="F3" s="35"/>
      <c r="G3" s="35"/>
      <c r="H3" s="35"/>
      <c r="I3" s="35"/>
      <c r="J3" s="36"/>
      <c r="K3" s="36"/>
      <c r="L3" s="36"/>
      <c r="M3" s="36"/>
      <c r="N3" s="36"/>
    </row>
    <row r="4" spans="1:18" ht="21.75" customHeight="1" x14ac:dyDescent="0.2">
      <c r="A4" s="675" t="s">
        <v>1298</v>
      </c>
      <c r="H4" s="36"/>
      <c r="I4" s="36"/>
    </row>
    <row r="5" spans="1:18" ht="49.5" customHeight="1" x14ac:dyDescent="0.2">
      <c r="A5" s="675" t="s">
        <v>1298</v>
      </c>
      <c r="B5" s="2626" t="s">
        <v>1055</v>
      </c>
      <c r="C5" s="2626"/>
      <c r="D5" s="2626"/>
      <c r="E5" s="2626"/>
      <c r="F5" s="2626"/>
      <c r="G5" s="2626"/>
      <c r="H5" s="69"/>
      <c r="L5" s="29"/>
      <c r="Q5" s="1082" t="s">
        <v>2090</v>
      </c>
    </row>
    <row r="6" spans="1:18" x14ac:dyDescent="0.2">
      <c r="A6" s="675" t="s">
        <v>1298</v>
      </c>
      <c r="B6" s="70"/>
      <c r="C6" s="53"/>
      <c r="D6" s="53"/>
      <c r="E6" s="53"/>
      <c r="F6" s="53"/>
      <c r="G6" s="53"/>
      <c r="H6" s="69"/>
      <c r="L6" s="29"/>
    </row>
    <row r="7" spans="1:18" s="25" customFormat="1" ht="26.25" customHeight="1" x14ac:dyDescent="0.2">
      <c r="A7" s="675" t="s">
        <v>1298</v>
      </c>
      <c r="B7" s="31" t="s">
        <v>1057</v>
      </c>
      <c r="C7" s="33"/>
      <c r="D7" s="33"/>
      <c r="E7" s="33"/>
      <c r="F7" s="33"/>
      <c r="G7" s="33"/>
      <c r="H7" s="33"/>
      <c r="L7" s="33"/>
      <c r="M7" s="33"/>
      <c r="N7" s="33"/>
      <c r="O7" s="33"/>
      <c r="P7" s="118"/>
      <c r="Q7" s="118"/>
      <c r="R7" s="118"/>
    </row>
    <row r="8" spans="1:18" ht="70.5" customHeight="1" x14ac:dyDescent="0.2">
      <c r="A8" s="675" t="s">
        <v>1298</v>
      </c>
      <c r="B8" s="2857" t="s">
        <v>1052</v>
      </c>
      <c r="C8" s="2941"/>
      <c r="D8" s="2941"/>
      <c r="E8" s="2941"/>
      <c r="F8" s="2941"/>
      <c r="G8" s="2941"/>
      <c r="H8" s="2941"/>
      <c r="I8" s="1908" t="s">
        <v>25</v>
      </c>
      <c r="L8" s="29"/>
      <c r="Q8" s="2278"/>
    </row>
    <row r="9" spans="1:18" s="1" customFormat="1" ht="9.75" customHeight="1" x14ac:dyDescent="0.25">
      <c r="A9" s="675" t="s">
        <v>1298</v>
      </c>
      <c r="D9" s="659"/>
      <c r="P9" s="431"/>
      <c r="Q9" s="431"/>
      <c r="R9" s="431"/>
    </row>
    <row r="10" spans="1:18" ht="32.25" customHeight="1" x14ac:dyDescent="0.2">
      <c r="A10" s="675" t="s">
        <v>1298</v>
      </c>
      <c r="B10" s="2942" t="s">
        <v>242</v>
      </c>
      <c r="C10" s="2704"/>
      <c r="D10" s="2704"/>
      <c r="E10" s="2704"/>
      <c r="F10" s="2704"/>
      <c r="G10" s="2704"/>
      <c r="H10" s="2704"/>
      <c r="I10" s="1908" t="s">
        <v>25</v>
      </c>
      <c r="L10" s="29"/>
      <c r="Q10" s="2278"/>
    </row>
    <row r="11" spans="1:18" ht="20.25" customHeight="1" x14ac:dyDescent="0.2">
      <c r="A11" s="675" t="s">
        <v>1298</v>
      </c>
      <c r="L11" s="29"/>
    </row>
    <row r="12" spans="1:18" s="25" customFormat="1" ht="48" customHeight="1" x14ac:dyDescent="0.2">
      <c r="A12" s="675" t="s">
        <v>1298</v>
      </c>
      <c r="B12" s="2946" t="s">
        <v>279</v>
      </c>
      <c r="C12" s="2946"/>
      <c r="D12" s="2946"/>
      <c r="E12" s="2946"/>
      <c r="F12" s="2946"/>
      <c r="G12" s="2946"/>
      <c r="H12" s="2946"/>
      <c r="I12" s="2946"/>
      <c r="L12" s="62"/>
      <c r="O12" s="26"/>
    </row>
    <row r="13" spans="1:18" s="25" customFormat="1" ht="21" customHeight="1" x14ac:dyDescent="0.2">
      <c r="A13" s="675" t="s">
        <v>1298</v>
      </c>
      <c r="B13" s="2943"/>
      <c r="C13" s="2944"/>
      <c r="D13" s="2944"/>
      <c r="E13" s="2944"/>
      <c r="F13" s="2944"/>
      <c r="G13" s="2944"/>
      <c r="H13" s="2944"/>
      <c r="I13" s="2945"/>
      <c r="L13" s="40"/>
      <c r="O13" s="26"/>
      <c r="Q13" s="2279"/>
    </row>
    <row r="14" spans="1:18" s="25" customFormat="1" ht="21" customHeight="1" x14ac:dyDescent="0.2">
      <c r="A14" s="675" t="s">
        <v>1298</v>
      </c>
      <c r="B14" s="63"/>
      <c r="C14" s="63"/>
      <c r="D14" s="63"/>
      <c r="E14" s="63"/>
      <c r="F14" s="63"/>
      <c r="G14" s="63"/>
      <c r="H14" s="63"/>
      <c r="L14" s="63"/>
      <c r="O14" s="26"/>
    </row>
    <row r="15" spans="1:18" s="25" customFormat="1" ht="26.25" customHeight="1" x14ac:dyDescent="0.2">
      <c r="A15" s="675" t="s">
        <v>1298</v>
      </c>
      <c r="B15" s="28" t="s">
        <v>127</v>
      </c>
      <c r="C15" s="33"/>
      <c r="D15" s="33"/>
      <c r="E15" s="33"/>
      <c r="F15" s="33"/>
      <c r="G15" s="33"/>
      <c r="H15" s="33"/>
      <c r="L15" s="33"/>
      <c r="M15" s="33"/>
      <c r="N15" s="33"/>
      <c r="O15" s="33"/>
    </row>
    <row r="16" spans="1:18" ht="63" customHeight="1" x14ac:dyDescent="0.2">
      <c r="A16" s="675" t="s">
        <v>1298</v>
      </c>
      <c r="B16" s="2949" t="s">
        <v>328</v>
      </c>
      <c r="C16" s="2950"/>
      <c r="D16" s="2950"/>
      <c r="E16" s="2950"/>
      <c r="F16" s="2950"/>
      <c r="G16" s="2947" t="s">
        <v>1609</v>
      </c>
      <c r="H16" s="2947"/>
      <c r="I16" s="2948"/>
      <c r="L16" s="29"/>
      <c r="M16" s="1540" t="b">
        <v>1</v>
      </c>
      <c r="N16" s="1540" t="b">
        <v>0</v>
      </c>
      <c r="Q16" s="2278"/>
    </row>
    <row r="17" spans="1:17" s="25" customFormat="1" ht="21" customHeight="1" x14ac:dyDescent="0.2">
      <c r="A17" s="675" t="s">
        <v>1298</v>
      </c>
      <c r="B17" s="63"/>
      <c r="C17" s="63"/>
      <c r="D17" s="63"/>
      <c r="E17" s="63"/>
      <c r="F17" s="63"/>
      <c r="G17" s="63"/>
      <c r="H17" s="63"/>
      <c r="L17" s="63"/>
      <c r="O17" s="26"/>
    </row>
    <row r="18" spans="1:17" s="25" customFormat="1" ht="21" customHeight="1" x14ac:dyDescent="0.2">
      <c r="A18" s="675" t="s">
        <v>1298</v>
      </c>
      <c r="B18" s="28" t="s">
        <v>129</v>
      </c>
      <c r="C18" s="33"/>
      <c r="D18" s="33"/>
      <c r="E18" s="33"/>
      <c r="F18" s="33"/>
      <c r="G18" s="33"/>
      <c r="L18" s="33"/>
      <c r="M18" s="33"/>
      <c r="N18" s="33"/>
      <c r="O18" s="33"/>
    </row>
    <row r="19" spans="1:17" s="60" customFormat="1" ht="15" customHeight="1" x14ac:dyDescent="0.2">
      <c r="A19" s="675" t="s">
        <v>1298</v>
      </c>
      <c r="B19" s="76"/>
      <c r="C19" s="75"/>
      <c r="D19" s="75"/>
      <c r="E19" s="75"/>
      <c r="F19" s="75"/>
    </row>
    <row r="20" spans="1:17" ht="71.25" customHeight="1" x14ac:dyDescent="0.2">
      <c r="A20" s="675" t="s">
        <v>1298</v>
      </c>
      <c r="B20" s="56" t="s">
        <v>1357</v>
      </c>
      <c r="C20" s="2749" t="s">
        <v>128</v>
      </c>
      <c r="D20" s="2749"/>
      <c r="E20" s="936" t="str">
        <f>IF('General Information'!$I$12="IP","Total Building Type Area
(sq ft)","Total Building Type Area
(sq m)")</f>
        <v>Total Building Type Area
(sq ft)</v>
      </c>
      <c r="F20" s="936" t="str">
        <f>IF('General Information'!$I$12="IP","Equipment Power Density
(W/sq ft)","Equipment Power Density
(W/sq m)")</f>
        <v>Equipment Power Density
(W/sq ft)</v>
      </c>
      <c r="G20" s="936" t="s">
        <v>124</v>
      </c>
      <c r="H20" s="2749" t="s">
        <v>322</v>
      </c>
      <c r="I20" s="2961"/>
      <c r="L20" s="61"/>
      <c r="M20" s="29"/>
    </row>
    <row r="21" spans="1:17" ht="65.25" hidden="1" customHeight="1" x14ac:dyDescent="0.2">
      <c r="A21" s="1097"/>
      <c r="B21" s="1909"/>
      <c r="C21" s="2957"/>
      <c r="D21" s="2958"/>
      <c r="E21" s="1910"/>
      <c r="F21" s="1910"/>
      <c r="G21" s="1910"/>
      <c r="H21" s="2957"/>
      <c r="I21" s="2959"/>
      <c r="L21" s="1084"/>
      <c r="M21" s="29"/>
    </row>
    <row r="22" spans="1:17" ht="15" hidden="1" customHeight="1" x14ac:dyDescent="0.2">
      <c r="A22" s="1097"/>
      <c r="B22" s="1057" t="str">
        <f>'Multiple Buildings Details'!B24</f>
        <v>SEA Building Addition</v>
      </c>
      <c r="C22" s="2971" t="str">
        <f>"Hotel"</f>
        <v>Hotel</v>
      </c>
      <c r="D22" s="2971"/>
      <c r="E22" s="1091"/>
      <c r="F22" s="2235"/>
      <c r="G22" s="1096"/>
      <c r="H22" s="2935"/>
      <c r="I22" s="2938"/>
      <c r="L22" s="1084"/>
      <c r="M22" s="29"/>
      <c r="Q22" s="2278"/>
    </row>
    <row r="23" spans="1:17" ht="15" hidden="1" customHeight="1" x14ac:dyDescent="0.2">
      <c r="A23" s="675" t="s">
        <v>915</v>
      </c>
      <c r="B23" s="1092" t="str">
        <f t="shared" ref="B23:B28" si="0">GI_Project_Name</f>
        <v>SEA Building Addition</v>
      </c>
      <c r="C23" s="2953"/>
      <c r="D23" s="2953"/>
      <c r="E23" s="1091"/>
      <c r="F23" s="1094"/>
      <c r="G23" s="1096"/>
      <c r="H23" s="2935"/>
      <c r="I23" s="2938"/>
      <c r="L23" s="121" t="str">
        <f t="shared" ref="L23:L28" si="1">IF(H23="No","Submit savings using Exceptional Calculation","")</f>
        <v/>
      </c>
      <c r="M23" s="29"/>
      <c r="Q23" s="2278"/>
    </row>
    <row r="24" spans="1:17" ht="15" customHeight="1" x14ac:dyDescent="0.2">
      <c r="A24" s="675"/>
      <c r="B24" s="1092" t="str">
        <f t="shared" si="0"/>
        <v>SEA Building Addition</v>
      </c>
      <c r="C24" s="2953" t="s">
        <v>78</v>
      </c>
      <c r="D24" s="2953"/>
      <c r="E24" s="1091">
        <v>28819</v>
      </c>
      <c r="F24" s="1094">
        <v>1.83</v>
      </c>
      <c r="G24" s="1096"/>
      <c r="H24" s="2935" t="s">
        <v>25</v>
      </c>
      <c r="I24" s="2938"/>
      <c r="L24" s="121" t="str">
        <f t="shared" si="1"/>
        <v/>
      </c>
      <c r="M24" s="29"/>
      <c r="Q24" s="2278"/>
    </row>
    <row r="25" spans="1:17" ht="15" customHeight="1" x14ac:dyDescent="0.2">
      <c r="A25" s="675"/>
      <c r="B25" s="1092" t="str">
        <f t="shared" si="0"/>
        <v>SEA Building Addition</v>
      </c>
      <c r="C25" s="2953"/>
      <c r="D25" s="2953"/>
      <c r="E25" s="1091"/>
      <c r="F25" s="1094"/>
      <c r="G25" s="1096"/>
      <c r="H25" s="2935"/>
      <c r="I25" s="2938"/>
      <c r="L25" s="121" t="str">
        <f t="shared" si="1"/>
        <v/>
      </c>
      <c r="M25" s="29"/>
      <c r="Q25" s="2278"/>
    </row>
    <row r="26" spans="1:17" ht="15" customHeight="1" x14ac:dyDescent="0.2">
      <c r="A26" s="675"/>
      <c r="B26" s="1092" t="str">
        <f t="shared" si="0"/>
        <v>SEA Building Addition</v>
      </c>
      <c r="C26" s="2953"/>
      <c r="D26" s="2953"/>
      <c r="E26" s="1091"/>
      <c r="F26" s="1094"/>
      <c r="G26" s="1096"/>
      <c r="H26" s="2935"/>
      <c r="I26" s="2938"/>
      <c r="L26" s="121" t="str">
        <f t="shared" si="1"/>
        <v/>
      </c>
      <c r="M26" s="29"/>
      <c r="Q26" s="2278"/>
    </row>
    <row r="27" spans="1:17" ht="15" customHeight="1" x14ac:dyDescent="0.2">
      <c r="A27" s="675"/>
      <c r="B27" s="1092" t="str">
        <f t="shared" si="0"/>
        <v>SEA Building Addition</v>
      </c>
      <c r="C27" s="2953"/>
      <c r="D27" s="2953"/>
      <c r="E27" s="1091"/>
      <c r="F27" s="1094"/>
      <c r="G27" s="1096"/>
      <c r="H27" s="2935"/>
      <c r="I27" s="2938"/>
      <c r="L27" s="121" t="str">
        <f t="shared" si="1"/>
        <v/>
      </c>
      <c r="M27" s="29"/>
      <c r="Q27" s="2278"/>
    </row>
    <row r="28" spans="1:17" ht="15" customHeight="1" x14ac:dyDescent="0.2">
      <c r="A28" s="675"/>
      <c r="B28" s="1911" t="str">
        <f t="shared" si="0"/>
        <v>SEA Building Addition</v>
      </c>
      <c r="C28" s="2954"/>
      <c r="D28" s="2954"/>
      <c r="E28" s="279"/>
      <c r="F28" s="1912"/>
      <c r="G28" s="1913"/>
      <c r="H28" s="2951"/>
      <c r="I28" s="2952"/>
      <c r="L28" s="121" t="str">
        <f t="shared" si="1"/>
        <v/>
      </c>
      <c r="M28" s="29"/>
      <c r="Q28" s="2278"/>
    </row>
    <row r="29" spans="1:17" ht="20.25" customHeight="1" x14ac:dyDescent="0.2">
      <c r="A29" s="675" t="s">
        <v>1298</v>
      </c>
      <c r="B29" s="2955" t="s">
        <v>147</v>
      </c>
      <c r="C29" s="2956"/>
      <c r="D29" s="2956"/>
      <c r="E29" s="1914">
        <f>SUM($E$22:$E$28)</f>
        <v>28819</v>
      </c>
      <c r="F29" s="1915">
        <f>IFERROR(SUMPRODUCT($E$22:$E$28,$F$22:$F$28)/SUM($E$22:$E$28),0)</f>
        <v>1.83</v>
      </c>
      <c r="G29" s="2964"/>
      <c r="H29" s="2964"/>
      <c r="I29" s="2965"/>
      <c r="L29" s="64"/>
      <c r="M29" s="29"/>
      <c r="Q29" s="2278"/>
    </row>
    <row r="30" spans="1:17" ht="20.25" customHeight="1" x14ac:dyDescent="0.2">
      <c r="A30" s="675" t="s">
        <v>1298</v>
      </c>
      <c r="B30" s="2955" t="s">
        <v>323</v>
      </c>
      <c r="C30" s="2956"/>
      <c r="D30" s="2956"/>
      <c r="E30" s="2956"/>
      <c r="F30" s="2956"/>
      <c r="G30" s="2956"/>
      <c r="H30" s="2956"/>
      <c r="I30" s="1916">
        <f>SUMPRODUCT($E$22:$E$28,$F$22:$F$28)/1000</f>
        <v>52.738770000000002</v>
      </c>
      <c r="L30" s="64"/>
      <c r="M30" s="29"/>
      <c r="Q30" s="2278"/>
    </row>
    <row r="31" spans="1:17" ht="21" customHeight="1" x14ac:dyDescent="0.2">
      <c r="A31" s="675" t="s">
        <v>1298</v>
      </c>
      <c r="B31" s="73" t="s">
        <v>324</v>
      </c>
      <c r="C31" s="66"/>
      <c r="D31" s="66"/>
      <c r="E31" s="67"/>
      <c r="F31" s="71"/>
      <c r="G31" s="72"/>
      <c r="H31" s="64"/>
      <c r="L31" s="29"/>
    </row>
    <row r="32" spans="1:17" ht="21" customHeight="1" x14ac:dyDescent="0.2">
      <c r="A32" s="675"/>
      <c r="B32" s="1437" t="str">
        <f>IF(ResDwellingUnitsExist="Yes","Note: The above table is for spaces other than dwelling units.  To enter dwelling unit values, use the Multifamily Details tab.","")</f>
        <v/>
      </c>
      <c r="C32" s="66"/>
      <c r="D32" s="66"/>
      <c r="E32" s="67"/>
      <c r="F32" s="71"/>
      <c r="G32" s="72"/>
      <c r="H32" s="64"/>
      <c r="L32" s="29"/>
    </row>
    <row r="33" spans="1:27" ht="37.5" customHeight="1" x14ac:dyDescent="0.2">
      <c r="A33" s="675" t="s">
        <v>1298</v>
      </c>
      <c r="L33" s="29"/>
    </row>
    <row r="34" spans="1:27" s="25" customFormat="1" ht="21" customHeight="1" x14ac:dyDescent="0.2">
      <c r="A34" s="675" t="s">
        <v>1298</v>
      </c>
      <c r="B34" s="63"/>
      <c r="C34" s="63"/>
      <c r="D34" s="63"/>
      <c r="E34" s="63"/>
      <c r="F34" s="63"/>
      <c r="G34" s="63"/>
      <c r="H34" s="63"/>
      <c r="L34" s="63"/>
      <c r="O34" s="26"/>
    </row>
    <row r="35" spans="1:27" s="25" customFormat="1" ht="21" hidden="1" customHeight="1" x14ac:dyDescent="0.2">
      <c r="A35" s="675" t="s">
        <v>1298</v>
      </c>
      <c r="B35" s="28" t="s">
        <v>130</v>
      </c>
      <c r="C35" s="33"/>
      <c r="D35" s="33"/>
      <c r="E35" s="33"/>
      <c r="F35" s="33"/>
      <c r="G35" s="33"/>
      <c r="H35" s="33"/>
      <c r="L35" s="33"/>
      <c r="M35" s="33"/>
      <c r="N35" s="33"/>
      <c r="O35" s="33"/>
    </row>
    <row r="36" spans="1:27" s="60" customFormat="1" ht="15" hidden="1" customHeight="1" x14ac:dyDescent="0.2">
      <c r="A36" s="675" t="s">
        <v>1298</v>
      </c>
      <c r="B36" s="76"/>
      <c r="C36" s="75"/>
      <c r="D36" s="75"/>
      <c r="E36" s="75"/>
      <c r="F36" s="75"/>
    </row>
    <row r="37" spans="1:27" ht="71.25" hidden="1" customHeight="1" x14ac:dyDescent="0.2">
      <c r="A37" s="675" t="s">
        <v>1298</v>
      </c>
      <c r="B37" s="56" t="s">
        <v>1357</v>
      </c>
      <c r="C37" s="2749" t="s">
        <v>128</v>
      </c>
      <c r="D37" s="2749"/>
      <c r="E37" s="936" t="str">
        <f>IF('General Information'!$I$12="IP","Total Space Type Area
(sq ft)","Total Space Type Area
(sq m)")</f>
        <v>Total Space Type Area
(sq ft)</v>
      </c>
      <c r="F37" s="936" t="str">
        <f>IF('General Information'!$I$12="IP","Equipment Power Density
(W/sq ft)","Equipment Power Density
(W/sq m)")</f>
        <v>Equipment Power Density
(W/sq ft)</v>
      </c>
      <c r="G37" s="936" t="s">
        <v>124</v>
      </c>
      <c r="H37" s="2749" t="s">
        <v>322</v>
      </c>
      <c r="I37" s="2961"/>
      <c r="L37" s="65"/>
      <c r="M37" s="29"/>
    </row>
    <row r="38" spans="1:27" ht="108" hidden="1" customHeight="1" x14ac:dyDescent="0.2">
      <c r="A38" s="1097"/>
      <c r="B38" s="1909"/>
      <c r="C38" s="2957"/>
      <c r="D38" s="2958"/>
      <c r="E38" s="1910"/>
      <c r="F38" s="1910"/>
      <c r="G38" s="1910"/>
      <c r="H38" s="2957"/>
      <c r="I38" s="2959"/>
      <c r="L38" s="1085"/>
      <c r="M38" s="29"/>
    </row>
    <row r="39" spans="1:27" ht="15" hidden="1" customHeight="1" x14ac:dyDescent="0.2">
      <c r="A39" s="1097"/>
      <c r="B39" s="1057" t="str">
        <f>'Multiple Buildings Details'!B24</f>
        <v>SEA Building Addition</v>
      </c>
      <c r="C39" s="2971" t="str">
        <f>"Hotel guest rooms"</f>
        <v>Hotel guest rooms</v>
      </c>
      <c r="D39" s="2971"/>
      <c r="E39" s="1091"/>
      <c r="F39" s="2235"/>
      <c r="G39" s="1096"/>
      <c r="H39" s="2935"/>
      <c r="I39" s="2938"/>
      <c r="L39" s="1085"/>
      <c r="M39" s="29"/>
      <c r="Q39" s="2278"/>
    </row>
    <row r="40" spans="1:27" ht="15" hidden="1" customHeight="1" x14ac:dyDescent="0.2">
      <c r="A40" s="675" t="s">
        <v>917</v>
      </c>
      <c r="B40" s="1092" t="str">
        <f t="shared" ref="B40:B46" si="2">GI_Project_Name</f>
        <v>SEA Building Addition</v>
      </c>
      <c r="C40" s="2953"/>
      <c r="D40" s="2953"/>
      <c r="E40" s="1091"/>
      <c r="F40" s="1094"/>
      <c r="G40" s="1096"/>
      <c r="H40" s="2935"/>
      <c r="I40" s="2938"/>
      <c r="L40" s="879" t="str">
        <f t="shared" ref="L40:L46" si="3">IF(H40="No","Submit savings using Exceptional Calculation","")</f>
        <v/>
      </c>
      <c r="M40" s="880"/>
      <c r="N40" s="831"/>
      <c r="Q40" s="2278"/>
      <c r="T40" s="831"/>
      <c r="U40" s="831"/>
      <c r="V40" s="831"/>
      <c r="W40" s="831"/>
      <c r="X40" s="831"/>
      <c r="Y40" s="831"/>
      <c r="Z40" s="831"/>
      <c r="AA40" s="831"/>
    </row>
    <row r="41" spans="1:27" ht="24" hidden="1" x14ac:dyDescent="0.2">
      <c r="A41" s="675"/>
      <c r="B41" s="1092" t="str">
        <f t="shared" si="2"/>
        <v>SEA Building Addition</v>
      </c>
      <c r="C41" s="2953"/>
      <c r="D41" s="2953"/>
      <c r="E41" s="1091"/>
      <c r="F41" s="1094"/>
      <c r="G41" s="1096"/>
      <c r="H41" s="2935"/>
      <c r="I41" s="2938"/>
      <c r="L41" s="879" t="str">
        <f t="shared" si="3"/>
        <v/>
      </c>
      <c r="M41" s="880"/>
      <c r="N41" s="831"/>
      <c r="Q41" s="2278"/>
      <c r="T41" s="831"/>
      <c r="U41" s="831"/>
      <c r="V41" s="831"/>
      <c r="W41" s="831"/>
      <c r="X41" s="831"/>
      <c r="Y41" s="831"/>
      <c r="Z41" s="831"/>
      <c r="AA41" s="831"/>
    </row>
    <row r="42" spans="1:27" ht="15" hidden="1" customHeight="1" x14ac:dyDescent="0.2">
      <c r="A42" s="675"/>
      <c r="B42" s="1092" t="str">
        <f t="shared" si="2"/>
        <v>SEA Building Addition</v>
      </c>
      <c r="C42" s="2953"/>
      <c r="D42" s="2953"/>
      <c r="E42" s="1091"/>
      <c r="F42" s="1094"/>
      <c r="G42" s="1096"/>
      <c r="H42" s="2935"/>
      <c r="I42" s="2938"/>
      <c r="L42" s="879" t="str">
        <f t="shared" si="3"/>
        <v/>
      </c>
      <c r="M42" s="880"/>
      <c r="N42" s="831"/>
      <c r="Q42" s="2278"/>
      <c r="T42" s="831"/>
      <c r="U42" s="831"/>
      <c r="V42" s="831"/>
      <c r="W42" s="831"/>
      <c r="X42" s="831"/>
      <c r="Y42" s="831"/>
      <c r="Z42" s="831"/>
      <c r="AA42" s="831"/>
    </row>
    <row r="43" spans="1:27" ht="15" hidden="1" customHeight="1" x14ac:dyDescent="0.2">
      <c r="A43" s="675"/>
      <c r="B43" s="1092" t="str">
        <f t="shared" si="2"/>
        <v>SEA Building Addition</v>
      </c>
      <c r="C43" s="2953"/>
      <c r="D43" s="2953"/>
      <c r="E43" s="1091"/>
      <c r="F43" s="1094"/>
      <c r="G43" s="1096"/>
      <c r="H43" s="2935"/>
      <c r="I43" s="2938"/>
      <c r="L43" s="879" t="str">
        <f t="shared" si="3"/>
        <v/>
      </c>
      <c r="M43" s="880"/>
      <c r="N43" s="831"/>
      <c r="Q43" s="2278"/>
      <c r="T43" s="831"/>
      <c r="U43" s="831"/>
      <c r="V43" s="831"/>
      <c r="W43" s="831"/>
      <c r="X43" s="831"/>
      <c r="Y43" s="831"/>
      <c r="Z43" s="831"/>
      <c r="AA43" s="831"/>
    </row>
    <row r="44" spans="1:27" ht="15" hidden="1" customHeight="1" x14ac:dyDescent="0.2">
      <c r="A44" s="675"/>
      <c r="B44" s="1092" t="str">
        <f t="shared" si="2"/>
        <v>SEA Building Addition</v>
      </c>
      <c r="C44" s="2953"/>
      <c r="D44" s="2953"/>
      <c r="E44" s="1091"/>
      <c r="F44" s="1094"/>
      <c r="G44" s="1096"/>
      <c r="H44" s="2935"/>
      <c r="I44" s="2938"/>
      <c r="L44" s="121" t="str">
        <f t="shared" si="3"/>
        <v/>
      </c>
      <c r="M44" s="29"/>
      <c r="Q44" s="2278"/>
    </row>
    <row r="45" spans="1:27" ht="15" hidden="1" customHeight="1" x14ac:dyDescent="0.2">
      <c r="A45" s="675"/>
      <c r="B45" s="1092" t="str">
        <f t="shared" si="2"/>
        <v>SEA Building Addition</v>
      </c>
      <c r="C45" s="2953"/>
      <c r="D45" s="2953"/>
      <c r="E45" s="1091"/>
      <c r="F45" s="1094"/>
      <c r="G45" s="1096"/>
      <c r="H45" s="2935"/>
      <c r="I45" s="2938"/>
      <c r="L45" s="121" t="str">
        <f t="shared" si="3"/>
        <v/>
      </c>
      <c r="M45" s="29"/>
      <c r="Q45" s="2278"/>
    </row>
    <row r="46" spans="1:27" ht="15" hidden="1" customHeight="1" x14ac:dyDescent="0.2">
      <c r="A46" s="675"/>
      <c r="B46" s="1911" t="str">
        <f t="shared" si="2"/>
        <v>SEA Building Addition</v>
      </c>
      <c r="C46" s="2954"/>
      <c r="D46" s="2954"/>
      <c r="E46" s="279"/>
      <c r="F46" s="1912"/>
      <c r="G46" s="1913"/>
      <c r="H46" s="2951"/>
      <c r="I46" s="2952"/>
      <c r="L46" s="121" t="str">
        <f t="shared" si="3"/>
        <v/>
      </c>
      <c r="M46" s="29"/>
      <c r="Q46" s="2278"/>
    </row>
    <row r="47" spans="1:27" ht="20.25" hidden="1" customHeight="1" x14ac:dyDescent="0.2">
      <c r="A47" s="675" t="s">
        <v>1298</v>
      </c>
      <c r="B47" s="2962" t="s">
        <v>147</v>
      </c>
      <c r="C47" s="2963"/>
      <c r="D47" s="2963"/>
      <c r="E47" s="1914">
        <f>SUM($E$39:$E$46)</f>
        <v>0</v>
      </c>
      <c r="F47" s="1915">
        <f>IFERROR(SUMPRODUCT($E$39:$E$46,$F$39:$F$46)/SUM($E$39:$E$46),0)</f>
        <v>0</v>
      </c>
      <c r="G47" s="2964"/>
      <c r="H47" s="2964"/>
      <c r="I47" s="2965"/>
      <c r="L47" s="64"/>
      <c r="M47" s="29"/>
      <c r="Q47" s="2278"/>
    </row>
    <row r="48" spans="1:27" ht="20.25" hidden="1" customHeight="1" x14ac:dyDescent="0.2">
      <c r="A48" s="675" t="s">
        <v>1298</v>
      </c>
      <c r="B48" s="2962" t="s">
        <v>325</v>
      </c>
      <c r="C48" s="2963"/>
      <c r="D48" s="2963"/>
      <c r="E48" s="2963"/>
      <c r="F48" s="2963"/>
      <c r="G48" s="2963"/>
      <c r="H48" s="2963"/>
      <c r="I48" s="1916">
        <f>SUMPRODUCT($E$39:$E$46,$F$39:$F$46)/1000</f>
        <v>0</v>
      </c>
      <c r="L48" s="64"/>
      <c r="M48" s="29"/>
      <c r="Q48" s="2278"/>
    </row>
    <row r="49" spans="1:17" ht="20.25" hidden="1" customHeight="1" x14ac:dyDescent="0.2">
      <c r="A49" s="675"/>
      <c r="B49" s="73" t="s">
        <v>324</v>
      </c>
      <c r="C49" s="906"/>
      <c r="D49" s="906"/>
      <c r="E49" s="906"/>
      <c r="F49" s="906"/>
      <c r="G49" s="905"/>
      <c r="H49" s="64"/>
      <c r="L49" s="29"/>
    </row>
    <row r="50" spans="1:17" ht="21" hidden="1" customHeight="1" x14ac:dyDescent="0.2">
      <c r="A50" s="675" t="s">
        <v>1298</v>
      </c>
      <c r="B50" s="2" t="str">
        <f>IF(ResDwellingUnitsExist="Yes","Note: The above table is for spaces other than dwelling units.  To enter dwelling unit values, use the Multifamily Details tab.","")</f>
        <v/>
      </c>
      <c r="C50" s="66"/>
      <c r="D50" s="66"/>
      <c r="E50" s="67"/>
      <c r="F50" s="71"/>
      <c r="G50" s="72"/>
      <c r="H50" s="64"/>
      <c r="L50" s="29"/>
    </row>
    <row r="51" spans="1:17" ht="37.5" hidden="1" customHeight="1" x14ac:dyDescent="0.2">
      <c r="A51" s="675" t="s">
        <v>1298</v>
      </c>
      <c r="C51" s="66"/>
      <c r="D51" s="66"/>
      <c r="E51" s="67"/>
      <c r="F51" s="68"/>
      <c r="G51" s="45"/>
      <c r="H51" s="64"/>
      <c r="L51" s="29"/>
    </row>
    <row r="52" spans="1:17" s="25" customFormat="1" ht="21" customHeight="1" x14ac:dyDescent="0.2">
      <c r="A52" s="675" t="s">
        <v>1298</v>
      </c>
      <c r="B52" s="63"/>
      <c r="C52" s="63"/>
      <c r="D52" s="63"/>
      <c r="E52" s="63"/>
      <c r="F52" s="63"/>
      <c r="G52" s="63"/>
      <c r="H52" s="63"/>
      <c r="L52" s="63"/>
      <c r="M52" s="876"/>
      <c r="O52" s="26"/>
    </row>
    <row r="53" spans="1:17" s="25" customFormat="1" ht="21" hidden="1" customHeight="1" x14ac:dyDescent="0.2">
      <c r="A53" s="675"/>
      <c r="B53" s="28" t="s">
        <v>1355</v>
      </c>
      <c r="C53" s="63"/>
      <c r="D53" s="63"/>
      <c r="E53" s="63"/>
      <c r="F53" s="63"/>
      <c r="G53" s="63"/>
      <c r="H53" s="63"/>
      <c r="L53" s="63"/>
      <c r="M53" s="876"/>
      <c r="O53" s="26"/>
    </row>
    <row r="54" spans="1:17" s="25" customFormat="1" ht="15" hidden="1" customHeight="1" x14ac:dyDescent="0.2">
      <c r="A54" s="675"/>
      <c r="B54" s="28"/>
      <c r="C54" s="63"/>
      <c r="D54" s="63"/>
      <c r="E54" s="63"/>
      <c r="F54" s="63"/>
      <c r="G54" s="63"/>
      <c r="H54" s="63"/>
      <c r="L54" s="63"/>
      <c r="M54" s="876"/>
      <c r="O54" s="26"/>
    </row>
    <row r="55" spans="1:17" s="25" customFormat="1" ht="71.25" hidden="1" customHeight="1" x14ac:dyDescent="0.2">
      <c r="A55" s="675"/>
      <c r="B55" s="875" t="s">
        <v>1356</v>
      </c>
      <c r="C55" s="874" t="s">
        <v>1385</v>
      </c>
      <c r="D55" s="1048"/>
      <c r="E55" s="874" t="s">
        <v>1386</v>
      </c>
      <c r="F55" s="900"/>
      <c r="G55" s="901"/>
      <c r="H55" s="63"/>
      <c r="L55" s="63"/>
      <c r="M55" s="876"/>
      <c r="O55" s="26"/>
    </row>
    <row r="56" spans="1:17" s="25" customFormat="1" ht="15" hidden="1" customHeight="1" x14ac:dyDescent="0.2">
      <c r="A56" s="675"/>
      <c r="B56" s="350"/>
      <c r="C56" s="278"/>
      <c r="D56" s="278"/>
      <c r="E56" s="453"/>
      <c r="F56" s="563"/>
      <c r="G56" s="452"/>
      <c r="H56" s="63"/>
      <c r="L56" s="63"/>
      <c r="M56" s="876"/>
      <c r="O56" s="26"/>
    </row>
    <row r="57" spans="1:17" s="25" customFormat="1" ht="15" hidden="1" customHeight="1" x14ac:dyDescent="0.2">
      <c r="A57" s="675"/>
      <c r="B57" s="350"/>
      <c r="C57" s="278"/>
      <c r="D57" s="278"/>
      <c r="E57" s="453"/>
      <c r="F57" s="563"/>
      <c r="G57" s="452"/>
      <c r="H57" s="63"/>
      <c r="L57" s="63"/>
      <c r="M57" s="876"/>
      <c r="O57" s="26"/>
    </row>
    <row r="58" spans="1:17" s="25" customFormat="1" ht="15" hidden="1" customHeight="1" x14ac:dyDescent="0.2">
      <c r="A58" s="675"/>
      <c r="B58" s="350"/>
      <c r="C58" s="278"/>
      <c r="D58" s="278"/>
      <c r="E58" s="453"/>
      <c r="F58" s="563"/>
      <c r="G58" s="452"/>
      <c r="H58" s="63"/>
      <c r="L58" s="63"/>
      <c r="M58" s="876"/>
      <c r="O58" s="26"/>
    </row>
    <row r="59" spans="1:17" s="25" customFormat="1" ht="15" hidden="1" customHeight="1" x14ac:dyDescent="0.2">
      <c r="A59" s="675"/>
      <c r="B59" s="881"/>
      <c r="C59" s="882"/>
      <c r="D59" s="882"/>
      <c r="E59" s="883"/>
      <c r="F59" s="881"/>
      <c r="G59" s="884"/>
      <c r="H59" s="63"/>
      <c r="L59" s="63"/>
      <c r="M59" s="876"/>
      <c r="O59" s="26"/>
    </row>
    <row r="60" spans="1:17" s="25" customFormat="1" ht="26.25" customHeight="1" x14ac:dyDescent="0.2">
      <c r="A60" s="675" t="s">
        <v>1298</v>
      </c>
      <c r="B60" s="28" t="s">
        <v>321</v>
      </c>
      <c r="C60" s="33"/>
      <c r="D60" s="33"/>
      <c r="E60" s="33"/>
      <c r="F60" s="33"/>
      <c r="G60" s="33"/>
      <c r="H60" s="33"/>
      <c r="L60" s="33"/>
      <c r="M60" s="33"/>
      <c r="N60" s="33"/>
      <c r="O60" s="33"/>
    </row>
    <row r="61" spans="1:17" s="25" customFormat="1" ht="20.25" customHeight="1" x14ac:dyDescent="0.2">
      <c r="A61" s="675" t="s">
        <v>1298</v>
      </c>
      <c r="B61" s="1047" t="s">
        <v>1357</v>
      </c>
      <c r="C61" s="2960" t="s">
        <v>121</v>
      </c>
      <c r="D61" s="2960"/>
      <c r="E61" s="2960"/>
      <c r="F61" s="2960"/>
      <c r="G61" s="2960"/>
      <c r="H61" s="2960"/>
      <c r="I61" s="1047" t="s">
        <v>243</v>
      </c>
      <c r="L61" s="33"/>
      <c r="M61" s="33"/>
      <c r="N61" s="33"/>
      <c r="O61" s="33"/>
    </row>
    <row r="62" spans="1:17" s="25" customFormat="1" ht="20.25" customHeight="1" x14ac:dyDescent="0.2">
      <c r="A62" s="675"/>
      <c r="B62" s="1921" t="str">
        <f>'Multiple Buildings Details'!B24</f>
        <v>SEA Building Addition</v>
      </c>
      <c r="C62" s="2940" t="str">
        <f>"Total power for receptacle equipment"</f>
        <v>Total power for receptacle equipment</v>
      </c>
      <c r="D62" s="2940"/>
      <c r="E62" s="2940"/>
      <c r="F62" s="2940"/>
      <c r="G62" s="2940"/>
      <c r="H62" s="2940"/>
      <c r="I62" s="1055">
        <f>IF($N$16=TRUE,SUMPRODUCT(--($B$39:$B$46=$B62),$E$39:$E$46,$F$39:$F$46)/1000,0)+IF($M$16=TRUE,SUMPRODUCT(--($B$22:$B$28=$B62),$E$22:$E$28,$F$22:$F$28)/1000,0)</f>
        <v>52.738770000000002</v>
      </c>
      <c r="L62" s="33"/>
      <c r="M62" s="33"/>
      <c r="N62" s="33"/>
      <c r="O62" s="33"/>
      <c r="Q62" s="2279"/>
    </row>
    <row r="63" spans="1:17" s="25" customFormat="1" ht="21" customHeight="1" x14ac:dyDescent="0.2">
      <c r="A63" s="675" t="s">
        <v>1298</v>
      </c>
      <c r="B63" s="63"/>
      <c r="C63" s="63"/>
      <c r="D63" s="63"/>
      <c r="E63" s="63"/>
      <c r="F63" s="63"/>
      <c r="G63" s="63"/>
      <c r="H63" s="63"/>
      <c r="L63" s="63"/>
      <c r="O63" s="26"/>
    </row>
    <row r="64" spans="1:17" s="25" customFormat="1" ht="26.25" customHeight="1" x14ac:dyDescent="0.2">
      <c r="A64" s="675" t="s">
        <v>1298</v>
      </c>
      <c r="B64" s="28" t="s">
        <v>999</v>
      </c>
      <c r="C64" s="33"/>
      <c r="D64" s="33"/>
      <c r="E64" s="33"/>
      <c r="F64" s="33"/>
      <c r="G64" s="33"/>
      <c r="H64" s="33"/>
      <c r="L64" s="33"/>
      <c r="N64" s="33"/>
      <c r="O64" s="33"/>
    </row>
    <row r="65" spans="1:17" ht="51" x14ac:dyDescent="0.2">
      <c r="A65" s="675" t="s">
        <v>1298</v>
      </c>
      <c r="B65" s="1917" t="s">
        <v>1357</v>
      </c>
      <c r="C65" s="2966" t="s">
        <v>326</v>
      </c>
      <c r="D65" s="2966"/>
      <c r="E65" s="1918" t="s">
        <v>327</v>
      </c>
      <c r="F65" s="1918" t="str">
        <f>IF('General Information'!$I$12="IP","Energy Demand 
(kW for electricity) 
(Btuh for non-electricity)","
Energy Demand (kW)")</f>
        <v>Energy Demand 
(kW for electricity) 
(Btuh for non-electricity)</v>
      </c>
      <c r="G65" s="1918" t="s">
        <v>131</v>
      </c>
      <c r="H65" s="2966" t="s">
        <v>322</v>
      </c>
      <c r="I65" s="2693"/>
      <c r="L65" s="64"/>
      <c r="M65" s="29"/>
    </row>
    <row r="66" spans="1:17" ht="332.25" customHeight="1" x14ac:dyDescent="0.2">
      <c r="A66" s="1097"/>
      <c r="B66" s="1920" t="s">
        <v>1888</v>
      </c>
      <c r="C66" s="2968" t="s">
        <v>1742</v>
      </c>
      <c r="D66" s="2969"/>
      <c r="E66" s="1838"/>
      <c r="F66" s="1838"/>
      <c r="G66" s="1838" t="s">
        <v>1743</v>
      </c>
      <c r="H66" s="2968" t="s">
        <v>1744</v>
      </c>
      <c r="I66" s="2601"/>
      <c r="L66" s="64"/>
      <c r="M66" s="29"/>
    </row>
    <row r="67" spans="1:17" ht="24" hidden="1" x14ac:dyDescent="0.2">
      <c r="A67" s="675" t="s">
        <v>918</v>
      </c>
      <c r="B67" s="823" t="str">
        <f t="shared" ref="B67:B70" si="4">GI_Project_Name</f>
        <v>SEA Building Addition</v>
      </c>
      <c r="C67" s="2967"/>
      <c r="D67" s="2967"/>
      <c r="E67" s="1919"/>
      <c r="F67" s="824"/>
      <c r="G67" s="1919"/>
      <c r="H67" s="2967"/>
      <c r="I67" s="2970"/>
      <c r="L67" s="121" t="str">
        <f t="shared" ref="L67:L70" si="5">IF(H67="No","Submit savings using Exceptional Calculation","")</f>
        <v/>
      </c>
      <c r="M67" s="29"/>
      <c r="Q67" s="2278"/>
    </row>
    <row r="68" spans="1:17" ht="15" customHeight="1" x14ac:dyDescent="0.2">
      <c r="B68" s="1092" t="str">
        <f t="shared" si="4"/>
        <v>SEA Building Addition</v>
      </c>
      <c r="C68" s="2935" t="s">
        <v>2268</v>
      </c>
      <c r="D68" s="2935"/>
      <c r="E68" s="1096" t="s">
        <v>464</v>
      </c>
      <c r="F68" s="1090">
        <v>1.9E-2</v>
      </c>
      <c r="G68" s="1096" t="s">
        <v>2269</v>
      </c>
      <c r="H68" s="2935" t="s">
        <v>25</v>
      </c>
      <c r="I68" s="2938"/>
      <c r="L68" s="121" t="str">
        <f t="shared" si="5"/>
        <v/>
      </c>
      <c r="M68" s="29"/>
      <c r="Q68" s="2278"/>
    </row>
    <row r="69" spans="1:17" ht="15" customHeight="1" x14ac:dyDescent="0.2">
      <c r="A69" s="675"/>
      <c r="B69" s="1092" t="str">
        <f t="shared" si="4"/>
        <v>SEA Building Addition</v>
      </c>
      <c r="C69" s="2935" t="s">
        <v>2257</v>
      </c>
      <c r="D69" s="2935"/>
      <c r="E69" s="1096" t="s">
        <v>464</v>
      </c>
      <c r="F69" s="1090">
        <v>18.600000000000001</v>
      </c>
      <c r="G69" s="1096" t="s">
        <v>2258</v>
      </c>
      <c r="H69" s="2935" t="s">
        <v>25</v>
      </c>
      <c r="I69" s="2938"/>
      <c r="L69" s="121" t="str">
        <f t="shared" si="5"/>
        <v/>
      </c>
      <c r="M69" s="29"/>
      <c r="Q69" s="2278"/>
    </row>
    <row r="70" spans="1:17" ht="15" customHeight="1" x14ac:dyDescent="0.2">
      <c r="A70" s="675"/>
      <c r="B70" s="353" t="str">
        <f t="shared" si="4"/>
        <v>SEA Building Addition</v>
      </c>
      <c r="C70" s="2936" t="s">
        <v>2279</v>
      </c>
      <c r="D70" s="2936"/>
      <c r="E70" s="253" t="s">
        <v>464</v>
      </c>
      <c r="F70" s="266">
        <v>0.37</v>
      </c>
      <c r="G70" s="253" t="s">
        <v>2280</v>
      </c>
      <c r="H70" s="2936" t="s">
        <v>25</v>
      </c>
      <c r="I70" s="2939"/>
      <c r="L70" s="121" t="str">
        <f t="shared" si="5"/>
        <v/>
      </c>
      <c r="M70" s="29"/>
      <c r="Q70" s="2281"/>
    </row>
    <row r="71" spans="1:17" ht="30.75" customHeight="1" x14ac:dyDescent="0.2">
      <c r="A71" s="675" t="s">
        <v>1298</v>
      </c>
      <c r="B71" s="73" t="s">
        <v>998</v>
      </c>
      <c r="C71" s="66"/>
      <c r="D71" s="66"/>
      <c r="E71" s="67"/>
      <c r="F71" s="71"/>
      <c r="G71" s="72"/>
      <c r="H71" s="64"/>
    </row>
    <row r="72" spans="1:17" ht="37.5" customHeight="1" x14ac:dyDescent="0.2">
      <c r="A72" s="675" t="s">
        <v>1298</v>
      </c>
      <c r="C72" s="66"/>
      <c r="D72" s="66"/>
      <c r="E72" s="67"/>
      <c r="F72" s="68"/>
      <c r="G72" s="45"/>
      <c r="H72" s="64"/>
      <c r="L72" s="29"/>
    </row>
    <row r="73" spans="1:17" x14ac:dyDescent="0.2">
      <c r="A73" s="675" t="s">
        <v>1298</v>
      </c>
      <c r="L73" s="29"/>
    </row>
    <row r="74" spans="1:17" ht="35.25" customHeight="1" x14ac:dyDescent="0.2">
      <c r="A74" s="675" t="s">
        <v>1298</v>
      </c>
      <c r="B74" s="28" t="s">
        <v>1600</v>
      </c>
      <c r="G74" s="865"/>
      <c r="O74" s="1050"/>
      <c r="P74" s="1050"/>
      <c r="Q74" s="1050"/>
    </row>
    <row r="75" spans="1:17" ht="18.75" customHeight="1" x14ac:dyDescent="0.2">
      <c r="A75" s="1097"/>
      <c r="B75" s="1081"/>
      <c r="E75" s="1054"/>
      <c r="G75" s="1082"/>
      <c r="H75" s="1084"/>
      <c r="O75" s="1050"/>
      <c r="P75" s="1050"/>
      <c r="Q75" s="1050"/>
    </row>
    <row r="76" spans="1:17" x14ac:dyDescent="0.2">
      <c r="A76" s="1097"/>
      <c r="H76" s="1084"/>
      <c r="L76" s="29"/>
    </row>
    <row r="77" spans="1:17" ht="39.75" customHeight="1" x14ac:dyDescent="0.2">
      <c r="A77" s="675" t="s">
        <v>1298</v>
      </c>
      <c r="B77" s="1013" t="s">
        <v>1357</v>
      </c>
      <c r="C77" s="1044" t="s">
        <v>1604</v>
      </c>
      <c r="D77" s="1044" t="s">
        <v>1605</v>
      </c>
      <c r="E77" s="1044" t="str">
        <f>CONCATENATE("Ventilated Parking Area ",IF(SI_IP_Units="IP","(square feet)","(square meter)"))</f>
        <v>Ventilated Parking Area (square feet)</v>
      </c>
      <c r="F77" s="1044" t="str">
        <f>CONCATENATE("Proposed Airflow ",IF(SI_IP_Units="IP","CFM","M/S"))</f>
        <v>Proposed Airflow CFM</v>
      </c>
      <c r="G77" s="1044" t="str">
        <f>CONCATENATE("Baseline Airflow ",IF(SI_IP_Units="IP","CFM","M/S"))</f>
        <v>Baseline Airflow CFM</v>
      </c>
      <c r="H77" s="1044" t="s">
        <v>1602</v>
      </c>
      <c r="I77" s="1045" t="s">
        <v>1603</v>
      </c>
      <c r="O77" s="986"/>
      <c r="P77" s="986"/>
      <c r="Q77" s="1050"/>
    </row>
    <row r="78" spans="1:17" ht="14.25" hidden="1" customHeight="1" x14ac:dyDescent="0.2">
      <c r="A78" s="675" t="s">
        <v>919</v>
      </c>
      <c r="B78" s="1092" t="str">
        <f>GI_Project_Name</f>
        <v>SEA Building Addition</v>
      </c>
      <c r="C78" s="1096"/>
      <c r="D78" s="1144" t="s">
        <v>1702</v>
      </c>
      <c r="E78" s="1096"/>
      <c r="F78" s="1096"/>
      <c r="G78" s="1144" t="s">
        <v>1702</v>
      </c>
      <c r="H78" s="1090"/>
      <c r="I78" s="1145" t="s">
        <v>1702</v>
      </c>
      <c r="O78" s="1049"/>
      <c r="P78" s="1049"/>
      <c r="Q78" s="2278"/>
    </row>
    <row r="79" spans="1:17" ht="15" customHeight="1" x14ac:dyDescent="0.2">
      <c r="A79" s="1097"/>
      <c r="B79" s="1092" t="str">
        <f>GI_Project_Name</f>
        <v>SEA Building Addition</v>
      </c>
      <c r="C79" s="1096"/>
      <c r="D79" s="1144" t="s">
        <v>1702</v>
      </c>
      <c r="E79" s="1096"/>
      <c r="F79" s="1096"/>
      <c r="G79" s="1144" t="s">
        <v>1702</v>
      </c>
      <c r="H79" s="1090"/>
      <c r="I79" s="1145" t="s">
        <v>1702</v>
      </c>
      <c r="O79" s="1049"/>
      <c r="P79" s="1049"/>
      <c r="Q79" s="2278"/>
    </row>
    <row r="80" spans="1:17" ht="78.75" customHeight="1" x14ac:dyDescent="0.2">
      <c r="A80" s="675" t="s">
        <v>1298</v>
      </c>
      <c r="B80" s="2937" t="str">
        <f>"Note: "&amp;CHAR(10)&amp;
"1.  The Baseline parking area must meet the requirements of ASHRAE 90.1-2010 Section 6.4.3.4.5 which establish mandatory Demand"&amp;CHAR(10)&amp;"     Controlled Ventilation (DCV)."&amp;CHAR(10)&amp;
"2.  Fan power for the Baseline case is limited to 0.3 W/CFM"&amp;CHAR(10)&amp;
"3.  Additional requirements are listed in LEED Interpretation #10371 which outlines DCV as an Energy Conservation Measure (ECM) in"&amp;CHAR(10)&amp;"     garage areas."</f>
        <v>Note: 
1.  The Baseline parking area must meet the requirements of ASHRAE 90.1-2010 Section 6.4.3.4.5 which establish mandatory Demand
     Controlled Ventilation (DCV).
2.  Fan power for the Baseline case is limited to 0.3 W/CFM
3.  Additional requirements are listed in LEED Interpretation #10371 which outlines DCV as an Energy Conservation Measure (ECM) in
     garage areas.</v>
      </c>
      <c r="C80" s="2937"/>
      <c r="D80" s="2937"/>
      <c r="E80" s="2937"/>
      <c r="F80" s="2937"/>
      <c r="G80" s="2937"/>
      <c r="H80" s="2937"/>
      <c r="I80" s="2937"/>
      <c r="L80" s="29"/>
      <c r="O80" s="1050"/>
      <c r="P80" s="1050"/>
      <c r="Q80" s="1050"/>
    </row>
    <row r="81" spans="1:17" ht="40.5" customHeight="1" x14ac:dyDescent="0.2">
      <c r="A81" s="675" t="s">
        <v>1298</v>
      </c>
      <c r="L81" s="29"/>
      <c r="O81" s="1050"/>
      <c r="P81" s="1050"/>
      <c r="Q81" s="1050"/>
    </row>
    <row r="82" spans="1:17" x14ac:dyDescent="0.2">
      <c r="A82" s="675" t="s">
        <v>1298</v>
      </c>
      <c r="O82" s="1050"/>
      <c r="P82" s="1050"/>
      <c r="Q82" s="1050"/>
    </row>
    <row r="83" spans="1:17" x14ac:dyDescent="0.2">
      <c r="A83" s="675" t="s">
        <v>1298</v>
      </c>
      <c r="B83" s="1168"/>
      <c r="C83" s="85"/>
      <c r="D83" s="85"/>
      <c r="E83" s="85"/>
      <c r="F83" s="1168"/>
      <c r="G83" s="85"/>
      <c r="H83" s="1169"/>
      <c r="I83" s="1016"/>
    </row>
    <row r="84" spans="1:17" ht="102.75" customHeight="1" x14ac:dyDescent="0.2">
      <c r="A84" s="675" t="s">
        <v>1298</v>
      </c>
      <c r="B84" s="2934"/>
      <c r="C84" s="2934"/>
      <c r="D84" s="2934"/>
      <c r="E84" s="2934"/>
      <c r="F84" s="2934"/>
      <c r="G84" s="2934"/>
      <c r="H84" s="2934"/>
      <c r="I84" s="2934"/>
    </row>
    <row r="86" spans="1:17" x14ac:dyDescent="0.2">
      <c r="D86" s="865"/>
    </row>
    <row r="87" spans="1:17" x14ac:dyDescent="0.2">
      <c r="D87" s="865"/>
      <c r="G87" s="61"/>
      <c r="H87" s="29"/>
      <c r="I87" s="36"/>
    </row>
    <row r="88" spans="1:17" x14ac:dyDescent="0.2">
      <c r="G88" s="61"/>
      <c r="H88" s="29"/>
      <c r="I88" s="36"/>
    </row>
    <row r="89" spans="1:17" x14ac:dyDescent="0.2">
      <c r="G89" s="61"/>
      <c r="H89" s="29"/>
      <c r="I89" s="36"/>
    </row>
  </sheetData>
  <sheetProtection algorithmName="SHA-512" hashValue="TA0ntxRqVFwkDzWMgd6ooJq3Q8epEps3ooS+3j60fhmpAMrxcIROeCoQZPjHVFNssCyByQ5TKoVzfoS1BmsDyA==" saltValue="1jduaVzSBSwQ+RwWSZg5zQ==" spinCount="100000" sheet="1" objects="1" scenarios="1"/>
  <customSheetViews>
    <customSheetView guid="{75D6F8CE-A4F4-4FDD-BA92-7996F9E19FA9}" showGridLines="0" hiddenRows="1" topLeftCell="A70">
      <selection activeCell="M71" sqref="M71"/>
      <pageMargins left="0.25" right="0.25" top="0.75" bottom="0.75" header="0.3" footer="0.3"/>
      <pageSetup scale="75" orientation="portrait" verticalDpi="1200" r:id="rId1"/>
    </customSheetView>
  </customSheetViews>
  <mergeCells count="67">
    <mergeCell ref="B5:G5"/>
    <mergeCell ref="C42:D42"/>
    <mergeCell ref="C43:D43"/>
    <mergeCell ref="C44:D44"/>
    <mergeCell ref="C45:D45"/>
    <mergeCell ref="G29:I29"/>
    <mergeCell ref="C39:D39"/>
    <mergeCell ref="H39:I39"/>
    <mergeCell ref="C22:D22"/>
    <mergeCell ref="H22:I22"/>
    <mergeCell ref="C20:D20"/>
    <mergeCell ref="C24:D24"/>
    <mergeCell ref="C25:D25"/>
    <mergeCell ref="C21:D21"/>
    <mergeCell ref="H20:I20"/>
    <mergeCell ref="H23:I23"/>
    <mergeCell ref="H65:I65"/>
    <mergeCell ref="C65:D65"/>
    <mergeCell ref="C67:D67"/>
    <mergeCell ref="C68:D68"/>
    <mergeCell ref="H66:I66"/>
    <mergeCell ref="C66:D66"/>
    <mergeCell ref="H67:I67"/>
    <mergeCell ref="H68:I68"/>
    <mergeCell ref="H24:I24"/>
    <mergeCell ref="H25:I25"/>
    <mergeCell ref="H26:I26"/>
    <mergeCell ref="H21:I21"/>
    <mergeCell ref="H43:I43"/>
    <mergeCell ref="C26:D26"/>
    <mergeCell ref="C27:D27"/>
    <mergeCell ref="C38:D38"/>
    <mergeCell ref="H38:I38"/>
    <mergeCell ref="C61:H61"/>
    <mergeCell ref="C37:D37"/>
    <mergeCell ref="C40:D40"/>
    <mergeCell ref="C41:D41"/>
    <mergeCell ref="B30:H30"/>
    <mergeCell ref="H37:I37"/>
    <mergeCell ref="H40:I40"/>
    <mergeCell ref="H41:I41"/>
    <mergeCell ref="C46:D46"/>
    <mergeCell ref="B47:D47"/>
    <mergeCell ref="G47:I47"/>
    <mergeCell ref="B48:H48"/>
    <mergeCell ref="C62:H62"/>
    <mergeCell ref="B8:H8"/>
    <mergeCell ref="B10:H10"/>
    <mergeCell ref="B13:I13"/>
    <mergeCell ref="B12:I12"/>
    <mergeCell ref="G16:I16"/>
    <mergeCell ref="B16:F16"/>
    <mergeCell ref="H44:I44"/>
    <mergeCell ref="H45:I45"/>
    <mergeCell ref="H46:I46"/>
    <mergeCell ref="C23:D23"/>
    <mergeCell ref="H27:I27"/>
    <mergeCell ref="H28:I28"/>
    <mergeCell ref="H42:I42"/>
    <mergeCell ref="C28:D28"/>
    <mergeCell ref="B29:D29"/>
    <mergeCell ref="B84:I84"/>
    <mergeCell ref="C69:D69"/>
    <mergeCell ref="C70:D70"/>
    <mergeCell ref="B80:I80"/>
    <mergeCell ref="H69:I69"/>
    <mergeCell ref="H70:I70"/>
  </mergeCells>
  <dataValidations count="7">
    <dataValidation type="list" allowBlank="1" showErrorMessage="1" sqref="I10 I8" xr:uid="{00000000-0002-0000-0C00-000000000000}">
      <formula1>"Yes,No,N/A"</formula1>
    </dataValidation>
    <dataValidation type="list" allowBlank="1" showInputMessage="1" showErrorMessage="1" sqref="H40:H46 H23:H28 H67:H70" xr:uid="{00000000-0002-0000-0C00-000001000000}">
      <formula1>"Yes,No"</formula1>
    </dataValidation>
    <dataValidation type="decimal" operator="greaterThanOrEqual" allowBlank="1" showInputMessage="1" showErrorMessage="1" error="Please enter the value only (without any labels)" sqref="F23:F28" xr:uid="{00000000-0002-0000-0C00-000002000000}">
      <formula1>0</formula1>
    </dataValidation>
    <dataValidation type="list" allowBlank="1" showInputMessage="1" showErrorMessage="1" sqref="B78:B79 B23:B28 B40:B46 B67:B70" xr:uid="{00000000-0002-0000-0C00-000004000000}">
      <formula1>BuildingIDLookupAlt</formula1>
    </dataValidation>
    <dataValidation type="list" errorStyle="information" allowBlank="1" error="Manual entries are permitted. Table 9.5.1 values are only provided for reference." sqref="C22:D28" xr:uid="{00000000-0002-0000-0C00-000005000000}">
      <formula1>BAMCategories</formula1>
    </dataValidation>
    <dataValidation type="list" allowBlank="1" showInputMessage="1" sqref="C39:D46" xr:uid="{00000000-0002-0000-0C00-000006000000}">
      <formula1>SxSCategories</formula1>
    </dataValidation>
    <dataValidation type="list" allowBlank="1" showInputMessage="1" showErrorMessage="1" sqref="E67:E70" xr:uid="{00000000-0002-0000-0C00-000003000000}">
      <formula1>FuelTypes</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6172" r:id="rId5" name="Button 28">
              <controlPr defaultSize="0" print="0" autoFill="0" autoPict="0" macro="[0]!addB">
                <anchor moveWithCells="1">
                  <from>
                    <xdr:col>1</xdr:col>
                    <xdr:colOff>47625</xdr:colOff>
                    <xdr:row>50</xdr:row>
                    <xdr:rowOff>0</xdr:rowOff>
                  </from>
                  <to>
                    <xdr:col>2</xdr:col>
                    <xdr:colOff>419100</xdr:colOff>
                    <xdr:row>52</xdr:row>
                    <xdr:rowOff>0</xdr:rowOff>
                  </to>
                </anchor>
              </controlPr>
            </control>
          </mc:Choice>
        </mc:AlternateContent>
        <mc:AlternateContent xmlns:mc="http://schemas.openxmlformats.org/markup-compatibility/2006">
          <mc:Choice Requires="x14">
            <control shapeId="6174" r:id="rId6" name="Button 30">
              <controlPr defaultSize="0" print="0" autoFill="0" autoPict="0" macro="[0]!addC">
                <anchor moveWithCells="1">
                  <from>
                    <xdr:col>1</xdr:col>
                    <xdr:colOff>19050</xdr:colOff>
                    <xdr:row>71</xdr:row>
                    <xdr:rowOff>95250</xdr:rowOff>
                  </from>
                  <to>
                    <xdr:col>2</xdr:col>
                    <xdr:colOff>390525</xdr:colOff>
                    <xdr:row>71</xdr:row>
                    <xdr:rowOff>361950</xdr:rowOff>
                  </to>
                </anchor>
              </controlPr>
            </control>
          </mc:Choice>
        </mc:AlternateContent>
        <mc:AlternateContent xmlns:mc="http://schemas.openxmlformats.org/markup-compatibility/2006">
          <mc:Choice Requires="x14">
            <control shapeId="6193" r:id="rId7" name="Check Box 49">
              <controlPr defaultSize="0" autoFill="0" autoLine="0" autoPict="0" macro="[0]!PowerDensity_Change">
                <anchor moveWithCells="1">
                  <from>
                    <xdr:col>6</xdr:col>
                    <xdr:colOff>95250</xdr:colOff>
                    <xdr:row>15</xdr:row>
                    <xdr:rowOff>114300</xdr:rowOff>
                  </from>
                  <to>
                    <xdr:col>6</xdr:col>
                    <xdr:colOff>400050</xdr:colOff>
                    <xdr:row>15</xdr:row>
                    <xdr:rowOff>361950</xdr:rowOff>
                  </to>
                </anchor>
              </controlPr>
            </control>
          </mc:Choice>
        </mc:AlternateContent>
        <mc:AlternateContent xmlns:mc="http://schemas.openxmlformats.org/markup-compatibility/2006">
          <mc:Choice Requires="x14">
            <control shapeId="6194" r:id="rId8" name="Check Box 50">
              <controlPr defaultSize="0" autoFill="0" autoLine="0" autoPict="0" macro="[0]!PowerDensity_Change">
                <anchor moveWithCells="1">
                  <from>
                    <xdr:col>6</xdr:col>
                    <xdr:colOff>95250</xdr:colOff>
                    <xdr:row>15</xdr:row>
                    <xdr:rowOff>438150</xdr:rowOff>
                  </from>
                  <to>
                    <xdr:col>6</xdr:col>
                    <xdr:colOff>342900</xdr:colOff>
                    <xdr:row>15</xdr:row>
                    <xdr:rowOff>647700</xdr:rowOff>
                  </to>
                </anchor>
              </controlPr>
            </control>
          </mc:Choice>
        </mc:AlternateContent>
        <mc:AlternateContent xmlns:mc="http://schemas.openxmlformats.org/markup-compatibility/2006">
          <mc:Choice Requires="x14">
            <control shapeId="6226" r:id="rId9" name="Button 82">
              <controlPr defaultSize="0" print="0" autoFill="0" autoPict="0" macro="[0]!DeleteSome">
                <anchor moveWithCells="1">
                  <from>
                    <xdr:col>2</xdr:col>
                    <xdr:colOff>561975</xdr:colOff>
                    <xdr:row>50</xdr:row>
                    <xdr:rowOff>0</xdr:rowOff>
                  </from>
                  <to>
                    <xdr:col>3</xdr:col>
                    <xdr:colOff>923925</xdr:colOff>
                    <xdr:row>52</xdr:row>
                    <xdr:rowOff>0</xdr:rowOff>
                  </to>
                </anchor>
              </controlPr>
            </control>
          </mc:Choice>
        </mc:AlternateContent>
        <mc:AlternateContent xmlns:mc="http://schemas.openxmlformats.org/markup-compatibility/2006">
          <mc:Choice Requires="x14">
            <control shapeId="6227" r:id="rId10" name="Button 83">
              <controlPr defaultSize="0" print="0" autoFill="0" autoPict="0" macro="[0]!DeleteSome">
                <anchor moveWithCells="1">
                  <from>
                    <xdr:col>2</xdr:col>
                    <xdr:colOff>504825</xdr:colOff>
                    <xdr:row>71</xdr:row>
                    <xdr:rowOff>95250</xdr:rowOff>
                  </from>
                  <to>
                    <xdr:col>3</xdr:col>
                    <xdr:colOff>866775</xdr:colOff>
                    <xdr:row>71</xdr:row>
                    <xdr:rowOff>361950</xdr:rowOff>
                  </to>
                </anchor>
              </controlPr>
            </control>
          </mc:Choice>
        </mc:AlternateContent>
        <mc:AlternateContent xmlns:mc="http://schemas.openxmlformats.org/markup-compatibility/2006">
          <mc:Choice Requires="x14">
            <control shapeId="6230" r:id="rId11" name="Button 86">
              <controlPr defaultSize="0" print="0" autoFill="0" autoPict="0" macro="[0]!addA">
                <anchor moveWithCells="1">
                  <from>
                    <xdr:col>1</xdr:col>
                    <xdr:colOff>38100</xdr:colOff>
                    <xdr:row>32</xdr:row>
                    <xdr:rowOff>0</xdr:rowOff>
                  </from>
                  <to>
                    <xdr:col>2</xdr:col>
                    <xdr:colOff>409575</xdr:colOff>
                    <xdr:row>32</xdr:row>
                    <xdr:rowOff>266700</xdr:rowOff>
                  </to>
                </anchor>
              </controlPr>
            </control>
          </mc:Choice>
        </mc:AlternateContent>
        <mc:AlternateContent xmlns:mc="http://schemas.openxmlformats.org/markup-compatibility/2006">
          <mc:Choice Requires="x14">
            <control shapeId="6231" r:id="rId12" name="Button 87">
              <controlPr defaultSize="0" print="0" autoFill="0" autoPict="0" macro="[0]!DeleteSome">
                <anchor moveWithCells="1">
                  <from>
                    <xdr:col>2</xdr:col>
                    <xdr:colOff>495300</xdr:colOff>
                    <xdr:row>32</xdr:row>
                    <xdr:rowOff>0</xdr:rowOff>
                  </from>
                  <to>
                    <xdr:col>3</xdr:col>
                    <xdr:colOff>857250</xdr:colOff>
                    <xdr:row>32</xdr:row>
                    <xdr:rowOff>266700</xdr:rowOff>
                  </to>
                </anchor>
              </controlPr>
            </control>
          </mc:Choice>
        </mc:AlternateContent>
        <mc:AlternateContent xmlns:mc="http://schemas.openxmlformats.org/markup-compatibility/2006">
          <mc:Choice Requires="x14">
            <control shapeId="6238" r:id="rId13" name="Button 94">
              <controlPr defaultSize="0" print="0" autoFill="0" autoPict="0" macro="[0]!addD">
                <anchor moveWithCells="1">
                  <from>
                    <xdr:col>1</xdr:col>
                    <xdr:colOff>9525</xdr:colOff>
                    <xdr:row>80</xdr:row>
                    <xdr:rowOff>95250</xdr:rowOff>
                  </from>
                  <to>
                    <xdr:col>2</xdr:col>
                    <xdr:colOff>371475</xdr:colOff>
                    <xdr:row>80</xdr:row>
                    <xdr:rowOff>361950</xdr:rowOff>
                  </to>
                </anchor>
              </controlPr>
            </control>
          </mc:Choice>
        </mc:AlternateContent>
        <mc:AlternateContent xmlns:mc="http://schemas.openxmlformats.org/markup-compatibility/2006">
          <mc:Choice Requires="x14">
            <control shapeId="6239" r:id="rId14" name="Button 95">
              <controlPr defaultSize="0" print="0" autoFill="0" autoPict="0" macro="[0]!DeleteSome">
                <anchor moveWithCells="1">
                  <from>
                    <xdr:col>2</xdr:col>
                    <xdr:colOff>495300</xdr:colOff>
                    <xdr:row>80</xdr:row>
                    <xdr:rowOff>95250</xdr:rowOff>
                  </from>
                  <to>
                    <xdr:col>3</xdr:col>
                    <xdr:colOff>857250</xdr:colOff>
                    <xdr:row>80</xdr:row>
                    <xdr:rowOff>361950</xdr:rowOff>
                  </to>
                </anchor>
              </controlPr>
            </control>
          </mc:Choice>
        </mc:AlternateContent>
        <mc:AlternateContent xmlns:mc="http://schemas.openxmlformats.org/markup-compatibility/2006">
          <mc:Choice Requires="x14">
            <control shapeId="6242" r:id="rId15" name="Check Box 98">
              <controlPr defaultSize="0" autoFill="0" autoLine="0" autoPict="0" macro="[0]!GarageFanPowerTableReset">
                <anchor moveWithCells="1">
                  <from>
                    <xdr:col>1</xdr:col>
                    <xdr:colOff>38100</xdr:colOff>
                    <xdr:row>73</xdr:row>
                    <xdr:rowOff>381000</xdr:rowOff>
                  </from>
                  <to>
                    <xdr:col>3</xdr:col>
                    <xdr:colOff>895350</xdr:colOff>
                    <xdr:row>74</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Q76"/>
  <sheetViews>
    <sheetView showGridLines="0" zoomScale="90" zoomScaleNormal="90" zoomScaleSheetLayoutView="120" zoomScalePageLayoutView="90" workbookViewId="0">
      <selection activeCell="K22" sqref="K22:M22"/>
    </sheetView>
  </sheetViews>
  <sheetFormatPr defaultColWidth="8.7109375" defaultRowHeight="12.75" outlineLevelCol="1" x14ac:dyDescent="0.2"/>
  <cols>
    <col min="1" max="1" width="2.7109375" style="36" customWidth="1"/>
    <col min="2" max="2" width="18.140625" style="36" customWidth="1"/>
    <col min="3" max="3" width="28.28515625" style="36" customWidth="1"/>
    <col min="4" max="5" width="14.7109375" style="36" customWidth="1"/>
    <col min="6" max="6" width="2.7109375" style="36" customWidth="1"/>
    <col min="7" max="9" width="14.7109375" style="36" customWidth="1"/>
    <col min="10" max="10" width="2.7109375" style="36" customWidth="1"/>
    <col min="11" max="13" width="14.7109375" style="36" customWidth="1"/>
    <col min="14" max="14" width="2.7109375" style="36" customWidth="1"/>
    <col min="15" max="15" width="8.7109375" style="36" hidden="1" customWidth="1" outlineLevel="1"/>
    <col min="16" max="16" width="2.7109375" style="36" customWidth="1" collapsed="1"/>
    <col min="17" max="17" width="50.7109375" style="36" customWidth="1"/>
    <col min="18" max="28" width="8.7109375" style="36" customWidth="1"/>
    <col min="29" max="16384" width="8.7109375" style="36"/>
  </cols>
  <sheetData>
    <row r="1" spans="1:17" s="25" customFormat="1" x14ac:dyDescent="0.2">
      <c r="A1" s="1099" t="s">
        <v>1298</v>
      </c>
      <c r="B1" s="35"/>
      <c r="C1" s="35"/>
      <c r="D1" s="35"/>
      <c r="E1" s="35"/>
      <c r="F1" s="35"/>
      <c r="G1" s="35"/>
      <c r="H1" s="35"/>
      <c r="I1" s="35"/>
      <c r="J1" s="35"/>
      <c r="K1" s="35"/>
      <c r="L1" s="35"/>
      <c r="M1" s="35"/>
      <c r="N1" s="36"/>
      <c r="O1" s="36"/>
    </row>
    <row r="2" spans="1:17" s="25" customFormat="1" ht="24.75" customHeight="1" x14ac:dyDescent="0.2">
      <c r="A2" s="1099" t="s">
        <v>1298</v>
      </c>
      <c r="B2" s="44" t="s">
        <v>283</v>
      </c>
      <c r="C2" s="49"/>
      <c r="D2" s="49"/>
      <c r="E2" s="49"/>
      <c r="F2" s="49"/>
      <c r="G2" s="49"/>
      <c r="H2" s="49"/>
      <c r="I2" s="49"/>
      <c r="J2" s="49"/>
      <c r="K2" s="49"/>
      <c r="L2" s="49"/>
      <c r="M2" s="49"/>
      <c r="N2" s="36"/>
      <c r="O2" s="36"/>
    </row>
    <row r="3" spans="1:17" s="25" customFormat="1" ht="15" customHeight="1" x14ac:dyDescent="0.2">
      <c r="A3" s="1099" t="s">
        <v>1298</v>
      </c>
      <c r="B3" s="35"/>
      <c r="C3" s="35"/>
      <c r="D3" s="35"/>
      <c r="E3" s="35"/>
      <c r="F3" s="35"/>
      <c r="G3" s="35"/>
      <c r="H3" s="35"/>
      <c r="I3" s="35"/>
      <c r="J3" s="35"/>
      <c r="K3" s="35"/>
      <c r="L3" s="35"/>
      <c r="M3" s="35"/>
      <c r="N3" s="36"/>
      <c r="O3" s="36"/>
    </row>
    <row r="4" spans="1:17" ht="20.25" customHeight="1" x14ac:dyDescent="0.2">
      <c r="A4" s="1097" t="s">
        <v>1298</v>
      </c>
    </row>
    <row r="5" spans="1:17" ht="50.1" customHeight="1" x14ac:dyDescent="0.2">
      <c r="A5" s="1097" t="s">
        <v>1298</v>
      </c>
      <c r="B5" s="2972" t="s">
        <v>1382</v>
      </c>
      <c r="C5" s="2858"/>
      <c r="D5" s="2858"/>
      <c r="E5" s="2858"/>
      <c r="F5" s="2858"/>
      <c r="G5" s="2858"/>
      <c r="H5" s="2858"/>
      <c r="I5" s="2858"/>
      <c r="J5" s="2858"/>
      <c r="K5" s="2858"/>
      <c r="L5" s="2858"/>
      <c r="M5" s="2609"/>
      <c r="Q5" s="1082" t="s">
        <v>2090</v>
      </c>
    </row>
    <row r="6" spans="1:17" s="25" customFormat="1" ht="21" customHeight="1" x14ac:dyDescent="0.2">
      <c r="A6" s="1097" t="s">
        <v>1298</v>
      </c>
      <c r="B6" s="63"/>
      <c r="C6" s="63"/>
      <c r="D6" s="63"/>
      <c r="E6" s="63"/>
      <c r="F6" s="63"/>
      <c r="G6" s="63"/>
      <c r="H6" s="63"/>
      <c r="I6" s="63"/>
      <c r="J6" s="63"/>
      <c r="M6" s="26"/>
    </row>
    <row r="7" spans="1:17" s="25" customFormat="1" ht="26.25" customHeight="1" x14ac:dyDescent="0.2">
      <c r="A7" s="1097" t="s">
        <v>1298</v>
      </c>
      <c r="B7" s="28" t="s">
        <v>132</v>
      </c>
      <c r="C7" s="33"/>
      <c r="D7" s="33"/>
      <c r="E7" s="33"/>
      <c r="F7" s="33"/>
      <c r="G7" s="33"/>
      <c r="H7" s="33"/>
      <c r="I7" s="33"/>
      <c r="J7" s="33"/>
      <c r="K7" s="33"/>
      <c r="L7" s="33"/>
      <c r="M7" s="33"/>
      <c r="N7" s="33"/>
      <c r="O7" s="33"/>
      <c r="P7" s="33"/>
      <c r="Q7" s="27"/>
    </row>
    <row r="8" spans="1:17" s="25" customFormat="1" ht="43.5" customHeight="1" x14ac:dyDescent="0.2">
      <c r="A8" s="1097" t="s">
        <v>1298</v>
      </c>
      <c r="B8" s="2975" t="s">
        <v>0</v>
      </c>
      <c r="C8" s="2975"/>
      <c r="D8" s="2975"/>
      <c r="E8" s="2976"/>
      <c r="F8" s="1933"/>
      <c r="G8" s="2977" t="s">
        <v>347</v>
      </c>
      <c r="H8" s="2975"/>
      <c r="I8" s="2975"/>
      <c r="J8" s="1924"/>
      <c r="K8" s="2975" t="s">
        <v>348</v>
      </c>
      <c r="L8" s="2975"/>
      <c r="M8" s="2975"/>
    </row>
    <row r="9" spans="1:17" s="25" customFormat="1" ht="108.75" customHeight="1" x14ac:dyDescent="0.2">
      <c r="A9" s="1097"/>
      <c r="B9" s="1922" t="s">
        <v>1703</v>
      </c>
      <c r="C9" s="3005" t="s">
        <v>1745</v>
      </c>
      <c r="D9" s="3005"/>
      <c r="E9" s="3006"/>
      <c r="F9" s="1934"/>
      <c r="G9" s="3007" t="s">
        <v>1746</v>
      </c>
      <c r="H9" s="3005"/>
      <c r="I9" s="3005"/>
      <c r="J9" s="1925"/>
      <c r="K9" s="3005" t="s">
        <v>1747</v>
      </c>
      <c r="L9" s="3005"/>
      <c r="M9" s="3005"/>
    </row>
    <row r="10" spans="1:17" s="25" customFormat="1" ht="25.5" hidden="1" x14ac:dyDescent="0.2">
      <c r="A10" s="1240"/>
      <c r="B10" s="1241" t="s">
        <v>1665</v>
      </c>
      <c r="C10" s="1241"/>
      <c r="D10" s="1241"/>
      <c r="E10" s="1931"/>
      <c r="F10" s="1934"/>
      <c r="G10" s="1932" t="s">
        <v>347</v>
      </c>
      <c r="H10" s="1241"/>
      <c r="I10" s="1241"/>
      <c r="J10" s="1925"/>
      <c r="K10" s="1241" t="s">
        <v>348</v>
      </c>
      <c r="L10" s="1242"/>
      <c r="M10" s="1242"/>
    </row>
    <row r="11" spans="1:17" s="60" customFormat="1" ht="6" customHeight="1" x14ac:dyDescent="0.2">
      <c r="A11" s="1097" t="s">
        <v>1298</v>
      </c>
      <c r="B11" s="2978"/>
      <c r="C11" s="2978"/>
      <c r="D11" s="2978"/>
      <c r="E11" s="2979"/>
      <c r="F11" s="1935"/>
      <c r="G11" s="2980"/>
      <c r="H11" s="2981"/>
      <c r="I11" s="2981"/>
      <c r="J11" s="1926"/>
      <c r="K11" s="2981"/>
      <c r="L11" s="2981"/>
      <c r="M11" s="2981"/>
    </row>
    <row r="12" spans="1:17" s="60" customFormat="1" ht="15" customHeight="1" x14ac:dyDescent="0.2">
      <c r="A12" s="1097" t="s">
        <v>1298</v>
      </c>
      <c r="B12" s="2982" t="s">
        <v>1357</v>
      </c>
      <c r="C12" s="2983"/>
      <c r="D12" s="2983"/>
      <c r="E12" s="2984"/>
      <c r="F12" s="1936"/>
      <c r="G12" s="2985" t="s">
        <v>2242</v>
      </c>
      <c r="H12" s="2986"/>
      <c r="I12" s="2986"/>
      <c r="J12" s="2987"/>
      <c r="K12" s="2987"/>
      <c r="L12" s="2987"/>
      <c r="M12" s="2988"/>
      <c r="Q12" s="2282"/>
    </row>
    <row r="13" spans="1:17" s="60" customFormat="1" ht="15" customHeight="1" x14ac:dyDescent="0.2">
      <c r="A13" s="1097" t="s">
        <v>1298</v>
      </c>
      <c r="B13" s="2989" t="s">
        <v>424</v>
      </c>
      <c r="C13" s="2990"/>
      <c r="D13" s="2990"/>
      <c r="E13" s="2991"/>
      <c r="F13" s="1936"/>
      <c r="G13" s="2992" t="s">
        <v>2259</v>
      </c>
      <c r="H13" s="2953"/>
      <c r="I13" s="2953"/>
      <c r="J13" s="1927"/>
      <c r="K13" s="2953" t="s">
        <v>2260</v>
      </c>
      <c r="L13" s="2953"/>
      <c r="M13" s="2993"/>
      <c r="Q13" s="2282"/>
    </row>
    <row r="14" spans="1:17" s="60" customFormat="1" ht="15" customHeight="1" x14ac:dyDescent="0.2">
      <c r="A14" s="1097" t="s">
        <v>1298</v>
      </c>
      <c r="B14" s="2989" t="str">
        <f>IF(SI_IP_Units="IP","Input rating (kW, MBH, etc.)","Input rating (kW, kBtu/h, etc.)")</f>
        <v>Input rating (kW, MBH, etc.)</v>
      </c>
      <c r="C14" s="2990"/>
      <c r="D14" s="2990"/>
      <c r="E14" s="2991"/>
      <c r="F14" s="1936"/>
      <c r="G14" s="2992" t="s">
        <v>2259</v>
      </c>
      <c r="H14" s="2953"/>
      <c r="I14" s="2953"/>
      <c r="J14" s="1928"/>
      <c r="K14" s="2953" t="s">
        <v>2261</v>
      </c>
      <c r="L14" s="2953"/>
      <c r="M14" s="2993"/>
      <c r="Q14" s="2282"/>
    </row>
    <row r="15" spans="1:17" s="60" customFormat="1" ht="15" customHeight="1" x14ac:dyDescent="0.2">
      <c r="A15" s="1097" t="s">
        <v>1298</v>
      </c>
      <c r="B15" s="2989" t="s">
        <v>154</v>
      </c>
      <c r="C15" s="2990"/>
      <c r="D15" s="2990"/>
      <c r="E15" s="2991"/>
      <c r="F15" s="1936"/>
      <c r="G15" s="2992" t="s">
        <v>2259</v>
      </c>
      <c r="H15" s="2953"/>
      <c r="I15" s="2953"/>
      <c r="J15" s="1928"/>
      <c r="K15" s="2994">
        <v>1</v>
      </c>
      <c r="L15" s="2953"/>
      <c r="M15" s="2993"/>
      <c r="Q15" s="2282"/>
    </row>
    <row r="16" spans="1:17" s="60" customFormat="1" ht="15" customHeight="1" x14ac:dyDescent="0.2">
      <c r="A16" s="1097" t="s">
        <v>1298</v>
      </c>
      <c r="B16" s="2989" t="str">
        <f>IF(SI_IP_Units="IP","Storage volume (gal)","Storage volume (L)")</f>
        <v>Storage volume (gal)</v>
      </c>
      <c r="C16" s="2990"/>
      <c r="D16" s="2990"/>
      <c r="E16" s="2991"/>
      <c r="F16" s="1936"/>
      <c r="G16" s="2992" t="s">
        <v>2259</v>
      </c>
      <c r="H16" s="2953"/>
      <c r="I16" s="2953"/>
      <c r="J16" s="1928"/>
      <c r="K16" s="2953" t="s">
        <v>1068</v>
      </c>
      <c r="L16" s="2953"/>
      <c r="M16" s="2993"/>
      <c r="Q16" s="2282"/>
    </row>
    <row r="17" spans="1:17" s="60" customFormat="1" ht="15" customHeight="1" x14ac:dyDescent="0.2">
      <c r="A17" s="1097" t="s">
        <v>1298</v>
      </c>
      <c r="B17" s="2989" t="str">
        <f>IF(SI_IP_Units="IP","Storage temperature (°F)","Storage temperature (°C)")</f>
        <v>Storage temperature (°F)</v>
      </c>
      <c r="C17" s="2990"/>
      <c r="D17" s="2990"/>
      <c r="E17" s="2991"/>
      <c r="F17" s="1936"/>
      <c r="G17" s="2992" t="s">
        <v>2259</v>
      </c>
      <c r="H17" s="2953"/>
      <c r="I17" s="2953"/>
      <c r="J17" s="1928"/>
      <c r="K17" s="2953" t="s">
        <v>1068</v>
      </c>
      <c r="L17" s="2953"/>
      <c r="M17" s="2993"/>
      <c r="Q17" s="2282"/>
    </row>
    <row r="18" spans="1:17" s="60" customFormat="1" ht="15" customHeight="1" x14ac:dyDescent="0.2">
      <c r="A18" s="1097" t="s">
        <v>1298</v>
      </c>
      <c r="B18" s="2989" t="str">
        <f>IF(SI_IP_Units="IP","Peak hot water demand (gpm)","Peak hot water demand (L/s)")</f>
        <v>Peak hot water demand (gpm)</v>
      </c>
      <c r="C18" s="2990"/>
      <c r="D18" s="2990"/>
      <c r="E18" s="2991"/>
      <c r="F18" s="1936"/>
      <c r="G18" s="2992" t="s">
        <v>2259</v>
      </c>
      <c r="H18" s="2953"/>
      <c r="I18" s="2953"/>
      <c r="J18" s="1928"/>
      <c r="K18" s="2953" t="s">
        <v>2262</v>
      </c>
      <c r="L18" s="2953"/>
      <c r="M18" s="2993"/>
      <c r="Q18" s="2282"/>
    </row>
    <row r="19" spans="1:17" s="60" customFormat="1" ht="15" customHeight="1" x14ac:dyDescent="0.2">
      <c r="A19" s="1097" t="s">
        <v>1298</v>
      </c>
      <c r="B19" s="2989" t="s">
        <v>155</v>
      </c>
      <c r="C19" s="2990"/>
      <c r="D19" s="2990"/>
      <c r="E19" s="2991"/>
      <c r="F19" s="1936"/>
      <c r="G19" s="2992" t="s">
        <v>2259</v>
      </c>
      <c r="H19" s="2953"/>
      <c r="I19" s="2953"/>
      <c r="J19" s="1928"/>
      <c r="K19" s="2953" t="s">
        <v>1068</v>
      </c>
      <c r="L19" s="2953"/>
      <c r="M19" s="2993"/>
      <c r="Q19" s="2282"/>
    </row>
    <row r="20" spans="1:17" s="60" customFormat="1" ht="15" customHeight="1" x14ac:dyDescent="0.2">
      <c r="A20" s="1097" t="s">
        <v>1298</v>
      </c>
      <c r="B20" s="2989" t="s">
        <v>425</v>
      </c>
      <c r="C20" s="2990"/>
      <c r="D20" s="2990"/>
      <c r="E20" s="2991"/>
      <c r="F20" s="1936"/>
      <c r="G20" s="2992" t="s">
        <v>2259</v>
      </c>
      <c r="H20" s="2953"/>
      <c r="I20" s="2953"/>
      <c r="J20" s="1929"/>
      <c r="K20" s="2995">
        <v>1</v>
      </c>
      <c r="L20" s="2995"/>
      <c r="M20" s="2996"/>
      <c r="Q20" s="2282"/>
    </row>
    <row r="21" spans="1:17" s="60" customFormat="1" ht="15" customHeight="1" x14ac:dyDescent="0.2">
      <c r="A21" s="1097" t="s">
        <v>1298</v>
      </c>
      <c r="B21" s="2989" t="s">
        <v>1000</v>
      </c>
      <c r="C21" s="2990"/>
      <c r="D21" s="2990"/>
      <c r="E21" s="2991"/>
      <c r="F21" s="1936"/>
      <c r="G21" s="2992" t="s">
        <v>2259</v>
      </c>
      <c r="H21" s="2953"/>
      <c r="I21" s="2953"/>
      <c r="J21" s="1929"/>
      <c r="K21" s="2995">
        <v>0.3</v>
      </c>
      <c r="L21" s="2995"/>
      <c r="M21" s="2996"/>
      <c r="Q21" s="2282"/>
    </row>
    <row r="22" spans="1:17" s="60" customFormat="1" ht="15" customHeight="1" x14ac:dyDescent="0.2">
      <c r="A22" s="1097" t="s">
        <v>1298</v>
      </c>
      <c r="B22" s="3015" t="s">
        <v>426</v>
      </c>
      <c r="C22" s="3016"/>
      <c r="D22" s="3016"/>
      <c r="E22" s="3017"/>
      <c r="F22" s="1937"/>
      <c r="G22" s="3018" t="s">
        <v>2263</v>
      </c>
      <c r="H22" s="3019"/>
      <c r="I22" s="3019"/>
      <c r="J22" s="1930"/>
      <c r="K22" s="3019" t="s">
        <v>2263</v>
      </c>
      <c r="L22" s="3019"/>
      <c r="M22" s="3020"/>
      <c r="Q22" s="2282"/>
    </row>
    <row r="23" spans="1:17" s="25" customFormat="1" ht="44.25" customHeight="1" x14ac:dyDescent="0.2">
      <c r="A23" s="1097" t="s">
        <v>1298</v>
      </c>
      <c r="B23" s="63"/>
      <c r="C23" s="63"/>
      <c r="D23" s="63"/>
      <c r="E23" s="63"/>
      <c r="F23" s="63"/>
      <c r="G23" s="63"/>
      <c r="H23" s="63"/>
      <c r="I23" s="63"/>
      <c r="J23" s="63"/>
      <c r="M23" s="26"/>
    </row>
    <row r="24" spans="1:17" s="25" customFormat="1" ht="21" customHeight="1" x14ac:dyDescent="0.2">
      <c r="A24" s="1097" t="s">
        <v>1298</v>
      </c>
      <c r="B24" s="1086" t="s">
        <v>330</v>
      </c>
      <c r="C24" s="63"/>
      <c r="D24" s="63"/>
      <c r="E24" s="63"/>
      <c r="F24" s="63"/>
      <c r="G24" s="63"/>
      <c r="H24" s="63"/>
      <c r="I24" s="63"/>
      <c r="J24" s="63"/>
      <c r="M24" s="26"/>
    </row>
    <row r="25" spans="1:17" s="25" customFormat="1" ht="21" customHeight="1" x14ac:dyDescent="0.2">
      <c r="A25" s="1097" t="s">
        <v>1298</v>
      </c>
      <c r="B25" s="63"/>
      <c r="C25" s="63"/>
      <c r="D25" s="63"/>
      <c r="E25" s="63"/>
      <c r="F25" s="63"/>
      <c r="G25" s="63"/>
      <c r="H25" s="63"/>
      <c r="I25" s="63"/>
      <c r="J25" s="63"/>
      <c r="M25" s="26"/>
    </row>
    <row r="26" spans="1:17" s="887" customFormat="1" ht="26.25" customHeight="1" x14ac:dyDescent="0.2">
      <c r="A26" s="1097" t="s">
        <v>1298</v>
      </c>
      <c r="B26" s="28" t="str">
        <f>CONCATENATE("Service Hot Water Flow",IF(ResDwellingUnitsExist="Yes", " (Except Residential Dwelling Units &amp; Laundry)", ""))</f>
        <v>Service Hot Water Flow</v>
      </c>
      <c r="C26" s="33"/>
      <c r="D26" s="33"/>
      <c r="E26" s="33"/>
      <c r="F26" s="33"/>
      <c r="G26" s="33"/>
      <c r="H26" s="33"/>
      <c r="I26" s="33"/>
      <c r="J26" s="33"/>
      <c r="K26" s="33"/>
      <c r="L26" s="33"/>
      <c r="M26" s="33"/>
      <c r="N26" s="33"/>
      <c r="O26" s="33"/>
      <c r="P26" s="33"/>
      <c r="Q26" s="886"/>
    </row>
    <row r="27" spans="1:17" s="887" customFormat="1" ht="99" customHeight="1" x14ac:dyDescent="0.25">
      <c r="A27" s="1082"/>
      <c r="B27" s="3003" t="str">
        <f>CONCATENATE(IF(ResDwellingUnitsExist="Yes",CONCATENATE("This section is only required to be completed if credit is modeled in the proposed model for low-flow fixtures serving the non-residential portions of the project."," Complete the Multifamily Details tab to take credit for the fixtures in the dwelling units and laundry rooms serving resdential spaces. ","The project still must include the non-residential DHW flow in the baseline and proposed case for non-residential spaces even if no credit is taken."),CONCATENATE("This section is only required to be completed if credit is modeled in the proposed model for low-flow fixtures. ", "Please note that DHW must be included in the model as designed even if no credit is modeled."))," 
Note: The DHW Equivalent Full Load Hours of Operation is linked from the Main Building schedules section of the Schedules tab, which must be completed prior to completion of this tab. ","The Modeled DHW Flow rate will not calculate unless a value is entered for the service water heating Equivalent Full Load Hours in the Schedules Tab."," Please ensure that the modeled schedules and flow rates are consistent with the values reported here")</f>
        <v>This section is only required to be completed if credit is modeled in the proposed model for low-flow fixtures. Please note that DHW must be included in the model as designed even if no credit is modeled. 
Note: The DHW Equivalent Full Load Hours of Operation is linked from the Main Building schedules section of the Schedules tab, which must be completed prior to completion of this tab. The Modeled DHW Flow rate will not calculate unless a value is entered for the service water heating Equivalent Full Load Hours in the Schedules Tab. Please ensure that the modeled schedules and flow rates are consistent with the values reported here</v>
      </c>
      <c r="C27" s="3022"/>
      <c r="D27" s="3022"/>
      <c r="E27" s="3022"/>
      <c r="F27" s="3022"/>
      <c r="G27" s="3022"/>
      <c r="H27" s="3022"/>
      <c r="I27" s="3022"/>
      <c r="J27" s="3022"/>
      <c r="K27" s="3022"/>
      <c r="L27" s="3022"/>
      <c r="M27" s="3023"/>
      <c r="N27" s="33"/>
      <c r="O27" s="33"/>
      <c r="P27" s="33"/>
      <c r="Q27" s="886"/>
    </row>
    <row r="28" spans="1:17" s="887" customFormat="1" ht="10.5" customHeight="1" x14ac:dyDescent="0.25">
      <c r="A28" s="1082"/>
      <c r="B28" s="1106"/>
      <c r="C28" s="1077"/>
      <c r="D28" s="1077"/>
      <c r="E28" s="1077"/>
      <c r="F28" s="1077"/>
      <c r="G28" s="1077"/>
      <c r="H28" s="1077"/>
      <c r="I28" s="1077"/>
      <c r="J28" s="1077"/>
      <c r="K28" s="1077"/>
      <c r="L28" s="1077"/>
      <c r="M28" s="1076"/>
      <c r="N28" s="33"/>
      <c r="O28" s="33"/>
      <c r="P28" s="33"/>
      <c r="Q28" s="886"/>
    </row>
    <row r="29" spans="1:17" s="887" customFormat="1" ht="15" customHeight="1" x14ac:dyDescent="0.25">
      <c r="A29" s="1082"/>
      <c r="B29" s="1083" t="str">
        <f>CONCATENATE("Average Cold Water Temperature ",IF(SI_IP_Units="IP","(deg. F)","(deg. C)"))</f>
        <v>Average Cold Water Temperature (deg. F)</v>
      </c>
      <c r="C29" s="1077"/>
      <c r="D29" s="1077"/>
      <c r="E29" s="1077"/>
      <c r="F29" s="1077"/>
      <c r="G29" s="1077"/>
      <c r="H29" s="1077"/>
      <c r="I29" s="1077"/>
      <c r="J29" s="1077"/>
      <c r="K29" s="1077"/>
      <c r="L29" s="1077"/>
      <c r="M29" s="1509"/>
      <c r="N29" s="33"/>
      <c r="O29" s="33"/>
      <c r="P29" s="33"/>
      <c r="Q29" s="2277"/>
    </row>
    <row r="30" spans="1:17" s="892" customFormat="1" ht="15.75" customHeight="1" x14ac:dyDescent="0.2">
      <c r="A30" s="1082"/>
      <c r="B30" s="889"/>
      <c r="C30" s="890"/>
      <c r="D30" s="891"/>
      <c r="E30" s="891"/>
      <c r="G30" s="891"/>
      <c r="H30" s="891"/>
      <c r="I30" s="891"/>
      <c r="J30" s="891"/>
      <c r="K30" s="891"/>
      <c r="L30" s="891"/>
      <c r="M30" s="891"/>
      <c r="N30" s="891"/>
      <c r="O30" s="891"/>
      <c r="P30" s="891"/>
      <c r="Q30" s="893"/>
    </row>
    <row r="31" spans="1:17" s="887" customFormat="1" ht="15" customHeight="1" x14ac:dyDescent="0.2">
      <c r="A31" s="1082"/>
      <c r="B31" s="76"/>
      <c r="G31" s="894"/>
      <c r="I31" s="33"/>
      <c r="J31" s="33"/>
      <c r="K31" s="33"/>
      <c r="L31" s="1075"/>
      <c r="M31" s="33"/>
      <c r="N31" s="33"/>
      <c r="O31" s="33"/>
      <c r="P31" s="33"/>
      <c r="Q31" s="886"/>
    </row>
    <row r="32" spans="1:17" s="892" customFormat="1" ht="15.75" customHeight="1" x14ac:dyDescent="0.2">
      <c r="A32" s="1097" t="s">
        <v>1298</v>
      </c>
      <c r="B32" s="3000" t="s">
        <v>305</v>
      </c>
      <c r="C32" s="3021"/>
      <c r="D32" s="3001"/>
      <c r="E32" s="3002"/>
      <c r="F32" s="1074"/>
      <c r="G32" s="3000" t="s">
        <v>347</v>
      </c>
      <c r="H32" s="3001"/>
      <c r="I32" s="3002"/>
      <c r="J32" s="1074"/>
      <c r="K32" s="3000" t="s">
        <v>348</v>
      </c>
      <c r="L32" s="3001"/>
      <c r="M32" s="3002"/>
      <c r="N32" s="891"/>
      <c r="O32" s="891"/>
      <c r="P32" s="891"/>
      <c r="Q32" s="893"/>
    </row>
    <row r="33" spans="1:17" s="892" customFormat="1" ht="63.75" x14ac:dyDescent="0.2">
      <c r="A33" s="1097" t="s">
        <v>1298</v>
      </c>
      <c r="B33" s="2238" t="s">
        <v>1357</v>
      </c>
      <c r="C33" s="1072" t="s">
        <v>133</v>
      </c>
      <c r="D33" s="2236" t="str">
        <f>IF(SI_IP_Units="IP","Fixture Outlet Temperature
 (°F)","Fixture Outlet Temperature
 (°C)")</f>
        <v>Fixture Outlet Temperature
 (°F)</v>
      </c>
      <c r="E33" s="2237" t="s">
        <v>329</v>
      </c>
      <c r="F33" s="1069"/>
      <c r="G33" s="2238" t="str">
        <f>IF(SI_IP_Units="IP","Flow Rate 
(gpm or gpc)","Flow Rate 
(L/s or L/c)")</f>
        <v>Flow Rate 
(gpm or gpc)</v>
      </c>
      <c r="H33" s="2236" t="str">
        <f>IF(SI_IP_Units="IP","Annual Total Water Consumption of Fixture
(gallons/year)","Annual Total Water Consumption 
(Liters/year)")</f>
        <v>Annual Total Water Consumption of Fixture
(gallons/year)</v>
      </c>
      <c r="I33" s="2237" t="str">
        <f>IF(SI_IP_Units="IP","Annual Fixture Hot Water Consumption 
(gallons/year)","Annual Fixture Hot Water Consumption 
(Liters/year)")</f>
        <v>Annual Fixture Hot Water Consumption 
(gallons/year)</v>
      </c>
      <c r="J33" s="1069"/>
      <c r="K33" s="2238" t="str">
        <f>IF(SI_IP_Units="IP","Flow Rate 
(gpm or gpc)","Flow Rate 
(L/s or L/c)")</f>
        <v>Flow Rate 
(gpm or gpc)</v>
      </c>
      <c r="L33" s="2236" t="str">
        <f>IF(SI_IP_Units="IP","Annual Total Water Consumption 
(gallons/year)","Annual Total Water Consumption 
(Liters/year)")</f>
        <v>Annual Total Water Consumption 
(gallons/year)</v>
      </c>
      <c r="M33" s="2237" t="str">
        <f>IF(SI_IP_Units="IP","Annual Fixture Hot Water Consumption 
(gallons/year)","Annual Fixture Hot Water Consumption 
(Liters/year)")</f>
        <v>Annual Fixture Hot Water Consumption 
(gallons/year)</v>
      </c>
      <c r="N33" s="891"/>
      <c r="O33" s="891"/>
      <c r="P33" s="891"/>
      <c r="Q33" s="893"/>
    </row>
    <row r="34" spans="1:17" s="892" customFormat="1" ht="94.5" customHeight="1" x14ac:dyDescent="0.2">
      <c r="A34" s="1097" t="s">
        <v>1298</v>
      </c>
      <c r="B34" s="1166" t="s">
        <v>1703</v>
      </c>
      <c r="C34" s="2240" t="s">
        <v>1748</v>
      </c>
      <c r="D34" s="3008" t="s">
        <v>1749</v>
      </c>
      <c r="E34" s="3009"/>
      <c r="F34" s="1165"/>
      <c r="G34" s="3010" t="s">
        <v>1843</v>
      </c>
      <c r="H34" s="3011"/>
      <c r="I34" s="3012"/>
      <c r="J34" s="1165"/>
      <c r="K34" s="3013" t="s">
        <v>1750</v>
      </c>
      <c r="L34" s="3013"/>
      <c r="M34" s="3014"/>
      <c r="N34" s="891"/>
      <c r="O34" s="891"/>
      <c r="P34" s="891"/>
      <c r="Q34" s="893"/>
    </row>
    <row r="35" spans="1:17" s="887" customFormat="1" ht="51" hidden="1" x14ac:dyDescent="0.2">
      <c r="A35" s="1104" t="s">
        <v>1298</v>
      </c>
      <c r="B35" s="1068" t="s">
        <v>1357</v>
      </c>
      <c r="C35" s="1067" t="s">
        <v>1666</v>
      </c>
      <c r="D35" s="1066" t="s">
        <v>1667</v>
      </c>
      <c r="E35" s="1065" t="s">
        <v>1668</v>
      </c>
      <c r="F35" s="1064"/>
      <c r="G35" s="1068" t="s">
        <v>1669</v>
      </c>
      <c r="H35" s="1066" t="s">
        <v>1670</v>
      </c>
      <c r="I35" s="1065" t="s">
        <v>1671</v>
      </c>
      <c r="J35" s="1064"/>
      <c r="K35" s="1068" t="s">
        <v>1672</v>
      </c>
      <c r="L35" s="1066" t="s">
        <v>1673</v>
      </c>
      <c r="M35" s="1065" t="s">
        <v>1674</v>
      </c>
      <c r="N35" s="33"/>
      <c r="O35" s="1067" t="s">
        <v>2223</v>
      </c>
      <c r="P35" s="33"/>
      <c r="Q35" s="886"/>
    </row>
    <row r="36" spans="1:17" s="887" customFormat="1" ht="26.25" hidden="1" customHeight="1" x14ac:dyDescent="0.2">
      <c r="A36" s="1098" t="s">
        <v>915</v>
      </c>
      <c r="B36" s="1092" t="str">
        <f>GI_Project_Name</f>
        <v>SEA Building Addition</v>
      </c>
      <c r="C36" s="2239"/>
      <c r="D36" s="456"/>
      <c r="E36" s="1095"/>
      <c r="F36" s="1063"/>
      <c r="G36" s="455"/>
      <c r="H36" s="2357"/>
      <c r="I36" s="1618" t="str">
        <f>IFERROR(IF(OR($M$29="",$D36="",$D$44="",MAX($D$36:$D$39)&gt;$D$44),"",$E36*$H36),"")</f>
        <v/>
      </c>
      <c r="J36" s="1107"/>
      <c r="K36" s="455"/>
      <c r="L36" s="2357"/>
      <c r="M36" s="1618" t="str">
        <f>IFERROR(IF(OR($M$29="",$D36="",$D$44="",MAX($D$36:$D$39)&gt;$D$44),"",$E36*$L36),"")</f>
        <v/>
      </c>
      <c r="N36" s="33"/>
      <c r="O36" s="2277">
        <f>IFERROR(IF(D36-$M$29&lt;0,0,D36-$M$29),"")</f>
        <v>0</v>
      </c>
      <c r="P36" s="33"/>
      <c r="Q36" s="2277"/>
    </row>
    <row r="37" spans="1:17" s="887" customFormat="1" ht="26.25" customHeight="1" x14ac:dyDescent="0.2">
      <c r="A37" s="1098"/>
      <c r="B37" s="1092" t="str">
        <f>GI_Project_Name</f>
        <v>SEA Building Addition</v>
      </c>
      <c r="C37" s="2239"/>
      <c r="D37" s="456"/>
      <c r="E37" s="1095"/>
      <c r="F37" s="1063"/>
      <c r="G37" s="455"/>
      <c r="H37" s="1617"/>
      <c r="I37" s="1618" t="str">
        <f t="shared" ref="I37:I39" si="0">IFERROR(IF(OR($M$29="",$D37="",$D$44="",MAX($D$36:$D$39)&gt;$D$44),"",$E37*$H37),"")</f>
        <v/>
      </c>
      <c r="J37" s="1107"/>
      <c r="K37" s="455"/>
      <c r="L37" s="1617"/>
      <c r="M37" s="1618" t="str">
        <f t="shared" ref="M37:M39" si="1">IFERROR(IF(OR($M$29="",$D37="",$D$44="",MAX($D$36:$D$39)&gt;$D$44),"",$E37*$L37),"")</f>
        <v/>
      </c>
      <c r="N37" s="33"/>
      <c r="O37" s="2277">
        <f>IFERROR(IF(D37-$M$29&lt;0,0,D37-$M$29),"")</f>
        <v>0</v>
      </c>
      <c r="P37" s="33"/>
      <c r="Q37" s="2277"/>
    </row>
    <row r="38" spans="1:17" s="887" customFormat="1" ht="26.25" customHeight="1" x14ac:dyDescent="0.2">
      <c r="A38" s="1098"/>
      <c r="B38" s="1092" t="str">
        <f>GI_Project_Name</f>
        <v>SEA Building Addition</v>
      </c>
      <c r="C38" s="2239"/>
      <c r="D38" s="456"/>
      <c r="E38" s="1095"/>
      <c r="F38" s="1063"/>
      <c r="G38" s="455"/>
      <c r="H38" s="1617"/>
      <c r="I38" s="1618" t="str">
        <f t="shared" si="0"/>
        <v/>
      </c>
      <c r="J38" s="1107"/>
      <c r="K38" s="455"/>
      <c r="L38" s="1617"/>
      <c r="M38" s="1618" t="str">
        <f t="shared" si="1"/>
        <v/>
      </c>
      <c r="N38" s="33"/>
      <c r="O38" s="2277">
        <f t="shared" ref="O38:O39" si="2">IFERROR(IF(D38-$M$29&lt;0,0,D38-$M$29),"")</f>
        <v>0</v>
      </c>
      <c r="P38" s="33"/>
      <c r="Q38" s="2277"/>
    </row>
    <row r="39" spans="1:17" s="887" customFormat="1" ht="26.25" customHeight="1" x14ac:dyDescent="0.2">
      <c r="A39" s="1098"/>
      <c r="B39" s="353" t="str">
        <f>GI_Project_Name</f>
        <v>SEA Building Addition</v>
      </c>
      <c r="C39" s="2241"/>
      <c r="D39" s="2250"/>
      <c r="E39" s="2251"/>
      <c r="F39" s="2252"/>
      <c r="G39" s="2253"/>
      <c r="H39" s="2254"/>
      <c r="I39" s="1618" t="str">
        <f t="shared" si="0"/>
        <v/>
      </c>
      <c r="J39" s="2255"/>
      <c r="K39" s="2253"/>
      <c r="L39" s="2254"/>
      <c r="M39" s="1618" t="str">
        <f t="shared" si="1"/>
        <v/>
      </c>
      <c r="N39" s="33"/>
      <c r="O39" s="2277">
        <f t="shared" si="2"/>
        <v>0</v>
      </c>
      <c r="P39" s="33"/>
      <c r="Q39" s="2277"/>
    </row>
    <row r="40" spans="1:17" s="887" customFormat="1" ht="51" customHeight="1" x14ac:dyDescent="0.2">
      <c r="A40" s="1097" t="s">
        <v>1298</v>
      </c>
      <c r="B40" s="1087"/>
      <c r="C40" s="1087"/>
      <c r="D40" s="1087"/>
      <c r="E40" s="1087"/>
      <c r="F40" s="1087"/>
      <c r="G40" s="1088"/>
      <c r="H40" s="1088"/>
      <c r="I40" s="1089"/>
      <c r="J40" s="1089"/>
      <c r="K40" s="1088"/>
      <c r="L40" s="1088"/>
      <c r="M40" s="1089"/>
    </row>
    <row r="41" spans="1:17" s="895" customFormat="1" ht="15" customHeight="1" x14ac:dyDescent="0.2">
      <c r="A41" s="1097" t="s">
        <v>1298</v>
      </c>
      <c r="B41" s="2997" t="s">
        <v>321</v>
      </c>
      <c r="C41" s="2998"/>
      <c r="D41" s="2999"/>
      <c r="E41" s="1062"/>
      <c r="F41" s="1074"/>
      <c r="G41" s="3000" t="s">
        <v>347</v>
      </c>
      <c r="H41" s="3001"/>
      <c r="I41" s="3002"/>
      <c r="J41" s="1074"/>
      <c r="K41" s="3000" t="s">
        <v>348</v>
      </c>
      <c r="L41" s="3001"/>
      <c r="M41" s="3002"/>
      <c r="O41" s="2351"/>
    </row>
    <row r="42" spans="1:17" s="895" customFormat="1" ht="63.75" x14ac:dyDescent="0.2">
      <c r="A42" s="1097" t="s">
        <v>1298</v>
      </c>
      <c r="B42" s="1073" t="s">
        <v>1357</v>
      </c>
      <c r="C42" s="1072" t="s">
        <v>1568</v>
      </c>
      <c r="D42" s="1070" t="str">
        <f>CONCATENATE("DHW Supply Temperature from Water Heater",IF(SI_IP_Units="IP"," (deg. F)"," (deg. C)"))</f>
        <v>DHW Supply Temperature from Water Heater (deg. F)</v>
      </c>
      <c r="E42" s="1954"/>
      <c r="F42" s="1061"/>
      <c r="G42" s="1073" t="str">
        <f>CONCATENATE("Total Annual Hot Water Consumption at Fixtures",IF(SI_IP_Units="IP"," (gallons/year)"," (Liters/year)"))</f>
        <v>Total Annual Hot Water Consumption at Fixtures (gallons/year)</v>
      </c>
      <c r="H42" s="1071" t="str">
        <f>CONCATENATE("Total Annual DHW Heater Consumption",IF(SI_IP_Units="IP"," (gallons/year)"," (Liters/year)"))</f>
        <v>Total Annual DHW Heater Consumption (gallons/year)</v>
      </c>
      <c r="I42" s="1070" t="str">
        <f>CONCATENATE("Modeled DHW Flow Rate ",IF(SI_IP_Units="IP","gallons/minute","Liters/second"))</f>
        <v>Modeled DHW Flow Rate gallons/minute</v>
      </c>
      <c r="J42" s="1069"/>
      <c r="K42" s="1073" t="str">
        <f>CONCATENATE("Total Annual Hot Water Consumption at Fixtures",IF(SI_IP_Units="IP"," (gallons/year)"," (Liters/year)"))</f>
        <v>Total Annual Hot Water Consumption at Fixtures (gallons/year)</v>
      </c>
      <c r="L42" s="1071" t="str">
        <f>CONCATENATE("Total Annual DHW Heater Consumption",IF(SI_IP_Units="IP"," (gallons/year)"," (Liters/year)"))</f>
        <v>Total Annual DHW Heater Consumption (gallons/year)</v>
      </c>
      <c r="M42" s="1070" t="str">
        <f>CONCATENATE("Modeled DHW Flow Rate ",IF(SI_IP_Units="IP","gallons/minute","Liters/second"))</f>
        <v>Modeled DHW Flow Rate gallons/minute</v>
      </c>
      <c r="O42" s="2351"/>
    </row>
    <row r="43" spans="1:17" s="895" customFormat="1" ht="25.5" hidden="1" x14ac:dyDescent="0.2">
      <c r="A43" s="1104"/>
      <c r="B43" s="1068" t="s">
        <v>1357</v>
      </c>
      <c r="C43" s="1067" t="s">
        <v>1590</v>
      </c>
      <c r="D43" s="1065" t="s">
        <v>1577</v>
      </c>
      <c r="E43" s="1955"/>
      <c r="F43" s="1060"/>
      <c r="G43" s="1068" t="s">
        <v>1675</v>
      </c>
      <c r="H43" s="1066" t="s">
        <v>1676</v>
      </c>
      <c r="I43" s="1065" t="s">
        <v>1677</v>
      </c>
      <c r="J43" s="1064"/>
      <c r="K43" s="1068" t="s">
        <v>1678</v>
      </c>
      <c r="L43" s="1066" t="s">
        <v>1679</v>
      </c>
      <c r="M43" s="1065" t="s">
        <v>1680</v>
      </c>
      <c r="O43" s="2351"/>
    </row>
    <row r="44" spans="1:17" s="895" customFormat="1" ht="17.25" customHeight="1" x14ac:dyDescent="0.2">
      <c r="A44" s="1098"/>
      <c r="B44" s="1946" t="str">
        <f>'Multiple Buildings Details'!B24</f>
        <v>SEA Building Addition</v>
      </c>
      <c r="C44" s="1947">
        <f>Schedules!$E$13</f>
        <v>1547</v>
      </c>
      <c r="D44" s="1948"/>
      <c r="E44" s="1956"/>
      <c r="F44" s="1949"/>
      <c r="G44" s="1950">
        <f ca="1">IFERROR(SUMIF(SWH_Fixture_Index,$B44,(OFFSET(SWH_Fixture_Index,0,MATCH($I$35,SWH_Fixture_Hdr,0)-1,ROWS(SWH_Fixture_Table),1))),"")</f>
        <v>0</v>
      </c>
      <c r="H44" s="1951" t="str">
        <f ca="1">IFERROR(SUMPRODUCT(OFFSET(SWH_Fixture_Index,0,MATCH($I$35,SWH_Fixture_Hdr,0)-1,ROWS(SWH_Fixture_Index),1),OFFSET(SWH_Fixture_Index,0,MATCH($O$35,SWH_Fixture_Hdr,0)-1,ROWS(SWH_Fixture_Index),1),--(SWH_Fixture_Index=$B44))/(($D44-$M$29)),"")</f>
        <v/>
      </c>
      <c r="I44" s="1952" t="str">
        <f ca="1">IFERROR(IF(SI_IP_Units="IP",H44/$C44/60,H44/$C44/60/60),"")</f>
        <v/>
      </c>
      <c r="J44" s="1953"/>
      <c r="K44" s="1950">
        <f ca="1">IFERROR(SUMIF(SWH_Fixture_Index,$B44,(OFFSET(SWH_Fixture_Index,0,MATCH($M$35,SWH_Fixture_Hdr,0)-1,ROWS(SWH_Fixture_Table),1))),"")</f>
        <v>0</v>
      </c>
      <c r="L44" s="1951" t="str">
        <f ca="1">IFERROR(SUMPRODUCT(OFFSET(SWH_Fixture_Index,0,MATCH($M$35,SWH_Fixture_Hdr,0)-1,ROWS(SWH_Fixture_Index),1),OFFSET(SWH_Fixture_Index,0,MATCH($O$35,SWH_Fixture_Hdr,0)-1,ROWS(SWH_Fixture_Index),1),--(SWH_Fixture_Index=$B44))/(($D44-$M$29)),"")</f>
        <v/>
      </c>
      <c r="M44" s="1952" t="str">
        <f ca="1">IFERROR(IF(SI_IP_Units="IP",L44/$C44/60,L44/$C44/60/60),"")</f>
        <v/>
      </c>
      <c r="O44" s="2351"/>
      <c r="Q44" s="2283"/>
    </row>
    <row r="45" spans="1:17" s="895" customFormat="1" ht="39.950000000000003" customHeight="1" x14ac:dyDescent="0.2">
      <c r="A45" s="1098" t="s">
        <v>1298</v>
      </c>
      <c r="B45" s="1938"/>
      <c r="C45" s="1939"/>
      <c r="D45" s="1943"/>
      <c r="E45" s="1943"/>
      <c r="F45" s="1944"/>
      <c r="G45" s="1940"/>
      <c r="H45" s="1941"/>
      <c r="I45" s="1942"/>
      <c r="J45" s="1005"/>
      <c r="K45" s="1940"/>
      <c r="L45" s="1941"/>
      <c r="M45" s="1942"/>
      <c r="N45" s="1945"/>
      <c r="O45" s="2350"/>
    </row>
    <row r="46" spans="1:17" s="895" customFormat="1" ht="22.5" customHeight="1" x14ac:dyDescent="0.2">
      <c r="A46" s="1097" t="s">
        <v>1298</v>
      </c>
      <c r="B46" s="3003" t="s">
        <v>23</v>
      </c>
      <c r="C46" s="3003"/>
      <c r="D46" s="3003"/>
      <c r="E46" s="3003"/>
      <c r="F46" s="3003"/>
      <c r="G46" s="3003"/>
      <c r="H46" s="3003"/>
      <c r="I46" s="3003"/>
      <c r="J46" s="3003"/>
      <c r="K46" s="3003"/>
      <c r="L46" s="3003"/>
      <c r="M46" s="3003"/>
      <c r="O46" s="2351"/>
    </row>
    <row r="47" spans="1:17" s="895" customFormat="1" ht="20.25" customHeight="1" x14ac:dyDescent="0.2">
      <c r="A47" s="1097" t="s">
        <v>1298</v>
      </c>
      <c r="B47" s="2602"/>
      <c r="C47" s="2603"/>
      <c r="D47" s="2603"/>
      <c r="E47" s="2603"/>
      <c r="F47" s="2603"/>
      <c r="G47" s="2603"/>
      <c r="H47" s="2603"/>
      <c r="I47" s="2603"/>
      <c r="J47" s="2603"/>
      <c r="K47" s="2603"/>
      <c r="L47" s="2603"/>
      <c r="M47" s="3004"/>
      <c r="O47" s="2351"/>
    </row>
    <row r="48" spans="1:17" s="895" customFormat="1" ht="30" customHeight="1" x14ac:dyDescent="0.2">
      <c r="A48" s="1082"/>
      <c r="B48" s="1082"/>
      <c r="C48" s="1082"/>
      <c r="D48" s="1082"/>
      <c r="E48" s="1082"/>
      <c r="F48" s="1082"/>
      <c r="G48" s="1082"/>
      <c r="H48" s="1082"/>
      <c r="I48" s="1082"/>
      <c r="J48" s="1082"/>
      <c r="K48" s="1082"/>
      <c r="L48" s="1082"/>
      <c r="M48" s="1082"/>
      <c r="O48" s="2351"/>
    </row>
    <row r="49" spans="1:17" s="895" customFormat="1" ht="23.25" customHeight="1" x14ac:dyDescent="0.2">
      <c r="A49" s="1082"/>
      <c r="B49" s="1082"/>
      <c r="C49" s="1082"/>
      <c r="D49" s="1082"/>
      <c r="E49" s="1082"/>
      <c r="F49" s="1082"/>
      <c r="G49" s="1082"/>
      <c r="H49" s="1082"/>
      <c r="I49" s="1082"/>
      <c r="J49" s="1082"/>
      <c r="K49" s="1082"/>
      <c r="L49" s="1082"/>
      <c r="M49" s="1082"/>
      <c r="O49" s="2351"/>
    </row>
    <row r="50" spans="1:17" s="895" customFormat="1" ht="30" customHeight="1" x14ac:dyDescent="0.2">
      <c r="A50" s="1082"/>
      <c r="B50" s="1082"/>
      <c r="C50" s="1082"/>
      <c r="D50" s="1082"/>
      <c r="E50" s="1082"/>
      <c r="F50" s="1082"/>
      <c r="G50" s="1082"/>
      <c r="H50" s="1082"/>
      <c r="I50" s="1082"/>
      <c r="J50" s="1082"/>
      <c r="K50" s="1082"/>
      <c r="L50" s="1082"/>
      <c r="M50" s="1082"/>
      <c r="O50" s="2351"/>
    </row>
    <row r="51" spans="1:17" s="895" customFormat="1" ht="45" customHeight="1" x14ac:dyDescent="0.2">
      <c r="A51" s="1082"/>
      <c r="B51" s="1082"/>
      <c r="C51" s="1082"/>
      <c r="D51" s="1082"/>
      <c r="E51" s="1082"/>
      <c r="F51" s="1082"/>
      <c r="G51" s="1082"/>
      <c r="H51" s="1082"/>
      <c r="I51" s="1082"/>
      <c r="J51" s="1082"/>
      <c r="K51" s="1082"/>
      <c r="L51" s="1082"/>
      <c r="M51" s="1082"/>
      <c r="O51" s="2351"/>
    </row>
    <row r="52" spans="1:17" s="895" customFormat="1" ht="30" customHeight="1" x14ac:dyDescent="0.2">
      <c r="A52" s="1082"/>
      <c r="B52" s="1082"/>
      <c r="C52" s="1082"/>
      <c r="D52" s="1082"/>
      <c r="E52" s="1082"/>
      <c r="F52" s="1082"/>
      <c r="G52" s="1082"/>
      <c r="H52" s="1082"/>
      <c r="I52" s="1082"/>
      <c r="J52" s="1082"/>
      <c r="K52" s="1082"/>
      <c r="L52" s="1082"/>
      <c r="M52" s="1082"/>
      <c r="O52" s="2351"/>
    </row>
    <row r="53" spans="1:17" s="895" customFormat="1" ht="30" customHeight="1" x14ac:dyDescent="0.2">
      <c r="A53" s="676"/>
      <c r="B53" s="1082"/>
      <c r="C53" s="1082"/>
      <c r="D53" s="1082"/>
      <c r="E53" s="1082"/>
      <c r="F53" s="1082"/>
      <c r="G53" s="1082"/>
      <c r="H53" s="1082"/>
      <c r="I53" s="1082"/>
      <c r="J53" s="1082"/>
      <c r="K53" s="1082"/>
      <c r="L53" s="1082"/>
      <c r="M53" s="1082"/>
      <c r="O53" s="2351"/>
    </row>
    <row r="54" spans="1:17" s="895" customFormat="1" ht="30" customHeight="1" x14ac:dyDescent="0.2">
      <c r="A54" s="676"/>
      <c r="B54" s="1082"/>
      <c r="C54" s="1082"/>
      <c r="D54" s="1082"/>
      <c r="E54" s="1082"/>
      <c r="F54" s="1082"/>
      <c r="G54" s="1082"/>
      <c r="H54" s="1082"/>
      <c r="I54" s="1082"/>
      <c r="J54" s="1082"/>
      <c r="K54" s="1082"/>
      <c r="L54" s="1082"/>
      <c r="M54" s="1082"/>
      <c r="O54" s="2351"/>
    </row>
    <row r="55" spans="1:17" s="865" customFormat="1" ht="30" customHeight="1" x14ac:dyDescent="0.2">
      <c r="A55" s="675" t="s">
        <v>1298</v>
      </c>
      <c r="B55" s="1082"/>
      <c r="C55" s="1082"/>
      <c r="D55" s="1082"/>
      <c r="E55" s="1082"/>
      <c r="F55" s="1082"/>
      <c r="G55" s="1082"/>
      <c r="H55" s="1082"/>
      <c r="I55" s="1082"/>
      <c r="J55" s="1082"/>
      <c r="K55" s="1082"/>
      <c r="L55" s="1082"/>
      <c r="M55" s="1082"/>
      <c r="O55" s="1082"/>
    </row>
    <row r="56" spans="1:17" s="887" customFormat="1" ht="22.5" customHeight="1" x14ac:dyDescent="0.2">
      <c r="A56" s="675"/>
      <c r="B56" s="1082"/>
      <c r="C56" s="1082"/>
      <c r="D56" s="1082"/>
      <c r="E56" s="1082"/>
      <c r="F56" s="1082"/>
      <c r="G56" s="1082"/>
      <c r="H56" s="1082"/>
      <c r="I56" s="1082"/>
      <c r="J56" s="1082"/>
      <c r="K56" s="1082"/>
      <c r="L56" s="1082"/>
      <c r="M56" s="1082"/>
      <c r="N56" s="33"/>
      <c r="O56" s="33"/>
      <c r="P56" s="33"/>
      <c r="Q56" s="886"/>
    </row>
    <row r="57" spans="1:17" s="25" customFormat="1" ht="26.25" customHeight="1" x14ac:dyDescent="0.2">
      <c r="A57" s="675" t="s">
        <v>1298</v>
      </c>
      <c r="B57" s="1082"/>
      <c r="C57" s="1082"/>
      <c r="D57" s="1082"/>
      <c r="E57" s="1082"/>
      <c r="F57" s="1082"/>
      <c r="G57" s="1082"/>
      <c r="H57" s="1082"/>
      <c r="I57" s="1082"/>
      <c r="J57" s="1082"/>
      <c r="K57" s="1082"/>
      <c r="L57" s="1082"/>
      <c r="M57" s="1082"/>
      <c r="N57" s="33"/>
      <c r="O57" s="33"/>
      <c r="P57" s="33"/>
      <c r="Q57" s="27"/>
    </row>
    <row r="58" spans="1:17" s="60" customFormat="1" ht="21" customHeight="1" x14ac:dyDescent="0.2">
      <c r="A58" s="675" t="s">
        <v>1298</v>
      </c>
      <c r="B58" s="1082"/>
      <c r="C58" s="1082"/>
      <c r="D58" s="1082"/>
      <c r="E58" s="1082"/>
      <c r="F58" s="1082"/>
      <c r="G58" s="1082"/>
      <c r="H58" s="1082"/>
      <c r="I58" s="1082"/>
      <c r="J58" s="1082"/>
      <c r="K58" s="1082"/>
      <c r="L58" s="1082"/>
      <c r="M58" s="1082"/>
    </row>
    <row r="59" spans="1:17" s="25" customFormat="1" ht="26.25" customHeight="1" x14ac:dyDescent="0.2">
      <c r="A59" s="675" t="s">
        <v>1298</v>
      </c>
      <c r="B59" s="1082"/>
      <c r="C59" s="1082"/>
      <c r="D59" s="1082"/>
      <c r="E59" s="1082"/>
      <c r="F59" s="1082"/>
      <c r="G59" s="1082"/>
      <c r="H59" s="1082"/>
      <c r="I59" s="1082"/>
      <c r="J59" s="1082"/>
      <c r="K59" s="1082"/>
      <c r="L59" s="1082"/>
      <c r="M59" s="1082"/>
    </row>
    <row r="60" spans="1:17" s="25" customFormat="1" ht="96" customHeight="1" x14ac:dyDescent="0.2">
      <c r="A60" s="675"/>
      <c r="B60" s="1082"/>
      <c r="C60" s="1082"/>
      <c r="D60" s="1082"/>
      <c r="E60" s="1082"/>
      <c r="F60" s="1082"/>
      <c r="G60" s="1082"/>
      <c r="H60" s="1082"/>
      <c r="I60" s="1082"/>
      <c r="J60" s="1082"/>
      <c r="K60" s="1082"/>
      <c r="L60" s="1082"/>
      <c r="M60" s="1082"/>
    </row>
    <row r="61" spans="1:17" s="60" customFormat="1" ht="15" customHeight="1" x14ac:dyDescent="0.2">
      <c r="A61" s="676"/>
      <c r="B61" s="1082"/>
      <c r="C61" s="1082"/>
      <c r="D61" s="1082"/>
      <c r="E61" s="1082"/>
      <c r="F61" s="1082"/>
      <c r="G61" s="1082"/>
      <c r="H61" s="1082"/>
      <c r="I61" s="1082"/>
      <c r="J61" s="1082"/>
      <c r="K61" s="1082"/>
      <c r="L61" s="1082"/>
      <c r="M61" s="1082"/>
    </row>
    <row r="62" spans="1:17" s="60" customFormat="1" ht="15" customHeight="1" x14ac:dyDescent="0.2">
      <c r="A62" s="676"/>
      <c r="B62" s="1082"/>
      <c r="C62" s="1082"/>
      <c r="D62" s="1082"/>
      <c r="E62" s="1082"/>
      <c r="F62" s="1082"/>
      <c r="G62" s="1082"/>
      <c r="H62" s="1082"/>
      <c r="I62" s="1082"/>
      <c r="J62" s="1082"/>
      <c r="K62" s="1082"/>
      <c r="L62" s="1082"/>
      <c r="M62" s="1082"/>
    </row>
    <row r="63" spans="1:17" s="60" customFormat="1" ht="15" customHeight="1" x14ac:dyDescent="0.2">
      <c r="A63" s="676"/>
      <c r="B63" s="1082"/>
      <c r="C63" s="1082"/>
      <c r="D63" s="1082"/>
      <c r="E63" s="1082"/>
      <c r="F63" s="1082"/>
      <c r="G63" s="1082"/>
      <c r="H63" s="1082"/>
      <c r="I63" s="1082"/>
      <c r="J63" s="1082"/>
      <c r="K63" s="1082"/>
      <c r="L63" s="1082"/>
      <c r="M63" s="1082"/>
    </row>
    <row r="64" spans="1:17" s="60" customFormat="1" ht="15" customHeight="1" x14ac:dyDescent="0.2">
      <c r="A64" s="676"/>
      <c r="B64" s="1082"/>
      <c r="C64" s="1082"/>
      <c r="D64" s="1082"/>
      <c r="E64" s="1082"/>
      <c r="F64" s="1082"/>
      <c r="G64" s="1082"/>
      <c r="H64" s="1082"/>
      <c r="I64" s="1082"/>
      <c r="J64" s="1082"/>
      <c r="K64" s="1082"/>
      <c r="L64" s="1082"/>
      <c r="M64" s="1082"/>
    </row>
    <row r="65" spans="1:15" s="60" customFormat="1" ht="15" customHeight="1" x14ac:dyDescent="0.2">
      <c r="A65" s="676"/>
      <c r="B65" s="1082"/>
      <c r="C65" s="1082"/>
      <c r="D65" s="1082"/>
      <c r="E65" s="1082"/>
      <c r="F65" s="1082"/>
      <c r="G65" s="1082"/>
      <c r="H65" s="1082"/>
      <c r="I65" s="1082"/>
      <c r="J65" s="1082"/>
      <c r="K65" s="1082"/>
      <c r="L65" s="1082"/>
      <c r="M65" s="1082"/>
    </row>
    <row r="66" spans="1:15" s="60" customFormat="1" ht="15" customHeight="1" x14ac:dyDescent="0.2">
      <c r="A66" s="676"/>
      <c r="B66" s="1082"/>
      <c r="C66" s="1082"/>
      <c r="D66" s="1082"/>
      <c r="E66" s="1082"/>
      <c r="F66" s="1082"/>
      <c r="G66" s="1082"/>
      <c r="H66" s="1082"/>
      <c r="I66" s="1082"/>
      <c r="J66" s="1082"/>
      <c r="K66" s="1082"/>
      <c r="L66" s="1082"/>
      <c r="M66" s="1082"/>
    </row>
    <row r="67" spans="1:15" s="60" customFormat="1" ht="20.25" customHeight="1" x14ac:dyDescent="0.2">
      <c r="A67" s="675" t="s">
        <v>1298</v>
      </c>
      <c r="B67" s="1082"/>
      <c r="C67" s="1082"/>
      <c r="D67" s="1082"/>
      <c r="E67" s="1082"/>
      <c r="F67" s="1082"/>
      <c r="G67" s="1082"/>
      <c r="H67" s="1082"/>
      <c r="I67" s="1082"/>
      <c r="J67" s="1082"/>
      <c r="K67" s="1082"/>
      <c r="L67" s="1082"/>
      <c r="M67" s="1082"/>
    </row>
    <row r="68" spans="1:15" ht="20.25" customHeight="1" x14ac:dyDescent="0.2">
      <c r="A68" s="675" t="s">
        <v>1298</v>
      </c>
      <c r="B68" s="1082"/>
      <c r="C68" s="1082"/>
      <c r="D68" s="1082"/>
      <c r="E68" s="1082"/>
      <c r="F68" s="1082"/>
      <c r="G68" s="1082"/>
      <c r="H68" s="1082"/>
      <c r="I68" s="1082"/>
      <c r="J68" s="1082"/>
      <c r="K68" s="1082"/>
      <c r="L68" s="1082"/>
      <c r="M68" s="1082"/>
    </row>
    <row r="69" spans="1:15" ht="20.25" customHeight="1" x14ac:dyDescent="0.2">
      <c r="A69" s="675" t="s">
        <v>1298</v>
      </c>
      <c r="B69" s="1082"/>
      <c r="C69" s="1082"/>
      <c r="D69" s="1082"/>
      <c r="E69" s="1082"/>
      <c r="F69" s="1082"/>
      <c r="G69" s="1082"/>
      <c r="H69" s="1082"/>
      <c r="I69" s="1082"/>
      <c r="J69" s="1082"/>
      <c r="K69" s="1082"/>
      <c r="L69" s="1082"/>
      <c r="M69" s="1082"/>
    </row>
    <row r="70" spans="1:15" ht="38.25" customHeight="1" x14ac:dyDescent="0.2">
      <c r="A70" s="675" t="s">
        <v>1298</v>
      </c>
      <c r="B70" s="1059"/>
      <c r="C70" s="1059"/>
      <c r="D70" s="1059"/>
      <c r="E70" s="1059"/>
      <c r="F70" s="1059"/>
      <c r="G70" s="1059"/>
      <c r="H70" s="1059"/>
      <c r="I70" s="1059"/>
      <c r="J70" s="1059"/>
      <c r="K70" s="1059"/>
      <c r="L70" s="1059"/>
      <c r="M70" s="1082"/>
    </row>
    <row r="71" spans="1:15" s="25" customFormat="1" ht="21" customHeight="1" x14ac:dyDescent="0.2">
      <c r="A71" s="675" t="s">
        <v>1298</v>
      </c>
      <c r="B71" s="63"/>
      <c r="C71" s="63"/>
      <c r="D71" s="63"/>
      <c r="E71" s="63"/>
      <c r="F71" s="63"/>
      <c r="G71" s="63"/>
      <c r="H71" s="63"/>
      <c r="I71" s="63"/>
      <c r="J71" s="63"/>
      <c r="K71" s="1058"/>
      <c r="L71" s="1058"/>
      <c r="M71" s="26"/>
    </row>
    <row r="72" spans="1:15" s="25" customFormat="1" ht="20.25" customHeight="1" x14ac:dyDescent="0.2">
      <c r="A72" s="675" t="s">
        <v>1298</v>
      </c>
      <c r="B72" s="2973"/>
      <c r="C72" s="2973"/>
      <c r="D72" s="2973"/>
      <c r="E72" s="2973"/>
      <c r="F72" s="2973"/>
      <c r="G72" s="2973"/>
      <c r="H72" s="2973"/>
      <c r="I72" s="2973"/>
      <c r="J72" s="2973"/>
      <c r="K72" s="2973"/>
      <c r="L72" s="2973"/>
      <c r="M72" s="27"/>
      <c r="N72" s="27"/>
      <c r="O72" s="27"/>
    </row>
    <row r="73" spans="1:15" s="25" customFormat="1" ht="21" customHeight="1" x14ac:dyDescent="0.2">
      <c r="A73" s="675" t="s">
        <v>1298</v>
      </c>
      <c r="B73" s="2974"/>
      <c r="C73" s="2974"/>
      <c r="D73" s="2974"/>
      <c r="E73" s="2974"/>
      <c r="F73" s="2974"/>
      <c r="G73" s="2974"/>
      <c r="H73" s="2974"/>
      <c r="I73" s="2974"/>
      <c r="J73" s="2974"/>
      <c r="K73" s="2974"/>
      <c r="L73" s="2974"/>
      <c r="M73" s="27"/>
      <c r="N73" s="27"/>
      <c r="O73" s="27"/>
    </row>
    <row r="74" spans="1:15" x14ac:dyDescent="0.2">
      <c r="B74" s="1050"/>
      <c r="C74" s="1050"/>
      <c r="D74" s="1050"/>
      <c r="E74" s="1050"/>
      <c r="F74" s="1050"/>
      <c r="G74" s="1050"/>
      <c r="H74" s="1050"/>
      <c r="I74" s="1050"/>
      <c r="J74" s="1050"/>
      <c r="K74" s="1050"/>
      <c r="L74" s="1050"/>
    </row>
    <row r="75" spans="1:15" x14ac:dyDescent="0.2">
      <c r="B75" s="1050"/>
      <c r="C75" s="1050"/>
      <c r="D75" s="1050"/>
      <c r="E75" s="1050"/>
      <c r="F75" s="1050"/>
      <c r="G75" s="1050"/>
      <c r="H75" s="1050"/>
      <c r="I75" s="1050"/>
      <c r="J75" s="1050"/>
      <c r="K75" s="1050"/>
      <c r="L75" s="1050"/>
    </row>
    <row r="76" spans="1:15" x14ac:dyDescent="0.2">
      <c r="B76" s="1050"/>
      <c r="C76" s="1050"/>
      <c r="D76" s="1050"/>
      <c r="E76" s="1050"/>
      <c r="F76" s="1050"/>
      <c r="G76" s="1050"/>
      <c r="H76" s="1050"/>
      <c r="I76" s="1050"/>
      <c r="J76" s="1050"/>
      <c r="K76" s="1050"/>
      <c r="L76" s="1050"/>
    </row>
  </sheetData>
  <sheetProtection algorithmName="SHA-512" hashValue="cu1aaMCMKgrzJAQ6OOjNgoxqm1fnCWyba1rfDGkYG++G2+Vag51STa11fahcUIeh8B90W1o6OhWGlusKdfPO6w==" saltValue="Zo6c5vya6wa26t19Evv2Jg==" spinCount="100000" sheet="1" objects="1" scenarios="1"/>
  <customSheetViews>
    <customSheetView guid="{75D6F8CE-A4F4-4FDD-BA92-7996F9E19FA9}" scale="90" showGridLines="0" hiddenRows="1" topLeftCell="A28">
      <selection activeCell="O36" sqref="O36"/>
      <pageMargins left="0.25" right="0.25" top="0.75" bottom="0.75" header="0.3" footer="0.3"/>
      <pageSetup scale="75" orientation="portrait" verticalDpi="1200" r:id="rId1"/>
    </customSheetView>
  </customSheetViews>
  <mergeCells count="56">
    <mergeCell ref="B46:M46"/>
    <mergeCell ref="B47:M47"/>
    <mergeCell ref="C9:E9"/>
    <mergeCell ref="G9:I9"/>
    <mergeCell ref="K9:M9"/>
    <mergeCell ref="D34:E34"/>
    <mergeCell ref="G34:I34"/>
    <mergeCell ref="K34:M34"/>
    <mergeCell ref="B22:E22"/>
    <mergeCell ref="G22:I22"/>
    <mergeCell ref="K22:M22"/>
    <mergeCell ref="B32:E32"/>
    <mergeCell ref="G32:I32"/>
    <mergeCell ref="K32:M32"/>
    <mergeCell ref="B27:M27"/>
    <mergeCell ref="B21:E21"/>
    <mergeCell ref="G21:I21"/>
    <mergeCell ref="K21:M21"/>
    <mergeCell ref="B41:D41"/>
    <mergeCell ref="G41:I41"/>
    <mergeCell ref="K41:M41"/>
    <mergeCell ref="B19:E19"/>
    <mergeCell ref="G19:I19"/>
    <mergeCell ref="K19:M19"/>
    <mergeCell ref="B20:E20"/>
    <mergeCell ref="G20:I20"/>
    <mergeCell ref="K20:M20"/>
    <mergeCell ref="B17:E17"/>
    <mergeCell ref="G17:I17"/>
    <mergeCell ref="K17:M17"/>
    <mergeCell ref="B18:E18"/>
    <mergeCell ref="G18:I18"/>
    <mergeCell ref="K18:M18"/>
    <mergeCell ref="K14:M14"/>
    <mergeCell ref="B15:E15"/>
    <mergeCell ref="G15:I15"/>
    <mergeCell ref="K15:M15"/>
    <mergeCell ref="B16:E16"/>
    <mergeCell ref="G16:I16"/>
    <mergeCell ref="K16:M16"/>
    <mergeCell ref="B5:M5"/>
    <mergeCell ref="B72:L72"/>
    <mergeCell ref="B73:L73"/>
    <mergeCell ref="B8:E8"/>
    <mergeCell ref="G8:I8"/>
    <mergeCell ref="K8:M8"/>
    <mergeCell ref="B11:E11"/>
    <mergeCell ref="G11:I11"/>
    <mergeCell ref="K11:M11"/>
    <mergeCell ref="B12:E12"/>
    <mergeCell ref="G12:M12"/>
    <mergeCell ref="B13:E13"/>
    <mergeCell ref="G13:I13"/>
    <mergeCell ref="K13:M13"/>
    <mergeCell ref="B14:E14"/>
    <mergeCell ref="G14:I14"/>
  </mergeCells>
  <dataValidations count="8">
    <dataValidation allowBlank="1" showInputMessage="1" showErrorMessage="1" prompt="Enter the total number of service hot water pumps in the Proposed case" sqref="J20" xr:uid="{00000000-0002-0000-0D00-000000000000}"/>
    <dataValidation allowBlank="1" showInputMessage="1" showErrorMessage="1" prompt="Enter the total Proposed service hot water pump power (in kW)" sqref="J21 J11" xr:uid="{00000000-0002-0000-0D00-000001000000}"/>
    <dataValidation allowBlank="1" showInputMessage="1" showErrorMessage="1" prompt="Indicate whether the Proposed service hot water pumps are constant or variable speed" sqref="J22" xr:uid="{00000000-0002-0000-0D00-000002000000}"/>
    <dataValidation type="list" allowBlank="1" showInputMessage="1" showErrorMessage="1" sqref="G22:I22 K22:M22" xr:uid="{00000000-0002-0000-0D00-000003000000}">
      <formula1>"Constant speed, Variable speed"</formula1>
    </dataValidation>
    <dataValidation type="decimal" operator="lessThanOrEqual" allowBlank="1" showInputMessage="1" showErrorMessage="1" error="Please enter the value only (without any labels)" prompt="Enter the percentage of hot water that accounts for the DHW supply-to-fixture delta T, and the percentage hot water versus cold water use expected for each fixture (example: 75%)" sqref="F36:F39 F44:F45" xr:uid="{00000000-0002-0000-0D00-000004000000}">
      <formula1>1</formula1>
    </dataValidation>
    <dataValidation type="list" errorStyle="warning" allowBlank="1" showErrorMessage="1" errorTitle="Select Low, Medium, or High" error="Select Low, Medium, or High" sqref="L31" xr:uid="{00000000-0002-0000-0D00-000005000000}">
      <formula1>"Low,Medium,High"</formula1>
    </dataValidation>
    <dataValidation type="list" allowBlank="1" showInputMessage="1" showErrorMessage="1" sqref="B36:B39" xr:uid="{00000000-0002-0000-0D00-000006000000}">
      <formula1>BuildingIDLookupAlt</formula1>
    </dataValidation>
    <dataValidation type="list" allowBlank="1" showInputMessage="1" showErrorMessage="1" sqref="G12:M12" xr:uid="{00000000-0002-0000-0D00-000007000000}">
      <formula1>BuildingIDLookup</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7175" r:id="rId5" name="Button 7">
              <controlPr defaultSize="0" print="0" autoFill="0" autoPict="0" macro="[0]!InsertSWHTable">
                <anchor moveWithCells="1">
                  <from>
                    <xdr:col>1</xdr:col>
                    <xdr:colOff>9525</xdr:colOff>
                    <xdr:row>22</xdr:row>
                    <xdr:rowOff>133350</xdr:rowOff>
                  </from>
                  <to>
                    <xdr:col>2</xdr:col>
                    <xdr:colOff>171450</xdr:colOff>
                    <xdr:row>22</xdr:row>
                    <xdr:rowOff>419100</xdr:rowOff>
                  </to>
                </anchor>
              </controlPr>
            </control>
          </mc:Choice>
        </mc:AlternateContent>
        <mc:AlternateContent xmlns:mc="http://schemas.openxmlformats.org/markup-compatibility/2006">
          <mc:Choice Requires="x14">
            <control shapeId="7210" r:id="rId6" name="Button 42">
              <controlPr defaultSize="0" print="0" autoFill="0" autoPict="0" macro="[0]!addA">
                <anchor moveWithCells="1">
                  <from>
                    <xdr:col>0</xdr:col>
                    <xdr:colOff>171450</xdr:colOff>
                    <xdr:row>39</xdr:row>
                    <xdr:rowOff>133350</xdr:rowOff>
                  </from>
                  <to>
                    <xdr:col>2</xdr:col>
                    <xdr:colOff>152400</xdr:colOff>
                    <xdr:row>39</xdr:row>
                    <xdr:rowOff>447675</xdr:rowOff>
                  </to>
                </anchor>
              </controlPr>
            </control>
          </mc:Choice>
        </mc:AlternateContent>
        <mc:AlternateContent xmlns:mc="http://schemas.openxmlformats.org/markup-compatibility/2006">
          <mc:Choice Requires="x14">
            <control shapeId="7211" r:id="rId7" name="Button 43">
              <controlPr defaultSize="0" print="0" autoFill="0" autoPict="0" macro="[0]!DeleteSome">
                <anchor moveWithCells="1">
                  <from>
                    <xdr:col>2</xdr:col>
                    <xdr:colOff>228600</xdr:colOff>
                    <xdr:row>39</xdr:row>
                    <xdr:rowOff>123825</xdr:rowOff>
                  </from>
                  <to>
                    <xdr:col>2</xdr:col>
                    <xdr:colOff>1571625</xdr:colOff>
                    <xdr:row>39</xdr:row>
                    <xdr:rowOff>447675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R84"/>
  <sheetViews>
    <sheetView showGridLines="0" topLeftCell="A15" zoomScale="90" zoomScaleNormal="90" zoomScaleSheetLayoutView="120" zoomScalePageLayoutView="90" workbookViewId="0">
      <selection activeCell="P55" sqref="P55"/>
    </sheetView>
  </sheetViews>
  <sheetFormatPr defaultColWidth="8.7109375" defaultRowHeight="12.75" outlineLevelCol="1" x14ac:dyDescent="0.25"/>
  <cols>
    <col min="1" max="1" width="2.7109375" style="677" customWidth="1"/>
    <col min="2" max="2" width="12.5703125" style="29" customWidth="1"/>
    <col min="3" max="3" width="26" style="29" customWidth="1"/>
    <col min="4" max="4" width="35.7109375" style="29" customWidth="1"/>
    <col min="5" max="5" width="18.85546875" style="29" customWidth="1"/>
    <col min="6" max="6" width="14.7109375" style="29" customWidth="1"/>
    <col min="7" max="7" width="56.7109375" style="448" customWidth="1"/>
    <col min="8" max="8" width="2.7109375" style="448" customWidth="1"/>
    <col min="9" max="9" width="10.42578125" style="29" hidden="1" customWidth="1" outlineLevel="1"/>
    <col min="10" max="13" width="8.7109375" style="29" hidden="1" customWidth="1" outlineLevel="1"/>
    <col min="14" max="14" width="2.7109375" style="29" customWidth="1" collapsed="1"/>
    <col min="15" max="15" width="2.7109375" style="29" customWidth="1"/>
    <col min="16" max="16" width="50.7109375" style="29" customWidth="1"/>
    <col min="17" max="45" width="8.7109375" style="29" customWidth="1"/>
    <col min="46" max="16384" width="8.7109375" style="29"/>
  </cols>
  <sheetData>
    <row r="1" spans="1:18" s="25" customFormat="1" x14ac:dyDescent="0.25">
      <c r="A1" s="819" t="s">
        <v>1298</v>
      </c>
      <c r="B1" s="35"/>
      <c r="C1" s="35"/>
      <c r="D1" s="35"/>
      <c r="E1" s="35"/>
      <c r="F1" s="35"/>
      <c r="G1" s="35"/>
    </row>
    <row r="2" spans="1:18" s="25" customFormat="1" ht="24.75" customHeight="1" x14ac:dyDescent="0.25">
      <c r="A2" s="819" t="s">
        <v>1298</v>
      </c>
      <c r="B2" s="78" t="s">
        <v>284</v>
      </c>
      <c r="C2" s="49"/>
      <c r="D2" s="49"/>
      <c r="E2" s="49"/>
      <c r="F2" s="49"/>
      <c r="G2" s="49"/>
    </row>
    <row r="3" spans="1:18" s="25" customFormat="1" ht="15" customHeight="1" x14ac:dyDescent="0.25">
      <c r="A3" s="819" t="s">
        <v>1298</v>
      </c>
      <c r="B3" s="35"/>
      <c r="C3" s="35"/>
      <c r="D3" s="35"/>
      <c r="E3" s="35"/>
      <c r="F3" s="35"/>
      <c r="G3" s="35"/>
    </row>
    <row r="4" spans="1:18" s="36" customFormat="1" ht="20.25" customHeight="1" x14ac:dyDescent="0.2">
      <c r="A4" s="675" t="s">
        <v>1298</v>
      </c>
      <c r="G4" s="443"/>
      <c r="H4" s="443"/>
    </row>
    <row r="5" spans="1:18" ht="77.25" customHeight="1" x14ac:dyDescent="0.2">
      <c r="A5" s="675" t="s">
        <v>1298</v>
      </c>
      <c r="B5" s="3024" t="s">
        <v>1056</v>
      </c>
      <c r="C5" s="3024"/>
      <c r="D5" s="3024"/>
      <c r="E5" s="3024"/>
      <c r="F5" s="3024"/>
      <c r="G5" s="2609"/>
      <c r="H5" s="444"/>
      <c r="P5" s="1083" t="s">
        <v>2090</v>
      </c>
    </row>
    <row r="6" spans="1:18" s="36" customFormat="1" ht="42" customHeight="1" x14ac:dyDescent="0.25">
      <c r="A6" s="675" t="s">
        <v>1298</v>
      </c>
      <c r="B6" s="2771" t="s">
        <v>1047</v>
      </c>
      <c r="C6" s="3029"/>
      <c r="D6" s="3029"/>
      <c r="E6" s="3029"/>
      <c r="F6" s="2705"/>
      <c r="G6" s="1908" t="s">
        <v>1068</v>
      </c>
      <c r="I6" s="94"/>
      <c r="J6" s="2"/>
      <c r="K6" s="2"/>
      <c r="L6" s="2"/>
      <c r="P6" s="2278"/>
    </row>
    <row r="7" spans="1:18" s="1" customFormat="1" ht="9.75" customHeight="1" x14ac:dyDescent="0.25">
      <c r="A7" s="675" t="s">
        <v>1298</v>
      </c>
      <c r="H7" s="659"/>
      <c r="I7" s="431"/>
      <c r="J7" s="431"/>
      <c r="K7" s="431"/>
      <c r="L7" s="431"/>
    </row>
    <row r="8" spans="1:18" s="36" customFormat="1" ht="59.25" customHeight="1" x14ac:dyDescent="0.25">
      <c r="A8" s="675" t="s">
        <v>1298</v>
      </c>
      <c r="B8" s="2771" t="s">
        <v>1177</v>
      </c>
      <c r="C8" s="3029"/>
      <c r="D8" s="3029"/>
      <c r="E8" s="3029"/>
      <c r="F8" s="2705"/>
      <c r="G8" s="1908" t="s">
        <v>25</v>
      </c>
      <c r="I8" s="94"/>
      <c r="J8" s="2"/>
      <c r="K8" s="2"/>
      <c r="L8" s="2"/>
      <c r="P8" s="2278"/>
    </row>
    <row r="9" spans="1:18" s="1" customFormat="1" ht="9.75" customHeight="1" x14ac:dyDescent="0.25">
      <c r="A9" s="675" t="s">
        <v>1298</v>
      </c>
      <c r="H9" s="659"/>
      <c r="I9" s="431"/>
      <c r="J9" s="431"/>
      <c r="K9" s="431"/>
      <c r="L9" s="431"/>
    </row>
    <row r="10" spans="1:18" s="36" customFormat="1" ht="42" customHeight="1" x14ac:dyDescent="0.25">
      <c r="A10" s="675" t="s">
        <v>1298</v>
      </c>
      <c r="B10" s="2771" t="s">
        <v>1132</v>
      </c>
      <c r="C10" s="3029"/>
      <c r="D10" s="3029"/>
      <c r="E10" s="3029"/>
      <c r="F10" s="2705"/>
      <c r="G10" s="1908" t="s">
        <v>25</v>
      </c>
      <c r="I10" s="94"/>
      <c r="J10" s="2"/>
      <c r="K10" s="2"/>
      <c r="L10" s="2"/>
      <c r="P10" s="2278"/>
    </row>
    <row r="11" spans="1:18" s="1" customFormat="1" ht="9.75" customHeight="1" x14ac:dyDescent="0.25">
      <c r="A11" s="675" t="s">
        <v>1298</v>
      </c>
      <c r="H11" s="659"/>
      <c r="I11" s="431"/>
      <c r="J11" s="431"/>
      <c r="K11" s="431"/>
      <c r="L11" s="431"/>
    </row>
    <row r="12" spans="1:18" s="36" customFormat="1" ht="42" customHeight="1" x14ac:dyDescent="0.25">
      <c r="A12" s="675" t="s">
        <v>1298</v>
      </c>
      <c r="B12" s="2771" t="s">
        <v>1761</v>
      </c>
      <c r="C12" s="3029"/>
      <c r="D12" s="3029"/>
      <c r="E12" s="3029"/>
      <c r="F12" s="2705"/>
      <c r="G12" s="1908" t="s">
        <v>1068</v>
      </c>
      <c r="I12" s="94"/>
      <c r="J12" s="2"/>
      <c r="K12" s="2"/>
      <c r="L12" s="2"/>
      <c r="P12" s="2278"/>
    </row>
    <row r="13" spans="1:18" s="25" customFormat="1" ht="15.75" customHeight="1" x14ac:dyDescent="0.2">
      <c r="A13" s="675" t="s">
        <v>1298</v>
      </c>
      <c r="B13" s="1010"/>
      <c r="C13" s="1010"/>
      <c r="D13" s="1010"/>
      <c r="E13" s="1010"/>
      <c r="F13" s="1010"/>
      <c r="G13" s="1010"/>
      <c r="H13" s="1012"/>
      <c r="I13" s="1010"/>
      <c r="J13" s="1010"/>
      <c r="K13" s="1010"/>
      <c r="L13" s="1010"/>
      <c r="M13" s="1010"/>
      <c r="O13" s="432"/>
      <c r="P13" s="118"/>
      <c r="Q13" s="118"/>
      <c r="R13" s="118"/>
    </row>
    <row r="14" spans="1:18" s="25" customFormat="1" ht="52.5" customHeight="1" x14ac:dyDescent="0.2">
      <c r="A14" s="675" t="s">
        <v>1298</v>
      </c>
      <c r="B14" s="3027" t="s">
        <v>309</v>
      </c>
      <c r="C14" s="3028"/>
      <c r="D14" s="3028"/>
      <c r="E14" s="3028"/>
      <c r="F14" s="3028"/>
      <c r="G14" s="2609"/>
      <c r="H14" s="1012"/>
      <c r="I14" s="551"/>
      <c r="J14" s="551"/>
      <c r="K14" s="551"/>
      <c r="L14" s="551"/>
      <c r="M14" s="551"/>
      <c r="O14" s="432"/>
      <c r="P14" s="118"/>
      <c r="Q14" s="118"/>
      <c r="R14" s="118"/>
    </row>
    <row r="15" spans="1:18" s="25" customFormat="1" ht="21" customHeight="1" x14ac:dyDescent="0.25">
      <c r="A15" s="675" t="s">
        <v>1298</v>
      </c>
      <c r="B15" s="3025"/>
      <c r="C15" s="3026"/>
      <c r="D15" s="3026"/>
      <c r="E15" s="3026"/>
      <c r="F15" s="3026"/>
      <c r="G15" s="2831"/>
      <c r="I15" s="432"/>
      <c r="J15" s="118"/>
      <c r="K15" s="118"/>
      <c r="L15" s="118"/>
      <c r="P15" s="2279"/>
    </row>
    <row r="16" spans="1:18" s="25" customFormat="1" ht="21" customHeight="1" x14ac:dyDescent="0.2">
      <c r="A16" s="675" t="s">
        <v>1298</v>
      </c>
      <c r="B16" s="63"/>
      <c r="C16" s="63"/>
      <c r="D16" s="63"/>
      <c r="E16" s="63"/>
      <c r="F16" s="63"/>
    </row>
    <row r="17" spans="1:16" s="25" customFormat="1" ht="26.25" customHeight="1" x14ac:dyDescent="0.2">
      <c r="A17" s="675" t="s">
        <v>1298</v>
      </c>
      <c r="B17" s="124" t="s">
        <v>152</v>
      </c>
      <c r="C17" s="33"/>
      <c r="D17" s="33"/>
      <c r="E17" s="33"/>
      <c r="F17" s="33"/>
      <c r="G17" s="446"/>
      <c r="H17" s="446"/>
      <c r="I17" s="27"/>
      <c r="J17" s="27"/>
      <c r="K17" s="27"/>
    </row>
    <row r="18" spans="1:16" ht="36" customHeight="1" x14ac:dyDescent="0.2">
      <c r="A18" s="675" t="s">
        <v>1298</v>
      </c>
      <c r="B18" s="1917" t="s">
        <v>1357</v>
      </c>
      <c r="C18" s="2966" t="s">
        <v>150</v>
      </c>
      <c r="D18" s="2966"/>
      <c r="E18" s="2966"/>
      <c r="F18" s="2966" t="s">
        <v>146</v>
      </c>
      <c r="G18" s="2693"/>
      <c r="H18" s="764"/>
      <c r="I18" s="1025"/>
      <c r="J18" s="1016"/>
      <c r="K18" s="1016"/>
    </row>
    <row r="19" spans="1:16" ht="123" customHeight="1" x14ac:dyDescent="0.2">
      <c r="A19" s="1097"/>
      <c r="B19" s="1837" t="s">
        <v>1888</v>
      </c>
      <c r="C19" s="2769" t="s">
        <v>1751</v>
      </c>
      <c r="D19" s="2769"/>
      <c r="E19" s="2769"/>
      <c r="F19" s="2769" t="s">
        <v>1752</v>
      </c>
      <c r="G19" s="2770"/>
      <c r="H19" s="764"/>
      <c r="I19" s="1025"/>
      <c r="J19" s="1016"/>
      <c r="K19" s="1016"/>
    </row>
    <row r="20" spans="1:16" ht="15" hidden="1" customHeight="1" x14ac:dyDescent="0.25">
      <c r="A20" s="677" t="s">
        <v>915</v>
      </c>
      <c r="B20" s="1957" t="str">
        <f>GI_Project_Name</f>
        <v>SEA Building Addition</v>
      </c>
      <c r="C20" s="3038"/>
      <c r="D20" s="3038"/>
      <c r="E20" s="3038"/>
      <c r="F20" s="3042"/>
      <c r="G20" s="3043"/>
      <c r="H20" s="1021"/>
      <c r="I20" s="1026"/>
      <c r="J20" s="1016"/>
      <c r="K20" s="1016"/>
      <c r="P20" s="2272"/>
    </row>
    <row r="21" spans="1:16" ht="15" customHeight="1" x14ac:dyDescent="0.25">
      <c r="B21" s="1024" t="str">
        <f>GI_Project_Name</f>
        <v>SEA Building Addition</v>
      </c>
      <c r="C21" s="3039" t="s">
        <v>2264</v>
      </c>
      <c r="D21" s="3039"/>
      <c r="E21" s="3039"/>
      <c r="F21" s="3040" t="s">
        <v>2266</v>
      </c>
      <c r="G21" s="3041"/>
      <c r="H21" s="1021"/>
      <c r="I21" s="1026"/>
      <c r="J21" s="1016"/>
      <c r="K21" s="1016"/>
      <c r="P21" s="2272"/>
    </row>
    <row r="22" spans="1:16" ht="15" customHeight="1" x14ac:dyDescent="0.25">
      <c r="B22" s="1958" t="str">
        <f>GI_Project_Name</f>
        <v>SEA Building Addition</v>
      </c>
      <c r="C22" s="3044" t="s">
        <v>2265</v>
      </c>
      <c r="D22" s="3044"/>
      <c r="E22" s="3044"/>
      <c r="F22" s="3044" t="s">
        <v>2267</v>
      </c>
      <c r="G22" s="3045"/>
      <c r="H22" s="1021"/>
      <c r="I22" s="1026"/>
      <c r="J22" s="1016"/>
      <c r="K22" s="1016"/>
      <c r="P22" s="2272"/>
    </row>
    <row r="23" spans="1:16" ht="38.25" customHeight="1" x14ac:dyDescent="0.2">
      <c r="A23" s="675" t="s">
        <v>1298</v>
      </c>
      <c r="B23" s="74"/>
      <c r="H23" s="1022"/>
      <c r="I23" s="1016"/>
      <c r="J23" s="1016"/>
      <c r="K23" s="1016"/>
    </row>
    <row r="24" spans="1:16" s="25" customFormat="1" ht="21" customHeight="1" x14ac:dyDescent="0.2">
      <c r="A24" s="675" t="s">
        <v>1298</v>
      </c>
      <c r="B24" s="63"/>
      <c r="C24" s="63"/>
      <c r="D24" s="63"/>
      <c r="E24" s="63"/>
      <c r="F24" s="63"/>
      <c r="G24" s="445"/>
      <c r="H24" s="1019"/>
      <c r="I24" s="27"/>
      <c r="J24" s="27"/>
      <c r="K24" s="27"/>
    </row>
    <row r="25" spans="1:16" s="25" customFormat="1" ht="26.25" customHeight="1" x14ac:dyDescent="0.2">
      <c r="A25" s="675" t="s">
        <v>1298</v>
      </c>
      <c r="B25" s="124" t="s">
        <v>153</v>
      </c>
      <c r="C25" s="33"/>
      <c r="D25" s="33"/>
      <c r="E25" s="33"/>
      <c r="F25" s="33"/>
      <c r="G25" s="446"/>
      <c r="H25" s="1020"/>
      <c r="I25" s="27"/>
      <c r="J25" s="27"/>
      <c r="K25" s="27"/>
    </row>
    <row r="26" spans="1:16" ht="55.5" customHeight="1" x14ac:dyDescent="0.2">
      <c r="A26" s="675" t="s">
        <v>1298</v>
      </c>
      <c r="B26" s="1917" t="s">
        <v>1357</v>
      </c>
      <c r="C26" s="1735" t="s">
        <v>0</v>
      </c>
      <c r="D26" s="1735" t="s">
        <v>149</v>
      </c>
      <c r="E26" s="1735" t="s">
        <v>148</v>
      </c>
      <c r="F26" s="2924" t="s">
        <v>146</v>
      </c>
      <c r="G26" s="2926"/>
      <c r="H26" s="765"/>
      <c r="I26" s="1023"/>
      <c r="J26" s="1016"/>
      <c r="K26" s="1016"/>
    </row>
    <row r="27" spans="1:16" ht="180" customHeight="1" x14ac:dyDescent="0.2">
      <c r="A27" s="1097" t="s">
        <v>1298</v>
      </c>
      <c r="B27" s="1837" t="s">
        <v>1888</v>
      </c>
      <c r="C27" s="2769" t="s">
        <v>1753</v>
      </c>
      <c r="D27" s="3037"/>
      <c r="E27" s="1838" t="s">
        <v>1754</v>
      </c>
      <c r="F27" s="2769" t="s">
        <v>1755</v>
      </c>
      <c r="G27" s="2770"/>
      <c r="H27" s="765"/>
      <c r="I27" s="1023"/>
      <c r="J27" s="1016"/>
      <c r="K27" s="1016"/>
    </row>
    <row r="28" spans="1:16" ht="35.25" hidden="1" customHeight="1" x14ac:dyDescent="0.2">
      <c r="A28" s="1097" t="s">
        <v>1298</v>
      </c>
      <c r="B28" s="1785" t="str">
        <f>B26</f>
        <v>Building ID</v>
      </c>
      <c r="C28" s="1785" t="str">
        <f>C26</f>
        <v>Model Input Parameter</v>
      </c>
      <c r="D28" s="1785" t="str">
        <f>D26</f>
        <v>Table G3.1.1A System Type 
(or Semiconditioned System Description)</v>
      </c>
      <c r="E28" s="1785" t="str">
        <f>E26</f>
        <v>G3.1.1 Exception 
(or Semiconditioned Capacity and Area)</v>
      </c>
      <c r="F28" s="1785" t="str">
        <f>F26</f>
        <v>Spaces Modeled</v>
      </c>
      <c r="G28" s="1960"/>
      <c r="H28" s="765"/>
      <c r="I28" s="1023"/>
      <c r="J28" s="1016"/>
      <c r="K28" s="1016"/>
    </row>
    <row r="29" spans="1:16" ht="30.75" hidden="1" customHeight="1" x14ac:dyDescent="0.25">
      <c r="A29" s="826" t="s">
        <v>917</v>
      </c>
      <c r="B29" s="1024" t="str">
        <f>GI_Project_Name</f>
        <v>SEA Building Addition</v>
      </c>
      <c r="C29" s="1510"/>
      <c r="D29" s="1096"/>
      <c r="E29" s="1736"/>
      <c r="F29" s="2935"/>
      <c r="G29" s="2938"/>
      <c r="H29" s="1017"/>
      <c r="I29" s="1023"/>
      <c r="J29" s="1541" t="str">
        <f>IFERROR(IF(ISNUMBER(SEARCH("California",D29)),"Cali",IF(MID(D29,8,1)="1",IF(MID(D29,9,1)="0",MID(D29,8,2),MID(D29,8,1)),MID(D29,8,1))),"")</f>
        <v/>
      </c>
      <c r="K29" s="1016"/>
      <c r="P29" s="2272"/>
    </row>
    <row r="30" spans="1:16" ht="30.75" customHeight="1" x14ac:dyDescent="0.25">
      <c r="A30" s="826"/>
      <c r="B30" s="1024" t="str">
        <f>GI_Project_Name</f>
        <v>SEA Building Addition</v>
      </c>
      <c r="C30" s="1510" t="s">
        <v>1597</v>
      </c>
      <c r="D30" s="1096" t="s">
        <v>1037</v>
      </c>
      <c r="E30" s="1736"/>
      <c r="F30" s="2935" t="s">
        <v>673</v>
      </c>
      <c r="G30" s="2938"/>
      <c r="H30" s="1017"/>
      <c r="I30" s="1023"/>
      <c r="J30" s="1541" t="str">
        <f>IFERROR(IF(ISNUMBER(SEARCH("California",D30)),"Cali",IF(MID(D30,8,1)="1",IF(MID(D30,9,1)="0",MID(D30,8,2),MID(D30,8,1)),MID(D30,8,1))),"")</f>
        <v>7</v>
      </c>
      <c r="K30" s="1016"/>
      <c r="P30" s="2272"/>
    </row>
    <row r="31" spans="1:16" ht="30.75" customHeight="1" x14ac:dyDescent="0.2">
      <c r="A31" s="675"/>
      <c r="B31" s="1024" t="str">
        <f>GI_Project_Name</f>
        <v>SEA Building Addition</v>
      </c>
      <c r="C31" s="1510"/>
      <c r="D31" s="1096"/>
      <c r="E31" s="1027"/>
      <c r="F31" s="2935"/>
      <c r="G31" s="2938"/>
      <c r="H31" s="1022"/>
      <c r="I31" s="1023"/>
      <c r="J31" s="1542" t="str">
        <f>IFERROR(IF(ISNUMBER(SEARCH("California",D31)),"Cali",IF(MID(D31,8,1)="1",IF(MID(D31,9,1)="0",MID(D31,8,2),MID(D31,8,1)),MID(D31,8,1))),"")</f>
        <v/>
      </c>
      <c r="K31" s="1016"/>
      <c r="P31" s="2272"/>
    </row>
    <row r="32" spans="1:16" ht="30.75" customHeight="1" x14ac:dyDescent="0.25">
      <c r="B32" s="1958" t="str">
        <f>GI_Project_Name</f>
        <v>SEA Building Addition</v>
      </c>
      <c r="C32" s="1961"/>
      <c r="D32" s="253"/>
      <c r="E32" s="1737"/>
      <c r="F32" s="2936"/>
      <c r="G32" s="2939"/>
      <c r="H32" s="1017"/>
      <c r="I32" s="1023"/>
      <c r="J32" s="1542" t="str">
        <f t="shared" ref="J32" si="0">IFERROR(IF(ISNUMBER(SEARCH("California",D32)),"Cali",IF(MID(D32,8,1)="1",IF(MID(D32,9,1)="0",MID(D32,8,2),MID(D32,8,1)),MID(D32,8,1))),"")</f>
        <v/>
      </c>
      <c r="K32" s="1016"/>
      <c r="P32" s="2272"/>
    </row>
    <row r="33" spans="1:16" ht="39" customHeight="1" x14ac:dyDescent="0.2">
      <c r="A33" s="675" t="s">
        <v>1298</v>
      </c>
      <c r="B33" s="74"/>
      <c r="H33" s="1022"/>
    </row>
    <row r="34" spans="1:16" s="25" customFormat="1" ht="21" customHeight="1" x14ac:dyDescent="0.2">
      <c r="A34" s="675" t="s">
        <v>1298</v>
      </c>
      <c r="B34" s="63"/>
      <c r="C34" s="63"/>
      <c r="D34" s="63"/>
      <c r="E34" s="63"/>
      <c r="F34" s="63"/>
      <c r="G34" s="445"/>
      <c r="H34" s="445"/>
    </row>
    <row r="35" spans="1:16" s="25" customFormat="1" ht="26.25" customHeight="1" x14ac:dyDescent="0.2">
      <c r="A35" s="675" t="s">
        <v>1298</v>
      </c>
      <c r="B35" s="28" t="s">
        <v>156</v>
      </c>
      <c r="C35" s="33"/>
      <c r="D35" s="33"/>
      <c r="E35" s="33"/>
      <c r="F35" s="33"/>
      <c r="G35" s="446"/>
      <c r="H35" s="446"/>
    </row>
    <row r="36" spans="1:16" ht="34.5" customHeight="1" x14ac:dyDescent="0.2">
      <c r="A36" s="675" t="s">
        <v>1298</v>
      </c>
      <c r="B36" s="3046" t="s">
        <v>1245</v>
      </c>
      <c r="C36" s="3046"/>
      <c r="D36" s="3046"/>
      <c r="E36" s="3046"/>
      <c r="F36" s="3046"/>
      <c r="G36" s="3046"/>
      <c r="H36" s="1014"/>
    </row>
    <row r="37" spans="1:16" s="25" customFormat="1" ht="26.25" customHeight="1" x14ac:dyDescent="0.2">
      <c r="A37" s="675" t="s">
        <v>1298</v>
      </c>
      <c r="B37" s="123" t="s">
        <v>267</v>
      </c>
      <c r="C37" s="707"/>
      <c r="D37" s="707"/>
      <c r="E37" s="707"/>
      <c r="F37" s="707"/>
      <c r="G37" s="707"/>
      <c r="H37" s="707"/>
    </row>
    <row r="38" spans="1:16" ht="33" customHeight="1" x14ac:dyDescent="0.2">
      <c r="A38" s="675" t="s">
        <v>1298</v>
      </c>
      <c r="B38" s="2633" t="s">
        <v>1240</v>
      </c>
      <c r="C38" s="2634"/>
      <c r="D38" s="2634"/>
      <c r="E38" s="2635"/>
      <c r="F38" s="359" t="s">
        <v>25</v>
      </c>
      <c r="G38" s="449" t="s">
        <v>991</v>
      </c>
      <c r="H38" s="1015"/>
      <c r="P38" s="2272"/>
    </row>
    <row r="39" spans="1:16" ht="33" customHeight="1" x14ac:dyDescent="0.2">
      <c r="A39" s="675" t="s">
        <v>1298</v>
      </c>
      <c r="B39" s="2633" t="s">
        <v>1241</v>
      </c>
      <c r="C39" s="2634"/>
      <c r="D39" s="2634"/>
      <c r="E39" s="2635"/>
      <c r="F39" s="359" t="s">
        <v>25</v>
      </c>
      <c r="G39" s="449" t="s">
        <v>991</v>
      </c>
      <c r="H39" s="1015"/>
      <c r="P39" s="2272"/>
    </row>
    <row r="40" spans="1:16" ht="44.25" customHeight="1" x14ac:dyDescent="0.2">
      <c r="A40" s="675" t="s">
        <v>1298</v>
      </c>
      <c r="B40" s="2633" t="s">
        <v>1242</v>
      </c>
      <c r="C40" s="2634"/>
      <c r="D40" s="2634"/>
      <c r="E40" s="2635"/>
      <c r="F40" s="359" t="s">
        <v>25</v>
      </c>
      <c r="G40" s="449" t="s">
        <v>991</v>
      </c>
      <c r="H40" s="1015"/>
      <c r="P40" s="2272"/>
    </row>
    <row r="41" spans="1:16" ht="33" customHeight="1" x14ac:dyDescent="0.2">
      <c r="A41" s="675" t="s">
        <v>1298</v>
      </c>
      <c r="B41" s="2633" t="s">
        <v>1243</v>
      </c>
      <c r="C41" s="2634"/>
      <c r="D41" s="2634"/>
      <c r="E41" s="2635"/>
      <c r="F41" s="359" t="s">
        <v>25</v>
      </c>
      <c r="G41" s="449" t="s">
        <v>991</v>
      </c>
      <c r="H41" s="1015"/>
      <c r="L41" s="1016"/>
      <c r="M41" s="1016"/>
      <c r="N41" s="1016"/>
      <c r="P41" s="2272"/>
    </row>
    <row r="42" spans="1:16" ht="51.75" customHeight="1" x14ac:dyDescent="0.2">
      <c r="A42" s="675" t="s">
        <v>1298</v>
      </c>
      <c r="B42" s="2633" t="s">
        <v>1244</v>
      </c>
      <c r="C42" s="2634"/>
      <c r="D42" s="2634"/>
      <c r="E42" s="2635"/>
      <c r="F42" s="359" t="s">
        <v>25</v>
      </c>
      <c r="G42" s="449" t="s">
        <v>991</v>
      </c>
      <c r="H42" s="1015"/>
      <c r="L42" s="1016"/>
      <c r="M42" s="1016"/>
      <c r="N42" s="1016"/>
      <c r="P42" s="2272"/>
    </row>
    <row r="43" spans="1:16" s="36" customFormat="1" ht="20.25" customHeight="1" x14ac:dyDescent="0.2">
      <c r="A43" s="675" t="s">
        <v>1298</v>
      </c>
      <c r="B43" s="85"/>
      <c r="C43" s="85"/>
      <c r="D43" s="85"/>
      <c r="E43" s="38"/>
      <c r="F43" s="450"/>
      <c r="G43" s="450"/>
      <c r="H43" s="450"/>
      <c r="L43" s="85"/>
      <c r="M43" s="85"/>
      <c r="N43" s="85"/>
    </row>
    <row r="44" spans="1:16" s="25" customFormat="1" ht="26.25" customHeight="1" x14ac:dyDescent="0.2">
      <c r="A44" s="675" t="s">
        <v>1298</v>
      </c>
      <c r="B44" s="123" t="s">
        <v>268</v>
      </c>
      <c r="C44" s="33"/>
      <c r="D44" s="33"/>
      <c r="E44" s="33"/>
      <c r="F44" s="446"/>
      <c r="G44" s="446"/>
      <c r="H44" s="446"/>
      <c r="I44" s="1543" t="s">
        <v>1071</v>
      </c>
      <c r="J44" s="1543" t="s">
        <v>1072</v>
      </c>
      <c r="K44" s="1543" t="s">
        <v>1073</v>
      </c>
      <c r="L44" s="500"/>
    </row>
    <row r="45" spans="1:16" ht="33" customHeight="1" x14ac:dyDescent="0.2">
      <c r="A45" s="675" t="s">
        <v>1298</v>
      </c>
      <c r="B45" s="3034" t="s">
        <v>1143</v>
      </c>
      <c r="C45" s="3035"/>
      <c r="D45" s="3035"/>
      <c r="E45" s="3036"/>
      <c r="F45" s="856"/>
      <c r="G45" s="449" t="s">
        <v>992</v>
      </c>
      <c r="H45" s="1015"/>
      <c r="I45" s="1542" t="b">
        <f ca="1">IF(J45=TRUE,TRUE,FALSE)</f>
        <v>0</v>
      </c>
      <c r="J45" s="1542" t="b">
        <f ca="1">IF(ISNA(VLOOKUP("1",OFFSET(GenHVACformatref,1,0,ROWS(GenHVACformatref)-1,1),1,FALSE)),IF(ISNA(VLOOKUP("2",OFFSET(GenHVACformatref,1,0,ROWS(GenHVACformatref)-1,1),1,FALSE)),IF(ISNA(VLOOKUP("3",OFFSET(GenHVACformatref,1,0,ROWS(GenHVACformatref)-1,1),1,FALSE)),IF(ISNA(VLOOKUP("4",OFFSET(GenHVACformatref,1,0,ROWS(GenHVACformatref)-1,1),1,FALSE)),FALSE,TRUE),TRUE),TRUE),TRUE)</f>
        <v>0</v>
      </c>
      <c r="P45" s="2272"/>
    </row>
    <row r="46" spans="1:16" ht="33" customHeight="1" x14ac:dyDescent="0.2">
      <c r="A46" s="675" t="s">
        <v>1298</v>
      </c>
      <c r="B46" s="3034" t="s">
        <v>1144</v>
      </c>
      <c r="C46" s="3035"/>
      <c r="D46" s="3035"/>
      <c r="E46" s="3036"/>
      <c r="F46" s="359" t="s">
        <v>25</v>
      </c>
      <c r="G46" s="449" t="s">
        <v>993</v>
      </c>
      <c r="H46" s="1015"/>
      <c r="I46" s="1542" t="b">
        <f ca="1">IF(J46=TRUE,TRUE,FALSE)</f>
        <v>1</v>
      </c>
      <c r="J46" s="1542" t="b">
        <f ca="1">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f>
        <v>1</v>
      </c>
      <c r="P46" s="2272"/>
    </row>
    <row r="47" spans="1:16" ht="33" customHeight="1" x14ac:dyDescent="0.2">
      <c r="A47" s="675" t="s">
        <v>1298</v>
      </c>
      <c r="B47" s="3034" t="s">
        <v>1145</v>
      </c>
      <c r="C47" s="3035"/>
      <c r="D47" s="3035"/>
      <c r="E47" s="3036"/>
      <c r="F47" s="856"/>
      <c r="G47" s="449" t="s">
        <v>994</v>
      </c>
      <c r="H47" s="1015"/>
      <c r="I47" s="1542" t="b">
        <f ca="1">IF(J47=TRUE,TRUE,FALSE)</f>
        <v>0</v>
      </c>
      <c r="J47" s="1542" t="b">
        <f ca="1">IF(ISNA(VLOOKUP("9",OFFSET(GenHVACformatref,1,0,ROWS(GenHVACformatref)-1,1),1,FALSE)),IF(ISNA(VLOOKUP("10",OFFSET(GenHVACformatref,1,0,ROWS(GenHVACformatref)-1,1),1,FALSE)),FALSE,TRUE),TRUE)</f>
        <v>0</v>
      </c>
      <c r="P47" s="2272"/>
    </row>
    <row r="48" spans="1:16" ht="33" customHeight="1" x14ac:dyDescent="0.2">
      <c r="A48" s="675" t="s">
        <v>1298</v>
      </c>
      <c r="B48" s="3034" t="s">
        <v>1146</v>
      </c>
      <c r="C48" s="3035"/>
      <c r="D48" s="3035"/>
      <c r="E48" s="3036"/>
      <c r="F48" s="359" t="s">
        <v>25</v>
      </c>
      <c r="G48" s="449" t="s">
        <v>991</v>
      </c>
      <c r="H48" s="1015"/>
      <c r="I48" s="1542" t="b">
        <v>1</v>
      </c>
      <c r="P48" s="2272"/>
    </row>
    <row r="49" spans="1:16" ht="52.5" customHeight="1" x14ac:dyDescent="0.2">
      <c r="A49" s="675" t="s">
        <v>1298</v>
      </c>
      <c r="B49" s="3034" t="s">
        <v>1147</v>
      </c>
      <c r="C49" s="3035"/>
      <c r="D49" s="3035"/>
      <c r="E49" s="3036"/>
      <c r="F49" s="856"/>
      <c r="G49" s="451" t="s">
        <v>1246</v>
      </c>
      <c r="H49" s="1018"/>
      <c r="I49" s="1542" t="b">
        <f ca="1">IF(J49=TRUE,TRUE,IF(AND(K49=TRUE,'General Information'!$J$59=TRUE),TRUE,FALSE))</f>
        <v>0</v>
      </c>
      <c r="J49" s="1542" t="b">
        <f ca="1">IF(ISNA(VLOOKUP("1",OFFSET(GenHVACformatref,1,0,ROWS(GenHVACformatref)-1,1),1,FALSE)),IF(ISNA(VLOOKUP("2",OFFSET(GenHVACformatref,1,0,ROWS(GenHVACformatref)-1,1),1,FALSE)),IF(ISNA(VLOOKUP("3",OFFSET(GenHVACformatref,1,0,ROWS(GenHVACformatref)-1,1),1,FALSE)),IF(ISNA(VLOOKUP("4",OFFSET(GenHVACformatref,1,0,ROWS(GenHVACformatref)-1,1),1,FALSE)),IF(ISNA(VLOOKUP("5",OFFSET(GenHVACformatref,1,0,ROWS(GenHVACformatref)-1,1),1,FALSE)),IF(ISNA(VLOOKUP("6",OFFSET(GenHVACformatref,1,0,ROWS(GenHVACformatref)-1,1),1,FALSE)),FALSE,TRUE),TRUE),TRUE),TRUE),TRUE),TRUE)</f>
        <v>0</v>
      </c>
      <c r="K49" s="1542" t="b">
        <f ca="1">IF(ISNA(VLOOKUP("1",OFFSET(GenHVACformatref,1,0,ROWS(GenHVACformatref)-1,1),1,FALSE)),IF(ISNA(VLOOKUP("3",OFFSET(GenHVACformatref,1,0,ROWS(GenHVACformatref)-1,1),1,FALSE)),IF(ISNA(VLOOKUP("5",OFFSET(GenHVACformatref,1,0,ROWS(GenHVACformatref)-1,1),1,FALSE)),FALSE,TRUE),TRUE),TRUE)</f>
        <v>0</v>
      </c>
      <c r="P49" s="2272"/>
    </row>
    <row r="50" spans="1:16" ht="33" customHeight="1" x14ac:dyDescent="0.2">
      <c r="A50" s="675" t="s">
        <v>1298</v>
      </c>
      <c r="B50" s="3034" t="s">
        <v>1148</v>
      </c>
      <c r="C50" s="3035"/>
      <c r="D50" s="3035"/>
      <c r="E50" s="3036"/>
      <c r="F50" s="359" t="s">
        <v>25</v>
      </c>
      <c r="G50" s="449" t="s">
        <v>991</v>
      </c>
      <c r="H50" s="1015"/>
      <c r="I50" s="1542" t="b">
        <v>1</v>
      </c>
      <c r="P50" s="2272"/>
    </row>
    <row r="51" spans="1:16" ht="33" customHeight="1" x14ac:dyDescent="0.2">
      <c r="A51" s="675" t="s">
        <v>1298</v>
      </c>
      <c r="B51" s="3034" t="s">
        <v>1149</v>
      </c>
      <c r="C51" s="3035"/>
      <c r="D51" s="3035"/>
      <c r="E51" s="3036"/>
      <c r="F51" s="359" t="s">
        <v>25</v>
      </c>
      <c r="G51" s="449" t="s">
        <v>991</v>
      </c>
      <c r="H51" s="1015"/>
      <c r="I51" s="1542" t="b">
        <v>1</v>
      </c>
      <c r="P51" s="2272"/>
    </row>
    <row r="52" spans="1:16" ht="33" customHeight="1" x14ac:dyDescent="0.2">
      <c r="A52" s="675" t="s">
        <v>1298</v>
      </c>
      <c r="B52" s="3034" t="s">
        <v>1150</v>
      </c>
      <c r="C52" s="3035"/>
      <c r="D52" s="3035"/>
      <c r="E52" s="3036"/>
      <c r="F52" s="359" t="s">
        <v>25</v>
      </c>
      <c r="G52" s="449" t="s">
        <v>991</v>
      </c>
      <c r="H52" s="1015"/>
      <c r="I52" s="1542" t="b">
        <v>1</v>
      </c>
      <c r="P52" s="2272"/>
    </row>
    <row r="53" spans="1:16" ht="33" customHeight="1" x14ac:dyDescent="0.2">
      <c r="A53" s="675" t="s">
        <v>1298</v>
      </c>
      <c r="B53" s="3034" t="s">
        <v>1151</v>
      </c>
      <c r="C53" s="3035"/>
      <c r="D53" s="3035"/>
      <c r="E53" s="3036"/>
      <c r="F53" s="359" t="s">
        <v>25</v>
      </c>
      <c r="G53" s="449" t="s">
        <v>991</v>
      </c>
      <c r="H53" s="1015"/>
      <c r="I53" s="1542" t="b">
        <v>1</v>
      </c>
      <c r="P53" s="2272"/>
    </row>
    <row r="54" spans="1:16" ht="64.5" customHeight="1" x14ac:dyDescent="0.2">
      <c r="A54" s="675" t="s">
        <v>1298</v>
      </c>
      <c r="B54" s="3034" t="s">
        <v>1152</v>
      </c>
      <c r="C54" s="3035"/>
      <c r="D54" s="3035"/>
      <c r="E54" s="3036"/>
      <c r="F54" s="359" t="s">
        <v>1068</v>
      </c>
      <c r="G54" s="449" t="s">
        <v>1041</v>
      </c>
      <c r="H54" s="1015"/>
      <c r="I54" s="1542" t="b">
        <f ca="1">IF(J54=TRUE,TRUE,FALSE)</f>
        <v>1</v>
      </c>
      <c r="J54" s="1542" t="b">
        <f ca="1">IF(ISNA(VLOOKUP("3",OFFSET(GenHVACformatref,1,0,ROWS(GenHVACformatref)-1,1),1,FALSE)),IF(ISNA(VLOOKUP("4",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54" s="2378" t="s">
        <v>2304</v>
      </c>
    </row>
    <row r="55" spans="1:16" ht="137.44999999999999" customHeight="1" x14ac:dyDescent="0.2">
      <c r="A55" s="675" t="s">
        <v>1298</v>
      </c>
      <c r="B55" s="3034" t="s">
        <v>2076</v>
      </c>
      <c r="C55" s="3035"/>
      <c r="D55" s="3035"/>
      <c r="E55" s="3036"/>
      <c r="F55" s="359" t="s">
        <v>25</v>
      </c>
      <c r="G55" s="449" t="s">
        <v>991</v>
      </c>
      <c r="H55" s="1015"/>
      <c r="I55" s="1542" t="b">
        <v>1</v>
      </c>
      <c r="P55" s="2272"/>
    </row>
    <row r="56" spans="1:16" ht="33" customHeight="1" x14ac:dyDescent="0.2">
      <c r="A56" s="675" t="s">
        <v>1298</v>
      </c>
      <c r="B56" s="3034" t="s">
        <v>1153</v>
      </c>
      <c r="C56" s="3035"/>
      <c r="D56" s="3035"/>
      <c r="E56" s="3036"/>
      <c r="F56" s="359" t="s">
        <v>25</v>
      </c>
      <c r="G56" s="449" t="s">
        <v>991</v>
      </c>
      <c r="H56" s="1015"/>
      <c r="I56" s="1542" t="b">
        <v>1</v>
      </c>
      <c r="P56" s="2272"/>
    </row>
    <row r="57" spans="1:16" ht="62.25" customHeight="1" x14ac:dyDescent="0.2">
      <c r="A57" s="675" t="s">
        <v>1298</v>
      </c>
      <c r="B57" s="3034" t="s">
        <v>1154</v>
      </c>
      <c r="C57" s="3035"/>
      <c r="D57" s="3035"/>
      <c r="E57" s="3036"/>
      <c r="F57" s="359" t="s">
        <v>25</v>
      </c>
      <c r="G57" s="449" t="s">
        <v>995</v>
      </c>
      <c r="H57" s="1015"/>
      <c r="I57" s="1542" t="b">
        <f t="shared" ref="I57:I63" ca="1" si="1">IF(J57=TRUE,TRUE,FALSE)</f>
        <v>1</v>
      </c>
      <c r="J57" s="1542" t="b">
        <f ca="1">IF(ISNA(VLOOKUP("1",OFFSET(GenHVACformatref,1,0,ROWS(GenHVACformatref)-1,1),1,FALSE)),IF(ISNA(VLOOKUP("2",OFFSET(GenHVACformatref,1,0,ROWS(GenHVACformatref)-1,1),1,FALSE)),IF(ISNA(VLOOKUP("3",OFFSET(GenHVACformatref,1,0,ROWS(GenHVACformatref)-1,1),1,FALSE)),IF(ISNA(VLOOKUP("4",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TRUE),TRUE)</f>
        <v>1</v>
      </c>
      <c r="P57" s="2272"/>
    </row>
    <row r="58" spans="1:16" ht="50.25" customHeight="1" x14ac:dyDescent="0.2">
      <c r="A58" s="675" t="s">
        <v>1298</v>
      </c>
      <c r="B58" s="3034" t="s">
        <v>1155</v>
      </c>
      <c r="C58" s="3035"/>
      <c r="D58" s="3035"/>
      <c r="E58" s="3036"/>
      <c r="F58" s="856"/>
      <c r="G58" s="449" t="s">
        <v>994</v>
      </c>
      <c r="H58" s="1015"/>
      <c r="I58" s="1542" t="b">
        <f t="shared" ca="1" si="1"/>
        <v>0</v>
      </c>
      <c r="J58" s="1542" t="b">
        <f ca="1">IF(ISNA(VLOOKUP("9",OFFSET(GenHVACformatref,1,0,ROWS(GenHVACformatref)-1,1),1,FALSE)),IF(ISNA(VLOOKUP("10",OFFSET(GenHVACformatref,1,0,ROWS(GenHVACformatref)-1,1),1,FALSE)),FALSE,TRUE),TRUE)</f>
        <v>0</v>
      </c>
      <c r="P58" s="2272"/>
    </row>
    <row r="59" spans="1:16" ht="60.75" customHeight="1" x14ac:dyDescent="0.2">
      <c r="A59" s="675" t="s">
        <v>1298</v>
      </c>
      <c r="B59" s="3034" t="s">
        <v>1156</v>
      </c>
      <c r="C59" s="3035"/>
      <c r="D59" s="3035"/>
      <c r="E59" s="3036"/>
      <c r="F59" s="856"/>
      <c r="G59" s="451" t="s">
        <v>1247</v>
      </c>
      <c r="H59" s="1018"/>
      <c r="I59" s="1542" t="b">
        <f t="shared" ca="1" si="1"/>
        <v>0</v>
      </c>
      <c r="J59" s="1542" t="b">
        <f ca="1">IF(ISNA(VLOOKUP("2",OFFSET(GenHVACformatref,1,0,ROWS(GenHVACformatref)-1,1),1,FALSE)),IF(ISNA(VLOOKUP("4",OFFSET(GenHVACformatref,1,0,ROWS(GenHVACformatref)-1,1),1,FALSE)),FALSE,TRUE),TRUE)</f>
        <v>0</v>
      </c>
      <c r="P59" s="2272"/>
    </row>
    <row r="60" spans="1:16" ht="33" customHeight="1" x14ac:dyDescent="0.2">
      <c r="A60" s="675" t="s">
        <v>1298</v>
      </c>
      <c r="B60" s="3034" t="s">
        <v>1157</v>
      </c>
      <c r="C60" s="3035"/>
      <c r="D60" s="3035"/>
      <c r="E60" s="3036"/>
      <c r="F60" s="359" t="s">
        <v>25</v>
      </c>
      <c r="G60" s="449" t="s">
        <v>993</v>
      </c>
      <c r="H60" s="1015"/>
      <c r="I60" s="1542" t="b">
        <f t="shared" ca="1" si="1"/>
        <v>1</v>
      </c>
      <c r="J60" s="1542" t="b">
        <f ca="1">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f>
        <v>1</v>
      </c>
      <c r="P60" s="2272"/>
    </row>
    <row r="61" spans="1:16" ht="33" customHeight="1" x14ac:dyDescent="0.2">
      <c r="A61" s="675" t="s">
        <v>1298</v>
      </c>
      <c r="B61" s="3034" t="s">
        <v>1158</v>
      </c>
      <c r="C61" s="3035"/>
      <c r="D61" s="3035"/>
      <c r="E61" s="3036"/>
      <c r="F61" s="359" t="s">
        <v>25</v>
      </c>
      <c r="G61" s="449" t="s">
        <v>996</v>
      </c>
      <c r="H61" s="1015"/>
      <c r="I61" s="1542" t="b">
        <f t="shared" ca="1" si="1"/>
        <v>1</v>
      </c>
      <c r="J61" s="1542" t="b">
        <f ca="1">IF(ISNA(VLOOKUP("5",OFFSET(GenHVACformatref,1,0,ROWS(GenHVACformatref)-1,1),1,FALSE)),IF(ISNA(VLOOKUP("7",OFFSET(GenHVACformatref,1,0,ROWS(GenHVACformatref)-1,1),1,FALSE)),FALSE,TRUE),TRUE)</f>
        <v>1</v>
      </c>
      <c r="P61" s="2272"/>
    </row>
    <row r="62" spans="1:16" ht="39.75" customHeight="1" x14ac:dyDescent="0.2">
      <c r="A62" s="675" t="s">
        <v>1298</v>
      </c>
      <c r="B62" s="3034" t="s">
        <v>1159</v>
      </c>
      <c r="C62" s="3035"/>
      <c r="D62" s="3035"/>
      <c r="E62" s="3036"/>
      <c r="F62" s="856"/>
      <c r="G62" s="451" t="s">
        <v>997</v>
      </c>
      <c r="H62" s="1018"/>
      <c r="I62" s="1542" t="b">
        <f t="shared" ca="1" si="1"/>
        <v>0</v>
      </c>
      <c r="J62" s="1542" t="b">
        <f ca="1">IF(ISNA(VLOOKUP("6",OFFSET(GenHVACformatref,1,0,ROWS(GenHVACformatref)-1,1),1,FALSE)),IF(ISNA(VLOOKUP("8",OFFSET(GenHVACformatref,1,0,ROWS(GenHVACformatref)-1,1),1,FALSE)),FALSE,TRUE),TRUE)</f>
        <v>0</v>
      </c>
      <c r="P62" s="2272"/>
    </row>
    <row r="63" spans="1:16" ht="33" customHeight="1" x14ac:dyDescent="0.2">
      <c r="A63" s="675" t="s">
        <v>1298</v>
      </c>
      <c r="B63" s="3034" t="s">
        <v>1160</v>
      </c>
      <c r="C63" s="3035"/>
      <c r="D63" s="3035"/>
      <c r="E63" s="3036"/>
      <c r="F63" s="359" t="s">
        <v>25</v>
      </c>
      <c r="G63" s="449" t="s">
        <v>993</v>
      </c>
      <c r="H63" s="1015"/>
      <c r="I63" s="1542" t="b">
        <f t="shared" ca="1" si="1"/>
        <v>1</v>
      </c>
      <c r="J63" s="1542" t="b">
        <f ca="1">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f>
        <v>1</v>
      </c>
      <c r="P63" s="2272"/>
    </row>
    <row r="64" spans="1:16" s="36" customFormat="1" ht="20.25" customHeight="1" x14ac:dyDescent="0.2">
      <c r="A64" s="675" t="s">
        <v>1298</v>
      </c>
      <c r="B64" s="85"/>
      <c r="C64" s="85"/>
      <c r="D64" s="85"/>
      <c r="E64" s="38"/>
      <c r="F64" s="450"/>
      <c r="G64" s="450"/>
      <c r="H64" s="450"/>
    </row>
    <row r="65" spans="1:16" s="25" customFormat="1" ht="26.25" customHeight="1" x14ac:dyDescent="0.2">
      <c r="A65" s="675" t="s">
        <v>1298</v>
      </c>
      <c r="B65" s="123" t="s">
        <v>269</v>
      </c>
      <c r="C65" s="33"/>
      <c r="D65" s="33"/>
      <c r="E65" s="33"/>
      <c r="F65" s="446"/>
      <c r="G65" s="446"/>
      <c r="H65" s="446"/>
    </row>
    <row r="66" spans="1:16" ht="55.5" customHeight="1" x14ac:dyDescent="0.2">
      <c r="A66" s="675" t="s">
        <v>1298</v>
      </c>
      <c r="B66" s="3034" t="s">
        <v>1227</v>
      </c>
      <c r="C66" s="3035"/>
      <c r="D66" s="3035"/>
      <c r="E66" s="3036"/>
      <c r="F66" s="856"/>
      <c r="G66" s="451" t="s">
        <v>1249</v>
      </c>
      <c r="H66" s="1018"/>
      <c r="I66" s="1542" t="b">
        <f>IF('General Information'!$J$59=TRUE,FALSE,IF(J66=TRUE,TRUE,IF(AND(K66=TRUE,'General Information'!$I$59=TRUE),TRUE,FALSE)))</f>
        <v>0</v>
      </c>
      <c r="J66" s="1542" t="b">
        <f ca="1">IF(ISNA(VLOOKUP("1",OFFSET(GenHVACformatref,1,0,ROWS(GenHVACformatref)-1,1),1,FALSE)),IF(ISNA(VLOOKUP("5",OFFSET(GenHVACformatref,1,0,ROWS(GenHVACformatref)-1,1),1,FALSE)),IF(ISNA(VLOOKUP("7",OFFSET(GenHVACformatref,1,0,ROWS(GenHVACformatref)-1,1),1,FALSE)),FALSE,TRUE),TRUE),TRUE)</f>
        <v>1</v>
      </c>
      <c r="K66" s="1542"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66" s="2272"/>
    </row>
    <row r="67" spans="1:16" ht="54" customHeight="1" x14ac:dyDescent="0.2">
      <c r="A67" s="675" t="s">
        <v>1298</v>
      </c>
      <c r="B67" s="3034" t="s">
        <v>1228</v>
      </c>
      <c r="C67" s="3035"/>
      <c r="D67" s="3035"/>
      <c r="E67" s="3036"/>
      <c r="F67" s="856"/>
      <c r="G67" s="451" t="s">
        <v>1249</v>
      </c>
      <c r="H67" s="1018"/>
      <c r="I67" s="1542" t="b">
        <f>IF('General Information'!$J$59=TRUE,FALSE,IF(J67=TRUE,TRUE,IF(AND(K67=TRUE,'General Information'!$I$59=TRUE),TRUE,FALSE)))</f>
        <v>0</v>
      </c>
      <c r="J67" s="1542" t="b">
        <f ca="1">IF(ISNA(VLOOKUP("1",OFFSET(GenHVACformatref,1,0,ROWS(GenHVACformatref)-1,1),1,FALSE)),IF(ISNA(VLOOKUP("5",OFFSET(GenHVACformatref,1,0,ROWS(GenHVACformatref)-1,1),1,FALSE)),IF(ISNA(VLOOKUP("7",OFFSET(GenHVACformatref,1,0,ROWS(GenHVACformatref)-1,1),1,FALSE)),FALSE,TRUE),TRUE),TRUE)</f>
        <v>1</v>
      </c>
      <c r="K67" s="1542"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67" s="2272"/>
    </row>
    <row r="68" spans="1:16" ht="54" customHeight="1" x14ac:dyDescent="0.2">
      <c r="A68" s="675" t="s">
        <v>1298</v>
      </c>
      <c r="B68" s="3034" t="s">
        <v>1229</v>
      </c>
      <c r="C68" s="3035"/>
      <c r="D68" s="3035"/>
      <c r="E68" s="3036"/>
      <c r="F68" s="856"/>
      <c r="G68" s="451" t="s">
        <v>1249</v>
      </c>
      <c r="H68" s="1018"/>
      <c r="I68" s="1542" t="b">
        <f>IF('General Information'!$J$59=TRUE,FALSE,IF(J68=TRUE,TRUE,IF(AND(K68=TRUE,'General Information'!$I$59=TRUE),TRUE,FALSE)))</f>
        <v>0</v>
      </c>
      <c r="J68" s="1542" t="b">
        <f ca="1">IF(ISNA(VLOOKUP("1",OFFSET(GenHVACformatref,1,0,ROWS(GenHVACformatref)-1,1),1,FALSE)),IF(ISNA(VLOOKUP("5",OFFSET(GenHVACformatref,1,0,ROWS(GenHVACformatref)-1,1),1,FALSE)),IF(ISNA(VLOOKUP("7",OFFSET(GenHVACformatref,1,0,ROWS(GenHVACformatref)-1,1),1,FALSE)),FALSE,TRUE),TRUE),TRUE)</f>
        <v>1</v>
      </c>
      <c r="K68" s="1542"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68" s="2272"/>
    </row>
    <row r="69" spans="1:16" ht="54" customHeight="1" x14ac:dyDescent="0.2">
      <c r="A69" s="675" t="s">
        <v>1298</v>
      </c>
      <c r="B69" s="3034" t="s">
        <v>1230</v>
      </c>
      <c r="C69" s="3035"/>
      <c r="D69" s="3035"/>
      <c r="E69" s="3036"/>
      <c r="F69" s="856"/>
      <c r="G69" s="451" t="s">
        <v>1249</v>
      </c>
      <c r="H69" s="1018"/>
      <c r="I69" s="1542" t="b">
        <f>IF('General Information'!$J$59=TRUE,FALSE,IF(J69=TRUE,TRUE,IF(AND(K69=TRUE,'General Information'!$I$59=TRUE),TRUE,FALSE)))</f>
        <v>0</v>
      </c>
      <c r="J69" s="1542" t="b">
        <f ca="1">IF(ISNA(VLOOKUP("1",OFFSET(GenHVACformatref,1,0,ROWS(GenHVACformatref)-1,1),1,FALSE)),IF(ISNA(VLOOKUP("5",OFFSET(GenHVACformatref,1,0,ROWS(GenHVACformatref)-1,1),1,FALSE)),IF(ISNA(VLOOKUP("7",OFFSET(GenHVACformatref,1,0,ROWS(GenHVACformatref)-1,1),1,FALSE)),FALSE,TRUE),TRUE),TRUE)</f>
        <v>1</v>
      </c>
      <c r="K69" s="1542"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1</v>
      </c>
      <c r="P69" s="2272"/>
    </row>
    <row r="70" spans="1:16" ht="42.75" customHeight="1" x14ac:dyDescent="0.2">
      <c r="A70" s="675" t="s">
        <v>1298</v>
      </c>
      <c r="B70" s="3034" t="s">
        <v>1231</v>
      </c>
      <c r="C70" s="3035"/>
      <c r="D70" s="3035"/>
      <c r="E70" s="3036"/>
      <c r="F70" s="359" t="s">
        <v>25</v>
      </c>
      <c r="G70" s="451" t="s">
        <v>1034</v>
      </c>
      <c r="H70" s="1018"/>
      <c r="I70" s="1542" t="b">
        <f>IF(OR('General Information'!$I$59=TRUE,'General Information'!$J$59=TRUE),TRUE,IF(J70=TRUE,TRUE,FALSE))</f>
        <v>1</v>
      </c>
      <c r="J70" s="1542" t="b">
        <f ca="1">IF(ISNA(VLOOKUP("1",OFFSET(GenHVACformatref,1,0,ROWS(GenHVACformatref)-1,1),1,FALSE)),IF(ISNA(VLOOKUP("5",OFFSET(GenHVACformatref,1,0,ROWS(GenHVACformatref)-1,1),1,FALSE)),IF(ISNA(VLOOKUP("7",OFFSET(GenHVACformatref,1,0,ROWS(GenHVACformatref)-1,1),1,FALSE)),IF(ISNA(VLOOKUP("8",OFFSET(GenHVACformatref,1,0,ROWS(GenHVACformatref)-1,1),1,FALSE)),FALSE,TRUE),TRUE),TRUE),TRUE)</f>
        <v>1</v>
      </c>
      <c r="P70" s="2272"/>
    </row>
    <row r="71" spans="1:16" ht="41.25" customHeight="1" x14ac:dyDescent="0.2">
      <c r="A71" s="675" t="s">
        <v>1298</v>
      </c>
      <c r="B71" s="3034" t="s">
        <v>1232</v>
      </c>
      <c r="C71" s="3035"/>
      <c r="D71" s="3035"/>
      <c r="E71" s="3036"/>
      <c r="F71" s="856"/>
      <c r="G71" s="451" t="s">
        <v>1248</v>
      </c>
      <c r="H71" s="1018"/>
      <c r="I71" s="1542" t="b">
        <f>IF('General Information'!$I$59=TRUE,FALSE,IF(J71=TRUE,TRUE,FALSE))</f>
        <v>0</v>
      </c>
      <c r="J71" s="1542" t="b">
        <f t="shared" ref="J71:J78" ca="1" si="2">IF(ISNA(VLOOKUP("7",OFFSET(GenHVACformatref,1,0,ROWS(GenHVACformatref)-1,1),1,FALSE)),IF(ISNA(VLOOKUP("8",OFFSET(GenHVACformatref,1,0,ROWS(GenHVACformatref)-1,1),1,FALSE)),FALSE,TRUE),TRUE)</f>
        <v>1</v>
      </c>
      <c r="P71" s="2272"/>
    </row>
    <row r="72" spans="1:16" ht="33" customHeight="1" x14ac:dyDescent="0.2">
      <c r="A72" s="675" t="s">
        <v>1298</v>
      </c>
      <c r="B72" s="3034" t="s">
        <v>1233</v>
      </c>
      <c r="C72" s="3035"/>
      <c r="D72" s="3035"/>
      <c r="E72" s="3036"/>
      <c r="F72" s="856"/>
      <c r="G72" s="451" t="s">
        <v>1248</v>
      </c>
      <c r="H72" s="1018"/>
      <c r="I72" s="1542" t="b">
        <f>IF('General Information'!$I$59=TRUE,FALSE,IF(J72=TRUE,TRUE,FALSE))</f>
        <v>0</v>
      </c>
      <c r="J72" s="1542" t="b">
        <f t="shared" ca="1" si="2"/>
        <v>1</v>
      </c>
      <c r="P72" s="2272"/>
    </row>
    <row r="73" spans="1:16" ht="51.75" customHeight="1" x14ac:dyDescent="0.2">
      <c r="A73" s="675" t="s">
        <v>1298</v>
      </c>
      <c r="B73" s="3034" t="s">
        <v>1234</v>
      </c>
      <c r="C73" s="3035"/>
      <c r="D73" s="3035"/>
      <c r="E73" s="3036"/>
      <c r="F73" s="856"/>
      <c r="G73" s="451" t="s">
        <v>1248</v>
      </c>
      <c r="H73" s="1018"/>
      <c r="I73" s="1542" t="b">
        <f>IF('General Information'!$I$59=TRUE,FALSE,IF(J73=TRUE,TRUE,FALSE))</f>
        <v>0</v>
      </c>
      <c r="J73" s="1542" t="b">
        <f t="shared" ca="1" si="2"/>
        <v>1</v>
      </c>
      <c r="P73" s="2272"/>
    </row>
    <row r="74" spans="1:16" ht="42" customHeight="1" x14ac:dyDescent="0.2">
      <c r="A74" s="675" t="s">
        <v>1298</v>
      </c>
      <c r="B74" s="3034" t="s">
        <v>1235</v>
      </c>
      <c r="C74" s="3035"/>
      <c r="D74" s="3035"/>
      <c r="E74" s="3036"/>
      <c r="F74" s="856"/>
      <c r="G74" s="451" t="s">
        <v>1248</v>
      </c>
      <c r="H74" s="1018"/>
      <c r="I74" s="1542" t="b">
        <f>IF('General Information'!$I$59=TRUE,FALSE,IF(J74=TRUE,TRUE,FALSE))</f>
        <v>0</v>
      </c>
      <c r="J74" s="1542" t="b">
        <f t="shared" ca="1" si="2"/>
        <v>1</v>
      </c>
      <c r="P74" s="2272"/>
    </row>
    <row r="75" spans="1:16" ht="42" customHeight="1" x14ac:dyDescent="0.2">
      <c r="A75" s="675" t="s">
        <v>1298</v>
      </c>
      <c r="B75" s="3034" t="s">
        <v>1236</v>
      </c>
      <c r="C75" s="3035"/>
      <c r="D75" s="3035"/>
      <c r="E75" s="3036"/>
      <c r="F75" s="856"/>
      <c r="G75" s="451" t="s">
        <v>1248</v>
      </c>
      <c r="H75" s="1018"/>
      <c r="I75" s="1542" t="b">
        <f>IF('General Information'!$I$59=TRUE,FALSE,IF(J75=TRUE,TRUE,FALSE))</f>
        <v>0</v>
      </c>
      <c r="J75" s="1542" t="b">
        <f t="shared" ca="1" si="2"/>
        <v>1</v>
      </c>
      <c r="P75" s="2272"/>
    </row>
    <row r="76" spans="1:16" ht="42" customHeight="1" x14ac:dyDescent="0.2">
      <c r="A76" s="675" t="s">
        <v>1298</v>
      </c>
      <c r="B76" s="3034" t="s">
        <v>1237</v>
      </c>
      <c r="C76" s="3035"/>
      <c r="D76" s="3035"/>
      <c r="E76" s="3036"/>
      <c r="F76" s="856"/>
      <c r="G76" s="451" t="s">
        <v>1248</v>
      </c>
      <c r="H76" s="1018"/>
      <c r="I76" s="1542" t="b">
        <f>IF('General Information'!$I$59=TRUE,FALSE,IF(J76=TRUE,TRUE,FALSE))</f>
        <v>0</v>
      </c>
      <c r="J76" s="1542" t="b">
        <f t="shared" ca="1" si="2"/>
        <v>1</v>
      </c>
      <c r="P76" s="2272"/>
    </row>
    <row r="77" spans="1:16" ht="42" customHeight="1" x14ac:dyDescent="0.2">
      <c r="A77" s="675" t="s">
        <v>1298</v>
      </c>
      <c r="B77" s="3034" t="s">
        <v>1238</v>
      </c>
      <c r="C77" s="3035"/>
      <c r="D77" s="3035"/>
      <c r="E77" s="3036"/>
      <c r="F77" s="856"/>
      <c r="G77" s="451" t="s">
        <v>1248</v>
      </c>
      <c r="H77" s="1018"/>
      <c r="I77" s="1542" t="b">
        <f>IF('General Information'!$I$59=TRUE,FALSE,IF(J77=TRUE,TRUE,FALSE))</f>
        <v>0</v>
      </c>
      <c r="J77" s="1542" t="b">
        <f t="shared" ca="1" si="2"/>
        <v>1</v>
      </c>
      <c r="P77" s="2272"/>
    </row>
    <row r="78" spans="1:16" ht="42" customHeight="1" x14ac:dyDescent="0.2">
      <c r="A78" s="675" t="s">
        <v>1298</v>
      </c>
      <c r="B78" s="3034" t="s">
        <v>1239</v>
      </c>
      <c r="C78" s="3035"/>
      <c r="D78" s="3035"/>
      <c r="E78" s="3036"/>
      <c r="F78" s="856"/>
      <c r="G78" s="451" t="s">
        <v>1248</v>
      </c>
      <c r="H78" s="1018"/>
      <c r="I78" s="1542" t="b">
        <f>IF('General Information'!$I$59=TRUE,FALSE,IF(J78=TRUE,TRUE,FALSE))</f>
        <v>0</v>
      </c>
      <c r="J78" s="1542" t="b">
        <f t="shared" ca="1" si="2"/>
        <v>1</v>
      </c>
      <c r="P78" s="2272"/>
    </row>
    <row r="79" spans="1:16" s="36" customFormat="1" ht="33" customHeight="1" x14ac:dyDescent="0.2">
      <c r="A79" s="675" t="s">
        <v>1298</v>
      </c>
      <c r="B79" s="85"/>
      <c r="C79" s="85"/>
      <c r="D79" s="85"/>
      <c r="E79" s="38"/>
      <c r="F79" s="38"/>
      <c r="G79" s="450"/>
      <c r="H79" s="450"/>
    </row>
    <row r="80" spans="1:16" ht="54.95" customHeight="1" x14ac:dyDescent="0.2">
      <c r="A80" s="675" t="s">
        <v>1298</v>
      </c>
      <c r="B80" s="3033" t="s">
        <v>1161</v>
      </c>
      <c r="C80" s="2858"/>
      <c r="D80" s="2858"/>
      <c r="E80" s="2858"/>
      <c r="F80" s="2858"/>
      <c r="G80" s="2858"/>
      <c r="H80" s="1011"/>
    </row>
    <row r="81" spans="1:8" ht="51" customHeight="1" x14ac:dyDescent="0.2">
      <c r="A81" s="675" t="s">
        <v>1298</v>
      </c>
      <c r="B81" s="3030"/>
      <c r="C81" s="3031"/>
      <c r="D81" s="3031"/>
      <c r="E81" s="3031"/>
      <c r="F81" s="3031"/>
      <c r="G81" s="3032"/>
      <c r="H81" s="1138"/>
    </row>
    <row r="82" spans="1:8" x14ac:dyDescent="0.25">
      <c r="B82" s="48"/>
    </row>
    <row r="83" spans="1:8" x14ac:dyDescent="0.25">
      <c r="B83" s="48"/>
    </row>
    <row r="84" spans="1:8" x14ac:dyDescent="0.25">
      <c r="B84" s="48"/>
    </row>
  </sheetData>
  <sheetProtection algorithmName="SHA-512" hashValue="Cz+kcIPauc3VIpimEgClF8u+GR+y43Mw0zy4OtBaBz1rbhY9UC5oXs4fecZSqLbz+OOXVhR5EEbvYDMK6thbsw==" saltValue="ZxnXAQV1wKKByp2AFupMeA==" spinCount="100000" sheet="1" objects="1" scenarios="1"/>
  <customSheetViews>
    <customSheetView guid="{75D6F8CE-A4F4-4FDD-BA92-7996F9E19FA9}" scale="90" showGridLines="0" hiddenRows="1">
      <selection activeCell="G5" sqref="G5"/>
      <pageMargins left="0.25" right="0.25" top="0.75" bottom="0.75" header="0.3" footer="0.3"/>
      <pageSetup scale="75" orientation="portrait" verticalDpi="1200" r:id="rId1"/>
    </customSheetView>
  </customSheetViews>
  <mergeCells count="64">
    <mergeCell ref="B73:E73"/>
    <mergeCell ref="B76:E76"/>
    <mergeCell ref="B71:E71"/>
    <mergeCell ref="B68:E68"/>
    <mergeCell ref="B67:E67"/>
    <mergeCell ref="B69:E69"/>
    <mergeCell ref="B70:E70"/>
    <mergeCell ref="B72:E72"/>
    <mergeCell ref="C18:E18"/>
    <mergeCell ref="F18:G18"/>
    <mergeCell ref="B45:E45"/>
    <mergeCell ref="C20:E20"/>
    <mergeCell ref="C21:E21"/>
    <mergeCell ref="C19:E19"/>
    <mergeCell ref="F19:G19"/>
    <mergeCell ref="F27:G27"/>
    <mergeCell ref="F21:G21"/>
    <mergeCell ref="F20:G20"/>
    <mergeCell ref="C22:E22"/>
    <mergeCell ref="F22:G22"/>
    <mergeCell ref="B36:G36"/>
    <mergeCell ref="B41:E41"/>
    <mergeCell ref="F29:G29"/>
    <mergeCell ref="F26:G26"/>
    <mergeCell ref="F31:G31"/>
    <mergeCell ref="B39:E39"/>
    <mergeCell ref="F32:G32"/>
    <mergeCell ref="C27:D27"/>
    <mergeCell ref="B40:E40"/>
    <mergeCell ref="B38:E38"/>
    <mergeCell ref="F30:G30"/>
    <mergeCell ref="B46:E46"/>
    <mergeCell ref="B47:E47"/>
    <mergeCell ref="B54:E54"/>
    <mergeCell ref="B42:E42"/>
    <mergeCell ref="B53:E53"/>
    <mergeCell ref="B50:E50"/>
    <mergeCell ref="B51:E51"/>
    <mergeCell ref="B52:E52"/>
    <mergeCell ref="B49:E49"/>
    <mergeCell ref="B48:E48"/>
    <mergeCell ref="B81:G81"/>
    <mergeCell ref="B80:G80"/>
    <mergeCell ref="B75:E75"/>
    <mergeCell ref="B55:E55"/>
    <mergeCell ref="B56:E56"/>
    <mergeCell ref="B57:E57"/>
    <mergeCell ref="B58:E58"/>
    <mergeCell ref="B59:E59"/>
    <mergeCell ref="B63:E63"/>
    <mergeCell ref="B60:E60"/>
    <mergeCell ref="B61:E61"/>
    <mergeCell ref="B62:E62"/>
    <mergeCell ref="B77:E77"/>
    <mergeCell ref="B74:E74"/>
    <mergeCell ref="B78:E78"/>
    <mergeCell ref="B66:E66"/>
    <mergeCell ref="B5:G5"/>
    <mergeCell ref="B15:G15"/>
    <mergeCell ref="B14:G14"/>
    <mergeCell ref="B12:F12"/>
    <mergeCell ref="B10:F10"/>
    <mergeCell ref="B8:F8"/>
    <mergeCell ref="B6:F6"/>
  </mergeCells>
  <conditionalFormatting sqref="B45:F45">
    <cfRule type="expression" dxfId="57" priority="7">
      <formula>IF($I45=TRUE,FALSE,TRUE)</formula>
    </cfRule>
  </conditionalFormatting>
  <conditionalFormatting sqref="B46:F63">
    <cfRule type="expression" dxfId="56" priority="3">
      <formula>IF($I46=TRUE,FALSE,TRUE)</formula>
    </cfRule>
  </conditionalFormatting>
  <conditionalFormatting sqref="B66:F78">
    <cfRule type="expression" dxfId="55" priority="2">
      <formula>IF($I66=TRUE,FALSE,TRUE)</formula>
    </cfRule>
  </conditionalFormatting>
  <dataValidations count="8">
    <dataValidation type="list" allowBlank="1" showInputMessage="1" showErrorMessage="1" sqref="F53 F55:F63 F66:F78 F45:F47 F49:F51" xr:uid="{00000000-0002-0000-0E00-000000000000}">
      <formula1>"Yes, No"</formula1>
    </dataValidation>
    <dataValidation type="list" allowBlank="1" showErrorMessage="1" sqref="F38:F42" xr:uid="{00000000-0002-0000-0E00-000001000000}">
      <formula1>"Yes, No"</formula1>
    </dataValidation>
    <dataValidation type="list" allowBlank="1" showInputMessage="1" showErrorMessage="1" sqref="F52 F54 F48" xr:uid="{00000000-0002-0000-0E00-000002000000}">
      <formula1>"Yes, No, N/A"</formula1>
    </dataValidation>
    <dataValidation type="list" allowBlank="1" showInputMessage="1" showErrorMessage="1" sqref="F7 F11 F9" xr:uid="{00000000-0002-0000-0E00-000003000000}">
      <formula1>"Yes,No"</formula1>
    </dataValidation>
    <dataValidation type="list" allowBlank="1" showInputMessage="1" showErrorMessage="1" sqref="G6 G8 G10 G12 F13" xr:uid="{00000000-0002-0000-0E00-000004000000}">
      <formula1>"Yes,No,N/A"</formula1>
    </dataValidation>
    <dataValidation type="list" allowBlank="1" showInputMessage="1" showErrorMessage="1" sqref="B20:B22 B29:B32" xr:uid="{00000000-0002-0000-0E00-000005000000}">
      <formula1>BuildingIDLookup</formula1>
    </dataValidation>
    <dataValidation type="list" allowBlank="1" showInputMessage="1" showErrorMessage="1" sqref="C29:C32" xr:uid="{00000000-0002-0000-0E00-000006000000}">
      <formula1>DD_GH_BaseSysList</formula1>
    </dataValidation>
    <dataValidation type="list" allowBlank="1" showInputMessage="1" showErrorMessage="1" sqref="D29:D32" xr:uid="{00000000-0002-0000-0E00-000007000000}">
      <formula1>IF($C29="Primary HVAC System",BaselineHVACSystems,BaselineSecondarySystems)</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9224" r:id="rId5" name="Button 8">
              <controlPr defaultSize="0" print="0" autoFill="0" autoPict="0" macro="[0]!addB">
                <anchor moveWithCells="1">
                  <from>
                    <xdr:col>1</xdr:col>
                    <xdr:colOff>38100</xdr:colOff>
                    <xdr:row>32</xdr:row>
                    <xdr:rowOff>114300</xdr:rowOff>
                  </from>
                  <to>
                    <xdr:col>2</xdr:col>
                    <xdr:colOff>571500</xdr:colOff>
                    <xdr:row>32</xdr:row>
                    <xdr:rowOff>381000</xdr:rowOff>
                  </to>
                </anchor>
              </controlPr>
            </control>
          </mc:Choice>
        </mc:AlternateContent>
        <mc:AlternateContent xmlns:mc="http://schemas.openxmlformats.org/markup-compatibility/2006">
          <mc:Choice Requires="x14">
            <control shapeId="9302" r:id="rId6" name="Button 86">
              <controlPr defaultSize="0" print="0" autoFill="0" autoPict="0" macro="[0]!addA">
                <anchor moveWithCells="1">
                  <from>
                    <xdr:col>1</xdr:col>
                    <xdr:colOff>19050</xdr:colOff>
                    <xdr:row>22</xdr:row>
                    <xdr:rowOff>133350</xdr:rowOff>
                  </from>
                  <to>
                    <xdr:col>2</xdr:col>
                    <xdr:colOff>552450</xdr:colOff>
                    <xdr:row>22</xdr:row>
                    <xdr:rowOff>400050</xdr:rowOff>
                  </to>
                </anchor>
              </controlPr>
            </control>
          </mc:Choice>
        </mc:AlternateContent>
        <mc:AlternateContent xmlns:mc="http://schemas.openxmlformats.org/markup-compatibility/2006">
          <mc:Choice Requires="x14">
            <control shapeId="9479" r:id="rId7" name="Button 263">
              <controlPr defaultSize="0" print="0" autoFill="0" autoPict="0" macro="[0]!DeleteSome">
                <anchor moveWithCells="1">
                  <from>
                    <xdr:col>2</xdr:col>
                    <xdr:colOff>628650</xdr:colOff>
                    <xdr:row>32</xdr:row>
                    <xdr:rowOff>123825</xdr:rowOff>
                  </from>
                  <to>
                    <xdr:col>3</xdr:col>
                    <xdr:colOff>276225</xdr:colOff>
                    <xdr:row>32</xdr:row>
                    <xdr:rowOff>390525</xdr:rowOff>
                  </to>
                </anchor>
              </controlPr>
            </control>
          </mc:Choice>
        </mc:AlternateContent>
        <mc:AlternateContent xmlns:mc="http://schemas.openxmlformats.org/markup-compatibility/2006">
          <mc:Choice Requires="x14">
            <control shapeId="9480" r:id="rId8" name="Button 264">
              <controlPr defaultSize="0" print="0" autoFill="0" autoPict="0" macro="[0]!DeleteSome">
                <anchor moveWithCells="1">
                  <from>
                    <xdr:col>2</xdr:col>
                    <xdr:colOff>628650</xdr:colOff>
                    <xdr:row>22</xdr:row>
                    <xdr:rowOff>142875</xdr:rowOff>
                  </from>
                  <to>
                    <xdr:col>3</xdr:col>
                    <xdr:colOff>276225</xdr:colOff>
                    <xdr:row>22</xdr:row>
                    <xdr:rowOff>409575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BP69"/>
  <sheetViews>
    <sheetView showGridLines="0" topLeftCell="A17" zoomScaleNormal="100" zoomScaleSheetLayoutView="120" zoomScalePageLayoutView="90" workbookViewId="0">
      <pane xSplit="9" topLeftCell="J1" activePane="topRight" state="frozen"/>
      <selection pane="topRight" activeCell="N35" sqref="N35"/>
    </sheetView>
  </sheetViews>
  <sheetFormatPr defaultColWidth="12.7109375" defaultRowHeight="12.75" outlineLevelCol="1" x14ac:dyDescent="0.2"/>
  <cols>
    <col min="1" max="1" width="2.7109375" style="89" customWidth="1"/>
    <col min="2" max="2" width="18.7109375" style="89" customWidth="1"/>
    <col min="3" max="4" width="40.7109375" style="89" customWidth="1"/>
    <col min="5" max="5" width="2.7109375" style="89" customWidth="1"/>
    <col min="6" max="6" width="20.7109375" style="89" customWidth="1"/>
    <col min="7" max="7" width="2.7109375" style="89" customWidth="1"/>
    <col min="8" max="9" width="14.7109375" style="89" customWidth="1"/>
    <col min="10" max="10" width="2.7109375" style="89" customWidth="1"/>
    <col min="11" max="12" width="24.7109375" style="89" customWidth="1"/>
    <col min="13" max="13" width="2.7109375" style="89" customWidth="1"/>
    <col min="14" max="15" width="24.7109375" style="89" customWidth="1"/>
    <col min="16" max="16" width="2.7109375" style="2" customWidth="1"/>
    <col min="17" max="17" width="12.7109375" style="2" hidden="1" customWidth="1" outlineLevel="1"/>
    <col min="18" max="18" width="2.7109375" style="2" customWidth="1" collapsed="1"/>
    <col min="19" max="19" width="2.7109375" style="2" customWidth="1"/>
    <col min="20" max="20" width="50.7109375" style="2" customWidth="1"/>
    <col min="21" max="29" width="12.7109375" style="2" customWidth="1"/>
    <col min="30" max="31" width="24.7109375" style="89" hidden="1" customWidth="1"/>
    <col min="32" max="68" width="12.7109375" style="2" customWidth="1"/>
    <col min="69" max="16384" width="12.7109375" style="89"/>
  </cols>
  <sheetData>
    <row r="1" spans="1:68" s="88" customFormat="1" x14ac:dyDescent="0.25">
      <c r="A1" s="86"/>
      <c r="B1" s="86"/>
      <c r="C1" s="87"/>
      <c r="D1" s="87"/>
      <c r="E1" s="87"/>
      <c r="F1" s="87"/>
      <c r="G1" s="87"/>
      <c r="H1" s="87"/>
      <c r="I1" s="87"/>
      <c r="J1" s="87"/>
      <c r="K1" s="87"/>
      <c r="L1" s="87"/>
      <c r="M1" s="87"/>
      <c r="N1" s="87"/>
      <c r="O1" s="87"/>
      <c r="P1" s="118"/>
      <c r="Q1" s="118"/>
      <c r="R1" s="118"/>
      <c r="S1" s="118"/>
      <c r="T1" s="118"/>
      <c r="U1" s="118"/>
      <c r="V1" s="118"/>
      <c r="W1" s="118"/>
      <c r="X1" s="118"/>
      <c r="Y1" s="118"/>
      <c r="Z1" s="118"/>
      <c r="AA1" s="118"/>
      <c r="AB1" s="118"/>
      <c r="AC1" s="118"/>
      <c r="AD1" s="87"/>
      <c r="AE1" s="87"/>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c r="BF1" s="118"/>
      <c r="BG1" s="118"/>
      <c r="BH1" s="118"/>
      <c r="BI1" s="118"/>
      <c r="BJ1" s="118"/>
      <c r="BK1" s="118"/>
      <c r="BL1" s="118"/>
      <c r="BM1" s="118"/>
      <c r="BN1" s="118"/>
      <c r="BO1" s="118"/>
      <c r="BP1" s="118"/>
    </row>
    <row r="2" spans="1:68" s="88" customFormat="1" ht="24.75" customHeight="1" x14ac:dyDescent="0.25">
      <c r="A2" s="86"/>
      <c r="B2" s="78" t="s">
        <v>1043</v>
      </c>
      <c r="C2" s="87"/>
      <c r="D2" s="87"/>
      <c r="E2" s="49"/>
      <c r="F2" s="49"/>
      <c r="G2" s="49"/>
      <c r="H2" s="49"/>
      <c r="I2" s="49"/>
      <c r="J2" s="87"/>
      <c r="K2" s="87"/>
      <c r="L2" s="87"/>
      <c r="M2" s="87"/>
      <c r="N2" s="87"/>
      <c r="O2" s="87"/>
      <c r="P2" s="118"/>
      <c r="Q2" s="118"/>
      <c r="R2" s="118"/>
      <c r="S2" s="118"/>
      <c r="T2" s="118"/>
      <c r="U2" s="118"/>
      <c r="V2" s="118"/>
      <c r="W2" s="118"/>
      <c r="X2" s="118"/>
      <c r="Y2" s="118"/>
      <c r="Z2" s="118"/>
      <c r="AA2" s="118"/>
      <c r="AB2" s="118"/>
      <c r="AC2" s="118"/>
      <c r="AD2" s="87"/>
      <c r="AE2" s="87"/>
      <c r="AF2" s="118"/>
      <c r="AG2" s="118"/>
      <c r="AH2" s="118"/>
      <c r="AI2" s="118"/>
      <c r="AJ2" s="118"/>
      <c r="AK2" s="118"/>
      <c r="AL2" s="118"/>
      <c r="AM2" s="118"/>
      <c r="AN2" s="118"/>
      <c r="AO2" s="118"/>
      <c r="AP2" s="118"/>
      <c r="AQ2" s="118"/>
      <c r="AR2" s="118"/>
      <c r="AS2" s="118"/>
      <c r="AT2" s="118"/>
      <c r="AU2" s="118"/>
      <c r="AV2" s="118"/>
      <c r="AW2" s="118"/>
      <c r="AX2" s="118"/>
      <c r="AY2" s="118"/>
      <c r="AZ2" s="118"/>
      <c r="BA2" s="118"/>
      <c r="BB2" s="118"/>
      <c r="BC2" s="118"/>
      <c r="BD2" s="118"/>
      <c r="BE2" s="118"/>
      <c r="BF2" s="118"/>
      <c r="BG2" s="118"/>
      <c r="BH2" s="118"/>
      <c r="BI2" s="118"/>
      <c r="BJ2" s="118"/>
      <c r="BK2" s="118"/>
      <c r="BL2" s="118"/>
      <c r="BM2" s="118"/>
      <c r="BN2" s="118"/>
      <c r="BO2" s="118"/>
      <c r="BP2" s="118"/>
    </row>
    <row r="3" spans="1:68" s="88" customFormat="1" ht="15" customHeight="1" x14ac:dyDescent="0.25">
      <c r="A3" s="86"/>
      <c r="B3" s="86"/>
      <c r="C3" s="87"/>
      <c r="D3" s="87"/>
      <c r="E3" s="87"/>
      <c r="F3" s="87"/>
      <c r="G3" s="87"/>
      <c r="H3" s="87"/>
      <c r="I3" s="87"/>
      <c r="J3" s="87"/>
      <c r="K3" s="87"/>
      <c r="L3" s="87"/>
      <c r="M3" s="87"/>
      <c r="N3" s="87"/>
      <c r="O3" s="87"/>
      <c r="P3" s="118"/>
      <c r="Q3" s="118"/>
      <c r="R3" s="118"/>
      <c r="S3" s="118"/>
      <c r="T3" s="118"/>
      <c r="U3" s="118"/>
      <c r="V3" s="118"/>
      <c r="W3" s="118"/>
      <c r="X3" s="118"/>
      <c r="Y3" s="118"/>
      <c r="Z3" s="118"/>
      <c r="AA3" s="118"/>
      <c r="AB3" s="118"/>
      <c r="AC3" s="118"/>
      <c r="AD3" s="87"/>
      <c r="AE3" s="87"/>
      <c r="AF3" s="118"/>
      <c r="AG3" s="118"/>
      <c r="AH3" s="118"/>
      <c r="AI3" s="118"/>
      <c r="AJ3" s="118"/>
      <c r="AK3" s="118"/>
      <c r="AL3" s="118"/>
      <c r="AM3" s="118"/>
      <c r="AN3" s="118"/>
      <c r="AO3" s="118"/>
      <c r="AP3" s="118"/>
      <c r="AQ3" s="118"/>
      <c r="AR3" s="118"/>
      <c r="AS3" s="118"/>
      <c r="AT3" s="118"/>
      <c r="AU3" s="118"/>
      <c r="AV3" s="118"/>
      <c r="AW3" s="118"/>
      <c r="AX3" s="118"/>
      <c r="AY3" s="118"/>
      <c r="AZ3" s="118"/>
      <c r="BA3" s="118"/>
      <c r="BB3" s="118"/>
      <c r="BC3" s="118"/>
      <c r="BD3" s="118"/>
      <c r="BE3" s="118"/>
      <c r="BF3" s="118"/>
      <c r="BG3" s="118"/>
      <c r="BH3" s="118"/>
      <c r="BI3" s="118"/>
      <c r="BJ3" s="118"/>
      <c r="BK3" s="118"/>
      <c r="BL3" s="118"/>
      <c r="BM3" s="118"/>
      <c r="BN3" s="118"/>
      <c r="BO3" s="118"/>
      <c r="BP3" s="118"/>
    </row>
    <row r="4" spans="1:68" ht="20.25" customHeight="1" x14ac:dyDescent="0.2">
      <c r="H4" s="90"/>
    </row>
    <row r="5" spans="1:68" s="91" customFormat="1" ht="91.5" customHeight="1" x14ac:dyDescent="0.25">
      <c r="B5" s="3087" t="s">
        <v>1162</v>
      </c>
      <c r="C5" s="3087"/>
      <c r="D5" s="3087"/>
      <c r="E5" s="3087"/>
      <c r="F5" s="3087"/>
      <c r="G5" s="3087"/>
      <c r="H5" s="3087"/>
      <c r="I5" s="3087"/>
      <c r="J5" s="555"/>
      <c r="K5" s="555"/>
      <c r="L5" s="555"/>
      <c r="M5" s="555"/>
      <c r="N5" s="555"/>
      <c r="O5" s="555"/>
      <c r="P5" s="94"/>
      <c r="Q5" s="94"/>
      <c r="R5" s="94"/>
      <c r="S5" s="94"/>
      <c r="T5" s="2284" t="s">
        <v>2090</v>
      </c>
      <c r="U5" s="94"/>
      <c r="V5" s="94"/>
      <c r="W5" s="94"/>
      <c r="X5" s="94"/>
      <c r="Y5" s="94"/>
      <c r="Z5" s="94"/>
      <c r="AA5" s="94"/>
      <c r="AB5" s="94"/>
      <c r="AC5" s="94"/>
      <c r="AD5" s="555"/>
      <c r="AE5" s="555"/>
      <c r="AF5" s="94"/>
      <c r="AG5" s="94"/>
      <c r="AH5" s="94"/>
      <c r="AI5" s="94"/>
      <c r="AJ5" s="94"/>
      <c r="AK5" s="94"/>
      <c r="AL5" s="94"/>
      <c r="AM5" s="94"/>
      <c r="AN5" s="94"/>
      <c r="AO5" s="94"/>
      <c r="AP5" s="94"/>
      <c r="AQ5" s="94"/>
      <c r="AR5" s="94"/>
      <c r="AS5" s="94"/>
      <c r="AT5" s="94"/>
      <c r="AU5" s="94"/>
      <c r="AV5" s="94"/>
      <c r="AW5" s="94"/>
      <c r="AX5" s="94"/>
      <c r="AY5" s="94"/>
      <c r="AZ5" s="94"/>
      <c r="BA5" s="94"/>
      <c r="BB5" s="94"/>
      <c r="BC5" s="94"/>
      <c r="BD5" s="94"/>
      <c r="BE5" s="94"/>
      <c r="BF5" s="94"/>
      <c r="BG5" s="94"/>
      <c r="BH5" s="94"/>
      <c r="BI5" s="94"/>
      <c r="BJ5" s="94"/>
      <c r="BK5" s="94"/>
      <c r="BL5" s="94"/>
      <c r="BM5" s="94"/>
      <c r="BN5" s="94"/>
      <c r="BO5" s="94"/>
      <c r="BP5" s="94"/>
    </row>
    <row r="6" spans="1:68" s="25" customFormat="1" ht="21" customHeight="1" x14ac:dyDescent="0.25">
      <c r="C6" s="63"/>
      <c r="D6" s="63"/>
      <c r="H6" s="63"/>
      <c r="K6" s="63"/>
      <c r="L6" s="63"/>
      <c r="P6" s="118"/>
      <c r="Q6" s="118"/>
      <c r="R6" s="118"/>
      <c r="S6" s="118"/>
      <c r="T6" s="118"/>
      <c r="U6" s="118"/>
      <c r="V6" s="118"/>
      <c r="W6" s="118"/>
      <c r="X6" s="118"/>
      <c r="Y6" s="118"/>
      <c r="Z6" s="118"/>
      <c r="AA6" s="118"/>
      <c r="AB6" s="118"/>
      <c r="AC6" s="118"/>
      <c r="AD6" s="63"/>
      <c r="AF6" s="118"/>
      <c r="AG6" s="118"/>
      <c r="AH6" s="118"/>
      <c r="AI6" s="118"/>
      <c r="AJ6" s="118"/>
      <c r="AK6" s="118"/>
      <c r="AL6" s="118"/>
      <c r="AM6" s="118"/>
      <c r="AN6" s="118"/>
      <c r="AO6" s="118"/>
      <c r="AP6" s="118"/>
      <c r="AQ6" s="118"/>
      <c r="AR6" s="118"/>
      <c r="AS6" s="118"/>
      <c r="AT6" s="118"/>
      <c r="AU6" s="118"/>
      <c r="AV6" s="118"/>
      <c r="AW6" s="118"/>
      <c r="AX6" s="118"/>
      <c r="AY6" s="118"/>
      <c r="AZ6" s="118"/>
      <c r="BA6" s="118"/>
      <c r="BB6" s="118"/>
      <c r="BC6" s="118"/>
      <c r="BD6" s="118"/>
      <c r="BE6" s="118"/>
      <c r="BF6" s="118"/>
      <c r="BG6" s="118"/>
      <c r="BH6" s="118"/>
      <c r="BI6" s="118"/>
      <c r="BJ6" s="118"/>
      <c r="BK6" s="118"/>
      <c r="BL6" s="118"/>
      <c r="BM6" s="118"/>
      <c r="BN6" s="118"/>
      <c r="BO6" s="118"/>
      <c r="BP6" s="118"/>
    </row>
    <row r="7" spans="1:68" s="25" customFormat="1" ht="26.25" customHeight="1" x14ac:dyDescent="0.25">
      <c r="B7" s="28" t="s">
        <v>349</v>
      </c>
      <c r="H7" s="33"/>
      <c r="K7" s="33"/>
      <c r="L7" s="33"/>
      <c r="N7" s="33"/>
      <c r="O7" s="33"/>
      <c r="P7" s="118"/>
      <c r="Q7" s="118"/>
      <c r="R7" s="118"/>
      <c r="S7" s="118"/>
      <c r="T7" s="118"/>
      <c r="U7" s="118"/>
      <c r="V7" s="118"/>
      <c r="W7" s="118"/>
      <c r="X7" s="118"/>
      <c r="Y7" s="118"/>
      <c r="Z7" s="118"/>
      <c r="AA7" s="118"/>
      <c r="AB7" s="118"/>
      <c r="AC7" s="118"/>
      <c r="AD7" s="33"/>
      <c r="AE7" s="33"/>
      <c r="AF7" s="118"/>
      <c r="AG7" s="118"/>
      <c r="AH7" s="118"/>
      <c r="AI7" s="118"/>
      <c r="AJ7" s="118"/>
      <c r="AK7" s="118"/>
      <c r="AL7" s="118"/>
      <c r="AM7" s="118"/>
      <c r="AN7" s="118"/>
      <c r="AO7" s="118"/>
      <c r="AP7" s="118"/>
      <c r="AQ7" s="118"/>
      <c r="AR7" s="118"/>
      <c r="AS7" s="118"/>
      <c r="AT7" s="118"/>
      <c r="AU7" s="118"/>
      <c r="AV7" s="118"/>
      <c r="AW7" s="118"/>
      <c r="AX7" s="118"/>
      <c r="AY7" s="118"/>
      <c r="AZ7" s="118"/>
      <c r="BA7" s="118"/>
      <c r="BB7" s="118"/>
      <c r="BC7" s="118"/>
      <c r="BD7" s="118"/>
      <c r="BE7" s="118"/>
      <c r="BF7" s="118"/>
      <c r="BG7" s="118"/>
      <c r="BH7" s="118"/>
      <c r="BI7" s="118"/>
      <c r="BJ7" s="118"/>
      <c r="BK7" s="118"/>
      <c r="BL7" s="118"/>
      <c r="BM7" s="118"/>
      <c r="BN7" s="118"/>
      <c r="BO7" s="118"/>
      <c r="BP7" s="118"/>
    </row>
    <row r="8" spans="1:68" s="91" customFormat="1" ht="38.25" customHeight="1" x14ac:dyDescent="0.25">
      <c r="A8" s="92"/>
      <c r="B8" s="3072" t="s">
        <v>0</v>
      </c>
      <c r="C8" s="3073"/>
      <c r="D8" s="3090" t="s">
        <v>1888</v>
      </c>
      <c r="E8" s="810"/>
      <c r="F8" s="3078" t="s">
        <v>173</v>
      </c>
      <c r="G8" s="810"/>
      <c r="H8" s="3088" t="s">
        <v>147</v>
      </c>
      <c r="I8" s="3089"/>
      <c r="J8" s="810"/>
      <c r="K8" s="248" t="s">
        <v>347</v>
      </c>
      <c r="L8" s="248" t="s">
        <v>347</v>
      </c>
      <c r="M8" s="810"/>
      <c r="N8" s="291" t="s">
        <v>348</v>
      </c>
      <c r="O8" s="291" t="s">
        <v>348</v>
      </c>
      <c r="P8" s="94"/>
      <c r="Q8" s="94"/>
      <c r="R8" s="94"/>
      <c r="S8" s="94"/>
      <c r="T8" s="94"/>
      <c r="U8" s="94"/>
      <c r="V8" s="94"/>
      <c r="W8" s="94"/>
      <c r="X8" s="94"/>
      <c r="Y8" s="94"/>
      <c r="Z8" s="94"/>
      <c r="AA8" s="94"/>
      <c r="AB8" s="94"/>
      <c r="AC8" s="94"/>
      <c r="AD8" s="248" t="s">
        <v>347</v>
      </c>
      <c r="AE8" s="291" t="s">
        <v>348</v>
      </c>
      <c r="AF8" s="94"/>
      <c r="AG8" s="94"/>
      <c r="AH8" s="94"/>
      <c r="AI8" s="94"/>
      <c r="AJ8" s="94"/>
      <c r="AK8" s="94"/>
      <c r="AL8" s="94"/>
      <c r="AM8" s="94"/>
      <c r="AN8" s="94"/>
      <c r="AO8" s="94"/>
      <c r="AP8" s="94"/>
      <c r="AQ8" s="94"/>
      <c r="AR8" s="94"/>
      <c r="AS8" s="94"/>
      <c r="AT8" s="94"/>
      <c r="AU8" s="94"/>
      <c r="AV8" s="94"/>
      <c r="AW8" s="94"/>
      <c r="AX8" s="94"/>
      <c r="AY8" s="94"/>
      <c r="AZ8" s="94"/>
      <c r="BA8" s="94"/>
      <c r="BB8" s="94"/>
      <c r="BC8" s="94"/>
      <c r="BD8" s="94"/>
      <c r="BE8" s="94"/>
      <c r="BF8" s="94"/>
      <c r="BG8" s="94"/>
      <c r="BH8" s="94"/>
      <c r="BI8" s="94"/>
      <c r="BJ8" s="94"/>
      <c r="BK8" s="94"/>
      <c r="BL8" s="94"/>
      <c r="BM8" s="94"/>
      <c r="BN8" s="94"/>
      <c r="BO8" s="94"/>
      <c r="BP8" s="94"/>
    </row>
    <row r="9" spans="1:68" s="91" customFormat="1" ht="15" customHeight="1" x14ac:dyDescent="0.25">
      <c r="A9" s="92"/>
      <c r="B9" s="3074"/>
      <c r="C9" s="3075"/>
      <c r="D9" s="3091"/>
      <c r="E9" s="1591"/>
      <c r="F9" s="3079"/>
      <c r="G9" s="1591"/>
      <c r="H9" s="3081" t="s">
        <v>347</v>
      </c>
      <c r="I9" s="3084" t="s">
        <v>348</v>
      </c>
      <c r="J9" s="1591"/>
      <c r="K9" s="1033" t="s">
        <v>1357</v>
      </c>
      <c r="L9" s="1033" t="s">
        <v>1357</v>
      </c>
      <c r="M9" s="1034"/>
      <c r="N9" s="1035" t="s">
        <v>1357</v>
      </c>
      <c r="O9" s="2257" t="s">
        <v>1357</v>
      </c>
      <c r="P9" s="94"/>
      <c r="Q9" s="94"/>
      <c r="R9" s="94"/>
      <c r="S9" s="94"/>
      <c r="T9" s="94"/>
      <c r="U9" s="94"/>
      <c r="V9" s="94"/>
      <c r="W9" s="94"/>
      <c r="X9" s="94"/>
      <c r="Y9" s="94"/>
      <c r="Z9" s="94"/>
      <c r="AA9" s="94"/>
      <c r="AB9" s="94"/>
      <c r="AC9" s="94"/>
      <c r="AD9" s="1033" t="s">
        <v>1357</v>
      </c>
      <c r="AE9" s="2257" t="s">
        <v>1357</v>
      </c>
      <c r="AF9" s="94"/>
      <c r="AG9" s="94"/>
      <c r="AH9" s="94"/>
      <c r="AI9" s="94"/>
      <c r="AJ9" s="94"/>
      <c r="AK9" s="94"/>
      <c r="AL9" s="94"/>
      <c r="AM9" s="94"/>
      <c r="AN9" s="94"/>
      <c r="AO9" s="94"/>
      <c r="AP9" s="94"/>
      <c r="AQ9" s="94"/>
      <c r="AR9" s="94"/>
      <c r="AS9" s="94"/>
      <c r="AT9" s="94"/>
      <c r="AU9" s="94"/>
      <c r="AV9" s="94"/>
      <c r="AW9" s="94"/>
      <c r="AX9" s="94"/>
      <c r="AY9" s="94"/>
      <c r="AZ9" s="94"/>
      <c r="BA9" s="94"/>
      <c r="BB9" s="94"/>
      <c r="BC9" s="94"/>
      <c r="BD9" s="94"/>
      <c r="BE9" s="94"/>
      <c r="BF9" s="94"/>
      <c r="BG9" s="94"/>
      <c r="BH9" s="94"/>
      <c r="BI9" s="94"/>
      <c r="BJ9" s="94"/>
      <c r="BK9" s="94"/>
      <c r="BL9" s="94"/>
      <c r="BM9" s="94"/>
      <c r="BN9" s="94"/>
      <c r="BO9" s="94"/>
      <c r="BP9" s="94"/>
    </row>
    <row r="10" spans="1:68" s="91" customFormat="1" ht="15" customHeight="1" x14ac:dyDescent="0.25">
      <c r="A10" s="92"/>
      <c r="B10" s="3074"/>
      <c r="C10" s="3075"/>
      <c r="D10" s="3091"/>
      <c r="E10" s="1591"/>
      <c r="F10" s="3079"/>
      <c r="G10" s="1591"/>
      <c r="H10" s="3082"/>
      <c r="I10" s="3085"/>
      <c r="J10" s="1034"/>
      <c r="K10" s="1511" t="s">
        <v>2242</v>
      </c>
      <c r="L10" s="1513" t="s">
        <v>2242</v>
      </c>
      <c r="M10" s="1034"/>
      <c r="N10" s="1512" t="s">
        <v>2242</v>
      </c>
      <c r="O10" s="2258" t="s">
        <v>2242</v>
      </c>
      <c r="P10" s="94"/>
      <c r="Q10" s="94"/>
      <c r="R10" s="94"/>
      <c r="S10" s="94"/>
      <c r="T10" s="2287"/>
      <c r="U10" s="94"/>
      <c r="V10" s="94"/>
      <c r="W10" s="94"/>
      <c r="X10" s="94"/>
      <c r="Y10" s="94"/>
      <c r="Z10" s="94"/>
      <c r="AA10" s="94"/>
      <c r="AB10" s="94"/>
      <c r="AC10" s="94"/>
      <c r="AD10" s="1513"/>
      <c r="AE10" s="2258"/>
      <c r="AF10" s="94"/>
      <c r="AG10" s="94"/>
      <c r="AH10" s="94"/>
      <c r="AI10" s="94"/>
      <c r="AJ10" s="94"/>
      <c r="AK10" s="94"/>
      <c r="AL10" s="94"/>
      <c r="AM10" s="94"/>
      <c r="AN10" s="94"/>
      <c r="AO10" s="94"/>
      <c r="AP10" s="94"/>
      <c r="AQ10" s="94"/>
      <c r="AR10" s="94"/>
      <c r="AS10" s="94"/>
      <c r="AT10" s="94"/>
      <c r="AU10" s="94"/>
      <c r="AV10" s="94"/>
      <c r="AW10" s="94"/>
      <c r="AX10" s="94"/>
      <c r="AY10" s="94"/>
      <c r="AZ10" s="94"/>
      <c r="BA10" s="94"/>
      <c r="BB10" s="94"/>
      <c r="BC10" s="94"/>
      <c r="BD10" s="94"/>
      <c r="BE10" s="94"/>
      <c r="BF10" s="94"/>
      <c r="BG10" s="94"/>
      <c r="BH10" s="94"/>
      <c r="BI10" s="94"/>
      <c r="BJ10" s="94"/>
      <c r="BK10" s="94"/>
      <c r="BL10" s="94"/>
      <c r="BM10" s="94"/>
      <c r="BN10" s="94"/>
      <c r="BO10" s="94"/>
      <c r="BP10" s="94"/>
    </row>
    <row r="11" spans="1:68" s="91" customFormat="1" ht="15" customHeight="1" x14ac:dyDescent="0.25">
      <c r="B11" s="3074"/>
      <c r="C11" s="3075"/>
      <c r="D11" s="3091"/>
      <c r="E11" s="811"/>
      <c r="F11" s="3079"/>
      <c r="G11" s="811"/>
      <c r="H11" s="3082"/>
      <c r="I11" s="3085"/>
      <c r="J11" s="811"/>
      <c r="K11" s="786" t="s">
        <v>431</v>
      </c>
      <c r="L11" s="287" t="s">
        <v>431</v>
      </c>
      <c r="M11" s="811"/>
      <c r="N11" s="287" t="s">
        <v>431</v>
      </c>
      <c r="O11" s="287" t="s">
        <v>431</v>
      </c>
      <c r="P11" s="120"/>
      <c r="Q11" s="119"/>
      <c r="R11" s="119"/>
      <c r="S11" s="119"/>
      <c r="T11" s="2286"/>
      <c r="U11" s="119"/>
      <c r="V11" s="119"/>
      <c r="W11" s="119"/>
      <c r="X11" s="119"/>
      <c r="Y11" s="119"/>
      <c r="Z11" s="119"/>
      <c r="AA11" s="119"/>
      <c r="AB11" s="119"/>
      <c r="AC11" s="119"/>
      <c r="AD11" s="287" t="s">
        <v>431</v>
      </c>
      <c r="AE11" s="287" t="s">
        <v>431</v>
      </c>
      <c r="AF11" s="120"/>
      <c r="AG11" s="119"/>
      <c r="AH11" s="119"/>
      <c r="AI11" s="119"/>
      <c r="AJ11" s="119"/>
      <c r="AK11" s="119"/>
      <c r="AL11" s="119"/>
      <c r="AM11" s="119"/>
      <c r="AN11" s="119"/>
      <c r="AO11" s="119"/>
      <c r="AP11" s="94"/>
      <c r="AQ11" s="94"/>
      <c r="AR11" s="94"/>
      <c r="AS11" s="94"/>
      <c r="AT11" s="94"/>
      <c r="AU11" s="94"/>
      <c r="AV11" s="94"/>
      <c r="AW11" s="94"/>
      <c r="AX11" s="94"/>
      <c r="AY11" s="94"/>
      <c r="AZ11" s="94"/>
      <c r="BA11" s="94"/>
      <c r="BB11" s="94"/>
      <c r="BC11" s="94"/>
      <c r="BD11" s="94"/>
      <c r="BE11" s="94"/>
      <c r="BF11" s="94"/>
      <c r="BG11" s="94"/>
      <c r="BH11" s="94"/>
      <c r="BI11" s="94"/>
      <c r="BJ11" s="94"/>
      <c r="BK11" s="94"/>
      <c r="BL11" s="94"/>
      <c r="BM11" s="94"/>
      <c r="BN11" s="94"/>
      <c r="BO11" s="94"/>
      <c r="BP11" s="94"/>
    </row>
    <row r="12" spans="1:68" s="91" customFormat="1" ht="15" customHeight="1" x14ac:dyDescent="0.25">
      <c r="B12" s="3074"/>
      <c r="C12" s="3075"/>
      <c r="D12" s="3091"/>
      <c r="E12" s="811"/>
      <c r="F12" s="3079"/>
      <c r="G12" s="811"/>
      <c r="H12" s="3082"/>
      <c r="I12" s="3085"/>
      <c r="J12" s="811"/>
      <c r="K12" s="787" t="s">
        <v>1037</v>
      </c>
      <c r="L12" s="289" t="s">
        <v>1037</v>
      </c>
      <c r="M12" s="811"/>
      <c r="N12" s="289" t="s">
        <v>2264</v>
      </c>
      <c r="O12" s="289" t="s">
        <v>2265</v>
      </c>
      <c r="P12" s="120"/>
      <c r="Q12" s="119"/>
      <c r="R12" s="119"/>
      <c r="S12" s="2285"/>
      <c r="T12" s="2287"/>
      <c r="U12" s="120"/>
      <c r="V12" s="119"/>
      <c r="W12" s="119"/>
      <c r="X12" s="119"/>
      <c r="Y12" s="119"/>
      <c r="Z12" s="119"/>
      <c r="AA12" s="119"/>
      <c r="AB12" s="119"/>
      <c r="AC12" s="119"/>
      <c r="AD12" s="289"/>
      <c r="AE12" s="289"/>
      <c r="AF12" s="120"/>
      <c r="AG12" s="119"/>
      <c r="AH12" s="119"/>
      <c r="AI12" s="119"/>
      <c r="AJ12" s="119"/>
      <c r="AK12" s="119"/>
      <c r="AL12" s="119"/>
      <c r="AM12" s="119"/>
      <c r="AN12" s="119"/>
      <c r="AO12" s="119"/>
      <c r="AP12" s="94"/>
      <c r="AQ12" s="94"/>
      <c r="AR12" s="94"/>
      <c r="AS12" s="94"/>
      <c r="AT12" s="94"/>
      <c r="AU12" s="94"/>
      <c r="AV12" s="94"/>
      <c r="AW12" s="94"/>
      <c r="AX12" s="94"/>
      <c r="AY12" s="94"/>
      <c r="AZ12" s="94"/>
      <c r="BA12" s="94"/>
      <c r="BB12" s="94"/>
      <c r="BC12" s="94"/>
      <c r="BD12" s="94"/>
      <c r="BE12" s="94"/>
      <c r="BF12" s="94"/>
      <c r="BG12" s="94"/>
      <c r="BH12" s="94"/>
      <c r="BI12" s="94"/>
      <c r="BJ12" s="94"/>
      <c r="BK12" s="94"/>
      <c r="BL12" s="94"/>
      <c r="BM12" s="94"/>
      <c r="BN12" s="94"/>
      <c r="BO12" s="94"/>
      <c r="BP12" s="94"/>
    </row>
    <row r="13" spans="1:68" s="91" customFormat="1" ht="15" customHeight="1" x14ac:dyDescent="0.25">
      <c r="B13" s="3074"/>
      <c r="C13" s="3075"/>
      <c r="D13" s="3091"/>
      <c r="E13" s="811"/>
      <c r="F13" s="3079"/>
      <c r="G13" s="811"/>
      <c r="H13" s="3082"/>
      <c r="I13" s="3085"/>
      <c r="J13" s="811"/>
      <c r="K13" s="786" t="s">
        <v>430</v>
      </c>
      <c r="L13" s="287" t="s">
        <v>430</v>
      </c>
      <c r="M13" s="811"/>
      <c r="N13" s="287" t="s">
        <v>430</v>
      </c>
      <c r="O13" s="287" t="s">
        <v>430</v>
      </c>
      <c r="P13" s="120"/>
      <c r="Q13" s="119"/>
      <c r="R13" s="119"/>
      <c r="S13" s="119"/>
      <c r="T13" s="2286"/>
      <c r="U13" s="119"/>
      <c r="V13" s="119"/>
      <c r="W13" s="119"/>
      <c r="X13" s="119"/>
      <c r="Y13" s="119"/>
      <c r="Z13" s="119"/>
      <c r="AA13" s="119"/>
      <c r="AB13" s="119"/>
      <c r="AC13" s="119"/>
      <c r="AD13" s="287" t="s">
        <v>430</v>
      </c>
      <c r="AE13" s="287" t="s">
        <v>430</v>
      </c>
      <c r="AF13" s="120"/>
      <c r="AG13" s="119"/>
      <c r="AH13" s="119"/>
      <c r="AI13" s="119"/>
      <c r="AJ13" s="119"/>
      <c r="AK13" s="119"/>
      <c r="AL13" s="119"/>
      <c r="AM13" s="119"/>
      <c r="AN13" s="119"/>
      <c r="AO13" s="119"/>
      <c r="AP13" s="94"/>
      <c r="AQ13" s="94"/>
      <c r="AR13" s="94"/>
      <c r="AS13" s="94"/>
      <c r="AT13" s="94"/>
      <c r="AU13" s="94"/>
      <c r="AV13" s="94"/>
      <c r="AW13" s="94"/>
      <c r="AX13" s="94"/>
      <c r="AY13" s="94"/>
      <c r="AZ13" s="94"/>
      <c r="BA13" s="94"/>
      <c r="BB13" s="94"/>
      <c r="BC13" s="94"/>
      <c r="BD13" s="94"/>
      <c r="BE13" s="94"/>
      <c r="BF13" s="94"/>
      <c r="BG13" s="94"/>
      <c r="BH13" s="94"/>
      <c r="BI13" s="94"/>
      <c r="BJ13" s="94"/>
      <c r="BK13" s="94"/>
      <c r="BL13" s="94"/>
      <c r="BM13" s="94"/>
      <c r="BN13" s="94"/>
      <c r="BO13" s="94"/>
      <c r="BP13" s="94"/>
    </row>
    <row r="14" spans="1:68" s="91" customFormat="1" ht="15" customHeight="1" x14ac:dyDescent="0.25">
      <c r="B14" s="3074"/>
      <c r="C14" s="3075"/>
      <c r="D14" s="3091"/>
      <c r="E14" s="812"/>
      <c r="F14" s="3079"/>
      <c r="G14" s="812"/>
      <c r="H14" s="3082"/>
      <c r="I14" s="3085"/>
      <c r="J14" s="812"/>
      <c r="K14" s="788" t="s">
        <v>2270</v>
      </c>
      <c r="L14" s="288" t="s">
        <v>2271</v>
      </c>
      <c r="M14" s="812"/>
      <c r="N14" s="288" t="s">
        <v>2270</v>
      </c>
      <c r="O14" s="288" t="s">
        <v>2271</v>
      </c>
      <c r="P14" s="120"/>
      <c r="Q14" s="119"/>
      <c r="R14" s="119"/>
      <c r="S14" s="2285"/>
      <c r="T14" s="2287"/>
      <c r="U14" s="120"/>
      <c r="V14" s="119"/>
      <c r="W14" s="119"/>
      <c r="X14" s="119"/>
      <c r="Y14" s="119"/>
      <c r="Z14" s="119"/>
      <c r="AA14" s="119"/>
      <c r="AB14" s="119"/>
      <c r="AC14" s="119"/>
      <c r="AD14" s="288"/>
      <c r="AE14" s="288"/>
      <c r="AF14" s="120"/>
      <c r="AG14" s="119"/>
      <c r="AH14" s="119"/>
      <c r="AI14" s="119"/>
      <c r="AJ14" s="119"/>
      <c r="AK14" s="119"/>
      <c r="AL14" s="119"/>
      <c r="AM14" s="119"/>
      <c r="AN14" s="119"/>
      <c r="AO14" s="119"/>
      <c r="AP14" s="94"/>
      <c r="AQ14" s="94"/>
      <c r="AR14" s="94"/>
      <c r="AS14" s="94"/>
      <c r="AT14" s="94"/>
      <c r="AU14" s="94"/>
      <c r="AV14" s="94"/>
      <c r="AW14" s="94"/>
      <c r="AX14" s="94"/>
      <c r="AY14" s="94"/>
      <c r="AZ14" s="94"/>
      <c r="BA14" s="94"/>
      <c r="BB14" s="94"/>
      <c r="BC14" s="94"/>
      <c r="BD14" s="94"/>
      <c r="BE14" s="94"/>
      <c r="BF14" s="94"/>
      <c r="BG14" s="94"/>
      <c r="BH14" s="94"/>
      <c r="BI14" s="94"/>
      <c r="BJ14" s="94"/>
      <c r="BK14" s="94"/>
      <c r="BL14" s="94"/>
      <c r="BM14" s="94"/>
      <c r="BN14" s="94"/>
      <c r="BO14" s="94"/>
      <c r="BP14" s="94"/>
    </row>
    <row r="15" spans="1:68" s="91" customFormat="1" ht="15" customHeight="1" x14ac:dyDescent="0.25">
      <c r="B15" s="3074"/>
      <c r="C15" s="3075"/>
      <c r="D15" s="3091"/>
      <c r="E15" s="812"/>
      <c r="F15" s="3079"/>
      <c r="G15" s="812"/>
      <c r="H15" s="3082"/>
      <c r="I15" s="3085"/>
      <c r="J15" s="812"/>
      <c r="K15" s="789" t="s">
        <v>429</v>
      </c>
      <c r="L15" s="290" t="s">
        <v>429</v>
      </c>
      <c r="M15" s="812"/>
      <c r="N15" s="290" t="s">
        <v>429</v>
      </c>
      <c r="O15" s="290" t="s">
        <v>429</v>
      </c>
      <c r="P15" s="120"/>
      <c r="Q15" s="119"/>
      <c r="R15" s="119"/>
      <c r="S15" s="119"/>
      <c r="T15" s="2286"/>
      <c r="U15" s="119"/>
      <c r="V15" s="119"/>
      <c r="W15" s="119"/>
      <c r="X15" s="119"/>
      <c r="Y15" s="119"/>
      <c r="Z15" s="119"/>
      <c r="AA15" s="119"/>
      <c r="AB15" s="119"/>
      <c r="AC15" s="119"/>
      <c r="AD15" s="290" t="s">
        <v>429</v>
      </c>
      <c r="AE15" s="290" t="s">
        <v>429</v>
      </c>
      <c r="AF15" s="120"/>
      <c r="AG15" s="119"/>
      <c r="AH15" s="119"/>
      <c r="AI15" s="119"/>
      <c r="AJ15" s="119"/>
      <c r="AK15" s="119"/>
      <c r="AL15" s="119"/>
      <c r="AM15" s="119"/>
      <c r="AN15" s="119"/>
      <c r="AO15" s="119"/>
      <c r="AP15" s="94"/>
      <c r="AQ15" s="94"/>
      <c r="AR15" s="94"/>
      <c r="AS15" s="94"/>
      <c r="AT15" s="94"/>
      <c r="AU15" s="94"/>
      <c r="AV15" s="94"/>
      <c r="AW15" s="94"/>
      <c r="AX15" s="94"/>
      <c r="AY15" s="94"/>
      <c r="AZ15" s="94"/>
      <c r="BA15" s="94"/>
      <c r="BB15" s="94"/>
      <c r="BC15" s="94"/>
      <c r="BD15" s="94"/>
      <c r="BE15" s="94"/>
      <c r="BF15" s="94"/>
      <c r="BG15" s="94"/>
      <c r="BH15" s="94"/>
      <c r="BI15" s="94"/>
      <c r="BJ15" s="94"/>
      <c r="BK15" s="94"/>
      <c r="BL15" s="94"/>
      <c r="BM15" s="94"/>
      <c r="BN15" s="94"/>
      <c r="BO15" s="94"/>
      <c r="BP15" s="94"/>
    </row>
    <row r="16" spans="1:68" s="91" customFormat="1" ht="15" customHeight="1" x14ac:dyDescent="0.25">
      <c r="B16" s="3076"/>
      <c r="C16" s="3077"/>
      <c r="D16" s="3092"/>
      <c r="E16" s="812"/>
      <c r="F16" s="3080"/>
      <c r="G16" s="812"/>
      <c r="H16" s="3083"/>
      <c r="I16" s="3086"/>
      <c r="J16" s="812"/>
      <c r="K16" s="788">
        <v>1</v>
      </c>
      <c r="L16" s="288">
        <v>8</v>
      </c>
      <c r="M16" s="812"/>
      <c r="N16" s="288">
        <v>1</v>
      </c>
      <c r="O16" s="288">
        <v>8</v>
      </c>
      <c r="P16" s="120"/>
      <c r="Q16" s="119"/>
      <c r="R16" s="119"/>
      <c r="S16" s="2285"/>
      <c r="T16" s="2287"/>
      <c r="U16" s="120"/>
      <c r="V16" s="119"/>
      <c r="W16" s="119"/>
      <c r="X16" s="119"/>
      <c r="Y16" s="119"/>
      <c r="Z16" s="119"/>
      <c r="AA16" s="119"/>
      <c r="AB16" s="119"/>
      <c r="AC16" s="119"/>
      <c r="AD16" s="288"/>
      <c r="AE16" s="288"/>
      <c r="AF16" s="120"/>
      <c r="AG16" s="119"/>
      <c r="AH16" s="119"/>
      <c r="AI16" s="119"/>
      <c r="AJ16" s="119"/>
      <c r="AK16" s="119"/>
      <c r="AL16" s="119"/>
      <c r="AM16" s="119"/>
      <c r="AN16" s="119"/>
      <c r="AO16" s="119"/>
      <c r="AP16" s="94"/>
      <c r="AQ16" s="94"/>
      <c r="AR16" s="94"/>
      <c r="AS16" s="94"/>
      <c r="AT16" s="94"/>
      <c r="AU16" s="94"/>
      <c r="AV16" s="94"/>
      <c r="AW16" s="94"/>
      <c r="AX16" s="94"/>
      <c r="AY16" s="94"/>
      <c r="AZ16" s="94"/>
      <c r="BA16" s="94"/>
      <c r="BB16" s="94"/>
      <c r="BC16" s="94"/>
      <c r="BD16" s="94"/>
      <c r="BE16" s="94"/>
      <c r="BF16" s="94"/>
      <c r="BG16" s="94"/>
      <c r="BH16" s="94"/>
      <c r="BI16" s="94"/>
      <c r="BJ16" s="94"/>
      <c r="BK16" s="94"/>
      <c r="BL16" s="94"/>
      <c r="BM16" s="94"/>
      <c r="BN16" s="94"/>
      <c r="BO16" s="94"/>
      <c r="BP16" s="94"/>
    </row>
    <row r="17" spans="1:68" s="91" customFormat="1" ht="67.5" x14ac:dyDescent="0.25">
      <c r="B17" s="3055" t="s">
        <v>402</v>
      </c>
      <c r="C17" s="3056"/>
      <c r="D17" s="2288" t="s">
        <v>1889</v>
      </c>
      <c r="E17" s="1592"/>
      <c r="F17" s="771" t="s">
        <v>248</v>
      </c>
      <c r="G17" s="813"/>
      <c r="H17" s="255">
        <f>SUMIF($H$8:$KI$8, "Baseline", $H17:$KI17)</f>
        <v>125</v>
      </c>
      <c r="I17" s="256">
        <f>SUMIF($H$8:$KI$8, "Proposed", $H17:$KI17)</f>
        <v>97</v>
      </c>
      <c r="J17" s="813"/>
      <c r="K17" s="790">
        <v>94.5</v>
      </c>
      <c r="L17" s="257">
        <f>4.7+2.3+3.4+2.3+3.7+4.3+2.3+2.4+5.1</f>
        <v>30.5</v>
      </c>
      <c r="M17" s="813"/>
      <c r="N17" s="292">
        <v>70.8</v>
      </c>
      <c r="O17" s="292">
        <f>4+2+3+2+3.2+3.7+2+2+4.3</f>
        <v>26.2</v>
      </c>
      <c r="P17" s="120"/>
      <c r="Q17" s="119"/>
      <c r="R17" s="119"/>
      <c r="S17" s="2285"/>
      <c r="T17" s="2287"/>
      <c r="U17" s="120"/>
      <c r="V17" s="119"/>
      <c r="W17" s="119"/>
      <c r="X17" s="119"/>
      <c r="Y17" s="119"/>
      <c r="Z17" s="119"/>
      <c r="AA17" s="119"/>
      <c r="AB17" s="119"/>
      <c r="AC17" s="119"/>
      <c r="AD17" s="257"/>
      <c r="AE17" s="292"/>
      <c r="AF17" s="120"/>
      <c r="AG17" s="119"/>
      <c r="AH17" s="119"/>
      <c r="AI17" s="119"/>
      <c r="AJ17" s="119"/>
      <c r="AK17" s="119"/>
      <c r="AL17" s="119"/>
      <c r="AM17" s="119"/>
      <c r="AN17" s="119"/>
      <c r="AO17" s="119"/>
      <c r="AP17" s="94"/>
      <c r="AQ17" s="94"/>
      <c r="AR17" s="94"/>
      <c r="AS17" s="94"/>
      <c r="AT17" s="94"/>
      <c r="AU17" s="94"/>
      <c r="AV17" s="94"/>
      <c r="AW17" s="94"/>
      <c r="AX17" s="94"/>
      <c r="AY17" s="94"/>
      <c r="AZ17" s="94"/>
      <c r="BA17" s="94"/>
      <c r="BB17" s="94"/>
      <c r="BC17" s="94"/>
      <c r="BD17" s="94"/>
      <c r="BE17" s="94"/>
      <c r="BF17" s="94"/>
      <c r="BG17" s="94"/>
      <c r="BH17" s="94"/>
      <c r="BI17" s="94"/>
      <c r="BJ17" s="94"/>
      <c r="BK17" s="94"/>
      <c r="BL17" s="94"/>
      <c r="BM17" s="94"/>
      <c r="BN17" s="94"/>
      <c r="BO17" s="94"/>
      <c r="BP17" s="94"/>
    </row>
    <row r="18" spans="1:68" s="91" customFormat="1" ht="112.5" x14ac:dyDescent="0.25">
      <c r="B18" s="3067" t="s">
        <v>345</v>
      </c>
      <c r="C18" s="82" t="s">
        <v>403</v>
      </c>
      <c r="D18" s="2288" t="s">
        <v>1890</v>
      </c>
      <c r="E18" s="1593"/>
      <c r="F18" s="771" t="str">
        <f>IF(SI_IP_Units="SI","kW","tons")</f>
        <v>tons</v>
      </c>
      <c r="G18" s="814"/>
      <c r="H18" s="258"/>
      <c r="I18" s="259"/>
      <c r="J18" s="814"/>
      <c r="K18" s="791"/>
      <c r="L18" s="260"/>
      <c r="M18" s="814"/>
      <c r="N18" s="293" t="s">
        <v>337</v>
      </c>
      <c r="O18" s="293" t="s">
        <v>337</v>
      </c>
      <c r="P18" s="120"/>
      <c r="Q18" s="119"/>
      <c r="R18" s="119"/>
      <c r="S18" s="2285"/>
      <c r="T18" s="2287"/>
      <c r="U18" s="120"/>
      <c r="V18" s="119"/>
      <c r="W18" s="119"/>
      <c r="X18" s="119"/>
      <c r="Y18" s="119"/>
      <c r="Z18" s="119"/>
      <c r="AA18" s="119"/>
      <c r="AB18" s="119"/>
      <c r="AC18" s="119"/>
      <c r="AD18" s="260"/>
      <c r="AE18" s="293" t="s">
        <v>337</v>
      </c>
      <c r="AF18" s="120"/>
      <c r="AG18" s="119"/>
      <c r="AH18" s="119"/>
      <c r="AI18" s="119"/>
      <c r="AJ18" s="119"/>
      <c r="AK18" s="119"/>
      <c r="AL18" s="119"/>
      <c r="AM18" s="119"/>
      <c r="AN18" s="119"/>
      <c r="AO18" s="119"/>
      <c r="AP18" s="94"/>
      <c r="AQ18" s="94"/>
      <c r="AR18" s="94"/>
      <c r="AS18" s="94"/>
      <c r="AT18" s="94"/>
      <c r="AU18" s="94"/>
      <c r="AV18" s="94"/>
      <c r="AW18" s="94"/>
      <c r="AX18" s="94"/>
      <c r="AY18" s="94"/>
      <c r="AZ18" s="94"/>
      <c r="BA18" s="94"/>
      <c r="BB18" s="94"/>
      <c r="BC18" s="94"/>
      <c r="BD18" s="94"/>
      <c r="BE18" s="94"/>
      <c r="BF18" s="94"/>
      <c r="BG18" s="94"/>
      <c r="BH18" s="94"/>
      <c r="BI18" s="94"/>
      <c r="BJ18" s="94"/>
      <c r="BK18" s="94"/>
      <c r="BL18" s="94"/>
      <c r="BM18" s="94"/>
      <c r="BN18" s="94"/>
      <c r="BO18" s="94"/>
      <c r="BP18" s="94"/>
    </row>
    <row r="19" spans="1:68" s="91" customFormat="1" ht="213.75" x14ac:dyDescent="0.25">
      <c r="B19" s="3068"/>
      <c r="C19" s="80" t="s">
        <v>404</v>
      </c>
      <c r="D19" s="2288" t="s">
        <v>2091</v>
      </c>
      <c r="E19" s="811"/>
      <c r="F19" s="772"/>
      <c r="G19" s="815"/>
      <c r="H19" s="262"/>
      <c r="I19" s="263"/>
      <c r="J19" s="815"/>
      <c r="K19" s="792"/>
      <c r="L19" s="2369"/>
      <c r="M19" s="815"/>
      <c r="N19" s="294"/>
      <c r="O19" s="294"/>
      <c r="P19" s="120"/>
      <c r="Q19" s="119"/>
      <c r="R19" s="119"/>
      <c r="S19" s="2285"/>
      <c r="T19" s="2287"/>
      <c r="U19" s="120"/>
      <c r="V19" s="119"/>
      <c r="W19" s="119"/>
      <c r="X19" s="119"/>
      <c r="Y19" s="119"/>
      <c r="Z19" s="119"/>
      <c r="AA19" s="119"/>
      <c r="AB19" s="119"/>
      <c r="AC19" s="119"/>
      <c r="AD19" s="1090"/>
      <c r="AE19" s="294"/>
      <c r="AF19" s="120"/>
      <c r="AG19" s="119"/>
      <c r="AH19" s="119"/>
      <c r="AI19" s="119"/>
      <c r="AJ19" s="119"/>
      <c r="AK19" s="119"/>
      <c r="AL19" s="119"/>
      <c r="AM19" s="119"/>
      <c r="AN19" s="119"/>
      <c r="AO19" s="119"/>
      <c r="AP19" s="94"/>
      <c r="AQ19" s="94"/>
      <c r="AR19" s="94"/>
      <c r="AS19" s="94"/>
      <c r="AT19" s="94"/>
      <c r="AU19" s="94"/>
      <c r="AV19" s="94"/>
      <c r="AW19" s="94"/>
      <c r="AX19" s="94"/>
      <c r="AY19" s="94"/>
      <c r="AZ19" s="94"/>
      <c r="BA19" s="94"/>
      <c r="BB19" s="94"/>
      <c r="BC19" s="94"/>
      <c r="BD19" s="94"/>
      <c r="BE19" s="94"/>
      <c r="BF19" s="94"/>
      <c r="BG19" s="94"/>
      <c r="BH19" s="94"/>
      <c r="BI19" s="94"/>
      <c r="BJ19" s="94"/>
      <c r="BK19" s="94"/>
      <c r="BL19" s="94"/>
      <c r="BM19" s="94"/>
      <c r="BN19" s="94"/>
      <c r="BO19" s="94"/>
      <c r="BP19" s="94"/>
    </row>
    <row r="20" spans="1:68" s="91" customFormat="1" ht="45" x14ac:dyDescent="0.25">
      <c r="B20" s="3069"/>
      <c r="C20" s="81" t="s">
        <v>405</v>
      </c>
      <c r="D20" s="2288" t="s">
        <v>1891</v>
      </c>
      <c r="E20" s="811"/>
      <c r="F20" s="773"/>
      <c r="G20" s="815"/>
      <c r="H20" s="264"/>
      <c r="I20" s="265"/>
      <c r="J20" s="815"/>
      <c r="K20" s="793"/>
      <c r="L20" s="266"/>
      <c r="M20" s="815"/>
      <c r="N20" s="295"/>
      <c r="O20" s="295"/>
      <c r="P20" s="120"/>
      <c r="Q20" s="119"/>
      <c r="R20" s="119"/>
      <c r="S20" s="2285"/>
      <c r="T20" s="2287"/>
      <c r="U20" s="120"/>
      <c r="V20" s="119"/>
      <c r="W20" s="119"/>
      <c r="X20" s="119"/>
      <c r="Y20" s="119"/>
      <c r="Z20" s="119"/>
      <c r="AA20" s="119"/>
      <c r="AB20" s="119"/>
      <c r="AC20" s="119"/>
      <c r="AD20" s="266"/>
      <c r="AE20" s="295"/>
      <c r="AF20" s="120"/>
      <c r="AG20" s="119"/>
      <c r="AH20" s="119"/>
      <c r="AI20" s="119"/>
      <c r="AJ20" s="119"/>
      <c r="AK20" s="119"/>
      <c r="AL20" s="119"/>
      <c r="AM20" s="119"/>
      <c r="AN20" s="119"/>
      <c r="AO20" s="119"/>
      <c r="AP20" s="94"/>
      <c r="AQ20" s="94"/>
      <c r="AR20" s="94"/>
      <c r="AS20" s="94"/>
      <c r="AT20" s="94"/>
      <c r="AU20" s="94"/>
      <c r="AV20" s="94"/>
      <c r="AW20" s="94"/>
      <c r="AX20" s="94"/>
      <c r="AY20" s="94"/>
      <c r="AZ20" s="94"/>
      <c r="BA20" s="94"/>
      <c r="BB20" s="94"/>
      <c r="BC20" s="94"/>
      <c r="BD20" s="94"/>
      <c r="BE20" s="94"/>
      <c r="BF20" s="94"/>
      <c r="BG20" s="94"/>
      <c r="BH20" s="94"/>
      <c r="BI20" s="94"/>
      <c r="BJ20" s="94"/>
      <c r="BK20" s="94"/>
      <c r="BL20" s="94"/>
      <c r="BM20" s="94"/>
      <c r="BN20" s="94"/>
      <c r="BO20" s="94"/>
      <c r="BP20" s="94"/>
    </row>
    <row r="21" spans="1:68" s="91" customFormat="1" ht="56.25" x14ac:dyDescent="0.25">
      <c r="B21" s="3055" t="s">
        <v>406</v>
      </c>
      <c r="C21" s="3056"/>
      <c r="D21" s="2288" t="s">
        <v>1892</v>
      </c>
      <c r="E21" s="1592"/>
      <c r="F21" s="771" t="str">
        <f>IF(SI_IP_Units="SI","kW","kBtu/h")</f>
        <v>kBtu/h</v>
      </c>
      <c r="G21" s="813"/>
      <c r="H21" s="255">
        <f>SUMIF($H$8:$KI$8, "Baseline", $H21:$KI21)</f>
        <v>702.8</v>
      </c>
      <c r="I21" s="256">
        <f>SUMIF($H$8:$KI$8, "Proposed", $H21:$KI21)</f>
        <v>429.3</v>
      </c>
      <c r="J21" s="813"/>
      <c r="K21" s="790">
        <v>702.8</v>
      </c>
      <c r="L21" s="257"/>
      <c r="M21" s="813"/>
      <c r="N21" s="292">
        <v>429.3</v>
      </c>
      <c r="O21" s="292"/>
      <c r="P21" s="120"/>
      <c r="Q21" s="119"/>
      <c r="R21" s="119"/>
      <c r="S21" s="2285"/>
      <c r="T21" s="2287"/>
      <c r="U21" s="120"/>
      <c r="V21" s="119"/>
      <c r="W21" s="119"/>
      <c r="X21" s="119"/>
      <c r="Y21" s="119"/>
      <c r="Z21" s="119"/>
      <c r="AA21" s="119"/>
      <c r="AB21" s="119"/>
      <c r="AC21" s="119"/>
      <c r="AD21" s="257"/>
      <c r="AE21" s="292"/>
      <c r="AF21" s="120"/>
      <c r="AG21" s="119"/>
      <c r="AH21" s="119"/>
      <c r="AI21" s="119"/>
      <c r="AJ21" s="119"/>
      <c r="AK21" s="119"/>
      <c r="AL21" s="119"/>
      <c r="AM21" s="119"/>
      <c r="AN21" s="119"/>
      <c r="AO21" s="119"/>
      <c r="AP21" s="94"/>
      <c r="AQ21" s="94"/>
      <c r="AR21" s="94"/>
      <c r="AS21" s="94"/>
      <c r="AT21" s="94"/>
      <c r="AU21" s="94"/>
      <c r="AV21" s="94"/>
      <c r="AW21" s="94"/>
      <c r="AX21" s="94"/>
      <c r="AY21" s="94"/>
      <c r="AZ21" s="94"/>
      <c r="BA21" s="94"/>
      <c r="BB21" s="94"/>
      <c r="BC21" s="94"/>
      <c r="BD21" s="94"/>
      <c r="BE21" s="94"/>
      <c r="BF21" s="94"/>
      <c r="BG21" s="94"/>
      <c r="BH21" s="94"/>
      <c r="BI21" s="94"/>
      <c r="BJ21" s="94"/>
      <c r="BK21" s="94"/>
      <c r="BL21" s="94"/>
      <c r="BM21" s="94"/>
      <c r="BN21" s="94"/>
      <c r="BO21" s="94"/>
      <c r="BP21" s="94"/>
    </row>
    <row r="22" spans="1:68" s="91" customFormat="1" ht="45" x14ac:dyDescent="0.25">
      <c r="B22" s="3067" t="s">
        <v>346</v>
      </c>
      <c r="C22" s="82" t="s">
        <v>407</v>
      </c>
      <c r="D22" s="2288" t="s">
        <v>1893</v>
      </c>
      <c r="E22" s="1593"/>
      <c r="F22" s="771" t="str">
        <f>IF(SI_IP_Units="SI","kW","kBtu/h")</f>
        <v>kBtu/h</v>
      </c>
      <c r="G22" s="814"/>
      <c r="H22" s="276"/>
      <c r="I22" s="286"/>
      <c r="J22" s="814"/>
      <c r="K22" s="791"/>
      <c r="L22" s="260"/>
      <c r="M22" s="814"/>
      <c r="N22" s="293" t="s">
        <v>337</v>
      </c>
      <c r="O22" s="293" t="s">
        <v>337</v>
      </c>
      <c r="P22" s="120"/>
      <c r="Q22" s="119"/>
      <c r="R22" s="119"/>
      <c r="S22" s="2285"/>
      <c r="T22" s="2287"/>
      <c r="U22" s="120"/>
      <c r="V22" s="119"/>
      <c r="W22" s="119"/>
      <c r="X22" s="119"/>
      <c r="Y22" s="119"/>
      <c r="Z22" s="119"/>
      <c r="AA22" s="119"/>
      <c r="AB22" s="119"/>
      <c r="AC22" s="119"/>
      <c r="AD22" s="260"/>
      <c r="AE22" s="293" t="s">
        <v>337</v>
      </c>
      <c r="AF22" s="120"/>
      <c r="AG22" s="119"/>
      <c r="AH22" s="119"/>
      <c r="AI22" s="119"/>
      <c r="AJ22" s="119"/>
      <c r="AK22" s="119"/>
      <c r="AL22" s="119"/>
      <c r="AM22" s="119"/>
      <c r="AN22" s="119"/>
      <c r="AO22" s="119"/>
      <c r="AP22" s="94"/>
      <c r="AQ22" s="94"/>
      <c r="AR22" s="94"/>
      <c r="AS22" s="94"/>
      <c r="AT22" s="94"/>
      <c r="AU22" s="94"/>
      <c r="AV22" s="94"/>
      <c r="AW22" s="94"/>
      <c r="AX22" s="94"/>
      <c r="AY22" s="94"/>
      <c r="AZ22" s="94"/>
      <c r="BA22" s="94"/>
      <c r="BB22" s="94"/>
      <c r="BC22" s="94"/>
      <c r="BD22" s="94"/>
      <c r="BE22" s="94"/>
      <c r="BF22" s="94"/>
      <c r="BG22" s="94"/>
      <c r="BH22" s="94"/>
      <c r="BI22" s="94"/>
      <c r="BJ22" s="94"/>
      <c r="BK22" s="94"/>
      <c r="BL22" s="94"/>
      <c r="BM22" s="94"/>
      <c r="BN22" s="94"/>
      <c r="BO22" s="94"/>
      <c r="BP22" s="94"/>
    </row>
    <row r="23" spans="1:68" s="91" customFormat="1" ht="45" x14ac:dyDescent="0.25">
      <c r="B23" s="3069"/>
      <c r="C23" s="81" t="s">
        <v>408</v>
      </c>
      <c r="D23" s="2288" t="s">
        <v>1894</v>
      </c>
      <c r="E23" s="811"/>
      <c r="F23" s="773"/>
      <c r="G23" s="815"/>
      <c r="H23" s="280"/>
      <c r="I23" s="281"/>
      <c r="J23" s="815"/>
      <c r="K23" s="793"/>
      <c r="L23" s="266"/>
      <c r="M23" s="815"/>
      <c r="N23" s="295"/>
      <c r="O23" s="295"/>
      <c r="P23" s="120"/>
      <c r="Q23" s="119"/>
      <c r="R23" s="119"/>
      <c r="S23" s="2285"/>
      <c r="T23" s="2287"/>
      <c r="U23" s="120"/>
      <c r="V23" s="119"/>
      <c r="W23" s="119"/>
      <c r="X23" s="119"/>
      <c r="Y23" s="119"/>
      <c r="Z23" s="119"/>
      <c r="AA23" s="119"/>
      <c r="AB23" s="119"/>
      <c r="AC23" s="119"/>
      <c r="AD23" s="266"/>
      <c r="AE23" s="295"/>
      <c r="AF23" s="120"/>
      <c r="AG23" s="119"/>
      <c r="AH23" s="119"/>
      <c r="AI23" s="119"/>
      <c r="AJ23" s="119"/>
      <c r="AK23" s="119"/>
      <c r="AL23" s="119"/>
      <c r="AM23" s="119"/>
      <c r="AN23" s="119"/>
      <c r="AO23" s="119"/>
      <c r="AP23" s="94"/>
      <c r="AQ23" s="94"/>
      <c r="AR23" s="94"/>
      <c r="AS23" s="94"/>
      <c r="AT23" s="94"/>
      <c r="AU23" s="94"/>
      <c r="AV23" s="94"/>
      <c r="AW23" s="94"/>
      <c r="AX23" s="94"/>
      <c r="AY23" s="94"/>
      <c r="AZ23" s="94"/>
      <c r="BA23" s="94"/>
      <c r="BB23" s="94"/>
      <c r="BC23" s="94"/>
      <c r="BD23" s="94"/>
      <c r="BE23" s="94"/>
      <c r="BF23" s="94"/>
      <c r="BG23" s="94"/>
      <c r="BH23" s="94"/>
      <c r="BI23" s="94"/>
      <c r="BJ23" s="94"/>
      <c r="BK23" s="94"/>
      <c r="BL23" s="94"/>
      <c r="BM23" s="94"/>
      <c r="BN23" s="94"/>
      <c r="BO23" s="94"/>
      <c r="BP23" s="94"/>
    </row>
    <row r="24" spans="1:68" s="91" customFormat="1" ht="22.5" x14ac:dyDescent="0.25">
      <c r="B24" s="3055" t="s">
        <v>409</v>
      </c>
      <c r="C24" s="3056"/>
      <c r="D24" s="2288" t="s">
        <v>1895</v>
      </c>
      <c r="E24" s="483"/>
      <c r="F24" s="774"/>
      <c r="G24" s="484"/>
      <c r="H24" s="274"/>
      <c r="I24" s="275"/>
      <c r="J24" s="484"/>
      <c r="K24" s="794" t="s">
        <v>2272</v>
      </c>
      <c r="L24" s="269" t="s">
        <v>2272</v>
      </c>
      <c r="M24" s="484"/>
      <c r="N24" s="296" t="s">
        <v>2272</v>
      </c>
      <c r="O24" s="296" t="s">
        <v>2277</v>
      </c>
      <c r="P24" s="120"/>
      <c r="Q24" s="119"/>
      <c r="R24" s="119"/>
      <c r="S24" s="2285"/>
      <c r="T24" s="2287"/>
      <c r="U24" s="120"/>
      <c r="V24" s="119"/>
      <c r="W24" s="119"/>
      <c r="X24" s="119"/>
      <c r="Y24" s="119"/>
      <c r="Z24" s="119"/>
      <c r="AA24" s="119"/>
      <c r="AB24" s="119"/>
      <c r="AC24" s="119"/>
      <c r="AD24" s="269"/>
      <c r="AE24" s="296"/>
      <c r="AF24" s="120"/>
      <c r="AG24" s="119"/>
      <c r="AH24" s="119"/>
      <c r="AI24" s="119"/>
      <c r="AJ24" s="119"/>
      <c r="AK24" s="119"/>
      <c r="AL24" s="119"/>
      <c r="AM24" s="119"/>
      <c r="AN24" s="119"/>
      <c r="AO24" s="119"/>
      <c r="AP24" s="94"/>
      <c r="AQ24" s="94"/>
      <c r="AR24" s="94"/>
      <c r="AS24" s="94"/>
      <c r="AT24" s="94"/>
      <c r="AU24" s="94"/>
      <c r="AV24" s="94"/>
      <c r="AW24" s="94"/>
      <c r="AX24" s="94"/>
      <c r="AY24" s="94"/>
      <c r="AZ24" s="94"/>
      <c r="BA24" s="94"/>
      <c r="BB24" s="94"/>
      <c r="BC24" s="94"/>
      <c r="BD24" s="94"/>
      <c r="BE24" s="94"/>
      <c r="BF24" s="94"/>
      <c r="BG24" s="94"/>
      <c r="BH24" s="94"/>
      <c r="BI24" s="94"/>
      <c r="BJ24" s="94"/>
      <c r="BK24" s="94"/>
      <c r="BL24" s="94"/>
      <c r="BM24" s="94"/>
      <c r="BN24" s="94"/>
      <c r="BO24" s="94"/>
      <c r="BP24" s="94"/>
    </row>
    <row r="25" spans="1:68" s="91" customFormat="1" ht="45" x14ac:dyDescent="0.25">
      <c r="B25" s="3055" t="s">
        <v>410</v>
      </c>
      <c r="C25" s="3056"/>
      <c r="D25" s="2288" t="s">
        <v>1896</v>
      </c>
      <c r="E25" s="1592"/>
      <c r="F25" s="775" t="str">
        <f>IF('General Information'!$I$12="IP","cfm","L/s")</f>
        <v>cfm</v>
      </c>
      <c r="G25" s="813"/>
      <c r="H25" s="255">
        <f>SUMIF($H$8:$KI$8, "Baseline", $H25:$KI25)</f>
        <v>43172</v>
      </c>
      <c r="I25" s="256">
        <f>SUMIF($H$8:$KI$8, "Proposed", $H25:$KI25)</f>
        <v>31660</v>
      </c>
      <c r="J25" s="813"/>
      <c r="K25" s="790">
        <v>25138</v>
      </c>
      <c r="L25" s="257">
        <f>2792+1357+2037+1388+2175+2541+1388+1363+2993</f>
        <v>18034</v>
      </c>
      <c r="M25" s="813"/>
      <c r="N25" s="292">
        <v>22840</v>
      </c>
      <c r="O25" s="292">
        <v>8820</v>
      </c>
      <c r="P25" s="120"/>
      <c r="Q25" s="119"/>
      <c r="R25" s="119"/>
      <c r="S25" s="2285"/>
      <c r="T25" s="2287"/>
      <c r="U25" s="120"/>
      <c r="V25" s="119"/>
      <c r="W25" s="119"/>
      <c r="X25" s="119"/>
      <c r="Y25" s="119"/>
      <c r="Z25" s="119"/>
      <c r="AA25" s="119"/>
      <c r="AB25" s="119"/>
      <c r="AC25" s="119"/>
      <c r="AD25" s="257"/>
      <c r="AE25" s="292"/>
      <c r="AF25" s="120"/>
      <c r="AG25" s="119"/>
      <c r="AH25" s="119"/>
      <c r="AI25" s="119"/>
      <c r="AJ25" s="119"/>
      <c r="AK25" s="119"/>
      <c r="AL25" s="119"/>
      <c r="AM25" s="119"/>
      <c r="AN25" s="119"/>
      <c r="AO25" s="119"/>
      <c r="AP25" s="94"/>
      <c r="AQ25" s="94"/>
      <c r="AR25" s="94"/>
      <c r="AS25" s="94"/>
      <c r="AT25" s="94"/>
      <c r="AU25" s="94"/>
      <c r="AV25" s="94"/>
      <c r="AW25" s="94"/>
      <c r="AX25" s="94"/>
      <c r="AY25" s="94"/>
      <c r="AZ25" s="94"/>
      <c r="BA25" s="94"/>
      <c r="BB25" s="94"/>
      <c r="BC25" s="94"/>
      <c r="BD25" s="94"/>
      <c r="BE25" s="94"/>
      <c r="BF25" s="94"/>
      <c r="BG25" s="94"/>
      <c r="BH25" s="94"/>
      <c r="BI25" s="94"/>
      <c r="BJ25" s="94"/>
      <c r="BK25" s="94"/>
      <c r="BL25" s="94"/>
      <c r="BM25" s="94"/>
      <c r="BN25" s="94"/>
      <c r="BO25" s="94"/>
      <c r="BP25" s="94"/>
    </row>
    <row r="26" spans="1:68" s="91" customFormat="1" ht="45" x14ac:dyDescent="0.25">
      <c r="B26" s="3055" t="s">
        <v>411</v>
      </c>
      <c r="C26" s="3056"/>
      <c r="D26" s="2288" t="s">
        <v>1897</v>
      </c>
      <c r="E26" s="1592"/>
      <c r="F26" s="775" t="str">
        <f>IF('General Information'!$I$12="IP","cfm","L/s")</f>
        <v>cfm</v>
      </c>
      <c r="G26" s="813"/>
      <c r="H26" s="255">
        <f>SUMIF($H$8:$KI$8, "Baseline", $H26:$KI26)</f>
        <v>5900</v>
      </c>
      <c r="I26" s="256">
        <f>SUMIF($H$8:$KI$8, "Proposed", $H26:$KI26)</f>
        <v>5900</v>
      </c>
      <c r="J26" s="813"/>
      <c r="K26" s="790">
        <v>5900</v>
      </c>
      <c r="L26" s="257">
        <v>0</v>
      </c>
      <c r="M26" s="813"/>
      <c r="N26" s="292">
        <v>5900</v>
      </c>
      <c r="O26" s="292">
        <v>0</v>
      </c>
      <c r="P26" s="120"/>
      <c r="Q26" s="119"/>
      <c r="R26" s="119"/>
      <c r="S26" s="2285"/>
      <c r="T26" s="2287"/>
      <c r="U26" s="120"/>
      <c r="V26" s="119"/>
      <c r="W26" s="119"/>
      <c r="X26" s="119"/>
      <c r="Y26" s="119"/>
      <c r="Z26" s="119"/>
      <c r="AA26" s="119"/>
      <c r="AB26" s="119"/>
      <c r="AC26" s="119"/>
      <c r="AD26" s="257"/>
      <c r="AE26" s="292"/>
      <c r="AF26" s="120"/>
      <c r="AG26" s="119"/>
      <c r="AH26" s="119"/>
      <c r="AI26" s="119"/>
      <c r="AJ26" s="119"/>
      <c r="AK26" s="119"/>
      <c r="AL26" s="119"/>
      <c r="AM26" s="119"/>
      <c r="AN26" s="119"/>
      <c r="AO26" s="119"/>
      <c r="AP26" s="94"/>
      <c r="AQ26" s="94"/>
      <c r="AR26" s="94"/>
      <c r="AS26" s="94"/>
      <c r="AT26" s="94"/>
      <c r="AU26" s="94"/>
      <c r="AV26" s="94"/>
      <c r="AW26" s="94"/>
      <c r="AX26" s="94"/>
      <c r="AY26" s="94"/>
      <c r="AZ26" s="94"/>
      <c r="BA26" s="94"/>
      <c r="BB26" s="94"/>
      <c r="BC26" s="94"/>
      <c r="BD26" s="94"/>
      <c r="BE26" s="94"/>
      <c r="BF26" s="94"/>
      <c r="BG26" s="94"/>
      <c r="BH26" s="94"/>
      <c r="BI26" s="94"/>
      <c r="BJ26" s="94"/>
      <c r="BK26" s="94"/>
      <c r="BL26" s="94"/>
      <c r="BM26" s="94"/>
      <c r="BN26" s="94"/>
      <c r="BO26" s="94"/>
      <c r="BP26" s="94"/>
    </row>
    <row r="27" spans="1:68" s="91" customFormat="1" ht="22.5" x14ac:dyDescent="0.25">
      <c r="B27" s="3055" t="s">
        <v>412</v>
      </c>
      <c r="C27" s="3056"/>
      <c r="D27" s="2288" t="s">
        <v>1898</v>
      </c>
      <c r="E27" s="483"/>
      <c r="F27" s="293" t="s">
        <v>337</v>
      </c>
      <c r="G27" s="484"/>
      <c r="H27" s="274"/>
      <c r="I27" s="275"/>
      <c r="J27" s="484"/>
      <c r="K27" s="794" t="s">
        <v>1959</v>
      </c>
      <c r="L27" s="269" t="s">
        <v>1959</v>
      </c>
      <c r="M27" s="484"/>
      <c r="N27" s="297" t="s">
        <v>1959</v>
      </c>
      <c r="O27" s="297" t="s">
        <v>1959</v>
      </c>
      <c r="P27" s="120"/>
      <c r="Q27" s="119"/>
      <c r="R27" s="119"/>
      <c r="S27" s="2285"/>
      <c r="T27" s="2287"/>
      <c r="U27" s="120"/>
      <c r="V27" s="119"/>
      <c r="W27" s="119"/>
      <c r="X27" s="119"/>
      <c r="Y27" s="119"/>
      <c r="Z27" s="119"/>
      <c r="AA27" s="119"/>
      <c r="AB27" s="119"/>
      <c r="AC27" s="119"/>
      <c r="AD27" s="269"/>
      <c r="AE27" s="297"/>
      <c r="AF27" s="120"/>
      <c r="AG27" s="119"/>
      <c r="AH27" s="119"/>
      <c r="AI27" s="119"/>
      <c r="AJ27" s="119"/>
      <c r="AK27" s="119"/>
      <c r="AL27" s="119"/>
      <c r="AM27" s="119"/>
      <c r="AN27" s="119"/>
      <c r="AO27" s="119"/>
      <c r="AP27" s="94"/>
      <c r="AQ27" s="94"/>
      <c r="AR27" s="94"/>
      <c r="AS27" s="94"/>
      <c r="AT27" s="94"/>
      <c r="AU27" s="94"/>
      <c r="AV27" s="94"/>
      <c r="AW27" s="94"/>
      <c r="AX27" s="94"/>
      <c r="AY27" s="94"/>
      <c r="AZ27" s="94"/>
      <c r="BA27" s="94"/>
      <c r="BB27" s="94"/>
      <c r="BC27" s="94"/>
      <c r="BD27" s="94"/>
      <c r="BE27" s="94"/>
      <c r="BF27" s="94"/>
      <c r="BG27" s="94"/>
      <c r="BH27" s="94"/>
      <c r="BI27" s="94"/>
      <c r="BJ27" s="94"/>
      <c r="BK27" s="94"/>
      <c r="BL27" s="94"/>
      <c r="BM27" s="94"/>
      <c r="BN27" s="94"/>
      <c r="BO27" s="94"/>
      <c r="BP27" s="94"/>
    </row>
    <row r="28" spans="1:68" s="91" customFormat="1" ht="67.5" x14ac:dyDescent="0.25">
      <c r="B28" s="3055" t="s">
        <v>811</v>
      </c>
      <c r="C28" s="3056"/>
      <c r="D28" s="2288" t="s">
        <v>1899</v>
      </c>
      <c r="E28" s="811"/>
      <c r="F28" s="776"/>
      <c r="G28" s="1597"/>
      <c r="H28" s="284"/>
      <c r="I28" s="285"/>
      <c r="J28" s="1603"/>
      <c r="K28" s="795" t="s">
        <v>2273</v>
      </c>
      <c r="L28" s="2368" t="s">
        <v>2273</v>
      </c>
      <c r="M28" s="815"/>
      <c r="N28" s="296" t="s">
        <v>2275</v>
      </c>
      <c r="O28" s="296" t="s">
        <v>2273</v>
      </c>
      <c r="P28" s="120"/>
      <c r="Q28" s="119"/>
      <c r="R28" s="119"/>
      <c r="S28" s="2285"/>
      <c r="T28" s="2287"/>
      <c r="U28" s="120"/>
      <c r="V28" s="119"/>
      <c r="W28" s="119"/>
      <c r="X28" s="119"/>
      <c r="Y28" s="119"/>
      <c r="Z28" s="119"/>
      <c r="AA28" s="119"/>
      <c r="AB28" s="119"/>
      <c r="AC28" s="119"/>
      <c r="AD28" s="665"/>
      <c r="AE28" s="296"/>
      <c r="AF28" s="120"/>
      <c r="AG28" s="119"/>
      <c r="AH28" s="119"/>
      <c r="AI28" s="119"/>
      <c r="AJ28" s="119"/>
      <c r="AK28" s="119"/>
      <c r="AL28" s="119"/>
      <c r="AM28" s="119"/>
      <c r="AN28" s="119"/>
      <c r="AO28" s="119"/>
      <c r="AP28" s="94"/>
      <c r="AQ28" s="94"/>
      <c r="AR28" s="94"/>
      <c r="AS28" s="94"/>
      <c r="AT28" s="94"/>
      <c r="AU28" s="94"/>
      <c r="AV28" s="94"/>
      <c r="AW28" s="94"/>
      <c r="AX28" s="94"/>
      <c r="AY28" s="94"/>
      <c r="AZ28" s="94"/>
      <c r="BA28" s="94"/>
      <c r="BB28" s="94"/>
      <c r="BC28" s="94"/>
      <c r="BD28" s="94"/>
      <c r="BE28" s="94"/>
      <c r="BF28" s="94"/>
      <c r="BG28" s="94"/>
      <c r="BH28" s="94"/>
      <c r="BI28" s="94"/>
      <c r="BJ28" s="94"/>
      <c r="BK28" s="94"/>
      <c r="BL28" s="94"/>
      <c r="BM28" s="94"/>
      <c r="BN28" s="94"/>
      <c r="BO28" s="94"/>
      <c r="BP28" s="94"/>
    </row>
    <row r="29" spans="1:68" s="91" customFormat="1" ht="45" x14ac:dyDescent="0.25">
      <c r="A29" s="93"/>
      <c r="B29" s="3055" t="s">
        <v>413</v>
      </c>
      <c r="C29" s="3056"/>
      <c r="D29" s="2288" t="s">
        <v>1900</v>
      </c>
      <c r="E29" s="483"/>
      <c r="F29" s="293" t="s">
        <v>337</v>
      </c>
      <c r="G29" s="484"/>
      <c r="H29" s="274"/>
      <c r="I29" s="275"/>
      <c r="J29" s="484"/>
      <c r="K29" s="796" t="s">
        <v>2274</v>
      </c>
      <c r="L29" s="270" t="s">
        <v>2273</v>
      </c>
      <c r="M29" s="484"/>
      <c r="N29" s="298" t="s">
        <v>2276</v>
      </c>
      <c r="O29" s="298" t="s">
        <v>2273</v>
      </c>
      <c r="P29" s="120"/>
      <c r="Q29" s="119"/>
      <c r="R29" s="119"/>
      <c r="S29" s="2285"/>
      <c r="T29" s="2287"/>
      <c r="U29" s="120"/>
      <c r="V29" s="119"/>
      <c r="W29" s="119"/>
      <c r="X29" s="119"/>
      <c r="Y29" s="119"/>
      <c r="Z29" s="119"/>
      <c r="AA29" s="119"/>
      <c r="AB29" s="119"/>
      <c r="AC29" s="119"/>
      <c r="AD29" s="270"/>
      <c r="AE29" s="298"/>
      <c r="AF29" s="120"/>
      <c r="AG29" s="119"/>
      <c r="AH29" s="119"/>
      <c r="AI29" s="119"/>
      <c r="AJ29" s="119"/>
      <c r="AK29" s="119"/>
      <c r="AL29" s="119"/>
      <c r="AM29" s="119"/>
      <c r="AN29" s="119"/>
      <c r="AO29" s="119"/>
      <c r="AP29" s="94"/>
      <c r="AQ29" s="94"/>
      <c r="AR29" s="94"/>
      <c r="AS29" s="94"/>
      <c r="AT29" s="94"/>
      <c r="AU29" s="94"/>
      <c r="AV29" s="94"/>
      <c r="AW29" s="94"/>
      <c r="AX29" s="94"/>
      <c r="AY29" s="94"/>
      <c r="AZ29" s="94"/>
      <c r="BA29" s="94"/>
      <c r="BB29" s="94"/>
      <c r="BC29" s="94"/>
      <c r="BD29" s="94"/>
      <c r="BE29" s="94"/>
      <c r="BF29" s="94"/>
      <c r="BG29" s="94"/>
      <c r="BH29" s="94"/>
      <c r="BI29" s="94"/>
      <c r="BJ29" s="94"/>
      <c r="BK29" s="94"/>
      <c r="BL29" s="94"/>
      <c r="BM29" s="94"/>
      <c r="BN29" s="94"/>
      <c r="BO29" s="94"/>
      <c r="BP29" s="94"/>
    </row>
    <row r="30" spans="1:68" s="91" customFormat="1" ht="63.75" x14ac:dyDescent="0.25">
      <c r="A30" s="93"/>
      <c r="B30" s="3057" t="s">
        <v>1178</v>
      </c>
      <c r="C30" s="667" t="s">
        <v>1188</v>
      </c>
      <c r="D30" s="2288" t="s">
        <v>1901</v>
      </c>
      <c r="E30" s="483"/>
      <c r="F30" s="261" t="s">
        <v>337</v>
      </c>
      <c r="G30" s="1598"/>
      <c r="H30" s="276"/>
      <c r="I30" s="282"/>
      <c r="J30" s="1604"/>
      <c r="K30" s="797" t="s">
        <v>1959</v>
      </c>
      <c r="L30" s="2370" t="s">
        <v>1959</v>
      </c>
      <c r="M30" s="484"/>
      <c r="N30" s="679" t="s">
        <v>1959</v>
      </c>
      <c r="O30" s="2259" t="s">
        <v>1959</v>
      </c>
      <c r="P30" s="120"/>
      <c r="Q30" s="119"/>
      <c r="R30" s="119"/>
      <c r="S30" s="2285"/>
      <c r="T30" s="2287"/>
      <c r="U30" s="120"/>
      <c r="V30" s="119"/>
      <c r="W30" s="119"/>
      <c r="X30" s="119"/>
      <c r="Y30" s="119"/>
      <c r="Z30" s="119"/>
      <c r="AA30" s="119"/>
      <c r="AB30" s="119"/>
      <c r="AC30" s="119"/>
      <c r="AD30" s="679"/>
      <c r="AE30" s="2259" t="s">
        <v>1959</v>
      </c>
      <c r="AF30" s="120"/>
      <c r="AG30" s="119"/>
      <c r="AH30" s="119"/>
      <c r="AI30" s="119"/>
      <c r="AJ30" s="119"/>
      <c r="AK30" s="119"/>
      <c r="AL30" s="119"/>
      <c r="AM30" s="119"/>
      <c r="AN30" s="119"/>
      <c r="AO30" s="119"/>
      <c r="AP30" s="94"/>
      <c r="AQ30" s="94"/>
      <c r="AR30" s="94"/>
      <c r="AS30" s="94"/>
      <c r="AT30" s="94"/>
      <c r="AU30" s="94"/>
      <c r="AV30" s="94"/>
      <c r="AW30" s="94"/>
      <c r="AX30" s="94"/>
      <c r="AY30" s="94"/>
      <c r="AZ30" s="94"/>
      <c r="BA30" s="94"/>
      <c r="BB30" s="94"/>
      <c r="BC30" s="94"/>
      <c r="BD30" s="94"/>
      <c r="BE30" s="94"/>
      <c r="BF30" s="94"/>
      <c r="BG30" s="94"/>
      <c r="BH30" s="94"/>
      <c r="BI30" s="94"/>
      <c r="BJ30" s="94"/>
      <c r="BK30" s="94"/>
      <c r="BL30" s="94"/>
      <c r="BM30" s="94"/>
      <c r="BN30" s="94"/>
      <c r="BO30" s="94"/>
      <c r="BP30" s="94"/>
    </row>
    <row r="31" spans="1:68" ht="56.25" x14ac:dyDescent="0.2">
      <c r="A31" s="93"/>
      <c r="B31" s="3058"/>
      <c r="C31" s="81" t="s">
        <v>414</v>
      </c>
      <c r="D31" s="2288" t="s">
        <v>1902</v>
      </c>
      <c r="E31" s="483"/>
      <c r="F31" s="777" t="s">
        <v>1189</v>
      </c>
      <c r="G31" s="1598"/>
      <c r="H31" s="280"/>
      <c r="I31" s="283"/>
      <c r="J31" s="1604"/>
      <c r="K31" s="798" t="str">
        <f>IF(K30="Yes",50%,"n/a")</f>
        <v>n/a</v>
      </c>
      <c r="L31" s="680" t="str">
        <f>IF(L30="Yes",50%,"n/a")</f>
        <v>n/a</v>
      </c>
      <c r="M31" s="484"/>
      <c r="N31" s="680"/>
      <c r="O31" s="2260" t="str">
        <f>IF(O30="Yes","","n/a")</f>
        <v>n/a</v>
      </c>
      <c r="P31" s="120"/>
      <c r="Q31" s="119"/>
      <c r="R31" s="119"/>
      <c r="S31" s="2285"/>
      <c r="T31" s="2287"/>
      <c r="U31" s="120"/>
      <c r="V31" s="119"/>
      <c r="W31" s="119"/>
      <c r="X31" s="119"/>
      <c r="Y31" s="119"/>
      <c r="Z31" s="119"/>
      <c r="AA31" s="119"/>
      <c r="AB31" s="119"/>
      <c r="AC31" s="854"/>
      <c r="AD31" s="680" t="str">
        <f>IF(AD30="Yes",50%,"n/a")</f>
        <v>n/a</v>
      </c>
      <c r="AE31" s="2260" t="str">
        <f>IF(AE30="Yes","","n/a")</f>
        <v>n/a</v>
      </c>
      <c r="AF31" s="120"/>
      <c r="AG31" s="119"/>
      <c r="AH31" s="119"/>
      <c r="AI31" s="119"/>
      <c r="AJ31" s="119"/>
      <c r="AK31" s="119"/>
      <c r="AL31" s="119"/>
      <c r="AM31" s="119"/>
      <c r="AN31" s="119"/>
      <c r="AO31" s="119"/>
    </row>
    <row r="32" spans="1:68" s="91" customFormat="1" x14ac:dyDescent="0.25">
      <c r="B32" s="3065" t="s">
        <v>344</v>
      </c>
      <c r="C32" s="82" t="s">
        <v>415</v>
      </c>
      <c r="D32" s="3047" t="s">
        <v>1903</v>
      </c>
      <c r="E32" s="1594"/>
      <c r="F32" s="778" t="s">
        <v>243</v>
      </c>
      <c r="G32" s="816"/>
      <c r="H32" s="258"/>
      <c r="I32" s="259"/>
      <c r="J32" s="816"/>
      <c r="K32" s="799">
        <v>21.31</v>
      </c>
      <c r="L32" s="271">
        <f>0.75+0.37+0.55+0.38+0.59+0.69+0.38+0.37+0.81</f>
        <v>4.8900000000000006</v>
      </c>
      <c r="M32" s="816"/>
      <c r="N32" s="300">
        <v>31.184999999999999</v>
      </c>
      <c r="O32" s="300">
        <v>1.29</v>
      </c>
      <c r="P32" s="120"/>
      <c r="Q32" s="119"/>
      <c r="R32" s="119"/>
      <c r="S32" s="2285"/>
      <c r="T32" s="2287"/>
      <c r="U32" s="120"/>
      <c r="V32" s="119"/>
      <c r="W32" s="119"/>
      <c r="X32" s="119"/>
      <c r="Y32" s="119"/>
      <c r="Z32" s="119"/>
      <c r="AA32" s="119"/>
      <c r="AB32" s="119"/>
      <c r="AC32" s="119"/>
      <c r="AD32" s="271"/>
      <c r="AE32" s="300"/>
      <c r="AF32" s="120"/>
      <c r="AG32" s="119"/>
      <c r="AH32" s="119"/>
      <c r="AI32" s="119"/>
      <c r="AJ32" s="119"/>
      <c r="AK32" s="119"/>
      <c r="AL32" s="119"/>
      <c r="AM32" s="119"/>
      <c r="AN32" s="119"/>
      <c r="AO32" s="119"/>
      <c r="AP32" s="94"/>
      <c r="AQ32" s="94"/>
      <c r="AR32" s="94"/>
      <c r="AS32" s="94"/>
      <c r="AT32" s="94"/>
      <c r="AU32" s="94"/>
      <c r="AV32" s="94"/>
      <c r="AW32" s="94"/>
      <c r="AX32" s="94"/>
      <c r="AY32" s="94"/>
      <c r="AZ32" s="94"/>
      <c r="BA32" s="94"/>
      <c r="BB32" s="94"/>
      <c r="BC32" s="94"/>
      <c r="BD32" s="94"/>
      <c r="BE32" s="94"/>
      <c r="BF32" s="94"/>
      <c r="BG32" s="94"/>
      <c r="BH32" s="94"/>
      <c r="BI32" s="94"/>
      <c r="BJ32" s="94"/>
      <c r="BK32" s="94"/>
      <c r="BL32" s="94"/>
      <c r="BM32" s="94"/>
      <c r="BN32" s="94"/>
      <c r="BO32" s="94"/>
      <c r="BP32" s="94"/>
    </row>
    <row r="33" spans="1:68" s="91" customFormat="1" x14ac:dyDescent="0.25">
      <c r="A33" s="93"/>
      <c r="B33" s="3066"/>
      <c r="C33" s="80" t="s">
        <v>416</v>
      </c>
      <c r="D33" s="3062"/>
      <c r="E33" s="1594"/>
      <c r="F33" s="779" t="s">
        <v>243</v>
      </c>
      <c r="G33" s="816"/>
      <c r="H33" s="262"/>
      <c r="I33" s="267"/>
      <c r="J33" s="816"/>
      <c r="K33" s="800">
        <v>8.52</v>
      </c>
      <c r="L33" s="272">
        <v>0</v>
      </c>
      <c r="M33" s="816"/>
      <c r="N33" s="301">
        <v>9.1709999999999994</v>
      </c>
      <c r="O33" s="301">
        <v>0</v>
      </c>
      <c r="P33" s="120"/>
      <c r="Q33" s="119"/>
      <c r="R33" s="119"/>
      <c r="S33" s="2285"/>
      <c r="T33" s="2287"/>
      <c r="U33" s="120"/>
      <c r="V33" s="119"/>
      <c r="W33" s="119"/>
      <c r="X33" s="119"/>
      <c r="Y33" s="119"/>
      <c r="Z33" s="119"/>
      <c r="AA33" s="119"/>
      <c r="AB33" s="119"/>
      <c r="AC33" s="119"/>
      <c r="AD33" s="272"/>
      <c r="AE33" s="301"/>
      <c r="AF33" s="120"/>
      <c r="AG33" s="119"/>
      <c r="AH33" s="119"/>
      <c r="AI33" s="119"/>
      <c r="AJ33" s="119"/>
      <c r="AK33" s="119"/>
      <c r="AL33" s="119"/>
      <c r="AM33" s="119"/>
      <c r="AN33" s="119"/>
      <c r="AO33" s="119"/>
      <c r="AP33" s="94"/>
      <c r="AQ33" s="94"/>
      <c r="AR33" s="94"/>
      <c r="AS33" s="94"/>
      <c r="AT33" s="94"/>
      <c r="AU33" s="94"/>
      <c r="AV33" s="94"/>
      <c r="AW33" s="94"/>
      <c r="AX33" s="94"/>
      <c r="AY33" s="94"/>
      <c r="AZ33" s="94"/>
      <c r="BA33" s="94"/>
      <c r="BB33" s="94"/>
      <c r="BC33" s="94"/>
      <c r="BD33" s="94"/>
      <c r="BE33" s="94"/>
      <c r="BF33" s="94"/>
      <c r="BG33" s="94"/>
      <c r="BH33" s="94"/>
      <c r="BI33" s="94"/>
      <c r="BJ33" s="94"/>
      <c r="BK33" s="94"/>
      <c r="BL33" s="94"/>
      <c r="BM33" s="94"/>
      <c r="BN33" s="94"/>
      <c r="BO33" s="94"/>
      <c r="BP33" s="94"/>
    </row>
    <row r="34" spans="1:68" s="91" customFormat="1" x14ac:dyDescent="0.25">
      <c r="A34" s="93"/>
      <c r="B34" s="3066"/>
      <c r="C34" s="80" t="s">
        <v>417</v>
      </c>
      <c r="D34" s="3062"/>
      <c r="E34" s="1594"/>
      <c r="F34" s="779" t="s">
        <v>243</v>
      </c>
      <c r="G34" s="816"/>
      <c r="H34" s="264"/>
      <c r="I34" s="268"/>
      <c r="J34" s="816"/>
      <c r="K34" s="800">
        <v>0.42</v>
      </c>
      <c r="L34" s="272">
        <v>0</v>
      </c>
      <c r="M34" s="816"/>
      <c r="N34" s="301">
        <v>0.31</v>
      </c>
      <c r="O34" s="301">
        <v>0</v>
      </c>
      <c r="P34" s="120"/>
      <c r="Q34" s="119"/>
      <c r="R34" s="119"/>
      <c r="S34" s="2285"/>
      <c r="T34" s="2287"/>
      <c r="U34" s="120"/>
      <c r="V34" s="119"/>
      <c r="W34" s="119"/>
      <c r="X34" s="119"/>
      <c r="Y34" s="119"/>
      <c r="Z34" s="119"/>
      <c r="AA34" s="119"/>
      <c r="AB34" s="119"/>
      <c r="AC34" s="119"/>
      <c r="AD34" s="272"/>
      <c r="AE34" s="301"/>
      <c r="AF34" s="120"/>
      <c r="AG34" s="119"/>
      <c r="AH34" s="119"/>
      <c r="AI34" s="119"/>
      <c r="AJ34" s="119"/>
      <c r="AK34" s="119"/>
      <c r="AL34" s="119"/>
      <c r="AM34" s="119"/>
      <c r="AN34" s="119"/>
      <c r="AO34" s="119"/>
      <c r="AP34" s="94"/>
      <c r="AQ34" s="94"/>
      <c r="AR34" s="94"/>
      <c r="AS34" s="94"/>
      <c r="AT34" s="94"/>
      <c r="AU34" s="94"/>
      <c r="AV34" s="94"/>
      <c r="AW34" s="94"/>
      <c r="AX34" s="94"/>
      <c r="AY34" s="94"/>
      <c r="AZ34" s="94"/>
      <c r="BA34" s="94"/>
      <c r="BB34" s="94"/>
      <c r="BC34" s="94"/>
      <c r="BD34" s="94"/>
      <c r="BE34" s="94"/>
      <c r="BF34" s="94"/>
      <c r="BG34" s="94"/>
      <c r="BH34" s="94"/>
      <c r="BI34" s="94"/>
      <c r="BJ34" s="94"/>
      <c r="BK34" s="94"/>
      <c r="BL34" s="94"/>
      <c r="BM34" s="94"/>
      <c r="BN34" s="94"/>
      <c r="BO34" s="94"/>
      <c r="BP34" s="94"/>
    </row>
    <row r="35" spans="1:68" s="91" customFormat="1" x14ac:dyDescent="0.25">
      <c r="B35" s="3066"/>
      <c r="C35" s="80" t="s">
        <v>418</v>
      </c>
      <c r="D35" s="3062"/>
      <c r="E35" s="1594"/>
      <c r="F35" s="779" t="s">
        <v>243</v>
      </c>
      <c r="G35" s="1599"/>
      <c r="H35" s="255">
        <f>SUMIF($H$8:$KI$8, "Baseline", $H35:$KI35)</f>
        <v>35.14</v>
      </c>
      <c r="I35" s="256">
        <f>SUMIF($H$8:$KI$8, "Proposed", $H35:$KI35)</f>
        <v>41.955999999999996</v>
      </c>
      <c r="J35" s="1605"/>
      <c r="K35" s="801">
        <f>SUM(K32:K34)</f>
        <v>30.25</v>
      </c>
      <c r="L35" s="273">
        <f>SUM(L32:L34)</f>
        <v>4.8900000000000006</v>
      </c>
      <c r="M35" s="816"/>
      <c r="N35" s="302">
        <f>SUM(N32:N34)</f>
        <v>40.665999999999997</v>
      </c>
      <c r="O35" s="302">
        <f>SUM(O32:O34)</f>
        <v>1.29</v>
      </c>
      <c r="P35" s="120"/>
      <c r="Q35" s="119"/>
      <c r="R35" s="119"/>
      <c r="S35" s="2285"/>
      <c r="T35" s="2287"/>
      <c r="U35" s="120"/>
      <c r="V35" s="119"/>
      <c r="W35" s="119"/>
      <c r="X35" s="119"/>
      <c r="Y35" s="119"/>
      <c r="Z35" s="119"/>
      <c r="AA35" s="119"/>
      <c r="AB35" s="119"/>
      <c r="AC35" s="119"/>
      <c r="AD35" s="273">
        <f>SUM(AD32:AD34)</f>
        <v>0</v>
      </c>
      <c r="AE35" s="302">
        <f>SUM(AE32:AE34)</f>
        <v>0</v>
      </c>
      <c r="AF35" s="120"/>
      <c r="AG35" s="119"/>
      <c r="AH35" s="119"/>
      <c r="AI35" s="119"/>
      <c r="AJ35" s="119"/>
      <c r="AK35" s="119"/>
      <c r="AL35" s="119"/>
      <c r="AM35" s="119"/>
      <c r="AN35" s="119"/>
      <c r="AO35" s="119"/>
      <c r="AP35" s="94"/>
      <c r="AQ35" s="94"/>
      <c r="AR35" s="94"/>
      <c r="AS35" s="94"/>
      <c r="AT35" s="94"/>
      <c r="AU35" s="94"/>
      <c r="AV35" s="94"/>
      <c r="AW35" s="94"/>
      <c r="AX35" s="94"/>
      <c r="AY35" s="94"/>
      <c r="AZ35" s="94"/>
      <c r="BA35" s="94"/>
      <c r="BB35" s="94"/>
      <c r="BC35" s="94"/>
      <c r="BD35" s="94"/>
      <c r="BE35" s="94"/>
      <c r="BF35" s="94"/>
      <c r="BG35" s="94"/>
      <c r="BH35" s="94"/>
      <c r="BI35" s="94"/>
      <c r="BJ35" s="94"/>
      <c r="BK35" s="94"/>
      <c r="BL35" s="94"/>
      <c r="BM35" s="94"/>
      <c r="BN35" s="94"/>
      <c r="BO35" s="94"/>
      <c r="BP35" s="94"/>
    </row>
    <row r="36" spans="1:68" s="91" customFormat="1" x14ac:dyDescent="0.25">
      <c r="A36" s="93"/>
      <c r="B36" s="576"/>
      <c r="C36" s="566" t="s">
        <v>419</v>
      </c>
      <c r="D36" s="3048"/>
      <c r="E36" s="1593"/>
      <c r="F36" s="780" t="s">
        <v>243</v>
      </c>
      <c r="G36" s="814"/>
      <c r="H36" s="274"/>
      <c r="I36" s="275"/>
      <c r="J36" s="814"/>
      <c r="K36" s="802">
        <f>IF(OR(ISERROR(1/K$25),ISERROR(1/K$16)),"",IF(VLOOKUP(K$12,Fanslookup,13,FALSE)=1,(IF(SI_IP_Units="SI",VLOOKUP((VLOOKUP(K$12,Fanslookup,12,FALSE)*K$25+K$66)/K$16,Motor_Horsepower_Nominal_Efficiency_SI,4,TRUE)*(VLOOKUP(K$12,Fanslookup,12,FALSE)*K$25+K$66),VLOOKUP((VLOOKUP(K$12,Fanslookup,11,FALSE)*K$25+K$66)/K$16,Motor_Horsepower_Nominal_Efficiency_IP,5,TRUE)*(VLOOKUP(K$12,Fanslookup,11,FALSE)*K$25+K$66))),(IF(SI_IP_Units="IP",VLOOKUP(K$12,Fanslookup,11,FALSE),VLOOKUP(K$12,Fanslookup,12,FALSE))*K$25+VLOOKUP(K$12,Fanslookup,15,FALSE)*K$67*$K$68)))</f>
        <v>30.249141324183473</v>
      </c>
      <c r="L36" s="802">
        <f>IF(OR(ISERROR(1/L$25),ISERROR(1/L$16)),"",IF(VLOOKUP(L$12,Fanslookup,13,FALSE)=1,(IF(SI_IP_Units="SI",VLOOKUP((VLOOKUP(L$12,Fanslookup,12,FALSE)*L$25+L$66)/L$16,Motor_Horsepower_Nominal_Efficiency_SI,4,TRUE)*(VLOOKUP(L$12,Fanslookup,12,FALSE)*L$25+L$66),VLOOKUP((VLOOKUP(L$12,Fanslookup,11,FALSE)*L$25+L$66)/L$16,Motor_Horsepower_Nominal_Efficiency_IP,5,TRUE)*(VLOOKUP(L$12,Fanslookup,11,FALSE)*L$25+L$66))),(IF(SI_IP_Units="IP",VLOOKUP(L$12,Fanslookup,11,FALSE),VLOOKUP(L$12,Fanslookup,12,FALSE))*L$25+VLOOKUP(L$12,Fanslookup,15,FALSE)*L$67*$K$68)))</f>
        <v>19.54119910614525</v>
      </c>
      <c r="M36" s="814"/>
      <c r="N36" s="299" t="s">
        <v>337</v>
      </c>
      <c r="O36" s="299" t="s">
        <v>337</v>
      </c>
      <c r="P36" s="120"/>
      <c r="Q36" s="119"/>
      <c r="R36" s="119"/>
      <c r="S36" s="2285"/>
      <c r="T36" s="2287"/>
      <c r="U36" s="120"/>
      <c r="V36" s="119"/>
      <c r="W36" s="119"/>
      <c r="X36" s="119"/>
      <c r="Y36" s="119"/>
      <c r="Z36" s="119"/>
      <c r="AA36" s="119"/>
      <c r="AB36" s="119"/>
      <c r="AC36" s="119"/>
      <c r="AD36" s="802" t="str">
        <f>IF(OR(ISERROR(1/AD$25),ISERROR(1/AD$16)),"",IF(VLOOKUP(AD$12,Fanslookup,13,FALSE)=1,(IF(SI_IP_Units="SI",VLOOKUP((VLOOKUP(AD$12,Fanslookup,12,FALSE)*AD$25+AD$66)/AD$16,Motor_Horsepower_Nominal_Efficiency_SI,4,TRUE)*(VLOOKUP(AD$12,Fanslookup,12,FALSE)*AD$25+AD$66),VLOOKUP((VLOOKUP(AD$12,Fanslookup,11,FALSE)*AD$25+AD$66)/AD$16,Motor_Horsepower_Nominal_Efficiency_IP,5,TRUE)*(VLOOKUP(AD$12,Fanslookup,11,FALSE)*AD$25+AD$66))),(IF(SI_IP_Units="IP",VLOOKUP(AD$12,Fanslookup,11,FALSE),VLOOKUP(AD$12,Fanslookup,12,FALSE))*AD$25+VLOOKUP(AD$12,Fanslookup,15,FALSE)*AD$67*$K$68)))</f>
        <v/>
      </c>
      <c r="AE36" s="299" t="s">
        <v>337</v>
      </c>
      <c r="AF36" s="120"/>
      <c r="AG36" s="119"/>
      <c r="AH36" s="119"/>
      <c r="AI36" s="119"/>
      <c r="AJ36" s="119"/>
      <c r="AK36" s="119"/>
      <c r="AL36" s="119"/>
      <c r="AM36" s="119"/>
      <c r="AN36" s="119"/>
      <c r="AO36" s="119"/>
      <c r="AP36" s="94"/>
      <c r="AQ36" s="94"/>
      <c r="AR36" s="94"/>
      <c r="AS36" s="94"/>
      <c r="AT36" s="94"/>
      <c r="AU36" s="94"/>
      <c r="AV36" s="94"/>
      <c r="AW36" s="94"/>
      <c r="AX36" s="94"/>
      <c r="AY36" s="94"/>
      <c r="AZ36" s="94"/>
      <c r="BA36" s="94"/>
      <c r="BB36" s="94"/>
      <c r="BC36" s="94"/>
      <c r="BD36" s="94"/>
      <c r="BE36" s="94"/>
      <c r="BF36" s="94"/>
      <c r="BG36" s="94"/>
      <c r="BH36" s="94"/>
      <c r="BI36" s="94"/>
      <c r="BJ36" s="94"/>
      <c r="BK36" s="94"/>
      <c r="BL36" s="94"/>
      <c r="BM36" s="94"/>
      <c r="BN36" s="94"/>
      <c r="BO36" s="94"/>
      <c r="BP36" s="94"/>
    </row>
    <row r="37" spans="1:68" s="91" customFormat="1" ht="31.5" customHeight="1" x14ac:dyDescent="0.25">
      <c r="A37" s="93"/>
      <c r="B37" s="1481"/>
      <c r="C37" s="3070" t="s">
        <v>1904</v>
      </c>
      <c r="D37" s="3071"/>
      <c r="E37" s="1595"/>
      <c r="F37" s="1483"/>
      <c r="G37" s="1486"/>
      <c r="H37" s="1484"/>
      <c r="I37" s="1484"/>
      <c r="J37" s="1486"/>
      <c r="K37" s="1485"/>
      <c r="L37" s="1482"/>
      <c r="M37" s="1486"/>
      <c r="N37" s="1487"/>
      <c r="O37" s="575"/>
      <c r="P37" s="1487"/>
      <c r="Q37" s="119"/>
      <c r="R37" s="119"/>
      <c r="S37" s="119"/>
      <c r="T37" s="2286"/>
      <c r="U37" s="119"/>
      <c r="V37" s="119"/>
      <c r="W37" s="119"/>
      <c r="X37" s="119"/>
      <c r="Y37" s="119"/>
      <c r="Z37" s="119"/>
      <c r="AA37" s="119"/>
      <c r="AB37" s="119"/>
      <c r="AC37" s="119"/>
      <c r="AD37" s="1482"/>
      <c r="AE37" s="575"/>
      <c r="AF37" s="120"/>
      <c r="AG37" s="119"/>
      <c r="AH37" s="119"/>
      <c r="AI37" s="119"/>
      <c r="AJ37" s="119"/>
      <c r="AK37" s="119"/>
      <c r="AL37" s="119"/>
      <c r="AM37" s="119"/>
      <c r="AN37" s="119"/>
      <c r="AO37" s="119"/>
      <c r="AP37" s="94"/>
      <c r="AQ37" s="94"/>
      <c r="AR37" s="94"/>
      <c r="AS37" s="94"/>
      <c r="AT37" s="94"/>
      <c r="AU37" s="94"/>
      <c r="AV37" s="94"/>
      <c r="AW37" s="94"/>
      <c r="AX37" s="94"/>
      <c r="AY37" s="94"/>
      <c r="AZ37" s="94"/>
      <c r="BA37" s="94"/>
      <c r="BB37" s="94"/>
      <c r="BC37" s="94"/>
      <c r="BD37" s="94"/>
      <c r="BE37" s="94"/>
      <c r="BF37" s="94"/>
      <c r="BG37" s="94"/>
      <c r="BH37" s="94"/>
      <c r="BI37" s="94"/>
      <c r="BJ37" s="94"/>
      <c r="BK37" s="94"/>
      <c r="BL37" s="94"/>
      <c r="BM37" s="94"/>
      <c r="BN37" s="94"/>
      <c r="BO37" s="94"/>
      <c r="BP37" s="94"/>
    </row>
    <row r="38" spans="1:68" s="91" customFormat="1" x14ac:dyDescent="0.25">
      <c r="A38" s="93"/>
      <c r="B38" s="3063" t="s">
        <v>1044</v>
      </c>
      <c r="C38" s="3051" t="s">
        <v>249</v>
      </c>
      <c r="D38" s="3047" t="s">
        <v>1905</v>
      </c>
      <c r="E38" s="811"/>
      <c r="F38" s="254" t="str">
        <f>IF('General Information'!$I$12="IP","CFMD: cfm","CFMD: L/s")</f>
        <v>CFMD: cfm</v>
      </c>
      <c r="G38" s="815"/>
      <c r="H38" s="276"/>
      <c r="I38" s="277"/>
      <c r="J38" s="815"/>
      <c r="K38" s="803"/>
      <c r="L38" s="1091"/>
      <c r="M38" s="815"/>
      <c r="N38" s="303" t="s">
        <v>337</v>
      </c>
      <c r="O38" s="303" t="s">
        <v>337</v>
      </c>
      <c r="P38" s="120"/>
      <c r="Q38" s="1545"/>
      <c r="R38" s="119"/>
      <c r="S38" s="2285"/>
      <c r="T38" s="2287"/>
      <c r="U38" s="120"/>
      <c r="V38" s="119"/>
      <c r="W38" s="119"/>
      <c r="X38" s="119"/>
      <c r="Y38" s="119"/>
      <c r="Z38" s="119"/>
      <c r="AA38" s="119"/>
      <c r="AB38" s="119"/>
      <c r="AC38" s="119"/>
      <c r="AD38" s="1091"/>
      <c r="AE38" s="303" t="s">
        <v>337</v>
      </c>
      <c r="AF38" s="120"/>
      <c r="AG38" s="119"/>
      <c r="AH38" s="119"/>
      <c r="AI38" s="119"/>
      <c r="AJ38" s="119"/>
      <c r="AK38" s="119"/>
      <c r="AL38" s="119"/>
      <c r="AM38" s="119"/>
      <c r="AN38" s="119"/>
      <c r="AO38" s="119"/>
      <c r="AP38" s="94"/>
      <c r="AQ38" s="94"/>
      <c r="AR38" s="94"/>
      <c r="AS38" s="94"/>
      <c r="AT38" s="94"/>
      <c r="AU38" s="94"/>
      <c r="AV38" s="94"/>
      <c r="AW38" s="94"/>
      <c r="AX38" s="94"/>
      <c r="AY38" s="94"/>
      <c r="AZ38" s="94"/>
      <c r="BA38" s="94"/>
      <c r="BB38" s="94"/>
      <c r="BC38" s="94"/>
      <c r="BD38" s="94"/>
      <c r="BE38" s="94"/>
      <c r="BF38" s="94"/>
      <c r="BG38" s="94"/>
      <c r="BH38" s="94"/>
      <c r="BI38" s="94"/>
      <c r="BJ38" s="94"/>
      <c r="BK38" s="94"/>
      <c r="BL38" s="94"/>
      <c r="BM38" s="94"/>
      <c r="BN38" s="94"/>
      <c r="BO38" s="94"/>
      <c r="BP38" s="94"/>
    </row>
    <row r="39" spans="1:68" s="91" customFormat="1" x14ac:dyDescent="0.2">
      <c r="A39" s="93"/>
      <c r="B39" s="3063"/>
      <c r="C39" s="3060"/>
      <c r="D39" s="3048"/>
      <c r="E39" s="811"/>
      <c r="F39" s="254" t="str">
        <f>IF('General Information'!$I$12="IP","Adjustment: in. w. c.","Adjustment: Pa")</f>
        <v>Adjustment: in. w. c.</v>
      </c>
      <c r="G39" s="815"/>
      <c r="H39" s="258"/>
      <c r="I39" s="259"/>
      <c r="J39" s="815"/>
      <c r="K39" s="804"/>
      <c r="L39" s="457"/>
      <c r="M39" s="815"/>
      <c r="N39" s="303" t="s">
        <v>337</v>
      </c>
      <c r="O39" s="303" t="s">
        <v>337</v>
      </c>
      <c r="P39" s="1544"/>
      <c r="Q39" s="1547" t="str">
        <f>IF('General Information'!$I$12="IP","IP","SI")</f>
        <v>IP</v>
      </c>
      <c r="R39" s="120"/>
      <c r="S39" s="2285"/>
      <c r="T39" s="2287"/>
      <c r="U39" s="120"/>
      <c r="V39" s="119"/>
      <c r="W39" s="119"/>
      <c r="X39" s="119"/>
      <c r="Y39" s="119"/>
      <c r="Z39" s="119"/>
      <c r="AA39" s="119"/>
      <c r="AB39" s="119"/>
      <c r="AC39" s="119"/>
      <c r="AD39" s="457"/>
      <c r="AE39" s="303" t="s">
        <v>337</v>
      </c>
      <c r="AF39" s="120"/>
      <c r="AG39" s="119"/>
      <c r="AH39" s="119"/>
      <c r="AI39" s="119"/>
      <c r="AJ39" s="119"/>
      <c r="AK39" s="119"/>
      <c r="AL39" s="119"/>
      <c r="AM39" s="119"/>
      <c r="AN39" s="119"/>
      <c r="AO39" s="119"/>
      <c r="AP39" s="94"/>
      <c r="AQ39" s="94"/>
      <c r="AR39" s="94"/>
      <c r="AS39" s="94"/>
      <c r="AT39" s="94"/>
      <c r="AU39" s="94"/>
      <c r="AV39" s="94"/>
      <c r="AW39" s="94"/>
      <c r="AX39" s="94"/>
      <c r="AY39" s="94"/>
      <c r="AZ39" s="94"/>
      <c r="BA39" s="94"/>
      <c r="BB39" s="94"/>
      <c r="BC39" s="94"/>
      <c r="BD39" s="94"/>
      <c r="BE39" s="94"/>
      <c r="BF39" s="94"/>
      <c r="BG39" s="94"/>
      <c r="BH39" s="94"/>
      <c r="BI39" s="94"/>
      <c r="BJ39" s="94"/>
      <c r="BK39" s="94"/>
      <c r="BL39" s="94"/>
      <c r="BM39" s="94"/>
      <c r="BN39" s="94"/>
      <c r="BO39" s="94"/>
      <c r="BP39" s="94"/>
    </row>
    <row r="40" spans="1:68" s="91" customFormat="1" x14ac:dyDescent="0.25">
      <c r="A40" s="93"/>
      <c r="B40" s="3063"/>
      <c r="C40" s="3059" t="s">
        <v>250</v>
      </c>
      <c r="D40" s="3047" t="s">
        <v>1906</v>
      </c>
      <c r="E40" s="811"/>
      <c r="F40" s="254" t="str">
        <f>IF('General Information'!$I$12="IP","CFMD: cfm","CFMD: L/s")</f>
        <v>CFMD: cfm</v>
      </c>
      <c r="G40" s="815"/>
      <c r="H40" s="262"/>
      <c r="I40" s="267"/>
      <c r="J40" s="815"/>
      <c r="K40" s="803"/>
      <c r="L40" s="1091"/>
      <c r="M40" s="815"/>
      <c r="N40" s="303" t="s">
        <v>337</v>
      </c>
      <c r="O40" s="303" t="s">
        <v>337</v>
      </c>
      <c r="P40" s="1544"/>
      <c r="Q40" s="1548">
        <f>IF($Q$39="SI",125,0.5)</f>
        <v>0.5</v>
      </c>
      <c r="R40" s="120"/>
      <c r="S40" s="2285"/>
      <c r="T40" s="2287"/>
      <c r="U40" s="120"/>
      <c r="V40" s="119"/>
      <c r="W40" s="119"/>
      <c r="X40" s="119"/>
      <c r="Y40" s="119"/>
      <c r="Z40" s="119"/>
      <c r="AA40" s="119"/>
      <c r="AB40" s="119"/>
      <c r="AC40" s="119"/>
      <c r="AD40" s="1091"/>
      <c r="AE40" s="303" t="s">
        <v>337</v>
      </c>
      <c r="AF40" s="120"/>
      <c r="AG40" s="119"/>
      <c r="AH40" s="119"/>
      <c r="AI40" s="119"/>
      <c r="AJ40" s="119"/>
      <c r="AK40" s="119"/>
      <c r="AL40" s="119"/>
      <c r="AM40" s="119"/>
      <c r="AN40" s="119"/>
      <c r="AO40" s="119"/>
      <c r="AP40" s="94"/>
      <c r="AQ40" s="94"/>
      <c r="AR40" s="94"/>
      <c r="AS40" s="94"/>
      <c r="AT40" s="94"/>
      <c r="AU40" s="94"/>
      <c r="AV40" s="94"/>
      <c r="AW40" s="94"/>
      <c r="AX40" s="94"/>
      <c r="AY40" s="94"/>
      <c r="AZ40" s="94"/>
      <c r="BA40" s="94"/>
      <c r="BB40" s="94"/>
      <c r="BC40" s="94"/>
      <c r="BD40" s="94"/>
      <c r="BE40" s="94"/>
      <c r="BF40" s="94"/>
      <c r="BG40" s="94"/>
      <c r="BH40" s="94"/>
      <c r="BI40" s="94"/>
      <c r="BJ40" s="94"/>
      <c r="BK40" s="94"/>
      <c r="BL40" s="94"/>
      <c r="BM40" s="94"/>
      <c r="BN40" s="94"/>
      <c r="BO40" s="94"/>
      <c r="BP40" s="94"/>
    </row>
    <row r="41" spans="1:68" s="91" customFormat="1" x14ac:dyDescent="0.25">
      <c r="A41" s="93"/>
      <c r="B41" s="3063"/>
      <c r="C41" s="3060"/>
      <c r="D41" s="3048"/>
      <c r="E41" s="811"/>
      <c r="F41" s="254" t="str">
        <f>IF('General Information'!$I$12="IP","Adjustment: in. w. c.","Adjustment: Pa")</f>
        <v>Adjustment: in. w. c.</v>
      </c>
      <c r="G41" s="815"/>
      <c r="H41" s="262"/>
      <c r="I41" s="267"/>
      <c r="J41" s="815"/>
      <c r="K41" s="805" t="str">
        <f>IF('General Information'!$I$12="IP","0.5","125")</f>
        <v>0.5</v>
      </c>
      <c r="L41" s="666" t="str">
        <f>IF('General Information'!$I$12="IP","0.5","125")</f>
        <v>0.5</v>
      </c>
      <c r="M41" s="815"/>
      <c r="N41" s="303" t="s">
        <v>337</v>
      </c>
      <c r="O41" s="303" t="s">
        <v>337</v>
      </c>
      <c r="P41" s="1544"/>
      <c r="Q41" s="1548">
        <f>IF($Q$39="SI",535,2.15)</f>
        <v>2.15</v>
      </c>
      <c r="R41" s="120"/>
      <c r="S41" s="2285"/>
      <c r="T41" s="2287"/>
      <c r="U41" s="120"/>
      <c r="V41" s="119"/>
      <c r="W41" s="119"/>
      <c r="X41" s="119"/>
      <c r="Y41" s="119"/>
      <c r="Z41" s="119"/>
      <c r="AA41" s="119"/>
      <c r="AB41" s="119"/>
      <c r="AC41" s="119"/>
      <c r="AD41" s="666" t="str">
        <f>IF('General Information'!$I$12="IP","0.5","125")</f>
        <v>0.5</v>
      </c>
      <c r="AE41" s="303" t="s">
        <v>337</v>
      </c>
      <c r="AF41" s="120"/>
      <c r="AG41" s="119"/>
      <c r="AH41" s="119"/>
      <c r="AI41" s="119"/>
      <c r="AJ41" s="119"/>
      <c r="AK41" s="119"/>
      <c r="AL41" s="119"/>
      <c r="AM41" s="119"/>
      <c r="AN41" s="119"/>
      <c r="AO41" s="119"/>
      <c r="AP41" s="94"/>
      <c r="AQ41" s="94"/>
      <c r="AR41" s="94"/>
      <c r="AS41" s="94"/>
      <c r="AT41" s="94"/>
      <c r="AU41" s="94"/>
      <c r="AV41" s="94"/>
      <c r="AW41" s="94"/>
      <c r="AX41" s="94"/>
      <c r="AY41" s="94"/>
      <c r="AZ41" s="94"/>
      <c r="BA41" s="94"/>
      <c r="BB41" s="94"/>
      <c r="BC41" s="94"/>
      <c r="BD41" s="94"/>
      <c r="BE41" s="94"/>
      <c r="BF41" s="94"/>
      <c r="BG41" s="94"/>
      <c r="BH41" s="94"/>
      <c r="BI41" s="94"/>
      <c r="BJ41" s="94"/>
      <c r="BK41" s="94"/>
      <c r="BL41" s="94"/>
      <c r="BM41" s="94"/>
      <c r="BN41" s="94"/>
      <c r="BO41" s="94"/>
      <c r="BP41" s="94"/>
    </row>
    <row r="42" spans="1:68" s="91" customFormat="1" x14ac:dyDescent="0.25">
      <c r="A42" s="93"/>
      <c r="B42" s="3063"/>
      <c r="C42" s="3059" t="s">
        <v>338</v>
      </c>
      <c r="D42" s="3047" t="s">
        <v>1907</v>
      </c>
      <c r="E42" s="811"/>
      <c r="F42" s="254" t="str">
        <f>IF('General Information'!$I$12="IP","CFMD: cfm","CFMD: L/s")</f>
        <v>CFMD: cfm</v>
      </c>
      <c r="G42" s="815"/>
      <c r="H42" s="262"/>
      <c r="I42" s="267"/>
      <c r="J42" s="815"/>
      <c r="K42" s="803"/>
      <c r="L42" s="1091"/>
      <c r="M42" s="815"/>
      <c r="N42" s="303" t="s">
        <v>337</v>
      </c>
      <c r="O42" s="303" t="s">
        <v>337</v>
      </c>
      <c r="P42" s="120"/>
      <c r="Q42" s="1546"/>
      <c r="R42" s="119"/>
      <c r="S42" s="2285"/>
      <c r="T42" s="2287"/>
      <c r="U42" s="120"/>
      <c r="V42" s="119"/>
      <c r="W42" s="119"/>
      <c r="X42" s="119"/>
      <c r="Y42" s="119"/>
      <c r="Z42" s="119"/>
      <c r="AA42" s="119"/>
      <c r="AB42" s="119"/>
      <c r="AC42" s="119"/>
      <c r="AD42" s="1091"/>
      <c r="AE42" s="303" t="s">
        <v>337</v>
      </c>
      <c r="AF42" s="120"/>
      <c r="AG42" s="119"/>
      <c r="AH42" s="119"/>
      <c r="AI42" s="119"/>
      <c r="AJ42" s="119"/>
      <c r="AK42" s="119"/>
      <c r="AL42" s="119"/>
      <c r="AM42" s="119"/>
      <c r="AN42" s="119"/>
      <c r="AO42" s="119"/>
      <c r="AP42" s="94"/>
      <c r="AQ42" s="94"/>
      <c r="AR42" s="94"/>
      <c r="AS42" s="94"/>
      <c r="AT42" s="94"/>
      <c r="AU42" s="94"/>
      <c r="AV42" s="94"/>
      <c r="AW42" s="94"/>
      <c r="AX42" s="94"/>
      <c r="AY42" s="94"/>
      <c r="AZ42" s="94"/>
      <c r="BA42" s="94"/>
      <c r="BB42" s="94"/>
      <c r="BC42" s="94"/>
      <c r="BD42" s="94"/>
      <c r="BE42" s="94"/>
      <c r="BF42" s="94"/>
      <c r="BG42" s="94"/>
      <c r="BH42" s="94"/>
      <c r="BI42" s="94"/>
      <c r="BJ42" s="94"/>
      <c r="BK42" s="94"/>
      <c r="BL42" s="94"/>
      <c r="BM42" s="94"/>
      <c r="BN42" s="94"/>
      <c r="BO42" s="94"/>
      <c r="BP42" s="94"/>
    </row>
    <row r="43" spans="1:68" s="91" customFormat="1" x14ac:dyDescent="0.25">
      <c r="A43" s="93"/>
      <c r="B43" s="3063"/>
      <c r="C43" s="3060"/>
      <c r="D43" s="3048"/>
      <c r="E43" s="811"/>
      <c r="F43" s="254" t="str">
        <f>IF('General Information'!$I$12="IP","Adjustment: in. w. c.","Adjustment: Pa")</f>
        <v>Adjustment: in. w. c.</v>
      </c>
      <c r="G43" s="815"/>
      <c r="H43" s="262"/>
      <c r="I43" s="267"/>
      <c r="J43" s="815"/>
      <c r="K43" s="803"/>
      <c r="L43" s="1091"/>
      <c r="M43" s="815"/>
      <c r="N43" s="303" t="s">
        <v>337</v>
      </c>
      <c r="O43" s="303" t="s">
        <v>337</v>
      </c>
      <c r="P43" s="120"/>
      <c r="Q43" s="119"/>
      <c r="R43" s="119"/>
      <c r="S43" s="2285"/>
      <c r="T43" s="2287"/>
      <c r="U43" s="120"/>
      <c r="V43" s="119"/>
      <c r="W43" s="119"/>
      <c r="X43" s="119"/>
      <c r="Y43" s="119"/>
      <c r="Z43" s="119"/>
      <c r="AA43" s="119"/>
      <c r="AB43" s="119"/>
      <c r="AC43" s="119"/>
      <c r="AD43" s="1091"/>
      <c r="AE43" s="303" t="s">
        <v>337</v>
      </c>
      <c r="AF43" s="120"/>
      <c r="AG43" s="119"/>
      <c r="AH43" s="119"/>
      <c r="AI43" s="119"/>
      <c r="AJ43" s="119"/>
      <c r="AK43" s="119"/>
      <c r="AL43" s="119"/>
      <c r="AM43" s="119"/>
      <c r="AN43" s="119"/>
      <c r="AO43" s="119"/>
      <c r="AP43" s="94"/>
      <c r="AQ43" s="94"/>
      <c r="AR43" s="94"/>
      <c r="AS43" s="94"/>
      <c r="AT43" s="94"/>
      <c r="AU43" s="94"/>
      <c r="AV43" s="94"/>
      <c r="AW43" s="94"/>
      <c r="AX43" s="94"/>
      <c r="AY43" s="94"/>
      <c r="AZ43" s="94"/>
      <c r="BA43" s="94"/>
      <c r="BB43" s="94"/>
      <c r="BC43" s="94"/>
      <c r="BD43" s="94"/>
      <c r="BE43" s="94"/>
      <c r="BF43" s="94"/>
      <c r="BG43" s="94"/>
      <c r="BH43" s="94"/>
      <c r="BI43" s="94"/>
      <c r="BJ43" s="94"/>
      <c r="BK43" s="94"/>
      <c r="BL43" s="94"/>
      <c r="BM43" s="94"/>
      <c r="BN43" s="94"/>
      <c r="BO43" s="94"/>
      <c r="BP43" s="94"/>
    </row>
    <row r="44" spans="1:68" s="91" customFormat="1" x14ac:dyDescent="0.25">
      <c r="A44" s="93"/>
      <c r="B44" s="3063"/>
      <c r="C44" s="3059" t="s">
        <v>420</v>
      </c>
      <c r="D44" s="3047" t="s">
        <v>1908</v>
      </c>
      <c r="E44" s="811"/>
      <c r="F44" s="254" t="str">
        <f>IF('General Information'!$I$12="IP","CFMD: cfm","CFMD: L/s")</f>
        <v>CFMD: cfm</v>
      </c>
      <c r="G44" s="815"/>
      <c r="H44" s="262"/>
      <c r="I44" s="267"/>
      <c r="J44" s="815"/>
      <c r="K44" s="803"/>
      <c r="L44" s="1091"/>
      <c r="M44" s="815"/>
      <c r="N44" s="303" t="s">
        <v>337</v>
      </c>
      <c r="O44" s="303" t="s">
        <v>337</v>
      </c>
      <c r="P44" s="120"/>
      <c r="Q44" s="119"/>
      <c r="R44" s="119"/>
      <c r="S44" s="2285"/>
      <c r="T44" s="2287"/>
      <c r="U44" s="120"/>
      <c r="V44" s="119"/>
      <c r="W44" s="119"/>
      <c r="X44" s="119"/>
      <c r="Y44" s="119"/>
      <c r="Z44" s="119"/>
      <c r="AA44" s="119"/>
      <c r="AB44" s="119"/>
      <c r="AC44" s="119"/>
      <c r="AD44" s="1091"/>
      <c r="AE44" s="303" t="s">
        <v>337</v>
      </c>
      <c r="AF44" s="120"/>
      <c r="AG44" s="119"/>
      <c r="AH44" s="119"/>
      <c r="AI44" s="119"/>
      <c r="AJ44" s="119"/>
      <c r="AK44" s="119"/>
      <c r="AL44" s="119"/>
      <c r="AM44" s="119"/>
      <c r="AN44" s="119"/>
      <c r="AO44" s="119"/>
      <c r="AP44" s="94"/>
      <c r="AQ44" s="94"/>
      <c r="AR44" s="94"/>
      <c r="AS44" s="94"/>
      <c r="AT44" s="94"/>
      <c r="AU44" s="94"/>
      <c r="AV44" s="94"/>
      <c r="AW44" s="94"/>
      <c r="AX44" s="94"/>
      <c r="AY44" s="94"/>
      <c r="AZ44" s="94"/>
      <c r="BA44" s="94"/>
      <c r="BB44" s="94"/>
      <c r="BC44" s="94"/>
      <c r="BD44" s="94"/>
      <c r="BE44" s="94"/>
      <c r="BF44" s="94"/>
      <c r="BG44" s="94"/>
      <c r="BH44" s="94"/>
      <c r="BI44" s="94"/>
      <c r="BJ44" s="94"/>
      <c r="BK44" s="94"/>
      <c r="BL44" s="94"/>
      <c r="BM44" s="94"/>
      <c r="BN44" s="94"/>
      <c r="BO44" s="94"/>
      <c r="BP44" s="94"/>
    </row>
    <row r="45" spans="1:68" s="91" customFormat="1" x14ac:dyDescent="0.25">
      <c r="A45" s="93"/>
      <c r="B45" s="3063"/>
      <c r="C45" s="3060"/>
      <c r="D45" s="3048"/>
      <c r="E45" s="811"/>
      <c r="F45" s="254" t="str">
        <f>IF('General Information'!$I$12="IP","Adjustment: in. w. c.","Adjustment: Pa")</f>
        <v>Adjustment: in. w. c.</v>
      </c>
      <c r="G45" s="815"/>
      <c r="H45" s="262"/>
      <c r="I45" s="267"/>
      <c r="J45" s="815"/>
      <c r="K45" s="805" t="str">
        <f>IF('General Information'!$I$12="IP","0.5","125")</f>
        <v>0.5</v>
      </c>
      <c r="L45" s="666" t="str">
        <f>IF('General Information'!$I$12="IP","0.5","125")</f>
        <v>0.5</v>
      </c>
      <c r="M45" s="815"/>
      <c r="N45" s="303" t="s">
        <v>337</v>
      </c>
      <c r="O45" s="303" t="s">
        <v>337</v>
      </c>
      <c r="P45" s="120"/>
      <c r="Q45" s="119"/>
      <c r="R45" s="119"/>
      <c r="S45" s="2285"/>
      <c r="T45" s="2287"/>
      <c r="U45" s="120"/>
      <c r="V45" s="119"/>
      <c r="W45" s="119"/>
      <c r="X45" s="119"/>
      <c r="Y45" s="119"/>
      <c r="Z45" s="119"/>
      <c r="AA45" s="119"/>
      <c r="AB45" s="119"/>
      <c r="AC45" s="119"/>
      <c r="AD45" s="666" t="str">
        <f>IF('General Information'!$I$12="IP","0.5","125")</f>
        <v>0.5</v>
      </c>
      <c r="AE45" s="303" t="s">
        <v>337</v>
      </c>
      <c r="AF45" s="120"/>
      <c r="AG45" s="119"/>
      <c r="AH45" s="119"/>
      <c r="AI45" s="119"/>
      <c r="AJ45" s="119"/>
      <c r="AK45" s="119"/>
      <c r="AL45" s="119"/>
      <c r="AM45" s="119"/>
      <c r="AN45" s="119"/>
      <c r="AO45" s="119"/>
      <c r="AP45" s="94"/>
      <c r="AQ45" s="94"/>
      <c r="AR45" s="94"/>
      <c r="AS45" s="94"/>
      <c r="AT45" s="94"/>
      <c r="AU45" s="94"/>
      <c r="AV45" s="94"/>
      <c r="AW45" s="94"/>
      <c r="AX45" s="94"/>
      <c r="AY45" s="94"/>
      <c r="AZ45" s="94"/>
      <c r="BA45" s="94"/>
      <c r="BB45" s="94"/>
      <c r="BC45" s="94"/>
      <c r="BD45" s="94"/>
      <c r="BE45" s="94"/>
      <c r="BF45" s="94"/>
      <c r="BG45" s="94"/>
      <c r="BH45" s="94"/>
      <c r="BI45" s="94"/>
      <c r="BJ45" s="94"/>
      <c r="BK45" s="94"/>
      <c r="BL45" s="94"/>
      <c r="BM45" s="94"/>
      <c r="BN45" s="94"/>
      <c r="BO45" s="94"/>
      <c r="BP45" s="94"/>
    </row>
    <row r="46" spans="1:68" s="91" customFormat="1" x14ac:dyDescent="0.25">
      <c r="A46" s="93"/>
      <c r="B46" s="3063"/>
      <c r="C46" s="3059" t="s">
        <v>421</v>
      </c>
      <c r="D46" s="3047" t="s">
        <v>1909</v>
      </c>
      <c r="E46" s="811"/>
      <c r="F46" s="254" t="str">
        <f>IF('General Information'!$I$12="IP","CFMD: cfm","CFMD: L/s")</f>
        <v>CFMD: cfm</v>
      </c>
      <c r="G46" s="815"/>
      <c r="H46" s="262"/>
      <c r="I46" s="267"/>
      <c r="J46" s="815"/>
      <c r="K46" s="803">
        <v>25138</v>
      </c>
      <c r="L46" s="1091"/>
      <c r="M46" s="815"/>
      <c r="N46" s="303" t="s">
        <v>337</v>
      </c>
      <c r="O46" s="303" t="s">
        <v>337</v>
      </c>
      <c r="P46" s="120"/>
      <c r="Q46" s="119"/>
      <c r="R46" s="119"/>
      <c r="S46" s="2285"/>
      <c r="T46" s="2287"/>
      <c r="U46" s="120"/>
      <c r="V46" s="119"/>
      <c r="W46" s="119"/>
      <c r="X46" s="119"/>
      <c r="Y46" s="119"/>
      <c r="Z46" s="119"/>
      <c r="AA46" s="119"/>
      <c r="AB46" s="119"/>
      <c r="AC46" s="119"/>
      <c r="AD46" s="1091"/>
      <c r="AE46" s="303" t="s">
        <v>337</v>
      </c>
      <c r="AF46" s="120"/>
      <c r="AG46" s="119"/>
      <c r="AH46" s="119"/>
      <c r="AI46" s="119"/>
      <c r="AJ46" s="119"/>
      <c r="AK46" s="119"/>
      <c r="AL46" s="119"/>
      <c r="AM46" s="119"/>
      <c r="AN46" s="119"/>
      <c r="AO46" s="119"/>
      <c r="AP46" s="94"/>
      <c r="AQ46" s="94"/>
      <c r="AR46" s="94"/>
      <c r="AS46" s="94"/>
      <c r="AT46" s="94"/>
      <c r="AU46" s="94"/>
      <c r="AV46" s="94"/>
      <c r="AW46" s="94"/>
      <c r="AX46" s="94"/>
      <c r="AY46" s="94"/>
      <c r="AZ46" s="94"/>
      <c r="BA46" s="94"/>
      <c r="BB46" s="94"/>
      <c r="BC46" s="94"/>
      <c r="BD46" s="94"/>
      <c r="BE46" s="94"/>
      <c r="BF46" s="94"/>
      <c r="BG46" s="94"/>
      <c r="BH46" s="94"/>
      <c r="BI46" s="94"/>
      <c r="BJ46" s="94"/>
      <c r="BK46" s="94"/>
      <c r="BL46" s="94"/>
      <c r="BM46" s="94"/>
      <c r="BN46" s="94"/>
      <c r="BO46" s="94"/>
      <c r="BP46" s="94"/>
    </row>
    <row r="47" spans="1:68" s="91" customFormat="1" x14ac:dyDescent="0.25">
      <c r="A47" s="93"/>
      <c r="B47" s="3063"/>
      <c r="C47" s="3060"/>
      <c r="D47" s="3048"/>
      <c r="E47" s="811"/>
      <c r="F47" s="254" t="str">
        <f>IF('General Information'!$I$12="IP","Adjustment: in. w. c.","Adjustment: Pa")</f>
        <v>Adjustment: in. w. c.</v>
      </c>
      <c r="G47" s="815"/>
      <c r="H47" s="262"/>
      <c r="I47" s="267"/>
      <c r="J47" s="815"/>
      <c r="K47" s="805" t="str">
        <f>IF('General Information'!$I$12="IP","0.9","225")</f>
        <v>0.9</v>
      </c>
      <c r="L47" s="666" t="str">
        <f>IF('General Information'!$I$12="IP","0.9","225")</f>
        <v>0.9</v>
      </c>
      <c r="M47" s="815"/>
      <c r="N47" s="303" t="s">
        <v>337</v>
      </c>
      <c r="O47" s="303" t="s">
        <v>337</v>
      </c>
      <c r="P47" s="120"/>
      <c r="Q47" s="119"/>
      <c r="R47" s="119"/>
      <c r="S47" s="2285"/>
      <c r="T47" s="2287"/>
      <c r="U47" s="120"/>
      <c r="V47" s="119"/>
      <c r="W47" s="119"/>
      <c r="X47" s="119"/>
      <c r="Y47" s="119"/>
      <c r="Z47" s="119"/>
      <c r="AA47" s="119"/>
      <c r="AB47" s="119"/>
      <c r="AC47" s="119"/>
      <c r="AD47" s="666" t="str">
        <f>IF('General Information'!$I$12="IP","0.9","225")</f>
        <v>0.9</v>
      </c>
      <c r="AE47" s="303" t="s">
        <v>337</v>
      </c>
      <c r="AF47" s="120"/>
      <c r="AG47" s="119"/>
      <c r="AH47" s="119"/>
      <c r="AI47" s="119"/>
      <c r="AJ47" s="119"/>
      <c r="AK47" s="119"/>
      <c r="AL47" s="119"/>
      <c r="AM47" s="119"/>
      <c r="AN47" s="119"/>
      <c r="AO47" s="119"/>
      <c r="AP47" s="94"/>
      <c r="AQ47" s="94"/>
      <c r="AR47" s="94"/>
      <c r="AS47" s="94"/>
      <c r="AT47" s="94"/>
      <c r="AU47" s="94"/>
      <c r="AV47" s="94"/>
      <c r="AW47" s="94"/>
      <c r="AX47" s="94"/>
      <c r="AY47" s="94"/>
      <c r="AZ47" s="94"/>
      <c r="BA47" s="94"/>
      <c r="BB47" s="94"/>
      <c r="BC47" s="94"/>
      <c r="BD47" s="94"/>
      <c r="BE47" s="94"/>
      <c r="BF47" s="94"/>
      <c r="BG47" s="94"/>
      <c r="BH47" s="94"/>
      <c r="BI47" s="94"/>
      <c r="BJ47" s="94"/>
      <c r="BK47" s="94"/>
      <c r="BL47" s="94"/>
      <c r="BM47" s="94"/>
      <c r="BN47" s="94"/>
      <c r="BO47" s="94"/>
      <c r="BP47" s="94"/>
    </row>
    <row r="48" spans="1:68" s="91" customFormat="1" x14ac:dyDescent="0.25">
      <c r="A48" s="93"/>
      <c r="B48" s="3063"/>
      <c r="C48" s="3059" t="s">
        <v>422</v>
      </c>
      <c r="D48" s="3047" t="s">
        <v>1910</v>
      </c>
      <c r="E48" s="811"/>
      <c r="F48" s="254" t="str">
        <f>IF('General Information'!$I$12="IP","CFMD: cfm","CFMD: L/s")</f>
        <v>CFMD: cfm</v>
      </c>
      <c r="G48" s="815"/>
      <c r="H48" s="262"/>
      <c r="I48" s="267"/>
      <c r="J48" s="815"/>
      <c r="K48" s="803"/>
      <c r="L48" s="1091"/>
      <c r="M48" s="815"/>
      <c r="N48" s="303" t="s">
        <v>337</v>
      </c>
      <c r="O48" s="303" t="s">
        <v>337</v>
      </c>
      <c r="P48" s="120"/>
      <c r="Q48" s="119"/>
      <c r="R48" s="119"/>
      <c r="S48" s="2285"/>
      <c r="T48" s="2287"/>
      <c r="U48" s="120"/>
      <c r="V48" s="119"/>
      <c r="W48" s="119"/>
      <c r="X48" s="119"/>
      <c r="Y48" s="119"/>
      <c r="Z48" s="119"/>
      <c r="AA48" s="119"/>
      <c r="AB48" s="119"/>
      <c r="AC48" s="119"/>
      <c r="AD48" s="1091"/>
      <c r="AE48" s="303" t="s">
        <v>337</v>
      </c>
      <c r="AF48" s="120"/>
      <c r="AG48" s="119"/>
      <c r="AH48" s="119"/>
      <c r="AI48" s="119"/>
      <c r="AJ48" s="119"/>
      <c r="AK48" s="119"/>
      <c r="AL48" s="119"/>
      <c r="AM48" s="119"/>
      <c r="AN48" s="119"/>
      <c r="AO48" s="119"/>
      <c r="AP48" s="94"/>
      <c r="AQ48" s="94"/>
      <c r="AR48" s="94"/>
      <c r="AS48" s="94"/>
      <c r="AT48" s="94"/>
      <c r="AU48" s="94"/>
      <c r="AV48" s="94"/>
      <c r="AW48" s="94"/>
      <c r="AX48" s="94"/>
      <c r="AY48" s="94"/>
      <c r="AZ48" s="94"/>
      <c r="BA48" s="94"/>
      <c r="BB48" s="94"/>
      <c r="BC48" s="94"/>
      <c r="BD48" s="94"/>
      <c r="BE48" s="94"/>
      <c r="BF48" s="94"/>
      <c r="BG48" s="94"/>
      <c r="BH48" s="94"/>
      <c r="BI48" s="94"/>
      <c r="BJ48" s="94"/>
      <c r="BK48" s="94"/>
      <c r="BL48" s="94"/>
      <c r="BM48" s="94"/>
      <c r="BN48" s="94"/>
      <c r="BO48" s="94"/>
      <c r="BP48" s="94"/>
    </row>
    <row r="49" spans="1:68" s="91" customFormat="1" x14ac:dyDescent="0.25">
      <c r="A49" s="93"/>
      <c r="B49" s="3063"/>
      <c r="C49" s="3060"/>
      <c r="D49" s="3048"/>
      <c r="E49" s="811"/>
      <c r="F49" s="254" t="str">
        <f>IF('General Information'!$I$12="IP","Adjustment: in. w. c.","Adjustment: Pa")</f>
        <v>Adjustment: in. w. c.</v>
      </c>
      <c r="G49" s="815"/>
      <c r="H49" s="262"/>
      <c r="I49" s="267"/>
      <c r="J49" s="815"/>
      <c r="K49" s="803"/>
      <c r="L49" s="1091"/>
      <c r="M49" s="815"/>
      <c r="N49" s="303" t="s">
        <v>337</v>
      </c>
      <c r="O49" s="303" t="s">
        <v>337</v>
      </c>
      <c r="P49" s="120"/>
      <c r="Q49" s="119"/>
      <c r="R49" s="119"/>
      <c r="S49" s="2285"/>
      <c r="T49" s="2287"/>
      <c r="U49" s="120"/>
      <c r="V49" s="119"/>
      <c r="W49" s="119"/>
      <c r="X49" s="119"/>
      <c r="Y49" s="119"/>
      <c r="Z49" s="119"/>
      <c r="AA49" s="119"/>
      <c r="AB49" s="119"/>
      <c r="AC49" s="119"/>
      <c r="AD49" s="1091"/>
      <c r="AE49" s="303" t="s">
        <v>337</v>
      </c>
      <c r="AF49" s="120"/>
      <c r="AG49" s="119"/>
      <c r="AH49" s="119"/>
      <c r="AI49" s="119"/>
      <c r="AJ49" s="119"/>
      <c r="AK49" s="119"/>
      <c r="AL49" s="119"/>
      <c r="AM49" s="119"/>
      <c r="AN49" s="119"/>
      <c r="AO49" s="119"/>
      <c r="AP49" s="94"/>
      <c r="AQ49" s="94"/>
      <c r="AR49" s="94"/>
      <c r="AS49" s="94"/>
      <c r="AT49" s="94"/>
      <c r="AU49" s="94"/>
      <c r="AV49" s="94"/>
      <c r="AW49" s="94"/>
      <c r="AX49" s="94"/>
      <c r="AY49" s="94"/>
      <c r="AZ49" s="94"/>
      <c r="BA49" s="94"/>
      <c r="BB49" s="94"/>
      <c r="BC49" s="94"/>
      <c r="BD49" s="94"/>
      <c r="BE49" s="94"/>
      <c r="BF49" s="94"/>
      <c r="BG49" s="94"/>
      <c r="BH49" s="94"/>
      <c r="BI49" s="94"/>
      <c r="BJ49" s="94"/>
      <c r="BK49" s="94"/>
      <c r="BL49" s="94"/>
      <c r="BM49" s="94"/>
      <c r="BN49" s="94"/>
      <c r="BO49" s="94"/>
      <c r="BP49" s="94"/>
    </row>
    <row r="50" spans="1:68" s="91" customFormat="1" x14ac:dyDescent="0.25">
      <c r="A50" s="93"/>
      <c r="B50" s="3063"/>
      <c r="C50" s="3059" t="s">
        <v>251</v>
      </c>
      <c r="D50" s="3047" t="s">
        <v>1911</v>
      </c>
      <c r="E50" s="811"/>
      <c r="F50" s="254" t="str">
        <f>IF('General Information'!$I$12="IP","CFMD: cfm","CFMD: L/s")</f>
        <v>CFMD: cfm</v>
      </c>
      <c r="G50" s="815"/>
      <c r="H50" s="262"/>
      <c r="I50" s="267"/>
      <c r="J50" s="815"/>
      <c r="K50" s="803"/>
      <c r="L50" s="1091"/>
      <c r="M50" s="815"/>
      <c r="N50" s="303" t="s">
        <v>337</v>
      </c>
      <c r="O50" s="303" t="s">
        <v>337</v>
      </c>
      <c r="P50" s="120"/>
      <c r="Q50" s="119"/>
      <c r="R50" s="119"/>
      <c r="S50" s="2285"/>
      <c r="T50" s="2287"/>
      <c r="U50" s="120"/>
      <c r="V50" s="119"/>
      <c r="W50" s="119"/>
      <c r="X50" s="119"/>
      <c r="Y50" s="119"/>
      <c r="Z50" s="119"/>
      <c r="AA50" s="119"/>
      <c r="AB50" s="119"/>
      <c r="AC50" s="119"/>
      <c r="AD50" s="1091"/>
      <c r="AE50" s="303" t="s">
        <v>337</v>
      </c>
      <c r="AF50" s="120"/>
      <c r="AG50" s="119"/>
      <c r="AH50" s="119"/>
      <c r="AI50" s="119"/>
      <c r="AJ50" s="119"/>
      <c r="AK50" s="119"/>
      <c r="AL50" s="119"/>
      <c r="AM50" s="119"/>
      <c r="AN50" s="119"/>
      <c r="AO50" s="119"/>
      <c r="AP50" s="94"/>
      <c r="AQ50" s="94"/>
      <c r="AR50" s="94"/>
      <c r="AS50" s="94"/>
      <c r="AT50" s="94"/>
      <c r="AU50" s="94"/>
      <c r="AV50" s="94"/>
      <c r="AW50" s="94"/>
      <c r="AX50" s="94"/>
      <c r="AY50" s="94"/>
      <c r="AZ50" s="94"/>
      <c r="BA50" s="94"/>
      <c r="BB50" s="94"/>
      <c r="BC50" s="94"/>
      <c r="BD50" s="94"/>
      <c r="BE50" s="94"/>
      <c r="BF50" s="94"/>
      <c r="BG50" s="94"/>
      <c r="BH50" s="94"/>
      <c r="BI50" s="94"/>
      <c r="BJ50" s="94"/>
      <c r="BK50" s="94"/>
      <c r="BL50" s="94"/>
      <c r="BM50" s="94"/>
      <c r="BN50" s="94"/>
      <c r="BO50" s="94"/>
      <c r="BP50" s="94"/>
    </row>
    <row r="51" spans="1:68" s="91" customFormat="1" x14ac:dyDescent="0.25">
      <c r="A51" s="93"/>
      <c r="B51" s="3063"/>
      <c r="C51" s="3060"/>
      <c r="D51" s="3048"/>
      <c r="E51" s="811"/>
      <c r="F51" s="254" t="str">
        <f>IF('General Information'!$I$12="IP","Adjustment: in. w. c.","Adjustment: Pa")</f>
        <v>Adjustment: in. w. c.</v>
      </c>
      <c r="G51" s="815"/>
      <c r="H51" s="262"/>
      <c r="I51" s="267"/>
      <c r="J51" s="815"/>
      <c r="K51" s="803"/>
      <c r="L51" s="1091"/>
      <c r="M51" s="815"/>
      <c r="N51" s="303" t="s">
        <v>337</v>
      </c>
      <c r="O51" s="303" t="s">
        <v>337</v>
      </c>
      <c r="P51" s="120"/>
      <c r="Q51" s="119"/>
      <c r="R51" s="119"/>
      <c r="S51" s="2285"/>
      <c r="T51" s="2287"/>
      <c r="U51" s="120"/>
      <c r="V51" s="119"/>
      <c r="W51" s="119"/>
      <c r="X51" s="119"/>
      <c r="Y51" s="119"/>
      <c r="Z51" s="119"/>
      <c r="AA51" s="119"/>
      <c r="AB51" s="119"/>
      <c r="AC51" s="119"/>
      <c r="AD51" s="1091"/>
      <c r="AE51" s="303" t="s">
        <v>337</v>
      </c>
      <c r="AF51" s="120"/>
      <c r="AG51" s="119"/>
      <c r="AH51" s="119"/>
      <c r="AI51" s="119"/>
      <c r="AJ51" s="119"/>
      <c r="AK51" s="119"/>
      <c r="AL51" s="119"/>
      <c r="AM51" s="119"/>
      <c r="AN51" s="119"/>
      <c r="AO51" s="119"/>
      <c r="AP51" s="94"/>
      <c r="AQ51" s="94"/>
      <c r="AR51" s="94"/>
      <c r="AS51" s="94"/>
      <c r="AT51" s="94"/>
      <c r="AU51" s="94"/>
      <c r="AV51" s="94"/>
      <c r="AW51" s="94"/>
      <c r="AX51" s="94"/>
      <c r="AY51" s="94"/>
      <c r="AZ51" s="94"/>
      <c r="BA51" s="94"/>
      <c r="BB51" s="94"/>
      <c r="BC51" s="94"/>
      <c r="BD51" s="94"/>
      <c r="BE51" s="94"/>
      <c r="BF51" s="94"/>
      <c r="BG51" s="94"/>
      <c r="BH51" s="94"/>
      <c r="BI51" s="94"/>
      <c r="BJ51" s="94"/>
      <c r="BK51" s="94"/>
      <c r="BL51" s="94"/>
      <c r="BM51" s="94"/>
      <c r="BN51" s="94"/>
      <c r="BO51" s="94"/>
      <c r="BP51" s="94"/>
    </row>
    <row r="52" spans="1:68" s="91" customFormat="1" x14ac:dyDescent="0.25">
      <c r="A52" s="93"/>
      <c r="B52" s="3063"/>
      <c r="C52" s="3059" t="s">
        <v>339</v>
      </c>
      <c r="D52" s="3047" t="s">
        <v>1912</v>
      </c>
      <c r="E52" s="811"/>
      <c r="F52" s="254" t="str">
        <f>IF('General Information'!$I$12="IP","CFMD: cfm","CFMD: L/s")</f>
        <v>CFMD: cfm</v>
      </c>
      <c r="G52" s="815"/>
      <c r="H52" s="262"/>
      <c r="I52" s="267"/>
      <c r="J52" s="815"/>
      <c r="K52" s="803"/>
      <c r="L52" s="1091"/>
      <c r="M52" s="815"/>
      <c r="N52" s="303" t="s">
        <v>337</v>
      </c>
      <c r="O52" s="303" t="s">
        <v>337</v>
      </c>
      <c r="P52" s="120"/>
      <c r="Q52" s="119"/>
      <c r="R52" s="119"/>
      <c r="S52" s="2285"/>
      <c r="T52" s="2287"/>
      <c r="U52" s="120"/>
      <c r="V52" s="119"/>
      <c r="W52" s="119"/>
      <c r="X52" s="119"/>
      <c r="Y52" s="119"/>
      <c r="Z52" s="119"/>
      <c r="AA52" s="119"/>
      <c r="AB52" s="119"/>
      <c r="AC52" s="119"/>
      <c r="AD52" s="1091"/>
      <c r="AE52" s="303" t="s">
        <v>337</v>
      </c>
      <c r="AF52" s="120"/>
      <c r="AG52" s="119"/>
      <c r="AH52" s="119"/>
      <c r="AI52" s="119"/>
      <c r="AJ52" s="119"/>
      <c r="AK52" s="119"/>
      <c r="AL52" s="119"/>
      <c r="AM52" s="119"/>
      <c r="AN52" s="119"/>
      <c r="AO52" s="119"/>
      <c r="AP52" s="94"/>
      <c r="AQ52" s="94"/>
      <c r="AR52" s="94"/>
      <c r="AS52" s="94"/>
      <c r="AT52" s="94"/>
      <c r="AU52" s="94"/>
      <c r="AV52" s="94"/>
      <c r="AW52" s="94"/>
      <c r="AX52" s="94"/>
      <c r="AY52" s="94"/>
      <c r="AZ52" s="94"/>
      <c r="BA52" s="94"/>
      <c r="BB52" s="94"/>
      <c r="BC52" s="94"/>
      <c r="BD52" s="94"/>
      <c r="BE52" s="94"/>
      <c r="BF52" s="94"/>
      <c r="BG52" s="94"/>
      <c r="BH52" s="94"/>
      <c r="BI52" s="94"/>
      <c r="BJ52" s="94"/>
      <c r="BK52" s="94"/>
      <c r="BL52" s="94"/>
      <c r="BM52" s="94"/>
      <c r="BN52" s="94"/>
      <c r="BO52" s="94"/>
      <c r="BP52" s="94"/>
    </row>
    <row r="53" spans="1:68" s="91" customFormat="1" x14ac:dyDescent="0.25">
      <c r="A53" s="93"/>
      <c r="B53" s="3063"/>
      <c r="C53" s="3060"/>
      <c r="D53" s="3048"/>
      <c r="E53" s="811"/>
      <c r="F53" s="254" t="str">
        <f>IF('General Information'!$I$12="IP","Adjustment: in. w. c.","Adjustment: Pa")</f>
        <v>Adjustment: in. w. c.</v>
      </c>
      <c r="G53" s="815"/>
      <c r="H53" s="262"/>
      <c r="I53" s="267"/>
      <c r="J53" s="815"/>
      <c r="K53" s="803"/>
      <c r="L53" s="1091"/>
      <c r="M53" s="815"/>
      <c r="N53" s="303" t="s">
        <v>337</v>
      </c>
      <c r="O53" s="303" t="s">
        <v>337</v>
      </c>
      <c r="P53" s="120"/>
      <c r="Q53" s="119"/>
      <c r="R53" s="119"/>
      <c r="S53" s="2285"/>
      <c r="T53" s="2287"/>
      <c r="U53" s="120"/>
      <c r="V53" s="119"/>
      <c r="W53" s="119"/>
      <c r="X53" s="119"/>
      <c r="Y53" s="119"/>
      <c r="Z53" s="119"/>
      <c r="AA53" s="119"/>
      <c r="AB53" s="119"/>
      <c r="AC53" s="119"/>
      <c r="AD53" s="1091"/>
      <c r="AE53" s="303" t="s">
        <v>337</v>
      </c>
      <c r="AF53" s="120"/>
      <c r="AG53" s="119"/>
      <c r="AH53" s="119"/>
      <c r="AI53" s="119"/>
      <c r="AJ53" s="119"/>
      <c r="AK53" s="119"/>
      <c r="AL53" s="119"/>
      <c r="AM53" s="119"/>
      <c r="AN53" s="119"/>
      <c r="AO53" s="119"/>
      <c r="AP53" s="94"/>
      <c r="AQ53" s="94"/>
      <c r="AR53" s="94"/>
      <c r="AS53" s="94"/>
      <c r="AT53" s="94"/>
      <c r="AU53" s="94"/>
      <c r="AV53" s="94"/>
      <c r="AW53" s="94"/>
      <c r="AX53" s="94"/>
      <c r="AY53" s="94"/>
      <c r="AZ53" s="94"/>
      <c r="BA53" s="94"/>
      <c r="BB53" s="94"/>
      <c r="BC53" s="94"/>
      <c r="BD53" s="94"/>
      <c r="BE53" s="94"/>
      <c r="BF53" s="94"/>
      <c r="BG53" s="94"/>
      <c r="BH53" s="94"/>
      <c r="BI53" s="94"/>
      <c r="BJ53" s="94"/>
      <c r="BK53" s="94"/>
      <c r="BL53" s="94"/>
      <c r="BM53" s="94"/>
      <c r="BN53" s="94"/>
      <c r="BO53" s="94"/>
      <c r="BP53" s="94"/>
    </row>
    <row r="54" spans="1:68" s="91" customFormat="1" x14ac:dyDescent="0.25">
      <c r="A54" s="93"/>
      <c r="B54" s="3063"/>
      <c r="C54" s="3059" t="s">
        <v>340</v>
      </c>
      <c r="D54" s="3047" t="s">
        <v>1913</v>
      </c>
      <c r="E54" s="811"/>
      <c r="F54" s="254" t="str">
        <f>IF('General Information'!$I$12="IP","CFMD: cfm","CFMD: L/s")</f>
        <v>CFMD: cfm</v>
      </c>
      <c r="G54" s="815"/>
      <c r="H54" s="262"/>
      <c r="I54" s="267"/>
      <c r="J54" s="815"/>
      <c r="K54" s="803"/>
      <c r="L54" s="1091"/>
      <c r="M54" s="815"/>
      <c r="N54" s="303" t="s">
        <v>337</v>
      </c>
      <c r="O54" s="303" t="s">
        <v>337</v>
      </c>
      <c r="P54" s="120"/>
      <c r="Q54" s="119"/>
      <c r="R54" s="119"/>
      <c r="S54" s="2285"/>
      <c r="T54" s="2287"/>
      <c r="U54" s="120"/>
      <c r="V54" s="119"/>
      <c r="W54" s="119"/>
      <c r="X54" s="119"/>
      <c r="Y54" s="119"/>
      <c r="Z54" s="119"/>
      <c r="AA54" s="119"/>
      <c r="AB54" s="119"/>
      <c r="AC54" s="119"/>
      <c r="AD54" s="1091"/>
      <c r="AE54" s="303" t="s">
        <v>337</v>
      </c>
      <c r="AF54" s="120"/>
      <c r="AG54" s="119"/>
      <c r="AH54" s="119"/>
      <c r="AI54" s="119"/>
      <c r="AJ54" s="119"/>
      <c r="AK54" s="119"/>
      <c r="AL54" s="119"/>
      <c r="AM54" s="119"/>
      <c r="AN54" s="119"/>
      <c r="AO54" s="119"/>
      <c r="AP54" s="94"/>
      <c r="AQ54" s="94"/>
      <c r="AR54" s="94"/>
      <c r="AS54" s="94"/>
      <c r="AT54" s="94"/>
      <c r="AU54" s="94"/>
      <c r="AV54" s="94"/>
      <c r="AW54" s="94"/>
      <c r="AX54" s="94"/>
      <c r="AY54" s="94"/>
      <c r="AZ54" s="94"/>
      <c r="BA54" s="94"/>
      <c r="BB54" s="94"/>
      <c r="BC54" s="94"/>
      <c r="BD54" s="94"/>
      <c r="BE54" s="94"/>
      <c r="BF54" s="94"/>
      <c r="BG54" s="94"/>
      <c r="BH54" s="94"/>
      <c r="BI54" s="94"/>
      <c r="BJ54" s="94"/>
      <c r="BK54" s="94"/>
      <c r="BL54" s="94"/>
      <c r="BM54" s="94"/>
      <c r="BN54" s="94"/>
      <c r="BO54" s="94"/>
      <c r="BP54" s="94"/>
    </row>
    <row r="55" spans="1:68" s="91" customFormat="1" x14ac:dyDescent="0.25">
      <c r="A55" s="93"/>
      <c r="B55" s="3063"/>
      <c r="C55" s="3060"/>
      <c r="D55" s="3048"/>
      <c r="E55" s="811"/>
      <c r="F55" s="254" t="str">
        <f>IF('General Information'!$I$12="IP","Adjustment: in. w. c.","Adjustment: Pa")</f>
        <v>Adjustment: in. w. c.</v>
      </c>
      <c r="G55" s="815"/>
      <c r="H55" s="262"/>
      <c r="I55" s="267"/>
      <c r="J55" s="815"/>
      <c r="K55" s="803"/>
      <c r="L55" s="1091"/>
      <c r="M55" s="815"/>
      <c r="N55" s="303" t="s">
        <v>337</v>
      </c>
      <c r="O55" s="303" t="s">
        <v>337</v>
      </c>
      <c r="P55" s="120"/>
      <c r="Q55" s="119"/>
      <c r="R55" s="119"/>
      <c r="S55" s="2285"/>
      <c r="T55" s="2287"/>
      <c r="U55" s="120"/>
      <c r="V55" s="119"/>
      <c r="W55" s="119"/>
      <c r="X55" s="119"/>
      <c r="Y55" s="119"/>
      <c r="Z55" s="119"/>
      <c r="AA55" s="119"/>
      <c r="AB55" s="119"/>
      <c r="AC55" s="119"/>
      <c r="AD55" s="1091"/>
      <c r="AE55" s="303" t="s">
        <v>337</v>
      </c>
      <c r="AF55" s="120"/>
      <c r="AG55" s="119"/>
      <c r="AH55" s="119"/>
      <c r="AI55" s="119"/>
      <c r="AJ55" s="119"/>
      <c r="AK55" s="119"/>
      <c r="AL55" s="119"/>
      <c r="AM55" s="119"/>
      <c r="AN55" s="119"/>
      <c r="AO55" s="119"/>
      <c r="AP55" s="94"/>
      <c r="AQ55" s="94"/>
      <c r="AR55" s="94"/>
      <c r="AS55" s="94"/>
      <c r="AT55" s="94"/>
      <c r="AU55" s="94"/>
      <c r="AV55" s="94"/>
      <c r="AW55" s="94"/>
      <c r="AX55" s="94"/>
      <c r="AY55" s="94"/>
      <c r="AZ55" s="94"/>
      <c r="BA55" s="94"/>
      <c r="BB55" s="94"/>
      <c r="BC55" s="94"/>
      <c r="BD55" s="94"/>
      <c r="BE55" s="94"/>
      <c r="BF55" s="94"/>
      <c r="BG55" s="94"/>
      <c r="BH55" s="94"/>
      <c r="BI55" s="94"/>
      <c r="BJ55" s="94"/>
      <c r="BK55" s="94"/>
      <c r="BL55" s="94"/>
      <c r="BM55" s="94"/>
      <c r="BN55" s="94"/>
      <c r="BO55" s="94"/>
      <c r="BP55" s="94"/>
    </row>
    <row r="56" spans="1:68" s="91" customFormat="1" x14ac:dyDescent="0.25">
      <c r="A56" s="93"/>
      <c r="B56" s="3063"/>
      <c r="C56" s="3059" t="s">
        <v>341</v>
      </c>
      <c r="D56" s="3047" t="s">
        <v>1914</v>
      </c>
      <c r="E56" s="811"/>
      <c r="F56" s="254" t="str">
        <f>IF('General Information'!$I$12="IP","CFMD: cfm","CFMD: L/s")</f>
        <v>CFMD: cfm</v>
      </c>
      <c r="G56" s="815"/>
      <c r="H56" s="262"/>
      <c r="I56" s="267"/>
      <c r="J56" s="815"/>
      <c r="K56" s="803"/>
      <c r="L56" s="1091"/>
      <c r="M56" s="815"/>
      <c r="N56" s="303" t="s">
        <v>337</v>
      </c>
      <c r="O56" s="303" t="s">
        <v>337</v>
      </c>
      <c r="P56" s="120"/>
      <c r="Q56" s="119"/>
      <c r="R56" s="119"/>
      <c r="S56" s="2285"/>
      <c r="T56" s="2287"/>
      <c r="U56" s="120"/>
      <c r="V56" s="119"/>
      <c r="W56" s="119"/>
      <c r="X56" s="119"/>
      <c r="Y56" s="119"/>
      <c r="Z56" s="119"/>
      <c r="AA56" s="119"/>
      <c r="AB56" s="119"/>
      <c r="AC56" s="119"/>
      <c r="AD56" s="1091"/>
      <c r="AE56" s="303" t="s">
        <v>337</v>
      </c>
      <c r="AF56" s="120"/>
      <c r="AG56" s="119"/>
      <c r="AH56" s="119"/>
      <c r="AI56" s="119"/>
      <c r="AJ56" s="119"/>
      <c r="AK56" s="119"/>
      <c r="AL56" s="119"/>
      <c r="AM56" s="119"/>
      <c r="AN56" s="119"/>
      <c r="AO56" s="119"/>
      <c r="AP56" s="94"/>
      <c r="AQ56" s="94"/>
      <c r="AR56" s="94"/>
      <c r="AS56" s="94"/>
      <c r="AT56" s="94"/>
      <c r="AU56" s="94"/>
      <c r="AV56" s="94"/>
      <c r="AW56" s="94"/>
      <c r="AX56" s="94"/>
      <c r="AY56" s="94"/>
      <c r="AZ56" s="94"/>
      <c r="BA56" s="94"/>
      <c r="BB56" s="94"/>
      <c r="BC56" s="94"/>
      <c r="BD56" s="94"/>
      <c r="BE56" s="94"/>
      <c r="BF56" s="94"/>
      <c r="BG56" s="94"/>
      <c r="BH56" s="94"/>
      <c r="BI56" s="94"/>
      <c r="BJ56" s="94"/>
      <c r="BK56" s="94"/>
      <c r="BL56" s="94"/>
      <c r="BM56" s="94"/>
      <c r="BN56" s="94"/>
      <c r="BO56" s="94"/>
      <c r="BP56" s="94"/>
    </row>
    <row r="57" spans="1:68" s="91" customFormat="1" x14ac:dyDescent="0.25">
      <c r="A57" s="93"/>
      <c r="B57" s="3063"/>
      <c r="C57" s="3060"/>
      <c r="D57" s="3048"/>
      <c r="E57" s="811"/>
      <c r="F57" s="254" t="str">
        <f>IF('General Information'!$I$12="IP","Adjustment: in. w. c.","Adjustment: Pa")</f>
        <v>Adjustment: in. w. c.</v>
      </c>
      <c r="G57" s="815"/>
      <c r="H57" s="262"/>
      <c r="I57" s="267"/>
      <c r="J57" s="815"/>
      <c r="K57" s="803"/>
      <c r="L57" s="1091"/>
      <c r="M57" s="815"/>
      <c r="N57" s="303" t="s">
        <v>337</v>
      </c>
      <c r="O57" s="303" t="s">
        <v>337</v>
      </c>
      <c r="P57" s="120"/>
      <c r="Q57" s="119"/>
      <c r="R57" s="119"/>
      <c r="S57" s="2285"/>
      <c r="T57" s="2287"/>
      <c r="U57" s="120"/>
      <c r="V57" s="119"/>
      <c r="W57" s="119"/>
      <c r="X57" s="119"/>
      <c r="Y57" s="119"/>
      <c r="Z57" s="119"/>
      <c r="AA57" s="119"/>
      <c r="AB57" s="119"/>
      <c r="AC57" s="119"/>
      <c r="AD57" s="1091"/>
      <c r="AE57" s="303" t="s">
        <v>337</v>
      </c>
      <c r="AF57" s="120"/>
      <c r="AG57" s="119"/>
      <c r="AH57" s="119"/>
      <c r="AI57" s="119"/>
      <c r="AJ57" s="119"/>
      <c r="AK57" s="119"/>
      <c r="AL57" s="119"/>
      <c r="AM57" s="119"/>
      <c r="AN57" s="119"/>
      <c r="AO57" s="119"/>
      <c r="AP57" s="94"/>
      <c r="AQ57" s="94"/>
      <c r="AR57" s="94"/>
      <c r="AS57" s="94"/>
      <c r="AT57" s="94"/>
      <c r="AU57" s="94"/>
      <c r="AV57" s="94"/>
      <c r="AW57" s="94"/>
      <c r="AX57" s="94"/>
      <c r="AY57" s="94"/>
      <c r="AZ57" s="94"/>
      <c r="BA57" s="94"/>
      <c r="BB57" s="94"/>
      <c r="BC57" s="94"/>
      <c r="BD57" s="94"/>
      <c r="BE57" s="94"/>
      <c r="BF57" s="94"/>
      <c r="BG57" s="94"/>
      <c r="BH57" s="94"/>
      <c r="BI57" s="94"/>
      <c r="BJ57" s="94"/>
      <c r="BK57" s="94"/>
      <c r="BL57" s="94"/>
      <c r="BM57" s="94"/>
      <c r="BN57" s="94"/>
      <c r="BO57" s="94"/>
      <c r="BP57" s="94"/>
    </row>
    <row r="58" spans="1:68" s="91" customFormat="1" x14ac:dyDescent="0.25">
      <c r="A58" s="93"/>
      <c r="B58" s="3063"/>
      <c r="C58" s="3059" t="s">
        <v>252</v>
      </c>
      <c r="D58" s="3047" t="s">
        <v>1915</v>
      </c>
      <c r="E58" s="811"/>
      <c r="F58" s="254" t="str">
        <f>IF('General Information'!$I$12="IP","CFMD: cfm","CFMD: L/s")</f>
        <v>CFMD: cfm</v>
      </c>
      <c r="G58" s="815"/>
      <c r="H58" s="262"/>
      <c r="I58" s="267"/>
      <c r="J58" s="815"/>
      <c r="K58" s="803"/>
      <c r="L58" s="1091"/>
      <c r="M58" s="815"/>
      <c r="N58" s="303" t="s">
        <v>337</v>
      </c>
      <c r="O58" s="303" t="s">
        <v>337</v>
      </c>
      <c r="P58" s="120"/>
      <c r="Q58" s="119"/>
      <c r="R58" s="119"/>
      <c r="S58" s="2285"/>
      <c r="T58" s="2287"/>
      <c r="U58" s="120"/>
      <c r="V58" s="119"/>
      <c r="W58" s="119"/>
      <c r="X58" s="119"/>
      <c r="Y58" s="119"/>
      <c r="Z58" s="119"/>
      <c r="AA58" s="119"/>
      <c r="AB58" s="119"/>
      <c r="AC58" s="119"/>
      <c r="AD58" s="1091"/>
      <c r="AE58" s="303" t="s">
        <v>337</v>
      </c>
      <c r="AF58" s="120"/>
      <c r="AG58" s="119"/>
      <c r="AH58" s="119"/>
      <c r="AI58" s="119"/>
      <c r="AJ58" s="119"/>
      <c r="AK58" s="119"/>
      <c r="AL58" s="119"/>
      <c r="AM58" s="119"/>
      <c r="AN58" s="119"/>
      <c r="AO58" s="119"/>
      <c r="AP58" s="94"/>
      <c r="AQ58" s="94"/>
      <c r="AR58" s="94"/>
      <c r="AS58" s="94"/>
      <c r="AT58" s="94"/>
      <c r="AU58" s="94"/>
      <c r="AV58" s="94"/>
      <c r="AW58" s="94"/>
      <c r="AX58" s="94"/>
      <c r="AY58" s="94"/>
      <c r="AZ58" s="94"/>
      <c r="BA58" s="94"/>
      <c r="BB58" s="94"/>
      <c r="BC58" s="94"/>
      <c r="BD58" s="94"/>
      <c r="BE58" s="94"/>
      <c r="BF58" s="94"/>
      <c r="BG58" s="94"/>
      <c r="BH58" s="94"/>
      <c r="BI58" s="94"/>
      <c r="BJ58" s="94"/>
      <c r="BK58" s="94"/>
      <c r="BL58" s="94"/>
      <c r="BM58" s="94"/>
      <c r="BN58" s="94"/>
      <c r="BO58" s="94"/>
      <c r="BP58" s="94"/>
    </row>
    <row r="59" spans="1:68" s="91" customFormat="1" x14ac:dyDescent="0.25">
      <c r="A59" s="93"/>
      <c r="B59" s="3063"/>
      <c r="C59" s="3060"/>
      <c r="D59" s="3048"/>
      <c r="E59" s="811"/>
      <c r="F59" s="254" t="str">
        <f>IF('General Information'!$I$12="IP","Adjustment: in. w. c.","Adjustment: Pa")</f>
        <v>Adjustment: in. w. c.</v>
      </c>
      <c r="G59" s="815"/>
      <c r="H59" s="262"/>
      <c r="I59" s="267"/>
      <c r="J59" s="815"/>
      <c r="K59" s="803"/>
      <c r="L59" s="1091"/>
      <c r="M59" s="815"/>
      <c r="N59" s="303" t="s">
        <v>337</v>
      </c>
      <c r="O59" s="303" t="s">
        <v>337</v>
      </c>
      <c r="P59" s="120"/>
      <c r="Q59" s="119"/>
      <c r="R59" s="119"/>
      <c r="S59" s="2285"/>
      <c r="T59" s="2287"/>
      <c r="U59" s="120"/>
      <c r="V59" s="119"/>
      <c r="W59" s="119"/>
      <c r="X59" s="119"/>
      <c r="Y59" s="119"/>
      <c r="Z59" s="119"/>
      <c r="AA59" s="119"/>
      <c r="AB59" s="119"/>
      <c r="AC59" s="119"/>
      <c r="AD59" s="1091"/>
      <c r="AE59" s="303" t="s">
        <v>337</v>
      </c>
      <c r="AF59" s="120"/>
      <c r="AG59" s="119"/>
      <c r="AH59" s="119"/>
      <c r="AI59" s="119"/>
      <c r="AJ59" s="119"/>
      <c r="AK59" s="119"/>
      <c r="AL59" s="119"/>
      <c r="AM59" s="119"/>
      <c r="AN59" s="119"/>
      <c r="AO59" s="119"/>
      <c r="AP59" s="94"/>
      <c r="AQ59" s="94"/>
      <c r="AR59" s="94"/>
      <c r="AS59" s="94"/>
      <c r="AT59" s="94"/>
      <c r="AU59" s="94"/>
      <c r="AV59" s="94"/>
      <c r="AW59" s="94"/>
      <c r="AX59" s="94"/>
      <c r="AY59" s="94"/>
      <c r="AZ59" s="94"/>
      <c r="BA59" s="94"/>
      <c r="BB59" s="94"/>
      <c r="BC59" s="94"/>
      <c r="BD59" s="94"/>
      <c r="BE59" s="94"/>
      <c r="BF59" s="94"/>
      <c r="BG59" s="94"/>
      <c r="BH59" s="94"/>
      <c r="BI59" s="94"/>
      <c r="BJ59" s="94"/>
      <c r="BK59" s="94"/>
      <c r="BL59" s="94"/>
      <c r="BM59" s="94"/>
      <c r="BN59" s="94"/>
      <c r="BO59" s="94"/>
      <c r="BP59" s="94"/>
    </row>
    <row r="60" spans="1:68" s="91" customFormat="1" x14ac:dyDescent="0.25">
      <c r="A60" s="93"/>
      <c r="B60" s="3063"/>
      <c r="C60" s="3059" t="s">
        <v>423</v>
      </c>
      <c r="D60" s="3047" t="s">
        <v>1916</v>
      </c>
      <c r="E60" s="811"/>
      <c r="F60" s="254" t="str">
        <f>IF('General Information'!$I$12="IP","CFMD: cfm","CFMD: L/s")</f>
        <v>CFMD: cfm</v>
      </c>
      <c r="G60" s="815"/>
      <c r="H60" s="262"/>
      <c r="I60" s="267"/>
      <c r="J60" s="815"/>
      <c r="K60" s="803"/>
      <c r="L60" s="1091"/>
      <c r="M60" s="815"/>
      <c r="N60" s="303" t="s">
        <v>337</v>
      </c>
      <c r="O60" s="303" t="s">
        <v>337</v>
      </c>
      <c r="P60" s="120"/>
      <c r="Q60" s="119"/>
      <c r="R60" s="119"/>
      <c r="S60" s="2285"/>
      <c r="T60" s="2287"/>
      <c r="U60" s="120"/>
      <c r="V60" s="119"/>
      <c r="W60" s="119"/>
      <c r="X60" s="119"/>
      <c r="Y60" s="119"/>
      <c r="Z60" s="119"/>
      <c r="AA60" s="119"/>
      <c r="AB60" s="119"/>
      <c r="AC60" s="119"/>
      <c r="AD60" s="1091"/>
      <c r="AE60" s="303" t="s">
        <v>337</v>
      </c>
      <c r="AF60" s="120"/>
      <c r="AG60" s="119"/>
      <c r="AH60" s="119"/>
      <c r="AI60" s="119"/>
      <c r="AJ60" s="119"/>
      <c r="AK60" s="119"/>
      <c r="AL60" s="119"/>
      <c r="AM60" s="119"/>
      <c r="AN60" s="119"/>
      <c r="AO60" s="119"/>
      <c r="AP60" s="94"/>
      <c r="AQ60" s="94"/>
      <c r="AR60" s="94"/>
      <c r="AS60" s="94"/>
      <c r="AT60" s="94"/>
      <c r="AU60" s="94"/>
      <c r="AV60" s="94"/>
      <c r="AW60" s="94"/>
      <c r="AX60" s="94"/>
      <c r="AY60" s="94"/>
      <c r="AZ60" s="94"/>
      <c r="BA60" s="94"/>
      <c r="BB60" s="94"/>
      <c r="BC60" s="94"/>
      <c r="BD60" s="94"/>
      <c r="BE60" s="94"/>
      <c r="BF60" s="94"/>
      <c r="BG60" s="94"/>
      <c r="BH60" s="94"/>
      <c r="BI60" s="94"/>
      <c r="BJ60" s="94"/>
      <c r="BK60" s="94"/>
      <c r="BL60" s="94"/>
      <c r="BM60" s="94"/>
      <c r="BN60" s="94"/>
      <c r="BO60" s="94"/>
      <c r="BP60" s="94"/>
    </row>
    <row r="61" spans="1:68" s="91" customFormat="1" x14ac:dyDescent="0.25">
      <c r="A61" s="93"/>
      <c r="B61" s="3063"/>
      <c r="C61" s="3060"/>
      <c r="D61" s="3048"/>
      <c r="E61" s="811"/>
      <c r="F61" s="254" t="str">
        <f>IF('General Information'!$I$12="IP","Adjustment: in. w. c.","Adjustment: Pa")</f>
        <v>Adjustment: in. w. c.</v>
      </c>
      <c r="G61" s="815"/>
      <c r="H61" s="262"/>
      <c r="I61" s="267"/>
      <c r="J61" s="815"/>
      <c r="K61" s="805" t="str">
        <f>IF('General Information'!$I$12="IP","0.15","38")</f>
        <v>0.15</v>
      </c>
      <c r="L61" s="666" t="str">
        <f>IF('General Information'!$I$12="IP","0.15","38")</f>
        <v>0.15</v>
      </c>
      <c r="M61" s="815"/>
      <c r="N61" s="303" t="s">
        <v>337</v>
      </c>
      <c r="O61" s="303" t="s">
        <v>337</v>
      </c>
      <c r="P61" s="120"/>
      <c r="Q61" s="119"/>
      <c r="R61" s="119"/>
      <c r="S61" s="2285"/>
      <c r="T61" s="2287"/>
      <c r="U61" s="120"/>
      <c r="V61" s="119"/>
      <c r="W61" s="119"/>
      <c r="X61" s="119"/>
      <c r="Y61" s="119"/>
      <c r="Z61" s="119"/>
      <c r="AA61" s="119"/>
      <c r="AB61" s="119"/>
      <c r="AC61" s="119"/>
      <c r="AD61" s="666" t="str">
        <f>IF('General Information'!$I$12="IP","0.15","38")</f>
        <v>0.15</v>
      </c>
      <c r="AE61" s="303" t="s">
        <v>337</v>
      </c>
      <c r="AF61" s="120"/>
      <c r="AG61" s="119"/>
      <c r="AH61" s="119"/>
      <c r="AI61" s="119"/>
      <c r="AJ61" s="119"/>
      <c r="AK61" s="119"/>
      <c r="AL61" s="119"/>
      <c r="AM61" s="119"/>
      <c r="AN61" s="119"/>
      <c r="AO61" s="119"/>
      <c r="AP61" s="94"/>
      <c r="AQ61" s="94"/>
      <c r="AR61" s="94"/>
      <c r="AS61" s="94"/>
      <c r="AT61" s="94"/>
      <c r="AU61" s="94"/>
      <c r="AV61" s="94"/>
      <c r="AW61" s="94"/>
      <c r="AX61" s="94"/>
      <c r="AY61" s="94"/>
      <c r="AZ61" s="94"/>
      <c r="BA61" s="94"/>
      <c r="BB61" s="94"/>
      <c r="BC61" s="94"/>
      <c r="BD61" s="94"/>
      <c r="BE61" s="94"/>
      <c r="BF61" s="94"/>
      <c r="BG61" s="94"/>
      <c r="BH61" s="94"/>
      <c r="BI61" s="94"/>
      <c r="BJ61" s="94"/>
      <c r="BK61" s="94"/>
      <c r="BL61" s="94"/>
      <c r="BM61" s="94"/>
      <c r="BN61" s="94"/>
      <c r="BO61" s="94"/>
      <c r="BP61" s="94"/>
    </row>
    <row r="62" spans="1:68" s="91" customFormat="1" x14ac:dyDescent="0.25">
      <c r="A62" s="93"/>
      <c r="B62" s="3063"/>
      <c r="C62" s="3059" t="s">
        <v>342</v>
      </c>
      <c r="D62" s="3047" t="s">
        <v>1917</v>
      </c>
      <c r="E62" s="811"/>
      <c r="F62" s="254" t="str">
        <f>IF('General Information'!$I$12="IP","CFMD: cfm","CFMD: L/s")</f>
        <v>CFMD: cfm</v>
      </c>
      <c r="G62" s="815"/>
      <c r="H62" s="262"/>
      <c r="I62" s="267"/>
      <c r="J62" s="815"/>
      <c r="K62" s="803"/>
      <c r="L62" s="1091"/>
      <c r="M62" s="815"/>
      <c r="N62" s="303" t="s">
        <v>337</v>
      </c>
      <c r="O62" s="303" t="s">
        <v>337</v>
      </c>
      <c r="P62" s="120"/>
      <c r="Q62" s="119"/>
      <c r="R62" s="119"/>
      <c r="S62" s="2285"/>
      <c r="T62" s="2287"/>
      <c r="U62" s="120"/>
      <c r="V62" s="119"/>
      <c r="W62" s="119"/>
      <c r="X62" s="119"/>
      <c r="Y62" s="119"/>
      <c r="Z62" s="119"/>
      <c r="AA62" s="119"/>
      <c r="AB62" s="119"/>
      <c r="AC62" s="119"/>
      <c r="AD62" s="1091"/>
      <c r="AE62" s="303" t="s">
        <v>337</v>
      </c>
      <c r="AF62" s="120"/>
      <c r="AG62" s="119"/>
      <c r="AH62" s="119"/>
      <c r="AI62" s="119"/>
      <c r="AJ62" s="119"/>
      <c r="AK62" s="119"/>
      <c r="AL62" s="119"/>
      <c r="AM62" s="119"/>
      <c r="AN62" s="119"/>
      <c r="AO62" s="119"/>
      <c r="AP62" s="94"/>
      <c r="AQ62" s="94"/>
      <c r="AR62" s="94"/>
      <c r="AS62" s="94"/>
      <c r="AT62" s="94"/>
      <c r="AU62" s="94"/>
      <c r="AV62" s="94"/>
      <c r="AW62" s="94"/>
      <c r="AX62" s="94"/>
      <c r="AY62" s="94"/>
      <c r="AZ62" s="94"/>
      <c r="BA62" s="94"/>
      <c r="BB62" s="94"/>
      <c r="BC62" s="94"/>
      <c r="BD62" s="94"/>
      <c r="BE62" s="94"/>
      <c r="BF62" s="94"/>
      <c r="BG62" s="94"/>
      <c r="BH62" s="94"/>
      <c r="BI62" s="94"/>
      <c r="BJ62" s="94"/>
      <c r="BK62" s="94"/>
      <c r="BL62" s="94"/>
      <c r="BM62" s="94"/>
      <c r="BN62" s="94"/>
      <c r="BO62" s="94"/>
      <c r="BP62" s="94"/>
    </row>
    <row r="63" spans="1:68" s="91" customFormat="1" x14ac:dyDescent="0.25">
      <c r="A63" s="93"/>
      <c r="B63" s="3063"/>
      <c r="C63" s="3060"/>
      <c r="D63" s="3048"/>
      <c r="E63" s="811"/>
      <c r="F63" s="254" t="str">
        <f>IF('General Information'!$I$12="IP","Adjustment: in. w. c.","Adjustment: Pa")</f>
        <v>Adjustment: in. w. c.</v>
      </c>
      <c r="G63" s="815"/>
      <c r="H63" s="262"/>
      <c r="I63" s="267"/>
      <c r="J63" s="815"/>
      <c r="K63" s="805" t="str">
        <f>IF('General Information'!$I$12="IP","0.35","85")</f>
        <v>0.35</v>
      </c>
      <c r="L63" s="666" t="str">
        <f>IF('General Information'!$I$12="IP","0.35","85")</f>
        <v>0.35</v>
      </c>
      <c r="M63" s="815"/>
      <c r="N63" s="303" t="s">
        <v>337</v>
      </c>
      <c r="O63" s="303" t="s">
        <v>337</v>
      </c>
      <c r="P63" s="120"/>
      <c r="Q63" s="119"/>
      <c r="R63" s="119"/>
      <c r="S63" s="2285"/>
      <c r="T63" s="2287"/>
      <c r="U63" s="120"/>
      <c r="V63" s="119"/>
      <c r="W63" s="119"/>
      <c r="X63" s="119"/>
      <c r="Y63" s="119"/>
      <c r="Z63" s="119"/>
      <c r="AA63" s="119"/>
      <c r="AB63" s="119"/>
      <c r="AC63" s="119"/>
      <c r="AD63" s="666" t="str">
        <f>IF('General Information'!$I$12="IP","0.35","85")</f>
        <v>0.35</v>
      </c>
      <c r="AE63" s="303" t="s">
        <v>337</v>
      </c>
      <c r="AF63" s="120"/>
      <c r="AG63" s="119"/>
      <c r="AH63" s="119"/>
      <c r="AI63" s="119"/>
      <c r="AJ63" s="119"/>
      <c r="AK63" s="119"/>
      <c r="AL63" s="119"/>
      <c r="AM63" s="119"/>
      <c r="AN63" s="119"/>
      <c r="AO63" s="119"/>
      <c r="AP63" s="94"/>
      <c r="AQ63" s="94"/>
      <c r="AR63" s="94"/>
      <c r="AS63" s="94"/>
      <c r="AT63" s="94"/>
      <c r="AU63" s="94"/>
      <c r="AV63" s="94"/>
      <c r="AW63" s="94"/>
      <c r="AX63" s="94"/>
      <c r="AY63" s="94"/>
      <c r="AZ63" s="94"/>
      <c r="BA63" s="94"/>
      <c r="BB63" s="94"/>
      <c r="BC63" s="94"/>
      <c r="BD63" s="94"/>
      <c r="BE63" s="94"/>
      <c r="BF63" s="94"/>
      <c r="BG63" s="94"/>
      <c r="BH63" s="94"/>
      <c r="BI63" s="94"/>
      <c r="BJ63" s="94"/>
      <c r="BK63" s="94"/>
      <c r="BL63" s="94"/>
      <c r="BM63" s="94"/>
      <c r="BN63" s="94"/>
      <c r="BO63" s="94"/>
      <c r="BP63" s="94"/>
    </row>
    <row r="64" spans="1:68" s="91" customFormat="1" x14ac:dyDescent="0.25">
      <c r="A64" s="93"/>
      <c r="B64" s="3063"/>
      <c r="C64" s="3059" t="s">
        <v>343</v>
      </c>
      <c r="D64" s="3047" t="s">
        <v>1918</v>
      </c>
      <c r="E64" s="811"/>
      <c r="F64" s="254" t="str">
        <f>IF('General Information'!$I$12="IP","CFMD: cfm","CFMD: L/s")</f>
        <v>CFMD: cfm</v>
      </c>
      <c r="G64" s="815"/>
      <c r="H64" s="262"/>
      <c r="I64" s="267"/>
      <c r="J64" s="815"/>
      <c r="K64" s="803"/>
      <c r="L64" s="1091"/>
      <c r="M64" s="815"/>
      <c r="N64" s="303" t="s">
        <v>337</v>
      </c>
      <c r="O64" s="303" t="s">
        <v>337</v>
      </c>
      <c r="P64" s="120"/>
      <c r="Q64" s="119"/>
      <c r="R64" s="119"/>
      <c r="S64" s="2285"/>
      <c r="T64" s="2287"/>
      <c r="U64" s="120"/>
      <c r="V64" s="119"/>
      <c r="W64" s="119"/>
      <c r="X64" s="119"/>
      <c r="Y64" s="119"/>
      <c r="Z64" s="119"/>
      <c r="AA64" s="119"/>
      <c r="AB64" s="119"/>
      <c r="AC64" s="119"/>
      <c r="AD64" s="1091"/>
      <c r="AE64" s="303" t="s">
        <v>337</v>
      </c>
      <c r="AF64" s="120"/>
      <c r="AG64" s="119"/>
      <c r="AH64" s="119"/>
      <c r="AI64" s="119"/>
      <c r="AJ64" s="119"/>
      <c r="AK64" s="119"/>
      <c r="AL64" s="119"/>
      <c r="AM64" s="119"/>
      <c r="AN64" s="119"/>
      <c r="AO64" s="119"/>
      <c r="AP64" s="94"/>
      <c r="AQ64" s="94"/>
      <c r="AR64" s="94"/>
      <c r="AS64" s="94"/>
      <c r="AT64" s="94"/>
      <c r="AU64" s="94"/>
      <c r="AV64" s="94"/>
      <c r="AW64" s="94"/>
      <c r="AX64" s="94"/>
      <c r="AY64" s="94"/>
      <c r="AZ64" s="94"/>
      <c r="BA64" s="94"/>
      <c r="BB64" s="94"/>
      <c r="BC64" s="94"/>
      <c r="BD64" s="94"/>
      <c r="BE64" s="94"/>
      <c r="BF64" s="94"/>
      <c r="BG64" s="94"/>
      <c r="BH64" s="94"/>
      <c r="BI64" s="94"/>
      <c r="BJ64" s="94"/>
      <c r="BK64" s="94"/>
      <c r="BL64" s="94"/>
      <c r="BM64" s="94"/>
      <c r="BN64" s="94"/>
      <c r="BO64" s="94"/>
      <c r="BP64" s="94"/>
    </row>
    <row r="65" spans="1:68" s="91" customFormat="1" x14ac:dyDescent="0.25">
      <c r="A65" s="93"/>
      <c r="B65" s="3063"/>
      <c r="C65" s="3061"/>
      <c r="D65" s="3048"/>
      <c r="E65" s="811"/>
      <c r="F65" s="574" t="str">
        <f>IF('General Information'!$I$12="IP","Adjustment: in. w. c.","Adjustment: Pa")</f>
        <v>Adjustment: in. w. c.</v>
      </c>
      <c r="G65" s="815"/>
      <c r="H65" s="264"/>
      <c r="I65" s="268"/>
      <c r="J65" s="815"/>
      <c r="K65" s="806"/>
      <c r="L65" s="279"/>
      <c r="M65" s="815"/>
      <c r="N65" s="575" t="s">
        <v>337</v>
      </c>
      <c r="O65" s="575" t="s">
        <v>337</v>
      </c>
      <c r="P65" s="120"/>
      <c r="Q65" s="119"/>
      <c r="R65" s="119"/>
      <c r="S65" s="2285"/>
      <c r="T65" s="2287"/>
      <c r="U65" s="120"/>
      <c r="V65" s="119"/>
      <c r="W65" s="119"/>
      <c r="X65" s="119"/>
      <c r="Y65" s="119"/>
      <c r="Z65" s="119"/>
      <c r="AA65" s="119"/>
      <c r="AB65" s="119"/>
      <c r="AC65" s="119"/>
      <c r="AD65" s="279"/>
      <c r="AE65" s="575" t="s">
        <v>337</v>
      </c>
      <c r="AF65" s="120"/>
      <c r="AG65" s="119"/>
      <c r="AH65" s="119"/>
      <c r="AI65" s="119"/>
      <c r="AJ65" s="119"/>
      <c r="AK65" s="119"/>
      <c r="AL65" s="119"/>
      <c r="AM65" s="119"/>
      <c r="AN65" s="119"/>
      <c r="AO65" s="119"/>
      <c r="AP65" s="94"/>
      <c r="AQ65" s="94"/>
      <c r="AR65" s="94"/>
      <c r="AS65" s="94"/>
      <c r="AT65" s="94"/>
      <c r="AU65" s="94"/>
      <c r="AV65" s="94"/>
      <c r="AW65" s="94"/>
      <c r="AX65" s="94"/>
      <c r="AY65" s="94"/>
      <c r="AZ65" s="94"/>
      <c r="BA65" s="94"/>
      <c r="BB65" s="94"/>
      <c r="BC65" s="94"/>
      <c r="BD65" s="94"/>
      <c r="BE65" s="94"/>
      <c r="BF65" s="94"/>
      <c r="BG65" s="94"/>
      <c r="BH65" s="94"/>
      <c r="BI65" s="94"/>
      <c r="BJ65" s="94"/>
      <c r="BK65" s="94"/>
      <c r="BL65" s="94"/>
      <c r="BM65" s="94"/>
      <c r="BN65" s="94"/>
      <c r="BO65" s="94"/>
      <c r="BP65" s="94"/>
    </row>
    <row r="66" spans="1:68" s="91" customFormat="1" ht="25.5" x14ac:dyDescent="0.25">
      <c r="A66" s="93"/>
      <c r="B66" s="3064"/>
      <c r="C66" s="568" t="s">
        <v>1104</v>
      </c>
      <c r="D66" s="2288"/>
      <c r="E66" s="1596"/>
      <c r="F66" s="781" t="str">
        <f>IF('General Information'!$I$12="IP","bhp","kWi")</f>
        <v>bhp</v>
      </c>
      <c r="G66" s="1600"/>
      <c r="H66" s="284"/>
      <c r="I66" s="285"/>
      <c r="J66" s="1600"/>
      <c r="K66" s="807">
        <f>((K38*K39)+(K40*K41)+(K42*K43)+(K44*K45)+(K46*K47)+(K48*K49)+(K50*K51)+(K52*K53)+(K54*K55)+(K56*K57)+(K58*K59)+(K60*K61)+(K62*K63)+(K64*K65))/IF('General Information'!$I$12="IP",4131,650000)</f>
        <v>5.4766884531590412</v>
      </c>
      <c r="L66" s="581">
        <f>((L38*L39)+(L40*L41)+(L42*L43)+(L44*L45)+(L46*L47)+(L48*L49)+(L50*L51)+(L52*L53)+(L54*L55)+(L56*L57)+(L58*L59)+(L60*L61)+(L62*L63)+(L64*L65))/IF('General Information'!$I$12="IP",4131,650000)</f>
        <v>0</v>
      </c>
      <c r="M66" s="815"/>
      <c r="N66" s="570" t="s">
        <v>337</v>
      </c>
      <c r="O66" s="570" t="s">
        <v>337</v>
      </c>
      <c r="P66" s="120"/>
      <c r="Q66" s="119"/>
      <c r="R66" s="119"/>
      <c r="S66" s="2285"/>
      <c r="T66" s="2287"/>
      <c r="U66" s="120"/>
      <c r="V66" s="119"/>
      <c r="W66" s="119"/>
      <c r="X66" s="119"/>
      <c r="Y66" s="119"/>
      <c r="Z66" s="119"/>
      <c r="AA66" s="119"/>
      <c r="AB66" s="119"/>
      <c r="AC66" s="119"/>
      <c r="AD66" s="581">
        <f>((AD38*AD39)+(AD40*AD41)+(AD42*AD43)+(AD44*AD45)+(AD46*AD47)+(AD48*AD49)+(AD50*AD51)+(AD52*AD53)+(AD54*AD55)+(AD56*AD57)+(AD58*AD59)+(AD60*AD61)+(AD62*AD63)+(AD64*AD65))/IF('General Information'!$I$12="IP",4131,650000)</f>
        <v>0</v>
      </c>
      <c r="AE66" s="570" t="s">
        <v>337</v>
      </c>
      <c r="AF66" s="120"/>
      <c r="AG66" s="119"/>
      <c r="AH66" s="119"/>
      <c r="AI66" s="119"/>
      <c r="AJ66" s="119"/>
      <c r="AK66" s="119"/>
      <c r="AL66" s="119"/>
      <c r="AM66" s="119"/>
      <c r="AN66" s="119"/>
      <c r="AO66" s="119"/>
      <c r="AP66" s="94"/>
      <c r="AQ66" s="94"/>
      <c r="AR66" s="94"/>
      <c r="AS66" s="94"/>
      <c r="AT66" s="94"/>
      <c r="AU66" s="94"/>
      <c r="AV66" s="94"/>
      <c r="AW66" s="94"/>
      <c r="AX66" s="94"/>
      <c r="AY66" s="94"/>
      <c r="AZ66" s="94"/>
      <c r="BA66" s="94"/>
      <c r="BB66" s="94"/>
      <c r="BC66" s="94"/>
      <c r="BD66" s="94"/>
      <c r="BE66" s="94"/>
      <c r="BF66" s="94"/>
      <c r="BG66" s="94"/>
      <c r="BH66" s="94"/>
      <c r="BI66" s="94"/>
      <c r="BJ66" s="94"/>
      <c r="BK66" s="94"/>
      <c r="BL66" s="94"/>
      <c r="BM66" s="94"/>
      <c r="BN66" s="94"/>
      <c r="BO66" s="94"/>
      <c r="BP66" s="94"/>
    </row>
    <row r="67" spans="1:68" x14ac:dyDescent="0.2">
      <c r="B67" s="3049" t="s">
        <v>1094</v>
      </c>
      <c r="C67" s="3051" t="s">
        <v>1095</v>
      </c>
      <c r="D67" s="3047" t="s">
        <v>1919</v>
      </c>
      <c r="E67" s="3053"/>
      <c r="F67" s="782" t="str">
        <f>IF('General Information'!$I$12="IP","cfm","L/s")</f>
        <v>cfm</v>
      </c>
      <c r="G67" s="1601"/>
      <c r="H67" s="577"/>
      <c r="I67" s="578"/>
      <c r="J67" s="1601"/>
      <c r="K67" s="808"/>
      <c r="L67" s="579"/>
      <c r="M67" s="815"/>
      <c r="N67" s="580" t="s">
        <v>337</v>
      </c>
      <c r="O67" s="580" t="s">
        <v>337</v>
      </c>
      <c r="P67" s="120"/>
      <c r="Q67" s="119"/>
      <c r="R67" s="119"/>
      <c r="S67" s="2285"/>
      <c r="T67" s="2287"/>
      <c r="U67" s="120"/>
      <c r="V67" s="119"/>
      <c r="W67" s="119"/>
      <c r="X67" s="119"/>
      <c r="Y67" s="119"/>
      <c r="Z67" s="119"/>
      <c r="AA67" s="119"/>
      <c r="AB67" s="119"/>
      <c r="AC67" s="119"/>
      <c r="AD67" s="579"/>
      <c r="AE67" s="580" t="s">
        <v>337</v>
      </c>
      <c r="AF67" s="120"/>
      <c r="AG67" s="119"/>
      <c r="AH67" s="119"/>
      <c r="AI67" s="119"/>
      <c r="AJ67" s="119"/>
      <c r="AK67" s="119"/>
      <c r="AL67" s="119"/>
      <c r="AM67" s="119"/>
      <c r="AN67" s="119"/>
      <c r="AO67" s="119"/>
    </row>
    <row r="68" spans="1:68" s="91" customFormat="1" x14ac:dyDescent="0.25">
      <c r="A68" s="93"/>
      <c r="B68" s="3050"/>
      <c r="C68" s="3052"/>
      <c r="D68" s="3048"/>
      <c r="E68" s="3054"/>
      <c r="F68" s="783" t="str">
        <f>"fan power per " &amp; F67 &amp; " (kW)"</f>
        <v>fan power per cfm (kW)</v>
      </c>
      <c r="G68" s="1602"/>
      <c r="H68" s="280"/>
      <c r="I68" s="281"/>
      <c r="J68" s="1602"/>
      <c r="K68" s="809" t="str">
        <f>IF('General Information'!$I$12="IP","0.000054","0.000114")</f>
        <v>0.000054</v>
      </c>
      <c r="L68" s="582" t="str">
        <f>IF('General Information'!$I$12="IP","0.000054","0.000114")</f>
        <v>0.000054</v>
      </c>
      <c r="M68" s="817"/>
      <c r="N68" s="299" t="s">
        <v>337</v>
      </c>
      <c r="O68" s="299" t="s">
        <v>337</v>
      </c>
      <c r="P68" s="120"/>
      <c r="Q68" s="119"/>
      <c r="R68" s="119"/>
      <c r="S68" s="2285"/>
      <c r="T68" s="2287"/>
      <c r="U68" s="120"/>
      <c r="V68" s="119"/>
      <c r="W68" s="119"/>
      <c r="X68" s="119"/>
      <c r="Y68" s="119"/>
      <c r="Z68" s="119"/>
      <c r="AA68" s="119"/>
      <c r="AB68" s="119"/>
      <c r="AC68" s="119"/>
      <c r="AD68" s="582" t="str">
        <f>IF('General Information'!$I$12="IP","0.000054","0.000114")</f>
        <v>0.000054</v>
      </c>
      <c r="AE68" s="299" t="s">
        <v>337</v>
      </c>
      <c r="AF68" s="120"/>
      <c r="AG68" s="119"/>
      <c r="AH68" s="119"/>
      <c r="AI68" s="119"/>
      <c r="AJ68" s="119"/>
      <c r="AK68" s="119"/>
      <c r="AL68" s="119"/>
      <c r="AM68" s="119"/>
      <c r="AN68" s="119"/>
      <c r="AO68" s="119"/>
      <c r="AP68" s="94"/>
      <c r="AQ68" s="94"/>
      <c r="AR68" s="94"/>
      <c r="AS68" s="94"/>
      <c r="AT68" s="94"/>
      <c r="AU68" s="94"/>
      <c r="AV68" s="94"/>
      <c r="AW68" s="94"/>
      <c r="AX68" s="94"/>
      <c r="AY68" s="94"/>
      <c r="AZ68" s="94"/>
      <c r="BA68" s="94"/>
      <c r="BB68" s="94"/>
      <c r="BC68" s="94"/>
      <c r="BD68" s="94"/>
      <c r="BE68" s="94"/>
      <c r="BF68" s="94"/>
      <c r="BG68" s="94"/>
      <c r="BH68" s="94"/>
      <c r="BI68" s="94"/>
      <c r="BJ68" s="94"/>
      <c r="BK68" s="94"/>
      <c r="BL68" s="94"/>
      <c r="BM68" s="94"/>
      <c r="BN68" s="94"/>
      <c r="BO68" s="94"/>
      <c r="BP68" s="94"/>
    </row>
    <row r="69" spans="1:68" s="91" customFormat="1" x14ac:dyDescent="0.2">
      <c r="C69" s="89"/>
      <c r="D69" s="89"/>
      <c r="H69" s="89"/>
      <c r="K69" s="89"/>
      <c r="L69" s="89"/>
      <c r="P69" s="2"/>
      <c r="Q69" s="2"/>
      <c r="R69" s="2"/>
      <c r="S69" s="2"/>
      <c r="T69" s="2"/>
      <c r="U69" s="2"/>
      <c r="V69" s="2"/>
      <c r="W69" s="94"/>
      <c r="X69" s="94"/>
      <c r="Y69" s="94"/>
      <c r="Z69" s="94"/>
      <c r="AA69" s="94"/>
      <c r="AB69" s="94"/>
      <c r="AC69" s="94"/>
      <c r="AD69" s="89"/>
      <c r="AF69" s="94"/>
      <c r="AG69" s="94"/>
      <c r="AH69" s="94"/>
      <c r="AI69" s="94"/>
      <c r="AJ69" s="94"/>
      <c r="AK69" s="94"/>
      <c r="AL69" s="94"/>
      <c r="AM69" s="94"/>
      <c r="AN69" s="94"/>
      <c r="AO69" s="94"/>
      <c r="AP69" s="94"/>
      <c r="AQ69" s="94"/>
      <c r="AR69" s="94"/>
      <c r="AS69" s="94"/>
      <c r="AT69" s="94"/>
      <c r="AU69" s="94"/>
      <c r="AV69" s="94"/>
      <c r="AW69" s="94"/>
      <c r="AX69" s="94"/>
      <c r="AY69" s="94"/>
      <c r="AZ69" s="94"/>
      <c r="BA69" s="94"/>
      <c r="BB69" s="94"/>
      <c r="BC69" s="94"/>
      <c r="BD69" s="94"/>
      <c r="BE69" s="94"/>
      <c r="BF69" s="94"/>
      <c r="BG69" s="94"/>
      <c r="BH69" s="94"/>
      <c r="BI69" s="94"/>
      <c r="BJ69" s="94"/>
      <c r="BK69" s="94"/>
      <c r="BL69" s="94"/>
      <c r="BM69" s="94"/>
      <c r="BN69" s="94"/>
      <c r="BO69" s="94"/>
      <c r="BP69" s="94"/>
    </row>
  </sheetData>
  <sheetProtection algorithmName="SHA-512" hashValue="gjl7lz6KG/vBlp0E/jzcFw9rJd6BVwFGJAdYg3e1Y5AKOwcBc3SoR1nyns7fYCS/flU9b+z9YwwJSBBAKivGCQ==" saltValue="tj9ZjdADqzshAHmKRu3K8w==" spinCount="100000" sheet="1" objects="1" scenarios="1"/>
  <customSheetViews>
    <customSheetView guid="{75D6F8CE-A4F4-4FDD-BA92-7996F9E19FA9}" scale="90" showGridLines="0" hiddenColumns="1">
      <pane xSplit="8" topLeftCell="I1" activePane="topRight" state="frozen"/>
      <selection pane="topRight" activeCell="B5" sqref="B5:H5"/>
      <pageMargins left="0.25" right="0.25" top="0.75" bottom="0.75" header="0.3" footer="0.3"/>
      <pageSetup scale="75" orientation="portrait" verticalDpi="1200" r:id="rId1"/>
      <headerFooter>
        <oddFooter>&amp;LTable 1.4 - Air-Side HVAC System Schedule</oddFooter>
      </headerFooter>
    </customSheetView>
  </customSheetViews>
  <mergeCells count="54">
    <mergeCell ref="B8:C16"/>
    <mergeCell ref="F8:F16"/>
    <mergeCell ref="H9:H16"/>
    <mergeCell ref="I9:I16"/>
    <mergeCell ref="B5:I5"/>
    <mergeCell ref="H8:I8"/>
    <mergeCell ref="D8:D16"/>
    <mergeCell ref="B17:C17"/>
    <mergeCell ref="B38:B66"/>
    <mergeCell ref="B32:B35"/>
    <mergeCell ref="B18:B20"/>
    <mergeCell ref="B22:B23"/>
    <mergeCell ref="B21:C21"/>
    <mergeCell ref="B24:C24"/>
    <mergeCell ref="B25:C25"/>
    <mergeCell ref="B26:C26"/>
    <mergeCell ref="B28:C28"/>
    <mergeCell ref="C42:C43"/>
    <mergeCell ref="C44:C45"/>
    <mergeCell ref="C46:C47"/>
    <mergeCell ref="B27:C27"/>
    <mergeCell ref="C38:C39"/>
    <mergeCell ref="C37:D37"/>
    <mergeCell ref="B67:B68"/>
    <mergeCell ref="C67:C68"/>
    <mergeCell ref="E67:E68"/>
    <mergeCell ref="B29:C29"/>
    <mergeCell ref="B30:B31"/>
    <mergeCell ref="C40:C41"/>
    <mergeCell ref="C60:C61"/>
    <mergeCell ref="C62:C63"/>
    <mergeCell ref="C64:C65"/>
    <mergeCell ref="C50:C51"/>
    <mergeCell ref="C52:C53"/>
    <mergeCell ref="C54:C55"/>
    <mergeCell ref="C56:C57"/>
    <mergeCell ref="C58:C59"/>
    <mergeCell ref="C48:C49"/>
    <mergeCell ref="D32:D36"/>
    <mergeCell ref="D38:D39"/>
    <mergeCell ref="D40:D41"/>
    <mergeCell ref="D42:D43"/>
    <mergeCell ref="D44:D45"/>
    <mergeCell ref="D46:D47"/>
    <mergeCell ref="D48:D49"/>
    <mergeCell ref="D50:D51"/>
    <mergeCell ref="D52:D53"/>
    <mergeCell ref="D54:D55"/>
    <mergeCell ref="D56:D57"/>
    <mergeCell ref="D58:D59"/>
    <mergeCell ref="D60:D61"/>
    <mergeCell ref="D62:D63"/>
    <mergeCell ref="D64:D65"/>
    <mergeCell ref="D67:D68"/>
  </mergeCells>
  <conditionalFormatting sqref="K31 M31:N31">
    <cfRule type="expression" dxfId="54" priority="37">
      <formula>IF(K$30="Yes",TRUE,FALSE)</formula>
    </cfRule>
  </conditionalFormatting>
  <conditionalFormatting sqref="AD31">
    <cfRule type="expression" dxfId="53" priority="36">
      <formula>IF(AD$30="Yes",TRUE,FALSE)</formula>
    </cfRule>
  </conditionalFormatting>
  <conditionalFormatting sqref="AE31">
    <cfRule type="expression" dxfId="52" priority="35">
      <formula>IF(AE$30="Yes",TRUE,FALSE)</formula>
    </cfRule>
  </conditionalFormatting>
  <conditionalFormatting sqref="L31">
    <cfRule type="expression" dxfId="51" priority="2">
      <formula>IF(L$30="Yes",TRUE,FALSE)</formula>
    </cfRule>
  </conditionalFormatting>
  <conditionalFormatting sqref="O31">
    <cfRule type="expression" dxfId="50" priority="1">
      <formula>IF(O$30="Yes",TRUE,FALSE)</formula>
    </cfRule>
  </conditionalFormatting>
  <dataValidations xWindow="736" yWindow="623" count="19">
    <dataValidation allowBlank="1" showErrorMessage="1" prompt="Describe all pressure drop adjustments used in the Baseline fan power calculations for this HVAC system (or this group of simiar systems), including the devices and corresponding pressure drop adjustments (example: fully ducted return - 0.5 in. w.c.)" sqref="K66:L66 AD66 AD36:AD37 K36:L37" xr:uid="{00000000-0002-0000-0F00-000000000000}"/>
    <dataValidation type="list" allowBlank="1" showInputMessage="1" showErrorMessage="1" sqref="AD39 K39:L39" xr:uid="{00000000-0002-0000-0F00-000001000000}">
      <formula1>$Q$40:$Q$41</formula1>
    </dataValidation>
    <dataValidation type="list" allowBlank="1" showInputMessage="1" sqref="AD28 K28:L28" xr:uid="{00000000-0002-0000-0F00-000002000000}">
      <formula1>"Not Required,75,70,65"</formula1>
    </dataValidation>
    <dataValidation type="list" allowBlank="1" sqref="AD24:AE24 K24:L24 N24:O24" xr:uid="{00000000-0002-0000-0F00-000003000000}">
      <formula1>"Variable Speed, Constant Volume"</formula1>
    </dataValidation>
    <dataValidation type="list" allowBlank="1" showInputMessage="1" sqref="AD29 K29:L29" xr:uid="{00000000-0002-0000-0F00-000004000000}">
      <formula1>"Supply air temperature reset of 5°F under minimum cooling load conditions,Not Required"</formula1>
    </dataValidation>
    <dataValidation type="list" allowBlank="1" showInputMessage="1" sqref="AD27:AE27 K27:L27 N27:O27" xr:uid="{00000000-0002-0000-0F00-000005000000}">
      <formula1>"No,Yes"</formula1>
    </dataValidation>
    <dataValidation type="list" allowBlank="1" showInputMessage="1" showErrorMessage="1" sqref="AD30:AE30 K30:L30 N30:O30" xr:uid="{00000000-0002-0000-0F00-000006000000}">
      <formula1>"No,Yes"</formula1>
    </dataValidation>
    <dataValidation operator="greaterThanOrEqual" allowBlank="1" error="Please enter the value only (without any labels)" prompt="Enter the modeled outdoor airflow for this Baseline HVAC system (or the total outdoor airflow for this group of similar systems) in units of cfm (example: 650)" sqref="F25:F26" xr:uid="{00000000-0002-0000-0F00-000007000000}"/>
    <dataValidation type="list" allowBlank="1" showInputMessage="1" sqref="F19" xr:uid="{00000000-0002-0000-0F00-000008000000}">
      <formula1>"EER,SEER"</formula1>
    </dataValidation>
    <dataValidation type="list" allowBlank="1" showInputMessage="1" sqref="F19:F20" xr:uid="{00000000-0002-0000-0F00-000009000000}">
      <formula1>"IEER,IPLV"</formula1>
    </dataValidation>
    <dataValidation type="list" allowBlank="1" showInputMessage="1" sqref="F23" xr:uid="{00000000-0002-0000-0F00-00000A000000}">
      <formula1>"COP,HSPF,AFUE,%Et,%Ec"</formula1>
    </dataValidation>
    <dataValidation type="list" allowBlank="1" sqref="F28" xr:uid="{00000000-0002-0000-0F00-00000B000000}">
      <formula1>"°F,°C"</formula1>
    </dataValidation>
    <dataValidation type="list" operator="greaterThanOrEqual" allowBlank="1" error="Please enter the value only (without any labels)" prompt="_x000a__x000a__x000a_" sqref="F21:F22 F17:F18" xr:uid="{00000000-0002-0000-0F00-00000C000000}">
      <formula1>"kBtu/h, tons, kW, Btuh"</formula1>
    </dataValidation>
    <dataValidation allowBlank="1" sqref="F24" xr:uid="{00000000-0002-0000-0F00-00000D000000}"/>
    <dataValidation type="list" allowBlank="1" showInputMessage="1" showErrorMessage="1" sqref="AE12 N12:O12" xr:uid="{00000000-0002-0000-0F00-00000E000000}">
      <formula1>OFFSET(ProposedHVACModeled,1,0,ROWS(ProposedHVACModeled)-1,1)</formula1>
    </dataValidation>
    <dataValidation type="list" allowBlank="1" showInputMessage="1" showErrorMessage="1" sqref="AD10:AE10 L10 O10" xr:uid="{00000000-0002-0000-0F00-00000F000000}">
      <formula1>IF(MultipleBuildingsExist="YES",OFFSET(MBD_BSTotal_Index,1,0,ROWS(MBD_BSTotal_Index)-1,1), OFFSET(MBD_BSTotal_Index,2,0,ROWS(MBD_BSTotal_Index)-2,1))</formula1>
    </dataValidation>
    <dataValidation type="list" allowBlank="1" showInputMessage="1" showErrorMessage="1" sqref="K10 N10" xr:uid="{00000000-0002-0000-0F00-000010000000}">
      <formula1>BuildingIDLookupAlt</formula1>
    </dataValidation>
    <dataValidation allowBlank="1" showInputMessage="1" sqref="AE28:AE29 N28:O29" xr:uid="{00000000-0002-0000-0F00-000011000000}"/>
    <dataValidation type="list" allowBlank="1" showInputMessage="1" showErrorMessage="1" sqref="AD12 L12 K12" xr:uid="{CB7D15CA-EC80-4629-A76C-BF9345FDF4C1}">
      <formula1>",System 7 (District Heating &amp; Cooling) - VAV with Reheat"</formula1>
    </dataValidation>
  </dataValidations>
  <pageMargins left="0.25" right="0.25" top="0.75" bottom="0.75" header="0.3" footer="0.3"/>
  <pageSetup scale="75" orientation="portrait" verticalDpi="1200" r:id="rId2"/>
  <headerFooter>
    <oddFooter>&amp;LTable 1.4 - Air-Side HVAC System Schedule</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0" r:id="rId5" name="Button 30">
              <controlPr defaultSize="0" print="0" autoFill="0" autoPict="0" macro="[0]!AddSpaceBaseline">
                <anchor moveWithCells="1" sizeWithCells="1">
                  <from>
                    <xdr:col>2</xdr:col>
                    <xdr:colOff>1447800</xdr:colOff>
                    <xdr:row>5</xdr:row>
                    <xdr:rowOff>209550</xdr:rowOff>
                  </from>
                  <to>
                    <xdr:col>2</xdr:col>
                    <xdr:colOff>2714625</xdr:colOff>
                    <xdr:row>6</xdr:row>
                    <xdr:rowOff>228600</xdr:rowOff>
                  </to>
                </anchor>
              </controlPr>
            </control>
          </mc:Choice>
        </mc:AlternateContent>
        <mc:AlternateContent xmlns:mc="http://schemas.openxmlformats.org/markup-compatibility/2006">
          <mc:Choice Requires="x14">
            <control shapeId="15511" r:id="rId6" name="Button 1175">
              <controlPr defaultSize="0" print="0" autoFill="0" autoPict="0" macro="[0]!AddSpaceProposed">
                <anchor moveWithCells="1" sizeWithCells="1">
                  <from>
                    <xdr:col>3</xdr:col>
                    <xdr:colOff>104775</xdr:colOff>
                    <xdr:row>5</xdr:row>
                    <xdr:rowOff>209550</xdr:rowOff>
                  </from>
                  <to>
                    <xdr:col>3</xdr:col>
                    <xdr:colOff>1390650</xdr:colOff>
                    <xdr:row>6</xdr:row>
                    <xdr:rowOff>228600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1:N100"/>
  <sheetViews>
    <sheetView showGridLines="0" topLeftCell="A48" zoomScale="85" zoomScaleNormal="85" zoomScaleSheetLayoutView="120" zoomScalePageLayoutView="90" workbookViewId="0">
      <selection activeCell="J56" sqref="J56"/>
    </sheetView>
  </sheetViews>
  <sheetFormatPr defaultColWidth="12.7109375" defaultRowHeight="12.75" x14ac:dyDescent="0.2"/>
  <cols>
    <col min="1" max="1" width="2.7109375" style="498" customWidth="1"/>
    <col min="2" max="2" width="46.42578125" style="469" customWidth="1"/>
    <col min="3" max="3" width="66" style="469" customWidth="1"/>
    <col min="4" max="4" width="2.42578125" style="469" customWidth="1"/>
    <col min="5" max="5" width="14.7109375" style="469" customWidth="1"/>
    <col min="6" max="6" width="2.7109375" style="469" customWidth="1"/>
    <col min="7" max="7" width="38.7109375" style="469" customWidth="1"/>
    <col min="8" max="9" width="1.7109375" style="469" customWidth="1"/>
    <col min="10" max="10" width="38.7109375" style="469" customWidth="1"/>
    <col min="11" max="13" width="2.7109375" style="469" customWidth="1"/>
    <col min="14" max="14" width="50.7109375" style="469" customWidth="1"/>
    <col min="15" max="62" width="12.7109375" style="469" customWidth="1"/>
    <col min="63" max="16384" width="12.7109375" style="469"/>
  </cols>
  <sheetData>
    <row r="1" spans="1:14" s="466" customFormat="1" x14ac:dyDescent="0.25">
      <c r="A1" s="464"/>
      <c r="B1" s="465"/>
      <c r="C1" s="465"/>
      <c r="D1" s="465"/>
      <c r="E1" s="465"/>
      <c r="F1" s="465"/>
      <c r="G1" s="465"/>
      <c r="H1" s="465"/>
      <c r="I1" s="465"/>
      <c r="J1" s="465"/>
    </row>
    <row r="2" spans="1:14" s="466" customFormat="1" ht="24.75" customHeight="1" x14ac:dyDescent="0.25">
      <c r="A2" s="464"/>
      <c r="B2" s="467" t="s">
        <v>1042</v>
      </c>
      <c r="C2" s="467"/>
      <c r="D2" s="465"/>
      <c r="E2" s="468"/>
      <c r="F2" s="465"/>
      <c r="G2" s="468"/>
      <c r="H2" s="468"/>
      <c r="I2" s="468"/>
      <c r="J2" s="468"/>
    </row>
    <row r="3" spans="1:14" s="466" customFormat="1" ht="15" customHeight="1" x14ac:dyDescent="0.25">
      <c r="A3" s="464"/>
      <c r="B3" s="465"/>
      <c r="C3" s="465"/>
      <c r="D3" s="465"/>
      <c r="E3" s="465"/>
      <c r="F3" s="465"/>
      <c r="G3" s="465"/>
      <c r="H3" s="465"/>
      <c r="I3" s="465"/>
      <c r="J3" s="465"/>
    </row>
    <row r="4" spans="1:14" ht="20.25" customHeight="1" x14ac:dyDescent="0.2">
      <c r="A4" s="469"/>
    </row>
    <row r="5" spans="1:14" s="471" customFormat="1" ht="56.25" customHeight="1" x14ac:dyDescent="0.25">
      <c r="A5" s="470"/>
      <c r="B5" s="3097" t="s">
        <v>1163</v>
      </c>
      <c r="C5" s="3097"/>
      <c r="D5" s="3097"/>
      <c r="E5" s="3097"/>
      <c r="F5" s="3097"/>
      <c r="G5" s="3097"/>
      <c r="H5" s="1108"/>
      <c r="I5" s="1032"/>
      <c r="N5" s="2289" t="s">
        <v>2090</v>
      </c>
    </row>
    <row r="6" spans="1:14" s="472" customFormat="1" ht="15" customHeight="1" x14ac:dyDescent="0.25">
      <c r="B6" s="473"/>
      <c r="C6" s="473"/>
      <c r="D6" s="473"/>
      <c r="E6" s="473"/>
      <c r="F6" s="473"/>
      <c r="G6" s="473"/>
      <c r="H6" s="473"/>
      <c r="I6" s="473"/>
      <c r="J6" s="473"/>
    </row>
    <row r="7" spans="1:14" s="472" customFormat="1" ht="27.75" customHeight="1" x14ac:dyDescent="0.25">
      <c r="B7" s="474" t="s">
        <v>285</v>
      </c>
      <c r="C7" s="474"/>
      <c r="E7" s="475"/>
      <c r="G7" s="475"/>
      <c r="H7" s="475"/>
      <c r="I7" s="475"/>
      <c r="J7" s="475"/>
    </row>
    <row r="8" spans="1:14" ht="21.75" customHeight="1" x14ac:dyDescent="0.2">
      <c r="A8" s="476"/>
      <c r="B8" s="711" t="s">
        <v>172</v>
      </c>
      <c r="C8" s="711"/>
      <c r="G8" s="1611"/>
    </row>
    <row r="9" spans="1:14" s="472" customFormat="1" ht="19.5" customHeight="1" x14ac:dyDescent="0.25">
      <c r="D9" s="475"/>
      <c r="E9" s="475"/>
      <c r="F9" s="3098" t="s">
        <v>347</v>
      </c>
      <c r="G9" s="3098"/>
      <c r="H9" s="3098"/>
      <c r="I9" s="3098" t="s">
        <v>348</v>
      </c>
      <c r="J9" s="3098"/>
      <c r="K9" s="3098"/>
      <c r="L9" s="1115"/>
    </row>
    <row r="10" spans="1:14" s="471" customFormat="1" ht="36.75" customHeight="1" x14ac:dyDescent="0.25">
      <c r="A10" s="477"/>
      <c r="B10" s="478" t="s">
        <v>0</v>
      </c>
      <c r="C10" s="1488" t="s">
        <v>2018</v>
      </c>
      <c r="D10" s="478"/>
      <c r="E10" s="479" t="s">
        <v>173</v>
      </c>
      <c r="F10" s="1110"/>
      <c r="G10" s="1036" t="str">
        <f>'Multiple Buildings Details'!B24</f>
        <v>SEA Building Addition</v>
      </c>
      <c r="H10" s="1116"/>
      <c r="I10" s="1117"/>
      <c r="J10" s="1037" t="s">
        <v>1596</v>
      </c>
      <c r="K10" s="1126"/>
      <c r="N10" s="2290"/>
    </row>
    <row r="11" spans="1:14" s="471" customFormat="1" ht="90" x14ac:dyDescent="0.25">
      <c r="A11" s="477"/>
      <c r="B11" s="530" t="s">
        <v>401</v>
      </c>
      <c r="C11" s="1962" t="s">
        <v>1920</v>
      </c>
      <c r="D11" s="481"/>
      <c r="E11" s="293" t="s">
        <v>337</v>
      </c>
      <c r="F11" s="482"/>
      <c r="G11" s="461" t="s">
        <v>2281</v>
      </c>
      <c r="H11" s="1118"/>
      <c r="I11" s="1119"/>
      <c r="J11" s="461" t="s">
        <v>2282</v>
      </c>
      <c r="K11" s="1127"/>
      <c r="N11" s="2290"/>
    </row>
    <row r="12" spans="1:14" s="471" customFormat="1" ht="45" x14ac:dyDescent="0.25">
      <c r="A12" s="477"/>
      <c r="B12" s="531" t="s">
        <v>400</v>
      </c>
      <c r="C12" s="1963" t="s">
        <v>1921</v>
      </c>
      <c r="D12" s="483"/>
      <c r="E12" s="709" t="s">
        <v>1017</v>
      </c>
      <c r="F12" s="484"/>
      <c r="G12" s="294" t="s">
        <v>2259</v>
      </c>
      <c r="H12" s="1120"/>
      <c r="I12" s="1121"/>
      <c r="J12" s="294" t="s">
        <v>2287</v>
      </c>
      <c r="K12" s="1127"/>
      <c r="N12" s="2290"/>
    </row>
    <row r="13" spans="1:14" s="471" customFormat="1" x14ac:dyDescent="0.25">
      <c r="A13" s="477"/>
      <c r="B13" s="531" t="s">
        <v>399</v>
      </c>
      <c r="C13" s="1963" t="s">
        <v>1922</v>
      </c>
      <c r="D13" s="483"/>
      <c r="E13" s="499"/>
      <c r="F13" s="484"/>
      <c r="G13" s="294" t="s">
        <v>337</v>
      </c>
      <c r="H13" s="1120"/>
      <c r="I13" s="1121"/>
      <c r="J13" s="294" t="s">
        <v>337</v>
      </c>
      <c r="K13" s="1127"/>
      <c r="N13" s="2290"/>
    </row>
    <row r="14" spans="1:14" s="471" customFormat="1" x14ac:dyDescent="0.25">
      <c r="A14" s="477"/>
      <c r="B14" s="531" t="s">
        <v>398</v>
      </c>
      <c r="C14" s="1963" t="s">
        <v>1923</v>
      </c>
      <c r="D14" s="483"/>
      <c r="E14" s="499"/>
      <c r="F14" s="484"/>
      <c r="G14" s="294" t="s">
        <v>337</v>
      </c>
      <c r="H14" s="1120"/>
      <c r="I14" s="1121"/>
      <c r="J14" s="294" t="s">
        <v>337</v>
      </c>
      <c r="K14" s="1127"/>
      <c r="N14" s="2290"/>
    </row>
    <row r="15" spans="1:14" s="471" customFormat="1" x14ac:dyDescent="0.25">
      <c r="A15" s="477"/>
      <c r="B15" s="531" t="s">
        <v>397</v>
      </c>
      <c r="C15" s="1963" t="s">
        <v>1923</v>
      </c>
      <c r="D15" s="483"/>
      <c r="E15" s="499"/>
      <c r="F15" s="484"/>
      <c r="G15" s="294" t="s">
        <v>337</v>
      </c>
      <c r="H15" s="1120"/>
      <c r="I15" s="1121"/>
      <c r="J15" s="294" t="s">
        <v>337</v>
      </c>
      <c r="K15" s="1127"/>
      <c r="N15" s="2290"/>
    </row>
    <row r="16" spans="1:14" s="471" customFormat="1" ht="33.75" x14ac:dyDescent="0.25">
      <c r="A16" s="477"/>
      <c r="B16" s="531" t="s">
        <v>396</v>
      </c>
      <c r="C16" s="1963" t="s">
        <v>2081</v>
      </c>
      <c r="D16" s="483"/>
      <c r="E16" s="709" t="str">
        <f>IF('General Information'!$I$12="IP","°F","°C")</f>
        <v>°F</v>
      </c>
      <c r="F16" s="484"/>
      <c r="G16" s="294" t="s">
        <v>2259</v>
      </c>
      <c r="H16" s="1120"/>
      <c r="I16" s="1121"/>
      <c r="J16" s="294">
        <v>44</v>
      </c>
      <c r="K16" s="1127"/>
      <c r="N16" s="2290"/>
    </row>
    <row r="17" spans="1:14" s="471" customFormat="1" ht="33.75" x14ac:dyDescent="0.25">
      <c r="A17" s="477"/>
      <c r="B17" s="531" t="s">
        <v>350</v>
      </c>
      <c r="C17" s="1963" t="s">
        <v>2077</v>
      </c>
      <c r="D17" s="483"/>
      <c r="E17" s="708" t="str">
        <f>IF('General Information'!$I$12="IP","°F","°C")</f>
        <v>°F</v>
      </c>
      <c r="F17" s="484"/>
      <c r="G17" s="294" t="s">
        <v>2259</v>
      </c>
      <c r="H17" s="1120"/>
      <c r="I17" s="1121"/>
      <c r="J17" s="294">
        <v>10</v>
      </c>
      <c r="K17" s="1127"/>
      <c r="N17" s="2290"/>
    </row>
    <row r="18" spans="1:14" s="471" customFormat="1" ht="56.25" x14ac:dyDescent="0.25">
      <c r="A18" s="477"/>
      <c r="B18" s="531" t="s">
        <v>395</v>
      </c>
      <c r="C18" s="1963" t="s">
        <v>2078</v>
      </c>
      <c r="D18" s="483"/>
      <c r="E18" s="304" t="s">
        <v>337</v>
      </c>
      <c r="F18" s="484"/>
      <c r="G18" s="294" t="s">
        <v>2259</v>
      </c>
      <c r="H18" s="1118"/>
      <c r="I18" s="1119"/>
      <c r="J18" s="462" t="s">
        <v>2289</v>
      </c>
      <c r="K18" s="1127"/>
      <c r="N18" s="2290"/>
    </row>
    <row r="19" spans="1:14" s="471" customFormat="1" ht="45" x14ac:dyDescent="0.25">
      <c r="A19" s="477"/>
      <c r="B19" s="531" t="s">
        <v>394</v>
      </c>
      <c r="C19" s="1963" t="s">
        <v>2082</v>
      </c>
      <c r="D19" s="483"/>
      <c r="E19" s="304" t="s">
        <v>337</v>
      </c>
      <c r="F19" s="484"/>
      <c r="G19" s="294" t="s">
        <v>337</v>
      </c>
      <c r="H19" s="1118"/>
      <c r="I19" s="1119"/>
      <c r="J19" s="294" t="s">
        <v>337</v>
      </c>
      <c r="K19" s="1127"/>
      <c r="N19" s="2290"/>
    </row>
    <row r="20" spans="1:14" s="471" customFormat="1" ht="33.75" x14ac:dyDescent="0.25">
      <c r="A20" s="477"/>
      <c r="B20" s="532" t="s">
        <v>1018</v>
      </c>
      <c r="C20" s="1963" t="s">
        <v>2083</v>
      </c>
      <c r="D20" s="483"/>
      <c r="E20" s="709" t="s">
        <v>174</v>
      </c>
      <c r="F20" s="484"/>
      <c r="G20" s="294" t="s">
        <v>337</v>
      </c>
      <c r="H20" s="1120"/>
      <c r="I20" s="1121"/>
      <c r="J20" s="294" t="s">
        <v>337</v>
      </c>
      <c r="K20" s="1127"/>
      <c r="N20" s="2290"/>
    </row>
    <row r="21" spans="1:14" s="471" customFormat="1" ht="45" x14ac:dyDescent="0.25">
      <c r="A21" s="477"/>
      <c r="B21" s="531" t="s">
        <v>1002</v>
      </c>
      <c r="C21" s="1963" t="s">
        <v>2084</v>
      </c>
      <c r="D21" s="483"/>
      <c r="E21" s="499"/>
      <c r="F21" s="484"/>
      <c r="G21" s="294" t="s">
        <v>337</v>
      </c>
      <c r="H21" s="1120"/>
      <c r="I21" s="1121"/>
      <c r="J21" s="294" t="s">
        <v>337</v>
      </c>
      <c r="K21" s="1127"/>
      <c r="N21" s="2290"/>
    </row>
    <row r="22" spans="1:14" s="471" customFormat="1" x14ac:dyDescent="0.25">
      <c r="A22" s="477"/>
      <c r="B22" s="531" t="s">
        <v>1003</v>
      </c>
      <c r="C22" s="1963" t="s">
        <v>1924</v>
      </c>
      <c r="D22" s="483"/>
      <c r="E22" s="709" t="str">
        <f>IF('General Information'!$I$12="IP","gpm","L/s")</f>
        <v>gpm</v>
      </c>
      <c r="F22" s="484"/>
      <c r="G22" s="294" t="s">
        <v>337</v>
      </c>
      <c r="H22" s="1120"/>
      <c r="I22" s="1121"/>
      <c r="J22" s="294" t="s">
        <v>337</v>
      </c>
      <c r="K22" s="1127"/>
      <c r="N22" s="2290"/>
    </row>
    <row r="23" spans="1:14" s="471" customFormat="1" ht="22.5" x14ac:dyDescent="0.25">
      <c r="A23" s="477"/>
      <c r="B23" s="531" t="s">
        <v>1004</v>
      </c>
      <c r="C23" s="1963" t="s">
        <v>1925</v>
      </c>
      <c r="D23" s="483"/>
      <c r="E23" s="304" t="s">
        <v>337</v>
      </c>
      <c r="F23" s="484"/>
      <c r="G23" s="462" t="s">
        <v>2283</v>
      </c>
      <c r="H23" s="1118"/>
      <c r="I23" s="1119"/>
      <c r="J23" s="462" t="s">
        <v>2283</v>
      </c>
      <c r="K23" s="1127"/>
      <c r="N23" s="2290"/>
    </row>
    <row r="24" spans="1:14" s="471" customFormat="1" ht="45" x14ac:dyDescent="0.25">
      <c r="A24" s="477"/>
      <c r="B24" s="531" t="s">
        <v>1005</v>
      </c>
      <c r="C24" s="1963" t="s">
        <v>2085</v>
      </c>
      <c r="D24" s="483"/>
      <c r="E24" s="709" t="s">
        <v>174</v>
      </c>
      <c r="F24" s="484"/>
      <c r="G24" s="294" t="s">
        <v>2259</v>
      </c>
      <c r="H24" s="1120"/>
      <c r="I24" s="1121"/>
      <c r="J24" s="294">
        <v>2</v>
      </c>
      <c r="K24" s="1127"/>
      <c r="N24" s="2290"/>
    </row>
    <row r="25" spans="1:14" s="471" customFormat="1" ht="67.5" x14ac:dyDescent="0.25">
      <c r="A25" s="477"/>
      <c r="B25" s="531" t="s">
        <v>1006</v>
      </c>
      <c r="C25" s="1963" t="s">
        <v>2086</v>
      </c>
      <c r="D25" s="483"/>
      <c r="E25" s="499" t="s">
        <v>257</v>
      </c>
      <c r="F25" s="484"/>
      <c r="G25" s="294">
        <v>16</v>
      </c>
      <c r="H25" s="1120"/>
      <c r="I25" s="1121"/>
      <c r="J25" s="294">
        <v>16</v>
      </c>
      <c r="K25" s="1127"/>
      <c r="N25" s="2290"/>
    </row>
    <row r="26" spans="1:14" s="471" customFormat="1" x14ac:dyDescent="0.25">
      <c r="A26" s="477"/>
      <c r="B26" s="531" t="s">
        <v>1007</v>
      </c>
      <c r="C26" s="1963" t="s">
        <v>1924</v>
      </c>
      <c r="D26" s="483"/>
      <c r="E26" s="709" t="str">
        <f>IF('General Information'!$I$12="IP","gpm","L/s")</f>
        <v>gpm</v>
      </c>
      <c r="F26" s="484"/>
      <c r="G26" s="499">
        <v>302</v>
      </c>
      <c r="H26" s="1122"/>
      <c r="I26" s="1123"/>
      <c r="J26" s="499">
        <v>200</v>
      </c>
      <c r="K26" s="1127"/>
      <c r="N26" s="2290"/>
    </row>
    <row r="27" spans="1:14" s="471" customFormat="1" ht="22.5" x14ac:dyDescent="0.25">
      <c r="A27" s="477"/>
      <c r="B27" s="532" t="s">
        <v>1008</v>
      </c>
      <c r="C27" s="1963" t="s">
        <v>1926</v>
      </c>
      <c r="D27" s="483"/>
      <c r="E27" s="304" t="s">
        <v>337</v>
      </c>
      <c r="F27" s="484"/>
      <c r="G27" s="462" t="s">
        <v>2286</v>
      </c>
      <c r="H27" s="1118"/>
      <c r="I27" s="1119"/>
      <c r="J27" s="462" t="s">
        <v>2263</v>
      </c>
      <c r="K27" s="1127"/>
      <c r="N27" s="2290"/>
    </row>
    <row r="28" spans="1:14" s="471" customFormat="1" x14ac:dyDescent="0.25">
      <c r="A28" s="477"/>
      <c r="B28" s="531" t="s">
        <v>393</v>
      </c>
      <c r="C28" s="1963"/>
      <c r="D28" s="483"/>
      <c r="E28" s="304" t="s">
        <v>337</v>
      </c>
      <c r="F28" s="484"/>
      <c r="G28" s="294" t="s">
        <v>337</v>
      </c>
      <c r="H28" s="1118"/>
      <c r="I28" s="1119"/>
      <c r="J28" s="462" t="s">
        <v>337</v>
      </c>
      <c r="K28" s="1127"/>
      <c r="N28" s="2290"/>
    </row>
    <row r="29" spans="1:14" s="471" customFormat="1" x14ac:dyDescent="0.25">
      <c r="A29" s="477"/>
      <c r="B29" s="533" t="s">
        <v>392</v>
      </c>
      <c r="C29" s="1964"/>
      <c r="D29" s="485"/>
      <c r="E29" s="299" t="s">
        <v>337</v>
      </c>
      <c r="F29" s="486"/>
      <c r="G29" s="294" t="s">
        <v>337</v>
      </c>
      <c r="H29" s="1124"/>
      <c r="I29" s="1125"/>
      <c r="J29" s="463" t="s">
        <v>337</v>
      </c>
      <c r="K29" s="1128"/>
      <c r="N29" s="2290"/>
    </row>
    <row r="30" spans="1:14" s="487" customFormat="1" ht="21" customHeight="1" x14ac:dyDescent="0.25"/>
    <row r="31" spans="1:14" s="472" customFormat="1" ht="26.25" customHeight="1" x14ac:dyDescent="0.25">
      <c r="B31" s="711" t="s">
        <v>351</v>
      </c>
      <c r="C31" s="711"/>
      <c r="D31" s="475"/>
      <c r="E31" s="475"/>
      <c r="F31" s="475"/>
      <c r="G31" s="475"/>
      <c r="H31" s="475"/>
      <c r="I31" s="475"/>
      <c r="J31" s="475"/>
    </row>
    <row r="32" spans="1:14" s="471" customFormat="1" ht="36.75" customHeight="1" x14ac:dyDescent="0.25">
      <c r="A32" s="477"/>
      <c r="B32" s="478" t="s">
        <v>0</v>
      </c>
      <c r="C32" s="1488" t="s">
        <v>2018</v>
      </c>
      <c r="D32" s="478"/>
      <c r="E32" s="479" t="s">
        <v>173</v>
      </c>
      <c r="F32" s="478"/>
      <c r="G32" s="1111" t="str">
        <f>G10</f>
        <v>SEA Building Addition</v>
      </c>
      <c r="H32" s="1116"/>
      <c r="I32" s="1117"/>
      <c r="J32" s="1112" t="str">
        <f>J10</f>
        <v>Project</v>
      </c>
      <c r="K32" s="1126"/>
    </row>
    <row r="33" spans="1:14" s="471" customFormat="1" x14ac:dyDescent="0.25">
      <c r="A33" s="477"/>
      <c r="B33" s="488" t="s">
        <v>391</v>
      </c>
      <c r="C33" s="1962" t="s">
        <v>1927</v>
      </c>
      <c r="D33" s="483"/>
      <c r="E33" s="710" t="s">
        <v>174</v>
      </c>
      <c r="F33" s="484"/>
      <c r="G33" s="294" t="s">
        <v>337</v>
      </c>
      <c r="H33" s="1120"/>
      <c r="I33" s="1121"/>
      <c r="J33" s="294" t="s">
        <v>337</v>
      </c>
      <c r="K33" s="1127"/>
      <c r="N33" s="2290"/>
    </row>
    <row r="34" spans="1:14" s="471" customFormat="1" ht="22.5" x14ac:dyDescent="0.25">
      <c r="A34" s="477"/>
      <c r="B34" s="489" t="s">
        <v>390</v>
      </c>
      <c r="C34" s="1963" t="s">
        <v>1928</v>
      </c>
      <c r="D34" s="483"/>
      <c r="E34" s="499"/>
      <c r="F34" s="484"/>
      <c r="G34" s="294" t="s">
        <v>337</v>
      </c>
      <c r="H34" s="1120"/>
      <c r="I34" s="1121"/>
      <c r="J34" s="294" t="s">
        <v>337</v>
      </c>
      <c r="K34" s="1127"/>
      <c r="N34" s="2290"/>
    </row>
    <row r="35" spans="1:14" s="471" customFormat="1" x14ac:dyDescent="0.25">
      <c r="A35" s="477"/>
      <c r="B35" s="489" t="s">
        <v>389</v>
      </c>
      <c r="C35" s="1963" t="s">
        <v>1929</v>
      </c>
      <c r="D35" s="483"/>
      <c r="E35" s="304" t="s">
        <v>337</v>
      </c>
      <c r="F35" s="484"/>
      <c r="G35" s="294" t="s">
        <v>337</v>
      </c>
      <c r="H35" s="1118"/>
      <c r="I35" s="1119"/>
      <c r="J35" s="294" t="s">
        <v>337</v>
      </c>
      <c r="K35" s="1127"/>
      <c r="N35" s="2290"/>
    </row>
    <row r="36" spans="1:14" s="471" customFormat="1" ht="22.5" x14ac:dyDescent="0.25">
      <c r="A36" s="477"/>
      <c r="B36" s="489" t="s">
        <v>388</v>
      </c>
      <c r="C36" s="1963" t="s">
        <v>1930</v>
      </c>
      <c r="D36" s="483"/>
      <c r="E36" s="708" t="str">
        <f>IF('General Information'!$I$12="IP","°F","°C")</f>
        <v>°F</v>
      </c>
      <c r="F36" s="484"/>
      <c r="G36" s="294" t="s">
        <v>337</v>
      </c>
      <c r="H36" s="1120"/>
      <c r="I36" s="1121"/>
      <c r="J36" s="294" t="s">
        <v>337</v>
      </c>
      <c r="K36" s="1127"/>
      <c r="N36" s="2290"/>
    </row>
    <row r="37" spans="1:14" s="471" customFormat="1" x14ac:dyDescent="0.25">
      <c r="A37" s="477"/>
      <c r="B37" s="489" t="s">
        <v>175</v>
      </c>
      <c r="C37" s="1963" t="s">
        <v>1931</v>
      </c>
      <c r="D37" s="483"/>
      <c r="E37" s="708" t="str">
        <f>IF('General Information'!$I$12="IP","°F","°C")</f>
        <v>°F</v>
      </c>
      <c r="F37" s="484"/>
      <c r="G37" s="294" t="s">
        <v>337</v>
      </c>
      <c r="H37" s="1120"/>
      <c r="I37" s="1121"/>
      <c r="J37" s="294" t="s">
        <v>337</v>
      </c>
      <c r="K37" s="1127"/>
      <c r="N37" s="2290"/>
    </row>
    <row r="38" spans="1:14" s="471" customFormat="1" ht="22.5" x14ac:dyDescent="0.25">
      <c r="A38" s="477"/>
      <c r="B38" s="489" t="s">
        <v>387</v>
      </c>
      <c r="C38" s="1963" t="s">
        <v>1932</v>
      </c>
      <c r="D38" s="483"/>
      <c r="E38" s="304" t="s">
        <v>337</v>
      </c>
      <c r="F38" s="484"/>
      <c r="G38" s="294" t="s">
        <v>337</v>
      </c>
      <c r="H38" s="1118"/>
      <c r="I38" s="1119"/>
      <c r="J38" s="294" t="s">
        <v>337</v>
      </c>
      <c r="K38" s="1127"/>
      <c r="N38" s="2290"/>
    </row>
    <row r="39" spans="1:14" s="471" customFormat="1" x14ac:dyDescent="0.25">
      <c r="A39" s="477"/>
      <c r="B39" s="489" t="s">
        <v>386</v>
      </c>
      <c r="C39" s="1963" t="s">
        <v>1933</v>
      </c>
      <c r="D39" s="483"/>
      <c r="E39" s="709" t="s">
        <v>174</v>
      </c>
      <c r="F39" s="484"/>
      <c r="G39" s="294" t="s">
        <v>337</v>
      </c>
      <c r="H39" s="1120"/>
      <c r="I39" s="1121"/>
      <c r="J39" s="294" t="s">
        <v>337</v>
      </c>
      <c r="K39" s="1127"/>
      <c r="N39" s="2290"/>
    </row>
    <row r="40" spans="1:14" s="471" customFormat="1" ht="22.5" x14ac:dyDescent="0.25">
      <c r="A40" s="477"/>
      <c r="B40" s="489" t="s">
        <v>385</v>
      </c>
      <c r="C40" s="1963" t="s">
        <v>1934</v>
      </c>
      <c r="D40" s="483"/>
      <c r="E40" s="499"/>
      <c r="F40" s="484"/>
      <c r="G40" s="294" t="s">
        <v>337</v>
      </c>
      <c r="H40" s="1120"/>
      <c r="I40" s="1121"/>
      <c r="J40" s="294" t="s">
        <v>337</v>
      </c>
      <c r="K40" s="1127"/>
      <c r="N40" s="2290"/>
    </row>
    <row r="41" spans="1:14" s="471" customFormat="1" x14ac:dyDescent="0.25">
      <c r="A41" s="477"/>
      <c r="B41" s="489" t="s">
        <v>384</v>
      </c>
      <c r="C41" s="1963" t="s">
        <v>1935</v>
      </c>
      <c r="D41" s="483"/>
      <c r="E41" s="709" t="str">
        <f>IF('General Information'!$I$12="IP","gpm","L/s")</f>
        <v>gpm</v>
      </c>
      <c r="F41" s="484"/>
      <c r="G41" s="294" t="s">
        <v>337</v>
      </c>
      <c r="H41" s="1120"/>
      <c r="I41" s="1121"/>
      <c r="J41" s="294" t="s">
        <v>337</v>
      </c>
      <c r="K41" s="1127"/>
      <c r="N41" s="2290"/>
    </row>
    <row r="42" spans="1:14" s="471" customFormat="1" x14ac:dyDescent="0.25">
      <c r="A42" s="477"/>
      <c r="B42" s="490" t="s">
        <v>383</v>
      </c>
      <c r="C42" s="1964" t="s">
        <v>1936</v>
      </c>
      <c r="D42" s="485"/>
      <c r="E42" s="299" t="s">
        <v>337</v>
      </c>
      <c r="F42" s="486"/>
      <c r="G42" s="294" t="s">
        <v>337</v>
      </c>
      <c r="H42" s="1124"/>
      <c r="I42" s="1125"/>
      <c r="J42" s="294" t="s">
        <v>337</v>
      </c>
      <c r="K42" s="1128"/>
      <c r="N42" s="2290"/>
    </row>
    <row r="43" spans="1:14" s="487" customFormat="1" ht="21" customHeight="1" x14ac:dyDescent="0.25"/>
    <row r="44" spans="1:14" s="472" customFormat="1" ht="26.25" customHeight="1" x14ac:dyDescent="0.25">
      <c r="B44" s="711" t="s">
        <v>352</v>
      </c>
      <c r="C44" s="711"/>
      <c r="D44" s="475"/>
      <c r="E44" s="475"/>
      <c r="F44" s="475"/>
      <c r="G44" s="1610"/>
      <c r="H44" s="475"/>
      <c r="I44" s="475"/>
      <c r="J44" s="475"/>
    </row>
    <row r="45" spans="1:14" s="471" customFormat="1" ht="36.75" customHeight="1" x14ac:dyDescent="0.25">
      <c r="A45" s="477"/>
      <c r="B45" s="478" t="s">
        <v>0</v>
      </c>
      <c r="C45" s="1488" t="s">
        <v>2018</v>
      </c>
      <c r="D45" s="478"/>
      <c r="E45" s="479" t="s">
        <v>173</v>
      </c>
      <c r="F45" s="478"/>
      <c r="G45" s="1111" t="str">
        <f>G10</f>
        <v>SEA Building Addition</v>
      </c>
      <c r="H45" s="1116"/>
      <c r="I45" s="1117"/>
      <c r="J45" s="1113" t="str">
        <f>J10</f>
        <v>Project</v>
      </c>
      <c r="K45" s="1126"/>
    </row>
    <row r="46" spans="1:14" s="471" customFormat="1" ht="33.75" x14ac:dyDescent="0.25">
      <c r="A46" s="477"/>
      <c r="B46" s="488" t="s">
        <v>368</v>
      </c>
      <c r="C46" s="1962" t="s">
        <v>1937</v>
      </c>
      <c r="D46" s="483"/>
      <c r="E46" s="293" t="s">
        <v>337</v>
      </c>
      <c r="F46" s="484"/>
      <c r="G46" s="461" t="s">
        <v>2284</v>
      </c>
      <c r="H46" s="1118"/>
      <c r="I46" s="1119"/>
      <c r="J46" s="462" t="s">
        <v>2284</v>
      </c>
      <c r="K46" s="1127"/>
      <c r="N46" s="2290"/>
    </row>
    <row r="47" spans="1:14" s="471" customFormat="1" ht="45" x14ac:dyDescent="0.25">
      <c r="A47" s="477"/>
      <c r="B47" s="489" t="s">
        <v>369</v>
      </c>
      <c r="C47" s="1963" t="s">
        <v>1938</v>
      </c>
      <c r="D47" s="483"/>
      <c r="E47" s="709" t="s">
        <v>1017</v>
      </c>
      <c r="F47" s="484"/>
      <c r="G47" s="294" t="s">
        <v>2259</v>
      </c>
      <c r="H47" s="1120"/>
      <c r="I47" s="1121"/>
      <c r="J47" s="294" t="s">
        <v>2288</v>
      </c>
      <c r="K47" s="1127"/>
      <c r="N47" s="2290"/>
    </row>
    <row r="48" spans="1:14" s="471" customFormat="1" x14ac:dyDescent="0.25">
      <c r="A48" s="477"/>
      <c r="B48" s="489" t="s">
        <v>370</v>
      </c>
      <c r="C48" s="1963" t="s">
        <v>1939</v>
      </c>
      <c r="D48" s="483"/>
      <c r="E48" s="499"/>
      <c r="F48" s="484"/>
      <c r="G48" s="294" t="s">
        <v>337</v>
      </c>
      <c r="H48" s="1120"/>
      <c r="I48" s="1121"/>
      <c r="J48" s="294" t="s">
        <v>337</v>
      </c>
      <c r="K48" s="1127"/>
      <c r="N48" s="2290"/>
    </row>
    <row r="49" spans="1:14" s="471" customFormat="1" x14ac:dyDescent="0.25">
      <c r="A49" s="477"/>
      <c r="B49" s="489" t="s">
        <v>371</v>
      </c>
      <c r="C49" s="1963" t="s">
        <v>1940</v>
      </c>
      <c r="D49" s="483"/>
      <c r="E49" s="499"/>
      <c r="F49" s="484"/>
      <c r="G49" s="294" t="s">
        <v>337</v>
      </c>
      <c r="H49" s="1120"/>
      <c r="I49" s="1121"/>
      <c r="J49" s="294" t="s">
        <v>337</v>
      </c>
      <c r="K49" s="1127"/>
      <c r="N49" s="2290"/>
    </row>
    <row r="50" spans="1:14" s="471" customFormat="1" ht="33.75" x14ac:dyDescent="0.25">
      <c r="A50" s="477"/>
      <c r="B50" s="489" t="s">
        <v>372</v>
      </c>
      <c r="C50" s="1963" t="s">
        <v>1941</v>
      </c>
      <c r="D50" s="483"/>
      <c r="E50" s="708" t="str">
        <f>IF('General Information'!$I$12="IP","°F","°C")</f>
        <v>°F</v>
      </c>
      <c r="F50" s="484"/>
      <c r="G50" s="294" t="s">
        <v>2259</v>
      </c>
      <c r="H50" s="1120"/>
      <c r="I50" s="1121"/>
      <c r="J50" s="294">
        <v>180</v>
      </c>
      <c r="K50" s="1127"/>
      <c r="N50" s="2290"/>
    </row>
    <row r="51" spans="1:14" s="471" customFormat="1" ht="33.75" x14ac:dyDescent="0.25">
      <c r="A51" s="477"/>
      <c r="B51" s="489" t="s">
        <v>176</v>
      </c>
      <c r="C51" s="1963" t="s">
        <v>2079</v>
      </c>
      <c r="D51" s="483"/>
      <c r="E51" s="708" t="str">
        <f>IF('General Information'!$I$12="IP","°F","°C")</f>
        <v>°F</v>
      </c>
      <c r="F51" s="484"/>
      <c r="G51" s="294" t="s">
        <v>2259</v>
      </c>
      <c r="H51" s="1120"/>
      <c r="I51" s="1121"/>
      <c r="J51" s="294">
        <v>30</v>
      </c>
      <c r="K51" s="1127"/>
      <c r="N51" s="2290"/>
    </row>
    <row r="52" spans="1:14" s="492" customFormat="1" ht="56.25" x14ac:dyDescent="0.25">
      <c r="A52" s="491"/>
      <c r="B52" s="489" t="s">
        <v>373</v>
      </c>
      <c r="C52" s="1963" t="s">
        <v>2080</v>
      </c>
      <c r="D52" s="483"/>
      <c r="E52" s="304" t="s">
        <v>337</v>
      </c>
      <c r="F52" s="484"/>
      <c r="G52" s="294" t="s">
        <v>2259</v>
      </c>
      <c r="H52" s="1130"/>
      <c r="I52" s="1129"/>
      <c r="J52" s="1114" t="s">
        <v>2290</v>
      </c>
      <c r="K52" s="1131"/>
      <c r="N52" s="2291"/>
    </row>
    <row r="53" spans="1:14" s="471" customFormat="1" ht="45" x14ac:dyDescent="0.25">
      <c r="A53" s="477"/>
      <c r="B53" s="489" t="s">
        <v>374</v>
      </c>
      <c r="C53" s="1963" t="s">
        <v>2087</v>
      </c>
      <c r="D53" s="483"/>
      <c r="E53" s="304" t="s">
        <v>337</v>
      </c>
      <c r="F53" s="484"/>
      <c r="G53" s="462" t="s">
        <v>2285</v>
      </c>
      <c r="H53" s="1118"/>
      <c r="I53" s="1119"/>
      <c r="J53" s="462" t="s">
        <v>2285</v>
      </c>
      <c r="K53" s="1127"/>
      <c r="N53" s="2290"/>
    </row>
    <row r="54" spans="1:14" s="471" customFormat="1" ht="33.75" x14ac:dyDescent="0.25">
      <c r="A54" s="477"/>
      <c r="B54" s="493" t="s">
        <v>1009</v>
      </c>
      <c r="C54" s="1963" t="s">
        <v>2088</v>
      </c>
      <c r="D54" s="483"/>
      <c r="E54" s="709" t="s">
        <v>174</v>
      </c>
      <c r="F54" s="484"/>
      <c r="G54" s="294" t="s">
        <v>2259</v>
      </c>
      <c r="H54" s="1120"/>
      <c r="I54" s="1121"/>
      <c r="J54" s="294">
        <v>2</v>
      </c>
      <c r="K54" s="1127"/>
      <c r="N54" s="2290"/>
    </row>
    <row r="55" spans="1:14" s="471" customFormat="1" ht="90" x14ac:dyDescent="0.25">
      <c r="A55" s="477"/>
      <c r="B55" s="493" t="s">
        <v>1010</v>
      </c>
      <c r="C55" s="1963" t="s">
        <v>2089</v>
      </c>
      <c r="D55" s="483"/>
      <c r="E55" s="499"/>
      <c r="F55" s="484"/>
      <c r="G55" s="294">
        <v>19</v>
      </c>
      <c r="H55" s="1120"/>
      <c r="I55" s="1121"/>
      <c r="J55" s="294">
        <v>28.6</v>
      </c>
      <c r="K55" s="1127"/>
      <c r="N55" s="2290"/>
    </row>
    <row r="56" spans="1:14" s="471" customFormat="1" x14ac:dyDescent="0.25">
      <c r="A56" s="477"/>
      <c r="B56" s="493" t="s">
        <v>1011</v>
      </c>
      <c r="C56" s="1963" t="s">
        <v>1942</v>
      </c>
      <c r="D56" s="483"/>
      <c r="E56" s="709" t="str">
        <f>IF('General Information'!$I$12="IP","gpm","L/s")</f>
        <v>gpm</v>
      </c>
      <c r="F56" s="484"/>
      <c r="G56" s="499">
        <v>47</v>
      </c>
      <c r="H56" s="1122"/>
      <c r="I56" s="1123"/>
      <c r="J56" s="499">
        <v>195</v>
      </c>
      <c r="K56" s="1127"/>
      <c r="N56" s="2290"/>
    </row>
    <row r="57" spans="1:14" s="471" customFormat="1" ht="22.5" x14ac:dyDescent="0.25">
      <c r="A57" s="477"/>
      <c r="B57" s="493" t="s">
        <v>1012</v>
      </c>
      <c r="C57" s="1963" t="s">
        <v>1943</v>
      </c>
      <c r="D57" s="483"/>
      <c r="E57" s="304" t="s">
        <v>337</v>
      </c>
      <c r="F57" s="484"/>
      <c r="G57" s="462" t="s">
        <v>2286</v>
      </c>
      <c r="H57" s="1118"/>
      <c r="I57" s="1119"/>
      <c r="J57" s="462" t="s">
        <v>2263</v>
      </c>
      <c r="K57" s="1127"/>
      <c r="N57" s="2290"/>
    </row>
    <row r="58" spans="1:14" s="471" customFormat="1" ht="25.5" x14ac:dyDescent="0.25">
      <c r="A58" s="477"/>
      <c r="B58" s="493" t="s">
        <v>1013</v>
      </c>
      <c r="C58" s="1963" t="s">
        <v>1944</v>
      </c>
      <c r="D58" s="483"/>
      <c r="E58" s="709" t="s">
        <v>174</v>
      </c>
      <c r="F58" s="484"/>
      <c r="G58" s="294" t="s">
        <v>337</v>
      </c>
      <c r="H58" s="1130"/>
      <c r="I58" s="1129"/>
      <c r="J58" s="294" t="s">
        <v>337</v>
      </c>
      <c r="K58" s="1127"/>
      <c r="N58" s="2290"/>
    </row>
    <row r="59" spans="1:14" s="471" customFormat="1" x14ac:dyDescent="0.25">
      <c r="A59" s="477"/>
      <c r="B59" s="493" t="s">
        <v>1014</v>
      </c>
      <c r="C59" s="1963" t="s">
        <v>1944</v>
      </c>
      <c r="D59" s="483"/>
      <c r="E59" s="304" t="s">
        <v>337</v>
      </c>
      <c r="F59" s="484"/>
      <c r="G59" s="294" t="s">
        <v>337</v>
      </c>
      <c r="H59" s="1118"/>
      <c r="I59" s="1119"/>
      <c r="J59" s="294" t="s">
        <v>337</v>
      </c>
      <c r="K59" s="1127"/>
      <c r="N59" s="2290"/>
    </row>
    <row r="60" spans="1:14" s="471" customFormat="1" x14ac:dyDescent="0.25">
      <c r="A60" s="477"/>
      <c r="B60" s="493" t="s">
        <v>1015</v>
      </c>
      <c r="C60" s="1963" t="s">
        <v>1944</v>
      </c>
      <c r="D60" s="483"/>
      <c r="E60" s="304" t="s">
        <v>337</v>
      </c>
      <c r="F60" s="484"/>
      <c r="G60" s="294" t="s">
        <v>337</v>
      </c>
      <c r="H60" s="1118"/>
      <c r="I60" s="1119"/>
      <c r="J60" s="294" t="s">
        <v>337</v>
      </c>
      <c r="K60" s="1127"/>
      <c r="N60" s="2290"/>
    </row>
    <row r="61" spans="1:14" s="471" customFormat="1" x14ac:dyDescent="0.25">
      <c r="A61" s="477"/>
      <c r="B61" s="494" t="s">
        <v>1016</v>
      </c>
      <c r="C61" s="1964" t="s">
        <v>1944</v>
      </c>
      <c r="D61" s="485"/>
      <c r="E61" s="299" t="s">
        <v>337</v>
      </c>
      <c r="F61" s="486"/>
      <c r="G61" s="294" t="s">
        <v>337</v>
      </c>
      <c r="H61" s="1124"/>
      <c r="I61" s="1125"/>
      <c r="J61" s="294" t="s">
        <v>337</v>
      </c>
      <c r="K61" s="1128"/>
      <c r="N61" s="2290"/>
    </row>
    <row r="62" spans="1:14" s="487" customFormat="1" ht="15" x14ac:dyDescent="0.25"/>
    <row r="63" spans="1:14" s="472" customFormat="1" ht="26.25" customHeight="1" x14ac:dyDescent="0.25">
      <c r="B63" s="711" t="s">
        <v>266</v>
      </c>
      <c r="C63" s="711"/>
      <c r="D63" s="475"/>
      <c r="E63" s="475"/>
      <c r="F63" s="475"/>
      <c r="G63" s="475"/>
      <c r="H63" s="475"/>
      <c r="I63" s="475"/>
      <c r="J63" s="475"/>
    </row>
    <row r="64" spans="1:14" s="471" customFormat="1" ht="36.75" customHeight="1" x14ac:dyDescent="0.25">
      <c r="A64" s="477"/>
      <c r="B64" s="478" t="s">
        <v>0</v>
      </c>
      <c r="C64" s="1488" t="s">
        <v>2018</v>
      </c>
      <c r="D64" s="478"/>
      <c r="E64" s="479" t="s">
        <v>173</v>
      </c>
      <c r="F64" s="478"/>
      <c r="G64" s="1111" t="str">
        <f>G10</f>
        <v>SEA Building Addition</v>
      </c>
      <c r="H64" s="1116"/>
      <c r="I64" s="1117"/>
      <c r="J64" s="1111" t="str">
        <f>J10</f>
        <v>Project</v>
      </c>
      <c r="K64" s="1126"/>
    </row>
    <row r="65" spans="1:14" s="471" customFormat="1" ht="33.75" x14ac:dyDescent="0.25">
      <c r="A65" s="477"/>
      <c r="B65" s="488" t="s">
        <v>360</v>
      </c>
      <c r="C65" s="1962" t="s">
        <v>1945</v>
      </c>
      <c r="D65" s="483"/>
      <c r="E65" s="293" t="s">
        <v>337</v>
      </c>
      <c r="F65" s="484"/>
      <c r="G65" s="303"/>
      <c r="H65" s="1134"/>
      <c r="I65" s="1132"/>
      <c r="J65" s="1606"/>
      <c r="K65" s="1127"/>
      <c r="N65" s="2290"/>
    </row>
    <row r="66" spans="1:14" s="471" customFormat="1" ht="22.5" x14ac:dyDescent="0.25">
      <c r="A66" s="477"/>
      <c r="B66" s="489" t="s">
        <v>361</v>
      </c>
      <c r="C66" s="1963" t="s">
        <v>1946</v>
      </c>
      <c r="D66" s="483"/>
      <c r="E66" s="304" t="s">
        <v>337</v>
      </c>
      <c r="F66" s="484"/>
      <c r="G66" s="303"/>
      <c r="H66" s="1134"/>
      <c r="I66" s="1132"/>
      <c r="J66" s="1606"/>
      <c r="K66" s="1127"/>
      <c r="N66" s="2290"/>
    </row>
    <row r="67" spans="1:14" s="471" customFormat="1" ht="22.5" x14ac:dyDescent="0.25">
      <c r="A67" s="477"/>
      <c r="B67" s="489" t="s">
        <v>262</v>
      </c>
      <c r="C67" s="1963" t="s">
        <v>1947</v>
      </c>
      <c r="D67" s="483"/>
      <c r="E67" s="708" t="str">
        <f>IF('General Information'!$I$12="IP","°F","°C")</f>
        <v>°F</v>
      </c>
      <c r="F67" s="484"/>
      <c r="G67" s="303"/>
      <c r="H67" s="1134"/>
      <c r="I67" s="1132"/>
      <c r="J67" s="1606"/>
      <c r="K67" s="1127"/>
      <c r="N67" s="2290"/>
    </row>
    <row r="68" spans="1:14" s="471" customFormat="1" ht="22.5" x14ac:dyDescent="0.25">
      <c r="A68" s="477"/>
      <c r="B68" s="489" t="s">
        <v>263</v>
      </c>
      <c r="C68" s="1963" t="s">
        <v>1948</v>
      </c>
      <c r="D68" s="483"/>
      <c r="E68" s="708" t="str">
        <f>IF('General Information'!$I$12="IP","°F","°C")</f>
        <v>°F</v>
      </c>
      <c r="F68" s="484"/>
      <c r="G68" s="303"/>
      <c r="H68" s="1134"/>
      <c r="I68" s="1132"/>
      <c r="J68" s="1606"/>
      <c r="K68" s="1127"/>
      <c r="N68" s="2290"/>
    </row>
    <row r="69" spans="1:14" s="471" customFormat="1" ht="25.5" x14ac:dyDescent="0.25">
      <c r="A69" s="477"/>
      <c r="B69" s="489" t="s">
        <v>260</v>
      </c>
      <c r="C69" s="1963"/>
      <c r="D69" s="483"/>
      <c r="E69" s="708" t="str">
        <f>IF('General Information'!$I$12="IP","°F","°C")</f>
        <v>°F</v>
      </c>
      <c r="F69" s="484"/>
      <c r="G69" s="303"/>
      <c r="H69" s="1134"/>
      <c r="I69" s="1132"/>
      <c r="J69" s="1606"/>
      <c r="K69" s="1127"/>
      <c r="N69" s="2290"/>
    </row>
    <row r="70" spans="1:14" s="471" customFormat="1" ht="25.5" x14ac:dyDescent="0.25">
      <c r="A70" s="477"/>
      <c r="B70" s="489" t="s">
        <v>261</v>
      </c>
      <c r="C70" s="1963"/>
      <c r="D70" s="483"/>
      <c r="E70" s="708" t="str">
        <f>IF('General Information'!$I$12="IP","°F","°C")</f>
        <v>°F</v>
      </c>
      <c r="F70" s="484"/>
      <c r="G70" s="303"/>
      <c r="H70" s="1134"/>
      <c r="I70" s="1132"/>
      <c r="J70" s="1606"/>
      <c r="K70" s="1127"/>
      <c r="N70" s="2290"/>
    </row>
    <row r="71" spans="1:14" s="471" customFormat="1" ht="22.5" x14ac:dyDescent="0.25">
      <c r="A71" s="477"/>
      <c r="B71" s="489" t="s">
        <v>265</v>
      </c>
      <c r="C71" s="1963" t="s">
        <v>1949</v>
      </c>
      <c r="D71" s="483"/>
      <c r="E71" s="708" t="str">
        <f>IF('General Information'!$I$12="IP","°F","°C")</f>
        <v>°F</v>
      </c>
      <c r="F71" s="484"/>
      <c r="G71" s="303"/>
      <c r="H71" s="1134"/>
      <c r="I71" s="1132"/>
      <c r="J71" s="1606"/>
      <c r="K71" s="1127"/>
      <c r="N71" s="2290"/>
    </row>
    <row r="72" spans="1:14" s="471" customFormat="1" ht="33.75" x14ac:dyDescent="0.25">
      <c r="A72" s="477"/>
      <c r="B72" s="489" t="s">
        <v>264</v>
      </c>
      <c r="C72" s="1963" t="s">
        <v>1950</v>
      </c>
      <c r="D72" s="483"/>
      <c r="E72" s="304" t="s">
        <v>337</v>
      </c>
      <c r="F72" s="484"/>
      <c r="G72" s="303"/>
      <c r="H72" s="1134"/>
      <c r="I72" s="1132"/>
      <c r="J72" s="1606"/>
      <c r="K72" s="1127"/>
      <c r="N72" s="2290"/>
    </row>
    <row r="73" spans="1:14" s="471" customFormat="1" x14ac:dyDescent="0.25">
      <c r="A73" s="477"/>
      <c r="B73" s="489" t="s">
        <v>362</v>
      </c>
      <c r="C73" s="1963"/>
      <c r="D73" s="483"/>
      <c r="E73" s="304" t="s">
        <v>337</v>
      </c>
      <c r="F73" s="484"/>
      <c r="G73" s="303"/>
      <c r="H73" s="1134"/>
      <c r="I73" s="1132"/>
      <c r="J73" s="1606"/>
      <c r="K73" s="1127"/>
      <c r="N73" s="2290"/>
    </row>
    <row r="74" spans="1:14" s="471" customFormat="1" ht="22.5" x14ac:dyDescent="0.25">
      <c r="A74" s="477"/>
      <c r="B74" s="489" t="s">
        <v>363</v>
      </c>
      <c r="C74" s="1963" t="s">
        <v>1951</v>
      </c>
      <c r="D74" s="483"/>
      <c r="E74" s="709" t="s">
        <v>174</v>
      </c>
      <c r="F74" s="484"/>
      <c r="G74" s="303"/>
      <c r="H74" s="1134"/>
      <c r="I74" s="1132"/>
      <c r="J74" s="1606"/>
      <c r="K74" s="1127"/>
      <c r="N74" s="2290"/>
    </row>
    <row r="75" spans="1:14" s="471" customFormat="1" x14ac:dyDescent="0.25">
      <c r="A75" s="477"/>
      <c r="B75" s="489" t="s">
        <v>364</v>
      </c>
      <c r="C75" s="1963"/>
      <c r="D75" s="483"/>
      <c r="E75" s="304" t="s">
        <v>337</v>
      </c>
      <c r="F75" s="484"/>
      <c r="G75" s="303"/>
      <c r="H75" s="1134"/>
      <c r="I75" s="1132"/>
      <c r="J75" s="1606"/>
      <c r="K75" s="1127"/>
      <c r="N75" s="2290"/>
    </row>
    <row r="76" spans="1:14" s="471" customFormat="1" x14ac:dyDescent="0.25">
      <c r="A76" s="477"/>
      <c r="B76" s="489" t="s">
        <v>365</v>
      </c>
      <c r="C76" s="1963"/>
      <c r="D76" s="483"/>
      <c r="E76" s="304" t="s">
        <v>337</v>
      </c>
      <c r="F76" s="484"/>
      <c r="G76" s="303"/>
      <c r="H76" s="1134"/>
      <c r="I76" s="1132"/>
      <c r="J76" s="1606"/>
      <c r="K76" s="1127"/>
      <c r="N76" s="2290"/>
    </row>
    <row r="77" spans="1:14" s="471" customFormat="1" x14ac:dyDescent="0.25">
      <c r="A77" s="477"/>
      <c r="B77" s="489" t="s">
        <v>366</v>
      </c>
      <c r="C77" s="1963"/>
      <c r="D77" s="483"/>
      <c r="E77" s="304" t="s">
        <v>337</v>
      </c>
      <c r="F77" s="484"/>
      <c r="G77" s="303"/>
      <c r="H77" s="1134"/>
      <c r="I77" s="1132"/>
      <c r="J77" s="1606"/>
      <c r="K77" s="1127"/>
      <c r="N77" s="2290"/>
    </row>
    <row r="78" spans="1:14" s="471" customFormat="1" ht="33.75" x14ac:dyDescent="0.25">
      <c r="A78" s="477"/>
      <c r="B78" s="490" t="s">
        <v>367</v>
      </c>
      <c r="C78" s="1964" t="s">
        <v>1952</v>
      </c>
      <c r="D78" s="485"/>
      <c r="E78" s="299" t="s">
        <v>337</v>
      </c>
      <c r="F78" s="486"/>
      <c r="G78" s="299"/>
      <c r="H78" s="1135"/>
      <c r="I78" s="1133"/>
      <c r="J78" s="1607"/>
      <c r="K78" s="1128"/>
      <c r="N78" s="2290"/>
    </row>
    <row r="79" spans="1:14" s="487" customFormat="1" ht="21" customHeight="1" x14ac:dyDescent="0.25"/>
    <row r="80" spans="1:14" s="472" customFormat="1" ht="26.25" customHeight="1" x14ac:dyDescent="0.25">
      <c r="B80" s="711" t="s">
        <v>353</v>
      </c>
      <c r="C80" s="711"/>
      <c r="D80" s="475"/>
      <c r="E80" s="475"/>
      <c r="F80" s="475"/>
      <c r="G80" s="475"/>
      <c r="H80" s="475"/>
      <c r="I80" s="475"/>
      <c r="J80" s="475"/>
    </row>
    <row r="81" spans="1:14" s="471" customFormat="1" x14ac:dyDescent="0.25">
      <c r="A81" s="477"/>
      <c r="B81" s="478" t="s">
        <v>0</v>
      </c>
      <c r="C81" s="1488" t="s">
        <v>2018</v>
      </c>
      <c r="D81" s="478"/>
      <c r="E81" s="480" t="s">
        <v>173</v>
      </c>
      <c r="F81" s="478"/>
      <c r="G81" s="1111" t="str">
        <f>G10</f>
        <v>SEA Building Addition</v>
      </c>
      <c r="H81" s="1116"/>
      <c r="I81" s="1117"/>
      <c r="J81" s="1111" t="str">
        <f>J10</f>
        <v>Project</v>
      </c>
      <c r="K81" s="1126"/>
    </row>
    <row r="82" spans="1:14" s="471" customFormat="1" x14ac:dyDescent="0.25">
      <c r="A82" s="477"/>
      <c r="B82" s="495" t="s">
        <v>382</v>
      </c>
      <c r="C82" s="1489"/>
      <c r="D82" s="483"/>
      <c r="E82" s="303" t="s">
        <v>337</v>
      </c>
      <c r="F82" s="484"/>
      <c r="G82" s="293"/>
      <c r="H82" s="1134"/>
      <c r="I82" s="1132"/>
      <c r="J82" s="1608"/>
      <c r="K82" s="1127"/>
      <c r="N82" s="2290"/>
    </row>
    <row r="83" spans="1:14" s="471" customFormat="1" x14ac:dyDescent="0.25">
      <c r="A83" s="477"/>
      <c r="B83" s="496" t="s">
        <v>255</v>
      </c>
      <c r="C83" s="1490"/>
      <c r="D83" s="483"/>
      <c r="E83" s="304" t="s">
        <v>337</v>
      </c>
      <c r="F83" s="484"/>
      <c r="G83" s="304"/>
      <c r="H83" s="1134"/>
      <c r="I83" s="1132"/>
      <c r="J83" s="1609"/>
      <c r="K83" s="1127"/>
      <c r="N83" s="2290"/>
    </row>
    <row r="84" spans="1:14" s="471" customFormat="1" ht="25.5" x14ac:dyDescent="0.25">
      <c r="A84" s="477"/>
      <c r="B84" s="496" t="s">
        <v>256</v>
      </c>
      <c r="C84" s="1490"/>
      <c r="D84" s="483"/>
      <c r="E84" s="304" t="s">
        <v>337</v>
      </c>
      <c r="F84" s="484"/>
      <c r="G84" s="304"/>
      <c r="H84" s="1134"/>
      <c r="I84" s="1132"/>
      <c r="J84" s="1609"/>
      <c r="K84" s="1127"/>
      <c r="N84" s="2290"/>
    </row>
    <row r="85" spans="1:14" s="471" customFormat="1" x14ac:dyDescent="0.25">
      <c r="A85" s="477"/>
      <c r="B85" s="496" t="s">
        <v>375</v>
      </c>
      <c r="C85" s="1490"/>
      <c r="D85" s="483"/>
      <c r="E85" s="304" t="s">
        <v>337</v>
      </c>
      <c r="F85" s="484"/>
      <c r="G85" s="304"/>
      <c r="H85" s="1134"/>
      <c r="I85" s="1132"/>
      <c r="J85" s="1609"/>
      <c r="K85" s="1127"/>
      <c r="N85" s="2290"/>
    </row>
    <row r="86" spans="1:14" s="471" customFormat="1" x14ac:dyDescent="0.25">
      <c r="A86" s="477"/>
      <c r="B86" s="496" t="s">
        <v>376</v>
      </c>
      <c r="C86" s="1490"/>
      <c r="D86" s="483"/>
      <c r="E86" s="304" t="s">
        <v>337</v>
      </c>
      <c r="F86" s="484"/>
      <c r="G86" s="304"/>
      <c r="H86" s="1134"/>
      <c r="I86" s="1132"/>
      <c r="J86" s="1609"/>
      <c r="K86" s="1127"/>
      <c r="N86" s="2290"/>
    </row>
    <row r="87" spans="1:14" s="471" customFormat="1" x14ac:dyDescent="0.25">
      <c r="A87" s="477"/>
      <c r="B87" s="496" t="s">
        <v>377</v>
      </c>
      <c r="C87" s="1490"/>
      <c r="D87" s="483"/>
      <c r="E87" s="304" t="s">
        <v>337</v>
      </c>
      <c r="F87" s="484"/>
      <c r="G87" s="304"/>
      <c r="H87" s="1134"/>
      <c r="I87" s="1132"/>
      <c r="J87" s="1609"/>
      <c r="K87" s="1127"/>
      <c r="N87" s="2290"/>
    </row>
    <row r="88" spans="1:14" s="471" customFormat="1" x14ac:dyDescent="0.25">
      <c r="A88" s="477"/>
      <c r="B88" s="496" t="s">
        <v>378</v>
      </c>
      <c r="C88" s="1490"/>
      <c r="D88" s="483"/>
      <c r="E88" s="304" t="s">
        <v>337</v>
      </c>
      <c r="F88" s="484"/>
      <c r="G88" s="304"/>
      <c r="H88" s="1134"/>
      <c r="I88" s="1132"/>
      <c r="J88" s="1609"/>
      <c r="K88" s="1127"/>
      <c r="N88" s="2290"/>
    </row>
    <row r="89" spans="1:14" s="471" customFormat="1" ht="25.5" x14ac:dyDescent="0.25">
      <c r="A89" s="477"/>
      <c r="B89" s="496" t="s">
        <v>379</v>
      </c>
      <c r="C89" s="1490"/>
      <c r="D89" s="483"/>
      <c r="E89" s="304" t="s">
        <v>337</v>
      </c>
      <c r="F89" s="484"/>
      <c r="G89" s="304"/>
      <c r="H89" s="1134"/>
      <c r="I89" s="1132"/>
      <c r="J89" s="1609"/>
      <c r="K89" s="1127"/>
      <c r="N89" s="2290"/>
    </row>
    <row r="90" spans="1:14" s="471" customFormat="1" ht="25.5" x14ac:dyDescent="0.25">
      <c r="A90" s="477"/>
      <c r="B90" s="496" t="s">
        <v>380</v>
      </c>
      <c r="C90" s="1490"/>
      <c r="D90" s="483"/>
      <c r="E90" s="304" t="s">
        <v>337</v>
      </c>
      <c r="F90" s="484"/>
      <c r="G90" s="304"/>
      <c r="H90" s="1134"/>
      <c r="I90" s="1132"/>
      <c r="J90" s="1609"/>
      <c r="K90" s="1127"/>
      <c r="N90" s="2290"/>
    </row>
    <row r="91" spans="1:14" s="471" customFormat="1" ht="25.5" x14ac:dyDescent="0.25">
      <c r="A91" s="477"/>
      <c r="B91" s="497" t="s">
        <v>381</v>
      </c>
      <c r="C91" s="1491"/>
      <c r="D91" s="485"/>
      <c r="E91" s="299" t="s">
        <v>337</v>
      </c>
      <c r="F91" s="486"/>
      <c r="G91" s="299"/>
      <c r="H91" s="1135"/>
      <c r="I91" s="1133"/>
      <c r="J91" s="1607"/>
      <c r="K91" s="1128"/>
      <c r="N91" s="2290"/>
    </row>
    <row r="92" spans="1:14" s="487" customFormat="1" ht="21" customHeight="1" x14ac:dyDescent="0.25"/>
    <row r="93" spans="1:14" s="472" customFormat="1" ht="26.25" customHeight="1" x14ac:dyDescent="0.25">
      <c r="B93" s="711" t="s">
        <v>354</v>
      </c>
      <c r="C93" s="711"/>
      <c r="D93" s="475"/>
      <c r="E93" s="475"/>
      <c r="F93" s="475"/>
      <c r="G93" s="475"/>
      <c r="H93" s="475"/>
      <c r="I93" s="475"/>
      <c r="J93" s="475"/>
    </row>
    <row r="94" spans="1:14" s="471" customFormat="1" ht="36.75" customHeight="1" x14ac:dyDescent="0.25">
      <c r="A94" s="477"/>
      <c r="B94" s="3099" t="s">
        <v>0</v>
      </c>
      <c r="C94" s="3100"/>
      <c r="D94" s="478"/>
      <c r="E94" s="480" t="s">
        <v>173</v>
      </c>
      <c r="F94" s="478"/>
      <c r="G94" s="1111" t="str">
        <f>G10</f>
        <v>SEA Building Addition</v>
      </c>
      <c r="H94" s="1116"/>
      <c r="I94" s="1117"/>
      <c r="J94" s="1111" t="str">
        <f>J10</f>
        <v>Project</v>
      </c>
      <c r="K94" s="1126"/>
    </row>
    <row r="95" spans="1:14" s="471" customFormat="1" ht="21" customHeight="1" x14ac:dyDescent="0.25">
      <c r="A95" s="477"/>
      <c r="B95" s="3101" t="s">
        <v>432</v>
      </c>
      <c r="C95" s="3102"/>
      <c r="D95" s="1492"/>
      <c r="E95" s="458"/>
      <c r="F95" s="484"/>
      <c r="G95" s="461"/>
      <c r="H95" s="1118"/>
      <c r="I95" s="1136"/>
      <c r="J95" s="461"/>
      <c r="K95" s="1127"/>
      <c r="N95" s="2290"/>
    </row>
    <row r="96" spans="1:14" s="471" customFormat="1" ht="21" customHeight="1" x14ac:dyDescent="0.25">
      <c r="A96" s="477"/>
      <c r="B96" s="3093" t="s">
        <v>432</v>
      </c>
      <c r="C96" s="3094"/>
      <c r="D96" s="1492"/>
      <c r="E96" s="459"/>
      <c r="F96" s="484"/>
      <c r="G96" s="462"/>
      <c r="H96" s="1118"/>
      <c r="I96" s="1136"/>
      <c r="J96" s="462"/>
      <c r="K96" s="1127"/>
      <c r="N96" s="2290"/>
    </row>
    <row r="97" spans="1:14" s="471" customFormat="1" ht="21" customHeight="1" x14ac:dyDescent="0.25">
      <c r="A97" s="477"/>
      <c r="B97" s="3093" t="s">
        <v>432</v>
      </c>
      <c r="C97" s="3094"/>
      <c r="D97" s="1492"/>
      <c r="E97" s="459"/>
      <c r="F97" s="484"/>
      <c r="G97" s="462"/>
      <c r="H97" s="1118"/>
      <c r="I97" s="1136"/>
      <c r="J97" s="462"/>
      <c r="K97" s="1127"/>
      <c r="N97" s="2290"/>
    </row>
    <row r="98" spans="1:14" s="471" customFormat="1" ht="21" customHeight="1" x14ac:dyDescent="0.25">
      <c r="A98" s="477"/>
      <c r="B98" s="3093" t="s">
        <v>432</v>
      </c>
      <c r="C98" s="3094"/>
      <c r="D98" s="1492"/>
      <c r="E98" s="459"/>
      <c r="F98" s="484"/>
      <c r="G98" s="462"/>
      <c r="H98" s="1118"/>
      <c r="I98" s="1136"/>
      <c r="J98" s="462"/>
      <c r="K98" s="1127"/>
      <c r="N98" s="2290"/>
    </row>
    <row r="99" spans="1:14" s="471" customFormat="1" ht="21" customHeight="1" x14ac:dyDescent="0.25">
      <c r="A99" s="477"/>
      <c r="B99" s="3093" t="s">
        <v>432</v>
      </c>
      <c r="C99" s="3094"/>
      <c r="D99" s="1492"/>
      <c r="E99" s="459"/>
      <c r="F99" s="484"/>
      <c r="G99" s="462"/>
      <c r="H99" s="1118"/>
      <c r="I99" s="1136"/>
      <c r="J99" s="462"/>
      <c r="K99" s="1127"/>
      <c r="N99" s="2290"/>
    </row>
    <row r="100" spans="1:14" s="471" customFormat="1" ht="21" customHeight="1" x14ac:dyDescent="0.25">
      <c r="A100" s="477"/>
      <c r="B100" s="3095" t="s">
        <v>432</v>
      </c>
      <c r="C100" s="3096"/>
      <c r="D100" s="1493"/>
      <c r="E100" s="460"/>
      <c r="F100" s="486"/>
      <c r="G100" s="463"/>
      <c r="H100" s="1124"/>
      <c r="I100" s="1137"/>
      <c r="J100" s="463"/>
      <c r="K100" s="1128"/>
      <c r="N100" s="2290"/>
    </row>
  </sheetData>
  <sheetProtection algorithmName="SHA-512" hashValue="kwk3Yt/YzN6wTsVSSY0suNAuGLgAy00rONCk65uUeKBwl5Mpeq2g9S5Wvohq9gY7vLrRT2cSAd6U7YXGJ4qrzQ==" saltValue="13E1pL3/iFYCVvhEIV7y7w==" spinCount="100000" sheet="1" objects="1" scenarios="1"/>
  <customSheetViews>
    <customSheetView guid="{75D6F8CE-A4F4-4FDD-BA92-7996F9E19FA9}" scale="90" showGridLines="0">
      <selection activeCell="K12" sqref="K12"/>
      <rowBreaks count="1" manualBreakCount="1">
        <brk id="64" max="8" man="1"/>
      </rowBreaks>
      <pageMargins left="0.25" right="0.25" top="0.75" bottom="0.75" header="0.3" footer="0.3"/>
      <pageSetup scale="63" orientation="portrait" verticalDpi="1200" r:id="rId1"/>
    </customSheetView>
  </customSheetViews>
  <mergeCells count="10">
    <mergeCell ref="B5:G5"/>
    <mergeCell ref="F9:H9"/>
    <mergeCell ref="I9:K9"/>
    <mergeCell ref="B94:C94"/>
    <mergeCell ref="B95:C95"/>
    <mergeCell ref="B96:C96"/>
    <mergeCell ref="B97:C97"/>
    <mergeCell ref="B98:C98"/>
    <mergeCell ref="B99:C99"/>
    <mergeCell ref="B100:C100"/>
  </mergeCells>
  <dataValidations count="16">
    <dataValidation allowBlank="1" showInputMessage="1" sqref="E54 E33 E39 E20 E36:E37 E17 E24 E41 E26 E22 E67:E71 E74 E58 E50:E51 E56 J11 J95:J100 G95:G100" xr:uid="{00000000-0002-0000-1000-000000000000}"/>
    <dataValidation type="list" allowBlank="1" showInputMessage="1" sqref="E55 E40 E25" xr:uid="{00000000-0002-0000-1000-000001000000}">
      <formula1>"kW, HP, BHP, W/gpm, other (specify)"</formula1>
    </dataValidation>
    <dataValidation type="list" allowBlank="1" showInputMessage="1" sqref="E48" xr:uid="{00000000-0002-0000-1000-000002000000}">
      <formula1>"MBH, other (specify)"</formula1>
    </dataValidation>
    <dataValidation type="list" allowBlank="1" showInputMessage="1" sqref="E49" xr:uid="{00000000-0002-0000-1000-000003000000}">
      <formula1>"%, AFUE, other (specify)"</formula1>
    </dataValidation>
    <dataValidation type="list" allowBlank="1" showInputMessage="1" sqref="E15" xr:uid="{00000000-0002-0000-1000-000004000000}">
      <formula1>"IPLV, other (specify)"</formula1>
    </dataValidation>
    <dataValidation type="list" allowBlank="1" showInputMessage="1" sqref="E34" xr:uid="{00000000-0002-0000-1000-000005000000}">
      <formula1>"kW, HP, BHP, gpm/HP, hp/gpm, W/gpm, other (specify)"</formula1>
    </dataValidation>
    <dataValidation type="list" allowBlank="1" showInputMessage="1" sqref="E14" xr:uid="{00000000-0002-0000-1000-000006000000}">
      <formula1>"COP, kW/ton, other (specify)"</formula1>
    </dataValidation>
    <dataValidation type="list" allowBlank="1" showInputMessage="1" sqref="E21" xr:uid="{00000000-0002-0000-1000-000007000000}">
      <formula1>"W/gpm,kW"</formula1>
    </dataValidation>
    <dataValidation type="list" operator="greaterThanOrEqual" allowBlank="1" showInputMessage="1" error="Please enter the value only (without any labels)" sqref="E13" xr:uid="{00000000-0002-0000-1000-000008000000}">
      <formula1>"kBtu/h, tons, kW, Btuh"</formula1>
    </dataValidation>
    <dataValidation type="list" allowBlank="1" showInputMessage="1" showErrorMessage="1" sqref="J10" xr:uid="{00000000-0002-0000-1000-000009000000}">
      <formula1>BuildingIDLookup</formula1>
    </dataValidation>
    <dataValidation type="list" allowBlank="1" showInputMessage="1" sqref="J57 G57" xr:uid="{00000000-0002-0000-1000-00000A000000}">
      <formula1>"Riding the pump curve,Variable speed"</formula1>
    </dataValidation>
    <dataValidation type="list" allowBlank="1" showInputMessage="1" sqref="J46 G46" xr:uid="{00000000-0002-0000-1000-00000B000000}">
      <formula1>"1 natural draft hot water boiler, 2 equally-sized natural draft hot water boilers, N/A (purchased heat),N/A"</formula1>
    </dataValidation>
    <dataValidation type="list" allowBlank="1" showInputMessage="1" sqref="J36 G36" xr:uid="{00000000-0002-0000-1000-00000C000000}">
      <formula1>"85°F,10°F approaching design wet-bulb temperature"</formula1>
    </dataValidation>
    <dataValidation type="list" allowBlank="1" showInputMessage="1" sqref="G11" xr:uid="{00000000-0002-0000-1000-00000D000000}">
      <formula1>"1 water-cooled screw chiller, 2 water-cooled screw chillers, 2 water-cooled centrifugal chillers, &gt;2 water-cooled centrifugal chillers (overwrite), n/a (purchased chilled water),n/a"</formula1>
    </dataValidation>
    <dataValidation type="list" allowBlank="1" showInputMessage="1" sqref="J23 G23" xr:uid="{00000000-0002-0000-1000-00000E000000}">
      <formula1>"Constant Speed - each primary pump interlocked with associated chiller, No primary pumps modeled"</formula1>
    </dataValidation>
    <dataValidation type="list" allowBlank="1" showInputMessage="1" sqref="J27 G27" xr:uid="{00000000-0002-0000-1000-00000F000000}">
      <formula1>"Riding the pump curve, Variable speed"</formula1>
    </dataValidation>
  </dataValidations>
  <pageMargins left="0.25" right="0.25" top="0.75" bottom="0.75" header="0.3" footer="0.3"/>
  <pageSetup scale="63" orientation="portrait" verticalDpi="1200" r:id="rId2"/>
  <rowBreaks count="1" manualBreakCount="1">
    <brk id="64" max="8" man="1"/>
  </rowBreaks>
  <drawing r:id="rId3"/>
  <legacyDrawing r:id="rId4"/>
  <mc:AlternateContent xmlns:mc="http://schemas.openxmlformats.org/markup-compatibility/2006">
    <mc:Choice Requires="x14">
      <controls>
        <mc:AlternateContent xmlns:mc="http://schemas.openxmlformats.org/markup-compatibility/2006">
          <mc:Choice Requires="x14">
            <control shapeId="11487" r:id="rId5" name="Button 223">
              <controlPr defaultSize="0" print="0" autoFill="0" autoPict="0" macro="[0]!AddProposedHVACColumnsToRange">
                <anchor moveWithCells="1">
                  <from>
                    <xdr:col>1</xdr:col>
                    <xdr:colOff>2828925</xdr:colOff>
                    <xdr:row>5</xdr:row>
                    <xdr:rowOff>133350</xdr:rowOff>
                  </from>
                  <to>
                    <xdr:col>2</xdr:col>
                    <xdr:colOff>1466850</xdr:colOff>
                    <xdr:row>6</xdr:row>
                    <xdr:rowOff>257175</xdr:rowOff>
                  </to>
                </anchor>
              </controlPr>
            </control>
          </mc:Choice>
        </mc:AlternateContent>
        <mc:AlternateContent xmlns:mc="http://schemas.openxmlformats.org/markup-compatibility/2006">
          <mc:Choice Requires="x14">
            <control shapeId="11491" r:id="rId6" name="Button 227">
              <controlPr defaultSize="0" print="0" autoFill="0" autoPict="0" macro="[0]!DeleteProposedHVACColumnsToRange">
                <anchor moveWithCells="1">
                  <from>
                    <xdr:col>2</xdr:col>
                    <xdr:colOff>1581150</xdr:colOff>
                    <xdr:row>5</xdr:row>
                    <xdr:rowOff>133350</xdr:rowOff>
                  </from>
                  <to>
                    <xdr:col>2</xdr:col>
                    <xdr:colOff>3333750</xdr:colOff>
                    <xdr:row>6</xdr:row>
                    <xdr:rowOff>247650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6">
    <tabColor theme="0" tint="-0.249977111117893"/>
  </sheetPr>
  <dimension ref="A1:BX15"/>
  <sheetViews>
    <sheetView showGridLines="0" zoomScaleNormal="100" workbookViewId="0"/>
  </sheetViews>
  <sheetFormatPr defaultColWidth="9.140625" defaultRowHeight="12.75" x14ac:dyDescent="0.2"/>
  <cols>
    <col min="1" max="1" width="33.85546875" style="2298" customWidth="1"/>
    <col min="2" max="2" width="10.42578125" style="2298" bestFit="1" customWidth="1"/>
    <col min="3" max="3" width="5.7109375" style="2298" bestFit="1" customWidth="1"/>
    <col min="4" max="4" width="8.85546875" style="2298" bestFit="1" customWidth="1"/>
    <col min="5" max="5" width="7.5703125" style="2298" bestFit="1" customWidth="1"/>
    <col min="6" max="6" width="12.42578125" style="2298" bestFit="1" customWidth="1"/>
    <col min="7" max="7" width="12.85546875" style="2298" bestFit="1" customWidth="1"/>
    <col min="8" max="8" width="14.28515625" style="2298" bestFit="1" customWidth="1"/>
    <col min="9" max="9" width="22.5703125" style="2298" bestFit="1" customWidth="1"/>
    <col min="10" max="10" width="25" style="2298" bestFit="1" customWidth="1"/>
    <col min="11" max="11" width="16.28515625" style="2298" bestFit="1" customWidth="1"/>
    <col min="12" max="12" width="11.140625" style="2298" bestFit="1" customWidth="1"/>
    <col min="13" max="13" width="8.140625" style="2298" bestFit="1" customWidth="1"/>
    <col min="14" max="14" width="9.85546875" style="2298" customWidth="1"/>
    <col min="15" max="15" width="10.42578125" style="2298" bestFit="1" customWidth="1"/>
    <col min="16" max="16" width="10.28515625" style="2298" bestFit="1" customWidth="1"/>
    <col min="17" max="17" width="8.7109375" style="2298" bestFit="1" customWidth="1"/>
    <col min="18" max="18" width="10" style="2298" bestFit="1" customWidth="1"/>
    <col min="19" max="19" width="12" style="2298" bestFit="1" customWidth="1"/>
    <col min="20" max="20" width="10.28515625" style="2298" bestFit="1" customWidth="1"/>
    <col min="21" max="21" width="17.28515625" style="2298" bestFit="1" customWidth="1"/>
    <col min="22" max="22" width="14.7109375" style="2298" bestFit="1" customWidth="1"/>
    <col min="23" max="23" width="10.7109375" style="2298" bestFit="1" customWidth="1"/>
    <col min="24" max="24" width="12" style="2298" customWidth="1"/>
    <col min="25" max="25" width="11.140625" style="2298" bestFit="1" customWidth="1"/>
    <col min="26" max="26" width="8.140625" style="2298" bestFit="1" customWidth="1"/>
    <col min="27" max="27" width="8.28515625" style="2298" bestFit="1" customWidth="1"/>
    <col min="28" max="28" width="10.42578125" style="2298" bestFit="1" customWidth="1"/>
    <col min="29" max="29" width="10.28515625" style="2298" bestFit="1" customWidth="1"/>
    <col min="30" max="30" width="8.7109375" style="2298" bestFit="1" customWidth="1"/>
    <col min="31" max="31" width="10" style="2298" bestFit="1" customWidth="1"/>
    <col min="32" max="32" width="12" style="2298" bestFit="1" customWidth="1"/>
    <col min="33" max="33" width="10.28515625" style="2298" bestFit="1" customWidth="1"/>
    <col min="34" max="34" width="17.28515625" style="2298" bestFit="1" customWidth="1"/>
    <col min="35" max="35" width="14.7109375" style="2298" bestFit="1" customWidth="1"/>
    <col min="36" max="36" width="10.7109375" style="2298" bestFit="1" customWidth="1"/>
    <col min="37" max="37" width="11.140625" style="2298" bestFit="1" customWidth="1"/>
    <col min="38" max="38" width="8.140625" style="2298" bestFit="1" customWidth="1"/>
    <col min="39" max="39" width="8.28515625" style="2298" bestFit="1" customWidth="1"/>
    <col min="40" max="40" width="10.42578125" style="2298" bestFit="1" customWidth="1"/>
    <col min="41" max="41" width="10.28515625" style="2298" bestFit="1" customWidth="1"/>
    <col min="42" max="42" width="8.7109375" style="2298" bestFit="1" customWidth="1"/>
    <col min="43" max="43" width="10" style="2298" bestFit="1" customWidth="1"/>
    <col min="44" max="44" width="12" style="2298" bestFit="1" customWidth="1"/>
    <col min="45" max="45" width="10.28515625" style="2298" bestFit="1" customWidth="1"/>
    <col min="46" max="46" width="17.28515625" style="2298" bestFit="1" customWidth="1"/>
    <col min="47" max="47" width="14.7109375" style="2298" bestFit="1" customWidth="1"/>
    <col min="48" max="48" width="10.7109375" style="2298" bestFit="1" customWidth="1"/>
    <col min="49" max="49" width="7.5703125" style="2298" bestFit="1" customWidth="1"/>
    <col min="50" max="50" width="11.140625" style="2298" bestFit="1" customWidth="1"/>
    <col min="51" max="51" width="8.140625" style="2298" bestFit="1" customWidth="1"/>
    <col min="52" max="52" width="8.28515625" style="2298" bestFit="1" customWidth="1"/>
    <col min="53" max="53" width="10.42578125" style="2298" bestFit="1" customWidth="1"/>
    <col min="54" max="54" width="10.28515625" style="2298" bestFit="1" customWidth="1"/>
    <col min="55" max="55" width="8.7109375" style="2298" bestFit="1" customWidth="1"/>
    <col min="56" max="56" width="10" style="2298" bestFit="1" customWidth="1"/>
    <col min="57" max="57" width="12" style="2298" bestFit="1" customWidth="1"/>
    <col min="58" max="58" width="10.28515625" style="2298" bestFit="1" customWidth="1"/>
    <col min="59" max="59" width="17.28515625" style="2298" bestFit="1" customWidth="1"/>
    <col min="60" max="60" width="14.7109375" style="2298" bestFit="1" customWidth="1"/>
    <col min="61" max="61" width="10.7109375" style="2298" bestFit="1" customWidth="1"/>
    <col min="62" max="62" width="6.140625" style="2298" bestFit="1" customWidth="1"/>
    <col min="63" max="63" width="8.7109375" style="2298" bestFit="1" customWidth="1"/>
    <col min="64" max="64" width="7.7109375" style="2298" bestFit="1" customWidth="1"/>
    <col min="65" max="65" width="8.7109375" style="2298" bestFit="1" customWidth="1"/>
    <col min="66" max="66" width="11.140625" style="2298" bestFit="1" customWidth="1"/>
    <col min="67" max="67" width="9.5703125" style="2298" bestFit="1" customWidth="1"/>
    <col min="68" max="68" width="8" style="2298" bestFit="1" customWidth="1"/>
    <col min="69" max="69" width="9.28515625" style="2298" bestFit="1" customWidth="1"/>
    <col min="70" max="70" width="8.42578125" style="2298" bestFit="1" customWidth="1"/>
    <col min="71" max="71" width="17" style="2298" bestFit="1" customWidth="1"/>
    <col min="72" max="72" width="12.28515625" style="2298" bestFit="1" customWidth="1"/>
    <col min="73" max="73" width="9.85546875" style="2298" bestFit="1" customWidth="1"/>
    <col min="74" max="74" width="17" style="2298" bestFit="1" customWidth="1"/>
    <col min="75" max="75" width="14.28515625" style="2298" bestFit="1" customWidth="1"/>
    <col min="76" max="76" width="14.42578125" style="2298" bestFit="1" customWidth="1"/>
    <col min="77" max="77" width="9.140625" style="2298" customWidth="1"/>
    <col min="78" max="16384" width="9.140625" style="2298"/>
  </cols>
  <sheetData>
    <row r="1" spans="1:76" s="1101" customFormat="1" ht="15" x14ac:dyDescent="0.25">
      <c r="A1" s="1099"/>
      <c r="B1" s="916"/>
      <c r="C1" s="916"/>
      <c r="D1" s="916"/>
      <c r="E1" s="916"/>
      <c r="F1" s="917"/>
      <c r="G1" s="917"/>
      <c r="H1" s="916"/>
      <c r="I1" s="916"/>
      <c r="J1" s="916"/>
      <c r="K1" s="916"/>
      <c r="L1" s="916"/>
      <c r="M1" s="916"/>
      <c r="N1" s="916"/>
      <c r="O1" s="916"/>
      <c r="P1" s="916"/>
      <c r="Q1" s="916"/>
      <c r="R1" s="917"/>
      <c r="S1" s="916"/>
      <c r="T1" s="916"/>
      <c r="U1" s="916"/>
      <c r="V1" s="916"/>
      <c r="W1" s="916"/>
      <c r="X1" s="916"/>
      <c r="Y1" s="916"/>
      <c r="Z1" s="916"/>
      <c r="AA1" s="916"/>
      <c r="AB1" s="1713"/>
    </row>
    <row r="2" spans="1:76" s="1101" customFormat="1" ht="24.75" x14ac:dyDescent="0.25">
      <c r="A2" s="2297" t="s">
        <v>2092</v>
      </c>
      <c r="B2" s="44"/>
      <c r="C2" s="44"/>
      <c r="D2" s="44"/>
      <c r="E2" s="44"/>
      <c r="F2" s="44"/>
      <c r="G2" s="44"/>
      <c r="H2" s="44"/>
      <c r="I2" s="44"/>
      <c r="J2" s="44"/>
      <c r="K2" s="44"/>
      <c r="L2" s="44"/>
      <c r="M2" s="44"/>
      <c r="N2" s="44"/>
      <c r="O2" s="44"/>
      <c r="P2" s="44"/>
      <c r="Q2" s="44"/>
      <c r="R2" s="44"/>
      <c r="S2" s="44"/>
      <c r="T2" s="44"/>
      <c r="U2" s="44"/>
      <c r="V2" s="44"/>
      <c r="W2" s="44"/>
      <c r="X2" s="44"/>
      <c r="Y2" s="44"/>
      <c r="Z2" s="44"/>
      <c r="AA2" s="44"/>
      <c r="AB2" s="1713"/>
    </row>
    <row r="3" spans="1:76" s="1101" customFormat="1" ht="15" x14ac:dyDescent="0.25">
      <c r="A3" s="1099"/>
      <c r="B3" s="916"/>
      <c r="C3" s="916"/>
      <c r="D3" s="916"/>
      <c r="E3" s="916"/>
      <c r="F3" s="917"/>
      <c r="G3" s="917"/>
      <c r="H3" s="916"/>
      <c r="I3" s="916"/>
      <c r="J3" s="916"/>
      <c r="K3" s="916"/>
      <c r="L3" s="916"/>
      <c r="M3" s="916"/>
      <c r="N3" s="916"/>
      <c r="O3" s="916"/>
      <c r="P3" s="916"/>
      <c r="Q3" s="916"/>
      <c r="R3" s="917"/>
      <c r="S3" s="916"/>
      <c r="T3" s="916"/>
      <c r="U3" s="916"/>
      <c r="V3" s="916"/>
      <c r="W3" s="916"/>
      <c r="X3" s="916"/>
      <c r="Y3" s="916"/>
      <c r="Z3" s="916"/>
      <c r="AA3" s="916"/>
      <c r="AB3" s="1713"/>
    </row>
    <row r="4" spans="1:76" ht="57" customHeight="1" x14ac:dyDescent="0.2">
      <c r="A4" s="3107" t="s">
        <v>2221</v>
      </c>
      <c r="B4" s="3107"/>
      <c r="C4" s="3107"/>
      <c r="D4" s="3107"/>
      <c r="E4" s="3107"/>
      <c r="F4" s="3107"/>
      <c r="G4" s="3107"/>
      <c r="H4" s="3107"/>
      <c r="I4" s="3107"/>
      <c r="J4" s="3107"/>
      <c r="K4" s="3107"/>
    </row>
    <row r="5" spans="1:76" ht="13.5" thickBot="1" x14ac:dyDescent="0.25"/>
    <row r="6" spans="1:76" s="2302" customFormat="1" thickBot="1" x14ac:dyDescent="0.25">
      <c r="A6" s="2299"/>
      <c r="B6" s="2300"/>
      <c r="C6" s="2301"/>
      <c r="L6" s="3104" t="s">
        <v>2093</v>
      </c>
      <c r="M6" s="3106"/>
      <c r="N6" s="3106"/>
      <c r="O6" s="3106"/>
      <c r="P6" s="3106"/>
      <c r="Q6" s="3106"/>
      <c r="R6" s="3106"/>
      <c r="S6" s="3106"/>
      <c r="T6" s="3106"/>
      <c r="U6" s="3106"/>
      <c r="V6" s="3106"/>
      <c r="W6" s="3106"/>
      <c r="X6" s="3105"/>
      <c r="Y6" s="3104" t="s">
        <v>2094</v>
      </c>
      <c r="Z6" s="3106"/>
      <c r="AA6" s="3106"/>
      <c r="AB6" s="3106"/>
      <c r="AC6" s="3106"/>
      <c r="AD6" s="3106"/>
      <c r="AE6" s="3106"/>
      <c r="AF6" s="3106"/>
      <c r="AG6" s="3106"/>
      <c r="AH6" s="3106"/>
      <c r="AI6" s="3106"/>
      <c r="AJ6" s="3105"/>
      <c r="AK6" s="3104" t="s">
        <v>2095</v>
      </c>
      <c r="AL6" s="3106"/>
      <c r="AM6" s="3106"/>
      <c r="AN6" s="3106"/>
      <c r="AO6" s="3106"/>
      <c r="AP6" s="3106"/>
      <c r="AQ6" s="3106"/>
      <c r="AR6" s="3106"/>
      <c r="AS6" s="3106"/>
      <c r="AT6" s="3106"/>
      <c r="AU6" s="3106"/>
      <c r="AV6" s="3106"/>
      <c r="AW6" s="3105"/>
      <c r="AX6" s="3104" t="s">
        <v>2096</v>
      </c>
      <c r="AY6" s="3106"/>
      <c r="AZ6" s="3106"/>
      <c r="BA6" s="3106"/>
      <c r="BB6" s="3106"/>
      <c r="BC6" s="3106"/>
      <c r="BD6" s="3106"/>
      <c r="BE6" s="3106"/>
      <c r="BF6" s="3106"/>
      <c r="BG6" s="3106"/>
      <c r="BH6" s="3106"/>
      <c r="BI6" s="3106"/>
      <c r="BJ6" s="3105"/>
      <c r="BK6" s="3104" t="s">
        <v>2097</v>
      </c>
      <c r="BL6" s="3105"/>
      <c r="BM6" s="3104" t="s">
        <v>2098</v>
      </c>
      <c r="BN6" s="3105"/>
      <c r="BO6" s="3104" t="s">
        <v>2099</v>
      </c>
      <c r="BP6" s="3106"/>
      <c r="BQ6" s="3106"/>
      <c r="BR6" s="3105"/>
      <c r="BS6" s="3104" t="s">
        <v>2100</v>
      </c>
      <c r="BT6" s="3106"/>
      <c r="BU6" s="3106"/>
      <c r="BV6" s="3106"/>
      <c r="BW6" s="3106"/>
      <c r="BX6" s="3105"/>
    </row>
    <row r="7" spans="1:76" s="2307" customFormat="1" ht="48.75" thickBot="1" x14ac:dyDescent="0.3">
      <c r="A7" s="2303" t="s">
        <v>2101</v>
      </c>
      <c r="B7" s="2304" t="s">
        <v>2102</v>
      </c>
      <c r="C7" s="2304" t="s">
        <v>2103</v>
      </c>
      <c r="D7" s="2304" t="s">
        <v>2104</v>
      </c>
      <c r="E7" s="2304" t="s">
        <v>2105</v>
      </c>
      <c r="F7" s="2304" t="s">
        <v>2106</v>
      </c>
      <c r="G7" s="2304" t="s">
        <v>2107</v>
      </c>
      <c r="H7" s="2304" t="s">
        <v>2108</v>
      </c>
      <c r="I7" s="2304" t="s">
        <v>2109</v>
      </c>
      <c r="J7" s="2304" t="s">
        <v>2110</v>
      </c>
      <c r="K7" s="2305" t="s">
        <v>2111</v>
      </c>
      <c r="L7" s="2303" t="s">
        <v>2112</v>
      </c>
      <c r="M7" s="2304" t="s">
        <v>2113</v>
      </c>
      <c r="N7" s="2304" t="s">
        <v>2114</v>
      </c>
      <c r="O7" s="2304" t="s">
        <v>2115</v>
      </c>
      <c r="P7" s="2304" t="s">
        <v>2116</v>
      </c>
      <c r="Q7" s="2304" t="s">
        <v>2117</v>
      </c>
      <c r="R7" s="2304" t="s">
        <v>2118</v>
      </c>
      <c r="S7" s="2304" t="s">
        <v>2119</v>
      </c>
      <c r="T7" s="2304" t="s">
        <v>2120</v>
      </c>
      <c r="U7" s="2304" t="s">
        <v>2121</v>
      </c>
      <c r="V7" s="2304" t="s">
        <v>2122</v>
      </c>
      <c r="W7" s="2304" t="s">
        <v>2123</v>
      </c>
      <c r="X7" s="2305" t="s">
        <v>2124</v>
      </c>
      <c r="Y7" s="2303" t="s">
        <v>2125</v>
      </c>
      <c r="Z7" s="2304" t="s">
        <v>2126</v>
      </c>
      <c r="AA7" s="2304" t="s">
        <v>2127</v>
      </c>
      <c r="AB7" s="2304" t="s">
        <v>2128</v>
      </c>
      <c r="AC7" s="2304" t="s">
        <v>2129</v>
      </c>
      <c r="AD7" s="2304" t="s">
        <v>2130</v>
      </c>
      <c r="AE7" s="2304" t="s">
        <v>2131</v>
      </c>
      <c r="AF7" s="2304" t="s">
        <v>2132</v>
      </c>
      <c r="AG7" s="2304" t="s">
        <v>2133</v>
      </c>
      <c r="AH7" s="2304" t="s">
        <v>2134</v>
      </c>
      <c r="AI7" s="2304" t="s">
        <v>2135</v>
      </c>
      <c r="AJ7" s="2305" t="s">
        <v>2136</v>
      </c>
      <c r="AK7" s="2303" t="s">
        <v>2125</v>
      </c>
      <c r="AL7" s="2304" t="s">
        <v>2126</v>
      </c>
      <c r="AM7" s="2304" t="s">
        <v>2127</v>
      </c>
      <c r="AN7" s="2304" t="s">
        <v>2128</v>
      </c>
      <c r="AO7" s="2304" t="s">
        <v>2129</v>
      </c>
      <c r="AP7" s="2304" t="s">
        <v>2130</v>
      </c>
      <c r="AQ7" s="2304" t="s">
        <v>2131</v>
      </c>
      <c r="AR7" s="2304" t="s">
        <v>2132</v>
      </c>
      <c r="AS7" s="2304" t="s">
        <v>2133</v>
      </c>
      <c r="AT7" s="2304" t="s">
        <v>2134</v>
      </c>
      <c r="AU7" s="2304" t="s">
        <v>2135</v>
      </c>
      <c r="AV7" s="2304" t="s">
        <v>2136</v>
      </c>
      <c r="AW7" s="2305" t="s">
        <v>2137</v>
      </c>
      <c r="AX7" s="2303" t="s">
        <v>2138</v>
      </c>
      <c r="AY7" s="2304" t="s">
        <v>2139</v>
      </c>
      <c r="AZ7" s="2304" t="s">
        <v>2140</v>
      </c>
      <c r="BA7" s="2304" t="s">
        <v>2141</v>
      </c>
      <c r="BB7" s="2304" t="s">
        <v>2142</v>
      </c>
      <c r="BC7" s="2304" t="s">
        <v>2143</v>
      </c>
      <c r="BD7" s="2304" t="s">
        <v>2144</v>
      </c>
      <c r="BE7" s="2304" t="s">
        <v>2145</v>
      </c>
      <c r="BF7" s="2304" t="s">
        <v>2146</v>
      </c>
      <c r="BG7" s="2304" t="s">
        <v>2147</v>
      </c>
      <c r="BH7" s="2304" t="s">
        <v>2148</v>
      </c>
      <c r="BI7" s="2304" t="s">
        <v>2149</v>
      </c>
      <c r="BJ7" s="2305" t="s">
        <v>2150</v>
      </c>
      <c r="BK7" s="2303" t="s">
        <v>2151</v>
      </c>
      <c r="BL7" s="2305" t="s">
        <v>2152</v>
      </c>
      <c r="BM7" s="2303" t="s">
        <v>2153</v>
      </c>
      <c r="BN7" s="2306" t="s">
        <v>2154</v>
      </c>
      <c r="BO7" s="2303" t="s">
        <v>2155</v>
      </c>
      <c r="BP7" s="2304" t="s">
        <v>2156</v>
      </c>
      <c r="BQ7" s="2304" t="s">
        <v>2157</v>
      </c>
      <c r="BR7" s="2305" t="s">
        <v>2158</v>
      </c>
      <c r="BS7" s="2303" t="s">
        <v>2159</v>
      </c>
      <c r="BT7" s="2304" t="s">
        <v>2160</v>
      </c>
      <c r="BU7" s="2304" t="s">
        <v>2161</v>
      </c>
      <c r="BV7" s="2304" t="s">
        <v>2162</v>
      </c>
      <c r="BW7" s="2304" t="s">
        <v>2163</v>
      </c>
      <c r="BX7" s="2305" t="s">
        <v>2164</v>
      </c>
    </row>
    <row r="8" spans="1:76" s="379" customFormat="1" ht="12" x14ac:dyDescent="0.2">
      <c r="A8" s="2308"/>
      <c r="B8" s="2309"/>
      <c r="C8" s="2309"/>
      <c r="D8" s="2309"/>
      <c r="E8" s="2309"/>
      <c r="F8" s="2310"/>
      <c r="G8" s="2310"/>
      <c r="H8" s="2309"/>
      <c r="I8" s="2309"/>
      <c r="J8" s="2309"/>
      <c r="K8" s="2311"/>
      <c r="L8" s="2312"/>
      <c r="M8" s="2309"/>
      <c r="N8" s="2309"/>
      <c r="O8" s="2309"/>
      <c r="P8" s="2309"/>
      <c r="Q8" s="2309"/>
      <c r="R8" s="2309"/>
      <c r="S8" s="2309"/>
      <c r="T8" s="2309"/>
      <c r="U8" s="2309"/>
      <c r="V8" s="2309"/>
      <c r="W8" s="2309"/>
      <c r="X8" s="2311"/>
      <c r="Y8" s="2312"/>
      <c r="Z8" s="2309"/>
      <c r="AA8" s="2309"/>
      <c r="AB8" s="2309"/>
      <c r="AC8" s="2309"/>
      <c r="AD8" s="2309"/>
      <c r="AE8" s="2309"/>
      <c r="AF8" s="2309"/>
      <c r="AG8" s="2309"/>
      <c r="AH8" s="2309"/>
      <c r="AI8" s="2309"/>
      <c r="AJ8" s="2311"/>
      <c r="AK8" s="2312"/>
      <c r="AL8" s="2309"/>
      <c r="AM8" s="2309"/>
      <c r="AN8" s="2309"/>
      <c r="AO8" s="2309"/>
      <c r="AP8" s="2309"/>
      <c r="AQ8" s="2309"/>
      <c r="AR8" s="2309"/>
      <c r="AS8" s="2309"/>
      <c r="AT8" s="2309"/>
      <c r="AU8" s="2309"/>
      <c r="AV8" s="2309"/>
      <c r="AW8" s="2311"/>
      <c r="AX8" s="2312"/>
      <c r="AY8" s="2309"/>
      <c r="AZ8" s="2309"/>
      <c r="BA8" s="2309"/>
      <c r="BB8" s="2309"/>
      <c r="BC8" s="2309"/>
      <c r="BD8" s="2309"/>
      <c r="BE8" s="2309"/>
      <c r="BF8" s="2309"/>
      <c r="BG8" s="2309"/>
      <c r="BH8" s="2309"/>
      <c r="BI8" s="2309"/>
      <c r="BJ8" s="2311"/>
      <c r="BK8" s="2312"/>
      <c r="BL8" s="2311"/>
      <c r="BM8" s="2312"/>
      <c r="BN8" s="2311"/>
      <c r="BO8" s="2313"/>
      <c r="BP8" s="2314"/>
      <c r="BQ8" s="2314"/>
      <c r="BR8" s="2315"/>
      <c r="BS8" s="2313"/>
      <c r="BT8" s="2314"/>
      <c r="BU8" s="2314"/>
      <c r="BV8" s="2314"/>
      <c r="BW8" s="2314"/>
      <c r="BX8" s="2315"/>
    </row>
    <row r="9" spans="1:76" s="379" customFormat="1" ht="12" x14ac:dyDescent="0.2">
      <c r="A9" s="2316"/>
      <c r="B9" s="2314"/>
      <c r="C9" s="2314"/>
      <c r="D9" s="2314"/>
      <c r="E9" s="2314"/>
      <c r="F9" s="2317"/>
      <c r="G9" s="2317"/>
      <c r="H9" s="2314"/>
      <c r="I9" s="2314"/>
      <c r="J9" s="2314"/>
      <c r="K9" s="2315"/>
      <c r="L9" s="2313"/>
      <c r="M9" s="2314"/>
      <c r="N9" s="2314"/>
      <c r="O9" s="2314"/>
      <c r="P9" s="2314"/>
      <c r="Q9" s="2314"/>
      <c r="R9" s="2314"/>
      <c r="S9" s="2314"/>
      <c r="T9" s="2314"/>
      <c r="U9" s="2314"/>
      <c r="V9" s="2314"/>
      <c r="W9" s="2314"/>
      <c r="X9" s="2315"/>
      <c r="Y9" s="2313"/>
      <c r="Z9" s="2314"/>
      <c r="AA9" s="2314"/>
      <c r="AB9" s="2314"/>
      <c r="AC9" s="2314"/>
      <c r="AD9" s="2314"/>
      <c r="AE9" s="2314"/>
      <c r="AF9" s="2314"/>
      <c r="AG9" s="2314"/>
      <c r="AH9" s="2314"/>
      <c r="AI9" s="2314"/>
      <c r="AJ9" s="2315"/>
      <c r="AK9" s="2313"/>
      <c r="AL9" s="2314"/>
      <c r="AM9" s="2314"/>
      <c r="AN9" s="2314"/>
      <c r="AO9" s="2314"/>
      <c r="AP9" s="2314"/>
      <c r="AQ9" s="2314"/>
      <c r="AR9" s="2314"/>
      <c r="AS9" s="2314"/>
      <c r="AT9" s="2314"/>
      <c r="AU9" s="2314"/>
      <c r="AV9" s="2314"/>
      <c r="AW9" s="2315"/>
      <c r="AX9" s="2313"/>
      <c r="AY9" s="2314"/>
      <c r="AZ9" s="2314"/>
      <c r="BA9" s="2314"/>
      <c r="BB9" s="2314"/>
      <c r="BC9" s="2314"/>
      <c r="BD9" s="2314"/>
      <c r="BE9" s="2314"/>
      <c r="BF9" s="2314"/>
      <c r="BG9" s="2314"/>
      <c r="BH9" s="2314"/>
      <c r="BI9" s="2314"/>
      <c r="BJ9" s="2315"/>
      <c r="BK9" s="2313"/>
      <c r="BL9" s="2315"/>
      <c r="BM9" s="2313"/>
      <c r="BN9" s="2315"/>
      <c r="BO9" s="2313"/>
      <c r="BP9" s="2314"/>
      <c r="BQ9" s="2314"/>
      <c r="BR9" s="2315"/>
      <c r="BS9" s="2313"/>
      <c r="BT9" s="2314"/>
      <c r="BU9" s="2314"/>
      <c r="BV9" s="2314"/>
      <c r="BW9" s="2314"/>
      <c r="BX9" s="2315"/>
    </row>
    <row r="10" spans="1:76" s="379" customFormat="1" ht="12" x14ac:dyDescent="0.2">
      <c r="A10" s="2316"/>
      <c r="B10" s="2314"/>
      <c r="C10" s="2314"/>
      <c r="D10" s="2314"/>
      <c r="E10" s="2314"/>
      <c r="F10" s="2317"/>
      <c r="G10" s="2317"/>
      <c r="H10" s="2314"/>
      <c r="I10" s="2314"/>
      <c r="J10" s="2314"/>
      <c r="K10" s="2315"/>
      <c r="L10" s="2313"/>
      <c r="M10" s="2314"/>
      <c r="N10" s="2314"/>
      <c r="O10" s="2314"/>
      <c r="P10" s="2314"/>
      <c r="Q10" s="2314"/>
      <c r="R10" s="2314"/>
      <c r="S10" s="2314"/>
      <c r="T10" s="2314"/>
      <c r="U10" s="2314"/>
      <c r="V10" s="2314"/>
      <c r="W10" s="2314"/>
      <c r="X10" s="2315"/>
      <c r="Y10" s="2313"/>
      <c r="Z10" s="2314"/>
      <c r="AA10" s="2314"/>
      <c r="AB10" s="2314"/>
      <c r="AC10" s="2314"/>
      <c r="AD10" s="2314"/>
      <c r="AE10" s="2314"/>
      <c r="AF10" s="2314"/>
      <c r="AG10" s="2314"/>
      <c r="AH10" s="2314"/>
      <c r="AI10" s="2314"/>
      <c r="AJ10" s="2315"/>
      <c r="AK10" s="2313"/>
      <c r="AL10" s="2314"/>
      <c r="AM10" s="2314"/>
      <c r="AN10" s="2314"/>
      <c r="AO10" s="2314"/>
      <c r="AP10" s="2314"/>
      <c r="AQ10" s="2314"/>
      <c r="AR10" s="2314"/>
      <c r="AS10" s="2314"/>
      <c r="AT10" s="2314"/>
      <c r="AU10" s="2314"/>
      <c r="AV10" s="2314"/>
      <c r="AW10" s="2315"/>
      <c r="AX10" s="2313"/>
      <c r="AY10" s="2314"/>
      <c r="AZ10" s="2314"/>
      <c r="BA10" s="2314"/>
      <c r="BB10" s="2314"/>
      <c r="BC10" s="2314"/>
      <c r="BD10" s="2314"/>
      <c r="BE10" s="2314"/>
      <c r="BF10" s="2314"/>
      <c r="BG10" s="2314"/>
      <c r="BH10" s="2314"/>
      <c r="BI10" s="2314"/>
      <c r="BJ10" s="2315"/>
      <c r="BK10" s="2313"/>
      <c r="BL10" s="2315"/>
      <c r="BM10" s="2313"/>
      <c r="BN10" s="2315"/>
      <c r="BO10" s="2313"/>
      <c r="BP10" s="2314"/>
      <c r="BQ10" s="2314"/>
      <c r="BR10" s="2315"/>
      <c r="BS10" s="2313"/>
      <c r="BT10" s="2314"/>
      <c r="BU10" s="2314"/>
      <c r="BV10" s="2314"/>
      <c r="BW10" s="2314"/>
      <c r="BX10" s="2315"/>
    </row>
    <row r="11" spans="1:76" s="379" customFormat="1" ht="12" x14ac:dyDescent="0.2">
      <c r="A11" s="2316"/>
      <c r="B11" s="2314"/>
      <c r="C11" s="2314"/>
      <c r="D11" s="2314"/>
      <c r="E11" s="2314"/>
      <c r="F11" s="2317"/>
      <c r="G11" s="2317"/>
      <c r="H11" s="2314"/>
      <c r="I11" s="2314"/>
      <c r="J11" s="2314"/>
      <c r="K11" s="2315"/>
      <c r="L11" s="2313"/>
      <c r="M11" s="2314"/>
      <c r="N11" s="2314"/>
      <c r="O11" s="2314"/>
      <c r="P11" s="2314"/>
      <c r="Q11" s="2314"/>
      <c r="R11" s="2314"/>
      <c r="S11" s="2314"/>
      <c r="T11" s="2314"/>
      <c r="U11" s="2314"/>
      <c r="V11" s="2314"/>
      <c r="W11" s="2314"/>
      <c r="X11" s="2315"/>
      <c r="Y11" s="2313"/>
      <c r="Z11" s="2314"/>
      <c r="AA11" s="2314"/>
      <c r="AB11" s="2314"/>
      <c r="AC11" s="2314"/>
      <c r="AD11" s="2314"/>
      <c r="AE11" s="2314"/>
      <c r="AF11" s="2314"/>
      <c r="AG11" s="2314"/>
      <c r="AH11" s="2314"/>
      <c r="AI11" s="2314"/>
      <c r="AJ11" s="2315"/>
      <c r="AK11" s="2313"/>
      <c r="AL11" s="2314"/>
      <c r="AM11" s="2314"/>
      <c r="AN11" s="2314"/>
      <c r="AO11" s="2314"/>
      <c r="AP11" s="2314"/>
      <c r="AQ11" s="2314"/>
      <c r="AR11" s="2314"/>
      <c r="AS11" s="2314"/>
      <c r="AT11" s="2314"/>
      <c r="AU11" s="2314"/>
      <c r="AV11" s="2314"/>
      <c r="AW11" s="2315"/>
      <c r="AX11" s="2313"/>
      <c r="AY11" s="2314"/>
      <c r="AZ11" s="2314"/>
      <c r="BA11" s="2314"/>
      <c r="BB11" s="2314"/>
      <c r="BC11" s="2314"/>
      <c r="BD11" s="2314"/>
      <c r="BE11" s="2314"/>
      <c r="BF11" s="2314"/>
      <c r="BG11" s="2314"/>
      <c r="BH11" s="2314"/>
      <c r="BI11" s="2314"/>
      <c r="BJ11" s="2315"/>
      <c r="BK11" s="2313"/>
      <c r="BL11" s="2315"/>
      <c r="BM11" s="2313"/>
      <c r="BN11" s="2315"/>
      <c r="BO11" s="2313"/>
      <c r="BP11" s="2314"/>
      <c r="BQ11" s="2314"/>
      <c r="BR11" s="2315"/>
      <c r="BS11" s="2313"/>
      <c r="BT11" s="2314"/>
      <c r="BU11" s="2314"/>
      <c r="BV11" s="2314"/>
      <c r="BW11" s="2314"/>
      <c r="BX11" s="2315"/>
    </row>
    <row r="12" spans="1:76" s="2318" customFormat="1" ht="12" x14ac:dyDescent="0.2">
      <c r="A12" s="2346" t="s">
        <v>2179</v>
      </c>
      <c r="B12" s="2347"/>
      <c r="C12" s="2347"/>
      <c r="D12" s="2347"/>
      <c r="E12" s="2347"/>
      <c r="F12" s="2347"/>
      <c r="G12" s="2347"/>
      <c r="H12" s="2347"/>
      <c r="I12" s="2347"/>
      <c r="J12" s="2347"/>
      <c r="K12" s="2348" t="str">
        <f>IF(K8="","",AVERAGE(K8:K11))</f>
        <v/>
      </c>
      <c r="L12" s="2349" t="str">
        <f>IF(L8="","",AVERAGE(L8:L11))</f>
        <v/>
      </c>
      <c r="M12" s="2347" t="str">
        <f t="shared" ref="M12:BX12" si="0">IF(M8="","",AVERAGE(M8:M11))</f>
        <v/>
      </c>
      <c r="N12" s="2347" t="str">
        <f t="shared" si="0"/>
        <v/>
      </c>
      <c r="O12" s="2347" t="str">
        <f t="shared" si="0"/>
        <v/>
      </c>
      <c r="P12" s="2347" t="str">
        <f t="shared" si="0"/>
        <v/>
      </c>
      <c r="Q12" s="2347" t="str">
        <f t="shared" si="0"/>
        <v/>
      </c>
      <c r="R12" s="2347" t="str">
        <f t="shared" si="0"/>
        <v/>
      </c>
      <c r="S12" s="2347" t="str">
        <f t="shared" si="0"/>
        <v/>
      </c>
      <c r="T12" s="2347" t="str">
        <f t="shared" si="0"/>
        <v/>
      </c>
      <c r="U12" s="2347" t="str">
        <f t="shared" si="0"/>
        <v/>
      </c>
      <c r="V12" s="2347" t="str">
        <f t="shared" si="0"/>
        <v/>
      </c>
      <c r="W12" s="2347" t="str">
        <f t="shared" si="0"/>
        <v/>
      </c>
      <c r="X12" s="2348">
        <f>IF(X8="",0,AVERAGE(X8:X11))</f>
        <v>0</v>
      </c>
      <c r="Y12" s="2349" t="str">
        <f t="shared" si="0"/>
        <v/>
      </c>
      <c r="Z12" s="2347" t="str">
        <f t="shared" si="0"/>
        <v/>
      </c>
      <c r="AA12" s="2347" t="str">
        <f t="shared" si="0"/>
        <v/>
      </c>
      <c r="AB12" s="2347" t="str">
        <f t="shared" si="0"/>
        <v/>
      </c>
      <c r="AC12" s="2347" t="str">
        <f t="shared" si="0"/>
        <v/>
      </c>
      <c r="AD12" s="2347" t="str">
        <f t="shared" si="0"/>
        <v/>
      </c>
      <c r="AE12" s="2347" t="str">
        <f t="shared" si="0"/>
        <v/>
      </c>
      <c r="AF12" s="2347" t="str">
        <f t="shared" si="0"/>
        <v/>
      </c>
      <c r="AG12" s="2347" t="str">
        <f t="shared" si="0"/>
        <v/>
      </c>
      <c r="AH12" s="2347" t="str">
        <f t="shared" si="0"/>
        <v/>
      </c>
      <c r="AI12" s="2347" t="str">
        <f t="shared" si="0"/>
        <v/>
      </c>
      <c r="AJ12" s="2348" t="str">
        <f t="shared" si="0"/>
        <v/>
      </c>
      <c r="AK12" s="2349" t="str">
        <f t="shared" si="0"/>
        <v/>
      </c>
      <c r="AL12" s="2347" t="str">
        <f t="shared" si="0"/>
        <v/>
      </c>
      <c r="AM12" s="2347" t="str">
        <f t="shared" si="0"/>
        <v/>
      </c>
      <c r="AN12" s="2347" t="str">
        <f t="shared" si="0"/>
        <v/>
      </c>
      <c r="AO12" s="2347" t="str">
        <f t="shared" si="0"/>
        <v/>
      </c>
      <c r="AP12" s="2347" t="str">
        <f t="shared" si="0"/>
        <v/>
      </c>
      <c r="AQ12" s="2347" t="str">
        <f t="shared" si="0"/>
        <v/>
      </c>
      <c r="AR12" s="2347" t="str">
        <f t="shared" si="0"/>
        <v/>
      </c>
      <c r="AS12" s="2347" t="str">
        <f t="shared" si="0"/>
        <v/>
      </c>
      <c r="AT12" s="2347" t="str">
        <f t="shared" si="0"/>
        <v/>
      </c>
      <c r="AU12" s="2347" t="str">
        <f t="shared" si="0"/>
        <v/>
      </c>
      <c r="AV12" s="2347" t="str">
        <f t="shared" si="0"/>
        <v/>
      </c>
      <c r="AW12" s="2348" t="str">
        <f t="shared" si="0"/>
        <v/>
      </c>
      <c r="AX12" s="2349" t="str">
        <f t="shared" si="0"/>
        <v/>
      </c>
      <c r="AY12" s="2347" t="str">
        <f t="shared" si="0"/>
        <v/>
      </c>
      <c r="AZ12" s="2347" t="str">
        <f t="shared" si="0"/>
        <v/>
      </c>
      <c r="BA12" s="2347" t="str">
        <f t="shared" si="0"/>
        <v/>
      </c>
      <c r="BB12" s="2347" t="str">
        <f>IF(BB8="","",AVERAGE(BB8:BB11))</f>
        <v/>
      </c>
      <c r="BC12" s="2347" t="str">
        <f t="shared" si="0"/>
        <v/>
      </c>
      <c r="BD12" s="2347" t="str">
        <f t="shared" si="0"/>
        <v/>
      </c>
      <c r="BE12" s="2347" t="str">
        <f t="shared" si="0"/>
        <v/>
      </c>
      <c r="BF12" s="2347" t="str">
        <f t="shared" si="0"/>
        <v/>
      </c>
      <c r="BG12" s="2347" t="str">
        <f t="shared" si="0"/>
        <v/>
      </c>
      <c r="BH12" s="2347" t="str">
        <f t="shared" si="0"/>
        <v/>
      </c>
      <c r="BI12" s="2347" t="str">
        <f t="shared" si="0"/>
        <v/>
      </c>
      <c r="BJ12" s="2348">
        <f>IF(BJ8="",0,AVERAGE(BJ8:BJ11))</f>
        <v>0</v>
      </c>
      <c r="BK12" s="2349" t="str">
        <f t="shared" si="0"/>
        <v/>
      </c>
      <c r="BL12" s="2348" t="str">
        <f t="shared" si="0"/>
        <v/>
      </c>
      <c r="BM12" s="2349" t="str">
        <f t="shared" si="0"/>
        <v/>
      </c>
      <c r="BN12" s="2348" t="str">
        <f t="shared" si="0"/>
        <v/>
      </c>
      <c r="BO12" s="2349" t="str">
        <f t="shared" si="0"/>
        <v/>
      </c>
      <c r="BP12" s="2347" t="str">
        <f t="shared" si="0"/>
        <v/>
      </c>
      <c r="BQ12" s="2347" t="str">
        <f t="shared" si="0"/>
        <v/>
      </c>
      <c r="BR12" s="2348" t="str">
        <f t="shared" si="0"/>
        <v/>
      </c>
      <c r="BS12" s="2349" t="str">
        <f t="shared" si="0"/>
        <v/>
      </c>
      <c r="BT12" s="2347" t="str">
        <f t="shared" si="0"/>
        <v/>
      </c>
      <c r="BU12" s="2347" t="str">
        <f t="shared" si="0"/>
        <v/>
      </c>
      <c r="BV12" s="2347" t="str">
        <f t="shared" si="0"/>
        <v/>
      </c>
      <c r="BW12" s="2347" t="str">
        <f t="shared" si="0"/>
        <v/>
      </c>
      <c r="BX12" s="2348" t="str">
        <f t="shared" si="0"/>
        <v/>
      </c>
    </row>
    <row r="13" spans="1:76" s="379" customFormat="1" thickBot="1" x14ac:dyDescent="0.25">
      <c r="A13" s="2319"/>
      <c r="B13" s="2320"/>
      <c r="C13" s="2320"/>
      <c r="D13" s="2320"/>
      <c r="E13" s="2320"/>
      <c r="F13" s="2321"/>
      <c r="G13" s="2321"/>
      <c r="H13" s="2320"/>
      <c r="I13" s="2320"/>
      <c r="J13" s="2320"/>
      <c r="K13" s="2322"/>
      <c r="L13" s="2323"/>
      <c r="M13" s="2320"/>
      <c r="N13" s="2320"/>
      <c r="O13" s="2320"/>
      <c r="P13" s="2320"/>
      <c r="Q13" s="2320"/>
      <c r="R13" s="2320"/>
      <c r="S13" s="2320"/>
      <c r="T13" s="2320"/>
      <c r="U13" s="2320"/>
      <c r="V13" s="2320"/>
      <c r="W13" s="2320"/>
      <c r="X13" s="2322"/>
      <c r="Y13" s="2323"/>
      <c r="Z13" s="2320"/>
      <c r="AA13" s="2320"/>
      <c r="AB13" s="2320"/>
      <c r="AC13" s="2320"/>
      <c r="AD13" s="2320"/>
      <c r="AE13" s="2320"/>
      <c r="AF13" s="2320"/>
      <c r="AG13" s="2320"/>
      <c r="AH13" s="2320"/>
      <c r="AI13" s="2320"/>
      <c r="AJ13" s="2322"/>
      <c r="AK13" s="2323"/>
      <c r="AL13" s="2320"/>
      <c r="AM13" s="2320"/>
      <c r="AN13" s="2320"/>
      <c r="AO13" s="2320"/>
      <c r="AP13" s="2320"/>
      <c r="AQ13" s="2320"/>
      <c r="AR13" s="2320"/>
      <c r="AS13" s="2320"/>
      <c r="AT13" s="2320"/>
      <c r="AU13" s="2320"/>
      <c r="AV13" s="2320"/>
      <c r="AW13" s="2322"/>
      <c r="AX13" s="2323"/>
      <c r="AY13" s="2320"/>
      <c r="AZ13" s="2320"/>
      <c r="BA13" s="2320"/>
      <c r="BB13" s="2320"/>
      <c r="BC13" s="2320"/>
      <c r="BD13" s="2320"/>
      <c r="BE13" s="2320"/>
      <c r="BF13" s="2320"/>
      <c r="BG13" s="2320"/>
      <c r="BH13" s="2320"/>
      <c r="BI13" s="2320"/>
      <c r="BJ13" s="2322"/>
      <c r="BK13" s="2323"/>
      <c r="BL13" s="2322"/>
      <c r="BM13" s="2323"/>
      <c r="BN13" s="2322"/>
      <c r="BO13" s="2323"/>
      <c r="BP13" s="2320"/>
      <c r="BQ13" s="2320"/>
      <c r="BR13" s="2322"/>
      <c r="BS13" s="2323"/>
      <c r="BT13" s="2320"/>
      <c r="BU13" s="2320"/>
      <c r="BV13" s="2320"/>
      <c r="BW13" s="2320"/>
      <c r="BX13" s="2322"/>
    </row>
    <row r="15" spans="1:76" ht="48" customHeight="1" x14ac:dyDescent="0.2">
      <c r="A15" s="3103" t="s">
        <v>2230</v>
      </c>
      <c r="B15" s="3103"/>
      <c r="C15" s="3103"/>
      <c r="D15" s="3103"/>
      <c r="E15" s="3103"/>
      <c r="F15" s="3103"/>
      <c r="G15" s="3103"/>
      <c r="H15" s="3103"/>
      <c r="I15" s="3103"/>
      <c r="J15" s="3103"/>
    </row>
  </sheetData>
  <sheetProtection algorithmName="SHA-512" hashValue="ehll4BdWfZcF+PR0rfNOSZPOd254bV4v7sci9Bm1KS7nr8Sem2aohsk92WgR/16d8E+ocGAEzkSdsPX/vZTKQg==" saltValue="nCOPTLUsakQ/3zuPXiAwnA==" spinCount="100000" sheet="1" objects="1" scenarios="1"/>
  <mergeCells count="10">
    <mergeCell ref="A15:J15"/>
    <mergeCell ref="BM6:BN6"/>
    <mergeCell ref="BO6:BR6"/>
    <mergeCell ref="BS6:BX6"/>
    <mergeCell ref="A4:K4"/>
    <mergeCell ref="L6:X6"/>
    <mergeCell ref="Y6:AJ6"/>
    <mergeCell ref="AK6:AW6"/>
    <mergeCell ref="AX6:BJ6"/>
    <mergeCell ref="BK6:BL6"/>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7">
    <tabColor theme="0" tint="-0.249977111117893"/>
  </sheetPr>
  <dimension ref="A1:BB55"/>
  <sheetViews>
    <sheetView showGridLines="0" workbookViewId="0">
      <selection activeCell="H18" sqref="H18"/>
    </sheetView>
  </sheetViews>
  <sheetFormatPr defaultColWidth="9.140625" defaultRowHeight="12.75" x14ac:dyDescent="0.2"/>
  <cols>
    <col min="1" max="2" width="24.7109375" style="2298" customWidth="1"/>
    <col min="3" max="3" width="14.85546875" style="2298" bestFit="1" customWidth="1"/>
    <col min="4" max="7" width="14.85546875" style="2298" customWidth="1"/>
    <col min="8" max="8" width="14.85546875" style="2298" bestFit="1" customWidth="1"/>
    <col min="9" max="9" width="8.7109375" style="2298" bestFit="1" customWidth="1"/>
    <col min="10" max="10" width="10" style="2298" bestFit="1" customWidth="1"/>
    <col min="11" max="11" width="12" style="2298" bestFit="1" customWidth="1"/>
    <col min="12" max="12" width="32.85546875" style="2298" hidden="1" customWidth="1"/>
    <col min="13" max="13" width="17.28515625" style="2298" bestFit="1" customWidth="1"/>
    <col min="14" max="14" width="14.7109375" style="2298" bestFit="1" customWidth="1"/>
    <col min="15" max="15" width="10.7109375" style="2298" bestFit="1" customWidth="1"/>
    <col min="16" max="16" width="11.140625" style="2298" bestFit="1" customWidth="1"/>
    <col min="17" max="17" width="8.140625" style="2298" bestFit="1" customWidth="1"/>
    <col min="18" max="18" width="8.28515625" style="2298" bestFit="1" customWidth="1"/>
    <col min="19" max="19" width="10.42578125" style="2298" bestFit="1" customWidth="1"/>
    <col min="20" max="20" width="10.28515625" style="2298" bestFit="1" customWidth="1"/>
    <col min="21" max="21" width="8.7109375" style="2298" bestFit="1" customWidth="1"/>
    <col min="22" max="22" width="10" style="2298" bestFit="1" customWidth="1"/>
    <col min="23" max="23" width="12" style="2298" bestFit="1" customWidth="1"/>
    <col min="24" max="24" width="10.28515625" style="2298" bestFit="1" customWidth="1"/>
    <col min="25" max="25" width="17.28515625" style="2298" bestFit="1" customWidth="1"/>
    <col min="26" max="26" width="14.7109375" style="2298" bestFit="1" customWidth="1"/>
    <col min="27" max="27" width="10.7109375" style="2298" bestFit="1" customWidth="1"/>
    <col min="28" max="28" width="7.5703125" style="2298" bestFit="1" customWidth="1"/>
    <col min="29" max="29" width="11.140625" style="2298" bestFit="1" customWidth="1"/>
    <col min="30" max="30" width="8.140625" style="2298" bestFit="1" customWidth="1"/>
    <col min="31" max="31" width="8.28515625" style="2298" bestFit="1" customWidth="1"/>
    <col min="32" max="32" width="10.42578125" style="2298" bestFit="1" customWidth="1"/>
    <col min="33" max="33" width="10.28515625" style="2298" bestFit="1" customWidth="1"/>
    <col min="34" max="34" width="8.7109375" style="2298" bestFit="1" customWidth="1"/>
    <col min="35" max="35" width="10" style="2298" bestFit="1" customWidth="1"/>
    <col min="36" max="36" width="12" style="2298" bestFit="1" customWidth="1"/>
    <col min="37" max="37" width="10.28515625" style="2298" bestFit="1" customWidth="1"/>
    <col min="38" max="38" width="17.28515625" style="2298" bestFit="1" customWidth="1"/>
    <col min="39" max="39" width="14.7109375" style="2298" bestFit="1" customWidth="1"/>
    <col min="40" max="40" width="10.7109375" style="2298" bestFit="1" customWidth="1"/>
    <col min="41" max="41" width="6" style="2298" bestFit="1" customWidth="1"/>
    <col min="42" max="42" width="8.7109375" style="2298" bestFit="1" customWidth="1"/>
    <col min="43" max="43" width="7.7109375" style="2298" bestFit="1" customWidth="1"/>
    <col min="44" max="44" width="8.7109375" style="2298" bestFit="1" customWidth="1"/>
    <col min="45" max="45" width="11.140625" style="2298" bestFit="1" customWidth="1"/>
    <col min="46" max="46" width="9.5703125" style="2298" bestFit="1" customWidth="1"/>
    <col min="47" max="47" width="7.5703125" style="2298" bestFit="1" customWidth="1"/>
    <col min="48" max="48" width="9.28515625" style="2298" bestFit="1" customWidth="1"/>
    <col min="49" max="49" width="8.42578125" style="2298" bestFit="1" customWidth="1"/>
    <col min="50" max="50" width="17" style="2298" bestFit="1" customWidth="1"/>
    <col min="51" max="51" width="12.28515625" style="2298" bestFit="1" customWidth="1"/>
    <col min="52" max="52" width="9.85546875" style="2298" bestFit="1" customWidth="1"/>
    <col min="53" max="53" width="17" style="2298" bestFit="1" customWidth="1"/>
    <col min="54" max="54" width="14.28515625" style="2298" bestFit="1" customWidth="1"/>
    <col min="55" max="55" width="14.42578125" style="2298" bestFit="1" customWidth="1"/>
    <col min="56" max="56" width="9.140625" style="2298" customWidth="1"/>
    <col min="57" max="16384" width="9.140625" style="2298"/>
  </cols>
  <sheetData>
    <row r="1" spans="1:54" s="1101" customFormat="1" ht="15" x14ac:dyDescent="0.25">
      <c r="A1" s="1099"/>
      <c r="B1" s="916"/>
      <c r="C1" s="916"/>
      <c r="D1" s="916"/>
      <c r="E1" s="916"/>
      <c r="F1" s="917"/>
      <c r="G1" s="917"/>
      <c r="H1" s="916"/>
      <c r="I1" s="916"/>
      <c r="J1" s="916"/>
      <c r="K1" s="916"/>
      <c r="L1" s="916"/>
      <c r="M1" s="916"/>
      <c r="N1" s="916"/>
      <c r="O1" s="916"/>
      <c r="P1" s="916"/>
      <c r="Q1" s="916"/>
      <c r="R1" s="917"/>
      <c r="S1" s="916"/>
      <c r="T1" s="916"/>
      <c r="U1" s="916"/>
      <c r="V1" s="916"/>
      <c r="W1" s="916"/>
      <c r="X1" s="916"/>
      <c r="Y1" s="916"/>
      <c r="Z1" s="916"/>
      <c r="AA1" s="916"/>
      <c r="AB1" s="1713"/>
    </row>
    <row r="2" spans="1:54" s="1101" customFormat="1" ht="24.75" x14ac:dyDescent="0.25">
      <c r="A2" s="2297" t="s">
        <v>2165</v>
      </c>
      <c r="B2" s="44"/>
      <c r="C2" s="44"/>
      <c r="D2" s="44"/>
      <c r="E2" s="44"/>
      <c r="F2" s="44"/>
      <c r="G2" s="44"/>
      <c r="H2" s="44"/>
      <c r="I2" s="44"/>
      <c r="J2" s="44"/>
      <c r="K2" s="44"/>
      <c r="L2" s="44"/>
      <c r="M2" s="44"/>
      <c r="N2" s="44"/>
      <c r="O2" s="44"/>
      <c r="P2" s="44"/>
      <c r="Q2" s="44"/>
      <c r="R2" s="44"/>
      <c r="S2" s="44"/>
      <c r="T2" s="44"/>
      <c r="U2" s="44"/>
      <c r="V2" s="44"/>
      <c r="W2" s="44"/>
      <c r="X2" s="44"/>
      <c r="Y2" s="44"/>
      <c r="Z2" s="44"/>
      <c r="AA2" s="44"/>
      <c r="AB2" s="1713"/>
    </row>
    <row r="3" spans="1:54" s="1101" customFormat="1" ht="15" x14ac:dyDescent="0.25">
      <c r="A3" s="1099"/>
      <c r="B3" s="916"/>
      <c r="C3" s="916"/>
      <c r="D3" s="916"/>
      <c r="E3" s="916"/>
      <c r="F3" s="917"/>
      <c r="G3" s="917"/>
      <c r="H3" s="916"/>
      <c r="I3" s="916"/>
      <c r="J3" s="916"/>
      <c r="K3" s="916"/>
      <c r="L3" s="916"/>
      <c r="M3" s="916"/>
      <c r="N3" s="916"/>
      <c r="O3" s="916"/>
      <c r="P3" s="916"/>
      <c r="Q3" s="916"/>
      <c r="R3" s="917"/>
      <c r="S3" s="916"/>
      <c r="T3" s="916"/>
      <c r="U3" s="916"/>
      <c r="V3" s="916"/>
      <c r="W3" s="916"/>
      <c r="X3" s="916"/>
      <c r="Y3" s="916"/>
      <c r="Z3" s="916"/>
      <c r="AA3" s="916"/>
      <c r="AB3" s="1713"/>
    </row>
    <row r="4" spans="1:54" ht="96.6" customHeight="1" x14ac:dyDescent="0.2">
      <c r="A4" s="3108" t="s">
        <v>2166</v>
      </c>
      <c r="B4" s="3108"/>
      <c r="C4" s="3108"/>
      <c r="D4" s="3108"/>
      <c r="E4" s="3108"/>
      <c r="F4" s="3108"/>
      <c r="G4" s="3108"/>
      <c r="H4" s="3108"/>
    </row>
    <row r="5" spans="1:54" ht="13.5" thickBot="1" x14ac:dyDescent="0.25"/>
    <row r="6" spans="1:54" s="2302" customFormat="1" ht="48.75" thickBot="1" x14ac:dyDescent="0.25">
      <c r="A6" s="2324" t="s">
        <v>2167</v>
      </c>
      <c r="B6" s="2325" t="s">
        <v>2168</v>
      </c>
      <c r="C6" s="2325" t="s">
        <v>2180</v>
      </c>
      <c r="D6" s="2325" t="s">
        <v>2181</v>
      </c>
      <c r="E6" s="2325" t="s">
        <v>2182</v>
      </c>
      <c r="F6" s="2325" t="s">
        <v>2183</v>
      </c>
      <c r="G6" s="2325" t="s">
        <v>2184</v>
      </c>
      <c r="H6" s="2326" t="s">
        <v>2185</v>
      </c>
      <c r="I6" s="2327"/>
      <c r="J6" s="2327"/>
      <c r="K6" s="2327"/>
      <c r="L6" s="2327" t="s">
        <v>2169</v>
      </c>
      <c r="M6" s="2327"/>
      <c r="N6" s="2327"/>
      <c r="O6" s="2327"/>
      <c r="P6" s="2327"/>
      <c r="Q6" s="2327"/>
      <c r="R6" s="2327"/>
      <c r="S6" s="2327"/>
      <c r="T6" s="2327"/>
      <c r="U6" s="2327"/>
      <c r="V6" s="2327"/>
      <c r="W6" s="2327"/>
      <c r="X6" s="2327"/>
      <c r="Y6" s="2327"/>
      <c r="Z6" s="2327"/>
      <c r="AA6" s="2327"/>
      <c r="AB6" s="2327"/>
      <c r="AC6" s="2327"/>
      <c r="AD6" s="2327"/>
      <c r="AE6" s="2327"/>
      <c r="AF6" s="2327"/>
      <c r="AG6" s="2327"/>
      <c r="AH6" s="2327"/>
      <c r="AI6" s="2327"/>
      <c r="AJ6" s="2327"/>
      <c r="AK6" s="2327"/>
      <c r="AL6" s="2327"/>
      <c r="AM6" s="2327"/>
      <c r="AN6" s="2327"/>
      <c r="AO6" s="2327"/>
      <c r="AP6" s="2327"/>
      <c r="AQ6" s="2327"/>
      <c r="AR6" s="2327"/>
      <c r="AS6" s="2327"/>
      <c r="AT6" s="2327"/>
      <c r="AU6" s="2327"/>
      <c r="AV6" s="2327"/>
      <c r="AW6" s="2327"/>
      <c r="AX6" s="2327"/>
      <c r="AY6" s="2327"/>
      <c r="AZ6" s="2327"/>
      <c r="BA6" s="2327"/>
      <c r="BB6" s="2327"/>
    </row>
    <row r="7" spans="1:54" x14ac:dyDescent="0.2">
      <c r="A7" s="2328" t="s">
        <v>2170</v>
      </c>
      <c r="B7" s="2329" t="s">
        <v>464</v>
      </c>
      <c r="C7" s="2329">
        <v>293.3</v>
      </c>
      <c r="D7" s="2329"/>
      <c r="E7" s="2329"/>
      <c r="F7" s="2329"/>
      <c r="G7" s="2330">
        <f>IF(C7="","",AVERAGE(C7:F7))</f>
        <v>293.3</v>
      </c>
      <c r="H7" s="2331">
        <v>212.5</v>
      </c>
      <c r="L7" s="2298" t="str">
        <f>A7&amp;B7</f>
        <v>Lighting - ConditionedElectricity</v>
      </c>
    </row>
    <row r="8" spans="1:54" x14ac:dyDescent="0.2">
      <c r="A8" s="2332" t="s">
        <v>2171</v>
      </c>
      <c r="B8" s="2333" t="s">
        <v>464</v>
      </c>
      <c r="C8" s="2333">
        <v>54</v>
      </c>
      <c r="D8" s="2333"/>
      <c r="E8" s="2333"/>
      <c r="F8" s="2333"/>
      <c r="G8" s="2334">
        <f t="shared" ref="G8:G55" si="0">IF(C8="","",AVERAGE(C8:F8))</f>
        <v>54</v>
      </c>
      <c r="H8" s="2335">
        <v>54.2</v>
      </c>
      <c r="L8" s="2298" t="str">
        <f t="shared" ref="L8:L21" si="1">A8&amp;B8</f>
        <v>Space HeatingElectricity</v>
      </c>
    </row>
    <row r="9" spans="1:54" x14ac:dyDescent="0.2">
      <c r="A9" s="2332" t="s">
        <v>2171</v>
      </c>
      <c r="B9" s="2333" t="s">
        <v>2291</v>
      </c>
      <c r="C9" s="2333">
        <v>151.1</v>
      </c>
      <c r="D9" s="2333"/>
      <c r="E9" s="2333"/>
      <c r="F9" s="2333"/>
      <c r="G9" s="2334">
        <f t="shared" si="0"/>
        <v>151.1</v>
      </c>
      <c r="H9" s="2335">
        <v>101.6</v>
      </c>
      <c r="L9" s="2298" t="str">
        <f t="shared" si="1"/>
        <v>Space HeatingPurchased Steam</v>
      </c>
    </row>
    <row r="10" spans="1:54" x14ac:dyDescent="0.2">
      <c r="A10" s="2332" t="s">
        <v>2173</v>
      </c>
      <c r="B10" s="2333" t="s">
        <v>2292</v>
      </c>
      <c r="C10" s="2333">
        <v>3033.2</v>
      </c>
      <c r="D10" s="2333"/>
      <c r="E10" s="2333"/>
      <c r="F10" s="2333"/>
      <c r="G10" s="2334">
        <f t="shared" si="0"/>
        <v>3033.2</v>
      </c>
      <c r="H10" s="2335">
        <v>2728.2</v>
      </c>
      <c r="L10" s="2298" t="str">
        <f t="shared" si="1"/>
        <v>Space CoolingPurchased Chilled Water</v>
      </c>
    </row>
    <row r="11" spans="1:54" x14ac:dyDescent="0.2">
      <c r="A11" s="2332" t="s">
        <v>477</v>
      </c>
      <c r="B11" s="2333" t="s">
        <v>464</v>
      </c>
      <c r="C11" s="2333">
        <v>23.1</v>
      </c>
      <c r="D11" s="2333"/>
      <c r="E11" s="2333"/>
      <c r="F11" s="2333"/>
      <c r="G11" s="2334">
        <f t="shared" si="0"/>
        <v>23.1</v>
      </c>
      <c r="H11" s="2335">
        <v>21.9</v>
      </c>
      <c r="L11" s="2298" t="str">
        <f t="shared" si="1"/>
        <v>PumpsElectricity</v>
      </c>
    </row>
    <row r="12" spans="1:54" x14ac:dyDescent="0.2">
      <c r="A12" s="2332" t="s">
        <v>2174</v>
      </c>
      <c r="B12" s="2333" t="s">
        <v>464</v>
      </c>
      <c r="C12" s="2333"/>
      <c r="D12" s="2333"/>
      <c r="E12" s="2333"/>
      <c r="F12" s="2333"/>
      <c r="G12" s="2334" t="str">
        <f t="shared" si="0"/>
        <v/>
      </c>
      <c r="H12" s="2335"/>
      <c r="L12" s="2298" t="str">
        <f t="shared" si="1"/>
        <v>Heat RejectionElectricity</v>
      </c>
    </row>
    <row r="13" spans="1:54" x14ac:dyDescent="0.2">
      <c r="A13" s="2332" t="s">
        <v>2175</v>
      </c>
      <c r="B13" s="2333" t="s">
        <v>464</v>
      </c>
      <c r="C13" s="2333">
        <v>286.2</v>
      </c>
      <c r="D13" s="2333"/>
      <c r="E13" s="2333"/>
      <c r="F13" s="2333"/>
      <c r="G13" s="2334">
        <f t="shared" si="0"/>
        <v>286.2</v>
      </c>
      <c r="H13" s="2335">
        <v>242.8</v>
      </c>
      <c r="L13" s="2298" t="str">
        <f t="shared" si="1"/>
        <v>Fans - ConditionedElectricity</v>
      </c>
    </row>
    <row r="14" spans="1:54" x14ac:dyDescent="0.2">
      <c r="A14" s="2332" t="s">
        <v>2176</v>
      </c>
      <c r="B14" s="2333" t="s">
        <v>464</v>
      </c>
      <c r="C14" s="2333">
        <v>595.79999999999995</v>
      </c>
      <c r="D14" s="2333"/>
      <c r="E14" s="2333"/>
      <c r="F14" s="2333"/>
      <c r="G14" s="2334">
        <f t="shared" si="0"/>
        <v>595.79999999999995</v>
      </c>
      <c r="H14" s="2335">
        <v>595.79999999999995</v>
      </c>
      <c r="L14" s="2298" t="str">
        <f t="shared" si="1"/>
        <v>Receptacles - ConditionedElectricity</v>
      </c>
    </row>
    <row r="15" spans="1:54" x14ac:dyDescent="0.2">
      <c r="A15" s="2332" t="s">
        <v>2177</v>
      </c>
      <c r="B15" s="2333" t="s">
        <v>464</v>
      </c>
      <c r="C15" s="2333">
        <v>114.7</v>
      </c>
      <c r="D15" s="2333"/>
      <c r="E15" s="2333"/>
      <c r="F15" s="2333"/>
      <c r="G15" s="2334">
        <f t="shared" si="0"/>
        <v>114.7</v>
      </c>
      <c r="H15" s="2335">
        <v>107.5</v>
      </c>
      <c r="L15" s="2298" t="str">
        <f t="shared" si="1"/>
        <v>Stand-alone Base UtilitiesElectricity</v>
      </c>
    </row>
    <row r="16" spans="1:54" x14ac:dyDescent="0.2">
      <c r="A16" s="2332"/>
      <c r="B16" s="2333"/>
      <c r="C16" s="2333"/>
      <c r="D16" s="2333"/>
      <c r="E16" s="2333"/>
      <c r="F16" s="2333"/>
      <c r="G16" s="2334" t="str">
        <f t="shared" si="0"/>
        <v/>
      </c>
      <c r="H16" s="2335"/>
      <c r="L16" s="2298" t="str">
        <f t="shared" si="1"/>
        <v/>
      </c>
    </row>
    <row r="17" spans="1:12" x14ac:dyDescent="0.2">
      <c r="A17" s="2332" t="s">
        <v>2178</v>
      </c>
      <c r="B17" s="2336"/>
      <c r="C17" s="2333">
        <v>4551.3</v>
      </c>
      <c r="D17" s="2333"/>
      <c r="E17" s="2333"/>
      <c r="F17" s="2333"/>
      <c r="G17" s="2334">
        <f t="shared" si="0"/>
        <v>4551.3</v>
      </c>
      <c r="H17" s="2335">
        <v>4064.7</v>
      </c>
      <c r="L17" s="2298" t="str">
        <f t="shared" si="1"/>
        <v>Total Building Consumption</v>
      </c>
    </row>
    <row r="18" spans="1:12" x14ac:dyDescent="0.2">
      <c r="A18" s="2337"/>
      <c r="B18" s="2336"/>
      <c r="C18" s="2336"/>
      <c r="D18" s="2336"/>
      <c r="E18" s="2336"/>
      <c r="F18" s="2336"/>
      <c r="G18" s="2334" t="str">
        <f t="shared" si="0"/>
        <v/>
      </c>
      <c r="H18" s="2338"/>
      <c r="L18" s="2298" t="str">
        <f t="shared" si="1"/>
        <v/>
      </c>
    </row>
    <row r="19" spans="1:12" x14ac:dyDescent="0.2">
      <c r="A19" s="2337"/>
      <c r="B19" s="2336"/>
      <c r="C19" s="2336"/>
      <c r="D19" s="2336"/>
      <c r="E19" s="2336"/>
      <c r="F19" s="2336"/>
      <c r="G19" s="2334" t="str">
        <f t="shared" si="0"/>
        <v/>
      </c>
      <c r="H19" s="2338"/>
      <c r="L19" s="2298" t="str">
        <f t="shared" si="1"/>
        <v/>
      </c>
    </row>
    <row r="20" spans="1:12" x14ac:dyDescent="0.2">
      <c r="A20" s="2337"/>
      <c r="B20" s="2336"/>
      <c r="C20" s="2336"/>
      <c r="D20" s="2336"/>
      <c r="E20" s="2336"/>
      <c r="F20" s="2336"/>
      <c r="G20" s="2334" t="str">
        <f t="shared" si="0"/>
        <v/>
      </c>
      <c r="H20" s="2338"/>
      <c r="L20" s="2298" t="str">
        <f t="shared" si="1"/>
        <v/>
      </c>
    </row>
    <row r="21" spans="1:12" ht="13.5" thickBot="1" x14ac:dyDescent="0.25">
      <c r="A21" s="2339"/>
      <c r="B21" s="2340"/>
      <c r="C21" s="2340"/>
      <c r="D21" s="2340"/>
      <c r="E21" s="2340"/>
      <c r="F21" s="2340"/>
      <c r="G21" s="2341" t="str">
        <f t="shared" si="0"/>
        <v/>
      </c>
      <c r="H21" s="2342"/>
      <c r="L21" s="2298" t="str">
        <f t="shared" si="1"/>
        <v/>
      </c>
    </row>
    <row r="22" spans="1:12" x14ac:dyDescent="0.2">
      <c r="A22" s="2343"/>
      <c r="B22" s="2343"/>
      <c r="C22" s="2343"/>
      <c r="D22" s="2343"/>
      <c r="E22" s="2343"/>
      <c r="F22" s="2343"/>
      <c r="G22" s="2343" t="str">
        <f t="shared" si="0"/>
        <v/>
      </c>
      <c r="H22" s="2343"/>
    </row>
    <row r="23" spans="1:12" ht="46.15" customHeight="1" x14ac:dyDescent="0.2">
      <c r="A23" s="3109" t="s">
        <v>2229</v>
      </c>
      <c r="B23" s="3109"/>
      <c r="C23" s="3109"/>
      <c r="D23" s="3109"/>
      <c r="E23" s="3109"/>
      <c r="F23" s="3109"/>
      <c r="G23" s="3109"/>
      <c r="H23" s="3109"/>
    </row>
    <row r="24" spans="1:12" x14ac:dyDescent="0.2">
      <c r="A24" s="2343"/>
      <c r="B24" s="2343"/>
      <c r="C24" s="2343"/>
      <c r="D24" s="2343"/>
      <c r="E24" s="2343"/>
      <c r="F24" s="2343"/>
      <c r="G24" s="2343" t="str">
        <f t="shared" si="0"/>
        <v/>
      </c>
      <c r="H24" s="2343"/>
    </row>
    <row r="25" spans="1:12" x14ac:dyDescent="0.2">
      <c r="A25" s="2343"/>
      <c r="B25" s="2343"/>
      <c r="C25" s="2343"/>
      <c r="D25" s="2343"/>
      <c r="E25" s="2343"/>
      <c r="F25" s="2343"/>
      <c r="G25" s="2343" t="str">
        <f t="shared" si="0"/>
        <v/>
      </c>
      <c r="H25" s="2343"/>
    </row>
    <row r="26" spans="1:12" x14ac:dyDescent="0.2">
      <c r="A26" s="2343"/>
      <c r="B26" s="2343"/>
      <c r="C26" s="2343"/>
      <c r="D26" s="2343"/>
      <c r="E26" s="2343"/>
      <c r="F26" s="2343"/>
      <c r="G26" s="2343" t="str">
        <f t="shared" si="0"/>
        <v/>
      </c>
      <c r="H26" s="2343"/>
    </row>
    <row r="27" spans="1:12" x14ac:dyDescent="0.2">
      <c r="A27" s="2343"/>
      <c r="B27" s="2343"/>
      <c r="C27" s="2343"/>
      <c r="D27" s="2343"/>
      <c r="E27" s="2343"/>
      <c r="F27" s="2343"/>
      <c r="G27" s="2343" t="str">
        <f t="shared" si="0"/>
        <v/>
      </c>
      <c r="H27" s="2343"/>
    </row>
    <row r="28" spans="1:12" x14ac:dyDescent="0.2">
      <c r="A28" s="2343"/>
      <c r="B28" s="2343"/>
      <c r="C28" s="2343"/>
      <c r="D28" s="2343"/>
      <c r="E28" s="2343"/>
      <c r="F28" s="2343"/>
      <c r="G28" s="2343" t="str">
        <f t="shared" si="0"/>
        <v/>
      </c>
      <c r="H28" s="2343"/>
    </row>
    <row r="29" spans="1:12" x14ac:dyDescent="0.2">
      <c r="A29" s="2343"/>
      <c r="B29" s="2343"/>
      <c r="C29" s="2343"/>
      <c r="D29" s="2343"/>
      <c r="E29" s="2343"/>
      <c r="F29" s="2343"/>
      <c r="G29" s="2343" t="str">
        <f t="shared" si="0"/>
        <v/>
      </c>
      <c r="H29" s="2343"/>
    </row>
    <row r="30" spans="1:12" x14ac:dyDescent="0.2">
      <c r="A30" s="2343"/>
      <c r="B30" s="2343"/>
      <c r="C30" s="2343"/>
      <c r="D30" s="2343"/>
      <c r="E30" s="2343"/>
      <c r="F30" s="2343"/>
      <c r="G30" s="2343" t="str">
        <f t="shared" si="0"/>
        <v/>
      </c>
      <c r="H30" s="2343"/>
    </row>
    <row r="31" spans="1:12" x14ac:dyDescent="0.2">
      <c r="G31" s="2343" t="str">
        <f t="shared" si="0"/>
        <v/>
      </c>
    </row>
    <row r="32" spans="1:12" x14ac:dyDescent="0.2">
      <c r="G32" s="2343" t="str">
        <f t="shared" si="0"/>
        <v/>
      </c>
    </row>
    <row r="33" spans="7:7" x14ac:dyDescent="0.2">
      <c r="G33" s="2343" t="str">
        <f t="shared" si="0"/>
        <v/>
      </c>
    </row>
    <row r="34" spans="7:7" x14ac:dyDescent="0.2">
      <c r="G34" s="2343" t="str">
        <f t="shared" si="0"/>
        <v/>
      </c>
    </row>
    <row r="35" spans="7:7" x14ac:dyDescent="0.2">
      <c r="G35" s="2343" t="str">
        <f t="shared" si="0"/>
        <v/>
      </c>
    </row>
    <row r="36" spans="7:7" x14ac:dyDescent="0.2">
      <c r="G36" s="2343" t="str">
        <f t="shared" si="0"/>
        <v/>
      </c>
    </row>
    <row r="37" spans="7:7" x14ac:dyDescent="0.2">
      <c r="G37" s="2343" t="str">
        <f t="shared" si="0"/>
        <v/>
      </c>
    </row>
    <row r="38" spans="7:7" x14ac:dyDescent="0.2">
      <c r="G38" s="2343" t="str">
        <f t="shared" si="0"/>
        <v/>
      </c>
    </row>
    <row r="39" spans="7:7" x14ac:dyDescent="0.2">
      <c r="G39" s="2343" t="str">
        <f t="shared" si="0"/>
        <v/>
      </c>
    </row>
    <row r="40" spans="7:7" x14ac:dyDescent="0.2">
      <c r="G40" s="2343" t="str">
        <f t="shared" si="0"/>
        <v/>
      </c>
    </row>
    <row r="41" spans="7:7" x14ac:dyDescent="0.2">
      <c r="G41" s="2343" t="str">
        <f t="shared" si="0"/>
        <v/>
      </c>
    </row>
    <row r="42" spans="7:7" x14ac:dyDescent="0.2">
      <c r="G42" s="2343" t="str">
        <f t="shared" si="0"/>
        <v/>
      </c>
    </row>
    <row r="43" spans="7:7" x14ac:dyDescent="0.2">
      <c r="G43" s="2343" t="str">
        <f t="shared" si="0"/>
        <v/>
      </c>
    </row>
    <row r="44" spans="7:7" x14ac:dyDescent="0.2">
      <c r="G44" s="2343" t="str">
        <f t="shared" si="0"/>
        <v/>
      </c>
    </row>
    <row r="45" spans="7:7" x14ac:dyDescent="0.2">
      <c r="G45" s="2343" t="str">
        <f t="shared" si="0"/>
        <v/>
      </c>
    </row>
    <row r="46" spans="7:7" x14ac:dyDescent="0.2">
      <c r="G46" s="2343" t="str">
        <f t="shared" si="0"/>
        <v/>
      </c>
    </row>
    <row r="47" spans="7:7" x14ac:dyDescent="0.2">
      <c r="G47" s="2343" t="str">
        <f t="shared" si="0"/>
        <v/>
      </c>
    </row>
    <row r="48" spans="7:7" x14ac:dyDescent="0.2">
      <c r="G48" s="2343" t="str">
        <f t="shared" si="0"/>
        <v/>
      </c>
    </row>
    <row r="49" spans="7:7" x14ac:dyDescent="0.2">
      <c r="G49" s="2343" t="str">
        <f t="shared" si="0"/>
        <v/>
      </c>
    </row>
    <row r="50" spans="7:7" x14ac:dyDescent="0.2">
      <c r="G50" s="2343" t="str">
        <f t="shared" si="0"/>
        <v/>
      </c>
    </row>
    <row r="51" spans="7:7" x14ac:dyDescent="0.2">
      <c r="G51" s="2343" t="str">
        <f t="shared" si="0"/>
        <v/>
      </c>
    </row>
    <row r="52" spans="7:7" x14ac:dyDescent="0.2">
      <c r="G52" s="2343" t="str">
        <f t="shared" si="0"/>
        <v/>
      </c>
    </row>
    <row r="53" spans="7:7" x14ac:dyDescent="0.2">
      <c r="G53" s="2343" t="str">
        <f t="shared" si="0"/>
        <v/>
      </c>
    </row>
    <row r="54" spans="7:7" x14ac:dyDescent="0.2">
      <c r="G54" s="2343" t="str">
        <f t="shared" si="0"/>
        <v/>
      </c>
    </row>
    <row r="55" spans="7:7" x14ac:dyDescent="0.2">
      <c r="G55" s="2343" t="str">
        <f t="shared" si="0"/>
        <v/>
      </c>
    </row>
  </sheetData>
  <sheetProtection algorithmName="SHA-512" hashValue="uVzCHAEZ05PSL/nHQx0EjyxAwKmBpOIZd4S5KOfwHU8cKdzobc0+lTLFN3yQq98ziT7epmdoG4+DvHMjEFKiew==" saltValue="Qjf0bv0y6T86ks9FKju48A==" spinCount="100000" sheet="1" objects="1" scenarios="1"/>
  <mergeCells count="2">
    <mergeCell ref="A4:H4"/>
    <mergeCell ref="A23:H23"/>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BI398"/>
  <sheetViews>
    <sheetView showGridLines="0" tabSelected="1" topLeftCell="A236" zoomScale="90" zoomScaleNormal="90" zoomScaleSheetLayoutView="100" zoomScalePageLayoutView="90" workbookViewId="0">
      <selection activeCell="I376" sqref="I376:M376"/>
    </sheetView>
  </sheetViews>
  <sheetFormatPr defaultColWidth="8.7109375" defaultRowHeight="12.75" outlineLevelCol="1" x14ac:dyDescent="0.25"/>
  <cols>
    <col min="1" max="1" width="2.7109375" style="671" customWidth="1"/>
    <col min="2" max="2" width="21.42578125" style="671" customWidth="1"/>
    <col min="3" max="3" width="24.42578125" style="671" customWidth="1"/>
    <col min="4" max="4" width="3.7109375" style="671" customWidth="1"/>
    <col min="5" max="5" width="17.42578125" style="671" customWidth="1"/>
    <col min="6" max="6" width="21.140625" style="671" customWidth="1"/>
    <col min="7" max="10" width="19.28515625" style="671" customWidth="1"/>
    <col min="11" max="12" width="8.7109375" style="671" customWidth="1"/>
    <col min="13" max="13" width="17.5703125" style="671" customWidth="1"/>
    <col min="14" max="15" width="2.7109375" style="671" customWidth="1"/>
    <col min="16" max="16" width="9.140625" style="671" hidden="1" customWidth="1"/>
    <col min="17" max="17" width="19.42578125" style="671" hidden="1" customWidth="1" outlineLevel="1"/>
    <col min="18" max="18" width="15.42578125" style="671" hidden="1" customWidth="1" outlineLevel="1"/>
    <col min="19" max="19" width="12.42578125" style="671" hidden="1" customWidth="1" outlineLevel="1"/>
    <col min="20" max="28" width="9.140625" style="671" hidden="1" customWidth="1" outlineLevel="1"/>
    <col min="29" max="31" width="11.140625" style="671" hidden="1" customWidth="1" outlineLevel="1"/>
    <col min="32" max="32" width="9.7109375" style="671" hidden="1" customWidth="1" outlineLevel="1"/>
    <col min="33" max="33" width="9.140625" style="671" hidden="1" customWidth="1" outlineLevel="1"/>
    <col min="34" max="34" width="12.42578125" style="671" hidden="1" customWidth="1" outlineLevel="1"/>
    <col min="35" max="35" width="9.140625" style="671" hidden="1" customWidth="1" outlineLevel="1"/>
    <col min="36" max="36" width="15.7109375" style="671" hidden="1" customWidth="1" outlineLevel="1"/>
    <col min="37" max="37" width="9.140625" style="671" hidden="1" customWidth="1" outlineLevel="1"/>
    <col min="38" max="38" width="10.28515625" style="671" hidden="1" customWidth="1" outlineLevel="1"/>
    <col min="39" max="39" width="10.42578125" style="671" hidden="1" customWidth="1" outlineLevel="1"/>
    <col min="40" max="40" width="9.140625" style="671" hidden="1" customWidth="1" outlineLevel="1"/>
    <col min="41" max="43" width="14.7109375" style="671" hidden="1" customWidth="1" outlineLevel="1"/>
    <col min="44" max="45" width="9.140625" style="671" hidden="1" customWidth="1" outlineLevel="1"/>
    <col min="46" max="47" width="10.28515625" style="671" hidden="1" customWidth="1" outlineLevel="1"/>
    <col min="48" max="48" width="9.140625" style="671" hidden="1" customWidth="1" outlineLevel="1"/>
    <col min="49" max="50" width="11" style="671" hidden="1" customWidth="1" outlineLevel="1"/>
    <col min="51" max="52" width="9.140625" style="671" hidden="1" customWidth="1" outlineLevel="1"/>
    <col min="53" max="53" width="2.7109375" style="671" customWidth="1" collapsed="1"/>
    <col min="54" max="54" width="2.7109375" style="671" customWidth="1"/>
    <col min="55" max="55" width="50.7109375" style="671" customWidth="1"/>
    <col min="56" max="57" width="9.140625" style="671" customWidth="1"/>
    <col min="58" max="61" width="25.7109375" style="671" customWidth="1"/>
    <col min="62" max="102" width="9.140625" style="671" customWidth="1"/>
    <col min="103" max="16384" width="8.7109375" style="671"/>
  </cols>
  <sheetData>
    <row r="1" spans="1:55" s="118" customFormat="1" x14ac:dyDescent="0.25">
      <c r="A1" s="1099" t="s">
        <v>1298</v>
      </c>
      <c r="B1" s="629"/>
      <c r="C1" s="629"/>
      <c r="D1" s="629"/>
      <c r="E1" s="629"/>
      <c r="F1" s="629"/>
      <c r="G1" s="629"/>
      <c r="H1" s="629"/>
      <c r="I1" s="629"/>
      <c r="J1" s="629"/>
      <c r="K1" s="629"/>
      <c r="L1" s="629"/>
      <c r="M1" s="629"/>
      <c r="Q1" s="83"/>
      <c r="R1" s="83"/>
      <c r="V1" s="83"/>
      <c r="W1" s="83"/>
      <c r="X1" s="83"/>
      <c r="Y1" s="83"/>
      <c r="Z1" s="83"/>
      <c r="AA1" s="83"/>
      <c r="AB1" s="83"/>
      <c r="AC1" s="83"/>
      <c r="AD1" s="83"/>
      <c r="AE1" s="83"/>
      <c r="AF1" s="83"/>
      <c r="AG1" s="83"/>
      <c r="AH1" s="83"/>
      <c r="AI1" s="83"/>
      <c r="AJ1" s="83"/>
      <c r="AK1" s="83"/>
      <c r="AL1" s="83"/>
      <c r="AM1" s="83"/>
    </row>
    <row r="2" spans="1:55" s="118" customFormat="1" ht="24.75" customHeight="1" x14ac:dyDescent="0.25">
      <c r="A2" s="1099" t="s">
        <v>1298</v>
      </c>
      <c r="B2" s="78" t="s">
        <v>1297</v>
      </c>
      <c r="C2" s="629"/>
      <c r="D2" s="634"/>
      <c r="E2" s="634"/>
      <c r="F2" s="634"/>
      <c r="G2" s="634"/>
      <c r="H2" s="634"/>
      <c r="I2" s="634"/>
      <c r="J2" s="634"/>
      <c r="K2" s="634"/>
      <c r="L2" s="634"/>
      <c r="M2" s="634"/>
      <c r="Q2" s="83"/>
      <c r="R2" s="83"/>
      <c r="V2" s="83"/>
      <c r="W2" s="83"/>
      <c r="X2" s="83"/>
      <c r="Y2" s="83"/>
      <c r="Z2" s="83"/>
      <c r="AA2" s="83"/>
      <c r="AB2" s="83"/>
      <c r="AC2" s="83"/>
      <c r="AD2" s="83"/>
      <c r="AE2" s="83"/>
      <c r="AF2" s="83"/>
      <c r="AG2" s="83"/>
      <c r="AH2" s="83"/>
      <c r="AI2" s="83"/>
      <c r="AJ2" s="83"/>
      <c r="AK2" s="83"/>
      <c r="AL2" s="83"/>
      <c r="AM2" s="83"/>
    </row>
    <row r="3" spans="1:55" s="118" customFormat="1" ht="15" customHeight="1" x14ac:dyDescent="0.25">
      <c r="A3" s="1099" t="s">
        <v>1298</v>
      </c>
      <c r="B3" s="629"/>
      <c r="C3" s="629"/>
      <c r="D3" s="629"/>
      <c r="E3" s="629"/>
      <c r="F3" s="629"/>
      <c r="G3" s="629"/>
      <c r="H3" s="629"/>
      <c r="I3" s="629"/>
      <c r="J3" s="629"/>
      <c r="K3" s="629"/>
      <c r="L3" s="629"/>
      <c r="M3" s="629"/>
      <c r="Q3" s="83"/>
      <c r="R3" s="83"/>
      <c r="V3" s="83"/>
      <c r="W3" s="83"/>
      <c r="X3" s="83"/>
      <c r="Y3" s="83"/>
      <c r="Z3" s="83"/>
      <c r="AA3" s="83"/>
      <c r="AB3" s="83"/>
      <c r="AC3" s="83"/>
      <c r="AD3" s="83"/>
      <c r="AE3" s="83"/>
      <c r="AF3" s="83"/>
      <c r="AG3" s="83"/>
      <c r="AH3" s="83"/>
      <c r="AI3" s="83"/>
      <c r="AJ3" s="83"/>
      <c r="AK3" s="83"/>
      <c r="AL3" s="83"/>
      <c r="AM3" s="83"/>
    </row>
    <row r="4" spans="1:55" ht="21.75" customHeight="1" x14ac:dyDescent="0.25">
      <c r="A4" s="1243" t="s">
        <v>1298</v>
      </c>
      <c r="B4" s="657"/>
      <c r="C4" s="1157"/>
      <c r="D4" s="1157"/>
      <c r="E4" s="1152"/>
      <c r="F4" s="1152"/>
      <c r="G4" s="1152"/>
      <c r="H4" s="1152"/>
      <c r="I4" s="1152"/>
      <c r="J4" s="1152"/>
      <c r="K4" s="1152"/>
      <c r="L4" s="1152"/>
      <c r="M4" s="1152"/>
      <c r="Q4" s="1250" t="s">
        <v>1505</v>
      </c>
    </row>
    <row r="5" spans="1:55" ht="21.75" customHeight="1" x14ac:dyDescent="0.25">
      <c r="A5" s="1243" t="s">
        <v>1298</v>
      </c>
      <c r="B5" s="1244" t="s">
        <v>1762</v>
      </c>
      <c r="C5" s="1157"/>
      <c r="D5" s="1157"/>
      <c r="E5" s="1152"/>
      <c r="F5" s="1152"/>
      <c r="G5" s="1152"/>
      <c r="H5" s="3313" t="str">
        <f>INDEX(MBD_EMI_Table,2,1)</f>
        <v>SEA Building Addition</v>
      </c>
      <c r="I5" s="3314"/>
      <c r="J5" s="3314"/>
      <c r="K5" s="3314"/>
      <c r="L5" s="3314"/>
      <c r="M5" s="3315"/>
      <c r="Q5" s="1549">
        <f>IFERROR(INDEX(MBD_EMI_Table,MATCH($H$5,MBD_EMI_Index,0),MATCH('Multiple Buildings Details'!$J$16,MBD_EMI_Hdr,0)),"ERROR")</f>
        <v>1</v>
      </c>
    </row>
    <row r="6" spans="1:55" ht="21.75" customHeight="1" x14ac:dyDescent="0.25">
      <c r="A6" s="1243" t="s">
        <v>1298</v>
      </c>
      <c r="B6" s="657"/>
      <c r="C6" s="1157"/>
      <c r="D6" s="1157"/>
      <c r="E6" s="1152"/>
      <c r="F6" s="1152"/>
      <c r="G6" s="1152"/>
      <c r="H6" s="1152"/>
      <c r="I6" s="1152"/>
      <c r="J6" s="1152"/>
      <c r="K6" s="1152"/>
      <c r="L6" s="1152"/>
      <c r="M6" s="1152"/>
    </row>
    <row r="7" spans="1:55" ht="22.5" customHeight="1" x14ac:dyDescent="0.25">
      <c r="A7" s="1243" t="s">
        <v>1298</v>
      </c>
      <c r="B7" s="3316" t="s">
        <v>1125</v>
      </c>
      <c r="C7" s="3316"/>
      <c r="D7" s="3316"/>
      <c r="E7" s="3316"/>
      <c r="F7" s="3316"/>
      <c r="G7" s="3316"/>
      <c r="H7" s="3316"/>
      <c r="I7" s="3316"/>
      <c r="J7" s="3316"/>
      <c r="K7" s="3316"/>
      <c r="L7" s="3316"/>
      <c r="M7" s="3316"/>
    </row>
    <row r="8" spans="1:55" ht="15.75" customHeight="1" x14ac:dyDescent="0.25">
      <c r="A8" s="1243" t="s">
        <v>1298</v>
      </c>
      <c r="B8" s="3317"/>
      <c r="C8" s="3318"/>
      <c r="D8" s="3318"/>
      <c r="E8" s="3318"/>
      <c r="F8" s="3318"/>
      <c r="G8" s="3318"/>
      <c r="H8" s="3318"/>
      <c r="I8" s="3318"/>
      <c r="J8" s="3318"/>
      <c r="K8" s="3318"/>
      <c r="L8" s="3318"/>
      <c r="M8" s="3318"/>
    </row>
    <row r="9" spans="1:55" ht="52.5" customHeight="1" x14ac:dyDescent="0.25">
      <c r="A9" s="1243" t="s">
        <v>1298</v>
      </c>
      <c r="B9" s="3319" t="s">
        <v>1763</v>
      </c>
      <c r="C9" s="3319"/>
      <c r="D9" s="3319"/>
      <c r="E9" s="3319"/>
      <c r="F9" s="3319"/>
      <c r="G9" s="3319"/>
      <c r="H9" s="3319"/>
      <c r="I9" s="3319"/>
      <c r="J9" s="3319"/>
      <c r="K9" s="3319"/>
      <c r="L9" s="3319"/>
      <c r="M9" s="3320"/>
      <c r="BC9" s="671" t="s">
        <v>2090</v>
      </c>
    </row>
    <row r="10" spans="1:55" ht="33" customHeight="1" x14ac:dyDescent="0.25">
      <c r="A10" s="1243" t="s">
        <v>1298</v>
      </c>
      <c r="B10" s="3321" t="s">
        <v>1127</v>
      </c>
      <c r="C10" s="3322"/>
      <c r="D10" s="3322"/>
      <c r="E10" s="3322"/>
      <c r="F10" s="3322"/>
      <c r="G10" s="3322"/>
      <c r="H10" s="3322"/>
      <c r="I10" s="3322"/>
      <c r="J10" s="3322"/>
      <c r="K10" s="3322"/>
      <c r="L10" s="3322"/>
      <c r="M10" s="3322"/>
    </row>
    <row r="11" spans="1:55" ht="34.15" hidden="1" customHeight="1" x14ac:dyDescent="0.25">
      <c r="A11" s="1243" t="s">
        <v>1298</v>
      </c>
      <c r="B11" s="3321" t="s">
        <v>1192</v>
      </c>
      <c r="C11" s="3322"/>
      <c r="D11" s="3322"/>
      <c r="E11" s="3322"/>
      <c r="F11" s="3322"/>
      <c r="G11" s="3322"/>
      <c r="H11" s="3322"/>
      <c r="I11" s="3322"/>
      <c r="J11" s="3322"/>
      <c r="K11" s="3322"/>
      <c r="L11" s="3322"/>
      <c r="M11" s="3322"/>
    </row>
    <row r="12" spans="1:55" ht="33" hidden="1" customHeight="1" x14ac:dyDescent="0.25">
      <c r="A12" s="1243" t="s">
        <v>1298</v>
      </c>
      <c r="B12" s="3321" t="s">
        <v>1128</v>
      </c>
      <c r="C12" s="3322"/>
      <c r="D12" s="3322"/>
      <c r="E12" s="3322"/>
      <c r="F12" s="3322"/>
      <c r="G12" s="3322"/>
      <c r="H12" s="3322"/>
      <c r="I12" s="3322"/>
      <c r="J12" s="3322"/>
      <c r="K12" s="3322"/>
      <c r="L12" s="3322"/>
      <c r="M12" s="3322"/>
    </row>
    <row r="13" spans="1:55" ht="15.75" customHeight="1" x14ac:dyDescent="0.25">
      <c r="A13" s="1243" t="s">
        <v>1298</v>
      </c>
      <c r="B13" s="3317"/>
      <c r="C13" s="3318"/>
      <c r="D13" s="3318"/>
      <c r="E13" s="3318"/>
      <c r="F13" s="3318"/>
      <c r="G13" s="3318"/>
      <c r="H13" s="3318"/>
      <c r="I13" s="3318"/>
      <c r="J13" s="3318"/>
      <c r="K13" s="3318"/>
      <c r="L13" s="3318"/>
      <c r="M13" s="3318"/>
    </row>
    <row r="14" spans="1:55" ht="15" x14ac:dyDescent="0.25">
      <c r="A14" s="1243" t="s">
        <v>1298</v>
      </c>
      <c r="B14" s="3158" t="s">
        <v>444</v>
      </c>
      <c r="C14" s="3158" t="s">
        <v>494</v>
      </c>
      <c r="D14" s="3125"/>
      <c r="E14" s="3158" t="s">
        <v>493</v>
      </c>
      <c r="F14" s="3158" t="s">
        <v>492</v>
      </c>
      <c r="G14" s="3125"/>
      <c r="H14" s="3158" t="s">
        <v>491</v>
      </c>
      <c r="I14" s="3125"/>
      <c r="J14" s="3125"/>
      <c r="K14" s="3124" t="s">
        <v>1764</v>
      </c>
      <c r="L14" s="3328"/>
      <c r="M14" s="3328"/>
      <c r="N14" s="596"/>
      <c r="O14" s="596"/>
      <c r="P14" s="596"/>
      <c r="AC14" s="1245"/>
    </row>
    <row r="15" spans="1:55" ht="62.25" customHeight="1" x14ac:dyDescent="0.25">
      <c r="A15" s="1243" t="s">
        <v>1298</v>
      </c>
      <c r="B15" s="3125"/>
      <c r="C15" s="3125"/>
      <c r="D15" s="3125"/>
      <c r="E15" s="3125"/>
      <c r="F15" s="3125"/>
      <c r="G15" s="3125"/>
      <c r="H15" s="3125"/>
      <c r="I15" s="3125"/>
      <c r="J15" s="3125"/>
      <c r="K15" s="3124" t="str">
        <f>CONCATENATE("Energy Type Consumption Units to Site Energy Consumption (",PO_SiteUnits,")")</f>
        <v>Energy Type Consumption Units to Site Energy Consumption (Btu x 10^6)</v>
      </c>
      <c r="L15" s="3328"/>
      <c r="M15" s="1335" t="str">
        <f>CONCATENATE("Energy Type Consumption Units to Source Energy Consumption (",PO_SourceUnits,")")</f>
        <v>Energy Type Consumption Units to Source Energy Consumption (Btu x 10^6)</v>
      </c>
      <c r="N15" s="596"/>
      <c r="O15" s="596"/>
      <c r="P15" s="596"/>
      <c r="AC15" s="1246"/>
    </row>
    <row r="16" spans="1:55" ht="15" hidden="1" x14ac:dyDescent="0.25">
      <c r="A16" s="1243" t="s">
        <v>1298</v>
      </c>
      <c r="B16" s="1336" t="s">
        <v>1765</v>
      </c>
      <c r="C16" s="3308" t="s">
        <v>1766</v>
      </c>
      <c r="D16" s="3125"/>
      <c r="E16" s="1336" t="s">
        <v>1767</v>
      </c>
      <c r="F16" s="1336" t="s">
        <v>1768</v>
      </c>
      <c r="G16" s="1337"/>
      <c r="H16" s="1336" t="s">
        <v>1769</v>
      </c>
      <c r="I16" s="1338"/>
      <c r="J16" s="1339"/>
      <c r="K16" s="1336" t="s">
        <v>1770</v>
      </c>
      <c r="L16" s="1339"/>
      <c r="M16" s="1337" t="s">
        <v>1771</v>
      </c>
      <c r="N16" s="1334"/>
      <c r="O16" s="1246"/>
      <c r="P16" s="596"/>
    </row>
    <row r="17" spans="1:55" ht="15" customHeight="1" x14ac:dyDescent="0.25">
      <c r="A17" s="1243" t="s">
        <v>1298</v>
      </c>
      <c r="B17" s="1504" t="s">
        <v>464</v>
      </c>
      <c r="C17" s="3273" t="s">
        <v>488</v>
      </c>
      <c r="D17" s="2805"/>
      <c r="E17" s="1341" t="s">
        <v>243</v>
      </c>
      <c r="F17" s="3309" t="s">
        <v>2294</v>
      </c>
      <c r="G17" s="3310"/>
      <c r="H17" s="3303" t="s">
        <v>667</v>
      </c>
      <c r="I17" s="3274"/>
      <c r="J17" s="3274"/>
      <c r="K17" s="3311">
        <f>IFERROR(VLOOKUP("kBtu",EnergyUnitsTable,3,FALSE)/VLOOKUP(PO_SiteUnits,EnergyUnitsTable,3,FALSE)*VLOOKUP($C17,EnergyUnitsTable,3,FALSE),"")</f>
        <v>3.4120000000000001E-3</v>
      </c>
      <c r="L17" s="3312"/>
      <c r="M17" s="1966">
        <f>IFERROR(VLOOKUP("kBtu",EnergyUnitsTable,3,FALSE)/VLOOKUP(PO_SourceUnits,EnergyUnitsTable,3,FALSE)*VLOOKUP($C17,EnergyUnitsTable,3,FALSE)*VLOOKUP($B17,FuelTypesTable,2,FALSE),"")</f>
        <v>1.0713680000000001E-2</v>
      </c>
      <c r="N17" s="1247"/>
      <c r="O17" s="1247"/>
      <c r="P17" s="596"/>
      <c r="BC17" s="2292"/>
    </row>
    <row r="18" spans="1:55" ht="15" customHeight="1" x14ac:dyDescent="0.25">
      <c r="A18" s="1243" t="s">
        <v>1298</v>
      </c>
      <c r="B18" s="1504" t="s">
        <v>599</v>
      </c>
      <c r="C18" s="3273" t="s">
        <v>490</v>
      </c>
      <c r="D18" s="2805"/>
      <c r="E18" s="1341" t="s">
        <v>642</v>
      </c>
      <c r="F18" s="3309" t="s">
        <v>2293</v>
      </c>
      <c r="G18" s="3310"/>
      <c r="H18" s="3303" t="s">
        <v>667</v>
      </c>
      <c r="I18" s="3274"/>
      <c r="J18" s="3274"/>
      <c r="K18" s="3311">
        <f>IFERROR(VLOOKUP("kBtu",EnergyUnitsTable,3,FALSE)/VLOOKUP(PO_SiteUnits,EnergyUnitsTable,3,FALSE)*VLOOKUP($C18,EnergyUnitsTable,3,FALSE),"")</f>
        <v>0.1</v>
      </c>
      <c r="L18" s="3312"/>
      <c r="M18" s="1966">
        <f>IFERROR(VLOOKUP("kBtu",EnergyUnitsTable,3,FALSE)/VLOOKUP(PO_SourceUnits,EnergyUnitsTable,3,FALSE)*VLOOKUP($C18,EnergyUnitsTable,3,FALSE)*VLOOKUP($B18,FuelTypesTable,2,FALSE),"")</f>
        <v>0.12</v>
      </c>
      <c r="N18" s="1247"/>
      <c r="O18" s="1247"/>
      <c r="P18" s="596"/>
      <c r="BC18" s="2292"/>
    </row>
    <row r="19" spans="1:55" ht="15" customHeight="1" x14ac:dyDescent="0.25">
      <c r="A19" s="1243" t="s">
        <v>1298</v>
      </c>
      <c r="B19" s="2151" t="s">
        <v>158</v>
      </c>
      <c r="C19" s="3273" t="s">
        <v>490</v>
      </c>
      <c r="D19" s="2805"/>
      <c r="E19" s="1341" t="s">
        <v>642</v>
      </c>
      <c r="F19" s="3309" t="s">
        <v>2295</v>
      </c>
      <c r="G19" s="3310"/>
      <c r="H19" s="3303" t="s">
        <v>667</v>
      </c>
      <c r="I19" s="3274"/>
      <c r="J19" s="3274"/>
      <c r="K19" s="3311">
        <f>IFERROR(VLOOKUP("kBtu",EnergyUnitsTable,3,FALSE)/VLOOKUP(PO_SiteUnits,EnergyUnitsTable,3,FALSE)*VLOOKUP($C19,EnergyUnitsTable,3,FALSE),"")</f>
        <v>0.1</v>
      </c>
      <c r="L19" s="3312"/>
      <c r="M19" s="1966">
        <f>IFERROR(VLOOKUP("kBtu",EnergyUnitsTable,3,FALSE)/VLOOKUP(PO_SourceUnits,EnergyUnitsTable,3,FALSE)*VLOOKUP($C19,EnergyUnitsTable,3,FALSE)*VLOOKUP($B19,FuelTypesTable,2,FALSE),"")</f>
        <v>0.1</v>
      </c>
      <c r="N19" s="1247"/>
      <c r="O19" s="1247"/>
      <c r="P19" s="596"/>
      <c r="BC19" s="2292"/>
    </row>
    <row r="20" spans="1:55" ht="21" customHeight="1" x14ac:dyDescent="0.25">
      <c r="A20" s="1243" t="s">
        <v>1298</v>
      </c>
      <c r="B20" s="3302" t="s">
        <v>1114</v>
      </c>
      <c r="C20" s="3284"/>
      <c r="D20" s="3284"/>
      <c r="E20" s="3284"/>
      <c r="F20" s="3284"/>
      <c r="G20" s="3284"/>
      <c r="H20" s="3284"/>
      <c r="I20" s="3284"/>
      <c r="J20" s="3284"/>
      <c r="K20" s="3284"/>
      <c r="L20" s="3303" t="str">
        <f>IF(SI_IP_Units="SI","MWh","Btu x 10^6")</f>
        <v>Btu x 10^6</v>
      </c>
      <c r="M20" s="3274"/>
      <c r="N20" s="596"/>
      <c r="O20" s="596"/>
      <c r="P20" s="596"/>
      <c r="BC20" s="2292"/>
    </row>
    <row r="21" spans="1:55" ht="21" customHeight="1" x14ac:dyDescent="0.25">
      <c r="A21" s="1243" t="s">
        <v>1298</v>
      </c>
      <c r="B21" s="3304" t="s">
        <v>1115</v>
      </c>
      <c r="C21" s="3284"/>
      <c r="D21" s="3284"/>
      <c r="E21" s="3284"/>
      <c r="F21" s="3284"/>
      <c r="G21" s="3284"/>
      <c r="H21" s="3284"/>
      <c r="I21" s="3284"/>
      <c r="J21" s="3284"/>
      <c r="K21" s="3284"/>
      <c r="L21" s="3303" t="str">
        <f>IF(SI_IP_Units="SI","MWh","Btu x 10^6")</f>
        <v>Btu x 10^6</v>
      </c>
      <c r="M21" s="3274"/>
      <c r="BC21" s="2292"/>
    </row>
    <row r="22" spans="1:55" ht="33.75" customHeight="1" x14ac:dyDescent="0.25">
      <c r="A22" s="1243" t="s">
        <v>1298</v>
      </c>
      <c r="B22" s="635"/>
      <c r="C22" s="613"/>
      <c r="D22" s="590"/>
      <c r="E22" s="590"/>
      <c r="F22" s="590"/>
      <c r="G22" s="590"/>
      <c r="H22" s="590"/>
      <c r="I22" s="590"/>
      <c r="J22" s="590"/>
      <c r="K22" s="590"/>
      <c r="L22" s="591"/>
      <c r="M22" s="591"/>
    </row>
    <row r="23" spans="1:55" ht="33.75" customHeight="1" x14ac:dyDescent="0.25">
      <c r="A23" s="1243" t="s">
        <v>1298</v>
      </c>
      <c r="B23" s="635"/>
      <c r="C23" s="613"/>
      <c r="D23" s="590"/>
      <c r="E23" s="590"/>
      <c r="F23" s="590"/>
      <c r="G23" s="590"/>
      <c r="H23" s="590"/>
      <c r="I23" s="590"/>
      <c r="J23" s="590"/>
      <c r="K23" s="590"/>
      <c r="L23" s="591"/>
      <c r="M23" s="591"/>
    </row>
    <row r="24" spans="1:55" s="640" customFormat="1" ht="20.25" customHeight="1" x14ac:dyDescent="0.25">
      <c r="A24" s="1243" t="s">
        <v>1298</v>
      </c>
      <c r="B24" s="712" t="s">
        <v>1844</v>
      </c>
    </row>
    <row r="25" spans="1:55" s="592" customFormat="1" ht="12.75" customHeight="1" x14ac:dyDescent="0.25">
      <c r="A25" s="1243" t="s">
        <v>1298</v>
      </c>
      <c r="B25" s="594"/>
      <c r="C25" s="650"/>
      <c r="D25" s="650"/>
      <c r="E25" s="650"/>
      <c r="F25" s="650"/>
      <c r="G25" s="650"/>
      <c r="H25" s="650"/>
      <c r="I25" s="650"/>
      <c r="J25" s="650"/>
      <c r="K25" s="650"/>
      <c r="L25" s="594"/>
      <c r="M25" s="594"/>
      <c r="AD25" s="1553" t="s">
        <v>1075</v>
      </c>
    </row>
    <row r="26" spans="1:55" s="592" customFormat="1" ht="21" customHeight="1" x14ac:dyDescent="0.25">
      <c r="A26" s="1243" t="s">
        <v>1298</v>
      </c>
      <c r="B26" s="713" t="s">
        <v>1845</v>
      </c>
      <c r="C26" s="650"/>
      <c r="D26" s="650"/>
      <c r="E26" s="650"/>
      <c r="F26" s="650"/>
      <c r="G26" s="650"/>
      <c r="H26" s="650"/>
      <c r="I26" s="650"/>
      <c r="J26" s="650"/>
      <c r="K26" s="650"/>
      <c r="L26" s="594"/>
      <c r="M26" s="594"/>
      <c r="AD26" s="1549" t="b">
        <v>0</v>
      </c>
    </row>
    <row r="27" spans="1:55" s="595" customFormat="1" ht="15" customHeight="1" x14ac:dyDescent="0.25">
      <c r="A27" s="1243" t="s">
        <v>1298</v>
      </c>
      <c r="C27" s="596"/>
      <c r="D27" s="596"/>
      <c r="E27" s="596"/>
      <c r="F27" s="596"/>
      <c r="G27" s="596"/>
      <c r="H27" s="596"/>
      <c r="K27" s="596"/>
      <c r="L27" s="596"/>
      <c r="M27" s="596"/>
    </row>
    <row r="28" spans="1:55" ht="21" hidden="1" customHeight="1" x14ac:dyDescent="0.25">
      <c r="A28" s="1243" t="s">
        <v>1298</v>
      </c>
      <c r="B28" s="3305" t="s">
        <v>1846</v>
      </c>
      <c r="C28" s="3305"/>
      <c r="D28" s="3305"/>
      <c r="E28" s="3305"/>
      <c r="F28" s="3305"/>
      <c r="G28" s="3305"/>
      <c r="H28" s="3305"/>
      <c r="I28" s="3305"/>
      <c r="J28" s="3305"/>
      <c r="K28" s="3305"/>
      <c r="L28" s="3305"/>
      <c r="M28" s="3306"/>
    </row>
    <row r="29" spans="1:55" ht="115.5" hidden="1" customHeight="1" x14ac:dyDescent="0.25">
      <c r="A29" s="1243" t="s">
        <v>1298</v>
      </c>
      <c r="B29" s="3307" t="s">
        <v>1848</v>
      </c>
      <c r="C29" s="3220"/>
      <c r="D29" s="3220"/>
      <c r="E29" s="3220"/>
      <c r="F29" s="3220"/>
      <c r="G29" s="3220"/>
      <c r="H29" s="3220"/>
      <c r="I29" s="3220"/>
      <c r="J29" s="3220"/>
      <c r="K29" s="3220"/>
      <c r="L29" s="3220"/>
      <c r="M29" s="3220"/>
    </row>
    <row r="30" spans="1:55" ht="32.25" hidden="1" customHeight="1" x14ac:dyDescent="0.2">
      <c r="A30" s="1243" t="s">
        <v>1298</v>
      </c>
      <c r="B30" s="612"/>
      <c r="C30" s="590"/>
      <c r="D30" s="590"/>
      <c r="E30" s="590"/>
      <c r="F30" s="590"/>
      <c r="G30" s="1160"/>
      <c r="H30" s="1160"/>
      <c r="I30" s="1160"/>
      <c r="J30" s="1160"/>
      <c r="K30" s="1160"/>
      <c r="L30" s="597"/>
      <c r="M30" s="597"/>
    </row>
    <row r="31" spans="1:55" ht="57.75" hidden="1" customHeight="1" x14ac:dyDescent="0.25">
      <c r="A31" s="1243" t="s">
        <v>1298</v>
      </c>
      <c r="B31" s="3123" t="s">
        <v>1847</v>
      </c>
      <c r="C31" s="3298"/>
      <c r="D31" s="3298"/>
      <c r="E31" s="1335" t="s">
        <v>1250</v>
      </c>
      <c r="F31" s="3123" t="s">
        <v>1112</v>
      </c>
      <c r="G31" s="3299"/>
      <c r="H31" s="3123" t="s">
        <v>486</v>
      </c>
      <c r="I31" s="3300"/>
      <c r="J31" s="3123" t="s">
        <v>1251</v>
      </c>
      <c r="K31" s="3301"/>
      <c r="L31" s="2724"/>
      <c r="M31" s="2724"/>
      <c r="T31" s="1249" t="s">
        <v>1778</v>
      </c>
      <c r="U31" s="1249" t="s">
        <v>1955</v>
      </c>
    </row>
    <row r="32" spans="1:55" s="1248" customFormat="1" hidden="1" x14ac:dyDescent="0.2">
      <c r="A32" s="1243" t="s">
        <v>1298</v>
      </c>
      <c r="B32" s="1342" t="s">
        <v>1772</v>
      </c>
      <c r="C32" s="1343"/>
      <c r="D32" s="1343"/>
      <c r="E32" s="1344" t="s">
        <v>1773</v>
      </c>
      <c r="F32" s="1342" t="s">
        <v>1774</v>
      </c>
      <c r="G32" s="1345"/>
      <c r="H32" s="1342" t="s">
        <v>1775</v>
      </c>
      <c r="I32" s="1346"/>
      <c r="J32" s="1342" t="s">
        <v>446</v>
      </c>
      <c r="K32" s="1347"/>
      <c r="L32" s="1348"/>
      <c r="M32" s="1348"/>
      <c r="Q32" s="1550" t="s">
        <v>1776</v>
      </c>
      <c r="R32" s="1550" t="s">
        <v>1777</v>
      </c>
      <c r="S32" s="1550" t="s">
        <v>1386</v>
      </c>
      <c r="T32" s="1550" t="s">
        <v>1778</v>
      </c>
      <c r="U32" s="1550" t="s">
        <v>1955</v>
      </c>
    </row>
    <row r="33" spans="1:55" ht="15" hidden="1" customHeight="1" x14ac:dyDescent="0.25">
      <c r="A33" s="1243" t="s">
        <v>915</v>
      </c>
      <c r="B33" s="3290" t="s">
        <v>680</v>
      </c>
      <c r="C33" s="3291"/>
      <c r="D33" s="3291"/>
      <c r="E33" s="1349" t="s">
        <v>464</v>
      </c>
      <c r="F33" s="1350"/>
      <c r="G33" s="1351" t="str">
        <f>IFERROR(IF(ISBLANK($E33),"",VLOOKUP($E33,PO_Enrgy_1_Table,MATCH($E$16,PO_Enrgy_1_Hdr,0),FALSE)),"")</f>
        <v>kW</v>
      </c>
      <c r="H33" s="1350"/>
      <c r="I33" s="1352" t="str">
        <f>IFERROR(IF(ISBLANK($E33),"",VLOOKUP($E33,PO_Enrgy_1_Table,MATCH($C$16,PO_Enrgy_1_Hdr,0),FALSE)),"")</f>
        <v>kWh</v>
      </c>
      <c r="J33" s="3292">
        <f t="shared" ref="J33:M34" ca="1" si="0">IFERROR($H33*VLOOKUP($E33,PO_Enrgy_8_Table,MATCH($H$232,PO_Enrgy_8_Hdr,0),FALSE),"")</f>
        <v>0</v>
      </c>
      <c r="K33" s="3293">
        <f t="shared" ca="1" si="0"/>
        <v>0</v>
      </c>
      <c r="L33" s="3294">
        <f t="shared" ca="1" si="0"/>
        <v>0</v>
      </c>
      <c r="M33" s="3294">
        <f t="shared" ca="1" si="0"/>
        <v>0</v>
      </c>
      <c r="Q33" s="1549">
        <f>IFERROR(IF(ISBLANK($E33),"",VLOOKUP($E33,PO_Enrgy_1_Table,MATCH($K$16,PO_Enrgy_1_Hdr,0),FALSE)),"")</f>
        <v>3.4120000000000001E-3</v>
      </c>
      <c r="R33" s="1549">
        <f>IFERROR(IF(ISBLANK($E33),"",VLOOKUP($E33,PO_Enrgy_1_Table,MATCH($M$16,PO_Enrgy_1_Hdr,0),FALSE)),"")</f>
        <v>1.0713680000000001E-2</v>
      </c>
      <c r="S33" s="1549" t="str">
        <f>IFERROR((H33*VLOOKUP(I33,EnergyUnitsTable,3,FALSE))/(F33*VLOOKUP(G33,DemandTable,3,FALSE)),"")</f>
        <v/>
      </c>
      <c r="T33" s="1551">
        <f ca="1">IFERROR($H33*VLOOKUP($E33,PO_Enrgy_8_Table,MATCH($H$232,PO_Enrgy_8_Hdr,0),FALSE),"")</f>
        <v>0</v>
      </c>
      <c r="U33" s="1554">
        <f ca="1">IFERROR(1-$J33/$T33,0)</f>
        <v>0</v>
      </c>
      <c r="AH33" s="1251"/>
      <c r="AI33" s="1252"/>
      <c r="AJ33" s="1252"/>
      <c r="BC33" s="2292"/>
    </row>
    <row r="34" spans="1:55" ht="15" hidden="1" customHeight="1" x14ac:dyDescent="0.25">
      <c r="A34" s="1243"/>
      <c r="B34" s="3290" t="s">
        <v>654</v>
      </c>
      <c r="C34" s="3291"/>
      <c r="D34" s="3291"/>
      <c r="E34" s="1349" t="s">
        <v>478</v>
      </c>
      <c r="F34" s="1350"/>
      <c r="G34" s="1351" t="str">
        <f>IFERROR(IF(ISBLANK($E34),"",VLOOKUP($E34,PO_Enrgy_1_Table,MATCH($E$16,PO_Enrgy_1_Hdr,0),FALSE)),"")</f>
        <v/>
      </c>
      <c r="H34" s="1350"/>
      <c r="I34" s="1352" t="str">
        <f>IFERROR(IF(ISBLANK($E34),"",VLOOKUP($E34,PO_Enrgy_1_Table,MATCH($C$16,PO_Enrgy_1_Hdr,0),FALSE)),"")</f>
        <v/>
      </c>
      <c r="J34" s="3292" t="str">
        <f t="shared" si="0"/>
        <v/>
      </c>
      <c r="K34" s="3293" t="str">
        <f t="shared" si="0"/>
        <v/>
      </c>
      <c r="L34" s="3294" t="str">
        <f t="shared" si="0"/>
        <v/>
      </c>
      <c r="M34" s="3294" t="str">
        <f t="shared" si="0"/>
        <v/>
      </c>
      <c r="Q34" s="1549" t="str">
        <f>IFERROR(IF(ISBLANK($E34),"",VLOOKUP($E34,PO_Enrgy_1_Table,MATCH($K$16,PO_Enrgy_1_Hdr,0),FALSE)),"")</f>
        <v/>
      </c>
      <c r="R34" s="1549" t="str">
        <f>IFERROR(IF(ISBLANK($E34),"",VLOOKUP($E34,PO_Enrgy_1_Table,MATCH($M$16,PO_Enrgy_1_Hdr,0),FALSE)),"")</f>
        <v/>
      </c>
      <c r="S34" s="1549" t="str">
        <f>IFERROR((H34*VLOOKUP(I34,EnergyUnitsTable,3,FALSE))/(F34*VLOOKUP(G34,DemandTable,3,FALSE)),"")</f>
        <v/>
      </c>
      <c r="T34" s="1551" t="str">
        <f>IFERROR($H34*VLOOKUP($E34,PO_Enrgy_8_Table,MATCH($H$232,PO_Enrgy_8_Hdr,0),FALSE),"")</f>
        <v/>
      </c>
      <c r="U34" s="1554">
        <f>IFERROR(1-$J34/$T34,0)</f>
        <v>0</v>
      </c>
      <c r="AH34" s="1251"/>
      <c r="AI34" s="1252"/>
      <c r="AJ34" s="1252"/>
      <c r="BC34" s="2292"/>
    </row>
    <row r="35" spans="1:55" ht="18" hidden="1" customHeight="1" x14ac:dyDescent="0.25">
      <c r="A35" s="1243"/>
      <c r="B35" s="3123" t="s">
        <v>1779</v>
      </c>
      <c r="C35" s="3295"/>
      <c r="D35" s="3295"/>
      <c r="E35" s="3295"/>
      <c r="F35" s="3295"/>
      <c r="G35" s="3295"/>
      <c r="H35" s="3295"/>
      <c r="I35" s="3295"/>
      <c r="J35" s="3295"/>
      <c r="K35" s="3295"/>
      <c r="L35" s="3295"/>
      <c r="M35" s="3295"/>
    </row>
    <row r="36" spans="1:55" ht="20.25" hidden="1" customHeight="1" x14ac:dyDescent="0.25">
      <c r="A36" s="1243"/>
      <c r="B36" s="3123" t="s">
        <v>1780</v>
      </c>
      <c r="C36" s="2777"/>
      <c r="D36" s="2777"/>
      <c r="E36" s="3188" t="s">
        <v>486</v>
      </c>
      <c r="F36" s="2777"/>
      <c r="G36" s="2777"/>
      <c r="H36" s="3296" t="str">
        <f>CONCATENATE("Annual Source Energy Generated
 (", PO_SourceUnits, ")")</f>
        <v>Annual Source Energy Generated
 (Btu x 10^6)</v>
      </c>
      <c r="I36" s="3297"/>
      <c r="J36" s="3123" t="s">
        <v>1251</v>
      </c>
      <c r="K36" s="2777"/>
      <c r="L36" s="2777"/>
      <c r="M36" s="2777"/>
    </row>
    <row r="37" spans="1:55" ht="20.25" hidden="1" customHeight="1" x14ac:dyDescent="0.25">
      <c r="A37" s="1243"/>
      <c r="B37" s="2777"/>
      <c r="C37" s="2777"/>
      <c r="D37" s="2777"/>
      <c r="E37" s="3188" t="s">
        <v>1781</v>
      </c>
      <c r="F37" s="2777"/>
      <c r="G37" s="1335" t="str">
        <f>CONCATENATE("Units = ", PO_SiteUnits,")")</f>
        <v>Units = Btu x 10^6)</v>
      </c>
      <c r="H37" s="3297"/>
      <c r="I37" s="3297"/>
      <c r="J37" s="2777"/>
      <c r="K37" s="2777"/>
      <c r="L37" s="2777"/>
      <c r="M37" s="2777"/>
    </row>
    <row r="38" spans="1:55" s="1254" customFormat="1" hidden="1" x14ac:dyDescent="0.2">
      <c r="A38" s="1253"/>
      <c r="B38" s="1336" t="s">
        <v>1765</v>
      </c>
      <c r="C38" s="1353"/>
      <c r="D38" s="1353"/>
      <c r="E38" s="1354" t="s">
        <v>1782</v>
      </c>
      <c r="F38" s="1355" t="s">
        <v>1783</v>
      </c>
      <c r="G38" s="1356" t="s">
        <v>1784</v>
      </c>
      <c r="H38" s="1355" t="s">
        <v>1785</v>
      </c>
      <c r="I38" s="1356"/>
      <c r="J38" s="1355" t="s">
        <v>446</v>
      </c>
      <c r="K38" s="1357"/>
      <c r="L38" s="1358"/>
      <c r="M38" s="1358"/>
      <c r="Q38" s="1550" t="s">
        <v>1776</v>
      </c>
      <c r="R38" s="1550" t="s">
        <v>1777</v>
      </c>
    </row>
    <row r="39" spans="1:55" ht="15" hidden="1" customHeight="1" x14ac:dyDescent="0.25">
      <c r="A39" s="1243"/>
      <c r="B39" s="3289" t="str">
        <f>IFERROR(IF(ISBLANK(B17),"",B17),"")</f>
        <v>Electricity</v>
      </c>
      <c r="C39" s="3284"/>
      <c r="D39" s="3284"/>
      <c r="E39" s="1359" t="str">
        <f>IFERROR(IF(PO_SiteRenewable=TRUE,SUMIF(INDEX(PO_renewable_table,0,MATCH($E$32,PO_renewable_hdr,0)),$B39,INDEX(PO_renewable_table,0,MATCH($H$32,PO_renewable_hdr,0))),""),"")</f>
        <v/>
      </c>
      <c r="F39" s="1360" t="str">
        <f>IFERROR(IF(ISBLANK($B39),"",VLOOKUP($B39,PO_Enrgy_1_Table,MATCH($C$16,PO_Enrgy_1_Hdr,0),FALSE)),"")</f>
        <v>kWh</v>
      </c>
      <c r="G39" s="1361" t="str">
        <f>IFERROR($E39*$Q39,"")</f>
        <v/>
      </c>
      <c r="H39" s="3280" t="str">
        <f>IFERROR($E39*$R39,"")</f>
        <v/>
      </c>
      <c r="I39" s="2777"/>
      <c r="J39" s="3281">
        <f>IFERROR(IF(PO_SiteRenewable=TRUE,SUMIF($E$33:$E$34,$B39,$J$33:$J$34),0),"")</f>
        <v>0</v>
      </c>
      <c r="K39" s="3282"/>
      <c r="L39" s="3282"/>
      <c r="M39" s="3282"/>
      <c r="Q39" s="1549">
        <f>IFERROR(IF(ISBLANK($B39),"",VLOOKUP($B39,PO_Enrgy_1_Table,MATCH($K$16,PO_Enrgy_1_Hdr,0),FALSE)),"")</f>
        <v>3.4120000000000001E-3</v>
      </c>
      <c r="R39" s="1549">
        <f>IFERROR(IF(ISBLANK($B39),"",VLOOKUP($B39,PO_Enrgy_1_Table,MATCH($M$16,PO_Enrgy_1_Hdr,0),FALSE)),"")</f>
        <v>1.0713680000000001E-2</v>
      </c>
      <c r="BC39" s="2292"/>
    </row>
    <row r="40" spans="1:55" ht="15" hidden="1" customHeight="1" x14ac:dyDescent="0.25">
      <c r="A40" s="1243"/>
      <c r="B40" s="3289" t="str">
        <f>IFERROR(IF(ISBLANK(B18),"",B18),"")</f>
        <v>District Steam</v>
      </c>
      <c r="C40" s="3284"/>
      <c r="D40" s="3284"/>
      <c r="E40" s="1359" t="str">
        <f>IFERROR(IF(PO_SiteRenewable=TRUE,SUMIF(INDEX(PO_renewable_table,0,MATCH($E$32,PO_renewable_hdr,0)),$B40,INDEX(PO_renewable_table,0,MATCH($H$32,PO_renewable_hdr,0))),""),"")</f>
        <v/>
      </c>
      <c r="F40" s="1360" t="str">
        <f>IFERROR(IF(ISBLANK($B40),"",VLOOKUP($B40,PO_Enrgy_1_Table,MATCH($C$16,PO_Enrgy_1_Hdr,0),FALSE)),"")</f>
        <v>therm</v>
      </c>
      <c r="G40" s="1361" t="str">
        <f>IFERROR($E40*$Q40,"")</f>
        <v/>
      </c>
      <c r="H40" s="3280" t="str">
        <f>IFERROR($E40*$R40,"")</f>
        <v/>
      </c>
      <c r="I40" s="2777"/>
      <c r="J40" s="3281">
        <f>IFERROR(IF(PO_SiteRenewable=TRUE,SUMIF($E$33:$E$34,$B40,$J$33:$J$34),0),"")</f>
        <v>0</v>
      </c>
      <c r="K40" s="3282"/>
      <c r="L40" s="3282"/>
      <c r="M40" s="3282"/>
      <c r="Q40" s="1549">
        <f>IFERROR(IF(ISBLANK($B40),"",VLOOKUP($B40,PO_Enrgy_1_Table,MATCH($K$16,PO_Enrgy_1_Hdr,0),FALSE)),"")</f>
        <v>0.1</v>
      </c>
      <c r="R40" s="1549">
        <f>IFERROR(IF(ISBLANK($B40),"",VLOOKUP($B40,PO_Enrgy_1_Table,MATCH($M$16,PO_Enrgy_1_Hdr,0),FALSE)),"")</f>
        <v>0.12</v>
      </c>
      <c r="BC40" s="2292"/>
    </row>
    <row r="41" spans="1:55" ht="15" hidden="1" customHeight="1" x14ac:dyDescent="0.25">
      <c r="A41" s="1243"/>
      <c r="B41" s="3289" t="str">
        <f>IFERROR(IF(ISBLANK(B19),"",B19),"")</f>
        <v>District Cooling</v>
      </c>
      <c r="C41" s="3284"/>
      <c r="D41" s="3284"/>
      <c r="E41" s="1359" t="str">
        <f>IFERROR(IF(PO_SiteRenewable=TRUE,SUMIF(INDEX(PO_renewable_table,0,MATCH($E$32,PO_renewable_hdr,0)),$B41,INDEX(PO_renewable_table,0,MATCH($H$32,PO_renewable_hdr,0))),""),"")</f>
        <v/>
      </c>
      <c r="F41" s="1360" t="str">
        <f>IFERROR(IF(ISBLANK($B41),"",VLOOKUP($B41,PO_Enrgy_1_Table,MATCH($C$16,PO_Enrgy_1_Hdr,0),FALSE)),"")</f>
        <v>therm</v>
      </c>
      <c r="G41" s="2153" t="str">
        <f>IFERROR($E41*$Q41,"")</f>
        <v/>
      </c>
      <c r="H41" s="3280" t="str">
        <f>IFERROR($E41*$R41,"")</f>
        <v/>
      </c>
      <c r="I41" s="2777"/>
      <c r="J41" s="3281">
        <f>IFERROR(IF(PO_SiteRenewable=TRUE,SUMIF($E$33:$E$34,$B41,$J$33:$J$34),0),"")</f>
        <v>0</v>
      </c>
      <c r="K41" s="3282"/>
      <c r="L41" s="3282"/>
      <c r="M41" s="3282"/>
      <c r="Q41" s="1549">
        <f>IFERROR(IF(ISBLANK($B41),"",VLOOKUP($B41,PO_Enrgy_1_Table,MATCH($K$16,PO_Enrgy_1_Hdr,0),FALSE)),"")</f>
        <v>0.1</v>
      </c>
      <c r="R41" s="1549">
        <f>IFERROR(IF(ISBLANK($B41),"",VLOOKUP($B41,PO_Enrgy_1_Table,MATCH($M$16,PO_Enrgy_1_Hdr,0),FALSE)),"")</f>
        <v>0.1</v>
      </c>
      <c r="BC41" s="2292"/>
    </row>
    <row r="42" spans="1:55" ht="21" hidden="1" customHeight="1" x14ac:dyDescent="0.25">
      <c r="A42" s="1243"/>
      <c r="B42" s="3277" t="s">
        <v>18</v>
      </c>
      <c r="C42" s="3278"/>
      <c r="D42" s="3278"/>
      <c r="E42" s="3278"/>
      <c r="F42" s="3279"/>
      <c r="G42" s="1362">
        <f>IFERROR(SUM(INDEX(PO_Enrgy_2_Table,0,MATCH($G$38,PO_Enrgy_2_Hdr,0))),"")</f>
        <v>0</v>
      </c>
      <c r="H42" s="3280">
        <f>IFERROR(SUM(INDEX(PO_Enrgy_2_Table,0,MATCH($H$38,PO_Enrgy_2_Hdr,0))),"")</f>
        <v>0</v>
      </c>
      <c r="I42" s="2777">
        <f>SUM(I38:I40)</f>
        <v>0</v>
      </c>
      <c r="J42" s="3281">
        <f ca="1">IFERROR(SUM(J32:J34),"")</f>
        <v>0</v>
      </c>
      <c r="K42" s="3282"/>
      <c r="L42" s="3282"/>
      <c r="M42" s="3282"/>
      <c r="BC42" s="2292"/>
    </row>
    <row r="43" spans="1:55" ht="21" hidden="1" customHeight="1" x14ac:dyDescent="0.25">
      <c r="A43" s="1243"/>
      <c r="B43" s="3283" t="s">
        <v>1252</v>
      </c>
      <c r="C43" s="3284"/>
      <c r="D43" s="3284"/>
      <c r="E43" s="3284"/>
      <c r="F43" s="3284"/>
      <c r="G43" s="3284"/>
      <c r="H43" s="3284"/>
      <c r="I43" s="3284"/>
      <c r="J43" s="3285">
        <f ca="1">IF(Datacenter_Avg=TRUE,IFERROR($J42/$J$295,""),IFERROR($J42/$J$266,""))</f>
        <v>0</v>
      </c>
      <c r="K43" s="3286"/>
      <c r="L43" s="3286"/>
      <c r="M43" s="3286"/>
      <c r="BC43" s="2292"/>
    </row>
    <row r="44" spans="1:55" ht="33.75" hidden="1" customHeight="1" x14ac:dyDescent="0.25">
      <c r="A44" s="1243" t="s">
        <v>1298</v>
      </c>
      <c r="B44" s="3287"/>
      <c r="C44" s="3288"/>
      <c r="D44" s="3288"/>
      <c r="E44" s="3288"/>
      <c r="F44" s="3288"/>
      <c r="G44" s="3288"/>
      <c r="H44" s="3288"/>
      <c r="I44" s="3288"/>
      <c r="J44" s="3288"/>
      <c r="K44" s="3288"/>
      <c r="L44" s="3288"/>
      <c r="M44" s="1152"/>
    </row>
    <row r="45" spans="1:55" ht="33.75" hidden="1" customHeight="1" x14ac:dyDescent="0.25">
      <c r="A45" s="1243" t="s">
        <v>1298</v>
      </c>
      <c r="B45" s="1155"/>
      <c r="C45" s="1156"/>
      <c r="D45" s="1156"/>
      <c r="E45" s="1156"/>
      <c r="F45" s="1156"/>
      <c r="G45" s="1156"/>
      <c r="H45" s="1156"/>
      <c r="I45" s="1156"/>
      <c r="J45" s="1156"/>
      <c r="K45" s="1156"/>
      <c r="L45" s="1156"/>
      <c r="M45" s="1152"/>
    </row>
    <row r="46" spans="1:55" ht="21" customHeight="1" x14ac:dyDescent="0.25">
      <c r="A46" s="1243" t="s">
        <v>1298</v>
      </c>
      <c r="B46" s="714" t="s">
        <v>1126</v>
      </c>
      <c r="C46" s="641"/>
      <c r="D46" s="641"/>
      <c r="E46" s="641"/>
      <c r="F46" s="641"/>
      <c r="G46" s="641"/>
      <c r="H46" s="641"/>
      <c r="I46" s="641"/>
      <c r="J46" s="641"/>
      <c r="K46" s="641"/>
      <c r="L46" s="641"/>
      <c r="M46" s="641"/>
      <c r="T46" s="1553" t="s">
        <v>1076</v>
      </c>
      <c r="AD46" s="598"/>
      <c r="AE46" s="599"/>
      <c r="AF46" s="599"/>
    </row>
    <row r="47" spans="1:55" ht="15" customHeight="1" x14ac:dyDescent="0.25">
      <c r="A47" s="1243" t="s">
        <v>1298</v>
      </c>
      <c r="E47" s="1153"/>
      <c r="F47" s="564"/>
      <c r="G47" s="564"/>
      <c r="H47" s="564"/>
      <c r="I47" s="564"/>
      <c r="J47" s="564"/>
      <c r="K47" s="564"/>
      <c r="L47" s="564"/>
      <c r="M47" s="564"/>
      <c r="T47" s="1552" t="b">
        <v>0</v>
      </c>
    </row>
    <row r="48" spans="1:55" ht="21" customHeight="1" x14ac:dyDescent="0.25">
      <c r="A48" s="1243" t="s">
        <v>1298</v>
      </c>
      <c r="B48" s="715" t="s">
        <v>1253</v>
      </c>
      <c r="C48" s="637"/>
      <c r="D48" s="650"/>
      <c r="E48" s="650"/>
      <c r="F48" s="650"/>
      <c r="G48" s="650"/>
      <c r="H48" s="650"/>
      <c r="I48" s="650"/>
      <c r="J48" s="650"/>
      <c r="K48" s="650"/>
      <c r="L48" s="650"/>
      <c r="AE48" s="599"/>
      <c r="AF48" s="599"/>
    </row>
    <row r="49" spans="1:55" ht="125.25" hidden="1" customHeight="1" x14ac:dyDescent="0.25">
      <c r="A49" s="1243" t="s">
        <v>1298</v>
      </c>
      <c r="B49" s="3219" t="s">
        <v>1287</v>
      </c>
      <c r="C49" s="3220"/>
      <c r="D49" s="3220"/>
      <c r="E49" s="3220"/>
      <c r="F49" s="3220"/>
      <c r="G49" s="3220"/>
      <c r="H49" s="3220"/>
      <c r="I49" s="3220"/>
      <c r="J49" s="3220"/>
      <c r="K49" s="3220"/>
      <c r="L49" s="3220"/>
      <c r="M49" s="3220"/>
    </row>
    <row r="50" spans="1:55" ht="15" customHeight="1" x14ac:dyDescent="0.25">
      <c r="A50" s="1243" t="s">
        <v>1298</v>
      </c>
      <c r="E50" s="1153"/>
      <c r="F50" s="564"/>
      <c r="G50" s="564"/>
      <c r="H50" s="564"/>
      <c r="I50" s="564"/>
      <c r="J50" s="564"/>
      <c r="K50" s="564"/>
      <c r="L50" s="564"/>
      <c r="M50" s="564"/>
      <c r="AD50" s="598"/>
    </row>
    <row r="51" spans="1:55" ht="21" hidden="1" customHeight="1" x14ac:dyDescent="0.25">
      <c r="A51" s="1243" t="s">
        <v>1298</v>
      </c>
      <c r="B51" s="1150" t="s">
        <v>1254</v>
      </c>
      <c r="C51" s="1150"/>
      <c r="D51" s="1150"/>
      <c r="E51" s="1150"/>
      <c r="F51" s="1150"/>
      <c r="G51" s="1150"/>
      <c r="H51" s="1150"/>
      <c r="I51" s="1150"/>
      <c r="J51" s="1150"/>
      <c r="K51" s="1150"/>
      <c r="L51" s="1150"/>
      <c r="M51" s="1151"/>
    </row>
    <row r="52" spans="1:55" ht="136.5" hidden="1" customHeight="1" x14ac:dyDescent="0.25">
      <c r="A52" s="1243" t="s">
        <v>1298</v>
      </c>
      <c r="B52" s="3267" t="s">
        <v>1834</v>
      </c>
      <c r="C52" s="3267"/>
      <c r="D52" s="3267"/>
      <c r="E52" s="3267"/>
      <c r="F52" s="3267"/>
      <c r="G52" s="3267"/>
      <c r="H52" s="3267"/>
      <c r="I52" s="3267"/>
      <c r="J52" s="3267"/>
      <c r="K52" s="3267"/>
      <c r="L52" s="3267"/>
      <c r="M52" s="3267"/>
    </row>
    <row r="53" spans="1:55" hidden="1" x14ac:dyDescent="0.25">
      <c r="A53" s="1243" t="s">
        <v>1298</v>
      </c>
      <c r="B53" s="635"/>
      <c r="C53" s="642"/>
      <c r="D53" s="642"/>
      <c r="E53" s="642"/>
      <c r="F53" s="642"/>
      <c r="G53" s="642"/>
      <c r="H53" s="642"/>
      <c r="I53" s="642"/>
      <c r="J53" s="564"/>
      <c r="K53" s="564"/>
      <c r="L53" s="564"/>
    </row>
    <row r="54" spans="1:55" ht="44.25" hidden="1" customHeight="1" x14ac:dyDescent="0.25">
      <c r="A54" s="1243" t="s">
        <v>1298</v>
      </c>
      <c r="B54" s="3158" t="s">
        <v>1836</v>
      </c>
      <c r="C54" s="3158" t="s">
        <v>1255</v>
      </c>
      <c r="D54" s="3158" t="s">
        <v>485</v>
      </c>
      <c r="E54" s="3139"/>
      <c r="F54" s="3275" t="s">
        <v>484</v>
      </c>
      <c r="G54" s="3202" t="s">
        <v>1256</v>
      </c>
      <c r="H54" s="3269"/>
      <c r="I54" s="3269"/>
      <c r="J54" s="3269"/>
      <c r="K54" s="3269"/>
      <c r="L54" s="3158" t="s">
        <v>1786</v>
      </c>
      <c r="M54" s="3269"/>
      <c r="AR54" s="593"/>
      <c r="AS54" s="596"/>
      <c r="AT54" s="596"/>
      <c r="AU54" s="596"/>
      <c r="AV54" s="596"/>
      <c r="AW54" s="596"/>
      <c r="AX54" s="596"/>
      <c r="AY54" s="596"/>
      <c r="AZ54" s="596"/>
    </row>
    <row r="55" spans="1:55" ht="63.75" hidden="1" customHeight="1" x14ac:dyDescent="0.25">
      <c r="A55" s="1243" t="s">
        <v>1298</v>
      </c>
      <c r="B55" s="3268"/>
      <c r="C55" s="3268"/>
      <c r="D55" s="3139"/>
      <c r="E55" s="3139"/>
      <c r="F55" s="3276"/>
      <c r="G55" s="3192" t="s">
        <v>1787</v>
      </c>
      <c r="H55" s="3270"/>
      <c r="I55" s="1333" t="str">
        <f>CONCATENATE("Site Energy 
(Units = ", PO_SiteUnits,")")</f>
        <v>Site Energy 
(Units = Btu x 10^6)</v>
      </c>
      <c r="J55" s="3271" t="str">
        <f>"Source Energy Consumption 
("  &amp; PO_SourceUnits &amp; ")"</f>
        <v>Source Energy Consumption 
(Btu x 10^6)</v>
      </c>
      <c r="K55" s="3270"/>
      <c r="L55" s="3269"/>
      <c r="M55" s="3269"/>
      <c r="AR55" s="652"/>
      <c r="AS55" s="638"/>
      <c r="AT55" s="638"/>
      <c r="AU55" s="638"/>
      <c r="AV55" s="596"/>
      <c r="AW55" s="638"/>
      <c r="AX55" s="638"/>
      <c r="AY55" s="638"/>
      <c r="AZ55" s="596"/>
    </row>
    <row r="56" spans="1:55" s="1248" customFormat="1" ht="21.75" hidden="1" customHeight="1" x14ac:dyDescent="0.25">
      <c r="A56" s="1243" t="s">
        <v>1298</v>
      </c>
      <c r="B56" s="1363" t="s">
        <v>1837</v>
      </c>
      <c r="C56" s="1363" t="s">
        <v>1788</v>
      </c>
      <c r="D56" s="3272" t="s">
        <v>1765</v>
      </c>
      <c r="E56" s="3139"/>
      <c r="F56" s="1257" t="s">
        <v>1789</v>
      </c>
      <c r="G56" s="1258" t="s">
        <v>1782</v>
      </c>
      <c r="H56" s="1258" t="s">
        <v>1783</v>
      </c>
      <c r="I56" s="1356" t="s">
        <v>1784</v>
      </c>
      <c r="J56" s="1259" t="s">
        <v>1785</v>
      </c>
      <c r="K56" s="1258"/>
      <c r="L56" s="1260" t="s">
        <v>446</v>
      </c>
      <c r="M56" s="1258"/>
      <c r="Q56" s="1249" t="s">
        <v>1776</v>
      </c>
      <c r="R56" s="1249" t="s">
        <v>1777</v>
      </c>
      <c r="T56" s="1249" t="s">
        <v>1778</v>
      </c>
      <c r="U56" s="1249" t="s">
        <v>1955</v>
      </c>
      <c r="AR56" s="1261"/>
      <c r="AS56" s="1262"/>
      <c r="AT56" s="1262"/>
      <c r="AU56" s="1262"/>
      <c r="AV56" s="1263"/>
      <c r="AW56" s="1262"/>
      <c r="AX56" s="1262"/>
      <c r="AY56" s="1262"/>
      <c r="AZ56" s="1263"/>
    </row>
    <row r="57" spans="1:55" s="1248" customFormat="1" ht="15" hidden="1" customHeight="1" x14ac:dyDescent="0.25">
      <c r="A57" s="1264" t="s">
        <v>917</v>
      </c>
      <c r="B57" s="2296"/>
      <c r="C57" s="2296"/>
      <c r="D57" s="3273"/>
      <c r="E57" s="3274"/>
      <c r="F57" s="1364"/>
      <c r="G57" s="1374"/>
      <c r="H57" s="1968" t="str">
        <f>IFERROR(IF(ISBLANK($D57),"",VLOOKUP($D57,PO_Enrgy_1_Table,MATCH($C$16,PO_Enrgy_1_Hdr,0),FALSE)),"")</f>
        <v/>
      </c>
      <c r="I57" s="1969" t="str">
        <f>IFERROR(VLOOKUP($D57,PO_Enrgy_1_Table,MATCH($K$16,PO_Enrgy_1_Hdr,0),FALSE)*$G57,"")</f>
        <v/>
      </c>
      <c r="J57" s="3249" t="str">
        <f>IFERROR(VLOOKUP($D57,PO_Enrgy_1_Table,MATCH($M$16,PO_Enrgy_1_Hdr,0),FALSE)*$G57,"")</f>
        <v/>
      </c>
      <c r="K57" s="3250"/>
      <c r="L57" s="3266" t="str">
        <f>IFERROR($G57*IF($F57="Subtract from Proposed",VLOOKUP($D57,PO_Enrgy_8_Table,MATCH($H$232,PO_Enrgy_8_Hdr,0),FALSE),VLOOKUP($D57,PO_Enrgy_8_Table,MATCH($E$232,PO_Enrgy_8_Hdr,0),FALSE)),"")</f>
        <v/>
      </c>
      <c r="M57" s="2873"/>
      <c r="Q57" s="1555" t="str">
        <f>IFERROR(IF(ISBLANK($D57),"",VLOOKUP($D57,PO_Enrgy_1_Table,MATCH($K$16,PO_Enrgy_1_Hdr,0),FALSE)),"")</f>
        <v/>
      </c>
      <c r="R57" s="1555" t="str">
        <f>IFERROR(IF(ISBLANK($D57),"",VLOOKUP($D57,PO_Enrgy_1_Table,MATCH($M$16,PO_Enrgy_1_Hdr,0),FALSE)),"")</f>
        <v/>
      </c>
      <c r="T57" s="1556" t="str">
        <f>IFERROR($G57*IF($F57="Subtract from Proposed",VLOOKUP($D57,PO_Enrgy_8_Table,MATCH($H$232,PO_Enrgy_8_Hdr,0),FALSE),VLOOKUP($D57,PO_Enrgy_8_Table,MATCH($E$232,PO_Enrgy_8_Hdr,0),FALSE)),"")</f>
        <v/>
      </c>
      <c r="U57" s="1554">
        <f>IFERROR(1-$J57/$T57,0)</f>
        <v>0</v>
      </c>
      <c r="AB57" s="1265" t="s">
        <v>1046</v>
      </c>
      <c r="AC57" s="1266"/>
      <c r="AR57" s="1267"/>
      <c r="AS57" s="1268"/>
      <c r="AT57" s="1268"/>
      <c r="AU57" s="1268"/>
      <c r="AV57" s="1269"/>
      <c r="AW57" s="1268"/>
      <c r="AX57" s="1268"/>
      <c r="AY57" s="1268"/>
      <c r="AZ57" s="1263"/>
      <c r="BC57" s="2293"/>
    </row>
    <row r="58" spans="1:55" s="1248" customFormat="1" ht="15" hidden="1" customHeight="1" x14ac:dyDescent="0.25">
      <c r="A58" s="1264"/>
      <c r="B58" s="1967">
        <v>1</v>
      </c>
      <c r="C58" s="1967"/>
      <c r="D58" s="3273"/>
      <c r="E58" s="3274"/>
      <c r="F58" s="1364"/>
      <c r="G58" s="1374"/>
      <c r="H58" s="1968" t="str">
        <f>IFERROR(IF(ISBLANK($D58),"",VLOOKUP($D58,PO_Enrgy_1_Table,MATCH($C$16,PO_Enrgy_1_Hdr,0),FALSE)),"")</f>
        <v/>
      </c>
      <c r="I58" s="1969" t="str">
        <f>IFERROR(VLOOKUP($D58,PO_Enrgy_1_Table,MATCH($K$16,PO_Enrgy_1_Hdr,0),FALSE)*$G58,"")</f>
        <v/>
      </c>
      <c r="J58" s="3249" t="str">
        <f>IFERROR(VLOOKUP($D58,PO_Enrgy_1_Table,MATCH($M$16,PO_Enrgy_1_Hdr,0),FALSE)*$G58,"")</f>
        <v/>
      </c>
      <c r="K58" s="3250"/>
      <c r="L58" s="3266" t="str">
        <f>IFERROR($G58*IF($F58="Subtract from Proposed",VLOOKUP($D58,PO_Enrgy_8_Table,MATCH($H$232,PO_Enrgy_8_Hdr,0),FALSE),VLOOKUP($D58,PO_Enrgy_8_Table,MATCH($E$232,PO_Enrgy_8_Hdr,0),FALSE)),"")</f>
        <v/>
      </c>
      <c r="M58" s="2873"/>
      <c r="Q58" s="1555" t="str">
        <f>IFERROR(IF(ISBLANK($D58),"",VLOOKUP($D58,PO_Enrgy_1_Table,MATCH($K$16,PO_Enrgy_1_Hdr,0),FALSE)),"")</f>
        <v/>
      </c>
      <c r="R58" s="1555" t="str">
        <f>IFERROR(IF(ISBLANK($D58),"",VLOOKUP($D58,PO_Enrgy_1_Table,MATCH($M$16,PO_Enrgy_1_Hdr,0),FALSE)),"")</f>
        <v/>
      </c>
      <c r="T58" s="1556" t="str">
        <f>IFERROR($G58*IF($F58="Subtract from Proposed",VLOOKUP($D58,PO_Enrgy_8_Table,MATCH($H$232,PO_Enrgy_8_Hdr,0),FALSE),VLOOKUP($D58,PO_Enrgy_8_Table,MATCH($E$232,PO_Enrgy_8_Hdr,0),FALSE)),"")</f>
        <v/>
      </c>
      <c r="U58" s="1554">
        <f>IFERROR(1-$J58/$T58,0)</f>
        <v>0</v>
      </c>
      <c r="AB58" s="1265"/>
      <c r="AC58" s="1266"/>
      <c r="AR58" s="1267"/>
      <c r="AS58" s="1268"/>
      <c r="AT58" s="1268"/>
      <c r="AU58" s="1268"/>
      <c r="AV58" s="1269"/>
      <c r="AW58" s="1268"/>
      <c r="AX58" s="1268"/>
      <c r="AY58" s="1268"/>
      <c r="AZ58" s="1263"/>
      <c r="BC58" s="2293"/>
    </row>
    <row r="59" spans="1:55" s="1248" customFormat="1" ht="15" hidden="1" customHeight="1" x14ac:dyDescent="0.25">
      <c r="A59" s="1264"/>
      <c r="B59" s="1967">
        <v>2</v>
      </c>
      <c r="C59" s="1967"/>
      <c r="D59" s="3273"/>
      <c r="E59" s="3274"/>
      <c r="F59" s="1364"/>
      <c r="G59" s="1374"/>
      <c r="H59" s="1968" t="str">
        <f>IFERROR(IF(ISBLANK($D59),"",VLOOKUP($D59,PO_Enrgy_1_Table,MATCH($C$16,PO_Enrgy_1_Hdr,0),FALSE)),"")</f>
        <v/>
      </c>
      <c r="I59" s="1969" t="str">
        <f>IFERROR(VLOOKUP($D59,PO_Enrgy_1_Table,MATCH($K$16,PO_Enrgy_1_Hdr,0),FALSE)*$G59,"")</f>
        <v/>
      </c>
      <c r="J59" s="3249" t="str">
        <f>IFERROR(VLOOKUP($D59,PO_Enrgy_1_Table,MATCH($M$16,PO_Enrgy_1_Hdr,0),FALSE)*$G59,"")</f>
        <v/>
      </c>
      <c r="K59" s="3250"/>
      <c r="L59" s="3266" t="str">
        <f>IFERROR($G59*IF($F59="Subtract from Proposed",VLOOKUP($D59,PO_Enrgy_8_Table,MATCH($H$232,PO_Enrgy_8_Hdr,0),FALSE),VLOOKUP($D59,PO_Enrgy_8_Table,MATCH($E$232,PO_Enrgy_8_Hdr,0),FALSE)),"")</f>
        <v/>
      </c>
      <c r="M59" s="2873"/>
      <c r="Q59" s="1555" t="str">
        <f>IFERROR(IF(ISBLANK($D59),"",VLOOKUP($D59,PO_Enrgy_1_Table,MATCH($K$16,PO_Enrgy_1_Hdr,0),FALSE)),"")</f>
        <v/>
      </c>
      <c r="R59" s="1555" t="str">
        <f>IFERROR(IF(ISBLANK($D59),"",VLOOKUP($D59,PO_Enrgy_1_Table,MATCH($M$16,PO_Enrgy_1_Hdr,0),FALSE)),"")</f>
        <v/>
      </c>
      <c r="T59" s="1556" t="str">
        <f>IFERROR($G59*IF($F59="Subtract from Proposed",VLOOKUP($D59,PO_Enrgy_8_Table,MATCH($H$232,PO_Enrgy_8_Hdr,0),FALSE),VLOOKUP($D59,PO_Enrgy_8_Table,MATCH($E$232,PO_Enrgy_8_Hdr,0),FALSE)),"")</f>
        <v/>
      </c>
      <c r="U59" s="1554">
        <f>IFERROR(1-$J59/$T59,0)</f>
        <v>0</v>
      </c>
      <c r="AB59" s="1265" t="s">
        <v>1046</v>
      </c>
      <c r="AC59" s="1266"/>
      <c r="AR59" s="1267"/>
      <c r="AS59" s="1268"/>
      <c r="AT59" s="1268"/>
      <c r="AU59" s="1268"/>
      <c r="AV59" s="1269"/>
      <c r="AW59" s="1268"/>
      <c r="AX59" s="1268"/>
      <c r="AY59" s="1268"/>
      <c r="AZ59" s="1263"/>
      <c r="BC59" s="2293"/>
    </row>
    <row r="60" spans="1:55" s="1248" customFormat="1" ht="15" hidden="1" customHeight="1" x14ac:dyDescent="0.25">
      <c r="A60" s="1264"/>
      <c r="B60" s="1970">
        <v>3</v>
      </c>
      <c r="C60" s="1970"/>
      <c r="D60" s="3264"/>
      <c r="E60" s="3265"/>
      <c r="F60" s="1971"/>
      <c r="G60" s="1972"/>
      <c r="H60" s="1973" t="str">
        <f>IFERROR(IF(ISBLANK($D60),"",VLOOKUP($D60,PO_Enrgy_1_Table,MATCH($C$16,PO_Enrgy_1_Hdr,0),FALSE)),"")</f>
        <v/>
      </c>
      <c r="I60" s="1974" t="str">
        <f>IFERROR(VLOOKUP($D60,PO_Enrgy_1_Table,MATCH($K$16,PO_Enrgy_1_Hdr,0),FALSE)*$G60,"")</f>
        <v/>
      </c>
      <c r="J60" s="3256" t="str">
        <f>IFERROR(VLOOKUP($D60,PO_Enrgy_1_Table,MATCH($M$16,PO_Enrgy_1_Hdr,0),FALSE)*$G60,"")</f>
        <v/>
      </c>
      <c r="K60" s="3257"/>
      <c r="L60" s="3262" t="str">
        <f>IFERROR($G60*IF($F60="Subtract from Proposed",VLOOKUP($D60,PO_Enrgy_8_Table,MATCH($H$232,PO_Enrgy_8_Hdr,0),FALSE),VLOOKUP($D60,PO_Enrgy_8_Table,MATCH($E$232,PO_Enrgy_8_Hdr,0),FALSE)),"")</f>
        <v/>
      </c>
      <c r="M60" s="3263"/>
      <c r="Q60" s="1555" t="str">
        <f>IFERROR(IF(ISBLANK($D60),"",VLOOKUP($D60,PO_Enrgy_1_Table,MATCH($K$16,PO_Enrgy_1_Hdr,0),FALSE)),"")</f>
        <v/>
      </c>
      <c r="R60" s="1555" t="str">
        <f>IFERROR(IF(ISBLANK($D60),"",VLOOKUP($D60,PO_Enrgy_1_Table,MATCH($M$16,PO_Enrgy_1_Hdr,0),FALSE)),"")</f>
        <v/>
      </c>
      <c r="T60" s="1556" t="str">
        <f>IFERROR($G60*IF($F60="Subtract from Proposed",VLOOKUP($D60,PO_Enrgy_8_Table,MATCH($H$232,PO_Enrgy_8_Hdr,0),FALSE),VLOOKUP($D60,PO_Enrgy_8_Table,MATCH($E$232,PO_Enrgy_8_Hdr,0),FALSE)),"")</f>
        <v/>
      </c>
      <c r="U60" s="1554">
        <f>IFERROR(1-$J60/$T60,0)</f>
        <v>0</v>
      </c>
      <c r="AB60" s="1265" t="s">
        <v>1046</v>
      </c>
      <c r="AC60" s="1266"/>
      <c r="AP60" s="1270"/>
      <c r="AR60" s="1267"/>
      <c r="AS60" s="1268"/>
      <c r="AT60" s="1268"/>
      <c r="AU60" s="1268"/>
      <c r="AV60" s="1269"/>
      <c r="AW60" s="1268"/>
      <c r="AX60" s="1268"/>
      <c r="AY60" s="1268"/>
      <c r="AZ60" s="1263"/>
      <c r="BC60" s="2293"/>
    </row>
    <row r="61" spans="1:55" s="592" customFormat="1" ht="21" hidden="1" customHeight="1" x14ac:dyDescent="0.25">
      <c r="A61" s="1271"/>
      <c r="B61" s="3260" t="s">
        <v>1273</v>
      </c>
      <c r="C61" s="3254"/>
      <c r="D61" s="3254"/>
      <c r="E61" s="3254"/>
      <c r="F61" s="1983"/>
      <c r="G61" s="1984"/>
      <c r="H61" s="1985"/>
      <c r="I61" s="1986"/>
      <c r="J61" s="1987"/>
      <c r="K61" s="1987"/>
      <c r="L61" s="1988"/>
      <c r="M61" s="1989"/>
      <c r="AC61" s="832"/>
      <c r="AI61" s="611"/>
      <c r="AJ61" s="1272"/>
      <c r="AK61" s="1272"/>
      <c r="AL61" s="1272"/>
      <c r="AM61" s="589"/>
      <c r="AN61" s="1273"/>
      <c r="AO61" s="1273"/>
      <c r="AP61" s="1274"/>
      <c r="AQ61" s="596"/>
      <c r="AR61" s="596"/>
      <c r="AS61" s="596"/>
      <c r="AT61" s="596"/>
      <c r="AU61" s="596"/>
      <c r="AV61" s="596"/>
      <c r="AW61" s="596"/>
      <c r="AX61" s="596"/>
      <c r="AY61" s="596"/>
      <c r="AZ61" s="596"/>
    </row>
    <row r="62" spans="1:55" s="1248" customFormat="1" ht="21.75" hidden="1" customHeight="1" x14ac:dyDescent="0.25">
      <c r="A62" s="1264"/>
      <c r="B62" s="1975" t="s">
        <v>1765</v>
      </c>
      <c r="C62" s="1976"/>
      <c r="D62" s="1976"/>
      <c r="E62" s="1976"/>
      <c r="F62" s="1977"/>
      <c r="G62" s="1978" t="s">
        <v>1782</v>
      </c>
      <c r="H62" s="1979" t="s">
        <v>1783</v>
      </c>
      <c r="I62" s="1980" t="s">
        <v>1784</v>
      </c>
      <c r="J62" s="1981" t="s">
        <v>1785</v>
      </c>
      <c r="K62" s="1978"/>
      <c r="L62" s="1982" t="s">
        <v>446</v>
      </c>
      <c r="M62" s="1977"/>
      <c r="Q62" s="1249" t="s">
        <v>1776</v>
      </c>
      <c r="R62" s="1249" t="s">
        <v>1777</v>
      </c>
      <c r="AI62" s="1263"/>
      <c r="AJ62" s="1263"/>
      <c r="AK62" s="1263"/>
      <c r="AL62" s="1263"/>
      <c r="AM62" s="1263"/>
      <c r="AN62" s="1263"/>
      <c r="AO62" s="1263"/>
      <c r="AP62" s="1263"/>
      <c r="AQ62" s="1263"/>
      <c r="AR62" s="1275"/>
      <c r="AS62" s="1275"/>
      <c r="AT62" s="1275"/>
      <c r="AU62" s="1275"/>
      <c r="AV62" s="1263"/>
      <c r="AW62" s="1275"/>
      <c r="AX62" s="1275"/>
      <c r="AY62" s="1275"/>
      <c r="AZ62" s="1263"/>
    </row>
    <row r="63" spans="1:55" ht="15" hidden="1" customHeight="1" x14ac:dyDescent="0.25">
      <c r="A63" s="1243"/>
      <c r="B63" s="3159" t="str">
        <f>IFERROR(IF(ISBLANK(B17),"",B17),"")</f>
        <v>Electricity</v>
      </c>
      <c r="C63" s="3159"/>
      <c r="D63" s="3159"/>
      <c r="E63" s="3159"/>
      <c r="F63" s="3261"/>
      <c r="G63" s="1745" t="str">
        <f>IFERROR(IF(PO_ShowExCalc=TRUE,SUMIFS(INDEX(PO_ExCalc_Table,0,MATCH($G$56,PO_ExCalc_Hdr,0)),INDEX(PO_ExCalc_Table,0,MATCH($D$56,PO_ExCalc_Hdr,0)),$B63,INDEX(PO_ExCalc_Table,0,MATCH($F$56,PO_ExCalc_Hdr,0)),"Add to Baseline"),""),"")</f>
        <v/>
      </c>
      <c r="H63" s="1968" t="str">
        <f>IFERROR(IF(ISBLANK($B63),"",VLOOKUP($B63,PO_Enrgy_1_Table,MATCH($C$16,PO_Enrgy_1_Hdr,0),FALSE)),"")</f>
        <v>kWh</v>
      </c>
      <c r="I63" s="1745" t="str">
        <f>IFERROR($G63*$Q63,"")</f>
        <v/>
      </c>
      <c r="J63" s="3249" t="str">
        <f>IFERROR($G63*$R63,"")</f>
        <v/>
      </c>
      <c r="K63" s="3250" t="str">
        <f t="shared" ref="K63:K65" si="1">IFERROR($G63*$Q63,"")</f>
        <v/>
      </c>
      <c r="L63" s="3251" t="str">
        <f>IFERROR(IF(PO_ShowExCalc=TRUE,SUMIFS(INDEX(PO_ExCalc_Table,0,MATCH($L$56,PO_ExCalc_Hdr,0)),INDEX(PO_ExCalc_Table,0,MATCH($D$56,PO_ExCalc_Hdr,0)),$B63,INDEX(PO_ExCalc_Table,0,MATCH($F$56,PO_ExCalc_Hdr,0)),"Add to Baseline"),""),"")</f>
        <v/>
      </c>
      <c r="M63" s="3252" t="str">
        <f>IFERROR(IF(PO_ShowExCalc=TRUE,SUMIFS(M$57:M$60,$D$57:$D$60,$B63,$F$57:$F$60,"Add to Baseline"),""),"")</f>
        <v/>
      </c>
      <c r="N63" s="1276"/>
      <c r="Q63" s="1549">
        <f>IFERROR(IF(ISBLANK($B63),"",VLOOKUP($B63,PO_Enrgy_1_Table,MATCH($K$16,PO_Enrgy_1_Hdr,0),FALSE)),"")</f>
        <v>3.4120000000000001E-3</v>
      </c>
      <c r="R63" s="1549">
        <f>IFERROR(IF(ISBLANK($B63),"",VLOOKUP($B63,PO_Enrgy_1_Table,MATCH($M$16,PO_Enrgy_1_Hdr,0),FALSE)),"")</f>
        <v>1.0713680000000001E-2</v>
      </c>
      <c r="AC63" s="844"/>
      <c r="AI63" s="1277"/>
      <c r="AJ63" s="648"/>
      <c r="AK63" s="1272"/>
      <c r="AL63" s="1278"/>
      <c r="AM63" s="596"/>
      <c r="AN63" s="596"/>
      <c r="AO63" s="596"/>
      <c r="AP63" s="1279"/>
      <c r="AQ63" s="1280"/>
      <c r="AR63" s="1278"/>
      <c r="AS63" s="1281"/>
      <c r="AT63" s="1282"/>
      <c r="AU63" s="596"/>
      <c r="AV63" s="596"/>
      <c r="AW63" s="596"/>
      <c r="AX63" s="596"/>
      <c r="AY63" s="596"/>
      <c r="AZ63" s="596"/>
      <c r="BC63" s="2292"/>
    </row>
    <row r="64" spans="1:55" ht="15" hidden="1" customHeight="1" x14ac:dyDescent="0.25">
      <c r="A64" s="1243"/>
      <c r="B64" s="3247" t="str">
        <f>IFERROR(IF(ISBLANK(B18),"",B18),"")</f>
        <v>District Steam</v>
      </c>
      <c r="C64" s="3247"/>
      <c r="D64" s="3247"/>
      <c r="E64" s="3247"/>
      <c r="F64" s="3248"/>
      <c r="G64" s="1990" t="str">
        <f>IFERROR(IF(PO_ShowExCalc=TRUE,SUMIFS(INDEX(PO_ExCalc_Table,0,MATCH($G$56,PO_ExCalc_Hdr,0)),INDEX(PO_ExCalc_Table,0,MATCH($D$56,PO_ExCalc_Hdr,0)),$B64,INDEX(PO_ExCalc_Table,0,MATCH($F$56,PO_ExCalc_Hdr,0)),"Add to Baseline"),""),"")</f>
        <v/>
      </c>
      <c r="H64" s="1973" t="str">
        <f>IFERROR(IF(ISBLANK($B64),"",VLOOKUP($B64,PO_Enrgy_1_Table,MATCH($C$16,PO_Enrgy_1_Hdr,0),FALSE)),"")</f>
        <v>therm</v>
      </c>
      <c r="I64" s="1990" t="str">
        <f>IFERROR($G64*$Q64,"")</f>
        <v/>
      </c>
      <c r="J64" s="3256" t="str">
        <f>IFERROR($G64*$R64,"")</f>
        <v/>
      </c>
      <c r="K64" s="3257" t="str">
        <f t="shared" si="1"/>
        <v/>
      </c>
      <c r="L64" s="3258" t="str">
        <f>IFERROR(IF(PO_ShowExCalc=TRUE,SUMIFS(INDEX(PO_ExCalc_Table,0,MATCH($L$56,PO_ExCalc_Hdr,0)),INDEX(PO_ExCalc_Table,0,MATCH($D$56,PO_ExCalc_Hdr,0)),$B64,INDEX(PO_ExCalc_Table,0,MATCH($F$56,PO_ExCalc_Hdr,0)),"Add to Baseline"),""),"")</f>
        <v/>
      </c>
      <c r="M64" s="3259" t="str">
        <f>IFERROR(IF(PO_ShowExCalc=TRUE,SUMIFS(M$57:M$60,$D$57:$D$60,$B64,$F$57:$F$60,"Add to Baseline"),""),"")</f>
        <v/>
      </c>
      <c r="Q64" s="1549">
        <f>IFERROR(IF(ISBLANK($B64),"",VLOOKUP($B64,PO_Enrgy_1_Table,MATCH($K$16,PO_Enrgy_1_Hdr,0),FALSE)),"")</f>
        <v>0.1</v>
      </c>
      <c r="R64" s="1549">
        <f>IFERROR(IF(ISBLANK($B64),"",VLOOKUP($B64,PO_Enrgy_1_Table,MATCH($M$16,PO_Enrgy_1_Hdr,0),FALSE)),"")</f>
        <v>0.12</v>
      </c>
      <c r="AC64" s="844"/>
      <c r="AI64" s="1277"/>
      <c r="AJ64" s="648"/>
      <c r="AK64" s="1272"/>
      <c r="AL64" s="1278"/>
      <c r="AM64" s="596"/>
      <c r="AN64" s="596"/>
      <c r="AO64" s="596"/>
      <c r="AP64" s="1279"/>
      <c r="AQ64" s="1280"/>
      <c r="AR64" s="1278"/>
      <c r="AS64" s="1281"/>
      <c r="AT64" s="1282"/>
      <c r="AU64" s="596"/>
      <c r="AV64" s="596"/>
      <c r="AW64" s="596"/>
      <c r="AX64" s="596"/>
      <c r="AY64" s="596"/>
      <c r="AZ64" s="596"/>
      <c r="BC64" s="2292"/>
    </row>
    <row r="65" spans="1:60" ht="15" hidden="1" customHeight="1" x14ac:dyDescent="0.25">
      <c r="A65" s="1243"/>
      <c r="B65" s="3247" t="str">
        <f>IFERROR(IF(ISBLANK(B19),"",B19),"")</f>
        <v>District Cooling</v>
      </c>
      <c r="C65" s="3247"/>
      <c r="D65" s="3247"/>
      <c r="E65" s="3247"/>
      <c r="F65" s="3248"/>
      <c r="G65" s="1990" t="str">
        <f>IFERROR(IF(PO_ShowExCalc=TRUE,SUMIFS(INDEX(PO_ExCalc_Table,0,MATCH($G$56,PO_ExCalc_Hdr,0)),INDEX(PO_ExCalc_Table,0,MATCH($D$56,PO_ExCalc_Hdr,0)),$B65,INDEX(PO_ExCalc_Table,0,MATCH($F$56,PO_ExCalc_Hdr,0)),"Add to Baseline"),""),"")</f>
        <v/>
      </c>
      <c r="H65" s="1973" t="str">
        <f>IFERROR(IF(ISBLANK($B65),"",VLOOKUP($B65,PO_Enrgy_1_Table,MATCH($C$16,PO_Enrgy_1_Hdr,0),FALSE)),"")</f>
        <v>therm</v>
      </c>
      <c r="I65" s="1990" t="str">
        <f>IFERROR($G65*$Q65,"")</f>
        <v/>
      </c>
      <c r="J65" s="3256" t="str">
        <f>IFERROR($G65*$R65,"")</f>
        <v/>
      </c>
      <c r="K65" s="3257" t="str">
        <f t="shared" si="1"/>
        <v/>
      </c>
      <c r="L65" s="3258" t="str">
        <f>IFERROR(IF(PO_ShowExCalc=TRUE,SUMIFS(INDEX(PO_ExCalc_Table,0,MATCH($L$56,PO_ExCalc_Hdr,0)),INDEX(PO_ExCalc_Table,0,MATCH($D$56,PO_ExCalc_Hdr,0)),$B65,INDEX(PO_ExCalc_Table,0,MATCH($F$56,PO_ExCalc_Hdr,0)),"Add to Baseline"),""),"")</f>
        <v/>
      </c>
      <c r="M65" s="3259" t="str">
        <f>IFERROR(IF(PO_ShowExCalc=TRUE,SUMIFS(M$57:M$60,$D$57:$D$60,$B65,$F$57:$F$60,"Add to Baseline"),""),"")</f>
        <v/>
      </c>
      <c r="Q65" s="1549">
        <f>IFERROR(IF(ISBLANK($B65),"",VLOOKUP($B65,PO_Enrgy_1_Table,MATCH($K$16,PO_Enrgy_1_Hdr,0),FALSE)),"")</f>
        <v>0.1</v>
      </c>
      <c r="R65" s="1549">
        <f>IFERROR(IF(ISBLANK($B65),"",VLOOKUP($B65,PO_Enrgy_1_Table,MATCH($M$16,PO_Enrgy_1_Hdr,0),FALSE)),"")</f>
        <v>0.1</v>
      </c>
      <c r="AC65" s="844"/>
      <c r="AI65" s="1277"/>
      <c r="AJ65" s="648"/>
      <c r="AK65" s="1272"/>
      <c r="AL65" s="1278"/>
      <c r="AM65" s="596"/>
      <c r="AN65" s="596"/>
      <c r="AO65" s="596"/>
      <c r="AP65" s="1279"/>
      <c r="AQ65" s="1280"/>
      <c r="AR65" s="1278"/>
      <c r="AS65" s="1281"/>
      <c r="AT65" s="1282"/>
      <c r="AU65" s="596"/>
      <c r="AV65" s="596"/>
      <c r="AW65" s="596"/>
      <c r="AX65" s="596"/>
      <c r="AY65" s="596"/>
      <c r="AZ65" s="596"/>
      <c r="BC65" s="2292"/>
    </row>
    <row r="66" spans="1:60" s="592" customFormat="1" ht="21" hidden="1" customHeight="1" x14ac:dyDescent="0.25">
      <c r="A66" s="1271"/>
      <c r="B66" s="3260" t="s">
        <v>1274</v>
      </c>
      <c r="C66" s="3254"/>
      <c r="D66" s="3254"/>
      <c r="E66" s="3254"/>
      <c r="F66" s="1983"/>
      <c r="G66" s="1984"/>
      <c r="H66" s="1985"/>
      <c r="I66" s="1986"/>
      <c r="J66" s="1987"/>
      <c r="K66" s="1987"/>
      <c r="L66" s="1991"/>
      <c r="M66" s="1989"/>
      <c r="AC66" s="832"/>
      <c r="AI66" s="611"/>
      <c r="AJ66" s="1272"/>
      <c r="AK66" s="1272"/>
      <c r="AL66" s="1272"/>
      <c r="AM66" s="589"/>
      <c r="AN66" s="1273"/>
      <c r="AO66" s="1273"/>
      <c r="AP66" s="1274"/>
      <c r="AQ66" s="596"/>
      <c r="AR66" s="596"/>
      <c r="AS66" s="16"/>
      <c r="AT66" s="596"/>
      <c r="AU66" s="596"/>
      <c r="AV66" s="596"/>
      <c r="AW66" s="596"/>
      <c r="AX66" s="596"/>
      <c r="AY66" s="596"/>
      <c r="AZ66" s="596"/>
    </row>
    <row r="67" spans="1:60" s="1248" customFormat="1" ht="21.75" hidden="1" customHeight="1" x14ac:dyDescent="0.25">
      <c r="A67" s="1264"/>
      <c r="B67" s="1975" t="s">
        <v>1765</v>
      </c>
      <c r="C67" s="1976"/>
      <c r="D67" s="1976"/>
      <c r="E67" s="1976"/>
      <c r="F67" s="1977"/>
      <c r="G67" s="1978" t="s">
        <v>1782</v>
      </c>
      <c r="H67" s="1979" t="s">
        <v>1783</v>
      </c>
      <c r="I67" s="1980" t="s">
        <v>1784</v>
      </c>
      <c r="J67" s="1981" t="s">
        <v>1785</v>
      </c>
      <c r="K67" s="1978"/>
      <c r="L67" s="1982" t="s">
        <v>446</v>
      </c>
      <c r="M67" s="1977"/>
      <c r="Q67" s="1249" t="s">
        <v>1776</v>
      </c>
      <c r="R67" s="1249" t="s">
        <v>1777</v>
      </c>
      <c r="AI67" s="1263"/>
      <c r="AJ67" s="1263"/>
      <c r="AK67" s="1263"/>
      <c r="AL67" s="1263"/>
      <c r="AM67" s="1263"/>
      <c r="AN67" s="1263"/>
      <c r="AO67" s="1263"/>
      <c r="AP67" s="1263"/>
      <c r="AQ67" s="1263"/>
      <c r="AR67" s="1275"/>
      <c r="AS67" s="1275"/>
      <c r="AT67" s="1275"/>
      <c r="AU67" s="1275"/>
      <c r="AV67" s="1263"/>
      <c r="AW67" s="1275"/>
      <c r="AX67" s="1275"/>
      <c r="AY67" s="1275"/>
      <c r="AZ67" s="1263"/>
    </row>
    <row r="68" spans="1:60" ht="15" hidden="1" customHeight="1" x14ac:dyDescent="0.25">
      <c r="A68" s="1243"/>
      <c r="B68" s="3159" t="str">
        <f>IFERROR(IF(ISBLANK(B17),"",B17),"")</f>
        <v>Electricity</v>
      </c>
      <c r="C68" s="3159"/>
      <c r="D68" s="3159"/>
      <c r="E68" s="3159"/>
      <c r="F68" s="3261"/>
      <c r="G68" s="1745" t="str">
        <f>IFERROR(IF(PO_ShowExCalc=TRUE,SUMIFS(INDEX(PO_ExCalc_Table,0,MATCH($G$56,PO_ExCalc_Hdr,0)),INDEX(PO_ExCalc_Table,0,MATCH($D$56,PO_ExCalc_Hdr,0)),$B68,INDEX(PO_ExCalc_Table,0,MATCH($F$56,PO_ExCalc_Hdr,0)),"Subtract from Proposed"),""),"")</f>
        <v/>
      </c>
      <c r="H68" s="1968" t="str">
        <f>IFERROR(IF(ISBLANK($B68),"",VLOOKUP($B68,PO_Enrgy_1_Table,MATCH($C$16,PO_Enrgy_1_Hdr,0),FALSE)),"")</f>
        <v>kWh</v>
      </c>
      <c r="I68" s="1745" t="str">
        <f>IFERROR($G68*$Q68,"")</f>
        <v/>
      </c>
      <c r="J68" s="3249" t="str">
        <f>IFERROR($G68*$R68,"")</f>
        <v/>
      </c>
      <c r="K68" s="3250" t="str">
        <f t="shared" ref="K68:K70" si="2">IFERROR($G68*$Q68,"")</f>
        <v/>
      </c>
      <c r="L68" s="3251" t="str">
        <f>IFERROR(IF(PO_ShowExCalc=TRUE,SUMIFS(INDEX(PO_ExCalc_Table,0,MATCH($L$56,PO_ExCalc_Hdr,0)),INDEX(PO_ExCalc_Table,0,MATCH($D$56,PO_ExCalc_Hdr,0)),$B68,INDEX(PO_ExCalc_Table,0,MATCH($F$56,PO_ExCalc_Hdr,0)),"Subtract from Proposed"),""),"")</f>
        <v/>
      </c>
      <c r="M68" s="3252" t="str">
        <f>IFERROR(IF(PO_ShowExCalc=TRUE,SUMIFS(M$57:M$60,$D$57:$D$60,$B68,$F$57:$F$60,"Add to Baseline"),""),"")</f>
        <v/>
      </c>
      <c r="Q68" s="1549">
        <f>IFERROR(IF(ISBLANK($B68),"",VLOOKUP($B68,PO_Enrgy_1_Table,MATCH($K$16,PO_Enrgy_1_Hdr,0),FALSE)),"")</f>
        <v>3.4120000000000001E-3</v>
      </c>
      <c r="R68" s="1549">
        <f>IFERROR(IF(ISBLANK($B68),"",VLOOKUP($B68,PO_Enrgy_1_Table,MATCH($M$16,PO_Enrgy_1_Hdr,0),FALSE)),"")</f>
        <v>1.0713680000000001E-2</v>
      </c>
      <c r="AC68" s="844"/>
      <c r="AI68" s="1277"/>
      <c r="AJ68" s="648"/>
      <c r="AK68" s="1272"/>
      <c r="AL68" s="1278"/>
      <c r="AM68" s="596"/>
      <c r="AN68" s="596"/>
      <c r="AO68" s="596"/>
      <c r="AP68" s="1279"/>
      <c r="AQ68" s="1280"/>
      <c r="AR68" s="1278"/>
      <c r="AS68" s="1281"/>
      <c r="AT68" s="1282"/>
      <c r="AU68" s="596"/>
      <c r="AV68" s="596"/>
      <c r="AW68" s="596"/>
      <c r="AX68" s="596"/>
      <c r="AY68" s="596"/>
      <c r="AZ68" s="596"/>
      <c r="BC68" s="2292"/>
    </row>
    <row r="69" spans="1:60" ht="15" hidden="1" customHeight="1" x14ac:dyDescent="0.25">
      <c r="A69" s="1243"/>
      <c r="B69" s="3247" t="str">
        <f>IFERROR(IF(ISBLANK(B18),"",B18),"")</f>
        <v>District Steam</v>
      </c>
      <c r="C69" s="3247"/>
      <c r="D69" s="3247"/>
      <c r="E69" s="3247"/>
      <c r="F69" s="3248"/>
      <c r="G69" s="1990" t="str">
        <f>IFERROR(IF(PO_ShowExCalc=TRUE,SUMIFS(INDEX(PO_ExCalc_Table,0,MATCH($G$56,PO_ExCalc_Hdr,0)),INDEX(PO_ExCalc_Table,0,MATCH($D$56,PO_ExCalc_Hdr,0)),$B69,INDEX(PO_ExCalc_Table,0,MATCH($F$56,PO_ExCalc_Hdr,0)),"Subtract from Proposed"),""),"")</f>
        <v/>
      </c>
      <c r="H69" s="1973" t="str">
        <f>IFERROR(IF(ISBLANK($B69),"",VLOOKUP($B69,PO_Enrgy_1_Table,MATCH($C$16,PO_Enrgy_1_Hdr,0),FALSE)),"")</f>
        <v>therm</v>
      </c>
      <c r="I69" s="1745" t="str">
        <f>IFERROR($G69*$Q69,"")</f>
        <v/>
      </c>
      <c r="J69" s="3249" t="str">
        <f>IFERROR($G69*$R69,"")</f>
        <v/>
      </c>
      <c r="K69" s="3250" t="str">
        <f t="shared" si="2"/>
        <v/>
      </c>
      <c r="L69" s="3251" t="str">
        <f>IFERROR(IF(PO_ShowExCalc=TRUE,SUMIFS(INDEX(PO_ExCalc_Table,0,MATCH($L$56,PO_ExCalc_Hdr,0)),INDEX(PO_ExCalc_Table,0,MATCH($D$56,PO_ExCalc_Hdr,0)),$B69,INDEX(PO_ExCalc_Table,0,MATCH($F$56,PO_ExCalc_Hdr,0)),"Subtract from Proposed"),""),"")</f>
        <v/>
      </c>
      <c r="M69" s="3252" t="str">
        <f>IFERROR(IF(PO_ShowExCalc=TRUE,SUMIFS(M$57:M$60,$D$57:$D$60,$B69,$F$57:$F$60,"Add to Baseline"),""),"")</f>
        <v/>
      </c>
      <c r="Q69" s="1549">
        <f>IFERROR(IF(ISBLANK($B69),"",VLOOKUP($B69,PO_Enrgy_1_Table,MATCH($K$16,PO_Enrgy_1_Hdr,0),FALSE)),"")</f>
        <v>0.1</v>
      </c>
      <c r="R69" s="1549">
        <f>IFERROR(IF(ISBLANK($B69),"",VLOOKUP($B69,PO_Enrgy_1_Table,MATCH($M$16,PO_Enrgy_1_Hdr,0),FALSE)),"")</f>
        <v>0.12</v>
      </c>
      <c r="AC69" s="844"/>
      <c r="AI69" s="1277"/>
      <c r="AJ69" s="648"/>
      <c r="AK69" s="1272"/>
      <c r="AL69" s="1278"/>
      <c r="AM69" s="596"/>
      <c r="AN69" s="596"/>
      <c r="AO69" s="596"/>
      <c r="AP69" s="1279"/>
      <c r="AQ69" s="1280"/>
      <c r="AR69" s="1278"/>
      <c r="AS69" s="1281"/>
      <c r="AT69" s="1282"/>
      <c r="AU69" s="596"/>
      <c r="AV69" s="596"/>
      <c r="AW69" s="596"/>
      <c r="AX69" s="596"/>
      <c r="AY69" s="596"/>
      <c r="AZ69" s="596"/>
      <c r="BC69" s="2292"/>
    </row>
    <row r="70" spans="1:60" ht="15" hidden="1" customHeight="1" x14ac:dyDescent="0.25">
      <c r="A70" s="1243"/>
      <c r="B70" s="3247" t="str">
        <f>IFERROR(IF(ISBLANK(B19),"",B19),"")</f>
        <v>District Cooling</v>
      </c>
      <c r="C70" s="3247"/>
      <c r="D70" s="3247"/>
      <c r="E70" s="3247"/>
      <c r="F70" s="3248"/>
      <c r="G70" s="1990" t="str">
        <f>IFERROR(IF(PO_ShowExCalc=TRUE,SUMIFS(INDEX(PO_ExCalc_Table,0,MATCH($G$56,PO_ExCalc_Hdr,0)),INDEX(PO_ExCalc_Table,0,MATCH($D$56,PO_ExCalc_Hdr,0)),$B70,INDEX(PO_ExCalc_Table,0,MATCH($F$56,PO_ExCalc_Hdr,0)),"Subtract from Proposed"),""),"")</f>
        <v/>
      </c>
      <c r="H70" s="1973" t="str">
        <f>IFERROR(IF(ISBLANK($B70),"",VLOOKUP($B70,PO_Enrgy_1_Table,MATCH($C$16,PO_Enrgy_1_Hdr,0),FALSE)),"")</f>
        <v>therm</v>
      </c>
      <c r="I70" s="2157" t="str">
        <f>IFERROR($G70*$Q70,"")</f>
        <v/>
      </c>
      <c r="J70" s="3249" t="str">
        <f>IFERROR($G70*$R70,"")</f>
        <v/>
      </c>
      <c r="K70" s="3250" t="str">
        <f t="shared" si="2"/>
        <v/>
      </c>
      <c r="L70" s="3251" t="str">
        <f>IFERROR(IF(PO_ShowExCalc=TRUE,SUMIFS(INDEX(PO_ExCalc_Table,0,MATCH($L$56,PO_ExCalc_Hdr,0)),INDEX(PO_ExCalc_Table,0,MATCH($D$56,PO_ExCalc_Hdr,0)),$B70,INDEX(PO_ExCalc_Table,0,MATCH($F$56,PO_ExCalc_Hdr,0)),"Subtract from Proposed"),""),"")</f>
        <v/>
      </c>
      <c r="M70" s="3252" t="str">
        <f>IFERROR(IF(PO_ShowExCalc=TRUE,SUMIFS(M$57:M$60,$D$57:$D$60,$B70,$F$57:$F$60,"Add to Baseline"),""),"")</f>
        <v/>
      </c>
      <c r="Q70" s="1549">
        <f>IFERROR(IF(ISBLANK($B70),"",VLOOKUP($B70,PO_Enrgy_1_Table,MATCH($K$16,PO_Enrgy_1_Hdr,0),FALSE)),"")</f>
        <v>0.1</v>
      </c>
      <c r="R70" s="1549">
        <f>IFERROR(IF(ISBLANK($B70),"",VLOOKUP($B70,PO_Enrgy_1_Table,MATCH($M$16,PO_Enrgy_1_Hdr,0),FALSE)),"")</f>
        <v>0.1</v>
      </c>
      <c r="AC70" s="844"/>
      <c r="AI70" s="1277"/>
      <c r="AJ70" s="648"/>
      <c r="AK70" s="1272"/>
      <c r="AL70" s="1278"/>
      <c r="AM70" s="596"/>
      <c r="AN70" s="596"/>
      <c r="AO70" s="596"/>
      <c r="AP70" s="1279"/>
      <c r="AQ70" s="1280"/>
      <c r="AR70" s="1278"/>
      <c r="AS70" s="1281"/>
      <c r="AT70" s="1282"/>
      <c r="AU70" s="596"/>
      <c r="AV70" s="596"/>
      <c r="AW70" s="596"/>
      <c r="AX70" s="596"/>
      <c r="AY70" s="596"/>
      <c r="AZ70" s="596"/>
      <c r="BC70" s="2292"/>
    </row>
    <row r="71" spans="1:60" ht="21" hidden="1" customHeight="1" x14ac:dyDescent="0.25">
      <c r="A71" s="1243"/>
      <c r="B71" s="3253" t="s">
        <v>1790</v>
      </c>
      <c r="C71" s="3254"/>
      <c r="D71" s="3254"/>
      <c r="E71" s="3254"/>
      <c r="F71" s="3254"/>
      <c r="G71" s="1993"/>
      <c r="H71" s="1995"/>
      <c r="I71" s="1992">
        <f>IFERROR(SUM(INDEX(PO_Enrgy_3_Table,0,MATCH($I62,PO_Enrgy_3_Hdr,0)),INDEX(PO_Enrgy_4_Table,0,MATCH($I67,PO_Enrgy_4_Hdr,0))),"")</f>
        <v>0</v>
      </c>
      <c r="J71" s="3249">
        <f>IFERROR(SUM(INDEX(PO_Enrgy_3_Table,0,MATCH($J62,PO_Enrgy_3_Hdr,0)),INDEX(PO_Enrgy_4_Table,0,MATCH($J67,PO_Enrgy_4_Hdr,0))),"")</f>
        <v>0</v>
      </c>
      <c r="K71" s="3250">
        <f>IFERROR(SUM(K$35:K$69),0)</f>
        <v>0</v>
      </c>
      <c r="L71" s="3255">
        <f>IFERROR(SUM(INDEX(PO_Enrgy_3_Table,0,MATCH($L62,PO_Enrgy_3_Hdr,0)),INDEX(PO_Enrgy_4_Table,0,MATCH($L67,PO_Enrgy_4_Hdr,0))),"")</f>
        <v>0</v>
      </c>
      <c r="M71" s="3255">
        <f>IFERROR(SUM(M$35:M$69),0)</f>
        <v>0</v>
      </c>
      <c r="AC71" s="835"/>
      <c r="AI71" s="589"/>
      <c r="AJ71" s="1283"/>
      <c r="AK71" s="1283"/>
      <c r="AL71" s="1283"/>
      <c r="AM71" s="1283"/>
      <c r="AN71" s="596"/>
      <c r="AO71" s="596"/>
      <c r="AP71" s="1279"/>
      <c r="AQ71" s="1280"/>
      <c r="AR71" s="1278"/>
      <c r="AS71" s="1281"/>
      <c r="AT71" s="1282"/>
      <c r="AU71" s="596"/>
      <c r="AV71" s="596"/>
      <c r="AW71" s="596"/>
      <c r="AX71" s="596"/>
      <c r="AY71" s="596"/>
      <c r="AZ71" s="596"/>
      <c r="BC71" s="2292"/>
    </row>
    <row r="72" spans="1:60" s="592" customFormat="1" ht="53.25" hidden="1" customHeight="1" x14ac:dyDescent="0.25">
      <c r="A72" s="1271" t="s">
        <v>1298</v>
      </c>
      <c r="C72" s="601"/>
      <c r="D72" s="601"/>
      <c r="E72" s="601"/>
      <c r="F72" s="601"/>
      <c r="G72" s="601"/>
      <c r="H72" s="601"/>
      <c r="I72" s="833"/>
      <c r="J72" s="636"/>
      <c r="K72" s="600"/>
      <c r="L72" s="848"/>
      <c r="M72" s="600"/>
      <c r="N72" s="636"/>
      <c r="AC72" s="832"/>
      <c r="AJ72" s="601"/>
      <c r="AK72" s="601"/>
      <c r="AL72" s="601"/>
      <c r="AM72" s="601"/>
      <c r="AN72" s="601"/>
      <c r="AO72" s="636"/>
      <c r="AP72" s="833"/>
      <c r="AS72" s="832"/>
    </row>
    <row r="73" spans="1:60" ht="196.5" hidden="1" customHeight="1" x14ac:dyDescent="0.25">
      <c r="A73" s="1271" t="s">
        <v>1298</v>
      </c>
      <c r="B73" s="3242" t="s">
        <v>1285</v>
      </c>
      <c r="C73" s="3242"/>
      <c r="D73" s="3242"/>
      <c r="E73" s="3242"/>
      <c r="F73" s="3242"/>
      <c r="G73" s="3242"/>
      <c r="H73" s="3242"/>
      <c r="I73" s="3242"/>
      <c r="J73" s="3242"/>
      <c r="K73" s="3242"/>
      <c r="L73" s="3242"/>
      <c r="M73" s="3242"/>
      <c r="N73" s="614"/>
      <c r="AC73" s="835"/>
      <c r="AP73" s="835"/>
    </row>
    <row r="74" spans="1:60" ht="12.75" hidden="1" customHeight="1" x14ac:dyDescent="0.25">
      <c r="A74" s="1271" t="s">
        <v>1298</v>
      </c>
      <c r="B74" s="635"/>
      <c r="C74" s="635"/>
      <c r="D74" s="635"/>
      <c r="E74" s="635"/>
      <c r="F74" s="635"/>
      <c r="G74" s="635"/>
      <c r="H74" s="635"/>
      <c r="I74" s="635"/>
      <c r="J74" s="635"/>
      <c r="K74" s="635"/>
      <c r="L74" s="635"/>
      <c r="M74" s="635"/>
    </row>
    <row r="75" spans="1:60" s="886" customFormat="1" ht="33" customHeight="1" x14ac:dyDescent="0.25">
      <c r="A75" s="1271" t="s">
        <v>1298</v>
      </c>
      <c r="B75" s="1081" t="s">
        <v>1118</v>
      </c>
      <c r="E75" s="33"/>
      <c r="H75" s="33"/>
      <c r="I75" s="33"/>
      <c r="J75" s="33"/>
      <c r="M75" s="33"/>
      <c r="N75" s="33"/>
      <c r="O75" s="33"/>
      <c r="Q75" s="430"/>
      <c r="R75" s="430"/>
      <c r="T75" s="430"/>
      <c r="U75" s="430"/>
      <c r="V75" s="430"/>
      <c r="W75" s="430"/>
      <c r="X75" s="430"/>
      <c r="Y75" s="430"/>
      <c r="Z75" s="430"/>
      <c r="AA75" s="430"/>
      <c r="AB75" s="430"/>
      <c r="AC75" s="430"/>
      <c r="AD75" s="430"/>
      <c r="AE75" s="430"/>
      <c r="AF75" s="430"/>
      <c r="AG75" s="430"/>
      <c r="AH75" s="430"/>
      <c r="AI75" s="430"/>
      <c r="AJ75" s="430"/>
      <c r="AK75" s="430"/>
      <c r="AL75" s="430"/>
      <c r="AM75" s="430"/>
      <c r="AN75" s="430"/>
      <c r="AO75" s="430"/>
      <c r="AP75" s="430"/>
      <c r="AQ75" s="430"/>
      <c r="AR75" s="430"/>
      <c r="AS75" s="430"/>
      <c r="AT75" s="430"/>
      <c r="AU75" s="430"/>
      <c r="AV75" s="430"/>
      <c r="AW75" s="430"/>
      <c r="AX75" s="430"/>
      <c r="AY75" s="430"/>
      <c r="AZ75" s="430"/>
      <c r="BA75" s="430"/>
      <c r="BB75" s="430"/>
      <c r="BC75" s="430"/>
      <c r="BD75" s="430"/>
      <c r="BE75" s="430"/>
      <c r="BF75" s="430"/>
      <c r="BG75" s="430"/>
      <c r="BH75" s="430"/>
    </row>
    <row r="76" spans="1:60" ht="40.5" customHeight="1" x14ac:dyDescent="0.25">
      <c r="A76" s="1271" t="s">
        <v>1298</v>
      </c>
      <c r="B76" s="3243" t="s">
        <v>1257</v>
      </c>
      <c r="C76" s="3244"/>
      <c r="D76" s="3244"/>
      <c r="E76" s="3244"/>
      <c r="F76" s="3244"/>
      <c r="G76" s="3244"/>
      <c r="H76" s="3244"/>
      <c r="I76" s="3244"/>
      <c r="J76" s="3244"/>
      <c r="K76" s="3244"/>
      <c r="L76" s="3244"/>
      <c r="M76" s="3244"/>
    </row>
    <row r="77" spans="1:60" ht="30" customHeight="1" x14ac:dyDescent="0.25">
      <c r="A77" s="1271" t="s">
        <v>1298</v>
      </c>
      <c r="B77" s="3245" t="s">
        <v>1164</v>
      </c>
      <c r="C77" s="3245"/>
      <c r="D77" s="3245"/>
      <c r="E77" s="3245"/>
      <c r="F77" s="3245"/>
      <c r="G77" s="3245"/>
      <c r="H77" s="3245"/>
      <c r="I77" s="3245"/>
      <c r="J77" s="3245"/>
      <c r="K77" s="3245"/>
      <c r="L77" s="3245"/>
      <c r="M77" s="3245"/>
      <c r="R77" s="1549">
        <v>2</v>
      </c>
    </row>
    <row r="78" spans="1:60" ht="9" customHeight="1" x14ac:dyDescent="0.25">
      <c r="A78" s="1271" t="s">
        <v>1298</v>
      </c>
      <c r="B78" s="1154"/>
      <c r="C78" s="716"/>
      <c r="D78" s="716"/>
      <c r="E78" s="716"/>
      <c r="F78" s="716"/>
      <c r="G78" s="716"/>
      <c r="H78" s="716"/>
      <c r="I78" s="716"/>
      <c r="J78" s="716"/>
      <c r="K78" s="717"/>
      <c r="L78" s="717"/>
      <c r="M78" s="718"/>
    </row>
    <row r="79" spans="1:60" ht="42" customHeight="1" x14ac:dyDescent="0.25">
      <c r="A79" s="1271" t="s">
        <v>1298</v>
      </c>
      <c r="B79" s="3246" t="s">
        <v>1165</v>
      </c>
      <c r="C79" s="3246"/>
      <c r="D79" s="3246"/>
      <c r="E79" s="3246"/>
      <c r="F79" s="3246"/>
      <c r="G79" s="3246"/>
      <c r="H79" s="3246"/>
      <c r="I79" s="3246"/>
      <c r="J79" s="3246"/>
      <c r="K79" s="3246"/>
      <c r="L79" s="3246"/>
      <c r="M79" s="3246"/>
    </row>
    <row r="80" spans="1:60" ht="9" customHeight="1" x14ac:dyDescent="0.25">
      <c r="A80" s="1271" t="s">
        <v>1298</v>
      </c>
      <c r="B80" s="1154"/>
      <c r="C80" s="716"/>
      <c r="D80" s="716"/>
      <c r="E80" s="716"/>
      <c r="F80" s="716"/>
      <c r="G80" s="716"/>
      <c r="H80" s="716"/>
      <c r="I80" s="716"/>
      <c r="J80" s="716"/>
      <c r="K80" s="717"/>
      <c r="L80" s="717"/>
      <c r="M80" s="718"/>
    </row>
    <row r="81" spans="1:61" ht="34.5" customHeight="1" x14ac:dyDescent="0.25">
      <c r="A81" s="1271" t="s">
        <v>1298</v>
      </c>
      <c r="B81" s="3246" t="s">
        <v>1166</v>
      </c>
      <c r="C81" s="3246"/>
      <c r="D81" s="3246"/>
      <c r="E81" s="3246"/>
      <c r="F81" s="3246"/>
      <c r="G81" s="3246"/>
      <c r="H81" s="3246"/>
      <c r="I81" s="3246"/>
      <c r="J81" s="3246"/>
      <c r="K81" s="3246"/>
      <c r="L81" s="3246"/>
      <c r="M81" s="3246"/>
    </row>
    <row r="82" spans="1:61" ht="9" customHeight="1" x14ac:dyDescent="0.25">
      <c r="A82" s="1271" t="s">
        <v>1298</v>
      </c>
      <c r="B82" s="1154"/>
      <c r="C82" s="716"/>
      <c r="D82" s="716"/>
      <c r="E82" s="716"/>
      <c r="F82" s="716"/>
      <c r="G82" s="716"/>
      <c r="H82" s="716"/>
      <c r="I82" s="716"/>
      <c r="J82" s="716"/>
      <c r="K82" s="717"/>
      <c r="L82" s="717"/>
      <c r="M82" s="718"/>
    </row>
    <row r="83" spans="1:61" ht="30" customHeight="1" x14ac:dyDescent="0.25">
      <c r="A83" s="1271" t="s">
        <v>1298</v>
      </c>
      <c r="B83" s="3246" t="s">
        <v>1167</v>
      </c>
      <c r="C83" s="3246"/>
      <c r="D83" s="3246"/>
      <c r="E83" s="3246"/>
      <c r="F83" s="3246"/>
      <c r="G83" s="3246"/>
      <c r="H83" s="3246"/>
      <c r="I83" s="3246"/>
      <c r="J83" s="3246"/>
      <c r="K83" s="3246"/>
      <c r="L83" s="3246"/>
      <c r="M83" s="3246"/>
    </row>
    <row r="84" spans="1:61" ht="14.25" customHeight="1" x14ac:dyDescent="0.25">
      <c r="A84" s="1271" t="s">
        <v>1298</v>
      </c>
      <c r="B84" s="3240"/>
      <c r="C84" s="3240"/>
      <c r="D84" s="3240"/>
      <c r="E84" s="3240"/>
      <c r="F84" s="3240"/>
      <c r="G84" s="3240"/>
      <c r="H84" s="3240"/>
      <c r="I84" s="3240"/>
      <c r="J84" s="3240"/>
      <c r="K84" s="3240"/>
      <c r="L84" s="3241"/>
      <c r="M84" s="3241"/>
    </row>
    <row r="85" spans="1:61" ht="33" customHeight="1" x14ac:dyDescent="0.25">
      <c r="A85" s="1271" t="s">
        <v>1298</v>
      </c>
      <c r="B85" s="611"/>
      <c r="C85" s="1163"/>
      <c r="D85" s="616"/>
      <c r="E85" s="616"/>
      <c r="F85" s="616"/>
      <c r="G85" s="616"/>
      <c r="H85" s="616"/>
      <c r="I85" s="616"/>
      <c r="J85" s="616"/>
      <c r="K85" s="616"/>
      <c r="L85" s="591"/>
      <c r="M85" s="591"/>
    </row>
    <row r="86" spans="1:61" s="887" customFormat="1" ht="33.75" customHeight="1" x14ac:dyDescent="0.25">
      <c r="A86" s="1271" t="s">
        <v>1298</v>
      </c>
      <c r="B86" s="1081" t="s">
        <v>1119</v>
      </c>
      <c r="E86" s="33"/>
      <c r="H86" s="33"/>
      <c r="I86" s="33"/>
      <c r="J86" s="33"/>
      <c r="M86" s="33"/>
      <c r="N86" s="33"/>
      <c r="O86" s="33"/>
      <c r="Q86" s="118"/>
      <c r="R86" s="118"/>
      <c r="T86" s="118"/>
      <c r="U86" s="118"/>
      <c r="V86" s="118"/>
      <c r="W86" s="118"/>
      <c r="X86" s="118"/>
      <c r="Y86" s="118"/>
      <c r="Z86" s="118"/>
      <c r="AA86" s="118"/>
      <c r="AB86" s="118"/>
      <c r="AC86" s="118"/>
      <c r="AD86" s="118"/>
      <c r="AE86" s="118"/>
      <c r="AF86" s="118"/>
      <c r="AG86" s="118"/>
      <c r="AH86" s="118"/>
      <c r="AI86" s="118"/>
      <c r="AJ86" s="118"/>
      <c r="AK86" s="118"/>
      <c r="AL86" s="118"/>
      <c r="AM86" s="118"/>
      <c r="AN86" s="118"/>
      <c r="AO86" s="118"/>
      <c r="AP86" s="118"/>
      <c r="AQ86" s="118"/>
      <c r="AR86" s="118"/>
      <c r="AS86" s="118"/>
      <c r="AT86" s="118"/>
      <c r="AU86" s="118"/>
      <c r="AV86" s="118"/>
      <c r="AW86" s="118"/>
      <c r="AX86" s="118"/>
      <c r="AY86" s="118"/>
      <c r="AZ86" s="118"/>
      <c r="BA86" s="118"/>
      <c r="BB86" s="118"/>
      <c r="BC86" s="118"/>
      <c r="BD86" s="118"/>
      <c r="BE86" s="118"/>
      <c r="BF86" s="118"/>
      <c r="BG86" s="118"/>
      <c r="BH86" s="118"/>
    </row>
    <row r="87" spans="1:61" s="564" customFormat="1" ht="21" hidden="1" customHeight="1" x14ac:dyDescent="0.25">
      <c r="A87" s="1271" t="s">
        <v>1298</v>
      </c>
      <c r="B87" s="1150" t="s">
        <v>1260</v>
      </c>
      <c r="C87" s="1150"/>
      <c r="D87" s="1150"/>
      <c r="E87" s="1150"/>
      <c r="F87" s="1150"/>
      <c r="G87" s="1150"/>
      <c r="H87" s="1150"/>
      <c r="I87" s="1150"/>
      <c r="J87" s="1150"/>
      <c r="K87" s="1150"/>
      <c r="L87" s="1150"/>
      <c r="M87" s="1151"/>
    </row>
    <row r="88" spans="1:61" ht="33.75" hidden="1" customHeight="1" x14ac:dyDescent="0.25">
      <c r="A88" s="1271" t="s">
        <v>1298</v>
      </c>
      <c r="B88" s="3219" t="s">
        <v>1168</v>
      </c>
      <c r="C88" s="3219"/>
      <c r="D88" s="3219"/>
      <c r="E88" s="3219"/>
      <c r="F88" s="3219"/>
      <c r="G88" s="3219"/>
      <c r="H88" s="3219"/>
      <c r="I88" s="3219"/>
      <c r="J88" s="3219"/>
      <c r="K88" s="3219"/>
      <c r="L88" s="3219"/>
      <c r="M88" s="3219"/>
    </row>
    <row r="89" spans="1:61" ht="32.25" hidden="1" customHeight="1" x14ac:dyDescent="0.25">
      <c r="A89" s="1271" t="s">
        <v>1298</v>
      </c>
      <c r="B89" s="3219" t="s">
        <v>1190</v>
      </c>
      <c r="C89" s="3219"/>
      <c r="D89" s="3219"/>
      <c r="E89" s="3219"/>
      <c r="F89" s="3219"/>
      <c r="G89" s="3219"/>
      <c r="H89" s="3219"/>
      <c r="I89" s="3219"/>
      <c r="J89" s="3219"/>
      <c r="K89" s="3219"/>
      <c r="L89" s="3219"/>
      <c r="M89" s="3219"/>
    </row>
    <row r="90" spans="1:61" ht="33" hidden="1" customHeight="1" x14ac:dyDescent="0.25">
      <c r="A90" s="1271" t="s">
        <v>1298</v>
      </c>
      <c r="B90" s="3219" t="s">
        <v>1169</v>
      </c>
      <c r="C90" s="3219"/>
      <c r="D90" s="3219"/>
      <c r="E90" s="3219"/>
      <c r="F90" s="3219"/>
      <c r="G90" s="3219"/>
      <c r="H90" s="3219"/>
      <c r="I90" s="3219"/>
      <c r="J90" s="3219"/>
      <c r="K90" s="3219"/>
      <c r="L90" s="3219"/>
      <c r="M90" s="3219"/>
    </row>
    <row r="91" spans="1:61" ht="33" hidden="1" customHeight="1" x14ac:dyDescent="0.25">
      <c r="A91" s="1271" t="s">
        <v>1298</v>
      </c>
      <c r="B91" s="3219" t="s">
        <v>1193</v>
      </c>
      <c r="C91" s="3219"/>
      <c r="D91" s="3219"/>
      <c r="E91" s="3219"/>
      <c r="F91" s="3219"/>
      <c r="G91" s="3219"/>
      <c r="H91" s="3219"/>
      <c r="I91" s="3219"/>
      <c r="J91" s="3219"/>
      <c r="K91" s="3219"/>
      <c r="L91" s="3219"/>
      <c r="M91" s="3219"/>
    </row>
    <row r="92" spans="1:61" ht="33" hidden="1" customHeight="1" x14ac:dyDescent="0.25">
      <c r="A92" s="1271" t="s">
        <v>1298</v>
      </c>
      <c r="B92" s="3219" t="s">
        <v>1170</v>
      </c>
      <c r="C92" s="3220"/>
      <c r="D92" s="3220"/>
      <c r="E92" s="3220"/>
      <c r="F92" s="3220"/>
      <c r="G92" s="3220"/>
      <c r="H92" s="3220"/>
      <c r="I92" s="3220"/>
      <c r="J92" s="3220"/>
      <c r="K92" s="3220"/>
      <c r="L92" s="3220"/>
      <c r="M92" s="3220"/>
    </row>
    <row r="93" spans="1:61" ht="45" hidden="1" customHeight="1" x14ac:dyDescent="0.25">
      <c r="A93" s="1271" t="s">
        <v>1298</v>
      </c>
      <c r="B93" s="3219" t="s">
        <v>1289</v>
      </c>
      <c r="C93" s="3220"/>
      <c r="D93" s="3220"/>
      <c r="E93" s="3220"/>
      <c r="F93" s="3220"/>
      <c r="G93" s="3220"/>
      <c r="H93" s="3220"/>
      <c r="I93" s="3220"/>
      <c r="J93" s="3220"/>
      <c r="K93" s="3220"/>
      <c r="L93" s="3220"/>
      <c r="M93" s="3220"/>
    </row>
    <row r="94" spans="1:61" ht="15" hidden="1" customHeight="1" x14ac:dyDescent="0.25">
      <c r="A94" s="1271" t="s">
        <v>1298</v>
      </c>
      <c r="B94" s="613"/>
      <c r="C94" s="635"/>
      <c r="D94" s="635"/>
      <c r="E94" s="635"/>
      <c r="F94" s="635"/>
      <c r="G94" s="635"/>
      <c r="H94" s="635"/>
      <c r="I94" s="635"/>
      <c r="J94" s="635"/>
      <c r="K94" s="635"/>
      <c r="L94" s="635"/>
      <c r="M94" s="635"/>
      <c r="BF94" s="3110" t="s">
        <v>2186</v>
      </c>
      <c r="BG94" s="3110"/>
      <c r="BH94" s="3110"/>
      <c r="BI94" s="3110"/>
    </row>
    <row r="95" spans="1:61" ht="92.25" hidden="1" customHeight="1" x14ac:dyDescent="0.25">
      <c r="A95" s="1271" t="s">
        <v>1298</v>
      </c>
      <c r="B95" s="3123" t="s">
        <v>457</v>
      </c>
      <c r="C95" s="3123"/>
      <c r="D95" s="1368" t="s">
        <v>456</v>
      </c>
      <c r="E95" s="1367" t="s">
        <v>444</v>
      </c>
      <c r="F95" s="1367" t="s">
        <v>1263</v>
      </c>
      <c r="G95" s="1369" t="s">
        <v>463</v>
      </c>
      <c r="H95" s="1369" t="s">
        <v>462</v>
      </c>
      <c r="I95" s="1369" t="s">
        <v>461</v>
      </c>
      <c r="J95" s="1369" t="s">
        <v>460</v>
      </c>
      <c r="K95" s="3123" t="s">
        <v>483</v>
      </c>
      <c r="L95" s="3124"/>
      <c r="M95" s="3125"/>
      <c r="BF95" s="2344" t="s">
        <v>2234</v>
      </c>
      <c r="BG95" s="2344" t="s">
        <v>2235</v>
      </c>
      <c r="BH95" s="2344" t="s">
        <v>2236</v>
      </c>
      <c r="BI95" s="2344" t="s">
        <v>2237</v>
      </c>
    </row>
    <row r="96" spans="1:61" ht="18.75" hidden="1" customHeight="1" x14ac:dyDescent="0.25">
      <c r="A96" s="1271" t="s">
        <v>1298</v>
      </c>
      <c r="B96" s="1317" t="s">
        <v>1791</v>
      </c>
      <c r="C96" s="1317"/>
      <c r="D96" s="1370" t="s">
        <v>1792</v>
      </c>
      <c r="E96" s="1317" t="s">
        <v>1765</v>
      </c>
      <c r="F96" s="1317" t="s">
        <v>1793</v>
      </c>
      <c r="G96" s="1317" t="s">
        <v>1794</v>
      </c>
      <c r="H96" s="1317" t="s">
        <v>1795</v>
      </c>
      <c r="I96" s="1317" t="s">
        <v>1796</v>
      </c>
      <c r="J96" s="1317" t="s">
        <v>1797</v>
      </c>
      <c r="K96" s="1307" t="s">
        <v>1798</v>
      </c>
      <c r="L96" s="1371"/>
      <c r="M96" s="1372"/>
      <c r="Q96" s="1550" t="s">
        <v>1776</v>
      </c>
      <c r="R96" s="1550" t="s">
        <v>1777</v>
      </c>
      <c r="S96" s="1550" t="s">
        <v>1386</v>
      </c>
    </row>
    <row r="97" spans="1:61" ht="15.75" hidden="1" customHeight="1" x14ac:dyDescent="0.25">
      <c r="A97" s="1271" t="s">
        <v>1298</v>
      </c>
      <c r="B97" s="3215" t="s">
        <v>482</v>
      </c>
      <c r="C97" s="3218"/>
      <c r="D97" s="3236"/>
      <c r="E97" s="3208" t="s">
        <v>464</v>
      </c>
      <c r="F97" s="1464" t="str">
        <f>IFERROR(IF(ISBLANK(E97),"","Consumption (" &amp; VLOOKUP($E97,PO_Enrgy_1_Table,MATCH($C$16,PO_Enrgy_1_Hdr,0),FALSE) &amp; ")"),"")</f>
        <v>Consumption (kWh)</v>
      </c>
      <c r="G97" s="1373">
        <f t="shared" ref="G97:G144" ca="1" si="3">IFERROR(IF(SimTool="eQUEST",INDIRECT("'Results from eQUEST'!"&amp;BF97&amp;"8"),IF(SimTool="Trace",INDIRECT("'Results from Trace'!C"&amp;BI97)/$Q97,"")),"")</f>
        <v>85961.313012895669</v>
      </c>
      <c r="H97" s="1373">
        <f t="shared" ref="H97:H144" ca="1" si="4">IFERROR(IF(SimTool="eQUEST",INDIRECT("'Results from eQUEST'!"&amp;BF97&amp;"9"),IF(SimTool="Trace",INDIRECT("'Results from Trace'!D"&amp;BI97)/$Q97,"")),"")</f>
        <v>0</v>
      </c>
      <c r="I97" s="1373">
        <f t="shared" ref="I97:I144" ca="1" si="5">IFERROR(IF(SimTool="eQUEST",INDIRECT("'Results from eQUEST'!"&amp;BF97&amp;"10"),IF(SimTool="Trace",INDIRECT("'Results from Trace'!E"&amp;BI97)/$Q97,"")),"")</f>
        <v>0</v>
      </c>
      <c r="J97" s="1373">
        <f t="shared" ref="J97:J144" ca="1" si="6">IFERROR(IF(SimTool="eQUEST",INDIRECT("'Results from eQUEST'!"&amp;BF97&amp;"11"),IF(SimTool="Trace",INDIRECT("'Results from Trace'!F"&amp;BI97)/$Q97,"")),"")</f>
        <v>0</v>
      </c>
      <c r="K97" s="3237">
        <f t="shared" ref="K97:K98" ca="1" si="7">IFERROR(AVERAGE(G97,H97,I97,J97),"")</f>
        <v>21490.328253223917</v>
      </c>
      <c r="L97" s="3237"/>
      <c r="M97" s="3238"/>
      <c r="N97" s="835"/>
      <c r="O97" s="835"/>
      <c r="P97" s="835"/>
      <c r="Q97" s="1549">
        <f t="shared" ref="Q97:Q144" si="8">IFERROR(IF(ISBLANK($E97),"",VLOOKUP($E97,PO_Enrgy_1_Table,MATCH($K$16,PO_Enrgy_1_Hdr,0),FALSE)),"")</f>
        <v>3.4120000000000001E-3</v>
      </c>
      <c r="R97" s="1549">
        <f t="shared" ref="R97:R144" si="9">IFERROR(IF(ISBLANK($E97),"",VLOOKUP($E97,PO_Enrgy_1_Table,MATCH($M$16,PO_Enrgy_1_Hdr,0),FALSE)),"")</f>
        <v>1.0713680000000001E-2</v>
      </c>
      <c r="S97" s="1549" t="str">
        <f t="shared" ref="S97:S128" ca="1" si="10">IFERROR(IF(FIND("Consumption",F97),(K97*VLOOKUP(MID(F97,FIND("(",F97)+1,LEN(F97)-FIND("(",F97)-1),EnergyUnitsTable,3,FALSE))/(K98*VLOOKUP(MID(F98,FIND("(",F98)+1,LEN(F98)-FIND("(",F98)-1),DemandTable,3,FALSE)),1),"")</f>
        <v/>
      </c>
      <c r="BC97" s="2292"/>
      <c r="BF97" s="2345" t="s">
        <v>2188</v>
      </c>
      <c r="BG97" s="2345" t="s">
        <v>2170</v>
      </c>
      <c r="BH97" s="2345" t="s">
        <v>464</v>
      </c>
      <c r="BI97" s="2345">
        <f>IF(BG97&lt;&gt;"",IFERROR(MATCH(BG97&amp;BH97,'Results from Trace'!$L$1:$L$21,0),""),"")</f>
        <v>7</v>
      </c>
    </row>
    <row r="98" spans="1:61" ht="16.149999999999999" hidden="1" customHeight="1" x14ac:dyDescent="0.25">
      <c r="A98" s="1271" t="s">
        <v>1298</v>
      </c>
      <c r="B98" s="3218"/>
      <c r="C98" s="3218"/>
      <c r="D98" s="3236"/>
      <c r="E98" s="3208"/>
      <c r="F98" s="1464" t="str">
        <f>IFERROR(IF(ISBLANK(E97),"","Demand (" &amp; VLOOKUP($E97,PO_Enrgy_1_Table,MATCH($E$16,PO_Enrgy_1_Hdr,0),FALSE) &amp; ")"),"")</f>
        <v>Demand (kW)</v>
      </c>
      <c r="G98" s="1373" t="str">
        <f t="shared" ca="1" si="3"/>
        <v/>
      </c>
      <c r="H98" s="1373" t="str">
        <f t="shared" ca="1" si="4"/>
        <v/>
      </c>
      <c r="I98" s="1373" t="str">
        <f t="shared" ca="1" si="5"/>
        <v/>
      </c>
      <c r="J98" s="1373" t="str">
        <f t="shared" ca="1" si="6"/>
        <v/>
      </c>
      <c r="K98" s="3237" t="str">
        <f t="shared" ca="1" si="7"/>
        <v/>
      </c>
      <c r="L98" s="3237"/>
      <c r="M98" s="3238"/>
      <c r="N98" s="835"/>
      <c r="O98" s="835"/>
      <c r="P98" s="835"/>
      <c r="Q98" s="1549" t="str">
        <f t="shared" si="8"/>
        <v/>
      </c>
      <c r="R98" s="1549" t="str">
        <f t="shared" si="9"/>
        <v/>
      </c>
      <c r="S98" s="1549" t="str">
        <f t="shared" si="10"/>
        <v/>
      </c>
      <c r="BC98" s="2292"/>
      <c r="BF98" s="2345" t="s">
        <v>1283</v>
      </c>
      <c r="BG98" s="2345"/>
      <c r="BH98" s="2345"/>
      <c r="BI98" s="2345"/>
    </row>
    <row r="99" spans="1:61" ht="16.149999999999999" hidden="1" customHeight="1" x14ac:dyDescent="0.25">
      <c r="A99" s="1271" t="s">
        <v>1298</v>
      </c>
      <c r="B99" s="3215" t="s">
        <v>481</v>
      </c>
      <c r="C99" s="3215"/>
      <c r="D99" s="3236"/>
      <c r="E99" s="3208" t="s">
        <v>464</v>
      </c>
      <c r="F99" s="1464" t="str">
        <f>IFERROR(IF(ISBLANK(E99),"","Consumption (" &amp; VLOOKUP($E99,PO_Enrgy_1_Table,MATCH($C$16,PO_Enrgy_1_Hdr,0),FALSE) &amp; ")"),"")</f>
        <v>Consumption (kWh)</v>
      </c>
      <c r="G99" s="1373">
        <f t="shared" ca="1" si="3"/>
        <v>33616.647127784294</v>
      </c>
      <c r="H99" s="1373">
        <f t="shared" ca="1" si="4"/>
        <v>0</v>
      </c>
      <c r="I99" s="1373">
        <f t="shared" ca="1" si="5"/>
        <v>0</v>
      </c>
      <c r="J99" s="1373">
        <f t="shared" ca="1" si="6"/>
        <v>0</v>
      </c>
      <c r="K99" s="3237">
        <f t="shared" ref="K99:K144" ca="1" si="11">IFERROR(AVERAGE(G99,H99,I99,J99),"")</f>
        <v>8404.1617819460735</v>
      </c>
      <c r="L99" s="3237"/>
      <c r="M99" s="3238"/>
      <c r="N99" s="835"/>
      <c r="O99" s="835"/>
      <c r="P99" s="835"/>
      <c r="Q99" s="1549">
        <f t="shared" si="8"/>
        <v>3.4120000000000001E-3</v>
      </c>
      <c r="R99" s="1549">
        <f t="shared" si="9"/>
        <v>1.0713680000000001E-2</v>
      </c>
      <c r="S99" s="1549" t="str">
        <f t="shared" ca="1" si="10"/>
        <v/>
      </c>
      <c r="BC99" s="2292"/>
      <c r="BF99" s="2345" t="s">
        <v>2189</v>
      </c>
      <c r="BG99" s="2345" t="s">
        <v>2177</v>
      </c>
      <c r="BH99" s="2345" t="s">
        <v>464</v>
      </c>
      <c r="BI99" s="2345">
        <f>IF(BG99&lt;&gt;"",IFERROR(MATCH(BG99&amp;BH99,'Results from Trace'!$L$1:$L$21,0),""),"")</f>
        <v>15</v>
      </c>
    </row>
    <row r="100" spans="1:61" ht="16.149999999999999" hidden="1" customHeight="1" x14ac:dyDescent="0.25">
      <c r="A100" s="1271" t="s">
        <v>1298</v>
      </c>
      <c r="B100" s="3215"/>
      <c r="C100" s="3215"/>
      <c r="D100" s="3236"/>
      <c r="E100" s="3208"/>
      <c r="F100" s="1464" t="str">
        <f>IFERROR(IF(ISBLANK(E99),"","Demand (" &amp; VLOOKUP($E99,PO_Enrgy_1_Table,MATCH($E$16,PO_Enrgy_1_Hdr,0),FALSE) &amp; ")"),"")</f>
        <v>Demand (kW)</v>
      </c>
      <c r="G100" s="1373" t="str">
        <f t="shared" ca="1" si="3"/>
        <v/>
      </c>
      <c r="H100" s="1373" t="str">
        <f t="shared" ca="1" si="4"/>
        <v/>
      </c>
      <c r="I100" s="1373" t="str">
        <f t="shared" ca="1" si="5"/>
        <v/>
      </c>
      <c r="J100" s="1373" t="str">
        <f t="shared" ca="1" si="6"/>
        <v/>
      </c>
      <c r="K100" s="3237" t="str">
        <f t="shared" ca="1" si="11"/>
        <v/>
      </c>
      <c r="L100" s="3237"/>
      <c r="M100" s="3238"/>
      <c r="N100" s="835"/>
      <c r="O100" s="835"/>
      <c r="P100" s="835"/>
      <c r="Q100" s="1549" t="str">
        <f t="shared" si="8"/>
        <v/>
      </c>
      <c r="R100" s="1549" t="str">
        <f t="shared" si="9"/>
        <v/>
      </c>
      <c r="S100" s="1549" t="str">
        <f t="shared" si="10"/>
        <v/>
      </c>
      <c r="BC100" s="2292"/>
      <c r="BF100" s="2345" t="s">
        <v>2190</v>
      </c>
      <c r="BG100" s="2345"/>
      <c r="BH100" s="2345"/>
      <c r="BI100" s="2345"/>
    </row>
    <row r="101" spans="1:61" ht="16.149999999999999" hidden="1" customHeight="1" x14ac:dyDescent="0.25">
      <c r="A101" s="1271" t="s">
        <v>1298</v>
      </c>
      <c r="B101" s="3215" t="s">
        <v>480</v>
      </c>
      <c r="C101" s="3215"/>
      <c r="D101" s="3236"/>
      <c r="E101" s="3208" t="s">
        <v>478</v>
      </c>
      <c r="F101" s="1464" t="str">
        <f>IFERROR(IF(ISBLANK(E101),"","Consumption (" &amp; VLOOKUP($E101,PO_Enrgy_1_Table,MATCH($C$16,PO_Enrgy_1_Hdr,0),FALSE) &amp; ")"),"")</f>
        <v/>
      </c>
      <c r="G101" s="1373" t="str">
        <f t="shared" ca="1" si="3"/>
        <v/>
      </c>
      <c r="H101" s="1373" t="str">
        <f t="shared" ca="1" si="4"/>
        <v/>
      </c>
      <c r="I101" s="1373" t="str">
        <f t="shared" ca="1" si="5"/>
        <v/>
      </c>
      <c r="J101" s="1373" t="str">
        <f t="shared" ca="1" si="6"/>
        <v/>
      </c>
      <c r="K101" s="3237" t="str">
        <f t="shared" ref="K101:K102" ca="1" si="12">IFERROR(AVERAGE(G101,H101,I101,J101),"")</f>
        <v/>
      </c>
      <c r="L101" s="3237"/>
      <c r="M101" s="3238"/>
      <c r="N101" s="835"/>
      <c r="O101" s="835"/>
      <c r="P101" s="835"/>
      <c r="Q101" s="1549" t="str">
        <f t="shared" si="8"/>
        <v/>
      </c>
      <c r="R101" s="1549" t="str">
        <f t="shared" si="9"/>
        <v/>
      </c>
      <c r="S101" s="1549" t="str">
        <f t="shared" si="10"/>
        <v/>
      </c>
      <c r="BC101" s="2292"/>
      <c r="BF101" s="2345" t="s">
        <v>2191</v>
      </c>
      <c r="BG101" s="2345" t="s">
        <v>2171</v>
      </c>
      <c r="BH101" s="2345" t="s">
        <v>2172</v>
      </c>
      <c r="BI101" s="2345" t="str">
        <f>IF(BG101&lt;&gt;"",IFERROR(MATCH(BG101&amp;BH101,'Results from Trace'!$L$1:$L$21,0),""),"")</f>
        <v/>
      </c>
    </row>
    <row r="102" spans="1:61" ht="16.149999999999999" hidden="1" customHeight="1" x14ac:dyDescent="0.25">
      <c r="A102" s="1271" t="s">
        <v>1298</v>
      </c>
      <c r="B102" s="3215"/>
      <c r="C102" s="3215"/>
      <c r="D102" s="3236"/>
      <c r="E102" s="3208"/>
      <c r="F102" s="1464" t="str">
        <f>IFERROR(IF(ISBLANK(E101),"","Demand (" &amp; VLOOKUP($E101,PO_Enrgy_1_Table,MATCH($E$16,PO_Enrgy_1_Hdr,0),FALSE) &amp; ")"),"")</f>
        <v/>
      </c>
      <c r="G102" s="1373" t="str">
        <f t="shared" ca="1" si="3"/>
        <v/>
      </c>
      <c r="H102" s="1373" t="str">
        <f t="shared" ca="1" si="4"/>
        <v/>
      </c>
      <c r="I102" s="1373" t="str">
        <f t="shared" ca="1" si="5"/>
        <v/>
      </c>
      <c r="J102" s="1373" t="str">
        <f t="shared" ca="1" si="6"/>
        <v/>
      </c>
      <c r="K102" s="3237" t="str">
        <f t="shared" ca="1" si="12"/>
        <v/>
      </c>
      <c r="L102" s="3237"/>
      <c r="M102" s="3238"/>
      <c r="N102" s="835"/>
      <c r="O102" s="835"/>
      <c r="P102" s="835"/>
      <c r="Q102" s="1549" t="str">
        <f t="shared" si="8"/>
        <v/>
      </c>
      <c r="R102" s="1549" t="str">
        <f t="shared" si="9"/>
        <v/>
      </c>
      <c r="S102" s="1549" t="str">
        <f t="shared" si="10"/>
        <v/>
      </c>
      <c r="BC102" s="2292"/>
      <c r="BF102" s="2345"/>
      <c r="BG102" s="2345"/>
      <c r="BH102" s="2345"/>
      <c r="BI102" s="2345"/>
    </row>
    <row r="103" spans="1:61" ht="16.149999999999999" hidden="1" customHeight="1" x14ac:dyDescent="0.25">
      <c r="A103" s="1271" t="s">
        <v>1298</v>
      </c>
      <c r="B103" s="3215" t="s">
        <v>479</v>
      </c>
      <c r="C103" s="3215"/>
      <c r="D103" s="3236"/>
      <c r="E103" s="3208" t="s">
        <v>464</v>
      </c>
      <c r="F103" s="1464" t="str">
        <f>IFERROR(IF(ISBLANK(E103),"","Consumption (" &amp; VLOOKUP($E103,PO_Enrgy_1_Table,MATCH($C$16,PO_Enrgy_1_Hdr,0),FALSE) &amp; ")"),"")</f>
        <v>Consumption (kWh)</v>
      </c>
      <c r="G103" s="1373" t="str">
        <f t="shared" ca="1" si="3"/>
        <v/>
      </c>
      <c r="H103" s="1373" t="str">
        <f t="shared" ca="1" si="4"/>
        <v/>
      </c>
      <c r="I103" s="1373" t="str">
        <f t="shared" ca="1" si="5"/>
        <v/>
      </c>
      <c r="J103" s="1373" t="str">
        <f t="shared" ca="1" si="6"/>
        <v/>
      </c>
      <c r="K103" s="3237" t="str">
        <f t="shared" ca="1" si="11"/>
        <v/>
      </c>
      <c r="L103" s="3237"/>
      <c r="M103" s="3238"/>
      <c r="N103" s="835"/>
      <c r="O103" s="835"/>
      <c r="P103" s="835"/>
      <c r="Q103" s="1549">
        <f t="shared" si="8"/>
        <v>3.4120000000000001E-3</v>
      </c>
      <c r="R103" s="1549">
        <f t="shared" si="9"/>
        <v>1.0713680000000001E-2</v>
      </c>
      <c r="S103" s="1549" t="str">
        <f t="shared" ca="1" si="10"/>
        <v/>
      </c>
      <c r="BC103" s="2292"/>
      <c r="BF103" s="2345" t="s">
        <v>2192</v>
      </c>
      <c r="BG103" s="2345" t="s">
        <v>2173</v>
      </c>
      <c r="BH103" s="2345" t="s">
        <v>464</v>
      </c>
      <c r="BI103" s="2345" t="str">
        <f>IF(BG103&lt;&gt;"",IFERROR(MATCH(BG103&amp;BH103,'Results from Trace'!$L$1:$L$21,0),""),"")</f>
        <v/>
      </c>
    </row>
    <row r="104" spans="1:61" ht="16.149999999999999" hidden="1" customHeight="1" x14ac:dyDescent="0.25">
      <c r="A104" s="1271" t="s">
        <v>1298</v>
      </c>
      <c r="B104" s="3215"/>
      <c r="C104" s="3215"/>
      <c r="D104" s="3236"/>
      <c r="E104" s="3208"/>
      <c r="F104" s="1464" t="str">
        <f>IFERROR(IF(ISBLANK(E103),"","Demand (" &amp; VLOOKUP($E103,PO_Enrgy_1_Table,MATCH($E$16,PO_Enrgy_1_Hdr,0),FALSE) &amp; ")"),"")</f>
        <v>Demand (kW)</v>
      </c>
      <c r="G104" s="1373" t="str">
        <f t="shared" ca="1" si="3"/>
        <v/>
      </c>
      <c r="H104" s="1373" t="str">
        <f t="shared" ca="1" si="4"/>
        <v/>
      </c>
      <c r="I104" s="1373" t="str">
        <f t="shared" ca="1" si="5"/>
        <v/>
      </c>
      <c r="J104" s="1373" t="str">
        <f t="shared" ca="1" si="6"/>
        <v/>
      </c>
      <c r="K104" s="3237" t="str">
        <f t="shared" ca="1" si="11"/>
        <v/>
      </c>
      <c r="L104" s="3237"/>
      <c r="M104" s="3238"/>
      <c r="N104" s="835"/>
      <c r="O104" s="835"/>
      <c r="P104" s="835"/>
      <c r="Q104" s="1549" t="str">
        <f t="shared" si="8"/>
        <v/>
      </c>
      <c r="R104" s="1549" t="str">
        <f t="shared" si="9"/>
        <v/>
      </c>
      <c r="S104" s="1549" t="str">
        <f t="shared" si="10"/>
        <v/>
      </c>
      <c r="BC104" s="2292"/>
      <c r="BF104" s="2345" t="s">
        <v>2193</v>
      </c>
      <c r="BG104" s="2345"/>
      <c r="BH104" s="2345"/>
      <c r="BI104" s="2345"/>
    </row>
    <row r="105" spans="1:61" ht="16.149999999999999" hidden="1" customHeight="1" x14ac:dyDescent="0.25">
      <c r="A105" s="1271" t="s">
        <v>1298</v>
      </c>
      <c r="B105" s="3215" t="s">
        <v>477</v>
      </c>
      <c r="C105" s="3215"/>
      <c r="D105" s="3236"/>
      <c r="E105" s="3208" t="s">
        <v>464</v>
      </c>
      <c r="F105" s="1464" t="str">
        <f>IFERROR(IF(ISBLANK(E105),"","Consumption (" &amp; VLOOKUP($E105,PO_Enrgy_1_Table,MATCH($C$16,PO_Enrgy_1_Hdr,0),FALSE) &amp; ")"),"")</f>
        <v>Consumption (kWh)</v>
      </c>
      <c r="G105" s="1373">
        <f t="shared" ca="1" si="3"/>
        <v>6770.2227432590862</v>
      </c>
      <c r="H105" s="1373">
        <f t="shared" ca="1" si="4"/>
        <v>0</v>
      </c>
      <c r="I105" s="1373">
        <f t="shared" ca="1" si="5"/>
        <v>0</v>
      </c>
      <c r="J105" s="1373">
        <f t="shared" ca="1" si="6"/>
        <v>0</v>
      </c>
      <c r="K105" s="3237">
        <f t="shared" ca="1" si="11"/>
        <v>1692.5556858147716</v>
      </c>
      <c r="L105" s="3237"/>
      <c r="M105" s="3238"/>
      <c r="N105" s="835"/>
      <c r="O105" s="835"/>
      <c r="P105" s="835"/>
      <c r="Q105" s="1549">
        <f t="shared" si="8"/>
        <v>3.4120000000000001E-3</v>
      </c>
      <c r="R105" s="1549">
        <f t="shared" si="9"/>
        <v>1.0713680000000001E-2</v>
      </c>
      <c r="S105" s="1549" t="str">
        <f t="shared" ca="1" si="10"/>
        <v/>
      </c>
      <c r="BC105" s="2292"/>
      <c r="BF105" s="2345" t="s">
        <v>2194</v>
      </c>
      <c r="BG105" s="2345" t="s">
        <v>477</v>
      </c>
      <c r="BH105" s="2345" t="s">
        <v>464</v>
      </c>
      <c r="BI105" s="2345">
        <f>IF(BG105&lt;&gt;"",IFERROR(MATCH(BG105&amp;BH105,'Results from Trace'!$L$1:$L$21,0),""),"")</f>
        <v>11</v>
      </c>
    </row>
    <row r="106" spans="1:61" ht="16.149999999999999" hidden="1" customHeight="1" x14ac:dyDescent="0.25">
      <c r="A106" s="1271" t="s">
        <v>1298</v>
      </c>
      <c r="B106" s="3215"/>
      <c r="C106" s="3215"/>
      <c r="D106" s="3236"/>
      <c r="E106" s="3208"/>
      <c r="F106" s="1464" t="str">
        <f>IFERROR(IF(ISBLANK(E105),"","Demand (" &amp; VLOOKUP($E105,PO_Enrgy_1_Table,MATCH($E$16,PO_Enrgy_1_Hdr,0),FALSE) &amp; ")"),"")</f>
        <v>Demand (kW)</v>
      </c>
      <c r="G106" s="1373" t="str">
        <f t="shared" ca="1" si="3"/>
        <v/>
      </c>
      <c r="H106" s="1373" t="str">
        <f t="shared" ca="1" si="4"/>
        <v/>
      </c>
      <c r="I106" s="1373" t="str">
        <f t="shared" ca="1" si="5"/>
        <v/>
      </c>
      <c r="J106" s="1373" t="str">
        <f t="shared" ca="1" si="6"/>
        <v/>
      </c>
      <c r="K106" s="3237" t="str">
        <f t="shared" ca="1" si="11"/>
        <v/>
      </c>
      <c r="L106" s="3237"/>
      <c r="M106" s="3238"/>
      <c r="N106" s="835"/>
      <c r="O106" s="835"/>
      <c r="P106" s="835"/>
      <c r="Q106" s="1549" t="str">
        <f t="shared" si="8"/>
        <v/>
      </c>
      <c r="R106" s="1549" t="str">
        <f t="shared" si="9"/>
        <v/>
      </c>
      <c r="S106" s="1549" t="str">
        <f t="shared" si="10"/>
        <v/>
      </c>
      <c r="BC106" s="2292"/>
      <c r="BF106" s="2345" t="s">
        <v>2195</v>
      </c>
      <c r="BG106" s="2345"/>
      <c r="BH106" s="2345"/>
      <c r="BI106" s="2345"/>
    </row>
    <row r="107" spans="1:61" ht="16.149999999999999" hidden="1" customHeight="1" x14ac:dyDescent="0.25">
      <c r="A107" s="1271" t="s">
        <v>1298</v>
      </c>
      <c r="B107" s="3215" t="s">
        <v>476</v>
      </c>
      <c r="C107" s="3215"/>
      <c r="D107" s="3236"/>
      <c r="E107" s="3208" t="s">
        <v>464</v>
      </c>
      <c r="F107" s="1464" t="str">
        <f>IFERROR(IF(ISBLANK(E107),"","Consumption (" &amp; VLOOKUP($E107,PO_Enrgy_1_Table,MATCH($C$16,PO_Enrgy_1_Hdr,0),FALSE) &amp; ")"),"")</f>
        <v>Consumption (kWh)</v>
      </c>
      <c r="G107" s="1373">
        <f t="shared" ca="1" si="3"/>
        <v>0</v>
      </c>
      <c r="H107" s="1373">
        <f t="shared" ca="1" si="4"/>
        <v>0</v>
      </c>
      <c r="I107" s="1373">
        <f t="shared" ca="1" si="5"/>
        <v>0</v>
      </c>
      <c r="J107" s="1373">
        <f t="shared" ca="1" si="6"/>
        <v>0</v>
      </c>
      <c r="K107" s="3237">
        <f t="shared" ca="1" si="11"/>
        <v>0</v>
      </c>
      <c r="L107" s="3237"/>
      <c r="M107" s="3238"/>
      <c r="N107" s="835"/>
      <c r="O107" s="835"/>
      <c r="P107" s="835"/>
      <c r="Q107" s="1549">
        <f t="shared" si="8"/>
        <v>3.4120000000000001E-3</v>
      </c>
      <c r="R107" s="1549">
        <f t="shared" si="9"/>
        <v>1.0713680000000001E-2</v>
      </c>
      <c r="S107" s="1549" t="str">
        <f t="shared" ca="1" si="10"/>
        <v/>
      </c>
      <c r="BC107" s="2292"/>
      <c r="BF107" s="2345" t="s">
        <v>2196</v>
      </c>
      <c r="BG107" s="2345" t="s">
        <v>2174</v>
      </c>
      <c r="BH107" s="2345" t="s">
        <v>464</v>
      </c>
      <c r="BI107" s="2345">
        <f>IF(BG107&lt;&gt;"",IFERROR(MATCH(BG107&amp;BH107,'Results from Trace'!$L$1:$L$21,0),""),"")</f>
        <v>12</v>
      </c>
    </row>
    <row r="108" spans="1:61" ht="16.149999999999999" hidden="1" customHeight="1" x14ac:dyDescent="0.25">
      <c r="A108" s="1271" t="s">
        <v>1298</v>
      </c>
      <c r="B108" s="3215"/>
      <c r="C108" s="3215"/>
      <c r="D108" s="3236"/>
      <c r="E108" s="3208"/>
      <c r="F108" s="1464" t="str">
        <f>IFERROR(IF(ISBLANK(E107),"","Demand (" &amp; VLOOKUP($E107,PO_Enrgy_1_Table,MATCH($E$16,PO_Enrgy_1_Hdr,0),FALSE) &amp; ")"),"")</f>
        <v>Demand (kW)</v>
      </c>
      <c r="G108" s="1373" t="str">
        <f t="shared" ca="1" si="3"/>
        <v/>
      </c>
      <c r="H108" s="1373" t="str">
        <f t="shared" ca="1" si="4"/>
        <v/>
      </c>
      <c r="I108" s="1373" t="str">
        <f t="shared" ca="1" si="5"/>
        <v/>
      </c>
      <c r="J108" s="1373" t="str">
        <f t="shared" ca="1" si="6"/>
        <v/>
      </c>
      <c r="K108" s="3237" t="str">
        <f t="shared" ca="1" si="11"/>
        <v/>
      </c>
      <c r="L108" s="3237"/>
      <c r="M108" s="3238"/>
      <c r="N108" s="835"/>
      <c r="O108" s="835"/>
      <c r="P108" s="835"/>
      <c r="Q108" s="1549" t="str">
        <f t="shared" si="8"/>
        <v/>
      </c>
      <c r="R108" s="1549" t="str">
        <f t="shared" si="9"/>
        <v/>
      </c>
      <c r="S108" s="1549" t="str">
        <f t="shared" si="10"/>
        <v/>
      </c>
      <c r="BC108" s="2292"/>
      <c r="BF108" s="2345" t="s">
        <v>2197</v>
      </c>
      <c r="BG108" s="2345"/>
      <c r="BH108" s="2345"/>
      <c r="BI108" s="2345"/>
    </row>
    <row r="109" spans="1:61" ht="16.149999999999999" hidden="1" customHeight="1" x14ac:dyDescent="0.25">
      <c r="A109" s="1271" t="s">
        <v>1298</v>
      </c>
      <c r="B109" s="3215" t="s">
        <v>475</v>
      </c>
      <c r="C109" s="3215"/>
      <c r="D109" s="3236"/>
      <c r="E109" s="3208" t="s">
        <v>464</v>
      </c>
      <c r="F109" s="1464" t="str">
        <f>IFERROR(IF(ISBLANK(E109),"","Consumption (" &amp; VLOOKUP($E109,PO_Enrgy_1_Table,MATCH($C$16,PO_Enrgy_1_Hdr,0),FALSE) &amp; ")"),"")</f>
        <v>Consumption (kWh)</v>
      </c>
      <c r="G109" s="1373">
        <f t="shared" ca="1" si="3"/>
        <v>83880.422039859317</v>
      </c>
      <c r="H109" s="1373">
        <f t="shared" ca="1" si="4"/>
        <v>0</v>
      </c>
      <c r="I109" s="1373">
        <f t="shared" ca="1" si="5"/>
        <v>0</v>
      </c>
      <c r="J109" s="1373">
        <f t="shared" ca="1" si="6"/>
        <v>0</v>
      </c>
      <c r="K109" s="3237">
        <f t="shared" ca="1" si="11"/>
        <v>20970.105509964829</v>
      </c>
      <c r="L109" s="3237"/>
      <c r="M109" s="3238"/>
      <c r="N109" s="835"/>
      <c r="O109" s="835"/>
      <c r="P109" s="835"/>
      <c r="Q109" s="1549">
        <f t="shared" si="8"/>
        <v>3.4120000000000001E-3</v>
      </c>
      <c r="R109" s="1549">
        <f t="shared" si="9"/>
        <v>1.0713680000000001E-2</v>
      </c>
      <c r="S109" s="1549" t="str">
        <f t="shared" ca="1" si="10"/>
        <v/>
      </c>
      <c r="BC109" s="2292"/>
      <c r="BF109" s="2345" t="s">
        <v>2198</v>
      </c>
      <c r="BG109" s="2345" t="s">
        <v>2175</v>
      </c>
      <c r="BH109" s="2345" t="s">
        <v>464</v>
      </c>
      <c r="BI109" s="2345">
        <f>IF(BG109&lt;&gt;"",IFERROR(MATCH(BG109&amp;BH109,'Results from Trace'!$L$1:$L$21,0),""),"")</f>
        <v>13</v>
      </c>
    </row>
    <row r="110" spans="1:61" ht="16.149999999999999" hidden="1" customHeight="1" x14ac:dyDescent="0.25">
      <c r="A110" s="1271" t="s">
        <v>1298</v>
      </c>
      <c r="B110" s="3215"/>
      <c r="C110" s="3215"/>
      <c r="D110" s="3236"/>
      <c r="E110" s="3208"/>
      <c r="F110" s="1464" t="str">
        <f>IFERROR(IF(ISBLANK(E109),"","Demand (" &amp; VLOOKUP($E109,PO_Enrgy_1_Table,MATCH($E$16,PO_Enrgy_1_Hdr,0),FALSE) &amp; ")"),"")</f>
        <v>Demand (kW)</v>
      </c>
      <c r="G110" s="1373" t="str">
        <f t="shared" ca="1" si="3"/>
        <v/>
      </c>
      <c r="H110" s="1373" t="str">
        <f t="shared" ca="1" si="4"/>
        <v/>
      </c>
      <c r="I110" s="1373" t="str">
        <f t="shared" ca="1" si="5"/>
        <v/>
      </c>
      <c r="J110" s="1373" t="str">
        <f t="shared" ca="1" si="6"/>
        <v/>
      </c>
      <c r="K110" s="3237" t="str">
        <f t="shared" ca="1" si="11"/>
        <v/>
      </c>
      <c r="L110" s="3237"/>
      <c r="M110" s="3238"/>
      <c r="N110" s="835"/>
      <c r="O110" s="835"/>
      <c r="P110" s="835"/>
      <c r="Q110" s="1549" t="str">
        <f t="shared" si="8"/>
        <v/>
      </c>
      <c r="R110" s="1549" t="str">
        <f t="shared" si="9"/>
        <v/>
      </c>
      <c r="S110" s="1549" t="str">
        <f t="shared" si="10"/>
        <v/>
      </c>
      <c r="BC110" s="2292"/>
      <c r="BF110" s="2345" t="s">
        <v>2199</v>
      </c>
      <c r="BG110" s="2345"/>
      <c r="BH110" s="2345"/>
      <c r="BI110" s="2345"/>
    </row>
    <row r="111" spans="1:61" ht="16.149999999999999" hidden="1" customHeight="1" x14ac:dyDescent="0.25">
      <c r="A111" s="1271" t="s">
        <v>1298</v>
      </c>
      <c r="B111" s="3215" t="s">
        <v>474</v>
      </c>
      <c r="C111" s="3215"/>
      <c r="D111" s="3236" t="s">
        <v>465</v>
      </c>
      <c r="E111" s="3208" t="s">
        <v>464</v>
      </c>
      <c r="F111" s="1464" t="str">
        <f>IFERROR(IF(ISBLANK(E111),"","Consumption (" &amp; VLOOKUP($E111,PO_Enrgy_1_Table,MATCH($C$16,PO_Enrgy_1_Hdr,0),FALSE) &amp; ")"),"")</f>
        <v>Consumption (kWh)</v>
      </c>
      <c r="G111" s="1373" t="str">
        <f t="shared" ca="1" si="3"/>
        <v/>
      </c>
      <c r="H111" s="1373" t="str">
        <f t="shared" ca="1" si="4"/>
        <v/>
      </c>
      <c r="I111" s="1373" t="str">
        <f t="shared" ca="1" si="5"/>
        <v/>
      </c>
      <c r="J111" s="1373" t="str">
        <f t="shared" ca="1" si="6"/>
        <v/>
      </c>
      <c r="K111" s="3237" t="str">
        <f t="shared" ca="1" si="11"/>
        <v/>
      </c>
      <c r="L111" s="3237"/>
      <c r="M111" s="3238"/>
      <c r="N111" s="835"/>
      <c r="O111" s="835"/>
      <c r="P111" s="835"/>
      <c r="Q111" s="1549">
        <f t="shared" si="8"/>
        <v>3.4120000000000001E-3</v>
      </c>
      <c r="R111" s="1549">
        <f t="shared" si="9"/>
        <v>1.0713680000000001E-2</v>
      </c>
      <c r="S111" s="1549" t="str">
        <f t="shared" ca="1" si="10"/>
        <v/>
      </c>
      <c r="BC111" s="2292"/>
      <c r="BF111" s="2345"/>
      <c r="BG111" s="2345"/>
      <c r="BH111" s="2345"/>
      <c r="BI111" s="2345"/>
    </row>
    <row r="112" spans="1:61" ht="16.149999999999999" hidden="1" customHeight="1" x14ac:dyDescent="0.25">
      <c r="A112" s="1271" t="s">
        <v>1298</v>
      </c>
      <c r="B112" s="3215"/>
      <c r="C112" s="3215"/>
      <c r="D112" s="3236"/>
      <c r="E112" s="3208"/>
      <c r="F112" s="1464" t="str">
        <f>IFERROR(IF(ISBLANK(E111),"","Demand (" &amp; VLOOKUP($E111,PO_Enrgy_1_Table,MATCH($E$16,PO_Enrgy_1_Hdr,0),FALSE) &amp; ")"),"")</f>
        <v>Demand (kW)</v>
      </c>
      <c r="G112" s="1373" t="str">
        <f t="shared" ca="1" si="3"/>
        <v/>
      </c>
      <c r="H112" s="1373" t="str">
        <f t="shared" ca="1" si="4"/>
        <v/>
      </c>
      <c r="I112" s="1373" t="str">
        <f t="shared" ca="1" si="5"/>
        <v/>
      </c>
      <c r="J112" s="1373" t="str">
        <f t="shared" ca="1" si="6"/>
        <v/>
      </c>
      <c r="K112" s="3237" t="str">
        <f t="shared" ca="1" si="11"/>
        <v/>
      </c>
      <c r="L112" s="3237"/>
      <c r="M112" s="3238"/>
      <c r="N112" s="835"/>
      <c r="O112" s="835"/>
      <c r="P112" s="835"/>
      <c r="Q112" s="1549" t="str">
        <f t="shared" si="8"/>
        <v/>
      </c>
      <c r="R112" s="1549" t="str">
        <f t="shared" si="9"/>
        <v/>
      </c>
      <c r="S112" s="1549" t="str">
        <f t="shared" si="10"/>
        <v/>
      </c>
      <c r="BC112" s="2292"/>
      <c r="BF112" s="2345"/>
      <c r="BG112" s="2345"/>
      <c r="BH112" s="2345"/>
      <c r="BI112" s="2345"/>
    </row>
    <row r="113" spans="1:61" ht="16.149999999999999" hidden="1" customHeight="1" x14ac:dyDescent="0.25">
      <c r="A113" s="1271" t="s">
        <v>1298</v>
      </c>
      <c r="B113" s="3215" t="s">
        <v>473</v>
      </c>
      <c r="C113" s="3215"/>
      <c r="D113" s="3236"/>
      <c r="E113" s="3208" t="s">
        <v>478</v>
      </c>
      <c r="F113" s="1464" t="str">
        <f>IFERROR(IF(ISBLANK(E113),"","Consumption (" &amp; VLOOKUP($E113,PO_Enrgy_1_Table,MATCH($C$16,PO_Enrgy_1_Hdr,0),FALSE) &amp; ")"),"")</f>
        <v/>
      </c>
      <c r="G113" s="1373" t="str">
        <f t="shared" ca="1" si="3"/>
        <v/>
      </c>
      <c r="H113" s="1373" t="str">
        <f t="shared" ca="1" si="4"/>
        <v/>
      </c>
      <c r="I113" s="1373" t="str">
        <f t="shared" ca="1" si="5"/>
        <v/>
      </c>
      <c r="J113" s="1373" t="str">
        <f t="shared" ca="1" si="6"/>
        <v/>
      </c>
      <c r="K113" s="3237" t="str">
        <f t="shared" ca="1" si="11"/>
        <v/>
      </c>
      <c r="L113" s="3237"/>
      <c r="M113" s="3238"/>
      <c r="N113" s="835"/>
      <c r="O113" s="835"/>
      <c r="P113" s="835"/>
      <c r="Q113" s="1549" t="str">
        <f t="shared" si="8"/>
        <v/>
      </c>
      <c r="R113" s="1549" t="str">
        <f t="shared" si="9"/>
        <v/>
      </c>
      <c r="S113" s="1549" t="str">
        <f t="shared" si="10"/>
        <v/>
      </c>
      <c r="BC113" s="2292"/>
      <c r="BF113" s="2345" t="s">
        <v>2200</v>
      </c>
      <c r="BG113" s="2345" t="s">
        <v>2177</v>
      </c>
      <c r="BH113" s="2345" t="s">
        <v>2172</v>
      </c>
      <c r="BI113" s="2345" t="str">
        <f>IF(BG113&lt;&gt;"",IFERROR(MATCH(BG113&amp;BH113,'Results from Trace'!$L$1:$L$21,0),""),"")</f>
        <v/>
      </c>
    </row>
    <row r="114" spans="1:61" ht="16.149999999999999" hidden="1" customHeight="1" x14ac:dyDescent="0.25">
      <c r="A114" s="1271" t="s">
        <v>1298</v>
      </c>
      <c r="B114" s="3215"/>
      <c r="C114" s="3215"/>
      <c r="D114" s="3236"/>
      <c r="E114" s="3208"/>
      <c r="F114" s="1464" t="str">
        <f>IFERROR(IF(ISBLANK(E113),"","Demand (" &amp; VLOOKUP($E113,PO_Enrgy_1_Table,MATCH($E$16,PO_Enrgy_1_Hdr,0),FALSE) &amp; ")"),"")</f>
        <v/>
      </c>
      <c r="G114" s="1373" t="str">
        <f t="shared" ca="1" si="3"/>
        <v/>
      </c>
      <c r="H114" s="1373" t="str">
        <f t="shared" ca="1" si="4"/>
        <v/>
      </c>
      <c r="I114" s="1373" t="str">
        <f t="shared" ca="1" si="5"/>
        <v/>
      </c>
      <c r="J114" s="1373" t="str">
        <f t="shared" ca="1" si="6"/>
        <v/>
      </c>
      <c r="K114" s="3237" t="str">
        <f t="shared" ca="1" si="11"/>
        <v/>
      </c>
      <c r="L114" s="3237"/>
      <c r="M114" s="3238"/>
      <c r="N114" s="835"/>
      <c r="O114" s="835"/>
      <c r="P114" s="835"/>
      <c r="Q114" s="1549" t="str">
        <f t="shared" si="8"/>
        <v/>
      </c>
      <c r="R114" s="1549" t="str">
        <f t="shared" si="9"/>
        <v/>
      </c>
      <c r="S114" s="1549" t="str">
        <f t="shared" si="10"/>
        <v/>
      </c>
      <c r="BC114" s="2292"/>
      <c r="BF114" s="2345"/>
      <c r="BG114" s="2345"/>
      <c r="BH114" s="2345"/>
      <c r="BI114" s="2345"/>
    </row>
    <row r="115" spans="1:61" ht="16.149999999999999" hidden="1" customHeight="1" x14ac:dyDescent="0.25">
      <c r="A115" s="1271" t="s">
        <v>1298</v>
      </c>
      <c r="B115" s="3215" t="s">
        <v>472</v>
      </c>
      <c r="C115" s="3215"/>
      <c r="D115" s="3236" t="s">
        <v>465</v>
      </c>
      <c r="E115" s="3208" t="s">
        <v>464</v>
      </c>
      <c r="F115" s="1464" t="str">
        <f>IFERROR(IF(ISBLANK(E115),"","Consumption (" &amp; VLOOKUP($E115,PO_Enrgy_1_Table,MATCH($C$16,PO_Enrgy_1_Hdr,0),FALSE) &amp; ")"),"")</f>
        <v>Consumption (kWh)</v>
      </c>
      <c r="G115" s="1373">
        <f t="shared" ca="1" si="3"/>
        <v>174618.99179366938</v>
      </c>
      <c r="H115" s="1373">
        <f t="shared" ca="1" si="4"/>
        <v>0</v>
      </c>
      <c r="I115" s="1373">
        <f t="shared" ca="1" si="5"/>
        <v>0</v>
      </c>
      <c r="J115" s="1373">
        <f t="shared" ca="1" si="6"/>
        <v>0</v>
      </c>
      <c r="K115" s="3237">
        <f t="shared" ca="1" si="11"/>
        <v>43654.747948417345</v>
      </c>
      <c r="L115" s="3237"/>
      <c r="M115" s="3238"/>
      <c r="N115" s="835"/>
      <c r="O115" s="835"/>
      <c r="P115" s="835"/>
      <c r="Q115" s="1549">
        <f t="shared" si="8"/>
        <v>3.4120000000000001E-3</v>
      </c>
      <c r="R115" s="1549">
        <f t="shared" si="9"/>
        <v>1.0713680000000001E-2</v>
      </c>
      <c r="S115" s="1549" t="str">
        <f t="shared" ca="1" si="10"/>
        <v/>
      </c>
      <c r="BC115" s="2292"/>
      <c r="BF115" s="2345" t="s">
        <v>2201</v>
      </c>
      <c r="BG115" s="2345" t="s">
        <v>2176</v>
      </c>
      <c r="BH115" s="2345" t="s">
        <v>464</v>
      </c>
      <c r="BI115" s="2345">
        <f>IF(BG115&lt;&gt;"",IFERROR(MATCH(BG115&amp;BH115,'Results from Trace'!$L$1:$L$21,0),""),"")</f>
        <v>14</v>
      </c>
    </row>
    <row r="116" spans="1:61" ht="16.149999999999999" hidden="1" customHeight="1" x14ac:dyDescent="0.25">
      <c r="A116" s="1271" t="s">
        <v>1298</v>
      </c>
      <c r="B116" s="3215"/>
      <c r="C116" s="3215"/>
      <c r="D116" s="3236"/>
      <c r="E116" s="3208"/>
      <c r="F116" s="1464" t="str">
        <f>IFERROR(IF(ISBLANK(E115),"","Demand (" &amp; VLOOKUP($E115,PO_Enrgy_1_Table,MATCH($E$16,PO_Enrgy_1_Hdr,0),FALSE) &amp; ")"),"")</f>
        <v>Demand (kW)</v>
      </c>
      <c r="G116" s="1373" t="str">
        <f t="shared" ca="1" si="3"/>
        <v/>
      </c>
      <c r="H116" s="1373" t="str">
        <f t="shared" ca="1" si="4"/>
        <v/>
      </c>
      <c r="I116" s="1373" t="str">
        <f t="shared" ca="1" si="5"/>
        <v/>
      </c>
      <c r="J116" s="1373" t="str">
        <f t="shared" ca="1" si="6"/>
        <v/>
      </c>
      <c r="K116" s="3237" t="str">
        <f t="shared" ca="1" si="11"/>
        <v/>
      </c>
      <c r="L116" s="3237"/>
      <c r="M116" s="3238"/>
      <c r="N116" s="835"/>
      <c r="O116" s="835"/>
      <c r="P116" s="835"/>
      <c r="Q116" s="1549" t="str">
        <f t="shared" si="8"/>
        <v/>
      </c>
      <c r="R116" s="1549" t="str">
        <f t="shared" si="9"/>
        <v/>
      </c>
      <c r="S116" s="1549" t="str">
        <f t="shared" si="10"/>
        <v/>
      </c>
      <c r="BC116" s="2292"/>
      <c r="BF116" s="2345" t="s">
        <v>2202</v>
      </c>
      <c r="BG116" s="2345"/>
      <c r="BH116" s="2345"/>
      <c r="BI116" s="2345"/>
    </row>
    <row r="117" spans="1:61" ht="16.149999999999999" hidden="1" customHeight="1" x14ac:dyDescent="0.25">
      <c r="A117" s="1271" t="s">
        <v>1298</v>
      </c>
      <c r="B117" s="3215" t="s">
        <v>471</v>
      </c>
      <c r="C117" s="3215"/>
      <c r="D117" s="3236" t="s">
        <v>465</v>
      </c>
      <c r="E117" s="3208" t="s">
        <v>464</v>
      </c>
      <c r="F117" s="1464" t="str">
        <f>IFERROR(IF(ISBLANK(E117),"","Consumption (" &amp; VLOOKUP($E117,PO_Enrgy_1_Table,MATCH($C$16,PO_Enrgy_1_Hdr,0),FALSE) &amp; ")"),"")</f>
        <v>Consumption (kWh)</v>
      </c>
      <c r="G117" s="1373" t="str">
        <f t="shared" ca="1" si="3"/>
        <v/>
      </c>
      <c r="H117" s="1373" t="str">
        <f t="shared" ca="1" si="4"/>
        <v/>
      </c>
      <c r="I117" s="1373" t="str">
        <f t="shared" ca="1" si="5"/>
        <v/>
      </c>
      <c r="J117" s="1373" t="str">
        <f t="shared" ca="1" si="6"/>
        <v/>
      </c>
      <c r="K117" s="3237" t="str">
        <f t="shared" ca="1" si="11"/>
        <v/>
      </c>
      <c r="L117" s="3237"/>
      <c r="M117" s="3238"/>
      <c r="N117" s="835"/>
      <c r="O117" s="835"/>
      <c r="P117" s="835"/>
      <c r="Q117" s="1549">
        <f t="shared" si="8"/>
        <v>3.4120000000000001E-3</v>
      </c>
      <c r="R117" s="1549">
        <f t="shared" si="9"/>
        <v>1.0713680000000001E-2</v>
      </c>
      <c r="S117" s="1549" t="str">
        <f t="shared" ca="1" si="10"/>
        <v/>
      </c>
      <c r="BC117" s="2292"/>
      <c r="BF117" s="2345"/>
      <c r="BG117" s="2345"/>
      <c r="BH117" s="2345"/>
      <c r="BI117" s="2345"/>
    </row>
    <row r="118" spans="1:61" ht="16.149999999999999" hidden="1" customHeight="1" x14ac:dyDescent="0.25">
      <c r="A118" s="1271" t="s">
        <v>1298</v>
      </c>
      <c r="B118" s="3215"/>
      <c r="C118" s="3215"/>
      <c r="D118" s="3236"/>
      <c r="E118" s="3208"/>
      <c r="F118" s="1464" t="str">
        <f>IFERROR(IF(ISBLANK(E117),"","Demand (" &amp; VLOOKUP($E117,PO_Enrgy_1_Table,MATCH($E$16,PO_Enrgy_1_Hdr,0),FALSE) &amp; ")"),"")</f>
        <v>Demand (kW)</v>
      </c>
      <c r="G118" s="1373" t="str">
        <f t="shared" ca="1" si="3"/>
        <v/>
      </c>
      <c r="H118" s="1373" t="str">
        <f t="shared" ca="1" si="4"/>
        <v/>
      </c>
      <c r="I118" s="1373" t="str">
        <f t="shared" ca="1" si="5"/>
        <v/>
      </c>
      <c r="J118" s="1373" t="str">
        <f t="shared" ca="1" si="6"/>
        <v/>
      </c>
      <c r="K118" s="3237" t="str">
        <f t="shared" ca="1" si="11"/>
        <v/>
      </c>
      <c r="L118" s="3237"/>
      <c r="M118" s="3238"/>
      <c r="N118" s="835"/>
      <c r="O118" s="835"/>
      <c r="P118" s="835"/>
      <c r="Q118" s="1549" t="str">
        <f t="shared" si="8"/>
        <v/>
      </c>
      <c r="R118" s="1549" t="str">
        <f t="shared" si="9"/>
        <v/>
      </c>
      <c r="S118" s="1549" t="str">
        <f t="shared" si="10"/>
        <v/>
      </c>
      <c r="BC118" s="2292"/>
      <c r="BF118" s="2345"/>
      <c r="BG118" s="2345"/>
      <c r="BH118" s="2345"/>
      <c r="BI118" s="2345"/>
    </row>
    <row r="119" spans="1:61" ht="16.149999999999999" hidden="1" customHeight="1" x14ac:dyDescent="0.25">
      <c r="A119" s="1271" t="s">
        <v>1298</v>
      </c>
      <c r="B119" s="3215" t="s">
        <v>470</v>
      </c>
      <c r="C119" s="3215"/>
      <c r="D119" s="3236" t="s">
        <v>465</v>
      </c>
      <c r="E119" s="3208" t="s">
        <v>464</v>
      </c>
      <c r="F119" s="1464" t="str">
        <f>IFERROR(IF(ISBLANK(E119),"","Consumption (" &amp; VLOOKUP($E119,PO_Enrgy_1_Table,MATCH($C$16,PO_Enrgy_1_Hdr,0),FALSE) &amp; ")"),"")</f>
        <v>Consumption (kWh)</v>
      </c>
      <c r="G119" s="1373" t="str">
        <f t="shared" ca="1" si="3"/>
        <v/>
      </c>
      <c r="H119" s="1373" t="str">
        <f t="shared" ca="1" si="4"/>
        <v/>
      </c>
      <c r="I119" s="1373" t="str">
        <f t="shared" ca="1" si="5"/>
        <v/>
      </c>
      <c r="J119" s="1373" t="str">
        <f t="shared" ca="1" si="6"/>
        <v/>
      </c>
      <c r="K119" s="3237" t="str">
        <f t="shared" ca="1" si="11"/>
        <v/>
      </c>
      <c r="L119" s="3237"/>
      <c r="M119" s="3238"/>
      <c r="N119" s="835"/>
      <c r="O119" s="835"/>
      <c r="P119" s="835"/>
      <c r="Q119" s="1549">
        <f t="shared" si="8"/>
        <v>3.4120000000000001E-3</v>
      </c>
      <c r="R119" s="1549">
        <f t="shared" si="9"/>
        <v>1.0713680000000001E-2</v>
      </c>
      <c r="S119" s="1549" t="str">
        <f t="shared" ca="1" si="10"/>
        <v/>
      </c>
      <c r="BC119" s="2292"/>
      <c r="BF119" s="2345"/>
      <c r="BG119" s="2345"/>
      <c r="BH119" s="2345"/>
      <c r="BI119" s="2345"/>
    </row>
    <row r="120" spans="1:61" ht="16.149999999999999" hidden="1" customHeight="1" x14ac:dyDescent="0.25">
      <c r="A120" s="1271" t="s">
        <v>1298</v>
      </c>
      <c r="B120" s="3215"/>
      <c r="C120" s="3215"/>
      <c r="D120" s="3236"/>
      <c r="E120" s="3208"/>
      <c r="F120" s="1464" t="str">
        <f>IFERROR(IF(ISBLANK(E119),"","Demand (" &amp; VLOOKUP($E119,PO_Enrgy_1_Table,MATCH($E$16,PO_Enrgy_1_Hdr,0),FALSE) &amp; ")"),"")</f>
        <v>Demand (kW)</v>
      </c>
      <c r="G120" s="1373" t="str">
        <f t="shared" ca="1" si="3"/>
        <v/>
      </c>
      <c r="H120" s="1373" t="str">
        <f t="shared" ca="1" si="4"/>
        <v/>
      </c>
      <c r="I120" s="1373" t="str">
        <f t="shared" ca="1" si="5"/>
        <v/>
      </c>
      <c r="J120" s="1373" t="str">
        <f t="shared" ca="1" si="6"/>
        <v/>
      </c>
      <c r="K120" s="3237" t="str">
        <f t="shared" ca="1" si="11"/>
        <v/>
      </c>
      <c r="L120" s="3237"/>
      <c r="M120" s="3238"/>
      <c r="N120" s="835"/>
      <c r="O120" s="835"/>
      <c r="P120" s="835"/>
      <c r="Q120" s="1549" t="str">
        <f t="shared" si="8"/>
        <v/>
      </c>
      <c r="R120" s="1549" t="str">
        <f t="shared" si="9"/>
        <v/>
      </c>
      <c r="S120" s="1549" t="str">
        <f t="shared" si="10"/>
        <v/>
      </c>
      <c r="BC120" s="2292"/>
      <c r="BF120" s="2345"/>
      <c r="BG120" s="2345"/>
      <c r="BH120" s="2345"/>
      <c r="BI120" s="2345"/>
    </row>
    <row r="121" spans="1:61" ht="16.149999999999999" hidden="1" customHeight="1" x14ac:dyDescent="0.25">
      <c r="A121" s="1271" t="s">
        <v>1298</v>
      </c>
      <c r="B121" s="3215" t="s">
        <v>427</v>
      </c>
      <c r="C121" s="3215"/>
      <c r="D121" s="3236" t="s">
        <v>465</v>
      </c>
      <c r="E121" s="3208" t="s">
        <v>464</v>
      </c>
      <c r="F121" s="1464" t="str">
        <f>IFERROR(IF(ISBLANK(E121),"","Consumption (" &amp; VLOOKUP($E121,PO_Enrgy_1_Table,MATCH($C$16,PO_Enrgy_1_Hdr,0),FALSE) &amp; ")"),"")</f>
        <v>Consumption (kWh)</v>
      </c>
      <c r="G121" s="1373" t="str">
        <f t="shared" ca="1" si="3"/>
        <v/>
      </c>
      <c r="H121" s="1373" t="str">
        <f t="shared" ca="1" si="4"/>
        <v/>
      </c>
      <c r="I121" s="1373" t="str">
        <f t="shared" ca="1" si="5"/>
        <v/>
      </c>
      <c r="J121" s="1373" t="str">
        <f t="shared" ca="1" si="6"/>
        <v/>
      </c>
      <c r="K121" s="3237" t="str">
        <f t="shared" ca="1" si="11"/>
        <v/>
      </c>
      <c r="L121" s="3237"/>
      <c r="M121" s="3238"/>
      <c r="N121" s="835"/>
      <c r="O121" s="835"/>
      <c r="P121" s="835"/>
      <c r="Q121" s="1549">
        <f t="shared" si="8"/>
        <v>3.4120000000000001E-3</v>
      </c>
      <c r="R121" s="1549">
        <f t="shared" si="9"/>
        <v>1.0713680000000001E-2</v>
      </c>
      <c r="S121" s="1549" t="str">
        <f t="shared" ca="1" si="10"/>
        <v/>
      </c>
      <c r="BC121" s="2292"/>
      <c r="BF121" s="2345"/>
      <c r="BG121" s="2345"/>
      <c r="BH121" s="2345"/>
      <c r="BI121" s="2345"/>
    </row>
    <row r="122" spans="1:61" ht="16.149999999999999" hidden="1" customHeight="1" x14ac:dyDescent="0.25">
      <c r="A122" s="1271" t="s">
        <v>1298</v>
      </c>
      <c r="B122" s="3215"/>
      <c r="C122" s="3215"/>
      <c r="D122" s="3236"/>
      <c r="E122" s="3208"/>
      <c r="F122" s="1464" t="str">
        <f>IFERROR(IF(ISBLANK(E121),"","Demand (" &amp; VLOOKUP($E121,PO_Enrgy_1_Table,MATCH($E$16,PO_Enrgy_1_Hdr,0),FALSE) &amp; ")"),"")</f>
        <v>Demand (kW)</v>
      </c>
      <c r="G122" s="1373" t="str">
        <f t="shared" ca="1" si="3"/>
        <v/>
      </c>
      <c r="H122" s="1373" t="str">
        <f t="shared" ca="1" si="4"/>
        <v/>
      </c>
      <c r="I122" s="1373" t="str">
        <f t="shared" ca="1" si="5"/>
        <v/>
      </c>
      <c r="J122" s="1373" t="str">
        <f t="shared" ca="1" si="6"/>
        <v/>
      </c>
      <c r="K122" s="3237" t="str">
        <f t="shared" ca="1" si="11"/>
        <v/>
      </c>
      <c r="L122" s="3237"/>
      <c r="M122" s="3238"/>
      <c r="N122" s="835"/>
      <c r="O122" s="835"/>
      <c r="P122" s="835"/>
      <c r="Q122" s="1549" t="str">
        <f t="shared" si="8"/>
        <v/>
      </c>
      <c r="R122" s="1549" t="str">
        <f t="shared" si="9"/>
        <v/>
      </c>
      <c r="S122" s="1549" t="str">
        <f t="shared" si="10"/>
        <v/>
      </c>
      <c r="BC122" s="2292"/>
      <c r="BF122" s="2345"/>
      <c r="BG122" s="2345"/>
      <c r="BH122" s="2345"/>
      <c r="BI122" s="2345"/>
    </row>
    <row r="123" spans="1:61" ht="16.149999999999999" hidden="1" customHeight="1" x14ac:dyDescent="0.25">
      <c r="A123" s="1271" t="s">
        <v>1298</v>
      </c>
      <c r="B123" s="3215" t="s">
        <v>469</v>
      </c>
      <c r="C123" s="3215"/>
      <c r="D123" s="3236" t="s">
        <v>465</v>
      </c>
      <c r="E123" s="3208" t="s">
        <v>464</v>
      </c>
      <c r="F123" s="1464" t="str">
        <f>IFERROR(IF(ISBLANK(E123),"","Consumption (" &amp; VLOOKUP($E123,PO_Enrgy_1_Table,MATCH($C$16,PO_Enrgy_1_Hdr,0),FALSE) &amp; ")"),"")</f>
        <v>Consumption (kWh)</v>
      </c>
      <c r="G123" s="1373" t="str">
        <f t="shared" ca="1" si="3"/>
        <v/>
      </c>
      <c r="H123" s="1373" t="str">
        <f t="shared" ca="1" si="4"/>
        <v/>
      </c>
      <c r="I123" s="1373" t="str">
        <f t="shared" ca="1" si="5"/>
        <v/>
      </c>
      <c r="J123" s="1373" t="str">
        <f t="shared" ca="1" si="6"/>
        <v/>
      </c>
      <c r="K123" s="3237" t="str">
        <f t="shared" ca="1" si="11"/>
        <v/>
      </c>
      <c r="L123" s="3237"/>
      <c r="M123" s="3238"/>
      <c r="N123" s="835"/>
      <c r="O123" s="835"/>
      <c r="P123" s="835"/>
      <c r="Q123" s="1549">
        <f t="shared" si="8"/>
        <v>3.4120000000000001E-3</v>
      </c>
      <c r="R123" s="1549">
        <f t="shared" si="9"/>
        <v>1.0713680000000001E-2</v>
      </c>
      <c r="S123" s="1549" t="str">
        <f t="shared" ca="1" si="10"/>
        <v/>
      </c>
      <c r="BC123" s="2292"/>
      <c r="BF123" s="2345"/>
      <c r="BG123" s="2345"/>
      <c r="BH123" s="2345"/>
      <c r="BI123" s="2345"/>
    </row>
    <row r="124" spans="1:61" ht="16.149999999999999" hidden="1" customHeight="1" x14ac:dyDescent="0.25">
      <c r="A124" s="1271" t="s">
        <v>1298</v>
      </c>
      <c r="B124" s="3215"/>
      <c r="C124" s="3215"/>
      <c r="D124" s="3236"/>
      <c r="E124" s="3208"/>
      <c r="F124" s="1464" t="str">
        <f>IFERROR(IF(ISBLANK(E123),"","Demand (" &amp; VLOOKUP($E123,PO_Enrgy_1_Table,MATCH($E$16,PO_Enrgy_1_Hdr,0),FALSE) &amp; ")"),"")</f>
        <v>Demand (kW)</v>
      </c>
      <c r="G124" s="1373" t="str">
        <f t="shared" ca="1" si="3"/>
        <v/>
      </c>
      <c r="H124" s="1373" t="str">
        <f t="shared" ca="1" si="4"/>
        <v/>
      </c>
      <c r="I124" s="1373" t="str">
        <f t="shared" ca="1" si="5"/>
        <v/>
      </c>
      <c r="J124" s="1373" t="str">
        <f t="shared" ca="1" si="6"/>
        <v/>
      </c>
      <c r="K124" s="3237" t="str">
        <f t="shared" ca="1" si="11"/>
        <v/>
      </c>
      <c r="L124" s="3237"/>
      <c r="M124" s="3238"/>
      <c r="N124" s="835"/>
      <c r="O124" s="835"/>
      <c r="P124" s="835"/>
      <c r="Q124" s="1549" t="str">
        <f t="shared" si="8"/>
        <v/>
      </c>
      <c r="R124" s="1549" t="str">
        <f t="shared" si="9"/>
        <v/>
      </c>
      <c r="S124" s="1549" t="str">
        <f t="shared" si="10"/>
        <v/>
      </c>
      <c r="BC124" s="2292"/>
      <c r="BF124" s="2345"/>
      <c r="BG124" s="2345"/>
      <c r="BH124" s="2345"/>
      <c r="BI124" s="2345"/>
    </row>
    <row r="125" spans="1:61" ht="16.149999999999999" hidden="1" customHeight="1" x14ac:dyDescent="0.25">
      <c r="A125" s="1271" t="s">
        <v>1298</v>
      </c>
      <c r="B125" s="3215" t="s">
        <v>468</v>
      </c>
      <c r="C125" s="3215"/>
      <c r="D125" s="3236" t="s">
        <v>465</v>
      </c>
      <c r="E125" s="3208" t="s">
        <v>464</v>
      </c>
      <c r="F125" s="1464" t="str">
        <f>IFERROR(IF(ISBLANK(E125),"","Consumption (" &amp; VLOOKUP($E125,PO_Enrgy_1_Table,MATCH($C$16,PO_Enrgy_1_Hdr,0),FALSE) &amp; ")"),"")</f>
        <v>Consumption (kWh)</v>
      </c>
      <c r="G125" s="1373" t="str">
        <f t="shared" ca="1" si="3"/>
        <v/>
      </c>
      <c r="H125" s="1373" t="str">
        <f t="shared" ca="1" si="4"/>
        <v/>
      </c>
      <c r="I125" s="1373" t="str">
        <f t="shared" ca="1" si="5"/>
        <v/>
      </c>
      <c r="J125" s="1373" t="str">
        <f t="shared" ca="1" si="6"/>
        <v/>
      </c>
      <c r="K125" s="3237" t="str">
        <f t="shared" ca="1" si="11"/>
        <v/>
      </c>
      <c r="L125" s="3237"/>
      <c r="M125" s="3238"/>
      <c r="N125" s="835"/>
      <c r="O125" s="835"/>
      <c r="P125" s="835"/>
      <c r="Q125" s="1549">
        <f t="shared" si="8"/>
        <v>3.4120000000000001E-3</v>
      </c>
      <c r="R125" s="1549">
        <f t="shared" si="9"/>
        <v>1.0713680000000001E-2</v>
      </c>
      <c r="S125" s="1549" t="str">
        <f t="shared" ca="1" si="10"/>
        <v/>
      </c>
      <c r="BC125" s="2292"/>
      <c r="BF125" s="2345"/>
      <c r="BG125" s="2345"/>
      <c r="BH125" s="2345"/>
      <c r="BI125" s="2345"/>
    </row>
    <row r="126" spans="1:61" ht="16.149999999999999" hidden="1" customHeight="1" x14ac:dyDescent="0.25">
      <c r="A126" s="1271" t="s">
        <v>1298</v>
      </c>
      <c r="B126" s="3215"/>
      <c r="C126" s="3215"/>
      <c r="D126" s="3236"/>
      <c r="E126" s="3208"/>
      <c r="F126" s="1464" t="str">
        <f>IFERROR(IF(ISBLANK(E125),"","Demand (" &amp; VLOOKUP($E125,PO_Enrgy_1_Table,MATCH($E$16,PO_Enrgy_1_Hdr,0),FALSE) &amp; ")"),"")</f>
        <v>Demand (kW)</v>
      </c>
      <c r="G126" s="1373" t="str">
        <f t="shared" ca="1" si="3"/>
        <v/>
      </c>
      <c r="H126" s="1373" t="str">
        <f t="shared" ca="1" si="4"/>
        <v/>
      </c>
      <c r="I126" s="1373" t="str">
        <f t="shared" ca="1" si="5"/>
        <v/>
      </c>
      <c r="J126" s="1373" t="str">
        <f t="shared" ca="1" si="6"/>
        <v/>
      </c>
      <c r="K126" s="3237" t="str">
        <f t="shared" ca="1" si="11"/>
        <v/>
      </c>
      <c r="L126" s="3237"/>
      <c r="M126" s="3238"/>
      <c r="N126" s="835"/>
      <c r="O126" s="835"/>
      <c r="P126" s="835"/>
      <c r="Q126" s="1549" t="str">
        <f t="shared" si="8"/>
        <v/>
      </c>
      <c r="R126" s="1549" t="str">
        <f t="shared" si="9"/>
        <v/>
      </c>
      <c r="S126" s="1549" t="str">
        <f t="shared" si="10"/>
        <v/>
      </c>
      <c r="BC126" s="2292"/>
      <c r="BF126" s="2345"/>
      <c r="BG126" s="2345"/>
      <c r="BH126" s="2345"/>
      <c r="BI126" s="2345"/>
    </row>
    <row r="127" spans="1:61" ht="16.149999999999999" hidden="1" customHeight="1" x14ac:dyDescent="0.25">
      <c r="A127" s="1271" t="s">
        <v>1298</v>
      </c>
      <c r="B127" s="3215" t="s">
        <v>467</v>
      </c>
      <c r="C127" s="3215"/>
      <c r="D127" s="3236" t="s">
        <v>465</v>
      </c>
      <c r="E127" s="3208" t="s">
        <v>464</v>
      </c>
      <c r="F127" s="1464" t="str">
        <f>IFERROR(IF(ISBLANK(E127),"","Consumption (" &amp; VLOOKUP($E127,PO_Enrgy_1_Table,MATCH($C$16,PO_Enrgy_1_Hdr,0),FALSE) &amp; ")"),"")</f>
        <v>Consumption (kWh)</v>
      </c>
      <c r="G127" s="1373" t="str">
        <f t="shared" ca="1" si="3"/>
        <v/>
      </c>
      <c r="H127" s="1373" t="str">
        <f t="shared" ca="1" si="4"/>
        <v/>
      </c>
      <c r="I127" s="1373" t="str">
        <f t="shared" ca="1" si="5"/>
        <v/>
      </c>
      <c r="J127" s="1373" t="str">
        <f t="shared" ca="1" si="6"/>
        <v/>
      </c>
      <c r="K127" s="3237" t="str">
        <f t="shared" ca="1" si="11"/>
        <v/>
      </c>
      <c r="L127" s="3237"/>
      <c r="M127" s="3238"/>
      <c r="N127" s="835"/>
      <c r="O127" s="835"/>
      <c r="P127" s="835"/>
      <c r="Q127" s="1549">
        <f t="shared" si="8"/>
        <v>3.4120000000000001E-3</v>
      </c>
      <c r="R127" s="1549">
        <f t="shared" si="9"/>
        <v>1.0713680000000001E-2</v>
      </c>
      <c r="S127" s="1549" t="str">
        <f t="shared" ca="1" si="10"/>
        <v/>
      </c>
      <c r="BC127" s="2292"/>
      <c r="BF127" s="2345"/>
      <c r="BG127" s="2345"/>
      <c r="BH127" s="2345"/>
      <c r="BI127" s="2345"/>
    </row>
    <row r="128" spans="1:61" ht="16.149999999999999" hidden="1" customHeight="1" x14ac:dyDescent="0.25">
      <c r="A128" s="1271" t="s">
        <v>1298</v>
      </c>
      <c r="B128" s="3215"/>
      <c r="C128" s="3215"/>
      <c r="D128" s="3236"/>
      <c r="E128" s="3208"/>
      <c r="F128" s="1464" t="str">
        <f>IFERROR(IF(ISBLANK(E127),"","Demand (" &amp; VLOOKUP($E127,PO_Enrgy_1_Table,MATCH($E$16,PO_Enrgy_1_Hdr,0),FALSE) &amp; ")"),"")</f>
        <v>Demand (kW)</v>
      </c>
      <c r="G128" s="1373" t="str">
        <f t="shared" ca="1" si="3"/>
        <v/>
      </c>
      <c r="H128" s="1373" t="str">
        <f t="shared" ca="1" si="4"/>
        <v/>
      </c>
      <c r="I128" s="1373" t="str">
        <f t="shared" ca="1" si="5"/>
        <v/>
      </c>
      <c r="J128" s="1373" t="str">
        <f t="shared" ca="1" si="6"/>
        <v/>
      </c>
      <c r="K128" s="3237" t="str">
        <f t="shared" ca="1" si="11"/>
        <v/>
      </c>
      <c r="L128" s="3237"/>
      <c r="M128" s="3238"/>
      <c r="N128" s="835"/>
      <c r="O128" s="835"/>
      <c r="P128" s="835"/>
      <c r="Q128" s="1549" t="str">
        <f t="shared" si="8"/>
        <v/>
      </c>
      <c r="R128" s="1549" t="str">
        <f t="shared" si="9"/>
        <v/>
      </c>
      <c r="S128" s="1549" t="str">
        <f t="shared" si="10"/>
        <v/>
      </c>
      <c r="BC128" s="2292"/>
      <c r="BF128" s="2345"/>
      <c r="BG128" s="2345"/>
      <c r="BH128" s="2345"/>
      <c r="BI128" s="2345"/>
    </row>
    <row r="129" spans="1:61" ht="16.149999999999999" hidden="1" customHeight="1" x14ac:dyDescent="0.25">
      <c r="A129" s="1271" t="s">
        <v>1298</v>
      </c>
      <c r="B129" s="3215" t="s">
        <v>466</v>
      </c>
      <c r="C129" s="3215"/>
      <c r="D129" s="3236" t="s">
        <v>465</v>
      </c>
      <c r="E129" s="3208" t="s">
        <v>464</v>
      </c>
      <c r="F129" s="1464" t="str">
        <f>IFERROR(IF(ISBLANK(E129),"","Consumption (" &amp; VLOOKUP($E129,PO_Enrgy_1_Table,MATCH($C$16,PO_Enrgy_1_Hdr,0),FALSE) &amp; ")"),"")</f>
        <v>Consumption (kWh)</v>
      </c>
      <c r="G129" s="1373" t="str">
        <f t="shared" ca="1" si="3"/>
        <v/>
      </c>
      <c r="H129" s="1373" t="str">
        <f t="shared" ca="1" si="4"/>
        <v/>
      </c>
      <c r="I129" s="1373" t="str">
        <f t="shared" ca="1" si="5"/>
        <v/>
      </c>
      <c r="J129" s="1373" t="str">
        <f t="shared" ca="1" si="6"/>
        <v/>
      </c>
      <c r="K129" s="3237" t="str">
        <f t="shared" ca="1" si="11"/>
        <v/>
      </c>
      <c r="L129" s="3237"/>
      <c r="M129" s="3238"/>
      <c r="N129" s="835"/>
      <c r="O129" s="835"/>
      <c r="P129" s="835"/>
      <c r="Q129" s="1549">
        <f t="shared" si="8"/>
        <v>3.4120000000000001E-3</v>
      </c>
      <c r="R129" s="1549">
        <f t="shared" si="9"/>
        <v>1.0713680000000001E-2</v>
      </c>
      <c r="S129" s="1549" t="str">
        <f t="shared" ref="S129:S145" ca="1" si="13">IFERROR(IF(FIND("Consumption",F129),(K129*VLOOKUP(MID(F129,FIND("(",F129)+1,LEN(F129)-FIND("(",F129)-1),EnergyUnitsTable,3,FALSE))/(K130*VLOOKUP(MID(F130,FIND("(",F130)+1,LEN(F130)-FIND("(",F130)-1),DemandTable,3,FALSE)),1),"")</f>
        <v/>
      </c>
      <c r="BC129" s="2292"/>
      <c r="BF129" s="2345"/>
      <c r="BG129" s="2345"/>
      <c r="BH129" s="2345"/>
      <c r="BI129" s="2345"/>
    </row>
    <row r="130" spans="1:61" ht="16.149999999999999" hidden="1" customHeight="1" x14ac:dyDescent="0.25">
      <c r="A130" s="1271" t="s">
        <v>1298</v>
      </c>
      <c r="B130" s="3215"/>
      <c r="C130" s="3215"/>
      <c r="D130" s="3236"/>
      <c r="E130" s="3208"/>
      <c r="F130" s="1464" t="str">
        <f>IFERROR(IF(ISBLANK(E129),"","Demand (" &amp; VLOOKUP($E129,PO_Enrgy_1_Table,MATCH($E$16,PO_Enrgy_1_Hdr,0),FALSE) &amp; ")"),"")</f>
        <v>Demand (kW)</v>
      </c>
      <c r="G130" s="1373" t="str">
        <f t="shared" ca="1" si="3"/>
        <v/>
      </c>
      <c r="H130" s="1373" t="str">
        <f t="shared" ca="1" si="4"/>
        <v/>
      </c>
      <c r="I130" s="1373" t="str">
        <f t="shared" ca="1" si="5"/>
        <v/>
      </c>
      <c r="J130" s="1373" t="str">
        <f t="shared" ca="1" si="6"/>
        <v/>
      </c>
      <c r="K130" s="3237" t="str">
        <f t="shared" ca="1" si="11"/>
        <v/>
      </c>
      <c r="L130" s="3237"/>
      <c r="M130" s="3238"/>
      <c r="N130" s="835"/>
      <c r="O130" s="835"/>
      <c r="P130" s="835"/>
      <c r="Q130" s="1549" t="str">
        <f t="shared" si="8"/>
        <v/>
      </c>
      <c r="R130" s="1549" t="str">
        <f t="shared" si="9"/>
        <v/>
      </c>
      <c r="S130" s="1549" t="str">
        <f t="shared" si="13"/>
        <v/>
      </c>
      <c r="BC130" s="2292"/>
      <c r="BF130" s="2345"/>
      <c r="BG130" s="2345"/>
      <c r="BH130" s="2345"/>
      <c r="BI130" s="2345"/>
    </row>
    <row r="131" spans="1:61" ht="16.149999999999999" hidden="1" customHeight="1" x14ac:dyDescent="0.25">
      <c r="A131" s="1271" t="s">
        <v>1298</v>
      </c>
      <c r="B131" s="3215" t="s">
        <v>1089</v>
      </c>
      <c r="C131" s="3215"/>
      <c r="D131" s="3236"/>
      <c r="E131" s="3208" t="s">
        <v>464</v>
      </c>
      <c r="F131" s="1464" t="str">
        <f>IFERROR(IF(ISBLANK(E131),"","Consumption (" &amp; VLOOKUP($E131,PO_Enrgy_1_Table,MATCH($C$16,PO_Enrgy_1_Hdr,0),FALSE) &amp; ")"),"")</f>
        <v>Consumption (kWh)</v>
      </c>
      <c r="G131" s="1373" t="str">
        <f t="shared" ca="1" si="3"/>
        <v/>
      </c>
      <c r="H131" s="1373" t="str">
        <f t="shared" ca="1" si="4"/>
        <v/>
      </c>
      <c r="I131" s="1373" t="str">
        <f t="shared" ca="1" si="5"/>
        <v/>
      </c>
      <c r="J131" s="1373" t="str">
        <f t="shared" ca="1" si="6"/>
        <v/>
      </c>
      <c r="K131" s="3237" t="str">
        <f t="shared" ca="1" si="11"/>
        <v/>
      </c>
      <c r="L131" s="3237"/>
      <c r="M131" s="3238"/>
      <c r="N131" s="835"/>
      <c r="O131" s="835"/>
      <c r="P131" s="835"/>
      <c r="Q131" s="1549">
        <f t="shared" si="8"/>
        <v>3.4120000000000001E-3</v>
      </c>
      <c r="R131" s="1549">
        <f t="shared" si="9"/>
        <v>1.0713680000000001E-2</v>
      </c>
      <c r="S131" s="1549" t="str">
        <f t="shared" ca="1" si="13"/>
        <v/>
      </c>
      <c r="BC131" s="2292"/>
      <c r="BF131" s="2345" t="s">
        <v>2203</v>
      </c>
      <c r="BG131" s="2345"/>
      <c r="BH131" s="2345"/>
      <c r="BI131" s="2345"/>
    </row>
    <row r="132" spans="1:61" ht="16.149999999999999" hidden="1" customHeight="1" x14ac:dyDescent="0.25">
      <c r="A132" s="1271" t="s">
        <v>1298</v>
      </c>
      <c r="B132" s="3215"/>
      <c r="C132" s="3215"/>
      <c r="D132" s="3236"/>
      <c r="E132" s="3208"/>
      <c r="F132" s="1464" t="str">
        <f>IFERROR(IF(ISBLANK(E131),"","Demand (" &amp; VLOOKUP($E131,PO_Enrgy_1_Table,MATCH($E$16,PO_Enrgy_1_Hdr,0),FALSE) &amp; ")"),"")</f>
        <v>Demand (kW)</v>
      </c>
      <c r="G132" s="1373" t="str">
        <f t="shared" ca="1" si="3"/>
        <v/>
      </c>
      <c r="H132" s="1373" t="str">
        <f t="shared" ca="1" si="4"/>
        <v/>
      </c>
      <c r="I132" s="1373" t="str">
        <f t="shared" ca="1" si="5"/>
        <v/>
      </c>
      <c r="J132" s="1373" t="str">
        <f t="shared" ca="1" si="6"/>
        <v/>
      </c>
      <c r="K132" s="3237" t="str">
        <f t="shared" ca="1" si="11"/>
        <v/>
      </c>
      <c r="L132" s="3237"/>
      <c r="M132" s="3238"/>
      <c r="N132" s="835"/>
      <c r="O132" s="835"/>
      <c r="P132" s="835"/>
      <c r="Q132" s="1549" t="str">
        <f t="shared" si="8"/>
        <v/>
      </c>
      <c r="R132" s="1549" t="str">
        <f t="shared" si="9"/>
        <v/>
      </c>
      <c r="S132" s="1549" t="str">
        <f t="shared" si="13"/>
        <v/>
      </c>
      <c r="BC132" s="2292"/>
      <c r="BF132" s="2345" t="s">
        <v>2204</v>
      </c>
      <c r="BG132" s="2345"/>
      <c r="BH132" s="2345"/>
      <c r="BI132" s="2345"/>
    </row>
    <row r="133" spans="1:61" ht="16.149999999999999" hidden="1" customHeight="1" x14ac:dyDescent="0.25">
      <c r="A133" s="1271" t="s">
        <v>1298</v>
      </c>
      <c r="B133" s="3208" t="str">
        <f>CONCATENATE("Space Heating"," (",E133,")")</f>
        <v>Space Heating (Electricity)</v>
      </c>
      <c r="C133" s="3208"/>
      <c r="D133" s="3236"/>
      <c r="E133" s="3208" t="s">
        <v>464</v>
      </c>
      <c r="F133" s="1464" t="str">
        <f>IFERROR(IF(ISBLANK(E133),"","Consumption (" &amp; VLOOKUP($E133,PO_Enrgy_1_Table,MATCH($C$16,PO_Enrgy_1_Hdr,0),FALSE) &amp; ")"),"")</f>
        <v>Consumption (kWh)</v>
      </c>
      <c r="G133" s="1373" t="str">
        <f t="shared" ca="1" si="3"/>
        <v/>
      </c>
      <c r="H133" s="1373" t="str">
        <f t="shared" ca="1" si="4"/>
        <v/>
      </c>
      <c r="I133" s="1373" t="str">
        <f t="shared" ca="1" si="5"/>
        <v/>
      </c>
      <c r="J133" s="1373" t="str">
        <f t="shared" ca="1" si="6"/>
        <v/>
      </c>
      <c r="K133" s="3237" t="str">
        <f t="shared" ca="1" si="11"/>
        <v/>
      </c>
      <c r="L133" s="3237"/>
      <c r="M133" s="3238"/>
      <c r="N133" s="835"/>
      <c r="O133" s="835"/>
      <c r="P133" s="835"/>
      <c r="Q133" s="1549">
        <f t="shared" si="8"/>
        <v>3.4120000000000001E-3</v>
      </c>
      <c r="R133" s="1549">
        <f t="shared" si="9"/>
        <v>1.0713680000000001E-2</v>
      </c>
      <c r="S133" s="1549" t="str">
        <f t="shared" ca="1" si="13"/>
        <v/>
      </c>
      <c r="BC133" s="2292"/>
      <c r="BF133" s="2345" t="s">
        <v>2205</v>
      </c>
      <c r="BG133" s="2345"/>
      <c r="BH133" s="2345"/>
      <c r="BI133" s="2345"/>
    </row>
    <row r="134" spans="1:61" ht="16.149999999999999" hidden="1" customHeight="1" x14ac:dyDescent="0.25">
      <c r="A134" s="1271" t="s">
        <v>1298</v>
      </c>
      <c r="B134" s="3208"/>
      <c r="C134" s="3208"/>
      <c r="D134" s="3236"/>
      <c r="E134" s="3208"/>
      <c r="F134" s="1464" t="str">
        <f>IFERROR(IF(ISBLANK(E133),"","Demand (" &amp; VLOOKUP($E133,PO_Enrgy_1_Table,MATCH($E$16,PO_Enrgy_1_Hdr,0),FALSE) &amp; ")"),"")</f>
        <v>Demand (kW)</v>
      </c>
      <c r="G134" s="1373" t="str">
        <f t="shared" ca="1" si="3"/>
        <v/>
      </c>
      <c r="H134" s="1373" t="str">
        <f t="shared" ca="1" si="4"/>
        <v/>
      </c>
      <c r="I134" s="1373" t="str">
        <f t="shared" ca="1" si="5"/>
        <v/>
      </c>
      <c r="J134" s="1373" t="str">
        <f t="shared" ca="1" si="6"/>
        <v/>
      </c>
      <c r="K134" s="3237" t="str">
        <f t="shared" ca="1" si="11"/>
        <v/>
      </c>
      <c r="L134" s="3237"/>
      <c r="M134" s="3238"/>
      <c r="N134" s="835"/>
      <c r="O134" s="835"/>
      <c r="P134" s="835"/>
      <c r="Q134" s="1549" t="str">
        <f t="shared" si="8"/>
        <v/>
      </c>
      <c r="R134" s="1549" t="str">
        <f t="shared" si="9"/>
        <v/>
      </c>
      <c r="S134" s="1549" t="str">
        <f t="shared" si="13"/>
        <v/>
      </c>
      <c r="BC134" s="2292"/>
      <c r="BF134" s="2345" t="s">
        <v>2206</v>
      </c>
      <c r="BG134" s="2345"/>
      <c r="BH134" s="2345"/>
      <c r="BI134" s="2345"/>
    </row>
    <row r="135" spans="1:61" ht="16.149999999999999" hidden="1" customHeight="1" x14ac:dyDescent="0.25">
      <c r="A135" s="1271" t="s">
        <v>1298</v>
      </c>
      <c r="B135" s="3208" t="str">
        <f>CONCATENATE("Misc Equipment"," (",E135,")")</f>
        <v>Misc Equipment (Natural Gas)</v>
      </c>
      <c r="C135" s="3208"/>
      <c r="D135" s="3236"/>
      <c r="E135" s="3208" t="s">
        <v>478</v>
      </c>
      <c r="F135" s="1464" t="str">
        <f>IFERROR(IF(ISBLANK(E135),"","Consumption (" &amp; VLOOKUP($E135,PO_Enrgy_1_Table,MATCH($C$16,PO_Enrgy_1_Hdr,0),FALSE) &amp; ")"),"")</f>
        <v/>
      </c>
      <c r="G135" s="1373" t="str">
        <f t="shared" ca="1" si="3"/>
        <v/>
      </c>
      <c r="H135" s="1373" t="str">
        <f t="shared" ca="1" si="4"/>
        <v/>
      </c>
      <c r="I135" s="1373" t="str">
        <f t="shared" ca="1" si="5"/>
        <v/>
      </c>
      <c r="J135" s="1373" t="str">
        <f t="shared" ca="1" si="6"/>
        <v/>
      </c>
      <c r="K135" s="3237" t="str">
        <f t="shared" ca="1" si="11"/>
        <v/>
      </c>
      <c r="L135" s="3237"/>
      <c r="M135" s="3238"/>
      <c r="N135" s="835"/>
      <c r="O135" s="835"/>
      <c r="P135" s="835"/>
      <c r="Q135" s="1549" t="str">
        <f t="shared" si="8"/>
        <v/>
      </c>
      <c r="R135" s="1549" t="str">
        <f t="shared" si="9"/>
        <v/>
      </c>
      <c r="S135" s="1549" t="str">
        <f t="shared" si="13"/>
        <v/>
      </c>
      <c r="BC135" s="2292"/>
      <c r="BF135" s="2345" t="s">
        <v>2207</v>
      </c>
      <c r="BG135" s="2345"/>
      <c r="BH135" s="2345"/>
      <c r="BI135" s="2345"/>
    </row>
    <row r="136" spans="1:61" ht="15.75" hidden="1" customHeight="1" x14ac:dyDescent="0.25">
      <c r="A136" s="1271" t="s">
        <v>1298</v>
      </c>
      <c r="B136" s="3208"/>
      <c r="C136" s="3208"/>
      <c r="D136" s="3236"/>
      <c r="E136" s="3208"/>
      <c r="F136" s="1464" t="str">
        <f>IFERROR(IF(ISBLANK(E135),"","Demand (" &amp; VLOOKUP($E135,PO_Enrgy_1_Table,MATCH($E$16,PO_Enrgy_1_Hdr,0),FALSE) &amp; ")"),"")</f>
        <v/>
      </c>
      <c r="G136" s="1373" t="str">
        <f t="shared" ca="1" si="3"/>
        <v/>
      </c>
      <c r="H136" s="1373" t="str">
        <f t="shared" ca="1" si="4"/>
        <v/>
      </c>
      <c r="I136" s="1373" t="str">
        <f t="shared" ca="1" si="5"/>
        <v/>
      </c>
      <c r="J136" s="1373" t="str">
        <f t="shared" ca="1" si="6"/>
        <v/>
      </c>
      <c r="K136" s="3237" t="str">
        <f t="shared" ca="1" si="11"/>
        <v/>
      </c>
      <c r="L136" s="3237"/>
      <c r="M136" s="3238"/>
      <c r="N136" s="835"/>
      <c r="O136" s="835"/>
      <c r="P136" s="835"/>
      <c r="Q136" s="1549" t="str">
        <f t="shared" si="8"/>
        <v/>
      </c>
      <c r="R136" s="1549" t="str">
        <f t="shared" si="9"/>
        <v/>
      </c>
      <c r="S136" s="1549" t="str">
        <f t="shared" si="13"/>
        <v/>
      </c>
      <c r="BC136" s="2292"/>
      <c r="BF136" s="2345"/>
      <c r="BG136" s="2345"/>
      <c r="BH136" s="2345"/>
      <c r="BI136" s="2345"/>
    </row>
    <row r="137" spans="1:61" ht="16.149999999999999" hidden="1" customHeight="1" x14ac:dyDescent="0.25">
      <c r="A137" s="1271" t="s">
        <v>1298</v>
      </c>
      <c r="B137" s="3208" t="str">
        <f>CONCATENATE("Auxilary"," (",E137,")")</f>
        <v>Auxilary (Natural Gas)</v>
      </c>
      <c r="C137" s="3208"/>
      <c r="D137" s="3236"/>
      <c r="E137" s="3208" t="s">
        <v>478</v>
      </c>
      <c r="F137" s="1464" t="str">
        <f>IFERROR(IF(ISBLANK(E137),"","Consumption (" &amp; VLOOKUP($E137,PO_Enrgy_1_Table,MATCH($C$16,PO_Enrgy_1_Hdr,0),FALSE) &amp; ")"),"")</f>
        <v/>
      </c>
      <c r="G137" s="1373" t="str">
        <f t="shared" ca="1" si="3"/>
        <v/>
      </c>
      <c r="H137" s="1373" t="str">
        <f t="shared" ca="1" si="4"/>
        <v/>
      </c>
      <c r="I137" s="1373" t="str">
        <f t="shared" ca="1" si="5"/>
        <v/>
      </c>
      <c r="J137" s="1373" t="str">
        <f t="shared" ca="1" si="6"/>
        <v/>
      </c>
      <c r="K137" s="3237" t="str">
        <f t="shared" ca="1" si="11"/>
        <v/>
      </c>
      <c r="L137" s="3237"/>
      <c r="M137" s="3238"/>
      <c r="N137" s="835"/>
      <c r="O137" s="835"/>
      <c r="P137" s="835"/>
      <c r="Q137" s="1549" t="str">
        <f t="shared" si="8"/>
        <v/>
      </c>
      <c r="R137" s="1549" t="str">
        <f t="shared" si="9"/>
        <v/>
      </c>
      <c r="S137" s="1549" t="str">
        <f t="shared" si="13"/>
        <v/>
      </c>
      <c r="BC137" s="2292"/>
      <c r="BF137" s="2345" t="s">
        <v>2208</v>
      </c>
      <c r="BG137" s="2345"/>
      <c r="BH137" s="2345"/>
      <c r="BI137" s="2345"/>
    </row>
    <row r="138" spans="1:61" ht="16.5" hidden="1" customHeight="1" x14ac:dyDescent="0.25">
      <c r="A138" s="1271" t="s">
        <v>1298</v>
      </c>
      <c r="B138" s="3208"/>
      <c r="C138" s="3208"/>
      <c r="D138" s="3236"/>
      <c r="E138" s="3208"/>
      <c r="F138" s="1464" t="str">
        <f>IFERROR(IF(ISBLANK(E137),"","Demand (" &amp; VLOOKUP($E137,PO_Enrgy_1_Table,MATCH($E$16,PO_Enrgy_1_Hdr,0),FALSE) &amp; ")"),"")</f>
        <v/>
      </c>
      <c r="G138" s="1373" t="str">
        <f t="shared" ca="1" si="3"/>
        <v/>
      </c>
      <c r="H138" s="1373" t="str">
        <f t="shared" ca="1" si="4"/>
        <v/>
      </c>
      <c r="I138" s="1373" t="str">
        <f t="shared" ca="1" si="5"/>
        <v/>
      </c>
      <c r="J138" s="1373" t="str">
        <f t="shared" ca="1" si="6"/>
        <v/>
      </c>
      <c r="K138" s="3237" t="str">
        <f t="shared" ca="1" si="11"/>
        <v/>
      </c>
      <c r="L138" s="3237"/>
      <c r="M138" s="3238"/>
      <c r="N138" s="835"/>
      <c r="O138" s="835"/>
      <c r="P138" s="835"/>
      <c r="Q138" s="1549" t="str">
        <f t="shared" si="8"/>
        <v/>
      </c>
      <c r="R138" s="1549" t="str">
        <f t="shared" si="9"/>
        <v/>
      </c>
      <c r="S138" s="1549" t="str">
        <f t="shared" si="13"/>
        <v/>
      </c>
      <c r="BC138" s="2292"/>
      <c r="BF138" s="2345"/>
      <c r="BG138" s="2345"/>
      <c r="BH138" s="2345"/>
      <c r="BI138" s="2345"/>
    </row>
    <row r="139" spans="1:61" ht="16.149999999999999" hidden="1" customHeight="1" x14ac:dyDescent="0.25">
      <c r="A139" s="1271" t="s">
        <v>1298</v>
      </c>
      <c r="B139" s="3208" t="str">
        <f>CONCATENATE("Cooling"," (",E139,")")</f>
        <v>Cooling (Natural Gas)</v>
      </c>
      <c r="C139" s="3208"/>
      <c r="D139" s="3236"/>
      <c r="E139" s="3208" t="s">
        <v>478</v>
      </c>
      <c r="F139" s="1464" t="str">
        <f>IFERROR(IF(ISBLANK(E139),"","Consumption (" &amp; VLOOKUP($E139,PO_Enrgy_1_Table,MATCH($C$16,PO_Enrgy_1_Hdr,0),FALSE) &amp; ")"),"")</f>
        <v/>
      </c>
      <c r="G139" s="1373" t="str">
        <f t="shared" ca="1" si="3"/>
        <v/>
      </c>
      <c r="H139" s="1373" t="str">
        <f t="shared" ca="1" si="4"/>
        <v/>
      </c>
      <c r="I139" s="1373" t="str">
        <f t="shared" ca="1" si="5"/>
        <v/>
      </c>
      <c r="J139" s="1373" t="str">
        <f t="shared" ca="1" si="6"/>
        <v/>
      </c>
      <c r="K139" s="3237" t="str">
        <f t="shared" ca="1" si="11"/>
        <v/>
      </c>
      <c r="L139" s="3237"/>
      <c r="M139" s="3238"/>
      <c r="N139" s="835"/>
      <c r="O139" s="835"/>
      <c r="P139" s="835"/>
      <c r="Q139" s="1549" t="str">
        <f t="shared" si="8"/>
        <v/>
      </c>
      <c r="R139" s="1549" t="str">
        <f t="shared" si="9"/>
        <v/>
      </c>
      <c r="S139" s="1549" t="str">
        <f t="shared" si="13"/>
        <v/>
      </c>
      <c r="BC139" s="2292"/>
      <c r="BF139" s="2345" t="s">
        <v>2209</v>
      </c>
      <c r="BG139" s="2345"/>
      <c r="BH139" s="2345"/>
      <c r="BI139" s="2345"/>
    </row>
    <row r="140" spans="1:61" ht="15.75" hidden="1" customHeight="1" x14ac:dyDescent="0.25">
      <c r="A140" s="1271" t="s">
        <v>1298</v>
      </c>
      <c r="B140" s="3208"/>
      <c r="C140" s="3208"/>
      <c r="D140" s="3236"/>
      <c r="E140" s="3208"/>
      <c r="F140" s="1464" t="str">
        <f>IFERROR(IF(ISBLANK(E139),"","Demand (" &amp; VLOOKUP($E139,PO_Enrgy_1_Table,MATCH($E$16,PO_Enrgy_1_Hdr,0),FALSE) &amp; ")"),"")</f>
        <v/>
      </c>
      <c r="G140" s="1373" t="str">
        <f t="shared" ca="1" si="3"/>
        <v/>
      </c>
      <c r="H140" s="1373" t="str">
        <f t="shared" ca="1" si="4"/>
        <v/>
      </c>
      <c r="I140" s="1373" t="str">
        <f t="shared" ca="1" si="5"/>
        <v/>
      </c>
      <c r="J140" s="1373" t="str">
        <f t="shared" ca="1" si="6"/>
        <v/>
      </c>
      <c r="K140" s="3237" t="str">
        <f t="shared" ca="1" si="11"/>
        <v/>
      </c>
      <c r="L140" s="3237"/>
      <c r="M140" s="3238"/>
      <c r="N140" s="835"/>
      <c r="O140" s="835"/>
      <c r="P140" s="835"/>
      <c r="Q140" s="1549" t="str">
        <f t="shared" si="8"/>
        <v/>
      </c>
      <c r="R140" s="1549" t="str">
        <f t="shared" si="9"/>
        <v/>
      </c>
      <c r="S140" s="1549" t="str">
        <f t="shared" si="13"/>
        <v/>
      </c>
      <c r="BC140" s="2292"/>
      <c r="BF140" s="2345"/>
      <c r="BG140" s="2345"/>
      <c r="BH140" s="2345"/>
      <c r="BI140" s="2345"/>
    </row>
    <row r="141" spans="1:61" ht="16.149999999999999" hidden="1" customHeight="1" x14ac:dyDescent="0.25">
      <c r="A141" s="1271" t="s">
        <v>1298</v>
      </c>
      <c r="B141" s="3208"/>
      <c r="C141" s="3208"/>
      <c r="D141" s="3236"/>
      <c r="E141" s="3208"/>
      <c r="F141" s="1464" t="str">
        <f>IFERROR(IF(ISBLANK(E141),"","Consumption (" &amp; VLOOKUP($E141,PO_Enrgy_1_Table,MATCH($C$16,PO_Enrgy_1_Hdr,0),FALSE) &amp; ")"),"")</f>
        <v/>
      </c>
      <c r="G141" s="1373" t="str">
        <f t="shared" ca="1" si="3"/>
        <v/>
      </c>
      <c r="H141" s="1373" t="str">
        <f t="shared" ca="1" si="4"/>
        <v/>
      </c>
      <c r="I141" s="1373" t="str">
        <f t="shared" ca="1" si="5"/>
        <v/>
      </c>
      <c r="J141" s="1373" t="str">
        <f t="shared" ca="1" si="6"/>
        <v/>
      </c>
      <c r="K141" s="3237" t="str">
        <f t="shared" ca="1" si="11"/>
        <v/>
      </c>
      <c r="L141" s="3237"/>
      <c r="M141" s="3238"/>
      <c r="N141" s="835"/>
      <c r="O141" s="835"/>
      <c r="P141" s="835"/>
      <c r="Q141" s="1549" t="str">
        <f t="shared" si="8"/>
        <v/>
      </c>
      <c r="R141" s="1549" t="str">
        <f t="shared" si="9"/>
        <v/>
      </c>
      <c r="S141" s="1549" t="str">
        <f t="shared" si="13"/>
        <v/>
      </c>
      <c r="BC141" s="2292"/>
      <c r="BF141" s="2292"/>
      <c r="BG141" s="2345"/>
      <c r="BH141" s="2345"/>
      <c r="BI141" s="2345"/>
    </row>
    <row r="142" spans="1:61" ht="16.5" hidden="1" customHeight="1" x14ac:dyDescent="0.25">
      <c r="A142" s="1271" t="s">
        <v>1298</v>
      </c>
      <c r="B142" s="3208"/>
      <c r="C142" s="3208"/>
      <c r="D142" s="3236"/>
      <c r="E142" s="3208"/>
      <c r="F142" s="1464" t="str">
        <f>IFERROR(IF(ISBLANK(E141),"","Demand (" &amp; VLOOKUP($E141,PO_Enrgy_1_Table,MATCH($E$16,PO_Enrgy_1_Hdr,0),FALSE) &amp; ")"),"")</f>
        <v/>
      </c>
      <c r="G142" s="1373" t="str">
        <f t="shared" ca="1" si="3"/>
        <v/>
      </c>
      <c r="H142" s="1373" t="str">
        <f t="shared" ca="1" si="4"/>
        <v/>
      </c>
      <c r="I142" s="1373" t="str">
        <f t="shared" ca="1" si="5"/>
        <v/>
      </c>
      <c r="J142" s="1373" t="str">
        <f t="shared" ca="1" si="6"/>
        <v/>
      </c>
      <c r="K142" s="3237" t="str">
        <f t="shared" ca="1" si="11"/>
        <v/>
      </c>
      <c r="L142" s="3237"/>
      <c r="M142" s="3238"/>
      <c r="N142" s="835"/>
      <c r="O142" s="835"/>
      <c r="P142" s="835"/>
      <c r="Q142" s="1549" t="str">
        <f t="shared" si="8"/>
        <v/>
      </c>
      <c r="R142" s="1549" t="str">
        <f t="shared" si="9"/>
        <v/>
      </c>
      <c r="S142" s="1549" t="str">
        <f t="shared" si="13"/>
        <v/>
      </c>
      <c r="BC142" s="2292"/>
      <c r="BF142" s="2292"/>
      <c r="BG142" s="2345"/>
      <c r="BH142" s="2345"/>
      <c r="BI142" s="2345"/>
    </row>
    <row r="143" spans="1:61" ht="16.149999999999999" hidden="1" customHeight="1" x14ac:dyDescent="0.25">
      <c r="A143" s="1271" t="s">
        <v>1298</v>
      </c>
      <c r="B143" s="3208"/>
      <c r="C143" s="3208"/>
      <c r="D143" s="3236"/>
      <c r="E143" s="3208"/>
      <c r="F143" s="1464" t="str">
        <f>IFERROR(IF(ISBLANK(E143),"","Consumption (" &amp; VLOOKUP($E143,PO_Enrgy_1_Table,MATCH($C$16,PO_Enrgy_1_Hdr,0),FALSE) &amp; ")"),"")</f>
        <v/>
      </c>
      <c r="G143" s="1373" t="str">
        <f t="shared" ca="1" si="3"/>
        <v/>
      </c>
      <c r="H143" s="1373" t="str">
        <f t="shared" ca="1" si="4"/>
        <v/>
      </c>
      <c r="I143" s="1373" t="str">
        <f t="shared" ca="1" si="5"/>
        <v/>
      </c>
      <c r="J143" s="1373" t="str">
        <f t="shared" ca="1" si="6"/>
        <v/>
      </c>
      <c r="K143" s="3237" t="str">
        <f t="shared" ca="1" si="11"/>
        <v/>
      </c>
      <c r="L143" s="3237"/>
      <c r="M143" s="3238"/>
      <c r="N143" s="835"/>
      <c r="O143" s="835"/>
      <c r="P143" s="835"/>
      <c r="Q143" s="1549" t="str">
        <f t="shared" si="8"/>
        <v/>
      </c>
      <c r="R143" s="1549" t="str">
        <f t="shared" si="9"/>
        <v/>
      </c>
      <c r="S143" s="1549" t="str">
        <f t="shared" si="13"/>
        <v/>
      </c>
      <c r="BC143" s="2292"/>
      <c r="BF143" s="2292"/>
      <c r="BG143" s="2345"/>
      <c r="BH143" s="2345"/>
      <c r="BI143" s="2345"/>
    </row>
    <row r="144" spans="1:61" ht="15.75" hidden="1" customHeight="1" x14ac:dyDescent="0.25">
      <c r="A144" s="1271" t="s">
        <v>1298</v>
      </c>
      <c r="B144" s="3208"/>
      <c r="C144" s="3208"/>
      <c r="D144" s="3236"/>
      <c r="E144" s="3208"/>
      <c r="F144" s="1464" t="str">
        <f>IFERROR(IF(ISBLANK(E143),"","Demand (" &amp; VLOOKUP($E143,PO_Enrgy_1_Table,MATCH($E$16,PO_Enrgy_1_Hdr,0),FALSE) &amp; ")"),"")</f>
        <v/>
      </c>
      <c r="G144" s="1373" t="str">
        <f t="shared" ca="1" si="3"/>
        <v/>
      </c>
      <c r="H144" s="1373" t="str">
        <f t="shared" ca="1" si="4"/>
        <v/>
      </c>
      <c r="I144" s="1373" t="str">
        <f t="shared" ca="1" si="5"/>
        <v/>
      </c>
      <c r="J144" s="1373" t="str">
        <f t="shared" ca="1" si="6"/>
        <v/>
      </c>
      <c r="K144" s="3237" t="str">
        <f t="shared" ca="1" si="11"/>
        <v/>
      </c>
      <c r="L144" s="3237"/>
      <c r="M144" s="3238"/>
      <c r="N144" s="835"/>
      <c r="O144" s="835"/>
      <c r="P144" s="835"/>
      <c r="Q144" s="1549" t="str">
        <f t="shared" si="8"/>
        <v/>
      </c>
      <c r="R144" s="1549" t="str">
        <f t="shared" si="9"/>
        <v/>
      </c>
      <c r="S144" s="1549" t="str">
        <f t="shared" si="13"/>
        <v/>
      </c>
      <c r="BC144" s="2292"/>
      <c r="BF144" s="2292"/>
      <c r="BG144" s="2345"/>
      <c r="BH144" s="2345"/>
      <c r="BI144" s="2345"/>
    </row>
    <row r="145" spans="1:61" ht="18.75" hidden="1" customHeight="1" x14ac:dyDescent="0.25">
      <c r="A145" s="1271" t="s">
        <v>1298</v>
      </c>
      <c r="B145" s="1317"/>
      <c r="C145" s="1317"/>
      <c r="D145" s="1370"/>
      <c r="E145" s="1317" t="s">
        <v>1765</v>
      </c>
      <c r="F145" s="1317" t="s">
        <v>1793</v>
      </c>
      <c r="G145" s="1317" t="s">
        <v>1794</v>
      </c>
      <c r="H145" s="1317" t="s">
        <v>1795</v>
      </c>
      <c r="I145" s="1317" t="s">
        <v>1796</v>
      </c>
      <c r="J145" s="1317" t="s">
        <v>1797</v>
      </c>
      <c r="K145" s="1317" t="s">
        <v>1799</v>
      </c>
      <c r="L145" s="1371"/>
      <c r="M145" s="1372"/>
      <c r="Q145" s="1557" t="s">
        <v>1776</v>
      </c>
      <c r="R145" s="1557" t="s">
        <v>1777</v>
      </c>
      <c r="S145" s="1549" t="str">
        <f t="shared" si="13"/>
        <v/>
      </c>
      <c r="BC145" s="2292"/>
      <c r="BF145" s="2292"/>
      <c r="BG145" s="2345"/>
      <c r="BH145" s="2345"/>
      <c r="BI145" s="2345"/>
    </row>
    <row r="146" spans="1:61" ht="21" hidden="1" customHeight="1" x14ac:dyDescent="0.25">
      <c r="A146" s="1271" t="s">
        <v>1298</v>
      </c>
      <c r="B146" s="3239" t="s">
        <v>1258</v>
      </c>
      <c r="C146" s="3234"/>
      <c r="D146" s="3235"/>
      <c r="E146" s="1375" t="str">
        <f>IFERROR(IF(ISBLANK(B17),"",B17),"")</f>
        <v>Electricity</v>
      </c>
      <c r="F146" s="1375" t="str">
        <f>IFERROR(IF(ISBLANK(E146),"",VLOOKUP($E146,PO_Enrgy_1_Table,MATCH($C$16,PO_Enrgy_1_Hdr,0),FALSE) ),"")</f>
        <v>kWh</v>
      </c>
      <c r="G146" s="1376">
        <f t="shared" ref="G146:M148" ca="1" si="14">IFERROR(SUMIFS(INDEX(PO_baseline_table,0,MATCH(G$96,PO_baseline_hdr,0)),INDEX(PO_baseline_table,0,MATCH($E$96,PO_baseline_hdr,0)),$E146,INDEX(PO_baseline_table,0,MATCH($F$96,PO_baseline_hdr,0)),"=Con*"),"")</f>
        <v>384847.59671746776</v>
      </c>
      <c r="H146" s="1376">
        <f t="shared" ca="1" si="14"/>
        <v>0</v>
      </c>
      <c r="I146" s="1376">
        <f t="shared" ca="1" si="14"/>
        <v>0</v>
      </c>
      <c r="J146" s="1376">
        <f t="shared" ca="1" si="14"/>
        <v>0</v>
      </c>
      <c r="K146" s="3229">
        <f t="shared" ca="1" si="14"/>
        <v>96211.899179366941</v>
      </c>
      <c r="L146" s="3229" t="str">
        <f t="shared" si="14"/>
        <v/>
      </c>
      <c r="M146" s="3229" t="str">
        <f t="shared" si="14"/>
        <v/>
      </c>
      <c r="Q146" s="1549">
        <f>IFERROR(IF(ISBLANK($E146),"",VLOOKUP($E146,PO_Enrgy_1_Table,MATCH($K$16,PO_Enrgy_1_Hdr,0),FALSE)),"")</f>
        <v>3.4120000000000001E-3</v>
      </c>
      <c r="R146" s="1549">
        <f>IFERROR(IF(ISBLANK($E146),"",VLOOKUP($E146,PO_Enrgy_1_Table,MATCH($M$16,PO_Enrgy_1_Hdr,0),FALSE)),"")</f>
        <v>1.0713680000000001E-2</v>
      </c>
      <c r="S146" s="1549"/>
      <c r="AD146" s="615"/>
      <c r="BC146" s="2292"/>
      <c r="BF146" s="2292"/>
      <c r="BG146" s="2345"/>
      <c r="BH146" s="2345"/>
      <c r="BI146" s="2345"/>
    </row>
    <row r="147" spans="1:61" ht="21" hidden="1" customHeight="1" x14ac:dyDescent="0.25">
      <c r="A147" s="1271" t="s">
        <v>1298</v>
      </c>
      <c r="B147" s="3233"/>
      <c r="C147" s="3234"/>
      <c r="D147" s="3235"/>
      <c r="E147" s="1375" t="str">
        <f>IFERROR(IF(ISBLANK(B18),"",B18),"")</f>
        <v>District Steam</v>
      </c>
      <c r="F147" s="1375" t="str">
        <f>IFERROR(IF(ISBLANK(E147),"",VLOOKUP($E147,PO_Enrgy_1_Table,MATCH($C$16,PO_Enrgy_1_Hdr,0),FALSE) ),"")</f>
        <v>therm</v>
      </c>
      <c r="G147" s="1376">
        <f t="shared" si="14"/>
        <v>0</v>
      </c>
      <c r="H147" s="1376">
        <f t="shared" si="14"/>
        <v>0</v>
      </c>
      <c r="I147" s="1376">
        <f t="shared" si="14"/>
        <v>0</v>
      </c>
      <c r="J147" s="1376">
        <f t="shared" si="14"/>
        <v>0</v>
      </c>
      <c r="K147" s="3229">
        <f t="shared" si="14"/>
        <v>0</v>
      </c>
      <c r="L147" s="3229" t="str">
        <f t="shared" si="14"/>
        <v/>
      </c>
      <c r="M147" s="3229" t="str">
        <f t="shared" si="14"/>
        <v/>
      </c>
      <c r="Q147" s="1549">
        <f>IFERROR(IF(ISBLANK($E147),"",VLOOKUP($E147,PO_Enrgy_1_Table,MATCH($K$16,PO_Enrgy_1_Hdr,0),FALSE)),"")</f>
        <v>0.1</v>
      </c>
      <c r="R147" s="1549">
        <f>IFERROR(IF(ISBLANK($E147),"",VLOOKUP($E147,PO_Enrgy_1_Table,MATCH($M$16,PO_Enrgy_1_Hdr,0),FALSE)),"")</f>
        <v>0.12</v>
      </c>
      <c r="S147" s="1549"/>
      <c r="AD147" s="615"/>
      <c r="BC147" s="2292"/>
      <c r="BF147" s="2292"/>
      <c r="BG147" s="2345"/>
      <c r="BH147" s="2345"/>
      <c r="BI147" s="2345"/>
    </row>
    <row r="148" spans="1:61" ht="21" hidden="1" customHeight="1" x14ac:dyDescent="0.25">
      <c r="A148" s="1271" t="s">
        <v>1298</v>
      </c>
      <c r="B148" s="3233"/>
      <c r="C148" s="3234"/>
      <c r="D148" s="3235"/>
      <c r="E148" s="2156" t="str">
        <f>IFERROR(IF(ISBLANK(B19),"",B19),"")</f>
        <v>District Cooling</v>
      </c>
      <c r="F148" s="2156" t="str">
        <f>IFERROR(IF(ISBLANK(E148),"",VLOOKUP($E148,PO_Enrgy_1_Table,MATCH($C$16,PO_Enrgy_1_Hdr,0),FALSE) ),"")</f>
        <v>therm</v>
      </c>
      <c r="G148" s="1376">
        <f t="shared" si="14"/>
        <v>0</v>
      </c>
      <c r="H148" s="1376">
        <f t="shared" si="14"/>
        <v>0</v>
      </c>
      <c r="I148" s="1376">
        <f t="shared" si="14"/>
        <v>0</v>
      </c>
      <c r="J148" s="1376">
        <f t="shared" si="14"/>
        <v>0</v>
      </c>
      <c r="K148" s="3229">
        <f t="shared" si="14"/>
        <v>0</v>
      </c>
      <c r="L148" s="3229" t="str">
        <f t="shared" si="14"/>
        <v/>
      </c>
      <c r="M148" s="3229" t="str">
        <f t="shared" si="14"/>
        <v/>
      </c>
      <c r="Q148" s="1549">
        <f>IFERROR(IF(ISBLANK($E148),"",VLOOKUP($E148,PO_Enrgy_1_Table,MATCH($K$16,PO_Enrgy_1_Hdr,0),FALSE)),"")</f>
        <v>0.1</v>
      </c>
      <c r="R148" s="1549">
        <f>IFERROR(IF(ISBLANK($E148),"",VLOOKUP($E148,PO_Enrgy_1_Table,MATCH($M$16,PO_Enrgy_1_Hdr,0),FALSE)),"")</f>
        <v>0.1</v>
      </c>
      <c r="S148" s="1549"/>
      <c r="AD148" s="615"/>
      <c r="BC148" s="2292"/>
      <c r="BF148" s="2292"/>
      <c r="BG148" s="2345"/>
      <c r="BH148" s="2345"/>
      <c r="BI148" s="2345"/>
    </row>
    <row r="149" spans="1:61" ht="21" hidden="1" customHeight="1" x14ac:dyDescent="0.25">
      <c r="A149" s="1271" t="s">
        <v>1298</v>
      </c>
      <c r="B149" s="3161" t="str">
        <f>"Total site energy (" &amp; PO_SiteUnits &amp; ")"</f>
        <v>Total site energy (Btu x 10^6)</v>
      </c>
      <c r="C149" s="3162"/>
      <c r="D149" s="3162"/>
      <c r="E149" s="3162"/>
      <c r="F149" s="3162"/>
      <c r="G149" s="1377">
        <f t="shared" ref="G149:M149" ca="1" si="15">IFERROR(SUMPRODUCT(INDEX(PO_Enrgy_5_Table,0,MATCH(G$145,PO_Enrgy_5_Hdr,0)),INDEX(PO_Enrgy_5_Table,0,MATCH($Q145,PO_Enrgy_5_Hdr,0))),"")</f>
        <v>1313.1000000000001</v>
      </c>
      <c r="H149" s="1377">
        <f t="shared" ca="1" si="15"/>
        <v>0</v>
      </c>
      <c r="I149" s="1377">
        <f t="shared" ca="1" si="15"/>
        <v>0</v>
      </c>
      <c r="J149" s="1377">
        <f t="shared" ca="1" si="15"/>
        <v>0</v>
      </c>
      <c r="K149" s="3229">
        <f t="shared" ca="1" si="15"/>
        <v>328.27500000000003</v>
      </c>
      <c r="L149" s="3230" t="str">
        <f t="shared" si="15"/>
        <v/>
      </c>
      <c r="M149" s="3231" t="str">
        <f t="shared" si="15"/>
        <v/>
      </c>
      <c r="BC149" s="2292"/>
      <c r="BF149" s="2292"/>
      <c r="BG149" s="2345"/>
      <c r="BH149" s="2345"/>
      <c r="BI149" s="2345"/>
    </row>
    <row r="150" spans="1:61" ht="21" hidden="1" customHeight="1" x14ac:dyDescent="0.25">
      <c r="A150" s="1271" t="s">
        <v>1298</v>
      </c>
      <c r="B150" s="3161" t="str">
        <f>"Total source energy (" &amp; PO_SourceUnits &amp; ")"</f>
        <v>Total source energy (Btu x 10^6)</v>
      </c>
      <c r="C150" s="3162"/>
      <c r="D150" s="3162"/>
      <c r="E150" s="3162"/>
      <c r="F150" s="3162"/>
      <c r="G150" s="1377">
        <f ca="1">IFERROR(SUMPRODUCT(G$146:G$147,$R$146:$R$147),0)</f>
        <v>4123.1340000000009</v>
      </c>
      <c r="H150" s="1377">
        <f ca="1">IFERROR(SUMPRODUCT(H$146:H$147,$R$146:$R$147),0)</f>
        <v>0</v>
      </c>
      <c r="I150" s="1377">
        <f ca="1">IFERROR(SUMPRODUCT(I$146:I$147,$R$146:$R$147),0)</f>
        <v>0</v>
      </c>
      <c r="J150" s="1377">
        <f ca="1">IFERROR(SUMPRODUCT(J$146:J$147,$R$146:$R$147),0)</f>
        <v>0</v>
      </c>
      <c r="K150" s="3229">
        <f t="shared" ref="K150:M150" ca="1" si="16">IFERROR(SUMPRODUCT(K$146:K$147,$R$146:$R$147),0)</f>
        <v>1030.7835000000002</v>
      </c>
      <c r="L150" s="3230">
        <f t="shared" si="16"/>
        <v>0</v>
      </c>
      <c r="M150" s="3231">
        <f t="shared" si="16"/>
        <v>0</v>
      </c>
      <c r="BC150" s="2292"/>
      <c r="BF150" s="2292"/>
      <c r="BG150" s="2345"/>
      <c r="BH150" s="2345"/>
      <c r="BI150" s="2345"/>
    </row>
    <row r="151" spans="1:61" ht="21" hidden="1" customHeight="1" x14ac:dyDescent="0.25">
      <c r="A151" s="1271" t="s">
        <v>1298</v>
      </c>
      <c r="B151" s="784"/>
      <c r="C151" s="784"/>
      <c r="D151" s="784"/>
      <c r="E151" s="618"/>
      <c r="F151" s="618"/>
      <c r="G151" s="602"/>
      <c r="H151" s="602"/>
      <c r="I151" s="602"/>
      <c r="J151" s="602"/>
      <c r="K151" s="602"/>
      <c r="L151" s="602"/>
      <c r="M151" s="602"/>
    </row>
    <row r="152" spans="1:61" ht="20.25" hidden="1" customHeight="1" x14ac:dyDescent="0.25">
      <c r="A152" s="1271" t="s">
        <v>1298</v>
      </c>
      <c r="B152" s="643" t="s">
        <v>1259</v>
      </c>
      <c r="C152" s="644"/>
      <c r="D152" s="644"/>
      <c r="E152" s="644"/>
      <c r="F152" s="644"/>
      <c r="G152" s="644"/>
      <c r="H152" s="644"/>
      <c r="I152" s="644"/>
      <c r="J152" s="644"/>
      <c r="K152" s="644"/>
      <c r="L152" s="644"/>
      <c r="M152" s="644"/>
      <c r="N152" s="564"/>
    </row>
    <row r="153" spans="1:61" ht="63.75" hidden="1" customHeight="1" x14ac:dyDescent="0.25">
      <c r="A153" s="1271" t="s">
        <v>1298</v>
      </c>
      <c r="B153" s="3232" t="s">
        <v>444</v>
      </c>
      <c r="C153" s="3232"/>
      <c r="D153" s="3232"/>
      <c r="E153" s="3232"/>
      <c r="F153" s="3232"/>
      <c r="G153" s="1378" t="s">
        <v>463</v>
      </c>
      <c r="H153" s="1378" t="s">
        <v>462</v>
      </c>
      <c r="I153" s="1378" t="s">
        <v>461</v>
      </c>
      <c r="J153" s="1378" t="s">
        <v>460</v>
      </c>
      <c r="K153" s="3158" t="s">
        <v>459</v>
      </c>
      <c r="L153" s="3192"/>
      <c r="M153" s="3125"/>
    </row>
    <row r="154" spans="1:61" ht="15" hidden="1" x14ac:dyDescent="0.25">
      <c r="A154" s="1271" t="s">
        <v>1298</v>
      </c>
      <c r="B154" s="1379" t="s">
        <v>1765</v>
      </c>
      <c r="C154" s="1379"/>
      <c r="D154" s="1379"/>
      <c r="E154" s="1379"/>
      <c r="F154" s="1379"/>
      <c r="G154" s="1317" t="s">
        <v>1794</v>
      </c>
      <c r="H154" s="1317" t="s">
        <v>1795</v>
      </c>
      <c r="I154" s="1317" t="s">
        <v>1796</v>
      </c>
      <c r="J154" s="1317" t="s">
        <v>1797</v>
      </c>
      <c r="K154" s="1317" t="s">
        <v>1823</v>
      </c>
      <c r="L154" s="1379"/>
      <c r="M154" s="1305"/>
      <c r="Q154" s="1550" t="s">
        <v>1776</v>
      </c>
      <c r="R154" s="1550" t="s">
        <v>1777</v>
      </c>
    </row>
    <row r="155" spans="1:61" ht="15" hidden="1" customHeight="1" x14ac:dyDescent="0.25">
      <c r="A155" s="1271" t="s">
        <v>1298</v>
      </c>
      <c r="B155" s="3221" t="str">
        <f>IFERROR(IF(ISBLANK(B17),"",B17),"")</f>
        <v>Electricity</v>
      </c>
      <c r="C155" s="3222"/>
      <c r="D155" s="3222"/>
      <c r="E155" s="3222"/>
      <c r="F155" s="1375" t="str">
        <f>IFERROR(IF(ISBLANK($B155),"",VLOOKUP($B155,PO_Enrgy_1_Table,MATCH($C$16,PO_Enrgy_1_Hdr,0),FALSE) ),"")</f>
        <v>kWh</v>
      </c>
      <c r="G155" s="1380"/>
      <c r="H155" s="1380"/>
      <c r="I155" s="1380"/>
      <c r="J155" s="1380"/>
      <c r="K155" s="3223" t="str">
        <f>IFERROR((AVERAGE(G155:J155)),"")</f>
        <v/>
      </c>
      <c r="L155" s="3224"/>
      <c r="M155" s="3225"/>
      <c r="Q155" s="1549">
        <f>IFERROR(IF(ISBLANK($B155),"",VLOOKUP($B155,PO_Enrgy_1_Table,MATCH($K$16,PO_Enrgy_1_Hdr,0),FALSE)),"")</f>
        <v>3.4120000000000001E-3</v>
      </c>
      <c r="R155" s="1549">
        <f>IFERROR(IF(ISBLANK($B155),"",VLOOKUP($B155,PO_Enrgy_1_Table,MATCH($M$16,PO_Enrgy_1_Hdr,0),FALSE)),"")</f>
        <v>1.0713680000000001E-2</v>
      </c>
      <c r="AD155" s="615"/>
      <c r="BC155" s="2292"/>
    </row>
    <row r="156" spans="1:61" ht="15" hidden="1" customHeight="1" x14ac:dyDescent="0.25">
      <c r="A156" s="1271" t="s">
        <v>1298</v>
      </c>
      <c r="B156" s="3221" t="str">
        <f>IFERROR(IF(ISBLANK(B18),"",B18),"")</f>
        <v>District Steam</v>
      </c>
      <c r="C156" s="3222"/>
      <c r="D156" s="3222"/>
      <c r="E156" s="3222"/>
      <c r="F156" s="1375" t="str">
        <f>IFERROR(IF(ISBLANK($B156),"",VLOOKUP($B156,PO_Enrgy_1_Table,MATCH($C$16,PO_Enrgy_1_Hdr,0),FALSE) ),"")</f>
        <v>therm</v>
      </c>
      <c r="G156" s="1380"/>
      <c r="H156" s="1380"/>
      <c r="I156" s="1380"/>
      <c r="J156" s="1380"/>
      <c r="K156" s="3223" t="str">
        <f>IFERROR((AVERAGE(G156:J156)),"")</f>
        <v/>
      </c>
      <c r="L156" s="3224"/>
      <c r="M156" s="3225"/>
      <c r="Q156" s="1549">
        <f>IFERROR(IF(ISBLANK($B156),"",VLOOKUP($B156,PO_Enrgy_1_Table,MATCH($K$16,PO_Enrgy_1_Hdr,0),FALSE)),"")</f>
        <v>0.1</v>
      </c>
      <c r="R156" s="1549">
        <f>IFERROR(IF(ISBLANK($B156),"",VLOOKUP($B156,PO_Enrgy_1_Table,MATCH($M$16,PO_Enrgy_1_Hdr,0),FALSE)),"")</f>
        <v>0.12</v>
      </c>
      <c r="AD156" s="615"/>
      <c r="BC156" s="2292"/>
    </row>
    <row r="157" spans="1:61" ht="15" hidden="1" customHeight="1" x14ac:dyDescent="0.25">
      <c r="A157" s="1271" t="s">
        <v>1298</v>
      </c>
      <c r="B157" s="3221" t="str">
        <f>IFERROR(IF(ISBLANK(B19),"",B19),"")</f>
        <v>District Cooling</v>
      </c>
      <c r="C157" s="3222"/>
      <c r="D157" s="3222"/>
      <c r="E157" s="3222"/>
      <c r="F157" s="2156" t="str">
        <f>IFERROR(IF(ISBLANK($B157),"",VLOOKUP($B157,PO_Enrgy_1_Table,MATCH($C$16,PO_Enrgy_1_Hdr,0),FALSE) ),"")</f>
        <v>therm</v>
      </c>
      <c r="G157" s="1380"/>
      <c r="H157" s="1380"/>
      <c r="I157" s="1380"/>
      <c r="J157" s="1380"/>
      <c r="K157" s="3223" t="str">
        <f>IFERROR((AVERAGE(G157:J157)),"")</f>
        <v/>
      </c>
      <c r="L157" s="3224"/>
      <c r="M157" s="3225"/>
      <c r="Q157" s="1549">
        <f>IFERROR(IF(ISBLANK($B157),"",VLOOKUP($B157,PO_Enrgy_1_Table,MATCH($K$16,PO_Enrgy_1_Hdr,0),FALSE)),"")</f>
        <v>0.1</v>
      </c>
      <c r="R157" s="1549">
        <f>IFERROR(IF(ISBLANK($B157),"",VLOOKUP($B157,PO_Enrgy_1_Table,MATCH($M$16,PO_Enrgy_1_Hdr,0),FALSE)),"")</f>
        <v>0.1</v>
      </c>
      <c r="AD157" s="615"/>
      <c r="BC157" s="2292"/>
    </row>
    <row r="158" spans="1:61" ht="21" hidden="1" customHeight="1" x14ac:dyDescent="0.25">
      <c r="A158" s="1271" t="s">
        <v>1298</v>
      </c>
      <c r="B158" s="3161" t="s">
        <v>1261</v>
      </c>
      <c r="C158" s="3119"/>
      <c r="D158" s="3119"/>
      <c r="E158" s="3119"/>
      <c r="F158" s="3119"/>
      <c r="G158" s="1381">
        <f t="shared" ref="G158:M158" si="17">IFERROR(SUM(INDEX(PO_Enrgy_6_Table,0,MATCH(G$154,PO_Enrgy_6_Hdr,0))),"")</f>
        <v>0</v>
      </c>
      <c r="H158" s="1381">
        <f t="shared" si="17"/>
        <v>0</v>
      </c>
      <c r="I158" s="1381">
        <f t="shared" si="17"/>
        <v>0</v>
      </c>
      <c r="J158" s="1381">
        <f t="shared" si="17"/>
        <v>0</v>
      </c>
      <c r="K158" s="3226">
        <f t="shared" si="17"/>
        <v>0</v>
      </c>
      <c r="L158" s="3227" t="str">
        <f t="shared" si="17"/>
        <v/>
      </c>
      <c r="M158" s="3228" t="str">
        <f t="shared" si="17"/>
        <v/>
      </c>
      <c r="BC158" s="2292"/>
    </row>
    <row r="159" spans="1:61" ht="18" hidden="1" customHeight="1" x14ac:dyDescent="0.25">
      <c r="A159" s="1271" t="s">
        <v>1298</v>
      </c>
      <c r="B159" s="784"/>
      <c r="C159" s="784"/>
      <c r="D159" s="784"/>
      <c r="E159" s="618"/>
      <c r="F159" s="618"/>
      <c r="G159" s="849"/>
      <c r="H159" s="849"/>
      <c r="I159" s="849"/>
      <c r="J159" s="849"/>
      <c r="K159" s="603"/>
      <c r="L159" s="603"/>
      <c r="M159" s="603"/>
    </row>
    <row r="160" spans="1:61" ht="33" hidden="1" customHeight="1" x14ac:dyDescent="0.25">
      <c r="A160" s="1271" t="s">
        <v>1298</v>
      </c>
      <c r="B160" s="784"/>
      <c r="C160" s="784"/>
      <c r="D160" s="784"/>
      <c r="E160" s="618"/>
      <c r="F160" s="618"/>
      <c r="G160" s="850"/>
      <c r="H160" s="850"/>
      <c r="I160" s="850"/>
      <c r="J160" s="850"/>
      <c r="K160" s="602"/>
      <c r="L160" s="602"/>
      <c r="M160" s="602"/>
    </row>
    <row r="161" spans="1:61" ht="21.75" hidden="1" customHeight="1" x14ac:dyDescent="0.25">
      <c r="A161" s="1271" t="s">
        <v>1298</v>
      </c>
      <c r="B161" s="643" t="s">
        <v>1262</v>
      </c>
      <c r="C161" s="644"/>
      <c r="D161" s="644"/>
      <c r="E161" s="644"/>
      <c r="F161" s="644"/>
      <c r="G161" s="851"/>
      <c r="H161" s="851"/>
      <c r="I161" s="851"/>
      <c r="J161" s="851"/>
      <c r="K161" s="644"/>
      <c r="L161" s="644"/>
      <c r="M161" s="644"/>
      <c r="N161" s="564"/>
    </row>
    <row r="162" spans="1:61" ht="34.5" hidden="1" customHeight="1" x14ac:dyDescent="0.25">
      <c r="A162" s="1271" t="s">
        <v>1298</v>
      </c>
      <c r="B162" s="3219" t="s">
        <v>458</v>
      </c>
      <c r="C162" s="3219"/>
      <c r="D162" s="3219"/>
      <c r="E162" s="3219"/>
      <c r="F162" s="3219"/>
      <c r="G162" s="3219"/>
      <c r="H162" s="3219"/>
      <c r="I162" s="3219"/>
      <c r="J162" s="3219"/>
      <c r="K162" s="3219"/>
      <c r="L162" s="3219"/>
      <c r="M162" s="3219"/>
    </row>
    <row r="163" spans="1:61" ht="33" customHeight="1" x14ac:dyDescent="0.25">
      <c r="A163" s="1271" t="s">
        <v>1298</v>
      </c>
      <c r="B163" s="3219" t="s">
        <v>1191</v>
      </c>
      <c r="C163" s="3219"/>
      <c r="D163" s="3219"/>
      <c r="E163" s="3219"/>
      <c r="F163" s="3219"/>
      <c r="G163" s="3219"/>
      <c r="H163" s="3219"/>
      <c r="I163" s="3219"/>
      <c r="J163" s="3219"/>
      <c r="K163" s="3219"/>
      <c r="L163" s="3219"/>
      <c r="M163" s="3219"/>
    </row>
    <row r="164" spans="1:61" ht="33" hidden="1" customHeight="1" x14ac:dyDescent="0.25">
      <c r="A164" s="1271" t="s">
        <v>1298</v>
      </c>
      <c r="B164" s="3219" t="s">
        <v>1169</v>
      </c>
      <c r="C164" s="3219"/>
      <c r="D164" s="3219"/>
      <c r="E164" s="3219"/>
      <c r="F164" s="3219"/>
      <c r="G164" s="3219"/>
      <c r="H164" s="3219"/>
      <c r="I164" s="3219"/>
      <c r="J164" s="3219"/>
      <c r="K164" s="3219"/>
      <c r="L164" s="3219"/>
      <c r="M164" s="3219"/>
    </row>
    <row r="165" spans="1:61" ht="33" hidden="1" customHeight="1" x14ac:dyDescent="0.25">
      <c r="A165" s="1271" t="s">
        <v>1298</v>
      </c>
      <c r="B165" s="3219" t="s">
        <v>1193</v>
      </c>
      <c r="C165" s="3219"/>
      <c r="D165" s="3219"/>
      <c r="E165" s="3219"/>
      <c r="F165" s="3219"/>
      <c r="G165" s="3219"/>
      <c r="H165" s="3219"/>
      <c r="I165" s="3219"/>
      <c r="J165" s="3219"/>
      <c r="K165" s="3219"/>
      <c r="L165" s="3219"/>
      <c r="M165" s="3219"/>
    </row>
    <row r="166" spans="1:61" ht="33" hidden="1" customHeight="1" x14ac:dyDescent="0.25">
      <c r="A166" s="1271" t="s">
        <v>1298</v>
      </c>
      <c r="B166" s="3219" t="s">
        <v>1170</v>
      </c>
      <c r="C166" s="3220"/>
      <c r="D166" s="3220"/>
      <c r="E166" s="3220"/>
      <c r="F166" s="3220"/>
      <c r="G166" s="3220"/>
      <c r="H166" s="3220"/>
      <c r="I166" s="3220"/>
      <c r="J166" s="3220"/>
      <c r="K166" s="3220"/>
      <c r="L166" s="3220"/>
      <c r="M166" s="3220"/>
    </row>
    <row r="167" spans="1:61" ht="45" hidden="1" customHeight="1" x14ac:dyDescent="0.25">
      <c r="A167" s="1271" t="s">
        <v>1298</v>
      </c>
      <c r="B167" s="3219" t="s">
        <v>1288</v>
      </c>
      <c r="C167" s="3220"/>
      <c r="D167" s="3220"/>
      <c r="E167" s="3220"/>
      <c r="F167" s="3220"/>
      <c r="G167" s="3220"/>
      <c r="H167" s="3220"/>
      <c r="I167" s="3220"/>
      <c r="J167" s="3220"/>
      <c r="K167" s="3220"/>
      <c r="L167" s="3220"/>
      <c r="M167" s="3220"/>
    </row>
    <row r="168" spans="1:61" ht="15" customHeight="1" x14ac:dyDescent="0.25">
      <c r="A168" s="1271" t="s">
        <v>1298</v>
      </c>
      <c r="B168" s="630"/>
      <c r="BF168" s="3110" t="s">
        <v>2216</v>
      </c>
      <c r="BG168" s="3110"/>
      <c r="BH168" s="3110"/>
      <c r="BI168" s="3110"/>
    </row>
    <row r="169" spans="1:61" ht="98.25" customHeight="1" x14ac:dyDescent="0.25">
      <c r="A169" s="1271" t="s">
        <v>1298</v>
      </c>
      <c r="B169" s="3123" t="s">
        <v>457</v>
      </c>
      <c r="C169" s="3125"/>
      <c r="D169" s="1368" t="s">
        <v>456</v>
      </c>
      <c r="E169" s="1367" t="s">
        <v>444</v>
      </c>
      <c r="F169" s="1367" t="s">
        <v>1263</v>
      </c>
      <c r="G169" s="1367" t="s">
        <v>347</v>
      </c>
      <c r="H169" s="1367" t="s">
        <v>348</v>
      </c>
      <c r="I169" s="1367" t="s">
        <v>1264</v>
      </c>
      <c r="J169" s="1367" t="s">
        <v>1265</v>
      </c>
      <c r="K169" s="3123" t="s">
        <v>1275</v>
      </c>
      <c r="L169" s="3123"/>
      <c r="M169" s="1367" t="s">
        <v>1266</v>
      </c>
      <c r="N169" s="564"/>
      <c r="W169" s="1549" t="s">
        <v>1090</v>
      </c>
      <c r="Y169" s="1549" t="s">
        <v>1091</v>
      </c>
      <c r="Z169" s="671" t="s">
        <v>1092</v>
      </c>
      <c r="AG169" s="1549" t="s">
        <v>1841</v>
      </c>
      <c r="BF169" s="2344" t="s">
        <v>2234</v>
      </c>
      <c r="BG169" s="2344" t="s">
        <v>2235</v>
      </c>
      <c r="BH169" s="2344" t="s">
        <v>2236</v>
      </c>
      <c r="BI169" s="2344" t="s">
        <v>2237</v>
      </c>
    </row>
    <row r="170" spans="1:61" s="1156" customFormat="1" ht="15" hidden="1" x14ac:dyDescent="0.25">
      <c r="A170" s="1271" t="s">
        <v>1298</v>
      </c>
      <c r="B170" s="1307" t="s">
        <v>1791</v>
      </c>
      <c r="C170" s="1305"/>
      <c r="D170" s="1307" t="s">
        <v>1792</v>
      </c>
      <c r="E170" s="1307" t="s">
        <v>1765</v>
      </c>
      <c r="F170" s="1307" t="s">
        <v>1793</v>
      </c>
      <c r="G170" s="1307" t="s">
        <v>1798</v>
      </c>
      <c r="H170" s="1307" t="s">
        <v>1800</v>
      </c>
      <c r="I170" s="1307" t="s">
        <v>1801</v>
      </c>
      <c r="J170" s="1307" t="s">
        <v>1802</v>
      </c>
      <c r="K170" s="1307" t="s">
        <v>1803</v>
      </c>
      <c r="L170" s="1307"/>
      <c r="M170" s="1307" t="s">
        <v>1804</v>
      </c>
      <c r="N170" s="1284"/>
      <c r="Q170" s="1550" t="s">
        <v>1776</v>
      </c>
      <c r="R170" s="1550" t="s">
        <v>1777</v>
      </c>
      <c r="S170" s="1550" t="s">
        <v>1858</v>
      </c>
      <c r="T170" s="1550" t="s">
        <v>1859</v>
      </c>
      <c r="W170" s="1156" t="s">
        <v>1090</v>
      </c>
      <c r="Y170" s="1156" t="s">
        <v>1091</v>
      </c>
      <c r="Z170" s="1156" t="s">
        <v>1092</v>
      </c>
      <c r="BF170" s="671"/>
      <c r="BG170" s="671"/>
      <c r="BH170" s="671"/>
      <c r="BI170" s="671"/>
    </row>
    <row r="171" spans="1:61" ht="15.75" customHeight="1" x14ac:dyDescent="0.25">
      <c r="A171" s="1271" t="s">
        <v>1298</v>
      </c>
      <c r="B171" s="3215" t="s">
        <v>482</v>
      </c>
      <c r="C171" s="3218"/>
      <c r="D171" s="3209"/>
      <c r="E171" s="3207" t="s">
        <v>464</v>
      </c>
      <c r="F171" s="1464" t="str">
        <f>IFERROR(IF(ISBLANK(E171),"","Consumption (" &amp; VLOOKUP($E171,PO_Enrgy_1_Table,MATCH($C$16,PO_Enrgy_1_Hdr,0),FALSE) &amp; ")"),"")</f>
        <v>Consumption (kWh)</v>
      </c>
      <c r="G171" s="2375">
        <v>85923</v>
      </c>
      <c r="H171" s="1382">
        <v>62275</v>
      </c>
      <c r="I171" s="2373">
        <f>IFERROR(1-H171/G171,"")</f>
        <v>0.27522316492673671</v>
      </c>
      <c r="J171" s="3210">
        <f ca="1">IFERROR(IF($E$327-$H$327&lt;0,"",($G171-$H171)*VLOOKUP($E171,PO_Enrgy_1_Table,MATCH($K$16,PO_Enrgy_1_Hdr,0),FALSE)/($E$327-$H$327)),"")</f>
        <v>0.17114689713067024</v>
      </c>
      <c r="K171" s="3212">
        <f ca="1">IFERROR(IF($G$327-$J$327&lt;0,"",($G171*VLOOKUP($E171,PO_Enrgy_8_Table,MATCH($E$232,PO_Enrgy_8_Hdr,0),FALSE)-($H171*VLOOKUP($E171,PO_Enrgy_8_Table,MATCH($H$232,PO_Enrgy_8_Hdr,0),FALSE)))/($G$327-$J$327)),"")</f>
        <v>0.29895576131173995</v>
      </c>
      <c r="L171" s="3212"/>
      <c r="M171" s="3213">
        <f ca="1">IFERROR(H171*VLOOKUP($E171,PO_Enrgy_1_Table,MATCH($K$16,PO_Enrgy_1_Hdr,0))/$H$227,"")</f>
        <v>1.5322535064682214</v>
      </c>
      <c r="N171" s="1466"/>
      <c r="O171" s="835"/>
      <c r="P171" s="835"/>
      <c r="Q171" s="1549">
        <f t="shared" ref="Q171:Q218" si="18">IFERROR(IF(ISBLANK($E171),"",VLOOKUP($E171,PO_Enrgy_1_Table,MATCH($K$16,PO_Enrgy_1_Hdr,0),FALSE)),"")</f>
        <v>3.4120000000000001E-3</v>
      </c>
      <c r="R171" s="1549">
        <f t="shared" ref="R171:R218" si="19">IFERROR(IF(ISBLANK($E171),"",VLOOKUP($E171,PO_Enrgy_1_Table,MATCH($M$16,PO_Enrgy_1_Hdr,0),FALSE)),"")</f>
        <v>1.0713680000000001E-2</v>
      </c>
      <c r="S171" s="1549">
        <f t="shared" ref="S171:S218" si="20">IFERROR(IF(FIND("Consumption",F171),(G171*VLOOKUP(MID(F171,FIND("(",F171)+1,LEN(F171)-FIND("(",F171)-1),EnergyUnitsTable,3,FALSE))/(G172*VLOOKUP(MID(F172,FIND("(",F172)+1,LEN(F172)-FIND("(",F172)-1),DemandTable,3,FALSE)),1),"")</f>
        <v>3317.4903474903481</v>
      </c>
      <c r="T171" s="1549">
        <f t="shared" ref="T171:T218" si="21">IFERROR(IF(FIND("Consumption",$F171),(H171*VLOOKUP(MID($F171,FIND("(",$F171)+1,LEN($F171)-FIND("(",$F171)-1),EnergyUnitsTable,3,FALSE))/(H172*VLOOKUP(MID($F172,FIND("(",$F172)+1,LEN($F172)-FIND("(",$F172)-1),DemandTable,3,FALSE)),1),"")</f>
        <v>3312.4999999999995</v>
      </c>
      <c r="V171" s="1558">
        <f t="shared" ref="V171:V218" si="22">IFERROR($AN171*H171,0)</f>
        <v>0</v>
      </c>
      <c r="W171" s="1559">
        <f t="shared" ref="W171:W218" si="23">IFERROR(G171*VLOOKUP($AE171,PO_Enrgy_8_Table,4,FALSE),0)</f>
        <v>0</v>
      </c>
      <c r="X171" s="1559">
        <f t="shared" ref="X171:X218" si="24">IFERROR(H171*VLOOKUP($AE171,PO_Enrgy_8_Table,7,FALSE),0)</f>
        <v>0</v>
      </c>
      <c r="Y171" s="1549" t="b">
        <f>IFERROR(IF(D171="x",IF(OR(G171/H171&gt;1.03,G171/H171&lt;0.97),TRUE,FALSE),FALSE),FALSE)</f>
        <v>0</v>
      </c>
      <c r="Z171" s="1549">
        <f ca="1">IFERROR(J171*100,)</f>
        <v>17.114689713067026</v>
      </c>
      <c r="AA171" s="1549"/>
      <c r="AB171" s="1549">
        <f ca="1">RANK(Z171,$Z$171:$Z$218,0)</f>
        <v>2</v>
      </c>
      <c r="AC171" s="1549">
        <f ca="1">AB171</f>
        <v>2</v>
      </c>
      <c r="AD171" s="1549" t="str">
        <f>B171</f>
        <v>Interior lighting</v>
      </c>
      <c r="AE171" s="1421"/>
      <c r="AF171" s="3216">
        <f>IFERROR(G171/Lighting!$L$43,"")</f>
        <v>2738.9832453523068</v>
      </c>
      <c r="AG171" s="3217"/>
      <c r="AH171" s="1422"/>
      <c r="AI171" s="931"/>
      <c r="AJ171" s="931"/>
      <c r="AK171" s="1423"/>
      <c r="AO171" s="604"/>
      <c r="BC171" s="2292"/>
      <c r="BF171" s="2345" t="str">
        <f>BF97</f>
        <v>L</v>
      </c>
      <c r="BG171" s="2345" t="str">
        <f>BG97</f>
        <v>Lighting - Conditioned</v>
      </c>
      <c r="BH171" s="2345" t="str">
        <f t="shared" ref="BH171" si="25">BH97</f>
        <v>Electricity</v>
      </c>
      <c r="BI171" s="2345">
        <f>IF(BG171&lt;&gt;"",IFERROR(MATCH(BG171&amp;BH171,'Results from Trace'!$L$1:$L$21,0),""),"")</f>
        <v>7</v>
      </c>
    </row>
    <row r="172" spans="1:61" ht="16.149999999999999" customHeight="1" x14ac:dyDescent="0.25">
      <c r="A172" s="1271" t="s">
        <v>1298</v>
      </c>
      <c r="B172" s="3218"/>
      <c r="C172" s="3218"/>
      <c r="D172" s="3209"/>
      <c r="E172" s="3207"/>
      <c r="F172" s="1464" t="str">
        <f>IFERROR(IF(ISBLANK(E171),"","Demand (" &amp; VLOOKUP($E171,PO_Enrgy_1_Table,MATCH($E$16,PO_Enrgy_1_Hdr,0),FALSE) &amp; ")"),"")</f>
        <v>Demand (kW)</v>
      </c>
      <c r="G172" s="2375">
        <v>25.9</v>
      </c>
      <c r="H172" s="1382">
        <v>18.8</v>
      </c>
      <c r="I172" s="1468">
        <f t="shared" ref="I172:I218" si="26">IFERROR(1-H172/G172,"")</f>
        <v>0.27413127413127403</v>
      </c>
      <c r="J172" s="3211"/>
      <c r="K172" s="3212"/>
      <c r="L172" s="3212"/>
      <c r="M172" s="3214"/>
      <c r="N172" s="1466"/>
      <c r="O172" s="835"/>
      <c r="P172" s="835"/>
      <c r="Q172" s="1549" t="str">
        <f t="shared" si="18"/>
        <v/>
      </c>
      <c r="R172" s="1549" t="str">
        <f t="shared" si="19"/>
        <v/>
      </c>
      <c r="S172" s="1549" t="str">
        <f t="shared" si="20"/>
        <v/>
      </c>
      <c r="T172" s="1549" t="str">
        <f t="shared" si="21"/>
        <v/>
      </c>
      <c r="V172" s="1558">
        <f t="shared" si="22"/>
        <v>0</v>
      </c>
      <c r="W172" s="1559">
        <f t="shared" si="23"/>
        <v>0</v>
      </c>
      <c r="X172" s="1559">
        <f t="shared" si="24"/>
        <v>0</v>
      </c>
      <c r="Y172" s="1549"/>
      <c r="Z172" s="1549"/>
      <c r="AA172" s="1549"/>
      <c r="AB172" s="1549"/>
      <c r="AC172" s="1549"/>
      <c r="AD172" s="1549"/>
      <c r="AE172" s="596"/>
      <c r="AF172" s="3216"/>
      <c r="AG172" s="3217"/>
      <c r="AH172" s="1422"/>
      <c r="AI172" s="931"/>
      <c r="AJ172" s="931"/>
      <c r="AK172" s="1424"/>
      <c r="AO172" s="604"/>
      <c r="BC172" s="2292"/>
      <c r="BF172" s="2345" t="str">
        <f t="shared" ref="BF172:BH187" si="27">BF98</f>
        <v>Y</v>
      </c>
      <c r="BG172" s="2345">
        <f t="shared" si="27"/>
        <v>0</v>
      </c>
      <c r="BH172" s="2345">
        <f t="shared" si="27"/>
        <v>0</v>
      </c>
      <c r="BI172" s="2345" t="str">
        <f>IF(BG172&lt;&gt;"",IFERROR(MATCH(BG172&amp;BH172,'Results from Trace'!$L$1:$L$21,0),""),"")</f>
        <v/>
      </c>
    </row>
    <row r="173" spans="1:61" ht="16.149999999999999" customHeight="1" x14ac:dyDescent="0.25">
      <c r="A173" s="1271" t="s">
        <v>1298</v>
      </c>
      <c r="B173" s="3215" t="s">
        <v>481</v>
      </c>
      <c r="C173" s="3215"/>
      <c r="D173" s="3209"/>
      <c r="E173" s="3207" t="s">
        <v>464</v>
      </c>
      <c r="F173" s="1464" t="str">
        <f>IFERROR(IF(ISBLANK(E173),"","Consumption (" &amp; VLOOKUP($E173,PO_Enrgy_1_Table,MATCH($C$16,PO_Enrgy_1_Hdr,0),FALSE) &amp; ")"),"")</f>
        <v>Consumption (kWh)</v>
      </c>
      <c r="G173" s="2375">
        <v>4123</v>
      </c>
      <c r="H173" s="1382">
        <v>2021</v>
      </c>
      <c r="I173" s="2373">
        <f t="shared" si="26"/>
        <v>0.50982294445791898</v>
      </c>
      <c r="J173" s="3210">
        <f ca="1">IFERROR(IF($E$327-$H$327&lt;0,"",($G173-$H173)*VLOOKUP($E173,PO_Enrgy_1_Table,MATCH($K$16,PO_Enrgy_1_Hdr,0),FALSE)/($E$327-$H$327)),"")</f>
        <v>1.5212735866401763E-2</v>
      </c>
      <c r="K173" s="3212">
        <f ca="1">IFERROR(IF($G$327-$J$327&lt;0,"",($G173*VLOOKUP($E173,PO_Enrgy_8_Table,MATCH($E$232,PO_Enrgy_8_Hdr,0),FALSE)-($H173*VLOOKUP($E173,PO_Enrgy_8_Table,MATCH($H$232,PO_Enrgy_8_Hdr,0),FALSE)))/($G$327-$J$327)),"")</f>
        <v>2.6473473748752006E-2</v>
      </c>
      <c r="L173" s="3212"/>
      <c r="M173" s="3213">
        <f ca="1">IFERROR(H173*VLOOKUP($E173,PO_Enrgy_1_Table,MATCH($K$16,PO_Enrgy_1_Hdr,0))/$H$227,"")</f>
        <v>4.9725962851421529E-2</v>
      </c>
      <c r="N173" s="1466"/>
      <c r="O173" s="835"/>
      <c r="P173" s="835"/>
      <c r="Q173" s="1549">
        <f t="shared" si="18"/>
        <v>3.4120000000000001E-3</v>
      </c>
      <c r="R173" s="1549">
        <f t="shared" si="19"/>
        <v>1.0713680000000001E-2</v>
      </c>
      <c r="S173" s="1549">
        <f t="shared" si="20"/>
        <v>4744.5339470655927</v>
      </c>
      <c r="T173" s="1549">
        <f t="shared" si="21"/>
        <v>4744.1314553990615</v>
      </c>
      <c r="V173" s="1558">
        <f t="shared" si="22"/>
        <v>0</v>
      </c>
      <c r="W173" s="1559">
        <f t="shared" si="23"/>
        <v>0</v>
      </c>
      <c r="X173" s="1559">
        <f t="shared" si="24"/>
        <v>0</v>
      </c>
      <c r="Y173" s="1549" t="b">
        <f>IFERROR(IF(D173="x",IF(OR(G173/H173&gt;1.03,G173/H173&lt;0.97),TRUE,FALSE),FALSE),FALSE)</f>
        <v>0</v>
      </c>
      <c r="Z173" s="1549">
        <f ca="1">IFERROR(J173*100,)</f>
        <v>1.5212735866401763</v>
      </c>
      <c r="AA173" s="1549"/>
      <c r="AB173" s="1549">
        <f ca="1">RANK(Z173,$Z$171:$Z$218,0)</f>
        <v>5</v>
      </c>
      <c r="AC173" s="1549">
        <f ca="1">AB173+COUNTIF($AB$171:$AB172,AB173)</f>
        <v>5</v>
      </c>
      <c r="AD173" s="1549" t="str">
        <f>B173</f>
        <v>Exterior lighting</v>
      </c>
      <c r="AE173" s="1421"/>
      <c r="AF173" s="3205"/>
      <c r="AG173" s="3206"/>
      <c r="AH173" s="1422"/>
      <c r="AI173" s="931"/>
      <c r="AJ173" s="931"/>
      <c r="AK173" s="1423"/>
      <c r="AO173" s="604"/>
      <c r="BC173" s="2292"/>
      <c r="BF173" s="2345" t="str">
        <f t="shared" si="27"/>
        <v>W</v>
      </c>
      <c r="BG173" s="2345" t="str">
        <f t="shared" si="27"/>
        <v>Stand-alone Base Utilities</v>
      </c>
      <c r="BH173" s="2345" t="str">
        <f t="shared" si="27"/>
        <v>Electricity</v>
      </c>
      <c r="BI173" s="2345">
        <f>IF(BG173&lt;&gt;"",IFERROR(MATCH(BG173&amp;BH173,'Results from Trace'!$L$1:$L$21,0),""),"")</f>
        <v>15</v>
      </c>
    </row>
    <row r="174" spans="1:61" ht="16.149999999999999" customHeight="1" x14ac:dyDescent="0.25">
      <c r="A174" s="1271" t="s">
        <v>1298</v>
      </c>
      <c r="B174" s="3215"/>
      <c r="C174" s="3215"/>
      <c r="D174" s="3209"/>
      <c r="E174" s="3207"/>
      <c r="F174" s="1464" t="str">
        <f>IFERROR(IF(ISBLANK(E173),"","Demand (" &amp; VLOOKUP($E173,PO_Enrgy_1_Table,MATCH($E$16,PO_Enrgy_1_Hdr,0),FALSE) &amp; ")"),"")</f>
        <v>Demand (kW)</v>
      </c>
      <c r="G174" s="2376">
        <v>0.86899999999999999</v>
      </c>
      <c r="H174" s="1382">
        <v>0.42599999999999999</v>
      </c>
      <c r="I174" s="1468">
        <f t="shared" si="26"/>
        <v>0.50978135788262369</v>
      </c>
      <c r="J174" s="3211"/>
      <c r="K174" s="3212"/>
      <c r="L174" s="3212"/>
      <c r="M174" s="3214"/>
      <c r="N174" s="1466"/>
      <c r="O174" s="835"/>
      <c r="P174" s="835"/>
      <c r="Q174" s="1549" t="str">
        <f t="shared" si="18"/>
        <v/>
      </c>
      <c r="R174" s="1549" t="str">
        <f t="shared" si="19"/>
        <v/>
      </c>
      <c r="S174" s="1549" t="str">
        <f t="shared" si="20"/>
        <v/>
      </c>
      <c r="T174" s="1549" t="str">
        <f t="shared" si="21"/>
        <v/>
      </c>
      <c r="V174" s="1558">
        <f t="shared" si="22"/>
        <v>0</v>
      </c>
      <c r="W174" s="1559">
        <f t="shared" si="23"/>
        <v>0</v>
      </c>
      <c r="X174" s="1559">
        <f t="shared" si="24"/>
        <v>0</v>
      </c>
      <c r="Y174" s="1549"/>
      <c r="Z174" s="1549"/>
      <c r="AA174" s="1549"/>
      <c r="AB174" s="1549"/>
      <c r="AC174" s="1549"/>
      <c r="AD174" s="1549"/>
      <c r="AE174" s="596"/>
      <c r="AF174" s="3205"/>
      <c r="AG174" s="3206"/>
      <c r="AH174" s="1422"/>
      <c r="AI174" s="931"/>
      <c r="AJ174" s="931"/>
      <c r="AK174" s="1424"/>
      <c r="AO174" s="604"/>
      <c r="BC174" s="2292"/>
      <c r="BF174" s="2345" t="str">
        <f t="shared" si="27"/>
        <v>AJ</v>
      </c>
      <c r="BG174" s="2345">
        <f t="shared" si="27"/>
        <v>0</v>
      </c>
      <c r="BH174" s="2345">
        <f t="shared" si="27"/>
        <v>0</v>
      </c>
      <c r="BI174" s="2345" t="str">
        <f>IF(BG174&lt;&gt;"",IFERROR(MATCH(BG174&amp;BH174,'Results from Trace'!$L$1:$L$21,0),""),"")</f>
        <v/>
      </c>
    </row>
    <row r="175" spans="1:61" ht="16.149999999999999" customHeight="1" x14ac:dyDescent="0.25">
      <c r="A175" s="1271" t="s">
        <v>1298</v>
      </c>
      <c r="B175" s="3215" t="s">
        <v>480</v>
      </c>
      <c r="C175" s="3215"/>
      <c r="D175" s="3209"/>
      <c r="E175" s="3207" t="s">
        <v>599</v>
      </c>
      <c r="F175" s="1464" t="str">
        <f>IFERROR(IF(ISBLANK(E175),"","Consumption (" &amp; VLOOKUP($E175,PO_Enrgy_1_Table,MATCH($C$16,PO_Enrgy_1_Hdr,0),FALSE) &amp; ")"),"")</f>
        <v>Consumption (therm)</v>
      </c>
      <c r="G175" s="2375">
        <v>1579</v>
      </c>
      <c r="H175" s="1382">
        <v>1016</v>
      </c>
      <c r="I175" s="2373">
        <f t="shared" si="26"/>
        <v>0.35655478150728304</v>
      </c>
      <c r="J175" s="3210">
        <f ca="1">IFERROR(IF($E$327-$H$327&lt;0,"",($G175-$H175)*VLOOKUP($E175,PO_Enrgy_1_Table,MATCH($K$16,PO_Enrgy_1_Hdr,0),FALSE)/($E$327-$H$327)),"")</f>
        <v>0.11941915270757868</v>
      </c>
      <c r="K175" s="3212">
        <f ca="1">IFERROR(IF($G$327-$J$327&lt;0,"",($G175*VLOOKUP($E175,PO_Enrgy_8_Table,MATCH($E$232,PO_Enrgy_8_Hdr,0),FALSE)-($H175*VLOOKUP($E175,PO_Enrgy_8_Table,MATCH($H$232,PO_Enrgy_8_Hdr,0),FALSE)))/($G$327-$J$327)),"")</f>
        <v>7.3603647614395043E-2</v>
      </c>
      <c r="L175" s="3212"/>
      <c r="M175" s="3213">
        <f ca="1">IFERROR(H175*VLOOKUP($E175,PO_Enrgy_1_Table,MATCH($K$16,PO_Enrgy_1_Hdr,0))/$H$227,"")</f>
        <v>2.499830690600904E-2</v>
      </c>
      <c r="N175" s="1466"/>
      <c r="O175" s="835"/>
      <c r="P175" s="835"/>
      <c r="Q175" s="1549">
        <f t="shared" si="18"/>
        <v>0.1</v>
      </c>
      <c r="R175" s="1549">
        <f t="shared" si="19"/>
        <v>0.12</v>
      </c>
      <c r="S175" s="1549">
        <f t="shared" si="20"/>
        <v>54448.275862068964</v>
      </c>
      <c r="T175" s="1549">
        <f t="shared" si="21"/>
        <v>39076.923076923078</v>
      </c>
      <c r="V175" s="1558">
        <f t="shared" si="22"/>
        <v>0</v>
      </c>
      <c r="W175" s="1559">
        <f t="shared" si="23"/>
        <v>0</v>
      </c>
      <c r="X175" s="1559">
        <f t="shared" si="24"/>
        <v>0</v>
      </c>
      <c r="Y175" s="1549" t="b">
        <f>IFERROR(IF(D175="x",IF(OR(G175/H175&gt;1.03,G175/H175&lt;0.97),TRUE,FALSE),FALSE),FALSE)</f>
        <v>0</v>
      </c>
      <c r="Z175" s="1549">
        <f ca="1">IFERROR(J175*100,)</f>
        <v>11.941915270757868</v>
      </c>
      <c r="AA175" s="1549"/>
      <c r="AB175" s="1549">
        <f ca="1">RANK(Z175,$Z$171:$Z$218,0)</f>
        <v>3</v>
      </c>
      <c r="AC175" s="1549">
        <f ca="1">AB175+COUNTIF($AB$171:$AB174,AB175)</f>
        <v>3</v>
      </c>
      <c r="AD175" s="1549" t="str">
        <f>B175</f>
        <v>Space heating</v>
      </c>
      <c r="AE175" s="1421"/>
      <c r="AF175" s="3205"/>
      <c r="AG175" s="3206"/>
      <c r="AH175" s="1422"/>
      <c r="AI175" s="931"/>
      <c r="AJ175" s="931"/>
      <c r="AK175" s="1423"/>
      <c r="AO175" s="604"/>
      <c r="BC175" s="2292"/>
      <c r="BF175" s="2345" t="str">
        <f t="shared" si="27"/>
        <v>BA</v>
      </c>
      <c r="BG175" s="2345" t="str">
        <f t="shared" si="27"/>
        <v>Space Heating</v>
      </c>
      <c r="BH175" s="2345" t="str">
        <f t="shared" si="27"/>
        <v>Gas</v>
      </c>
      <c r="BI175" s="2345" t="str">
        <f>IF(BG175&lt;&gt;"",IFERROR(MATCH(BG175&amp;BH175,'Results from Trace'!$L$1:$L$21,0),""),"")</f>
        <v/>
      </c>
    </row>
    <row r="176" spans="1:61" ht="16.149999999999999" customHeight="1" x14ac:dyDescent="0.25">
      <c r="A176" s="1271" t="s">
        <v>1298</v>
      </c>
      <c r="B176" s="3215"/>
      <c r="C176" s="3215"/>
      <c r="D176" s="3209"/>
      <c r="E176" s="3207"/>
      <c r="F176" s="1464" t="str">
        <f>IFERROR(IF(ISBLANK(E175),"","Demand (" &amp; VLOOKUP($E175,PO_Enrgy_1_Table,MATCH($E$16,PO_Enrgy_1_Hdr,0),FALSE) &amp; ")"),"")</f>
        <v>Demand (MBH)</v>
      </c>
      <c r="G176" s="2376">
        <v>2.9</v>
      </c>
      <c r="H176" s="1382">
        <v>2.6</v>
      </c>
      <c r="I176" s="1468">
        <f t="shared" si="26"/>
        <v>0.10344827586206895</v>
      </c>
      <c r="J176" s="3211"/>
      <c r="K176" s="3212"/>
      <c r="L176" s="3212"/>
      <c r="M176" s="3214"/>
      <c r="N176" s="1466"/>
      <c r="O176" s="835"/>
      <c r="P176" s="835"/>
      <c r="Q176" s="1549" t="str">
        <f t="shared" si="18"/>
        <v/>
      </c>
      <c r="R176" s="1549" t="str">
        <f t="shared" si="19"/>
        <v/>
      </c>
      <c r="S176" s="1549" t="str">
        <f t="shared" si="20"/>
        <v/>
      </c>
      <c r="T176" s="1549" t="str">
        <f t="shared" si="21"/>
        <v/>
      </c>
      <c r="V176" s="1558">
        <f t="shared" si="22"/>
        <v>0</v>
      </c>
      <c r="W176" s="1559">
        <f t="shared" si="23"/>
        <v>0</v>
      </c>
      <c r="X176" s="1559">
        <f t="shared" si="24"/>
        <v>0</v>
      </c>
      <c r="Y176" s="1549"/>
      <c r="Z176" s="1549"/>
      <c r="AA176" s="1549"/>
      <c r="AB176" s="1549"/>
      <c r="AC176" s="1549"/>
      <c r="AD176" s="1549"/>
      <c r="AE176" s="596"/>
      <c r="AF176" s="3205"/>
      <c r="AG176" s="3206"/>
      <c r="AH176" s="1422"/>
      <c r="AI176" s="931"/>
      <c r="AJ176" s="931"/>
      <c r="AK176" s="1424"/>
      <c r="AO176" s="604"/>
      <c r="BC176" s="2292"/>
      <c r="BF176" s="2345">
        <f t="shared" si="27"/>
        <v>0</v>
      </c>
      <c r="BG176" s="2345">
        <f t="shared" si="27"/>
        <v>0</v>
      </c>
      <c r="BH176" s="2345">
        <f t="shared" si="27"/>
        <v>0</v>
      </c>
      <c r="BI176" s="2345" t="str">
        <f>IF(BG176&lt;&gt;"",IFERROR(MATCH(BG176&amp;BH176,'Results from Trace'!$L$1:$L$21,0),""),"")</f>
        <v/>
      </c>
    </row>
    <row r="177" spans="1:61" ht="16.149999999999999" customHeight="1" x14ac:dyDescent="0.25">
      <c r="A177" s="1271" t="s">
        <v>1298</v>
      </c>
      <c r="B177" s="3215" t="s">
        <v>479</v>
      </c>
      <c r="C177" s="3215"/>
      <c r="D177" s="3209"/>
      <c r="E177" s="3207" t="s">
        <v>158</v>
      </c>
      <c r="F177" s="1464" t="str">
        <f>IFERROR(IF(ISBLANK(E177),"","Consumption (" &amp; VLOOKUP($E177,PO_Enrgy_1_Table,MATCH($C$16,PO_Enrgy_1_Hdr,0),FALSE) &amp; ")"),"")</f>
        <v>Consumption (therm)</v>
      </c>
      <c r="G177" s="2375">
        <v>30143</v>
      </c>
      <c r="H177" s="1382">
        <v>27282</v>
      </c>
      <c r="I177" s="2373">
        <f t="shared" si="26"/>
        <v>9.4914242112596581E-2</v>
      </c>
      <c r="J177" s="3210">
        <f ca="1">IFERROR(IF($E$327-$H$327&lt;0,"",($G177-$H177)*VLOOKUP($E177,PO_Enrgy_1_Table,MATCH($K$16,PO_Enrgy_1_Hdr,0),FALSE)/($E$327-$H$327)),"")</f>
        <v>0.60685292343940067</v>
      </c>
      <c r="K177" s="3212">
        <f ca="1">IFERROR(IF($G$327-$J$327&lt;0,"",($G177*VLOOKUP($E177,PO_Enrgy_8_Table,MATCH($E$232,PO_Enrgy_8_Hdr,0),FALSE)-($H177*VLOOKUP($E177,PO_Enrgy_8_Table,MATCH($H$232,PO_Enrgy_8_Hdr,0),FALSE)))/($G$327-$J$327)),"")</f>
        <v>0.44080768604461812</v>
      </c>
      <c r="L177" s="3212"/>
      <c r="M177" s="3213" t="str">
        <f ca="1">IFERROR(H177*VLOOKUP($E177,PO_Enrgy_1_Table,MATCH($K$16,PO_Enrgy_1_Hdr,0))/$H$227,"")</f>
        <v/>
      </c>
      <c r="N177" s="1466"/>
      <c r="O177" s="835"/>
      <c r="P177" s="835"/>
      <c r="Q177" s="1549">
        <f t="shared" si="18"/>
        <v>0.1</v>
      </c>
      <c r="R177" s="1549">
        <f t="shared" si="19"/>
        <v>0.1</v>
      </c>
      <c r="S177" s="1549">
        <f t="shared" si="20"/>
        <v>233666.66666666666</v>
      </c>
      <c r="T177" s="1549">
        <f t="shared" si="21"/>
        <v>237234.78260869565</v>
      </c>
      <c r="V177" s="1558">
        <f t="shared" si="22"/>
        <v>0</v>
      </c>
      <c r="W177" s="1559">
        <f t="shared" si="23"/>
        <v>0</v>
      </c>
      <c r="X177" s="1559">
        <f t="shared" si="24"/>
        <v>0</v>
      </c>
      <c r="Y177" s="1549" t="b">
        <f>IFERROR(IF(D177="x",IF(OR(G177/H177&gt;1.03,G177/H177&lt;0.97),TRUE,FALSE),FALSE),FALSE)</f>
        <v>0</v>
      </c>
      <c r="Z177" s="1549">
        <f ca="1">IFERROR(J177*100,)</f>
        <v>60.68529234394007</v>
      </c>
      <c r="AA177" s="1549"/>
      <c r="AB177" s="1549">
        <f ca="1">RANK(Z177,$Z$171:$Z$218,0)</f>
        <v>1</v>
      </c>
      <c r="AC177" s="1549">
        <f ca="1">AB177+COUNTIF($AB$171:$AB176,AB177)</f>
        <v>1</v>
      </c>
      <c r="AD177" s="1549" t="str">
        <f>B177</f>
        <v>Space cooling</v>
      </c>
      <c r="AE177" s="1421"/>
      <c r="AF177" s="3205"/>
      <c r="AG177" s="3206"/>
      <c r="AH177" s="1422"/>
      <c r="AI177" s="931"/>
      <c r="AJ177" s="931"/>
      <c r="AK177" s="1423"/>
      <c r="AO177" s="604"/>
      <c r="BC177" s="2292"/>
      <c r="BF177" s="2345" t="str">
        <f t="shared" si="27"/>
        <v>P</v>
      </c>
      <c r="BG177" s="2345" t="str">
        <f t="shared" si="27"/>
        <v>Space Cooling</v>
      </c>
      <c r="BH177" s="2345" t="str">
        <f t="shared" si="27"/>
        <v>Electricity</v>
      </c>
      <c r="BI177" s="2345" t="str">
        <f>IF(BG177&lt;&gt;"",IFERROR(MATCH(BG177&amp;BH177,'Results from Trace'!$L$1:$L$21,0),""),"")</f>
        <v/>
      </c>
    </row>
    <row r="178" spans="1:61" ht="16.149999999999999" customHeight="1" x14ac:dyDescent="0.25">
      <c r="A178" s="1271" t="s">
        <v>1298</v>
      </c>
      <c r="B178" s="3215"/>
      <c r="C178" s="3215"/>
      <c r="D178" s="3209"/>
      <c r="E178" s="3207"/>
      <c r="F178" s="1464" t="str">
        <f>IFERROR(IF(ISBLANK(E177),"","Demand (" &amp; VLOOKUP($E177,PO_Enrgy_1_Table,MATCH($E$16,PO_Enrgy_1_Hdr,0),FALSE) &amp; ")"),"")</f>
        <v>Demand (MBH)</v>
      </c>
      <c r="G178" s="2376">
        <v>12.9</v>
      </c>
      <c r="H178" s="1382">
        <v>11.5</v>
      </c>
      <c r="I178" s="1468">
        <f t="shared" si="26"/>
        <v>0.10852713178294571</v>
      </c>
      <c r="J178" s="3211"/>
      <c r="K178" s="3212"/>
      <c r="L178" s="3212"/>
      <c r="M178" s="3214"/>
      <c r="N178" s="1466"/>
      <c r="O178" s="835"/>
      <c r="P178" s="835"/>
      <c r="Q178" s="1549" t="str">
        <f t="shared" si="18"/>
        <v/>
      </c>
      <c r="R178" s="1549" t="str">
        <f t="shared" si="19"/>
        <v/>
      </c>
      <c r="S178" s="1549" t="str">
        <f t="shared" si="20"/>
        <v/>
      </c>
      <c r="T178" s="1549" t="str">
        <f t="shared" si="21"/>
        <v/>
      </c>
      <c r="V178" s="1558">
        <f t="shared" si="22"/>
        <v>0</v>
      </c>
      <c r="W178" s="1559">
        <f t="shared" si="23"/>
        <v>0</v>
      </c>
      <c r="X178" s="1559">
        <f t="shared" si="24"/>
        <v>0</v>
      </c>
      <c r="Y178" s="1549"/>
      <c r="Z178" s="1549"/>
      <c r="AA178" s="1549"/>
      <c r="AB178" s="1549"/>
      <c r="AC178" s="1549"/>
      <c r="AD178" s="1549"/>
      <c r="AE178" s="596"/>
      <c r="AF178" s="3205"/>
      <c r="AG178" s="3206"/>
      <c r="AH178" s="1422"/>
      <c r="AI178" s="931"/>
      <c r="AJ178" s="931"/>
      <c r="AK178" s="1424"/>
      <c r="AO178" s="604"/>
      <c r="BC178" s="2292"/>
      <c r="BF178" s="2345" t="str">
        <f t="shared" si="27"/>
        <v>AC</v>
      </c>
      <c r="BG178" s="2345">
        <f t="shared" si="27"/>
        <v>0</v>
      </c>
      <c r="BH178" s="2345">
        <f t="shared" si="27"/>
        <v>0</v>
      </c>
      <c r="BI178" s="2345" t="str">
        <f>IF(BG178&lt;&gt;"",IFERROR(MATCH(BG178&amp;BH178,'Results from Trace'!$L$1:$L$21,0),""),"")</f>
        <v/>
      </c>
    </row>
    <row r="179" spans="1:61" ht="16.149999999999999" customHeight="1" x14ac:dyDescent="0.25">
      <c r="A179" s="1271" t="s">
        <v>1298</v>
      </c>
      <c r="B179" s="3215" t="s">
        <v>477</v>
      </c>
      <c r="C179" s="3215"/>
      <c r="D179" s="3209"/>
      <c r="E179" s="3207" t="s">
        <v>464</v>
      </c>
      <c r="F179" s="1464" t="str">
        <f>IFERROR(IF(ISBLANK(E179),"","Consumption (" &amp; VLOOKUP($E179,PO_Enrgy_1_Table,MATCH($C$16,PO_Enrgy_1_Hdr,0),FALSE) &amp; ")"),"")</f>
        <v>Consumption (kWh)</v>
      </c>
      <c r="G179" s="2375">
        <v>6745</v>
      </c>
      <c r="H179" s="1382">
        <v>6428</v>
      </c>
      <c r="I179" s="2373">
        <f t="shared" si="26"/>
        <v>4.6997776130466962E-2</v>
      </c>
      <c r="J179" s="3210">
        <f ca="1">IFERROR(IF($E$327-$H$327&lt;0,"",($G179-$H179)*VLOOKUP($E179,PO_Enrgy_1_Table,MATCH($K$16,PO_Enrgy_1_Hdr,0),FALSE)/($E$327-$H$327)),"")</f>
        <v>2.2942137343717212E-3</v>
      </c>
      <c r="K179" s="3212">
        <f ca="1">IFERROR(IF($G$327-$J$327&lt;0,"",($G179*VLOOKUP($E179,PO_Enrgy_8_Table,MATCH($E$232,PO_Enrgy_8_Hdr,0),FALSE)-($H179*VLOOKUP($E179,PO_Enrgy_8_Table,MATCH($H$232,PO_Enrgy_8_Hdr,0),FALSE)))/($G$327-$J$327)),"")</f>
        <v>4.1663305244023828E-3</v>
      </c>
      <c r="L179" s="3212"/>
      <c r="M179" s="3213">
        <f ca="1">IFERROR(H179*VLOOKUP($E179,PO_Enrgy_1_Table,MATCH($K$16,PO_Enrgy_1_Hdr,0))/$H$227,"")</f>
        <v>0.1581585795195139</v>
      </c>
      <c r="N179" s="1466"/>
      <c r="O179" s="835"/>
      <c r="P179" s="835"/>
      <c r="Q179" s="1549">
        <f t="shared" si="18"/>
        <v>3.4120000000000001E-3</v>
      </c>
      <c r="R179" s="1549">
        <f t="shared" si="19"/>
        <v>1.0713680000000001E-2</v>
      </c>
      <c r="S179" s="1549">
        <f t="shared" si="20"/>
        <v>1466.304347826087</v>
      </c>
      <c r="T179" s="1549">
        <f t="shared" si="21"/>
        <v>1428.4444444444446</v>
      </c>
      <c r="V179" s="1558">
        <f t="shared" si="22"/>
        <v>0</v>
      </c>
      <c r="W179" s="1559">
        <f t="shared" si="23"/>
        <v>0</v>
      </c>
      <c r="X179" s="1559">
        <f t="shared" si="24"/>
        <v>0</v>
      </c>
      <c r="Y179" s="1549" t="b">
        <f>IFERROR(IF(D179="x",IF(OR(G179/H179&gt;1.03,G179/H179&lt;0.97),TRUE,FALSE),FALSE),FALSE)</f>
        <v>0</v>
      </c>
      <c r="Z179" s="1549">
        <f ca="1">IFERROR(J179*100,)</f>
        <v>0.22942137343717212</v>
      </c>
      <c r="AA179" s="1549"/>
      <c r="AB179" s="1549">
        <f ca="1">RANK(Z179,$Z$171:$Z$218,0)</f>
        <v>6</v>
      </c>
      <c r="AC179" s="1549">
        <f ca="1">AB179+COUNTIF($AB$171:$AB178,AB179)</f>
        <v>6</v>
      </c>
      <c r="AD179" s="1549" t="str">
        <f>B179</f>
        <v>Pumps</v>
      </c>
      <c r="AE179" s="1421"/>
      <c r="AF179" s="3205"/>
      <c r="AG179" s="3206"/>
      <c r="AH179" s="1422"/>
      <c r="AI179" s="931"/>
      <c r="AJ179" s="931"/>
      <c r="AK179" s="1423"/>
      <c r="AO179" s="604"/>
      <c r="BC179" s="2292"/>
      <c r="BF179" s="2345" t="str">
        <f t="shared" si="27"/>
        <v>R</v>
      </c>
      <c r="BG179" s="2345" t="str">
        <f t="shared" si="27"/>
        <v>Pumps</v>
      </c>
      <c r="BH179" s="2345" t="str">
        <f t="shared" si="27"/>
        <v>Electricity</v>
      </c>
      <c r="BI179" s="2345">
        <f>IF(BG179&lt;&gt;"",IFERROR(MATCH(BG179&amp;BH179,'Results from Trace'!$L$1:$L$21,0),""),"")</f>
        <v>11</v>
      </c>
    </row>
    <row r="180" spans="1:61" ht="16.149999999999999" customHeight="1" x14ac:dyDescent="0.25">
      <c r="A180" s="1271" t="s">
        <v>1298</v>
      </c>
      <c r="B180" s="3215"/>
      <c r="C180" s="3215"/>
      <c r="D180" s="3209"/>
      <c r="E180" s="3207"/>
      <c r="F180" s="1464" t="str">
        <f>IFERROR(IF(ISBLANK(E179),"","Demand (" &amp; VLOOKUP($E179,PO_Enrgy_1_Table,MATCH($E$16,PO_Enrgy_1_Hdr,0),FALSE) &amp; ")"),"")</f>
        <v>Demand (kW)</v>
      </c>
      <c r="G180" s="2376">
        <v>4.5999999999999996</v>
      </c>
      <c r="H180" s="1382">
        <v>4.5</v>
      </c>
      <c r="I180" s="1468">
        <f t="shared" si="26"/>
        <v>2.1739130434782483E-2</v>
      </c>
      <c r="J180" s="3211"/>
      <c r="K180" s="3212"/>
      <c r="L180" s="3212"/>
      <c r="M180" s="3214"/>
      <c r="N180" s="1466"/>
      <c r="O180" s="835"/>
      <c r="P180" s="835"/>
      <c r="Q180" s="1549" t="str">
        <f t="shared" si="18"/>
        <v/>
      </c>
      <c r="R180" s="1549" t="str">
        <f t="shared" si="19"/>
        <v/>
      </c>
      <c r="S180" s="1549" t="str">
        <f t="shared" si="20"/>
        <v/>
      </c>
      <c r="T180" s="1549" t="str">
        <f t="shared" si="21"/>
        <v/>
      </c>
      <c r="V180" s="1558">
        <f t="shared" si="22"/>
        <v>0</v>
      </c>
      <c r="W180" s="1559">
        <f t="shared" si="23"/>
        <v>0</v>
      </c>
      <c r="X180" s="1559">
        <f t="shared" si="24"/>
        <v>0</v>
      </c>
      <c r="Y180" s="1549"/>
      <c r="Z180" s="1549"/>
      <c r="AA180" s="1549"/>
      <c r="AB180" s="1549"/>
      <c r="AC180" s="1549"/>
      <c r="AD180" s="1549"/>
      <c r="AE180" s="596"/>
      <c r="AF180" s="3205"/>
      <c r="AG180" s="3206"/>
      <c r="AH180" s="1422"/>
      <c r="AI180" s="931"/>
      <c r="AJ180" s="931"/>
      <c r="AK180" s="1424"/>
      <c r="AO180" s="604"/>
      <c r="BC180" s="2292"/>
      <c r="BF180" s="2345" t="str">
        <f t="shared" si="27"/>
        <v>AE</v>
      </c>
      <c r="BG180" s="2345">
        <f t="shared" si="27"/>
        <v>0</v>
      </c>
      <c r="BH180" s="2345">
        <f t="shared" si="27"/>
        <v>0</v>
      </c>
      <c r="BI180" s="2345" t="str">
        <f>IF(BG180&lt;&gt;"",IFERROR(MATCH(BG180&amp;BH180,'Results from Trace'!$L$1:$L$21,0),""),"")</f>
        <v/>
      </c>
    </row>
    <row r="181" spans="1:61" ht="16.149999999999999" customHeight="1" x14ac:dyDescent="0.25">
      <c r="A181" s="1271" t="s">
        <v>1298</v>
      </c>
      <c r="B181" s="3215" t="s">
        <v>476</v>
      </c>
      <c r="C181" s="3215"/>
      <c r="D181" s="3209"/>
      <c r="E181" s="3207" t="s">
        <v>464</v>
      </c>
      <c r="F181" s="1464" t="str">
        <f>IFERROR(IF(ISBLANK(E181),"","Consumption (" &amp; VLOOKUP($E181,PO_Enrgy_1_Table,MATCH($C$16,PO_Enrgy_1_Hdr,0),FALSE) &amp; ")"),"")</f>
        <v>Consumption (kWh)</v>
      </c>
      <c r="G181" s="2375">
        <v>0</v>
      </c>
      <c r="H181" s="1382">
        <f t="shared" ref="H181:H218" ca="1" si="28">IFERROR(IF(SimTool="eQUEST",INDIRECT("'Results from eQuest'!"&amp;$BF181&amp;"13"),IF(SimTool="Trace",INDIRECT("'Results from Trace'!H"&amp;$BI181)/$Q181,"")),"")</f>
        <v>0</v>
      </c>
      <c r="I181" s="2373" t="str">
        <f t="shared" ca="1" si="26"/>
        <v/>
      </c>
      <c r="J181" s="3210">
        <f ca="1">IFERROR(IF($E$327-$H$327&lt;0,"",($G181-$H181)*VLOOKUP($E181,PO_Enrgy_1_Table,MATCH($K$16,PO_Enrgy_1_Hdr,0),FALSE)/($E$327-$H$327)),"")</f>
        <v>0</v>
      </c>
      <c r="K181" s="3212">
        <f ca="1">IFERROR(IF($G$327-$J$327&lt;0,"",($G181*VLOOKUP($E181,PO_Enrgy_8_Table,MATCH($E$232,PO_Enrgy_8_Hdr,0),FALSE)-($H181*VLOOKUP($E181,PO_Enrgy_8_Table,MATCH($H$232,PO_Enrgy_8_Hdr,0),FALSE)))/($G$327-$J$327)),"")</f>
        <v>0</v>
      </c>
      <c r="L181" s="3212"/>
      <c r="M181" s="3213">
        <f ca="1">IFERROR(H181*VLOOKUP($E181,PO_Enrgy_1_Table,MATCH($K$16,PO_Enrgy_1_Hdr,0))/$H$227,"")</f>
        <v>0</v>
      </c>
      <c r="N181" s="1466"/>
      <c r="O181" s="835"/>
      <c r="P181" s="835"/>
      <c r="Q181" s="1549">
        <f t="shared" si="18"/>
        <v>3.4120000000000001E-3</v>
      </c>
      <c r="R181" s="1549">
        <f t="shared" si="19"/>
        <v>1.0713680000000001E-2</v>
      </c>
      <c r="S181" s="1549" t="str">
        <f t="shared" si="20"/>
        <v/>
      </c>
      <c r="T181" s="1549" t="str">
        <f t="shared" ca="1" si="21"/>
        <v/>
      </c>
      <c r="V181" s="1558">
        <f t="shared" ca="1" si="22"/>
        <v>0</v>
      </c>
      <c r="W181" s="1559">
        <f t="shared" si="23"/>
        <v>0</v>
      </c>
      <c r="X181" s="1559">
        <f t="shared" ca="1" si="24"/>
        <v>0</v>
      </c>
      <c r="Y181" s="1549" t="b">
        <f>IFERROR(IF(D181="x",IF(OR(G181/H181&gt;1.03,G181/H181&lt;0.97),TRUE,FALSE),FALSE),FALSE)</f>
        <v>0</v>
      </c>
      <c r="Z181" s="1549">
        <f ca="1">IFERROR(J181*100,)</f>
        <v>0</v>
      </c>
      <c r="AA181" s="1549"/>
      <c r="AB181" s="1549">
        <f ca="1">RANK(Z181,$Z$171:$Z$218,0)</f>
        <v>7</v>
      </c>
      <c r="AC181" s="1549">
        <f ca="1">AB181+COUNTIF($AB$171:$AB180,AB181)</f>
        <v>7</v>
      </c>
      <c r="AD181" s="1549" t="str">
        <f>B181</f>
        <v>Heat rejection</v>
      </c>
      <c r="AE181" s="1421"/>
      <c r="AF181" s="3205"/>
      <c r="AG181" s="3206"/>
      <c r="AH181" s="1422"/>
      <c r="AI181" s="931"/>
      <c r="AJ181" s="931"/>
      <c r="AK181" s="1423"/>
      <c r="AO181" s="604"/>
      <c r="BC181" s="2292"/>
      <c r="BF181" s="2345" t="str">
        <f t="shared" si="27"/>
        <v>Q</v>
      </c>
      <c r="BG181" s="2345" t="str">
        <f t="shared" si="27"/>
        <v>Heat Rejection</v>
      </c>
      <c r="BH181" s="2345" t="str">
        <f t="shared" si="27"/>
        <v>Electricity</v>
      </c>
      <c r="BI181" s="2345">
        <f>IF(BG181&lt;&gt;"",IFERROR(MATCH(BG181&amp;BH181,'Results from Trace'!$L$1:$L$21,0),""),"")</f>
        <v>12</v>
      </c>
    </row>
    <row r="182" spans="1:61" ht="16.149999999999999" customHeight="1" x14ac:dyDescent="0.25">
      <c r="A182" s="1271" t="s">
        <v>1298</v>
      </c>
      <c r="B182" s="3215"/>
      <c r="C182" s="3215"/>
      <c r="D182" s="3209"/>
      <c r="E182" s="3207"/>
      <c r="F182" s="1464" t="str">
        <f>IFERROR(IF(ISBLANK(E181),"","Demand (" &amp; VLOOKUP($E181,PO_Enrgy_1_Table,MATCH($E$16,PO_Enrgy_1_Hdr,0),FALSE) &amp; ")"),"")</f>
        <v>Demand (kW)</v>
      </c>
      <c r="G182" s="2376"/>
      <c r="H182" s="1382" t="str">
        <f t="shared" ca="1" si="28"/>
        <v/>
      </c>
      <c r="I182" s="1468" t="str">
        <f t="shared" ca="1" si="26"/>
        <v/>
      </c>
      <c r="J182" s="3211"/>
      <c r="K182" s="3212"/>
      <c r="L182" s="3212"/>
      <c r="M182" s="3214"/>
      <c r="N182" s="1466"/>
      <c r="O182" s="835"/>
      <c r="P182" s="835"/>
      <c r="Q182" s="1549" t="str">
        <f t="shared" si="18"/>
        <v/>
      </c>
      <c r="R182" s="1549" t="str">
        <f t="shared" si="19"/>
        <v/>
      </c>
      <c r="S182" s="1549" t="str">
        <f t="shared" si="20"/>
        <v/>
      </c>
      <c r="T182" s="1549" t="str">
        <f t="shared" si="21"/>
        <v/>
      </c>
      <c r="V182" s="1558">
        <f t="shared" ca="1" si="22"/>
        <v>0</v>
      </c>
      <c r="W182" s="1559">
        <f t="shared" si="23"/>
        <v>0</v>
      </c>
      <c r="X182" s="1559">
        <f t="shared" ca="1" si="24"/>
        <v>0</v>
      </c>
      <c r="Y182" s="1549"/>
      <c r="Z182" s="1549"/>
      <c r="AA182" s="1549"/>
      <c r="AB182" s="1549"/>
      <c r="AC182" s="1549"/>
      <c r="AD182" s="1549"/>
      <c r="AE182" s="596"/>
      <c r="AF182" s="3205"/>
      <c r="AG182" s="3206"/>
      <c r="AH182" s="1422"/>
      <c r="AI182" s="931"/>
      <c r="AJ182" s="931"/>
      <c r="AK182" s="1424"/>
      <c r="AO182" s="604"/>
      <c r="BC182" s="2292"/>
      <c r="BF182" s="2345" t="str">
        <f t="shared" si="27"/>
        <v>AD</v>
      </c>
      <c r="BG182" s="2345">
        <f t="shared" si="27"/>
        <v>0</v>
      </c>
      <c r="BH182" s="2345">
        <f t="shared" si="27"/>
        <v>0</v>
      </c>
      <c r="BI182" s="2345" t="str">
        <f>IF(BG182&lt;&gt;"",IFERROR(MATCH(BG182&amp;BH182,'Results from Trace'!$L$1:$L$21,0),""),"")</f>
        <v/>
      </c>
    </row>
    <row r="183" spans="1:61" ht="16.149999999999999" customHeight="1" x14ac:dyDescent="0.25">
      <c r="A183" s="1271" t="s">
        <v>1298</v>
      </c>
      <c r="B183" s="3215" t="s">
        <v>475</v>
      </c>
      <c r="C183" s="3215"/>
      <c r="D183" s="3209"/>
      <c r="E183" s="3207" t="s">
        <v>464</v>
      </c>
      <c r="F183" s="1464" t="str">
        <f>IFERROR(IF(ISBLANK(E183),"","Consumption (" &amp; VLOOKUP($E183,PO_Enrgy_1_Table,MATCH($C$16,PO_Enrgy_1_Hdr,0),FALSE) &amp; ")"),"")</f>
        <v>Consumption (kWh)</v>
      </c>
      <c r="G183" s="2375">
        <v>82957</v>
      </c>
      <c r="H183" s="1382">
        <v>71147</v>
      </c>
      <c r="I183" s="2373">
        <f t="shared" si="26"/>
        <v>0.1423629109056499</v>
      </c>
      <c r="J183" s="3210">
        <f ca="1">IFERROR(IF($E$327-$H$327&lt;0,"",($G183-$H183)*VLOOKUP($E183,PO_Enrgy_1_Table,MATCH($K$16,PO_Enrgy_1_Hdr,0),FALSE)/($E$327-$H$327)),"")</f>
        <v>8.5472126823123135E-2</v>
      </c>
      <c r="K183" s="3212">
        <f ca="1">IFERROR(IF($G$327-$J$327&lt;0,"",($G183*VLOOKUP($E183,PO_Enrgy_8_Table,MATCH($E$232,PO_Enrgy_8_Hdr,0),FALSE)-($H183*VLOOKUP($E183,PO_Enrgy_8_Table,MATCH($H$232,PO_Enrgy_8_Hdr,0),FALSE)))/($G$327-$J$327)),"")</f>
        <v>0.15043820838582192</v>
      </c>
      <c r="L183" s="3212"/>
      <c r="M183" s="3213">
        <f ca="1">IFERROR(H183*VLOOKUP($E183,PO_Enrgy_1_Table,MATCH($K$16,PO_Enrgy_1_Hdr,0))/$H$227,"")</f>
        <v>1.7505458085057335</v>
      </c>
      <c r="N183" s="1466"/>
      <c r="O183" s="835"/>
      <c r="P183" s="835"/>
      <c r="Q183" s="1549">
        <f t="shared" si="18"/>
        <v>3.4120000000000001E-3</v>
      </c>
      <c r="R183" s="1549">
        <f t="shared" si="19"/>
        <v>1.0713680000000001E-2</v>
      </c>
      <c r="S183" s="1549">
        <f t="shared" si="20"/>
        <v>2397.6011560693642</v>
      </c>
      <c r="T183" s="1549">
        <f t="shared" si="21"/>
        <v>2026.9800569800568</v>
      </c>
      <c r="V183" s="1558">
        <f t="shared" si="22"/>
        <v>0</v>
      </c>
      <c r="W183" s="1559">
        <f t="shared" si="23"/>
        <v>0</v>
      </c>
      <c r="X183" s="1559">
        <f t="shared" si="24"/>
        <v>0</v>
      </c>
      <c r="Y183" s="1549" t="b">
        <f>IFERROR(IF(D183="x",IF(OR(G183/H183&gt;1.03,G183/H183&lt;0.97),TRUE,FALSE),FALSE),FALSE)</f>
        <v>0</v>
      </c>
      <c r="Z183" s="1549">
        <f ca="1">IFERROR(J183*100,)</f>
        <v>8.5472126823123133</v>
      </c>
      <c r="AA183" s="1549"/>
      <c r="AB183" s="1549">
        <f ca="1">RANK(Z183,$Z$171:$Z$218,0)</f>
        <v>4</v>
      </c>
      <c r="AC183" s="1549">
        <f ca="1">AB183+COUNTIF($AB$171:$AB182,AB183)</f>
        <v>4</v>
      </c>
      <c r="AD183" s="1549" t="str">
        <f>B183</f>
        <v>Fans - interior ventilation</v>
      </c>
      <c r="AE183" s="1421"/>
      <c r="AF183" s="3205"/>
      <c r="AG183" s="3206"/>
      <c r="AH183" s="1422"/>
      <c r="AI183" s="931"/>
      <c r="AJ183" s="931"/>
      <c r="AK183" s="1423"/>
      <c r="AO183" s="604"/>
      <c r="BC183" s="2292"/>
      <c r="BF183" s="2345" t="str">
        <f t="shared" si="27"/>
        <v>S</v>
      </c>
      <c r="BG183" s="2345" t="str">
        <f t="shared" si="27"/>
        <v>Fans - Conditioned</v>
      </c>
      <c r="BH183" s="2345" t="str">
        <f t="shared" si="27"/>
        <v>Electricity</v>
      </c>
      <c r="BI183" s="2345">
        <f>IF(BG183&lt;&gt;"",IFERROR(MATCH(BG183&amp;BH183,'Results from Trace'!$L$1:$L$21,0),""),"")</f>
        <v>13</v>
      </c>
    </row>
    <row r="184" spans="1:61" ht="16.149999999999999" customHeight="1" x14ac:dyDescent="0.25">
      <c r="A184" s="1271" t="s">
        <v>1298</v>
      </c>
      <c r="B184" s="3215"/>
      <c r="C184" s="3215"/>
      <c r="D184" s="3209"/>
      <c r="E184" s="3207"/>
      <c r="F184" s="1464" t="str">
        <f>IFERROR(IF(ISBLANK(E183),"","Demand (" &amp; VLOOKUP($E183,PO_Enrgy_1_Table,MATCH($E$16,PO_Enrgy_1_Hdr,0),FALSE) &amp; ")"),"")</f>
        <v>Demand (kW)</v>
      </c>
      <c r="G184" s="2376">
        <v>34.6</v>
      </c>
      <c r="H184" s="1382">
        <v>35.1</v>
      </c>
      <c r="I184" s="1468">
        <f t="shared" si="26"/>
        <v>-1.4450867052023142E-2</v>
      </c>
      <c r="J184" s="3211"/>
      <c r="K184" s="3212"/>
      <c r="L184" s="3212"/>
      <c r="M184" s="3214"/>
      <c r="N184" s="1466"/>
      <c r="O184" s="835"/>
      <c r="P184" s="835"/>
      <c r="Q184" s="1549" t="str">
        <f t="shared" si="18"/>
        <v/>
      </c>
      <c r="R184" s="1549" t="str">
        <f t="shared" si="19"/>
        <v/>
      </c>
      <c r="S184" s="1549" t="str">
        <f t="shared" si="20"/>
        <v/>
      </c>
      <c r="T184" s="1549" t="str">
        <f t="shared" si="21"/>
        <v/>
      </c>
      <c r="V184" s="1558">
        <f t="shared" si="22"/>
        <v>0</v>
      </c>
      <c r="W184" s="1559">
        <f t="shared" si="23"/>
        <v>0</v>
      </c>
      <c r="X184" s="1559">
        <f t="shared" si="24"/>
        <v>0</v>
      </c>
      <c r="Y184" s="1549"/>
      <c r="Z184" s="1549"/>
      <c r="AA184" s="1549"/>
      <c r="AB184" s="1549"/>
      <c r="AC184" s="1549"/>
      <c r="AD184" s="1549"/>
      <c r="AE184" s="596"/>
      <c r="AF184" s="3205"/>
      <c r="AG184" s="3206"/>
      <c r="AH184" s="1422"/>
      <c r="AI184" s="931"/>
      <c r="AJ184" s="931"/>
      <c r="AK184" s="1424"/>
      <c r="AO184" s="604"/>
      <c r="BC184" s="2292"/>
      <c r="BF184" s="2345" t="str">
        <f t="shared" si="27"/>
        <v>AF</v>
      </c>
      <c r="BG184" s="2345">
        <f t="shared" si="27"/>
        <v>0</v>
      </c>
      <c r="BH184" s="2345">
        <f t="shared" si="27"/>
        <v>0</v>
      </c>
      <c r="BI184" s="2345" t="str">
        <f>IF(BG184&lt;&gt;"",IFERROR(MATCH(BG184&amp;BH184,'Results from Trace'!$L$1:$L$21,0),""),"")</f>
        <v/>
      </c>
    </row>
    <row r="185" spans="1:61" ht="16.149999999999999" customHeight="1" x14ac:dyDescent="0.25">
      <c r="A185" s="1271" t="s">
        <v>1298</v>
      </c>
      <c r="B185" s="3215" t="s">
        <v>474</v>
      </c>
      <c r="C185" s="3215"/>
      <c r="D185" s="3209" t="s">
        <v>465</v>
      </c>
      <c r="E185" s="3207" t="s">
        <v>464</v>
      </c>
      <c r="F185" s="1464" t="str">
        <f>IFERROR(IF(ISBLANK(E185),"","Consumption (" &amp; VLOOKUP($E185,PO_Enrgy_1_Table,MATCH($C$16,PO_Enrgy_1_Hdr,0),FALSE) &amp; ")"),"")</f>
        <v>Consumption (kWh)</v>
      </c>
      <c r="G185" s="2375"/>
      <c r="H185" s="1382" t="str">
        <f t="shared" ca="1" si="28"/>
        <v/>
      </c>
      <c r="I185" s="2373" t="str">
        <f t="shared" ca="1" si="26"/>
        <v/>
      </c>
      <c r="J185" s="3210" t="str">
        <f ca="1">IFERROR(IF($E$327-$H$327&lt;0,"",($G185-$H185)*VLOOKUP($E185,PO_Enrgy_1_Table,MATCH($K$16,PO_Enrgy_1_Hdr,0),FALSE)/($E$327-$H$327)),"")</f>
        <v/>
      </c>
      <c r="K185" s="3212" t="str">
        <f ca="1">IFERROR(IF($G$327-$J$327&lt;0,"",($G185*VLOOKUP($E185,PO_Enrgy_8_Table,MATCH($E$232,PO_Enrgy_8_Hdr,0),FALSE)-($H185*VLOOKUP($E185,PO_Enrgy_8_Table,MATCH($H$232,PO_Enrgy_8_Hdr,0),FALSE)))/($G$327-$J$327)),"")</f>
        <v/>
      </c>
      <c r="L185" s="3212"/>
      <c r="M185" s="3213" t="str">
        <f ca="1">IFERROR(H185*VLOOKUP($E185,PO_Enrgy_1_Table,MATCH($K$16,PO_Enrgy_1_Hdr,0))/$H$227,"")</f>
        <v/>
      </c>
      <c r="N185" s="1466"/>
      <c r="O185" s="835"/>
      <c r="P185" s="835"/>
      <c r="Q185" s="1549">
        <f t="shared" si="18"/>
        <v>3.4120000000000001E-3</v>
      </c>
      <c r="R185" s="1549">
        <f t="shared" si="19"/>
        <v>1.0713680000000001E-2</v>
      </c>
      <c r="S185" s="1549" t="str">
        <f t="shared" si="20"/>
        <v/>
      </c>
      <c r="T185" s="1549" t="str">
        <f t="shared" ca="1" si="21"/>
        <v/>
      </c>
      <c r="V185" s="1558">
        <f t="shared" ca="1" si="22"/>
        <v>0</v>
      </c>
      <c r="W185" s="1559">
        <f t="shared" si="23"/>
        <v>0</v>
      </c>
      <c r="X185" s="1559">
        <f t="shared" ca="1" si="24"/>
        <v>0</v>
      </c>
      <c r="Y185" s="1549" t="b">
        <f ca="1">IFERROR(IF(D185="x",IF(OR(G185/H185&gt;1.03,G185/H185&lt;0.97),TRUE,FALSE),FALSE),FALSE)</f>
        <v>0</v>
      </c>
      <c r="Z185" s="1549">
        <f ca="1">IFERROR(J185*100,)</f>
        <v>0</v>
      </c>
      <c r="AA185" s="1549"/>
      <c r="AB185" s="1549">
        <f ca="1">RANK(Z185,$Z$171:$Z$218,0)</f>
        <v>7</v>
      </c>
      <c r="AC185" s="1549">
        <f ca="1">AB185+COUNTIF($AB$171:$AB184,AB185)</f>
        <v>8</v>
      </c>
      <c r="AD185" s="1549" t="str">
        <f>B185</f>
        <v>Fans - parking garage</v>
      </c>
      <c r="AE185" s="1421"/>
      <c r="AF185" s="3205"/>
      <c r="AG185" s="3206"/>
      <c r="AH185" s="1422"/>
      <c r="AI185" s="931"/>
      <c r="AJ185" s="931"/>
      <c r="AK185" s="1423"/>
      <c r="AO185" s="604"/>
      <c r="BC185" s="2292"/>
      <c r="BF185" s="2345">
        <f t="shared" si="27"/>
        <v>0</v>
      </c>
      <c r="BG185" s="2345">
        <f t="shared" si="27"/>
        <v>0</v>
      </c>
      <c r="BH185" s="2345">
        <f t="shared" si="27"/>
        <v>0</v>
      </c>
      <c r="BI185" s="2345" t="str">
        <f>IF(BG185&lt;&gt;"",IFERROR(MATCH(BG185&amp;BH185,'Results from Trace'!$L$1:$L$21,0),""),"")</f>
        <v/>
      </c>
    </row>
    <row r="186" spans="1:61" ht="16.149999999999999" customHeight="1" x14ac:dyDescent="0.25">
      <c r="A186" s="1271" t="s">
        <v>1298</v>
      </c>
      <c r="B186" s="3215"/>
      <c r="C186" s="3215"/>
      <c r="D186" s="3209"/>
      <c r="E186" s="3207"/>
      <c r="F186" s="1464" t="str">
        <f>IFERROR(IF(ISBLANK(E185),"","Demand (" &amp; VLOOKUP($E185,PO_Enrgy_1_Table,MATCH($E$16,PO_Enrgy_1_Hdr,0),FALSE) &amp; ")"),"")</f>
        <v>Demand (kW)</v>
      </c>
      <c r="G186" s="2376"/>
      <c r="H186" s="1382" t="str">
        <f t="shared" ca="1" si="28"/>
        <v/>
      </c>
      <c r="I186" s="1468" t="str">
        <f t="shared" ca="1" si="26"/>
        <v/>
      </c>
      <c r="J186" s="3211"/>
      <c r="K186" s="3212"/>
      <c r="L186" s="3212"/>
      <c r="M186" s="3214"/>
      <c r="N186" s="1466"/>
      <c r="O186" s="835"/>
      <c r="P186" s="835"/>
      <c r="Q186" s="1549" t="str">
        <f t="shared" si="18"/>
        <v/>
      </c>
      <c r="R186" s="1549" t="str">
        <f t="shared" si="19"/>
        <v/>
      </c>
      <c r="S186" s="1549" t="str">
        <f t="shared" si="20"/>
        <v/>
      </c>
      <c r="T186" s="1549" t="str">
        <f t="shared" si="21"/>
        <v/>
      </c>
      <c r="V186" s="1558">
        <f t="shared" ca="1" si="22"/>
        <v>0</v>
      </c>
      <c r="W186" s="1559">
        <f t="shared" si="23"/>
        <v>0</v>
      </c>
      <c r="X186" s="1559">
        <f t="shared" ca="1" si="24"/>
        <v>0</v>
      </c>
      <c r="Y186" s="1549"/>
      <c r="Z186" s="1549"/>
      <c r="AA186" s="1549"/>
      <c r="AB186" s="1549"/>
      <c r="AC186" s="1549"/>
      <c r="AD186" s="1549"/>
      <c r="AE186" s="596"/>
      <c r="AF186" s="3205"/>
      <c r="AG186" s="3206"/>
      <c r="AH186" s="1422"/>
      <c r="AI186" s="931"/>
      <c r="AJ186" s="931"/>
      <c r="AK186" s="1424"/>
      <c r="AO186" s="604"/>
      <c r="BC186" s="2292"/>
      <c r="BF186" s="2345">
        <f t="shared" si="27"/>
        <v>0</v>
      </c>
      <c r="BG186" s="2345">
        <f t="shared" si="27"/>
        <v>0</v>
      </c>
      <c r="BH186" s="2345">
        <f t="shared" si="27"/>
        <v>0</v>
      </c>
      <c r="BI186" s="2345" t="str">
        <f>IF(BG186&lt;&gt;"",IFERROR(MATCH(BG186&amp;BH186,'Results from Trace'!$L$1:$L$21,0),""),"")</f>
        <v/>
      </c>
    </row>
    <row r="187" spans="1:61" ht="16.149999999999999" customHeight="1" x14ac:dyDescent="0.25">
      <c r="A187" s="1271" t="s">
        <v>1298</v>
      </c>
      <c r="B187" s="3215" t="s">
        <v>473</v>
      </c>
      <c r="C187" s="3215"/>
      <c r="D187" s="3209"/>
      <c r="E187" s="3207" t="s">
        <v>464</v>
      </c>
      <c r="F187" s="1464" t="str">
        <f>IFERROR(IF(ISBLANK(E187),"","Consumption (" &amp; VLOOKUP($E187,PO_Enrgy_1_Table,MATCH($C$16,PO_Enrgy_1_Hdr,0),FALSE) &amp; ")"),"")</f>
        <v>Consumption (kWh)</v>
      </c>
      <c r="G187" s="2375"/>
      <c r="H187" s="1382" t="str">
        <f t="shared" ca="1" si="28"/>
        <v/>
      </c>
      <c r="I187" s="2373" t="str">
        <f t="shared" ca="1" si="26"/>
        <v/>
      </c>
      <c r="J187" s="3210" t="str">
        <f ca="1">IFERROR(IF($E$327-$H$327&lt;0,"",($G187-$H187)*VLOOKUP($E187,PO_Enrgy_1_Table,MATCH($K$16,PO_Enrgy_1_Hdr,0),FALSE)/($E$327-$H$327)),"")</f>
        <v/>
      </c>
      <c r="K187" s="3212" t="str">
        <f ca="1">IFERROR(IF($G$327-$J$327&lt;0,"",($G187*VLOOKUP($E187,PO_Enrgy_8_Table,MATCH($E$232,PO_Enrgy_8_Hdr,0),FALSE)-($H187*VLOOKUP($E187,PO_Enrgy_8_Table,MATCH($H$232,PO_Enrgy_8_Hdr,0),FALSE)))/($G$327-$J$327)),"")</f>
        <v/>
      </c>
      <c r="L187" s="3212"/>
      <c r="M187" s="3213" t="str">
        <f ca="1">IFERROR(H187*VLOOKUP($E187,PO_Enrgy_1_Table,MATCH($K$16,PO_Enrgy_1_Hdr,0))/$H$227,"")</f>
        <v/>
      </c>
      <c r="N187" s="1466"/>
      <c r="O187" s="835"/>
      <c r="P187" s="835"/>
      <c r="Q187" s="1549">
        <f t="shared" si="18"/>
        <v>3.4120000000000001E-3</v>
      </c>
      <c r="R187" s="1549">
        <f t="shared" si="19"/>
        <v>1.0713680000000001E-2</v>
      </c>
      <c r="S187" s="1549" t="str">
        <f t="shared" si="20"/>
        <v/>
      </c>
      <c r="T187" s="1549" t="str">
        <f t="shared" ca="1" si="21"/>
        <v/>
      </c>
      <c r="V187" s="1558">
        <f t="shared" ca="1" si="22"/>
        <v>0</v>
      </c>
      <c r="W187" s="1559">
        <f t="shared" si="23"/>
        <v>0</v>
      </c>
      <c r="X187" s="1559">
        <f t="shared" ca="1" si="24"/>
        <v>0</v>
      </c>
      <c r="Y187" s="1549" t="b">
        <f>IFERROR(IF(D187="x",IF(OR(G187/H187&gt;1.03,G187/H187&lt;0.97),TRUE,FALSE),FALSE),FALSE)</f>
        <v>0</v>
      </c>
      <c r="Z187" s="1549">
        <f ca="1">IFERROR(J187*100,)</f>
        <v>0</v>
      </c>
      <c r="AA187" s="1549"/>
      <c r="AB187" s="1549">
        <f ca="1">RANK(Z187,$Z$171:$Z$218,0)</f>
        <v>7</v>
      </c>
      <c r="AC187" s="1549">
        <f ca="1">AB187+COUNTIF($AB$171:$AB186,AB187)</f>
        <v>9</v>
      </c>
      <c r="AD187" s="1549" t="str">
        <f>B187</f>
        <v>Service water heating</v>
      </c>
      <c r="AE187" s="1421"/>
      <c r="AF187" s="3205"/>
      <c r="AG187" s="3206"/>
      <c r="AH187" s="1422"/>
      <c r="AI187" s="931"/>
      <c r="AJ187" s="931"/>
      <c r="AK187" s="1423"/>
      <c r="AO187" s="604"/>
      <c r="BC187" s="2292" t="s">
        <v>2296</v>
      </c>
      <c r="BF187" s="2345" t="str">
        <f t="shared" si="27"/>
        <v>BH</v>
      </c>
      <c r="BG187" s="2345" t="str">
        <f t="shared" si="27"/>
        <v>Stand-alone Base Utilities</v>
      </c>
      <c r="BH187" s="2345" t="str">
        <f t="shared" si="27"/>
        <v>Gas</v>
      </c>
      <c r="BI187" s="2345" t="str">
        <f>IF(BG187&lt;&gt;"",IFERROR(MATCH(BG187&amp;BH187,'Results from Trace'!$L$1:$L$21,0),""),"")</f>
        <v/>
      </c>
    </row>
    <row r="188" spans="1:61" ht="16.149999999999999" customHeight="1" x14ac:dyDescent="0.25">
      <c r="A188" s="1271" t="s">
        <v>1298</v>
      </c>
      <c r="B188" s="3215"/>
      <c r="C188" s="3215"/>
      <c r="D188" s="3209"/>
      <c r="E188" s="3207"/>
      <c r="F188" s="1464" t="str">
        <f>IFERROR(IF(ISBLANK(E187),"","Demand (" &amp; VLOOKUP($E187,PO_Enrgy_1_Table,MATCH($E$16,PO_Enrgy_1_Hdr,0),FALSE) &amp; ")"),"")</f>
        <v>Demand (kW)</v>
      </c>
      <c r="G188" s="2376"/>
      <c r="H188" s="1382" t="str">
        <f t="shared" ca="1" si="28"/>
        <v/>
      </c>
      <c r="I188" s="1468" t="str">
        <f t="shared" ca="1" si="26"/>
        <v/>
      </c>
      <c r="J188" s="3211"/>
      <c r="K188" s="3212"/>
      <c r="L188" s="3212"/>
      <c r="M188" s="3214"/>
      <c r="N188" s="1466"/>
      <c r="O188" s="835"/>
      <c r="P188" s="835"/>
      <c r="Q188" s="1549" t="str">
        <f t="shared" si="18"/>
        <v/>
      </c>
      <c r="R188" s="1549" t="str">
        <f t="shared" si="19"/>
        <v/>
      </c>
      <c r="S188" s="1549" t="str">
        <f t="shared" si="20"/>
        <v/>
      </c>
      <c r="T188" s="1549" t="str">
        <f t="shared" si="21"/>
        <v/>
      </c>
      <c r="V188" s="1558">
        <f t="shared" ca="1" si="22"/>
        <v>0</v>
      </c>
      <c r="W188" s="1559">
        <f t="shared" si="23"/>
        <v>0</v>
      </c>
      <c r="X188" s="1559">
        <f t="shared" ca="1" si="24"/>
        <v>0</v>
      </c>
      <c r="Y188" s="1549"/>
      <c r="Z188" s="1549"/>
      <c r="AA188" s="1549"/>
      <c r="AB188" s="1549"/>
      <c r="AC188" s="1549"/>
      <c r="AD188" s="1549"/>
      <c r="AE188" s="596"/>
      <c r="AF188" s="3205"/>
      <c r="AG188" s="3206"/>
      <c r="AH188" s="1422"/>
      <c r="AI188" s="931"/>
      <c r="AJ188" s="931"/>
      <c r="AK188" s="1424"/>
      <c r="AO188" s="604"/>
      <c r="BC188" s="2292"/>
      <c r="BF188" s="2345">
        <f t="shared" ref="BF188:BH203" si="29">BF114</f>
        <v>0</v>
      </c>
      <c r="BG188" s="2345">
        <f t="shared" si="29"/>
        <v>0</v>
      </c>
      <c r="BH188" s="2345">
        <f t="shared" si="29"/>
        <v>0</v>
      </c>
      <c r="BI188" s="2345" t="str">
        <f>IF(BG188&lt;&gt;"",IFERROR(MATCH(BG188&amp;BH188,'Results from Trace'!$L$1:$L$21,0),""),"")</f>
        <v/>
      </c>
    </row>
    <row r="189" spans="1:61" ht="16.149999999999999" customHeight="1" x14ac:dyDescent="0.25">
      <c r="A189" s="1271" t="s">
        <v>1298</v>
      </c>
      <c r="B189" s="3215" t="s">
        <v>472</v>
      </c>
      <c r="C189" s="3215"/>
      <c r="D189" s="3209" t="s">
        <v>465</v>
      </c>
      <c r="E189" s="3207" t="s">
        <v>464</v>
      </c>
      <c r="F189" s="1464" t="str">
        <f>IFERROR(IF(ISBLANK(E189),"","Consumption (" &amp; VLOOKUP($E189,PO_Enrgy_1_Table,MATCH($C$16,PO_Enrgy_1_Hdr,0),FALSE) &amp; ")"),"")</f>
        <v>Consumption (kWh)</v>
      </c>
      <c r="G189" s="2375">
        <v>174575</v>
      </c>
      <c r="H189" s="1382">
        <v>174575</v>
      </c>
      <c r="I189" s="2373">
        <f t="shared" si="26"/>
        <v>0</v>
      </c>
      <c r="J189" s="3210">
        <f ca="1">IFERROR(IF($E$327-$H$327&lt;0,"",($G189-$H189)*VLOOKUP($E189,PO_Enrgy_1_Table,MATCH($K$16,PO_Enrgy_1_Hdr,0),FALSE)/($E$327-$H$327)),"")</f>
        <v>0</v>
      </c>
      <c r="K189" s="3212">
        <f ca="1">IFERROR(IF($G$327-$J$327&lt;0,"",($G189*VLOOKUP($E189,PO_Enrgy_8_Table,MATCH($E$232,PO_Enrgy_8_Hdr,0),FALSE)-($H189*VLOOKUP($E189,PO_Enrgy_8_Table,MATCH($H$232,PO_Enrgy_8_Hdr,0),FALSE)))/($G$327-$J$327)),"")</f>
        <v>4.9579193166147239E-3</v>
      </c>
      <c r="L189" s="3212"/>
      <c r="M189" s="3213">
        <f ca="1">IFERROR(H189*VLOOKUP($E189,PO_Enrgy_1_Table,MATCH($K$16,PO_Enrgy_1_Hdr,0))/$H$227,"")</f>
        <v>4.2953537678312284</v>
      </c>
      <c r="N189" s="1466"/>
      <c r="O189" s="835"/>
      <c r="P189" s="835"/>
      <c r="Q189" s="1549">
        <f t="shared" si="18"/>
        <v>3.4120000000000001E-3</v>
      </c>
      <c r="R189" s="1549">
        <f t="shared" si="19"/>
        <v>1.0713680000000001E-2</v>
      </c>
      <c r="S189" s="1549">
        <f t="shared" si="20"/>
        <v>3312.6185958254273</v>
      </c>
      <c r="T189" s="1549">
        <f t="shared" si="21"/>
        <v>3312.6185958254273</v>
      </c>
      <c r="V189" s="1558">
        <f t="shared" si="22"/>
        <v>0</v>
      </c>
      <c r="W189" s="1559">
        <f t="shared" si="23"/>
        <v>0</v>
      </c>
      <c r="X189" s="1559">
        <f t="shared" si="24"/>
        <v>0</v>
      </c>
      <c r="Y189" s="1549" t="b">
        <f>IFERROR(IF(D189="x",IF(OR(G189/H189&gt;1.03,G189/H189&lt;0.97),TRUE,FALSE),FALSE),FALSE)</f>
        <v>0</v>
      </c>
      <c r="Z189" s="1549">
        <f ca="1">IFERROR(J189*100,)</f>
        <v>0</v>
      </c>
      <c r="AA189" s="1549"/>
      <c r="AB189" s="1549">
        <f ca="1">RANK(Z189,$Z$171:$Z$218,0)</f>
        <v>7</v>
      </c>
      <c r="AC189" s="1549">
        <f ca="1">AB189+COUNTIF($AB$171:$AB188,AB189)</f>
        <v>10</v>
      </c>
      <c r="AD189" s="1549" t="str">
        <f>B189</f>
        <v>Receptacle equipment</v>
      </c>
      <c r="AE189" s="1421"/>
      <c r="AF189" s="3205"/>
      <c r="AG189" s="3206"/>
      <c r="AH189" s="1422"/>
      <c r="AI189" s="931"/>
      <c r="AJ189" s="931"/>
      <c r="AK189" s="1423"/>
      <c r="AO189" s="604"/>
      <c r="BC189" s="2292"/>
      <c r="BF189" s="2345" t="str">
        <f t="shared" si="29"/>
        <v>N</v>
      </c>
      <c r="BG189" s="2345" t="str">
        <f t="shared" si="29"/>
        <v>Receptacles - Conditioned</v>
      </c>
      <c r="BH189" s="2345" t="str">
        <f t="shared" si="29"/>
        <v>Electricity</v>
      </c>
      <c r="BI189" s="2345">
        <f>IF(BG189&lt;&gt;"",IFERROR(MATCH(BG189&amp;BH189,'Results from Trace'!$L$1:$L$21,0),""),"")</f>
        <v>14</v>
      </c>
    </row>
    <row r="190" spans="1:61" ht="16.149999999999999" customHeight="1" x14ac:dyDescent="0.25">
      <c r="A190" s="1271" t="s">
        <v>1298</v>
      </c>
      <c r="B190" s="3215"/>
      <c r="C190" s="3215"/>
      <c r="D190" s="3209"/>
      <c r="E190" s="3207"/>
      <c r="F190" s="1464" t="str">
        <f>IFERROR(IF(ISBLANK(E189),"","Demand (" &amp; VLOOKUP($E189,PO_Enrgy_1_Table,MATCH($E$16,PO_Enrgy_1_Hdr,0),FALSE) &amp; ")"),"")</f>
        <v>Demand (kW)</v>
      </c>
      <c r="G190" s="2376">
        <v>52.7</v>
      </c>
      <c r="H190" s="1382">
        <v>52.7</v>
      </c>
      <c r="I190" s="1468">
        <f t="shared" si="26"/>
        <v>0</v>
      </c>
      <c r="J190" s="3211"/>
      <c r="K190" s="3212"/>
      <c r="L190" s="3212"/>
      <c r="M190" s="3214"/>
      <c r="N190" s="1466"/>
      <c r="O190" s="835"/>
      <c r="P190" s="835"/>
      <c r="Q190" s="1549" t="str">
        <f t="shared" si="18"/>
        <v/>
      </c>
      <c r="R190" s="1549" t="str">
        <f t="shared" si="19"/>
        <v/>
      </c>
      <c r="S190" s="1549" t="str">
        <f t="shared" si="20"/>
        <v/>
      </c>
      <c r="T190" s="1549" t="str">
        <f t="shared" si="21"/>
        <v/>
      </c>
      <c r="V190" s="1558">
        <f t="shared" si="22"/>
        <v>0</v>
      </c>
      <c r="W190" s="1559">
        <f t="shared" si="23"/>
        <v>0</v>
      </c>
      <c r="X190" s="1559">
        <f t="shared" si="24"/>
        <v>0</v>
      </c>
      <c r="Y190" s="1549"/>
      <c r="Z190" s="1549"/>
      <c r="AA190" s="1549"/>
      <c r="AB190" s="1549"/>
      <c r="AC190" s="1549"/>
      <c r="AD190" s="1549"/>
      <c r="AE190" s="596"/>
      <c r="AF190" s="3205"/>
      <c r="AG190" s="3206"/>
      <c r="AH190" s="1422"/>
      <c r="AI190" s="931"/>
      <c r="AJ190" s="931"/>
      <c r="AK190" s="1424"/>
      <c r="AO190" s="604"/>
      <c r="BC190" s="2292"/>
      <c r="BF190" s="2345" t="str">
        <f t="shared" si="29"/>
        <v>AA</v>
      </c>
      <c r="BG190" s="2345">
        <f t="shared" si="29"/>
        <v>0</v>
      </c>
      <c r="BH190" s="2345">
        <f t="shared" si="29"/>
        <v>0</v>
      </c>
      <c r="BI190" s="2345" t="str">
        <f>IF(BG190&lt;&gt;"",IFERROR(MATCH(BG190&amp;BH190,'Results from Trace'!$L$1:$L$21,0),""),"")</f>
        <v/>
      </c>
    </row>
    <row r="191" spans="1:61" ht="16.149999999999999" customHeight="1" x14ac:dyDescent="0.25">
      <c r="A191" s="1271" t="s">
        <v>1298</v>
      </c>
      <c r="B191" s="3215" t="s">
        <v>471</v>
      </c>
      <c r="C191" s="3215"/>
      <c r="D191" s="3209" t="s">
        <v>465</v>
      </c>
      <c r="E191" s="3207" t="s">
        <v>464</v>
      </c>
      <c r="F191" s="1464" t="str">
        <f>IFERROR(IF(ISBLANK(E191),"","Consumption (" &amp; VLOOKUP($E191,PO_Enrgy_1_Table,MATCH($C$16,PO_Enrgy_1_Hdr,0),FALSE) &amp; ")"),"")</f>
        <v>Consumption (kWh)</v>
      </c>
      <c r="G191" s="2375"/>
      <c r="H191" s="1382" t="str">
        <f t="shared" ca="1" si="28"/>
        <v/>
      </c>
      <c r="I191" s="2373" t="str">
        <f t="shared" ca="1" si="26"/>
        <v/>
      </c>
      <c r="J191" s="3210" t="str">
        <f ca="1">IFERROR(IF($E$327-$H$327&lt;0,"",($G191-$H191)*VLOOKUP($E191,PO_Enrgy_1_Table,MATCH($K$16,PO_Enrgy_1_Hdr,0),FALSE)/($E$327-$H$327)),"")</f>
        <v/>
      </c>
      <c r="K191" s="3212" t="str">
        <f ca="1">IFERROR(IF($G$327-$J$327&lt;0,"",($G191*VLOOKUP($E191,PO_Enrgy_8_Table,MATCH($E$232,PO_Enrgy_8_Hdr,0),FALSE)-($H191*VLOOKUP($E191,PO_Enrgy_8_Table,MATCH($H$232,PO_Enrgy_8_Hdr,0),FALSE)))/($G$327-$J$327)),"")</f>
        <v/>
      </c>
      <c r="L191" s="3212"/>
      <c r="M191" s="3213" t="str">
        <f ca="1">IFERROR(H191*VLOOKUP($E191,PO_Enrgy_1_Table,MATCH($K$16,PO_Enrgy_1_Hdr,0))/$H$227,"")</f>
        <v/>
      </c>
      <c r="N191" s="1466"/>
      <c r="O191" s="835"/>
      <c r="P191" s="835"/>
      <c r="Q191" s="1549">
        <f t="shared" si="18"/>
        <v>3.4120000000000001E-3</v>
      </c>
      <c r="R191" s="1549">
        <f t="shared" si="19"/>
        <v>1.0713680000000001E-2</v>
      </c>
      <c r="S191" s="1549" t="str">
        <f t="shared" si="20"/>
        <v/>
      </c>
      <c r="T191" s="1549" t="str">
        <f t="shared" ca="1" si="21"/>
        <v/>
      </c>
      <c r="V191" s="1558">
        <f t="shared" ca="1" si="22"/>
        <v>0</v>
      </c>
      <c r="W191" s="1559">
        <f t="shared" si="23"/>
        <v>0</v>
      </c>
      <c r="X191" s="1559">
        <f t="shared" ca="1" si="24"/>
        <v>0</v>
      </c>
      <c r="Y191" s="1549" t="b">
        <f ca="1">IFERROR(IF(D191="x",IF(OR(G191/H191&gt;1.03,G191/H191&lt;0.97),TRUE,FALSE),FALSE),FALSE)</f>
        <v>0</v>
      </c>
      <c r="Z191" s="1549">
        <f ca="1">IFERROR(J191*100,)</f>
        <v>0</v>
      </c>
      <c r="AA191" s="1549"/>
      <c r="AB191" s="1549">
        <f ca="1">RANK(Z191,$Z$171:$Z$218,0)</f>
        <v>7</v>
      </c>
      <c r="AC191" s="1549">
        <f ca="1">AB191+COUNTIF($AB$171:$AB190,AB191)</f>
        <v>11</v>
      </c>
      <c r="AD191" s="1549" t="str">
        <f>B191</f>
        <v>IT equipment</v>
      </c>
      <c r="AE191" s="1421"/>
      <c r="AF191" s="3205"/>
      <c r="AG191" s="3206"/>
      <c r="AH191" s="1422"/>
      <c r="AI191" s="931"/>
      <c r="AJ191" s="931"/>
      <c r="AK191" s="1423"/>
      <c r="AO191" s="604"/>
      <c r="BC191" s="2292" t="s">
        <v>2298</v>
      </c>
      <c r="BF191" s="2345">
        <f t="shared" si="29"/>
        <v>0</v>
      </c>
      <c r="BG191" s="2345">
        <f t="shared" si="29"/>
        <v>0</v>
      </c>
      <c r="BH191" s="2345">
        <f t="shared" si="29"/>
        <v>0</v>
      </c>
      <c r="BI191" s="2345" t="str">
        <f>IF(BG191&lt;&gt;"",IFERROR(MATCH(BG191&amp;BH191,'Results from Trace'!$L$1:$L$21,0),""),"")</f>
        <v/>
      </c>
    </row>
    <row r="192" spans="1:61" ht="16.149999999999999" customHeight="1" x14ac:dyDescent="0.25">
      <c r="A192" s="1271" t="s">
        <v>1298</v>
      </c>
      <c r="B192" s="3215"/>
      <c r="C192" s="3215"/>
      <c r="D192" s="3209"/>
      <c r="E192" s="3207"/>
      <c r="F192" s="1464" t="str">
        <f>IFERROR(IF(ISBLANK(E191),"","Demand (" &amp; VLOOKUP($E191,PO_Enrgy_1_Table,MATCH($E$16,PO_Enrgy_1_Hdr,0),FALSE) &amp; ")"),"")</f>
        <v>Demand (kW)</v>
      </c>
      <c r="G192" s="2376"/>
      <c r="H192" s="1382" t="str">
        <f t="shared" ca="1" si="28"/>
        <v/>
      </c>
      <c r="I192" s="1468" t="str">
        <f t="shared" ca="1" si="26"/>
        <v/>
      </c>
      <c r="J192" s="3211"/>
      <c r="K192" s="3212"/>
      <c r="L192" s="3212"/>
      <c r="M192" s="3214"/>
      <c r="N192" s="1466"/>
      <c r="O192" s="835"/>
      <c r="P192" s="835"/>
      <c r="Q192" s="1549" t="str">
        <f t="shared" si="18"/>
        <v/>
      </c>
      <c r="R192" s="1549" t="str">
        <f t="shared" si="19"/>
        <v/>
      </c>
      <c r="S192" s="1549" t="str">
        <f t="shared" si="20"/>
        <v/>
      </c>
      <c r="T192" s="1549" t="str">
        <f t="shared" si="21"/>
        <v/>
      </c>
      <c r="V192" s="1558">
        <f t="shared" ca="1" si="22"/>
        <v>0</v>
      </c>
      <c r="W192" s="1559">
        <f t="shared" si="23"/>
        <v>0</v>
      </c>
      <c r="X192" s="1559">
        <f t="shared" ca="1" si="24"/>
        <v>0</v>
      </c>
      <c r="Y192" s="1549"/>
      <c r="Z192" s="1549"/>
      <c r="AA192" s="1549"/>
      <c r="AB192" s="1549"/>
      <c r="AC192" s="1549"/>
      <c r="AD192" s="1549"/>
      <c r="AE192" s="596"/>
      <c r="AF192" s="3205"/>
      <c r="AG192" s="3206"/>
      <c r="AH192" s="1422"/>
      <c r="AI192" s="931"/>
      <c r="AJ192" s="931"/>
      <c r="AK192" s="1424"/>
      <c r="AO192" s="604"/>
      <c r="BC192" s="2292"/>
      <c r="BF192" s="2345">
        <f t="shared" si="29"/>
        <v>0</v>
      </c>
      <c r="BG192" s="2345">
        <f t="shared" si="29"/>
        <v>0</v>
      </c>
      <c r="BH192" s="2345">
        <f t="shared" si="29"/>
        <v>0</v>
      </c>
      <c r="BI192" s="2345" t="str">
        <f>IF(BG192&lt;&gt;"",IFERROR(MATCH(BG192&amp;BH192,'Results from Trace'!$L$1:$L$21,0),""),"")</f>
        <v/>
      </c>
    </row>
    <row r="193" spans="1:61" ht="16.149999999999999" customHeight="1" x14ac:dyDescent="0.25">
      <c r="A193" s="1271" t="s">
        <v>1298</v>
      </c>
      <c r="B193" s="3215" t="s">
        <v>470</v>
      </c>
      <c r="C193" s="3215"/>
      <c r="D193" s="3209" t="s">
        <v>465</v>
      </c>
      <c r="E193" s="3207" t="s">
        <v>464</v>
      </c>
      <c r="F193" s="1464" t="str">
        <f>IFERROR(IF(ISBLANK(E193),"","Consumption (" &amp; VLOOKUP($E193,PO_Enrgy_1_Table,MATCH($C$16,PO_Enrgy_1_Hdr,0),FALSE) &amp; ")"),"")</f>
        <v>Consumption (kWh)</v>
      </c>
      <c r="G193" s="2375"/>
      <c r="H193" s="1382" t="str">
        <f t="shared" ca="1" si="28"/>
        <v/>
      </c>
      <c r="I193" s="2373" t="str">
        <f t="shared" ca="1" si="26"/>
        <v/>
      </c>
      <c r="J193" s="3210" t="str">
        <f ca="1">IFERROR(IF($E$327-$H$327&lt;0,"",($G193-$H193)*VLOOKUP($E193,PO_Enrgy_1_Table,MATCH($K$16,PO_Enrgy_1_Hdr,0),FALSE)/($E$327-$H$327)),"")</f>
        <v/>
      </c>
      <c r="K193" s="3212" t="str">
        <f ca="1">IFERROR(IF($G$327-$J$327&lt;0,"",($G193*VLOOKUP($E193,PO_Enrgy_8_Table,MATCH($E$232,PO_Enrgy_8_Hdr,0),FALSE)-($H193*VLOOKUP($E193,PO_Enrgy_8_Table,MATCH($H$232,PO_Enrgy_8_Hdr,0),FALSE)))/($G$327-$J$327)),"")</f>
        <v/>
      </c>
      <c r="L193" s="3212"/>
      <c r="M193" s="3213" t="str">
        <f ca="1">IFERROR(H193*VLOOKUP($E193,PO_Enrgy_1_Table,MATCH($K$16,PO_Enrgy_1_Hdr,0))/$H$227,"")</f>
        <v/>
      </c>
      <c r="N193" s="1466"/>
      <c r="O193" s="835"/>
      <c r="P193" s="835"/>
      <c r="Q193" s="1549">
        <f t="shared" si="18"/>
        <v>3.4120000000000001E-3</v>
      </c>
      <c r="R193" s="1549">
        <f t="shared" si="19"/>
        <v>1.0713680000000001E-2</v>
      </c>
      <c r="S193" s="1549" t="str">
        <f t="shared" si="20"/>
        <v/>
      </c>
      <c r="T193" s="1549" t="str">
        <f t="shared" ca="1" si="21"/>
        <v/>
      </c>
      <c r="V193" s="1558">
        <f t="shared" ca="1" si="22"/>
        <v>0</v>
      </c>
      <c r="W193" s="1559">
        <f t="shared" si="23"/>
        <v>0</v>
      </c>
      <c r="X193" s="1559">
        <f t="shared" ca="1" si="24"/>
        <v>0</v>
      </c>
      <c r="Y193" s="1549" t="b">
        <f ca="1">IFERROR(IF(D193="x",IF(OR(G193/H193&gt;1.03,G193/H193&lt;0.97),TRUE,FALSE),FALSE),FALSE)</f>
        <v>0</v>
      </c>
      <c r="Z193" s="1549">
        <f ca="1">IFERROR(J193*100,)</f>
        <v>0</v>
      </c>
      <c r="AA193" s="1549"/>
      <c r="AB193" s="1549">
        <f ca="1">RANK(Z193,$Z$171:$Z$218,0)</f>
        <v>7</v>
      </c>
      <c r="AC193" s="1549">
        <f ca="1">AB193+COUNTIF($AB$171:$AB192,AB193)</f>
        <v>12</v>
      </c>
      <c r="AD193" s="1549" t="str">
        <f>B193</f>
        <v>Interior lighting - process</v>
      </c>
      <c r="AE193" s="1421"/>
      <c r="AF193" s="3205"/>
      <c r="AG193" s="3206"/>
      <c r="AH193" s="1422"/>
      <c r="AI193" s="931"/>
      <c r="AJ193" s="931"/>
      <c r="AK193" s="1423"/>
      <c r="AO193" s="604"/>
      <c r="BC193" s="2292"/>
      <c r="BF193" s="2345">
        <f t="shared" si="29"/>
        <v>0</v>
      </c>
      <c r="BG193" s="2345">
        <f t="shared" si="29"/>
        <v>0</v>
      </c>
      <c r="BH193" s="2345">
        <f t="shared" si="29"/>
        <v>0</v>
      </c>
      <c r="BI193" s="2345" t="str">
        <f>IF(BG193&lt;&gt;"",IFERROR(MATCH(BG193&amp;BH193,'Results from Trace'!$L$1:$L$21,0),""),"")</f>
        <v/>
      </c>
    </row>
    <row r="194" spans="1:61" ht="16.149999999999999" customHeight="1" x14ac:dyDescent="0.25">
      <c r="A194" s="1271" t="s">
        <v>1298</v>
      </c>
      <c r="B194" s="3215"/>
      <c r="C194" s="3215"/>
      <c r="D194" s="3209"/>
      <c r="E194" s="3207"/>
      <c r="F194" s="1464" t="str">
        <f>IFERROR(IF(ISBLANK(E193),"","Demand (" &amp; VLOOKUP($E193,PO_Enrgy_1_Table,MATCH($E$16,PO_Enrgy_1_Hdr,0),FALSE) &amp; ")"),"")</f>
        <v>Demand (kW)</v>
      </c>
      <c r="G194" s="2376"/>
      <c r="H194" s="1382" t="str">
        <f t="shared" ca="1" si="28"/>
        <v/>
      </c>
      <c r="I194" s="1468" t="str">
        <f t="shared" ca="1" si="26"/>
        <v/>
      </c>
      <c r="J194" s="3211"/>
      <c r="K194" s="3212"/>
      <c r="L194" s="3212"/>
      <c r="M194" s="3214"/>
      <c r="N194" s="1466"/>
      <c r="O194" s="835"/>
      <c r="P194" s="835"/>
      <c r="Q194" s="1549" t="str">
        <f t="shared" si="18"/>
        <v/>
      </c>
      <c r="R194" s="1549" t="str">
        <f t="shared" si="19"/>
        <v/>
      </c>
      <c r="S194" s="1549" t="str">
        <f t="shared" si="20"/>
        <v/>
      </c>
      <c r="T194" s="1549" t="str">
        <f t="shared" si="21"/>
        <v/>
      </c>
      <c r="V194" s="1558">
        <f t="shared" ca="1" si="22"/>
        <v>0</v>
      </c>
      <c r="W194" s="1559">
        <f t="shared" si="23"/>
        <v>0</v>
      </c>
      <c r="X194" s="1559">
        <f t="shared" ca="1" si="24"/>
        <v>0</v>
      </c>
      <c r="Y194" s="1549"/>
      <c r="Z194" s="1549"/>
      <c r="AA194" s="1549"/>
      <c r="AB194" s="1549"/>
      <c r="AC194" s="1549"/>
      <c r="AD194" s="1549"/>
      <c r="AE194" s="596"/>
      <c r="AF194" s="3205"/>
      <c r="AG194" s="3206"/>
      <c r="AH194" s="1277"/>
      <c r="AI194" s="931"/>
      <c r="AJ194" s="931"/>
      <c r="AK194" s="1424"/>
      <c r="AO194" s="604"/>
      <c r="BC194" s="2292"/>
      <c r="BF194" s="2345">
        <f t="shared" si="29"/>
        <v>0</v>
      </c>
      <c r="BG194" s="2345">
        <f t="shared" si="29"/>
        <v>0</v>
      </c>
      <c r="BH194" s="2345">
        <f t="shared" si="29"/>
        <v>0</v>
      </c>
      <c r="BI194" s="2345" t="str">
        <f>IF(BG194&lt;&gt;"",IFERROR(MATCH(BG194&amp;BH194,'Results from Trace'!$L$1:$L$21,0),""),"")</f>
        <v/>
      </c>
    </row>
    <row r="195" spans="1:61" ht="16.149999999999999" customHeight="1" x14ac:dyDescent="0.25">
      <c r="A195" s="1271" t="s">
        <v>1298</v>
      </c>
      <c r="B195" s="3215" t="s">
        <v>427</v>
      </c>
      <c r="C195" s="3215"/>
      <c r="D195" s="3209" t="s">
        <v>465</v>
      </c>
      <c r="E195" s="3207" t="s">
        <v>464</v>
      </c>
      <c r="F195" s="1464" t="str">
        <f>IFERROR(IF(ISBLANK(E195),"","Consumption (" &amp; VLOOKUP($E195,PO_Enrgy_1_Table,MATCH($C$16,PO_Enrgy_1_Hdr,0),FALSE) &amp; ")"),"")</f>
        <v>Consumption (kWh)</v>
      </c>
      <c r="G195" s="2375"/>
      <c r="H195" s="1382" t="str">
        <f t="shared" ca="1" si="28"/>
        <v/>
      </c>
      <c r="I195" s="2373" t="str">
        <f t="shared" ca="1" si="26"/>
        <v/>
      </c>
      <c r="J195" s="3210" t="str">
        <f ca="1">IFERROR(IF($E$327-$H$327&lt;0,"",($G195-$H195)*VLOOKUP($E195,PO_Enrgy_1_Table,MATCH($K$16,PO_Enrgy_1_Hdr,0),FALSE)/($E$327-$H$327)),"")</f>
        <v/>
      </c>
      <c r="K195" s="3212" t="str">
        <f ca="1">IFERROR(IF($G$327-$J$327&lt;0,"",($G195*VLOOKUP($E195,PO_Enrgy_8_Table,MATCH($E$232,PO_Enrgy_8_Hdr,0),FALSE)-($H195*VLOOKUP($E195,PO_Enrgy_8_Table,MATCH($H$232,PO_Enrgy_8_Hdr,0),FALSE)))/($G$327-$J$327)),"")</f>
        <v/>
      </c>
      <c r="L195" s="3212"/>
      <c r="M195" s="3213" t="str">
        <f ca="1">IFERROR(H195*VLOOKUP($E195,PO_Enrgy_1_Table,MATCH($K$16,PO_Enrgy_1_Hdr,0))/$H$227,"")</f>
        <v/>
      </c>
      <c r="N195" s="1466"/>
      <c r="O195" s="835"/>
      <c r="P195" s="835"/>
      <c r="Q195" s="1549">
        <f t="shared" si="18"/>
        <v>3.4120000000000001E-3</v>
      </c>
      <c r="R195" s="1549">
        <f t="shared" si="19"/>
        <v>1.0713680000000001E-2</v>
      </c>
      <c r="S195" s="1549" t="str">
        <f t="shared" si="20"/>
        <v/>
      </c>
      <c r="T195" s="1549" t="str">
        <f t="shared" ca="1" si="21"/>
        <v/>
      </c>
      <c r="V195" s="1558">
        <f t="shared" ca="1" si="22"/>
        <v>0</v>
      </c>
      <c r="W195" s="1559">
        <f t="shared" si="23"/>
        <v>0</v>
      </c>
      <c r="X195" s="1559">
        <f t="shared" ca="1" si="24"/>
        <v>0</v>
      </c>
      <c r="Y195" s="1549" t="b">
        <f ca="1">IFERROR(IF(D195="x",IF(OR(G195/H195&gt;1.03,G195/H195&lt;0.97),TRUE,FALSE),FALSE),FALSE)</f>
        <v>0</v>
      </c>
      <c r="Z195" s="1549">
        <f ca="1">IFERROR(J195*100,)</f>
        <v>0</v>
      </c>
      <c r="AA195" s="1549"/>
      <c r="AB195" s="1549">
        <f ca="1">RANK(Z195,$Z$171:$Z$218,0)</f>
        <v>7</v>
      </c>
      <c r="AC195" s="1549">
        <f ca="1">AB195+COUNTIF($AB$171:$AB194,AB195)</f>
        <v>13</v>
      </c>
      <c r="AD195" s="1549" t="str">
        <f>B195</f>
        <v>Refrigeration equipment</v>
      </c>
      <c r="AE195" s="1421"/>
      <c r="AF195" s="3205"/>
      <c r="AG195" s="3206"/>
      <c r="AH195" s="1422"/>
      <c r="AI195" s="931"/>
      <c r="AJ195" s="931"/>
      <c r="AK195" s="1423"/>
      <c r="AO195" s="604"/>
      <c r="BC195" s="2292"/>
      <c r="BF195" s="2345">
        <f t="shared" si="29"/>
        <v>0</v>
      </c>
      <c r="BG195" s="2345">
        <f t="shared" si="29"/>
        <v>0</v>
      </c>
      <c r="BH195" s="2345">
        <f t="shared" si="29"/>
        <v>0</v>
      </c>
      <c r="BI195" s="2345" t="str">
        <f>IF(BG195&lt;&gt;"",IFERROR(MATCH(BG195&amp;BH195,'Results from Trace'!$L$1:$L$21,0),""),"")</f>
        <v/>
      </c>
    </row>
    <row r="196" spans="1:61" ht="16.149999999999999" customHeight="1" x14ac:dyDescent="0.25">
      <c r="A196" s="1271" t="s">
        <v>1298</v>
      </c>
      <c r="B196" s="3215"/>
      <c r="C196" s="3215"/>
      <c r="D196" s="3209"/>
      <c r="E196" s="3207"/>
      <c r="F196" s="1464" t="str">
        <f>IFERROR(IF(ISBLANK(E195),"","Demand (" &amp; VLOOKUP($E195,PO_Enrgy_1_Table,MATCH($E$16,PO_Enrgy_1_Hdr,0),FALSE) &amp; ")"),"")</f>
        <v>Demand (kW)</v>
      </c>
      <c r="G196" s="2376"/>
      <c r="H196" s="1382" t="str">
        <f t="shared" ca="1" si="28"/>
        <v/>
      </c>
      <c r="I196" s="1468" t="str">
        <f t="shared" ca="1" si="26"/>
        <v/>
      </c>
      <c r="J196" s="3211"/>
      <c r="K196" s="3212"/>
      <c r="L196" s="3212"/>
      <c r="M196" s="3214"/>
      <c r="N196" s="1466"/>
      <c r="O196" s="835"/>
      <c r="P196" s="835"/>
      <c r="Q196" s="1549" t="str">
        <f t="shared" si="18"/>
        <v/>
      </c>
      <c r="R196" s="1549" t="str">
        <f t="shared" si="19"/>
        <v/>
      </c>
      <c r="S196" s="1549" t="str">
        <f t="shared" si="20"/>
        <v/>
      </c>
      <c r="T196" s="1549" t="str">
        <f t="shared" si="21"/>
        <v/>
      </c>
      <c r="V196" s="1558">
        <f t="shared" ca="1" si="22"/>
        <v>0</v>
      </c>
      <c r="W196" s="1559">
        <f t="shared" si="23"/>
        <v>0</v>
      </c>
      <c r="X196" s="1559">
        <f t="shared" ca="1" si="24"/>
        <v>0</v>
      </c>
      <c r="Y196" s="1549"/>
      <c r="Z196" s="1549"/>
      <c r="AA196" s="1549"/>
      <c r="AB196" s="1549"/>
      <c r="AC196" s="1549"/>
      <c r="AD196" s="1549"/>
      <c r="AE196" s="596"/>
      <c r="AF196" s="3205"/>
      <c r="AG196" s="3206"/>
      <c r="AH196" s="1277"/>
      <c r="AI196" s="931"/>
      <c r="AJ196" s="931"/>
      <c r="AK196" s="1424"/>
      <c r="AO196" s="604"/>
      <c r="BC196" s="2292"/>
      <c r="BF196" s="2345">
        <f t="shared" si="29"/>
        <v>0</v>
      </c>
      <c r="BG196" s="2345">
        <f t="shared" si="29"/>
        <v>0</v>
      </c>
      <c r="BH196" s="2345">
        <f t="shared" si="29"/>
        <v>0</v>
      </c>
      <c r="BI196" s="2345" t="str">
        <f>IF(BG196&lt;&gt;"",IFERROR(MATCH(BG196&amp;BH196,'Results from Trace'!$L$1:$L$21,0),""),"")</f>
        <v/>
      </c>
    </row>
    <row r="197" spans="1:61" ht="16.149999999999999" customHeight="1" x14ac:dyDescent="0.25">
      <c r="A197" s="1271" t="s">
        <v>1298</v>
      </c>
      <c r="B197" s="3215" t="s">
        <v>469</v>
      </c>
      <c r="C197" s="3215"/>
      <c r="D197" s="3209" t="s">
        <v>465</v>
      </c>
      <c r="E197" s="3207" t="s">
        <v>464</v>
      </c>
      <c r="F197" s="1464" t="str">
        <f>IFERROR(IF(ISBLANK(E197),"","Consumption (" &amp; VLOOKUP($E197,PO_Enrgy_1_Table,MATCH($C$16,PO_Enrgy_1_Hdr,0),FALSE) &amp; ")"),"")</f>
        <v>Consumption (kWh)</v>
      </c>
      <c r="G197" s="2375"/>
      <c r="H197" s="1382" t="str">
        <f t="shared" ca="1" si="28"/>
        <v/>
      </c>
      <c r="I197" s="2373" t="str">
        <f t="shared" ca="1" si="26"/>
        <v/>
      </c>
      <c r="J197" s="3210" t="str">
        <f ca="1">IFERROR(IF($E$327-$H$327&lt;0,"",($G197-$H197)*VLOOKUP($E197,PO_Enrgy_1_Table,MATCH($K$16,PO_Enrgy_1_Hdr,0),FALSE)/($E$327-$H$327)),"")</f>
        <v/>
      </c>
      <c r="K197" s="3212" t="str">
        <f ca="1">IFERROR(IF($G$327-$J$327&lt;0,"",($G197*VLOOKUP($E197,PO_Enrgy_8_Table,MATCH($E$232,PO_Enrgy_8_Hdr,0),FALSE)-($H197*VLOOKUP($E197,PO_Enrgy_8_Table,MATCH($H$232,PO_Enrgy_8_Hdr,0),FALSE)))/($G$327-$J$327)),"")</f>
        <v/>
      </c>
      <c r="L197" s="3212"/>
      <c r="M197" s="3213" t="str">
        <f ca="1">IFERROR(H197*VLOOKUP($E197,PO_Enrgy_1_Table,MATCH($K$16,PO_Enrgy_1_Hdr,0))/$H$227,"")</f>
        <v/>
      </c>
      <c r="N197" s="1466"/>
      <c r="O197" s="835"/>
      <c r="P197" s="835"/>
      <c r="Q197" s="1549">
        <f t="shared" si="18"/>
        <v>3.4120000000000001E-3</v>
      </c>
      <c r="R197" s="1549">
        <f t="shared" si="19"/>
        <v>1.0713680000000001E-2</v>
      </c>
      <c r="S197" s="1549" t="str">
        <f t="shared" si="20"/>
        <v/>
      </c>
      <c r="T197" s="1549" t="str">
        <f t="shared" ca="1" si="21"/>
        <v/>
      </c>
      <c r="V197" s="1558">
        <f t="shared" ca="1" si="22"/>
        <v>0</v>
      </c>
      <c r="W197" s="1559">
        <f t="shared" si="23"/>
        <v>0</v>
      </c>
      <c r="X197" s="1559">
        <f t="shared" ca="1" si="24"/>
        <v>0</v>
      </c>
      <c r="Y197" s="1549" t="b">
        <f ca="1">IFERROR(IF(D197="x",IF(OR(G197/H197&gt;1.03,G197/H197&lt;0.97),TRUE,FALSE),FALSE),FALSE)</f>
        <v>0</v>
      </c>
      <c r="Z197" s="1549">
        <f ca="1">IFERROR(J197*100,)</f>
        <v>0</v>
      </c>
      <c r="AA197" s="1549"/>
      <c r="AB197" s="1549">
        <f ca="1">RANK(Z197,$Z$171:$Z$218,0)</f>
        <v>7</v>
      </c>
      <c r="AC197" s="1549">
        <f ca="1">AB197+COUNTIF($AB$171:$AB196,AB197)</f>
        <v>14</v>
      </c>
      <c r="AD197" s="1549" t="str">
        <f>B197</f>
        <v>Fans - Kitchen Ventilation</v>
      </c>
      <c r="AE197" s="1421"/>
      <c r="AF197" s="3205"/>
      <c r="AG197" s="3206"/>
      <c r="AH197" s="1422"/>
      <c r="AI197" s="931"/>
      <c r="AJ197" s="931"/>
      <c r="AK197" s="1423"/>
      <c r="AO197" s="604"/>
      <c r="BC197" s="2292"/>
      <c r="BF197" s="2345">
        <f t="shared" si="29"/>
        <v>0</v>
      </c>
      <c r="BG197" s="2345">
        <f t="shared" si="29"/>
        <v>0</v>
      </c>
      <c r="BH197" s="2345">
        <f t="shared" si="29"/>
        <v>0</v>
      </c>
      <c r="BI197" s="2345" t="str">
        <f>IF(BG197&lt;&gt;"",IFERROR(MATCH(BG197&amp;BH197,'Results from Trace'!$L$1:$L$21,0),""),"")</f>
        <v/>
      </c>
    </row>
    <row r="198" spans="1:61" ht="16.149999999999999" customHeight="1" x14ac:dyDescent="0.25">
      <c r="A198" s="1271" t="s">
        <v>1298</v>
      </c>
      <c r="B198" s="3215"/>
      <c r="C198" s="3215"/>
      <c r="D198" s="3209"/>
      <c r="E198" s="3207"/>
      <c r="F198" s="1464" t="str">
        <f>IFERROR(IF(ISBLANK(E197),"","Demand (" &amp; VLOOKUP($E197,PO_Enrgy_1_Table,MATCH($E$16,PO_Enrgy_1_Hdr,0),FALSE) &amp; ")"),"")</f>
        <v>Demand (kW)</v>
      </c>
      <c r="G198" s="2376"/>
      <c r="H198" s="1382" t="str">
        <f t="shared" ca="1" si="28"/>
        <v/>
      </c>
      <c r="I198" s="1468" t="str">
        <f t="shared" ca="1" si="26"/>
        <v/>
      </c>
      <c r="J198" s="3211"/>
      <c r="K198" s="3212"/>
      <c r="L198" s="3212"/>
      <c r="M198" s="3214"/>
      <c r="N198" s="1466"/>
      <c r="O198" s="835"/>
      <c r="P198" s="835"/>
      <c r="Q198" s="1549" t="str">
        <f t="shared" si="18"/>
        <v/>
      </c>
      <c r="R198" s="1549" t="str">
        <f t="shared" si="19"/>
        <v/>
      </c>
      <c r="S198" s="1549" t="str">
        <f t="shared" si="20"/>
        <v/>
      </c>
      <c r="T198" s="1549" t="str">
        <f t="shared" si="21"/>
        <v/>
      </c>
      <c r="V198" s="1558">
        <f t="shared" ca="1" si="22"/>
        <v>0</v>
      </c>
      <c r="W198" s="1559">
        <f t="shared" si="23"/>
        <v>0</v>
      </c>
      <c r="X198" s="1559">
        <f t="shared" ca="1" si="24"/>
        <v>0</v>
      </c>
      <c r="Y198" s="1549"/>
      <c r="Z198" s="1549"/>
      <c r="AA198" s="1549"/>
      <c r="AB198" s="1549"/>
      <c r="AC198" s="1549"/>
      <c r="AD198" s="1549"/>
      <c r="AE198" s="596"/>
      <c r="AF198" s="3205"/>
      <c r="AG198" s="3206"/>
      <c r="AH198" s="1277"/>
      <c r="AI198" s="931"/>
      <c r="AJ198" s="931"/>
      <c r="AK198" s="1424"/>
      <c r="AO198" s="604"/>
      <c r="BC198" s="2292"/>
      <c r="BF198" s="2345">
        <f t="shared" si="29"/>
        <v>0</v>
      </c>
      <c r="BG198" s="2345">
        <f t="shared" si="29"/>
        <v>0</v>
      </c>
      <c r="BH198" s="2345">
        <f t="shared" si="29"/>
        <v>0</v>
      </c>
      <c r="BI198" s="2345" t="str">
        <f>IF(BG198&lt;&gt;"",IFERROR(MATCH(BG198&amp;BH198,'Results from Trace'!$L$1:$L$21,0),""),"")</f>
        <v/>
      </c>
    </row>
    <row r="199" spans="1:61" ht="16.149999999999999" customHeight="1" x14ac:dyDescent="0.25">
      <c r="A199" s="1271" t="s">
        <v>1298</v>
      </c>
      <c r="B199" s="3215" t="s">
        <v>468</v>
      </c>
      <c r="C199" s="3215"/>
      <c r="D199" s="3209" t="s">
        <v>465</v>
      </c>
      <c r="E199" s="3207" t="s">
        <v>464</v>
      </c>
      <c r="F199" s="1464" t="str">
        <f>IFERROR(IF(ISBLANK(E199),"","Consumption (" &amp; VLOOKUP($E199,PO_Enrgy_1_Table,MATCH($C$16,PO_Enrgy_1_Hdr,0),FALSE) &amp; ")"),"")</f>
        <v>Consumption (kWh)</v>
      </c>
      <c r="G199" s="2375"/>
      <c r="H199" s="1382" t="str">
        <f t="shared" ca="1" si="28"/>
        <v/>
      </c>
      <c r="I199" s="2373" t="str">
        <f t="shared" ca="1" si="26"/>
        <v/>
      </c>
      <c r="J199" s="3210" t="str">
        <f ca="1">IFERROR(IF($E$327-$H$327&lt;0,"",($G199-$H199)*VLOOKUP($E199,PO_Enrgy_1_Table,MATCH($K$16,PO_Enrgy_1_Hdr,0),FALSE)/($E$327-$H$327)),"")</f>
        <v/>
      </c>
      <c r="K199" s="3212" t="str">
        <f ca="1">IFERROR(IF($G$327-$J$327&lt;0,"",($G199*VLOOKUP($E199,PO_Enrgy_8_Table,MATCH($E$232,PO_Enrgy_8_Hdr,0),FALSE)-($H199*VLOOKUP($E199,PO_Enrgy_8_Table,MATCH($H$232,PO_Enrgy_8_Hdr,0),FALSE)))/($G$327-$J$327)),"")</f>
        <v/>
      </c>
      <c r="L199" s="3212"/>
      <c r="M199" s="3213" t="str">
        <f ca="1">IFERROR(H199*VLOOKUP($E199,PO_Enrgy_1_Table,MATCH($K$16,PO_Enrgy_1_Hdr,0))/$H$227,"")</f>
        <v/>
      </c>
      <c r="N199" s="1466"/>
      <c r="O199" s="835"/>
      <c r="P199" s="835"/>
      <c r="Q199" s="1549">
        <f t="shared" si="18"/>
        <v>3.4120000000000001E-3</v>
      </c>
      <c r="R199" s="1549">
        <f t="shared" si="19"/>
        <v>1.0713680000000001E-2</v>
      </c>
      <c r="S199" s="1549" t="str">
        <f t="shared" si="20"/>
        <v/>
      </c>
      <c r="T199" s="1549" t="str">
        <f t="shared" ca="1" si="21"/>
        <v/>
      </c>
      <c r="V199" s="1558">
        <f t="shared" ca="1" si="22"/>
        <v>0</v>
      </c>
      <c r="W199" s="1559">
        <f t="shared" si="23"/>
        <v>0</v>
      </c>
      <c r="X199" s="1559">
        <f t="shared" ca="1" si="24"/>
        <v>0</v>
      </c>
      <c r="Y199" s="1549" t="b">
        <f ca="1">IFERROR(IF(D199="x",IF(OR(G199/H199&gt;1.03,G199/H199&lt;0.97),TRUE,FALSE),FALSE),FALSE)</f>
        <v>0</v>
      </c>
      <c r="Z199" s="1549">
        <f ca="1">IFERROR(J199*100,)</f>
        <v>0</v>
      </c>
      <c r="AA199" s="1549"/>
      <c r="AB199" s="1549">
        <f ca="1">RANK(Z199,$Z$171:$Z$218,0)</f>
        <v>7</v>
      </c>
      <c r="AC199" s="1549">
        <f ca="1">AB199+COUNTIF($AB$171:$AB198,AB199)</f>
        <v>15</v>
      </c>
      <c r="AD199" s="1549" t="str">
        <f>B199</f>
        <v>Cooking</v>
      </c>
      <c r="AE199" s="1421"/>
      <c r="AF199" s="3205"/>
      <c r="AG199" s="3206"/>
      <c r="AH199" s="1422"/>
      <c r="AI199" s="931"/>
      <c r="AJ199" s="931"/>
      <c r="AK199" s="1423"/>
      <c r="AO199" s="604"/>
      <c r="BC199" s="2292"/>
      <c r="BF199" s="2345">
        <f t="shared" si="29"/>
        <v>0</v>
      </c>
      <c r="BG199" s="2345">
        <f t="shared" si="29"/>
        <v>0</v>
      </c>
      <c r="BH199" s="2345">
        <f t="shared" si="29"/>
        <v>0</v>
      </c>
      <c r="BI199" s="2345" t="str">
        <f>IF(BG199&lt;&gt;"",IFERROR(MATCH(BG199&amp;BH199,'Results from Trace'!$L$1:$L$21,0),""),"")</f>
        <v/>
      </c>
    </row>
    <row r="200" spans="1:61" ht="16.149999999999999" customHeight="1" x14ac:dyDescent="0.25">
      <c r="A200" s="1271" t="s">
        <v>1298</v>
      </c>
      <c r="B200" s="3215"/>
      <c r="C200" s="3215"/>
      <c r="D200" s="3209"/>
      <c r="E200" s="3207"/>
      <c r="F200" s="1464" t="str">
        <f>IFERROR(IF(ISBLANK(E199),"","Demand (" &amp; VLOOKUP($E199,PO_Enrgy_1_Table,MATCH($E$16,PO_Enrgy_1_Hdr,0),FALSE) &amp; ")"),"")</f>
        <v>Demand (kW)</v>
      </c>
      <c r="G200" s="2376"/>
      <c r="H200" s="1382" t="str">
        <f t="shared" ca="1" si="28"/>
        <v/>
      </c>
      <c r="I200" s="1468" t="str">
        <f t="shared" ca="1" si="26"/>
        <v/>
      </c>
      <c r="J200" s="3211"/>
      <c r="K200" s="3212"/>
      <c r="L200" s="3212"/>
      <c r="M200" s="3214"/>
      <c r="N200" s="1466"/>
      <c r="O200" s="835"/>
      <c r="P200" s="835"/>
      <c r="Q200" s="1549" t="str">
        <f t="shared" si="18"/>
        <v/>
      </c>
      <c r="R200" s="1549" t="str">
        <f t="shared" si="19"/>
        <v/>
      </c>
      <c r="S200" s="1549" t="str">
        <f t="shared" si="20"/>
        <v/>
      </c>
      <c r="T200" s="1549" t="str">
        <f t="shared" si="21"/>
        <v/>
      </c>
      <c r="V200" s="1558">
        <f t="shared" ca="1" si="22"/>
        <v>0</v>
      </c>
      <c r="W200" s="1559">
        <f t="shared" si="23"/>
        <v>0</v>
      </c>
      <c r="X200" s="1559">
        <f t="shared" ca="1" si="24"/>
        <v>0</v>
      </c>
      <c r="Y200" s="1549"/>
      <c r="Z200" s="1549"/>
      <c r="AA200" s="1549"/>
      <c r="AB200" s="1549"/>
      <c r="AC200" s="1549"/>
      <c r="AD200" s="1549"/>
      <c r="AE200" s="596"/>
      <c r="AF200" s="3205"/>
      <c r="AG200" s="3206"/>
      <c r="AH200" s="1277"/>
      <c r="AI200" s="931"/>
      <c r="AJ200" s="931"/>
      <c r="AK200" s="1424"/>
      <c r="AO200" s="604"/>
      <c r="BC200" s="2292"/>
      <c r="BF200" s="2345">
        <f t="shared" si="29"/>
        <v>0</v>
      </c>
      <c r="BG200" s="2345">
        <f t="shared" si="29"/>
        <v>0</v>
      </c>
      <c r="BH200" s="2345">
        <f t="shared" si="29"/>
        <v>0</v>
      </c>
      <c r="BI200" s="2345" t="str">
        <f>IF(BG200&lt;&gt;"",IFERROR(MATCH(BG200&amp;BH200,'Results from Trace'!$L$1:$L$21,0),""),"")</f>
        <v/>
      </c>
    </row>
    <row r="201" spans="1:61" ht="16.149999999999999" customHeight="1" x14ac:dyDescent="0.25">
      <c r="A201" s="1271" t="s">
        <v>1298</v>
      </c>
      <c r="B201" s="3215" t="s">
        <v>467</v>
      </c>
      <c r="C201" s="3215"/>
      <c r="D201" s="3209" t="s">
        <v>465</v>
      </c>
      <c r="E201" s="3207" t="s">
        <v>464</v>
      </c>
      <c r="F201" s="1464" t="str">
        <f>IFERROR(IF(ISBLANK(E201),"","Consumption (" &amp; VLOOKUP($E201,PO_Enrgy_1_Table,MATCH($C$16,PO_Enrgy_1_Hdr,0),FALSE) &amp; ")"),"")</f>
        <v>Consumption (kWh)</v>
      </c>
      <c r="G201" s="2375"/>
      <c r="H201" s="1382" t="str">
        <f t="shared" ca="1" si="28"/>
        <v/>
      </c>
      <c r="I201" s="2373" t="str">
        <f t="shared" ca="1" si="26"/>
        <v/>
      </c>
      <c r="J201" s="3210" t="str">
        <f ca="1">IFERROR(IF($E$327-$H$327&lt;0,"",($G201-$H201)*VLOOKUP($E201,PO_Enrgy_1_Table,MATCH($K$16,PO_Enrgy_1_Hdr,0),FALSE)/($E$327-$H$327)),"")</f>
        <v/>
      </c>
      <c r="K201" s="3212" t="str">
        <f ca="1">IFERROR(IF($G$327-$J$327&lt;0,"",($G201*VLOOKUP($E201,PO_Enrgy_8_Table,MATCH($E$232,PO_Enrgy_8_Hdr,0),FALSE)-($H201*VLOOKUP($E201,PO_Enrgy_8_Table,MATCH($H$232,PO_Enrgy_8_Hdr,0),FALSE)))/($G$327-$J$327)),"")</f>
        <v/>
      </c>
      <c r="L201" s="3212"/>
      <c r="M201" s="3213" t="str">
        <f ca="1">IFERROR(H201*VLOOKUP($E201,PO_Enrgy_1_Table,MATCH($K$16,PO_Enrgy_1_Hdr,0))/$H$227,"")</f>
        <v/>
      </c>
      <c r="N201" s="1466"/>
      <c r="O201" s="835"/>
      <c r="P201" s="835"/>
      <c r="Q201" s="1549">
        <f t="shared" si="18"/>
        <v>3.4120000000000001E-3</v>
      </c>
      <c r="R201" s="1549">
        <f t="shared" si="19"/>
        <v>1.0713680000000001E-2</v>
      </c>
      <c r="S201" s="1549" t="str">
        <f t="shared" si="20"/>
        <v/>
      </c>
      <c r="T201" s="1549" t="str">
        <f t="shared" ca="1" si="21"/>
        <v/>
      </c>
      <c r="V201" s="1558">
        <f t="shared" ca="1" si="22"/>
        <v>0</v>
      </c>
      <c r="W201" s="1559">
        <f t="shared" si="23"/>
        <v>0</v>
      </c>
      <c r="X201" s="1559">
        <f t="shared" ca="1" si="24"/>
        <v>0</v>
      </c>
      <c r="Y201" s="1549" t="b">
        <f ca="1">IFERROR(IF(D201="x",IF(OR(G201/H201&gt;1.03,G201/H201&lt;0.97),TRUE,FALSE),FALSE),FALSE)</f>
        <v>0</v>
      </c>
      <c r="Z201" s="1549">
        <f ca="1">IFERROR(J201*100,)</f>
        <v>0</v>
      </c>
      <c r="AA201" s="1549"/>
      <c r="AB201" s="1549">
        <f ca="1">RANK(Z201,$Z$171:$Z$218,0)</f>
        <v>7</v>
      </c>
      <c r="AC201" s="1549">
        <f ca="1">AB201+COUNTIF($AB$171:$AB200,AB201)</f>
        <v>16</v>
      </c>
      <c r="AD201" s="1549" t="str">
        <f>B201</f>
        <v>Industrial Process</v>
      </c>
      <c r="AE201" s="1421"/>
      <c r="AF201" s="3205"/>
      <c r="AG201" s="3206"/>
      <c r="AH201" s="1422"/>
      <c r="AI201" s="931"/>
      <c r="AJ201" s="931"/>
      <c r="AK201" s="1423"/>
      <c r="AO201" s="604"/>
      <c r="BC201" s="2292"/>
      <c r="BF201" s="2345">
        <f t="shared" si="29"/>
        <v>0</v>
      </c>
      <c r="BG201" s="2345">
        <f t="shared" si="29"/>
        <v>0</v>
      </c>
      <c r="BH201" s="2345">
        <f t="shared" si="29"/>
        <v>0</v>
      </c>
      <c r="BI201" s="2345" t="str">
        <f>IF(BG201&lt;&gt;"",IFERROR(MATCH(BG201&amp;BH201,'Results from Trace'!$L$1:$L$21,0),""),"")</f>
        <v/>
      </c>
    </row>
    <row r="202" spans="1:61" ht="16.149999999999999" customHeight="1" x14ac:dyDescent="0.25">
      <c r="A202" s="1271" t="s">
        <v>1298</v>
      </c>
      <c r="B202" s="3215"/>
      <c r="C202" s="3215"/>
      <c r="D202" s="3209"/>
      <c r="E202" s="3207"/>
      <c r="F202" s="1464" t="str">
        <f>IFERROR(IF(ISBLANK(E201),"","Demand (" &amp; VLOOKUP($E201,PO_Enrgy_1_Table,MATCH($E$16,PO_Enrgy_1_Hdr,0),FALSE) &amp; ")"),"")</f>
        <v>Demand (kW)</v>
      </c>
      <c r="G202" s="2376"/>
      <c r="H202" s="1382" t="str">
        <f t="shared" ca="1" si="28"/>
        <v/>
      </c>
      <c r="I202" s="1468" t="str">
        <f t="shared" ca="1" si="26"/>
        <v/>
      </c>
      <c r="J202" s="3211"/>
      <c r="K202" s="3212"/>
      <c r="L202" s="3212"/>
      <c r="M202" s="3214"/>
      <c r="N202" s="1466"/>
      <c r="O202" s="835"/>
      <c r="P202" s="835"/>
      <c r="Q202" s="1549" t="str">
        <f t="shared" si="18"/>
        <v/>
      </c>
      <c r="R202" s="1549" t="str">
        <f t="shared" si="19"/>
        <v/>
      </c>
      <c r="S202" s="1549" t="str">
        <f t="shared" si="20"/>
        <v/>
      </c>
      <c r="T202" s="1549" t="str">
        <f t="shared" si="21"/>
        <v/>
      </c>
      <c r="V202" s="1558">
        <f t="shared" ca="1" si="22"/>
        <v>0</v>
      </c>
      <c r="W202" s="1559">
        <f t="shared" si="23"/>
        <v>0</v>
      </c>
      <c r="X202" s="1559">
        <f t="shared" ca="1" si="24"/>
        <v>0</v>
      </c>
      <c r="Y202" s="1549"/>
      <c r="Z202" s="1549"/>
      <c r="AA202" s="1549"/>
      <c r="AB202" s="1549"/>
      <c r="AC202" s="1549"/>
      <c r="AD202" s="1549"/>
      <c r="AE202" s="596"/>
      <c r="AF202" s="3205"/>
      <c r="AG202" s="3206"/>
      <c r="AH202" s="1277"/>
      <c r="AI202" s="931"/>
      <c r="AJ202" s="931"/>
      <c r="AK202" s="1424"/>
      <c r="AO202" s="604"/>
      <c r="BC202" s="2292"/>
      <c r="BF202" s="2345">
        <f t="shared" si="29"/>
        <v>0</v>
      </c>
      <c r="BG202" s="2345">
        <f t="shared" si="29"/>
        <v>0</v>
      </c>
      <c r="BH202" s="2345">
        <f t="shared" si="29"/>
        <v>0</v>
      </c>
      <c r="BI202" s="2345" t="str">
        <f>IF(BG202&lt;&gt;"",IFERROR(MATCH(BG202&amp;BH202,'Results from Trace'!$L$1:$L$21,0),""),"")</f>
        <v/>
      </c>
    </row>
    <row r="203" spans="1:61" ht="16.149999999999999" customHeight="1" x14ac:dyDescent="0.25">
      <c r="A203" s="1271" t="s">
        <v>1298</v>
      </c>
      <c r="B203" s="3215" t="s">
        <v>466</v>
      </c>
      <c r="C203" s="3215"/>
      <c r="D203" s="3209" t="s">
        <v>465</v>
      </c>
      <c r="E203" s="3207" t="s">
        <v>464</v>
      </c>
      <c r="F203" s="1464" t="str">
        <f>IFERROR(IF(ISBLANK(E203),"","Consumption (" &amp; VLOOKUP($E203,PO_Enrgy_1_Table,MATCH($C$16,PO_Enrgy_1_Hdr,0),FALSE) &amp; ")"),"")</f>
        <v>Consumption (kWh)</v>
      </c>
      <c r="G203" s="2375">
        <v>28949</v>
      </c>
      <c r="H203" s="1382">
        <v>28949</v>
      </c>
      <c r="I203" s="2373">
        <f t="shared" si="26"/>
        <v>0</v>
      </c>
      <c r="J203" s="3210">
        <f ca="1">IFERROR(IF($E$327-$H$327&lt;0,"",($G203-$H203)*VLOOKUP($E203,PO_Enrgy_1_Table,MATCH($K$16,PO_Enrgy_1_Hdr,0),FALSE)/($E$327-$H$327)),"")</f>
        <v>0</v>
      </c>
      <c r="K203" s="3212">
        <f ca="1">IFERROR(IF($G$327-$J$327&lt;0,"",($G203*VLOOKUP($E203,PO_Enrgy_8_Table,MATCH($E$232,PO_Enrgy_8_Hdr,0),FALSE)-($H203*VLOOKUP($E203,PO_Enrgy_8_Table,MATCH($H$232,PO_Enrgy_8_Hdr,0),FALSE)))/($G$327-$J$327)),"")</f>
        <v>8.2214982842145458E-4</v>
      </c>
      <c r="L203" s="3212"/>
      <c r="M203" s="3213">
        <f ca="1">IFERROR(H203*VLOOKUP($E203,PO_Enrgy_1_Table,MATCH($K$16,PO_Enrgy_1_Hdr,0))/$H$227,"")</f>
        <v>0.71227951439178716</v>
      </c>
      <c r="N203" s="1466"/>
      <c r="O203" s="835"/>
      <c r="P203" s="835"/>
      <c r="Q203" s="1549">
        <f t="shared" si="18"/>
        <v>3.4120000000000001E-3</v>
      </c>
      <c r="R203" s="1549">
        <f t="shared" si="19"/>
        <v>1.0713680000000001E-2</v>
      </c>
      <c r="S203" s="1549">
        <f t="shared" si="20"/>
        <v>2244.1085271317829</v>
      </c>
      <c r="T203" s="1549">
        <f t="shared" si="21"/>
        <v>2244.1085271317829</v>
      </c>
      <c r="V203" s="1558">
        <f t="shared" si="22"/>
        <v>0</v>
      </c>
      <c r="W203" s="1559">
        <f t="shared" si="23"/>
        <v>0</v>
      </c>
      <c r="X203" s="1559">
        <f t="shared" si="24"/>
        <v>0</v>
      </c>
      <c r="Y203" s="1549" t="b">
        <f>IFERROR(IF(D203="x",IF(OR(G203/H203&gt;1.03,G203/H203&lt;0.97),TRUE,FALSE),FALSE),FALSE)</f>
        <v>0</v>
      </c>
      <c r="Z203" s="1549">
        <f ca="1">IFERROR(J203*100,)</f>
        <v>0</v>
      </c>
      <c r="AA203" s="1549"/>
      <c r="AB203" s="1549">
        <f ca="1">RANK(Z203,$Z$171:$Z$218,0)</f>
        <v>7</v>
      </c>
      <c r="AC203" s="1549">
        <f ca="1">AB203+COUNTIF($AB$171:$AB202,AB203)</f>
        <v>17</v>
      </c>
      <c r="AD203" s="1549" t="str">
        <f>B203</f>
        <v>Elevators and escalators</v>
      </c>
      <c r="AE203" s="1421"/>
      <c r="AF203" s="3205"/>
      <c r="AG203" s="3206"/>
      <c r="AH203" s="1422"/>
      <c r="AI203" s="931"/>
      <c r="AJ203" s="931"/>
      <c r="AK203" s="1423"/>
      <c r="AO203" s="604"/>
      <c r="BC203" s="2292"/>
      <c r="BF203" s="2345">
        <f t="shared" si="29"/>
        <v>0</v>
      </c>
      <c r="BG203" s="2345">
        <f t="shared" si="29"/>
        <v>0</v>
      </c>
      <c r="BH203" s="2345">
        <f t="shared" si="29"/>
        <v>0</v>
      </c>
      <c r="BI203" s="2345" t="str">
        <f>IF(BG203&lt;&gt;"",IFERROR(MATCH(BG203&amp;BH203,'Results from Trace'!$L$1:$L$21,0),""),"")</f>
        <v/>
      </c>
    </row>
    <row r="204" spans="1:61" ht="16.149999999999999" customHeight="1" x14ac:dyDescent="0.25">
      <c r="A204" s="1271" t="s">
        <v>1298</v>
      </c>
      <c r="B204" s="3215"/>
      <c r="C204" s="3215"/>
      <c r="D204" s="3209"/>
      <c r="E204" s="3207"/>
      <c r="F204" s="1464" t="str">
        <f>IFERROR(IF(ISBLANK(E203),"","Demand (" &amp; VLOOKUP($E203,PO_Enrgy_1_Table,MATCH($E$16,PO_Enrgy_1_Hdr,0),FALSE) &amp; ")"),"")</f>
        <v>Demand (kW)</v>
      </c>
      <c r="G204" s="2376">
        <v>12.9</v>
      </c>
      <c r="H204" s="1382">
        <v>12.9</v>
      </c>
      <c r="I204" s="1468">
        <f t="shared" si="26"/>
        <v>0</v>
      </c>
      <c r="J204" s="3211"/>
      <c r="K204" s="3212"/>
      <c r="L204" s="3212"/>
      <c r="M204" s="3214"/>
      <c r="N204" s="1466"/>
      <c r="O204" s="835"/>
      <c r="P204" s="835"/>
      <c r="Q204" s="1549" t="str">
        <f t="shared" si="18"/>
        <v/>
      </c>
      <c r="R204" s="1549" t="str">
        <f t="shared" si="19"/>
        <v/>
      </c>
      <c r="S204" s="1549" t="str">
        <f t="shared" si="20"/>
        <v/>
      </c>
      <c r="T204" s="1549" t="str">
        <f t="shared" si="21"/>
        <v/>
      </c>
      <c r="V204" s="1558">
        <f t="shared" si="22"/>
        <v>0</v>
      </c>
      <c r="W204" s="1559">
        <f t="shared" si="23"/>
        <v>0</v>
      </c>
      <c r="X204" s="1559">
        <f t="shared" si="24"/>
        <v>0</v>
      </c>
      <c r="Y204" s="1549"/>
      <c r="Z204" s="1549"/>
      <c r="AA204" s="1549"/>
      <c r="AB204" s="1549"/>
      <c r="AC204" s="1549"/>
      <c r="AD204" s="1549"/>
      <c r="AE204" s="596"/>
      <c r="AF204" s="3206"/>
      <c r="AG204" s="3206"/>
      <c r="AH204" s="1277"/>
      <c r="AI204" s="931"/>
      <c r="AJ204" s="931"/>
      <c r="AK204" s="1424"/>
      <c r="AO204" s="604"/>
      <c r="BC204" s="2292"/>
      <c r="BF204" s="2345">
        <f t="shared" ref="BF204:BH219" si="30">BF130</f>
        <v>0</v>
      </c>
      <c r="BG204" s="2345">
        <f t="shared" si="30"/>
        <v>0</v>
      </c>
      <c r="BH204" s="2345">
        <f t="shared" si="30"/>
        <v>0</v>
      </c>
      <c r="BI204" s="2345" t="str">
        <f>IF(BG204&lt;&gt;"",IFERROR(MATCH(BG204&amp;BH204,'Results from Trace'!$L$1:$L$21,0),""),"")</f>
        <v/>
      </c>
    </row>
    <row r="205" spans="1:61" ht="16.149999999999999" customHeight="1" x14ac:dyDescent="0.25">
      <c r="A205" s="1271" t="s">
        <v>1298</v>
      </c>
      <c r="B205" s="3215" t="s">
        <v>1089</v>
      </c>
      <c r="C205" s="3215"/>
      <c r="D205" s="3209"/>
      <c r="E205" s="3207" t="s">
        <v>464</v>
      </c>
      <c r="F205" s="1464" t="str">
        <f>IFERROR(IF(ISBLANK(E205),"","Consumption (" &amp; VLOOKUP($E205,PO_Enrgy_1_Table,MATCH($C$16,PO_Enrgy_1_Hdr,0),FALSE) &amp; ")"),"")</f>
        <v>Consumption (kWh)</v>
      </c>
      <c r="G205" s="2375"/>
      <c r="H205" s="1382" t="str">
        <f t="shared" ca="1" si="28"/>
        <v/>
      </c>
      <c r="I205" s="2373" t="str">
        <f t="shared" ca="1" si="26"/>
        <v/>
      </c>
      <c r="J205" s="3210" t="str">
        <f ca="1">IFERROR(IF($E$327-$H$327&lt;0,"",($G205-$H205)*VLOOKUP($E205,PO_Enrgy_1_Table,MATCH($K$16,PO_Enrgy_1_Hdr,0),FALSE)/($E$327-$H$327)),"")</f>
        <v/>
      </c>
      <c r="K205" s="3212" t="str">
        <f ca="1">IFERROR(IF($G$327-$J$327&lt;0,"",($G205*VLOOKUP($E205,PO_Enrgy_8_Table,MATCH($E$232,PO_Enrgy_8_Hdr,0),FALSE)-($H205*VLOOKUP($E205,PO_Enrgy_8_Table,MATCH($H$232,PO_Enrgy_8_Hdr,0),FALSE)))/($G$327-$J$327)),"")</f>
        <v/>
      </c>
      <c r="L205" s="3212"/>
      <c r="M205" s="3213" t="str">
        <f ca="1">IFERROR(H205*VLOOKUP($E205,PO_Enrgy_1_Table,MATCH($K$16,PO_Enrgy_1_Hdr,0))/$H$227,"")</f>
        <v/>
      </c>
      <c r="N205" s="1466"/>
      <c r="O205" s="835"/>
      <c r="P205" s="835"/>
      <c r="Q205" s="1549">
        <f t="shared" si="18"/>
        <v>3.4120000000000001E-3</v>
      </c>
      <c r="R205" s="1549">
        <f t="shared" si="19"/>
        <v>1.0713680000000001E-2</v>
      </c>
      <c r="S205" s="1549" t="str">
        <f t="shared" si="20"/>
        <v/>
      </c>
      <c r="T205" s="1549" t="str">
        <f t="shared" ca="1" si="21"/>
        <v/>
      </c>
      <c r="V205" s="1558">
        <f t="shared" ca="1" si="22"/>
        <v>0</v>
      </c>
      <c r="W205" s="1559">
        <f t="shared" si="23"/>
        <v>0</v>
      </c>
      <c r="X205" s="1559">
        <f t="shared" ca="1" si="24"/>
        <v>0</v>
      </c>
      <c r="Y205" s="1549" t="b">
        <f>IFERROR(IF(D205="x",IF(OR(G205/H205&gt;1.03,G205/H205&lt;0.97),TRUE,FALSE),FALSE),FALSE)</f>
        <v>0</v>
      </c>
      <c r="Z205" s="1549">
        <f ca="1">IFERROR(J205*100,)</f>
        <v>0</v>
      </c>
      <c r="AA205" s="1549"/>
      <c r="AB205" s="1549">
        <f ca="1">RANK(Z205,$Z$171:$Z$218,0)</f>
        <v>7</v>
      </c>
      <c r="AC205" s="1549">
        <f ca="1">AB205+COUNTIF($AB$171:$AB204,AB205)</f>
        <v>18</v>
      </c>
      <c r="AD205" s="1549" t="str">
        <f>B205</f>
        <v>Heat Pump Supplementary</v>
      </c>
      <c r="AE205" s="1421"/>
      <c r="AF205" s="3205"/>
      <c r="AG205" s="3206"/>
      <c r="AH205" s="1422"/>
      <c r="AI205" s="931"/>
      <c r="AJ205" s="931"/>
      <c r="AK205" s="1423"/>
      <c r="AO205" s="604"/>
      <c r="BC205" s="2292"/>
      <c r="BF205" s="2345" t="str">
        <f t="shared" si="30"/>
        <v>U</v>
      </c>
      <c r="BG205" s="2345">
        <f t="shared" si="30"/>
        <v>0</v>
      </c>
      <c r="BH205" s="2345">
        <f t="shared" si="30"/>
        <v>0</v>
      </c>
      <c r="BI205" s="2345" t="str">
        <f>IF(BG205&lt;&gt;"",IFERROR(MATCH(BG205&amp;BH205,'Results from Trace'!$L$1:$L$21,0),""),"")</f>
        <v/>
      </c>
    </row>
    <row r="206" spans="1:61" ht="16.149999999999999" customHeight="1" x14ac:dyDescent="0.25">
      <c r="A206" s="1271" t="s">
        <v>1298</v>
      </c>
      <c r="B206" s="3215"/>
      <c r="C206" s="3215"/>
      <c r="D206" s="3209"/>
      <c r="E206" s="3207"/>
      <c r="F206" s="1464" t="str">
        <f>IFERROR(IF(ISBLANK(E205),"","Demand (" &amp; VLOOKUP($E205,PO_Enrgy_1_Table,MATCH($E$16,PO_Enrgy_1_Hdr,0),FALSE) &amp; ")"),"")</f>
        <v>Demand (kW)</v>
      </c>
      <c r="G206" s="2376"/>
      <c r="H206" s="1382" t="str">
        <f t="shared" ca="1" si="28"/>
        <v/>
      </c>
      <c r="I206" s="1468" t="str">
        <f t="shared" ca="1" si="26"/>
        <v/>
      </c>
      <c r="J206" s="3211"/>
      <c r="K206" s="3212"/>
      <c r="L206" s="3212"/>
      <c r="M206" s="3214"/>
      <c r="N206" s="1466"/>
      <c r="O206" s="835"/>
      <c r="P206" s="835"/>
      <c r="Q206" s="1549" t="str">
        <f t="shared" si="18"/>
        <v/>
      </c>
      <c r="R206" s="1549" t="str">
        <f t="shared" si="19"/>
        <v/>
      </c>
      <c r="S206" s="1549" t="str">
        <f t="shared" si="20"/>
        <v/>
      </c>
      <c r="T206" s="1549" t="str">
        <f t="shared" si="21"/>
        <v/>
      </c>
      <c r="V206" s="1558">
        <f t="shared" ca="1" si="22"/>
        <v>0</v>
      </c>
      <c r="W206" s="1559">
        <f t="shared" si="23"/>
        <v>0</v>
      </c>
      <c r="X206" s="1559">
        <f t="shared" ca="1" si="24"/>
        <v>0</v>
      </c>
      <c r="Y206" s="1549"/>
      <c r="Z206" s="1549"/>
      <c r="AA206" s="1549"/>
      <c r="AB206" s="1549"/>
      <c r="AC206" s="1549"/>
      <c r="AD206" s="1549"/>
      <c r="AE206" s="596"/>
      <c r="AF206" s="3206"/>
      <c r="AG206" s="3206"/>
      <c r="AH206" s="1277"/>
      <c r="AI206" s="931"/>
      <c r="AJ206" s="931"/>
      <c r="AK206" s="1424"/>
      <c r="AO206" s="604"/>
      <c r="BC206" s="2292"/>
      <c r="BF206" s="2345" t="str">
        <f t="shared" si="30"/>
        <v>AH</v>
      </c>
      <c r="BG206" s="2345">
        <f t="shared" si="30"/>
        <v>0</v>
      </c>
      <c r="BH206" s="2345">
        <f t="shared" si="30"/>
        <v>0</v>
      </c>
      <c r="BI206" s="2345" t="str">
        <f>IF(BG206&lt;&gt;"",IFERROR(MATCH(BG206&amp;BH206,'Results from Trace'!$L$1:$L$21,0),""),"")</f>
        <v/>
      </c>
    </row>
    <row r="207" spans="1:61" ht="16.149999999999999" customHeight="1" x14ac:dyDescent="0.25">
      <c r="A207" s="1271" t="s">
        <v>1298</v>
      </c>
      <c r="B207" s="3207" t="s">
        <v>2231</v>
      </c>
      <c r="C207" s="3208"/>
      <c r="D207" s="3209"/>
      <c r="E207" s="3207" t="s">
        <v>464</v>
      </c>
      <c r="F207" s="1464" t="str">
        <f>IFERROR(IF(ISBLANK(E207),"","Consumption (" &amp; VLOOKUP($E207,PO_Enrgy_1_Table,MATCH($C$16,PO_Enrgy_1_Hdr,0),FALSE) &amp; ")"),"")</f>
        <v>Consumption (kWh)</v>
      </c>
      <c r="G207" s="2375">
        <v>15819</v>
      </c>
      <c r="H207" s="1382">
        <v>15874</v>
      </c>
      <c r="I207" s="2373">
        <f t="shared" si="26"/>
        <v>-3.4768316581326175E-3</v>
      </c>
      <c r="J207" s="3210">
        <f ca="1">IFERROR(IF($E$327-$H$327&lt;0,"",($G207-$H207)*VLOOKUP($E207,PO_Enrgy_1_Table,MATCH($K$16,PO_Enrgy_1_Hdr,0),FALSE)/($E$327-$H$327)),"")</f>
        <v>-3.9804970154714409E-4</v>
      </c>
      <c r="K207" s="3212">
        <f ca="1">IFERROR(IF($G$327-$J$327&lt;0,"",($G207*VLOOKUP($E207,PO_Enrgy_8_Table,MATCH($E$232,PO_Enrgy_8_Hdr,0),FALSE)-($H207*VLOOKUP($E207,PO_Enrgy_8_Table,MATCH($H$232,PO_Enrgy_8_Hdr,0),FALSE)))/($G$327-$J$327)),"")</f>
        <v>-2.4037074202546823E-4</v>
      </c>
      <c r="L207" s="3212"/>
      <c r="M207" s="3213">
        <f ca="1">IFERROR(H207*VLOOKUP($E207,PO_Enrgy_1_Table,MATCH($K$16,PO_Enrgy_1_Hdr,0))/$H$227,"")</f>
        <v>0.39057394077360974</v>
      </c>
      <c r="N207" s="1466"/>
      <c r="O207" s="835"/>
      <c r="P207" s="835"/>
      <c r="Q207" s="1549">
        <f t="shared" si="18"/>
        <v>3.4120000000000001E-3</v>
      </c>
      <c r="R207" s="1549">
        <f t="shared" si="19"/>
        <v>1.0713680000000001E-2</v>
      </c>
      <c r="S207" s="1549">
        <f t="shared" si="20"/>
        <v>1977.375</v>
      </c>
      <c r="T207" s="1549">
        <f t="shared" si="21"/>
        <v>1984.25</v>
      </c>
      <c r="V207" s="1558">
        <f t="shared" si="22"/>
        <v>0</v>
      </c>
      <c r="W207" s="1559">
        <f t="shared" si="23"/>
        <v>0</v>
      </c>
      <c r="X207" s="1559">
        <f t="shared" si="24"/>
        <v>0</v>
      </c>
      <c r="Y207" s="1549" t="b">
        <f>IFERROR(IF(D207="x",IF(OR(G207/H207&gt;1.03,G207/H207&lt;0.97),TRUE,FALSE),FALSE),FALSE)</f>
        <v>0</v>
      </c>
      <c r="Z207" s="1549">
        <f ca="1">IFERROR(J207*100,)</f>
        <v>-3.980497015471441E-2</v>
      </c>
      <c r="AA207" s="1549"/>
      <c r="AB207" s="1549">
        <f ca="1">RANK(Z207,$Z$171:$Z$218,0)</f>
        <v>24</v>
      </c>
      <c r="AC207" s="1549">
        <f ca="1">AB207+COUNTIF($AB$171:$AB206,AB207)</f>
        <v>24</v>
      </c>
      <c r="AD207" s="1549" t="str">
        <f>B207</f>
        <v>Space Heating (Electricity)</v>
      </c>
      <c r="AE207" s="1421"/>
      <c r="AF207" s="3205"/>
      <c r="AG207" s="3206"/>
      <c r="AH207" s="1422"/>
      <c r="AI207" s="931"/>
      <c r="AJ207" s="931"/>
      <c r="AK207" s="1423"/>
      <c r="AO207" s="604"/>
      <c r="BC207" s="2292"/>
      <c r="BF207" s="2345" t="str">
        <f t="shared" si="30"/>
        <v>O</v>
      </c>
      <c r="BG207" s="2345">
        <f t="shared" si="30"/>
        <v>0</v>
      </c>
      <c r="BH207" s="2345">
        <f t="shared" si="30"/>
        <v>0</v>
      </c>
      <c r="BI207" s="2345" t="str">
        <f>IF(BG207&lt;&gt;"",IFERROR(MATCH(BG207&amp;BH207,'Results from Trace'!$L$1:$L$21,0),""),"")</f>
        <v/>
      </c>
    </row>
    <row r="208" spans="1:61" ht="16.149999999999999" customHeight="1" x14ac:dyDescent="0.25">
      <c r="A208" s="1271" t="s">
        <v>1298</v>
      </c>
      <c r="B208" s="3207"/>
      <c r="C208" s="3208"/>
      <c r="D208" s="3209"/>
      <c r="E208" s="3207"/>
      <c r="F208" s="1464" t="str">
        <f>IFERROR(IF(ISBLANK(E207),"","Demand (" &amp; VLOOKUP($E207,PO_Enrgy_1_Table,MATCH($E$16,PO_Enrgy_1_Hdr,0),FALSE) &amp; ")"),"")</f>
        <v>Demand (kW)</v>
      </c>
      <c r="G208" s="2376">
        <v>8</v>
      </c>
      <c r="H208" s="1382">
        <v>8</v>
      </c>
      <c r="I208" s="1468">
        <f t="shared" si="26"/>
        <v>0</v>
      </c>
      <c r="J208" s="3211"/>
      <c r="K208" s="3212"/>
      <c r="L208" s="3212"/>
      <c r="M208" s="3214"/>
      <c r="N208" s="1466"/>
      <c r="O208" s="835"/>
      <c r="P208" s="835"/>
      <c r="Q208" s="1549" t="str">
        <f t="shared" si="18"/>
        <v/>
      </c>
      <c r="R208" s="1549" t="str">
        <f t="shared" si="19"/>
        <v/>
      </c>
      <c r="S208" s="1549" t="str">
        <f t="shared" si="20"/>
        <v/>
      </c>
      <c r="T208" s="1549" t="str">
        <f t="shared" si="21"/>
        <v/>
      </c>
      <c r="V208" s="1558">
        <f t="shared" si="22"/>
        <v>0</v>
      </c>
      <c r="W208" s="1559">
        <f t="shared" si="23"/>
        <v>0</v>
      </c>
      <c r="X208" s="1559">
        <f t="shared" si="24"/>
        <v>0</v>
      </c>
      <c r="Y208" s="1549"/>
      <c r="Z208" s="1549"/>
      <c r="AA208" s="1549"/>
      <c r="AB208" s="1549"/>
      <c r="AC208" s="1549"/>
      <c r="AD208" s="1549"/>
      <c r="AE208" s="596"/>
      <c r="AF208" s="3206"/>
      <c r="AG208" s="3206"/>
      <c r="AH208" s="1277"/>
      <c r="AI208" s="931"/>
      <c r="AJ208" s="931"/>
      <c r="AK208" s="1424"/>
      <c r="AO208" s="604"/>
      <c r="BC208" s="2292"/>
      <c r="BF208" s="2345" t="str">
        <f t="shared" si="30"/>
        <v>AB</v>
      </c>
      <c r="BG208" s="2345">
        <f t="shared" si="30"/>
        <v>0</v>
      </c>
      <c r="BH208" s="2345">
        <f t="shared" si="30"/>
        <v>0</v>
      </c>
      <c r="BI208" s="2345" t="str">
        <f>IF(BG208&lt;&gt;"",IFERROR(MATCH(BG208&amp;BH208,'Results from Trace'!$L$1:$L$21,0),""),"")</f>
        <v/>
      </c>
    </row>
    <row r="209" spans="1:61" ht="16.149999999999999" customHeight="1" x14ac:dyDescent="0.25">
      <c r="A209" s="1271" t="s">
        <v>1298</v>
      </c>
      <c r="B209" s="3207" t="s">
        <v>2297</v>
      </c>
      <c r="C209" s="3208"/>
      <c r="D209" s="3209"/>
      <c r="E209" s="3207" t="s">
        <v>464</v>
      </c>
      <c r="F209" s="1464" t="str">
        <f>IFERROR(IF(ISBLANK(E209),"","Consumption (" &amp; VLOOKUP($E209,PO_Enrgy_1_Table,MATCH($C$16,PO_Enrgy_1_Hdr,0),FALSE) &amp; ")"),"")</f>
        <v>Consumption (kWh)</v>
      </c>
      <c r="G209" s="2375">
        <v>535</v>
      </c>
      <c r="H209" s="1382">
        <v>535</v>
      </c>
      <c r="I209" s="2373">
        <f t="shared" si="26"/>
        <v>0</v>
      </c>
      <c r="J209" s="3210">
        <f ca="1">IFERROR(IF($E$327-$H$327&lt;0,"",($G209-$H209)*VLOOKUP($E209,PO_Enrgy_1_Table,MATCH($K$16,PO_Enrgy_1_Hdr,0),FALSE)/($E$327-$H$327)),"")</f>
        <v>0</v>
      </c>
      <c r="K209" s="3212">
        <f ca="1">IFERROR(IF($G$327-$J$327&lt;0,"",($G209*VLOOKUP($E209,PO_Enrgy_8_Table,MATCH($E$232,PO_Enrgy_8_Hdr,0),FALSE)-($H209*VLOOKUP($E209,PO_Enrgy_8_Table,MATCH($H$232,PO_Enrgy_8_Hdr,0),FALSE)))/($G$327-$J$327)),"")</f>
        <v>1.5193967259852126E-5</v>
      </c>
      <c r="L209" s="3212"/>
      <c r="M209" s="3213">
        <f ca="1">IFERROR(H209*VLOOKUP($E209,PO_Enrgy_1_Table,MATCH($K$16,PO_Enrgy_1_Hdr,0))/$H$227,"")</f>
        <v>1.3163478538105153E-2</v>
      </c>
      <c r="N209" s="1466"/>
      <c r="O209" s="835"/>
      <c r="P209" s="835"/>
      <c r="Q209" s="1549">
        <f t="shared" si="18"/>
        <v>3.4120000000000001E-3</v>
      </c>
      <c r="R209" s="1549">
        <f t="shared" si="19"/>
        <v>1.0713680000000001E-2</v>
      </c>
      <c r="S209" s="1549">
        <f t="shared" si="20"/>
        <v>1783.3333333333335</v>
      </c>
      <c r="T209" s="1549">
        <f t="shared" si="21"/>
        <v>1783.3333333333335</v>
      </c>
      <c r="V209" s="1558">
        <f t="shared" si="22"/>
        <v>0</v>
      </c>
      <c r="W209" s="1559">
        <f t="shared" si="23"/>
        <v>0</v>
      </c>
      <c r="X209" s="1559">
        <f t="shared" si="24"/>
        <v>0</v>
      </c>
      <c r="Y209" s="1549" t="b">
        <f>IFERROR(IF(D209="x",IF(OR(G209/H209&gt;1.03,G209/H209&lt;0.97),TRUE,FALSE),FALSE),FALSE)</f>
        <v>0</v>
      </c>
      <c r="Z209" s="1549">
        <f ca="1">IFERROR(J209*100,)</f>
        <v>0</v>
      </c>
      <c r="AA209" s="1549"/>
      <c r="AB209" s="1549">
        <f ca="1">RANK(Z209,$Z$171:$Z$218,0)</f>
        <v>7</v>
      </c>
      <c r="AC209" s="1549">
        <f ca="1">AB209+COUNTIF($AB$171:$AB208,AB209)</f>
        <v>19</v>
      </c>
      <c r="AD209" s="1549" t="str">
        <f>B209</f>
        <v>DHW Circulator</v>
      </c>
      <c r="AE209" s="1421"/>
      <c r="AF209" s="3205"/>
      <c r="AG209" s="3206"/>
      <c r="AH209" s="1422"/>
      <c r="AI209" s="931"/>
      <c r="AJ209" s="931"/>
      <c r="AK209" s="1423"/>
      <c r="AO209" s="604"/>
      <c r="BC209" s="2292"/>
      <c r="BF209" s="2345" t="str">
        <f t="shared" si="30"/>
        <v>AZ</v>
      </c>
      <c r="BG209" s="2345">
        <f t="shared" si="30"/>
        <v>0</v>
      </c>
      <c r="BH209" s="2345">
        <f t="shared" si="30"/>
        <v>0</v>
      </c>
      <c r="BI209" s="2345" t="str">
        <f>IF(BG209&lt;&gt;"",IFERROR(MATCH(BG209&amp;BH209,'Results from Trace'!$L$1:$L$21,0),""),"")</f>
        <v/>
      </c>
    </row>
    <row r="210" spans="1:61" ht="15.75" customHeight="1" x14ac:dyDescent="0.25">
      <c r="A210" s="1271" t="s">
        <v>1298</v>
      </c>
      <c r="B210" s="3207"/>
      <c r="C210" s="3208"/>
      <c r="D210" s="3209"/>
      <c r="E210" s="3207"/>
      <c r="F210" s="1464" t="str">
        <f>IFERROR(IF(ISBLANK(E209),"","Demand (" &amp; VLOOKUP($E209,PO_Enrgy_1_Table,MATCH($E$16,PO_Enrgy_1_Hdr,0),FALSE) &amp; ")"),"")</f>
        <v>Demand (kW)</v>
      </c>
      <c r="G210" s="2376">
        <v>0.3</v>
      </c>
      <c r="H210" s="1382">
        <v>0.3</v>
      </c>
      <c r="I210" s="1468">
        <f t="shared" si="26"/>
        <v>0</v>
      </c>
      <c r="J210" s="3211"/>
      <c r="K210" s="3212"/>
      <c r="L210" s="3212"/>
      <c r="M210" s="3214"/>
      <c r="N210" s="1466"/>
      <c r="O210" s="835"/>
      <c r="P210" s="835"/>
      <c r="Q210" s="1549" t="str">
        <f t="shared" si="18"/>
        <v/>
      </c>
      <c r="R210" s="1549" t="str">
        <f t="shared" si="19"/>
        <v/>
      </c>
      <c r="S210" s="1549" t="str">
        <f t="shared" si="20"/>
        <v/>
      </c>
      <c r="T210" s="1549" t="str">
        <f t="shared" si="21"/>
        <v/>
      </c>
      <c r="V210" s="1558">
        <f t="shared" si="22"/>
        <v>0</v>
      </c>
      <c r="W210" s="1559">
        <f t="shared" si="23"/>
        <v>0</v>
      </c>
      <c r="X210" s="1559">
        <f t="shared" si="24"/>
        <v>0</v>
      </c>
      <c r="Y210" s="1549"/>
      <c r="Z210" s="1549"/>
      <c r="AA210" s="1549"/>
      <c r="AB210" s="1549"/>
      <c r="AC210" s="1549"/>
      <c r="AD210" s="1549"/>
      <c r="AE210" s="596"/>
      <c r="AF210" s="3206"/>
      <c r="AG210" s="3206"/>
      <c r="AH210" s="1277"/>
      <c r="AI210" s="931"/>
      <c r="AJ210" s="931"/>
      <c r="AK210" s="1424"/>
      <c r="AO210" s="604"/>
      <c r="BC210" s="2292"/>
      <c r="BF210" s="2345">
        <f t="shared" si="30"/>
        <v>0</v>
      </c>
      <c r="BG210" s="2345">
        <f t="shared" si="30"/>
        <v>0</v>
      </c>
      <c r="BH210" s="2345">
        <f t="shared" si="30"/>
        <v>0</v>
      </c>
      <c r="BI210" s="2345" t="str">
        <f>IF(BG210&lt;&gt;"",IFERROR(MATCH(BG210&amp;BH210,'Results from Trace'!$L$1:$L$21,0),""),"")</f>
        <v/>
      </c>
    </row>
    <row r="211" spans="1:61" ht="16.149999999999999" customHeight="1" x14ac:dyDescent="0.25">
      <c r="A211" s="1271" t="s">
        <v>1298</v>
      </c>
      <c r="B211" s="3207"/>
      <c r="C211" s="3208"/>
      <c r="D211" s="3209"/>
      <c r="E211" s="3207"/>
      <c r="F211" s="1464" t="str">
        <f>IFERROR(IF(ISBLANK(E211),"","Consumption (" &amp; VLOOKUP($E211,PO_Enrgy_1_Table,MATCH($C$16,PO_Enrgy_1_Hdr,0),FALSE) &amp; ")"),"")</f>
        <v/>
      </c>
      <c r="G211" s="2375"/>
      <c r="H211" s="1382" t="str">
        <f t="shared" ca="1" si="28"/>
        <v/>
      </c>
      <c r="I211" s="2373" t="str">
        <f t="shared" ca="1" si="26"/>
        <v/>
      </c>
      <c r="J211" s="3210" t="str">
        <f ca="1">IFERROR(IF($E$327-$H$327&lt;0,"",($G211-$H211)*VLOOKUP($E211,PO_Enrgy_1_Table,MATCH($K$16,PO_Enrgy_1_Hdr,0),FALSE)/($E$327-$H$327)),"")</f>
        <v/>
      </c>
      <c r="K211" s="3212" t="str">
        <f ca="1">IFERROR(IF($G$327-$J$327&lt;0,"",($G211*VLOOKUP($E211,PO_Enrgy_8_Table,MATCH($E$232,PO_Enrgy_8_Hdr,0),FALSE)-($H211*VLOOKUP($E211,PO_Enrgy_8_Table,MATCH($H$232,PO_Enrgy_8_Hdr,0),FALSE)))/($G$327-$J$327)),"")</f>
        <v/>
      </c>
      <c r="L211" s="3212"/>
      <c r="M211" s="3213" t="str">
        <f ca="1">IFERROR(H211*VLOOKUP($E211,PO_Enrgy_1_Table,MATCH($K$16,PO_Enrgy_1_Hdr,0))/$H$227,"")</f>
        <v/>
      </c>
      <c r="N211" s="1466"/>
      <c r="O211" s="835"/>
      <c r="P211" s="835"/>
      <c r="Q211" s="1549" t="str">
        <f t="shared" si="18"/>
        <v/>
      </c>
      <c r="R211" s="1549" t="str">
        <f t="shared" si="19"/>
        <v/>
      </c>
      <c r="S211" s="1549" t="str">
        <f t="shared" si="20"/>
        <v/>
      </c>
      <c r="T211" s="1549" t="str">
        <f t="shared" si="21"/>
        <v/>
      </c>
      <c r="V211" s="1558">
        <f t="shared" ca="1" si="22"/>
        <v>0</v>
      </c>
      <c r="W211" s="1559">
        <f t="shared" si="23"/>
        <v>0</v>
      </c>
      <c r="X211" s="1559">
        <f t="shared" ca="1" si="24"/>
        <v>0</v>
      </c>
      <c r="Y211" s="1549" t="b">
        <f>IFERROR(IF(D211="x",IF(OR(G211/H211&gt;1.03,G211/H211&lt;0.97),TRUE,FALSE),FALSE),FALSE)</f>
        <v>0</v>
      </c>
      <c r="Z211" s="1549">
        <f ca="1">IFERROR(J211*100,)</f>
        <v>0</v>
      </c>
      <c r="AA211" s="1549"/>
      <c r="AB211" s="1549">
        <f ca="1">RANK(Z211,$Z$171:$Z$218,0)</f>
        <v>7</v>
      </c>
      <c r="AC211" s="1549">
        <f ca="1">AB211+COUNTIF($AB$171:$AB210,AB211)</f>
        <v>20</v>
      </c>
      <c r="AD211" s="1549">
        <f>B211</f>
        <v>0</v>
      </c>
      <c r="AE211" s="1421"/>
      <c r="AF211" s="3205"/>
      <c r="AG211" s="3206"/>
      <c r="AH211" s="1422"/>
      <c r="AI211" s="931"/>
      <c r="AJ211" s="931"/>
      <c r="AK211" s="1423"/>
      <c r="AO211" s="604"/>
      <c r="BC211" s="2292"/>
      <c r="BF211" s="2345" t="str">
        <f t="shared" si="30"/>
        <v>BD</v>
      </c>
      <c r="BG211" s="2345">
        <f t="shared" si="30"/>
        <v>0</v>
      </c>
      <c r="BH211" s="2345">
        <f t="shared" si="30"/>
        <v>0</v>
      </c>
      <c r="BI211" s="2345" t="str">
        <f>IF(BG211&lt;&gt;"",IFERROR(MATCH(BG211&amp;BH211,'Results from Trace'!$L$1:$L$21,0),""),"")</f>
        <v/>
      </c>
    </row>
    <row r="212" spans="1:61" ht="16.5" customHeight="1" x14ac:dyDescent="0.25">
      <c r="A212" s="1271" t="s">
        <v>1298</v>
      </c>
      <c r="B212" s="3207"/>
      <c r="C212" s="3208"/>
      <c r="D212" s="3209"/>
      <c r="E212" s="3207"/>
      <c r="F212" s="1464" t="str">
        <f>IFERROR(IF(ISBLANK(E211),"","Demand (" &amp; VLOOKUP($E211,PO_Enrgy_1_Table,MATCH($E$16,PO_Enrgy_1_Hdr,0),FALSE) &amp; ")"),"")</f>
        <v/>
      </c>
      <c r="G212" s="2376"/>
      <c r="H212" s="1382" t="str">
        <f t="shared" ca="1" si="28"/>
        <v/>
      </c>
      <c r="I212" s="1468" t="str">
        <f t="shared" ca="1" si="26"/>
        <v/>
      </c>
      <c r="J212" s="3211"/>
      <c r="K212" s="3212"/>
      <c r="L212" s="3212"/>
      <c r="M212" s="3214"/>
      <c r="N212" s="1466"/>
      <c r="O212" s="835"/>
      <c r="P212" s="835"/>
      <c r="Q212" s="1549" t="str">
        <f t="shared" si="18"/>
        <v/>
      </c>
      <c r="R212" s="1549" t="str">
        <f t="shared" si="19"/>
        <v/>
      </c>
      <c r="S212" s="1549" t="str">
        <f t="shared" si="20"/>
        <v/>
      </c>
      <c r="T212" s="1549" t="str">
        <f t="shared" si="21"/>
        <v/>
      </c>
      <c r="V212" s="1558">
        <f t="shared" ca="1" si="22"/>
        <v>0</v>
      </c>
      <c r="W212" s="1559">
        <f t="shared" si="23"/>
        <v>0</v>
      </c>
      <c r="X212" s="1559">
        <f t="shared" ca="1" si="24"/>
        <v>0</v>
      </c>
      <c r="Y212" s="1549"/>
      <c r="Z212" s="1549"/>
      <c r="AA212" s="1549"/>
      <c r="AB212" s="1549"/>
      <c r="AC212" s="1549"/>
      <c r="AD212" s="1549"/>
      <c r="AE212" s="596"/>
      <c r="AF212" s="3205"/>
      <c r="AG212" s="3206"/>
      <c r="AH212" s="1422"/>
      <c r="AI212" s="931"/>
      <c r="AJ212" s="931"/>
      <c r="AK212" s="1424"/>
      <c r="AO212" s="604"/>
      <c r="BC212" s="2292"/>
      <c r="BF212" s="2345">
        <f t="shared" si="30"/>
        <v>0</v>
      </c>
      <c r="BG212" s="2345">
        <f t="shared" si="30"/>
        <v>0</v>
      </c>
      <c r="BH212" s="2345">
        <f t="shared" si="30"/>
        <v>0</v>
      </c>
      <c r="BI212" s="2345" t="str">
        <f>IF(BG212&lt;&gt;"",IFERROR(MATCH(BG212&amp;BH212,'Results from Trace'!$L$1:$L$21,0),""),"")</f>
        <v/>
      </c>
    </row>
    <row r="213" spans="1:61" ht="16.149999999999999" customHeight="1" x14ac:dyDescent="0.25">
      <c r="A213" s="1271" t="s">
        <v>1298</v>
      </c>
      <c r="B213" s="3207"/>
      <c r="C213" s="3208"/>
      <c r="D213" s="3209"/>
      <c r="E213" s="3207"/>
      <c r="F213" s="1464" t="str">
        <f>IFERROR(IF(ISBLANK(E213),"","Consumption (" &amp; VLOOKUP($E213,PO_Enrgy_1_Table,MATCH($C$16,PO_Enrgy_1_Hdr,0),FALSE) &amp; ")"),"")</f>
        <v/>
      </c>
      <c r="G213" s="2375"/>
      <c r="H213" s="1382" t="str">
        <f t="shared" ca="1" si="28"/>
        <v/>
      </c>
      <c r="I213" s="2373" t="str">
        <f t="shared" ca="1" si="26"/>
        <v/>
      </c>
      <c r="J213" s="3210" t="str">
        <f ca="1">IFERROR(IF($E$327-$H$327&lt;0,"",($G213-$H213)*VLOOKUP($E213,PO_Enrgy_1_Table,MATCH($K$16,PO_Enrgy_1_Hdr,0),FALSE)/($E$327-$H$327)),"")</f>
        <v/>
      </c>
      <c r="K213" s="3212" t="str">
        <f ca="1">IFERROR(IF($G$327-$J$327&lt;0,"",($G213*VLOOKUP($E213,PO_Enrgy_8_Table,MATCH($E$232,PO_Enrgy_8_Hdr,0),FALSE)-($H213*VLOOKUP($E213,PO_Enrgy_8_Table,MATCH($H$232,PO_Enrgy_8_Hdr,0),FALSE)))/($G$327-$J$327)),"")</f>
        <v/>
      </c>
      <c r="L213" s="3212"/>
      <c r="M213" s="3213" t="str">
        <f ca="1">IFERROR(H213*VLOOKUP($E213,PO_Enrgy_1_Table,MATCH($K$16,PO_Enrgy_1_Hdr,0))/$H$227,"")</f>
        <v/>
      </c>
      <c r="N213" s="1466"/>
      <c r="O213" s="835"/>
      <c r="P213" s="835"/>
      <c r="Q213" s="1549" t="str">
        <f t="shared" si="18"/>
        <v/>
      </c>
      <c r="R213" s="1549" t="str">
        <f t="shared" si="19"/>
        <v/>
      </c>
      <c r="S213" s="1549" t="str">
        <f t="shared" si="20"/>
        <v/>
      </c>
      <c r="T213" s="1549" t="str">
        <f t="shared" si="21"/>
        <v/>
      </c>
      <c r="V213" s="1558">
        <f t="shared" ca="1" si="22"/>
        <v>0</v>
      </c>
      <c r="W213" s="1559">
        <f t="shared" si="23"/>
        <v>0</v>
      </c>
      <c r="X213" s="1559">
        <f t="shared" ca="1" si="24"/>
        <v>0</v>
      </c>
      <c r="Y213" s="1549" t="b">
        <f>IFERROR(IF(D213="x",IF(OR(G213/H213&gt;1.03,G213/H213&lt;0.97),TRUE,FALSE),FALSE),FALSE)</f>
        <v>0</v>
      </c>
      <c r="Z213" s="1549">
        <f ca="1">IFERROR(J213*100,)</f>
        <v>0</v>
      </c>
      <c r="AA213" s="1549"/>
      <c r="AB213" s="1549">
        <f ca="1">RANK(Z213,$Z$171:$Z$218,0)</f>
        <v>7</v>
      </c>
      <c r="AC213" s="1549">
        <f ca="1">AB213+COUNTIF($AB$171:$AB212,AB213)</f>
        <v>21</v>
      </c>
      <c r="AD213" s="1549">
        <f>B213</f>
        <v>0</v>
      </c>
      <c r="AE213" s="1421"/>
      <c r="AF213" s="3205"/>
      <c r="AG213" s="3206"/>
      <c r="AH213" s="1422"/>
      <c r="AI213" s="931"/>
      <c r="AJ213" s="931"/>
      <c r="AK213" s="1423"/>
      <c r="AO213" s="604"/>
      <c r="BC213" s="2292"/>
      <c r="BF213" s="2345" t="str">
        <f t="shared" si="30"/>
        <v>BB</v>
      </c>
      <c r="BG213" s="2345">
        <f t="shared" si="30"/>
        <v>0</v>
      </c>
      <c r="BH213" s="2345">
        <f t="shared" si="30"/>
        <v>0</v>
      </c>
      <c r="BI213" s="2345" t="str">
        <f>IF(BG213&lt;&gt;"",IFERROR(MATCH(BG213&amp;BH213,'Results from Trace'!$L$1:$L$21,0),""),"")</f>
        <v/>
      </c>
    </row>
    <row r="214" spans="1:61" ht="15.75" customHeight="1" x14ac:dyDescent="0.25">
      <c r="A214" s="1271" t="s">
        <v>1298</v>
      </c>
      <c r="B214" s="3207"/>
      <c r="C214" s="3208"/>
      <c r="D214" s="3209"/>
      <c r="E214" s="3207"/>
      <c r="F214" s="1464" t="str">
        <f>IFERROR(IF(ISBLANK(E213),"","Demand (" &amp; VLOOKUP($E213,PO_Enrgy_1_Table,MATCH($E$16,PO_Enrgy_1_Hdr,0),FALSE) &amp; ")"),"")</f>
        <v/>
      </c>
      <c r="G214" s="2376"/>
      <c r="H214" s="1382" t="str">
        <f t="shared" ca="1" si="28"/>
        <v/>
      </c>
      <c r="I214" s="1468" t="str">
        <f t="shared" ca="1" si="26"/>
        <v/>
      </c>
      <c r="J214" s="3211"/>
      <c r="K214" s="3212"/>
      <c r="L214" s="3212"/>
      <c r="M214" s="3214"/>
      <c r="N214" s="1466"/>
      <c r="O214" s="835"/>
      <c r="P214" s="835"/>
      <c r="Q214" s="1549" t="str">
        <f t="shared" si="18"/>
        <v/>
      </c>
      <c r="R214" s="1549" t="str">
        <f t="shared" si="19"/>
        <v/>
      </c>
      <c r="S214" s="1549" t="str">
        <f t="shared" si="20"/>
        <v/>
      </c>
      <c r="T214" s="1549" t="str">
        <f t="shared" si="21"/>
        <v/>
      </c>
      <c r="V214" s="1558">
        <f t="shared" ca="1" si="22"/>
        <v>0</v>
      </c>
      <c r="W214" s="1559">
        <f t="shared" si="23"/>
        <v>0</v>
      </c>
      <c r="X214" s="1559">
        <f t="shared" ca="1" si="24"/>
        <v>0</v>
      </c>
      <c r="Y214" s="1549"/>
      <c r="Z214" s="1549"/>
      <c r="AA214" s="1549"/>
      <c r="AB214" s="1549"/>
      <c r="AC214" s="1549"/>
      <c r="AD214" s="1549"/>
      <c r="AE214" s="596"/>
      <c r="AF214" s="3206"/>
      <c r="AG214" s="3206"/>
      <c r="AH214" s="1277"/>
      <c r="AI214" s="931"/>
      <c r="AJ214" s="931"/>
      <c r="AK214" s="1424"/>
      <c r="AO214" s="604"/>
      <c r="BC214" s="2292"/>
      <c r="BF214" s="2345">
        <f t="shared" si="30"/>
        <v>0</v>
      </c>
      <c r="BG214" s="2345">
        <f t="shared" si="30"/>
        <v>0</v>
      </c>
      <c r="BH214" s="2345">
        <f t="shared" si="30"/>
        <v>0</v>
      </c>
      <c r="BI214" s="2345" t="str">
        <f>IF(BG214&lt;&gt;"",IFERROR(MATCH(BG214&amp;BH214,'Results from Trace'!$L$1:$L$21,0),""),"")</f>
        <v/>
      </c>
    </row>
    <row r="215" spans="1:61" ht="16.149999999999999" customHeight="1" x14ac:dyDescent="0.25">
      <c r="A215" s="1271" t="s">
        <v>1298</v>
      </c>
      <c r="B215" s="3207"/>
      <c r="C215" s="3208"/>
      <c r="D215" s="3209"/>
      <c r="E215" s="3207"/>
      <c r="F215" s="1464" t="str">
        <f>IFERROR(IF(ISBLANK(E215),"","Consumption (" &amp; VLOOKUP($E215,PO_Enrgy_1_Table,MATCH($C$16,PO_Enrgy_1_Hdr,0),FALSE) &amp; ")"),"")</f>
        <v/>
      </c>
      <c r="G215" s="2375"/>
      <c r="H215" s="1382" t="str">
        <f t="shared" ca="1" si="28"/>
        <v/>
      </c>
      <c r="I215" s="2373" t="str">
        <f t="shared" ca="1" si="26"/>
        <v/>
      </c>
      <c r="J215" s="3210" t="str">
        <f ca="1">IFERROR(IF($E$327-$H$327&lt;0,"",($G215-$H215)*VLOOKUP($E215,PO_Enrgy_1_Table,MATCH($K$16,PO_Enrgy_1_Hdr,0),FALSE)/($E$327-$H$327)),"")</f>
        <v/>
      </c>
      <c r="K215" s="3212" t="str">
        <f ca="1">IFERROR(IF($G$327-$J$327&lt;0,"",($G215*VLOOKUP($E215,PO_Enrgy_8_Table,MATCH($E$232,PO_Enrgy_8_Hdr,0),FALSE)-($H215*VLOOKUP($E215,PO_Enrgy_8_Table,MATCH($H$232,PO_Enrgy_8_Hdr,0),FALSE)))/($G$327-$J$327)),"")</f>
        <v/>
      </c>
      <c r="L215" s="3212"/>
      <c r="M215" s="3213" t="str">
        <f ca="1">IFERROR(H215*VLOOKUP($E215,PO_Enrgy_1_Table,MATCH($K$16,PO_Enrgy_1_Hdr,0))/$H$227,"")</f>
        <v/>
      </c>
      <c r="N215" s="1466"/>
      <c r="O215" s="835"/>
      <c r="P215" s="835"/>
      <c r="Q215" s="1549" t="str">
        <f t="shared" si="18"/>
        <v/>
      </c>
      <c r="R215" s="1549" t="str">
        <f t="shared" si="19"/>
        <v/>
      </c>
      <c r="S215" s="1549" t="str">
        <f t="shared" si="20"/>
        <v/>
      </c>
      <c r="T215" s="1549" t="str">
        <f t="shared" si="21"/>
        <v/>
      </c>
      <c r="V215" s="1558">
        <f t="shared" ca="1" si="22"/>
        <v>0</v>
      </c>
      <c r="W215" s="1559">
        <f t="shared" si="23"/>
        <v>0</v>
      </c>
      <c r="X215" s="1559">
        <f t="shared" ca="1" si="24"/>
        <v>0</v>
      </c>
      <c r="Y215" s="1549" t="b">
        <f>IFERROR(IF(D215="x",IF(OR(G215/H215&gt;1.03,G215/H215&lt;0.97),TRUE,FALSE),FALSE),FALSE)</f>
        <v>0</v>
      </c>
      <c r="Z215" s="1549">
        <f ca="1">IFERROR(J215*100,)</f>
        <v>0</v>
      </c>
      <c r="AA215" s="1549"/>
      <c r="AB215" s="1549">
        <f ca="1">RANK(Z215,$Z$171:$Z$218,0)</f>
        <v>7</v>
      </c>
      <c r="AC215" s="1549">
        <f ca="1">AB215+COUNTIF($AB$171:$AB214,AB215)</f>
        <v>22</v>
      </c>
      <c r="AD215" s="1549">
        <f>B215</f>
        <v>0</v>
      </c>
      <c r="AE215" s="1421"/>
      <c r="AF215" s="3205"/>
      <c r="AG215" s="3206"/>
      <c r="AH215" s="1422"/>
      <c r="AI215" s="931"/>
      <c r="AJ215" s="931"/>
      <c r="AK215" s="1423"/>
      <c r="AO215" s="604"/>
      <c r="BC215" s="2292"/>
      <c r="BF215" s="2345">
        <f t="shared" si="30"/>
        <v>0</v>
      </c>
      <c r="BG215" s="2345">
        <f t="shared" si="30"/>
        <v>0</v>
      </c>
      <c r="BH215" s="2345">
        <f t="shared" si="30"/>
        <v>0</v>
      </c>
      <c r="BI215" s="2345" t="str">
        <f>IF(BG215&lt;&gt;"",IFERROR(MATCH(BG215&amp;BH215,'Results from Trace'!$L$1:$L$21,0),""),"")</f>
        <v/>
      </c>
    </row>
    <row r="216" spans="1:61" ht="16.5" customHeight="1" x14ac:dyDescent="0.25">
      <c r="A216" s="1271" t="s">
        <v>1298</v>
      </c>
      <c r="B216" s="3207"/>
      <c r="C216" s="3208"/>
      <c r="D216" s="3209"/>
      <c r="E216" s="3207"/>
      <c r="F216" s="1464" t="str">
        <f>IFERROR(IF(ISBLANK(E215),"","Demand (" &amp; VLOOKUP($E215,PO_Enrgy_1_Table,MATCH($E$16,PO_Enrgy_1_Hdr,0),FALSE) &amp; ")"),"")</f>
        <v/>
      </c>
      <c r="G216" s="2376"/>
      <c r="H216" s="1382" t="str">
        <f t="shared" ca="1" si="28"/>
        <v/>
      </c>
      <c r="I216" s="1468" t="str">
        <f t="shared" ca="1" si="26"/>
        <v/>
      </c>
      <c r="J216" s="3211"/>
      <c r="K216" s="3212"/>
      <c r="L216" s="3212"/>
      <c r="M216" s="3214"/>
      <c r="N216" s="1466"/>
      <c r="O216" s="835"/>
      <c r="P216" s="835"/>
      <c r="Q216" s="1549" t="str">
        <f t="shared" si="18"/>
        <v/>
      </c>
      <c r="R216" s="1549" t="str">
        <f t="shared" si="19"/>
        <v/>
      </c>
      <c r="S216" s="1549" t="str">
        <f t="shared" si="20"/>
        <v/>
      </c>
      <c r="T216" s="1549" t="str">
        <f t="shared" si="21"/>
        <v/>
      </c>
      <c r="V216" s="1558">
        <f t="shared" ca="1" si="22"/>
        <v>0</v>
      </c>
      <c r="W216" s="1559">
        <f t="shared" si="23"/>
        <v>0</v>
      </c>
      <c r="X216" s="1559">
        <f t="shared" ca="1" si="24"/>
        <v>0</v>
      </c>
      <c r="Y216" s="1549"/>
      <c r="Z216" s="1549"/>
      <c r="AA216" s="1549"/>
      <c r="AB216" s="1549"/>
      <c r="AC216" s="1549"/>
      <c r="AD216" s="1549"/>
      <c r="AE216" s="596"/>
      <c r="AF216" s="3205"/>
      <c r="AG216" s="3206"/>
      <c r="AH216" s="1422"/>
      <c r="AI216" s="931"/>
      <c r="AJ216" s="931"/>
      <c r="AK216" s="1424"/>
      <c r="AO216" s="604"/>
      <c r="BC216" s="2292"/>
      <c r="BF216" s="2345">
        <f t="shared" si="30"/>
        <v>0</v>
      </c>
      <c r="BG216" s="2345">
        <f t="shared" si="30"/>
        <v>0</v>
      </c>
      <c r="BH216" s="2345">
        <f t="shared" si="30"/>
        <v>0</v>
      </c>
      <c r="BI216" s="2345" t="str">
        <f>IF(BG216&lt;&gt;"",IFERROR(MATCH(BG216&amp;BH216,'Results from Trace'!$L$1:$L$21,0),""),"")</f>
        <v/>
      </c>
    </row>
    <row r="217" spans="1:61" ht="16.149999999999999" customHeight="1" x14ac:dyDescent="0.25">
      <c r="A217" s="1271" t="s">
        <v>1298</v>
      </c>
      <c r="B217" s="3207"/>
      <c r="C217" s="3208"/>
      <c r="D217" s="3209"/>
      <c r="E217" s="3207"/>
      <c r="F217" s="1464" t="str">
        <f>IFERROR(IF(ISBLANK(E217),"","Consumption (" &amp; VLOOKUP($E217,PO_Enrgy_1_Table,MATCH($C$16,PO_Enrgy_1_Hdr,0),FALSE) &amp; ")"),"")</f>
        <v/>
      </c>
      <c r="G217" s="2375"/>
      <c r="H217" s="1382" t="str">
        <f t="shared" ca="1" si="28"/>
        <v/>
      </c>
      <c r="I217" s="2373" t="str">
        <f t="shared" ca="1" si="26"/>
        <v/>
      </c>
      <c r="J217" s="3210" t="str">
        <f ca="1">IFERROR(IF($E$327-$H$327&lt;0,"",($G217-$H217)*VLOOKUP($E217,PO_Enrgy_1_Table,MATCH($K$16,PO_Enrgy_1_Hdr,0),FALSE)/($E$327-$H$327)),"")</f>
        <v/>
      </c>
      <c r="K217" s="3212" t="str">
        <f ca="1">IFERROR(IF($G$327-$J$327&lt;0,"",($G217*VLOOKUP($E217,PO_Enrgy_8_Table,MATCH($E$232,PO_Enrgy_8_Hdr,0),FALSE)-($H217*VLOOKUP($E217,PO_Enrgy_8_Table,MATCH($H$232,PO_Enrgy_8_Hdr,0),FALSE)))/($G$327-$J$327)),"")</f>
        <v/>
      </c>
      <c r="L217" s="3212"/>
      <c r="M217" s="3213" t="str">
        <f ca="1">IFERROR(H217*VLOOKUP($E217,PO_Enrgy_1_Table,MATCH($K$16,PO_Enrgy_1_Hdr,0))/$H$227,"")</f>
        <v/>
      </c>
      <c r="N217" s="1466"/>
      <c r="O217" s="835"/>
      <c r="P217" s="835"/>
      <c r="Q217" s="1549" t="str">
        <f t="shared" si="18"/>
        <v/>
      </c>
      <c r="R217" s="1549" t="str">
        <f t="shared" si="19"/>
        <v/>
      </c>
      <c r="S217" s="1549" t="str">
        <f t="shared" si="20"/>
        <v/>
      </c>
      <c r="T217" s="1549" t="str">
        <f t="shared" si="21"/>
        <v/>
      </c>
      <c r="V217" s="1558">
        <f t="shared" ca="1" si="22"/>
        <v>0</v>
      </c>
      <c r="W217" s="1559">
        <f t="shared" si="23"/>
        <v>0</v>
      </c>
      <c r="X217" s="1559">
        <f t="shared" ca="1" si="24"/>
        <v>0</v>
      </c>
      <c r="Y217" s="1549" t="b">
        <f>IFERROR(IF(D217="x",IF(OR(G217/H217&gt;1.03,G217/H217&lt;0.97),TRUE,FALSE),FALSE),FALSE)</f>
        <v>0</v>
      </c>
      <c r="Z217" s="1549">
        <f ca="1">IFERROR(J217*100,)</f>
        <v>0</v>
      </c>
      <c r="AA217" s="1549"/>
      <c r="AB217" s="1549">
        <f ca="1">RANK(Z217,$Z$171:$Z$218,0)</f>
        <v>7</v>
      </c>
      <c r="AC217" s="1549">
        <f ca="1">AB217+COUNTIF($AB$171:$AB216,AB217)</f>
        <v>23</v>
      </c>
      <c r="AD217" s="1549">
        <f>B217</f>
        <v>0</v>
      </c>
      <c r="AE217" s="1421"/>
      <c r="AF217" s="3205"/>
      <c r="AG217" s="3206"/>
      <c r="AH217" s="1422"/>
      <c r="AI217" s="931"/>
      <c r="AJ217" s="931"/>
      <c r="AK217" s="1423"/>
      <c r="AO217" s="604"/>
      <c r="BC217" s="2292"/>
      <c r="BF217" s="2345">
        <f t="shared" si="30"/>
        <v>0</v>
      </c>
      <c r="BG217" s="2345">
        <f t="shared" si="30"/>
        <v>0</v>
      </c>
      <c r="BH217" s="2345">
        <f t="shared" si="30"/>
        <v>0</v>
      </c>
      <c r="BI217" s="2345" t="str">
        <f>IF(BG217&lt;&gt;"",IFERROR(MATCH(BG217&amp;BH217,'Results from Trace'!$L$1:$L$21,0),""),"")</f>
        <v/>
      </c>
    </row>
    <row r="218" spans="1:61" ht="15.75" customHeight="1" x14ac:dyDescent="0.25">
      <c r="A218" s="1271" t="s">
        <v>1298</v>
      </c>
      <c r="B218" s="3207"/>
      <c r="C218" s="3208"/>
      <c r="D218" s="3209"/>
      <c r="E218" s="3207"/>
      <c r="F218" s="1464" t="str">
        <f>IFERROR(IF(ISBLANK(E217),"","Demand (" &amp; VLOOKUP($E217,PO_Enrgy_1_Table,MATCH($E$16,PO_Enrgy_1_Hdr,0),FALSE) &amp; ")"),"")</f>
        <v/>
      </c>
      <c r="G218" s="2376"/>
      <c r="H218" s="1382" t="str">
        <f t="shared" ca="1" si="28"/>
        <v/>
      </c>
      <c r="I218" s="1468" t="str">
        <f t="shared" ca="1" si="26"/>
        <v/>
      </c>
      <c r="J218" s="3211"/>
      <c r="K218" s="3212"/>
      <c r="L218" s="3212"/>
      <c r="M218" s="3214"/>
      <c r="N218" s="1466"/>
      <c r="O218" s="835"/>
      <c r="P218" s="835"/>
      <c r="Q218" s="1549" t="str">
        <f t="shared" si="18"/>
        <v/>
      </c>
      <c r="R218" s="1549" t="str">
        <f t="shared" si="19"/>
        <v/>
      </c>
      <c r="S218" s="1549" t="str">
        <f t="shared" si="20"/>
        <v/>
      </c>
      <c r="T218" s="1549" t="str">
        <f t="shared" si="21"/>
        <v/>
      </c>
      <c r="V218" s="1558">
        <f t="shared" ca="1" si="22"/>
        <v>0</v>
      </c>
      <c r="W218" s="1559">
        <f t="shared" si="23"/>
        <v>0</v>
      </c>
      <c r="X218" s="1559">
        <f t="shared" ca="1" si="24"/>
        <v>0</v>
      </c>
      <c r="Y218" s="1549"/>
      <c r="Z218" s="1549"/>
      <c r="AA218" s="1549"/>
      <c r="AB218" s="1549"/>
      <c r="AC218" s="1549"/>
      <c r="AD218" s="1549"/>
      <c r="AE218" s="596"/>
      <c r="AF218" s="3206"/>
      <c r="AG218" s="3206"/>
      <c r="AH218" s="1277"/>
      <c r="AI218" s="931"/>
      <c r="AJ218" s="931"/>
      <c r="AK218" s="1424"/>
      <c r="AO218" s="604"/>
      <c r="BC218" s="2292"/>
      <c r="BF218" s="2345">
        <f t="shared" si="30"/>
        <v>0</v>
      </c>
      <c r="BG218" s="2345">
        <f t="shared" si="30"/>
        <v>0</v>
      </c>
      <c r="BH218" s="2345">
        <f t="shared" si="30"/>
        <v>0</v>
      </c>
      <c r="BI218" s="2345" t="str">
        <f>IF(BG218&lt;&gt;"",IFERROR(MATCH(BG218&amp;BH218,'Results from Trace'!$L$1:$L$21,0),""),"")</f>
        <v/>
      </c>
    </row>
    <row r="219" spans="1:61" ht="21" customHeight="1" x14ac:dyDescent="0.25">
      <c r="A219" s="1271" t="s">
        <v>1298</v>
      </c>
      <c r="B219" s="590"/>
      <c r="C219" s="590"/>
      <c r="D219" s="1158"/>
      <c r="E219" s="617"/>
      <c r="F219" s="630"/>
      <c r="G219" s="631"/>
      <c r="H219" s="631"/>
      <c r="I219" s="632"/>
      <c r="J219" s="631"/>
      <c r="K219" s="631"/>
      <c r="L219" s="633"/>
      <c r="M219" s="633"/>
      <c r="N219" s="564"/>
      <c r="O219" s="564"/>
      <c r="Q219" s="564"/>
      <c r="R219" s="564"/>
      <c r="S219" s="1478"/>
      <c r="BF219" s="2345">
        <f t="shared" si="30"/>
        <v>0</v>
      </c>
      <c r="BG219" s="2345">
        <f t="shared" si="30"/>
        <v>0</v>
      </c>
      <c r="BH219" s="2345">
        <f t="shared" si="30"/>
        <v>0</v>
      </c>
      <c r="BI219" s="2345" t="str">
        <f>IF(BG219&lt;&gt;"",IFERROR(MATCH(BG219&amp;BH219,'Results from Trace'!$L$1:$L$21,0),""),"")</f>
        <v/>
      </c>
    </row>
    <row r="220" spans="1:61" ht="24" customHeight="1" x14ac:dyDescent="0.25">
      <c r="A220" s="1271" t="s">
        <v>1298</v>
      </c>
      <c r="B220" s="643" t="s">
        <v>1267</v>
      </c>
      <c r="C220" s="644"/>
      <c r="D220" s="644"/>
      <c r="E220" s="644"/>
      <c r="F220" s="644"/>
      <c r="G220" s="644"/>
      <c r="H220" s="644"/>
      <c r="I220" s="644"/>
      <c r="J220" s="644"/>
      <c r="K220" s="644"/>
      <c r="L220" s="644"/>
      <c r="M220" s="644"/>
      <c r="N220" s="564"/>
      <c r="Q220" s="564"/>
      <c r="R220" s="564"/>
      <c r="S220" s="596"/>
      <c r="BF220" s="2345">
        <f t="shared" ref="BF220:BH224" si="31">BF146</f>
        <v>0</v>
      </c>
      <c r="BG220" s="2345">
        <f t="shared" si="31"/>
        <v>0</v>
      </c>
      <c r="BH220" s="2345">
        <f t="shared" si="31"/>
        <v>0</v>
      </c>
      <c r="BI220" s="2345" t="str">
        <f>IF(BG220&lt;&gt;"",IFERROR(MATCH(BG220&amp;BH220,'Results from Trace'!$L$1:$L$21,0),""),"")</f>
        <v/>
      </c>
    </row>
    <row r="221" spans="1:61" ht="21.75" customHeight="1" x14ac:dyDescent="0.25">
      <c r="A221" s="1271" t="s">
        <v>1298</v>
      </c>
      <c r="B221" s="3124" t="s">
        <v>444</v>
      </c>
      <c r="C221" s="3165" t="s">
        <v>1805</v>
      </c>
      <c r="D221" s="3125"/>
      <c r="E221" s="3123" t="s">
        <v>347</v>
      </c>
      <c r="F221" s="3124"/>
      <c r="G221" s="3124"/>
      <c r="H221" s="3123" t="s">
        <v>348</v>
      </c>
      <c r="I221" s="3124"/>
      <c r="J221" s="3124"/>
      <c r="K221" s="3123" t="s">
        <v>448</v>
      </c>
      <c r="L221" s="3124"/>
      <c r="M221" s="2728"/>
      <c r="N221" s="653"/>
      <c r="O221" s="650"/>
      <c r="P221" s="650"/>
      <c r="S221" s="596"/>
      <c r="T221" s="564"/>
      <c r="BF221" s="2345">
        <f t="shared" si="31"/>
        <v>0</v>
      </c>
      <c r="BG221" s="2345">
        <f t="shared" si="31"/>
        <v>0</v>
      </c>
      <c r="BH221" s="2345">
        <f t="shared" si="31"/>
        <v>0</v>
      </c>
      <c r="BI221" s="2345" t="str">
        <f>IF(BG221&lt;&gt;"",IFERROR(MATCH(BG221&amp;BH221,'Results from Trace'!$L$1:$L$21,0),""),"")</f>
        <v/>
      </c>
    </row>
    <row r="222" spans="1:61" ht="63.75" customHeight="1" x14ac:dyDescent="0.25">
      <c r="A222" s="1271" t="s">
        <v>1298</v>
      </c>
      <c r="B222" s="3125"/>
      <c r="C222" s="3125"/>
      <c r="D222" s="3125"/>
      <c r="E222" s="1367" t="s">
        <v>1116</v>
      </c>
      <c r="F222" s="1383" t="str">
        <f>"Source Energy Use 
("  &amp; PO_SourceUnits &amp; ")"</f>
        <v>Source Energy Use 
(Btu x 10^6)</v>
      </c>
      <c r="G222" s="1167" t="s">
        <v>446</v>
      </c>
      <c r="H222" s="1367" t="s">
        <v>1116</v>
      </c>
      <c r="I222" s="1383" t="str">
        <f>"Source Energy Use 
("  &amp; PO_SourceUnits &amp; ")"</f>
        <v>Source Energy Use 
(Btu x 10^6)</v>
      </c>
      <c r="J222" s="1167" t="s">
        <v>446</v>
      </c>
      <c r="K222" s="3123" t="s">
        <v>447</v>
      </c>
      <c r="L222" s="3204"/>
      <c r="M222" s="1367" t="s">
        <v>446</v>
      </c>
      <c r="N222" s="650"/>
      <c r="O222" s="650"/>
      <c r="P222" s="650"/>
      <c r="S222" s="564"/>
      <c r="T222" s="564"/>
      <c r="AD222" s="596"/>
      <c r="AE222" s="596"/>
      <c r="AF222" s="16"/>
      <c r="AG222" s="596"/>
      <c r="AH222" s="596"/>
      <c r="AI222" s="596"/>
      <c r="AJ222" s="596"/>
      <c r="AK222" s="596"/>
      <c r="AL222" s="596"/>
      <c r="AM222" s="596"/>
      <c r="AN222" s="596"/>
      <c r="AO222" s="596"/>
      <c r="BF222" s="2345">
        <f t="shared" si="31"/>
        <v>0</v>
      </c>
      <c r="BG222" s="2345">
        <f t="shared" si="31"/>
        <v>0</v>
      </c>
      <c r="BH222" s="2345">
        <f t="shared" si="31"/>
        <v>0</v>
      </c>
      <c r="BI222" s="2345" t="str">
        <f>IF(BG222&lt;&gt;"",IFERROR(MATCH(BG222&amp;BH222,'Results from Trace'!$L$1:$L$21,0),""),"")</f>
        <v/>
      </c>
    </row>
    <row r="223" spans="1:61" s="1288" customFormat="1" ht="21.75" hidden="1" customHeight="1" x14ac:dyDescent="0.25">
      <c r="A223" s="1271" t="s">
        <v>1298</v>
      </c>
      <c r="B223" s="1379" t="s">
        <v>1765</v>
      </c>
      <c r="C223" s="1379" t="s">
        <v>1793</v>
      </c>
      <c r="D223" s="1379"/>
      <c r="E223" s="1315" t="s">
        <v>1821</v>
      </c>
      <c r="F223" s="1316" t="s">
        <v>1822</v>
      </c>
      <c r="G223" s="1317" t="s">
        <v>1823</v>
      </c>
      <c r="H223" s="1315" t="s">
        <v>1806</v>
      </c>
      <c r="I223" s="1316" t="s">
        <v>1807</v>
      </c>
      <c r="J223" s="1317" t="s">
        <v>1808</v>
      </c>
      <c r="K223" s="1307" t="s">
        <v>1809</v>
      </c>
      <c r="L223" s="1379"/>
      <c r="M223" s="1307" t="s">
        <v>1810</v>
      </c>
      <c r="N223" s="1285"/>
      <c r="O223" s="1286"/>
      <c r="P223" s="1286"/>
      <c r="Q223" s="1249" t="s">
        <v>1776</v>
      </c>
      <c r="R223" s="1249" t="s">
        <v>1777</v>
      </c>
      <c r="S223" s="1287"/>
      <c r="T223" s="1287"/>
      <c r="AD223" s="1289"/>
      <c r="AE223" s="1289"/>
      <c r="AF223" s="1289"/>
      <c r="AG223" s="1289"/>
      <c r="AH223" s="1289"/>
      <c r="AI223" s="1289"/>
      <c r="AJ223" s="1289"/>
      <c r="AK223" s="1289"/>
      <c r="AL223" s="1289"/>
      <c r="AM223" s="1289"/>
      <c r="AN223" s="1289"/>
      <c r="AO223" s="1289"/>
      <c r="BF223" s="2345">
        <f t="shared" si="31"/>
        <v>0</v>
      </c>
      <c r="BG223" s="2345">
        <f t="shared" si="31"/>
        <v>0</v>
      </c>
      <c r="BH223" s="2345">
        <f t="shared" si="31"/>
        <v>0</v>
      </c>
      <c r="BI223" s="2345" t="str">
        <f>IF(BG223&lt;&gt;"",IFERROR(MATCH(BG223&amp;BH223,'Results from Trace'!$L$1:$L$21,0),""),"")</f>
        <v/>
      </c>
    </row>
    <row r="224" spans="1:61" ht="18" customHeight="1" x14ac:dyDescent="0.25">
      <c r="A224" s="1271" t="s">
        <v>1298</v>
      </c>
      <c r="B224" s="2371" t="str">
        <f>IFERROR(IF(ISBLANK(B17),"",B17),"")</f>
        <v>Electricity</v>
      </c>
      <c r="C224" s="3126" t="str">
        <f>IFERROR(IF(ISBLANK($B224),"",VLOOKUP($B224,PO_Enrgy_1_Table,MATCH($C$16,PO_Enrgy_1_Hdr,0),FALSE) ),"")</f>
        <v>kWh</v>
      </c>
      <c r="D224" s="3127" t="e">
        <f>IF(C224="","",VLOOKUP(C224,ProjectEnergyTypeTable,3,FALSE))</f>
        <v>#NAME?</v>
      </c>
      <c r="E224" s="1414">
        <f>IFERROR(SUMIFS(G$171:G$218,$F$171:$F$218,"=Con*",$E$171:$E$218,$B224), 0)</f>
        <v>399626</v>
      </c>
      <c r="F224" s="1414">
        <f>IFERROR(SUMIFS(G$171:G$218,$F$171:$F$218,"=Con*",$E$171:$E$218,$B224)*VLOOKUP($B224,PO_Enrgy_1_Table,MATCH($M$16,PO_Enrgy_1_Hdr,0),FALSE), 0)</f>
        <v>4281.4650836800001</v>
      </c>
      <c r="G224" s="2377">
        <v>30841</v>
      </c>
      <c r="H224" s="1414">
        <f ca="1">IFERROR(SUMIFS(H$171:H$218,$F$171:$F$218,"=Con*",$E$171:$E$218,$B224), 0)</f>
        <v>361804</v>
      </c>
      <c r="I224" s="1414">
        <f ca="1">IFERROR(SUMIFS(H$171:H$218,$F$171:$F$218,"=Con*",$E$171:$E$218,$B224)*VLOOKUP($B224,PO_Enrgy_1_Table,MATCH($M$16,PO_Enrgy_1_Hdr,0),FALSE), 0)</f>
        <v>3876.2522787200005</v>
      </c>
      <c r="J224" s="2374">
        <v>27859</v>
      </c>
      <c r="K224" s="3133">
        <f ca="1">IFERROR(1-H224/E224,"")</f>
        <v>9.4643491664706536E-2</v>
      </c>
      <c r="L224" s="3134"/>
      <c r="M224" s="2372">
        <f>IFERROR(1-J224/G224,"")</f>
        <v>9.6689471807010152E-2</v>
      </c>
      <c r="N224" s="842"/>
      <c r="O224" s="842"/>
      <c r="P224" s="842"/>
      <c r="Q224" s="1549">
        <f>IFERROR(IF(ISBLANK($B224),"",VLOOKUP($B224,PO_Enrgy_1_Table,MATCH($K$16,PO_Enrgy_1_Hdr,0),FALSE)),"")</f>
        <v>3.4120000000000001E-3</v>
      </c>
      <c r="R224" s="1549">
        <f>IFERROR(IF(ISBLANK($B224),"",VLOOKUP($B224,PO_Enrgy_1_Table,MATCH($M$16,PO_Enrgy_1_Hdr,0),FALSE)),"")</f>
        <v>1.0713680000000001E-2</v>
      </c>
      <c r="S224" s="564"/>
      <c r="T224" s="564"/>
      <c r="AD224" s="1291"/>
      <c r="AE224" s="1291"/>
      <c r="AF224" s="1292"/>
      <c r="AG224" s="605"/>
      <c r="AH224" s="1293"/>
      <c r="AI224" s="1294"/>
      <c r="AJ224" s="596"/>
      <c r="AK224" s="596"/>
      <c r="AL224" s="596"/>
      <c r="AM224" s="596"/>
      <c r="AN224" s="596"/>
      <c r="AO224" s="596"/>
      <c r="BC224" s="2292"/>
      <c r="BF224" s="2345">
        <f t="shared" si="31"/>
        <v>0</v>
      </c>
      <c r="BG224" s="2345">
        <f t="shared" si="31"/>
        <v>0</v>
      </c>
      <c r="BH224" s="2345">
        <f t="shared" si="31"/>
        <v>0</v>
      </c>
      <c r="BI224" s="2345" t="str">
        <f>IF(BG224&lt;&gt;"",IFERROR(MATCH(BG224&amp;BH224,'Results from Trace'!$L$1:$L$21,0),""),"")</f>
        <v/>
      </c>
    </row>
    <row r="225" spans="1:55" ht="18" customHeight="1" x14ac:dyDescent="0.25">
      <c r="A225" s="1271" t="s">
        <v>1298</v>
      </c>
      <c r="B225" s="2371" t="str">
        <f>IFERROR(IF(ISBLANK(B18),"",B18),"")</f>
        <v>District Steam</v>
      </c>
      <c r="C225" s="3126" t="str">
        <f>IFERROR(IF(ISBLANK($B225),"",VLOOKUP($B225,PO_Enrgy_1_Table,MATCH($C$16,PO_Enrgy_1_Hdr,0),FALSE) ),"")</f>
        <v>therm</v>
      </c>
      <c r="D225" s="3127" t="e">
        <f>IF(C225="","",VLOOKUP(C225,ProjectEnergyTypeTable,3,FALSE))</f>
        <v>#NAME?</v>
      </c>
      <c r="E225" s="1414">
        <f>IFERROR(SUMIFS(G$171:G$218,$F$171:$F$218,"=Con*",$E$171:$E$218,$B225), 0)</f>
        <v>1579</v>
      </c>
      <c r="F225" s="1414">
        <f>IFERROR(SUMIFS(G$171:G$218,$F$171:$F$218,"=Con*",$E$171:$E$218,$B225)*VLOOKUP($B225,PO_Enrgy_1_Table,MATCH($M$16,PO_Enrgy_1_Hdr,0),FALSE), 0)</f>
        <v>189.48</v>
      </c>
      <c r="G225" s="2377">
        <v>1381</v>
      </c>
      <c r="H225" s="1414">
        <f>IFERROR(SUMIFS(H$171:H$218,$F$171:$F$218,"=Con*",$E$171:$E$218,$B225), 0)</f>
        <v>1016</v>
      </c>
      <c r="I225" s="1414">
        <f>IFERROR(SUMIFS(H$171:H$218,$F$171:$F$218,"=Con*",$E$171:$E$218,$B225)*VLOOKUP($B225,PO_Enrgy_1_Table,MATCH($M$16,PO_Enrgy_1_Hdr,0),FALSE), 0)</f>
        <v>121.92</v>
      </c>
      <c r="J225" s="2374">
        <v>929</v>
      </c>
      <c r="K225" s="3133">
        <f>IFERROR(1-H225/E225,"")</f>
        <v>0.35655478150728304</v>
      </c>
      <c r="L225" s="3134"/>
      <c r="M225" s="2372">
        <f>IFERROR(1-J225/G225,"")</f>
        <v>0.3272990586531499</v>
      </c>
      <c r="N225" s="842"/>
      <c r="O225" s="842"/>
      <c r="P225" s="842"/>
      <c r="Q225" s="1549">
        <f>IFERROR(IF(ISBLANK($B225),"",VLOOKUP($B225,PO_Enrgy_1_Table,MATCH($K$16,PO_Enrgy_1_Hdr,0),FALSE)),"")</f>
        <v>0.1</v>
      </c>
      <c r="R225" s="1549">
        <f>IFERROR(IF(ISBLANK($B225),"",VLOOKUP($B225,PO_Enrgy_1_Table,MATCH($M$16,PO_Enrgy_1_Hdr,0),FALSE)),"")</f>
        <v>0.12</v>
      </c>
      <c r="S225" s="564"/>
      <c r="T225" s="564"/>
      <c r="AD225" s="1291"/>
      <c r="AE225" s="1291"/>
      <c r="AF225" s="1292"/>
      <c r="AG225" s="605"/>
      <c r="AH225" s="1293"/>
      <c r="AI225" s="1294"/>
      <c r="AJ225" s="596"/>
      <c r="AK225" s="596"/>
      <c r="AL225" s="596"/>
      <c r="AM225" s="596"/>
      <c r="AN225" s="596"/>
      <c r="AO225" s="596"/>
      <c r="BC225" s="2292"/>
    </row>
    <row r="226" spans="1:55" ht="18" customHeight="1" x14ac:dyDescent="0.25">
      <c r="A226" s="1271" t="s">
        <v>1298</v>
      </c>
      <c r="B226" s="2371" t="str">
        <f>IFERROR(IF(ISBLANK(B19),"",B19),"")</f>
        <v>District Cooling</v>
      </c>
      <c r="C226" s="3126" t="str">
        <f>IFERROR(IF(ISBLANK($B226),"",VLOOKUP($B226,PO_Enrgy_1_Table,MATCH($C$16,PO_Enrgy_1_Hdr,0),FALSE) ),"")</f>
        <v>therm</v>
      </c>
      <c r="D226" s="3127" t="e">
        <f>IF(C226="","",VLOOKUP(C226,ProjectEnergyTypeTable,3,FALSE))</f>
        <v>#NAME?</v>
      </c>
      <c r="E226" s="1414">
        <f>IFERROR(SUMIFS(G$171:G$218,$F$171:$F$218,"=Con*",$E$171:$E$218,$B226), 0)</f>
        <v>30143</v>
      </c>
      <c r="F226" s="1414">
        <f>IFERROR(SUMIFS(G$171:G$218,$F$171:$F$218,"=Con*",$E$171:$E$218,$B226)*VLOOKUP($B226,PO_Enrgy_1_Table,MATCH($M$16,PO_Enrgy_1_Hdr,0),FALSE), 0)</f>
        <v>3014.3</v>
      </c>
      <c r="G226" s="2377">
        <v>26920</v>
      </c>
      <c r="H226" s="1414">
        <f>IFERROR(SUMIFS(H$171:H$218,$F$171:$F$218,"=Con*",$E$171:$E$218,$B226), 0)</f>
        <v>27282</v>
      </c>
      <c r="I226" s="1414">
        <f>IFERROR(SUMIFS(H$171:H$218,$F$171:$F$218,"=Con*",$E$171:$E$218,$B226)*VLOOKUP($B226,PO_Enrgy_1_Table,MATCH($M$16,PO_Enrgy_1_Hdr,0),FALSE), 0)</f>
        <v>2728.2000000000003</v>
      </c>
      <c r="J226" s="2374">
        <v>24213</v>
      </c>
      <c r="K226" s="3133">
        <f>IFERROR(1-H226/E226,"")</f>
        <v>9.4914242112596581E-2</v>
      </c>
      <c r="L226" s="3134"/>
      <c r="M226" s="2372">
        <f>IFERROR(1-J226/G226,"")</f>
        <v>0.10055720653789002</v>
      </c>
      <c r="N226" s="842"/>
      <c r="O226" s="842"/>
      <c r="P226" s="842"/>
      <c r="Q226" s="1549">
        <f>IFERROR(IF(ISBLANK($B226),"",VLOOKUP($B226,PO_Enrgy_1_Table,MATCH($K$16,PO_Enrgy_1_Hdr,0),FALSE)),"")</f>
        <v>0.1</v>
      </c>
      <c r="R226" s="1549">
        <f>IFERROR(IF(ISBLANK($B226),"",VLOOKUP($B226,PO_Enrgy_1_Table,MATCH($M$16,PO_Enrgy_1_Hdr,0),FALSE)),"")</f>
        <v>0.1</v>
      </c>
      <c r="S226" s="564"/>
      <c r="T226" s="564"/>
      <c r="AD226" s="1291"/>
      <c r="AE226" s="1291"/>
      <c r="AF226" s="1292"/>
      <c r="AG226" s="605"/>
      <c r="AH226" s="1293"/>
      <c r="AI226" s="1294"/>
      <c r="AJ226" s="596"/>
      <c r="AK226" s="596"/>
      <c r="AL226" s="596"/>
      <c r="AM226" s="596"/>
      <c r="AN226" s="596"/>
      <c r="AO226" s="596"/>
      <c r="BC226" s="2292"/>
    </row>
    <row r="227" spans="1:55" s="594" customFormat="1" ht="21" customHeight="1" x14ac:dyDescent="0.25">
      <c r="A227" s="1271" t="s">
        <v>1298</v>
      </c>
      <c r="B227" s="3120" t="str">
        <f>"Energy model subtotal (" &amp; PO_SiteUnits &amp; ")"</f>
        <v>Energy model subtotal (Btu x 10^6)</v>
      </c>
      <c r="C227" s="3120"/>
      <c r="D227" s="3120"/>
      <c r="E227" s="1384">
        <f>IFERROR(SUMPRODUCT(INDEX(PO_Enrgy_7_Table,0,MATCH(E$223,PO_Enrgy_7_Hdr,0)),INDEX(PO_Enrgy_7_Table,0,MATCH($Q$223,PO_Enrgy_7_Hdr,0))),"")</f>
        <v>4535.7239120000004</v>
      </c>
      <c r="F227" s="1384">
        <f>IFERROR(SUM(INDEX(PO_Enrgy_7_Table,0,MATCH(F$223,PO_Enrgy_7_Hdr,0))),"")</f>
        <v>7485.2450836799999</v>
      </c>
      <c r="G227" s="1387">
        <f>IFERROR(SUM(INDEX(PO_Enrgy_7_Table,0,MATCH(G$223,PO_Enrgy_7_Hdr,0))),"")</f>
        <v>59142</v>
      </c>
      <c r="H227" s="1384">
        <f ca="1">IFERROR(SUMPRODUCT(INDEX(PO_Enrgy_7_Table,0,MATCH(H$223,PO_Enrgy_7_Hdr,0)),INDEX(PO_Enrgy_7_Table,0,MATCH($Q$223,PO_Enrgy_7_Hdr,0))),"")</f>
        <v>4064.2752479999999</v>
      </c>
      <c r="I227" s="1384">
        <f ca="1">IFERROR(SUM(INDEX(PO_Enrgy_7_Table,0,MATCH(I$223,PO_Enrgy_7_Hdr,0))),"")</f>
        <v>6726.3722787200004</v>
      </c>
      <c r="J227" s="1387">
        <f>IFERROR(SUM(INDEX(PO_Enrgy_7_Table,0,MATCH(J$223,PO_Enrgy_7_Hdr,0))),"")</f>
        <v>53001</v>
      </c>
      <c r="K227" s="3163">
        <f ca="1">IFERROR(1-H227/E227,"")</f>
        <v>0.10394121713464655</v>
      </c>
      <c r="L227" s="3164"/>
      <c r="M227" s="1386">
        <f>IFERROR(1-J227/G227,"")</f>
        <v>0.10383483818606065</v>
      </c>
      <c r="N227" s="650"/>
      <c r="O227" s="650"/>
      <c r="P227" s="650"/>
      <c r="AD227" s="596"/>
      <c r="AE227" s="596"/>
      <c r="AF227" s="16"/>
      <c r="AG227" s="596"/>
      <c r="AH227" s="1293"/>
      <c r="AI227" s="1294"/>
      <c r="AJ227" s="596"/>
      <c r="AK227" s="596"/>
      <c r="AL227" s="596"/>
      <c r="AM227" s="596"/>
      <c r="AN227" s="596"/>
      <c r="AO227" s="596"/>
      <c r="BC227" s="2292"/>
    </row>
    <row r="228" spans="1:55" s="594" customFormat="1" ht="5.25" customHeight="1" x14ac:dyDescent="0.25">
      <c r="A228" s="1271" t="s">
        <v>1298</v>
      </c>
      <c r="B228" s="1159"/>
      <c r="C228" s="1159"/>
      <c r="D228" s="1159"/>
      <c r="E228" s="602"/>
      <c r="F228" s="602"/>
      <c r="G228" s="841"/>
      <c r="H228" s="602"/>
      <c r="I228" s="602"/>
      <c r="J228" s="841"/>
      <c r="K228" s="822"/>
      <c r="L228" s="822"/>
      <c r="M228" s="822"/>
      <c r="N228" s="650"/>
      <c r="O228" s="650"/>
      <c r="P228" s="650"/>
      <c r="AD228" s="596"/>
      <c r="AE228" s="596"/>
      <c r="AF228" s="16"/>
      <c r="AG228" s="596"/>
      <c r="AH228" s="1293"/>
      <c r="AI228" s="1294"/>
      <c r="AJ228" s="596"/>
      <c r="AK228" s="596"/>
      <c r="AL228" s="596"/>
      <c r="AM228" s="596"/>
      <c r="AN228" s="596"/>
      <c r="AO228" s="596"/>
    </row>
    <row r="229" spans="1:55" s="594" customFormat="1" ht="33" customHeight="1" x14ac:dyDescent="0.25">
      <c r="A229" s="1271" t="s">
        <v>1298</v>
      </c>
      <c r="B229" s="1159"/>
      <c r="C229" s="1159"/>
      <c r="D229" s="1159"/>
      <c r="E229" s="602"/>
      <c r="F229" s="602"/>
      <c r="G229" s="841"/>
      <c r="H229" s="602"/>
      <c r="I229" s="602"/>
      <c r="J229" s="841"/>
      <c r="K229" s="822"/>
      <c r="L229" s="822"/>
      <c r="M229" s="822"/>
      <c r="N229" s="650"/>
      <c r="O229" s="650"/>
      <c r="P229" s="650"/>
      <c r="AD229" s="596"/>
      <c r="AE229" s="596"/>
      <c r="AF229" s="16"/>
      <c r="AG229" s="596"/>
      <c r="AH229" s="1293"/>
      <c r="AI229" s="1294"/>
      <c r="AJ229" s="596"/>
      <c r="AK229" s="596"/>
      <c r="AL229" s="596"/>
      <c r="AM229" s="596"/>
      <c r="AN229" s="596"/>
      <c r="AO229" s="596"/>
    </row>
    <row r="230" spans="1:55" s="594" customFormat="1" ht="21" customHeight="1" x14ac:dyDescent="0.25">
      <c r="A230" s="1271" t="s">
        <v>1298</v>
      </c>
      <c r="B230" s="3200" t="s">
        <v>1268</v>
      </c>
      <c r="C230" s="3201"/>
      <c r="D230" s="3201"/>
      <c r="E230" s="3201"/>
      <c r="F230" s="3201"/>
      <c r="G230" s="3201"/>
      <c r="H230" s="3201"/>
      <c r="I230" s="3201"/>
      <c r="J230" s="3201"/>
      <c r="K230" s="3201"/>
      <c r="L230" s="3201"/>
      <c r="M230" s="822"/>
      <c r="Z230" s="619"/>
      <c r="AA230" s="620"/>
      <c r="AD230" s="596"/>
      <c r="AE230" s="596"/>
      <c r="AF230" s="16"/>
      <c r="AG230" s="596"/>
      <c r="AH230" s="596"/>
      <c r="AI230" s="596"/>
      <c r="AJ230" s="596"/>
      <c r="AK230" s="596"/>
      <c r="AL230" s="596"/>
      <c r="AM230" s="596"/>
      <c r="AN230" s="596"/>
      <c r="AO230" s="596"/>
    </row>
    <row r="231" spans="1:55" ht="33.75" customHeight="1" x14ac:dyDescent="0.25">
      <c r="A231" s="1271" t="s">
        <v>1298</v>
      </c>
      <c r="B231" s="3124" t="s">
        <v>444</v>
      </c>
      <c r="C231" s="2727"/>
      <c r="D231" s="2727"/>
      <c r="E231" s="3166" t="s">
        <v>347</v>
      </c>
      <c r="F231" s="3167"/>
      <c r="G231" s="3167"/>
      <c r="H231" s="3166" t="s">
        <v>348</v>
      </c>
      <c r="I231" s="3167"/>
      <c r="J231" s="3167"/>
      <c r="K231" s="3123" t="s">
        <v>455</v>
      </c>
      <c r="L231" s="3124"/>
      <c r="M231" s="2727"/>
      <c r="N231" s="650"/>
      <c r="O231" s="650"/>
      <c r="P231" s="650"/>
      <c r="S231" s="564"/>
      <c r="AD231" s="596"/>
      <c r="AE231" s="596"/>
      <c r="AF231" s="16"/>
      <c r="AG231" s="596"/>
      <c r="AH231" s="596"/>
      <c r="AI231" s="596"/>
      <c r="AJ231" s="596"/>
      <c r="AK231" s="596"/>
      <c r="AL231" s="596"/>
      <c r="AM231" s="596"/>
      <c r="AN231" s="596"/>
      <c r="AO231" s="596"/>
    </row>
    <row r="232" spans="1:55" s="1288" customFormat="1" ht="38.25" hidden="1" x14ac:dyDescent="0.25">
      <c r="A232" s="1271" t="s">
        <v>1298</v>
      </c>
      <c r="B232" s="1379" t="s">
        <v>1765</v>
      </c>
      <c r="C232" s="1388" t="s">
        <v>173</v>
      </c>
      <c r="D232" s="1388"/>
      <c r="E232" s="1308" t="s">
        <v>1811</v>
      </c>
      <c r="F232" s="1389"/>
      <c r="G232" s="1389"/>
      <c r="H232" s="1308" t="s">
        <v>1812</v>
      </c>
      <c r="I232" s="1389"/>
      <c r="J232" s="1389"/>
      <c r="K232" s="1307" t="s">
        <v>1813</v>
      </c>
      <c r="L232" s="1379"/>
      <c r="M232" s="1388"/>
      <c r="N232" s="1286"/>
      <c r="O232" s="1286"/>
      <c r="P232" s="1286"/>
      <c r="Q232" s="1249" t="s">
        <v>1776</v>
      </c>
      <c r="R232" s="1249" t="s">
        <v>1777</v>
      </c>
      <c r="S232" s="1287"/>
      <c r="T232" s="1671" t="s">
        <v>1998</v>
      </c>
      <c r="U232" s="1672" t="s">
        <v>1999</v>
      </c>
      <c r="AD232" s="1289"/>
      <c r="AE232" s="1289"/>
      <c r="AF232" s="1295"/>
      <c r="AG232" s="1289"/>
      <c r="AH232" s="1289"/>
      <c r="AI232" s="1289"/>
      <c r="AJ232" s="1289"/>
      <c r="AK232" s="1289"/>
      <c r="AL232" s="1289"/>
      <c r="AM232" s="1289"/>
      <c r="AN232" s="1289"/>
      <c r="AO232" s="1289"/>
    </row>
    <row r="233" spans="1:55" ht="18" customHeight="1" x14ac:dyDescent="0.25">
      <c r="A233" s="1271" t="s">
        <v>1298</v>
      </c>
      <c r="B233" s="1296" t="str">
        <f>IFERROR(IF(ISBLANK(B17),"",B17),"")</f>
        <v>Electricity</v>
      </c>
      <c r="C233" s="3142" t="str">
        <f>IFERROR(CONCATENATE("$ / ",VLOOKUP($B233,PO_Enrgy_1_Table,MATCH($C$16,PO_Enrgy_1_Hdr,0),FALSE)),"")</f>
        <v>$ / kWh</v>
      </c>
      <c r="D233" s="3143" t="e">
        <f>IF(C233="","",VLOOKUP(C233,ProjectEnergyTypeTable,3,FALSE))</f>
        <v>#NAME?</v>
      </c>
      <c r="E233" s="3197">
        <f t="shared" ref="E233:G235" si="32">IFERROR(IF(AND(DESPath=3,OR($B233="District Cooling",$B233="District Steam",$B233="District Hot Water")),IF($B233="District Cooling",$V$251,$W$251),VLOOKUP($B233,PO_Enrgy_7_Table,MATCH($G$223,PO_Enrgy_7_Hdr,0),FALSE)/VLOOKUP($B233,PO_Enrgy_7_Table,MATCH($E$223,PO_Enrgy_7_Hdr,0),FALSE)),"")</f>
        <v>7.7174658305515662E-2</v>
      </c>
      <c r="F233" s="3198">
        <f t="shared" si="32"/>
        <v>7.7174658305515662E-2</v>
      </c>
      <c r="G233" s="3198">
        <f t="shared" si="32"/>
        <v>7.7174658305515662E-2</v>
      </c>
      <c r="H233" s="3197">
        <f t="shared" ref="H233:J235" ca="1" si="33">IFERROR(IF(AND(DESPath=3,OR($B233="District Cooling",$B233="District Steam",$B233="District Hot Water")),IF($B233="District Cooling",$V$255,$W$255),VLOOKUP($B233,PO_Enrgy_7_Table,MATCH($J$223,PO_Enrgy_7_Hdr,0),FALSE)/VLOOKUP($B233,PO_Enrgy_7_Table,MATCH($H$223,PO_Enrgy_7_Hdr,0),FALSE)),"")</f>
        <v>7.7000254281323594E-2</v>
      </c>
      <c r="I233" s="3198">
        <f t="shared" ca="1" si="33"/>
        <v>7.7000254281323594E-2</v>
      </c>
      <c r="J233" s="3198">
        <f t="shared" ca="1" si="33"/>
        <v>7.7000254281323594E-2</v>
      </c>
      <c r="K233" s="3133">
        <f ca="1">IFERROR(ABS(1-H233/E233),"")</f>
        <v>2.25986130708411E-3</v>
      </c>
      <c r="L233" s="3186"/>
      <c r="M233" s="3199"/>
      <c r="N233" s="650"/>
      <c r="O233" s="650"/>
      <c r="P233" s="650"/>
      <c r="Q233" s="1549">
        <f>IFERROR(IF(ISBLANK($B233),"",VLOOKUP($B233,PO_Enrgy_1_Table,MATCH($K$16,PO_Enrgy_1_Hdr,0),FALSE)),"")</f>
        <v>3.4120000000000001E-3</v>
      </c>
      <c r="R233" s="1549">
        <f>IFERROR(IF(ISBLANK($B233),"",VLOOKUP($B233,PO_Enrgy_1_Table,MATCH($M$16,PO_Enrgy_1_Hdr,0),FALSE)),"")</f>
        <v>1.0713680000000001E-2</v>
      </c>
      <c r="S233" s="564"/>
      <c r="T233" s="1549">
        <f>IFERROR(IF(AND(DESPath=3,OR($B233="District Cooling",$B233="District Steam",$B233="District Hot Water")),IF($B233="District Cooling",$V$251,$W$251),VLOOKUP($B233,PO_Enrgy_7_Table,MATCH($G$223,PO_Enrgy_7_Hdr,0),FALSE)/VLOOKUP($B233,PO_Enrgy_7_Table,MATCH($E$223,PO_Enrgy_7_Hdr,0),FALSE)),"")</f>
        <v>7.7174658305515662E-2</v>
      </c>
      <c r="U233" s="1549">
        <f ca="1">IFERROR(IF(AND(DESPath=3,OR($B233="District Cooling",$B233="District Steam",$B233="District Hot Water")),IF($B233="District Cooling",$V$255,$W$255),VLOOKUP($B233,PO_Enrgy_7_Table,MATCH($J$223,PO_Enrgy_7_Hdr,0),FALSE)/VLOOKUP($B233,PO_Enrgy_7_Table,MATCH($H$223,PO_Enrgy_7_Hdr,0),FALSE)),"")</f>
        <v>7.7000254281323594E-2</v>
      </c>
      <c r="AD233" s="1291"/>
      <c r="AE233" s="1291"/>
      <c r="AF233" s="1292"/>
      <c r="AG233" s="596"/>
      <c r="AH233" s="1293"/>
      <c r="AI233" s="1294"/>
      <c r="AJ233" s="1297"/>
      <c r="AK233" s="596"/>
      <c r="AL233" s="596"/>
      <c r="AM233" s="596"/>
      <c r="AN233" s="596"/>
      <c r="AO233" s="596"/>
      <c r="BC233" s="2292"/>
    </row>
    <row r="234" spans="1:55" ht="18" customHeight="1" x14ac:dyDescent="0.25">
      <c r="A234" s="1271" t="s">
        <v>1298</v>
      </c>
      <c r="B234" s="1296" t="str">
        <f>IFERROR(IF(ISBLANK(B18),"",B18),"")</f>
        <v>District Steam</v>
      </c>
      <c r="C234" s="3142" t="str">
        <f>IFERROR(CONCATENATE("$ / ",VLOOKUP($B234,PO_Enrgy_1_Table,MATCH($C$16,PO_Enrgy_1_Hdr,0),FALSE)),"")</f>
        <v>$ / therm</v>
      </c>
      <c r="D234" s="3143" t="e">
        <f>IF(C234="","",VLOOKUP(C234,ProjectEnergyTypeTable,3,FALSE))</f>
        <v>#NAME?</v>
      </c>
      <c r="E234" s="3197">
        <f>IFERROR(IF(AND(DESPath=3,OR($B234="District Cooling",$B234="District Steam",$B234="District Hot Water")),IF($B234="District Cooling",$V$251,$W$251),VLOOKUP($B234,PO_Enrgy_7_Table,MATCH($G$223,PO_Enrgy_7_Hdr,0),FALSE)/VLOOKUP($B234,PO_Enrgy_7_Table,MATCH($E$223,PO_Enrgy_7_Hdr,0),FALSE)),"")</f>
        <v>0.87460417986067129</v>
      </c>
      <c r="F234" s="3198">
        <f t="shared" si="32"/>
        <v>0.87460417986067129</v>
      </c>
      <c r="G234" s="3198">
        <f t="shared" si="32"/>
        <v>0.87460417986067129</v>
      </c>
      <c r="H234" s="3197">
        <f t="shared" si="33"/>
        <v>0.91437007874015752</v>
      </c>
      <c r="I234" s="3198">
        <f t="shared" si="33"/>
        <v>0.91437007874015752</v>
      </c>
      <c r="J234" s="3198">
        <f t="shared" si="33"/>
        <v>0.91437007874015752</v>
      </c>
      <c r="K234" s="3133">
        <f>IFERROR(ABS(1-H234/E234),"")</f>
        <v>4.5467309435705205E-2</v>
      </c>
      <c r="L234" s="3186"/>
      <c r="M234" s="3199"/>
      <c r="N234" s="650"/>
      <c r="O234" s="650"/>
      <c r="P234" s="650"/>
      <c r="Q234" s="1549">
        <f>IFERROR(IF(ISBLANK($B234),"",VLOOKUP($B234,PO_Enrgy_1_Table,MATCH($K$16,PO_Enrgy_1_Hdr,0),FALSE)),"")</f>
        <v>0.1</v>
      </c>
      <c r="R234" s="1549">
        <f>IFERROR(IF(ISBLANK($B234),"",VLOOKUP($B234,PO_Enrgy_1_Table,MATCH($M$16,PO_Enrgy_1_Hdr,0),FALSE)),"")</f>
        <v>0.12</v>
      </c>
      <c r="S234" s="564"/>
      <c r="T234" s="1549">
        <f>IFERROR(IF(AND(DESPath=3,OR($B234="District Cooling",$B234="District Steam",$B234="District Hot Water")),IF($B234="District Cooling",$V$251,$W$251),VLOOKUP($B234,PO_Enrgy_7_Table,MATCH($G$223,PO_Enrgy_7_Hdr,0),FALSE)/VLOOKUP($B234,PO_Enrgy_7_Table,MATCH($E$223,PO_Enrgy_7_Hdr,0),FALSE)),"")</f>
        <v>0.87460417986067129</v>
      </c>
      <c r="U234" s="1549">
        <f>IFERROR(IF(AND(DESPath=3,OR($B234="District Cooling",$B234="District Steam",$B234="District Hot Water")),IF($B234="District Cooling",$V$255,$W$255),VLOOKUP($B234,PO_Enrgy_7_Table,MATCH($J$223,PO_Enrgy_7_Hdr,0),FALSE)/VLOOKUP($B234,PO_Enrgy_7_Table,MATCH($H$223,PO_Enrgy_7_Hdr,0),FALSE)),"")</f>
        <v>0.91437007874015752</v>
      </c>
      <c r="AD234" s="1291"/>
      <c r="AE234" s="1291"/>
      <c r="AF234" s="1292"/>
      <c r="AG234" s="596"/>
      <c r="AH234" s="1293"/>
      <c r="AI234" s="1294"/>
      <c r="AJ234" s="1297"/>
      <c r="AK234" s="596"/>
      <c r="AL234" s="596"/>
      <c r="AM234" s="596"/>
      <c r="AN234" s="596"/>
      <c r="AO234" s="596"/>
      <c r="BC234" s="2292"/>
    </row>
    <row r="235" spans="1:55" ht="18" customHeight="1" x14ac:dyDescent="0.25">
      <c r="A235" s="1271" t="s">
        <v>1298</v>
      </c>
      <c r="B235" s="2160" t="str">
        <f>IFERROR(IF(ISBLANK(B19),"",B19),"")</f>
        <v>District Cooling</v>
      </c>
      <c r="C235" s="3142" t="str">
        <f>IFERROR(CONCATENATE("$ / ",VLOOKUP($B235,PO_Enrgy_1_Table,MATCH($C$16,PO_Enrgy_1_Hdr,0),FALSE)),"")</f>
        <v>$ / therm</v>
      </c>
      <c r="D235" s="3143" t="e">
        <f>IF(C235="","",VLOOKUP(C235,ProjectEnergyTypeTable,3,FALSE))</f>
        <v>#NAME?</v>
      </c>
      <c r="E235" s="3197">
        <f t="shared" si="32"/>
        <v>0.89307633613110837</v>
      </c>
      <c r="F235" s="3198">
        <f t="shared" si="32"/>
        <v>0.89307633613110837</v>
      </c>
      <c r="G235" s="3198">
        <f t="shared" si="32"/>
        <v>0.89307633613110837</v>
      </c>
      <c r="H235" s="3197">
        <f t="shared" si="33"/>
        <v>0.88750824719595334</v>
      </c>
      <c r="I235" s="3198">
        <f t="shared" si="33"/>
        <v>0.88750824719595334</v>
      </c>
      <c r="J235" s="3198">
        <f t="shared" si="33"/>
        <v>0.88750824719595334</v>
      </c>
      <c r="K235" s="3133">
        <f>IFERROR(ABS(1-H235/E235),"")</f>
        <v>6.2347290034315828E-3</v>
      </c>
      <c r="L235" s="3186"/>
      <c r="M235" s="3199"/>
      <c r="N235" s="650"/>
      <c r="O235" s="650"/>
      <c r="P235" s="650"/>
      <c r="Q235" s="1549">
        <f>IFERROR(IF(ISBLANK($B235),"",VLOOKUP($B235,PO_Enrgy_1_Table,MATCH($K$16,PO_Enrgy_1_Hdr,0),FALSE)),"")</f>
        <v>0.1</v>
      </c>
      <c r="R235" s="1549">
        <f>IFERROR(IF(ISBLANK($B235),"",VLOOKUP($B235,PO_Enrgy_1_Table,MATCH($M$16,PO_Enrgy_1_Hdr,0),FALSE)),"")</f>
        <v>0.1</v>
      </c>
      <c r="S235" s="564"/>
      <c r="T235" s="1549">
        <f>IFERROR(IF(AND(DESPath=3,OR($B235="District Cooling",$B235="District Steam",$B235="District Hot Water")),IF($B235="District Cooling",$V$251,$W$251),VLOOKUP($B235,PO_Enrgy_7_Table,MATCH($G$223,PO_Enrgy_7_Hdr,0),FALSE)/VLOOKUP($B235,PO_Enrgy_7_Table,MATCH($E$223,PO_Enrgy_7_Hdr,0),FALSE)),"")</f>
        <v>0.89307633613110837</v>
      </c>
      <c r="U235" s="1549">
        <f>IFERROR(IF(AND(DESPath=3,OR($B235="District Cooling",$B235="District Steam",$B235="District Hot Water")),IF($B235="District Cooling",$V$255,$W$255),VLOOKUP($B235,PO_Enrgy_7_Table,MATCH($J$223,PO_Enrgy_7_Hdr,0),FALSE)/VLOOKUP($B235,PO_Enrgy_7_Table,MATCH($H$223,PO_Enrgy_7_Hdr,0),FALSE)),"")</f>
        <v>0.88750824719595334</v>
      </c>
      <c r="AD235" s="1291"/>
      <c r="AE235" s="1291"/>
      <c r="AF235" s="1292"/>
      <c r="AG235" s="596"/>
      <c r="AH235" s="1293"/>
      <c r="AI235" s="1294"/>
      <c r="AJ235" s="1297"/>
      <c r="AK235" s="596"/>
      <c r="AL235" s="596"/>
      <c r="AM235" s="596"/>
      <c r="AN235" s="596"/>
      <c r="AO235" s="596"/>
      <c r="BC235" s="2292"/>
    </row>
    <row r="236" spans="1:55" s="594" customFormat="1" ht="31.5" customHeight="1" x14ac:dyDescent="0.25">
      <c r="A236" s="1271" t="s">
        <v>1298</v>
      </c>
      <c r="B236" s="1159"/>
      <c r="C236" s="1159"/>
      <c r="D236" s="1159"/>
      <c r="E236" s="602"/>
      <c r="F236" s="602"/>
      <c r="G236" s="841"/>
      <c r="H236" s="602"/>
      <c r="I236" s="602"/>
      <c r="J236" s="841"/>
      <c r="K236" s="846"/>
      <c r="L236" s="822"/>
      <c r="M236" s="822"/>
      <c r="N236" s="650"/>
      <c r="O236" s="650"/>
      <c r="P236" s="650"/>
      <c r="AD236" s="596"/>
      <c r="AE236" s="596"/>
      <c r="AF236" s="16"/>
      <c r="AG236" s="596"/>
      <c r="AH236" s="1293"/>
      <c r="AI236" s="1294"/>
      <c r="AJ236" s="596"/>
      <c r="AK236" s="596"/>
      <c r="AL236" s="596"/>
      <c r="AM236" s="596"/>
      <c r="AN236" s="596"/>
      <c r="AO236" s="596"/>
    </row>
    <row r="237" spans="1:55" ht="21" hidden="1" customHeight="1" x14ac:dyDescent="0.25">
      <c r="A237" s="1271" t="s">
        <v>1298</v>
      </c>
      <c r="B237" s="3200" t="s">
        <v>1269</v>
      </c>
      <c r="C237" s="3201"/>
      <c r="D237" s="3201"/>
      <c r="E237" s="3201"/>
      <c r="F237" s="3201"/>
      <c r="G237" s="3201"/>
      <c r="H237" s="3201"/>
      <c r="I237" s="3201"/>
      <c r="J237" s="3201"/>
      <c r="K237" s="3201"/>
      <c r="L237" s="3201"/>
      <c r="M237" s="650"/>
      <c r="N237" s="564"/>
      <c r="O237" s="564"/>
      <c r="P237" s="564"/>
      <c r="S237" s="564"/>
      <c r="Z237" s="619"/>
      <c r="AA237" s="620"/>
      <c r="AD237" s="596"/>
      <c r="AE237" s="596"/>
      <c r="AF237" s="16"/>
      <c r="AG237" s="596"/>
      <c r="AH237" s="596"/>
      <c r="AI237" s="596"/>
      <c r="AJ237" s="596"/>
      <c r="AK237" s="596"/>
      <c r="AL237" s="596"/>
      <c r="AM237" s="596"/>
      <c r="AN237" s="596"/>
      <c r="AO237" s="596"/>
    </row>
    <row r="238" spans="1:55" ht="41.25" hidden="1" customHeight="1" x14ac:dyDescent="0.25">
      <c r="A238" s="1271" t="s">
        <v>1298</v>
      </c>
      <c r="B238" s="3124" t="s">
        <v>444</v>
      </c>
      <c r="C238" s="3165" t="s">
        <v>1805</v>
      </c>
      <c r="D238" s="3125"/>
      <c r="E238" s="3194" t="s">
        <v>1270</v>
      </c>
      <c r="F238" s="3194"/>
      <c r="G238" s="3194"/>
      <c r="H238" s="3202" t="s">
        <v>1171</v>
      </c>
      <c r="I238" s="3202"/>
      <c r="J238" s="3202"/>
      <c r="K238" s="3195" t="s">
        <v>448</v>
      </c>
      <c r="L238" s="3203"/>
      <c r="M238" s="3196"/>
      <c r="N238" s="3168"/>
      <c r="O238" s="3168"/>
      <c r="P238" s="3168"/>
      <c r="S238" s="564"/>
      <c r="T238" s="564"/>
      <c r="AD238" s="596"/>
      <c r="AE238" s="596"/>
      <c r="AF238" s="16"/>
      <c r="AG238" s="596"/>
      <c r="AH238" s="1293"/>
      <c r="AI238" s="1294"/>
      <c r="AJ238" s="596"/>
      <c r="AK238" s="596"/>
      <c r="AL238" s="596"/>
      <c r="AM238" s="596"/>
      <c r="AN238" s="596"/>
      <c r="AO238" s="596"/>
    </row>
    <row r="239" spans="1:55" ht="63" hidden="1" customHeight="1" x14ac:dyDescent="0.25">
      <c r="A239" s="1271" t="s">
        <v>1298</v>
      </c>
      <c r="B239" s="3125"/>
      <c r="C239" s="3125"/>
      <c r="D239" s="3125"/>
      <c r="E239" s="1255" t="s">
        <v>1116</v>
      </c>
      <c r="F239" s="1256" t="str">
        <f>"Source Energy Use 
("  &amp; PO_SourceUnits &amp; ")"</f>
        <v>Source Energy Use 
(Btu x 10^6)</v>
      </c>
      <c r="G239" s="1390" t="s">
        <v>446</v>
      </c>
      <c r="H239" s="1255" t="s">
        <v>1116</v>
      </c>
      <c r="I239" s="1256" t="str">
        <f>"Source Energy Use 
("  &amp; PO_SourceUnits &amp; ")"</f>
        <v>Source Energy Use 
(Btu x 10^6)</v>
      </c>
      <c r="J239" s="1390" t="s">
        <v>446</v>
      </c>
      <c r="K239" s="3195" t="s">
        <v>447</v>
      </c>
      <c r="L239" s="3196"/>
      <c r="M239" s="1255" t="s">
        <v>446</v>
      </c>
      <c r="N239" s="652"/>
      <c r="O239" s="652"/>
      <c r="P239" s="652"/>
      <c r="S239" s="564"/>
      <c r="T239" s="564"/>
      <c r="AD239" s="596"/>
      <c r="AE239" s="596"/>
      <c r="AF239" s="16"/>
      <c r="AG239" s="596"/>
      <c r="AH239" s="596"/>
      <c r="AI239" s="596"/>
      <c r="AJ239" s="596"/>
      <c r="AK239" s="596"/>
      <c r="AL239" s="596"/>
      <c r="AM239" s="596"/>
      <c r="AN239" s="596"/>
      <c r="AO239" s="596"/>
    </row>
    <row r="240" spans="1:55" s="1288" customFormat="1" ht="21.75" hidden="1" customHeight="1" x14ac:dyDescent="0.25">
      <c r="A240" s="1271" t="s">
        <v>1298</v>
      </c>
      <c r="B240" s="1379" t="s">
        <v>1765</v>
      </c>
      <c r="C240" s="1379" t="s">
        <v>1793</v>
      </c>
      <c r="D240" s="1379"/>
      <c r="E240" s="1315" t="s">
        <v>1821</v>
      </c>
      <c r="F240" s="1316" t="s">
        <v>1822</v>
      </c>
      <c r="G240" s="1317" t="s">
        <v>1823</v>
      </c>
      <c r="H240" s="1315" t="s">
        <v>1806</v>
      </c>
      <c r="I240" s="1316" t="s">
        <v>1807</v>
      </c>
      <c r="J240" s="1317" t="s">
        <v>1808</v>
      </c>
      <c r="K240" s="1307" t="s">
        <v>1809</v>
      </c>
      <c r="L240" s="1379"/>
      <c r="M240" s="1307" t="s">
        <v>1810</v>
      </c>
      <c r="N240" s="1285"/>
      <c r="O240" s="1286"/>
      <c r="P240" s="1286"/>
      <c r="Q240" s="1249" t="s">
        <v>1776</v>
      </c>
      <c r="R240" s="1249" t="s">
        <v>1777</v>
      </c>
      <c r="S240" s="1287"/>
      <c r="T240" s="1287"/>
      <c r="AD240" s="1289"/>
      <c r="AE240" s="1289"/>
      <c r="AF240" s="1289"/>
      <c r="AG240" s="1289"/>
      <c r="AH240" s="1289"/>
      <c r="AI240" s="1289"/>
      <c r="AJ240" s="1289"/>
      <c r="AK240" s="1289"/>
      <c r="AL240" s="1289"/>
      <c r="AM240" s="1289"/>
      <c r="AN240" s="1289"/>
      <c r="AO240" s="1289"/>
    </row>
    <row r="241" spans="1:55" ht="15" hidden="1" customHeight="1" x14ac:dyDescent="0.25">
      <c r="A241" s="1271" t="s">
        <v>1298</v>
      </c>
      <c r="B241" s="1296" t="str">
        <f>IFERROR(IF(ISBLANK(B17),"",B17),"")</f>
        <v>Electricity</v>
      </c>
      <c r="C241" s="3142" t="str">
        <f>IFERROR(IF(ISBLANK($B241),"",VLOOKUP($B241,PO_Enrgy_1_Table,MATCH($C$16,PO_Enrgy_1_Hdr,0),FALSE) ),"")</f>
        <v>kWh</v>
      </c>
      <c r="D241" s="3143" t="e">
        <f>IF(C241="","",VLOOKUP(C241,ProjectEnergyTypeTable,3,FALSE))</f>
        <v>#NAME?</v>
      </c>
      <c r="E241" s="1384">
        <f>IFERROR(VLOOKUP($B241,PO_Enrgy_7_Table,MATCH($E$223,PO_Enrgy_7_Hdr,0),FALSE)+IF(PO_ShowExCalc=TRUE,VLOOKUP($B241,PO_Enrgy_3_Table,MATCH($G$62,PO_Enrgy_3_Hdr,0),FALSE),0),0)</f>
        <v>399626</v>
      </c>
      <c r="F241" s="1384">
        <f>IFERROR(VLOOKUP($B241,PO_Enrgy_7_Table,MATCH($F$223,PO_Enrgy_7_Hdr,0),FALSE)+IF(PO_ShowExCalc=TRUE,VLOOKUP($B241,PO_Enrgy_3_Table,MATCH($J$62,PO_Enrgy_3_Hdr,0),FALSE),0),0)</f>
        <v>4281.4650836800001</v>
      </c>
      <c r="G241" s="1387">
        <f>IFERROR(VLOOKUP($B241,PO_Enrgy_7_Table,MATCH($G$223,PO_Enrgy_7_Hdr,0),FALSE)+IF(PO_ShowExCalc=TRUE,VLOOKUP($B241,PO_Enrgy_3_Table,MATCH($L$62,PO_Enrgy_3_Hdr,0),FALSE),0),0)</f>
        <v>30841</v>
      </c>
      <c r="H241" s="1384">
        <f ca="1">IFERROR(VLOOKUP($B241,PO_Enrgy_7_Table,MATCH($H$223,PO_Enrgy_7_Hdr,0),FALSE)-IF(PO_ShowExCalc=TRUE,VLOOKUP($B241,PO_Enrgy_4_Table,MATCH($G$62,PO_Enrgy_3_Hdr,0),FALSE),0),0)</f>
        <v>361804</v>
      </c>
      <c r="I241" s="1384">
        <f ca="1">IFERROR(VLOOKUP($B241,PO_Enrgy_7_Table,MATCH($I$223,PO_Enrgy_7_Hdr,0),FALSE)-IF(PO_ShowExCalc=TRUE,VLOOKUP($B241,PO_Enrgy_4_Table,MATCH($J$62,PO_Enrgy_3_Hdr,0),FALSE),0),0)</f>
        <v>3876.2522787200005</v>
      </c>
      <c r="J241" s="1387">
        <f>IFERROR(VLOOKUP($B241,PO_Enrgy_7_Table,MATCH($J$223,PO_Enrgy_7_Hdr,0),FALSE)-IF(PO_ShowExCalc=TRUE,VLOOKUP($B241,PO_Enrgy_4_Table,MATCH($L$62,PO_Enrgy_3_Hdr,0),FALSE),0),0)</f>
        <v>27859</v>
      </c>
      <c r="K241" s="3163">
        <f ca="1">IFERROR(1-H241/E241,"")</f>
        <v>9.4643491664706536E-2</v>
      </c>
      <c r="L241" s="3164"/>
      <c r="M241" s="1386">
        <f>IFERROR(1-J241/G241,"")</f>
        <v>9.6689471807010152E-2</v>
      </c>
      <c r="N241" s="650"/>
      <c r="O241" s="650"/>
      <c r="P241" s="650"/>
      <c r="Q241" s="1549">
        <f>IFERROR(IF(ISBLANK($B241),"",VLOOKUP($B241,PO_Enrgy_1_Table,MATCH($K$16,PO_Enrgy_1_Hdr,0),FALSE)),"")</f>
        <v>3.4120000000000001E-3</v>
      </c>
      <c r="R241" s="1549">
        <f>IFERROR(IF(ISBLANK($B241),"",VLOOKUP($B241,PO_Enrgy_1_Table,MATCH($M$16,PO_Enrgy_1_Hdr,0),FALSE)),"")</f>
        <v>1.0713680000000001E-2</v>
      </c>
      <c r="S241" s="564"/>
      <c r="T241" s="564"/>
      <c r="AD241" s="1291"/>
      <c r="AE241" s="1291"/>
      <c r="AF241" s="16"/>
      <c r="AG241" s="596"/>
      <c r="AH241" s="1298"/>
      <c r="AI241" s="1298"/>
      <c r="AJ241" s="1299"/>
      <c r="AK241" s="1299"/>
      <c r="AL241" s="596"/>
      <c r="AM241" s="1300"/>
      <c r="AN241" s="596"/>
      <c r="AO241" s="596"/>
      <c r="AP241" s="669"/>
      <c r="AQ241" s="669"/>
      <c r="BC241" s="2292"/>
    </row>
    <row r="242" spans="1:55" ht="15" hidden="1" customHeight="1" x14ac:dyDescent="0.25">
      <c r="A242" s="1271" t="s">
        <v>1298</v>
      </c>
      <c r="B242" s="1296" t="str">
        <f>IFERROR(IF(ISBLANK(B18),"",B18),"")</f>
        <v>District Steam</v>
      </c>
      <c r="C242" s="3142" t="str">
        <f>IFERROR(IF(ISBLANK($B242),"",VLOOKUP($B242,PO_Enrgy_1_Table,MATCH($C$16,PO_Enrgy_1_Hdr,0),FALSE) ),"")</f>
        <v>therm</v>
      </c>
      <c r="D242" s="3143" t="e">
        <f>IF(C242="","",VLOOKUP(C242,ProjectEnergyTypeTable,3,FALSE))</f>
        <v>#NAME?</v>
      </c>
      <c r="E242" s="1384">
        <f>IFERROR(VLOOKUP($B242,PO_Enrgy_7_Table,MATCH($E$223,PO_Enrgy_7_Hdr,0),FALSE)+IF(PO_ShowExCalc=TRUE,VLOOKUP($B242,PO_Enrgy_3_Table,MATCH($G$62,PO_Enrgy_3_Hdr,0),FALSE),0),0)</f>
        <v>1579</v>
      </c>
      <c r="F242" s="1384">
        <f>IFERROR(VLOOKUP($B242,PO_Enrgy_7_Table,MATCH($F$223,PO_Enrgy_7_Hdr,0),FALSE)+IF(PO_ShowExCalc=TRUE,VLOOKUP($B242,PO_Enrgy_3_Table,MATCH($J$62,PO_Enrgy_3_Hdr,0),FALSE),0),0)</f>
        <v>189.48</v>
      </c>
      <c r="G242" s="1387">
        <f>IFERROR(VLOOKUP($B242,PO_Enrgy_7_Table,MATCH($G$223,PO_Enrgy_7_Hdr,0),FALSE)+IF(PO_ShowExCalc=TRUE,VLOOKUP($B242,PO_Enrgy_3_Table,MATCH($L$62,PO_Enrgy_3_Hdr,0),FALSE),0),0)</f>
        <v>1381</v>
      </c>
      <c r="H242" s="1384">
        <f>IFERROR(VLOOKUP($B242,PO_Enrgy_7_Table,MATCH($H$223,PO_Enrgy_7_Hdr,0),FALSE)-IF(PO_ShowExCalc=TRUE,VLOOKUP($B242,PO_Enrgy_4_Table,MATCH($G$62,PO_Enrgy_3_Hdr,0),FALSE),0),0)</f>
        <v>1016</v>
      </c>
      <c r="I242" s="1384">
        <f>IFERROR(VLOOKUP($B242,PO_Enrgy_7_Table,MATCH($I$223,PO_Enrgy_7_Hdr,0),FALSE)-IF(PO_ShowExCalc=TRUE,VLOOKUP($B242,PO_Enrgy_4_Table,MATCH($J$62,PO_Enrgy_3_Hdr,0),FALSE),0),0)</f>
        <v>121.92</v>
      </c>
      <c r="J242" s="1387">
        <f>IFERROR(VLOOKUP($B242,PO_Enrgy_7_Table,MATCH($J$223,PO_Enrgy_7_Hdr,0),FALSE)-IF(PO_ShowExCalc=TRUE,VLOOKUP($B242,PO_Enrgy_4_Table,MATCH($L$62,PO_Enrgy_3_Hdr,0),FALSE),0),0)</f>
        <v>929</v>
      </c>
      <c r="K242" s="3163">
        <f>IFERROR(1-H242/E242,"")</f>
        <v>0.35655478150728304</v>
      </c>
      <c r="L242" s="3164"/>
      <c r="M242" s="1386">
        <f>IFERROR(1-J242/G242,"")</f>
        <v>0.3272990586531499</v>
      </c>
      <c r="N242" s="650"/>
      <c r="O242" s="650"/>
      <c r="P242" s="650"/>
      <c r="Q242" s="1549">
        <f>IFERROR(IF(ISBLANK($B242),"",VLOOKUP($B242,PO_Enrgy_1_Table,MATCH($K$16,PO_Enrgy_1_Hdr,0),FALSE)),"")</f>
        <v>0.1</v>
      </c>
      <c r="R242" s="1549">
        <f>IFERROR(IF(ISBLANK($B242),"",VLOOKUP($B242,PO_Enrgy_1_Table,MATCH($M$16,PO_Enrgy_1_Hdr,0),FALSE)),"")</f>
        <v>0.12</v>
      </c>
      <c r="S242" s="564"/>
      <c r="T242" s="564"/>
      <c r="AD242" s="1291"/>
      <c r="AE242" s="1291"/>
      <c r="AF242" s="16"/>
      <c r="AG242" s="596"/>
      <c r="AH242" s="1298"/>
      <c r="AI242" s="1298"/>
      <c r="AJ242" s="1299"/>
      <c r="AK242" s="1299"/>
      <c r="AL242" s="596"/>
      <c r="AM242" s="1300"/>
      <c r="AN242" s="596"/>
      <c r="AO242" s="596"/>
      <c r="AP242" s="669"/>
      <c r="AQ242" s="669"/>
      <c r="BC242" s="2292"/>
    </row>
    <row r="243" spans="1:55" ht="15" hidden="1" customHeight="1" x14ac:dyDescent="0.25">
      <c r="A243" s="1271" t="s">
        <v>1298</v>
      </c>
      <c r="B243" s="2160" t="str">
        <f>IFERROR(IF(ISBLANK(B19),"",B19),"")</f>
        <v>District Cooling</v>
      </c>
      <c r="C243" s="3142" t="str">
        <f>IFERROR(IF(ISBLANK($B243),"",VLOOKUP($B243,PO_Enrgy_1_Table,MATCH($C$16,PO_Enrgy_1_Hdr,0),FALSE) ),"")</f>
        <v>therm</v>
      </c>
      <c r="D243" s="3143" t="e">
        <f>IF(C243="","",VLOOKUP(C243,ProjectEnergyTypeTable,3,FALSE))</f>
        <v>#NAME?</v>
      </c>
      <c r="E243" s="1384">
        <f>IFERROR(VLOOKUP($B243,PO_Enrgy_7_Table,MATCH($E$223,PO_Enrgy_7_Hdr,0),FALSE)+IF(PO_ShowExCalc=TRUE,VLOOKUP($B243,PO_Enrgy_3_Table,MATCH($G$62,PO_Enrgy_3_Hdr,0),FALSE),0),0)</f>
        <v>30143</v>
      </c>
      <c r="F243" s="1384">
        <f>IFERROR(VLOOKUP($B243,PO_Enrgy_7_Table,MATCH($F$223,PO_Enrgy_7_Hdr,0),FALSE)+IF(PO_ShowExCalc=TRUE,VLOOKUP($B243,PO_Enrgy_3_Table,MATCH($J$62,PO_Enrgy_3_Hdr,0),FALSE),0),0)</f>
        <v>3014.3</v>
      </c>
      <c r="G243" s="1387">
        <f>IFERROR(VLOOKUP($B243,PO_Enrgy_7_Table,MATCH($G$223,PO_Enrgy_7_Hdr,0),FALSE)+IF(PO_ShowExCalc=TRUE,VLOOKUP($B243,PO_Enrgy_3_Table,MATCH($L$62,PO_Enrgy_3_Hdr,0),FALSE),0),0)</f>
        <v>26920</v>
      </c>
      <c r="H243" s="1384">
        <f>IFERROR(VLOOKUP($B243,PO_Enrgy_7_Table,MATCH($H$223,PO_Enrgy_7_Hdr,0),FALSE)-IF(PO_ShowExCalc=TRUE,VLOOKUP($B243,PO_Enrgy_4_Table,MATCH($G$62,PO_Enrgy_3_Hdr,0),FALSE),0),0)</f>
        <v>27282</v>
      </c>
      <c r="I243" s="1384">
        <f>IFERROR(VLOOKUP($B243,PO_Enrgy_7_Table,MATCH($I$223,PO_Enrgy_7_Hdr,0),FALSE)-IF(PO_ShowExCalc=TRUE,VLOOKUP($B243,PO_Enrgy_4_Table,MATCH($J$62,PO_Enrgy_3_Hdr,0),FALSE),0),0)</f>
        <v>2728.2000000000003</v>
      </c>
      <c r="J243" s="1387">
        <f>IFERROR(VLOOKUP($B243,PO_Enrgy_7_Table,MATCH($J$223,PO_Enrgy_7_Hdr,0),FALSE)-IF(PO_ShowExCalc=TRUE,VLOOKUP($B243,PO_Enrgy_4_Table,MATCH($L$62,PO_Enrgy_3_Hdr,0),FALSE),0),0)</f>
        <v>24213</v>
      </c>
      <c r="K243" s="3163">
        <f>IFERROR(1-H243/E243,"")</f>
        <v>9.4914242112596581E-2</v>
      </c>
      <c r="L243" s="3164"/>
      <c r="M243" s="2150">
        <f>IFERROR(1-J243/G243,"")</f>
        <v>0.10055720653789002</v>
      </c>
      <c r="N243" s="650"/>
      <c r="O243" s="650"/>
      <c r="P243" s="650"/>
      <c r="Q243" s="1549">
        <f>IFERROR(IF(ISBLANK($B243),"",VLOOKUP($B243,PO_Enrgy_1_Table,MATCH($K$16,PO_Enrgy_1_Hdr,0),FALSE)),"")</f>
        <v>0.1</v>
      </c>
      <c r="R243" s="1549">
        <f>IFERROR(IF(ISBLANK($B243),"",VLOOKUP($B243,PO_Enrgy_1_Table,MATCH($M$16,PO_Enrgy_1_Hdr,0),FALSE)),"")</f>
        <v>0.1</v>
      </c>
      <c r="S243" s="564"/>
      <c r="T243" s="564"/>
      <c r="AD243" s="1291"/>
      <c r="AE243" s="1291"/>
      <c r="AF243" s="16"/>
      <c r="AG243" s="596"/>
      <c r="AH243" s="1298"/>
      <c r="AI243" s="1298"/>
      <c r="AJ243" s="1299"/>
      <c r="AK243" s="1299"/>
      <c r="AL243" s="596"/>
      <c r="AM243" s="1300"/>
      <c r="AN243" s="596"/>
      <c r="AO243" s="596"/>
      <c r="AP243" s="669"/>
      <c r="AQ243" s="669"/>
      <c r="BC243" s="2292"/>
    </row>
    <row r="244" spans="1:55" s="594" customFormat="1" ht="21" hidden="1" customHeight="1" x14ac:dyDescent="0.25">
      <c r="A244" s="1271" t="s">
        <v>1298</v>
      </c>
      <c r="B244" s="3120" t="str">
        <f>"Energy model subtotal (" &amp; PO_SiteUnits &amp; ")"</f>
        <v>Energy model subtotal (Btu x 10^6)</v>
      </c>
      <c r="C244" s="3120"/>
      <c r="D244" s="3120"/>
      <c r="E244" s="1384">
        <f>IFERROR(SUMPRODUCT(INDEX(PO_Enrgy_9_Table,0,MATCH(E$240,PO_Enrgy_9_Hdr,0)),INDEX(PO_Enrgy_9_Table,0,MATCH($Q$240,PO_Enrgy_9_Hdr,0))),"")</f>
        <v>4535.7239120000004</v>
      </c>
      <c r="F244" s="1384">
        <f>IFERROR(SUM(INDEX(PO_Enrgy_9_Table,0,MATCH(F$240,PO_Enrgy_9_Hdr,0))),"")</f>
        <v>7485.2450836799999</v>
      </c>
      <c r="G244" s="1387">
        <f>IFERROR(SUM(INDEX(PO_Enrgy_9_Table,0,MATCH(G$240,PO_Enrgy_9_Hdr,0))),"")</f>
        <v>59142</v>
      </c>
      <c r="H244" s="1384">
        <f ca="1">IFERROR(SUMPRODUCT(INDEX(PO_Enrgy_9_Table,0,MATCH(H$240,PO_Enrgy_9_Hdr,0)),INDEX(PO_Enrgy_9_Table,0,MATCH($Q$240,PO_Enrgy_9_Hdr,0))),"")</f>
        <v>4064.2752479999999</v>
      </c>
      <c r="I244" s="1384">
        <f ca="1">IFERROR(SUM(INDEX(PO_Enrgy_9_Table,0,MATCH(I$240,PO_Enrgy_9_Hdr,0))),"")</f>
        <v>6726.3722787200004</v>
      </c>
      <c r="J244" s="1387">
        <f>IFERROR(SUM(INDEX(PO_Enrgy_9_Table,0,MATCH(J$240,PO_Enrgy_9_Hdr,0))),"")</f>
        <v>53001</v>
      </c>
      <c r="K244" s="3163">
        <f ca="1">IFERROR(1-H244/E244,"")</f>
        <v>0.10394121713464655</v>
      </c>
      <c r="L244" s="3164"/>
      <c r="M244" s="1386">
        <f>IFERROR(1-J244/G244,"")</f>
        <v>0.10383483818606065</v>
      </c>
      <c r="N244" s="650"/>
      <c r="O244" s="650"/>
      <c r="P244" s="650"/>
      <c r="AD244" s="596"/>
      <c r="AE244" s="596"/>
      <c r="AF244" s="16"/>
      <c r="AG244" s="596"/>
      <c r="AH244" s="1293"/>
      <c r="AI244" s="1294"/>
      <c r="AJ244" s="596"/>
      <c r="AK244" s="596"/>
      <c r="AL244" s="596"/>
      <c r="AM244" s="596"/>
      <c r="AN244" s="596"/>
      <c r="AO244" s="596"/>
      <c r="BC244" s="2292"/>
    </row>
    <row r="245" spans="1:55" s="594" customFormat="1" ht="33" hidden="1" customHeight="1" x14ac:dyDescent="0.25">
      <c r="A245" s="1271" t="s">
        <v>1298</v>
      </c>
      <c r="B245" s="1301"/>
      <c r="C245" s="1301"/>
      <c r="D245" s="1301"/>
      <c r="E245" s="1302"/>
      <c r="F245" s="1302"/>
      <c r="G245" s="1303"/>
      <c r="H245" s="1302"/>
      <c r="I245" s="1302"/>
      <c r="J245" s="1303"/>
      <c r="K245" s="1304"/>
      <c r="L245" s="1304"/>
      <c r="M245" s="1304"/>
      <c r="N245" s="650"/>
      <c r="O245" s="650"/>
      <c r="P245" s="650"/>
      <c r="AF245" s="834"/>
      <c r="AH245" s="619"/>
      <c r="AI245" s="620"/>
    </row>
    <row r="246" spans="1:55" ht="21" hidden="1" customHeight="1" x14ac:dyDescent="0.25">
      <c r="A246" s="1271" t="s">
        <v>1298</v>
      </c>
      <c r="B246" s="3200" t="s">
        <v>1121</v>
      </c>
      <c r="C246" s="3201"/>
      <c r="D246" s="3201"/>
      <c r="E246" s="3201"/>
      <c r="F246" s="3201"/>
      <c r="G246" s="3201"/>
      <c r="H246" s="3201"/>
      <c r="I246" s="3201"/>
      <c r="J246" s="3201"/>
      <c r="K246" s="3201"/>
      <c r="L246" s="3201"/>
      <c r="M246" s="650"/>
      <c r="N246" s="564"/>
      <c r="O246" s="564"/>
      <c r="P246" s="564"/>
      <c r="S246" s="564"/>
      <c r="X246" s="596"/>
      <c r="Z246" s="619"/>
      <c r="AA246" s="620"/>
      <c r="AF246" s="835"/>
    </row>
    <row r="247" spans="1:55" ht="116.25" hidden="1" customHeight="1" x14ac:dyDescent="0.25">
      <c r="A247" s="1271" t="s">
        <v>1298</v>
      </c>
      <c r="B247" s="3334" t="s">
        <v>1194</v>
      </c>
      <c r="C247" s="3334"/>
      <c r="D247" s="3334"/>
      <c r="E247" s="3334"/>
      <c r="F247" s="3334"/>
      <c r="G247" s="3334"/>
      <c r="H247" s="3334"/>
      <c r="I247" s="3334"/>
      <c r="J247" s="3334"/>
      <c r="K247" s="3335"/>
      <c r="L247" s="3335"/>
      <c r="M247" s="3335"/>
      <c r="N247" s="564"/>
      <c r="O247" s="564"/>
      <c r="P247" s="564"/>
      <c r="S247" s="564"/>
      <c r="X247" s="596"/>
      <c r="Z247" s="619"/>
      <c r="AA247" s="620"/>
      <c r="AF247" s="835"/>
    </row>
    <row r="248" spans="1:55" s="564" customFormat="1" ht="21" hidden="1" customHeight="1" x14ac:dyDescent="0.25">
      <c r="A248" s="1271" t="s">
        <v>1298</v>
      </c>
      <c r="B248" s="3124" t="s">
        <v>1814</v>
      </c>
      <c r="C248" s="3165" t="s">
        <v>1805</v>
      </c>
      <c r="D248" s="3125"/>
      <c r="E248" s="3166" t="s">
        <v>453</v>
      </c>
      <c r="F248" s="3167"/>
      <c r="G248" s="3167"/>
      <c r="H248" s="3166" t="s">
        <v>159</v>
      </c>
      <c r="I248" s="3167"/>
      <c r="J248" s="3167"/>
      <c r="K248" s="3336"/>
      <c r="L248" s="3193"/>
      <c r="M248" s="1158"/>
      <c r="N248" s="650"/>
      <c r="O248" s="654"/>
      <c r="P248" s="650"/>
      <c r="AF248" s="16"/>
    </row>
    <row r="249" spans="1:55" s="564" customFormat="1" ht="38.25" hidden="1" x14ac:dyDescent="0.25">
      <c r="A249" s="1271" t="s">
        <v>1298</v>
      </c>
      <c r="B249" s="3125"/>
      <c r="C249" s="3125"/>
      <c r="D249" s="3125"/>
      <c r="E249" s="1383" t="s">
        <v>1299</v>
      </c>
      <c r="F249" s="1367" t="s">
        <v>1300</v>
      </c>
      <c r="G249" s="1167" t="s">
        <v>446</v>
      </c>
      <c r="H249" s="1383" t="s">
        <v>1299</v>
      </c>
      <c r="I249" s="1367" t="s">
        <v>1116</v>
      </c>
      <c r="J249" s="1167" t="s">
        <v>446</v>
      </c>
      <c r="K249" s="652"/>
      <c r="L249" s="652"/>
      <c r="M249" s="1158"/>
      <c r="N249" s="650"/>
      <c r="O249" s="650"/>
      <c r="P249" s="650"/>
      <c r="AH249" s="596"/>
      <c r="AI249" s="596"/>
      <c r="AJ249" s="16"/>
      <c r="AK249" s="596"/>
    </row>
    <row r="250" spans="1:55" s="1287" customFormat="1" ht="15" hidden="1" x14ac:dyDescent="0.25">
      <c r="A250" s="1271" t="s">
        <v>1298</v>
      </c>
      <c r="B250" s="1305" t="s">
        <v>1765</v>
      </c>
      <c r="C250" s="1305" t="s">
        <v>1793</v>
      </c>
      <c r="D250" s="1305"/>
      <c r="E250" s="1306" t="s">
        <v>1815</v>
      </c>
      <c r="F250" s="1307" t="s">
        <v>1816</v>
      </c>
      <c r="G250" s="1308" t="s">
        <v>1817</v>
      </c>
      <c r="H250" s="1306" t="s">
        <v>1818</v>
      </c>
      <c r="I250" s="1307" t="s">
        <v>1819</v>
      </c>
      <c r="J250" s="1308" t="s">
        <v>1820</v>
      </c>
      <c r="K250" s="1309"/>
      <c r="L250" s="1309"/>
      <c r="M250" s="1286"/>
      <c r="N250" s="1286"/>
      <c r="O250" s="1286"/>
      <c r="P250" s="1286"/>
      <c r="U250" s="564" t="s">
        <v>1199</v>
      </c>
      <c r="V250" s="1310" t="s">
        <v>1201</v>
      </c>
      <c r="W250" s="1310" t="s">
        <v>1202</v>
      </c>
      <c r="AJ250" s="1295"/>
      <c r="AK250" s="1289"/>
    </row>
    <row r="251" spans="1:55" s="564" customFormat="1" ht="17.25" hidden="1" customHeight="1" x14ac:dyDescent="0.25">
      <c r="A251" s="1271" t="s">
        <v>1298</v>
      </c>
      <c r="B251" s="3141" t="s">
        <v>347</v>
      </c>
      <c r="C251" s="3141"/>
      <c r="D251" s="3141"/>
      <c r="E251" s="1394"/>
      <c r="F251" s="1394"/>
      <c r="G251" s="1395"/>
      <c r="H251" s="1394"/>
      <c r="I251" s="1394"/>
      <c r="J251" s="1395"/>
      <c r="K251" s="822"/>
      <c r="L251" s="822"/>
      <c r="M251" s="650"/>
      <c r="N251" s="650"/>
      <c r="O251" s="650"/>
      <c r="P251" s="650"/>
      <c r="Q251" s="1249" t="s">
        <v>1776</v>
      </c>
      <c r="R251" s="1249" t="s">
        <v>1777</v>
      </c>
      <c r="V251" s="1311" t="str">
        <f>IFERROR(V253+V252,"")</f>
        <v/>
      </c>
      <c r="W251" s="1311" t="str">
        <f>IFERROR(W253+W252,"")</f>
        <v/>
      </c>
      <c r="AH251" s="596"/>
      <c r="AI251" s="596"/>
      <c r="AJ251" s="16"/>
      <c r="AK251" s="596"/>
      <c r="AL251" s="622"/>
      <c r="AM251" s="623"/>
    </row>
    <row r="252" spans="1:55" s="564" customFormat="1" ht="18" hidden="1" customHeight="1" x14ac:dyDescent="0.25">
      <c r="A252" s="1271" t="s">
        <v>1298</v>
      </c>
      <c r="B252" s="1426" t="str">
        <f>IFERROR(IF(DESPath=3,"Electricity",""),"")</f>
        <v/>
      </c>
      <c r="C252" s="3142" t="str">
        <f>IFERROR(IF(ISBLANK($B252),"",VLOOKUP($B252,PO_Enrgy_1_Table,MATCH($C$16,PO_Enrgy_1_Hdr,0),FALSE) ),"")</f>
        <v/>
      </c>
      <c r="D252" s="3143" t="str">
        <f>IF(C252="","",VLOOKUP(C252,ProjectEnergyTypeTable,3,FALSE))</f>
        <v/>
      </c>
      <c r="E252" s="1396">
        <f>IFERROR(IF(AND(DESPath=3,DistrictCooling,$B$252="Electricity"),DESPath3_Cooling_COP,0),0)</f>
        <v>0</v>
      </c>
      <c r="F252" s="1397">
        <f>IFERROR(IF(DESPath=3,VLOOKUP("District Cooling",PO_Enrgy_9_Table,MATCH($E$240,PO_Enrgy_9_Hdr,0),FALSE)/$E252*VLOOKUP(VLOOKUP("District Cooling",PO_Enrgy_9_Table,MATCH($C$240,PO_Enrgy_9_Hdr,0),FALSE),EnergyUnitsTable,3,FALSE)/VLOOKUP($C252,EnergyUnitsTable,3,FALSE),0),0)</f>
        <v>0</v>
      </c>
      <c r="G252" s="1398">
        <f>IFERROR(F252*VLOOKUP($B252,PO_Enrgy_8_Table,MATCH($E$232,PO_Enrgy_8_Hdr,0),FALSE),0)</f>
        <v>0</v>
      </c>
      <c r="H252" s="1397">
        <f>IFERROR(IF(AND(DESPath=3,DistrictHeating,$B$252="Electricity"),DESPath3_Heating_eCOP,0),0)</f>
        <v>0</v>
      </c>
      <c r="I252" s="1397">
        <f>IF(DESPath = 3,IFERROR(VLOOKUP("District Hot Water",PO_Enrgy_9_Table,MATCH($E$240,PO_Enrgy_9_Hdr,0),FALSE)/$H252*VLOOKUP(VLOOKUP("District Hot Water",PO_Enrgy_9_Table,MATCH($C$240,PO_Enrgy_9_Hdr,0),FALSE),EnergyUnitsTable,3,FALSE)/VLOOKUP($C252,EnergyUnitsTable,3,FALSE),0)+IFERROR(VLOOKUP("District Steam",PO_Enrgy_9_Table,MATCH($E$240,PO_Enrgy_9_Hdr,0),FALSE)/$H252*VLOOKUP(VLOOKUP("District Steam",PO_Enrgy_9_Table,MATCH($C$240,PO_Enrgy_9_Hdr,0),FALSE),EnergyUnitsTable,3,FALSE)/VLOOKUP($C252,EnergyUnitsTable,3,FALSE),0),0)</f>
        <v>0</v>
      </c>
      <c r="J252" s="1398">
        <f>IFERROR(I252*VLOOKUP($B252,PO_Enrgy_8_Table,MATCH($E$232,PO_Enrgy_8_Hdr,0),FALSE),0)</f>
        <v>0</v>
      </c>
      <c r="K252" s="822"/>
      <c r="L252" s="822"/>
      <c r="M252" s="822"/>
      <c r="N252" s="650"/>
      <c r="O252" s="650"/>
      <c r="P252" s="650"/>
      <c r="Q252" s="1250" t="str">
        <f>IFERROR(IF(ISBLANK($B252),"",VLOOKUP($B252,PO_Enrgy_1_Table,MATCH($K$16,PO_Enrgy_1_Hdr,0),FALSE)),"")</f>
        <v/>
      </c>
      <c r="R252" s="1250" t="str">
        <f>IFERROR(IF(ISBLANK($B252),"",VLOOKUP($B252,PO_Enrgy_1_Table,MATCH($M$16,PO_Enrgy_1_Hdr,0),FALSE)),"")</f>
        <v/>
      </c>
      <c r="U252" s="564" t="s">
        <v>1197</v>
      </c>
      <c r="V252" s="1312" t="str">
        <f>IFERROR(VLOOKUP($B252,PO_Enrgy_8_Table,MATCH($E$232,PO_Enrgy_8_Hdr,0),FALSE)/$E$252*VLOOKUP(VLOOKUP("District Cooling",PO_Enrgy_9_Table,MATCH($C$240,PO_Enrgy_9_Hdr,0),FALSE),EnergyUnitsTable,3,FALSE)/VLOOKUP($C252,EnergyUnitsTable,3,FALSE),"")</f>
        <v/>
      </c>
      <c r="W252" s="1312" t="str">
        <f>IFERROR(VLOOKUP($B252,PO_Enrgy_8_Table,MATCH($E$232,PO_Enrgy_8_Hdr,0),FALSE)/$H$252*(IFERROR(VLOOKUP(VLOOKUP("District Hot Water",PO_Enrgy_9_Table,MATCH($C$240,PO_Enrgy_9_Hdr,0),FALSE),EnergyUnitsTable,3,FALSE),1)+IFERROR(VLOOKUP(VLOOKUP("District Steam",PO_Enrgy_9_Table,MATCH($C$240,PO_Enrgy_9_Hdr,0),FALSE),EnergyUnitsTable,3,FALSE),1))/VLOOKUP($C252,EnergyUnitsTable,3,FALSE),"")</f>
        <v/>
      </c>
      <c r="AH252" s="1291"/>
      <c r="AI252" s="1291"/>
      <c r="AJ252" s="605"/>
      <c r="AK252" s="596"/>
      <c r="AL252" s="622"/>
      <c r="AM252" s="623"/>
      <c r="BC252" s="2292"/>
    </row>
    <row r="253" spans="1:55" s="564" customFormat="1" ht="18" hidden="1" customHeight="1" x14ac:dyDescent="0.25">
      <c r="A253" s="1271" t="s">
        <v>1298</v>
      </c>
      <c r="B253" s="1340" t="str">
        <f>IFERROR(IF(DESPath=3,IF(MATCH("Natural Gas",PO_Enrgy_1_Index,0)&gt;0,"Natural Gas",IF(MATCH("Fuel Oil / Diesel",PO_Enrgy_1_Table,0)&gt;1,"Fuel Oil / Diesel","")),""),"")</f>
        <v/>
      </c>
      <c r="C253" s="3142" t="str">
        <f>IFERROR(IF(ISBLANK($B253),"",VLOOKUP($B253,PO_Enrgy_1_Table,MATCH($C$16,PO_Enrgy_1_Hdr,0),FALSE) ),"")</f>
        <v/>
      </c>
      <c r="D253" s="3143" t="str">
        <f>IF(C253="","",VLOOKUP(C253,ProjectEnergyTypeTable,3,FALSE))</f>
        <v/>
      </c>
      <c r="E253" s="1399"/>
      <c r="F253" s="1399"/>
      <c r="G253" s="1400"/>
      <c r="H253" s="1397">
        <f>IFERROR(IF(AND(DESPath=3,DistrictHeating,$B$252="Electricity"),DESPath3_Heating_fCOP,0),0)</f>
        <v>0</v>
      </c>
      <c r="I253" s="1397">
        <f>IF(DESPath = 3,IFERROR(VLOOKUP("District Hot Water",PO_Enrgy_9_Table,MATCH($E$240,PO_Enrgy_9_Hdr,0),FALSE)/$H253*VLOOKUP(VLOOKUP("District Hot Water",PO_Enrgy_9_Table,MATCH($C$240,PO_Enrgy_9_Hdr,0),FALSE),EnergyUnitsTable,3,FALSE)/VLOOKUP($C253,EnergyUnitsTable,3,FALSE),0)+IFERROR(VLOOKUP("District Steam",PO_Enrgy_9_Table,MATCH($E$240,PO_Enrgy_9_Hdr,0),FALSE)/$H253*VLOOKUP(VLOOKUP("District Steam",PO_Enrgy_9_Table,MATCH($C$240,PO_Enrgy_9_Hdr,0),FALSE),EnergyUnitsTable,3,FALSE)/VLOOKUP($C253,EnergyUnitsTable,3,FALSE),0),0)</f>
        <v>0</v>
      </c>
      <c r="J253" s="1398">
        <f>IFERROR(I253*VLOOKUP($B253,PO_Enrgy_8_Table,MATCH($E$232,PO_Enrgy_8_Hdr,0),FALSE),0)</f>
        <v>0</v>
      </c>
      <c r="K253" s="822"/>
      <c r="L253" s="822"/>
      <c r="M253" s="822"/>
      <c r="N253" s="650"/>
      <c r="O253" s="650"/>
      <c r="P253" s="650"/>
      <c r="Q253" s="1250" t="str">
        <f>IFERROR(IF(ISBLANK($B253),"",VLOOKUP($B253,PO_Enrgy_1_Table,MATCH($K$16,PO_Enrgy_1_Hdr,0),FALSE)),"")</f>
        <v/>
      </c>
      <c r="R253" s="1250" t="str">
        <f>IFERROR(IF(ISBLANK($B253),"",VLOOKUP($B253,PO_Enrgy_1_Table,MATCH($M$16,PO_Enrgy_1_Hdr,0),FALSE)),"")</f>
        <v/>
      </c>
      <c r="U253" s="564" t="s">
        <v>1198</v>
      </c>
      <c r="V253" s="1312" t="str">
        <f>IFERROR(VLOOKUP($B253,PO_Enrgy_8_Table,MATCH($E$232,PO_Enrgy_8_Hdr,0),FALSE)/$E$252*VLOOKUP(VLOOKUP("District Cooling",PO_Enrgy_9_Table,MATCH($C$240,PO_Enrgy_9_Hdr,0),FALSE),EnergyUnitsTable,3,FALSE)/VLOOKUP($C253,EnergyUnitsTable,3,FALSE),"")</f>
        <v/>
      </c>
      <c r="W253" s="1312" t="str">
        <f>IFERROR(VLOOKUP($B253,PO_Enrgy_8_Table,MATCH($E$232,PO_Enrgy_8_Hdr,0),FALSE)/$H$252*(IFERROR(VLOOKUP(VLOOKUP("District Hot Water",PO_Enrgy_9_Table,MATCH($C$240,PO_Enrgy_9_Hdr,0),FALSE),EnergyUnitsTable,3,FALSE),1)+IFERROR(VLOOKUP(VLOOKUP("District Steam",PO_Enrgy_9_Table,MATCH($C$240,PO_Enrgy_9_Hdr,0),FALSE),EnergyUnitsTable,3,FALSE),1))/VLOOKUP($C253,EnergyUnitsTable,3,FALSE),"")</f>
        <v/>
      </c>
      <c r="AH253" s="1291"/>
      <c r="AI253" s="1291"/>
      <c r="AJ253" s="605"/>
      <c r="AK253" s="596"/>
      <c r="AL253" s="622"/>
      <c r="AM253" s="623"/>
      <c r="BC253" s="2292"/>
    </row>
    <row r="254" spans="1:55" s="1287" customFormat="1" ht="15" hidden="1" x14ac:dyDescent="0.25">
      <c r="A254" s="1271" t="s">
        <v>1298</v>
      </c>
      <c r="B254" s="1305" t="s">
        <v>1765</v>
      </c>
      <c r="C254" s="1305" t="s">
        <v>1793</v>
      </c>
      <c r="D254" s="1305"/>
      <c r="E254" s="1306" t="s">
        <v>1815</v>
      </c>
      <c r="F254" s="1307" t="s">
        <v>1816</v>
      </c>
      <c r="G254" s="1308" t="s">
        <v>1817</v>
      </c>
      <c r="H254" s="1306" t="s">
        <v>1818</v>
      </c>
      <c r="I254" s="1307" t="s">
        <v>1819</v>
      </c>
      <c r="J254" s="1308" t="s">
        <v>1820</v>
      </c>
      <c r="K254" s="1309"/>
      <c r="L254" s="1309"/>
      <c r="M254" s="1286"/>
      <c r="N254" s="1286"/>
      <c r="O254" s="1286"/>
      <c r="P254" s="1286"/>
      <c r="Q254" s="1249" t="s">
        <v>1776</v>
      </c>
      <c r="R254" s="1249" t="s">
        <v>1777</v>
      </c>
      <c r="V254" s="1310" t="s">
        <v>1201</v>
      </c>
      <c r="W254" s="1310" t="s">
        <v>1202</v>
      </c>
      <c r="AH254" s="1289"/>
      <c r="AI254" s="1289"/>
      <c r="AJ254" s="1295"/>
      <c r="AK254" s="1289"/>
    </row>
    <row r="255" spans="1:55" s="564" customFormat="1" ht="17.25" hidden="1" customHeight="1" x14ac:dyDescent="0.25">
      <c r="A255" s="1271" t="s">
        <v>1298</v>
      </c>
      <c r="B255" s="3141" t="s">
        <v>348</v>
      </c>
      <c r="C255" s="3141"/>
      <c r="D255" s="3141"/>
      <c r="E255" s="1401"/>
      <c r="F255" s="1401"/>
      <c r="G255" s="1402"/>
      <c r="H255" s="1401"/>
      <c r="I255" s="1401"/>
      <c r="J255" s="1402"/>
      <c r="K255" s="822"/>
      <c r="L255" s="822"/>
      <c r="M255" s="650"/>
      <c r="N255" s="650"/>
      <c r="O255" s="650"/>
      <c r="P255" s="650"/>
      <c r="U255" s="564" t="s">
        <v>1200</v>
      </c>
      <c r="V255" s="1311" t="str">
        <f ca="1">IFERROR(V256+V257,"")</f>
        <v/>
      </c>
      <c r="W255" s="1311" t="str">
        <f ca="1">IFERROR(W256+W257,"")</f>
        <v/>
      </c>
      <c r="AI255" s="596"/>
      <c r="AJ255" s="596"/>
      <c r="AK255" s="596"/>
      <c r="AL255" s="622"/>
      <c r="AM255" s="623"/>
    </row>
    <row r="256" spans="1:55" s="564" customFormat="1" ht="18" hidden="1" customHeight="1" x14ac:dyDescent="0.25">
      <c r="A256" s="1271" t="s">
        <v>1298</v>
      </c>
      <c r="B256" s="1403" t="str">
        <f>IFERROR(IF(ISBLANK(B17),"",B17),"")</f>
        <v>Electricity</v>
      </c>
      <c r="C256" s="3142" t="str">
        <f>IFERROR(IF(ISBLANK($B256),"",VLOOKUP($B256,PO_Enrgy_1_Table,MATCH($C$16,PO_Enrgy_1_Hdr,0),FALSE) ),"")</f>
        <v>kWh</v>
      </c>
      <c r="D256" s="3143" t="e">
        <f>IF(C256="","",VLOOKUP(C256,ProjectEnergyTypeTable,3,FALSE))</f>
        <v>#NAME?</v>
      </c>
      <c r="E256" s="2247"/>
      <c r="F256" s="1397">
        <f>IFERROR(IF(DESPath=3,VLOOKUP("District Cooling",PO_Enrgy_9_Table,MATCH($H$240,PO_Enrgy_9_Hdr,0),FALSE)/$E256*VLOOKUP(VLOOKUP("District Cooling",PO_Enrgy_9_Table,MATCH($C$240,PO_Enrgy_9_Hdr,0),FALSE),EnergyUnitsTable,3,FALSE)/VLOOKUP($C256,EnergyUnitsTable,3,FALSE),0),0)</f>
        <v>0</v>
      </c>
      <c r="G256" s="1398">
        <f ca="1">IFERROR(F256*VLOOKUP($B256,PO_Enrgy_8_Table,MATCH($H$232,PO_Enrgy_8_Hdr,0),FALSE),0)</f>
        <v>0</v>
      </c>
      <c r="H256" s="2248"/>
      <c r="I256" s="1397">
        <f>IF(DESPath = 3,IFERROR(VLOOKUP("District Hot Water",PO_Enrgy_9_Table,MATCH($H$240,PO_Enrgy_9_Hdr,0),FALSE)/$H256*VLOOKUP(VLOOKUP("District Hot Water",PO_Enrgy_9_Table,MATCH($C$240,PO_Enrgy_9_Hdr,0),FALSE),EnergyUnitsTable,3,FALSE)/VLOOKUP($C256,EnergyUnitsTable,3,FALSE),0)+IFERROR(VLOOKUP("District Steam",PO_Enrgy_9_Table,MATCH($H$240,PO_Enrgy_9_Hdr,0),FALSE)/$H256*VLOOKUP(VLOOKUP("District Steam",PO_Enrgy_9_Table,MATCH($C$240,PO_Enrgy_9_Hdr,0),FALSE),EnergyUnitsTable,3,FALSE)/VLOOKUP($C256,EnergyUnitsTable,3,FALSE),0),0)</f>
        <v>0</v>
      </c>
      <c r="J256" s="1398">
        <f ca="1">IFERROR(I256*VLOOKUP($B256,PO_Enrgy_8_Table,MATCH($H$232,PO_Enrgy_8_Hdr,0),FALSE),0)</f>
        <v>0</v>
      </c>
      <c r="K256" s="822"/>
      <c r="L256" s="822"/>
      <c r="M256" s="822"/>
      <c r="N256" s="650"/>
      <c r="O256" s="650"/>
      <c r="P256" s="650"/>
      <c r="Q256" s="1250">
        <f>IFERROR(IF(ISBLANK($B256),"",VLOOKUP($B256,PO_Enrgy_1_Table,MATCH($K$16,PO_Enrgy_1_Hdr,0),FALSE)),"")</f>
        <v>3.4120000000000001E-3</v>
      </c>
      <c r="R256" s="1250">
        <f>IFERROR(IF(ISBLANK($B256),"",VLOOKUP($B256,PO_Enrgy_1_Table,MATCH($M$16,PO_Enrgy_1_Hdr,0),FALSE)),"")</f>
        <v>1.0713680000000001E-2</v>
      </c>
      <c r="U256" s="564" t="s">
        <v>1197</v>
      </c>
      <c r="V256" s="1312" t="str">
        <f ca="1">IFERROR(VLOOKUP($B256,PO_Enrgy_8_Table,MATCH($H$232,PO_Enrgy_8_Hdr,0),FALSE)/$E$256*VLOOKUP(VLOOKUP("District Cooling",PO_Enrgy_9_Table,MATCH($C$240,PO_Enrgy_9_Hdr,0),FALSE),EnergyUnitsTable,3,FALSE)/VLOOKUP($C256,EnergyUnitsTable,3,FALSE),"")</f>
        <v/>
      </c>
      <c r="W256" s="1312" t="str">
        <f ca="1">IFERROR(VLOOKUP($B256,PO_Enrgy_8_Table,MATCH($H$232,PO_Enrgy_8_Hdr,0),FALSE)/$H$256*(IFERROR(VLOOKUP(VLOOKUP("District Hot Water",PO_Enrgy_9_Table,MATCH($C$240,PO_Enrgy_9_Hdr,0),FALSE),EnergyUnitsTable,3,FALSE),1)+IFERROR(VLOOKUP(VLOOKUP("District Steam",PO_Enrgy_9_Table,MATCH($C$240,PO_Enrgy_9_Hdr,0),FALSE),EnergyUnitsTable,3,FALSE),1))/VLOOKUP($C256,EnergyUnitsTable,3,FALSE),"")</f>
        <v/>
      </c>
      <c r="AH256" s="1291"/>
      <c r="AI256" s="1291"/>
      <c r="AJ256" s="605"/>
      <c r="AK256" s="596"/>
      <c r="AL256" s="622"/>
      <c r="AM256" s="623"/>
      <c r="BC256" s="2292"/>
    </row>
    <row r="257" spans="1:55" s="564" customFormat="1" ht="18" hidden="1" customHeight="1" x14ac:dyDescent="0.25">
      <c r="A257" s="1271" t="s">
        <v>1298</v>
      </c>
      <c r="B257" s="1403" t="str">
        <f>IFERROR(IF(ISBLANK($B$253),"",$B$253),"")</f>
        <v/>
      </c>
      <c r="C257" s="3142" t="str">
        <f>IFERROR(IF(ISBLANK($B257),"",VLOOKUP($B257,PO_Enrgy_1_Table,MATCH($C$16,PO_Enrgy_1_Hdr,0),FALSE) ),"")</f>
        <v/>
      </c>
      <c r="D257" s="3143" t="str">
        <f>IF(C257="","",VLOOKUP(C257,ProjectEnergyTypeTable,3,FALSE))</f>
        <v/>
      </c>
      <c r="E257" s="2248"/>
      <c r="F257" s="1397">
        <f>IFERROR(IF(DESPath=3,VLOOKUP("District Cooling",PO_Enrgy_9_Table,MATCH($H$240,PO_Enrgy_9_Hdr,0),FALSE)/$E257*VLOOKUP(VLOOKUP("District Cooling",PO_Enrgy_9_Table,MATCH($C$240,PO_Enrgy_9_Hdr,0),FALSE),EnergyUnitsTable,3,FALSE)/VLOOKUP($C257,EnergyUnitsTable,3,FALSE),0),0)</f>
        <v>0</v>
      </c>
      <c r="G257" s="1398">
        <f>IFERROR(F257*VLOOKUP($B257,PO_Enrgy_8_Table,MATCH($H$232,PO_Enrgy_8_Hdr,0),FALSE),0)</f>
        <v>0</v>
      </c>
      <c r="H257" s="2249"/>
      <c r="I257" s="1397">
        <f>IF(DESPath = 3,IFERROR(VLOOKUP("District Hot Water",PO_Enrgy_9_Table,MATCH($H$240,PO_Enrgy_9_Hdr,0),FALSE)/$H257*VLOOKUP(VLOOKUP("District Hot Water",PO_Enrgy_9_Table,MATCH($C$240,PO_Enrgy_9_Hdr,0),FALSE),EnergyUnitsTable,3,FALSE)/VLOOKUP($C257,EnergyUnitsTable,3,FALSE),0)+IFERROR(VLOOKUP("District Steam",PO_Enrgy_9_Table,MATCH($H$240,PO_Enrgy_9_Hdr,0),FALSE)/$H257*VLOOKUP(VLOOKUP("District Steam",PO_Enrgy_9_Table,MATCH($C$240,PO_Enrgy_9_Hdr,0),FALSE),EnergyUnitsTable,3,FALSE)/VLOOKUP($C257,EnergyUnitsTable,3,FALSE),0),0)</f>
        <v>0</v>
      </c>
      <c r="J257" s="1398">
        <f>IFERROR(I257*VLOOKUP($B257,PO_Enrgy_8_Table,MATCH($H$232,PO_Enrgy_8_Hdr,0),FALSE),0)</f>
        <v>0</v>
      </c>
      <c r="K257" s="822"/>
      <c r="L257" s="822"/>
      <c r="M257" s="822"/>
      <c r="N257" s="650"/>
      <c r="O257" s="650"/>
      <c r="P257" s="650"/>
      <c r="Q257" s="1250" t="str">
        <f>IFERROR(IF(ISBLANK($B257),"",VLOOKUP($B257,PO_Enrgy_1_Table,MATCH($K$16,PO_Enrgy_1_Hdr,0),FALSE)),"")</f>
        <v/>
      </c>
      <c r="R257" s="1250" t="str">
        <f>IFERROR(IF(ISBLANK($B257),"",VLOOKUP($B257,PO_Enrgy_1_Table,MATCH($M$16,PO_Enrgy_1_Hdr,0),FALSE)),"")</f>
        <v/>
      </c>
      <c r="U257" s="564" t="s">
        <v>1198</v>
      </c>
      <c r="V257" s="1312" t="str">
        <f>IFERROR(VLOOKUP($B257,PO_Enrgy_8_Table,MATCH($H$232,PO_Enrgy_8_Hdr,0),FALSE)/$E$256*VLOOKUP(VLOOKUP("District Cooling",PO_Enrgy_9_Table,MATCH($C$240,PO_Enrgy_9_Hdr,0),FALSE),EnergyUnitsTable,3,FALSE)/VLOOKUP($C257,EnergyUnitsTable,3,FALSE),"")</f>
        <v/>
      </c>
      <c r="W257" s="1312" t="str">
        <f>IFERROR(VLOOKUP($B257,PO_Enrgy_8_Table,MATCH($H$232,PO_Enrgy_8_Hdr,0),FALSE)/$H$256*(IFERROR(VLOOKUP(VLOOKUP("District Hot Water",PO_Enrgy_9_Table,MATCH($C$240,PO_Enrgy_9_Hdr,0),FALSE),EnergyUnitsTable,3,FALSE),1)+IFERROR(VLOOKUP(VLOOKUP("District Steam",PO_Enrgy_9_Table,MATCH($C$240,PO_Enrgy_9_Hdr,0),FALSE),EnergyUnitsTable,3,FALSE),1))/VLOOKUP($C257,EnergyUnitsTable,3,FALSE),"")</f>
        <v/>
      </c>
      <c r="AH257" s="1291"/>
      <c r="AI257" s="1291"/>
      <c r="AJ257" s="605"/>
      <c r="AK257" s="596"/>
      <c r="AL257" s="622" t="str">
        <f t="shared" ref="AL257" si="34">IFERROR(G257/E257,"")</f>
        <v/>
      </c>
      <c r="AM257" s="623" t="str">
        <f t="shared" ref="AM257" si="35">IFERROR(J257/H257,"")</f>
        <v/>
      </c>
      <c r="BC257" s="2292"/>
    </row>
    <row r="258" spans="1:55" s="594" customFormat="1" ht="1.9" hidden="1" customHeight="1" x14ac:dyDescent="0.25">
      <c r="A258" s="1271" t="s">
        <v>1298</v>
      </c>
      <c r="B258" s="1391"/>
      <c r="C258" s="1392"/>
      <c r="D258" s="1391"/>
      <c r="E258" s="1391"/>
      <c r="F258" s="1391"/>
      <c r="G258" s="1393"/>
      <c r="H258" s="1392"/>
      <c r="I258" s="1392" t="s">
        <v>1077</v>
      </c>
      <c r="J258" s="1391"/>
      <c r="K258" s="1159"/>
      <c r="L258" s="1159"/>
      <c r="M258" s="1158"/>
      <c r="N258" s="650"/>
      <c r="O258" s="650"/>
      <c r="P258" s="650"/>
      <c r="AE258" s="670"/>
      <c r="AF258" s="670"/>
      <c r="AH258" s="596"/>
      <c r="AI258" s="596"/>
      <c r="AJ258" s="596"/>
      <c r="AK258" s="596"/>
    </row>
    <row r="259" spans="1:55" s="594" customFormat="1" ht="19.5" hidden="1" customHeight="1" x14ac:dyDescent="0.25">
      <c r="A259" s="1271" t="s">
        <v>1298</v>
      </c>
      <c r="B259" s="3193"/>
      <c r="C259" s="3193"/>
      <c r="D259" s="3193"/>
      <c r="E259" s="843"/>
      <c r="F259" s="1159"/>
      <c r="G259" s="650"/>
      <c r="H259" s="845"/>
      <c r="I259" s="652"/>
      <c r="J259" s="651"/>
      <c r="K259" s="558"/>
      <c r="L259" s="558"/>
      <c r="M259" s="649"/>
      <c r="N259" s="650"/>
      <c r="O259" s="650"/>
      <c r="P259" s="650"/>
      <c r="AH259" s="596"/>
      <c r="AI259" s="596"/>
      <c r="AJ259" s="596"/>
      <c r="AK259" s="596"/>
      <c r="AL259" s="622"/>
      <c r="AM259" s="623"/>
    </row>
    <row r="260" spans="1:55" s="564" customFormat="1" ht="60" hidden="1" customHeight="1" x14ac:dyDescent="0.25">
      <c r="A260" s="1271" t="s">
        <v>1298</v>
      </c>
      <c r="B260" s="3124" t="s">
        <v>444</v>
      </c>
      <c r="C260" s="3165" t="s">
        <v>1805</v>
      </c>
      <c r="D260" s="3125"/>
      <c r="E260" s="3194" t="s">
        <v>1301</v>
      </c>
      <c r="F260" s="3194"/>
      <c r="G260" s="3194"/>
      <c r="H260" s="3194" t="s">
        <v>1302</v>
      </c>
      <c r="I260" s="3194"/>
      <c r="J260" s="3194"/>
      <c r="K260" s="3158" t="s">
        <v>448</v>
      </c>
      <c r="L260" s="3192"/>
      <c r="M260" s="2777"/>
      <c r="N260" s="3168"/>
      <c r="O260" s="3168"/>
      <c r="P260" s="3168"/>
      <c r="AJ260" s="596"/>
      <c r="AL260" s="622"/>
      <c r="AM260" s="623"/>
    </row>
    <row r="261" spans="1:55" s="564" customFormat="1" ht="48" hidden="1" customHeight="1" x14ac:dyDescent="0.25">
      <c r="A261" s="1271" t="s">
        <v>1298</v>
      </c>
      <c r="B261" s="3125"/>
      <c r="C261" s="3125"/>
      <c r="D261" s="3125"/>
      <c r="E261" s="1390" t="s">
        <v>1116</v>
      </c>
      <c r="F261" s="1256" t="str">
        <f>"Source Energy Use ("  &amp; PO_SourceUnits &amp; ")"</f>
        <v>Source Energy Use (Btu x 10^6)</v>
      </c>
      <c r="G261" s="1255" t="s">
        <v>446</v>
      </c>
      <c r="H261" s="1390" t="s">
        <v>1116</v>
      </c>
      <c r="I261" s="1256" t="str">
        <f>"Source Energy Use ("  &amp; PO_SourceUnits &amp; ")"</f>
        <v>Source Energy Use (Btu x 10^6)</v>
      </c>
      <c r="J261" s="1255" t="s">
        <v>446</v>
      </c>
      <c r="K261" s="3158" t="s">
        <v>447</v>
      </c>
      <c r="L261" s="3139"/>
      <c r="M261" s="1255" t="s">
        <v>446</v>
      </c>
      <c r="N261" s="652"/>
      <c r="O261" s="652"/>
      <c r="P261" s="652"/>
      <c r="AJ261" s="596"/>
    </row>
    <row r="262" spans="1:55" s="1287" customFormat="1" ht="15" hidden="1" x14ac:dyDescent="0.25">
      <c r="A262" s="1271" t="s">
        <v>1298</v>
      </c>
      <c r="B262" s="1314" t="s">
        <v>1765</v>
      </c>
      <c r="C262" s="1305" t="s">
        <v>1793</v>
      </c>
      <c r="D262" s="1314"/>
      <c r="E262" s="1315" t="s">
        <v>1821</v>
      </c>
      <c r="F262" s="1316" t="s">
        <v>1822</v>
      </c>
      <c r="G262" s="1317" t="s">
        <v>1823</v>
      </c>
      <c r="H262" s="1315" t="s">
        <v>1806</v>
      </c>
      <c r="I262" s="1316" t="s">
        <v>1807</v>
      </c>
      <c r="J262" s="1317" t="s">
        <v>1808</v>
      </c>
      <c r="K262" s="1317" t="s">
        <v>1824</v>
      </c>
      <c r="L262" s="1305"/>
      <c r="M262" s="1317" t="s">
        <v>1810</v>
      </c>
      <c r="N262" s="1309"/>
      <c r="O262" s="1309"/>
      <c r="P262" s="1309"/>
      <c r="Q262" s="1249" t="s">
        <v>1776</v>
      </c>
      <c r="R262" s="1249" t="s">
        <v>1777</v>
      </c>
      <c r="AJ262" s="1289"/>
    </row>
    <row r="263" spans="1:55" s="564" customFormat="1" ht="15" hidden="1" customHeight="1" x14ac:dyDescent="0.25">
      <c r="A263" s="1271" t="s">
        <v>1298</v>
      </c>
      <c r="B263" s="1427" t="str">
        <f>IFERROR(IF(ISBLANK(B17),"",B17),"")</f>
        <v>Electricity</v>
      </c>
      <c r="C263" s="3126" t="str">
        <f>IFERROR(IF(ISBLANK($B263),"",VLOOKUP($B263,PO_Enrgy_1_Table,MATCH($C$16,PO_Enrgy_1_Hdr,0),FALSE) ),"")</f>
        <v>kWh</v>
      </c>
      <c r="D263" s="3127" t="e">
        <f>IF(C263="","",VLOOKUP(C263,ProjectEnergyTypeTable,3,FALSE))</f>
        <v>#NAME?</v>
      </c>
      <c r="E263" s="1406">
        <f>IFERROR(IFERROR(IFERROR(VLOOKUP($B263,PO_DESbase_Enrgy_Table,MATCH($F$250,PO_DESbase_Enrgy_Hdr,0),FALSE),0)+IFERROR(VLOOKUP($B263,PO_DESbase_Enrgy_Table,MATCH($I$250,PO_DESbase_Enrgy_Hdr,0),FALSE),0),0)+IF(OR(DESPath&lt;&gt;3,AND(B263&lt;&gt;"District Cooling",B263&lt;&gt;"District Hot Water",B263&lt;&gt;"District Steam")),VLOOKUP($B263,PO_Enrgy_9_Table,MATCH($E$240,PO_Enrgy_9_Hdr,0),FALSE),0),"")</f>
        <v>399626</v>
      </c>
      <c r="F263" s="1406">
        <f>IFERROR(E263*$R263,"")</f>
        <v>4281.4650836800001</v>
      </c>
      <c r="G263" s="1387">
        <f>IFERROR(IFERROR(IFERROR(VLOOKUP($B263,PO_DESbase_Enrgy_Table,MATCH($G$250,PO_DESbase_Enrgy_Hdr,0),FALSE),0)+IFERROR(VLOOKUP($B263,PO_DESbase_Enrgy_Table,MATCH($J$250,PO_DESbase_Enrgy_Hdr,0),FALSE),0),0)+IF(OR(DESPath&lt;&gt;3,AND(B263&lt;&gt;"District Cooling",B263&lt;&gt;"District Hot Water",B263&lt;&gt;"District Steam")),VLOOKUP($B263,PO_Enrgy_9_Table,MATCH($G$240,PO_Enrgy_9_Hdr,0),FALSE),0),"")</f>
        <v>30841</v>
      </c>
      <c r="H263" s="1406">
        <f ca="1">IFERROR(IFERROR(IFERROR(VLOOKUP($B263,PO_DESdesign_Enrgy_Table,MATCH($F$254,PO_DESdesign_Enrgy_Hdr,0),FALSE),0)+IFERROR(VLOOKUP($B263,PO_DESdesign_Enrgy_Table,MATCH($I$254,PO_DESdesign_Enrgy_Hdr,0),FALSE),0),0)+IF(OR(DESPath&lt;&gt;3,AND(B263&lt;&gt;"District Cooling",B263&lt;&gt;"District Hot Water",B263&lt;&gt;"District Steam")),VLOOKUP($B263,PO_Enrgy_9_Table,MATCH($H$240,PO_Enrgy_9_Hdr,0),FALSE),0),"")</f>
        <v>361804</v>
      </c>
      <c r="I263" s="1406">
        <f ca="1">IFERROR(H263*$R263,"")</f>
        <v>3876.2522787200005</v>
      </c>
      <c r="J263" s="1387">
        <f ca="1">IFERROR(IFERROR(IFERROR(VLOOKUP($B263,PO_DESdesign_Enrgy_Table,MATCH($G$254,PO_DESdesign_Enrgy_Hdr,0),FALSE),0)+IFERROR(VLOOKUP($B263,PO_DESdesign_Enrgy_Table,MATCH($J$254,PO_DESdesign_Enrgy_Hdr,0),FALSE),0),0)+IF(OR(DESPath&lt;&gt;3,AND(B263&lt;&gt;"District Cooling",B263&lt;&gt;"District Hot Water",B263&lt;&gt;"District Steam")),VLOOKUP($B263,PO_Enrgy_9_Table,MATCH($J$240,PO_Enrgy_9_Hdr,0),FALSE),0),"")</f>
        <v>27859</v>
      </c>
      <c r="K263" s="3133">
        <f ca="1">IFERROR(1-H263/E263,"")</f>
        <v>9.4643491664706536E-2</v>
      </c>
      <c r="L263" s="3134"/>
      <c r="M263" s="2384">
        <f ca="1">IFERROR(1-J263/G263,"")</f>
        <v>9.6689471807010152E-2</v>
      </c>
      <c r="N263" s="650"/>
      <c r="O263" s="650"/>
      <c r="P263" s="650"/>
      <c r="Q263" s="1250">
        <f>IFERROR(IF(ISBLANK($B263),"",VLOOKUP($B263,PO_Enrgy_1_Table,MATCH($K$16,PO_Enrgy_1_Hdr,0),FALSE)),"")</f>
        <v>3.4120000000000001E-3</v>
      </c>
      <c r="R263" s="1250">
        <f>IFERROR(IF(ISBLANK($B263),"",VLOOKUP($B263,PO_Enrgy_1_Table,MATCH($M$16,PO_Enrgy_1_Hdr,0),FALSE)),"")</f>
        <v>1.0713680000000001E-2</v>
      </c>
      <c r="AH263" s="624"/>
      <c r="AI263" s="624"/>
      <c r="AJ263" s="605"/>
      <c r="AL263" s="622"/>
      <c r="AM263" s="623"/>
      <c r="AR263" s="606"/>
      <c r="BC263" s="2292"/>
    </row>
    <row r="264" spans="1:55" s="564" customFormat="1" ht="15" hidden="1" customHeight="1" x14ac:dyDescent="0.25">
      <c r="A264" s="1271" t="s">
        <v>1298</v>
      </c>
      <c r="B264" s="1427" t="str">
        <f>IFERROR(IF(ISBLANK(B18),"",B18),"")</f>
        <v>District Steam</v>
      </c>
      <c r="C264" s="3126" t="str">
        <f>IFERROR(IF(ISBLANK($B264),"",VLOOKUP($B264,PO_Enrgy_1_Table,MATCH($C$16,PO_Enrgy_1_Hdr,0),FALSE) ),"")</f>
        <v>therm</v>
      </c>
      <c r="D264" s="3127" t="e">
        <f>IF(C264="","",VLOOKUP(C264,ProjectEnergyTypeTable,3,FALSE))</f>
        <v>#NAME?</v>
      </c>
      <c r="E264" s="1406">
        <f>IFERROR(IFERROR(IFERROR(VLOOKUP($B264,PO_DESbase_Enrgy_Table,MATCH($F$250,PO_DESbase_Enrgy_Hdr,0),FALSE),0)+IFERROR(VLOOKUP($B264,PO_DESbase_Enrgy_Table,MATCH($I$250,PO_DESbase_Enrgy_Hdr,0),FALSE),0),0)+IF(OR(DESPath&lt;&gt;3,AND(B264&lt;&gt;"District Cooling",B264&lt;&gt;"District Hot Water",B264&lt;&gt;"District Steam")),VLOOKUP($B264,PO_Enrgy_9_Table,MATCH($E$240,PO_Enrgy_9_Hdr,0),FALSE),0),"")</f>
        <v>1579</v>
      </c>
      <c r="F264" s="1406">
        <f>IFERROR(E264*$R264,"")</f>
        <v>189.48</v>
      </c>
      <c r="G264" s="1387">
        <f>IFERROR(IFERROR(IFERROR(VLOOKUP($B264,PO_DESbase_Enrgy_Table,MATCH($G$250,PO_DESbase_Enrgy_Hdr,0),FALSE),0)+IFERROR(VLOOKUP($B264,PO_DESbase_Enrgy_Table,MATCH($J$250,PO_DESbase_Enrgy_Hdr,0),FALSE),0),0)+IF(OR(DESPath&lt;&gt;3,AND(B264&lt;&gt;"District Cooling",B264&lt;&gt;"District Hot Water",B264&lt;&gt;"District Steam")),VLOOKUP($B264,PO_Enrgy_9_Table,MATCH($G$240,PO_Enrgy_9_Hdr,0),FALSE),0),"")</f>
        <v>1381</v>
      </c>
      <c r="H264" s="1406">
        <f>IFERROR(IFERROR(IFERROR(VLOOKUP($B264,PO_DESdesign_Enrgy_Table,MATCH($F$254,PO_DESdesign_Enrgy_Hdr,0),FALSE),0)+IFERROR(VLOOKUP($B264,PO_DESdesign_Enrgy_Table,MATCH($I$254,PO_DESdesign_Enrgy_Hdr,0),FALSE),0),0)+IF(OR(DESPath&lt;&gt;3,AND(B264&lt;&gt;"District Cooling",B264&lt;&gt;"District Hot Water",B264&lt;&gt;"District Steam")),VLOOKUP($B264,PO_Enrgy_9_Table,MATCH($H$240,PO_Enrgy_9_Hdr,0),FALSE),0),"")</f>
        <v>1016</v>
      </c>
      <c r="I264" s="1406">
        <f>IFERROR(H264*$R264,"")</f>
        <v>121.92</v>
      </c>
      <c r="J264" s="1387">
        <f>IFERROR(IFERROR(IFERROR(VLOOKUP($B264,PO_DESdesign_Enrgy_Table,MATCH($G$254,PO_DESdesign_Enrgy_Hdr,0),FALSE),0)+IFERROR(VLOOKUP($B264,PO_DESdesign_Enrgy_Table,MATCH($J$254,PO_DESdesign_Enrgy_Hdr,0),FALSE),0),0)+IF(OR(DESPath&lt;&gt;3,AND(B264&lt;&gt;"District Cooling",B264&lt;&gt;"District Hot Water",B264&lt;&gt;"District Steam")),VLOOKUP($B264,PO_Enrgy_9_Table,MATCH($J$240,PO_Enrgy_9_Hdr,0),FALSE),0),"")</f>
        <v>929</v>
      </c>
      <c r="K264" s="3133">
        <f>IFERROR(1-H264/E264,"")</f>
        <v>0.35655478150728304</v>
      </c>
      <c r="L264" s="3134"/>
      <c r="M264" s="2384">
        <f>IFERROR(1-J264/G264,"")</f>
        <v>0.3272990586531499</v>
      </c>
      <c r="N264" s="650"/>
      <c r="O264" s="650"/>
      <c r="P264" s="650"/>
      <c r="Q264" s="1250">
        <f>IFERROR(IF(ISBLANK($B264),"",VLOOKUP($B264,PO_Enrgy_1_Table,MATCH($K$16,PO_Enrgy_1_Hdr,0),FALSE)),"")</f>
        <v>0.1</v>
      </c>
      <c r="R264" s="1250">
        <f>IFERROR(IF(ISBLANK($B264),"",VLOOKUP($B264,PO_Enrgy_1_Table,MATCH($M$16,PO_Enrgy_1_Hdr,0),FALSE)),"")</f>
        <v>0.12</v>
      </c>
      <c r="AH264" s="624"/>
      <c r="AI264" s="624"/>
      <c r="AJ264" s="605"/>
      <c r="AL264" s="622"/>
      <c r="AM264" s="623"/>
      <c r="AR264" s="606"/>
      <c r="BC264" s="2292"/>
    </row>
    <row r="265" spans="1:55" s="564" customFormat="1" ht="15" hidden="1" customHeight="1" x14ac:dyDescent="0.25">
      <c r="A265" s="1271" t="s">
        <v>1298</v>
      </c>
      <c r="B265" s="1427" t="str">
        <f>IFERROR(IF(ISBLANK(B19),"",B19),"")</f>
        <v>District Cooling</v>
      </c>
      <c r="C265" s="3126" t="str">
        <f>IFERROR(IF(ISBLANK($B265),"",VLOOKUP($B265,PO_Enrgy_1_Table,MATCH($C$16,PO_Enrgy_1_Hdr,0),FALSE) ),"")</f>
        <v>therm</v>
      </c>
      <c r="D265" s="3127" t="e">
        <f>IF(C265="","",VLOOKUP(C265,ProjectEnergyTypeTable,3,FALSE))</f>
        <v>#NAME?</v>
      </c>
      <c r="E265" s="1406">
        <f>IFERROR(IFERROR(IFERROR(VLOOKUP($B265,PO_DESbase_Enrgy_Table,MATCH($F$250,PO_DESbase_Enrgy_Hdr,0),FALSE),0)+IFERROR(VLOOKUP($B265,PO_DESbase_Enrgy_Table,MATCH($I$250,PO_DESbase_Enrgy_Hdr,0),FALSE),0),0)+IF(OR(DESPath&lt;&gt;3,AND(B265&lt;&gt;"District Cooling",B265&lt;&gt;"District Hot Water",B265&lt;&gt;"District Steam")),VLOOKUP($B265,PO_Enrgy_9_Table,MATCH($E$240,PO_Enrgy_9_Hdr,0),FALSE),0),"")</f>
        <v>30143</v>
      </c>
      <c r="F265" s="1406">
        <f>IFERROR(E265*$R265,"")</f>
        <v>3014.3</v>
      </c>
      <c r="G265" s="1387">
        <f>IFERROR(IFERROR(IFERROR(VLOOKUP($B265,PO_DESbase_Enrgy_Table,MATCH($G$250,PO_DESbase_Enrgy_Hdr,0),FALSE),0)+IFERROR(VLOOKUP($B265,PO_DESbase_Enrgy_Table,MATCH($J$250,PO_DESbase_Enrgy_Hdr,0),FALSE),0),0)+IF(OR(DESPath&lt;&gt;3,AND(B265&lt;&gt;"District Cooling",B265&lt;&gt;"District Hot Water",B265&lt;&gt;"District Steam")),VLOOKUP($B265,PO_Enrgy_9_Table,MATCH($G$240,PO_Enrgy_9_Hdr,0),FALSE),0),"")</f>
        <v>26920</v>
      </c>
      <c r="H265" s="1406">
        <f>IFERROR(IFERROR(IFERROR(VLOOKUP($B265,PO_DESdesign_Enrgy_Table,MATCH($F$254,PO_DESdesign_Enrgy_Hdr,0),FALSE),0)+IFERROR(VLOOKUP($B265,PO_DESdesign_Enrgy_Table,MATCH($I$254,PO_DESdesign_Enrgy_Hdr,0),FALSE),0),0)+IF(OR(DESPath&lt;&gt;3,AND(B265&lt;&gt;"District Cooling",B265&lt;&gt;"District Hot Water",B265&lt;&gt;"District Steam")),VLOOKUP($B265,PO_Enrgy_9_Table,MATCH($H$240,PO_Enrgy_9_Hdr,0),FALSE),0),"")</f>
        <v>27282</v>
      </c>
      <c r="I265" s="1406">
        <f>IFERROR(H265*$R265,"")</f>
        <v>2728.2000000000003</v>
      </c>
      <c r="J265" s="1387">
        <f>IFERROR(IFERROR(IFERROR(VLOOKUP($B265,PO_DESdesign_Enrgy_Table,MATCH($G$254,PO_DESdesign_Enrgy_Hdr,0),FALSE),0)+IFERROR(VLOOKUP($B265,PO_DESdesign_Enrgy_Table,MATCH($J$254,PO_DESdesign_Enrgy_Hdr,0),FALSE),0),0)+IF(OR(DESPath&lt;&gt;3,AND(B265&lt;&gt;"District Cooling",B265&lt;&gt;"District Hot Water",B265&lt;&gt;"District Steam")),VLOOKUP($B265,PO_Enrgy_9_Table,MATCH($J$240,PO_Enrgy_9_Hdr,0),FALSE),0),"")</f>
        <v>24213</v>
      </c>
      <c r="K265" s="3133">
        <f>IFERROR(1-H265/E265,"")</f>
        <v>9.4914242112596581E-2</v>
      </c>
      <c r="L265" s="3134"/>
      <c r="M265" s="2384">
        <f>IFERROR(1-J265/G265,"")</f>
        <v>0.10055720653789002</v>
      </c>
      <c r="N265" s="650"/>
      <c r="O265" s="650"/>
      <c r="P265" s="650"/>
      <c r="Q265" s="1250">
        <f>IFERROR(IF(ISBLANK($B265),"",VLOOKUP($B265,PO_Enrgy_1_Table,MATCH($K$16,PO_Enrgy_1_Hdr,0),FALSE)),"")</f>
        <v>0.1</v>
      </c>
      <c r="R265" s="1250">
        <f>IFERROR(IF(ISBLANK($B265),"",VLOOKUP($B265,PO_Enrgy_1_Table,MATCH($M$16,PO_Enrgy_1_Hdr,0),FALSE)),"")</f>
        <v>0.1</v>
      </c>
      <c r="AH265" s="624"/>
      <c r="AI265" s="624"/>
      <c r="AJ265" s="605"/>
      <c r="AL265" s="622"/>
      <c r="AM265" s="623"/>
      <c r="AR265" s="606"/>
      <c r="BC265" s="2292"/>
    </row>
    <row r="266" spans="1:55" s="594" customFormat="1" ht="21" hidden="1" customHeight="1" x14ac:dyDescent="0.25">
      <c r="A266" s="1271" t="s">
        <v>1298</v>
      </c>
      <c r="B266" s="3120" t="str">
        <f>"Energy Model Subtotal (" &amp; PO_SiteUnits &amp; ")"</f>
        <v>Energy Model Subtotal (Btu x 10^6)</v>
      </c>
      <c r="C266" s="3120"/>
      <c r="D266" s="3120"/>
      <c r="E266" s="1384">
        <f>IFERROR(SUMPRODUCT(INDEX(PO_Enrgy_10_Table,0,MATCH(E$262,PO_Enrgy_10_Hdr,0)),INDEX(PO_Enrgy_10_Table,0,MATCH($Q$262,PO_Enrgy_10_Hdr,0))),"")</f>
        <v>4535.7239120000004</v>
      </c>
      <c r="F266" s="1384">
        <f>IFERROR(SUM(INDEX(PO_Enrgy_10_Table,0,MATCH(F$262,PO_Enrgy_10_Hdr,0))),"")</f>
        <v>7485.2450836799999</v>
      </c>
      <c r="G266" s="1387">
        <f>IFERROR(SUM(INDEX(PO_Enrgy_10_Table,0,MATCH(G$262,PO_Enrgy_10_Hdr,0))),"")</f>
        <v>59142</v>
      </c>
      <c r="H266" s="1384">
        <f ca="1">IFERROR(SUMPRODUCT(INDEX(PO_Enrgy_10_Table,0,MATCH(H$262,PO_Enrgy_10_Hdr,0)),INDEX(PO_Enrgy_10_Table,0,MATCH($Q$262,PO_Enrgy_10_Hdr,0))),"")</f>
        <v>4064.2752479999999</v>
      </c>
      <c r="I266" s="1384">
        <f ca="1">IFERROR(SUM(INDEX(PO_Enrgy_10_Table,0,MATCH(I$262,PO_Enrgy_10_Hdr,0))),"")</f>
        <v>6726.3722787200004</v>
      </c>
      <c r="J266" s="1387">
        <f ca="1">IFERROR(SUM(INDEX(PO_Enrgy_10_Table,0,MATCH(J$262,PO_Enrgy_10_Hdr,0))),"")</f>
        <v>53001</v>
      </c>
      <c r="K266" s="3163">
        <f ca="1">IFERROR(1-H266/E266,"")</f>
        <v>0.10394121713464655</v>
      </c>
      <c r="L266" s="3164"/>
      <c r="M266" s="1386">
        <f ca="1">IFERROR(1-J266/G266,"")</f>
        <v>0.10383483818606065</v>
      </c>
      <c r="N266" s="650"/>
      <c r="O266" s="650"/>
      <c r="P266" s="650"/>
      <c r="AJ266" s="596"/>
      <c r="AL266" s="622"/>
      <c r="AM266" s="623"/>
      <c r="BC266" s="2292"/>
    </row>
    <row r="267" spans="1:55" s="594" customFormat="1" ht="33" hidden="1" customHeight="1" x14ac:dyDescent="0.25">
      <c r="A267" s="1271" t="s">
        <v>1298</v>
      </c>
      <c r="B267" s="3193"/>
      <c r="C267" s="3193"/>
      <c r="D267" s="3193"/>
      <c r="E267" s="1404"/>
      <c r="F267" s="1405"/>
      <c r="G267" s="1404"/>
      <c r="H267" s="1404"/>
      <c r="I267" s="1404"/>
      <c r="J267" s="671"/>
      <c r="K267" s="558"/>
      <c r="L267" s="558"/>
      <c r="M267" s="649"/>
      <c r="N267" s="650"/>
      <c r="O267" s="650"/>
      <c r="P267" s="650"/>
      <c r="AJ267" s="596"/>
      <c r="AL267" s="622"/>
      <c r="AM267" s="623"/>
    </row>
    <row r="268" spans="1:55" s="650" customFormat="1" ht="21.75" hidden="1" customHeight="1" x14ac:dyDescent="0.25">
      <c r="A268" s="1271" t="s">
        <v>1298</v>
      </c>
      <c r="B268" s="712" t="s">
        <v>1122</v>
      </c>
      <c r="AL268" s="645"/>
      <c r="AM268" s="646"/>
    </row>
    <row r="269" spans="1:55" s="594" customFormat="1" ht="76.5" hidden="1" customHeight="1" x14ac:dyDescent="0.25">
      <c r="A269" s="1271" t="s">
        <v>1298</v>
      </c>
      <c r="B269" s="3138" t="str">
        <f>CONCATENATE("Startup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 Also upload simulation outputs and performance rating method calculations with and without the exceptional calculation methods for both Startup IT Loads, and the full buildout IT loads.","
",IF(DESPath=3," Note: The calculations using DES Path 3 must be performed manually for the Startup IT Load method, and supplemental documentation uploaded for the project must show these calculations.",""))</f>
        <v xml:space="preserv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Also upload simulation outputs and performance rating method calculations with and without the exceptional calculation methods for both Startup IT Loads, and the full buildout IT loads.
</v>
      </c>
      <c r="C269" s="3138"/>
      <c r="D269" s="3138"/>
      <c r="E269" s="3138"/>
      <c r="F269" s="3138"/>
      <c r="G269" s="3138"/>
      <c r="H269" s="3138"/>
      <c r="I269" s="3138"/>
      <c r="J269" s="3138"/>
      <c r="K269" s="3138"/>
      <c r="L269" s="3138"/>
      <c r="M269" s="3138"/>
      <c r="N269" s="650"/>
      <c r="O269" s="650"/>
      <c r="P269" s="650"/>
      <c r="AL269" s="622"/>
      <c r="AM269" s="623"/>
    </row>
    <row r="270" spans="1:55" s="650" customFormat="1" ht="21.75" hidden="1" customHeight="1" x14ac:dyDescent="0.25">
      <c r="A270" s="1271" t="s">
        <v>1298</v>
      </c>
      <c r="B270" s="1151" t="s">
        <v>1303</v>
      </c>
      <c r="AL270" s="645"/>
      <c r="AM270" s="646"/>
    </row>
    <row r="271" spans="1:55" ht="32.25" hidden="1" customHeight="1" x14ac:dyDescent="0.25">
      <c r="A271" s="1271" t="s">
        <v>1298</v>
      </c>
      <c r="B271" s="3124" t="s">
        <v>444</v>
      </c>
      <c r="C271" s="3165" t="s">
        <v>1805</v>
      </c>
      <c r="D271" s="3125"/>
      <c r="E271" s="3124" t="s">
        <v>1270</v>
      </c>
      <c r="F271" s="3124"/>
      <c r="G271" s="3124"/>
      <c r="H271" s="3123" t="s">
        <v>1171</v>
      </c>
      <c r="I271" s="3124"/>
      <c r="J271" s="3124"/>
      <c r="K271" s="3123" t="s">
        <v>448</v>
      </c>
      <c r="L271" s="3123"/>
      <c r="M271" s="3123"/>
      <c r="N271" s="3168"/>
      <c r="O271" s="3168"/>
      <c r="P271" s="3168"/>
      <c r="S271" s="564"/>
      <c r="T271" s="564"/>
      <c r="AJ271" s="596"/>
      <c r="AL271" s="619"/>
      <c r="AM271" s="620"/>
    </row>
    <row r="272" spans="1:55" ht="48" hidden="1" customHeight="1" x14ac:dyDescent="0.25">
      <c r="A272" s="1271" t="s">
        <v>1298</v>
      </c>
      <c r="B272" s="3125"/>
      <c r="C272" s="3125"/>
      <c r="D272" s="3125"/>
      <c r="E272" s="1367" t="s">
        <v>1116</v>
      </c>
      <c r="F272" s="1383" t="str">
        <f>"Source Energy Use ("  &amp; PO_SourceUnits &amp; ")"</f>
        <v>Source Energy Use (Btu x 10^6)</v>
      </c>
      <c r="G272" s="1367" t="s">
        <v>446</v>
      </c>
      <c r="H272" s="1367" t="s">
        <v>1116</v>
      </c>
      <c r="I272" s="1383" t="str">
        <f>"Source Energy Use ("  &amp; PO_SourceUnits &amp; ")"</f>
        <v>Source Energy Use (Btu x 10^6)</v>
      </c>
      <c r="J272" s="1367" t="s">
        <v>446</v>
      </c>
      <c r="K272" s="3123" t="s">
        <v>447</v>
      </c>
      <c r="L272" s="3169"/>
      <c r="M272" s="1367" t="s">
        <v>446</v>
      </c>
      <c r="N272" s="652"/>
      <c r="O272" s="652"/>
      <c r="P272" s="652"/>
      <c r="S272" s="564"/>
      <c r="T272" s="564"/>
      <c r="AJ272" s="596"/>
    </row>
    <row r="273" spans="1:40" s="1287" customFormat="1" ht="15" hidden="1" x14ac:dyDescent="0.25">
      <c r="A273" s="1271" t="s">
        <v>1298</v>
      </c>
      <c r="B273" s="1314" t="s">
        <v>1765</v>
      </c>
      <c r="C273" s="1305" t="s">
        <v>1793</v>
      </c>
      <c r="D273" s="1314"/>
      <c r="E273" s="1315" t="s">
        <v>1821</v>
      </c>
      <c r="F273" s="1316" t="s">
        <v>1822</v>
      </c>
      <c r="G273" s="1317" t="s">
        <v>1823</v>
      </c>
      <c r="H273" s="1315" t="s">
        <v>1806</v>
      </c>
      <c r="I273" s="1316" t="s">
        <v>1807</v>
      </c>
      <c r="J273" s="1317" t="s">
        <v>1808</v>
      </c>
      <c r="K273" s="1317" t="s">
        <v>1824</v>
      </c>
      <c r="L273" s="1305"/>
      <c r="M273" s="1317" t="s">
        <v>1810</v>
      </c>
      <c r="N273" s="1309"/>
      <c r="O273" s="1309"/>
      <c r="P273" s="1309"/>
      <c r="Q273" s="1249" t="s">
        <v>1776</v>
      </c>
      <c r="R273" s="1249" t="s">
        <v>1777</v>
      </c>
      <c r="AJ273" s="1289"/>
    </row>
    <row r="274" spans="1:40" ht="15" hidden="1" customHeight="1" x14ac:dyDescent="0.25">
      <c r="A274" s="1271" t="s">
        <v>1298</v>
      </c>
      <c r="B274" s="1427" t="str">
        <f>IFERROR(IF(ISBLANK(B17),"",B17),"")</f>
        <v>Electricity</v>
      </c>
      <c r="C274" s="3126" t="str">
        <f>IFERROR(IF(ISBLANK($B274),"",VLOOKUP($B274,PO_Enrgy_1_Table,MATCH($C$16,PO_Enrgy_1_Hdr,0),FALSE) ),"")</f>
        <v>kWh</v>
      </c>
      <c r="D274" s="3127" t="e">
        <f>IF(C274="","",VLOOKUP(C274,ProjectEnergyTypeTable,3,FALSE))</f>
        <v>#NAME?</v>
      </c>
      <c r="E274" s="1407"/>
      <c r="F274" s="1428">
        <f>IFERROR(E274*$Q274,"")</f>
        <v>0</v>
      </c>
      <c r="G274" s="1290"/>
      <c r="H274" s="1407"/>
      <c r="I274" s="1428">
        <f>IFERROR(H274*$Q274,"")</f>
        <v>0</v>
      </c>
      <c r="J274" s="1290"/>
      <c r="K274" s="3133" t="str">
        <f>IFERROR(1-H274/E274,"")</f>
        <v/>
      </c>
      <c r="L274" s="3134"/>
      <c r="M274" s="2384" t="str">
        <f>IFERROR(1-J274/G274,"")</f>
        <v/>
      </c>
      <c r="N274" s="650"/>
      <c r="O274" s="650"/>
      <c r="P274" s="650"/>
      <c r="Q274" s="1250">
        <f>IFERROR(IF(ISBLANK($B274),"",VLOOKUP($B274,PO_Enrgy_1_Table,MATCH($K$16,PO_Enrgy_1_Hdr,0),FALSE)),"")</f>
        <v>3.4120000000000001E-3</v>
      </c>
      <c r="R274" s="1250">
        <f>IFERROR(IF(ISBLANK($B274),"",VLOOKUP($B274,PO_Enrgy_1_Table,MATCH($M$16,PO_Enrgy_1_Hdr,0),FALSE)),"")</f>
        <v>1.0713680000000001E-2</v>
      </c>
      <c r="S274" s="564"/>
      <c r="T274" s="564"/>
      <c r="AH274" s="615"/>
      <c r="AI274" s="615"/>
      <c r="AJ274" s="596"/>
      <c r="AL274" s="619"/>
      <c r="AM274" s="620"/>
      <c r="AN274" s="621"/>
    </row>
    <row r="275" spans="1:40" ht="15" hidden="1" customHeight="1" x14ac:dyDescent="0.25">
      <c r="A275" s="1271" t="s">
        <v>1298</v>
      </c>
      <c r="B275" s="1427" t="str">
        <f>IFERROR(IF(ISBLANK(B18),"",B18),"")</f>
        <v>District Steam</v>
      </c>
      <c r="C275" s="3126" t="str">
        <f>IFERROR(IF(ISBLANK($B275),"",VLOOKUP($B275,PO_Enrgy_1_Table,MATCH($C$16,PO_Enrgy_1_Hdr,0),FALSE) ),"")</f>
        <v>therm</v>
      </c>
      <c r="D275" s="3127" t="e">
        <f>IF(C275="","",VLOOKUP(C275,ProjectEnergyTypeTable,3,FALSE))</f>
        <v>#NAME?</v>
      </c>
      <c r="E275" s="1407"/>
      <c r="F275" s="1428">
        <f>IFERROR(E275*$Q275,"")</f>
        <v>0</v>
      </c>
      <c r="G275" s="1290"/>
      <c r="H275" s="1407"/>
      <c r="I275" s="1428">
        <f>IFERROR(H275*$Q275,"")</f>
        <v>0</v>
      </c>
      <c r="J275" s="1290"/>
      <c r="K275" s="3133" t="str">
        <f>IFERROR(1-H275/E275,"")</f>
        <v/>
      </c>
      <c r="L275" s="3134"/>
      <c r="M275" s="2384" t="str">
        <f>IFERROR(1-J275/G275,"")</f>
        <v/>
      </c>
      <c r="N275" s="650"/>
      <c r="O275" s="650"/>
      <c r="P275" s="650"/>
      <c r="Q275" s="1250">
        <f>IFERROR(IF(ISBLANK($B275),"",VLOOKUP($B275,PO_Enrgy_1_Table,MATCH($K$16,PO_Enrgy_1_Hdr,0),FALSE)),"")</f>
        <v>0.1</v>
      </c>
      <c r="R275" s="1250">
        <f>IFERROR(IF(ISBLANK($B275),"",VLOOKUP($B275,PO_Enrgy_1_Table,MATCH($M$16,PO_Enrgy_1_Hdr,0),FALSE)),"")</f>
        <v>0.12</v>
      </c>
      <c r="S275" s="564"/>
      <c r="T275" s="564"/>
      <c r="AH275" s="615"/>
      <c r="AI275" s="615"/>
      <c r="AJ275" s="596"/>
      <c r="AL275" s="619"/>
      <c r="AM275" s="620"/>
      <c r="AN275" s="621"/>
    </row>
    <row r="276" spans="1:40" ht="15" hidden="1" customHeight="1" x14ac:dyDescent="0.25">
      <c r="A276" s="1271" t="s">
        <v>1298</v>
      </c>
      <c r="B276" s="1427" t="str">
        <f>IFERROR(IF(ISBLANK(B19),"",B19),"")</f>
        <v>District Cooling</v>
      </c>
      <c r="C276" s="3126" t="str">
        <f>IFERROR(IF(ISBLANK($B276),"",VLOOKUP($B276,PO_Enrgy_1_Table,MATCH($C$16,PO_Enrgy_1_Hdr,0),FALSE) ),"")</f>
        <v>therm</v>
      </c>
      <c r="D276" s="3127" t="e">
        <f>IF(C276="","",VLOOKUP(C276,ProjectEnergyTypeTable,3,FALSE))</f>
        <v>#NAME?</v>
      </c>
      <c r="E276" s="1407"/>
      <c r="F276" s="1428">
        <f>IFERROR(E276*$Q276,"")</f>
        <v>0</v>
      </c>
      <c r="G276" s="1290"/>
      <c r="H276" s="1407"/>
      <c r="I276" s="1428">
        <f>IFERROR(H276*$Q276,"")</f>
        <v>0</v>
      </c>
      <c r="J276" s="1290"/>
      <c r="K276" s="3133" t="str">
        <f>IFERROR(1-H276/E276,"")</f>
        <v/>
      </c>
      <c r="L276" s="3134"/>
      <c r="M276" s="2384" t="str">
        <f>IFERROR(1-J276/G276,"")</f>
        <v/>
      </c>
      <c r="N276" s="650"/>
      <c r="O276" s="650"/>
      <c r="P276" s="650"/>
      <c r="Q276" s="1250">
        <f>IFERROR(IF(ISBLANK($B276),"",VLOOKUP($B276,PO_Enrgy_1_Table,MATCH($K$16,PO_Enrgy_1_Hdr,0),FALSE)),"")</f>
        <v>0.1</v>
      </c>
      <c r="R276" s="1250">
        <f>IFERROR(IF(ISBLANK($B276),"",VLOOKUP($B276,PO_Enrgy_1_Table,MATCH($M$16,PO_Enrgy_1_Hdr,0),FALSE)),"")</f>
        <v>0.1</v>
      </c>
      <c r="S276" s="564"/>
      <c r="T276" s="564"/>
      <c r="AH276" s="615"/>
      <c r="AI276" s="615"/>
      <c r="AJ276" s="596"/>
      <c r="AL276" s="619"/>
      <c r="AM276" s="620"/>
      <c r="AN276" s="621"/>
    </row>
    <row r="277" spans="1:40" s="594" customFormat="1" ht="21" hidden="1" customHeight="1" x14ac:dyDescent="0.25">
      <c r="A277" s="1271" t="s">
        <v>1298</v>
      </c>
      <c r="B277" s="3120" t="str">
        <f>"Energy model subtotal (" &amp; PO_SiteUnits &amp; ")"</f>
        <v>Energy model subtotal (Btu x 10^6)</v>
      </c>
      <c r="C277" s="3120"/>
      <c r="D277" s="3120"/>
      <c r="E277" s="1406">
        <f>IFERROR(SUMPRODUCT(INDEX(PO_Enrgy_11_Table,0,MATCH(E$273,PO_Enrgy_11_Hdr,0)),INDEX(PO_Enrgy_11_Table,0,MATCH($Q$273,PO_Enrgy_11_Hdr,0))),"")</f>
        <v>0</v>
      </c>
      <c r="F277" s="1397">
        <f>IFERROR(SUM(INDEX(PO_Enrgy_11_Table,0,MATCH(F$273,PO_Enrgy_11_Hdr,0))),"")</f>
        <v>0</v>
      </c>
      <c r="G277" s="1398">
        <f>IFERROR(SUM(INDEX(PO_Enrgy_11_Table,0,MATCH(G$273,PO_Enrgy_11_Hdr,0))),"")</f>
        <v>0</v>
      </c>
      <c r="H277" s="1406">
        <f>IFERROR(SUMPRODUCT(INDEX(PO_Enrgy_11_Table,0,MATCH(H$273,PO_Enrgy_11_Hdr,0)),INDEX(PO_Enrgy_11_Table,0,MATCH($Q$273,PO_Enrgy_11_Hdr,0))),"")</f>
        <v>0</v>
      </c>
      <c r="I277" s="1397">
        <f>IFERROR(SUM(INDEX(PO_Enrgy_11_Table,0,MATCH(I$273,PO_Enrgy_11_Hdr,0))),"")</f>
        <v>0</v>
      </c>
      <c r="J277" s="1398">
        <f>IFERROR(SUM(INDEX(PO_Enrgy_11_Table,0,MATCH(J$273,PO_Enrgy_11_Hdr,0))),"")</f>
        <v>0</v>
      </c>
      <c r="K277" s="3163" t="str">
        <f>IFERROR(1-H277/E277,"")</f>
        <v/>
      </c>
      <c r="L277" s="3164"/>
      <c r="M277" s="1386" t="str">
        <f>IFERROR(1-J277/G277,"")</f>
        <v/>
      </c>
      <c r="N277" s="650"/>
      <c r="O277" s="650"/>
      <c r="P277" s="650"/>
      <c r="AJ277" s="596"/>
      <c r="AL277" s="619"/>
      <c r="AM277" s="620"/>
    </row>
    <row r="278" spans="1:40" s="594" customFormat="1" ht="21.75" hidden="1" customHeight="1" x14ac:dyDescent="0.2">
      <c r="A278" s="1271" t="s">
        <v>1298</v>
      </c>
      <c r="B278" s="3181"/>
      <c r="C278" s="3182"/>
      <c r="D278" s="3182"/>
      <c r="E278" s="3182"/>
      <c r="F278" s="3182"/>
      <c r="G278" s="3182"/>
      <c r="H278" s="3182"/>
      <c r="I278" s="3182"/>
      <c r="J278" s="3182"/>
      <c r="K278" s="3182"/>
      <c r="L278" s="3182"/>
      <c r="M278" s="822"/>
      <c r="N278" s="650"/>
      <c r="O278" s="650"/>
      <c r="P278" s="650"/>
      <c r="AL278" s="622"/>
      <c r="AM278" s="623"/>
    </row>
    <row r="279" spans="1:40" s="650" customFormat="1" ht="19.5" hidden="1" customHeight="1" x14ac:dyDescent="0.25">
      <c r="A279" s="1271" t="s">
        <v>1298</v>
      </c>
      <c r="B279" s="1151" t="s">
        <v>1304</v>
      </c>
      <c r="AL279" s="645"/>
      <c r="AM279" s="646"/>
    </row>
    <row r="280" spans="1:40" ht="32.25" hidden="1" customHeight="1" x14ac:dyDescent="0.25">
      <c r="A280" s="1271" t="s">
        <v>1298</v>
      </c>
      <c r="B280" s="3124" t="s">
        <v>444</v>
      </c>
      <c r="C280" s="3165" t="s">
        <v>1805</v>
      </c>
      <c r="D280" s="3125"/>
      <c r="E280" s="3192" t="s">
        <v>1270</v>
      </c>
      <c r="F280" s="3192"/>
      <c r="G280" s="3192"/>
      <c r="H280" s="3158" t="s">
        <v>1171</v>
      </c>
      <c r="I280" s="3192"/>
      <c r="J280" s="3192"/>
      <c r="K280" s="3158" t="s">
        <v>448</v>
      </c>
      <c r="L280" s="3158"/>
      <c r="M280" s="3158"/>
      <c r="N280" s="3168"/>
      <c r="O280" s="3168"/>
      <c r="P280" s="3168"/>
      <c r="S280" s="564"/>
      <c r="T280" s="564"/>
      <c r="AJ280" s="596"/>
      <c r="AL280" s="619"/>
      <c r="AM280" s="620"/>
    </row>
    <row r="281" spans="1:40" ht="48" hidden="1" customHeight="1" x14ac:dyDescent="0.25">
      <c r="A281" s="1271" t="s">
        <v>1298</v>
      </c>
      <c r="B281" s="3125"/>
      <c r="C281" s="3125"/>
      <c r="D281" s="3125"/>
      <c r="E281" s="1255" t="s">
        <v>1116</v>
      </c>
      <c r="F281" s="1256" t="str">
        <f>"Source Energy Use ("  &amp; PO_SourceUnits &amp; ")"</f>
        <v>Source Energy Use (Btu x 10^6)</v>
      </c>
      <c r="G281" s="1255" t="s">
        <v>446</v>
      </c>
      <c r="H281" s="1255" t="s">
        <v>1116</v>
      </c>
      <c r="I281" s="1256" t="str">
        <f>"Source Energy Use ("  &amp; PO_SourceUnits &amp; ")"</f>
        <v>Source Energy Use (Btu x 10^6)</v>
      </c>
      <c r="J281" s="1255" t="s">
        <v>446</v>
      </c>
      <c r="K281" s="3158" t="s">
        <v>447</v>
      </c>
      <c r="L281" s="3139"/>
      <c r="M281" s="1255" t="s">
        <v>446</v>
      </c>
      <c r="N281" s="652"/>
      <c r="O281" s="652"/>
      <c r="P281" s="652"/>
      <c r="S281" s="564"/>
      <c r="T281" s="564"/>
      <c r="AJ281" s="596"/>
    </row>
    <row r="282" spans="1:40" s="1287" customFormat="1" ht="15" hidden="1" x14ac:dyDescent="0.25">
      <c r="A282" s="1271" t="s">
        <v>1298</v>
      </c>
      <c r="B282" s="1314" t="s">
        <v>1765</v>
      </c>
      <c r="C282" s="1305" t="s">
        <v>1793</v>
      </c>
      <c r="D282" s="1314"/>
      <c r="E282" s="1315" t="s">
        <v>1821</v>
      </c>
      <c r="F282" s="1316" t="s">
        <v>1822</v>
      </c>
      <c r="G282" s="1317" t="s">
        <v>1823</v>
      </c>
      <c r="H282" s="1315" t="s">
        <v>1806</v>
      </c>
      <c r="I282" s="1316" t="s">
        <v>1807</v>
      </c>
      <c r="J282" s="1317" t="s">
        <v>1808</v>
      </c>
      <c r="K282" s="1317" t="s">
        <v>1824</v>
      </c>
      <c r="L282" s="1305"/>
      <c r="M282" s="1317" t="s">
        <v>1810</v>
      </c>
      <c r="N282" s="1309"/>
      <c r="O282" s="1309"/>
      <c r="P282" s="1309"/>
      <c r="Q282" s="1249" t="s">
        <v>1776</v>
      </c>
      <c r="R282" s="1249" t="s">
        <v>1777</v>
      </c>
      <c r="AJ282" s="1289"/>
    </row>
    <row r="283" spans="1:40" ht="15" hidden="1" customHeight="1" x14ac:dyDescent="0.25">
      <c r="A283" s="1271" t="s">
        <v>1298</v>
      </c>
      <c r="B283" s="1427" t="str">
        <f>IFERROR(IF(ISBLANK(B17),"",B17),"")</f>
        <v>Electricity</v>
      </c>
      <c r="C283" s="3126" t="str">
        <f>IFERROR(IF(ISBLANK($B283),"",VLOOKUP($B283,PO_Enrgy_1_Table,MATCH($C$16,PO_Enrgy_1_Hdr,0),FALSE) ),"")</f>
        <v>kWh</v>
      </c>
      <c r="D283" s="3127" t="e">
        <f>IF(C283="","",VLOOKUP(C283,ProjectEnergyTypeTable,3,FALSE))</f>
        <v>#NAME?</v>
      </c>
      <c r="E283" s="1414">
        <f>IFERROR(VLOOKUP($B283,PO_Enrgy_10_Table,MATCH($E$262,PO_Enrgy_10_Hdr,0),FALSE),"")</f>
        <v>399626</v>
      </c>
      <c r="F283" s="1414">
        <f>IFERROR(E283*$R283,"")</f>
        <v>4281.4650836800001</v>
      </c>
      <c r="G283" s="1387">
        <f>IFERROR(VLOOKUP($B283,PO_Enrgy_10_Table,MATCH($G$262,PO_Enrgy_10_Hdr,0),FALSE),"")</f>
        <v>30841</v>
      </c>
      <c r="H283" s="1414">
        <f ca="1">IFERROR(VLOOKUP($B283,PO_Enrgy_10_Table,MATCH($H$262,PO_Enrgy_10_Hdr,0),FALSE),"")</f>
        <v>361804</v>
      </c>
      <c r="I283" s="1414">
        <f ca="1">IFERROR(H283*$R283,"")</f>
        <v>3876.2522787200005</v>
      </c>
      <c r="J283" s="1387">
        <f ca="1">IFERROR(VLOOKUP($B283,PO_Enrgy_10_Table,MATCH($J$262,PO_Enrgy_10_Hdr,0),FALSE),"")</f>
        <v>27859</v>
      </c>
      <c r="K283" s="3133">
        <f ca="1">IFERROR(1-H283/E283,"")</f>
        <v>9.4643491664706536E-2</v>
      </c>
      <c r="L283" s="3134"/>
      <c r="M283" s="2384">
        <f ca="1">IFERROR(1-J283/G283,"")</f>
        <v>9.6689471807010152E-2</v>
      </c>
      <c r="N283" s="650"/>
      <c r="O283" s="650"/>
      <c r="P283" s="650"/>
      <c r="Q283" s="1250">
        <f>IFERROR(IF(ISBLANK($B283),"",VLOOKUP($B283,PO_Enrgy_1_Table,MATCH($K$16,PO_Enrgy_1_Hdr,0),FALSE)),"")</f>
        <v>3.4120000000000001E-3</v>
      </c>
      <c r="R283" s="1250">
        <f>IFERROR(IF(ISBLANK($B283),"",VLOOKUP($B283,PO_Enrgy_1_Table,MATCH($M$16,PO_Enrgy_1_Hdr,0),FALSE)),"")</f>
        <v>1.0713680000000001E-2</v>
      </c>
      <c r="S283" s="564"/>
      <c r="T283" s="564"/>
      <c r="AH283" s="615"/>
      <c r="AI283" s="615"/>
      <c r="AJ283" s="596"/>
      <c r="AL283" s="619"/>
      <c r="AM283" s="620"/>
      <c r="AN283" s="621"/>
    </row>
    <row r="284" spans="1:40" ht="15" hidden="1" customHeight="1" x14ac:dyDescent="0.25">
      <c r="A284" s="1271" t="s">
        <v>1298</v>
      </c>
      <c r="B284" s="1427" t="str">
        <f>IFERROR(IF(ISBLANK(B18),"",B18),"")</f>
        <v>District Steam</v>
      </c>
      <c r="C284" s="3126" t="str">
        <f>IFERROR(IF(ISBLANK($B284),"",VLOOKUP($B284,PO_Enrgy_1_Table,MATCH($C$16,PO_Enrgy_1_Hdr,0),FALSE) ),"")</f>
        <v>therm</v>
      </c>
      <c r="D284" s="3127" t="e">
        <f>IF(C284="","",VLOOKUP(C284,ProjectEnergyTypeTable,3,FALSE))</f>
        <v>#NAME?</v>
      </c>
      <c r="E284" s="1414">
        <f>IFERROR(VLOOKUP($B284,PO_Enrgy_10_Table,MATCH($E$262,PO_Enrgy_10_Hdr,0),FALSE),"")</f>
        <v>1579</v>
      </c>
      <c r="F284" s="1414">
        <f>IFERROR(E284*$R284,"")</f>
        <v>189.48</v>
      </c>
      <c r="G284" s="1387">
        <f>IFERROR(VLOOKUP($B284,PO_Enrgy_10_Table,MATCH($G$262,PO_Enrgy_10_Hdr,0),FALSE),"")</f>
        <v>1381</v>
      </c>
      <c r="H284" s="1414">
        <f>IFERROR(VLOOKUP($B284,PO_Enrgy_10_Table,MATCH($H$262,PO_Enrgy_10_Hdr,0),FALSE),"")</f>
        <v>1016</v>
      </c>
      <c r="I284" s="1414">
        <f>IFERROR(H284*$R284,"")</f>
        <v>121.92</v>
      </c>
      <c r="J284" s="1387">
        <f>IFERROR(VLOOKUP($B284,PO_Enrgy_10_Table,MATCH($J$262,PO_Enrgy_10_Hdr,0),FALSE),"")</f>
        <v>929</v>
      </c>
      <c r="K284" s="3133">
        <f>IFERROR(1-H284/E284,"")</f>
        <v>0.35655478150728304</v>
      </c>
      <c r="L284" s="3134"/>
      <c r="M284" s="2384">
        <f>IFERROR(1-J284/G284,"")</f>
        <v>0.3272990586531499</v>
      </c>
      <c r="N284" s="650"/>
      <c r="O284" s="650"/>
      <c r="P284" s="650"/>
      <c r="Q284" s="1250">
        <f>IFERROR(IF(ISBLANK($B284),"",VLOOKUP($B284,PO_Enrgy_1_Table,MATCH($K$16,PO_Enrgy_1_Hdr,0),FALSE)),"")</f>
        <v>0.1</v>
      </c>
      <c r="R284" s="1250">
        <f>IFERROR(IF(ISBLANK($B284),"",VLOOKUP($B284,PO_Enrgy_1_Table,MATCH($M$16,PO_Enrgy_1_Hdr,0),FALSE)),"")</f>
        <v>0.12</v>
      </c>
      <c r="S284" s="564"/>
      <c r="T284" s="564"/>
      <c r="AH284" s="615"/>
      <c r="AI284" s="615"/>
      <c r="AJ284" s="596"/>
      <c r="AL284" s="619"/>
      <c r="AM284" s="620"/>
      <c r="AN284" s="621"/>
    </row>
    <row r="285" spans="1:40" ht="15" hidden="1" customHeight="1" x14ac:dyDescent="0.25">
      <c r="A285" s="1271" t="s">
        <v>1298</v>
      </c>
      <c r="B285" s="1427" t="str">
        <f>IFERROR(IF(ISBLANK(B19),"",B19),"")</f>
        <v>District Cooling</v>
      </c>
      <c r="C285" s="3126" t="str">
        <f>IFERROR(IF(ISBLANK($B285),"",VLOOKUP($B285,PO_Enrgy_1_Table,MATCH($C$16,PO_Enrgy_1_Hdr,0),FALSE) ),"")</f>
        <v>therm</v>
      </c>
      <c r="D285" s="3127" t="e">
        <f>IF(C285="","",VLOOKUP(C285,ProjectEnergyTypeTable,3,FALSE))</f>
        <v>#NAME?</v>
      </c>
      <c r="E285" s="1414">
        <f>IFERROR(VLOOKUP($B285,PO_Enrgy_10_Table,MATCH($E$262,PO_Enrgy_10_Hdr,0),FALSE),"")</f>
        <v>30143</v>
      </c>
      <c r="F285" s="1414">
        <f>IFERROR(E285*$R285,"")</f>
        <v>3014.3</v>
      </c>
      <c r="G285" s="1387">
        <f>IFERROR(VLOOKUP($B285,PO_Enrgy_10_Table,MATCH($G$262,PO_Enrgy_10_Hdr,0),FALSE),"")</f>
        <v>26920</v>
      </c>
      <c r="H285" s="1414">
        <f>IFERROR(VLOOKUP($B285,PO_Enrgy_10_Table,MATCH($H$262,PO_Enrgy_10_Hdr,0),FALSE),"")</f>
        <v>27282</v>
      </c>
      <c r="I285" s="1414">
        <f>IFERROR(H285*$R285,"")</f>
        <v>2728.2000000000003</v>
      </c>
      <c r="J285" s="1387">
        <f>IFERROR(VLOOKUP($B285,PO_Enrgy_10_Table,MATCH($J$262,PO_Enrgy_10_Hdr,0),FALSE),"")</f>
        <v>24213</v>
      </c>
      <c r="K285" s="3133">
        <f>IFERROR(1-H285/E285,"")</f>
        <v>9.4914242112596581E-2</v>
      </c>
      <c r="L285" s="3134"/>
      <c r="M285" s="2384">
        <f>IFERROR(1-J285/G285,"")</f>
        <v>0.10055720653789002</v>
      </c>
      <c r="N285" s="650"/>
      <c r="O285" s="650"/>
      <c r="P285" s="650"/>
      <c r="Q285" s="1250">
        <f>IFERROR(IF(ISBLANK($B285),"",VLOOKUP($B285,PO_Enrgy_1_Table,MATCH($K$16,PO_Enrgy_1_Hdr,0),FALSE)),"")</f>
        <v>0.1</v>
      </c>
      <c r="R285" s="1250">
        <f>IFERROR(IF(ISBLANK($B285),"",VLOOKUP($B285,PO_Enrgy_1_Table,MATCH($M$16,PO_Enrgy_1_Hdr,0),FALSE)),"")</f>
        <v>0.1</v>
      </c>
      <c r="S285" s="564"/>
      <c r="T285" s="564"/>
      <c r="AH285" s="615"/>
      <c r="AI285" s="615"/>
      <c r="AJ285" s="596"/>
      <c r="AL285" s="619"/>
      <c r="AM285" s="620"/>
      <c r="AN285" s="621"/>
    </row>
    <row r="286" spans="1:40" s="594" customFormat="1" ht="21" hidden="1" customHeight="1" x14ac:dyDescent="0.25">
      <c r="A286" s="1271" t="s">
        <v>1298</v>
      </c>
      <c r="B286" s="3120" t="str">
        <f>"Energy model subtotal (" &amp; PO_SiteUnits &amp; ")"</f>
        <v>Energy model subtotal (Btu x 10^6)</v>
      </c>
      <c r="C286" s="3120"/>
      <c r="D286" s="3120"/>
      <c r="E286" s="1384">
        <f>IFERROR(SUMPRODUCT(INDEX(PO_Enrgy_12_Table,0,MATCH(E$282,PO_Enrgy_12_Hdr,0)),INDEX(PO_Enrgy_12_Table,0,MATCH($Q$282,PO_Enrgy_12_Hdr,0))),"")</f>
        <v>4535.7239120000004</v>
      </c>
      <c r="F286" s="1384">
        <f>IFERROR(SUM(INDEX(PO_Enrgy_12_Table,0,MATCH(F$282,PO_Enrgy_12_Hdr,0))),"")</f>
        <v>7485.2450836799999</v>
      </c>
      <c r="G286" s="1398">
        <f>IFERROR(SUM(INDEX(PO_Enrgy_12_Table,0,MATCH(G$282,PO_Enrgy_12_Hdr,0))),"")</f>
        <v>59142</v>
      </c>
      <c r="H286" s="1384">
        <f ca="1">IFERROR(SUMPRODUCT(INDEX(PO_Enrgy_12_Table,0,MATCH(H$282,PO_Enrgy_12_Hdr,0)),INDEX(PO_Enrgy_12_Table,0,MATCH($Q$282,PO_Enrgy_12_Hdr,0))),"")</f>
        <v>4064.2752479999999</v>
      </c>
      <c r="I286" s="1384">
        <f ca="1">IFERROR(SUM(INDEX(PO_Enrgy_12_Table,0,MATCH(I$282,PO_Enrgy_12_Hdr,0))),"")</f>
        <v>6726.3722787200004</v>
      </c>
      <c r="J286" s="1398">
        <f ca="1">IFERROR(SUM(INDEX(PO_Enrgy_12_Table,0,MATCH(J$282,PO_Enrgy_12_Hdr,0))),"")</f>
        <v>53001</v>
      </c>
      <c r="K286" s="3163">
        <f ca="1">IFERROR(1-H286/E286,"")</f>
        <v>0.10394121713464655</v>
      </c>
      <c r="L286" s="3164"/>
      <c r="M286" s="1386">
        <f ca="1">IFERROR(1-J286/G286,"")</f>
        <v>0.10383483818606065</v>
      </c>
      <c r="N286" s="650"/>
      <c r="O286" s="650"/>
      <c r="P286" s="650"/>
      <c r="AJ286" s="596"/>
      <c r="AL286" s="619"/>
      <c r="AM286" s="620"/>
    </row>
    <row r="287" spans="1:40" s="594" customFormat="1" ht="21.75" hidden="1" customHeight="1" x14ac:dyDescent="0.2">
      <c r="A287" s="1271" t="s">
        <v>1298</v>
      </c>
      <c r="B287" s="3181"/>
      <c r="C287" s="3182"/>
      <c r="D287" s="3182"/>
      <c r="E287" s="3182"/>
      <c r="F287" s="3182"/>
      <c r="G287" s="3182"/>
      <c r="H287" s="3182"/>
      <c r="I287" s="3182"/>
      <c r="J287" s="3182"/>
      <c r="K287" s="3182"/>
      <c r="L287" s="3182"/>
      <c r="M287" s="822"/>
      <c r="N287" s="650"/>
      <c r="O287" s="650"/>
      <c r="P287" s="650"/>
      <c r="AL287" s="622"/>
      <c r="AM287" s="623"/>
    </row>
    <row r="288" spans="1:40" s="650" customFormat="1" ht="21.75" hidden="1" customHeight="1" x14ac:dyDescent="0.25">
      <c r="A288" s="1271" t="s">
        <v>1298</v>
      </c>
      <c r="B288" s="1151" t="s">
        <v>1305</v>
      </c>
      <c r="AL288" s="645"/>
      <c r="AM288" s="646"/>
    </row>
    <row r="289" spans="1:55" ht="32.25" hidden="1" customHeight="1" x14ac:dyDescent="0.25">
      <c r="A289" s="1271" t="s">
        <v>1298</v>
      </c>
      <c r="B289" s="3124" t="s">
        <v>444</v>
      </c>
      <c r="C289" s="3165" t="s">
        <v>1805</v>
      </c>
      <c r="D289" s="3125"/>
      <c r="E289" s="3189" t="s">
        <v>1306</v>
      </c>
      <c r="F289" s="3189"/>
      <c r="G289" s="3189"/>
      <c r="H289" s="3190" t="s">
        <v>454</v>
      </c>
      <c r="I289" s="3189"/>
      <c r="J289" s="3189"/>
      <c r="K289" s="3190" t="s">
        <v>448</v>
      </c>
      <c r="L289" s="3190"/>
      <c r="M289" s="3191"/>
      <c r="N289" s="3168"/>
      <c r="O289" s="3168"/>
      <c r="P289" s="3168"/>
      <c r="S289" s="564"/>
      <c r="T289" s="564"/>
      <c r="AJ289" s="596"/>
      <c r="AL289" s="619"/>
      <c r="AM289" s="620"/>
    </row>
    <row r="290" spans="1:55" ht="48" hidden="1" customHeight="1" x14ac:dyDescent="0.25">
      <c r="A290" s="1271" t="s">
        <v>1298</v>
      </c>
      <c r="B290" s="3125"/>
      <c r="C290" s="3125"/>
      <c r="D290" s="3125"/>
      <c r="E290" s="1255" t="s">
        <v>1116</v>
      </c>
      <c r="F290" s="1256" t="str">
        <f>"Source Energy Use ("  &amp; PO_SourceUnits &amp; ")"</f>
        <v>Source Energy Use (Btu x 10^6)</v>
      </c>
      <c r="G290" s="1255" t="s">
        <v>446</v>
      </c>
      <c r="H290" s="1255" t="s">
        <v>1116</v>
      </c>
      <c r="I290" s="1256" t="str">
        <f>"Source Energy Use ("  &amp; PO_SourceUnits &amp; ")"</f>
        <v>Source Energy Use (Btu x 10^6)</v>
      </c>
      <c r="J290" s="1255" t="s">
        <v>446</v>
      </c>
      <c r="K290" s="3158" t="s">
        <v>447</v>
      </c>
      <c r="L290" s="3139"/>
      <c r="M290" s="1408" t="s">
        <v>446</v>
      </c>
      <c r="N290" s="652"/>
      <c r="O290" s="652"/>
      <c r="P290" s="652"/>
      <c r="S290" s="564"/>
      <c r="T290" s="564"/>
      <c r="AJ290" s="596"/>
    </row>
    <row r="291" spans="1:55" s="1287" customFormat="1" ht="15" hidden="1" x14ac:dyDescent="0.25">
      <c r="A291" s="1271" t="s">
        <v>1298</v>
      </c>
      <c r="B291" s="1313" t="s">
        <v>1765</v>
      </c>
      <c r="C291" s="1305" t="s">
        <v>1793</v>
      </c>
      <c r="D291" s="1314"/>
      <c r="E291" s="1315" t="s">
        <v>1821</v>
      </c>
      <c r="F291" s="1316" t="s">
        <v>1822</v>
      </c>
      <c r="G291" s="1317" t="s">
        <v>1823</v>
      </c>
      <c r="H291" s="1315" t="s">
        <v>1806</v>
      </c>
      <c r="I291" s="1316" t="s">
        <v>1807</v>
      </c>
      <c r="J291" s="1317" t="s">
        <v>1808</v>
      </c>
      <c r="K291" s="1317" t="s">
        <v>1824</v>
      </c>
      <c r="L291" s="1305"/>
      <c r="M291" s="1318" t="s">
        <v>1810</v>
      </c>
      <c r="N291" s="1309"/>
      <c r="O291" s="1309"/>
      <c r="P291" s="1309"/>
      <c r="Q291" s="1249" t="s">
        <v>1776</v>
      </c>
      <c r="R291" s="1249" t="s">
        <v>1777</v>
      </c>
      <c r="AJ291" s="1289"/>
    </row>
    <row r="292" spans="1:55" ht="15" hidden="1" customHeight="1" x14ac:dyDescent="0.25">
      <c r="A292" s="1271" t="s">
        <v>1298</v>
      </c>
      <c r="B292" s="1429" t="str">
        <f>IFERROR(IF(ISBLANK(B17),"",B17),"")</f>
        <v>Electricity</v>
      </c>
      <c r="C292" s="3126" t="str">
        <f>IFERROR(IF(ISBLANK($B292),"",VLOOKUP($B292,PO_Enrgy_1_Table,MATCH($C$16,PO_Enrgy_1_Hdr,0),FALSE) ),"")</f>
        <v>kWh</v>
      </c>
      <c r="D292" s="3127" t="e">
        <f>IF(C292="","",VLOOKUP(C292,ProjectEnergyTypeTable,3,FALSE))</f>
        <v>#NAME?</v>
      </c>
      <c r="E292" s="1430">
        <f>IFERROR(IF(Datacenter_Avg=TRUE,AVERAGE(VLOOKUP($B292,PO_Enrgy_11_Table,MATCH($E$273,PO_Enrgy_11_Hdr,0),FALSE),VLOOKUP($B292,PO_Enrgy_12_Table,MATCH($E$282,PO_Enrgy_12_Hdr,0),FALSE)),VLOOKUP($B292,PO_Enrgy_12_Table,MATCH($E$282,PO_Enrgy_12_Hdr,0),FALSE)),"")</f>
        <v>399626</v>
      </c>
      <c r="F292" s="1430">
        <f>IFERROR(E292*$R292,"")</f>
        <v>4281.4650836800001</v>
      </c>
      <c r="G292" s="1387">
        <f>IFERROR(IF(Datacenter_Avg=TRUE,AVERAGE(VLOOKUP($B292,PO_Enrgy_11_Table,MATCH($G$273,PO_Enrgy_11_Hdr,0),FALSE),VLOOKUP($B292,PO_Enrgy_12_Table,MATCH($G$282,PO_Enrgy_12_Hdr,0),FALSE)),VLOOKUP($B292,PO_Enrgy_12_Table,MATCH($G$282,PO_Enrgy_12_Hdr,0),FALSE)),"")</f>
        <v>30841</v>
      </c>
      <c r="H292" s="1430">
        <f ca="1">IFERROR(IF(Datacenter_Avg=TRUE,AVERAGE(VLOOKUP($B292,PO_Enrgy_11_Table,MATCH($H$273,PO_Enrgy_11_Hdr,0),FALSE),VLOOKUP($B292,PO_Enrgy_12_Table,MATCH($H$282,PO_Enrgy_12_Hdr,0),FALSE)),VLOOKUP($B292,PO_Enrgy_12_Table,MATCH($H$282,PO_Enrgy_12_Hdr,0),FALSE)),"")</f>
        <v>361804</v>
      </c>
      <c r="I292" s="1430">
        <f ca="1">IFERROR(H292*$R292,"")</f>
        <v>3876.2522787200005</v>
      </c>
      <c r="J292" s="1387">
        <f ca="1">IFERROR(IF(Datacenter_Avg=TRUE,AVERAGE(VLOOKUP($B292,PO_Enrgy_11_Table,MATCH($J$273,PO_Enrgy_11_Hdr,0),FALSE),VLOOKUP($B292,PO_Enrgy_12_Table,MATCH($J$282,PO_Enrgy_12_Hdr,0),FALSE)),VLOOKUP($B292,PO_Enrgy_12_Table,MATCH($J$282,PO_Enrgy_12_Hdr,0),FALSE)),"")</f>
        <v>27859</v>
      </c>
      <c r="K292" s="3133">
        <f ca="1">IFERROR(1-H292/E292,"")</f>
        <v>9.4643491664706536E-2</v>
      </c>
      <c r="L292" s="3134"/>
      <c r="M292" s="1431">
        <f ca="1">IFERROR(1-J292/G292,"")</f>
        <v>9.6689471807010152E-2</v>
      </c>
      <c r="N292" s="650"/>
      <c r="O292" s="650"/>
      <c r="P292" s="650"/>
      <c r="Q292" s="1250">
        <f>IFERROR(IF(ISBLANK($B292),"",VLOOKUP($B292,PO_Enrgy_1_Table,MATCH($K$16,PO_Enrgy_1_Hdr,0),FALSE)),"")</f>
        <v>3.4120000000000001E-3</v>
      </c>
      <c r="R292" s="1250">
        <f>IFERROR(IF(ISBLANK($B292),"",VLOOKUP($B292,PO_Enrgy_1_Table,MATCH($M$16,PO_Enrgy_1_Hdr,0),FALSE)),"")</f>
        <v>1.0713680000000001E-2</v>
      </c>
      <c r="S292" s="564"/>
      <c r="T292" s="564"/>
      <c r="AH292" s="615"/>
      <c r="AI292" s="615"/>
      <c r="AJ292" s="596"/>
      <c r="AL292" s="619"/>
      <c r="AM292" s="620"/>
      <c r="AN292" s="621"/>
    </row>
    <row r="293" spans="1:55" ht="15" hidden="1" customHeight="1" x14ac:dyDescent="0.25">
      <c r="A293" s="1271" t="s">
        <v>1298</v>
      </c>
      <c r="B293" s="1429" t="str">
        <f>IFERROR(IF(ISBLANK(B18),"",B18),"")</f>
        <v>District Steam</v>
      </c>
      <c r="C293" s="3126" t="str">
        <f>IFERROR(IF(ISBLANK($B293),"",VLOOKUP($B293,PO_Enrgy_1_Table,MATCH($C$16,PO_Enrgy_1_Hdr,0),FALSE) ),"")</f>
        <v>therm</v>
      </c>
      <c r="D293" s="3127" t="e">
        <f>IF(C293="","",VLOOKUP(C293,ProjectEnergyTypeTable,3,FALSE))</f>
        <v>#NAME?</v>
      </c>
      <c r="E293" s="1430">
        <f>IFERROR(IF(Datacenter_Avg=TRUE,AVERAGE(VLOOKUP($B293,PO_Enrgy_11_Table,MATCH($E$273,PO_Enrgy_11_Hdr,0),FALSE),VLOOKUP($B293,PO_Enrgy_12_Table,MATCH($E$282,PO_Enrgy_12_Hdr,0),FALSE)),VLOOKUP($B293,PO_Enrgy_12_Table,MATCH($E$282,PO_Enrgy_12_Hdr,0),FALSE)),"")</f>
        <v>1579</v>
      </c>
      <c r="F293" s="1430">
        <f>IFERROR(E293*$R293,"")</f>
        <v>189.48</v>
      </c>
      <c r="G293" s="1387">
        <f>IFERROR(IF(Datacenter_Avg=TRUE,AVERAGE(VLOOKUP($B293,PO_Enrgy_11_Table,MATCH($G$273,PO_Enrgy_11_Hdr,0),FALSE),VLOOKUP($B293,PO_Enrgy_12_Table,MATCH($G$282,PO_Enrgy_12_Hdr,0),FALSE)),VLOOKUP($B293,PO_Enrgy_12_Table,MATCH($G$282,PO_Enrgy_12_Hdr,0),FALSE)),"")</f>
        <v>1381</v>
      </c>
      <c r="H293" s="1430">
        <f>IFERROR(IF(Datacenter_Avg=TRUE,AVERAGE(VLOOKUP($B293,PO_Enrgy_11_Table,MATCH($H$273,PO_Enrgy_11_Hdr,0),FALSE),VLOOKUP($B293,PO_Enrgy_12_Table,MATCH($H$282,PO_Enrgy_12_Hdr,0),FALSE)),VLOOKUP($B293,PO_Enrgy_12_Table,MATCH($H$282,PO_Enrgy_12_Hdr,0),FALSE)),"")</f>
        <v>1016</v>
      </c>
      <c r="I293" s="1430">
        <f>IFERROR(H293*$R293,"")</f>
        <v>121.92</v>
      </c>
      <c r="J293" s="1387">
        <f>IFERROR(IF(Datacenter_Avg=TRUE,AVERAGE(VLOOKUP($B293,PO_Enrgy_11_Table,MATCH($J$273,PO_Enrgy_11_Hdr,0),FALSE),VLOOKUP($B293,PO_Enrgy_12_Table,MATCH($J$282,PO_Enrgy_12_Hdr,0),FALSE)),VLOOKUP($B293,PO_Enrgy_12_Table,MATCH($J$282,PO_Enrgy_12_Hdr,0),FALSE)),"")</f>
        <v>929</v>
      </c>
      <c r="K293" s="3133">
        <f>IFERROR(1-H293/E293,"")</f>
        <v>0.35655478150728304</v>
      </c>
      <c r="L293" s="3134"/>
      <c r="M293" s="1431">
        <f>IFERROR(1-J293/G293,"")</f>
        <v>0.3272990586531499</v>
      </c>
      <c r="N293" s="650"/>
      <c r="O293" s="650"/>
      <c r="P293" s="650"/>
      <c r="Q293" s="1250">
        <f>IFERROR(IF(ISBLANK($B293),"",VLOOKUP($B293,PO_Enrgy_1_Table,MATCH($K$16,PO_Enrgy_1_Hdr,0),FALSE)),"")</f>
        <v>0.1</v>
      </c>
      <c r="R293" s="1250">
        <f>IFERROR(IF(ISBLANK($B293),"",VLOOKUP($B293,PO_Enrgy_1_Table,MATCH($M$16,PO_Enrgy_1_Hdr,0),FALSE)),"")</f>
        <v>0.12</v>
      </c>
      <c r="S293" s="564"/>
      <c r="T293" s="564"/>
      <c r="AH293" s="615"/>
      <c r="AI293" s="615"/>
      <c r="AJ293" s="596"/>
      <c r="AL293" s="619"/>
      <c r="AM293" s="620"/>
      <c r="AN293" s="621"/>
    </row>
    <row r="294" spans="1:55" ht="15" hidden="1" customHeight="1" x14ac:dyDescent="0.25">
      <c r="A294" s="1271" t="s">
        <v>1298</v>
      </c>
      <c r="B294" s="1429" t="str">
        <f>IFERROR(IF(ISBLANK(B19),"",B19),"")</f>
        <v>District Cooling</v>
      </c>
      <c r="C294" s="3126" t="str">
        <f>IFERROR(IF(ISBLANK($B294),"",VLOOKUP($B294,PO_Enrgy_1_Table,MATCH($C$16,PO_Enrgy_1_Hdr,0),FALSE) ),"")</f>
        <v>therm</v>
      </c>
      <c r="D294" s="3127" t="e">
        <f>IF(C294="","",VLOOKUP(C294,ProjectEnergyTypeTable,3,FALSE))</f>
        <v>#NAME?</v>
      </c>
      <c r="E294" s="1430">
        <f>IFERROR(IF(Datacenter_Avg=TRUE,AVERAGE(VLOOKUP($B294,PO_Enrgy_11_Table,MATCH($E$273,PO_Enrgy_11_Hdr,0),FALSE),VLOOKUP($B294,PO_Enrgy_12_Table,MATCH($E$282,PO_Enrgy_12_Hdr,0),FALSE)),VLOOKUP($B294,PO_Enrgy_12_Table,MATCH($E$282,PO_Enrgy_12_Hdr,0),FALSE)),"")</f>
        <v>30143</v>
      </c>
      <c r="F294" s="1430">
        <f>IFERROR(E294*$R294,"")</f>
        <v>3014.3</v>
      </c>
      <c r="G294" s="1387">
        <f>IFERROR(IF(Datacenter_Avg=TRUE,AVERAGE(VLOOKUP($B294,PO_Enrgy_11_Table,MATCH($G$273,PO_Enrgy_11_Hdr,0),FALSE),VLOOKUP($B294,PO_Enrgy_12_Table,MATCH($G$282,PO_Enrgy_12_Hdr,0),FALSE)),VLOOKUP($B294,PO_Enrgy_12_Table,MATCH($G$282,PO_Enrgy_12_Hdr,0),FALSE)),"")</f>
        <v>26920</v>
      </c>
      <c r="H294" s="1430">
        <f>IFERROR(IF(Datacenter_Avg=TRUE,AVERAGE(VLOOKUP($B294,PO_Enrgy_11_Table,MATCH($H$273,PO_Enrgy_11_Hdr,0),FALSE),VLOOKUP($B294,PO_Enrgy_12_Table,MATCH($H$282,PO_Enrgy_12_Hdr,0),FALSE)),VLOOKUP($B294,PO_Enrgy_12_Table,MATCH($H$282,PO_Enrgy_12_Hdr,0),FALSE)),"")</f>
        <v>27282</v>
      </c>
      <c r="I294" s="1430">
        <f>IFERROR(H294*$R294,"")</f>
        <v>2728.2000000000003</v>
      </c>
      <c r="J294" s="1387">
        <f>IFERROR(IF(Datacenter_Avg=TRUE,AVERAGE(VLOOKUP($B294,PO_Enrgy_11_Table,MATCH($J$273,PO_Enrgy_11_Hdr,0),FALSE),VLOOKUP($B294,PO_Enrgy_12_Table,MATCH($J$282,PO_Enrgy_12_Hdr,0),FALSE)),VLOOKUP($B294,PO_Enrgy_12_Table,MATCH($J$282,PO_Enrgy_12_Hdr,0),FALSE)),"")</f>
        <v>24213</v>
      </c>
      <c r="K294" s="3133">
        <f>IFERROR(1-H294/E294,"")</f>
        <v>9.4914242112596581E-2</v>
      </c>
      <c r="L294" s="3134"/>
      <c r="M294" s="1431">
        <f>IFERROR(1-J294/G294,"")</f>
        <v>0.10055720653789002</v>
      </c>
      <c r="N294" s="650"/>
      <c r="O294" s="650"/>
      <c r="P294" s="650"/>
      <c r="Q294" s="1250">
        <f>IFERROR(IF(ISBLANK($B294),"",VLOOKUP($B294,PO_Enrgy_1_Table,MATCH($K$16,PO_Enrgy_1_Hdr,0),FALSE)),"")</f>
        <v>0.1</v>
      </c>
      <c r="R294" s="1250">
        <f>IFERROR(IF(ISBLANK($B294),"",VLOOKUP($B294,PO_Enrgy_1_Table,MATCH($M$16,PO_Enrgy_1_Hdr,0),FALSE)),"")</f>
        <v>0.1</v>
      </c>
      <c r="S294" s="564"/>
      <c r="T294" s="564"/>
      <c r="AH294" s="615"/>
      <c r="AI294" s="615"/>
      <c r="AJ294" s="596"/>
      <c r="AL294" s="619"/>
      <c r="AM294" s="620"/>
      <c r="AN294" s="621"/>
    </row>
    <row r="295" spans="1:55" s="594" customFormat="1" ht="21" hidden="1" customHeight="1" x14ac:dyDescent="0.25">
      <c r="A295" s="1271" t="s">
        <v>1298</v>
      </c>
      <c r="B295" s="3177" t="str">
        <f>"Energy Model Subtotal (" &amp; PO_SiteUnits &amp; ")"</f>
        <v>Energy Model Subtotal (Btu x 10^6)</v>
      </c>
      <c r="C295" s="3178"/>
      <c r="D295" s="3178"/>
      <c r="E295" s="1409">
        <f>IFERROR(SUMPRODUCT(INDEX(PO_Enrgy_13_Table,0,MATCH(E$291,PO_Enrgy_13_Hdr,0)),INDEX(PO_Enrgy_13_Table,0,MATCH($Q$291,PO_Enrgy_13_Hdr,0))),"")</f>
        <v>4535.7239120000004</v>
      </c>
      <c r="F295" s="1410">
        <f>IFERROR(SUM(INDEX(PO_Enrgy_13_Table,0,MATCH(F$291,PO_Enrgy_12_Hdr,0))),"")</f>
        <v>7485.2450836799999</v>
      </c>
      <c r="G295" s="1411">
        <f>IFERROR(SUM(INDEX(PO_Enrgy_13_Table,0,MATCH(G$291,PO_Enrgy_12_Hdr,0))),"")</f>
        <v>59142</v>
      </c>
      <c r="H295" s="1409">
        <f ca="1">IFERROR(SUMPRODUCT(INDEX(PO_Enrgy_13_Table,0,MATCH(H$291,PO_Enrgy_13_Hdr,0)),INDEX(PO_Enrgy_13_Table,0,MATCH($Q$291,PO_Enrgy_13_Hdr,0))),"")</f>
        <v>4064.2752479999999</v>
      </c>
      <c r="I295" s="1410">
        <f ca="1">IFERROR(SUM(INDEX(PO_Enrgy_13_Table,0,MATCH(I$291,PO_Enrgy_12_Hdr,0))),"")</f>
        <v>6726.3722787200004</v>
      </c>
      <c r="J295" s="1411">
        <f ca="1">IFERROR(SUM(INDEX(PO_Enrgy_13_Table,0,MATCH(J$291,PO_Enrgy_12_Hdr,0))),"")</f>
        <v>53001</v>
      </c>
      <c r="K295" s="3179">
        <f ca="1">IFERROR(1-H295/E295,"")</f>
        <v>0.10394121713464655</v>
      </c>
      <c r="L295" s="3180"/>
      <c r="M295" s="1412">
        <f ca="1">IFERROR(1-J295/G295,"")</f>
        <v>0.10383483818606065</v>
      </c>
      <c r="N295" s="650"/>
      <c r="O295" s="650"/>
      <c r="P295" s="650"/>
      <c r="AJ295" s="596"/>
      <c r="AL295" s="619"/>
      <c r="AM295" s="620"/>
    </row>
    <row r="296" spans="1:55" s="594" customFormat="1" ht="30" hidden="1" customHeight="1" x14ac:dyDescent="0.2">
      <c r="A296" s="1271" t="s">
        <v>1298</v>
      </c>
      <c r="B296" s="3181"/>
      <c r="C296" s="3182"/>
      <c r="D296" s="3182"/>
      <c r="E296" s="3182"/>
      <c r="F296" s="3182"/>
      <c r="G296" s="3182"/>
      <c r="H296" s="3182"/>
      <c r="I296" s="3182"/>
      <c r="J296" s="3182"/>
      <c r="K296" s="3182"/>
      <c r="L296" s="3182"/>
      <c r="M296" s="822"/>
      <c r="N296" s="650"/>
      <c r="O296" s="650"/>
      <c r="P296" s="650"/>
      <c r="AL296" s="622"/>
      <c r="AM296" s="623"/>
    </row>
    <row r="297" spans="1:55" ht="18" customHeight="1" x14ac:dyDescent="0.25">
      <c r="A297" s="1271" t="s">
        <v>1298</v>
      </c>
      <c r="B297" s="3183" t="s">
        <v>1281</v>
      </c>
      <c r="C297" s="3162"/>
      <c r="D297" s="3162"/>
      <c r="E297" s="3162"/>
      <c r="F297" s="3162"/>
      <c r="G297" s="3184"/>
      <c r="H297" s="3184"/>
      <c r="I297" s="3184"/>
      <c r="J297" s="3184"/>
      <c r="K297" s="3185">
        <f ca="1">$M$295</f>
        <v>0.10383483818606065</v>
      </c>
      <c r="L297" s="3186"/>
      <c r="M297" s="3187"/>
      <c r="N297" s="650"/>
      <c r="O297" s="650"/>
      <c r="P297" s="650"/>
      <c r="AJ297" s="596"/>
      <c r="BC297" s="2292"/>
    </row>
    <row r="298" spans="1:55" s="594" customFormat="1" ht="33" customHeight="1" x14ac:dyDescent="0.25">
      <c r="A298" s="1271" t="s">
        <v>1298</v>
      </c>
      <c r="B298" s="1159"/>
      <c r="C298" s="1159"/>
      <c r="D298" s="1159"/>
      <c r="E298" s="602"/>
      <c r="F298" s="602"/>
      <c r="G298" s="651"/>
      <c r="H298" s="602"/>
      <c r="I298" s="602"/>
      <c r="J298" s="651"/>
      <c r="K298" s="822"/>
      <c r="L298" s="822"/>
      <c r="M298" s="822"/>
      <c r="N298" s="650"/>
      <c r="O298" s="650"/>
      <c r="P298" s="650"/>
      <c r="AL298" s="622"/>
      <c r="AM298" s="623"/>
    </row>
    <row r="299" spans="1:55" s="650" customFormat="1" ht="21.75" hidden="1" customHeight="1" x14ac:dyDescent="0.25">
      <c r="A299" s="1271" t="s">
        <v>1298</v>
      </c>
      <c r="B299" s="1151" t="s">
        <v>1271</v>
      </c>
      <c r="AL299" s="645"/>
      <c r="AM299" s="646"/>
    </row>
    <row r="300" spans="1:55" ht="42" hidden="1" customHeight="1" x14ac:dyDescent="0.25">
      <c r="A300" s="1271" t="s">
        <v>1298</v>
      </c>
      <c r="B300" s="3124" t="s">
        <v>444</v>
      </c>
      <c r="C300" s="3165" t="s">
        <v>1805</v>
      </c>
      <c r="D300" s="3125"/>
      <c r="E300" s="3188" t="s">
        <v>452</v>
      </c>
      <c r="F300" s="3188"/>
      <c r="G300" s="3188"/>
      <c r="H300" s="3123" t="s">
        <v>1172</v>
      </c>
      <c r="I300" s="3124"/>
      <c r="J300" s="3124"/>
      <c r="K300" s="3124" t="s">
        <v>451</v>
      </c>
      <c r="L300" s="3124"/>
      <c r="M300" s="3125"/>
      <c r="N300" s="3168"/>
      <c r="O300" s="3168"/>
      <c r="P300" s="3168"/>
      <c r="S300" s="564"/>
      <c r="T300" s="564"/>
      <c r="AJ300" s="596"/>
      <c r="AL300" s="619"/>
      <c r="AM300" s="620"/>
      <c r="AR300" s="1161"/>
      <c r="AS300" s="1162"/>
      <c r="AT300" s="1162"/>
      <c r="AU300" s="1162"/>
      <c r="AV300" s="625"/>
    </row>
    <row r="301" spans="1:55" ht="56.25" hidden="1" customHeight="1" x14ac:dyDescent="0.25">
      <c r="A301" s="1271" t="s">
        <v>1298</v>
      </c>
      <c r="B301" s="3125"/>
      <c r="C301" s="3125"/>
      <c r="D301" s="3125"/>
      <c r="E301" s="1367" t="s">
        <v>450</v>
      </c>
      <c r="F301" s="1383" t="str">
        <f>"Source Energy Use Savings 
("  &amp; PO_SourceUnits &amp; ")"</f>
        <v>Source Energy Use Savings 
(Btu x 10^6)</v>
      </c>
      <c r="G301" s="1367" t="s">
        <v>449</v>
      </c>
      <c r="H301" s="1367" t="s">
        <v>1116</v>
      </c>
      <c r="I301" s="1383" t="str">
        <f>"Source Energy Use 
("  &amp; PO_SourceUnits &amp; ")"</f>
        <v>Source Energy Use 
(Btu x 10^6)</v>
      </c>
      <c r="J301" s="1367" t="s">
        <v>446</v>
      </c>
      <c r="K301" s="3123" t="s">
        <v>447</v>
      </c>
      <c r="L301" s="3125"/>
      <c r="M301" s="1367" t="s">
        <v>446</v>
      </c>
      <c r="N301" s="1158"/>
      <c r="O301" s="1158"/>
      <c r="P301" s="1158"/>
      <c r="S301" s="564"/>
      <c r="T301" s="564"/>
      <c r="AJ301" s="596"/>
      <c r="AL301" s="619"/>
      <c r="AM301" s="620"/>
      <c r="AR301" s="1162"/>
      <c r="AS301" s="638"/>
      <c r="AT301" s="638"/>
      <c r="AU301" s="638"/>
    </row>
    <row r="302" spans="1:55" s="1287" customFormat="1" ht="15" hidden="1" x14ac:dyDescent="0.25">
      <c r="A302" s="1271" t="s">
        <v>1298</v>
      </c>
      <c r="B302" s="1314" t="s">
        <v>1765</v>
      </c>
      <c r="C302" s="1305" t="s">
        <v>1793</v>
      </c>
      <c r="D302" s="1314"/>
      <c r="E302" s="1315" t="s">
        <v>1825</v>
      </c>
      <c r="F302" s="1316" t="s">
        <v>1826</v>
      </c>
      <c r="G302" s="1317" t="s">
        <v>1827</v>
      </c>
      <c r="H302" s="1315" t="s">
        <v>1806</v>
      </c>
      <c r="I302" s="1316" t="s">
        <v>1807</v>
      </c>
      <c r="J302" s="1317" t="s">
        <v>1808</v>
      </c>
      <c r="K302" s="1317" t="s">
        <v>1824</v>
      </c>
      <c r="L302" s="1305"/>
      <c r="M302" s="1317" t="s">
        <v>1810</v>
      </c>
      <c r="N302" s="1309"/>
      <c r="O302" s="1309"/>
      <c r="P302" s="1309"/>
      <c r="Q302" s="1249" t="s">
        <v>1776</v>
      </c>
      <c r="R302" s="1249" t="s">
        <v>1777</v>
      </c>
      <c r="S302" s="1249" t="s">
        <v>1882</v>
      </c>
      <c r="AJ302" s="1289"/>
    </row>
    <row r="303" spans="1:55" ht="15" hidden="1" customHeight="1" x14ac:dyDescent="0.25">
      <c r="A303" s="1271" t="s">
        <v>1298</v>
      </c>
      <c r="B303" s="1427" t="str">
        <f>IFERROR(IF(ISBLANK(B17),"",B17),"")</f>
        <v>Electricity</v>
      </c>
      <c r="C303" s="3144" t="str">
        <f>IFERROR(IF(ISBLANK($B303),"",VLOOKUP($B303,PO_Enrgy_1_Table,MATCH($C$16,PO_Enrgy_1_Hdr,0),FALSE) ),"")</f>
        <v>kWh</v>
      </c>
      <c r="D303" s="3145" t="e">
        <f>IF(C303="","",VLOOKUP(C303,ProjectEnergyTypeTable,3,FALSE))</f>
        <v>#NAME?</v>
      </c>
      <c r="E303" s="1414">
        <f>IFERROR(IF(PO_SiteRenewable=TRUE,VLOOKUP($B303,PO_Enrgy_2_Table,MATCH($E$38,PO_Enrgy_2_Hdr,0),FALSE),0),"")</f>
        <v>0</v>
      </c>
      <c r="F303" s="1414">
        <f>IFERROR(E303*$R303,"")</f>
        <v>0</v>
      </c>
      <c r="G303" s="1387">
        <f>IFERROR(IF(PO_SiteRenewable=TRUE,VLOOKUP($B303,PO_Enrgy_2_Table,MATCH($J$38,PO_Enrgy_2_Hdr,0),FALSE),0),"")</f>
        <v>0</v>
      </c>
      <c r="H303" s="1414">
        <f ca="1">IFERROR(VLOOKUP($B303,PO_Enrgy_13_Table,MATCH($H$291,PO_Enrgy_13_Hdr,0),FALSE)-IF(PO_SiteRenewable=TRUE,VLOOKUP($B303,PO_Enrgy_2_Table,MATCH($E$38,PO_Enrgy_2_Hdr,0),FALSE),0),0)</f>
        <v>361804</v>
      </c>
      <c r="I303" s="1414">
        <f ca="1">IFERROR(H303*$R303,"")</f>
        <v>3876.2522787200005</v>
      </c>
      <c r="J303" s="1387">
        <f ca="1">IFERROR(VLOOKUP($B303,PO_Enrgy_13_Table,MATCH($J$291,PO_Enrgy_13_Hdr,0),FALSE)-IF(PO_SiteRenewable=TRUE,VLOOKUP($B303,PO_Enrgy_2_Table,MATCH($J$38,PO_Enrgy_2_Hdr,0),FALSE),0),0)</f>
        <v>27859</v>
      </c>
      <c r="K303" s="3146">
        <f ca="1">IFERROR(1-$H303/VLOOKUP($B303,PO_Enrgy_13_Table,MATCH($E$291,PO_Enrgy_13_Hdr,0),FALSE),"")</f>
        <v>9.4643491664706536E-2</v>
      </c>
      <c r="L303" s="3147"/>
      <c r="M303" s="1432">
        <f ca="1">IFERROR(1-$J303/VLOOKUP($B303,PO_Enrgy_13_Table,MATCH($G$291,PO_Enrgy_13_Hdr,0),FALSE),"")</f>
        <v>9.6689471807010152E-2</v>
      </c>
      <c r="N303" s="650"/>
      <c r="O303" s="650"/>
      <c r="P303" s="650"/>
      <c r="Q303" s="1549">
        <f>IFERROR(IF(ISBLANK($B303),"",VLOOKUP($B303,PO_Enrgy_1_Table,MATCH($K$16,PO_Enrgy_1_Hdr,0),FALSE)),"")</f>
        <v>3.4120000000000001E-3</v>
      </c>
      <c r="R303" s="1549">
        <f>IFERROR(IF(ISBLANK($B303),"",VLOOKUP($B303,PO_Enrgy_1_Table,MATCH($M$16,PO_Enrgy_1_Hdr,0),FALSE)),"")</f>
        <v>1.0713680000000001E-2</v>
      </c>
      <c r="S303" s="1549" t="str">
        <f>IFERROR(G303/E303,"")</f>
        <v/>
      </c>
      <c r="T303" s="564"/>
      <c r="AH303" s="615"/>
      <c r="AI303" s="615"/>
      <c r="AJ303" s="608"/>
      <c r="AL303" s="619"/>
      <c r="AM303" s="619"/>
      <c r="AN303" s="658"/>
      <c r="AP303" s="626"/>
      <c r="AR303" s="627"/>
      <c r="AS303" s="609"/>
      <c r="AT303" s="609"/>
      <c r="AU303" s="639"/>
      <c r="BC303" s="2292"/>
    </row>
    <row r="304" spans="1:55" ht="15" hidden="1" customHeight="1" x14ac:dyDescent="0.25">
      <c r="A304" s="1271" t="s">
        <v>1298</v>
      </c>
      <c r="B304" s="1427" t="str">
        <f>IFERROR(IF(ISBLANK(B18),"",B18),"")</f>
        <v>District Steam</v>
      </c>
      <c r="C304" s="3144" t="str">
        <f>IFERROR(IF(ISBLANK($B304),"",VLOOKUP($B304,PO_Enrgy_1_Table,MATCH($C$16,PO_Enrgy_1_Hdr,0),FALSE) ),"")</f>
        <v>therm</v>
      </c>
      <c r="D304" s="3145" t="e">
        <f>IF(C304="","",VLOOKUP(C304,ProjectEnergyTypeTable,3,FALSE))</f>
        <v>#NAME?</v>
      </c>
      <c r="E304" s="1414">
        <f>IFERROR(IF(PO_SiteRenewable=TRUE,VLOOKUP($B304,PO_Enrgy_2_Table,MATCH($E$38,PO_Enrgy_2_Hdr,0),FALSE),0),"")</f>
        <v>0</v>
      </c>
      <c r="F304" s="1414">
        <f>IFERROR(E304*$R304,"")</f>
        <v>0</v>
      </c>
      <c r="G304" s="1387">
        <f>IFERROR(IF(PO_SiteRenewable=TRUE,VLOOKUP($B304,PO_Enrgy_2_Table,MATCH($J$38,PO_Enrgy_2_Hdr,0),FALSE),0),"")</f>
        <v>0</v>
      </c>
      <c r="H304" s="1414">
        <f>IFERROR(VLOOKUP($B304,PO_Enrgy_13_Table,MATCH($H$291,PO_Enrgy_13_Hdr,0),FALSE)-IF(PO_SiteRenewable=TRUE,VLOOKUP($B304,PO_Enrgy_2_Table,MATCH($E$38,PO_Enrgy_2_Hdr,0),FALSE),0),0)</f>
        <v>1016</v>
      </c>
      <c r="I304" s="1414">
        <f>IFERROR(H304*$R304,"")</f>
        <v>121.92</v>
      </c>
      <c r="J304" s="1387">
        <f>IFERROR(VLOOKUP($B304,PO_Enrgy_13_Table,MATCH($J$291,PO_Enrgy_13_Hdr,0),FALSE)-IF(PO_SiteRenewable=TRUE,VLOOKUP($B304,PO_Enrgy_2_Table,MATCH($J$38,PO_Enrgy_2_Hdr,0),FALSE),0),0)</f>
        <v>929</v>
      </c>
      <c r="K304" s="3146">
        <f>IFERROR(1-$H304/VLOOKUP($B304,PO_Enrgy_13_Table,MATCH($E$291,PO_Enrgy_13_Hdr,0),FALSE),"")</f>
        <v>0.35655478150728304</v>
      </c>
      <c r="L304" s="3147"/>
      <c r="M304" s="1432">
        <f>IFERROR(1-$J304/VLOOKUP($B304,PO_Enrgy_13_Table,MATCH($G$291,PO_Enrgy_13_Hdr,0),FALSE),"")</f>
        <v>0.3272990586531499</v>
      </c>
      <c r="N304" s="650"/>
      <c r="O304" s="650"/>
      <c r="P304" s="650"/>
      <c r="Q304" s="1549">
        <f>IFERROR(IF(ISBLANK($B304),"",VLOOKUP($B304,PO_Enrgy_1_Table,MATCH($K$16,PO_Enrgy_1_Hdr,0),FALSE)),"")</f>
        <v>0.1</v>
      </c>
      <c r="R304" s="1549">
        <f>IFERROR(IF(ISBLANK($B304),"",VLOOKUP($B304,PO_Enrgy_1_Table,MATCH($M$16,PO_Enrgy_1_Hdr,0),FALSE)),"")</f>
        <v>0.12</v>
      </c>
      <c r="S304" s="1549" t="str">
        <f>IFERROR(G304/E304,"")</f>
        <v/>
      </c>
      <c r="T304" s="564"/>
      <c r="AH304" s="615"/>
      <c r="AI304" s="615"/>
      <c r="AJ304" s="608"/>
      <c r="AL304" s="619"/>
      <c r="AM304" s="619"/>
      <c r="AN304" s="658"/>
      <c r="AP304" s="626"/>
      <c r="AR304" s="627"/>
      <c r="AS304" s="609"/>
      <c r="AT304" s="609"/>
      <c r="AU304" s="639"/>
      <c r="BC304" s="2292"/>
    </row>
    <row r="305" spans="1:55" ht="15" hidden="1" customHeight="1" x14ac:dyDescent="0.25">
      <c r="A305" s="1271" t="s">
        <v>1298</v>
      </c>
      <c r="B305" s="1427" t="str">
        <f>IFERROR(IF(ISBLANK(B19),"",B19),"")</f>
        <v>District Cooling</v>
      </c>
      <c r="C305" s="3144" t="str">
        <f>IFERROR(IF(ISBLANK($B305),"",VLOOKUP($B305,PO_Enrgy_1_Table,MATCH($C$16,PO_Enrgy_1_Hdr,0),FALSE) ),"")</f>
        <v>therm</v>
      </c>
      <c r="D305" s="3145" t="e">
        <f>IF(C305="","",VLOOKUP(C305,ProjectEnergyTypeTable,3,FALSE))</f>
        <v>#NAME?</v>
      </c>
      <c r="E305" s="1414">
        <f>IFERROR(IF(PO_SiteRenewable=TRUE,VLOOKUP($B305,PO_Enrgy_2_Table,MATCH($E$38,PO_Enrgy_2_Hdr,0),FALSE),0),"")</f>
        <v>0</v>
      </c>
      <c r="F305" s="1414">
        <f>IFERROR(E305*$R305,"")</f>
        <v>0</v>
      </c>
      <c r="G305" s="1387">
        <f>IFERROR(IF(PO_SiteRenewable=TRUE,VLOOKUP($B305,PO_Enrgy_2_Table,MATCH($J$38,PO_Enrgy_2_Hdr,0),FALSE),0),"")</f>
        <v>0</v>
      </c>
      <c r="H305" s="1414">
        <f>IFERROR(VLOOKUP($B305,PO_Enrgy_13_Table,MATCH($H$291,PO_Enrgy_13_Hdr,0),FALSE)-IF(PO_SiteRenewable=TRUE,VLOOKUP($B305,PO_Enrgy_2_Table,MATCH($E$38,PO_Enrgy_2_Hdr,0),FALSE),0),0)</f>
        <v>27282</v>
      </c>
      <c r="I305" s="1414">
        <f>IFERROR(H305*$R305,"")</f>
        <v>2728.2000000000003</v>
      </c>
      <c r="J305" s="1387">
        <f>IFERROR(VLOOKUP($B305,PO_Enrgy_13_Table,MATCH($J$291,PO_Enrgy_13_Hdr,0),FALSE)-IF(PO_SiteRenewable=TRUE,VLOOKUP($B305,PO_Enrgy_2_Table,MATCH($J$38,PO_Enrgy_2_Hdr,0),FALSE),0),0)</f>
        <v>24213</v>
      </c>
      <c r="K305" s="3146">
        <f>IFERROR(1-$H305/VLOOKUP($B305,PO_Enrgy_13_Table,MATCH($E$291,PO_Enrgy_13_Hdr,0),FALSE),"")</f>
        <v>9.4914242112596581E-2</v>
      </c>
      <c r="L305" s="3147"/>
      <c r="M305" s="1432">
        <f>IFERROR(1-$J305/VLOOKUP($B305,PO_Enrgy_13_Table,MATCH($G$291,PO_Enrgy_13_Hdr,0),FALSE),"")</f>
        <v>0.10055720653789002</v>
      </c>
      <c r="N305" s="650"/>
      <c r="O305" s="650"/>
      <c r="P305" s="650"/>
      <c r="Q305" s="1549">
        <f>IFERROR(IF(ISBLANK($B305),"",VLOOKUP($B305,PO_Enrgy_1_Table,MATCH($K$16,PO_Enrgy_1_Hdr,0),FALSE)),"")</f>
        <v>0.1</v>
      </c>
      <c r="R305" s="1549">
        <f>IFERROR(IF(ISBLANK($B305),"",VLOOKUP($B305,PO_Enrgy_1_Table,MATCH($M$16,PO_Enrgy_1_Hdr,0),FALSE)),"")</f>
        <v>0.1</v>
      </c>
      <c r="S305" s="1549" t="str">
        <f>IFERROR(G305/E305,"")</f>
        <v/>
      </c>
      <c r="T305" s="564"/>
      <c r="AH305" s="615"/>
      <c r="AI305" s="615"/>
      <c r="AJ305" s="608"/>
      <c r="AL305" s="619"/>
      <c r="AM305" s="619"/>
      <c r="AN305" s="658"/>
      <c r="AP305" s="626"/>
      <c r="AR305" s="627"/>
      <c r="AS305" s="609"/>
      <c r="AT305" s="609"/>
      <c r="AU305" s="639"/>
      <c r="BC305" s="2292"/>
    </row>
    <row r="306" spans="1:55" s="594" customFormat="1" ht="21" hidden="1" customHeight="1" x14ac:dyDescent="0.25">
      <c r="A306" s="1271" t="s">
        <v>1298</v>
      </c>
      <c r="B306" s="3120" t="str">
        <f>"Energy model subtotal (" &amp; PO_SiteUnits &amp; ")"</f>
        <v>Energy model subtotal (Btu x 10^6)</v>
      </c>
      <c r="C306" s="3120"/>
      <c r="D306" s="3120"/>
      <c r="E306" s="1414">
        <f>IFERROR(SUMPRODUCT(INDEX(PO_Enrgy_14_Table,0,MATCH(E$302,PO_Enrgy_14_Hdr,0)),INDEX(PO_Enrgy_14_Table,0,MATCH($Q$302,PO_Enrgy_14_Hdr,0))),"")</f>
        <v>0</v>
      </c>
      <c r="F306" s="1384">
        <f>IFERROR(SUM(INDEX(PO_Enrgy_14_Table,0,MATCH(F$302,PO_Enrgy_14_Hdr,0))),"")</f>
        <v>0</v>
      </c>
      <c r="G306" s="1398">
        <f>IFERROR(SUM(INDEX(PO_Enrgy_14_Table,0,MATCH(G$302,PO_Enrgy_14_Hdr,0))),"")</f>
        <v>0</v>
      </c>
      <c r="H306" s="1414">
        <f ca="1">IFERROR(SUMPRODUCT(INDEX(PO_Enrgy_14_Table,0,MATCH(H$302,PO_Enrgy_14_Hdr,0)),INDEX(PO_Enrgy_14_Table,0,MATCH($Q$302,PO_Enrgy_14_Hdr,0))),"")</f>
        <v>4064.2752479999999</v>
      </c>
      <c r="I306" s="1384">
        <f ca="1">IFERROR(SUM(INDEX(PO_Enrgy_14_Table,0,MATCH(I$302,PO_Enrgy_14_Hdr,0))),"")</f>
        <v>6726.3722787200004</v>
      </c>
      <c r="J306" s="1398">
        <f ca="1">IFERROR(SUM(INDEX(PO_Enrgy_14_Table,0,MATCH(J$302,PO_Enrgy_14_Hdr,0))),"")</f>
        <v>53001</v>
      </c>
      <c r="K306" s="3137">
        <f ca="1">IFERROR(1-$H306/$E$295,"")</f>
        <v>0.10394121713464655</v>
      </c>
      <c r="L306" s="3137"/>
      <c r="M306" s="1413">
        <f ca="1">IFERROR(1-$J306/$G$295,"")</f>
        <v>0.10383483818606065</v>
      </c>
      <c r="N306" s="650"/>
      <c r="O306" s="650"/>
      <c r="P306" s="650"/>
      <c r="AJ306" s="596"/>
      <c r="AL306" s="619"/>
      <c r="AM306" s="620"/>
      <c r="AR306" s="627"/>
      <c r="AS306" s="609"/>
      <c r="AT306" s="609"/>
      <c r="AU306" s="610"/>
      <c r="BC306" s="2292"/>
    </row>
    <row r="307" spans="1:55" s="594" customFormat="1" ht="33" hidden="1" customHeight="1" x14ac:dyDescent="0.25">
      <c r="A307" s="1271" t="s">
        <v>1298</v>
      </c>
      <c r="B307" s="1159"/>
      <c r="C307" s="1159"/>
      <c r="D307" s="1159"/>
      <c r="E307" s="607"/>
      <c r="F307" s="607"/>
      <c r="G307" s="651"/>
      <c r="H307" s="607"/>
      <c r="I307" s="607"/>
      <c r="J307" s="651"/>
      <c r="K307" s="822"/>
      <c r="L307" s="650"/>
      <c r="M307" s="822"/>
      <c r="N307" s="650"/>
      <c r="O307" s="650"/>
      <c r="P307" s="650"/>
      <c r="AJ307" s="596"/>
      <c r="AL307" s="619"/>
      <c r="AM307" s="620"/>
      <c r="AR307" s="627"/>
      <c r="AS307" s="609"/>
      <c r="AT307" s="609"/>
      <c r="AU307" s="610"/>
    </row>
    <row r="308" spans="1:55" s="650" customFormat="1" ht="21.75" hidden="1" customHeight="1" x14ac:dyDescent="0.25">
      <c r="A308" s="1271" t="s">
        <v>1298</v>
      </c>
      <c r="B308" s="1151" t="s">
        <v>1286</v>
      </c>
      <c r="C308" s="585"/>
      <c r="D308" s="585"/>
      <c r="E308" s="585"/>
      <c r="F308" s="585"/>
      <c r="G308" s="585"/>
      <c r="H308" s="585"/>
      <c r="I308" s="585"/>
      <c r="J308" s="585"/>
      <c r="AL308" s="645"/>
      <c r="AM308" s="646"/>
    </row>
    <row r="309" spans="1:55" s="650" customFormat="1" ht="39.75" hidden="1" customHeight="1" x14ac:dyDescent="0.25">
      <c r="A309" s="1271" t="s">
        <v>1298</v>
      </c>
      <c r="B309" s="3138" t="str">
        <f>"Enter the IT equipment energy consumption " &amp; IF(Datacenter_Avg=FALSE, " and total building consumption by end-use including renewable energy ","") &amp; "for the Startup IT loads.  The information for the full buildout loads is tabulated from the data above.  PUE3 is calculated based on source energy."</f>
        <v>Enter the IT equipment energy consumption  and total building consumption by end-use including renewable energy for the Startup IT loads.  The information for the full buildout loads is tabulated from the data above.  PUE3 is calculated based on source energy.</v>
      </c>
      <c r="C309" s="2609"/>
      <c r="D309" s="2609"/>
      <c r="E309" s="2609"/>
      <c r="F309" s="2609"/>
      <c r="G309" s="2609"/>
      <c r="H309" s="2609"/>
      <c r="I309" s="2609"/>
      <c r="J309" s="2609"/>
      <c r="K309" s="2609"/>
      <c r="L309" s="2609"/>
      <c r="M309" s="2609"/>
      <c r="AL309" s="645"/>
      <c r="AM309" s="646"/>
    </row>
    <row r="310" spans="1:55" ht="54" hidden="1" customHeight="1" x14ac:dyDescent="0.25">
      <c r="A310" s="1271" t="s">
        <v>1298</v>
      </c>
      <c r="B310" s="3124" t="s">
        <v>444</v>
      </c>
      <c r="C310" s="3165" t="s">
        <v>1805</v>
      </c>
      <c r="D310" s="3125"/>
      <c r="E310" s="3124" t="s">
        <v>1290</v>
      </c>
      <c r="F310" s="3124"/>
      <c r="G310" s="3124"/>
      <c r="H310" s="3139"/>
      <c r="I310" s="3124" t="s">
        <v>1291</v>
      </c>
      <c r="J310" s="3140"/>
      <c r="K310" s="3140"/>
      <c r="L310" s="3140"/>
      <c r="M310" s="3140"/>
      <c r="N310" s="3168"/>
      <c r="O310" s="3168"/>
      <c r="P310" s="3168"/>
      <c r="S310" s="564"/>
      <c r="T310" s="564"/>
      <c r="AJ310" s="596"/>
      <c r="AL310" s="619"/>
      <c r="AM310" s="620"/>
    </row>
    <row r="311" spans="1:55" ht="48" hidden="1" customHeight="1" x14ac:dyDescent="0.25">
      <c r="A311" s="1271" t="s">
        <v>1298</v>
      </c>
      <c r="B311" s="3125"/>
      <c r="C311" s="3125"/>
      <c r="D311" s="3125"/>
      <c r="E311" s="1367" t="s">
        <v>1116</v>
      </c>
      <c r="F311" s="1383" t="str">
        <f>"Source Energy Use 
("  &amp; PO_SourceUnits &amp; ")"</f>
        <v>Source Energy Use 
(Btu x 10^6)</v>
      </c>
      <c r="G311" s="3123" t="s">
        <v>1117</v>
      </c>
      <c r="H311" s="3169"/>
      <c r="I311" s="1367" t="s">
        <v>1116</v>
      </c>
      <c r="J311" s="1383" t="str">
        <f>"Source Energy Use 
("  &amp; PO_SourceUnits &amp; ")"</f>
        <v>Source Energy Use 
(Btu x 10^6)</v>
      </c>
      <c r="K311" s="3123" t="s">
        <v>1117</v>
      </c>
      <c r="L311" s="3140"/>
      <c r="M311" s="3140"/>
      <c r="N311" s="652"/>
      <c r="O311" s="652"/>
      <c r="P311" s="652"/>
      <c r="S311" s="564"/>
      <c r="T311" s="564"/>
      <c r="AJ311" s="596"/>
    </row>
    <row r="312" spans="1:55" s="1287" customFormat="1" ht="15" hidden="1" x14ac:dyDescent="0.25">
      <c r="A312" s="1271" t="s">
        <v>1298</v>
      </c>
      <c r="B312" s="1314" t="s">
        <v>1765</v>
      </c>
      <c r="C312" s="1305" t="s">
        <v>1793</v>
      </c>
      <c r="D312" s="1314"/>
      <c r="E312" s="1315" t="s">
        <v>1828</v>
      </c>
      <c r="F312" s="1316" t="s">
        <v>1829</v>
      </c>
      <c r="G312" s="1317" t="s">
        <v>1830</v>
      </c>
      <c r="H312" s="1315"/>
      <c r="I312" s="1316" t="s">
        <v>1831</v>
      </c>
      <c r="J312" s="1317" t="s">
        <v>1832</v>
      </c>
      <c r="K312" s="1317" t="s">
        <v>1833</v>
      </c>
      <c r="L312" s="1305"/>
      <c r="M312" s="1317"/>
      <c r="N312" s="1309"/>
      <c r="O312" s="1309"/>
      <c r="P312" s="1309"/>
      <c r="Q312" s="1249" t="s">
        <v>1776</v>
      </c>
      <c r="R312" s="1249" t="s">
        <v>1777</v>
      </c>
      <c r="AJ312" s="1289"/>
    </row>
    <row r="313" spans="1:55" ht="15" hidden="1" customHeight="1" x14ac:dyDescent="0.25">
      <c r="A313" s="1271" t="s">
        <v>1298</v>
      </c>
      <c r="B313" s="1296" t="str">
        <f>B191</f>
        <v>IT equipment</v>
      </c>
      <c r="C313" s="3142" t="s">
        <v>488</v>
      </c>
      <c r="D313" s="3143" t="e">
        <f>IF(C313="","",VLOOKUP(C313,ProjectEnergyTypeTable,3,FALSE))</f>
        <v>#NAME?</v>
      </c>
      <c r="E313" s="1415"/>
      <c r="F313" s="1384">
        <f>IFERROR(E313*$R313,"")</f>
        <v>0</v>
      </c>
      <c r="G313" s="3170"/>
      <c r="H313" s="3171"/>
      <c r="I313" s="1416" t="str">
        <f ca="1">IFERROR(VLOOKUP(B313,PO_design_table,MATCH($H$170,PO_design_hdr,0),FALSE),"")</f>
        <v/>
      </c>
      <c r="J313" s="1384" t="str">
        <f ca="1">IFERROR(I313*$R313,"")</f>
        <v/>
      </c>
      <c r="K313" s="3172"/>
      <c r="L313" s="3172"/>
      <c r="M313" s="3172"/>
      <c r="N313" s="650"/>
      <c r="O313" s="650"/>
      <c r="P313" s="650"/>
      <c r="Q313" s="1250">
        <f>IFERROR(VLOOKUP("Electricity",PO_Enrgy_1_Table,MATCH($K$16,PO_Enrgy_1_Hdr,0),FALSE),"")</f>
        <v>3.4120000000000001E-3</v>
      </c>
      <c r="R313" s="1250">
        <f>IFERROR(VLOOKUP("electricity",PO_Enrgy_1_Table,MATCH($M$16,PO_Enrgy_1_Hdr,0),FALSE),"")</f>
        <v>1.0713680000000001E-2</v>
      </c>
      <c r="S313" s="564"/>
      <c r="T313" s="564"/>
      <c r="AH313" s="615"/>
      <c r="AI313" s="615"/>
      <c r="AJ313" s="596"/>
      <c r="AL313" s="619"/>
      <c r="AM313" s="620"/>
      <c r="AN313" s="621"/>
    </row>
    <row r="314" spans="1:55" ht="21" hidden="1" customHeight="1" x14ac:dyDescent="0.25">
      <c r="A314" s="1271" t="s">
        <v>1298</v>
      </c>
      <c r="B314" s="3118" t="s">
        <v>1113</v>
      </c>
      <c r="C314" s="3173"/>
      <c r="D314" s="3174"/>
      <c r="E314" s="1417"/>
      <c r="F314" s="1417"/>
      <c r="G314" s="3175"/>
      <c r="H314" s="3175"/>
      <c r="I314" s="1418"/>
      <c r="J314" s="1418"/>
      <c r="K314" s="3176"/>
      <c r="L314" s="3176"/>
      <c r="M314" s="3176"/>
      <c r="N314" s="650"/>
      <c r="O314" s="650"/>
      <c r="P314" s="650"/>
      <c r="Q314" s="1249" t="s">
        <v>1776</v>
      </c>
      <c r="R314" s="1249" t="s">
        <v>1777</v>
      </c>
      <c r="S314" s="564"/>
      <c r="T314" s="564"/>
      <c r="AH314" s="615"/>
      <c r="AI314" s="615"/>
      <c r="AJ314" s="596"/>
      <c r="AL314" s="619"/>
      <c r="AM314" s="620"/>
      <c r="AN314" s="621"/>
    </row>
    <row r="315" spans="1:55" ht="15" hidden="1" customHeight="1" x14ac:dyDescent="0.25">
      <c r="A315" s="1271" t="s">
        <v>1298</v>
      </c>
      <c r="B315" s="2383" t="str">
        <f>IFERROR(IF(ISBLANK(B17),"",B17),"")</f>
        <v>Electricity</v>
      </c>
      <c r="C315" s="3126" t="str">
        <f>IFERROR(IF(ISBLANK($B315),"",VLOOKUP($B315,PO_Enrgy_1_Table,MATCH($C$16,PO_Enrgy_1_Hdr,0),FALSE) ),"")</f>
        <v>kWh</v>
      </c>
      <c r="D315" s="3127" t="e">
        <f>IF(C315="","",VLOOKUP(C315,ProjectEnergyTypeTable,3,FALSE))</f>
        <v>#NAME?</v>
      </c>
      <c r="E315" s="1433" t="str">
        <f>IFERROR(IF(Datacenter_Avg=TRUE,VLOOKUP($B315,PO_Enrgy_11_Table,MATCH($H$273,PO_Enrgy_11_Hdr,0),FALSE)-VLOOKUP($B315,PO_Enrgy_14_Table,MATCH($E302,PO_Enrgy_14_Hdr,0),FALSE),""),"")</f>
        <v/>
      </c>
      <c r="F315" s="1414" t="str">
        <f>IFERROR(E315*$R315,"")</f>
        <v/>
      </c>
      <c r="G315" s="3130"/>
      <c r="H315" s="3131"/>
      <c r="I315" s="1414">
        <f ca="1">IFERROR(VLOOKUP($B315,PO_Enrgy_12_Table,MATCH($H$282,PO_Enrgy_12_Hdr,0),FALSE)-VLOOKUP($B315,PO_Enrgy_14_Table,MATCH($E$302,PO_Enrgy_14_Hdr,0),FALSE),"")</f>
        <v>361804</v>
      </c>
      <c r="J315" s="1414">
        <f ca="1">IFERROR(I315*$R315,"")</f>
        <v>3876.2522787200005</v>
      </c>
      <c r="K315" s="3132"/>
      <c r="L315" s="3132"/>
      <c r="M315" s="3132"/>
      <c r="N315" s="650"/>
      <c r="O315" s="650"/>
      <c r="P315" s="650"/>
      <c r="Q315" s="1250">
        <f>IFERROR(IF(ISBLANK($B315),"",VLOOKUP($B315,PO_Enrgy_1_Table,MATCH($K$16,PO_Enrgy_1_Hdr,0),FALSE)),"")</f>
        <v>3.4120000000000001E-3</v>
      </c>
      <c r="R315" s="1250">
        <f>IFERROR(IF(ISBLANK($B315),"",VLOOKUP($B315,PO_Enrgy_1_Table,MATCH($M$16,PO_Enrgy_1_Hdr,0),FALSE)),"")</f>
        <v>1.0713680000000001E-2</v>
      </c>
      <c r="S315" s="564"/>
      <c r="T315" s="564"/>
      <c r="AH315" s="615"/>
      <c r="AI315" s="615"/>
      <c r="AJ315" s="1319"/>
      <c r="AK315" s="607"/>
      <c r="AL315" s="619"/>
      <c r="AM315" s="620"/>
      <c r="AN315" s="621"/>
    </row>
    <row r="316" spans="1:55" ht="15" hidden="1" customHeight="1" x14ac:dyDescent="0.25">
      <c r="A316" s="1271" t="s">
        <v>1298</v>
      </c>
      <c r="B316" s="2383" t="str">
        <f>IFERROR(IF(ISBLANK(B18),"",B18),"")</f>
        <v>District Steam</v>
      </c>
      <c r="C316" s="3126" t="str">
        <f>IFERROR(IF(ISBLANK($B316),"",VLOOKUP($B316,PO_Enrgy_1_Table,MATCH($C$16,PO_Enrgy_1_Hdr,0),FALSE) ),"")</f>
        <v>therm</v>
      </c>
      <c r="D316" s="3127" t="e">
        <f>IF(C316="","",VLOOKUP(C316,ProjectEnergyTypeTable,3,FALSE))</f>
        <v>#NAME?</v>
      </c>
      <c r="E316" s="1433" t="str">
        <f>IFERROR(IF(Datacenter_Avg=TRUE,VLOOKUP($B316,PO_Enrgy_11_Table,MATCH($H$273,PO_Enrgy_11_Hdr,0),FALSE)-VLOOKUP($B316,PO_Enrgy_14_Table,MATCH(#REF!,PO_Enrgy_14_Hdr,0),FALSE),""),"")</f>
        <v/>
      </c>
      <c r="F316" s="1414" t="str">
        <f>IFERROR(E316*$R316,"")</f>
        <v/>
      </c>
      <c r="G316" s="3130"/>
      <c r="H316" s="3131"/>
      <c r="I316" s="1414">
        <f>IFERROR(VLOOKUP($B316,PO_Enrgy_12_Table,MATCH($H$282,PO_Enrgy_12_Hdr,0),FALSE)-VLOOKUP($B316,PO_Enrgy_14_Table,MATCH($E$302,PO_Enrgy_14_Hdr,0),FALSE),"")</f>
        <v>1016</v>
      </c>
      <c r="J316" s="1414">
        <f>IFERROR(I316*$R316,"")</f>
        <v>121.92</v>
      </c>
      <c r="K316" s="3132"/>
      <c r="L316" s="3132"/>
      <c r="M316" s="3132"/>
      <c r="N316" s="650"/>
      <c r="O316" s="650"/>
      <c r="P316" s="650"/>
      <c r="Q316" s="1250">
        <f>IFERROR(IF(ISBLANK($B316),"",VLOOKUP($B316,PO_Enrgy_1_Table,MATCH($K$16,PO_Enrgy_1_Hdr,0),FALSE)),"")</f>
        <v>0.1</v>
      </c>
      <c r="R316" s="1250">
        <f>IFERROR(IF(ISBLANK($B316),"",VLOOKUP($B316,PO_Enrgy_1_Table,MATCH($M$16,PO_Enrgy_1_Hdr,0),FALSE)),"")</f>
        <v>0.12</v>
      </c>
      <c r="S316" s="564"/>
      <c r="T316" s="564"/>
      <c r="AH316" s="615"/>
      <c r="AI316" s="615"/>
      <c r="AJ316" s="1319"/>
      <c r="AK316" s="607"/>
      <c r="AL316" s="619"/>
      <c r="AM316" s="620"/>
      <c r="AN316" s="621"/>
    </row>
    <row r="317" spans="1:55" ht="15" hidden="1" customHeight="1" x14ac:dyDescent="0.25">
      <c r="A317" s="1271" t="s">
        <v>1298</v>
      </c>
      <c r="B317" s="2383" t="str">
        <f>IFERROR(IF(ISBLANK(B19),"",B19),"")</f>
        <v>District Cooling</v>
      </c>
      <c r="C317" s="3126" t="str">
        <f>IFERROR(IF(ISBLANK($B317),"",VLOOKUP($B317,PO_Enrgy_1_Table,MATCH($C$16,PO_Enrgy_1_Hdr,0),FALSE) ),"")</f>
        <v>therm</v>
      </c>
      <c r="D317" s="3127" t="e">
        <f>IF(C317="","",VLOOKUP(C317,ProjectEnergyTypeTable,3,FALSE))</f>
        <v>#NAME?</v>
      </c>
      <c r="E317" s="1433" t="str">
        <f>IFERROR(IF(Datacenter_Avg=TRUE,VLOOKUP($B317,PO_Enrgy_11_Table,MATCH($H$273,PO_Enrgy_11_Hdr,0),FALSE)-VLOOKUP($B317,PO_Enrgy_14_Table,MATCH(#REF!,PO_Enrgy_14_Hdr,0),FALSE),""),"")</f>
        <v/>
      </c>
      <c r="F317" s="1414" t="str">
        <f>IFERROR(E317*$R317,"")</f>
        <v/>
      </c>
      <c r="G317" s="3130"/>
      <c r="H317" s="3131"/>
      <c r="I317" s="1414">
        <f>IFERROR(VLOOKUP($B317,PO_Enrgy_12_Table,MATCH($H$282,PO_Enrgy_12_Hdr,0),FALSE)-VLOOKUP($B317,PO_Enrgy_14_Table,MATCH($E$302,PO_Enrgy_14_Hdr,0),FALSE),"")</f>
        <v>27282</v>
      </c>
      <c r="J317" s="1414">
        <f>IFERROR(I317*$R317,"")</f>
        <v>2728.2000000000003</v>
      </c>
      <c r="K317" s="3132"/>
      <c r="L317" s="3132"/>
      <c r="M317" s="3132"/>
      <c r="N317" s="650"/>
      <c r="O317" s="650"/>
      <c r="P317" s="650"/>
      <c r="Q317" s="1250">
        <f>IFERROR(IF(ISBLANK($B317),"",VLOOKUP($B317,PO_Enrgy_1_Table,MATCH($K$16,PO_Enrgy_1_Hdr,0),FALSE)),"")</f>
        <v>0.1</v>
      </c>
      <c r="R317" s="1250">
        <f>IFERROR(IF(ISBLANK($B317),"",VLOOKUP($B317,PO_Enrgy_1_Table,MATCH($M$16,PO_Enrgy_1_Hdr,0),FALSE)),"")</f>
        <v>0.1</v>
      </c>
      <c r="S317" s="564"/>
      <c r="T317" s="564"/>
      <c r="AH317" s="615"/>
      <c r="AI317" s="615"/>
      <c r="AJ317" s="1319"/>
      <c r="AK317" s="607"/>
      <c r="AL317" s="619"/>
      <c r="AM317" s="620"/>
      <c r="AN317" s="621"/>
    </row>
    <row r="318" spans="1:55" s="594" customFormat="1" ht="21" hidden="1" customHeight="1" x14ac:dyDescent="0.25">
      <c r="A318" s="1271" t="s">
        <v>1298</v>
      </c>
      <c r="B318" s="3120" t="str">
        <f>"Energy model subtotal (" &amp; PO_SiteUnits &amp; ")"</f>
        <v>Energy model subtotal (Btu x 10^6)</v>
      </c>
      <c r="C318" s="3120"/>
      <c r="D318" s="3120"/>
      <c r="E318" s="1414">
        <f>IFERROR(SUMPRODUCT(INDEX(PO_Enrgy_15_Table,0,MATCH(E$312,PO_Enrgy_15_Hdr,0)),INDEX(PO_Enrgy_15_Table,0,MATCH($Q$312,PO_Enrgy_15_Hdr,0))),"")</f>
        <v>0</v>
      </c>
      <c r="F318" s="1384">
        <f>IFERROR(SUM(INDEX(PO_Enrgy_15_Table,0,MATCH(F$312,PO_Enrgy_15_Hdr,0))),"")</f>
        <v>0</v>
      </c>
      <c r="G318" s="3121" t="str">
        <f>IFERROR(F318/F313,"")</f>
        <v/>
      </c>
      <c r="H318" s="3122"/>
      <c r="I318" s="1414">
        <f ca="1">IFERROR(SUMPRODUCT(INDEX(PO_Enrgy_15_Table,0,MATCH(I$312,PO_Enrgy_15_Hdr,0)),INDEX(PO_Enrgy_15_Table,0,MATCH($Q$312,PO_Enrgy_15_Hdr,0))),"")</f>
        <v>4064.2752479999999</v>
      </c>
      <c r="J318" s="1384">
        <f ca="1">IFERROR(SUM(INDEX(PO_Enrgy_15_Table,0,MATCH(J$312,PO_Enrgy_15_Hdr,0))),"")</f>
        <v>6726.3722787200004</v>
      </c>
      <c r="K318" s="3121" t="str">
        <f ca="1">IFERROR(J318/J313,"")</f>
        <v/>
      </c>
      <c r="L318" s="3121"/>
      <c r="M318" s="3121"/>
      <c r="N318" s="650"/>
      <c r="O318" s="650"/>
      <c r="P318" s="650"/>
      <c r="AJ318" s="16"/>
      <c r="AL318" s="619"/>
      <c r="AM318" s="620"/>
    </row>
    <row r="319" spans="1:55" s="594" customFormat="1" ht="33.75" hidden="1" customHeight="1" x14ac:dyDescent="0.25">
      <c r="A319" s="1271" t="s">
        <v>1298</v>
      </c>
      <c r="B319" s="1159"/>
      <c r="C319" s="1159"/>
      <c r="D319" s="1159"/>
      <c r="E319" s="847"/>
      <c r="F319" s="607"/>
      <c r="G319" s="655"/>
      <c r="I319" s="607"/>
      <c r="J319" s="607"/>
      <c r="K319" s="822"/>
      <c r="L319" s="822"/>
      <c r="M319" s="822"/>
      <c r="N319" s="650"/>
      <c r="O319" s="650"/>
      <c r="P319" s="650"/>
      <c r="AJ319" s="16"/>
      <c r="AL319" s="619"/>
      <c r="AM319" s="620"/>
    </row>
    <row r="320" spans="1:55" s="650" customFormat="1" ht="21" customHeight="1" x14ac:dyDescent="0.25">
      <c r="A320" s="1271" t="s">
        <v>1298</v>
      </c>
      <c r="B320" s="1151" t="s">
        <v>1272</v>
      </c>
      <c r="E320" s="842"/>
      <c r="AJ320" s="842"/>
      <c r="AL320" s="645"/>
      <c r="AM320" s="646"/>
    </row>
    <row r="321" spans="1:60" ht="25.5" customHeight="1" x14ac:dyDescent="0.25">
      <c r="A321" s="1271" t="s">
        <v>1298</v>
      </c>
      <c r="B321" s="3124" t="s">
        <v>444</v>
      </c>
      <c r="C321" s="3165" t="s">
        <v>1805</v>
      </c>
      <c r="D321" s="3125"/>
      <c r="E321" s="3166" t="s">
        <v>347</v>
      </c>
      <c r="F321" s="3167"/>
      <c r="G321" s="3167"/>
      <c r="H321" s="3123" t="s">
        <v>348</v>
      </c>
      <c r="I321" s="3124"/>
      <c r="J321" s="3124"/>
      <c r="K321" s="3123" t="s">
        <v>448</v>
      </c>
      <c r="L321" s="3124"/>
      <c r="M321" s="3125"/>
      <c r="N321" s="650"/>
      <c r="O321" s="650"/>
      <c r="P321" s="650"/>
      <c r="S321" s="564"/>
      <c r="T321" s="564"/>
      <c r="AJ321" s="16"/>
    </row>
    <row r="322" spans="1:60" ht="63.75" customHeight="1" x14ac:dyDescent="0.25">
      <c r="A322" s="1271" t="s">
        <v>1298</v>
      </c>
      <c r="B322" s="3125"/>
      <c r="C322" s="3125"/>
      <c r="D322" s="3125"/>
      <c r="E322" s="1167" t="s">
        <v>1116</v>
      </c>
      <c r="F322" s="1383" t="str">
        <f>"Source Energy Use 
("  &amp; PO_SourceUnits &amp; ")"</f>
        <v>Source Energy Use 
(Btu x 10^6)</v>
      </c>
      <c r="G322" s="1367" t="s">
        <v>446</v>
      </c>
      <c r="H322" s="1367" t="s">
        <v>1116</v>
      </c>
      <c r="I322" s="1383" t="str">
        <f>"Source Energy Use 
("  &amp; PO_SourceUnits &amp; ")"</f>
        <v>Source Energy Use 
(Btu x 10^6)</v>
      </c>
      <c r="J322" s="1367" t="s">
        <v>446</v>
      </c>
      <c r="K322" s="3123" t="s">
        <v>447</v>
      </c>
      <c r="L322" s="3125"/>
      <c r="M322" s="1367" t="s">
        <v>446</v>
      </c>
      <c r="N322" s="650"/>
      <c r="O322" s="650"/>
      <c r="P322" s="650"/>
      <c r="S322" s="564"/>
      <c r="T322" s="564"/>
      <c r="AJ322" s="16"/>
    </row>
    <row r="323" spans="1:60" s="1287" customFormat="1" ht="15" hidden="1" x14ac:dyDescent="0.25">
      <c r="A323" s="1271" t="s">
        <v>1298</v>
      </c>
      <c r="B323" s="1314" t="s">
        <v>1765</v>
      </c>
      <c r="C323" s="1305" t="s">
        <v>1793</v>
      </c>
      <c r="D323" s="1314"/>
      <c r="E323" s="1315" t="s">
        <v>1821</v>
      </c>
      <c r="F323" s="1316" t="s">
        <v>1822</v>
      </c>
      <c r="G323" s="1317" t="s">
        <v>1823</v>
      </c>
      <c r="H323" s="1315" t="s">
        <v>1806</v>
      </c>
      <c r="I323" s="1316" t="s">
        <v>1807</v>
      </c>
      <c r="J323" s="1317" t="s">
        <v>1808</v>
      </c>
      <c r="K323" s="1317" t="s">
        <v>1824</v>
      </c>
      <c r="L323" s="1305"/>
      <c r="M323" s="1317" t="s">
        <v>1810</v>
      </c>
      <c r="N323" s="1309"/>
      <c r="O323" s="1309"/>
      <c r="P323" s="1309"/>
      <c r="Q323" s="1249" t="s">
        <v>1776</v>
      </c>
      <c r="R323" s="1249" t="s">
        <v>1777</v>
      </c>
      <c r="AJ323" s="1289"/>
    </row>
    <row r="324" spans="1:60" ht="15" customHeight="1" x14ac:dyDescent="0.25">
      <c r="A324" s="1271" t="s">
        <v>1298</v>
      </c>
      <c r="B324" s="2383" t="str">
        <f>IFERROR(IF(ISBLANK(B17),"",B17),"")</f>
        <v>Electricity</v>
      </c>
      <c r="C324" s="3126" t="str">
        <f>IFERROR(IF(ISBLANK($B324),"",VLOOKUP($B324,PO_Enrgy_1_Table,MATCH($C$16,PO_Enrgy_1_Hdr,0),FALSE) ),"")</f>
        <v>kWh</v>
      </c>
      <c r="D324" s="3127" t="e">
        <f>IF(C324="","",VLOOKUP(C324,ProjectEnergyTypeTable,3,FALSE))</f>
        <v>#NAME?</v>
      </c>
      <c r="E324" s="1414">
        <f>IFERROR(VLOOKUP($B324,PO_Enrgy_13_Table,MATCH($E$291,PO_Enrgy_13_Hdr,0),FALSE),"")</f>
        <v>399626</v>
      </c>
      <c r="F324" s="1414">
        <f>IFERROR(E324*$R324,"")</f>
        <v>4281.4650836800001</v>
      </c>
      <c r="G324" s="1434">
        <f>IFERROR(VLOOKUP($B324,PO_Enrgy_13_Table,MATCH($G$291,PO_Enrgy_13_Hdr,0),FALSE),"")</f>
        <v>30841</v>
      </c>
      <c r="H324" s="1414">
        <f ca="1">IFERROR(VLOOKUP($B324,PO_Enrgy_14_Table,MATCH($H$291,PO_Enrgy_14_Hdr,0),FALSE),"")</f>
        <v>361804</v>
      </c>
      <c r="I324" s="1414">
        <f ca="1">IFERROR(H324*$R324,"")</f>
        <v>3876.2522787200005</v>
      </c>
      <c r="J324" s="1414">
        <f ca="1">IFERROR(VLOOKUP($B324,PO_Enrgy_14_Table,MATCH($J$291,PO_Enrgy_14_Hdr,0),FALSE),"")</f>
        <v>27859</v>
      </c>
      <c r="K324" s="3133">
        <f ca="1">IFERROR(1-H324/E324,"")</f>
        <v>9.4643491664706536E-2</v>
      </c>
      <c r="L324" s="3134"/>
      <c r="M324" s="2384">
        <f ca="1">IFERROR(1-J324/G324,"")</f>
        <v>9.6689471807010152E-2</v>
      </c>
      <c r="N324" s="650"/>
      <c r="O324" s="650"/>
      <c r="P324" s="650"/>
      <c r="Q324" s="1549">
        <f>IFERROR(IF(ISBLANK($B324),"",VLOOKUP($B324,PO_Enrgy_1_Table,MATCH($K$16,PO_Enrgy_1_Hdr,0),FALSE)),"")</f>
        <v>3.4120000000000001E-3</v>
      </c>
      <c r="R324" s="1549">
        <f>IFERROR(IF(ISBLANK($B324),"",VLOOKUP($B324,PO_Enrgy_1_Table,MATCH($M$16,PO_Enrgy_1_Hdr,0),FALSE)),"")</f>
        <v>1.0713680000000001E-2</v>
      </c>
      <c r="S324" s="564"/>
      <c r="T324" s="564"/>
      <c r="AH324" s="615"/>
      <c r="AI324" s="615"/>
      <c r="AJ324" s="16"/>
      <c r="AL324" s="619"/>
      <c r="AM324" s="620"/>
      <c r="BC324" s="2292"/>
    </row>
    <row r="325" spans="1:60" ht="15" customHeight="1" x14ac:dyDescent="0.25">
      <c r="A325" s="1271" t="s">
        <v>1298</v>
      </c>
      <c r="B325" s="2383" t="str">
        <f>IFERROR(IF(ISBLANK(B18),"",B18),"")</f>
        <v>District Steam</v>
      </c>
      <c r="C325" s="3126" t="str">
        <f>IFERROR(IF(ISBLANK($B325),"",VLOOKUP($B325,PO_Enrgy_1_Table,MATCH($C$16,PO_Enrgy_1_Hdr,0),FALSE) ),"")</f>
        <v>therm</v>
      </c>
      <c r="D325" s="3127" t="e">
        <f>IF(C325="","",VLOOKUP(C325,ProjectEnergyTypeTable,3,FALSE))</f>
        <v>#NAME?</v>
      </c>
      <c r="E325" s="1414">
        <f>IFERROR(VLOOKUP($B325,PO_Enrgy_13_Table,MATCH($E$291,PO_Enrgy_13_Hdr,0),FALSE),"")</f>
        <v>1579</v>
      </c>
      <c r="F325" s="1414">
        <f>IFERROR(E325*$R325,"")</f>
        <v>189.48</v>
      </c>
      <c r="G325" s="1434">
        <f>IFERROR(VLOOKUP($B325,PO_Enrgy_13_Table,MATCH($G$291,PO_Enrgy_13_Hdr,0),FALSE),"")</f>
        <v>1381</v>
      </c>
      <c r="H325" s="1414">
        <f>IFERROR(VLOOKUP($B325,PO_Enrgy_14_Table,MATCH($H$291,PO_Enrgy_14_Hdr,0),FALSE),"")</f>
        <v>1016</v>
      </c>
      <c r="I325" s="1414">
        <f>IFERROR(H325*$R325,"")</f>
        <v>121.92</v>
      </c>
      <c r="J325" s="1414">
        <f>IFERROR(VLOOKUP($B325,PO_Enrgy_14_Table,MATCH($J$291,PO_Enrgy_14_Hdr,0),FALSE),"")</f>
        <v>929</v>
      </c>
      <c r="K325" s="3133">
        <f>IFERROR(1-H325/E325,"")</f>
        <v>0.35655478150728304</v>
      </c>
      <c r="L325" s="3134"/>
      <c r="M325" s="2384">
        <f>IFERROR(1-J325/G325,"")</f>
        <v>0.3272990586531499</v>
      </c>
      <c r="N325" s="650"/>
      <c r="O325" s="650"/>
      <c r="P325" s="650"/>
      <c r="Q325" s="1549">
        <f>IFERROR(IF(ISBLANK($B325),"",VLOOKUP($B325,PO_Enrgy_1_Table,MATCH($K$16,PO_Enrgy_1_Hdr,0),FALSE)),"")</f>
        <v>0.1</v>
      </c>
      <c r="R325" s="1549">
        <f>IFERROR(IF(ISBLANK($B325),"",VLOOKUP($B325,PO_Enrgy_1_Table,MATCH($M$16,PO_Enrgy_1_Hdr,0),FALSE)),"")</f>
        <v>0.12</v>
      </c>
      <c r="S325" s="564"/>
      <c r="T325" s="564"/>
      <c r="AH325" s="615"/>
      <c r="AI325" s="615"/>
      <c r="AJ325" s="16"/>
      <c r="AL325" s="619"/>
      <c r="AM325" s="620"/>
      <c r="BC325" s="2292"/>
    </row>
    <row r="326" spans="1:60" ht="15" customHeight="1" x14ac:dyDescent="0.25">
      <c r="A326" s="1271" t="s">
        <v>1298</v>
      </c>
      <c r="B326" s="2383" t="str">
        <f>IFERROR(IF(ISBLANK(B19),"",B19),"")</f>
        <v>District Cooling</v>
      </c>
      <c r="C326" s="3126" t="str">
        <f>IFERROR(IF(ISBLANK($B326),"",VLOOKUP($B326,PO_Enrgy_1_Table,MATCH($C$16,PO_Enrgy_1_Hdr,0),FALSE) ),"")</f>
        <v>therm</v>
      </c>
      <c r="D326" s="3127" t="e">
        <f>IF(C326="","",VLOOKUP(C326,ProjectEnergyTypeTable,3,FALSE))</f>
        <v>#NAME?</v>
      </c>
      <c r="E326" s="1414">
        <f>IFERROR(VLOOKUP($B326,PO_Enrgy_13_Table,MATCH($E$291,PO_Enrgy_13_Hdr,0),FALSE),"")</f>
        <v>30143</v>
      </c>
      <c r="F326" s="1414">
        <f>IFERROR(E326*$R326,"")</f>
        <v>3014.3</v>
      </c>
      <c r="G326" s="1434">
        <f>IFERROR(VLOOKUP($B326,PO_Enrgy_13_Table,MATCH($G$291,PO_Enrgy_13_Hdr,0),FALSE),"")</f>
        <v>26920</v>
      </c>
      <c r="H326" s="1414">
        <f>IFERROR(VLOOKUP($B326,PO_Enrgy_14_Table,MATCH($H$291,PO_Enrgy_14_Hdr,0),FALSE),"")</f>
        <v>27282</v>
      </c>
      <c r="I326" s="1414">
        <f>IFERROR(H326*$R326,"")</f>
        <v>2728.2000000000003</v>
      </c>
      <c r="J326" s="1414">
        <f>IFERROR(VLOOKUP($B326,PO_Enrgy_14_Table,MATCH($J$291,PO_Enrgy_14_Hdr,0),FALSE),"")</f>
        <v>24213</v>
      </c>
      <c r="K326" s="3133">
        <f>IFERROR(1-H326/E326,"")</f>
        <v>9.4914242112596581E-2</v>
      </c>
      <c r="L326" s="3134"/>
      <c r="M326" s="2384">
        <f>IFERROR(1-J326/G326,"")</f>
        <v>0.10055720653789002</v>
      </c>
      <c r="N326" s="650"/>
      <c r="O326" s="650"/>
      <c r="P326" s="650"/>
      <c r="Q326" s="1549">
        <f>IFERROR(IF(ISBLANK($B326),"",VLOOKUP($B326,PO_Enrgy_1_Table,MATCH($K$16,PO_Enrgy_1_Hdr,0),FALSE)),"")</f>
        <v>0.1</v>
      </c>
      <c r="R326" s="1549">
        <f>IFERROR(IF(ISBLANK($B326),"",VLOOKUP($B326,PO_Enrgy_1_Table,MATCH($M$16,PO_Enrgy_1_Hdr,0),FALSE)),"")</f>
        <v>0.1</v>
      </c>
      <c r="S326" s="564"/>
      <c r="T326" s="564"/>
      <c r="AH326" s="615"/>
      <c r="AI326" s="615"/>
      <c r="AJ326" s="16"/>
      <c r="AL326" s="619"/>
      <c r="AM326" s="620"/>
      <c r="BC326" s="2292"/>
    </row>
    <row r="327" spans="1:60" ht="21" customHeight="1" x14ac:dyDescent="0.25">
      <c r="A327" s="1271" t="s">
        <v>1298</v>
      </c>
      <c r="B327" s="3161" t="s">
        <v>147</v>
      </c>
      <c r="C327" s="3162"/>
      <c r="D327" s="3162"/>
      <c r="E327" s="1406">
        <f>IFERROR(SUMPRODUCT(INDEX(PO_Enrgy_16_Table,0,MATCH(E$323,PO_Enrgy_16_Hdr,0)),INDEX(PO_Enrgy_16_Table,0,MATCH($Q$323,PO_Enrgy_16_Hdr,0))),"")</f>
        <v>4535.7239120000004</v>
      </c>
      <c r="F327" s="1384">
        <f>IFERROR(SUM(INDEX(PO_Enrgy_16_Table,0,MATCH(F$323,PO_Enrgy_16_Hdr,0))),"")</f>
        <v>7485.2450836799999</v>
      </c>
      <c r="G327" s="1398">
        <f>IFERROR(SUM(INDEX(PO_Enrgy_16_Table,0,MATCH(G$323,PO_Enrgy_16_Hdr,0))),"")</f>
        <v>59142</v>
      </c>
      <c r="H327" s="1406">
        <f ca="1">IFERROR(SUMPRODUCT(INDEX(PO_Enrgy_16_Table,0,MATCH(H$323,PO_Enrgy_16_Hdr,0)),INDEX(PO_Enrgy_16_Table,0,MATCH($Q$323,PO_Enrgy_16_Hdr,0))),"")</f>
        <v>4064.2752479999999</v>
      </c>
      <c r="I327" s="1384">
        <f ca="1">IFERROR(SUM(INDEX(PO_Enrgy_16_Table,0,MATCH(I$323,PO_Enrgy_16_Hdr,0))),"")</f>
        <v>6726.3722787200004</v>
      </c>
      <c r="J327" s="1398">
        <f ca="1">IFERROR(SUM(INDEX(PO_Enrgy_16_Table,0,MATCH(J$323,PO_Enrgy_16_Hdr,0))),"")</f>
        <v>53001</v>
      </c>
      <c r="K327" s="3163">
        <f ca="1">IFERROR(1-H327/E327,"")</f>
        <v>0.10394121713464655</v>
      </c>
      <c r="L327" s="3164"/>
      <c r="M327" s="1386">
        <f ca="1">IFERROR(1-J327/G327,"")</f>
        <v>0.10383483818606065</v>
      </c>
      <c r="N327" s="650"/>
      <c r="O327" s="650"/>
      <c r="P327" s="650"/>
      <c r="S327" s="564"/>
      <c r="T327" s="564"/>
      <c r="AJ327" s="16"/>
      <c r="BC327" s="2292"/>
    </row>
    <row r="328" spans="1:60" ht="21" customHeight="1" x14ac:dyDescent="0.25">
      <c r="A328" s="1271" t="s">
        <v>1298</v>
      </c>
      <c r="B328" s="3154" t="s">
        <v>1282</v>
      </c>
      <c r="C328" s="3155"/>
      <c r="D328" s="3155"/>
      <c r="E328" s="3155"/>
      <c r="F328" s="3155"/>
      <c r="G328" s="3156"/>
      <c r="H328" s="3156"/>
      <c r="I328" s="3156"/>
      <c r="J328" s="3156"/>
      <c r="K328" s="3157"/>
      <c r="L328" s="3157"/>
      <c r="M328" s="1419">
        <f ca="1">$M$327</f>
        <v>0.10383483818606065</v>
      </c>
      <c r="N328" s="650"/>
      <c r="O328" s="650"/>
      <c r="P328" s="650"/>
      <c r="AJ328" s="16"/>
      <c r="BC328" s="2292"/>
    </row>
    <row r="329" spans="1:60" s="564" customFormat="1" ht="33" customHeight="1" x14ac:dyDescent="0.25">
      <c r="A329" s="1271" t="s">
        <v>1298</v>
      </c>
      <c r="B329" s="650"/>
      <c r="C329" s="784"/>
      <c r="D329" s="784"/>
      <c r="E329" s="850"/>
      <c r="F329" s="603"/>
      <c r="G329" s="602"/>
      <c r="H329" s="603"/>
      <c r="I329" s="602"/>
      <c r="J329" s="656"/>
      <c r="K329" s="650"/>
      <c r="L329" s="650"/>
      <c r="M329" s="650"/>
      <c r="N329" s="650"/>
      <c r="O329" s="650"/>
      <c r="P329" s="650"/>
      <c r="AJ329" s="16"/>
    </row>
    <row r="330" spans="1:60" s="887" customFormat="1" ht="21.75" customHeight="1" x14ac:dyDescent="0.25">
      <c r="A330" s="1271" t="s">
        <v>1298</v>
      </c>
      <c r="B330" s="1081" t="s">
        <v>1120</v>
      </c>
      <c r="E330" s="475"/>
      <c r="H330" s="33"/>
      <c r="I330" s="33"/>
      <c r="J330" s="33"/>
      <c r="M330" s="33"/>
      <c r="N330" s="33"/>
      <c r="O330" s="33"/>
      <c r="T330" s="118"/>
      <c r="U330" s="118"/>
      <c r="V330" s="118"/>
      <c r="W330" s="118"/>
      <c r="X330" s="118"/>
      <c r="Y330" s="118"/>
      <c r="Z330" s="118"/>
      <c r="AA330" s="118"/>
      <c r="AD330" s="118"/>
      <c r="AE330" s="118"/>
      <c r="AF330" s="118"/>
      <c r="AG330" s="118"/>
      <c r="AH330" s="118"/>
      <c r="AI330" s="118"/>
      <c r="AJ330" s="852"/>
      <c r="AK330" s="118"/>
      <c r="AL330" s="118"/>
      <c r="AM330" s="118"/>
      <c r="AN330" s="118"/>
      <c r="AO330" s="118"/>
      <c r="AP330" s="118"/>
      <c r="AQ330" s="118"/>
      <c r="AR330" s="118"/>
      <c r="AS330" s="118"/>
      <c r="AT330" s="118"/>
      <c r="AU330" s="118"/>
      <c r="AV330" s="118"/>
      <c r="AW330" s="118"/>
      <c r="AX330" s="118"/>
      <c r="AY330" s="118"/>
      <c r="AZ330" s="118"/>
      <c r="BA330" s="118"/>
      <c r="BB330" s="118"/>
      <c r="BC330" s="118"/>
      <c r="BD330" s="118"/>
      <c r="BE330" s="118"/>
      <c r="BF330" s="118"/>
      <c r="BG330" s="118"/>
      <c r="BH330" s="118"/>
    </row>
    <row r="331" spans="1:60" s="887" customFormat="1" ht="21.75" customHeight="1" x14ac:dyDescent="0.25">
      <c r="A331" s="1271"/>
      <c r="B331" s="836" t="s">
        <v>1835</v>
      </c>
      <c r="E331" s="475"/>
      <c r="H331" s="33"/>
      <c r="I331" s="33"/>
      <c r="J331" s="33"/>
      <c r="M331" s="33"/>
      <c r="N331" s="33"/>
      <c r="O331" s="33"/>
      <c r="T331" s="118"/>
      <c r="U331" s="118"/>
      <c r="V331" s="118"/>
      <c r="W331" s="118"/>
      <c r="X331" s="118"/>
      <c r="Y331" s="118"/>
      <c r="Z331" s="118"/>
      <c r="AA331" s="118"/>
      <c r="AD331" s="118"/>
      <c r="AE331" s="118"/>
      <c r="AF331" s="118"/>
      <c r="AG331" s="118"/>
      <c r="AH331" s="118"/>
      <c r="AI331" s="118"/>
      <c r="AJ331" s="852"/>
      <c r="AK331" s="118"/>
      <c r="AL331" s="118"/>
      <c r="AM331" s="118"/>
      <c r="AN331" s="118"/>
      <c r="AO331" s="118"/>
      <c r="AP331" s="118"/>
      <c r="AQ331" s="118"/>
      <c r="AR331" s="118"/>
      <c r="AS331" s="118"/>
      <c r="AT331" s="118"/>
      <c r="AU331" s="118"/>
      <c r="AV331" s="118"/>
      <c r="AW331" s="118"/>
      <c r="AX331" s="118"/>
      <c r="AY331" s="118"/>
      <c r="AZ331" s="118"/>
      <c r="BA331" s="118"/>
      <c r="BB331" s="118"/>
      <c r="BC331" s="118"/>
      <c r="BD331" s="118"/>
      <c r="BE331" s="118"/>
      <c r="BF331" s="118"/>
      <c r="BG331" s="118"/>
      <c r="BH331" s="118"/>
    </row>
    <row r="332" spans="1:60" ht="33" customHeight="1" x14ac:dyDescent="0.25">
      <c r="A332" s="1271" t="s">
        <v>1298</v>
      </c>
      <c r="B332" s="3158" t="s">
        <v>1120</v>
      </c>
      <c r="C332" s="3158"/>
      <c r="D332" s="3158"/>
      <c r="E332" s="3158"/>
      <c r="F332" s="3158" t="s">
        <v>347</v>
      </c>
      <c r="G332" s="3139"/>
      <c r="H332" s="3139"/>
      <c r="I332" s="3158" t="s">
        <v>348</v>
      </c>
      <c r="J332" s="3139"/>
      <c r="K332" s="3139"/>
      <c r="L332" s="3139"/>
      <c r="M332" s="3139"/>
    </row>
    <row r="333" spans="1:60" ht="15" customHeight="1" x14ac:dyDescent="0.25">
      <c r="A333" s="1271" t="s">
        <v>1298</v>
      </c>
      <c r="B333" s="3159" t="s">
        <v>443</v>
      </c>
      <c r="C333" s="3160"/>
      <c r="D333" s="3160"/>
      <c r="E333" s="3160"/>
      <c r="F333" s="3309">
        <v>0</v>
      </c>
      <c r="G333" s="3326"/>
      <c r="H333" s="3326"/>
      <c r="I333" s="3325">
        <v>96</v>
      </c>
      <c r="J333" s="3326"/>
      <c r="K333" s="3326"/>
      <c r="L333" s="3326"/>
      <c r="M333" s="3326"/>
      <c r="BC333" s="2292"/>
    </row>
    <row r="334" spans="1:60" ht="15" customHeight="1" x14ac:dyDescent="0.25">
      <c r="A334" s="1271" t="s">
        <v>1298</v>
      </c>
      <c r="B334" s="3159" t="s">
        <v>442</v>
      </c>
      <c r="C334" s="3160"/>
      <c r="D334" s="3160"/>
      <c r="E334" s="3160"/>
      <c r="F334" s="3309">
        <v>0</v>
      </c>
      <c r="G334" s="3326"/>
      <c r="H334" s="3326"/>
      <c r="I334" s="3325">
        <v>0</v>
      </c>
      <c r="J334" s="3326"/>
      <c r="K334" s="3326"/>
      <c r="L334" s="3326"/>
      <c r="M334" s="3326"/>
      <c r="BC334" s="2292"/>
    </row>
    <row r="335" spans="1:60" ht="18" customHeight="1" x14ac:dyDescent="0.25">
      <c r="A335" s="1271" t="s">
        <v>1298</v>
      </c>
      <c r="B335" s="3118" t="s">
        <v>147</v>
      </c>
      <c r="C335" s="3119"/>
      <c r="D335" s="3119"/>
      <c r="E335" s="3119"/>
      <c r="F335" s="3327">
        <f>IF(ISERROR(F333+F334),0,F333+F334)</f>
        <v>0</v>
      </c>
      <c r="G335" s="2777"/>
      <c r="H335" s="2777"/>
      <c r="I335" s="3327">
        <f>IF(ISERROR(I333+I334),0,I333+I334)</f>
        <v>96</v>
      </c>
      <c r="J335" s="2777"/>
      <c r="K335" s="2777"/>
      <c r="L335" s="2777"/>
      <c r="M335" s="2777"/>
      <c r="BC335" s="2292"/>
    </row>
    <row r="336" spans="1:60" ht="18" customHeight="1" x14ac:dyDescent="0.25">
      <c r="A336" s="1271" t="s">
        <v>1298</v>
      </c>
      <c r="B336" s="3118" t="s">
        <v>441</v>
      </c>
      <c r="C336" s="3119"/>
      <c r="D336" s="3119"/>
      <c r="E336" s="3119"/>
      <c r="F336" s="3323" t="str">
        <f>IF(ISERROR(OR(F333+F334,I333+I334)),"Enter numbers only",
     IF(OR(F335&gt;300,I335&gt;300),"No","Yes"))</f>
        <v>Yes</v>
      </c>
      <c r="G336" s="3199"/>
      <c r="H336" s="3199"/>
      <c r="I336" s="3324"/>
      <c r="J336" s="3324"/>
      <c r="K336" s="3324"/>
      <c r="L336" s="3324"/>
      <c r="M336" s="3324"/>
      <c r="BC336" s="2292"/>
    </row>
    <row r="337" spans="2:13" ht="33" customHeight="1" x14ac:dyDescent="0.25">
      <c r="C337" s="3152" t="str">
        <f>IF(ISERROR(F335+I335),"",IF(OR(I335&gt;300,F335&gt;300),"Revise the model so that the unmet load hours for both the baseline and proposed case are 300 hours or less",""))</f>
        <v/>
      </c>
      <c r="D337" s="3153"/>
      <c r="E337" s="3153"/>
      <c r="F337" s="3153"/>
      <c r="G337" s="3153"/>
      <c r="H337" s="628"/>
    </row>
    <row r="338" spans="2:13" ht="30" customHeight="1" x14ac:dyDescent="0.25">
      <c r="B338" s="1996" t="s">
        <v>808</v>
      </c>
    </row>
    <row r="339" spans="2:13" ht="15" customHeight="1" x14ac:dyDescent="0.25">
      <c r="B339" s="3331" t="str">
        <f>IF(MultipleBuildingsExist="No","General information","Multiple Building Details")</f>
        <v>General information</v>
      </c>
      <c r="C339" s="2056" t="str">
        <f>"Total Area "&amp;IF(SI_IP_Units="IP","(sq ft)","(sq m)")</f>
        <v>Total Area (sq ft)</v>
      </c>
      <c r="D339" s="2024"/>
      <c r="E339" s="2024"/>
      <c r="F339" s="2024"/>
      <c r="G339" s="2024"/>
      <c r="H339" s="2024"/>
      <c r="I339" s="2024"/>
      <c r="J339" s="2024"/>
      <c r="K339" s="2024"/>
      <c r="L339" s="2024"/>
      <c r="M339" s="2025"/>
    </row>
    <row r="340" spans="2:13" x14ac:dyDescent="0.25">
      <c r="B340" s="3332"/>
      <c r="C340" s="2057">
        <f ca="1">IFERROR(IF(MultipleBuildingsExist="No",
GI_BldgArea,
SUMIF(MBD_BS_Index,$H$5,OFFSET(MBD_BS_Index,0,MATCH('Multiple Buildings Details'!$G$22,MBD_BS_Hdr,0)-1,1,1))+SUMIF(MBD_BS_Index,$H$5,OFFSET(MBD_BS_Index,0,MATCH('Multiple Buildings Details'!$H$22,MBD_BS_Hdr,0)-1,1,1))),"")</f>
        <v>34856</v>
      </c>
      <c r="D340" s="2027"/>
      <c r="E340" s="2027"/>
      <c r="F340" s="2027"/>
      <c r="G340" s="2027"/>
      <c r="H340" s="2027"/>
      <c r="I340" s="2027"/>
      <c r="J340" s="2027"/>
      <c r="K340" s="2027"/>
      <c r="L340" s="2027"/>
      <c r="M340" s="2028"/>
    </row>
    <row r="341" spans="2:13" ht="42" customHeight="1" x14ac:dyDescent="0.25">
      <c r="B341" s="3331" t="s">
        <v>301</v>
      </c>
      <c r="C341" s="2055" t="str">
        <f>"Total Area "&amp;IF(SI_IP_Units="IP","(sq ft)","(sq m)")</f>
        <v>Total Area (sq ft)</v>
      </c>
      <c r="D341" s="2021" t="s">
        <v>1861</v>
      </c>
      <c r="E341" s="2021"/>
      <c r="F341" s="2020" t="s">
        <v>1860</v>
      </c>
      <c r="G341" s="2020" t="s">
        <v>2020</v>
      </c>
      <c r="H341" s="2020" t="s">
        <v>2021</v>
      </c>
      <c r="I341" s="2020" t="s">
        <v>2022</v>
      </c>
      <c r="J341" s="2020" t="s">
        <v>2023</v>
      </c>
      <c r="K341" s="2023"/>
      <c r="L341" s="2029"/>
      <c r="M341" s="2025"/>
    </row>
    <row r="342" spans="2:13" x14ac:dyDescent="0.25">
      <c r="B342" s="3332"/>
      <c r="C342" s="2045">
        <f ca="1">IFERROR(IF(L_LPDmethod=1,SUMIF(L_BAMInput_Index,$H$5,OFFSET(L_BAMInput_Index,0,MATCH(Lighting!$D$31,Lighting_Residential_Hdr,0)-1)),SUMIF(L_SxSInput_Index,$H$5,OFFSET(L_SxSInput_Index,0,MATCH(Lighting!$D$56,Lighting_SxS_Residential_Hdr,0)-1))),"")</f>
        <v>34856</v>
      </c>
      <c r="D342" s="2013">
        <f ca="1">IFERROR(OFFSET(L_IL_SumTable,MATCH($H$5,L_IL_SumIndex,0)-1,MATCH(Lighting!$L$97,L_IL_SumHdr,0)-1,1,1),"")</f>
        <v>31.3704</v>
      </c>
      <c r="E342" s="2014"/>
      <c r="F342" s="2052">
        <f ca="1">IFERROR(OFFSET(L_IL_SumTable,MATCH($H$5,L_IL_SumIndex,0)-1,MATCH(Lighting!$O$97,L_IL_SumHdr,0)-1,1,1),"")</f>
        <v>22.656400000000001</v>
      </c>
      <c r="G342" s="2053">
        <f ca="1">IFERROR(OFFSET(L_ExtSum_Table,1,MATCH(Lighting!$J$147,L_ExtSum_Hdr,0)-1,1,1),"")</f>
        <v>1.6188</v>
      </c>
      <c r="H342" s="2008">
        <f ca="1">IFERROR(OFFSET(L_ExtSum_Table,1,MATCH(Lighting!$M$147,L_ExtSum_Hdr,0)-1,1,1),"")</f>
        <v>0.42599999999999999</v>
      </c>
      <c r="I342" s="2008">
        <f ca="1">IFERROR(OFFSET(L_LtgZone_Table,1,MATCH(Lighting!$M$115,L_LtgZone_Hdr,0)-1,1,1)+OFFSET(L_NTSurface_Table,MATCH(Lighting!$B$143,L_NTSurface_Index,0)-1,MATCH(Lighting!$J$136,L_NTSurface_Hdr,0)-1,1,1),"")</f>
        <v>750</v>
      </c>
      <c r="J342" s="2054">
        <f ca="1">IFERROR(OFFSET(L_NTSurface_Table,MATCH(Lighting!$B$143,L_NTSurface_Index,0)-1,MATCH(Lighting!$M$136,L_NTSurface_Hdr,0)-1,1,1),"")</f>
        <v>0</v>
      </c>
      <c r="K342" s="2026"/>
      <c r="L342" s="2027"/>
      <c r="M342" s="2028"/>
    </row>
    <row r="343" spans="2:13" ht="15" customHeight="1" x14ac:dyDescent="0.25">
      <c r="B343" s="3331" t="s">
        <v>1032</v>
      </c>
      <c r="C343" s="2046" t="s">
        <v>1854</v>
      </c>
      <c r="D343" s="1998" t="s">
        <v>1855</v>
      </c>
      <c r="E343" s="1998"/>
      <c r="F343" s="2030" t="s">
        <v>2006</v>
      </c>
      <c r="G343" s="2023"/>
      <c r="H343" s="2024"/>
      <c r="I343" s="2024"/>
      <c r="J343" s="2024"/>
      <c r="K343" s="2024"/>
      <c r="L343" s="2024"/>
      <c r="M343" s="2025"/>
    </row>
    <row r="344" spans="2:13" x14ac:dyDescent="0.25">
      <c r="B344" s="3332"/>
      <c r="C344" s="2047">
        <f ca="1">IFERROR(SUMIF('Shading and Fenestration'!O:O,$H$5,'Shading and Fenestration'!P:P),"")</f>
        <v>0</v>
      </c>
      <c r="D344" s="2006" t="b">
        <f ca="1">IF(IFERROR(COUNTIFS('Shading and Fenestration'!O:O,$H$5,'Shading and Fenestration'!Q:Q,TRUE),"")&gt;0,TRUE,FALSE)</f>
        <v>0</v>
      </c>
      <c r="E344" s="2014"/>
      <c r="F344" s="2005" t="str">
        <f ca="1">IFERROR(OFFSET('Shading and Fenestration'!O:Q,MATCH(CONCATENATE($H$5, " zones"),'Shading and Fenestration'!O:O,0)-1,1,1,1),"")</f>
        <v/>
      </c>
      <c r="G344" s="2026"/>
      <c r="H344" s="2027"/>
      <c r="I344" s="2027"/>
      <c r="J344" s="2027"/>
      <c r="K344" s="2027"/>
      <c r="L344" s="2027"/>
      <c r="M344" s="2028"/>
    </row>
    <row r="345" spans="2:13" ht="42.75" customHeight="1" x14ac:dyDescent="0.25">
      <c r="B345" s="3331" t="s">
        <v>2019</v>
      </c>
      <c r="C345" s="2048" t="s">
        <v>1856</v>
      </c>
      <c r="D345" s="2021" t="s">
        <v>1857</v>
      </c>
      <c r="E345" s="2021"/>
      <c r="F345" s="2020" t="s">
        <v>1861</v>
      </c>
      <c r="G345" s="2020" t="s">
        <v>1860</v>
      </c>
      <c r="H345" s="2020" t="s">
        <v>2024</v>
      </c>
      <c r="I345" s="2020" t="s">
        <v>2025</v>
      </c>
      <c r="J345" s="2020" t="s">
        <v>2026</v>
      </c>
      <c r="K345" s="2021" t="s">
        <v>1862</v>
      </c>
      <c r="L345" s="2021"/>
      <c r="M345" s="2031"/>
    </row>
    <row r="346" spans="2:13" x14ac:dyDescent="0.25">
      <c r="B346" s="3333"/>
      <c r="C346" s="2049">
        <f ca="1">IFERROR(MAX(OFFSET(PO_design_table,MATCH($B$171,PO_design_index,0)-2,MATCH($S$170,PO_design_hdr,0)-1,1,1)),"")</f>
        <v>3317.4903474903481</v>
      </c>
      <c r="D346" s="2001">
        <f ca="1">IFERROR(MAX(OFFSET(PO_design_table,MATCH($B$171,PO_design_index,0)-2,MATCH($T$170,PO_design_hdr,0)-1,1,1)),"")</f>
        <v>3312.4999999999995</v>
      </c>
      <c r="E346" s="2000"/>
      <c r="F346" s="1997">
        <f ca="1">IFERROR(MAX(OFFSET(PO_design_table,MATCH($B$171,PO_design_index,0)-1,MATCH($G$170,PO_design_hdr,0)-1,1,1)),"")</f>
        <v>25.9</v>
      </c>
      <c r="G346" s="1997">
        <f ca="1">IFERROR(MAX(OFFSET(PO_design_table,MATCH($B$171,PO_design_index,0)-1,MATCH($H$170,PO_design_hdr,0)-1,1,1)),"")</f>
        <v>18.8</v>
      </c>
      <c r="H346" s="1997">
        <f ca="1">IFERROR(MAX(OFFSET(PO_design_table,MATCH($B$173,PO_design_index,0)-2,MATCH($G$170,PO_design_hdr,0)-1,1,1)),"")</f>
        <v>4123</v>
      </c>
      <c r="I346" s="1997">
        <f ca="1">IFERROR(MAX(OFFSET(PO_design_table,MATCH($B$173,PO_design_index,0)-2,MATCH($H$170,PO_design_hdr,0)-1,1,1)),"")</f>
        <v>2021</v>
      </c>
      <c r="J346" s="1997">
        <f ca="1">IFERROR(MAX(OFFSET(PO_design_table,MATCH($B$173,PO_design_index,0)-2,MATCH($S$170,PO_design_hdr,0)-1,1,1)),"")</f>
        <v>4744.5339470655927</v>
      </c>
      <c r="K346" s="2000">
        <f ca="1">IFERROR(MAX(OFFSET(PO_design_table,MATCH($B$173,PO_design_index,0)-2,MATCH($T$170,PO_design_hdr,0)-1,1,1)),"")</f>
        <v>4744.1314553990615</v>
      </c>
      <c r="L346" s="2006"/>
      <c r="M346" s="2032"/>
    </row>
    <row r="347" spans="2:13" ht="38.25" x14ac:dyDescent="0.25">
      <c r="B347" s="3333"/>
      <c r="C347" s="2044" t="s">
        <v>2020</v>
      </c>
      <c r="D347" s="2021" t="s">
        <v>2021</v>
      </c>
      <c r="E347" s="2021"/>
      <c r="F347" s="2020" t="s">
        <v>2027</v>
      </c>
      <c r="G347" s="2020" t="s">
        <v>2028</v>
      </c>
      <c r="H347" s="2020" t="s">
        <v>2029</v>
      </c>
      <c r="I347" s="2020" t="s">
        <v>2030</v>
      </c>
      <c r="J347" s="2020" t="s">
        <v>2031</v>
      </c>
      <c r="K347" s="2021" t="s">
        <v>2032</v>
      </c>
      <c r="L347" s="2021"/>
      <c r="M347" s="2020" t="s">
        <v>1875</v>
      </c>
    </row>
    <row r="348" spans="2:13" x14ac:dyDescent="0.25">
      <c r="B348" s="3333"/>
      <c r="C348" s="2045">
        <f ca="1">IFERROR(MAX(OFFSET(PO_design_table,MATCH($B$173,PO_design_index,0)-1,MATCH($G$170,PO_design_hdr,0)-1,1,1)),"")</f>
        <v>0.86899999999999999</v>
      </c>
      <c r="D348" s="2000">
        <f ca="1">IFERROR(MAX(OFFSET(PO_design_table,MATCH($B$173,PO_design_index,0)-1,MATCH($H$170,PO_design_hdr,0)-1,1,1)),"")</f>
        <v>0.42599999999999999</v>
      </c>
      <c r="E348" s="2000"/>
      <c r="F348" s="1997">
        <f ca="1">IFERROR((OFFSET(PO_design_table,MATCH($B$189,PO_design_index,0)-2,MATCH($G$170,PO_design_hdr,0)-1,1,1)*OFFSET(PO_design_table,MATCH($B$189,PO_design_index,0)-2,MATCH($Q$170,PO_design_hdr,0)-1,1,1))/OFFSET(PO_ModelSubtotal,0,4,1,1),"")</f>
        <v>0.13132410868838615</v>
      </c>
      <c r="G348" s="1997">
        <f ca="1">IFERROR((OFFSET(PO_design_table,MATCH($B$189,PO_design_index,0)-2,MATCH($H$170,PO_design_hdr,0)-1,1,1)*OFFSET(PO_design_table,MATCH($B$189,PO_design_index,0)-2,MATCH($Q$170,PO_design_hdr,0)-1,1,1))/OFFSET(PO_ModelSubtotal,0,7,1,1),"")</f>
        <v>0.14655747055840151</v>
      </c>
      <c r="H348" s="1997"/>
      <c r="I348" s="1997">
        <f ca="1">IFERROR((OFFSET(PO_design_table,MATCH($B$187,PO_design_index,0)-2,MATCH($G$170,PO_design_hdr,0)-1,1,1)*OFFSET(PO_design_table,MATCH($B$187,PO_design_index,0)-2,MATCH($Q$170,PO_design_hdr,0)-1,1,1))/OFFSET(PO_ModelSubtotal,0,4,1,1),"")</f>
        <v>0</v>
      </c>
      <c r="J348" s="1997" t="str">
        <f ca="1">IFERROR((OFFSET(PO_design_table,MATCH($B$187,PO_design_index,0)-2,MATCH($H$170,PO_design_hdr,0)-1,1,1)*OFFSET(PO_design_table,MATCH($B$187,PO_design_index,0)-2,MATCH($Q$170,PO_design_hdr,0)-1,1,1))/OFFSET(PO_ModelSubtotal,0,7,1,1),"")</f>
        <v/>
      </c>
      <c r="K348" s="2000">
        <f ca="1">IFERROR(MAX(OFFSET(PO_design_table,MATCH($B$179,PO_design_index,0)-2,MATCH($G$170,PO_design_hdr,0)-1,1,1)),"")</f>
        <v>6745</v>
      </c>
      <c r="L348" s="2000"/>
      <c r="M348" s="2002">
        <f ca="1">IFERROR(MAX(OFFSET(PO_design_table,MATCH($B$183,PO_design_index,0)-2,MATCH($S$170,PO_design_hdr,0)-1,1,1)),"")</f>
        <v>2397.6011560693642</v>
      </c>
    </row>
    <row r="349" spans="2:13" ht="38.25" x14ac:dyDescent="0.25">
      <c r="B349" s="3333"/>
      <c r="C349" s="2044" t="s">
        <v>1876</v>
      </c>
      <c r="D349" s="2021" t="s">
        <v>1877</v>
      </c>
      <c r="E349" s="2021"/>
      <c r="F349" s="2020" t="s">
        <v>1878</v>
      </c>
      <c r="G349" s="2020" t="s">
        <v>1881</v>
      </c>
      <c r="H349" s="2020" t="s">
        <v>2033</v>
      </c>
      <c r="I349" s="2020" t="s">
        <v>2034</v>
      </c>
      <c r="J349" s="2020" t="s">
        <v>2035</v>
      </c>
      <c r="K349" s="2021" t="s">
        <v>2036</v>
      </c>
      <c r="L349" s="2021"/>
      <c r="M349" s="2020" t="s">
        <v>2037</v>
      </c>
    </row>
    <row r="350" spans="2:13" x14ac:dyDescent="0.25">
      <c r="B350" s="3332"/>
      <c r="C350" s="2045">
        <f ca="1">IFERROR(IFERROR(MAX(OFFSET(PO_design_table,MATCH($B$183,PO_design_index,0)-2,MATCH($T$170,PO_design_hdr,0)-1,1,1)),""),"")</f>
        <v>2026.9800569800568</v>
      </c>
      <c r="D350" s="2000">
        <f ca="1">IFERROR(IFERROR(MAX(OFFSET(PO_design_table,MATCH($B$183,PO_design_index,0)-1,MATCH($G$170,PO_design_hdr,0)-1,1,1)),""),"")</f>
        <v>34.6</v>
      </c>
      <c r="E350" s="2000"/>
      <c r="F350" s="2008">
        <f ca="1">IFERROR(IFERROR(MAX(OFFSET(PO_design_table,MATCH($B$183,PO_design_index,0)-1,MATCH($H$170,PO_design_hdr,0)-1,1,1)),""),"")</f>
        <v>35.1</v>
      </c>
      <c r="G350" s="2008" t="str">
        <f ca="1">IFERROR(MAX(IFERROR(OFFSET(PO_renewable_table,MATCH("Photovoltaic system",PO_renewable_Index,0)-2,MATCH($S$32,PO_renewable_hdr,0)-1,1,1),0),
IFERROR(OFFSET(PO_renewable_table,MATCH("Solar thermal system",PO_renewable_Index,0)-2,MATCH($S$32,PO_renewable_hdr,0)-1,1,1),0)),"")</f>
        <v/>
      </c>
      <c r="H350" s="2008"/>
      <c r="I350" s="2008">
        <f ca="1">IFERROR(OFFSET(PO_Enrgy_8_Table,MATCH("Electricity",PO_Enrgy_8_Index,0)-2,MATCH($H$232,PO_Enrgy_8_Hdr,0)-1,1,1),"")</f>
        <v>7.7000254281323594E-2</v>
      </c>
      <c r="J350" s="2008" t="str">
        <f ca="1">IFERROR(OFFSET(PO_Enrgy_8_Table,MATCH("Natural Gas",PO_Enrgy_8_Index,0)-2,MATCH($H$232,PO_Enrgy_8_Hdr,0)-1,1,1),"")</f>
        <v/>
      </c>
      <c r="K350" s="2009" t="str">
        <f>IFERROR(GetPerformanceOutputRangeSums("PO_QA_BaseExtLtgDem"),"")</f>
        <v>Error</v>
      </c>
      <c r="L350" s="2009"/>
      <c r="M350" s="2010" t="str">
        <f>IFERROR(GetPerformanceOutputRangeSums("PO_QA_DesignExtLtgDem"),"")</f>
        <v>Error</v>
      </c>
    </row>
    <row r="351" spans="2:13" ht="15" customHeight="1" x14ac:dyDescent="0.25">
      <c r="B351" s="3331" t="s">
        <v>284</v>
      </c>
      <c r="C351" s="2050" t="s">
        <v>1869</v>
      </c>
      <c r="D351" s="2003" t="s">
        <v>1870</v>
      </c>
      <c r="E351" s="2043"/>
      <c r="F351" s="2033"/>
      <c r="G351" s="2034"/>
      <c r="H351" s="2034"/>
      <c r="I351" s="2034"/>
      <c r="J351" s="2034"/>
      <c r="K351" s="2034"/>
      <c r="L351" s="2034"/>
      <c r="M351" s="2035"/>
    </row>
    <row r="352" spans="2:13" x14ac:dyDescent="0.25">
      <c r="B352" s="3332"/>
      <c r="C352" s="2049">
        <f ca="1">COUNTIFS(OFFSET(GHVAC_BHVACST_Index,0,MATCH('General HVAC'!$D$28,GHVAC_BSysType_Hdr,0)-1),"System 2 - PTHP",
OFFSET(GHVAC_BHVACST_Index,0,MATCH('General HVAC'!$B$28,GHVAC_BSysType_Hdr,0)-1),$H$5)+
COUNTIFS(OFFSET(GHVAC_BHVACST_Index,0,MATCH('General HVAC'!$D$28,GHVAC_BSysType_Hdr,0)-1),"System 3 - PSZ-AC",
OFFSET(GHVAC_BHVACST_Index,0,MATCH('General HVAC'!$B$28,GHVAC_BSysType_Hdr,0)-1),$H$5)+
COUNTIFS(OFFSET(GHVAC_BHVACST_Index,0,MATCH('General HVAC'!$D$28,GHVAC_BSysType_Hdr,0)-1),"System 4 - PSZ-HP",
OFFSET(GHVAC_BHVACST_Index,0,MATCH('General HVAC'!$B$28,GHVAC_BSysType_Hdr,0)-1),$H$5)+
COUNTIFS(OFFSET(GHVAC_BHVACST_Index,0,MATCH('General HVAC'!$D$28,GHVAC_BSysType_Hdr,0)-1),"System 6 - Packaged VAV with PFP Boxes",
OFFSET(GHVAC_BHVACST_Index,0,MATCH('General HVAC'!$B$28,GHVAC_BSysType_Hdr,0)-1),$H$5)+
COUNTIFS(OFFSET(GHVAC_BHVACST_Index,0,MATCH('General HVAC'!$D$28,GHVAC_BSysType_Hdr,0)-1),"System 8 - VAV with PFP Boxes",
OFFSET(GHVAC_BHVACST_Index,0,MATCH('General HVAC'!$B$28,GHVAC_BSysType_Hdr,0)-1),$H$5)+
COUNTIFS(OFFSET(GHVAC_BHVACST_Index,0,MATCH('General HVAC'!$D$28,GHVAC_BSysType_Hdr,0)-1),"System 9 - Heating and Ventilation",
OFFSET(GHVAC_BHVACST_Index,0,MATCH('General HVAC'!$B$28,GHVAC_BSysType_Hdr,0)-1),$H$5)+
COUNTIFS(OFFSET(GHVAC_BHVACST_Index,0,MATCH('General HVAC'!$D$28,GHVAC_BSysType_Hdr,0)-1),"System 10 - Heating and Ventilation",
OFFSET(GHVAC_BHVACST_Index,0,MATCH('General HVAC'!$B$28,GHVAC_BSysType_Hdr,0)-1),$H$5)</f>
        <v>0</v>
      </c>
      <c r="D352" s="2001">
        <f ca="1">COUNTIFS(OFFSET(GHVAC_BHVACST_Index,0,MATCH('General HVAC'!$D$28,GHVAC_BSysType_Hdr,0)-1),"System 1 - PTAC",
OFFSET(GHVAC_BHVACST_Index,0,MATCH('General HVAC'!$B$28,GHVAC_BSysType_Hdr,0)-1),$H$5)+
COUNTIFS(OFFSET(GHVAC_BHVACST_Index,0,MATCH('General HVAC'!$D$28,GHVAC_BSysType_Hdr,0)-1),"System 5 - Packaged VAV with Reheat",
OFFSET(GHVAC_BHVACST_Index,0,MATCH('General HVAC'!$B$28,GHVAC_BSysType_Hdr,0)-1),$H$5)+
COUNTIFS(OFFSET(GHVAC_BHVACST_Index,0,MATCH('General HVAC'!$D$28,GHVAC_BSysType_Hdr,0)-1),"System 7 - VAV with Reheat",
OFFSET(GHVAC_BHVACST_Index,0,MATCH('General HVAC'!$B$28,GHVAC_BSysType_Hdr,0)-1),$H$5)</f>
        <v>0</v>
      </c>
      <c r="E352" s="2006"/>
      <c r="F352" s="2036"/>
      <c r="G352" s="2037"/>
      <c r="H352" s="2037"/>
      <c r="I352" s="2037"/>
      <c r="J352" s="2037"/>
      <c r="K352" s="2037"/>
      <c r="L352" s="2037"/>
      <c r="M352" s="2038"/>
    </row>
    <row r="353" spans="2:18" ht="31.5" customHeight="1" x14ac:dyDescent="0.25">
      <c r="B353" s="3331" t="s">
        <v>1043</v>
      </c>
      <c r="C353" s="2044" t="s">
        <v>1873</v>
      </c>
      <c r="D353" s="2021" t="s">
        <v>1874</v>
      </c>
      <c r="E353" s="2021"/>
      <c r="F353" s="2022" t="s">
        <v>1871</v>
      </c>
      <c r="G353" s="2022" t="s">
        <v>1872</v>
      </c>
      <c r="H353" s="2020" t="s">
        <v>2038</v>
      </c>
      <c r="I353" s="2020" t="s">
        <v>2039</v>
      </c>
      <c r="J353" s="2020" t="s">
        <v>2040</v>
      </c>
      <c r="K353" s="2021" t="s">
        <v>2041</v>
      </c>
      <c r="L353" s="2021"/>
      <c r="M353" s="2031"/>
    </row>
    <row r="354" spans="2:18" x14ac:dyDescent="0.25">
      <c r="B354" s="3333"/>
      <c r="C354" s="2045">
        <f>IFERROR(SUMIFS(AHVAC_Base_FanFlow,AHVAC_Base_ID,$H$5),"")</f>
        <v>43172</v>
      </c>
      <c r="D354" s="2000">
        <f>IFERROR(SUMIFS(AHVAC_Design_FanFlow,AHVAC_Design_ID,$H$5),"")</f>
        <v>31660</v>
      </c>
      <c r="E354" s="2000"/>
      <c r="F354" s="2011">
        <f>IFERROR(SUMIFS(AHVAC_Base_FanPower,AHVAC_Base_ID,$H$5),"")</f>
        <v>49.790340430328726</v>
      </c>
      <c r="G354" s="2011">
        <f>IFERROR(SUMIFS(AHVAC_Design_FanPower,AHVAC_Design_ID,$H$5),"")</f>
        <v>41.955999999999996</v>
      </c>
      <c r="H354" s="2008">
        <f>IFERROR(SUMIFS(AHVAC_Base_CoolingCap,AHVAC_Base_ID,$H$5),"")</f>
        <v>125</v>
      </c>
      <c r="I354" s="2008">
        <f>IFERROR(SUMIFS(AHVAC_Design_CoolingCap,AHVAC_Design_ID,$H$5),"")</f>
        <v>97</v>
      </c>
      <c r="J354" s="2008">
        <f>IFERROR(SUMIFS(AHVAC_Base_HeatingCap,AHVAC_Base_ID,$H$5),"")</f>
        <v>702.8</v>
      </c>
      <c r="K354" s="2009">
        <f>IFERROR(SUMIFS(AHVAC_Design_HeatingCap,AHVAC_Design_ID,$H$5),"")</f>
        <v>429.3</v>
      </c>
      <c r="L354" s="2012"/>
      <c r="M354" s="2032"/>
    </row>
    <row r="355" spans="2:18" x14ac:dyDescent="0.25">
      <c r="B355" s="3333"/>
      <c r="C355" s="2046" t="s">
        <v>1879</v>
      </c>
      <c r="D355" s="1999" t="s">
        <v>1880</v>
      </c>
      <c r="E355" s="2043"/>
      <c r="F355" s="2039"/>
      <c r="G355" s="2040"/>
      <c r="H355" s="2034"/>
      <c r="I355" s="2034"/>
      <c r="J355" s="2034"/>
      <c r="K355" s="2034"/>
      <c r="L355" s="2034"/>
      <c r="M355" s="2035"/>
    </row>
    <row r="356" spans="2:18" x14ac:dyDescent="0.25">
      <c r="B356" s="3332"/>
      <c r="C356" s="2051">
        <f>IFERROR(SUMIFS(AHVAC_Base_OAFlow,AHVAC_Base_ID,$H$5),"")</f>
        <v>5900</v>
      </c>
      <c r="D356" s="2004">
        <f>IFERROR(SUMIFS(AHVAC_Design_OAFlow,AHVAC_Design_ID,$H$5),"")</f>
        <v>5900</v>
      </c>
      <c r="E356" s="2007"/>
      <c r="F356" s="2041"/>
      <c r="G356" s="2042"/>
      <c r="H356" s="2037"/>
      <c r="I356" s="2037"/>
      <c r="J356" s="2037"/>
      <c r="K356" s="2037"/>
      <c r="L356" s="2037"/>
      <c r="M356" s="2038"/>
    </row>
    <row r="357" spans="2:18" x14ac:dyDescent="0.25">
      <c r="B357" s="3135" t="s">
        <v>2224</v>
      </c>
      <c r="C357" s="2046" t="s">
        <v>2225</v>
      </c>
      <c r="D357" s="1999" t="s">
        <v>2226</v>
      </c>
      <c r="E357" s="2043"/>
      <c r="F357" s="2355"/>
      <c r="G357" s="2355"/>
      <c r="H357" s="2356"/>
      <c r="I357" s="2356"/>
      <c r="J357" s="2356"/>
      <c r="K357" s="2356"/>
      <c r="L357" s="2356"/>
      <c r="M357" s="2356"/>
    </row>
    <row r="358" spans="2:18" x14ac:dyDescent="0.25">
      <c r="B358" s="3136"/>
      <c r="C358" s="2051">
        <f>IF(SimTool="Trace",SUMIF('Results from Trace'!A7:A21,"&lt;&gt;Total Building Consumption",'Results from Trace'!G7:G21),
IF(SimTool="eQUEST",SUM('Results from eQuest'!$L$12:$W$12)*0.003412+SUM('Results from eQuest'!$AX$12:$BI$12)*0.1,""))</f>
        <v>4551.3999999999996</v>
      </c>
      <c r="D358" s="2004">
        <f>IF(SimTool="Trace",SUMIF('Results from Trace'!A7:A21,"&lt;&gt;Total Building Consumption",'Results from Trace'!H7:H21),
IF(SimTool="eQUEST",SUM('Results from eQuest'!$L$13:$W$13)*0.003412+SUM('Results from eQuest'!$AX$13:$BI$13)*0.1,""))</f>
        <v>4064.5</v>
      </c>
      <c r="E358" s="2007"/>
      <c r="F358" s="2355"/>
      <c r="G358" s="2355"/>
      <c r="H358" s="2356"/>
      <c r="I358" s="2356"/>
      <c r="J358" s="2356"/>
      <c r="K358" s="2356"/>
      <c r="L358" s="2356"/>
      <c r="M358" s="2356"/>
    </row>
    <row r="359" spans="2:18" ht="30" customHeight="1" x14ac:dyDescent="0.25">
      <c r="C359" s="1479"/>
      <c r="D359" s="1480"/>
      <c r="E359" s="1480"/>
    </row>
    <row r="360" spans="2:18" ht="23.25" customHeight="1" x14ac:dyDescent="0.25">
      <c r="B360" s="3113" t="s">
        <v>439</v>
      </c>
      <c r="C360" s="3114"/>
      <c r="D360" s="3114"/>
      <c r="E360" s="3114"/>
      <c r="F360" s="3114"/>
      <c r="G360" s="3114"/>
      <c r="H360" s="3114"/>
      <c r="I360" s="3114" t="s">
        <v>1883</v>
      </c>
      <c r="J360" s="3114"/>
      <c r="K360" s="3114"/>
      <c r="L360" s="3114"/>
      <c r="M360" s="3115"/>
      <c r="Q360" s="1549" t="s">
        <v>1045</v>
      </c>
      <c r="R360" s="1549" t="s">
        <v>1853</v>
      </c>
    </row>
    <row r="361" spans="2:18" ht="25.5" customHeight="1" x14ac:dyDescent="0.25">
      <c r="B361" s="3116" t="str">
        <f>"The total building area reported in the "&amp;IF(MultipleBuildingsExist="No","General Information", "Multiple Building Details")&amp; " tab differs from the total building area reported in the Lighting tab (Interior Lighting section) by more than 10%. Please check for consistency and verify that the building areas reported are accurate."</f>
        <v>The total building area reported in the General Information tab differs from the total building area reported in the Lighting tab (Interior Lighting section) by more than 10%. Please check for consistency and verify that the building areas reported are accurate.</v>
      </c>
      <c r="C361" s="3117"/>
      <c r="D361" s="3117"/>
      <c r="E361" s="3117"/>
      <c r="F361" s="3117"/>
      <c r="G361" s="3117"/>
      <c r="H361" s="3117"/>
      <c r="I361" s="3128"/>
      <c r="J361" s="3128"/>
      <c r="K361" s="3128"/>
      <c r="L361" s="3128"/>
      <c r="M361" s="3129"/>
      <c r="R361" s="1549" t="b">
        <f ca="1">IFERROR(IF(ABS(C340-C342)/MIN(C340,C342)&gt;0.1,TRUE,FALSE),TRUE)</f>
        <v>0</v>
      </c>
    </row>
    <row r="362" spans="2:18" ht="25.5" customHeight="1" x14ac:dyDescent="0.25">
      <c r="B362" s="3116" t="s">
        <v>1838</v>
      </c>
      <c r="C362" s="3117"/>
      <c r="D362" s="3117"/>
      <c r="E362" s="3117"/>
      <c r="F362" s="3117"/>
      <c r="G362" s="3117"/>
      <c r="H362" s="3117"/>
      <c r="I362" s="3128"/>
      <c r="J362" s="3128"/>
      <c r="K362" s="3128"/>
      <c r="L362" s="3128"/>
      <c r="M362" s="3129"/>
      <c r="R362" s="1549" t="b">
        <f ca="1">IFERROR(IF(C344&gt;0.01,TRUE,FALSE),TRUE)</f>
        <v>0</v>
      </c>
    </row>
    <row r="363" spans="2:18" ht="25.5" customHeight="1" x14ac:dyDescent="0.25">
      <c r="B363" s="3116" t="s">
        <v>1311</v>
      </c>
      <c r="C363" s="3117"/>
      <c r="D363" s="3117"/>
      <c r="E363" s="3117"/>
      <c r="F363" s="3117"/>
      <c r="G363" s="3117"/>
      <c r="H363" s="3117"/>
      <c r="I363" s="3128"/>
      <c r="J363" s="3128"/>
      <c r="K363" s="3128"/>
      <c r="L363" s="3128"/>
      <c r="M363" s="3129"/>
      <c r="R363" s="1549" t="b">
        <f ca="1">IFERROR(IF(D344=TRUE,TRUE,FALSE),TRUE)</f>
        <v>0</v>
      </c>
    </row>
    <row r="364" spans="2:18" ht="38.25" customHeight="1" x14ac:dyDescent="0.25">
      <c r="B364" s="3116" t="s">
        <v>1312</v>
      </c>
      <c r="C364" s="3117"/>
      <c r="D364" s="3117"/>
      <c r="E364" s="3117"/>
      <c r="F364" s="3117"/>
      <c r="G364" s="3117"/>
      <c r="H364" s="3117"/>
      <c r="I364" s="3128"/>
      <c r="J364" s="3128"/>
      <c r="K364" s="3128"/>
      <c r="L364" s="3128"/>
      <c r="M364" s="3129"/>
      <c r="R364" s="1549" t="b">
        <f ca="1">IFERROR(IF(OR(C346&gt;4000,D346&gt;4000),TRUE,FALSE),TRUE)</f>
        <v>0</v>
      </c>
    </row>
    <row r="365" spans="2:18" ht="25.5" customHeight="1" x14ac:dyDescent="0.25">
      <c r="B365" s="3116" t="s">
        <v>1313</v>
      </c>
      <c r="C365" s="3117"/>
      <c r="D365" s="3117"/>
      <c r="E365" s="3117"/>
      <c r="F365" s="3117"/>
      <c r="G365" s="3117"/>
      <c r="H365" s="3117"/>
      <c r="I365" s="3128"/>
      <c r="J365" s="3128"/>
      <c r="K365" s="3128"/>
      <c r="L365" s="3128"/>
      <c r="M365" s="3129"/>
      <c r="R365" s="1549" t="b">
        <f ca="1">IFERROR(IF(OR(ABS(C346-D346)/MIN(C346,D346)&gt;0.1,MIN(C346,D346)=0),TRUE,FALSE),TRUE)</f>
        <v>0</v>
      </c>
    </row>
    <row r="366" spans="2:18" ht="38.25" customHeight="1" x14ac:dyDescent="0.25">
      <c r="B366" s="3116" t="s">
        <v>1314</v>
      </c>
      <c r="C366" s="3117"/>
      <c r="D366" s="3117"/>
      <c r="E366" s="3117"/>
      <c r="F366" s="3117"/>
      <c r="G366" s="3117"/>
      <c r="H366" s="3117"/>
      <c r="I366" s="3128"/>
      <c r="J366" s="3128"/>
      <c r="K366" s="3128"/>
      <c r="L366" s="3128"/>
      <c r="M366" s="3129"/>
      <c r="R366" s="1549" t="b">
        <f ca="1">IFERROR(IF(OR(((F346-D342)/MIN(F346,D342))&gt;0.05,((G346-F342)/MIN(G346,F342))&gt;0.05),TRUE,FALSE),TRUE)</f>
        <v>0</v>
      </c>
    </row>
    <row r="367" spans="2:18" ht="76.5" customHeight="1" x14ac:dyDescent="0.25">
      <c r="B367" s="3116" t="s">
        <v>1315</v>
      </c>
      <c r="C367" s="3117"/>
      <c r="D367" s="3117"/>
      <c r="E367" s="3117"/>
      <c r="F367" s="3117"/>
      <c r="G367" s="3117"/>
      <c r="H367" s="3117"/>
      <c r="I367" s="3128"/>
      <c r="J367" s="3128"/>
      <c r="K367" s="3128"/>
      <c r="L367" s="3128"/>
      <c r="M367" s="3129"/>
      <c r="R367" s="1549" t="b">
        <f ca="1">IFERROR(IF(OR(H346=0,I346=0),TRUE,FALSE),TRUE)</f>
        <v>0</v>
      </c>
    </row>
    <row r="368" spans="2:18" ht="38.25" customHeight="1" x14ac:dyDescent="0.25">
      <c r="B368" s="3116" t="s">
        <v>1316</v>
      </c>
      <c r="C368" s="3117"/>
      <c r="D368" s="3117"/>
      <c r="E368" s="3117"/>
      <c r="F368" s="3117"/>
      <c r="G368" s="3117"/>
      <c r="H368" s="3117"/>
      <c r="I368" s="3128"/>
      <c r="J368" s="3128"/>
      <c r="K368" s="3128"/>
      <c r="L368" s="3128"/>
      <c r="M368" s="3129"/>
      <c r="R368" s="1549" t="b">
        <f ca="1">IFERROR(IF(OR(J346&gt;5110,K346&gt;5110),TRUE,FALSE),TRUE)</f>
        <v>0</v>
      </c>
    </row>
    <row r="369" spans="2:18" ht="38.25" customHeight="1" x14ac:dyDescent="0.25">
      <c r="B369" s="3116" t="s">
        <v>1317</v>
      </c>
      <c r="C369" s="3117"/>
      <c r="D369" s="3117"/>
      <c r="E369" s="3117"/>
      <c r="F369" s="3117"/>
      <c r="G369" s="3117"/>
      <c r="H369" s="3117"/>
      <c r="I369" s="3128"/>
      <c r="J369" s="3128"/>
      <c r="K369" s="3128"/>
      <c r="L369" s="3128"/>
      <c r="M369" s="3129"/>
      <c r="R369" s="1549" t="b">
        <f ca="1">IFERROR(IF(ABS(J346-K346)/MIN(J346,K346)&gt;0.05,TRUE,FALSE),TRUE)</f>
        <v>0</v>
      </c>
    </row>
    <row r="370" spans="2:18" ht="76.5" customHeight="1" x14ac:dyDescent="0.25">
      <c r="B370" s="3116" t="s">
        <v>1318</v>
      </c>
      <c r="C370" s="3117"/>
      <c r="D370" s="3117"/>
      <c r="E370" s="3117"/>
      <c r="F370" s="3117"/>
      <c r="G370" s="3117"/>
      <c r="H370" s="3117"/>
      <c r="I370" s="3128"/>
      <c r="J370" s="3128"/>
      <c r="K370" s="3128"/>
      <c r="L370" s="3128"/>
      <c r="M370" s="3129"/>
      <c r="R370" s="1549" t="b">
        <f ca="1">IFERROR(IF(ABS(H346-I346)/MIN(H346,I346)&lt;0.01,TRUE,FALSE),TRUE)</f>
        <v>0</v>
      </c>
    </row>
    <row r="371" spans="2:18" ht="51" customHeight="1" x14ac:dyDescent="0.25">
      <c r="B371" s="3116" t="s">
        <v>1320</v>
      </c>
      <c r="C371" s="3117"/>
      <c r="D371" s="3117"/>
      <c r="E371" s="3117"/>
      <c r="F371" s="3117"/>
      <c r="G371" s="3117"/>
      <c r="H371" s="3117"/>
      <c r="I371" s="3128"/>
      <c r="J371" s="3128"/>
      <c r="K371" s="3128"/>
      <c r="L371" s="3128"/>
      <c r="M371" s="3129"/>
      <c r="R371" s="1549" t="b">
        <f ca="1">IFERROR(IF(OR(F348&gt;0.4,G348&gt;0.4,F348&lt;0.1,G348&lt;0.1),TRUE,FALSE),TRUE)</f>
        <v>0</v>
      </c>
    </row>
    <row r="372" spans="2:18" ht="38.25" customHeight="1" x14ac:dyDescent="0.25">
      <c r="B372" s="3116" t="s">
        <v>1321</v>
      </c>
      <c r="C372" s="3117"/>
      <c r="D372" s="3117"/>
      <c r="E372" s="3117"/>
      <c r="F372" s="3117"/>
      <c r="G372" s="3117"/>
      <c r="H372" s="3117"/>
      <c r="I372" s="3128"/>
      <c r="J372" s="3128"/>
      <c r="K372" s="3128"/>
      <c r="L372" s="3128"/>
      <c r="M372" s="3129"/>
      <c r="R372" s="1549" t="b">
        <f ca="1">IFERROR(IF(COUNTIFS(INDEX(PO_design_table,,MATCH($D$170,PO_design_hdr,0)),"x",INDEX(PO_design_table,,MATCH($I$170,PO_design_hdr,0)),"&gt;0.03")+COUNTIFS(INDEX(PO_design_table,,MATCH($D$170,PO_design_hdr,0)),"x",INDEX(PO_design_table,,MATCH($I$170,PO_design_hdr,0)),"&lt;-0.03")&gt;0,TRUE,FALSE),TRUE)</f>
        <v>0</v>
      </c>
    </row>
    <row r="373" spans="2:18" ht="63.75" customHeight="1" x14ac:dyDescent="0.25">
      <c r="B373" s="3116" t="s">
        <v>1322</v>
      </c>
      <c r="C373" s="3117"/>
      <c r="D373" s="3117"/>
      <c r="E373" s="3117"/>
      <c r="F373" s="3117"/>
      <c r="G373" s="3117"/>
      <c r="H373" s="3117"/>
      <c r="I373" s="3329" t="s">
        <v>2302</v>
      </c>
      <c r="J373" s="3329"/>
      <c r="K373" s="3329"/>
      <c r="L373" s="3329"/>
      <c r="M373" s="3330"/>
      <c r="R373" s="1549" t="b">
        <f ca="1">IFERROR(IF(OR(I348&gt;0.15,J348&gt;0.15),TRUE,FALSE),TRUE)</f>
        <v>1</v>
      </c>
    </row>
    <row r="374" spans="2:18" ht="25.5" customHeight="1" x14ac:dyDescent="0.25">
      <c r="B374" s="3116" t="s">
        <v>2222</v>
      </c>
      <c r="C374" s="3117"/>
      <c r="D374" s="3117"/>
      <c r="E374" s="3117"/>
      <c r="F374" s="3117"/>
      <c r="G374" s="3117"/>
      <c r="H374" s="3117"/>
      <c r="I374" s="3128"/>
      <c r="J374" s="3128"/>
      <c r="K374" s="3128"/>
      <c r="L374" s="3128"/>
      <c r="M374" s="3129"/>
      <c r="R374" s="1549" t="b">
        <f ca="1">IFERROR(IF(AND(C352&gt;0,D352&lt;1),TRUE,FALSE),TRUE)</f>
        <v>0</v>
      </c>
    </row>
    <row r="375" spans="2:18" ht="51" customHeight="1" x14ac:dyDescent="0.25">
      <c r="B375" s="3116" t="s">
        <v>1308</v>
      </c>
      <c r="C375" s="3117"/>
      <c r="D375" s="3117"/>
      <c r="E375" s="3117"/>
      <c r="F375" s="3117"/>
      <c r="G375" s="3117"/>
      <c r="H375" s="3117"/>
      <c r="I375" s="3329" t="s">
        <v>2307</v>
      </c>
      <c r="J375" s="3329"/>
      <c r="K375" s="3329"/>
      <c r="L375" s="3329"/>
      <c r="M375" s="3330"/>
      <c r="R375" s="1549" t="b">
        <f>IFERROR(IF(ABS(C354-D354)/MIN(C354,D354),TRUE,FALSE),TRUE)</f>
        <v>1</v>
      </c>
    </row>
    <row r="376" spans="2:18" ht="38.25" customHeight="1" x14ac:dyDescent="0.25">
      <c r="B376" s="3116" t="s">
        <v>1323</v>
      </c>
      <c r="C376" s="3117"/>
      <c r="D376" s="3117"/>
      <c r="E376" s="3117"/>
      <c r="F376" s="3117"/>
      <c r="G376" s="3117"/>
      <c r="H376" s="3117"/>
      <c r="I376" s="3128"/>
      <c r="J376" s="3128"/>
      <c r="K376" s="3128"/>
      <c r="L376" s="3128"/>
      <c r="M376" s="3129"/>
      <c r="R376" s="1549" t="b">
        <f ca="1">IFERROR(IF(OR(M348&gt;4000,C350&gt;4000),TRUE,FALSE),TRUE)</f>
        <v>0</v>
      </c>
    </row>
    <row r="377" spans="2:18" ht="38.25" customHeight="1" x14ac:dyDescent="0.25">
      <c r="B377" s="3116" t="s">
        <v>1324</v>
      </c>
      <c r="C377" s="3117"/>
      <c r="D377" s="3117"/>
      <c r="E377" s="3117"/>
      <c r="F377" s="3117"/>
      <c r="G377" s="3117"/>
      <c r="H377" s="3117"/>
      <c r="I377" s="3128"/>
      <c r="J377" s="3128"/>
      <c r="K377" s="3128"/>
      <c r="L377" s="3128"/>
      <c r="M377" s="3129"/>
      <c r="R377" s="1549" t="b">
        <f ca="1">IFERROR(IF(ABS(M348-C350)/MIN(M348,C350)&gt;0.25,TRUE,FALSE),TRUE)</f>
        <v>0</v>
      </c>
    </row>
    <row r="378" spans="2:18" ht="38.25" customHeight="1" x14ac:dyDescent="0.25">
      <c r="B378" s="3116" t="s">
        <v>1325</v>
      </c>
      <c r="C378" s="3117"/>
      <c r="D378" s="3117"/>
      <c r="E378" s="3117"/>
      <c r="F378" s="3117"/>
      <c r="G378" s="3117"/>
      <c r="H378" s="3117"/>
      <c r="I378" s="3128"/>
      <c r="J378" s="3128"/>
      <c r="K378" s="3128"/>
      <c r="L378" s="3128"/>
      <c r="M378" s="3129"/>
      <c r="R378" s="1549" t="b">
        <f ca="1">IFERROR(IF(OR(((D350-F354)/MIN(D350,F354))&gt;0.05,((F350-G354)/MIN(F350,G354))&gt;0.05),TRUE,FALSE),TRUE)</f>
        <v>0</v>
      </c>
    </row>
    <row r="379" spans="2:18" ht="38.25" customHeight="1" x14ac:dyDescent="0.25">
      <c r="B379" s="3116" t="s">
        <v>1326</v>
      </c>
      <c r="C379" s="3117"/>
      <c r="D379" s="3117"/>
      <c r="E379" s="3117"/>
      <c r="F379" s="3117"/>
      <c r="G379" s="3117"/>
      <c r="H379" s="3117"/>
      <c r="I379" s="3128"/>
      <c r="J379" s="3128"/>
      <c r="K379" s="3128"/>
      <c r="L379" s="3128"/>
      <c r="M379" s="3129"/>
      <c r="R379" s="1549" t="b">
        <f ca="1">IFERROR(IF(OR(1-(D350/F354)&gt;0.6,1-(F350/G354)&gt;0.6),TRUE,FALSE),TRUE)</f>
        <v>0</v>
      </c>
    </row>
    <row r="380" spans="2:18" ht="76.5" customHeight="1" x14ac:dyDescent="0.25">
      <c r="B380" s="3116" t="s">
        <v>1309</v>
      </c>
      <c r="C380" s="3117"/>
      <c r="D380" s="3117"/>
      <c r="E380" s="3117"/>
      <c r="F380" s="3117"/>
      <c r="G380" s="3117"/>
      <c r="H380" s="3117"/>
      <c r="I380" s="3329" t="s">
        <v>2306</v>
      </c>
      <c r="J380" s="3329"/>
      <c r="K380" s="3329"/>
      <c r="L380" s="3329"/>
      <c r="M380" s="3330"/>
      <c r="N380" s="597"/>
      <c r="R380" s="1549" t="b">
        <f>IFERROR(IF(OR(ABS(H354-I354)/MIN(H354,I354)&gt;0.35,ABS(J354-K354)/MIN(J354,K354)&gt;0.35),TRUE,FALSE),TRUE)</f>
        <v>1</v>
      </c>
    </row>
    <row r="381" spans="2:18" ht="76.5" customHeight="1" x14ac:dyDescent="0.25">
      <c r="B381" s="3116" t="s">
        <v>1310</v>
      </c>
      <c r="C381" s="3117"/>
      <c r="D381" s="3117"/>
      <c r="E381" s="3117"/>
      <c r="F381" s="3117"/>
      <c r="G381" s="3117"/>
      <c r="H381" s="3117"/>
      <c r="I381" s="3128"/>
      <c r="J381" s="3128"/>
      <c r="K381" s="3128"/>
      <c r="L381" s="3128"/>
      <c r="M381" s="3129"/>
      <c r="R381" s="1549" t="b">
        <f>IFERROR(IF(C356&gt;D356,TRUE,FALSE),TRUE)</f>
        <v>0</v>
      </c>
    </row>
    <row r="382" spans="2:18" ht="51" customHeight="1" x14ac:dyDescent="0.25">
      <c r="B382" s="3116" t="s">
        <v>1327</v>
      </c>
      <c r="C382" s="3117"/>
      <c r="D382" s="3117"/>
      <c r="E382" s="3117"/>
      <c r="F382" s="3117"/>
      <c r="G382" s="3117"/>
      <c r="H382" s="3117"/>
      <c r="I382" s="3329" t="s">
        <v>2300</v>
      </c>
      <c r="J382" s="3329"/>
      <c r="K382" s="3329"/>
      <c r="L382" s="3329"/>
      <c r="M382" s="3330"/>
      <c r="R382" s="1549" t="b">
        <f ca="1">IFERROR(IF(G350&gt;1500,TRUE,FALSE),TRUE)</f>
        <v>1</v>
      </c>
    </row>
    <row r="383" spans="2:18" ht="51" customHeight="1" x14ac:dyDescent="0.25">
      <c r="B383" s="3116" t="s">
        <v>1328</v>
      </c>
      <c r="C383" s="3117"/>
      <c r="D383" s="3117"/>
      <c r="E383" s="3117"/>
      <c r="F383" s="3117"/>
      <c r="G383" s="3117"/>
      <c r="H383" s="3117"/>
      <c r="I383" s="3128"/>
      <c r="J383" s="3128"/>
      <c r="K383" s="3128"/>
      <c r="L383" s="3128"/>
      <c r="M383" s="3129"/>
      <c r="R383" s="1549" t="b">
        <f ca="1">IFERROR(IF(COUNTIF(INDEX(PO_Enrgy_8_Table,,MATCH($K$232,PO_Enrgy_8_Hdr,0)),"&gt;0.1")+COUNTIF(INDEX(PO_Enrgy_8_Table,,MATCH($K$232,PO_Enrgy_8_Hdr,0)),"&lt;-0.1")&gt;0,TRUE,FALSE),TRUE)</f>
        <v>0</v>
      </c>
    </row>
    <row r="384" spans="2:18" ht="25.5" customHeight="1" x14ac:dyDescent="0.25">
      <c r="B384" s="3116" t="s">
        <v>1329</v>
      </c>
      <c r="C384" s="3117"/>
      <c r="D384" s="3117"/>
      <c r="E384" s="3117"/>
      <c r="F384" s="3117"/>
      <c r="G384" s="3117"/>
      <c r="H384" s="3117"/>
      <c r="I384" s="3128"/>
      <c r="J384" s="3128"/>
      <c r="K384" s="3128"/>
      <c r="L384" s="3128"/>
      <c r="M384" s="3129"/>
      <c r="R384" s="1549" t="b">
        <f>IFERROR(IF(PO_SiteRenewable=TRUE,IF(COUNTIF(INDEX(PO_renewable_table,,MATCH($U$32,PO_renewable_hdr,0)),"&gt;0.05")+COUNTIF(INDEX(PO_renewable_table,,MATCH($U$32,PO_renewable_hdr,0)),"&lt;-0.05")&gt;0,TRUE,FALSE),FALSE),TRUE)</f>
        <v>0</v>
      </c>
    </row>
    <row r="385" spans="2:18" ht="25.5" customHeight="1" x14ac:dyDescent="0.25">
      <c r="B385" s="3116" t="s">
        <v>1956</v>
      </c>
      <c r="C385" s="3117"/>
      <c r="D385" s="3117"/>
      <c r="E385" s="3117"/>
      <c r="F385" s="3117"/>
      <c r="G385" s="3117"/>
      <c r="H385" s="3117"/>
      <c r="I385" s="3128"/>
      <c r="J385" s="3128"/>
      <c r="K385" s="3128"/>
      <c r="L385" s="3128"/>
      <c r="M385" s="3129"/>
      <c r="N385" s="595"/>
      <c r="O385" s="595"/>
      <c r="P385" s="595"/>
      <c r="Q385" s="595"/>
      <c r="R385" s="1549" t="b">
        <f>IFERROR(IF(PO_ShowExCalc=TRUE,IF(COUNTIF(INDEX(PO_ExCalc_Table,,MATCH($U$56,PO_ExCalc_Hdr,0)),"&gt;0.05")+COUNTIF(INDEX(PO_ExCalc_Table,,MATCH($U$56,PO_ExCalc_Hdr,0)),"&lt;-0.05")&gt;0,TRUE,FALSE),FALSE),TRUE)</f>
        <v>0</v>
      </c>
    </row>
    <row r="386" spans="2:18" ht="25.5" customHeight="1" x14ac:dyDescent="0.25">
      <c r="B386" s="3116" t="s">
        <v>1330</v>
      </c>
      <c r="C386" s="3117"/>
      <c r="D386" s="3117"/>
      <c r="E386" s="3117"/>
      <c r="F386" s="3117"/>
      <c r="G386" s="3117"/>
      <c r="H386" s="3117"/>
      <c r="I386" s="3128"/>
      <c r="J386" s="3128"/>
      <c r="K386" s="3128"/>
      <c r="L386" s="3128"/>
      <c r="M386" s="3129"/>
      <c r="R386" s="1549" t="b">
        <f ca="1">IFERROR(IF(OR(I350&lt;0.06,I350&gt;0.25),TRUE,FALSE),TRUE)</f>
        <v>0</v>
      </c>
    </row>
    <row r="387" spans="2:18" ht="25.5" customHeight="1" x14ac:dyDescent="0.25">
      <c r="B387" s="3116" t="s">
        <v>1957</v>
      </c>
      <c r="C387" s="3117"/>
      <c r="D387" s="3117"/>
      <c r="E387" s="3117"/>
      <c r="F387" s="3117"/>
      <c r="G387" s="3117"/>
      <c r="H387" s="3117"/>
      <c r="I387" s="3329" t="s">
        <v>2301</v>
      </c>
      <c r="J387" s="3329"/>
      <c r="K387" s="3329"/>
      <c r="L387" s="3329"/>
      <c r="M387" s="3330"/>
      <c r="R387" s="1549" t="b">
        <f ca="1">IFERROR(IF(OR(J350&lt;0.5,J350&gt;2),TRUE,FALSE),TRUE)</f>
        <v>1</v>
      </c>
    </row>
    <row r="388" spans="2:18" ht="38.25" customHeight="1" x14ac:dyDescent="0.25">
      <c r="B388" s="3116" t="s">
        <v>1331</v>
      </c>
      <c r="C388" s="3117"/>
      <c r="D388" s="3117"/>
      <c r="E388" s="3117"/>
      <c r="F388" s="3117"/>
      <c r="G388" s="3117"/>
      <c r="H388" s="3117"/>
      <c r="I388" s="3128"/>
      <c r="J388" s="3128"/>
      <c r="K388" s="3128"/>
      <c r="L388" s="3128"/>
      <c r="M388" s="3129"/>
      <c r="R388" s="1549" t="b">
        <f>IFERROR(IF(PO_EnergyReportingMethod&gt;2,TRUE,FALSE),FALSE)</f>
        <v>0</v>
      </c>
    </row>
    <row r="389" spans="2:18" ht="63.75" customHeight="1" x14ac:dyDescent="0.25">
      <c r="B389" s="3116" t="s">
        <v>1332</v>
      </c>
      <c r="C389" s="3117"/>
      <c r="D389" s="3117"/>
      <c r="E389" s="3117"/>
      <c r="F389" s="3117"/>
      <c r="G389" s="3117"/>
      <c r="H389" s="3117"/>
      <c r="I389" s="3128"/>
      <c r="J389" s="3128"/>
      <c r="K389" s="3128"/>
      <c r="L389" s="3128"/>
      <c r="M389" s="3129"/>
      <c r="R389" s="1549" t="b">
        <f>IFERROR(IF(AND(COUNTIFS(INDEX(PO_design_table,,MATCH($E$170,PO_design_hdr,0)),"Electricity",INDEX(PO_design_table,,MATCH($B$170,PO_design_hdr,0)),"Space Heating",INDEX(PO_design_table,,MATCH($G$170,PO_design_hdr,0)),"&gt;0")&gt;0,COUNTIFS(INDEX(PO_design_table,,MATCH($E$170,PO_design_hdr,0)),"&lt;&gt;Electricity",INDEX(PO_design_table,,MATCH($B$170,PO_design_hdr,0)),"Space Heating",INDEX(PO_design_table,,MATCH($G$170,PO_design_hdr,0)),"&gt;0")&gt;0),TRUE,FALSE),TRUE)</f>
        <v>0</v>
      </c>
    </row>
    <row r="390" spans="2:18" ht="25.5" customHeight="1" x14ac:dyDescent="0.25">
      <c r="B390" s="3116" t="s">
        <v>1333</v>
      </c>
      <c r="C390" s="3117"/>
      <c r="D390" s="3117"/>
      <c r="E390" s="3117"/>
      <c r="F390" s="3117"/>
      <c r="G390" s="3117"/>
      <c r="H390" s="3117"/>
      <c r="I390" s="3128"/>
      <c r="J390" s="3128"/>
      <c r="K390" s="3128"/>
      <c r="L390" s="3128"/>
      <c r="M390" s="3129"/>
      <c r="R390" s="1549" t="b">
        <f>IFERROR(IF(MAX(F335:M335)&gt;300,TRUE,FALSE),TRUE)</f>
        <v>0</v>
      </c>
    </row>
    <row r="391" spans="2:18" ht="38.25" customHeight="1" x14ac:dyDescent="0.25">
      <c r="B391" s="3116" t="str">
        <f ca="1">"The three largest end use contributors to the cost savings are "&amp;CONCATENATE(VLOOKUP(1,QCEnSaveRank,2,FALSE),", ", VLOOKUP(2,QCEnSaveRank,2,FALSE), ", ",VLOOKUP(3,QCEnSaveRank,2,FALSE))&amp;" (as reported in the Performance Outputs tab). Please provide a narrative to justify the savings of these end uses, such as the energy conservation measures which contribute to the savings claimed."</f>
        <v>The three largest end use contributors to the cost savings are Space cooling, Interior lighting, Space heating (as reported in the Performance Outputs tab). Please provide a narrative to justify the savings of these end uses, such as the energy conservation measures which contribute to the savings claimed.</v>
      </c>
      <c r="C391" s="3117"/>
      <c r="D391" s="3117"/>
      <c r="E391" s="3117"/>
      <c r="F391" s="3117"/>
      <c r="G391" s="3117"/>
      <c r="H391" s="3117"/>
      <c r="I391" s="3329" t="s">
        <v>2305</v>
      </c>
      <c r="J391" s="3329"/>
      <c r="K391" s="3329"/>
      <c r="L391" s="3329"/>
      <c r="M391" s="3330"/>
      <c r="R391" s="1549" t="b">
        <f>TRUE</f>
        <v>1</v>
      </c>
    </row>
    <row r="392" spans="2:18" ht="25.5" customHeight="1" x14ac:dyDescent="0.25">
      <c r="B392" s="3116" t="s">
        <v>2004</v>
      </c>
      <c r="C392" s="3117"/>
      <c r="D392" s="3117"/>
      <c r="E392" s="3117"/>
      <c r="F392" s="3117"/>
      <c r="G392" s="3117"/>
      <c r="H392" s="3117"/>
      <c r="I392" s="3128"/>
      <c r="J392" s="3128"/>
      <c r="K392" s="3128"/>
      <c r="L392" s="3128"/>
      <c r="M392" s="3129"/>
      <c r="R392" s="1549" t="b">
        <f>IF(RatingSystemSelection="LEED v4 BD+C: Data Centers",TRUE,FALSE)</f>
        <v>0</v>
      </c>
    </row>
    <row r="393" spans="2:18" ht="25.5" customHeight="1" x14ac:dyDescent="0.25">
      <c r="B393" s="3111" t="s">
        <v>2007</v>
      </c>
      <c r="C393" s="3112"/>
      <c r="D393" s="3112"/>
      <c r="E393" s="3112"/>
      <c r="F393" s="3112"/>
      <c r="G393" s="3112"/>
      <c r="H393" s="3112"/>
      <c r="I393" s="3150"/>
      <c r="J393" s="3150"/>
      <c r="K393" s="3150"/>
      <c r="L393" s="3150"/>
      <c r="M393" s="3151"/>
      <c r="R393" s="1549" t="b">
        <f ca="1">IFERROR(IF(F344&lt;10,TRUE,FALSE),TRUE)</f>
        <v>0</v>
      </c>
    </row>
    <row r="394" spans="2:18" ht="40.5" customHeight="1" x14ac:dyDescent="0.25">
      <c r="B394" s="3111" t="s">
        <v>1319</v>
      </c>
      <c r="C394" s="3112"/>
      <c r="D394" s="3112"/>
      <c r="E394" s="3112"/>
      <c r="F394" s="3112"/>
      <c r="G394" s="3112"/>
      <c r="H394" s="3112"/>
      <c r="I394" s="3148" t="s">
        <v>2303</v>
      </c>
      <c r="J394" s="3148"/>
      <c r="K394" s="3148"/>
      <c r="L394" s="3148"/>
      <c r="M394" s="3149"/>
      <c r="N394" s="650"/>
      <c r="O394" s="596"/>
      <c r="Q394" s="1019"/>
      <c r="R394" s="1549" t="b">
        <f ca="1">IFERROR(IF(OR((K350-G342)/MIN(K350,G342)&gt;0.05,(M350-G342)/MIN(M350,G342)&gt;0.05),TRUE,FALSE),TRUE)</f>
        <v>1</v>
      </c>
    </row>
    <row r="395" spans="2:18" ht="39.75" customHeight="1" x14ac:dyDescent="0.25">
      <c r="B395" s="3111" t="s">
        <v>1307</v>
      </c>
      <c r="C395" s="3112"/>
      <c r="D395" s="3112"/>
      <c r="E395" s="3112"/>
      <c r="F395" s="3112"/>
      <c r="G395" s="3112"/>
      <c r="H395" s="3112"/>
      <c r="I395" s="3150"/>
      <c r="J395" s="3150"/>
      <c r="K395" s="3150"/>
      <c r="L395" s="3150"/>
      <c r="M395" s="3151"/>
      <c r="N395" s="650"/>
      <c r="O395" s="596"/>
      <c r="Q395" s="1019"/>
      <c r="R395" s="1549" t="b">
        <f ca="1">IFERROR(IF(H342&gt;G342,TRUE,FALSE),TRUE)</f>
        <v>0</v>
      </c>
    </row>
    <row r="396" spans="2:18" ht="63" customHeight="1" x14ac:dyDescent="0.25">
      <c r="B396" s="3111" t="s">
        <v>1337</v>
      </c>
      <c r="C396" s="3112"/>
      <c r="D396" s="3112"/>
      <c r="E396" s="3112"/>
      <c r="F396" s="3112"/>
      <c r="G396" s="3112"/>
      <c r="H396" s="3112"/>
      <c r="I396" s="3150"/>
      <c r="J396" s="3150"/>
      <c r="K396" s="3150"/>
      <c r="L396" s="3150"/>
      <c r="M396" s="3151"/>
      <c r="N396" s="650"/>
      <c r="O396" s="596"/>
      <c r="Q396" s="1019"/>
      <c r="R396" s="1549" t="b">
        <f ca="1">IFERROR(IF(J342&gt;I342,TRUE,FALSE),TRUE)</f>
        <v>0</v>
      </c>
    </row>
    <row r="397" spans="2:18" ht="49.9" customHeight="1" x14ac:dyDescent="0.25">
      <c r="B397" s="3111" t="s">
        <v>2227</v>
      </c>
      <c r="C397" s="3112"/>
      <c r="D397" s="3112"/>
      <c r="E397" s="3112"/>
      <c r="F397" s="3112"/>
      <c r="G397" s="3112"/>
      <c r="H397" s="3112"/>
      <c r="I397" s="3150"/>
      <c r="J397" s="3150"/>
      <c r="K397" s="3150"/>
      <c r="L397" s="3150"/>
      <c r="M397" s="3151"/>
      <c r="N397" s="650"/>
      <c r="O397" s="596"/>
      <c r="Q397" s="1019"/>
      <c r="R397" s="1549" t="b">
        <f>IFERROR(IF(OR(SimTool="Trace",SimTool="eQUEST"),IF(ABS(($C$358-$E$227)/$E$227) &gt; 0.05, TRUE,FALSE)),TRUE)</f>
        <v>0</v>
      </c>
    </row>
    <row r="398" spans="2:18" ht="49.9" customHeight="1" x14ac:dyDescent="0.25">
      <c r="B398" s="3111" t="s">
        <v>2228</v>
      </c>
      <c r="C398" s="3112"/>
      <c r="D398" s="3112"/>
      <c r="E398" s="3112"/>
      <c r="F398" s="3112"/>
      <c r="G398" s="3112"/>
      <c r="H398" s="3112"/>
      <c r="I398" s="3150"/>
      <c r="J398" s="3150"/>
      <c r="K398" s="3150"/>
      <c r="L398" s="3150"/>
      <c r="M398" s="3151"/>
      <c r="N398" s="650"/>
      <c r="O398" s="596"/>
      <c r="Q398" s="1019"/>
      <c r="R398" s="1549" t="b">
        <f ca="1">IFERROR(IF(OR(SimTool="Trace",SimTool="eQUEST"),IF(ABS(($D$358-$H$227)/$H$227) &gt; 0.05, TRUE,FALSE)),TRUE)</f>
        <v>0</v>
      </c>
    </row>
  </sheetData>
  <sheetProtection algorithmName="SHA-512" hashValue="AXQdPtsl9beMBzfigZuzhA1c0tB112iXEdZleol21V4qsnpP+8i0a2i7uYAYPiU7jQ3gKrOcqLbQhDrtNw44Qg==" saltValue="504DQGrxKnjtM6l4OQk6kg==" spinCount="100000" sheet="1" objects="1" scenarios="1"/>
  <mergeCells count="726">
    <mergeCell ref="B397:H397"/>
    <mergeCell ref="I397:M397"/>
    <mergeCell ref="B398:H398"/>
    <mergeCell ref="I398:M398"/>
    <mergeCell ref="C243:D243"/>
    <mergeCell ref="K243:L243"/>
    <mergeCell ref="C265:D265"/>
    <mergeCell ref="K265:L265"/>
    <mergeCell ref="C276:D276"/>
    <mergeCell ref="K276:L276"/>
    <mergeCell ref="C285:D285"/>
    <mergeCell ref="K285:L285"/>
    <mergeCell ref="C294:D294"/>
    <mergeCell ref="K294:L294"/>
    <mergeCell ref="B244:D244"/>
    <mergeCell ref="K244:L244"/>
    <mergeCell ref="B246:L246"/>
    <mergeCell ref="B247:M247"/>
    <mergeCell ref="B248:B249"/>
    <mergeCell ref="C248:D249"/>
    <mergeCell ref="E248:G248"/>
    <mergeCell ref="H248:J248"/>
    <mergeCell ref="K248:L248"/>
    <mergeCell ref="I393:M393"/>
    <mergeCell ref="I392:M392"/>
    <mergeCell ref="I388:M388"/>
    <mergeCell ref="I390:M390"/>
    <mergeCell ref="I391:M391"/>
    <mergeCell ref="B339:B340"/>
    <mergeCell ref="B341:B342"/>
    <mergeCell ref="B343:B344"/>
    <mergeCell ref="B351:B352"/>
    <mergeCell ref="B353:B356"/>
    <mergeCell ref="I373:M373"/>
    <mergeCell ref="I374:M374"/>
    <mergeCell ref="I375:M375"/>
    <mergeCell ref="I376:M376"/>
    <mergeCell ref="I377:M377"/>
    <mergeCell ref="I378:M378"/>
    <mergeCell ref="I379:M379"/>
    <mergeCell ref="I380:M380"/>
    <mergeCell ref="I381:M381"/>
    <mergeCell ref="I372:M372"/>
    <mergeCell ref="I389:M389"/>
    <mergeCell ref="B345:B350"/>
    <mergeCell ref="B373:H373"/>
    <mergeCell ref="B374:H374"/>
    <mergeCell ref="I386:M386"/>
    <mergeCell ref="I387:M387"/>
    <mergeCell ref="I383:M383"/>
    <mergeCell ref="I384:M384"/>
    <mergeCell ref="I385:M385"/>
    <mergeCell ref="B361:H361"/>
    <mergeCell ref="B362:H362"/>
    <mergeCell ref="B363:H363"/>
    <mergeCell ref="B364:H364"/>
    <mergeCell ref="B365:H365"/>
    <mergeCell ref="B366:H366"/>
    <mergeCell ref="B367:H367"/>
    <mergeCell ref="B368:H368"/>
    <mergeCell ref="B369:H369"/>
    <mergeCell ref="B370:H370"/>
    <mergeCell ref="B371:H371"/>
    <mergeCell ref="B372:H372"/>
    <mergeCell ref="B383:H383"/>
    <mergeCell ref="I369:M369"/>
    <mergeCell ref="I368:M368"/>
    <mergeCell ref="B382:H382"/>
    <mergeCell ref="I370:M370"/>
    <mergeCell ref="I371:M371"/>
    <mergeCell ref="I382:M382"/>
    <mergeCell ref="H5:M5"/>
    <mergeCell ref="B7:M7"/>
    <mergeCell ref="B8:M8"/>
    <mergeCell ref="B9:M9"/>
    <mergeCell ref="B10:M10"/>
    <mergeCell ref="B11:M11"/>
    <mergeCell ref="F336:M336"/>
    <mergeCell ref="F332:H332"/>
    <mergeCell ref="I332:M332"/>
    <mergeCell ref="I333:M333"/>
    <mergeCell ref="I334:M334"/>
    <mergeCell ref="F333:H333"/>
    <mergeCell ref="F334:H334"/>
    <mergeCell ref="F335:H335"/>
    <mergeCell ref="I335:M335"/>
    <mergeCell ref="B12:M12"/>
    <mergeCell ref="B13:M13"/>
    <mergeCell ref="B14:B15"/>
    <mergeCell ref="C14:D15"/>
    <mergeCell ref="E14:E15"/>
    <mergeCell ref="F14:G15"/>
    <mergeCell ref="H14:J15"/>
    <mergeCell ref="K14:M14"/>
    <mergeCell ref="K15:L15"/>
    <mergeCell ref="B20:K20"/>
    <mergeCell ref="L20:M20"/>
    <mergeCell ref="B21:K21"/>
    <mergeCell ref="L21:M21"/>
    <mergeCell ref="B28:M28"/>
    <mergeCell ref="B29:M29"/>
    <mergeCell ref="C16:D16"/>
    <mergeCell ref="C17:D17"/>
    <mergeCell ref="F17:G17"/>
    <mergeCell ref="H17:J17"/>
    <mergeCell ref="K17:L17"/>
    <mergeCell ref="C18:D18"/>
    <mergeCell ref="F18:G18"/>
    <mergeCell ref="H18:J18"/>
    <mergeCell ref="K18:L18"/>
    <mergeCell ref="C19:D19"/>
    <mergeCell ref="F19:G19"/>
    <mergeCell ref="H19:J19"/>
    <mergeCell ref="K19:L19"/>
    <mergeCell ref="B34:D34"/>
    <mergeCell ref="J34:M34"/>
    <mergeCell ref="B35:M35"/>
    <mergeCell ref="B36:D37"/>
    <mergeCell ref="E36:G36"/>
    <mergeCell ref="H36:I37"/>
    <mergeCell ref="J36:M37"/>
    <mergeCell ref="E37:F37"/>
    <mergeCell ref="B31:D31"/>
    <mergeCell ref="F31:G31"/>
    <mergeCell ref="H31:I31"/>
    <mergeCell ref="J31:M31"/>
    <mergeCell ref="B33:D33"/>
    <mergeCell ref="J33:M33"/>
    <mergeCell ref="B42:F42"/>
    <mergeCell ref="H42:I42"/>
    <mergeCell ref="J42:M42"/>
    <mergeCell ref="B43:I43"/>
    <mergeCell ref="J43:M43"/>
    <mergeCell ref="B44:L44"/>
    <mergeCell ref="B39:D39"/>
    <mergeCell ref="H39:I39"/>
    <mergeCell ref="J39:M39"/>
    <mergeCell ref="B40:D40"/>
    <mergeCell ref="H40:I40"/>
    <mergeCell ref="J40:M40"/>
    <mergeCell ref="B41:D41"/>
    <mergeCell ref="H41:I41"/>
    <mergeCell ref="J41:M41"/>
    <mergeCell ref="J57:K57"/>
    <mergeCell ref="L57:M57"/>
    <mergeCell ref="J59:K59"/>
    <mergeCell ref="L59:M59"/>
    <mergeCell ref="B49:M49"/>
    <mergeCell ref="B52:M52"/>
    <mergeCell ref="C54:C55"/>
    <mergeCell ref="G54:K54"/>
    <mergeCell ref="L54:M55"/>
    <mergeCell ref="G55:H55"/>
    <mergeCell ref="J55:K55"/>
    <mergeCell ref="B54:B55"/>
    <mergeCell ref="D56:E56"/>
    <mergeCell ref="D54:E55"/>
    <mergeCell ref="D57:E57"/>
    <mergeCell ref="D59:E59"/>
    <mergeCell ref="F54:F55"/>
    <mergeCell ref="D58:E58"/>
    <mergeCell ref="J58:K58"/>
    <mergeCell ref="L58:M58"/>
    <mergeCell ref="B64:F64"/>
    <mergeCell ref="J64:K64"/>
    <mergeCell ref="L64:M64"/>
    <mergeCell ref="B66:E66"/>
    <mergeCell ref="B68:F68"/>
    <mergeCell ref="J68:K68"/>
    <mergeCell ref="L68:M68"/>
    <mergeCell ref="J60:K60"/>
    <mergeCell ref="L60:M60"/>
    <mergeCell ref="B61:E61"/>
    <mergeCell ref="B63:F63"/>
    <mergeCell ref="J63:K63"/>
    <mergeCell ref="L63:M63"/>
    <mergeCell ref="D60:E60"/>
    <mergeCell ref="B65:F65"/>
    <mergeCell ref="J65:K65"/>
    <mergeCell ref="L65:M65"/>
    <mergeCell ref="B73:M73"/>
    <mergeCell ref="B76:M76"/>
    <mergeCell ref="B77:M77"/>
    <mergeCell ref="B79:M79"/>
    <mergeCell ref="B81:M81"/>
    <mergeCell ref="B83:M83"/>
    <mergeCell ref="B69:F69"/>
    <mergeCell ref="J69:K69"/>
    <mergeCell ref="L69:M69"/>
    <mergeCell ref="B71:F71"/>
    <mergeCell ref="J71:K71"/>
    <mergeCell ref="L71:M71"/>
    <mergeCell ref="B70:F70"/>
    <mergeCell ref="J70:K70"/>
    <mergeCell ref="L70:M70"/>
    <mergeCell ref="B93:M93"/>
    <mergeCell ref="B95:C95"/>
    <mergeCell ref="K95:M95"/>
    <mergeCell ref="B97:C98"/>
    <mergeCell ref="D97:D98"/>
    <mergeCell ref="E97:E98"/>
    <mergeCell ref="K97:M97"/>
    <mergeCell ref="K98:M98"/>
    <mergeCell ref="B84:M84"/>
    <mergeCell ref="B88:M88"/>
    <mergeCell ref="B89:M89"/>
    <mergeCell ref="B90:M90"/>
    <mergeCell ref="B91:M91"/>
    <mergeCell ref="B92:M92"/>
    <mergeCell ref="B99:C100"/>
    <mergeCell ref="D99:D100"/>
    <mergeCell ref="E99:E100"/>
    <mergeCell ref="K99:M99"/>
    <mergeCell ref="K100:M100"/>
    <mergeCell ref="B101:C102"/>
    <mergeCell ref="D101:D102"/>
    <mergeCell ref="E101:E102"/>
    <mergeCell ref="K101:M101"/>
    <mergeCell ref="K102:M102"/>
    <mergeCell ref="B103:C104"/>
    <mergeCell ref="D103:D104"/>
    <mergeCell ref="E103:E104"/>
    <mergeCell ref="K103:M103"/>
    <mergeCell ref="K104:M104"/>
    <mergeCell ref="B105:C106"/>
    <mergeCell ref="D105:D106"/>
    <mergeCell ref="E105:E106"/>
    <mergeCell ref="K105:M105"/>
    <mergeCell ref="K106:M106"/>
    <mergeCell ref="B107:C108"/>
    <mergeCell ref="D107:D108"/>
    <mergeCell ref="E107:E108"/>
    <mergeCell ref="K107:M107"/>
    <mergeCell ref="K108:M108"/>
    <mergeCell ref="B109:C110"/>
    <mergeCell ref="D109:D110"/>
    <mergeCell ref="E109:E110"/>
    <mergeCell ref="K109:M109"/>
    <mergeCell ref="K110:M110"/>
    <mergeCell ref="B111:C112"/>
    <mergeCell ref="D111:D112"/>
    <mergeCell ref="E111:E112"/>
    <mergeCell ref="K111:M111"/>
    <mergeCell ref="K112:M112"/>
    <mergeCell ref="B113:C114"/>
    <mergeCell ref="D113:D114"/>
    <mergeCell ref="E113:E114"/>
    <mergeCell ref="K113:M113"/>
    <mergeCell ref="K114:M114"/>
    <mergeCell ref="B115:C116"/>
    <mergeCell ref="D115:D116"/>
    <mergeCell ref="E115:E116"/>
    <mergeCell ref="K115:M115"/>
    <mergeCell ref="K116:M116"/>
    <mergeCell ref="B117:C118"/>
    <mergeCell ref="D117:D118"/>
    <mergeCell ref="E117:E118"/>
    <mergeCell ref="K117:M117"/>
    <mergeCell ref="K118:M118"/>
    <mergeCell ref="B119:C120"/>
    <mergeCell ref="D119:D120"/>
    <mergeCell ref="E119:E120"/>
    <mergeCell ref="K119:M119"/>
    <mergeCell ref="K120:M120"/>
    <mergeCell ref="B121:C122"/>
    <mergeCell ref="D121:D122"/>
    <mergeCell ref="E121:E122"/>
    <mergeCell ref="K121:M121"/>
    <mergeCell ref="K122:M122"/>
    <mergeCell ref="B123:C124"/>
    <mergeCell ref="D123:D124"/>
    <mergeCell ref="E123:E124"/>
    <mergeCell ref="K123:M123"/>
    <mergeCell ref="K124:M124"/>
    <mergeCell ref="B125:C126"/>
    <mergeCell ref="D125:D126"/>
    <mergeCell ref="E125:E126"/>
    <mergeCell ref="K125:M125"/>
    <mergeCell ref="K126:M126"/>
    <mergeCell ref="B127:C128"/>
    <mergeCell ref="D127:D128"/>
    <mergeCell ref="E127:E128"/>
    <mergeCell ref="K127:M127"/>
    <mergeCell ref="K128:M128"/>
    <mergeCell ref="B129:C130"/>
    <mergeCell ref="D129:D130"/>
    <mergeCell ref="E129:E130"/>
    <mergeCell ref="K129:M129"/>
    <mergeCell ref="K130:M130"/>
    <mergeCell ref="B131:C132"/>
    <mergeCell ref="D131:D132"/>
    <mergeCell ref="E131:E132"/>
    <mergeCell ref="K131:M131"/>
    <mergeCell ref="K132:M132"/>
    <mergeCell ref="B133:C134"/>
    <mergeCell ref="D133:D134"/>
    <mergeCell ref="E133:E134"/>
    <mergeCell ref="K133:M133"/>
    <mergeCell ref="K134:M134"/>
    <mergeCell ref="B135:C136"/>
    <mergeCell ref="D135:D136"/>
    <mergeCell ref="E135:E136"/>
    <mergeCell ref="K135:M135"/>
    <mergeCell ref="K136:M136"/>
    <mergeCell ref="B137:C138"/>
    <mergeCell ref="D137:D138"/>
    <mergeCell ref="E137:E138"/>
    <mergeCell ref="K137:M137"/>
    <mergeCell ref="K138:M138"/>
    <mergeCell ref="B143:C144"/>
    <mergeCell ref="D143:D144"/>
    <mergeCell ref="E143:E144"/>
    <mergeCell ref="K143:M143"/>
    <mergeCell ref="K144:M144"/>
    <mergeCell ref="K146:M146"/>
    <mergeCell ref="B139:C140"/>
    <mergeCell ref="D139:D140"/>
    <mergeCell ref="E139:E140"/>
    <mergeCell ref="K139:M139"/>
    <mergeCell ref="K140:M140"/>
    <mergeCell ref="B141:C142"/>
    <mergeCell ref="D141:D142"/>
    <mergeCell ref="E141:E142"/>
    <mergeCell ref="K141:M141"/>
    <mergeCell ref="K142:M142"/>
    <mergeCell ref="B146:D146"/>
    <mergeCell ref="B155:E155"/>
    <mergeCell ref="K155:M155"/>
    <mergeCell ref="B156:E156"/>
    <mergeCell ref="K156:M156"/>
    <mergeCell ref="B158:F158"/>
    <mergeCell ref="K158:M158"/>
    <mergeCell ref="K147:M147"/>
    <mergeCell ref="B149:F149"/>
    <mergeCell ref="K149:M149"/>
    <mergeCell ref="B150:F150"/>
    <mergeCell ref="K150:M150"/>
    <mergeCell ref="B153:F153"/>
    <mergeCell ref="K153:M153"/>
    <mergeCell ref="B147:D147"/>
    <mergeCell ref="B148:D148"/>
    <mergeCell ref="K148:M148"/>
    <mergeCell ref="B157:E157"/>
    <mergeCell ref="K157:M157"/>
    <mergeCell ref="B169:C169"/>
    <mergeCell ref="K169:L169"/>
    <mergeCell ref="B171:C172"/>
    <mergeCell ref="D171:D172"/>
    <mergeCell ref="E171:E172"/>
    <mergeCell ref="J171:J172"/>
    <mergeCell ref="K171:L172"/>
    <mergeCell ref="B162:M162"/>
    <mergeCell ref="B163:M163"/>
    <mergeCell ref="B164:M164"/>
    <mergeCell ref="B165:M165"/>
    <mergeCell ref="B166:M166"/>
    <mergeCell ref="B167:M167"/>
    <mergeCell ref="M171:M172"/>
    <mergeCell ref="AF171:AG172"/>
    <mergeCell ref="B173:C174"/>
    <mergeCell ref="D173:D174"/>
    <mergeCell ref="E173:E174"/>
    <mergeCell ref="J173:J174"/>
    <mergeCell ref="K173:L174"/>
    <mergeCell ref="M173:M174"/>
    <mergeCell ref="AF173:AG174"/>
    <mergeCell ref="AF175:AG176"/>
    <mergeCell ref="B177:C178"/>
    <mergeCell ref="D177:D178"/>
    <mergeCell ref="E177:E178"/>
    <mergeCell ref="J177:J178"/>
    <mergeCell ref="K177:L178"/>
    <mergeCell ref="M177:M178"/>
    <mergeCell ref="AF177:AG178"/>
    <mergeCell ref="B175:C176"/>
    <mergeCell ref="D175:D176"/>
    <mergeCell ref="E175:E176"/>
    <mergeCell ref="J175:J176"/>
    <mergeCell ref="K175:L176"/>
    <mergeCell ref="M175:M176"/>
    <mergeCell ref="AF179:AG180"/>
    <mergeCell ref="B181:C182"/>
    <mergeCell ref="D181:D182"/>
    <mergeCell ref="E181:E182"/>
    <mergeCell ref="J181:J182"/>
    <mergeCell ref="K181:L182"/>
    <mergeCell ref="M181:M182"/>
    <mergeCell ref="AF181:AG182"/>
    <mergeCell ref="B179:C180"/>
    <mergeCell ref="D179:D180"/>
    <mergeCell ref="E179:E180"/>
    <mergeCell ref="J179:J180"/>
    <mergeCell ref="K179:L180"/>
    <mergeCell ref="M179:M180"/>
    <mergeCell ref="AF183:AG184"/>
    <mergeCell ref="B185:C186"/>
    <mergeCell ref="D185:D186"/>
    <mergeCell ref="E185:E186"/>
    <mergeCell ref="J185:J186"/>
    <mergeCell ref="K185:L186"/>
    <mergeCell ref="M185:M186"/>
    <mergeCell ref="AF185:AG186"/>
    <mergeCell ref="B183:C184"/>
    <mergeCell ref="D183:D184"/>
    <mergeCell ref="E183:E184"/>
    <mergeCell ref="J183:J184"/>
    <mergeCell ref="K183:L184"/>
    <mergeCell ref="M183:M184"/>
    <mergeCell ref="AF187:AG188"/>
    <mergeCell ref="B189:C190"/>
    <mergeCell ref="D189:D190"/>
    <mergeCell ref="E189:E190"/>
    <mergeCell ref="J189:J190"/>
    <mergeCell ref="K189:L190"/>
    <mergeCell ref="M189:M190"/>
    <mergeCell ref="AF189:AG190"/>
    <mergeCell ref="B187:C188"/>
    <mergeCell ref="D187:D188"/>
    <mergeCell ref="E187:E188"/>
    <mergeCell ref="J187:J188"/>
    <mergeCell ref="K187:L188"/>
    <mergeCell ref="M187:M188"/>
    <mergeCell ref="AF191:AG192"/>
    <mergeCell ref="B193:C194"/>
    <mergeCell ref="D193:D194"/>
    <mergeCell ref="E193:E194"/>
    <mergeCell ref="J193:J194"/>
    <mergeCell ref="K193:L194"/>
    <mergeCell ref="M193:M194"/>
    <mergeCell ref="AF193:AG194"/>
    <mergeCell ref="B191:C192"/>
    <mergeCell ref="D191:D192"/>
    <mergeCell ref="E191:E192"/>
    <mergeCell ref="J191:J192"/>
    <mergeCell ref="K191:L192"/>
    <mergeCell ref="M191:M192"/>
    <mergeCell ref="AF195:AG196"/>
    <mergeCell ref="B197:C198"/>
    <mergeCell ref="D197:D198"/>
    <mergeCell ref="E197:E198"/>
    <mergeCell ref="J197:J198"/>
    <mergeCell ref="K197:L198"/>
    <mergeCell ref="M197:M198"/>
    <mergeCell ref="AF197:AG198"/>
    <mergeCell ref="B195:C196"/>
    <mergeCell ref="D195:D196"/>
    <mergeCell ref="E195:E196"/>
    <mergeCell ref="J195:J196"/>
    <mergeCell ref="K195:L196"/>
    <mergeCell ref="M195:M196"/>
    <mergeCell ref="AF199:AG200"/>
    <mergeCell ref="B201:C202"/>
    <mergeCell ref="D201:D202"/>
    <mergeCell ref="E201:E202"/>
    <mergeCell ref="J201:J202"/>
    <mergeCell ref="K201:L202"/>
    <mergeCell ref="M201:M202"/>
    <mergeCell ref="AF201:AG202"/>
    <mergeCell ref="B199:C200"/>
    <mergeCell ref="D199:D200"/>
    <mergeCell ref="E199:E200"/>
    <mergeCell ref="J199:J200"/>
    <mergeCell ref="K199:L200"/>
    <mergeCell ref="M199:M200"/>
    <mergeCell ref="AF203:AG204"/>
    <mergeCell ref="B205:C206"/>
    <mergeCell ref="D205:D206"/>
    <mergeCell ref="E205:E206"/>
    <mergeCell ref="J205:J206"/>
    <mergeCell ref="K205:L206"/>
    <mergeCell ref="M205:M206"/>
    <mergeCell ref="AF205:AG206"/>
    <mergeCell ref="B203:C204"/>
    <mergeCell ref="D203:D204"/>
    <mergeCell ref="E203:E204"/>
    <mergeCell ref="J203:J204"/>
    <mergeCell ref="K203:L204"/>
    <mergeCell ref="M203:M204"/>
    <mergeCell ref="AF207:AG208"/>
    <mergeCell ref="B209:C210"/>
    <mergeCell ref="D209:D210"/>
    <mergeCell ref="E209:E210"/>
    <mergeCell ref="J209:J210"/>
    <mergeCell ref="K209:L210"/>
    <mergeCell ref="M209:M210"/>
    <mergeCell ref="AF209:AG210"/>
    <mergeCell ref="B207:C208"/>
    <mergeCell ref="D207:D208"/>
    <mergeCell ref="E207:E208"/>
    <mergeCell ref="J207:J208"/>
    <mergeCell ref="K207:L208"/>
    <mergeCell ref="M207:M208"/>
    <mergeCell ref="AF211:AG212"/>
    <mergeCell ref="B213:C214"/>
    <mergeCell ref="D213:D214"/>
    <mergeCell ref="E213:E214"/>
    <mergeCell ref="J213:J214"/>
    <mergeCell ref="K213:L214"/>
    <mergeCell ref="M213:M214"/>
    <mergeCell ref="AF213:AG214"/>
    <mergeCell ref="B211:C212"/>
    <mergeCell ref="D211:D212"/>
    <mergeCell ref="E211:E212"/>
    <mergeCell ref="J211:J212"/>
    <mergeCell ref="K211:L212"/>
    <mergeCell ref="M211:M212"/>
    <mergeCell ref="AF215:AG216"/>
    <mergeCell ref="B217:C218"/>
    <mergeCell ref="D217:D218"/>
    <mergeCell ref="E217:E218"/>
    <mergeCell ref="J217:J218"/>
    <mergeCell ref="K217:L218"/>
    <mergeCell ref="M217:M218"/>
    <mergeCell ref="AF217:AG218"/>
    <mergeCell ref="B215:C216"/>
    <mergeCell ref="D215:D216"/>
    <mergeCell ref="E215:E216"/>
    <mergeCell ref="J215:J216"/>
    <mergeCell ref="K215:L216"/>
    <mergeCell ref="M215:M216"/>
    <mergeCell ref="C224:D224"/>
    <mergeCell ref="K224:L224"/>
    <mergeCell ref="C225:D225"/>
    <mergeCell ref="K225:L225"/>
    <mergeCell ref="B227:D227"/>
    <mergeCell ref="K227:L227"/>
    <mergeCell ref="B221:B222"/>
    <mergeCell ref="C221:D222"/>
    <mergeCell ref="E221:G221"/>
    <mergeCell ref="H221:J221"/>
    <mergeCell ref="K221:M221"/>
    <mergeCell ref="K222:L222"/>
    <mergeCell ref="C226:D226"/>
    <mergeCell ref="K226:L226"/>
    <mergeCell ref="B230:L230"/>
    <mergeCell ref="B231:D231"/>
    <mergeCell ref="E231:G231"/>
    <mergeCell ref="H231:J231"/>
    <mergeCell ref="K231:M231"/>
    <mergeCell ref="C233:D233"/>
    <mergeCell ref="E233:G233"/>
    <mergeCell ref="H233:J233"/>
    <mergeCell ref="K233:M233"/>
    <mergeCell ref="N238:P238"/>
    <mergeCell ref="K239:L239"/>
    <mergeCell ref="C241:D241"/>
    <mergeCell ref="K241:L241"/>
    <mergeCell ref="C242:D242"/>
    <mergeCell ref="K242:L242"/>
    <mergeCell ref="C234:D234"/>
    <mergeCell ref="E234:G234"/>
    <mergeCell ref="H234:J234"/>
    <mergeCell ref="K234:M234"/>
    <mergeCell ref="B237:L237"/>
    <mergeCell ref="B238:B239"/>
    <mergeCell ref="C238:D239"/>
    <mergeCell ref="E238:G238"/>
    <mergeCell ref="H238:J238"/>
    <mergeCell ref="K238:M238"/>
    <mergeCell ref="C235:D235"/>
    <mergeCell ref="E235:G235"/>
    <mergeCell ref="H235:J235"/>
    <mergeCell ref="K235:M235"/>
    <mergeCell ref="N260:P260"/>
    <mergeCell ref="K261:L261"/>
    <mergeCell ref="C263:D263"/>
    <mergeCell ref="K263:L263"/>
    <mergeCell ref="C264:D264"/>
    <mergeCell ref="K264:L264"/>
    <mergeCell ref="B259:D259"/>
    <mergeCell ref="B260:B261"/>
    <mergeCell ref="C260:D261"/>
    <mergeCell ref="E260:G260"/>
    <mergeCell ref="H260:J260"/>
    <mergeCell ref="K260:M260"/>
    <mergeCell ref="N271:P271"/>
    <mergeCell ref="K272:L272"/>
    <mergeCell ref="C274:D274"/>
    <mergeCell ref="K274:L274"/>
    <mergeCell ref="C275:D275"/>
    <mergeCell ref="K275:L275"/>
    <mergeCell ref="B266:D266"/>
    <mergeCell ref="K266:L266"/>
    <mergeCell ref="B267:D267"/>
    <mergeCell ref="B269:M269"/>
    <mergeCell ref="B271:B272"/>
    <mergeCell ref="C271:D272"/>
    <mergeCell ref="E271:G271"/>
    <mergeCell ref="H271:J271"/>
    <mergeCell ref="K271:M271"/>
    <mergeCell ref="N280:P280"/>
    <mergeCell ref="K281:L281"/>
    <mergeCell ref="C283:D283"/>
    <mergeCell ref="K283:L283"/>
    <mergeCell ref="C284:D284"/>
    <mergeCell ref="K284:L284"/>
    <mergeCell ref="B277:D277"/>
    <mergeCell ref="K277:L277"/>
    <mergeCell ref="B278:L278"/>
    <mergeCell ref="B280:B281"/>
    <mergeCell ref="C280:D281"/>
    <mergeCell ref="E280:G280"/>
    <mergeCell ref="H280:J280"/>
    <mergeCell ref="K280:M280"/>
    <mergeCell ref="N289:P289"/>
    <mergeCell ref="K290:L290"/>
    <mergeCell ref="C292:D292"/>
    <mergeCell ref="K292:L292"/>
    <mergeCell ref="C293:D293"/>
    <mergeCell ref="K293:L293"/>
    <mergeCell ref="B286:D286"/>
    <mergeCell ref="K286:L286"/>
    <mergeCell ref="B287:L287"/>
    <mergeCell ref="B289:B290"/>
    <mergeCell ref="C289:D290"/>
    <mergeCell ref="E289:G289"/>
    <mergeCell ref="H289:J289"/>
    <mergeCell ref="K289:M289"/>
    <mergeCell ref="N300:P300"/>
    <mergeCell ref="K301:L301"/>
    <mergeCell ref="C303:D303"/>
    <mergeCell ref="K303:L303"/>
    <mergeCell ref="C304:D304"/>
    <mergeCell ref="K304:L304"/>
    <mergeCell ref="B295:D295"/>
    <mergeCell ref="K295:L295"/>
    <mergeCell ref="B296:L296"/>
    <mergeCell ref="B297:J297"/>
    <mergeCell ref="K297:M297"/>
    <mergeCell ref="B300:B301"/>
    <mergeCell ref="C300:D301"/>
    <mergeCell ref="E300:G300"/>
    <mergeCell ref="H300:J300"/>
    <mergeCell ref="K300:M300"/>
    <mergeCell ref="N310:P310"/>
    <mergeCell ref="G311:H311"/>
    <mergeCell ref="K311:M311"/>
    <mergeCell ref="C313:D313"/>
    <mergeCell ref="G313:H313"/>
    <mergeCell ref="K313:M313"/>
    <mergeCell ref="C316:D316"/>
    <mergeCell ref="G316:H316"/>
    <mergeCell ref="K316:M316"/>
    <mergeCell ref="B314:D314"/>
    <mergeCell ref="G314:H314"/>
    <mergeCell ref="K314:M314"/>
    <mergeCell ref="C315:D315"/>
    <mergeCell ref="G315:H315"/>
    <mergeCell ref="K315:M315"/>
    <mergeCell ref="B310:B311"/>
    <mergeCell ref="C310:D311"/>
    <mergeCell ref="I394:M394"/>
    <mergeCell ref="I395:M395"/>
    <mergeCell ref="I396:M396"/>
    <mergeCell ref="K322:L322"/>
    <mergeCell ref="I366:M366"/>
    <mergeCell ref="C337:G337"/>
    <mergeCell ref="B328:L328"/>
    <mergeCell ref="B332:E332"/>
    <mergeCell ref="B333:E333"/>
    <mergeCell ref="B334:E334"/>
    <mergeCell ref="C324:D324"/>
    <mergeCell ref="K324:L324"/>
    <mergeCell ref="C325:D325"/>
    <mergeCell ref="K325:L325"/>
    <mergeCell ref="B327:D327"/>
    <mergeCell ref="K327:L327"/>
    <mergeCell ref="I364:M364"/>
    <mergeCell ref="I365:M365"/>
    <mergeCell ref="I361:M361"/>
    <mergeCell ref="I362:M362"/>
    <mergeCell ref="I363:M363"/>
    <mergeCell ref="B321:B322"/>
    <mergeCell ref="C321:D322"/>
    <mergeCell ref="E321:G321"/>
    <mergeCell ref="K306:L306"/>
    <mergeCell ref="B309:M309"/>
    <mergeCell ref="E310:H310"/>
    <mergeCell ref="I310:M310"/>
    <mergeCell ref="B251:D251"/>
    <mergeCell ref="C252:D252"/>
    <mergeCell ref="C253:D253"/>
    <mergeCell ref="B255:D255"/>
    <mergeCell ref="C256:D256"/>
    <mergeCell ref="C257:D257"/>
    <mergeCell ref="C305:D305"/>
    <mergeCell ref="K305:L305"/>
    <mergeCell ref="B306:D306"/>
    <mergeCell ref="B335:E335"/>
    <mergeCell ref="B318:D318"/>
    <mergeCell ref="G318:H318"/>
    <mergeCell ref="K318:M318"/>
    <mergeCell ref="H321:J321"/>
    <mergeCell ref="K321:M321"/>
    <mergeCell ref="C317:D317"/>
    <mergeCell ref="B336:E336"/>
    <mergeCell ref="I367:M367"/>
    <mergeCell ref="G317:H317"/>
    <mergeCell ref="K317:M317"/>
    <mergeCell ref="C326:D326"/>
    <mergeCell ref="K326:L326"/>
    <mergeCell ref="B357:B358"/>
    <mergeCell ref="BF168:BI168"/>
    <mergeCell ref="BF94:BI94"/>
    <mergeCell ref="B393:H393"/>
    <mergeCell ref="B360:H360"/>
    <mergeCell ref="I360:M360"/>
    <mergeCell ref="B394:H394"/>
    <mergeCell ref="B395:H395"/>
    <mergeCell ref="B396:H396"/>
    <mergeCell ref="B384:H384"/>
    <mergeCell ref="B385:H385"/>
    <mergeCell ref="B386:H386"/>
    <mergeCell ref="B387:H387"/>
    <mergeCell ref="B388:H388"/>
    <mergeCell ref="B389:H389"/>
    <mergeCell ref="B390:H390"/>
    <mergeCell ref="B391:H391"/>
    <mergeCell ref="B392:H392"/>
    <mergeCell ref="B375:H375"/>
    <mergeCell ref="B376:H376"/>
    <mergeCell ref="B377:H377"/>
    <mergeCell ref="B378:H378"/>
    <mergeCell ref="B379:H379"/>
    <mergeCell ref="B380:H380"/>
    <mergeCell ref="B381:H381"/>
  </mergeCells>
  <conditionalFormatting sqref="F336 K297:L297">
    <cfRule type="cellIs" dxfId="49" priority="295" operator="equal">
      <formula>"No"</formula>
    </cfRule>
  </conditionalFormatting>
  <conditionalFormatting sqref="K233:K234">
    <cfRule type="expression" dxfId="48" priority="294">
      <formula>IFERROR(AND(K233&gt;0.1,K233&lt;&gt;""),FALSE)</formula>
    </cfRule>
  </conditionalFormatting>
  <conditionalFormatting sqref="B324:M325 B315:M316 B274:M275 B283:M284 B263:M264 B303:M304 B292:M293">
    <cfRule type="expression" dxfId="47" priority="280">
      <formula>AND(DESPath=3,OR($B263="District Cooling",$B263="District Hot Water",$B263="District Steam"))</formula>
    </cfRule>
  </conditionalFormatting>
  <conditionalFormatting sqref="E233:J234">
    <cfRule type="expression" dxfId="46" priority="1472">
      <formula>AND(DESPath=3,$B$253=$B233,ISERROR(1/VLOOKUP($B233,PO_Enrgy_7_Table,MATCH($G$223,PO_Enrgy_7_Hdr,0),FALSE)))</formula>
    </cfRule>
  </conditionalFormatting>
  <conditionalFormatting sqref="B361:H396">
    <cfRule type="expression" dxfId="45" priority="164">
      <formula>IF($R361=TRUE,TRUE,FALSE)</formula>
    </cfRule>
  </conditionalFormatting>
  <conditionalFormatting sqref="I361:M398">
    <cfRule type="expression" dxfId="44" priority="163">
      <formula>IF($R361=TRUE,TRUE,FALSE)</formula>
    </cfRule>
  </conditionalFormatting>
  <conditionalFormatting sqref="K235">
    <cfRule type="expression" dxfId="43" priority="16">
      <formula>IFERROR(AND(K235&gt;0.1,K235&lt;&gt;""),FALSE)</formula>
    </cfRule>
  </conditionalFormatting>
  <conditionalFormatting sqref="E235:J235">
    <cfRule type="expression" dxfId="42" priority="17">
      <formula>AND(DESPath=3,$B$253=$B235,ISERROR(1/VLOOKUP($B235,PO_Enrgy_7_Table,MATCH($G$223,PO_Enrgy_7_Hdr,0),FALSE)))</formula>
    </cfRule>
  </conditionalFormatting>
  <conditionalFormatting sqref="B265:M265">
    <cfRule type="expression" dxfId="41" priority="15">
      <formula>AND(DESPath=3,OR($B265="District Cooling",$B265="District Hot Water",$B265="District Steam"))</formula>
    </cfRule>
  </conditionalFormatting>
  <conditionalFormatting sqref="B276:M276">
    <cfRule type="expression" dxfId="40" priority="14">
      <formula>AND(DESPath=3,OR($B276="District Cooling",$B276="District Hot Water",$B276="District Steam"))</formula>
    </cfRule>
  </conditionalFormatting>
  <conditionalFormatting sqref="B285:M285">
    <cfRule type="expression" dxfId="39" priority="13">
      <formula>AND(DESPath=3,OR($B285="District Cooling",$B285="District Hot Water",$B285="District Steam"))</formula>
    </cfRule>
  </conditionalFormatting>
  <conditionalFormatting sqref="B294:M294">
    <cfRule type="expression" dxfId="38" priority="12">
      <formula>AND(DESPath=3,OR($B294="District Cooling",$B294="District Hot Water",$B294="District Steam"))</formula>
    </cfRule>
  </conditionalFormatting>
  <conditionalFormatting sqref="B305:M305">
    <cfRule type="expression" dxfId="37" priority="11">
      <formula>AND(DESPath=3,OR($B305="District Cooling",$B305="District Hot Water",$B305="District Steam"))</formula>
    </cfRule>
  </conditionalFormatting>
  <conditionalFormatting sqref="B317:M317">
    <cfRule type="expression" dxfId="36" priority="10">
      <formula>AND(DESPath=3,OR($B317="District Cooling",$B317="District Hot Water",$B317="District Steam"))</formula>
    </cfRule>
  </conditionalFormatting>
  <conditionalFormatting sqref="B326:M326">
    <cfRule type="expression" dxfId="35" priority="9">
      <formula>AND(DESPath=3,OR($B326="District Cooling",$B326="District Hot Water",$B326="District Steam"))</formula>
    </cfRule>
  </conditionalFormatting>
  <conditionalFormatting sqref="B397:H397">
    <cfRule type="expression" dxfId="34" priority="8">
      <formula>IF($R397=TRUE,TRUE,FALSE)</formula>
    </cfRule>
  </conditionalFormatting>
  <conditionalFormatting sqref="I397:M397">
    <cfRule type="expression" dxfId="33" priority="7">
      <formula>IF($R397=TRUE,TRUE,FALSE)</formula>
    </cfRule>
  </conditionalFormatting>
  <conditionalFormatting sqref="B398:H398">
    <cfRule type="expression" dxfId="32" priority="6">
      <formula>IF($R398=TRUE,TRUE,FALSE)</formula>
    </cfRule>
  </conditionalFormatting>
  <conditionalFormatting sqref="I398:M398">
    <cfRule type="expression" dxfId="31" priority="5">
      <formula>IF($R398=TRUE,TRUE,FALSE)</formula>
    </cfRule>
  </conditionalFormatting>
  <conditionalFormatting sqref="BF95:BF150">
    <cfRule type="expression" dxfId="30" priority="4">
      <formula>IF(SimTool&lt;&gt;"eQUEST",TRUE,FALSE)</formula>
    </cfRule>
  </conditionalFormatting>
  <conditionalFormatting sqref="BG95:BI150">
    <cfRule type="expression" dxfId="29" priority="3">
      <formula>IF(SimTool&lt;&gt;"Trace",TRUE,FALSE)</formula>
    </cfRule>
  </conditionalFormatting>
  <conditionalFormatting sqref="BF169:BF224">
    <cfRule type="expression" dxfId="28" priority="2">
      <formula>IF(SimTool&lt;&gt;"eQUEST",TRUE,FALSE)</formula>
    </cfRule>
  </conditionalFormatting>
  <conditionalFormatting sqref="BG169:BI224">
    <cfRule type="expression" dxfId="27" priority="1">
      <formula>IF(SimTool&lt;&gt;"Trace",TRUE,FALSE)</formula>
    </cfRule>
  </conditionalFormatting>
  <dataValidations count="21">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97:E144 E171:E218 C61:D61 D57:D60" xr:uid="{00000000-0002-0000-1300-000000000000}">
      <formula1>INDEX(PO_Enrgy_1_Table,,1)</formula1>
    </dataValidation>
    <dataValidation type="list" allowBlank="1" showInputMessage="1" showErrorMessage="1" sqref="F57:F60" xr:uid="{00000000-0002-0000-1300-000001000000}">
      <formula1>"Add to Baseline, Subtract from Proposed"</formula1>
    </dataValidation>
    <dataValidation allowBlank="1" showInputMessage="1" showErrorMessage="1" errorTitle="Not a valid energy type" error="This energy type has not yet been listed in the energy sources table above. Please fill out the energy sources table above; then select from the list of energy types." sqref="B57:C60" xr:uid="{00000000-0002-0000-1300-000002000000}"/>
    <dataValidation type="list" allowBlank="1" showInputMessage="1" showErrorMessage="1" prompt="Select &quot;Add to Baseline&quot; if the exceptional calculation adjusts the Baseline building energy consumption and cost up, or &quot;Subtract from Proposed&quot; if the exceptional calculation adjusts the Proposed building energy consumption and cost down." sqref="AR57:AR60" xr:uid="{00000000-0002-0000-1300-000003000000}">
      <formula1>"Apply to Baseline, Subtract from Proposed"</formula1>
    </dataValidation>
    <dataValidation allowBlank="1" showInputMessage="1" showErrorMessage="1" prompt="Enter energy savings as a positive number. If the exceptional calculation method leads to energy penalties for this energy type (i.e. increased proposed case energy usage or decreased baseline case usage), enter the penalty as a negative number." sqref="AW57:AY60 AS57:AU60" xr:uid="{00000000-0002-0000-1300-000004000000}"/>
    <dataValidation type="whole" allowBlank="1" showErrorMessage="1" errorTitle="Input Error" error="Please enter a whole number between 0 and 8,760 hours." sqref="F333:F334" xr:uid="{00000000-0002-0000-1300-000005000000}">
      <formula1>0</formula1>
      <formula2>8760</formula2>
    </dataValidation>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20:L21" xr:uid="{00000000-0002-0000-1300-000006000000}">
      <formula1>ConsumptionUnits</formula1>
    </dataValidation>
    <dataValidation allowBlank="1" promptTitle="Energy End Use" prompt="Select the energy end use or enter the end use if not listed." sqref="B171:C218 B97:C144" xr:uid="{00000000-0002-0000-1300-000007000000}"/>
    <dataValidation type="list" allowBlank="1" showInputMessage="1" showErrorMessage="1" promptTitle="Energy Type" sqref="E33:E34" xr:uid="{00000000-0002-0000-1300-000008000000}">
      <formula1>INDEX(PO_Enrgy_1_Table,,1)</formula1>
    </dataValidation>
    <dataValidation type="list" allowBlank="1" showInputMessage="1" promptTitle="Renewable Source" sqref="B33:D34" xr:uid="{00000000-0002-0000-1300-000009000000}">
      <formula1>RenewableSource</formula1>
    </dataValidation>
    <dataValidation allowBlank="1" showErrorMessage="1" promptTitle="Calculated Automatically" prompt="This value is calculated automatically based on the virtual energy rates" sqref="T33:T34 J33:J34" xr:uid="{00000000-0002-0000-1300-00000A000000}"/>
    <dataValidation allowBlank="1" showInputMessage="1" sqref="H33:H34" xr:uid="{00000000-0002-0000-1300-00000B000000}"/>
    <dataValidation type="list" showInputMessage="1" sqref="D171:D218 D97:D144" xr:uid="{00000000-0002-0000-1300-00000C000000}">
      <formula1>" x"</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219" xr:uid="{00000000-0002-0000-1300-00000D000000}">
      <formula1>PO_EnergyType</formula1>
    </dataValidation>
    <dataValidation type="list" allowBlank="1" promptTitle="Fossil Fuel" prompt="Select the fossil fuel used within the District Plant for generating District Cooling (if applicable)." sqref="B253" xr:uid="{00000000-0002-0000-1300-00000E000000}">
      <formula1>INDEX(PO_Enrgy_1_Table,,1)</formula1>
    </dataValidation>
    <dataValidation allowBlank="1" showErrorMessage="1" sqref="B320 B308:B309 B288 B270 B237 B299 B246 B251 B279 B255" xr:uid="{00000000-0002-0000-1300-00000F000000}"/>
    <dataValidation type="list" allowBlank="1" showInputMessage="1" promptTitle="Utility Rate Structure" sqref="H17:H19" xr:uid="{00000000-0002-0000-1300-000010000000}">
      <formula1>UtilityRateStructure</formula1>
    </dataValidation>
    <dataValidation type="list" allowBlank="1" showInputMessage="1" showErrorMessage="1" errorTitle="Required Input" error="The units must be selected from the provided list." promptTitle="Energy Consumption Units:" sqref="C17:C19" xr:uid="{00000000-0002-0000-1300-000011000000}">
      <formula1>ConsumptionUnits</formula1>
    </dataValidation>
    <dataValidation allowBlank="1" showInputMessage="1" showErrorMessage="1" promptTitle="Utility Rate Name" sqref="F17:F19 N17:O19" xr:uid="{00000000-0002-0000-1300-000012000000}"/>
    <dataValidation type="list" allowBlank="1" showInputMessage="1" showErrorMessage="1" errorTitle="Invalid Entry" error="Please select from the list of values shown." promptTitle="Project Energy Types" sqref="B17:B19" xr:uid="{00000000-0002-0000-1300-000013000000}">
      <formula1>FuelTypes</formula1>
    </dataValidation>
    <dataValidation type="list" errorStyle="warning" allowBlank="1" showInputMessage="1" showErrorMessage="1" errorTitle="Required Input" error="The units must be selected from the provided list." promptTitle="Select the demand units:" sqref="E17:E19" xr:uid="{00000000-0002-0000-1300-000014000000}">
      <formula1>DemandUnits</formula1>
    </dataValidation>
  </dataValidations>
  <pageMargins left="0.5" right="0.5" top="0.75" bottom="0.75" header="0.5" footer="0.5"/>
  <pageSetup scale="10" orientation="landscape" r:id="rId1"/>
  <headerFooter alignWithMargins="0">
    <oddFooter>&amp;LU S Green Building Council&amp;C&amp;"Arial,Bold"&amp;A&amp;RLEED&amp;XTM&amp;X v. 2.2</oddFooter>
  </headerFooter>
  <ignoredErrors>
    <ignoredError sqref="BF171:BI224 BI97:BI15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tnAddUtility">
              <controlPr defaultSize="0" print="0" autoFill="0" autoPict="0" macro="[0]!AddEnergyType">
                <anchor moveWithCells="1">
                  <from>
                    <xdr:col>1</xdr:col>
                    <xdr:colOff>0</xdr:colOff>
                    <xdr:row>21</xdr:row>
                    <xdr:rowOff>95250</xdr:rowOff>
                  </from>
                  <to>
                    <xdr:col>1</xdr:col>
                    <xdr:colOff>1333500</xdr:colOff>
                    <xdr:row>21</xdr:row>
                    <xdr:rowOff>361950</xdr:rowOff>
                  </to>
                </anchor>
              </controlPr>
            </control>
          </mc:Choice>
        </mc:AlternateContent>
        <mc:AlternateContent xmlns:mc="http://schemas.openxmlformats.org/markup-compatibility/2006">
          <mc:Choice Requires="x14">
            <control shapeId="139266" r:id="rId5" name="btnDeleteUtility">
              <controlPr defaultSize="0" print="0" autoFill="0" autoPict="0" macro="[0]!DeleteEnergyType">
                <anchor moveWithCells="1">
                  <from>
                    <xdr:col>1</xdr:col>
                    <xdr:colOff>1381125</xdr:colOff>
                    <xdr:row>21</xdr:row>
                    <xdr:rowOff>104775</xdr:rowOff>
                  </from>
                  <to>
                    <xdr:col>2</xdr:col>
                    <xdr:colOff>1323975</xdr:colOff>
                    <xdr:row>21</xdr:row>
                    <xdr:rowOff>352425</xdr:rowOff>
                  </to>
                </anchor>
              </controlPr>
            </control>
          </mc:Choice>
        </mc:AlternateContent>
        <mc:AlternateContent xmlns:mc="http://schemas.openxmlformats.org/markup-compatibility/2006">
          <mc:Choice Requires="x14">
            <control shapeId="139267" r:id="rId6" name="btnAddRenewable">
              <controlPr defaultSize="0" print="0" autoFill="0" autoPict="0" macro="[0]!addA">
                <anchor moveWithCells="1">
                  <from>
                    <xdr:col>1</xdr:col>
                    <xdr:colOff>57150</xdr:colOff>
                    <xdr:row>43</xdr:row>
                    <xdr:rowOff>104775</xdr:rowOff>
                  </from>
                  <to>
                    <xdr:col>1</xdr:col>
                    <xdr:colOff>1419225</xdr:colOff>
                    <xdr:row>46</xdr:row>
                    <xdr:rowOff>0</xdr:rowOff>
                  </to>
                </anchor>
              </controlPr>
            </control>
          </mc:Choice>
        </mc:AlternateContent>
        <mc:AlternateContent xmlns:mc="http://schemas.openxmlformats.org/markup-compatibility/2006">
          <mc:Choice Requires="x14">
            <control shapeId="139268" r:id="rId7" name="btbDeleteRenewable">
              <controlPr defaultSize="0" print="0" autoFill="0" autoPict="0" macro="[0]!DeleteSome">
                <anchor moveWithCells="1">
                  <from>
                    <xdr:col>2</xdr:col>
                    <xdr:colOff>28575</xdr:colOff>
                    <xdr:row>43</xdr:row>
                    <xdr:rowOff>104775</xdr:rowOff>
                  </from>
                  <to>
                    <xdr:col>2</xdr:col>
                    <xdr:colOff>1400175</xdr:colOff>
                    <xdr:row>46</xdr:row>
                    <xdr:rowOff>0</xdr:rowOff>
                  </to>
                </anchor>
              </controlPr>
            </control>
          </mc:Choice>
        </mc:AlternateContent>
        <mc:AlternateContent xmlns:mc="http://schemas.openxmlformats.org/markup-compatibility/2006">
          <mc:Choice Requires="x14">
            <control shapeId="139269" r:id="rId8" name="rbOutputReporting1">
              <controlPr defaultSize="0" autoFill="0" autoLine="0" autoPict="0" macro="[0]!ShowBaselineTable">
                <anchor moveWithCells="1">
                  <from>
                    <xdr:col>1</xdr:col>
                    <xdr:colOff>123825</xdr:colOff>
                    <xdr:row>76</xdr:row>
                    <xdr:rowOff>57150</xdr:rowOff>
                  </from>
                  <to>
                    <xdr:col>1</xdr:col>
                    <xdr:colOff>466725</xdr:colOff>
                    <xdr:row>76</xdr:row>
                    <xdr:rowOff>266700</xdr:rowOff>
                  </to>
                </anchor>
              </controlPr>
            </control>
          </mc:Choice>
        </mc:AlternateContent>
        <mc:AlternateContent xmlns:mc="http://schemas.openxmlformats.org/markup-compatibility/2006">
          <mc:Choice Requires="x14">
            <control shapeId="139270" r:id="rId9" name="rbOutputReporting2">
              <controlPr defaultSize="0" autoFill="0" autoLine="0" autoPict="0" macro="[0]!HideBaselineTable">
                <anchor moveWithCells="1">
                  <from>
                    <xdr:col>1</xdr:col>
                    <xdr:colOff>95250</xdr:colOff>
                    <xdr:row>77</xdr:row>
                    <xdr:rowOff>57150</xdr:rowOff>
                  </from>
                  <to>
                    <xdr:col>1</xdr:col>
                    <xdr:colOff>419100</xdr:colOff>
                    <xdr:row>78</xdr:row>
                    <xdr:rowOff>190500</xdr:rowOff>
                  </to>
                </anchor>
              </controlPr>
            </control>
          </mc:Choice>
        </mc:AlternateContent>
        <mc:AlternateContent xmlns:mc="http://schemas.openxmlformats.org/markup-compatibility/2006">
          <mc:Choice Requires="x14">
            <control shapeId="139271" r:id="rId10" name="rbOutputReporting4">
              <controlPr defaultSize="0" autoFill="0" autoLine="0" autoPict="0" macro="[0]!HideBaselineTable">
                <anchor moveWithCells="1">
                  <from>
                    <xdr:col>1</xdr:col>
                    <xdr:colOff>95250</xdr:colOff>
                    <xdr:row>81</xdr:row>
                    <xdr:rowOff>57150</xdr:rowOff>
                  </from>
                  <to>
                    <xdr:col>1</xdr:col>
                    <xdr:colOff>438150</xdr:colOff>
                    <xdr:row>82</xdr:row>
                    <xdr:rowOff>209550</xdr:rowOff>
                  </to>
                </anchor>
              </controlPr>
            </control>
          </mc:Choice>
        </mc:AlternateContent>
        <mc:AlternateContent xmlns:mc="http://schemas.openxmlformats.org/markup-compatibility/2006">
          <mc:Choice Requires="x14">
            <control shapeId="139272" r:id="rId11" name="rbgOutputReporting">
              <controlPr defaultSize="0" print="0" autoFill="0" autoPict="0">
                <anchor moveWithCells="1">
                  <from>
                    <xdr:col>0</xdr:col>
                    <xdr:colOff>133350</xdr:colOff>
                    <xdr:row>74</xdr:row>
                    <xdr:rowOff>361950</xdr:rowOff>
                  </from>
                  <to>
                    <xdr:col>13</xdr:col>
                    <xdr:colOff>0</xdr:colOff>
                    <xdr:row>84</xdr:row>
                    <xdr:rowOff>0</xdr:rowOff>
                  </to>
                </anchor>
              </controlPr>
            </control>
          </mc:Choice>
        </mc:AlternateContent>
        <mc:AlternateContent xmlns:mc="http://schemas.openxmlformats.org/markup-compatibility/2006">
          <mc:Choice Requires="x14">
            <control shapeId="139273" r:id="rId12" name="SiteRenewable Checkbox">
              <controlPr defaultSize="0" autoFill="0" autoLine="0" autoPict="0" macro="[0]!SiteRenewable_Change">
                <anchor moveWithCells="1">
                  <from>
                    <xdr:col>1</xdr:col>
                    <xdr:colOff>57150</xdr:colOff>
                    <xdr:row>24</xdr:row>
                    <xdr:rowOff>95250</xdr:rowOff>
                  </from>
                  <to>
                    <xdr:col>1</xdr:col>
                    <xdr:colOff>400050</xdr:colOff>
                    <xdr:row>25</xdr:row>
                    <xdr:rowOff>209550</xdr:rowOff>
                  </to>
                </anchor>
              </controlPr>
            </control>
          </mc:Choice>
        </mc:AlternateContent>
        <mc:AlternateContent xmlns:mc="http://schemas.openxmlformats.org/markup-compatibility/2006">
          <mc:Choice Requires="x14">
            <control shapeId="139274" r:id="rId13" name="ExcCalcCheckbox">
              <controlPr locked="0" defaultSize="0" autoFill="0" autoLine="0" autoPict="0" macro="[0]!ExCalc_Change">
                <anchor moveWithCells="1">
                  <from>
                    <xdr:col>1</xdr:col>
                    <xdr:colOff>19050</xdr:colOff>
                    <xdr:row>46</xdr:row>
                    <xdr:rowOff>76200</xdr:rowOff>
                  </from>
                  <to>
                    <xdr:col>1</xdr:col>
                    <xdr:colOff>400050</xdr:colOff>
                    <xdr:row>47</xdr:row>
                    <xdr:rowOff>247650</xdr:rowOff>
                  </to>
                </anchor>
              </controlPr>
            </control>
          </mc:Choice>
        </mc:AlternateContent>
        <mc:AlternateContent xmlns:mc="http://schemas.openxmlformats.org/markup-compatibility/2006">
          <mc:Choice Requires="x14">
            <control shapeId="139275" r:id="rId14" name="rbOutputReporting3">
              <controlPr defaultSize="0" autoFill="0" autoLine="0" autoPict="0" macro="[0]!HideBaselineTable">
                <anchor moveWithCells="1">
                  <from>
                    <xdr:col>1</xdr:col>
                    <xdr:colOff>95250</xdr:colOff>
                    <xdr:row>79</xdr:row>
                    <xdr:rowOff>57150</xdr:rowOff>
                  </from>
                  <to>
                    <xdr:col>1</xdr:col>
                    <xdr:colOff>419100</xdr:colOff>
                    <xdr:row>80</xdr:row>
                    <xdr:rowOff>209550</xdr:rowOff>
                  </to>
                </anchor>
              </controlPr>
            </control>
          </mc:Choice>
        </mc:AlternateContent>
        <mc:AlternateContent xmlns:mc="http://schemas.openxmlformats.org/markup-compatibility/2006">
          <mc:Choice Requires="x14">
            <control shapeId="139276" r:id="rId15" name="btnRestoreRenewCost">
              <controlPr defaultSize="0" print="0" autoFill="0" autoPict="0" macro="[0]!Copy_Default_Renewable_Cost">
                <anchor moveWithCells="1">
                  <from>
                    <xdr:col>10</xdr:col>
                    <xdr:colOff>428625</xdr:colOff>
                    <xdr:row>43</xdr:row>
                    <xdr:rowOff>152400</xdr:rowOff>
                  </from>
                  <to>
                    <xdr:col>12</xdr:col>
                    <xdr:colOff>1076325</xdr:colOff>
                    <xdr:row>45</xdr:row>
                    <xdr:rowOff>257175</xdr:rowOff>
                  </to>
                </anchor>
              </controlPr>
            </control>
          </mc:Choice>
        </mc:AlternateContent>
        <mc:AlternateContent xmlns:mc="http://schemas.openxmlformats.org/markup-compatibility/2006">
          <mc:Choice Requires="x14">
            <control shapeId="139277" r:id="rId16" name="btnAddExCalc">
              <controlPr defaultSize="0" print="0" autoFill="0" autoPict="0" macro="[0]!addB">
                <anchor moveWithCells="1">
                  <from>
                    <xdr:col>1</xdr:col>
                    <xdr:colOff>57150</xdr:colOff>
                    <xdr:row>71</xdr:row>
                    <xdr:rowOff>171450</xdr:rowOff>
                  </from>
                  <to>
                    <xdr:col>1</xdr:col>
                    <xdr:colOff>1419225</xdr:colOff>
                    <xdr:row>74</xdr:row>
                    <xdr:rowOff>266700</xdr:rowOff>
                  </to>
                </anchor>
              </controlPr>
            </control>
          </mc:Choice>
        </mc:AlternateContent>
        <mc:AlternateContent xmlns:mc="http://schemas.openxmlformats.org/markup-compatibility/2006">
          <mc:Choice Requires="x14">
            <control shapeId="139278" r:id="rId17" name="btnDeleteExCalc">
              <controlPr defaultSize="0" print="0" autoFill="0" autoPict="0" macro="[0]!DeleteSome">
                <anchor moveWithCells="1">
                  <from>
                    <xdr:col>2</xdr:col>
                    <xdr:colOff>57150</xdr:colOff>
                    <xdr:row>71</xdr:row>
                    <xdr:rowOff>161925</xdr:rowOff>
                  </from>
                  <to>
                    <xdr:col>2</xdr:col>
                    <xdr:colOff>1428750</xdr:colOff>
                    <xdr:row>74</xdr:row>
                    <xdr:rowOff>276225</xdr:rowOff>
                  </to>
                </anchor>
              </controlPr>
            </control>
          </mc:Choice>
        </mc:AlternateContent>
        <mc:AlternateContent xmlns:mc="http://schemas.openxmlformats.org/markup-compatibility/2006">
          <mc:Choice Requires="x14">
            <control shapeId="139279" r:id="rId18" name="btnRestoreExCalCost">
              <controlPr defaultSize="0" print="0" autoFill="0" autoPict="0" macro="[0]!Copy_Default_ExCalc_Cost">
                <anchor moveWithCells="1">
                  <from>
                    <xdr:col>10</xdr:col>
                    <xdr:colOff>428625</xdr:colOff>
                    <xdr:row>71</xdr:row>
                    <xdr:rowOff>142875</xdr:rowOff>
                  </from>
                  <to>
                    <xdr:col>12</xdr:col>
                    <xdr:colOff>1076325</xdr:colOff>
                    <xdr:row>74</xdr:row>
                    <xdr:rowOff>257175</xdr:rowOff>
                  </to>
                </anchor>
              </controlPr>
            </control>
          </mc:Choice>
        </mc:AlternateContent>
        <mc:AlternateContent xmlns:mc="http://schemas.openxmlformats.org/markup-compatibility/2006">
          <mc:Choice Requires="x14">
            <control shapeId="139292" r:id="rId19" name="Button 28">
              <controlPr defaultSize="0" print="0" autoFill="0" autoPict="0" macro="[0]!Copy_Default_PO_VR_Table">
                <anchor moveWithCells="1">
                  <from>
                    <xdr:col>10</xdr:col>
                    <xdr:colOff>514350</xdr:colOff>
                    <xdr:row>235</xdr:row>
                    <xdr:rowOff>142875</xdr:rowOff>
                  </from>
                  <to>
                    <xdr:col>12</xdr:col>
                    <xdr:colOff>1162050</xdr:colOff>
                    <xdr:row>236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pageSetUpPr fitToPage="1"/>
  </sheetPr>
  <dimension ref="A1:BI394"/>
  <sheetViews>
    <sheetView showGridLines="0" zoomScale="90" zoomScaleNormal="90" zoomScaleSheetLayoutView="100" zoomScalePageLayoutView="90" workbookViewId="0"/>
  </sheetViews>
  <sheetFormatPr defaultColWidth="8.7109375" defaultRowHeight="12.75" outlineLevelCol="1" x14ac:dyDescent="0.25"/>
  <cols>
    <col min="1" max="1" width="2.7109375" style="671" customWidth="1"/>
    <col min="2" max="2" width="21.42578125" style="671" customWidth="1"/>
    <col min="3" max="3" width="24.42578125" style="671" customWidth="1"/>
    <col min="4" max="4" width="3.7109375" style="671" customWidth="1"/>
    <col min="5" max="5" width="17.42578125" style="671" customWidth="1"/>
    <col min="6" max="6" width="21.140625" style="671" customWidth="1"/>
    <col min="7" max="10" width="19.28515625" style="671" customWidth="1"/>
    <col min="11" max="12" width="8.7109375" style="671" customWidth="1"/>
    <col min="13" max="13" width="17.5703125" style="671" customWidth="1"/>
    <col min="14" max="15" width="2.7109375" style="671" customWidth="1"/>
    <col min="16" max="16" width="9.140625" style="671" hidden="1" customWidth="1"/>
    <col min="17" max="17" width="19.42578125" style="671" hidden="1" customWidth="1" outlineLevel="1"/>
    <col min="18" max="18" width="13.42578125" style="671" hidden="1" customWidth="1" outlineLevel="1"/>
    <col min="19" max="19" width="12.42578125" style="671" hidden="1" customWidth="1" outlineLevel="1"/>
    <col min="20" max="28" width="9.140625" style="671" hidden="1" customWidth="1" outlineLevel="1"/>
    <col min="29" max="31" width="11.140625" style="671" hidden="1" customWidth="1" outlineLevel="1"/>
    <col min="32" max="32" width="9.7109375" style="671" hidden="1" customWidth="1" outlineLevel="1"/>
    <col min="33" max="33" width="9.140625" style="671" hidden="1" customWidth="1" outlineLevel="1"/>
    <col min="34" max="34" width="12.42578125" style="671" hidden="1" customWidth="1" outlineLevel="1"/>
    <col min="35" max="35" width="9.140625" style="671" hidden="1" customWidth="1" outlineLevel="1"/>
    <col min="36" max="36" width="15.7109375" style="671" hidden="1" customWidth="1" outlineLevel="1"/>
    <col min="37" max="37" width="9.140625" style="671" hidden="1" customWidth="1" outlineLevel="1"/>
    <col min="38" max="38" width="10.28515625" style="671" hidden="1" customWidth="1" outlineLevel="1"/>
    <col min="39" max="39" width="10.42578125" style="671" hidden="1" customWidth="1" outlineLevel="1"/>
    <col min="40" max="40" width="9.140625" style="671" hidden="1" customWidth="1" outlineLevel="1"/>
    <col min="41" max="43" width="14.7109375" style="671" hidden="1" customWidth="1" outlineLevel="1"/>
    <col min="44" max="45" width="9.140625" style="671" hidden="1" customWidth="1" outlineLevel="1"/>
    <col min="46" max="47" width="10.28515625" style="671" hidden="1" customWidth="1" outlineLevel="1"/>
    <col min="48" max="48" width="9.140625" style="671" hidden="1" customWidth="1" outlineLevel="1"/>
    <col min="49" max="50" width="11" style="671" hidden="1" customWidth="1" outlineLevel="1"/>
    <col min="51" max="52" width="9.140625" style="671" hidden="1" customWidth="1" outlineLevel="1"/>
    <col min="53" max="53" width="2.7109375" style="671" customWidth="1" collapsed="1"/>
    <col min="54" max="54" width="2.7109375" style="671" customWidth="1"/>
    <col min="55" max="55" width="50.7109375" style="671" customWidth="1"/>
    <col min="56" max="57" width="9.140625" style="671" customWidth="1"/>
    <col min="58" max="61" width="25.7109375" style="671" hidden="1" customWidth="1"/>
    <col min="62" max="102" width="9.140625" style="671" customWidth="1"/>
    <col min="103" max="16384" width="8.7109375" style="671"/>
  </cols>
  <sheetData>
    <row r="1" spans="1:55" s="118" customFormat="1" x14ac:dyDescent="0.25">
      <c r="A1" s="1099" t="s">
        <v>1298</v>
      </c>
      <c r="B1" s="629"/>
      <c r="C1" s="629"/>
      <c r="D1" s="629"/>
      <c r="E1" s="629"/>
      <c r="F1" s="629"/>
      <c r="G1" s="629"/>
      <c r="H1" s="629"/>
      <c r="I1" s="629"/>
      <c r="J1" s="629"/>
      <c r="K1" s="629"/>
      <c r="L1" s="629"/>
      <c r="M1" s="629"/>
      <c r="Q1" s="83"/>
      <c r="R1" s="83"/>
      <c r="V1" s="83"/>
      <c r="W1" s="83"/>
      <c r="X1" s="83"/>
      <c r="Y1" s="83"/>
      <c r="Z1" s="83"/>
      <c r="AA1" s="83"/>
      <c r="AB1" s="83"/>
      <c r="AC1" s="83"/>
      <c r="AD1" s="83"/>
      <c r="AE1" s="83"/>
      <c r="AF1" s="83"/>
      <c r="AG1" s="83"/>
      <c r="AH1" s="83"/>
      <c r="AI1" s="83"/>
      <c r="AJ1" s="83"/>
      <c r="AK1" s="83"/>
      <c r="AL1" s="83"/>
      <c r="AM1" s="83"/>
    </row>
    <row r="2" spans="1:55" s="118" customFormat="1" ht="24.75" customHeight="1" x14ac:dyDescent="0.25">
      <c r="A2" s="1099" t="s">
        <v>1298</v>
      </c>
      <c r="B2" s="78" t="s">
        <v>1297</v>
      </c>
      <c r="C2" s="629"/>
      <c r="D2" s="634"/>
      <c r="E2" s="634"/>
      <c r="F2" s="634"/>
      <c r="G2" s="634"/>
      <c r="H2" s="634"/>
      <c r="I2" s="634"/>
      <c r="J2" s="634"/>
      <c r="K2" s="634"/>
      <c r="L2" s="634"/>
      <c r="M2" s="634"/>
      <c r="Q2" s="83"/>
      <c r="R2" s="83"/>
      <c r="V2" s="83"/>
      <c r="W2" s="83"/>
      <c r="X2" s="83"/>
      <c r="Y2" s="83"/>
      <c r="Z2" s="83"/>
      <c r="AA2" s="83"/>
      <c r="AB2" s="83"/>
      <c r="AC2" s="83"/>
      <c r="AD2" s="83"/>
      <c r="AE2" s="83"/>
      <c r="AF2" s="83"/>
      <c r="AG2" s="83"/>
      <c r="AH2" s="83"/>
      <c r="AI2" s="83"/>
      <c r="AJ2" s="83"/>
      <c r="AK2" s="83"/>
      <c r="AL2" s="83"/>
      <c r="AM2" s="83"/>
    </row>
    <row r="3" spans="1:55" s="118" customFormat="1" ht="15" customHeight="1" x14ac:dyDescent="0.25">
      <c r="A3" s="1099" t="s">
        <v>1298</v>
      </c>
      <c r="B3" s="629"/>
      <c r="C3" s="629"/>
      <c r="D3" s="629"/>
      <c r="E3" s="629"/>
      <c r="F3" s="629"/>
      <c r="G3" s="629"/>
      <c r="H3" s="629"/>
      <c r="I3" s="629"/>
      <c r="J3" s="629"/>
      <c r="K3" s="629"/>
      <c r="L3" s="629"/>
      <c r="M3" s="629"/>
      <c r="Q3" s="83"/>
      <c r="R3" s="83"/>
      <c r="V3" s="83"/>
      <c r="W3" s="83"/>
      <c r="X3" s="83"/>
      <c r="Y3" s="83"/>
      <c r="Z3" s="83"/>
      <c r="AA3" s="83"/>
      <c r="AB3" s="83"/>
      <c r="AC3" s="83"/>
      <c r="AD3" s="83"/>
      <c r="AE3" s="83"/>
      <c r="AF3" s="83"/>
      <c r="AG3" s="83"/>
      <c r="AH3" s="83"/>
      <c r="AI3" s="83"/>
      <c r="AJ3" s="83"/>
      <c r="AK3" s="83"/>
      <c r="AL3" s="83"/>
      <c r="AM3" s="83"/>
    </row>
    <row r="4" spans="1:55" ht="21.75" customHeight="1" x14ac:dyDescent="0.25">
      <c r="A4" s="1243" t="s">
        <v>1298</v>
      </c>
      <c r="B4" s="657"/>
      <c r="C4" s="1627"/>
      <c r="D4" s="1627"/>
      <c r="E4" s="1649"/>
      <c r="F4" s="1649"/>
      <c r="G4" s="1649"/>
      <c r="H4" s="1649"/>
      <c r="I4" s="1649"/>
      <c r="J4" s="1649"/>
      <c r="K4" s="1649"/>
      <c r="L4" s="1649"/>
      <c r="M4" s="1649"/>
      <c r="Q4" s="1250" t="s">
        <v>1505</v>
      </c>
    </row>
    <row r="5" spans="1:55" ht="21.75" customHeight="1" x14ac:dyDescent="0.25">
      <c r="A5" s="1243" t="s">
        <v>1298</v>
      </c>
      <c r="B5" s="1244" t="s">
        <v>1762</v>
      </c>
      <c r="C5" s="1627"/>
      <c r="D5" s="1627"/>
      <c r="E5" s="1649"/>
      <c r="F5" s="1649"/>
      <c r="G5" s="1649"/>
      <c r="H5" s="3313"/>
      <c r="I5" s="3314"/>
      <c r="J5" s="3314"/>
      <c r="K5" s="3314"/>
      <c r="L5" s="3314"/>
      <c r="M5" s="3315"/>
      <c r="Q5" s="1549" t="str">
        <f>IFERROR(INDEX(MBD_EMI_Table,MATCH($H$5,MBD_EMI_Index,0),MATCH('Multiple Buildings Details'!$J$16,MBD_EMI_Hdr,0)),"ERROR")</f>
        <v>ERROR</v>
      </c>
    </row>
    <row r="6" spans="1:55" ht="21.75" customHeight="1" x14ac:dyDescent="0.25">
      <c r="A6" s="1243" t="s">
        <v>1298</v>
      </c>
      <c r="B6" s="657"/>
      <c r="C6" s="1627"/>
      <c r="D6" s="1627"/>
      <c r="E6" s="1649"/>
      <c r="F6" s="1649"/>
      <c r="G6" s="1649"/>
      <c r="H6" s="1649"/>
      <c r="I6" s="1649"/>
      <c r="J6" s="1649"/>
      <c r="K6" s="1649"/>
      <c r="L6" s="1649"/>
      <c r="M6" s="1649"/>
    </row>
    <row r="7" spans="1:55" ht="22.5" customHeight="1" x14ac:dyDescent="0.25">
      <c r="A7" s="1243" t="s">
        <v>1298</v>
      </c>
      <c r="B7" s="3316" t="s">
        <v>1125</v>
      </c>
      <c r="C7" s="3316"/>
      <c r="D7" s="3316"/>
      <c r="E7" s="3316"/>
      <c r="F7" s="3316"/>
      <c r="G7" s="3316"/>
      <c r="H7" s="3316"/>
      <c r="I7" s="3316"/>
      <c r="J7" s="3316"/>
      <c r="K7" s="3316"/>
      <c r="L7" s="3316"/>
      <c r="M7" s="3316"/>
    </row>
    <row r="8" spans="1:55" ht="15.75" customHeight="1" x14ac:dyDescent="0.25">
      <c r="A8" s="1243" t="s">
        <v>1298</v>
      </c>
      <c r="B8" s="3317"/>
      <c r="C8" s="3318"/>
      <c r="D8" s="3318"/>
      <c r="E8" s="3318"/>
      <c r="F8" s="3318"/>
      <c r="G8" s="3318"/>
      <c r="H8" s="3318"/>
      <c r="I8" s="3318"/>
      <c r="J8" s="3318"/>
      <c r="K8" s="3318"/>
      <c r="L8" s="3318"/>
      <c r="M8" s="3318"/>
    </row>
    <row r="9" spans="1:55" ht="52.5" customHeight="1" x14ac:dyDescent="0.25">
      <c r="A9" s="1243" t="s">
        <v>1298</v>
      </c>
      <c r="B9" s="3319" t="s">
        <v>1763</v>
      </c>
      <c r="C9" s="3319"/>
      <c r="D9" s="3319"/>
      <c r="E9" s="3319"/>
      <c r="F9" s="3319"/>
      <c r="G9" s="3319"/>
      <c r="H9" s="3319"/>
      <c r="I9" s="3319"/>
      <c r="J9" s="3319"/>
      <c r="K9" s="3319"/>
      <c r="L9" s="3319"/>
      <c r="M9" s="3320"/>
      <c r="BC9" s="671" t="s">
        <v>2090</v>
      </c>
    </row>
    <row r="10" spans="1:55" ht="33" customHeight="1" x14ac:dyDescent="0.25">
      <c r="A10" s="1243" t="s">
        <v>1298</v>
      </c>
      <c r="B10" s="3321" t="s">
        <v>1127</v>
      </c>
      <c r="C10" s="3322"/>
      <c r="D10" s="3322"/>
      <c r="E10" s="3322"/>
      <c r="F10" s="3322"/>
      <c r="G10" s="3322"/>
      <c r="H10" s="3322"/>
      <c r="I10" s="3322"/>
      <c r="J10" s="3322"/>
      <c r="K10" s="3322"/>
      <c r="L10" s="3322"/>
      <c r="M10" s="3322"/>
    </row>
    <row r="11" spans="1:55" ht="34.15" hidden="1" customHeight="1" x14ac:dyDescent="0.25">
      <c r="A11" s="1243" t="s">
        <v>1298</v>
      </c>
      <c r="B11" s="3321" t="s">
        <v>1192</v>
      </c>
      <c r="C11" s="3322"/>
      <c r="D11" s="3322"/>
      <c r="E11" s="3322"/>
      <c r="F11" s="3322"/>
      <c r="G11" s="3322"/>
      <c r="H11" s="3322"/>
      <c r="I11" s="3322"/>
      <c r="J11" s="3322"/>
      <c r="K11" s="3322"/>
      <c r="L11" s="3322"/>
      <c r="M11" s="3322"/>
    </row>
    <row r="12" spans="1:55" ht="33" hidden="1" customHeight="1" x14ac:dyDescent="0.25">
      <c r="A12" s="1243" t="s">
        <v>1298</v>
      </c>
      <c r="B12" s="3321" t="s">
        <v>1128</v>
      </c>
      <c r="C12" s="3322"/>
      <c r="D12" s="3322"/>
      <c r="E12" s="3322"/>
      <c r="F12" s="3322"/>
      <c r="G12" s="3322"/>
      <c r="H12" s="3322"/>
      <c r="I12" s="3322"/>
      <c r="J12" s="3322"/>
      <c r="K12" s="3322"/>
      <c r="L12" s="3322"/>
      <c r="M12" s="3322"/>
    </row>
    <row r="13" spans="1:55" ht="15.75" customHeight="1" x14ac:dyDescent="0.25">
      <c r="A13" s="1243" t="s">
        <v>1298</v>
      </c>
      <c r="B13" s="3317"/>
      <c r="C13" s="3318"/>
      <c r="D13" s="3318"/>
      <c r="E13" s="3318"/>
      <c r="F13" s="3318"/>
      <c r="G13" s="3318"/>
      <c r="H13" s="3318"/>
      <c r="I13" s="3318"/>
      <c r="J13" s="3318"/>
      <c r="K13" s="3318"/>
      <c r="L13" s="3318"/>
      <c r="M13" s="3318"/>
    </row>
    <row r="14" spans="1:55" ht="15" customHeight="1" x14ac:dyDescent="0.25">
      <c r="A14" s="1243" t="s">
        <v>1298</v>
      </c>
      <c r="B14" s="3158" t="s">
        <v>444</v>
      </c>
      <c r="C14" s="3158" t="s">
        <v>494</v>
      </c>
      <c r="D14" s="3125"/>
      <c r="E14" s="3158" t="s">
        <v>493</v>
      </c>
      <c r="F14" s="3158" t="s">
        <v>492</v>
      </c>
      <c r="G14" s="3125"/>
      <c r="H14" s="3158" t="s">
        <v>491</v>
      </c>
      <c r="I14" s="3125"/>
      <c r="J14" s="3125"/>
      <c r="K14" s="3124" t="s">
        <v>1764</v>
      </c>
      <c r="L14" s="3328"/>
      <c r="M14" s="3328"/>
      <c r="N14" s="596"/>
      <c r="O14" s="596"/>
      <c r="P14" s="596"/>
      <c r="AC14" s="1245"/>
    </row>
    <row r="15" spans="1:55" ht="62.25" customHeight="1" x14ac:dyDescent="0.25">
      <c r="A15" s="1243" t="s">
        <v>1298</v>
      </c>
      <c r="B15" s="3125"/>
      <c r="C15" s="3125"/>
      <c r="D15" s="3125"/>
      <c r="E15" s="3125"/>
      <c r="F15" s="3125"/>
      <c r="G15" s="3125"/>
      <c r="H15" s="3125"/>
      <c r="I15" s="3125"/>
      <c r="J15" s="3125"/>
      <c r="K15" s="3124" t="str">
        <f>CONCATENATE("Energy Type Consumption Units to Site Energy Consumption (",PO_SiteUnits,")")</f>
        <v>Energy Type Consumption Units to Site Energy Consumption (Btu x 10^6)</v>
      </c>
      <c r="L15" s="3328"/>
      <c r="M15" s="1623" t="str">
        <f>CONCATENATE("Energy Type Consumption Units to Source Energy Consumption (",PO_SourceUnits,")")</f>
        <v>Energy Type Consumption Units to Source Energy Consumption (Btu x 10^6)</v>
      </c>
      <c r="N15" s="596"/>
      <c r="O15" s="596"/>
      <c r="P15" s="596"/>
      <c r="AC15" s="1246"/>
    </row>
    <row r="16" spans="1:55" ht="15" hidden="1" customHeight="1" x14ac:dyDescent="0.25">
      <c r="A16" s="1243" t="s">
        <v>1298</v>
      </c>
      <c r="B16" s="1336" t="s">
        <v>1765</v>
      </c>
      <c r="C16" s="3308" t="s">
        <v>1766</v>
      </c>
      <c r="D16" s="3125"/>
      <c r="E16" s="1336" t="s">
        <v>1767</v>
      </c>
      <c r="F16" s="1336" t="s">
        <v>1768</v>
      </c>
      <c r="G16" s="1337"/>
      <c r="H16" s="1336" t="s">
        <v>1769</v>
      </c>
      <c r="I16" s="1338"/>
      <c r="J16" s="1339"/>
      <c r="K16" s="1336" t="s">
        <v>1770</v>
      </c>
      <c r="L16" s="1339"/>
      <c r="M16" s="1337" t="s">
        <v>1771</v>
      </c>
      <c r="N16" s="1334"/>
      <c r="O16" s="1246"/>
      <c r="P16" s="596"/>
    </row>
    <row r="17" spans="1:55" ht="15" customHeight="1" x14ac:dyDescent="0.25">
      <c r="A17" s="1243" t="s">
        <v>1298</v>
      </c>
      <c r="B17" s="1673" t="str">
        <f>IFERROR(IF(Performance_Outputs_1!B17&lt;&gt;"",Performance_Outputs_1!B17,""),"")</f>
        <v>Electricity</v>
      </c>
      <c r="C17" s="3366" t="str">
        <f>IFERROR(IF(Performance_Outputs_1!C17&lt;&gt;"",Performance_Outputs_1!C17,""),"")</f>
        <v>kWh</v>
      </c>
      <c r="D17" s="3367" t="s">
        <v>1046</v>
      </c>
      <c r="E17" s="1645" t="str">
        <f>IFERROR(IF(Performance_Outputs_1!E17&lt;&gt;"",Performance_Outputs_1!E17,""),"")</f>
        <v>kW</v>
      </c>
      <c r="F17" s="3368" t="str">
        <f>IFERROR(IF(Performance_Outputs_1!F17&lt;&gt;"",Performance_Outputs_1!F17,""),"")</f>
        <v>UT Electricity</v>
      </c>
      <c r="G17" s="3369" t="s">
        <v>1046</v>
      </c>
      <c r="H17" s="3370" t="str">
        <f>IFERROR(IF(Performance_Outputs_1!H17&lt;&gt;"",Performance_Outputs_1!H17,""),"")</f>
        <v>Fixed Rates per unit of consumption</v>
      </c>
      <c r="I17" s="3371" t="s">
        <v>1046</v>
      </c>
      <c r="J17" s="3371" t="s">
        <v>1046</v>
      </c>
      <c r="K17" s="3311">
        <f>IFERROR(VLOOKUP("kBtu",EnergyUnitsTable,3,FALSE)/VLOOKUP(PO_SiteUnits,EnergyUnitsTable,3,FALSE)*VLOOKUP($C17,EnergyUnitsTable,3,FALSE),"")</f>
        <v>3.4120000000000001E-3</v>
      </c>
      <c r="L17" s="3312"/>
      <c r="M17" s="1966">
        <f>IFERROR(VLOOKUP("kBtu",EnergyUnitsTable,3,FALSE)/VLOOKUP(PO_SourceUnits,EnergyUnitsTable,3,FALSE)*VLOOKUP($C17,EnergyUnitsTable,3,FALSE)*VLOOKUP($B17,FuelTypesTable,2,FALSE),"")</f>
        <v>1.0713680000000001E-2</v>
      </c>
      <c r="N17" s="1247"/>
      <c r="O17" s="1247"/>
      <c r="P17" s="596"/>
      <c r="BC17" s="2292"/>
    </row>
    <row r="18" spans="1:55" ht="15" customHeight="1" x14ac:dyDescent="0.25">
      <c r="A18" s="1243" t="s">
        <v>1298</v>
      </c>
      <c r="B18" s="1673" t="str">
        <f>IFERROR(IF(Performance_Outputs_1!B18&lt;&gt;"",Performance_Outputs_1!B18,""),"")</f>
        <v>District Steam</v>
      </c>
      <c r="C18" s="3366" t="str">
        <f>IFERROR(IF(Performance_Outputs_1!C18&lt;&gt;"",Performance_Outputs_1!C18,""),"")</f>
        <v>therm</v>
      </c>
      <c r="D18" s="3367" t="s">
        <v>1046</v>
      </c>
      <c r="E18" s="1645" t="str">
        <f>IFERROR(IF(Performance_Outputs_1!E18&lt;&gt;"",Performance_Outputs_1!E18,""),"")</f>
        <v>MBH</v>
      </c>
      <c r="F18" s="3368" t="str">
        <f>IFERROR(IF(Performance_Outputs_1!F18&lt;&gt;"",Performance_Outputs_1!F18,""),"")</f>
        <v>UT District Steam</v>
      </c>
      <c r="G18" s="3369" t="s">
        <v>1046</v>
      </c>
      <c r="H18" s="3370" t="str">
        <f>IFERROR(IF(Performance_Outputs_1!H18&lt;&gt;"",Performance_Outputs_1!H18,""),"")</f>
        <v>Fixed Rates per unit of consumption</v>
      </c>
      <c r="I18" s="3371" t="s">
        <v>1046</v>
      </c>
      <c r="J18" s="3371" t="s">
        <v>1046</v>
      </c>
      <c r="K18" s="3311">
        <f>IFERROR(VLOOKUP("kBtu",EnergyUnitsTable,3,FALSE)/VLOOKUP(PO_SiteUnits,EnergyUnitsTable,3,FALSE)*VLOOKUP($C18,EnergyUnitsTable,3,FALSE),"")</f>
        <v>0.1</v>
      </c>
      <c r="L18" s="3312"/>
      <c r="M18" s="1966">
        <f>IFERROR(VLOOKUP("kBtu",EnergyUnitsTable,3,FALSE)/VLOOKUP(PO_SourceUnits,EnergyUnitsTable,3,FALSE)*VLOOKUP($C18,EnergyUnitsTable,3,FALSE)*VLOOKUP($B18,FuelTypesTable,2,FALSE),"")</f>
        <v>0.12</v>
      </c>
      <c r="N18" s="1247"/>
      <c r="O18" s="1247"/>
      <c r="P18" s="596"/>
      <c r="BC18" s="2292"/>
    </row>
    <row r="19" spans="1:55" ht="15" customHeight="1" x14ac:dyDescent="0.25">
      <c r="A19" s="1243" t="s">
        <v>1298</v>
      </c>
      <c r="B19" s="1673" t="str">
        <f>IFERROR(IF(Performance_Outputs_1!B19&lt;&gt;"",Performance_Outputs_1!B19,""),"")</f>
        <v>District Cooling</v>
      </c>
      <c r="C19" s="3366" t="str">
        <f>IFERROR(IF(Performance_Outputs_1!C19&lt;&gt;"",Performance_Outputs_1!C19,""),"")</f>
        <v>therm</v>
      </c>
      <c r="D19" s="3367" t="s">
        <v>1046</v>
      </c>
      <c r="E19" s="2161" t="str">
        <f>IFERROR(IF(Performance_Outputs_1!E19&lt;&gt;"",Performance_Outputs_1!E19,""),"")</f>
        <v>MBH</v>
      </c>
      <c r="F19" s="3368" t="str">
        <f>IFERROR(IF(Performance_Outputs_1!F19&lt;&gt;"",Performance_Outputs_1!F19,""),"")</f>
        <v>UT District Chilled Water</v>
      </c>
      <c r="G19" s="3369" t="s">
        <v>1046</v>
      </c>
      <c r="H19" s="3370" t="str">
        <f>IFERROR(IF(Performance_Outputs_1!H19&lt;&gt;"",Performance_Outputs_1!H19,""),"")</f>
        <v>Fixed Rates per unit of consumption</v>
      </c>
      <c r="I19" s="3371" t="s">
        <v>1046</v>
      </c>
      <c r="J19" s="3371" t="s">
        <v>1046</v>
      </c>
      <c r="K19" s="3311">
        <f>IFERROR(VLOOKUP("kBtu",EnergyUnitsTable,3,FALSE)/VLOOKUP(PO_SiteUnits,EnergyUnitsTable,3,FALSE)*VLOOKUP($C19,EnergyUnitsTable,3,FALSE),"")</f>
        <v>0.1</v>
      </c>
      <c r="L19" s="3312"/>
      <c r="M19" s="1966">
        <f>IFERROR(VLOOKUP("kBtu",EnergyUnitsTable,3,FALSE)/VLOOKUP(PO_SourceUnits,EnergyUnitsTable,3,FALSE)*VLOOKUP($C19,EnergyUnitsTable,3,FALSE)*VLOOKUP($B19,FuelTypesTable,2,FALSE),"")</f>
        <v>0.1</v>
      </c>
      <c r="N19" s="1247"/>
      <c r="O19" s="1247"/>
      <c r="P19" s="596"/>
      <c r="BC19" s="2292"/>
    </row>
    <row r="20" spans="1:55" ht="21" customHeight="1" x14ac:dyDescent="0.25">
      <c r="A20" s="1243" t="s">
        <v>1298</v>
      </c>
      <c r="B20" s="3302" t="s">
        <v>1114</v>
      </c>
      <c r="C20" s="3284"/>
      <c r="D20" s="3284"/>
      <c r="E20" s="3284"/>
      <c r="F20" s="3284"/>
      <c r="G20" s="3284"/>
      <c r="H20" s="3284"/>
      <c r="I20" s="3284"/>
      <c r="J20" s="3284"/>
      <c r="K20" s="3284"/>
      <c r="L20" s="3303" t="str">
        <f>IF(SI_IP_Units="SI","MWh","Btu x 10^6")</f>
        <v>Btu x 10^6</v>
      </c>
      <c r="M20" s="3274"/>
      <c r="N20" s="596"/>
      <c r="O20" s="596"/>
      <c r="P20" s="596"/>
      <c r="BC20" s="2292"/>
    </row>
    <row r="21" spans="1:55" ht="21" customHeight="1" x14ac:dyDescent="0.25">
      <c r="A21" s="1243" t="s">
        <v>1298</v>
      </c>
      <c r="B21" s="3304" t="s">
        <v>1115</v>
      </c>
      <c r="C21" s="3284"/>
      <c r="D21" s="3284"/>
      <c r="E21" s="3284"/>
      <c r="F21" s="3284"/>
      <c r="G21" s="3284"/>
      <c r="H21" s="3284"/>
      <c r="I21" s="3284"/>
      <c r="J21" s="3284"/>
      <c r="K21" s="3284"/>
      <c r="L21" s="3303" t="str">
        <f>IF(SI_IP_Units="SI","MWh","Btu x 10^6")</f>
        <v>Btu x 10^6</v>
      </c>
      <c r="M21" s="3274"/>
      <c r="BC21" s="2292"/>
    </row>
    <row r="22" spans="1:55" ht="33.75" customHeight="1" x14ac:dyDescent="0.25">
      <c r="A22" s="1243" t="s">
        <v>1298</v>
      </c>
      <c r="B22" s="635"/>
      <c r="C22" s="613"/>
      <c r="D22" s="590"/>
      <c r="E22" s="590"/>
      <c r="F22" s="590"/>
      <c r="G22" s="590"/>
      <c r="H22" s="590"/>
      <c r="I22" s="590"/>
      <c r="J22" s="590"/>
      <c r="K22" s="590"/>
      <c r="L22" s="591"/>
      <c r="M22" s="591"/>
    </row>
    <row r="23" spans="1:55" ht="33.75" customHeight="1" x14ac:dyDescent="0.25">
      <c r="A23" s="1243" t="s">
        <v>1298</v>
      </c>
      <c r="B23" s="635"/>
      <c r="C23" s="613"/>
      <c r="D23" s="590"/>
      <c r="E23" s="590"/>
      <c r="F23" s="590"/>
      <c r="G23" s="590"/>
      <c r="H23" s="590"/>
      <c r="I23" s="590"/>
      <c r="J23" s="590"/>
      <c r="K23" s="590"/>
      <c r="L23" s="591"/>
      <c r="M23" s="591"/>
    </row>
    <row r="24" spans="1:55" s="640" customFormat="1" ht="20.25" customHeight="1" x14ac:dyDescent="0.25">
      <c r="A24" s="1243" t="s">
        <v>1298</v>
      </c>
      <c r="B24" s="712" t="s">
        <v>1844</v>
      </c>
    </row>
    <row r="25" spans="1:55" s="592" customFormat="1" ht="12.75" customHeight="1" x14ac:dyDescent="0.25">
      <c r="A25" s="1243" t="s">
        <v>1298</v>
      </c>
      <c r="B25" s="594"/>
      <c r="C25" s="650"/>
      <c r="D25" s="650"/>
      <c r="E25" s="650"/>
      <c r="F25" s="650"/>
      <c r="G25" s="650"/>
      <c r="H25" s="650"/>
      <c r="I25" s="650"/>
      <c r="J25" s="650"/>
      <c r="K25" s="650"/>
      <c r="L25" s="594"/>
      <c r="M25" s="594"/>
      <c r="AD25" s="1553" t="s">
        <v>1075</v>
      </c>
    </row>
    <row r="26" spans="1:55" s="592" customFormat="1" ht="21" customHeight="1" x14ac:dyDescent="0.25">
      <c r="A26" s="1243" t="s">
        <v>1298</v>
      </c>
      <c r="B26" s="713" t="s">
        <v>1845</v>
      </c>
      <c r="C26" s="650"/>
      <c r="D26" s="650"/>
      <c r="E26" s="650"/>
      <c r="F26" s="650"/>
      <c r="G26" s="650"/>
      <c r="H26" s="650"/>
      <c r="I26" s="650"/>
      <c r="J26" s="650"/>
      <c r="K26" s="650"/>
      <c r="L26" s="594"/>
      <c r="M26" s="594"/>
      <c r="AD26" s="1549" t="b">
        <v>1</v>
      </c>
    </row>
    <row r="27" spans="1:55" s="595" customFormat="1" ht="15" customHeight="1" x14ac:dyDescent="0.25">
      <c r="A27" s="1243" t="s">
        <v>1298</v>
      </c>
      <c r="C27" s="596"/>
      <c r="D27" s="596"/>
      <c r="E27" s="596"/>
      <c r="F27" s="596"/>
      <c r="G27" s="596"/>
      <c r="H27" s="596"/>
      <c r="K27" s="596"/>
      <c r="L27" s="596"/>
      <c r="M27" s="596"/>
    </row>
    <row r="28" spans="1:55" ht="21" customHeight="1" x14ac:dyDescent="0.25">
      <c r="A28" s="1243" t="s">
        <v>1298</v>
      </c>
      <c r="B28" s="3305" t="s">
        <v>1846</v>
      </c>
      <c r="C28" s="3305"/>
      <c r="D28" s="3305"/>
      <c r="E28" s="3305"/>
      <c r="F28" s="3305"/>
      <c r="G28" s="3305"/>
      <c r="H28" s="3305"/>
      <c r="I28" s="3305"/>
      <c r="J28" s="3305"/>
      <c r="K28" s="3305"/>
      <c r="L28" s="3305"/>
      <c r="M28" s="3306"/>
    </row>
    <row r="29" spans="1:55" ht="115.5" customHeight="1" x14ac:dyDescent="0.25">
      <c r="A29" s="1243" t="s">
        <v>1298</v>
      </c>
      <c r="B29" s="3307" t="s">
        <v>1848</v>
      </c>
      <c r="C29" s="3220"/>
      <c r="D29" s="3220"/>
      <c r="E29" s="3220"/>
      <c r="F29" s="3220"/>
      <c r="G29" s="3220"/>
      <c r="H29" s="3220"/>
      <c r="I29" s="3220"/>
      <c r="J29" s="3220"/>
      <c r="K29" s="3220"/>
      <c r="L29" s="3220"/>
      <c r="M29" s="3220"/>
    </row>
    <row r="30" spans="1:55" ht="32.25" customHeight="1" x14ac:dyDescent="0.2">
      <c r="A30" s="1243" t="s">
        <v>1298</v>
      </c>
      <c r="B30" s="612"/>
      <c r="C30" s="590"/>
      <c r="D30" s="590"/>
      <c r="E30" s="590"/>
      <c r="F30" s="590"/>
      <c r="G30" s="1647"/>
      <c r="H30" s="1647"/>
      <c r="I30" s="1647"/>
      <c r="J30" s="1647"/>
      <c r="K30" s="1647"/>
      <c r="L30" s="597"/>
      <c r="M30" s="597"/>
    </row>
    <row r="31" spans="1:55" ht="57.75" customHeight="1" x14ac:dyDescent="0.25">
      <c r="A31" s="1243" t="s">
        <v>1298</v>
      </c>
      <c r="B31" s="3123" t="s">
        <v>1847</v>
      </c>
      <c r="C31" s="3298"/>
      <c r="D31" s="3298"/>
      <c r="E31" s="1623" t="s">
        <v>1250</v>
      </c>
      <c r="F31" s="3123" t="s">
        <v>1112</v>
      </c>
      <c r="G31" s="3299"/>
      <c r="H31" s="3123" t="s">
        <v>486</v>
      </c>
      <c r="I31" s="3300"/>
      <c r="J31" s="3123" t="s">
        <v>1251</v>
      </c>
      <c r="K31" s="3301"/>
      <c r="L31" s="2724"/>
      <c r="M31" s="2724"/>
      <c r="T31" s="1249" t="s">
        <v>1778</v>
      </c>
      <c r="U31" s="1249" t="s">
        <v>1955</v>
      </c>
    </row>
    <row r="32" spans="1:55" s="1248" customFormat="1" ht="12.75" hidden="1" customHeight="1" x14ac:dyDescent="0.2">
      <c r="A32" s="1243" t="s">
        <v>1298</v>
      </c>
      <c r="B32" s="1342" t="s">
        <v>1772</v>
      </c>
      <c r="C32" s="1343"/>
      <c r="D32" s="1343"/>
      <c r="E32" s="1344" t="s">
        <v>1773</v>
      </c>
      <c r="F32" s="1342" t="s">
        <v>1774</v>
      </c>
      <c r="G32" s="1345"/>
      <c r="H32" s="1342" t="s">
        <v>1775</v>
      </c>
      <c r="I32" s="1346"/>
      <c r="J32" s="1342" t="s">
        <v>446</v>
      </c>
      <c r="K32" s="1347"/>
      <c r="L32" s="1348"/>
      <c r="M32" s="1348"/>
      <c r="Q32" s="1550" t="s">
        <v>1776</v>
      </c>
      <c r="R32" s="1550" t="s">
        <v>1777</v>
      </c>
      <c r="S32" s="1550" t="s">
        <v>1386</v>
      </c>
      <c r="T32" s="1550" t="s">
        <v>1778</v>
      </c>
      <c r="U32" s="1550" t="s">
        <v>1955</v>
      </c>
    </row>
    <row r="33" spans="1:55" ht="15" customHeight="1" x14ac:dyDescent="0.25">
      <c r="A33" s="1243" t="s">
        <v>915</v>
      </c>
      <c r="B33" s="3290" t="s">
        <v>680</v>
      </c>
      <c r="C33" s="3291"/>
      <c r="D33" s="3291"/>
      <c r="E33" s="1349" t="s">
        <v>464</v>
      </c>
      <c r="F33" s="1350"/>
      <c r="G33" s="1351" t="str">
        <f>IFERROR(IF(ISBLANK($E33),"",VLOOKUP($E33,PO_Enrgy_1_Table,MATCH($E$16,PO_Enrgy_1_Hdr,0),FALSE)),"")</f>
        <v>kW</v>
      </c>
      <c r="H33" s="1350"/>
      <c r="I33" s="1352" t="str">
        <f>IFERROR(IF(ISBLANK($E33),"",VLOOKUP($E33,PO_Enrgy_1_Table,MATCH($C$16,PO_Enrgy_1_Hdr,0),FALSE)),"")</f>
        <v>kWh</v>
      </c>
      <c r="J33" s="3292" t="str">
        <f t="shared" ref="J33:M34" si="0">IFERROR($H33*VLOOKUP($E33,PO_Enrgy_8_Table,MATCH($H$232,PO_Enrgy_8_Hdr,0),FALSE),"")</f>
        <v/>
      </c>
      <c r="K33" s="3293" t="str">
        <f t="shared" si="0"/>
        <v/>
      </c>
      <c r="L33" s="3365" t="str">
        <f t="shared" si="0"/>
        <v/>
      </c>
      <c r="M33" s="3365" t="str">
        <f t="shared" si="0"/>
        <v/>
      </c>
      <c r="Q33" s="1549">
        <f>IFERROR(IF(ISBLANK($E33),"",VLOOKUP($E33,PO_Enrgy_1_Table,MATCH($K$16,PO_Enrgy_1_Hdr,0),FALSE)),"")</f>
        <v>3.4120000000000001E-3</v>
      </c>
      <c r="R33" s="1549">
        <f>IFERROR(IF(ISBLANK($E33),"",VLOOKUP($E33,PO_Enrgy_1_Table,MATCH($M$16,PO_Enrgy_1_Hdr,0),FALSE)),"")</f>
        <v>1.0713680000000001E-2</v>
      </c>
      <c r="S33" s="1549" t="str">
        <f>IFERROR((H33*VLOOKUP(I33,EnergyUnitsTable,3,FALSE))/(F33*VLOOKUP(G33,DemandTable,3,FALSE)),"")</f>
        <v/>
      </c>
      <c r="T33" s="1551" t="str">
        <f>IFERROR($H33*VLOOKUP($E33,PO_Enrgy_8_Table,MATCH($H$232,PO_Enrgy_8_Hdr,0),FALSE),"")</f>
        <v/>
      </c>
      <c r="U33" s="1554">
        <f>IFERROR(1-$J33/$T33,0)</f>
        <v>0</v>
      </c>
      <c r="AH33" s="1251"/>
      <c r="AI33" s="1252"/>
      <c r="AJ33" s="1252"/>
      <c r="BC33" s="2292"/>
    </row>
    <row r="34" spans="1:55" ht="15" customHeight="1" x14ac:dyDescent="0.25">
      <c r="A34" s="1243"/>
      <c r="B34" s="3290" t="s">
        <v>654</v>
      </c>
      <c r="C34" s="3291"/>
      <c r="D34" s="3291"/>
      <c r="E34" s="1349" t="s">
        <v>478</v>
      </c>
      <c r="F34" s="1350"/>
      <c r="G34" s="1351" t="str">
        <f>IFERROR(IF(ISBLANK($E34),"",VLOOKUP($E34,PO_Enrgy_1_Table,MATCH($E$16,PO_Enrgy_1_Hdr,0),FALSE)),"")</f>
        <v/>
      </c>
      <c r="H34" s="1350"/>
      <c r="I34" s="1352" t="str">
        <f>IFERROR(IF(ISBLANK($E34),"",VLOOKUP($E34,PO_Enrgy_1_Table,MATCH($C$16,PO_Enrgy_1_Hdr,0),FALSE)),"")</f>
        <v/>
      </c>
      <c r="J34" s="3292" t="str">
        <f t="shared" si="0"/>
        <v/>
      </c>
      <c r="K34" s="3293" t="str">
        <f t="shared" si="0"/>
        <v/>
      </c>
      <c r="L34" s="3365" t="str">
        <f t="shared" si="0"/>
        <v/>
      </c>
      <c r="M34" s="3365" t="str">
        <f t="shared" si="0"/>
        <v/>
      </c>
      <c r="Q34" s="1549" t="str">
        <f>IFERROR(IF(ISBLANK($E34),"",VLOOKUP($E34,PO_Enrgy_1_Table,MATCH($K$16,PO_Enrgy_1_Hdr,0),FALSE)),"")</f>
        <v/>
      </c>
      <c r="R34" s="1549" t="str">
        <f>IFERROR(IF(ISBLANK($E34),"",VLOOKUP($E34,PO_Enrgy_1_Table,MATCH($M$16,PO_Enrgy_1_Hdr,0),FALSE)),"")</f>
        <v/>
      </c>
      <c r="S34" s="1549" t="str">
        <f>IFERROR((H34*VLOOKUP(I34,EnergyUnitsTable,3,FALSE))/(F34*VLOOKUP(G34,DemandTable,3,FALSE)),"")</f>
        <v/>
      </c>
      <c r="T34" s="1551" t="str">
        <f>IFERROR($H34*VLOOKUP($E34,PO_Enrgy_8_Table,MATCH($H$232,PO_Enrgy_8_Hdr,0),FALSE),"")</f>
        <v/>
      </c>
      <c r="U34" s="1554">
        <f>IFERROR(1-$J34/$T34,0)</f>
        <v>0</v>
      </c>
      <c r="AH34" s="1251"/>
      <c r="AI34" s="1252"/>
      <c r="AJ34" s="1252"/>
      <c r="BC34" s="2292"/>
    </row>
    <row r="35" spans="1:55" ht="18" customHeight="1" x14ac:dyDescent="0.25">
      <c r="A35" s="1243"/>
      <c r="B35" s="3123" t="s">
        <v>1779</v>
      </c>
      <c r="C35" s="3295"/>
      <c r="D35" s="3295"/>
      <c r="E35" s="3295"/>
      <c r="F35" s="3295"/>
      <c r="G35" s="3295"/>
      <c r="H35" s="3295"/>
      <c r="I35" s="3295"/>
      <c r="J35" s="3295"/>
      <c r="K35" s="3295"/>
      <c r="L35" s="3295"/>
      <c r="M35" s="3295"/>
    </row>
    <row r="36" spans="1:55" ht="20.25" customHeight="1" x14ac:dyDescent="0.25">
      <c r="A36" s="1243"/>
      <c r="B36" s="3123" t="s">
        <v>1780</v>
      </c>
      <c r="C36" s="2777"/>
      <c r="D36" s="2777"/>
      <c r="E36" s="3188" t="s">
        <v>486</v>
      </c>
      <c r="F36" s="2777"/>
      <c r="G36" s="2777"/>
      <c r="H36" s="3296" t="str">
        <f>CONCATENATE("Annual Source Energy Generated
 (", PO_SourceUnits, ")")</f>
        <v>Annual Source Energy Generated
 (Btu x 10^6)</v>
      </c>
      <c r="I36" s="3297"/>
      <c r="J36" s="3123" t="s">
        <v>1251</v>
      </c>
      <c r="K36" s="2777"/>
      <c r="L36" s="2777"/>
      <c r="M36" s="2777"/>
    </row>
    <row r="37" spans="1:55" ht="20.25" customHeight="1" x14ac:dyDescent="0.25">
      <c r="A37" s="1243"/>
      <c r="B37" s="2777"/>
      <c r="C37" s="2777"/>
      <c r="D37" s="2777"/>
      <c r="E37" s="3188" t="s">
        <v>1781</v>
      </c>
      <c r="F37" s="2777"/>
      <c r="G37" s="1623" t="str">
        <f>CONCATENATE("Units = ", PO_SiteUnits,")")</f>
        <v>Units = Btu x 10^6)</v>
      </c>
      <c r="H37" s="3297"/>
      <c r="I37" s="3297"/>
      <c r="J37" s="2777"/>
      <c r="K37" s="2777"/>
      <c r="L37" s="2777"/>
      <c r="M37" s="2777"/>
    </row>
    <row r="38" spans="1:55" s="1254" customFormat="1" ht="12.75" hidden="1" customHeight="1" x14ac:dyDescent="0.2">
      <c r="A38" s="1253"/>
      <c r="B38" s="1336" t="s">
        <v>1765</v>
      </c>
      <c r="C38" s="1353"/>
      <c r="D38" s="1353"/>
      <c r="E38" s="1354" t="s">
        <v>1782</v>
      </c>
      <c r="F38" s="1355" t="s">
        <v>1783</v>
      </c>
      <c r="G38" s="1356" t="s">
        <v>1784</v>
      </c>
      <c r="H38" s="1355" t="s">
        <v>1785</v>
      </c>
      <c r="I38" s="1356"/>
      <c r="J38" s="1355" t="s">
        <v>446</v>
      </c>
      <c r="K38" s="1357"/>
      <c r="L38" s="1358"/>
      <c r="M38" s="1358"/>
      <c r="Q38" s="1550" t="s">
        <v>1776</v>
      </c>
      <c r="R38" s="1550" t="s">
        <v>1777</v>
      </c>
    </row>
    <row r="39" spans="1:55" ht="15" customHeight="1" x14ac:dyDescent="0.25">
      <c r="A39" s="1243"/>
      <c r="B39" s="3289" t="str">
        <f>IFERROR(IF(ISBLANK(B17),"",B17),"")</f>
        <v>Electricity</v>
      </c>
      <c r="C39" s="3360"/>
      <c r="D39" s="3360"/>
      <c r="E39" s="1359">
        <f>IFERROR(IF(PO_SiteRenewable=TRUE,SUMIF(INDEX(PO_renewable_table,0,MATCH($E$32,PO_renewable_hdr,0)),$B39,INDEX(PO_renewable_table,0,MATCH($H$32,PO_renewable_hdr,0))),""),"")</f>
        <v>0</v>
      </c>
      <c r="F39" s="1360" t="str">
        <f>IFERROR(IF(ISBLANK($B39),"",VLOOKUP($B39,PO_Enrgy_1_Table,MATCH($C$16,PO_Enrgy_1_Hdr,0),FALSE)),"")</f>
        <v>kWh</v>
      </c>
      <c r="G39" s="1676">
        <f>IFERROR($E39*$Q39,"")</f>
        <v>0</v>
      </c>
      <c r="H39" s="3280">
        <f>IFERROR($E39*$R39,"")</f>
        <v>0</v>
      </c>
      <c r="I39" s="3361"/>
      <c r="J39" s="3281">
        <f>IFERROR(IF(PO_SiteRenewable=TRUE,SUMIF($E$33:$E$34,$B39,$J$33:$J$34),0),"")</f>
        <v>0</v>
      </c>
      <c r="K39" s="3362"/>
      <c r="L39" s="3362"/>
      <c r="M39" s="3362"/>
      <c r="Q39" s="1549">
        <f>IFERROR(IF(ISBLANK($B39),"",VLOOKUP($B39,PO_Enrgy_1_Table,MATCH($K$16,PO_Enrgy_1_Hdr,0),FALSE)),"")</f>
        <v>3.4120000000000001E-3</v>
      </c>
      <c r="R39" s="1549">
        <f>IFERROR(IF(ISBLANK($B39),"",VLOOKUP($B39,PO_Enrgy_1_Table,MATCH($M$16,PO_Enrgy_1_Hdr,0),FALSE)),"")</f>
        <v>1.0713680000000001E-2</v>
      </c>
      <c r="BC39" s="2292"/>
    </row>
    <row r="40" spans="1:55" ht="15" customHeight="1" x14ac:dyDescent="0.25">
      <c r="A40" s="1243"/>
      <c r="B40" s="3289" t="str">
        <f>IFERROR(IF(ISBLANK(B18),"",B18),"")</f>
        <v>District Steam</v>
      </c>
      <c r="C40" s="3360"/>
      <c r="D40" s="3360"/>
      <c r="E40" s="1359">
        <f>IFERROR(IF(PO_SiteRenewable=TRUE,SUMIF(INDEX(PO_renewable_table,0,MATCH($E$32,PO_renewable_hdr,0)),$B40,INDEX(PO_renewable_table,0,MATCH($H$32,PO_renewable_hdr,0))),""),"")</f>
        <v>0</v>
      </c>
      <c r="F40" s="1360" t="str">
        <f>IFERROR(IF(ISBLANK($B40),"",VLOOKUP($B40,PO_Enrgy_1_Table,MATCH($C$16,PO_Enrgy_1_Hdr,0),FALSE)),"")</f>
        <v>therm</v>
      </c>
      <c r="G40" s="1676">
        <f>IFERROR($E40*$Q40,"")</f>
        <v>0</v>
      </c>
      <c r="H40" s="3280">
        <f>IFERROR($E40*$R40,"")</f>
        <v>0</v>
      </c>
      <c r="I40" s="3361"/>
      <c r="J40" s="3281">
        <f>IFERROR(IF(PO_SiteRenewable=TRUE,SUMIF($E$33:$E$34,$B40,$J$33:$J$34),0),"")</f>
        <v>0</v>
      </c>
      <c r="K40" s="3362"/>
      <c r="L40" s="3362"/>
      <c r="M40" s="3362"/>
      <c r="Q40" s="1549">
        <f>IFERROR(IF(ISBLANK($B40),"",VLOOKUP($B40,PO_Enrgy_1_Table,MATCH($K$16,PO_Enrgy_1_Hdr,0),FALSE)),"")</f>
        <v>0.1</v>
      </c>
      <c r="R40" s="1549">
        <f>IFERROR(IF(ISBLANK($B40),"",VLOOKUP($B40,PO_Enrgy_1_Table,MATCH($M$16,PO_Enrgy_1_Hdr,0),FALSE)),"")</f>
        <v>0.12</v>
      </c>
      <c r="BC40" s="2292"/>
    </row>
    <row r="41" spans="1:55" ht="15" customHeight="1" x14ac:dyDescent="0.25">
      <c r="A41" s="1243"/>
      <c r="B41" s="3289" t="str">
        <f>IFERROR(IF(ISBLANK(B19),"",B19),"")</f>
        <v>District Cooling</v>
      </c>
      <c r="C41" s="3360"/>
      <c r="D41" s="3360"/>
      <c r="E41" s="1359">
        <f>IFERROR(IF(PO_SiteRenewable=TRUE,SUMIF(INDEX(PO_renewable_table,0,MATCH($E$32,PO_renewable_hdr,0)),$B41,INDEX(PO_renewable_table,0,MATCH($H$32,PO_renewable_hdr,0))),""),"")</f>
        <v>0</v>
      </c>
      <c r="F41" s="1360" t="str">
        <f>IFERROR(IF(ISBLANK($B41),"",VLOOKUP($B41,PO_Enrgy_1_Table,MATCH($C$16,PO_Enrgy_1_Hdr,0),FALSE)),"")</f>
        <v>therm</v>
      </c>
      <c r="G41" s="2153">
        <f>IFERROR($E41*$Q41,"")</f>
        <v>0</v>
      </c>
      <c r="H41" s="3280">
        <f>IFERROR($E41*$R41,"")</f>
        <v>0</v>
      </c>
      <c r="I41" s="3361"/>
      <c r="J41" s="3281">
        <f>IFERROR(IF(PO_SiteRenewable=TRUE,SUMIF($E$33:$E$34,$B41,$J$33:$J$34),0),"")</f>
        <v>0</v>
      </c>
      <c r="K41" s="3362"/>
      <c r="L41" s="3362"/>
      <c r="M41" s="3362"/>
      <c r="Q41" s="1549">
        <f>IFERROR(IF(ISBLANK($B41),"",VLOOKUP($B41,PO_Enrgy_1_Table,MATCH($K$16,PO_Enrgy_1_Hdr,0),FALSE)),"")</f>
        <v>0.1</v>
      </c>
      <c r="R41" s="1549">
        <f>IFERROR(IF(ISBLANK($B41),"",VLOOKUP($B41,PO_Enrgy_1_Table,MATCH($M$16,PO_Enrgy_1_Hdr,0),FALSE)),"")</f>
        <v>0.1</v>
      </c>
      <c r="BC41" s="2292"/>
    </row>
    <row r="42" spans="1:55" ht="21" customHeight="1" x14ac:dyDescent="0.25">
      <c r="A42" s="1243"/>
      <c r="B42" s="3358" t="s">
        <v>18</v>
      </c>
      <c r="C42" s="3359"/>
      <c r="D42" s="3359"/>
      <c r="E42" s="3359"/>
      <c r="F42" s="3360"/>
      <c r="G42" s="1362">
        <f>IFERROR(SUM(INDEX(PO_Enrgy_2_Table,0,MATCH($G$38,PO_Enrgy_2_Hdr,0))),"")</f>
        <v>0</v>
      </c>
      <c r="H42" s="3280">
        <f>IFERROR(SUM(INDEX(PO_Enrgy_2_Table,0,MATCH($H$38,PO_Enrgy_2_Hdr,0))),"")</f>
        <v>0</v>
      </c>
      <c r="I42" s="3361">
        <f>SUM(I38:I40)</f>
        <v>0</v>
      </c>
      <c r="J42" s="3281">
        <f>IFERROR(SUM(J32:J34),"")</f>
        <v>0</v>
      </c>
      <c r="K42" s="3362"/>
      <c r="L42" s="3362"/>
      <c r="M42" s="3362"/>
      <c r="BC42" s="2292"/>
    </row>
    <row r="43" spans="1:55" ht="21" customHeight="1" x14ac:dyDescent="0.25">
      <c r="A43" s="1243"/>
      <c r="B43" s="3363" t="s">
        <v>1252</v>
      </c>
      <c r="C43" s="3360"/>
      <c r="D43" s="3360"/>
      <c r="E43" s="3360"/>
      <c r="F43" s="3360"/>
      <c r="G43" s="3360"/>
      <c r="H43" s="3360"/>
      <c r="I43" s="3360"/>
      <c r="J43" s="3285" t="str">
        <f>IF(Datacenter_Avg=TRUE,IFERROR($J42/$J$295,""),IFERROR($J42/$J$266,""))</f>
        <v/>
      </c>
      <c r="K43" s="3364"/>
      <c r="L43" s="3364"/>
      <c r="M43" s="3364"/>
      <c r="BC43" s="2292"/>
    </row>
    <row r="44" spans="1:55" ht="33.75" customHeight="1" x14ac:dyDescent="0.25">
      <c r="A44" s="1243" t="s">
        <v>1298</v>
      </c>
      <c r="B44" s="3287"/>
      <c r="C44" s="3288"/>
      <c r="D44" s="3288"/>
      <c r="E44" s="3288"/>
      <c r="F44" s="3288"/>
      <c r="G44" s="3288"/>
      <c r="H44" s="3288"/>
      <c r="I44" s="3288"/>
      <c r="J44" s="3288"/>
      <c r="K44" s="3288"/>
      <c r="L44" s="3288"/>
      <c r="M44" s="1649"/>
    </row>
    <row r="45" spans="1:55" ht="33.75" customHeight="1" x14ac:dyDescent="0.25">
      <c r="A45" s="1243" t="s">
        <v>1298</v>
      </c>
      <c r="B45" s="1635"/>
      <c r="C45" s="1636"/>
      <c r="D45" s="1636"/>
      <c r="E45" s="1636"/>
      <c r="F45" s="1636"/>
      <c r="G45" s="1636"/>
      <c r="H45" s="1636"/>
      <c r="I45" s="1636"/>
      <c r="J45" s="1636"/>
      <c r="K45" s="1636"/>
      <c r="L45" s="1636"/>
      <c r="M45" s="1649"/>
    </row>
    <row r="46" spans="1:55" ht="21" customHeight="1" x14ac:dyDescent="0.25">
      <c r="A46" s="1243" t="s">
        <v>1298</v>
      </c>
      <c r="B46" s="714" t="s">
        <v>1126</v>
      </c>
      <c r="C46" s="641"/>
      <c r="D46" s="641"/>
      <c r="E46" s="641"/>
      <c r="F46" s="641"/>
      <c r="G46" s="641"/>
      <c r="H46" s="641"/>
      <c r="I46" s="641"/>
      <c r="J46" s="641"/>
      <c r="K46" s="641"/>
      <c r="L46" s="641"/>
      <c r="M46" s="641"/>
      <c r="T46" s="1553" t="s">
        <v>1076</v>
      </c>
      <c r="AD46" s="598"/>
      <c r="AE46" s="599"/>
      <c r="AF46" s="599"/>
    </row>
    <row r="47" spans="1:55" ht="15" customHeight="1" x14ac:dyDescent="0.25">
      <c r="A47" s="1243" t="s">
        <v>1298</v>
      </c>
      <c r="E47" s="1650"/>
      <c r="F47" s="564"/>
      <c r="G47" s="564"/>
      <c r="H47" s="564"/>
      <c r="I47" s="564"/>
      <c r="J47" s="564"/>
      <c r="K47" s="564"/>
      <c r="L47" s="564"/>
      <c r="M47" s="564"/>
      <c r="T47" s="1552" t="b">
        <v>1</v>
      </c>
    </row>
    <row r="48" spans="1:55" ht="21" customHeight="1" x14ac:dyDescent="0.25">
      <c r="A48" s="1243" t="s">
        <v>1298</v>
      </c>
      <c r="B48" s="715" t="s">
        <v>1253</v>
      </c>
      <c r="C48" s="637"/>
      <c r="D48" s="650"/>
      <c r="E48" s="650"/>
      <c r="F48" s="650"/>
      <c r="G48" s="650"/>
      <c r="H48" s="650"/>
      <c r="I48" s="650"/>
      <c r="J48" s="650"/>
      <c r="K48" s="650"/>
      <c r="L48" s="650"/>
      <c r="AE48" s="599"/>
      <c r="AF48" s="599"/>
    </row>
    <row r="49" spans="1:55" ht="125.25" hidden="1" customHeight="1" x14ac:dyDescent="0.25">
      <c r="A49" s="1243" t="s">
        <v>1298</v>
      </c>
      <c r="B49" s="3219" t="s">
        <v>1287</v>
      </c>
      <c r="C49" s="3220"/>
      <c r="D49" s="3220"/>
      <c r="E49" s="3220"/>
      <c r="F49" s="3220"/>
      <c r="G49" s="3220"/>
      <c r="H49" s="3220"/>
      <c r="I49" s="3220"/>
      <c r="J49" s="3220"/>
      <c r="K49" s="3220"/>
      <c r="L49" s="3220"/>
      <c r="M49" s="3220"/>
    </row>
    <row r="50" spans="1:55" ht="15" customHeight="1" x14ac:dyDescent="0.25">
      <c r="A50" s="1243" t="s">
        <v>1298</v>
      </c>
      <c r="E50" s="1650"/>
      <c r="F50" s="564"/>
      <c r="G50" s="564"/>
      <c r="H50" s="564"/>
      <c r="I50" s="564"/>
      <c r="J50" s="564"/>
      <c r="K50" s="564"/>
      <c r="L50" s="564"/>
      <c r="M50" s="564"/>
      <c r="AD50" s="598"/>
    </row>
    <row r="51" spans="1:55" ht="21" customHeight="1" x14ac:dyDescent="0.25">
      <c r="A51" s="1243" t="s">
        <v>1298</v>
      </c>
      <c r="B51" s="1630" t="s">
        <v>1254</v>
      </c>
      <c r="C51" s="1630"/>
      <c r="D51" s="1630"/>
      <c r="E51" s="1630"/>
      <c r="F51" s="1630"/>
      <c r="G51" s="1630"/>
      <c r="H51" s="1630"/>
      <c r="I51" s="1630"/>
      <c r="J51" s="1630"/>
      <c r="K51" s="1630"/>
      <c r="L51" s="1630"/>
      <c r="M51" s="1631"/>
    </row>
    <row r="52" spans="1:55" ht="136.5" customHeight="1" x14ac:dyDescent="0.25">
      <c r="A52" s="1243" t="s">
        <v>1298</v>
      </c>
      <c r="B52" s="3267" t="s">
        <v>1834</v>
      </c>
      <c r="C52" s="3267"/>
      <c r="D52" s="3267"/>
      <c r="E52" s="3267"/>
      <c r="F52" s="3267"/>
      <c r="G52" s="3267"/>
      <c r="H52" s="3267"/>
      <c r="I52" s="3267"/>
      <c r="J52" s="3267"/>
      <c r="K52" s="3267"/>
      <c r="L52" s="3267"/>
      <c r="M52" s="3267"/>
    </row>
    <row r="53" spans="1:55" x14ac:dyDescent="0.25">
      <c r="A53" s="1243" t="s">
        <v>1298</v>
      </c>
      <c r="B53" s="635"/>
      <c r="C53" s="642"/>
      <c r="D53" s="642"/>
      <c r="E53" s="642"/>
      <c r="F53" s="642"/>
      <c r="G53" s="642"/>
      <c r="H53" s="642"/>
      <c r="I53" s="642"/>
      <c r="J53" s="564"/>
      <c r="K53" s="564"/>
      <c r="L53" s="564"/>
    </row>
    <row r="54" spans="1:55" ht="44.25" customHeight="1" x14ac:dyDescent="0.25">
      <c r="A54" s="1243" t="s">
        <v>1298</v>
      </c>
      <c r="B54" s="3158" t="s">
        <v>1836</v>
      </c>
      <c r="C54" s="3158" t="s">
        <v>1255</v>
      </c>
      <c r="D54" s="3158" t="s">
        <v>485</v>
      </c>
      <c r="E54" s="3139"/>
      <c r="F54" s="3275" t="s">
        <v>484</v>
      </c>
      <c r="G54" s="3202" t="s">
        <v>1256</v>
      </c>
      <c r="H54" s="3269"/>
      <c r="I54" s="3269"/>
      <c r="J54" s="3269"/>
      <c r="K54" s="3269"/>
      <c r="L54" s="3158" t="s">
        <v>1786</v>
      </c>
      <c r="M54" s="3269"/>
      <c r="AR54" s="593"/>
      <c r="AS54" s="596"/>
      <c r="AT54" s="596"/>
      <c r="AU54" s="596"/>
      <c r="AV54" s="596"/>
      <c r="AW54" s="596"/>
      <c r="AX54" s="596"/>
      <c r="AY54" s="596"/>
      <c r="AZ54" s="596"/>
    </row>
    <row r="55" spans="1:55" ht="63.75" customHeight="1" x14ac:dyDescent="0.25">
      <c r="A55" s="1243" t="s">
        <v>1298</v>
      </c>
      <c r="B55" s="3268"/>
      <c r="C55" s="3268"/>
      <c r="D55" s="3139"/>
      <c r="E55" s="3139"/>
      <c r="F55" s="3276"/>
      <c r="G55" s="3192" t="s">
        <v>1787</v>
      </c>
      <c r="H55" s="3270"/>
      <c r="I55" s="1638" t="str">
        <f>CONCATENATE("Site Energy 
(Units = ", PO_SiteUnits,")")</f>
        <v>Site Energy 
(Units = Btu x 10^6)</v>
      </c>
      <c r="J55" s="3271" t="str">
        <f>"Source Energy Consumption 
("  &amp; PO_SourceUnits &amp; ")"</f>
        <v>Source Energy Consumption 
(Btu x 10^6)</v>
      </c>
      <c r="K55" s="3270"/>
      <c r="L55" s="3269"/>
      <c r="M55" s="3269"/>
      <c r="AR55" s="1625"/>
      <c r="AS55" s="638"/>
      <c r="AT55" s="638"/>
      <c r="AU55" s="638"/>
      <c r="AV55" s="596"/>
      <c r="AW55" s="638"/>
      <c r="AX55" s="638"/>
      <c r="AY55" s="638"/>
      <c r="AZ55" s="596"/>
    </row>
    <row r="56" spans="1:55" s="1248" customFormat="1" ht="21.75" hidden="1" customHeight="1" x14ac:dyDescent="0.25">
      <c r="A56" s="1243" t="s">
        <v>1298</v>
      </c>
      <c r="B56" s="1363" t="s">
        <v>1837</v>
      </c>
      <c r="C56" s="1363" t="s">
        <v>1788</v>
      </c>
      <c r="D56" s="3272" t="s">
        <v>1765</v>
      </c>
      <c r="E56" s="3139"/>
      <c r="F56" s="1640" t="s">
        <v>1789</v>
      </c>
      <c r="G56" s="1258" t="s">
        <v>1782</v>
      </c>
      <c r="H56" s="1258" t="s">
        <v>1783</v>
      </c>
      <c r="I56" s="1356" t="s">
        <v>1784</v>
      </c>
      <c r="J56" s="1259" t="s">
        <v>1785</v>
      </c>
      <c r="K56" s="1258"/>
      <c r="L56" s="1260" t="s">
        <v>446</v>
      </c>
      <c r="M56" s="1258"/>
      <c r="Q56" s="1249" t="s">
        <v>1776</v>
      </c>
      <c r="R56" s="1249" t="s">
        <v>1777</v>
      </c>
      <c r="T56" s="1249" t="s">
        <v>1778</v>
      </c>
      <c r="U56" s="1249" t="s">
        <v>1955</v>
      </c>
      <c r="AR56" s="1261"/>
      <c r="AS56" s="1262"/>
      <c r="AT56" s="1262"/>
      <c r="AU56" s="1262"/>
      <c r="AV56" s="1263"/>
      <c r="AW56" s="1262"/>
      <c r="AX56" s="1262"/>
      <c r="AY56" s="1262"/>
      <c r="AZ56" s="1263"/>
    </row>
    <row r="57" spans="1:55" s="1248" customFormat="1" ht="15" hidden="1" customHeight="1" x14ac:dyDescent="0.25">
      <c r="A57" s="1264" t="s">
        <v>917</v>
      </c>
      <c r="B57" s="1629"/>
      <c r="C57" s="1629"/>
      <c r="D57" s="3355"/>
      <c r="E57" s="2873"/>
      <c r="F57" s="1364"/>
      <c r="G57" s="1365"/>
      <c r="H57" s="1652" t="str">
        <f>IFERROR(IF(ISBLANK($D57),"",VLOOKUP($D57,PO_Enrgy_1_Table,MATCH($C$16,PO_Enrgy_1_Hdr,0),FALSE)),"")</f>
        <v/>
      </c>
      <c r="I57" s="1366" t="str">
        <f>IFERROR(VLOOKUP($D57,PO_Enrgy_1_Table,MATCH($K$16,PO_Enrgy_1_Hdr,0),FALSE)*$G57,"")</f>
        <v/>
      </c>
      <c r="J57" s="3356" t="str">
        <f>IFERROR(VLOOKUP($D57,PO_Enrgy_1_Table,MATCH($M$16,PO_Enrgy_1_Hdr,0),FALSE)*$G57,"")</f>
        <v/>
      </c>
      <c r="K57" s="3357"/>
      <c r="L57" s="3266" t="str">
        <f>IFERROR($G57*IF($F57="Subtract from Proposed",VLOOKUP($D57,PO_Enrgy_8_Table,MATCH($H$232,PO_Enrgy_8_Hdr,0),FALSE),VLOOKUP($D57,PO_Enrgy_8_Table,MATCH($E$232,PO_Enrgy_8_Hdr,0),FALSE)),"")</f>
        <v/>
      </c>
      <c r="M57" s="2873"/>
      <c r="Q57" s="1555" t="str">
        <f>IFERROR(IF(ISBLANK($D57),"",VLOOKUP($D57,PO_Enrgy_1_Table,MATCH($K$16,PO_Enrgy_1_Hdr,0),FALSE)),"")</f>
        <v/>
      </c>
      <c r="R57" s="1555" t="str">
        <f>IFERROR(IF(ISBLANK($D57),"",VLOOKUP($D57,PO_Enrgy_1_Table,MATCH($M$16,PO_Enrgy_1_Hdr,0),FALSE)),"")</f>
        <v/>
      </c>
      <c r="T57" s="1556" t="str">
        <f>IFERROR($G57*IF($F57="Subtract from Proposed",VLOOKUP($D57,PO_Enrgy_8_Table,MATCH($H$232,PO_Enrgy_8_Hdr,0),FALSE),VLOOKUP($D57,PO_Enrgy_8_Table,MATCH($E$232,PO_Enrgy_8_Hdr,0),FALSE)),"")</f>
        <v/>
      </c>
      <c r="U57" s="1554">
        <f>IFERROR(1-$J57/$T57,0)</f>
        <v>0</v>
      </c>
      <c r="AB57" s="1265" t="s">
        <v>1046</v>
      </c>
      <c r="AC57" s="1266"/>
      <c r="AR57" s="1267"/>
      <c r="AS57" s="1268"/>
      <c r="AT57" s="1268"/>
      <c r="AU57" s="1268"/>
      <c r="AV57" s="1269"/>
      <c r="AW57" s="1268"/>
      <c r="AX57" s="1268"/>
      <c r="AY57" s="1268"/>
      <c r="AZ57" s="1263"/>
      <c r="BC57" s="2293"/>
    </row>
    <row r="58" spans="1:55" s="1248" customFormat="1" ht="15" customHeight="1" x14ac:dyDescent="0.25">
      <c r="A58" s="1264"/>
      <c r="B58" s="1967">
        <v>1</v>
      </c>
      <c r="C58" s="1967"/>
      <c r="D58" s="3273"/>
      <c r="E58" s="3274"/>
      <c r="F58" s="1364"/>
      <c r="G58" s="1374"/>
      <c r="H58" s="1968" t="str">
        <f>IFERROR(IF(ISBLANK($D58),"",VLOOKUP($D58,PO_Enrgy_1_Table,MATCH($C$16,PO_Enrgy_1_Hdr,0),FALSE)),"")</f>
        <v/>
      </c>
      <c r="I58" s="1969" t="str">
        <f>IFERROR(VLOOKUP($D58,PO_Enrgy_1_Table,MATCH($K$16,PO_Enrgy_1_Hdr,0),FALSE)*$G58,"")</f>
        <v/>
      </c>
      <c r="J58" s="3249" t="str">
        <f>IFERROR(VLOOKUP($D58,PO_Enrgy_1_Table,MATCH($M$16,PO_Enrgy_1_Hdr,0),FALSE)*$G58,"")</f>
        <v/>
      </c>
      <c r="K58" s="3250"/>
      <c r="L58" s="3266" t="str">
        <f>IFERROR($G58*IF($F58="Subtract from Proposed",VLOOKUP($D58,PO_Enrgy_8_Table,MATCH($H$232,PO_Enrgy_8_Hdr,0),FALSE),VLOOKUP($D58,PO_Enrgy_8_Table,MATCH($E$232,PO_Enrgy_8_Hdr,0),FALSE)),"")</f>
        <v/>
      </c>
      <c r="M58" s="2873"/>
      <c r="Q58" s="1555" t="str">
        <f>IFERROR(IF(ISBLANK($D58),"",VLOOKUP($D58,PO_Enrgy_1_Table,MATCH($K$16,PO_Enrgy_1_Hdr,0),FALSE)),"")</f>
        <v/>
      </c>
      <c r="R58" s="1555" t="str">
        <f>IFERROR(IF(ISBLANK($D58),"",VLOOKUP($D58,PO_Enrgy_1_Table,MATCH($M$16,PO_Enrgy_1_Hdr,0),FALSE)),"")</f>
        <v/>
      </c>
      <c r="T58" s="1556" t="str">
        <f>IFERROR($G58*IF($F58="Subtract from Proposed",VLOOKUP($D58,PO_Enrgy_8_Table,MATCH($H$232,PO_Enrgy_8_Hdr,0),FALSE),VLOOKUP($D58,PO_Enrgy_8_Table,MATCH($E$232,PO_Enrgy_8_Hdr,0),FALSE)),"")</f>
        <v/>
      </c>
      <c r="U58" s="1554">
        <f>IFERROR(1-$J58/$T58,0)</f>
        <v>0</v>
      </c>
      <c r="AB58" s="1265"/>
      <c r="AC58" s="1266"/>
      <c r="AR58" s="1267"/>
      <c r="AS58" s="1268"/>
      <c r="AT58" s="1268"/>
      <c r="AU58" s="1268"/>
      <c r="AV58" s="1269"/>
      <c r="AW58" s="1268"/>
      <c r="AX58" s="1268"/>
      <c r="AY58" s="1268"/>
      <c r="AZ58" s="1263"/>
      <c r="BC58" s="2293"/>
    </row>
    <row r="59" spans="1:55" s="1248" customFormat="1" ht="15" customHeight="1" x14ac:dyDescent="0.25">
      <c r="A59" s="1264"/>
      <c r="B59" s="1967">
        <v>2</v>
      </c>
      <c r="C59" s="1967"/>
      <c r="D59" s="3273"/>
      <c r="E59" s="3274"/>
      <c r="F59" s="1364"/>
      <c r="G59" s="1374"/>
      <c r="H59" s="1968" t="str">
        <f>IFERROR(IF(ISBLANK($D59),"",VLOOKUP($D59,PO_Enrgy_1_Table,MATCH($C$16,PO_Enrgy_1_Hdr,0),FALSE)),"")</f>
        <v/>
      </c>
      <c r="I59" s="1969" t="str">
        <f>IFERROR(VLOOKUP($D59,PO_Enrgy_1_Table,MATCH($K$16,PO_Enrgy_1_Hdr,0),FALSE)*$G59,"")</f>
        <v/>
      </c>
      <c r="J59" s="3249" t="str">
        <f>IFERROR(VLOOKUP($D59,PO_Enrgy_1_Table,MATCH($M$16,PO_Enrgy_1_Hdr,0),FALSE)*$G59,"")</f>
        <v/>
      </c>
      <c r="K59" s="3250"/>
      <c r="L59" s="3266" t="str">
        <f>IFERROR($G59*IF($F59="Subtract from Proposed",VLOOKUP($D59,PO_Enrgy_8_Table,MATCH($H$232,PO_Enrgy_8_Hdr,0),FALSE),VLOOKUP($D59,PO_Enrgy_8_Table,MATCH($E$232,PO_Enrgy_8_Hdr,0),FALSE)),"")</f>
        <v/>
      </c>
      <c r="M59" s="2873"/>
      <c r="Q59" s="1555" t="str">
        <f>IFERROR(IF(ISBLANK($D59),"",VLOOKUP($D59,PO_Enrgy_1_Table,MATCH($K$16,PO_Enrgy_1_Hdr,0),FALSE)),"")</f>
        <v/>
      </c>
      <c r="R59" s="1555" t="str">
        <f>IFERROR(IF(ISBLANK($D59),"",VLOOKUP($D59,PO_Enrgy_1_Table,MATCH($M$16,PO_Enrgy_1_Hdr,0),FALSE)),"")</f>
        <v/>
      </c>
      <c r="T59" s="1556" t="str">
        <f>IFERROR($G59*IF($F59="Subtract from Proposed",VLOOKUP($D59,PO_Enrgy_8_Table,MATCH($H$232,PO_Enrgy_8_Hdr,0),FALSE),VLOOKUP($D59,PO_Enrgy_8_Table,MATCH($E$232,PO_Enrgy_8_Hdr,0),FALSE)),"")</f>
        <v/>
      </c>
      <c r="U59" s="1554">
        <f>IFERROR(1-$J59/$T59,0)</f>
        <v>0</v>
      </c>
      <c r="AB59" s="1265" t="s">
        <v>1046</v>
      </c>
      <c r="AC59" s="1266"/>
      <c r="AR59" s="1267"/>
      <c r="AS59" s="1268"/>
      <c r="AT59" s="1268"/>
      <c r="AU59" s="1268"/>
      <c r="AV59" s="1269"/>
      <c r="AW59" s="1268"/>
      <c r="AX59" s="1268"/>
      <c r="AY59" s="1268"/>
      <c r="AZ59" s="1263"/>
      <c r="BC59" s="2293"/>
    </row>
    <row r="60" spans="1:55" s="1248" customFormat="1" ht="15" customHeight="1" x14ac:dyDescent="0.25">
      <c r="A60" s="1264"/>
      <c r="B60" s="1970">
        <v>3</v>
      </c>
      <c r="C60" s="1970"/>
      <c r="D60" s="3264"/>
      <c r="E60" s="3265"/>
      <c r="F60" s="1971"/>
      <c r="G60" s="1972"/>
      <c r="H60" s="1973" t="str">
        <f>IFERROR(IF(ISBLANK($D60),"",VLOOKUP($D60,PO_Enrgy_1_Table,MATCH($C$16,PO_Enrgy_1_Hdr,0),FALSE)),"")</f>
        <v/>
      </c>
      <c r="I60" s="1974" t="str">
        <f>IFERROR(VLOOKUP($D60,PO_Enrgy_1_Table,MATCH($K$16,PO_Enrgy_1_Hdr,0),FALSE)*$G60,"")</f>
        <v/>
      </c>
      <c r="J60" s="3256" t="str">
        <f>IFERROR(VLOOKUP($D60,PO_Enrgy_1_Table,MATCH($M$16,PO_Enrgy_1_Hdr,0),FALSE)*$G60,"")</f>
        <v/>
      </c>
      <c r="K60" s="3257"/>
      <c r="L60" s="3262" t="str">
        <f>IFERROR($G60*IF($F60="Subtract from Proposed",VLOOKUP($D60,PO_Enrgy_8_Table,MATCH($H$232,PO_Enrgy_8_Hdr,0),FALSE),VLOOKUP($D60,PO_Enrgy_8_Table,MATCH($E$232,PO_Enrgy_8_Hdr,0),FALSE)),"")</f>
        <v/>
      </c>
      <c r="M60" s="3263"/>
      <c r="Q60" s="1555" t="str">
        <f>IFERROR(IF(ISBLANK($D60),"",VLOOKUP($D60,PO_Enrgy_1_Table,MATCH($K$16,PO_Enrgy_1_Hdr,0),FALSE)),"")</f>
        <v/>
      </c>
      <c r="R60" s="1555" t="str">
        <f>IFERROR(IF(ISBLANK($D60),"",VLOOKUP($D60,PO_Enrgy_1_Table,MATCH($M$16,PO_Enrgy_1_Hdr,0),FALSE)),"")</f>
        <v/>
      </c>
      <c r="T60" s="1556" t="str">
        <f>IFERROR($G60*IF($F60="Subtract from Proposed",VLOOKUP($D60,PO_Enrgy_8_Table,MATCH($H$232,PO_Enrgy_8_Hdr,0),FALSE),VLOOKUP($D60,PO_Enrgy_8_Table,MATCH($E$232,PO_Enrgy_8_Hdr,0),FALSE)),"")</f>
        <v/>
      </c>
      <c r="U60" s="1554">
        <f>IFERROR(1-$J60/$T60,0)</f>
        <v>0</v>
      </c>
      <c r="AB60" s="1265" t="s">
        <v>1046</v>
      </c>
      <c r="AC60" s="1266"/>
      <c r="AP60" s="1270"/>
      <c r="AR60" s="1267"/>
      <c r="AS60" s="1268"/>
      <c r="AT60" s="1268"/>
      <c r="AU60" s="1268"/>
      <c r="AV60" s="1269"/>
      <c r="AW60" s="1268"/>
      <c r="AX60" s="1268"/>
      <c r="AY60" s="1268"/>
      <c r="AZ60" s="1263"/>
      <c r="BC60" s="2293"/>
    </row>
    <row r="61" spans="1:55" s="592" customFormat="1" ht="21" customHeight="1" x14ac:dyDescent="0.25">
      <c r="A61" s="1271"/>
      <c r="B61" s="3260" t="s">
        <v>1273</v>
      </c>
      <c r="C61" s="3254"/>
      <c r="D61" s="3254"/>
      <c r="E61" s="3254"/>
      <c r="F61" s="1983"/>
      <c r="G61" s="1984"/>
      <c r="H61" s="1985"/>
      <c r="I61" s="1986"/>
      <c r="J61" s="1987"/>
      <c r="K61" s="1987"/>
      <c r="L61" s="1988"/>
      <c r="M61" s="1989"/>
      <c r="AC61" s="832"/>
      <c r="AI61" s="611"/>
      <c r="AJ61" s="1272"/>
      <c r="AK61" s="1272"/>
      <c r="AL61" s="1272"/>
      <c r="AM61" s="589"/>
      <c r="AN61" s="1273"/>
      <c r="AO61" s="1273"/>
      <c r="AP61" s="1274"/>
      <c r="AQ61" s="596"/>
      <c r="AR61" s="596"/>
      <c r="AS61" s="596"/>
      <c r="AT61" s="596"/>
      <c r="AU61" s="596"/>
      <c r="AV61" s="596"/>
      <c r="AW61" s="596"/>
      <c r="AX61" s="596"/>
      <c r="AY61" s="596"/>
      <c r="AZ61" s="596"/>
    </row>
    <row r="62" spans="1:55" s="1248" customFormat="1" ht="21.75" hidden="1" customHeight="1" x14ac:dyDescent="0.25">
      <c r="A62" s="1264"/>
      <c r="B62" s="1975" t="s">
        <v>1765</v>
      </c>
      <c r="C62" s="1976"/>
      <c r="D62" s="1976"/>
      <c r="E62" s="1976"/>
      <c r="F62" s="1977"/>
      <c r="G62" s="1978" t="s">
        <v>1782</v>
      </c>
      <c r="H62" s="1979" t="s">
        <v>1783</v>
      </c>
      <c r="I62" s="1980" t="s">
        <v>1784</v>
      </c>
      <c r="J62" s="1981" t="s">
        <v>1785</v>
      </c>
      <c r="K62" s="1978"/>
      <c r="L62" s="1982" t="s">
        <v>446</v>
      </c>
      <c r="M62" s="1977"/>
      <c r="Q62" s="1249" t="s">
        <v>1776</v>
      </c>
      <c r="R62" s="1249" t="s">
        <v>1777</v>
      </c>
      <c r="AI62" s="1263"/>
      <c r="AJ62" s="1263"/>
      <c r="AK62" s="1263"/>
      <c r="AL62" s="1263"/>
      <c r="AM62" s="1263"/>
      <c r="AN62" s="1263"/>
      <c r="AO62" s="1263"/>
      <c r="AP62" s="1263"/>
      <c r="AQ62" s="1263"/>
      <c r="AR62" s="1275"/>
      <c r="AS62" s="1275"/>
      <c r="AT62" s="1275"/>
      <c r="AU62" s="1275"/>
      <c r="AV62" s="1263"/>
      <c r="AW62" s="1275"/>
      <c r="AX62" s="1275"/>
      <c r="AY62" s="1275"/>
      <c r="AZ62" s="1263"/>
    </row>
    <row r="63" spans="1:55" ht="15" customHeight="1" x14ac:dyDescent="0.25">
      <c r="A63" s="1243"/>
      <c r="B63" s="3159" t="str">
        <f>IFERROR(IF(ISBLANK(B17),"",B17),"")</f>
        <v>Electricity</v>
      </c>
      <c r="C63" s="3159"/>
      <c r="D63" s="3159"/>
      <c r="E63" s="3159"/>
      <c r="F63" s="3261"/>
      <c r="G63" s="1745">
        <f>IFERROR(IF(PO_ShowExCalc=TRUE,SUMIFS(INDEX(PO_ExCalc_Table,0,MATCH($G$56,PO_ExCalc_Hdr,0)),INDEX(PO_ExCalc_Table,0,MATCH($D$56,PO_ExCalc_Hdr,0)),$B63,INDEX(PO_ExCalc_Table,0,MATCH($F$56,PO_ExCalc_Hdr,0)),"Add to Baseline"),""),"")</f>
        <v>0</v>
      </c>
      <c r="H63" s="1968" t="str">
        <f>IFERROR(IF(ISBLANK($B63),"",VLOOKUP($B63,PO_Enrgy_1_Table,MATCH($C$16,PO_Enrgy_1_Hdr,0),FALSE)),"")</f>
        <v>kWh</v>
      </c>
      <c r="I63" s="1745">
        <f>IFERROR($G63*$Q63,"")</f>
        <v>0</v>
      </c>
      <c r="J63" s="3249">
        <f>IFERROR($G63*$R63,"")</f>
        <v>0</v>
      </c>
      <c r="K63" s="3250">
        <f t="shared" ref="K63:K65" si="1">IFERROR($G63*$Q63,"")</f>
        <v>0</v>
      </c>
      <c r="L63" s="3251">
        <f>IFERROR(IF(PO_ShowExCalc=TRUE,SUMIFS(INDEX(PO_ExCalc_Table,0,MATCH($L$56,PO_ExCalc_Hdr,0)),INDEX(PO_ExCalc_Table,0,MATCH($D$56,PO_ExCalc_Hdr,0)),$B63,INDEX(PO_ExCalc_Table,0,MATCH($F$56,PO_ExCalc_Hdr,0)),"Add to Baseline"),""),"")</f>
        <v>0</v>
      </c>
      <c r="M63" s="3252">
        <f>IFERROR(IF(PO_ShowExCalc=TRUE,SUMIFS(M$57:M$60,$D$57:$D$60,$B63,$F$57:$F$60,"Add to Baseline"),""),"")</f>
        <v>0</v>
      </c>
      <c r="N63" s="1276"/>
      <c r="Q63" s="1549">
        <f>IFERROR(IF(ISBLANK($B63),"",VLOOKUP($B63,PO_Enrgy_1_Table,MATCH($K$16,PO_Enrgy_1_Hdr,0),FALSE)),"")</f>
        <v>3.4120000000000001E-3</v>
      </c>
      <c r="R63" s="1549">
        <f>IFERROR(IF(ISBLANK($B63),"",VLOOKUP($B63,PO_Enrgy_1_Table,MATCH($M$16,PO_Enrgy_1_Hdr,0),FALSE)),"")</f>
        <v>1.0713680000000001E-2</v>
      </c>
      <c r="AC63" s="844"/>
      <c r="AI63" s="1277"/>
      <c r="AJ63" s="648"/>
      <c r="AK63" s="1272"/>
      <c r="AL63" s="1278"/>
      <c r="AM63" s="596"/>
      <c r="AN63" s="596"/>
      <c r="AO63" s="596"/>
      <c r="AP63" s="1279"/>
      <c r="AQ63" s="1280"/>
      <c r="AR63" s="1278"/>
      <c r="AS63" s="1281"/>
      <c r="AT63" s="1282"/>
      <c r="AU63" s="596"/>
      <c r="AV63" s="596"/>
      <c r="AW63" s="596"/>
      <c r="AX63" s="596"/>
      <c r="AY63" s="596"/>
      <c r="AZ63" s="596"/>
      <c r="BC63" s="2292"/>
    </row>
    <row r="64" spans="1:55" ht="15" customHeight="1" x14ac:dyDescent="0.25">
      <c r="A64" s="1243"/>
      <c r="B64" s="3247" t="str">
        <f>IFERROR(IF(ISBLANK(B18),"",B18),"")</f>
        <v>District Steam</v>
      </c>
      <c r="C64" s="3247"/>
      <c r="D64" s="3247"/>
      <c r="E64" s="3247"/>
      <c r="F64" s="3248"/>
      <c r="G64" s="1990">
        <f>IFERROR(IF(PO_ShowExCalc=TRUE,SUMIFS(INDEX(PO_ExCalc_Table,0,MATCH($G$56,PO_ExCalc_Hdr,0)),INDEX(PO_ExCalc_Table,0,MATCH($D$56,PO_ExCalc_Hdr,0)),$B64,INDEX(PO_ExCalc_Table,0,MATCH($F$56,PO_ExCalc_Hdr,0)),"Add to Baseline"),""),"")</f>
        <v>0</v>
      </c>
      <c r="H64" s="1973" t="str">
        <f>IFERROR(IF(ISBLANK($B64),"",VLOOKUP($B64,PO_Enrgy_1_Table,MATCH($C$16,PO_Enrgy_1_Hdr,0),FALSE)),"")</f>
        <v>therm</v>
      </c>
      <c r="I64" s="1990">
        <f>IFERROR($G64*$Q64,"")</f>
        <v>0</v>
      </c>
      <c r="J64" s="3256">
        <f>IFERROR($G64*$R64,"")</f>
        <v>0</v>
      </c>
      <c r="K64" s="3257">
        <f t="shared" si="1"/>
        <v>0</v>
      </c>
      <c r="L64" s="3258">
        <f>IFERROR(IF(PO_ShowExCalc=TRUE,SUMIFS(INDEX(PO_ExCalc_Table,0,MATCH($L$56,PO_ExCalc_Hdr,0)),INDEX(PO_ExCalc_Table,0,MATCH($D$56,PO_ExCalc_Hdr,0)),$B64,INDEX(PO_ExCalc_Table,0,MATCH($F$56,PO_ExCalc_Hdr,0)),"Add to Baseline"),""),"")</f>
        <v>0</v>
      </c>
      <c r="M64" s="3259">
        <f>IFERROR(IF(PO_ShowExCalc=TRUE,SUMIFS(M$57:M$60,$D$57:$D$60,$B64,$F$57:$F$60,"Add to Baseline"),""),"")</f>
        <v>0</v>
      </c>
      <c r="Q64" s="1549">
        <f>IFERROR(IF(ISBLANK($B64),"",VLOOKUP($B64,PO_Enrgy_1_Table,MATCH($K$16,PO_Enrgy_1_Hdr,0),FALSE)),"")</f>
        <v>0.1</v>
      </c>
      <c r="R64" s="1549">
        <f>IFERROR(IF(ISBLANK($B64),"",VLOOKUP($B64,PO_Enrgy_1_Table,MATCH($M$16,PO_Enrgy_1_Hdr,0),FALSE)),"")</f>
        <v>0.12</v>
      </c>
      <c r="AC64" s="844"/>
      <c r="AI64" s="1277"/>
      <c r="AJ64" s="648"/>
      <c r="AK64" s="1272"/>
      <c r="AL64" s="1278"/>
      <c r="AM64" s="596"/>
      <c r="AN64" s="596"/>
      <c r="AO64" s="596"/>
      <c r="AP64" s="1279"/>
      <c r="AQ64" s="1280"/>
      <c r="AR64" s="1278"/>
      <c r="AS64" s="1281"/>
      <c r="AT64" s="1282"/>
      <c r="AU64" s="596"/>
      <c r="AV64" s="596"/>
      <c r="AW64" s="596"/>
      <c r="AX64" s="596"/>
      <c r="AY64" s="596"/>
      <c r="AZ64" s="596"/>
      <c r="BC64" s="2292"/>
    </row>
    <row r="65" spans="1:60" ht="15" customHeight="1" x14ac:dyDescent="0.25">
      <c r="A65" s="1243"/>
      <c r="B65" s="3247" t="str">
        <f>IFERROR(IF(ISBLANK(B19),"",B19),"")</f>
        <v>District Cooling</v>
      </c>
      <c r="C65" s="3247"/>
      <c r="D65" s="3247"/>
      <c r="E65" s="3247"/>
      <c r="F65" s="3248"/>
      <c r="G65" s="1990">
        <f>IFERROR(IF(PO_ShowExCalc=TRUE,SUMIFS(INDEX(PO_ExCalc_Table,0,MATCH($G$56,PO_ExCalc_Hdr,0)),INDEX(PO_ExCalc_Table,0,MATCH($D$56,PO_ExCalc_Hdr,0)),$B65,INDEX(PO_ExCalc_Table,0,MATCH($F$56,PO_ExCalc_Hdr,0)),"Add to Baseline"),""),"")</f>
        <v>0</v>
      </c>
      <c r="H65" s="1973" t="str">
        <f>IFERROR(IF(ISBLANK($B65),"",VLOOKUP($B65,PO_Enrgy_1_Table,MATCH($C$16,PO_Enrgy_1_Hdr,0),FALSE)),"")</f>
        <v>therm</v>
      </c>
      <c r="I65" s="1990">
        <f>IFERROR($G65*$Q65,"")</f>
        <v>0</v>
      </c>
      <c r="J65" s="3256">
        <f>IFERROR($G65*$R65,"")</f>
        <v>0</v>
      </c>
      <c r="K65" s="3257">
        <f t="shared" si="1"/>
        <v>0</v>
      </c>
      <c r="L65" s="3258">
        <f>IFERROR(IF(PO_ShowExCalc=TRUE,SUMIFS(INDEX(PO_ExCalc_Table,0,MATCH($L$56,PO_ExCalc_Hdr,0)),INDEX(PO_ExCalc_Table,0,MATCH($D$56,PO_ExCalc_Hdr,0)),$B65,INDEX(PO_ExCalc_Table,0,MATCH($F$56,PO_ExCalc_Hdr,0)),"Add to Baseline"),""),"")</f>
        <v>0</v>
      </c>
      <c r="M65" s="3259">
        <f>IFERROR(IF(PO_ShowExCalc=TRUE,SUMIFS(M$57:M$60,$D$57:$D$60,$B65,$F$57:$F$60,"Add to Baseline"),""),"")</f>
        <v>0</v>
      </c>
      <c r="Q65" s="1549">
        <f>IFERROR(IF(ISBLANK($B65),"",VLOOKUP($B65,PO_Enrgy_1_Table,MATCH($K$16,PO_Enrgy_1_Hdr,0),FALSE)),"")</f>
        <v>0.1</v>
      </c>
      <c r="R65" s="1549">
        <f>IFERROR(IF(ISBLANK($B65),"",VLOOKUP($B65,PO_Enrgy_1_Table,MATCH($M$16,PO_Enrgy_1_Hdr,0),FALSE)),"")</f>
        <v>0.1</v>
      </c>
      <c r="AC65" s="844"/>
      <c r="AI65" s="1277"/>
      <c r="AJ65" s="648"/>
      <c r="AK65" s="1272"/>
      <c r="AL65" s="1278"/>
      <c r="AM65" s="596"/>
      <c r="AN65" s="596"/>
      <c r="AO65" s="596"/>
      <c r="AP65" s="1279"/>
      <c r="AQ65" s="1280"/>
      <c r="AR65" s="1278"/>
      <c r="AS65" s="1281"/>
      <c r="AT65" s="1282"/>
      <c r="AU65" s="596"/>
      <c r="AV65" s="596"/>
      <c r="AW65" s="596"/>
      <c r="AX65" s="596"/>
      <c r="AY65" s="596"/>
      <c r="AZ65" s="596"/>
      <c r="BC65" s="2292"/>
    </row>
    <row r="66" spans="1:60" s="592" customFormat="1" ht="21" customHeight="1" x14ac:dyDescent="0.25">
      <c r="A66" s="1271"/>
      <c r="B66" s="3260" t="s">
        <v>1274</v>
      </c>
      <c r="C66" s="3254"/>
      <c r="D66" s="3254"/>
      <c r="E66" s="3254"/>
      <c r="F66" s="1983"/>
      <c r="G66" s="1984"/>
      <c r="H66" s="1985"/>
      <c r="I66" s="1986"/>
      <c r="J66" s="1987"/>
      <c r="K66" s="1987"/>
      <c r="L66" s="1991"/>
      <c r="M66" s="1989"/>
      <c r="AC66" s="832"/>
      <c r="AI66" s="611"/>
      <c r="AJ66" s="1272"/>
      <c r="AK66" s="1272"/>
      <c r="AL66" s="1272"/>
      <c r="AM66" s="589"/>
      <c r="AN66" s="1273"/>
      <c r="AO66" s="1273"/>
      <c r="AP66" s="1274"/>
      <c r="AQ66" s="596"/>
      <c r="AR66" s="596"/>
      <c r="AS66" s="16"/>
      <c r="AT66" s="596"/>
      <c r="AU66" s="596"/>
      <c r="AV66" s="596"/>
      <c r="AW66" s="596"/>
      <c r="AX66" s="596"/>
      <c r="AY66" s="596"/>
      <c r="AZ66" s="596"/>
    </row>
    <row r="67" spans="1:60" s="1248" customFormat="1" ht="21.75" hidden="1" customHeight="1" x14ac:dyDescent="0.25">
      <c r="A67" s="1264"/>
      <c r="B67" s="1975" t="s">
        <v>1765</v>
      </c>
      <c r="C67" s="1976"/>
      <c r="D67" s="1976"/>
      <c r="E67" s="1976"/>
      <c r="F67" s="1977"/>
      <c r="G67" s="1978" t="s">
        <v>1782</v>
      </c>
      <c r="H67" s="1979" t="s">
        <v>1783</v>
      </c>
      <c r="I67" s="1980" t="s">
        <v>1784</v>
      </c>
      <c r="J67" s="1981" t="s">
        <v>1785</v>
      </c>
      <c r="K67" s="1978"/>
      <c r="L67" s="1982" t="s">
        <v>446</v>
      </c>
      <c r="M67" s="1977"/>
      <c r="Q67" s="1249" t="s">
        <v>1776</v>
      </c>
      <c r="R67" s="1249" t="s">
        <v>1777</v>
      </c>
      <c r="AI67" s="1263"/>
      <c r="AJ67" s="1263"/>
      <c r="AK67" s="1263"/>
      <c r="AL67" s="1263"/>
      <c r="AM67" s="1263"/>
      <c r="AN67" s="1263"/>
      <c r="AO67" s="1263"/>
      <c r="AP67" s="1263"/>
      <c r="AQ67" s="1263"/>
      <c r="AR67" s="1275"/>
      <c r="AS67" s="1275"/>
      <c r="AT67" s="1275"/>
      <c r="AU67" s="1275"/>
      <c r="AV67" s="1263"/>
      <c r="AW67" s="1275"/>
      <c r="AX67" s="1275"/>
      <c r="AY67" s="1275"/>
      <c r="AZ67" s="1263"/>
    </row>
    <row r="68" spans="1:60" ht="15" customHeight="1" x14ac:dyDescent="0.25">
      <c r="A68" s="1243"/>
      <c r="B68" s="3159" t="str">
        <f>IFERROR(IF(ISBLANK(B17),"",B17),"")</f>
        <v>Electricity</v>
      </c>
      <c r="C68" s="3159"/>
      <c r="D68" s="3159"/>
      <c r="E68" s="3159"/>
      <c r="F68" s="3261"/>
      <c r="G68" s="1745">
        <f>IFERROR(IF(PO_ShowExCalc=TRUE,SUMIFS(INDEX(PO_ExCalc_Table,0,MATCH($G$56,PO_ExCalc_Hdr,0)),INDEX(PO_ExCalc_Table,0,MATCH($D$56,PO_ExCalc_Hdr,0)),$B68,INDEX(PO_ExCalc_Table,0,MATCH($F$56,PO_ExCalc_Hdr,0)),"Subtract from Proposed"),""),"")</f>
        <v>0</v>
      </c>
      <c r="H68" s="1968" t="str">
        <f>IFERROR(IF(ISBLANK($B68),"",VLOOKUP($B68,PO_Enrgy_1_Table,MATCH($C$16,PO_Enrgy_1_Hdr,0),FALSE)),"")</f>
        <v>kWh</v>
      </c>
      <c r="I68" s="1745">
        <f>IFERROR($G68*$Q68,"")</f>
        <v>0</v>
      </c>
      <c r="J68" s="3249">
        <f>IFERROR($G68*$R68,"")</f>
        <v>0</v>
      </c>
      <c r="K68" s="3250">
        <f t="shared" ref="K68:K70" si="2">IFERROR($G68*$Q68,"")</f>
        <v>0</v>
      </c>
      <c r="L68" s="3251">
        <f>IFERROR(IF(PO_ShowExCalc=TRUE,SUMIFS(INDEX(PO_ExCalc_Table,0,MATCH($L$56,PO_ExCalc_Hdr,0)),INDEX(PO_ExCalc_Table,0,MATCH($D$56,PO_ExCalc_Hdr,0)),$B68,INDEX(PO_ExCalc_Table,0,MATCH($F$56,PO_ExCalc_Hdr,0)),"Subtract from Proposed"),""),"")</f>
        <v>0</v>
      </c>
      <c r="M68" s="3252">
        <f>IFERROR(IF(PO_ShowExCalc=TRUE,SUMIFS(M$57:M$60,$D$57:$D$60,$B68,$F$57:$F$60,"Add to Baseline"),""),"")</f>
        <v>0</v>
      </c>
      <c r="Q68" s="1549">
        <f>IFERROR(IF(ISBLANK($B68),"",VLOOKUP($B68,PO_Enrgy_1_Table,MATCH($K$16,PO_Enrgy_1_Hdr,0),FALSE)),"")</f>
        <v>3.4120000000000001E-3</v>
      </c>
      <c r="R68" s="1549">
        <f>IFERROR(IF(ISBLANK($B68),"",VLOOKUP($B68,PO_Enrgy_1_Table,MATCH($M$16,PO_Enrgy_1_Hdr,0),FALSE)),"")</f>
        <v>1.0713680000000001E-2</v>
      </c>
      <c r="AC68" s="844"/>
      <c r="AI68" s="1277"/>
      <c r="AJ68" s="648"/>
      <c r="AK68" s="1272"/>
      <c r="AL68" s="1278"/>
      <c r="AM68" s="596"/>
      <c r="AN68" s="596"/>
      <c r="AO68" s="596"/>
      <c r="AP68" s="1279"/>
      <c r="AQ68" s="1280"/>
      <c r="AR68" s="1278"/>
      <c r="AS68" s="1281"/>
      <c r="AT68" s="1282"/>
      <c r="AU68" s="596"/>
      <c r="AV68" s="596"/>
      <c r="AW68" s="596"/>
      <c r="AX68" s="596"/>
      <c r="AY68" s="596"/>
      <c r="AZ68" s="596"/>
      <c r="BC68" s="2292"/>
    </row>
    <row r="69" spans="1:60" ht="15" customHeight="1" x14ac:dyDescent="0.25">
      <c r="A69" s="1243"/>
      <c r="B69" s="3247" t="str">
        <f>IFERROR(IF(ISBLANK(B18),"",B18),"")</f>
        <v>District Steam</v>
      </c>
      <c r="C69" s="3247"/>
      <c r="D69" s="3247"/>
      <c r="E69" s="3247"/>
      <c r="F69" s="3248"/>
      <c r="G69" s="1990">
        <f>IFERROR(IF(PO_ShowExCalc=TRUE,SUMIFS(INDEX(PO_ExCalc_Table,0,MATCH($G$56,PO_ExCalc_Hdr,0)),INDEX(PO_ExCalc_Table,0,MATCH($D$56,PO_ExCalc_Hdr,0)),$B69,INDEX(PO_ExCalc_Table,0,MATCH($F$56,PO_ExCalc_Hdr,0)),"Subtract from Proposed"),""),"")</f>
        <v>0</v>
      </c>
      <c r="H69" s="1973" t="str">
        <f>IFERROR(IF(ISBLANK($B69),"",VLOOKUP($B69,PO_Enrgy_1_Table,MATCH($C$16,PO_Enrgy_1_Hdr,0),FALSE)),"")</f>
        <v>therm</v>
      </c>
      <c r="I69" s="1745">
        <f>IFERROR($G69*$Q69,"")</f>
        <v>0</v>
      </c>
      <c r="J69" s="3249">
        <f>IFERROR($G69*$R69,"")</f>
        <v>0</v>
      </c>
      <c r="K69" s="3250">
        <f t="shared" si="2"/>
        <v>0</v>
      </c>
      <c r="L69" s="3251">
        <f>IFERROR(IF(PO_ShowExCalc=TRUE,SUMIFS(INDEX(PO_ExCalc_Table,0,MATCH($L$56,PO_ExCalc_Hdr,0)),INDEX(PO_ExCalc_Table,0,MATCH($D$56,PO_ExCalc_Hdr,0)),$B69,INDEX(PO_ExCalc_Table,0,MATCH($F$56,PO_ExCalc_Hdr,0)),"Subtract from Proposed"),""),"")</f>
        <v>0</v>
      </c>
      <c r="M69" s="3252">
        <f>IFERROR(IF(PO_ShowExCalc=TRUE,SUMIFS(M$57:M$60,$D$57:$D$60,$B69,$F$57:$F$60,"Add to Baseline"),""),"")</f>
        <v>0</v>
      </c>
      <c r="Q69" s="1549">
        <f>IFERROR(IF(ISBLANK($B69),"",VLOOKUP($B69,PO_Enrgy_1_Table,MATCH($K$16,PO_Enrgy_1_Hdr,0),FALSE)),"")</f>
        <v>0.1</v>
      </c>
      <c r="R69" s="1549">
        <f>IFERROR(IF(ISBLANK($B69),"",VLOOKUP($B69,PO_Enrgy_1_Table,MATCH($M$16,PO_Enrgy_1_Hdr,0),FALSE)),"")</f>
        <v>0.12</v>
      </c>
      <c r="AC69" s="844"/>
      <c r="AI69" s="1277"/>
      <c r="AJ69" s="648"/>
      <c r="AK69" s="1272"/>
      <c r="AL69" s="1278"/>
      <c r="AM69" s="596"/>
      <c r="AN69" s="596"/>
      <c r="AO69" s="596"/>
      <c r="AP69" s="1279"/>
      <c r="AQ69" s="1280"/>
      <c r="AR69" s="1278"/>
      <c r="AS69" s="1281"/>
      <c r="AT69" s="1282"/>
      <c r="AU69" s="596"/>
      <c r="AV69" s="596"/>
      <c r="AW69" s="596"/>
      <c r="AX69" s="596"/>
      <c r="AY69" s="596"/>
      <c r="AZ69" s="596"/>
      <c r="BC69" s="2292"/>
    </row>
    <row r="70" spans="1:60" ht="15" customHeight="1" x14ac:dyDescent="0.25">
      <c r="A70" s="1243"/>
      <c r="B70" s="3247" t="str">
        <f>IFERROR(IF(ISBLANK(B19),"",B19),"")</f>
        <v>District Cooling</v>
      </c>
      <c r="C70" s="3247"/>
      <c r="D70" s="3247"/>
      <c r="E70" s="3247"/>
      <c r="F70" s="3248"/>
      <c r="G70" s="1990">
        <f>IFERROR(IF(PO_ShowExCalc=TRUE,SUMIFS(INDEX(PO_ExCalc_Table,0,MATCH($G$56,PO_ExCalc_Hdr,0)),INDEX(PO_ExCalc_Table,0,MATCH($D$56,PO_ExCalc_Hdr,0)),$B70,INDEX(PO_ExCalc_Table,0,MATCH($F$56,PO_ExCalc_Hdr,0)),"Subtract from Proposed"),""),"")</f>
        <v>0</v>
      </c>
      <c r="H70" s="1973" t="str">
        <f>IFERROR(IF(ISBLANK($B70),"",VLOOKUP($B70,PO_Enrgy_1_Table,MATCH($C$16,PO_Enrgy_1_Hdr,0),FALSE)),"")</f>
        <v>therm</v>
      </c>
      <c r="I70" s="2157">
        <f>IFERROR($G70*$Q70,"")</f>
        <v>0</v>
      </c>
      <c r="J70" s="3249">
        <f>IFERROR($G70*$R70,"")</f>
        <v>0</v>
      </c>
      <c r="K70" s="3250">
        <f t="shared" si="2"/>
        <v>0</v>
      </c>
      <c r="L70" s="3251">
        <f>IFERROR(IF(PO_ShowExCalc=TRUE,SUMIFS(INDEX(PO_ExCalc_Table,0,MATCH($L$56,PO_ExCalc_Hdr,0)),INDEX(PO_ExCalc_Table,0,MATCH($D$56,PO_ExCalc_Hdr,0)),$B70,INDEX(PO_ExCalc_Table,0,MATCH($F$56,PO_ExCalc_Hdr,0)),"Subtract from Proposed"),""),"")</f>
        <v>0</v>
      </c>
      <c r="M70" s="3252">
        <f>IFERROR(IF(PO_ShowExCalc=TRUE,SUMIFS(M$57:M$60,$D$57:$D$60,$B70,$F$57:$F$60,"Add to Baseline"),""),"")</f>
        <v>0</v>
      </c>
      <c r="Q70" s="1549">
        <f>IFERROR(IF(ISBLANK($B70),"",VLOOKUP($B70,PO_Enrgy_1_Table,MATCH($K$16,PO_Enrgy_1_Hdr,0),FALSE)),"")</f>
        <v>0.1</v>
      </c>
      <c r="R70" s="1549">
        <f>IFERROR(IF(ISBLANK($B70),"",VLOOKUP($B70,PO_Enrgy_1_Table,MATCH($M$16,PO_Enrgy_1_Hdr,0),FALSE)),"")</f>
        <v>0.1</v>
      </c>
      <c r="AC70" s="844"/>
      <c r="AI70" s="1277"/>
      <c r="AJ70" s="648"/>
      <c r="AK70" s="1272"/>
      <c r="AL70" s="1278"/>
      <c r="AM70" s="596"/>
      <c r="AN70" s="596"/>
      <c r="AO70" s="596"/>
      <c r="AP70" s="1279"/>
      <c r="AQ70" s="1280"/>
      <c r="AR70" s="1278"/>
      <c r="AS70" s="1281"/>
      <c r="AT70" s="1282"/>
      <c r="AU70" s="596"/>
      <c r="AV70" s="596"/>
      <c r="AW70" s="596"/>
      <c r="AX70" s="596"/>
      <c r="AY70" s="596"/>
      <c r="AZ70" s="596"/>
      <c r="BC70" s="2292"/>
    </row>
    <row r="71" spans="1:60" ht="21" customHeight="1" x14ac:dyDescent="0.25">
      <c r="A71" s="1243"/>
      <c r="B71" s="3253" t="s">
        <v>1790</v>
      </c>
      <c r="C71" s="3254"/>
      <c r="D71" s="3254"/>
      <c r="E71" s="3254"/>
      <c r="F71" s="3254"/>
      <c r="G71" s="1993"/>
      <c r="H71" s="1994"/>
      <c r="I71" s="1992">
        <f>IFERROR(SUM(INDEX(PO_Enrgy_3_Table,0,MATCH($I62,PO_Enrgy_3_Hdr,0)),INDEX(PO_Enrgy_4_Table,0,MATCH($I67,PO_Enrgy_4_Hdr,0))),"")</f>
        <v>0</v>
      </c>
      <c r="J71" s="3249">
        <f>IFERROR(SUM(INDEX(PO_Enrgy_3_Table,0,MATCH($J62,PO_Enrgy_3_Hdr,0)),INDEX(PO_Enrgy_4_Table,0,MATCH($J67,PO_Enrgy_4_Hdr,0))),"")</f>
        <v>0</v>
      </c>
      <c r="K71" s="3250">
        <f>IFERROR(SUM(K$35:K$69),0)</f>
        <v>0</v>
      </c>
      <c r="L71" s="3255">
        <f>IFERROR(SUM(INDEX(PO_Enrgy_3_Table,0,MATCH($L62,PO_Enrgy_3_Hdr,0)),INDEX(PO_Enrgy_4_Table,0,MATCH($L67,PO_Enrgy_4_Hdr,0))),"")</f>
        <v>0</v>
      </c>
      <c r="M71" s="3255">
        <f>IFERROR(SUM(M$35:M$69),0)</f>
        <v>0</v>
      </c>
      <c r="AC71" s="835"/>
      <c r="AI71" s="589"/>
      <c r="AJ71" s="1283"/>
      <c r="AK71" s="1283"/>
      <c r="AL71" s="1283"/>
      <c r="AM71" s="1283"/>
      <c r="AN71" s="596"/>
      <c r="AO71" s="596"/>
      <c r="AP71" s="1279"/>
      <c r="AQ71" s="1280"/>
      <c r="AR71" s="1278"/>
      <c r="AS71" s="1281"/>
      <c r="AT71" s="1282"/>
      <c r="AU71" s="596"/>
      <c r="AV71" s="596"/>
      <c r="AW71" s="596"/>
      <c r="AX71" s="596"/>
      <c r="AY71" s="596"/>
      <c r="AZ71" s="596"/>
      <c r="BC71" s="2292"/>
    </row>
    <row r="72" spans="1:60" s="592" customFormat="1" ht="53.25" customHeight="1" x14ac:dyDescent="0.25">
      <c r="A72" s="1271" t="s">
        <v>1298</v>
      </c>
      <c r="C72" s="601"/>
      <c r="D72" s="601"/>
      <c r="E72" s="601"/>
      <c r="F72" s="601"/>
      <c r="G72" s="601"/>
      <c r="H72" s="601"/>
      <c r="I72" s="833"/>
      <c r="J72" s="636"/>
      <c r="K72" s="600"/>
      <c r="L72" s="848"/>
      <c r="M72" s="600"/>
      <c r="N72" s="636"/>
      <c r="AC72" s="832"/>
      <c r="AJ72" s="601"/>
      <c r="AK72" s="601"/>
      <c r="AL72" s="601"/>
      <c r="AM72" s="601"/>
      <c r="AN72" s="601"/>
      <c r="AO72" s="636"/>
      <c r="AP72" s="833"/>
      <c r="AS72" s="832"/>
    </row>
    <row r="73" spans="1:60" ht="196.5" customHeight="1" x14ac:dyDescent="0.25">
      <c r="A73" s="1271" t="s">
        <v>1298</v>
      </c>
      <c r="B73" s="3242" t="s">
        <v>1285</v>
      </c>
      <c r="C73" s="3242"/>
      <c r="D73" s="3242"/>
      <c r="E73" s="3242"/>
      <c r="F73" s="3242"/>
      <c r="G73" s="3242"/>
      <c r="H73" s="3242"/>
      <c r="I73" s="3242"/>
      <c r="J73" s="3242"/>
      <c r="K73" s="3242"/>
      <c r="L73" s="3242"/>
      <c r="M73" s="3242"/>
      <c r="N73" s="614"/>
      <c r="AC73" s="835"/>
      <c r="AP73" s="835"/>
    </row>
    <row r="74" spans="1:60" ht="12.75" customHeight="1" x14ac:dyDescent="0.25">
      <c r="A74" s="1271" t="s">
        <v>1298</v>
      </c>
      <c r="B74" s="635"/>
      <c r="C74" s="635"/>
      <c r="D74" s="635"/>
      <c r="E74" s="635"/>
      <c r="F74" s="635"/>
      <c r="G74" s="635"/>
      <c r="H74" s="635"/>
      <c r="I74" s="635"/>
      <c r="J74" s="635"/>
      <c r="K74" s="635"/>
      <c r="L74" s="635"/>
      <c r="M74" s="635"/>
    </row>
    <row r="75" spans="1:60" s="886" customFormat="1" ht="33" customHeight="1" x14ac:dyDescent="0.25">
      <c r="A75" s="1271" t="s">
        <v>1298</v>
      </c>
      <c r="B75" s="1081" t="s">
        <v>1118</v>
      </c>
      <c r="E75" s="33"/>
      <c r="H75" s="33"/>
      <c r="I75" s="33"/>
      <c r="J75" s="33"/>
      <c r="M75" s="33"/>
      <c r="N75" s="33"/>
      <c r="O75" s="33"/>
      <c r="Q75" s="430"/>
      <c r="R75" s="430"/>
      <c r="T75" s="430"/>
      <c r="U75" s="430"/>
      <c r="V75" s="430"/>
      <c r="W75" s="430"/>
      <c r="X75" s="430"/>
      <c r="Y75" s="430"/>
      <c r="Z75" s="430"/>
      <c r="AA75" s="430"/>
      <c r="AB75" s="430"/>
      <c r="AC75" s="430"/>
      <c r="AD75" s="430"/>
      <c r="AE75" s="430"/>
      <c r="AF75" s="430"/>
      <c r="AG75" s="430"/>
      <c r="AH75" s="430"/>
      <c r="AI75" s="430"/>
      <c r="AJ75" s="430"/>
      <c r="AK75" s="430"/>
      <c r="AL75" s="430"/>
      <c r="AM75" s="430"/>
      <c r="AN75" s="430"/>
      <c r="AO75" s="430"/>
      <c r="AP75" s="430"/>
      <c r="AQ75" s="430"/>
      <c r="AR75" s="430"/>
      <c r="AS75" s="430"/>
      <c r="AT75" s="430"/>
      <c r="AU75" s="430"/>
      <c r="AV75" s="430"/>
      <c r="AW75" s="430"/>
      <c r="AX75" s="430"/>
      <c r="AY75" s="430"/>
      <c r="AZ75" s="430"/>
      <c r="BA75" s="430"/>
      <c r="BB75" s="430"/>
      <c r="BC75" s="430"/>
      <c r="BD75" s="430"/>
      <c r="BE75" s="430"/>
      <c r="BF75" s="430"/>
      <c r="BG75" s="430"/>
      <c r="BH75" s="430"/>
    </row>
    <row r="76" spans="1:60" ht="40.5" customHeight="1" x14ac:dyDescent="0.25">
      <c r="A76" s="1271" t="s">
        <v>1298</v>
      </c>
      <c r="B76" s="3354" t="s">
        <v>2000</v>
      </c>
      <c r="C76" s="3244"/>
      <c r="D76" s="3244"/>
      <c r="E76" s="3244"/>
      <c r="F76" s="3244"/>
      <c r="G76" s="3244"/>
      <c r="H76" s="3244"/>
      <c r="I76" s="3244"/>
      <c r="J76" s="3244"/>
      <c r="K76" s="3244"/>
      <c r="L76" s="3244"/>
      <c r="M76" s="3244"/>
    </row>
    <row r="77" spans="1:60" ht="30" customHeight="1" x14ac:dyDescent="0.25">
      <c r="A77" s="1271" t="s">
        <v>1298</v>
      </c>
      <c r="B77" s="3245" t="s">
        <v>1164</v>
      </c>
      <c r="C77" s="3245"/>
      <c r="D77" s="3245"/>
      <c r="E77" s="3245"/>
      <c r="F77" s="3245"/>
      <c r="G77" s="3245"/>
      <c r="H77" s="3245"/>
      <c r="I77" s="3245"/>
      <c r="J77" s="3245"/>
      <c r="K77" s="3245"/>
      <c r="L77" s="3245"/>
      <c r="M77" s="3245"/>
      <c r="R77" s="1549">
        <v>5</v>
      </c>
    </row>
    <row r="78" spans="1:60" ht="9" customHeight="1" x14ac:dyDescent="0.25">
      <c r="A78" s="1271" t="s">
        <v>1298</v>
      </c>
      <c r="B78" s="1641"/>
      <c r="C78" s="716"/>
      <c r="D78" s="716"/>
      <c r="E78" s="716"/>
      <c r="F78" s="716"/>
      <c r="G78" s="716"/>
      <c r="H78" s="716"/>
      <c r="I78" s="716"/>
      <c r="J78" s="716"/>
      <c r="K78" s="717"/>
      <c r="L78" s="717"/>
      <c r="M78" s="718"/>
    </row>
    <row r="79" spans="1:60" ht="42" customHeight="1" x14ac:dyDescent="0.25">
      <c r="A79" s="1271" t="s">
        <v>1298</v>
      </c>
      <c r="B79" s="3246" t="s">
        <v>1165</v>
      </c>
      <c r="C79" s="3246"/>
      <c r="D79" s="3246"/>
      <c r="E79" s="3246"/>
      <c r="F79" s="3246"/>
      <c r="G79" s="3246"/>
      <c r="H79" s="3246"/>
      <c r="I79" s="3246"/>
      <c r="J79" s="3246"/>
      <c r="K79" s="3246"/>
      <c r="L79" s="3246"/>
      <c r="M79" s="3246"/>
    </row>
    <row r="80" spans="1:60" ht="9" customHeight="1" x14ac:dyDescent="0.25">
      <c r="A80" s="1271" t="s">
        <v>1298</v>
      </c>
      <c r="B80" s="1641"/>
      <c r="C80" s="716"/>
      <c r="D80" s="716"/>
      <c r="E80" s="716"/>
      <c r="F80" s="716"/>
      <c r="G80" s="716"/>
      <c r="H80" s="716"/>
      <c r="I80" s="716"/>
      <c r="J80" s="716"/>
      <c r="K80" s="717"/>
      <c r="L80" s="717"/>
      <c r="M80" s="718"/>
    </row>
    <row r="81" spans="1:61" ht="34.5" customHeight="1" x14ac:dyDescent="0.25">
      <c r="A81" s="1271" t="s">
        <v>1298</v>
      </c>
      <c r="B81" s="3246" t="s">
        <v>1166</v>
      </c>
      <c r="C81" s="3246"/>
      <c r="D81" s="3246"/>
      <c r="E81" s="3246"/>
      <c r="F81" s="3246"/>
      <c r="G81" s="3246"/>
      <c r="H81" s="3246"/>
      <c r="I81" s="3246"/>
      <c r="J81" s="3246"/>
      <c r="K81" s="3246"/>
      <c r="L81" s="3246"/>
      <c r="M81" s="3246"/>
    </row>
    <row r="82" spans="1:61" ht="9" customHeight="1" x14ac:dyDescent="0.25">
      <c r="A82" s="1271" t="s">
        <v>1298</v>
      </c>
      <c r="B82" s="1641"/>
      <c r="C82" s="716"/>
      <c r="D82" s="716"/>
      <c r="E82" s="716"/>
      <c r="F82" s="716"/>
      <c r="G82" s="716"/>
      <c r="H82" s="716"/>
      <c r="I82" s="716"/>
      <c r="J82" s="716"/>
      <c r="K82" s="717"/>
      <c r="L82" s="717"/>
      <c r="M82" s="718"/>
    </row>
    <row r="83" spans="1:61" ht="30" customHeight="1" x14ac:dyDescent="0.25">
      <c r="A83" s="1271" t="s">
        <v>1298</v>
      </c>
      <c r="B83" s="3246" t="s">
        <v>1167</v>
      </c>
      <c r="C83" s="3246"/>
      <c r="D83" s="3246"/>
      <c r="E83" s="3246"/>
      <c r="F83" s="3246"/>
      <c r="G83" s="3246"/>
      <c r="H83" s="3246"/>
      <c r="I83" s="3246"/>
      <c r="J83" s="3246"/>
      <c r="K83" s="3246"/>
      <c r="L83" s="3246"/>
      <c r="M83" s="3246"/>
    </row>
    <row r="84" spans="1:61" ht="14.25" customHeight="1" x14ac:dyDescent="0.25">
      <c r="A84" s="1271" t="s">
        <v>1298</v>
      </c>
      <c r="B84" s="3240"/>
      <c r="C84" s="3240"/>
      <c r="D84" s="3240"/>
      <c r="E84" s="3240"/>
      <c r="F84" s="3240"/>
      <c r="G84" s="3240"/>
      <c r="H84" s="3240"/>
      <c r="I84" s="3240"/>
      <c r="J84" s="3240"/>
      <c r="K84" s="3240"/>
      <c r="L84" s="3241"/>
      <c r="M84" s="3241"/>
    </row>
    <row r="85" spans="1:61" ht="33" customHeight="1" x14ac:dyDescent="0.25">
      <c r="A85" s="1271" t="s">
        <v>1298</v>
      </c>
      <c r="B85" s="611"/>
      <c r="C85" s="1642"/>
      <c r="D85" s="616"/>
      <c r="E85" s="616"/>
      <c r="F85" s="616"/>
      <c r="G85" s="616"/>
      <c r="H85" s="616"/>
      <c r="I85" s="616"/>
      <c r="J85" s="616"/>
      <c r="K85" s="616"/>
      <c r="L85" s="591"/>
      <c r="M85" s="591"/>
    </row>
    <row r="86" spans="1:61" s="887" customFormat="1" ht="33.75" customHeight="1" x14ac:dyDescent="0.25">
      <c r="A86" s="1271" t="s">
        <v>1298</v>
      </c>
      <c r="B86" s="1081" t="s">
        <v>1119</v>
      </c>
      <c r="E86" s="33"/>
      <c r="H86" s="33"/>
      <c r="I86" s="33"/>
      <c r="J86" s="33"/>
      <c r="M86" s="33"/>
      <c r="N86" s="33"/>
      <c r="O86" s="33"/>
      <c r="Q86" s="118"/>
      <c r="R86" s="118"/>
      <c r="T86" s="118"/>
      <c r="U86" s="118"/>
      <c r="V86" s="118"/>
      <c r="W86" s="118"/>
      <c r="X86" s="118"/>
      <c r="Y86" s="118"/>
      <c r="Z86" s="118"/>
      <c r="AA86" s="118"/>
      <c r="AB86" s="118"/>
      <c r="AC86" s="118"/>
      <c r="AD86" s="118"/>
      <c r="AE86" s="118"/>
      <c r="AF86" s="118"/>
      <c r="AG86" s="118"/>
      <c r="AH86" s="118"/>
      <c r="AI86" s="118"/>
      <c r="AJ86" s="118"/>
      <c r="AK86" s="118"/>
      <c r="AL86" s="118"/>
      <c r="AM86" s="118"/>
      <c r="AN86" s="118"/>
      <c r="AO86" s="118"/>
      <c r="AP86" s="118"/>
      <c r="AQ86" s="118"/>
      <c r="AR86" s="118"/>
      <c r="AS86" s="118"/>
      <c r="AT86" s="118"/>
      <c r="AU86" s="118"/>
      <c r="AV86" s="118"/>
      <c r="AW86" s="118"/>
      <c r="AX86" s="118"/>
      <c r="AY86" s="118"/>
      <c r="AZ86" s="118"/>
      <c r="BA86" s="118"/>
      <c r="BB86" s="118"/>
      <c r="BC86" s="118"/>
      <c r="BD86" s="118"/>
      <c r="BE86" s="118"/>
      <c r="BF86" s="118"/>
      <c r="BG86" s="118"/>
      <c r="BH86" s="118"/>
    </row>
    <row r="87" spans="1:61" s="564" customFormat="1" ht="21" customHeight="1" x14ac:dyDescent="0.25">
      <c r="A87" s="1271" t="s">
        <v>1298</v>
      </c>
      <c r="B87" s="1630" t="s">
        <v>1260</v>
      </c>
      <c r="C87" s="1630"/>
      <c r="D87" s="1630"/>
      <c r="E87" s="1630"/>
      <c r="F87" s="1630"/>
      <c r="G87" s="1630"/>
      <c r="H87" s="1630"/>
      <c r="I87" s="1630"/>
      <c r="J87" s="1630"/>
      <c r="K87" s="1630"/>
      <c r="L87" s="1630"/>
      <c r="M87" s="1631"/>
    </row>
    <row r="88" spans="1:61" ht="33.75" customHeight="1" x14ac:dyDescent="0.25">
      <c r="A88" s="1271" t="s">
        <v>1298</v>
      </c>
      <c r="B88" s="3219" t="s">
        <v>1168</v>
      </c>
      <c r="C88" s="3219"/>
      <c r="D88" s="3219"/>
      <c r="E88" s="3219"/>
      <c r="F88" s="3219"/>
      <c r="G88" s="3219"/>
      <c r="H88" s="3219"/>
      <c r="I88" s="3219"/>
      <c r="J88" s="3219"/>
      <c r="K88" s="3219"/>
      <c r="L88" s="3219"/>
      <c r="M88" s="3219"/>
    </row>
    <row r="89" spans="1:61" ht="32.25" customHeight="1" x14ac:dyDescent="0.25">
      <c r="A89" s="1271" t="s">
        <v>1298</v>
      </c>
      <c r="B89" s="3219" t="s">
        <v>1190</v>
      </c>
      <c r="C89" s="3219"/>
      <c r="D89" s="3219"/>
      <c r="E89" s="3219"/>
      <c r="F89" s="3219"/>
      <c r="G89" s="3219"/>
      <c r="H89" s="3219"/>
      <c r="I89" s="3219"/>
      <c r="J89" s="3219"/>
      <c r="K89" s="3219"/>
      <c r="L89" s="3219"/>
      <c r="M89" s="3219"/>
    </row>
    <row r="90" spans="1:61" ht="33" hidden="1" customHeight="1" x14ac:dyDescent="0.25">
      <c r="A90" s="1271" t="s">
        <v>1298</v>
      </c>
      <c r="B90" s="3219" t="s">
        <v>1169</v>
      </c>
      <c r="C90" s="3219"/>
      <c r="D90" s="3219"/>
      <c r="E90" s="3219"/>
      <c r="F90" s="3219"/>
      <c r="G90" s="3219"/>
      <c r="H90" s="3219"/>
      <c r="I90" s="3219"/>
      <c r="J90" s="3219"/>
      <c r="K90" s="3219"/>
      <c r="L90" s="3219"/>
      <c r="M90" s="3219"/>
    </row>
    <row r="91" spans="1:61" ht="33" hidden="1" customHeight="1" x14ac:dyDescent="0.25">
      <c r="A91" s="1271" t="s">
        <v>1298</v>
      </c>
      <c r="B91" s="3219" t="s">
        <v>1193</v>
      </c>
      <c r="C91" s="3219"/>
      <c r="D91" s="3219"/>
      <c r="E91" s="3219"/>
      <c r="F91" s="3219"/>
      <c r="G91" s="3219"/>
      <c r="H91" s="3219"/>
      <c r="I91" s="3219"/>
      <c r="J91" s="3219"/>
      <c r="K91" s="3219"/>
      <c r="L91" s="3219"/>
      <c r="M91" s="3219"/>
    </row>
    <row r="92" spans="1:61" ht="33" hidden="1" customHeight="1" x14ac:dyDescent="0.25">
      <c r="A92" s="1271" t="s">
        <v>1298</v>
      </c>
      <c r="B92" s="3219" t="s">
        <v>1170</v>
      </c>
      <c r="C92" s="3220"/>
      <c r="D92" s="3220"/>
      <c r="E92" s="3220"/>
      <c r="F92" s="3220"/>
      <c r="G92" s="3220"/>
      <c r="H92" s="3220"/>
      <c r="I92" s="3220"/>
      <c r="J92" s="3220"/>
      <c r="K92" s="3220"/>
      <c r="L92" s="3220"/>
      <c r="M92" s="3220"/>
    </row>
    <row r="93" spans="1:61" ht="45" hidden="1" customHeight="1" x14ac:dyDescent="0.25">
      <c r="A93" s="1271" t="s">
        <v>1298</v>
      </c>
      <c r="B93" s="3219" t="s">
        <v>1289</v>
      </c>
      <c r="C93" s="3220"/>
      <c r="D93" s="3220"/>
      <c r="E93" s="3220"/>
      <c r="F93" s="3220"/>
      <c r="G93" s="3220"/>
      <c r="H93" s="3220"/>
      <c r="I93" s="3220"/>
      <c r="J93" s="3220"/>
      <c r="K93" s="3220"/>
      <c r="L93" s="3220"/>
      <c r="M93" s="3220"/>
    </row>
    <row r="94" spans="1:61" ht="15" customHeight="1" x14ac:dyDescent="0.25">
      <c r="A94" s="1271" t="s">
        <v>1298</v>
      </c>
      <c r="B94" s="613"/>
      <c r="C94" s="635"/>
      <c r="D94" s="635"/>
      <c r="E94" s="635"/>
      <c r="F94" s="635"/>
      <c r="G94" s="635"/>
      <c r="H94" s="635"/>
      <c r="I94" s="635"/>
      <c r="J94" s="635"/>
      <c r="K94" s="635"/>
      <c r="L94" s="635"/>
      <c r="M94" s="635"/>
      <c r="BF94" s="3110" t="s">
        <v>2186</v>
      </c>
      <c r="BG94" s="3110"/>
      <c r="BH94" s="3110"/>
      <c r="BI94" s="3110"/>
    </row>
    <row r="95" spans="1:61" ht="92.25" customHeight="1" x14ac:dyDescent="0.25">
      <c r="A95" s="1271" t="s">
        <v>1298</v>
      </c>
      <c r="B95" s="3123" t="s">
        <v>457</v>
      </c>
      <c r="C95" s="3123"/>
      <c r="D95" s="1368" t="s">
        <v>456</v>
      </c>
      <c r="E95" s="1633" t="s">
        <v>444</v>
      </c>
      <c r="F95" s="1633" t="s">
        <v>1263</v>
      </c>
      <c r="G95" s="1369" t="s">
        <v>463</v>
      </c>
      <c r="H95" s="1369" t="s">
        <v>462</v>
      </c>
      <c r="I95" s="1369" t="s">
        <v>461</v>
      </c>
      <c r="J95" s="1369" t="s">
        <v>460</v>
      </c>
      <c r="K95" s="3123" t="s">
        <v>483</v>
      </c>
      <c r="L95" s="3124"/>
      <c r="M95" s="3125"/>
      <c r="BF95" s="2344" t="s">
        <v>2187</v>
      </c>
      <c r="BG95" s="2344" t="s">
        <v>2213</v>
      </c>
      <c r="BH95" s="2344" t="s">
        <v>2214</v>
      </c>
      <c r="BI95" s="2344" t="s">
        <v>2215</v>
      </c>
    </row>
    <row r="96" spans="1:61" ht="18.75" hidden="1" customHeight="1" x14ac:dyDescent="0.25">
      <c r="A96" s="1271" t="s">
        <v>1298</v>
      </c>
      <c r="B96" s="1317" t="s">
        <v>1791</v>
      </c>
      <c r="C96" s="1317"/>
      <c r="D96" s="1370" t="s">
        <v>1792</v>
      </c>
      <c r="E96" s="1317" t="s">
        <v>1765</v>
      </c>
      <c r="F96" s="1317" t="s">
        <v>1793</v>
      </c>
      <c r="G96" s="1317" t="s">
        <v>1794</v>
      </c>
      <c r="H96" s="1317" t="s">
        <v>1795</v>
      </c>
      <c r="I96" s="1317" t="s">
        <v>1796</v>
      </c>
      <c r="J96" s="1317" t="s">
        <v>1797</v>
      </c>
      <c r="K96" s="1307" t="s">
        <v>1798</v>
      </c>
      <c r="L96" s="1371"/>
      <c r="M96" s="1372"/>
      <c r="Q96" s="1550" t="s">
        <v>1776</v>
      </c>
      <c r="R96" s="1550" t="s">
        <v>1777</v>
      </c>
      <c r="S96" s="1550" t="s">
        <v>1386</v>
      </c>
    </row>
    <row r="97" spans="1:61" ht="15.75" customHeight="1" x14ac:dyDescent="0.25">
      <c r="A97" s="1271" t="s">
        <v>1298</v>
      </c>
      <c r="B97" s="3215" t="s">
        <v>482</v>
      </c>
      <c r="C97" s="3218"/>
      <c r="D97" s="3236"/>
      <c r="E97" s="3208" t="s">
        <v>464</v>
      </c>
      <c r="F97" s="1464" t="str">
        <f>IFERROR(IF(ISBLANK(E97),"","Consumption (" &amp; VLOOKUP($E97,PO_Enrgy_1_Table,MATCH($C$16,PO_Enrgy_1_Hdr,0),FALSE) &amp; ")"),"")</f>
        <v>Consumption (kWh)</v>
      </c>
      <c r="G97" s="1373"/>
      <c r="H97" s="1373"/>
      <c r="I97" s="1373"/>
      <c r="J97" s="1373"/>
      <c r="K97" s="3237" t="str">
        <f t="shared" ref="K97:K144" si="3">IFERROR(AVERAGE(G97,H97,I97,J97),"")</f>
        <v/>
      </c>
      <c r="L97" s="3237"/>
      <c r="M97" s="3238"/>
      <c r="N97" s="835"/>
      <c r="O97" s="835"/>
      <c r="P97" s="835"/>
      <c r="Q97" s="1549">
        <f t="shared" ref="Q97:Q144" si="4">IFERROR(IF(ISBLANK($E97),"",VLOOKUP($E97,PO_Enrgy_1_Table,MATCH($K$16,PO_Enrgy_1_Hdr,0),FALSE)),"")</f>
        <v>3.4120000000000001E-3</v>
      </c>
      <c r="R97" s="1549">
        <f t="shared" ref="R97:R144" si="5">IFERROR(IF(ISBLANK($E97),"",VLOOKUP($E97,PO_Enrgy_1_Table,MATCH($M$16,PO_Enrgy_1_Hdr,0),FALSE)),"")</f>
        <v>1.0713680000000001E-2</v>
      </c>
      <c r="S97" s="1549" t="str">
        <f t="shared" ref="S97:S145" si="6">IFERROR(IF(FIND("Consumption",F97),(K97*VLOOKUP(MID(F97,FIND("(",F97)+1,LEN(F97)-FIND("(",F97)-1),EnergyUnitsTable,3,FALSE))/(K98*VLOOKUP(MID(F98,FIND("(",F98)+1,LEN(F98)-FIND("(",F98)-1),DemandTable,3,FALSE)),1),"")</f>
        <v/>
      </c>
      <c r="BC97" s="2292"/>
      <c r="BF97" s="2345" t="s">
        <v>2188</v>
      </c>
      <c r="BG97" s="2345" t="s">
        <v>2170</v>
      </c>
      <c r="BH97" s="2345" t="s">
        <v>464</v>
      </c>
      <c r="BI97" s="2345">
        <f>IF(BG97&lt;&gt;"",IFERROR(MATCH(BG97&amp;BH97,'Results from Trace'!$L$1:$L$21,0),""),"")</f>
        <v>7</v>
      </c>
    </row>
    <row r="98" spans="1:61" ht="16.149999999999999" customHeight="1" x14ac:dyDescent="0.25">
      <c r="A98" s="1271" t="s">
        <v>1298</v>
      </c>
      <c r="B98" s="3218"/>
      <c r="C98" s="3218"/>
      <c r="D98" s="3236"/>
      <c r="E98" s="3208"/>
      <c r="F98" s="1464" t="str">
        <f>IFERROR(IF(ISBLANK(E97),"","Demand (" &amp; VLOOKUP($E97,PO_Enrgy_1_Table,MATCH($E$16,PO_Enrgy_1_Hdr,0),FALSE) &amp; ")"),"")</f>
        <v>Demand (kW)</v>
      </c>
      <c r="G98" s="1373"/>
      <c r="H98" s="1373"/>
      <c r="I98" s="1373"/>
      <c r="J98" s="1373"/>
      <c r="K98" s="3237" t="str">
        <f t="shared" si="3"/>
        <v/>
      </c>
      <c r="L98" s="3237"/>
      <c r="M98" s="3238"/>
      <c r="N98" s="835"/>
      <c r="O98" s="835"/>
      <c r="P98" s="835"/>
      <c r="Q98" s="1549" t="str">
        <f t="shared" si="4"/>
        <v/>
      </c>
      <c r="R98" s="1549" t="str">
        <f t="shared" si="5"/>
        <v/>
      </c>
      <c r="S98" s="1549" t="str">
        <f t="shared" si="6"/>
        <v/>
      </c>
      <c r="BC98" s="2292"/>
      <c r="BF98" s="2345" t="s">
        <v>1283</v>
      </c>
      <c r="BG98" s="2345"/>
      <c r="BH98" s="2345"/>
      <c r="BI98" s="2345"/>
    </row>
    <row r="99" spans="1:61" ht="16.149999999999999" customHeight="1" x14ac:dyDescent="0.25">
      <c r="A99" s="1271" t="s">
        <v>1298</v>
      </c>
      <c r="B99" s="3215" t="s">
        <v>481</v>
      </c>
      <c r="C99" s="3215"/>
      <c r="D99" s="3236"/>
      <c r="E99" s="3208" t="s">
        <v>464</v>
      </c>
      <c r="F99" s="1464" t="str">
        <f>IFERROR(IF(ISBLANK(E99),"","Consumption (" &amp; VLOOKUP($E99,PO_Enrgy_1_Table,MATCH($C$16,PO_Enrgy_1_Hdr,0),FALSE) &amp; ")"),"")</f>
        <v>Consumption (kWh)</v>
      </c>
      <c r="G99" s="1373"/>
      <c r="H99" s="1373"/>
      <c r="I99" s="1373"/>
      <c r="J99" s="1373"/>
      <c r="K99" s="3237" t="str">
        <f t="shared" si="3"/>
        <v/>
      </c>
      <c r="L99" s="3237"/>
      <c r="M99" s="3238"/>
      <c r="N99" s="835"/>
      <c r="O99" s="835"/>
      <c r="P99" s="835"/>
      <c r="Q99" s="1549">
        <f t="shared" si="4"/>
        <v>3.4120000000000001E-3</v>
      </c>
      <c r="R99" s="1549">
        <f t="shared" si="5"/>
        <v>1.0713680000000001E-2</v>
      </c>
      <c r="S99" s="1549" t="str">
        <f t="shared" si="6"/>
        <v/>
      </c>
      <c r="BC99" s="2292"/>
      <c r="BF99" s="2345" t="s">
        <v>2189</v>
      </c>
      <c r="BG99" s="2345" t="s">
        <v>2177</v>
      </c>
      <c r="BH99" s="2345" t="s">
        <v>464</v>
      </c>
      <c r="BI99" s="2345">
        <f>IF(BG99&lt;&gt;"",IFERROR(MATCH(BG99&amp;BH99,'Results from Trace'!$L$1:$L$21,0),""),"")</f>
        <v>15</v>
      </c>
    </row>
    <row r="100" spans="1:61" ht="16.149999999999999" customHeight="1" x14ac:dyDescent="0.25">
      <c r="A100" s="1271" t="s">
        <v>1298</v>
      </c>
      <c r="B100" s="3215"/>
      <c r="C100" s="3215"/>
      <c r="D100" s="3236"/>
      <c r="E100" s="3208"/>
      <c r="F100" s="1464" t="str">
        <f>IFERROR(IF(ISBLANK(E99),"","Demand (" &amp; VLOOKUP($E99,PO_Enrgy_1_Table,MATCH($E$16,PO_Enrgy_1_Hdr,0),FALSE) &amp; ")"),"")</f>
        <v>Demand (kW)</v>
      </c>
      <c r="G100" s="1373"/>
      <c r="H100" s="1373"/>
      <c r="I100" s="1373"/>
      <c r="J100" s="1373"/>
      <c r="K100" s="3237" t="str">
        <f t="shared" si="3"/>
        <v/>
      </c>
      <c r="L100" s="3237"/>
      <c r="M100" s="3238"/>
      <c r="N100" s="835"/>
      <c r="O100" s="835"/>
      <c r="P100" s="835"/>
      <c r="Q100" s="1549" t="str">
        <f t="shared" si="4"/>
        <v/>
      </c>
      <c r="R100" s="1549" t="str">
        <f t="shared" si="5"/>
        <v/>
      </c>
      <c r="S100" s="1549" t="str">
        <f t="shared" si="6"/>
        <v/>
      </c>
      <c r="BC100" s="2292"/>
      <c r="BF100" s="2345" t="s">
        <v>2190</v>
      </c>
      <c r="BG100" s="2345"/>
      <c r="BH100" s="2345"/>
      <c r="BI100" s="2345"/>
    </row>
    <row r="101" spans="1:61" ht="16.149999999999999" customHeight="1" x14ac:dyDescent="0.25">
      <c r="A101" s="1271" t="s">
        <v>1298</v>
      </c>
      <c r="B101" s="3215" t="s">
        <v>480</v>
      </c>
      <c r="C101" s="3215"/>
      <c r="D101" s="3236"/>
      <c r="E101" s="3208" t="s">
        <v>478</v>
      </c>
      <c r="F101" s="1464" t="str">
        <f>IFERROR(IF(ISBLANK(E101),"","Consumption (" &amp; VLOOKUP($E101,PO_Enrgy_1_Table,MATCH($C$16,PO_Enrgy_1_Hdr,0),FALSE) &amp; ")"),"")</f>
        <v/>
      </c>
      <c r="G101" s="1373"/>
      <c r="H101" s="1373"/>
      <c r="I101" s="1373"/>
      <c r="J101" s="1373"/>
      <c r="K101" s="3237" t="str">
        <f t="shared" si="3"/>
        <v/>
      </c>
      <c r="L101" s="3237"/>
      <c r="M101" s="3238"/>
      <c r="N101" s="835"/>
      <c r="O101" s="835"/>
      <c r="P101" s="835"/>
      <c r="Q101" s="1549" t="str">
        <f t="shared" si="4"/>
        <v/>
      </c>
      <c r="R101" s="1549" t="str">
        <f t="shared" si="5"/>
        <v/>
      </c>
      <c r="S101" s="1549" t="str">
        <f t="shared" si="6"/>
        <v/>
      </c>
      <c r="BC101" s="2292"/>
      <c r="BF101" s="2345" t="s">
        <v>2191</v>
      </c>
      <c r="BG101" s="2345" t="s">
        <v>2171</v>
      </c>
      <c r="BH101" s="2345" t="s">
        <v>2172</v>
      </c>
      <c r="BI101" s="2345" t="str">
        <f>IF(BG101&lt;&gt;"",IFERROR(MATCH(BG101&amp;BH101,'Results from Trace'!$L$1:$L$21,0),""),"")</f>
        <v/>
      </c>
    </row>
    <row r="102" spans="1:61" ht="16.149999999999999" customHeight="1" x14ac:dyDescent="0.25">
      <c r="A102" s="1271" t="s">
        <v>1298</v>
      </c>
      <c r="B102" s="3215"/>
      <c r="C102" s="3215"/>
      <c r="D102" s="3236"/>
      <c r="E102" s="3208"/>
      <c r="F102" s="1464" t="str">
        <f>IFERROR(IF(ISBLANK(E101),"","Demand (" &amp; VLOOKUP($E101,PO_Enrgy_1_Table,MATCH($E$16,PO_Enrgy_1_Hdr,0),FALSE) &amp; ")"),"")</f>
        <v/>
      </c>
      <c r="G102" s="1373"/>
      <c r="H102" s="1373"/>
      <c r="I102" s="1373"/>
      <c r="J102" s="1373"/>
      <c r="K102" s="3237" t="str">
        <f t="shared" si="3"/>
        <v/>
      </c>
      <c r="L102" s="3237"/>
      <c r="M102" s="3238"/>
      <c r="N102" s="835"/>
      <c r="O102" s="835"/>
      <c r="P102" s="835"/>
      <c r="Q102" s="1549" t="str">
        <f t="shared" si="4"/>
        <v/>
      </c>
      <c r="R102" s="1549" t="str">
        <f t="shared" si="5"/>
        <v/>
      </c>
      <c r="S102" s="1549" t="str">
        <f t="shared" si="6"/>
        <v/>
      </c>
      <c r="BC102" s="2292"/>
      <c r="BF102" s="2345"/>
      <c r="BG102" s="2345"/>
      <c r="BH102" s="2345"/>
      <c r="BI102" s="2345"/>
    </row>
    <row r="103" spans="1:61" ht="16.149999999999999" customHeight="1" x14ac:dyDescent="0.25">
      <c r="A103" s="1271" t="s">
        <v>1298</v>
      </c>
      <c r="B103" s="3215" t="s">
        <v>479</v>
      </c>
      <c r="C103" s="3215"/>
      <c r="D103" s="3236"/>
      <c r="E103" s="3208" t="s">
        <v>464</v>
      </c>
      <c r="F103" s="1464" t="str">
        <f>IFERROR(IF(ISBLANK(E103),"","Consumption (" &amp; VLOOKUP($E103,PO_Enrgy_1_Table,MATCH($C$16,PO_Enrgy_1_Hdr,0),FALSE) &amp; ")"),"")</f>
        <v>Consumption (kWh)</v>
      </c>
      <c r="G103" s="1373"/>
      <c r="H103" s="1373"/>
      <c r="I103" s="1373"/>
      <c r="J103" s="1373"/>
      <c r="K103" s="3237" t="str">
        <f t="shared" si="3"/>
        <v/>
      </c>
      <c r="L103" s="3237"/>
      <c r="M103" s="3238"/>
      <c r="N103" s="835"/>
      <c r="O103" s="835"/>
      <c r="P103" s="835"/>
      <c r="Q103" s="1549">
        <f t="shared" si="4"/>
        <v>3.4120000000000001E-3</v>
      </c>
      <c r="R103" s="1549">
        <f t="shared" si="5"/>
        <v>1.0713680000000001E-2</v>
      </c>
      <c r="S103" s="1549" t="str">
        <f t="shared" si="6"/>
        <v/>
      </c>
      <c r="BC103" s="2292"/>
      <c r="BF103" s="2345" t="s">
        <v>2192</v>
      </c>
      <c r="BG103" s="2345" t="s">
        <v>2173</v>
      </c>
      <c r="BH103" s="2345" t="s">
        <v>464</v>
      </c>
      <c r="BI103" s="2345" t="str">
        <f>IF(BG103&lt;&gt;"",IFERROR(MATCH(BG103&amp;BH103,'Results from Trace'!$L$1:$L$21,0),""),"")</f>
        <v/>
      </c>
    </row>
    <row r="104" spans="1:61" ht="16.149999999999999" customHeight="1" x14ac:dyDescent="0.25">
      <c r="A104" s="1271" t="s">
        <v>1298</v>
      </c>
      <c r="B104" s="3215"/>
      <c r="C104" s="3215"/>
      <c r="D104" s="3236"/>
      <c r="E104" s="3208"/>
      <c r="F104" s="1464" t="str">
        <f>IFERROR(IF(ISBLANK(E103),"","Demand (" &amp; VLOOKUP($E103,PO_Enrgy_1_Table,MATCH($E$16,PO_Enrgy_1_Hdr,0),FALSE) &amp; ")"),"")</f>
        <v>Demand (kW)</v>
      </c>
      <c r="G104" s="1373"/>
      <c r="H104" s="1373"/>
      <c r="I104" s="1373"/>
      <c r="J104" s="1373"/>
      <c r="K104" s="3237" t="str">
        <f t="shared" si="3"/>
        <v/>
      </c>
      <c r="L104" s="3237"/>
      <c r="M104" s="3238"/>
      <c r="N104" s="835"/>
      <c r="O104" s="835"/>
      <c r="P104" s="835"/>
      <c r="Q104" s="1549" t="str">
        <f t="shared" si="4"/>
        <v/>
      </c>
      <c r="R104" s="1549" t="str">
        <f t="shared" si="5"/>
        <v/>
      </c>
      <c r="S104" s="1549" t="str">
        <f t="shared" si="6"/>
        <v/>
      </c>
      <c r="BC104" s="2292"/>
      <c r="BF104" s="2345" t="s">
        <v>2193</v>
      </c>
      <c r="BG104" s="2345"/>
      <c r="BH104" s="2345"/>
      <c r="BI104" s="2345"/>
    </row>
    <row r="105" spans="1:61" ht="16.149999999999999" customHeight="1" x14ac:dyDescent="0.25">
      <c r="A105" s="1271" t="s">
        <v>1298</v>
      </c>
      <c r="B105" s="3215" t="s">
        <v>477</v>
      </c>
      <c r="C105" s="3215"/>
      <c r="D105" s="3236"/>
      <c r="E105" s="3208" t="s">
        <v>464</v>
      </c>
      <c r="F105" s="1464" t="str">
        <f>IFERROR(IF(ISBLANK(E105),"","Consumption (" &amp; VLOOKUP($E105,PO_Enrgy_1_Table,MATCH($C$16,PO_Enrgy_1_Hdr,0),FALSE) &amp; ")"),"")</f>
        <v>Consumption (kWh)</v>
      </c>
      <c r="G105" s="1373"/>
      <c r="H105" s="1373"/>
      <c r="I105" s="1373"/>
      <c r="J105" s="1373"/>
      <c r="K105" s="3237" t="str">
        <f t="shared" si="3"/>
        <v/>
      </c>
      <c r="L105" s="3237"/>
      <c r="M105" s="3238"/>
      <c r="N105" s="835"/>
      <c r="O105" s="835"/>
      <c r="P105" s="835"/>
      <c r="Q105" s="1549">
        <f t="shared" si="4"/>
        <v>3.4120000000000001E-3</v>
      </c>
      <c r="R105" s="1549">
        <f t="shared" si="5"/>
        <v>1.0713680000000001E-2</v>
      </c>
      <c r="S105" s="1549" t="str">
        <f t="shared" si="6"/>
        <v/>
      </c>
      <c r="BC105" s="2292"/>
      <c r="BF105" s="2345" t="s">
        <v>2194</v>
      </c>
      <c r="BG105" s="2345" t="s">
        <v>477</v>
      </c>
      <c r="BH105" s="2345" t="s">
        <v>464</v>
      </c>
      <c r="BI105" s="2345">
        <f>IF(BG105&lt;&gt;"",IFERROR(MATCH(BG105&amp;BH105,'Results from Trace'!$L$1:$L$21,0),""),"")</f>
        <v>11</v>
      </c>
    </row>
    <row r="106" spans="1:61" ht="16.149999999999999" customHeight="1" x14ac:dyDescent="0.25">
      <c r="A106" s="1271" t="s">
        <v>1298</v>
      </c>
      <c r="B106" s="3215"/>
      <c r="C106" s="3215"/>
      <c r="D106" s="3236"/>
      <c r="E106" s="3208"/>
      <c r="F106" s="1464" t="str">
        <f>IFERROR(IF(ISBLANK(E105),"","Demand (" &amp; VLOOKUP($E105,PO_Enrgy_1_Table,MATCH($E$16,PO_Enrgy_1_Hdr,0),FALSE) &amp; ")"),"")</f>
        <v>Demand (kW)</v>
      </c>
      <c r="G106" s="1373"/>
      <c r="H106" s="1373"/>
      <c r="I106" s="1373"/>
      <c r="J106" s="1373"/>
      <c r="K106" s="3237" t="str">
        <f t="shared" si="3"/>
        <v/>
      </c>
      <c r="L106" s="3237"/>
      <c r="M106" s="3238"/>
      <c r="N106" s="835"/>
      <c r="O106" s="835"/>
      <c r="P106" s="835"/>
      <c r="Q106" s="1549" t="str">
        <f t="shared" si="4"/>
        <v/>
      </c>
      <c r="R106" s="1549" t="str">
        <f t="shared" si="5"/>
        <v/>
      </c>
      <c r="S106" s="1549" t="str">
        <f t="shared" si="6"/>
        <v/>
      </c>
      <c r="BC106" s="2292"/>
      <c r="BF106" s="2345" t="s">
        <v>2195</v>
      </c>
      <c r="BG106" s="2345"/>
      <c r="BH106" s="2345"/>
      <c r="BI106" s="2345"/>
    </row>
    <row r="107" spans="1:61" ht="16.149999999999999" customHeight="1" x14ac:dyDescent="0.25">
      <c r="A107" s="1271" t="s">
        <v>1298</v>
      </c>
      <c r="B107" s="3215" t="s">
        <v>476</v>
      </c>
      <c r="C107" s="3215"/>
      <c r="D107" s="3236"/>
      <c r="E107" s="3208" t="s">
        <v>464</v>
      </c>
      <c r="F107" s="1464" t="str">
        <f>IFERROR(IF(ISBLANK(E107),"","Consumption (" &amp; VLOOKUP($E107,PO_Enrgy_1_Table,MATCH($C$16,PO_Enrgy_1_Hdr,0),FALSE) &amp; ")"),"")</f>
        <v>Consumption (kWh)</v>
      </c>
      <c r="G107" s="1373"/>
      <c r="H107" s="1373"/>
      <c r="I107" s="1373"/>
      <c r="J107" s="1373"/>
      <c r="K107" s="3237" t="str">
        <f t="shared" si="3"/>
        <v/>
      </c>
      <c r="L107" s="3237"/>
      <c r="M107" s="3238"/>
      <c r="N107" s="835"/>
      <c r="O107" s="835"/>
      <c r="P107" s="835"/>
      <c r="Q107" s="1549">
        <f t="shared" si="4"/>
        <v>3.4120000000000001E-3</v>
      </c>
      <c r="R107" s="1549">
        <f t="shared" si="5"/>
        <v>1.0713680000000001E-2</v>
      </c>
      <c r="S107" s="1549" t="str">
        <f t="shared" si="6"/>
        <v/>
      </c>
      <c r="BC107" s="2292"/>
      <c r="BF107" s="2345" t="s">
        <v>2196</v>
      </c>
      <c r="BG107" s="2345" t="s">
        <v>2174</v>
      </c>
      <c r="BH107" s="2345" t="s">
        <v>464</v>
      </c>
      <c r="BI107" s="2345">
        <f>IF(BG107&lt;&gt;"",IFERROR(MATCH(BG107&amp;BH107,'Results from Trace'!$L$1:$L$21,0),""),"")</f>
        <v>12</v>
      </c>
    </row>
    <row r="108" spans="1:61" ht="16.149999999999999" customHeight="1" x14ac:dyDescent="0.25">
      <c r="A108" s="1271" t="s">
        <v>1298</v>
      </c>
      <c r="B108" s="3215"/>
      <c r="C108" s="3215"/>
      <c r="D108" s="3236"/>
      <c r="E108" s="3208"/>
      <c r="F108" s="1464" t="str">
        <f>IFERROR(IF(ISBLANK(E107),"","Demand (" &amp; VLOOKUP($E107,PO_Enrgy_1_Table,MATCH($E$16,PO_Enrgy_1_Hdr,0),FALSE) &amp; ")"),"")</f>
        <v>Demand (kW)</v>
      </c>
      <c r="G108" s="1373"/>
      <c r="H108" s="1373"/>
      <c r="I108" s="1373"/>
      <c r="J108" s="1373"/>
      <c r="K108" s="3237" t="str">
        <f t="shared" si="3"/>
        <v/>
      </c>
      <c r="L108" s="3237"/>
      <c r="M108" s="3238"/>
      <c r="N108" s="835"/>
      <c r="O108" s="835"/>
      <c r="P108" s="835"/>
      <c r="Q108" s="1549" t="str">
        <f t="shared" si="4"/>
        <v/>
      </c>
      <c r="R108" s="1549" t="str">
        <f t="shared" si="5"/>
        <v/>
      </c>
      <c r="S108" s="1549" t="str">
        <f t="shared" si="6"/>
        <v/>
      </c>
      <c r="BC108" s="2292"/>
      <c r="BF108" s="2345" t="s">
        <v>2197</v>
      </c>
      <c r="BG108" s="2345"/>
      <c r="BH108" s="2345"/>
      <c r="BI108" s="2345"/>
    </row>
    <row r="109" spans="1:61" ht="16.149999999999999" customHeight="1" x14ac:dyDescent="0.25">
      <c r="A109" s="1271" t="s">
        <v>1298</v>
      </c>
      <c r="B109" s="3215" t="s">
        <v>475</v>
      </c>
      <c r="C109" s="3215"/>
      <c r="D109" s="3236"/>
      <c r="E109" s="3208" t="s">
        <v>464</v>
      </c>
      <c r="F109" s="1464" t="str">
        <f>IFERROR(IF(ISBLANK(E109),"","Consumption (" &amp; VLOOKUP($E109,PO_Enrgy_1_Table,MATCH($C$16,PO_Enrgy_1_Hdr,0),FALSE) &amp; ")"),"")</f>
        <v>Consumption (kWh)</v>
      </c>
      <c r="G109" s="1373"/>
      <c r="H109" s="1373"/>
      <c r="I109" s="1373"/>
      <c r="J109" s="1373"/>
      <c r="K109" s="3237" t="str">
        <f t="shared" si="3"/>
        <v/>
      </c>
      <c r="L109" s="3237"/>
      <c r="M109" s="3238"/>
      <c r="N109" s="835"/>
      <c r="O109" s="835"/>
      <c r="P109" s="835"/>
      <c r="Q109" s="1549">
        <f t="shared" si="4"/>
        <v>3.4120000000000001E-3</v>
      </c>
      <c r="R109" s="1549">
        <f t="shared" si="5"/>
        <v>1.0713680000000001E-2</v>
      </c>
      <c r="S109" s="1549" t="str">
        <f t="shared" si="6"/>
        <v/>
      </c>
      <c r="BC109" s="2292"/>
      <c r="BF109" s="2345" t="s">
        <v>2198</v>
      </c>
      <c r="BG109" s="2345" t="s">
        <v>2175</v>
      </c>
      <c r="BH109" s="2345" t="s">
        <v>464</v>
      </c>
      <c r="BI109" s="2345">
        <f>IF(BG109&lt;&gt;"",IFERROR(MATCH(BG109&amp;BH109,'Results from Trace'!$L$1:$L$21,0),""),"")</f>
        <v>13</v>
      </c>
    </row>
    <row r="110" spans="1:61" ht="16.149999999999999" customHeight="1" x14ac:dyDescent="0.25">
      <c r="A110" s="1271" t="s">
        <v>1298</v>
      </c>
      <c r="B110" s="3215"/>
      <c r="C110" s="3215"/>
      <c r="D110" s="3236"/>
      <c r="E110" s="3208"/>
      <c r="F110" s="1464" t="str">
        <f>IFERROR(IF(ISBLANK(E109),"","Demand (" &amp; VLOOKUP($E109,PO_Enrgy_1_Table,MATCH($E$16,PO_Enrgy_1_Hdr,0),FALSE) &amp; ")"),"")</f>
        <v>Demand (kW)</v>
      </c>
      <c r="G110" s="1373"/>
      <c r="H110" s="1373"/>
      <c r="I110" s="1373"/>
      <c r="J110" s="1373"/>
      <c r="K110" s="3237" t="str">
        <f t="shared" si="3"/>
        <v/>
      </c>
      <c r="L110" s="3237"/>
      <c r="M110" s="3238"/>
      <c r="N110" s="835"/>
      <c r="O110" s="835"/>
      <c r="P110" s="835"/>
      <c r="Q110" s="1549" t="str">
        <f t="shared" si="4"/>
        <v/>
      </c>
      <c r="R110" s="1549" t="str">
        <f t="shared" si="5"/>
        <v/>
      </c>
      <c r="S110" s="1549" t="str">
        <f t="shared" si="6"/>
        <v/>
      </c>
      <c r="BC110" s="2292"/>
      <c r="BF110" s="2345" t="s">
        <v>2199</v>
      </c>
      <c r="BG110" s="2345"/>
      <c r="BH110" s="2345"/>
      <c r="BI110" s="2345"/>
    </row>
    <row r="111" spans="1:61" ht="16.149999999999999" customHeight="1" x14ac:dyDescent="0.25">
      <c r="A111" s="1271" t="s">
        <v>1298</v>
      </c>
      <c r="B111" s="3215" t="s">
        <v>474</v>
      </c>
      <c r="C111" s="3215"/>
      <c r="D111" s="3236" t="s">
        <v>465</v>
      </c>
      <c r="E111" s="3208" t="s">
        <v>464</v>
      </c>
      <c r="F111" s="1464" t="str">
        <f>IFERROR(IF(ISBLANK(E111),"","Consumption (" &amp; VLOOKUP($E111,PO_Enrgy_1_Table,MATCH($C$16,PO_Enrgy_1_Hdr,0),FALSE) &amp; ")"),"")</f>
        <v>Consumption (kWh)</v>
      </c>
      <c r="G111" s="1373"/>
      <c r="H111" s="1373"/>
      <c r="I111" s="1373"/>
      <c r="J111" s="1373"/>
      <c r="K111" s="3237" t="str">
        <f t="shared" si="3"/>
        <v/>
      </c>
      <c r="L111" s="3237"/>
      <c r="M111" s="3238"/>
      <c r="N111" s="835"/>
      <c r="O111" s="835"/>
      <c r="P111" s="835"/>
      <c r="Q111" s="1549">
        <f t="shared" si="4"/>
        <v>3.4120000000000001E-3</v>
      </c>
      <c r="R111" s="1549">
        <f t="shared" si="5"/>
        <v>1.0713680000000001E-2</v>
      </c>
      <c r="S111" s="1549" t="str">
        <f t="shared" si="6"/>
        <v/>
      </c>
      <c r="BC111" s="2292"/>
      <c r="BF111" s="2345"/>
      <c r="BG111" s="2345"/>
      <c r="BH111" s="2345"/>
      <c r="BI111" s="2345"/>
    </row>
    <row r="112" spans="1:61" ht="16.149999999999999" customHeight="1" x14ac:dyDescent="0.25">
      <c r="A112" s="1271" t="s">
        <v>1298</v>
      </c>
      <c r="B112" s="3215"/>
      <c r="C112" s="3215"/>
      <c r="D112" s="3236"/>
      <c r="E112" s="3208"/>
      <c r="F112" s="1464" t="str">
        <f>IFERROR(IF(ISBLANK(E111),"","Demand (" &amp; VLOOKUP($E111,PO_Enrgy_1_Table,MATCH($E$16,PO_Enrgy_1_Hdr,0),FALSE) &amp; ")"),"")</f>
        <v>Demand (kW)</v>
      </c>
      <c r="G112" s="1373"/>
      <c r="H112" s="1373"/>
      <c r="I112" s="1373"/>
      <c r="J112" s="1373"/>
      <c r="K112" s="3237" t="str">
        <f t="shared" si="3"/>
        <v/>
      </c>
      <c r="L112" s="3237"/>
      <c r="M112" s="3238"/>
      <c r="N112" s="835"/>
      <c r="O112" s="835"/>
      <c r="P112" s="835"/>
      <c r="Q112" s="1549" t="str">
        <f t="shared" si="4"/>
        <v/>
      </c>
      <c r="R112" s="1549" t="str">
        <f t="shared" si="5"/>
        <v/>
      </c>
      <c r="S112" s="1549" t="str">
        <f t="shared" si="6"/>
        <v/>
      </c>
      <c r="BC112" s="2292"/>
      <c r="BF112" s="2345"/>
      <c r="BG112" s="2345"/>
      <c r="BH112" s="2345"/>
      <c r="BI112" s="2345"/>
    </row>
    <row r="113" spans="1:61" ht="16.149999999999999" customHeight="1" x14ac:dyDescent="0.25">
      <c r="A113" s="1271" t="s">
        <v>1298</v>
      </c>
      <c r="B113" s="3215" t="s">
        <v>473</v>
      </c>
      <c r="C113" s="3215"/>
      <c r="D113" s="3236"/>
      <c r="E113" s="3208" t="s">
        <v>478</v>
      </c>
      <c r="F113" s="1464" t="str">
        <f>IFERROR(IF(ISBLANK(E113),"","Consumption (" &amp; VLOOKUP($E113,PO_Enrgy_1_Table,MATCH($C$16,PO_Enrgy_1_Hdr,0),FALSE) &amp; ")"),"")</f>
        <v/>
      </c>
      <c r="G113" s="1373"/>
      <c r="H113" s="1373"/>
      <c r="I113" s="1373"/>
      <c r="J113" s="1373"/>
      <c r="K113" s="3237" t="str">
        <f t="shared" si="3"/>
        <v/>
      </c>
      <c r="L113" s="3237"/>
      <c r="M113" s="3238"/>
      <c r="N113" s="835"/>
      <c r="O113" s="835"/>
      <c r="P113" s="835"/>
      <c r="Q113" s="1549" t="str">
        <f t="shared" si="4"/>
        <v/>
      </c>
      <c r="R113" s="1549" t="str">
        <f t="shared" si="5"/>
        <v/>
      </c>
      <c r="S113" s="1549" t="str">
        <f t="shared" si="6"/>
        <v/>
      </c>
      <c r="BC113" s="2292"/>
      <c r="BF113" s="2345" t="s">
        <v>2200</v>
      </c>
      <c r="BG113" s="2345" t="s">
        <v>2177</v>
      </c>
      <c r="BH113" s="2345" t="s">
        <v>2172</v>
      </c>
      <c r="BI113" s="2345" t="str">
        <f>IF(BG113&lt;&gt;"",IFERROR(MATCH(BG113&amp;BH113,'Results from Trace'!$L$1:$L$21,0),""),"")</f>
        <v/>
      </c>
    </row>
    <row r="114" spans="1:61" ht="16.149999999999999" customHeight="1" x14ac:dyDescent="0.25">
      <c r="A114" s="1271" t="s">
        <v>1298</v>
      </c>
      <c r="B114" s="3215"/>
      <c r="C114" s="3215"/>
      <c r="D114" s="3236"/>
      <c r="E114" s="3208"/>
      <c r="F114" s="1464" t="str">
        <f>IFERROR(IF(ISBLANK(E113),"","Demand (" &amp; VLOOKUP($E113,PO_Enrgy_1_Table,MATCH($E$16,PO_Enrgy_1_Hdr,0),FALSE) &amp; ")"),"")</f>
        <v/>
      </c>
      <c r="G114" s="1373"/>
      <c r="H114" s="1373"/>
      <c r="I114" s="1373"/>
      <c r="J114" s="1373"/>
      <c r="K114" s="3237" t="str">
        <f t="shared" si="3"/>
        <v/>
      </c>
      <c r="L114" s="3237"/>
      <c r="M114" s="3238"/>
      <c r="N114" s="835"/>
      <c r="O114" s="835"/>
      <c r="P114" s="835"/>
      <c r="Q114" s="1549" t="str">
        <f t="shared" si="4"/>
        <v/>
      </c>
      <c r="R114" s="1549" t="str">
        <f t="shared" si="5"/>
        <v/>
      </c>
      <c r="S114" s="1549" t="str">
        <f t="shared" si="6"/>
        <v/>
      </c>
      <c r="BC114" s="2292"/>
      <c r="BF114" s="2345"/>
      <c r="BG114" s="2345"/>
      <c r="BH114" s="2345"/>
      <c r="BI114" s="2345"/>
    </row>
    <row r="115" spans="1:61" ht="16.149999999999999" customHeight="1" x14ac:dyDescent="0.25">
      <c r="A115" s="1271" t="s">
        <v>1298</v>
      </c>
      <c r="B115" s="3215" t="s">
        <v>472</v>
      </c>
      <c r="C115" s="3215"/>
      <c r="D115" s="3236" t="s">
        <v>465</v>
      </c>
      <c r="E115" s="3208" t="s">
        <v>464</v>
      </c>
      <c r="F115" s="1464" t="str">
        <f>IFERROR(IF(ISBLANK(E115),"","Consumption (" &amp; VLOOKUP($E115,PO_Enrgy_1_Table,MATCH($C$16,PO_Enrgy_1_Hdr,0),FALSE) &amp; ")"),"")</f>
        <v>Consumption (kWh)</v>
      </c>
      <c r="G115" s="1373"/>
      <c r="H115" s="1373"/>
      <c r="I115" s="1373"/>
      <c r="J115" s="1373"/>
      <c r="K115" s="3237" t="str">
        <f t="shared" si="3"/>
        <v/>
      </c>
      <c r="L115" s="3237"/>
      <c r="M115" s="3238"/>
      <c r="N115" s="835"/>
      <c r="O115" s="835"/>
      <c r="P115" s="835"/>
      <c r="Q115" s="1549">
        <f t="shared" si="4"/>
        <v>3.4120000000000001E-3</v>
      </c>
      <c r="R115" s="1549">
        <f t="shared" si="5"/>
        <v>1.0713680000000001E-2</v>
      </c>
      <c r="S115" s="1549" t="str">
        <f t="shared" si="6"/>
        <v/>
      </c>
      <c r="BC115" s="2292"/>
      <c r="BF115" s="2345" t="s">
        <v>2201</v>
      </c>
      <c r="BG115" s="2345" t="s">
        <v>2176</v>
      </c>
      <c r="BH115" s="2345" t="s">
        <v>464</v>
      </c>
      <c r="BI115" s="2345">
        <f>IF(BG115&lt;&gt;"",IFERROR(MATCH(BG115&amp;BH115,'Results from Trace'!$L$1:$L$21,0),""),"")</f>
        <v>14</v>
      </c>
    </row>
    <row r="116" spans="1:61" ht="16.149999999999999" customHeight="1" x14ac:dyDescent="0.25">
      <c r="A116" s="1271" t="s">
        <v>1298</v>
      </c>
      <c r="B116" s="3215"/>
      <c r="C116" s="3215"/>
      <c r="D116" s="3236"/>
      <c r="E116" s="3208"/>
      <c r="F116" s="1464" t="str">
        <f>IFERROR(IF(ISBLANK(E115),"","Demand (" &amp; VLOOKUP($E115,PO_Enrgy_1_Table,MATCH($E$16,PO_Enrgy_1_Hdr,0),FALSE) &amp; ")"),"")</f>
        <v>Demand (kW)</v>
      </c>
      <c r="G116" s="1373"/>
      <c r="H116" s="1373"/>
      <c r="I116" s="1373"/>
      <c r="J116" s="1373"/>
      <c r="K116" s="3237" t="str">
        <f t="shared" si="3"/>
        <v/>
      </c>
      <c r="L116" s="3237"/>
      <c r="M116" s="3238"/>
      <c r="N116" s="835"/>
      <c r="O116" s="835"/>
      <c r="P116" s="835"/>
      <c r="Q116" s="1549" t="str">
        <f t="shared" si="4"/>
        <v/>
      </c>
      <c r="R116" s="1549" t="str">
        <f t="shared" si="5"/>
        <v/>
      </c>
      <c r="S116" s="1549" t="str">
        <f t="shared" si="6"/>
        <v/>
      </c>
      <c r="BC116" s="2292"/>
      <c r="BF116" s="2345" t="s">
        <v>2202</v>
      </c>
      <c r="BG116" s="2345"/>
      <c r="BH116" s="2345"/>
      <c r="BI116" s="2345"/>
    </row>
    <row r="117" spans="1:61" ht="16.149999999999999" customHeight="1" x14ac:dyDescent="0.25">
      <c r="A117" s="1271" t="s">
        <v>1298</v>
      </c>
      <c r="B117" s="3215" t="s">
        <v>471</v>
      </c>
      <c r="C117" s="3215"/>
      <c r="D117" s="3236" t="s">
        <v>465</v>
      </c>
      <c r="E117" s="3208" t="s">
        <v>464</v>
      </c>
      <c r="F117" s="1464" t="str">
        <f>IFERROR(IF(ISBLANK(E117),"","Consumption (" &amp; VLOOKUP($E117,PO_Enrgy_1_Table,MATCH($C$16,PO_Enrgy_1_Hdr,0),FALSE) &amp; ")"),"")</f>
        <v>Consumption (kWh)</v>
      </c>
      <c r="G117" s="1373"/>
      <c r="H117" s="1373"/>
      <c r="I117" s="1373"/>
      <c r="J117" s="1373"/>
      <c r="K117" s="3237" t="str">
        <f t="shared" si="3"/>
        <v/>
      </c>
      <c r="L117" s="3237"/>
      <c r="M117" s="3238"/>
      <c r="N117" s="835"/>
      <c r="O117" s="835"/>
      <c r="P117" s="835"/>
      <c r="Q117" s="1549">
        <f t="shared" si="4"/>
        <v>3.4120000000000001E-3</v>
      </c>
      <c r="R117" s="1549">
        <f t="shared" si="5"/>
        <v>1.0713680000000001E-2</v>
      </c>
      <c r="S117" s="1549" t="str">
        <f t="shared" si="6"/>
        <v/>
      </c>
      <c r="BC117" s="2292"/>
      <c r="BF117" s="2345"/>
      <c r="BG117" s="2345"/>
      <c r="BH117" s="2345"/>
      <c r="BI117" s="2345"/>
    </row>
    <row r="118" spans="1:61" ht="16.149999999999999" customHeight="1" x14ac:dyDescent="0.25">
      <c r="A118" s="1271" t="s">
        <v>1298</v>
      </c>
      <c r="B118" s="3215"/>
      <c r="C118" s="3215"/>
      <c r="D118" s="3236"/>
      <c r="E118" s="3208"/>
      <c r="F118" s="1464" t="str">
        <f>IFERROR(IF(ISBLANK(E117),"","Demand (" &amp; VLOOKUP($E117,PO_Enrgy_1_Table,MATCH($E$16,PO_Enrgy_1_Hdr,0),FALSE) &amp; ")"),"")</f>
        <v>Demand (kW)</v>
      </c>
      <c r="G118" s="1373"/>
      <c r="H118" s="1373"/>
      <c r="I118" s="1373"/>
      <c r="J118" s="1373"/>
      <c r="K118" s="3237" t="str">
        <f t="shared" si="3"/>
        <v/>
      </c>
      <c r="L118" s="3237"/>
      <c r="M118" s="3238"/>
      <c r="N118" s="835"/>
      <c r="O118" s="835"/>
      <c r="P118" s="835"/>
      <c r="Q118" s="1549" t="str">
        <f t="shared" si="4"/>
        <v/>
      </c>
      <c r="R118" s="1549" t="str">
        <f t="shared" si="5"/>
        <v/>
      </c>
      <c r="S118" s="1549" t="str">
        <f t="shared" si="6"/>
        <v/>
      </c>
      <c r="BC118" s="2292"/>
      <c r="BF118" s="2345"/>
      <c r="BG118" s="2345"/>
      <c r="BH118" s="2345"/>
      <c r="BI118" s="2345"/>
    </row>
    <row r="119" spans="1:61" ht="16.149999999999999" customHeight="1" x14ac:dyDescent="0.25">
      <c r="A119" s="1271" t="s">
        <v>1298</v>
      </c>
      <c r="B119" s="3215" t="s">
        <v>470</v>
      </c>
      <c r="C119" s="3215"/>
      <c r="D119" s="3236" t="s">
        <v>465</v>
      </c>
      <c r="E119" s="3208" t="s">
        <v>464</v>
      </c>
      <c r="F119" s="1464" t="str">
        <f>IFERROR(IF(ISBLANK(E119),"","Consumption (" &amp; VLOOKUP($E119,PO_Enrgy_1_Table,MATCH($C$16,PO_Enrgy_1_Hdr,0),FALSE) &amp; ")"),"")</f>
        <v>Consumption (kWh)</v>
      </c>
      <c r="G119" s="1373"/>
      <c r="H119" s="1373"/>
      <c r="I119" s="1373"/>
      <c r="J119" s="1373"/>
      <c r="K119" s="3237" t="str">
        <f t="shared" si="3"/>
        <v/>
      </c>
      <c r="L119" s="3237"/>
      <c r="M119" s="3238"/>
      <c r="N119" s="835"/>
      <c r="O119" s="835"/>
      <c r="P119" s="835"/>
      <c r="Q119" s="1549">
        <f t="shared" si="4"/>
        <v>3.4120000000000001E-3</v>
      </c>
      <c r="R119" s="1549">
        <f t="shared" si="5"/>
        <v>1.0713680000000001E-2</v>
      </c>
      <c r="S119" s="1549" t="str">
        <f t="shared" si="6"/>
        <v/>
      </c>
      <c r="BC119" s="2292"/>
      <c r="BF119" s="2345"/>
      <c r="BG119" s="2345"/>
      <c r="BH119" s="2345"/>
      <c r="BI119" s="2345"/>
    </row>
    <row r="120" spans="1:61" ht="16.149999999999999" customHeight="1" x14ac:dyDescent="0.25">
      <c r="A120" s="1271" t="s">
        <v>1298</v>
      </c>
      <c r="B120" s="3215"/>
      <c r="C120" s="3215"/>
      <c r="D120" s="3236"/>
      <c r="E120" s="3208"/>
      <c r="F120" s="1464" t="str">
        <f>IFERROR(IF(ISBLANK(E119),"","Demand (" &amp; VLOOKUP($E119,PO_Enrgy_1_Table,MATCH($E$16,PO_Enrgy_1_Hdr,0),FALSE) &amp; ")"),"")</f>
        <v>Demand (kW)</v>
      </c>
      <c r="G120" s="1373"/>
      <c r="H120" s="1373"/>
      <c r="I120" s="1373"/>
      <c r="J120" s="1373"/>
      <c r="K120" s="3237" t="str">
        <f t="shared" si="3"/>
        <v/>
      </c>
      <c r="L120" s="3237"/>
      <c r="M120" s="3238"/>
      <c r="N120" s="835"/>
      <c r="O120" s="835"/>
      <c r="P120" s="835"/>
      <c r="Q120" s="1549" t="str">
        <f t="shared" si="4"/>
        <v/>
      </c>
      <c r="R120" s="1549" t="str">
        <f t="shared" si="5"/>
        <v/>
      </c>
      <c r="S120" s="1549" t="str">
        <f t="shared" si="6"/>
        <v/>
      </c>
      <c r="BC120" s="2292"/>
      <c r="BF120" s="2345"/>
      <c r="BG120" s="2345"/>
      <c r="BH120" s="2345"/>
      <c r="BI120" s="2345"/>
    </row>
    <row r="121" spans="1:61" ht="16.149999999999999" customHeight="1" x14ac:dyDescent="0.25">
      <c r="A121" s="1271" t="s">
        <v>1298</v>
      </c>
      <c r="B121" s="3215" t="s">
        <v>427</v>
      </c>
      <c r="C121" s="3215"/>
      <c r="D121" s="3236" t="s">
        <v>465</v>
      </c>
      <c r="E121" s="3208" t="s">
        <v>464</v>
      </c>
      <c r="F121" s="1464" t="str">
        <f>IFERROR(IF(ISBLANK(E121),"","Consumption (" &amp; VLOOKUP($E121,PO_Enrgy_1_Table,MATCH($C$16,PO_Enrgy_1_Hdr,0),FALSE) &amp; ")"),"")</f>
        <v>Consumption (kWh)</v>
      </c>
      <c r="G121" s="1373"/>
      <c r="H121" s="1373"/>
      <c r="I121" s="1373"/>
      <c r="J121" s="1373"/>
      <c r="K121" s="3237" t="str">
        <f t="shared" si="3"/>
        <v/>
      </c>
      <c r="L121" s="3237"/>
      <c r="M121" s="3238"/>
      <c r="N121" s="835"/>
      <c r="O121" s="835"/>
      <c r="P121" s="835"/>
      <c r="Q121" s="1549">
        <f t="shared" si="4"/>
        <v>3.4120000000000001E-3</v>
      </c>
      <c r="R121" s="1549">
        <f t="shared" si="5"/>
        <v>1.0713680000000001E-2</v>
      </c>
      <c r="S121" s="1549" t="str">
        <f t="shared" si="6"/>
        <v/>
      </c>
      <c r="BC121" s="2292"/>
      <c r="BF121" s="2345"/>
      <c r="BG121" s="2345"/>
      <c r="BH121" s="2345"/>
      <c r="BI121" s="2345"/>
    </row>
    <row r="122" spans="1:61" ht="16.149999999999999" customHeight="1" x14ac:dyDescent="0.25">
      <c r="A122" s="1271" t="s">
        <v>1298</v>
      </c>
      <c r="B122" s="3215"/>
      <c r="C122" s="3215"/>
      <c r="D122" s="3236"/>
      <c r="E122" s="3208"/>
      <c r="F122" s="1464" t="str">
        <f>IFERROR(IF(ISBLANK(E121),"","Demand (" &amp; VLOOKUP($E121,PO_Enrgy_1_Table,MATCH($E$16,PO_Enrgy_1_Hdr,0),FALSE) &amp; ")"),"")</f>
        <v>Demand (kW)</v>
      </c>
      <c r="G122" s="1373"/>
      <c r="H122" s="1373"/>
      <c r="I122" s="1373"/>
      <c r="J122" s="1373"/>
      <c r="K122" s="3237" t="str">
        <f t="shared" si="3"/>
        <v/>
      </c>
      <c r="L122" s="3237"/>
      <c r="M122" s="3238"/>
      <c r="N122" s="835"/>
      <c r="O122" s="835"/>
      <c r="P122" s="835"/>
      <c r="Q122" s="1549" t="str">
        <f t="shared" si="4"/>
        <v/>
      </c>
      <c r="R122" s="1549" t="str">
        <f t="shared" si="5"/>
        <v/>
      </c>
      <c r="S122" s="1549" t="str">
        <f t="shared" si="6"/>
        <v/>
      </c>
      <c r="BC122" s="2292"/>
      <c r="BF122" s="2345"/>
      <c r="BG122" s="2345"/>
      <c r="BH122" s="2345"/>
      <c r="BI122" s="2345"/>
    </row>
    <row r="123" spans="1:61" ht="16.149999999999999" customHeight="1" x14ac:dyDescent="0.25">
      <c r="A123" s="1271" t="s">
        <v>1298</v>
      </c>
      <c r="B123" s="3215" t="s">
        <v>469</v>
      </c>
      <c r="C123" s="3215"/>
      <c r="D123" s="3236" t="s">
        <v>465</v>
      </c>
      <c r="E123" s="3208" t="s">
        <v>464</v>
      </c>
      <c r="F123" s="1464" t="str">
        <f>IFERROR(IF(ISBLANK(E123),"","Consumption (" &amp; VLOOKUP($E123,PO_Enrgy_1_Table,MATCH($C$16,PO_Enrgy_1_Hdr,0),FALSE) &amp; ")"),"")</f>
        <v>Consumption (kWh)</v>
      </c>
      <c r="G123" s="1373"/>
      <c r="H123" s="1373"/>
      <c r="I123" s="1373"/>
      <c r="J123" s="1373"/>
      <c r="K123" s="3237" t="str">
        <f t="shared" si="3"/>
        <v/>
      </c>
      <c r="L123" s="3237"/>
      <c r="M123" s="3238"/>
      <c r="N123" s="835"/>
      <c r="O123" s="835"/>
      <c r="P123" s="835"/>
      <c r="Q123" s="1549">
        <f t="shared" si="4"/>
        <v>3.4120000000000001E-3</v>
      </c>
      <c r="R123" s="1549">
        <f t="shared" si="5"/>
        <v>1.0713680000000001E-2</v>
      </c>
      <c r="S123" s="1549" t="str">
        <f t="shared" si="6"/>
        <v/>
      </c>
      <c r="BC123" s="2292"/>
      <c r="BF123" s="2345"/>
      <c r="BG123" s="2345"/>
      <c r="BH123" s="2345"/>
      <c r="BI123" s="2345"/>
    </row>
    <row r="124" spans="1:61" ht="16.149999999999999" customHeight="1" x14ac:dyDescent="0.25">
      <c r="A124" s="1271" t="s">
        <v>1298</v>
      </c>
      <c r="B124" s="3215"/>
      <c r="C124" s="3215"/>
      <c r="D124" s="3236"/>
      <c r="E124" s="3208"/>
      <c r="F124" s="1464" t="str">
        <f>IFERROR(IF(ISBLANK(E123),"","Demand (" &amp; VLOOKUP($E123,PO_Enrgy_1_Table,MATCH($E$16,PO_Enrgy_1_Hdr,0),FALSE) &amp; ")"),"")</f>
        <v>Demand (kW)</v>
      </c>
      <c r="G124" s="1373"/>
      <c r="H124" s="1373"/>
      <c r="I124" s="1373"/>
      <c r="J124" s="1373"/>
      <c r="K124" s="3237" t="str">
        <f t="shared" si="3"/>
        <v/>
      </c>
      <c r="L124" s="3237"/>
      <c r="M124" s="3238"/>
      <c r="N124" s="835"/>
      <c r="O124" s="835"/>
      <c r="P124" s="835"/>
      <c r="Q124" s="1549" t="str">
        <f t="shared" si="4"/>
        <v/>
      </c>
      <c r="R124" s="1549" t="str">
        <f t="shared" si="5"/>
        <v/>
      </c>
      <c r="S124" s="1549" t="str">
        <f t="shared" si="6"/>
        <v/>
      </c>
      <c r="BC124" s="2292"/>
      <c r="BF124" s="2345"/>
      <c r="BG124" s="2345"/>
      <c r="BH124" s="2345"/>
      <c r="BI124" s="2345"/>
    </row>
    <row r="125" spans="1:61" ht="16.149999999999999" customHeight="1" x14ac:dyDescent="0.25">
      <c r="A125" s="1271" t="s">
        <v>1298</v>
      </c>
      <c r="B125" s="3215" t="s">
        <v>468</v>
      </c>
      <c r="C125" s="3215"/>
      <c r="D125" s="3236" t="s">
        <v>465</v>
      </c>
      <c r="E125" s="3208" t="s">
        <v>464</v>
      </c>
      <c r="F125" s="1464" t="str">
        <f>IFERROR(IF(ISBLANK(E125),"","Consumption (" &amp; VLOOKUP($E125,PO_Enrgy_1_Table,MATCH($C$16,PO_Enrgy_1_Hdr,0),FALSE) &amp; ")"),"")</f>
        <v>Consumption (kWh)</v>
      </c>
      <c r="G125" s="1373"/>
      <c r="H125" s="1373"/>
      <c r="I125" s="1373"/>
      <c r="J125" s="1373"/>
      <c r="K125" s="3237" t="str">
        <f t="shared" si="3"/>
        <v/>
      </c>
      <c r="L125" s="3237"/>
      <c r="M125" s="3238"/>
      <c r="N125" s="835"/>
      <c r="O125" s="835"/>
      <c r="P125" s="835"/>
      <c r="Q125" s="1549">
        <f t="shared" si="4"/>
        <v>3.4120000000000001E-3</v>
      </c>
      <c r="R125" s="1549">
        <f t="shared" si="5"/>
        <v>1.0713680000000001E-2</v>
      </c>
      <c r="S125" s="1549" t="str">
        <f t="shared" si="6"/>
        <v/>
      </c>
      <c r="BC125" s="2292"/>
      <c r="BF125" s="2345"/>
      <c r="BG125" s="2345"/>
      <c r="BH125" s="2345"/>
      <c r="BI125" s="2345"/>
    </row>
    <row r="126" spans="1:61" ht="16.149999999999999" customHeight="1" x14ac:dyDescent="0.25">
      <c r="A126" s="1271" t="s">
        <v>1298</v>
      </c>
      <c r="B126" s="3215"/>
      <c r="C126" s="3215"/>
      <c r="D126" s="3236"/>
      <c r="E126" s="3208"/>
      <c r="F126" s="1464" t="str">
        <f>IFERROR(IF(ISBLANK(E125),"","Demand (" &amp; VLOOKUP($E125,PO_Enrgy_1_Table,MATCH($E$16,PO_Enrgy_1_Hdr,0),FALSE) &amp; ")"),"")</f>
        <v>Demand (kW)</v>
      </c>
      <c r="G126" s="1373"/>
      <c r="H126" s="1373"/>
      <c r="I126" s="1373"/>
      <c r="J126" s="1373"/>
      <c r="K126" s="3237" t="str">
        <f t="shared" si="3"/>
        <v/>
      </c>
      <c r="L126" s="3237"/>
      <c r="M126" s="3238"/>
      <c r="N126" s="835"/>
      <c r="O126" s="835"/>
      <c r="P126" s="835"/>
      <c r="Q126" s="1549" t="str">
        <f t="shared" si="4"/>
        <v/>
      </c>
      <c r="R126" s="1549" t="str">
        <f t="shared" si="5"/>
        <v/>
      </c>
      <c r="S126" s="1549" t="str">
        <f t="shared" si="6"/>
        <v/>
      </c>
      <c r="BC126" s="2292"/>
      <c r="BF126" s="2345"/>
      <c r="BG126" s="2345"/>
      <c r="BH126" s="2345"/>
      <c r="BI126" s="2345"/>
    </row>
    <row r="127" spans="1:61" ht="16.149999999999999" customHeight="1" x14ac:dyDescent="0.25">
      <c r="A127" s="1271" t="s">
        <v>1298</v>
      </c>
      <c r="B127" s="3215" t="s">
        <v>467</v>
      </c>
      <c r="C127" s="3215"/>
      <c r="D127" s="3236" t="s">
        <v>465</v>
      </c>
      <c r="E127" s="3208" t="s">
        <v>464</v>
      </c>
      <c r="F127" s="1464" t="str">
        <f>IFERROR(IF(ISBLANK(E127),"","Consumption (" &amp; VLOOKUP($E127,PO_Enrgy_1_Table,MATCH($C$16,PO_Enrgy_1_Hdr,0),FALSE) &amp; ")"),"")</f>
        <v>Consumption (kWh)</v>
      </c>
      <c r="G127" s="1373"/>
      <c r="H127" s="1373"/>
      <c r="I127" s="1373"/>
      <c r="J127" s="1373"/>
      <c r="K127" s="3237" t="str">
        <f t="shared" si="3"/>
        <v/>
      </c>
      <c r="L127" s="3237"/>
      <c r="M127" s="3238"/>
      <c r="N127" s="835"/>
      <c r="O127" s="835"/>
      <c r="P127" s="835"/>
      <c r="Q127" s="1549">
        <f t="shared" si="4"/>
        <v>3.4120000000000001E-3</v>
      </c>
      <c r="R127" s="1549">
        <f t="shared" si="5"/>
        <v>1.0713680000000001E-2</v>
      </c>
      <c r="S127" s="1549" t="str">
        <f t="shared" si="6"/>
        <v/>
      </c>
      <c r="BC127" s="2292"/>
      <c r="BF127" s="2345"/>
      <c r="BG127" s="2345"/>
      <c r="BH127" s="2345"/>
      <c r="BI127" s="2345"/>
    </row>
    <row r="128" spans="1:61" ht="16.149999999999999" customHeight="1" x14ac:dyDescent="0.25">
      <c r="A128" s="1271" t="s">
        <v>1298</v>
      </c>
      <c r="B128" s="3215"/>
      <c r="C128" s="3215"/>
      <c r="D128" s="3236"/>
      <c r="E128" s="3208"/>
      <c r="F128" s="1464" t="str">
        <f>IFERROR(IF(ISBLANK(E127),"","Demand (" &amp; VLOOKUP($E127,PO_Enrgy_1_Table,MATCH($E$16,PO_Enrgy_1_Hdr,0),FALSE) &amp; ")"),"")</f>
        <v>Demand (kW)</v>
      </c>
      <c r="G128" s="1373"/>
      <c r="H128" s="1373"/>
      <c r="I128" s="1373"/>
      <c r="J128" s="1373"/>
      <c r="K128" s="3237" t="str">
        <f t="shared" si="3"/>
        <v/>
      </c>
      <c r="L128" s="3237"/>
      <c r="M128" s="3238"/>
      <c r="N128" s="835"/>
      <c r="O128" s="835"/>
      <c r="P128" s="835"/>
      <c r="Q128" s="1549" t="str">
        <f t="shared" si="4"/>
        <v/>
      </c>
      <c r="R128" s="1549" t="str">
        <f t="shared" si="5"/>
        <v/>
      </c>
      <c r="S128" s="1549" t="str">
        <f t="shared" si="6"/>
        <v/>
      </c>
      <c r="BC128" s="2292"/>
      <c r="BF128" s="2345"/>
      <c r="BG128" s="2345"/>
      <c r="BH128" s="2345"/>
      <c r="BI128" s="2345"/>
    </row>
    <row r="129" spans="1:61" ht="16.149999999999999" customHeight="1" x14ac:dyDescent="0.25">
      <c r="A129" s="1271" t="s">
        <v>1298</v>
      </c>
      <c r="B129" s="3215" t="s">
        <v>466</v>
      </c>
      <c r="C129" s="3215"/>
      <c r="D129" s="3236" t="s">
        <v>465</v>
      </c>
      <c r="E129" s="3208" t="s">
        <v>464</v>
      </c>
      <c r="F129" s="1464" t="str">
        <f>IFERROR(IF(ISBLANK(E129),"","Consumption (" &amp; VLOOKUP($E129,PO_Enrgy_1_Table,MATCH($C$16,PO_Enrgy_1_Hdr,0),FALSE) &amp; ")"),"")</f>
        <v>Consumption (kWh)</v>
      </c>
      <c r="G129" s="1373"/>
      <c r="H129" s="1373"/>
      <c r="I129" s="1373"/>
      <c r="J129" s="1373"/>
      <c r="K129" s="3237" t="str">
        <f t="shared" si="3"/>
        <v/>
      </c>
      <c r="L129" s="3237"/>
      <c r="M129" s="3238"/>
      <c r="N129" s="835"/>
      <c r="O129" s="835"/>
      <c r="P129" s="835"/>
      <c r="Q129" s="1549">
        <f t="shared" si="4"/>
        <v>3.4120000000000001E-3</v>
      </c>
      <c r="R129" s="1549">
        <f t="shared" si="5"/>
        <v>1.0713680000000001E-2</v>
      </c>
      <c r="S129" s="1549" t="str">
        <f t="shared" si="6"/>
        <v/>
      </c>
      <c r="BC129" s="2292"/>
      <c r="BF129" s="2345"/>
      <c r="BG129" s="2345"/>
      <c r="BH129" s="2345"/>
      <c r="BI129" s="2345"/>
    </row>
    <row r="130" spans="1:61" ht="16.149999999999999" customHeight="1" x14ac:dyDescent="0.25">
      <c r="A130" s="1271" t="s">
        <v>1298</v>
      </c>
      <c r="B130" s="3215"/>
      <c r="C130" s="3215"/>
      <c r="D130" s="3236"/>
      <c r="E130" s="3208"/>
      <c r="F130" s="1464" t="str">
        <f>IFERROR(IF(ISBLANK(E129),"","Demand (" &amp; VLOOKUP($E129,PO_Enrgy_1_Table,MATCH($E$16,PO_Enrgy_1_Hdr,0),FALSE) &amp; ")"),"")</f>
        <v>Demand (kW)</v>
      </c>
      <c r="G130" s="1373"/>
      <c r="H130" s="1373"/>
      <c r="I130" s="1373"/>
      <c r="J130" s="1373"/>
      <c r="K130" s="3237" t="str">
        <f t="shared" si="3"/>
        <v/>
      </c>
      <c r="L130" s="3237"/>
      <c r="M130" s="3238"/>
      <c r="N130" s="835"/>
      <c r="O130" s="835"/>
      <c r="P130" s="835"/>
      <c r="Q130" s="1549" t="str">
        <f t="shared" si="4"/>
        <v/>
      </c>
      <c r="R130" s="1549" t="str">
        <f t="shared" si="5"/>
        <v/>
      </c>
      <c r="S130" s="1549" t="str">
        <f t="shared" si="6"/>
        <v/>
      </c>
      <c r="BC130" s="2292"/>
      <c r="BF130" s="2345"/>
      <c r="BG130" s="2345"/>
      <c r="BH130" s="2345"/>
      <c r="BI130" s="2345"/>
    </row>
    <row r="131" spans="1:61" ht="16.149999999999999" customHeight="1" x14ac:dyDescent="0.25">
      <c r="A131" s="1271" t="s">
        <v>1298</v>
      </c>
      <c r="B131" s="3215" t="s">
        <v>1089</v>
      </c>
      <c r="C131" s="3215"/>
      <c r="D131" s="3236"/>
      <c r="E131" s="3208" t="s">
        <v>464</v>
      </c>
      <c r="F131" s="1464" t="str">
        <f>IFERROR(IF(ISBLANK(E131),"","Consumption (" &amp; VLOOKUP($E131,PO_Enrgy_1_Table,MATCH($C$16,PO_Enrgy_1_Hdr,0),FALSE) &amp; ")"),"")</f>
        <v>Consumption (kWh)</v>
      </c>
      <c r="G131" s="1373"/>
      <c r="H131" s="1373"/>
      <c r="I131" s="1373"/>
      <c r="J131" s="1373"/>
      <c r="K131" s="3237" t="str">
        <f t="shared" si="3"/>
        <v/>
      </c>
      <c r="L131" s="3237"/>
      <c r="M131" s="3238"/>
      <c r="N131" s="835"/>
      <c r="O131" s="835"/>
      <c r="P131" s="835"/>
      <c r="Q131" s="1549">
        <f t="shared" si="4"/>
        <v>3.4120000000000001E-3</v>
      </c>
      <c r="R131" s="1549">
        <f t="shared" si="5"/>
        <v>1.0713680000000001E-2</v>
      </c>
      <c r="S131" s="1549" t="str">
        <f t="shared" si="6"/>
        <v/>
      </c>
      <c r="BC131" s="2292"/>
      <c r="BF131" s="2345" t="s">
        <v>2203</v>
      </c>
      <c r="BG131" s="2345"/>
      <c r="BH131" s="2345"/>
      <c r="BI131" s="2345"/>
    </row>
    <row r="132" spans="1:61" ht="16.149999999999999" customHeight="1" x14ac:dyDescent="0.25">
      <c r="A132" s="1271" t="s">
        <v>1298</v>
      </c>
      <c r="B132" s="3215"/>
      <c r="C132" s="3215"/>
      <c r="D132" s="3236"/>
      <c r="E132" s="3208"/>
      <c r="F132" s="1464" t="str">
        <f>IFERROR(IF(ISBLANK(E131),"","Demand (" &amp; VLOOKUP($E131,PO_Enrgy_1_Table,MATCH($E$16,PO_Enrgy_1_Hdr,0),FALSE) &amp; ")"),"")</f>
        <v>Demand (kW)</v>
      </c>
      <c r="G132" s="1373"/>
      <c r="H132" s="1373"/>
      <c r="I132" s="1373"/>
      <c r="J132" s="1373"/>
      <c r="K132" s="3237" t="str">
        <f t="shared" si="3"/>
        <v/>
      </c>
      <c r="L132" s="3237"/>
      <c r="M132" s="3238"/>
      <c r="N132" s="835"/>
      <c r="O132" s="835"/>
      <c r="P132" s="835"/>
      <c r="Q132" s="1549" t="str">
        <f t="shared" si="4"/>
        <v/>
      </c>
      <c r="R132" s="1549" t="str">
        <f t="shared" si="5"/>
        <v/>
      </c>
      <c r="S132" s="1549" t="str">
        <f t="shared" si="6"/>
        <v/>
      </c>
      <c r="BC132" s="2292"/>
      <c r="BF132" s="2345" t="s">
        <v>2204</v>
      </c>
      <c r="BG132" s="2345"/>
      <c r="BH132" s="2345"/>
      <c r="BI132" s="2345"/>
    </row>
    <row r="133" spans="1:61" ht="16.149999999999999" customHeight="1" x14ac:dyDescent="0.25">
      <c r="A133" s="1271" t="s">
        <v>1298</v>
      </c>
      <c r="B133" s="3208" t="s">
        <v>2171</v>
      </c>
      <c r="C133" s="3208"/>
      <c r="D133" s="3236"/>
      <c r="E133" s="3208" t="s">
        <v>464</v>
      </c>
      <c r="F133" s="1464" t="str">
        <f>IFERROR(IF(ISBLANK(E133),"","Consumption (" &amp; VLOOKUP($E133,PO_Enrgy_1_Table,MATCH($C$16,PO_Enrgy_1_Hdr,0),FALSE) &amp; ")"),"")</f>
        <v>Consumption (kWh)</v>
      </c>
      <c r="G133" s="1373"/>
      <c r="H133" s="1373"/>
      <c r="I133" s="1373"/>
      <c r="J133" s="1373"/>
      <c r="K133" s="3237" t="str">
        <f t="shared" si="3"/>
        <v/>
      </c>
      <c r="L133" s="3237"/>
      <c r="M133" s="3238"/>
      <c r="N133" s="835"/>
      <c r="O133" s="835"/>
      <c r="P133" s="835"/>
      <c r="Q133" s="1549">
        <f t="shared" si="4"/>
        <v>3.4120000000000001E-3</v>
      </c>
      <c r="R133" s="1549">
        <f t="shared" si="5"/>
        <v>1.0713680000000001E-2</v>
      </c>
      <c r="S133" s="1549" t="str">
        <f t="shared" si="6"/>
        <v/>
      </c>
      <c r="BC133" s="2292"/>
      <c r="BF133" s="2345" t="s">
        <v>2205</v>
      </c>
      <c r="BG133" s="2345"/>
      <c r="BH133" s="2345"/>
      <c r="BI133" s="2345"/>
    </row>
    <row r="134" spans="1:61" ht="16.149999999999999" customHeight="1" x14ac:dyDescent="0.25">
      <c r="A134" s="1271" t="s">
        <v>1298</v>
      </c>
      <c r="B134" s="3208"/>
      <c r="C134" s="3208"/>
      <c r="D134" s="3236"/>
      <c r="E134" s="3208"/>
      <c r="F134" s="1464" t="str">
        <f>IFERROR(IF(ISBLANK(E133),"","Demand (" &amp; VLOOKUP($E133,PO_Enrgy_1_Table,MATCH($E$16,PO_Enrgy_1_Hdr,0),FALSE) &amp; ")"),"")</f>
        <v>Demand (kW)</v>
      </c>
      <c r="G134" s="1373"/>
      <c r="H134" s="1373"/>
      <c r="I134" s="1373"/>
      <c r="J134" s="1373"/>
      <c r="K134" s="3237" t="str">
        <f t="shared" si="3"/>
        <v/>
      </c>
      <c r="L134" s="3237"/>
      <c r="M134" s="3238"/>
      <c r="N134" s="835"/>
      <c r="O134" s="835"/>
      <c r="P134" s="835"/>
      <c r="Q134" s="1549" t="str">
        <f t="shared" si="4"/>
        <v/>
      </c>
      <c r="R134" s="1549" t="str">
        <f t="shared" si="5"/>
        <v/>
      </c>
      <c r="S134" s="1549" t="str">
        <f t="shared" si="6"/>
        <v/>
      </c>
      <c r="BC134" s="2292"/>
      <c r="BF134" s="2345" t="s">
        <v>2206</v>
      </c>
      <c r="BG134" s="2345"/>
      <c r="BH134" s="2345"/>
      <c r="BI134" s="2345"/>
    </row>
    <row r="135" spans="1:61" ht="16.149999999999999" customHeight="1" x14ac:dyDescent="0.25">
      <c r="A135" s="1271" t="s">
        <v>1298</v>
      </c>
      <c r="B135" s="3208" t="s">
        <v>2210</v>
      </c>
      <c r="C135" s="3208"/>
      <c r="D135" s="3236"/>
      <c r="E135" s="3208" t="s">
        <v>478</v>
      </c>
      <c r="F135" s="1464" t="str">
        <f>IFERROR(IF(ISBLANK(E135),"","Consumption (" &amp; VLOOKUP($E135,PO_Enrgy_1_Table,MATCH($C$16,PO_Enrgy_1_Hdr,0),FALSE) &amp; ")"),"")</f>
        <v/>
      </c>
      <c r="G135" s="1373"/>
      <c r="H135" s="1373"/>
      <c r="I135" s="1373"/>
      <c r="J135" s="1373"/>
      <c r="K135" s="3237" t="str">
        <f t="shared" si="3"/>
        <v/>
      </c>
      <c r="L135" s="3237"/>
      <c r="M135" s="3238"/>
      <c r="N135" s="835"/>
      <c r="O135" s="835"/>
      <c r="P135" s="835"/>
      <c r="Q135" s="1549" t="str">
        <f t="shared" si="4"/>
        <v/>
      </c>
      <c r="R135" s="1549" t="str">
        <f t="shared" si="5"/>
        <v/>
      </c>
      <c r="S135" s="1549" t="str">
        <f t="shared" si="6"/>
        <v/>
      </c>
      <c r="BC135" s="2292"/>
      <c r="BF135" s="2345" t="s">
        <v>2207</v>
      </c>
      <c r="BG135" s="2345"/>
      <c r="BH135" s="2345"/>
      <c r="BI135" s="2345"/>
    </row>
    <row r="136" spans="1:61" ht="15.75" customHeight="1" x14ac:dyDescent="0.25">
      <c r="A136" s="1271" t="s">
        <v>1298</v>
      </c>
      <c r="B136" s="3208"/>
      <c r="C136" s="3208"/>
      <c r="D136" s="3236"/>
      <c r="E136" s="3208"/>
      <c r="F136" s="1464" t="str">
        <f>IFERROR(IF(ISBLANK(E135),"","Demand (" &amp; VLOOKUP($E135,PO_Enrgy_1_Table,MATCH($E$16,PO_Enrgy_1_Hdr,0),FALSE) &amp; ")"),"")</f>
        <v/>
      </c>
      <c r="G136" s="1373"/>
      <c r="H136" s="1373"/>
      <c r="I136" s="1373"/>
      <c r="J136" s="1373"/>
      <c r="K136" s="3237" t="str">
        <f t="shared" si="3"/>
        <v/>
      </c>
      <c r="L136" s="3237"/>
      <c r="M136" s="3238"/>
      <c r="N136" s="835"/>
      <c r="O136" s="835"/>
      <c r="P136" s="835"/>
      <c r="Q136" s="1549" t="str">
        <f t="shared" si="4"/>
        <v/>
      </c>
      <c r="R136" s="1549" t="str">
        <f t="shared" si="5"/>
        <v/>
      </c>
      <c r="S136" s="1549" t="str">
        <f t="shared" si="6"/>
        <v/>
      </c>
      <c r="BC136" s="2292"/>
      <c r="BF136" s="2345"/>
      <c r="BG136" s="2345"/>
      <c r="BH136" s="2345"/>
      <c r="BI136" s="2345"/>
    </row>
    <row r="137" spans="1:61" ht="16.149999999999999" customHeight="1" x14ac:dyDescent="0.25">
      <c r="A137" s="1271" t="s">
        <v>1298</v>
      </c>
      <c r="B137" s="3208" t="s">
        <v>2211</v>
      </c>
      <c r="C137" s="3208"/>
      <c r="D137" s="3236"/>
      <c r="E137" s="3208" t="s">
        <v>478</v>
      </c>
      <c r="F137" s="1464" t="str">
        <f>IFERROR(IF(ISBLANK(E137),"","Consumption (" &amp; VLOOKUP($E137,PO_Enrgy_1_Table,MATCH($C$16,PO_Enrgy_1_Hdr,0),FALSE) &amp; ")"),"")</f>
        <v/>
      </c>
      <c r="G137" s="1373"/>
      <c r="H137" s="1373"/>
      <c r="I137" s="1373"/>
      <c r="J137" s="1373"/>
      <c r="K137" s="3237" t="str">
        <f t="shared" si="3"/>
        <v/>
      </c>
      <c r="L137" s="3237"/>
      <c r="M137" s="3238"/>
      <c r="N137" s="835"/>
      <c r="O137" s="835"/>
      <c r="P137" s="835"/>
      <c r="Q137" s="1549" t="str">
        <f t="shared" si="4"/>
        <v/>
      </c>
      <c r="R137" s="1549" t="str">
        <f t="shared" si="5"/>
        <v/>
      </c>
      <c r="S137" s="1549" t="str">
        <f t="shared" si="6"/>
        <v/>
      </c>
      <c r="BC137" s="2292"/>
      <c r="BF137" s="2345" t="s">
        <v>2208</v>
      </c>
      <c r="BG137" s="2345"/>
      <c r="BH137" s="2345"/>
      <c r="BI137" s="2345"/>
    </row>
    <row r="138" spans="1:61" ht="16.5" customHeight="1" x14ac:dyDescent="0.25">
      <c r="A138" s="1271" t="s">
        <v>1298</v>
      </c>
      <c r="B138" s="3208"/>
      <c r="C138" s="3208"/>
      <c r="D138" s="3236"/>
      <c r="E138" s="3208"/>
      <c r="F138" s="1464" t="str">
        <f>IFERROR(IF(ISBLANK(E137),"","Demand (" &amp; VLOOKUP($E137,PO_Enrgy_1_Table,MATCH($E$16,PO_Enrgy_1_Hdr,0),FALSE) &amp; ")"),"")</f>
        <v/>
      </c>
      <c r="G138" s="1373"/>
      <c r="H138" s="1373"/>
      <c r="I138" s="1373"/>
      <c r="J138" s="1373"/>
      <c r="K138" s="3237" t="str">
        <f t="shared" si="3"/>
        <v/>
      </c>
      <c r="L138" s="3237"/>
      <c r="M138" s="3238"/>
      <c r="N138" s="835"/>
      <c r="O138" s="835"/>
      <c r="P138" s="835"/>
      <c r="Q138" s="1549" t="str">
        <f t="shared" si="4"/>
        <v/>
      </c>
      <c r="R138" s="1549" t="str">
        <f t="shared" si="5"/>
        <v/>
      </c>
      <c r="S138" s="1549" t="str">
        <f t="shared" si="6"/>
        <v/>
      </c>
      <c r="BC138" s="2292"/>
      <c r="BF138" s="2345"/>
      <c r="BG138" s="2345"/>
      <c r="BH138" s="2345"/>
      <c r="BI138" s="2345"/>
    </row>
    <row r="139" spans="1:61" ht="16.149999999999999" customHeight="1" x14ac:dyDescent="0.25">
      <c r="A139" s="1271" t="s">
        <v>1298</v>
      </c>
      <c r="B139" s="3208" t="s">
        <v>2212</v>
      </c>
      <c r="C139" s="3208"/>
      <c r="D139" s="3236"/>
      <c r="E139" s="3208" t="s">
        <v>478</v>
      </c>
      <c r="F139" s="1464" t="str">
        <f>IFERROR(IF(ISBLANK(E139),"","Consumption (" &amp; VLOOKUP($E139,PO_Enrgy_1_Table,MATCH($C$16,PO_Enrgy_1_Hdr,0),FALSE) &amp; ")"),"")</f>
        <v/>
      </c>
      <c r="G139" s="1373"/>
      <c r="H139" s="1373"/>
      <c r="I139" s="1373"/>
      <c r="J139" s="1373"/>
      <c r="K139" s="3237" t="str">
        <f t="shared" si="3"/>
        <v/>
      </c>
      <c r="L139" s="3237"/>
      <c r="M139" s="3238"/>
      <c r="N139" s="835"/>
      <c r="O139" s="835"/>
      <c r="P139" s="835"/>
      <c r="Q139" s="1549" t="str">
        <f t="shared" si="4"/>
        <v/>
      </c>
      <c r="R139" s="1549" t="str">
        <f t="shared" si="5"/>
        <v/>
      </c>
      <c r="S139" s="1549" t="str">
        <f t="shared" si="6"/>
        <v/>
      </c>
      <c r="BC139" s="2292"/>
      <c r="BF139" s="2345" t="s">
        <v>2209</v>
      </c>
      <c r="BG139" s="2345"/>
      <c r="BH139" s="2345"/>
      <c r="BI139" s="2345"/>
    </row>
    <row r="140" spans="1:61" ht="15.75" customHeight="1" x14ac:dyDescent="0.25">
      <c r="A140" s="1271" t="s">
        <v>1298</v>
      </c>
      <c r="B140" s="3208"/>
      <c r="C140" s="3208"/>
      <c r="D140" s="3236"/>
      <c r="E140" s="3208"/>
      <c r="F140" s="1464" t="str">
        <f>IFERROR(IF(ISBLANK(E139),"","Demand (" &amp; VLOOKUP($E139,PO_Enrgy_1_Table,MATCH($E$16,PO_Enrgy_1_Hdr,0),FALSE) &amp; ")"),"")</f>
        <v/>
      </c>
      <c r="G140" s="1373"/>
      <c r="H140" s="1373"/>
      <c r="I140" s="1373"/>
      <c r="J140" s="1373"/>
      <c r="K140" s="3237" t="str">
        <f t="shared" si="3"/>
        <v/>
      </c>
      <c r="L140" s="3237"/>
      <c r="M140" s="3238"/>
      <c r="N140" s="835"/>
      <c r="O140" s="835"/>
      <c r="P140" s="835"/>
      <c r="Q140" s="1549" t="str">
        <f t="shared" si="4"/>
        <v/>
      </c>
      <c r="R140" s="1549" t="str">
        <f t="shared" si="5"/>
        <v/>
      </c>
      <c r="S140" s="1549" t="str">
        <f t="shared" si="6"/>
        <v/>
      </c>
      <c r="BC140" s="2292"/>
      <c r="BF140" s="2345"/>
      <c r="BG140" s="2345"/>
      <c r="BH140" s="2345"/>
      <c r="BI140" s="2345"/>
    </row>
    <row r="141" spans="1:61" ht="16.149999999999999" customHeight="1" x14ac:dyDescent="0.25">
      <c r="A141" s="1271" t="s">
        <v>1298</v>
      </c>
      <c r="B141" s="3208"/>
      <c r="C141" s="3208"/>
      <c r="D141" s="3236"/>
      <c r="E141" s="3208"/>
      <c r="F141" s="1464" t="str">
        <f>IFERROR(IF(ISBLANK(E141),"","Consumption (" &amp; VLOOKUP($E141,PO_Enrgy_1_Table,MATCH($C$16,PO_Enrgy_1_Hdr,0),FALSE) &amp; ")"),"")</f>
        <v/>
      </c>
      <c r="G141" s="1373"/>
      <c r="H141" s="1373"/>
      <c r="I141" s="1373"/>
      <c r="J141" s="1373"/>
      <c r="K141" s="3237" t="str">
        <f t="shared" si="3"/>
        <v/>
      </c>
      <c r="L141" s="3237"/>
      <c r="M141" s="3238"/>
      <c r="N141" s="835"/>
      <c r="O141" s="835"/>
      <c r="P141" s="835"/>
      <c r="Q141" s="1549" t="str">
        <f t="shared" si="4"/>
        <v/>
      </c>
      <c r="R141" s="1549" t="str">
        <f t="shared" si="5"/>
        <v/>
      </c>
      <c r="S141" s="1549" t="str">
        <f t="shared" si="6"/>
        <v/>
      </c>
      <c r="BC141" s="2292"/>
      <c r="BF141" s="2292"/>
      <c r="BG141" s="2345"/>
      <c r="BH141" s="2345"/>
      <c r="BI141" s="2345"/>
    </row>
    <row r="142" spans="1:61" ht="16.5" customHeight="1" x14ac:dyDescent="0.25">
      <c r="A142" s="1271" t="s">
        <v>1298</v>
      </c>
      <c r="B142" s="3208"/>
      <c r="C142" s="3208"/>
      <c r="D142" s="3236"/>
      <c r="E142" s="3208"/>
      <c r="F142" s="1464" t="str">
        <f>IFERROR(IF(ISBLANK(E141),"","Demand (" &amp; VLOOKUP($E141,PO_Enrgy_1_Table,MATCH($E$16,PO_Enrgy_1_Hdr,0),FALSE) &amp; ")"),"")</f>
        <v/>
      </c>
      <c r="G142" s="1373"/>
      <c r="H142" s="1373"/>
      <c r="I142" s="1373"/>
      <c r="J142" s="1373"/>
      <c r="K142" s="3237" t="str">
        <f t="shared" si="3"/>
        <v/>
      </c>
      <c r="L142" s="3237"/>
      <c r="M142" s="3238"/>
      <c r="N142" s="835"/>
      <c r="O142" s="835"/>
      <c r="P142" s="835"/>
      <c r="Q142" s="1549" t="str">
        <f t="shared" si="4"/>
        <v/>
      </c>
      <c r="R142" s="1549" t="str">
        <f t="shared" si="5"/>
        <v/>
      </c>
      <c r="S142" s="1549" t="str">
        <f t="shared" si="6"/>
        <v/>
      </c>
      <c r="BC142" s="2292"/>
      <c r="BF142" s="2292"/>
      <c r="BG142" s="2345"/>
      <c r="BH142" s="2345"/>
      <c r="BI142" s="2345"/>
    </row>
    <row r="143" spans="1:61" ht="16.149999999999999" customHeight="1" x14ac:dyDescent="0.25">
      <c r="A143" s="1271" t="s">
        <v>1298</v>
      </c>
      <c r="B143" s="3208"/>
      <c r="C143" s="3208"/>
      <c r="D143" s="3236"/>
      <c r="E143" s="3208"/>
      <c r="F143" s="1464" t="str">
        <f>IFERROR(IF(ISBLANK(E143),"","Consumption (" &amp; VLOOKUP($E143,PO_Enrgy_1_Table,MATCH($C$16,PO_Enrgy_1_Hdr,0),FALSE) &amp; ")"),"")</f>
        <v/>
      </c>
      <c r="G143" s="1373"/>
      <c r="H143" s="1373"/>
      <c r="I143" s="1373"/>
      <c r="J143" s="1373"/>
      <c r="K143" s="3237" t="str">
        <f t="shared" si="3"/>
        <v/>
      </c>
      <c r="L143" s="3237"/>
      <c r="M143" s="3238"/>
      <c r="N143" s="835"/>
      <c r="O143" s="835"/>
      <c r="P143" s="835"/>
      <c r="Q143" s="1549" t="str">
        <f t="shared" si="4"/>
        <v/>
      </c>
      <c r="R143" s="1549" t="str">
        <f t="shared" si="5"/>
        <v/>
      </c>
      <c r="S143" s="1549" t="str">
        <f t="shared" si="6"/>
        <v/>
      </c>
      <c r="BC143" s="2292"/>
      <c r="BF143" s="2292"/>
      <c r="BG143" s="2345"/>
      <c r="BH143" s="2345"/>
      <c r="BI143" s="2345"/>
    </row>
    <row r="144" spans="1:61" ht="15.75" customHeight="1" x14ac:dyDescent="0.25">
      <c r="A144" s="1271" t="s">
        <v>1298</v>
      </c>
      <c r="B144" s="3208"/>
      <c r="C144" s="3208"/>
      <c r="D144" s="3236"/>
      <c r="E144" s="3208"/>
      <c r="F144" s="1464" t="str">
        <f>IFERROR(IF(ISBLANK(E143),"","Demand (" &amp; VLOOKUP($E143,PO_Enrgy_1_Table,MATCH($E$16,PO_Enrgy_1_Hdr,0),FALSE) &amp; ")"),"")</f>
        <v/>
      </c>
      <c r="G144" s="1373"/>
      <c r="H144" s="1373"/>
      <c r="I144" s="1373"/>
      <c r="J144" s="1373"/>
      <c r="K144" s="3237" t="str">
        <f t="shared" si="3"/>
        <v/>
      </c>
      <c r="L144" s="3237"/>
      <c r="M144" s="3238"/>
      <c r="N144" s="835"/>
      <c r="O144" s="835"/>
      <c r="P144" s="835"/>
      <c r="Q144" s="1549" t="str">
        <f t="shared" si="4"/>
        <v/>
      </c>
      <c r="R144" s="1549" t="str">
        <f t="shared" si="5"/>
        <v/>
      </c>
      <c r="S144" s="1549" t="str">
        <f t="shared" si="6"/>
        <v/>
      </c>
      <c r="BC144" s="2292"/>
      <c r="BF144" s="2292"/>
      <c r="BG144" s="2345"/>
      <c r="BH144" s="2345"/>
      <c r="BI144" s="2345"/>
    </row>
    <row r="145" spans="1:61" ht="18.75" hidden="1" customHeight="1" x14ac:dyDescent="0.25">
      <c r="A145" s="1271" t="s">
        <v>1298</v>
      </c>
      <c r="B145" s="1317"/>
      <c r="C145" s="1317"/>
      <c r="D145" s="1370"/>
      <c r="E145" s="1317" t="s">
        <v>1765</v>
      </c>
      <c r="F145" s="1317" t="s">
        <v>1793</v>
      </c>
      <c r="G145" s="1317" t="s">
        <v>1794</v>
      </c>
      <c r="H145" s="1317" t="s">
        <v>1795</v>
      </c>
      <c r="I145" s="1317" t="s">
        <v>1796</v>
      </c>
      <c r="J145" s="1317" t="s">
        <v>1797</v>
      </c>
      <c r="K145" s="1317" t="s">
        <v>1799</v>
      </c>
      <c r="L145" s="1371"/>
      <c r="M145" s="1372"/>
      <c r="Q145" s="1557" t="s">
        <v>1776</v>
      </c>
      <c r="R145" s="1557" t="s">
        <v>1777</v>
      </c>
      <c r="S145" s="1549" t="str">
        <f t="shared" si="6"/>
        <v/>
      </c>
      <c r="BC145" s="2292"/>
      <c r="BF145" s="2292"/>
      <c r="BG145" s="2345"/>
      <c r="BH145" s="2345"/>
      <c r="BI145" s="2345"/>
    </row>
    <row r="146" spans="1:61" ht="21" customHeight="1" x14ac:dyDescent="0.25">
      <c r="A146" s="1271" t="s">
        <v>1298</v>
      </c>
      <c r="B146" s="3239" t="s">
        <v>1258</v>
      </c>
      <c r="C146" s="3234"/>
      <c r="D146" s="3235"/>
      <c r="E146" s="1643" t="str">
        <f>IFERROR(IF(ISBLANK(B17),"",B17),"")</f>
        <v>Electricity</v>
      </c>
      <c r="F146" s="1643" t="str">
        <f>IFERROR(IF(ISBLANK(E146),"",VLOOKUP($E146,PO_Enrgy_1_Table,MATCH($C$16,PO_Enrgy_1_Hdr,0),FALSE) ),"")</f>
        <v>kWh</v>
      </c>
      <c r="G146" s="1376">
        <f t="shared" ref="G146:M148" si="7">IFERROR(SUMIFS(INDEX(PO_baseline_table,0,MATCH(G$96,PO_baseline_hdr,0)),INDEX(PO_baseline_table,0,MATCH($E$96,PO_baseline_hdr,0)),$E146,INDEX(PO_baseline_table,0,MATCH($F$96,PO_baseline_hdr,0)),"=Con*"),"")</f>
        <v>0</v>
      </c>
      <c r="H146" s="1376">
        <f t="shared" si="7"/>
        <v>0</v>
      </c>
      <c r="I146" s="1376">
        <f t="shared" si="7"/>
        <v>0</v>
      </c>
      <c r="J146" s="1376">
        <f t="shared" si="7"/>
        <v>0</v>
      </c>
      <c r="K146" s="3229">
        <f t="shared" si="7"/>
        <v>0</v>
      </c>
      <c r="L146" s="3229" t="str">
        <f t="shared" si="7"/>
        <v/>
      </c>
      <c r="M146" s="3229" t="str">
        <f t="shared" si="7"/>
        <v/>
      </c>
      <c r="Q146" s="1549">
        <f>IFERROR(IF(ISBLANK($E146),"",VLOOKUP($E146,PO_Enrgy_1_Table,MATCH($K$16,PO_Enrgy_1_Hdr,0),FALSE)),"")</f>
        <v>3.4120000000000001E-3</v>
      </c>
      <c r="R146" s="1549">
        <f>IFERROR(IF(ISBLANK($E146),"",VLOOKUP($E146,PO_Enrgy_1_Table,MATCH($M$16,PO_Enrgy_1_Hdr,0),FALSE)),"")</f>
        <v>1.0713680000000001E-2</v>
      </c>
      <c r="S146" s="1549"/>
      <c r="AD146" s="615"/>
      <c r="BC146" s="2292"/>
      <c r="BF146" s="2292"/>
      <c r="BG146" s="2345"/>
      <c r="BH146" s="2345"/>
      <c r="BI146" s="2345"/>
    </row>
    <row r="147" spans="1:61" ht="21" customHeight="1" x14ac:dyDescent="0.25">
      <c r="A147" s="1271" t="s">
        <v>1298</v>
      </c>
      <c r="B147" s="3233"/>
      <c r="C147" s="3234"/>
      <c r="D147" s="3235"/>
      <c r="E147" s="1643" t="str">
        <f>IFERROR(IF(ISBLANK(B18),"",B18),"")</f>
        <v>District Steam</v>
      </c>
      <c r="F147" s="1643" t="str">
        <f>IFERROR(IF(ISBLANK(E147),"",VLOOKUP($E147,PO_Enrgy_1_Table,MATCH($C$16,PO_Enrgy_1_Hdr,0),FALSE) ),"")</f>
        <v>therm</v>
      </c>
      <c r="G147" s="1376">
        <f t="shared" si="7"/>
        <v>0</v>
      </c>
      <c r="H147" s="1376">
        <f t="shared" si="7"/>
        <v>0</v>
      </c>
      <c r="I147" s="1376">
        <f t="shared" si="7"/>
        <v>0</v>
      </c>
      <c r="J147" s="1376">
        <f t="shared" si="7"/>
        <v>0</v>
      </c>
      <c r="K147" s="3229">
        <f t="shared" si="7"/>
        <v>0</v>
      </c>
      <c r="L147" s="3229" t="str">
        <f t="shared" si="7"/>
        <v/>
      </c>
      <c r="M147" s="3229" t="str">
        <f t="shared" si="7"/>
        <v/>
      </c>
      <c r="Q147" s="1549">
        <f>IFERROR(IF(ISBLANK($E147),"",VLOOKUP($E147,PO_Enrgy_1_Table,MATCH($K$16,PO_Enrgy_1_Hdr,0),FALSE)),"")</f>
        <v>0.1</v>
      </c>
      <c r="R147" s="1549">
        <f>IFERROR(IF(ISBLANK($E147),"",VLOOKUP($E147,PO_Enrgy_1_Table,MATCH($M$16,PO_Enrgy_1_Hdr,0),FALSE)),"")</f>
        <v>0.12</v>
      </c>
      <c r="S147" s="1549"/>
      <c r="AD147" s="615"/>
      <c r="BC147" s="2292"/>
      <c r="BF147" s="2292"/>
      <c r="BG147" s="2345"/>
      <c r="BH147" s="2345"/>
      <c r="BI147" s="2345"/>
    </row>
    <row r="148" spans="1:61" ht="21" customHeight="1" x14ac:dyDescent="0.25">
      <c r="A148" s="1271" t="s">
        <v>1298</v>
      </c>
      <c r="B148" s="3233"/>
      <c r="C148" s="3234"/>
      <c r="D148" s="3235"/>
      <c r="E148" s="2156" t="str">
        <f>IFERROR(IF(ISBLANK(B19),"",B19),"")</f>
        <v>District Cooling</v>
      </c>
      <c r="F148" s="2156" t="str">
        <f>IFERROR(IF(ISBLANK(E148),"",VLOOKUP($E148,PO_Enrgy_1_Table,MATCH($C$16,PO_Enrgy_1_Hdr,0),FALSE) ),"")</f>
        <v>therm</v>
      </c>
      <c r="G148" s="1376">
        <f t="shared" si="7"/>
        <v>0</v>
      </c>
      <c r="H148" s="1376">
        <f t="shared" si="7"/>
        <v>0</v>
      </c>
      <c r="I148" s="1376">
        <f t="shared" si="7"/>
        <v>0</v>
      </c>
      <c r="J148" s="1376">
        <f t="shared" si="7"/>
        <v>0</v>
      </c>
      <c r="K148" s="3229">
        <f t="shared" si="7"/>
        <v>0</v>
      </c>
      <c r="L148" s="3229" t="str">
        <f t="shared" si="7"/>
        <v/>
      </c>
      <c r="M148" s="3229" t="str">
        <f t="shared" si="7"/>
        <v/>
      </c>
      <c r="Q148" s="1549">
        <f>IFERROR(IF(ISBLANK($E148),"",VLOOKUP($E148,PO_Enrgy_1_Table,MATCH($K$16,PO_Enrgy_1_Hdr,0),FALSE)),"")</f>
        <v>0.1</v>
      </c>
      <c r="R148" s="1549">
        <f>IFERROR(IF(ISBLANK($E148),"",VLOOKUP($E148,PO_Enrgy_1_Table,MATCH($M$16,PO_Enrgy_1_Hdr,0),FALSE)),"")</f>
        <v>0.1</v>
      </c>
      <c r="S148" s="1549"/>
      <c r="AD148" s="615"/>
      <c r="BC148" s="2292"/>
      <c r="BF148" s="2292"/>
      <c r="BG148" s="2345"/>
      <c r="BH148" s="2345"/>
      <c r="BI148" s="2345"/>
    </row>
    <row r="149" spans="1:61" ht="21" customHeight="1" x14ac:dyDescent="0.25">
      <c r="A149" s="1271" t="s">
        <v>1298</v>
      </c>
      <c r="B149" s="3161" t="str">
        <f>"Total site energy (" &amp; PO_SiteUnits &amp; ")"</f>
        <v>Total site energy (Btu x 10^6)</v>
      </c>
      <c r="C149" s="3162"/>
      <c r="D149" s="3162"/>
      <c r="E149" s="3162"/>
      <c r="F149" s="3162"/>
      <c r="G149" s="1377">
        <f t="shared" ref="G149:M149" si="8">IFERROR(SUMPRODUCT(INDEX(PO_Enrgy_5_Table,0,MATCH(G$145,PO_Enrgy_5_Hdr,0)),INDEX(PO_Enrgy_5_Table,0,MATCH($Q145,PO_Enrgy_5_Hdr,0))),"")</f>
        <v>0</v>
      </c>
      <c r="H149" s="1377">
        <f t="shared" si="8"/>
        <v>0</v>
      </c>
      <c r="I149" s="1377">
        <f t="shared" si="8"/>
        <v>0</v>
      </c>
      <c r="J149" s="1377">
        <f t="shared" si="8"/>
        <v>0</v>
      </c>
      <c r="K149" s="3229">
        <f t="shared" si="8"/>
        <v>0</v>
      </c>
      <c r="L149" s="3230" t="str">
        <f t="shared" si="8"/>
        <v/>
      </c>
      <c r="M149" s="3231" t="str">
        <f t="shared" si="8"/>
        <v/>
      </c>
      <c r="BC149" s="2292"/>
      <c r="BF149" s="2292"/>
      <c r="BG149" s="2345"/>
      <c r="BH149" s="2345"/>
      <c r="BI149" s="2345"/>
    </row>
    <row r="150" spans="1:61" ht="21" customHeight="1" x14ac:dyDescent="0.25">
      <c r="A150" s="1271" t="s">
        <v>1298</v>
      </c>
      <c r="B150" s="3161" t="str">
        <f>"Total source energy (" &amp; PO_SourceUnits &amp; ")"</f>
        <v>Total source energy (Btu x 10^6)</v>
      </c>
      <c r="C150" s="3162"/>
      <c r="D150" s="3162"/>
      <c r="E150" s="3162"/>
      <c r="F150" s="3162"/>
      <c r="G150" s="1377">
        <f>IFERROR(SUMPRODUCT(G$146:G$147,$R$146:$R$147),0)</f>
        <v>0</v>
      </c>
      <c r="H150" s="1377">
        <f>IFERROR(SUMPRODUCT(H$146:H$147,$R$146:$R$147),0)</f>
        <v>0</v>
      </c>
      <c r="I150" s="1377">
        <f>IFERROR(SUMPRODUCT(I$146:I$147,$R$146:$R$147),0)</f>
        <v>0</v>
      </c>
      <c r="J150" s="1377">
        <f>IFERROR(SUMPRODUCT(J$146:J$147,$R$146:$R$147),0)</f>
        <v>0</v>
      </c>
      <c r="K150" s="3229">
        <f t="shared" ref="K150:M150" si="9">IFERROR(SUMPRODUCT(K$146:K$147,$R$146:$R$147),0)</f>
        <v>0</v>
      </c>
      <c r="L150" s="3230">
        <f t="shared" si="9"/>
        <v>0</v>
      </c>
      <c r="M150" s="3231">
        <f t="shared" si="9"/>
        <v>0</v>
      </c>
      <c r="BC150" s="2292"/>
      <c r="BF150" s="2292"/>
      <c r="BG150" s="2345"/>
      <c r="BH150" s="2345"/>
      <c r="BI150" s="2345"/>
    </row>
    <row r="151" spans="1:61" ht="21" customHeight="1" x14ac:dyDescent="0.25">
      <c r="A151" s="1271" t="s">
        <v>1298</v>
      </c>
      <c r="B151" s="784"/>
      <c r="C151" s="784"/>
      <c r="D151" s="784"/>
      <c r="E151" s="618"/>
      <c r="F151" s="618"/>
      <c r="G151" s="602"/>
      <c r="H151" s="602"/>
      <c r="I151" s="602"/>
      <c r="J151" s="602"/>
      <c r="K151" s="602"/>
      <c r="L151" s="602"/>
      <c r="M151" s="602"/>
    </row>
    <row r="152" spans="1:61" ht="20.25" customHeight="1" x14ac:dyDescent="0.25">
      <c r="A152" s="1271" t="s">
        <v>1298</v>
      </c>
      <c r="B152" s="643" t="s">
        <v>1259</v>
      </c>
      <c r="C152" s="644"/>
      <c r="D152" s="644"/>
      <c r="E152" s="644"/>
      <c r="F152" s="644"/>
      <c r="G152" s="644"/>
      <c r="H152" s="644"/>
      <c r="I152" s="644"/>
      <c r="J152" s="644"/>
      <c r="K152" s="644"/>
      <c r="L152" s="644"/>
      <c r="M152" s="644"/>
      <c r="N152" s="564"/>
    </row>
    <row r="153" spans="1:61" ht="63.75" customHeight="1" x14ac:dyDescent="0.25">
      <c r="A153" s="1271" t="s">
        <v>1298</v>
      </c>
      <c r="B153" s="3232" t="s">
        <v>444</v>
      </c>
      <c r="C153" s="3232"/>
      <c r="D153" s="3232"/>
      <c r="E153" s="3232"/>
      <c r="F153" s="3232"/>
      <c r="G153" s="1378" t="s">
        <v>463</v>
      </c>
      <c r="H153" s="1378" t="s">
        <v>462</v>
      </c>
      <c r="I153" s="1378" t="s">
        <v>461</v>
      </c>
      <c r="J153" s="1378" t="s">
        <v>460</v>
      </c>
      <c r="K153" s="3158" t="s">
        <v>459</v>
      </c>
      <c r="L153" s="3192"/>
      <c r="M153" s="3125"/>
    </row>
    <row r="154" spans="1:61" ht="15" hidden="1" customHeight="1" x14ac:dyDescent="0.25">
      <c r="A154" s="1271" t="s">
        <v>1298</v>
      </c>
      <c r="B154" s="1379" t="s">
        <v>1765</v>
      </c>
      <c r="C154" s="1379"/>
      <c r="D154" s="1379"/>
      <c r="E154" s="1379"/>
      <c r="F154" s="1379"/>
      <c r="G154" s="1317" t="s">
        <v>1794</v>
      </c>
      <c r="H154" s="1317" t="s">
        <v>1795</v>
      </c>
      <c r="I154" s="1317" t="s">
        <v>1796</v>
      </c>
      <c r="J154" s="1317" t="s">
        <v>1797</v>
      </c>
      <c r="K154" s="1317" t="s">
        <v>1823</v>
      </c>
      <c r="L154" s="1379"/>
      <c r="M154" s="1305"/>
      <c r="Q154" s="1550" t="s">
        <v>1776</v>
      </c>
      <c r="R154" s="1550" t="s">
        <v>1777</v>
      </c>
    </row>
    <row r="155" spans="1:61" ht="15" customHeight="1" x14ac:dyDescent="0.25">
      <c r="A155" s="1271" t="s">
        <v>1298</v>
      </c>
      <c r="B155" s="3221" t="str">
        <f>IFERROR(IF(ISBLANK(B17),"",B17),"")</f>
        <v>Electricity</v>
      </c>
      <c r="C155" s="3222"/>
      <c r="D155" s="3222"/>
      <c r="E155" s="3222"/>
      <c r="F155" s="1643" t="str">
        <f>IFERROR(IF(ISBLANK($B155),"",VLOOKUP($B155,PO_Enrgy_1_Table,MATCH($C$16,PO_Enrgy_1_Hdr,0),FALSE) ),"")</f>
        <v>kWh</v>
      </c>
      <c r="G155" s="1380"/>
      <c r="H155" s="1380"/>
      <c r="I155" s="1380"/>
      <c r="J155" s="1380"/>
      <c r="K155" s="3223" t="str">
        <f>IFERROR((AVERAGE(G155:J155)),"")</f>
        <v/>
      </c>
      <c r="L155" s="3224"/>
      <c r="M155" s="3225"/>
      <c r="Q155" s="1549">
        <f>IFERROR(IF(ISBLANK($B155),"",VLOOKUP($B155,PO_Enrgy_1_Table,MATCH($K$16,PO_Enrgy_1_Hdr,0),FALSE)),"")</f>
        <v>3.4120000000000001E-3</v>
      </c>
      <c r="R155" s="1549">
        <f>IFERROR(IF(ISBLANK($B155),"",VLOOKUP($B155,PO_Enrgy_1_Table,MATCH($M$16,PO_Enrgy_1_Hdr,0),FALSE)),"")</f>
        <v>1.0713680000000001E-2</v>
      </c>
      <c r="AD155" s="615"/>
      <c r="BC155" s="2292"/>
    </row>
    <row r="156" spans="1:61" ht="15" customHeight="1" x14ac:dyDescent="0.25">
      <c r="A156" s="1271" t="s">
        <v>1298</v>
      </c>
      <c r="B156" s="3221" t="str">
        <f>IFERROR(IF(ISBLANK(B18),"",B18),"")</f>
        <v>District Steam</v>
      </c>
      <c r="C156" s="3222"/>
      <c r="D156" s="3222"/>
      <c r="E156" s="3222"/>
      <c r="F156" s="1643" t="str">
        <f>IFERROR(IF(ISBLANK($B156),"",VLOOKUP($B156,PO_Enrgy_1_Table,MATCH($C$16,PO_Enrgy_1_Hdr,0),FALSE) ),"")</f>
        <v>therm</v>
      </c>
      <c r="G156" s="1380"/>
      <c r="H156" s="1380"/>
      <c r="I156" s="1380"/>
      <c r="J156" s="1380"/>
      <c r="K156" s="3223" t="str">
        <f>IFERROR((AVERAGE(G156:J156)),"")</f>
        <v/>
      </c>
      <c r="L156" s="3224"/>
      <c r="M156" s="3225"/>
      <c r="Q156" s="1549">
        <f>IFERROR(IF(ISBLANK($B156),"",VLOOKUP($B156,PO_Enrgy_1_Table,MATCH($K$16,PO_Enrgy_1_Hdr,0),FALSE)),"")</f>
        <v>0.1</v>
      </c>
      <c r="R156" s="1549">
        <f>IFERROR(IF(ISBLANK($B156),"",VLOOKUP($B156,PO_Enrgy_1_Table,MATCH($M$16,PO_Enrgy_1_Hdr,0),FALSE)),"")</f>
        <v>0.12</v>
      </c>
      <c r="AD156" s="615"/>
      <c r="BC156" s="2292"/>
    </row>
    <row r="157" spans="1:61" ht="15" customHeight="1" x14ac:dyDescent="0.25">
      <c r="A157" s="1271" t="s">
        <v>1298</v>
      </c>
      <c r="B157" s="3221" t="str">
        <f>IFERROR(IF(ISBLANK(B19),"",B19),"")</f>
        <v>District Cooling</v>
      </c>
      <c r="C157" s="3222"/>
      <c r="D157" s="3222"/>
      <c r="E157" s="3222"/>
      <c r="F157" s="2156" t="str">
        <f>IFERROR(IF(ISBLANK($B157),"",VLOOKUP($B157,PO_Enrgy_1_Table,MATCH($C$16,PO_Enrgy_1_Hdr,0),FALSE) ),"")</f>
        <v>therm</v>
      </c>
      <c r="G157" s="1380"/>
      <c r="H157" s="1380"/>
      <c r="I157" s="1380"/>
      <c r="J157" s="1380"/>
      <c r="K157" s="3223" t="str">
        <f>IFERROR((AVERAGE(G157:J157)),"")</f>
        <v/>
      </c>
      <c r="L157" s="3224"/>
      <c r="M157" s="3225"/>
      <c r="Q157" s="1549">
        <f>IFERROR(IF(ISBLANK($B157),"",VLOOKUP($B157,PO_Enrgy_1_Table,MATCH($K$16,PO_Enrgy_1_Hdr,0),FALSE)),"")</f>
        <v>0.1</v>
      </c>
      <c r="R157" s="1549">
        <f>IFERROR(IF(ISBLANK($B157),"",VLOOKUP($B157,PO_Enrgy_1_Table,MATCH($M$16,PO_Enrgy_1_Hdr,0),FALSE)),"")</f>
        <v>0.1</v>
      </c>
      <c r="AD157" s="615"/>
      <c r="BC157" s="2292"/>
    </row>
    <row r="158" spans="1:61" ht="21" customHeight="1" x14ac:dyDescent="0.25">
      <c r="A158" s="1271" t="s">
        <v>1298</v>
      </c>
      <c r="B158" s="3161" t="s">
        <v>1261</v>
      </c>
      <c r="C158" s="3119"/>
      <c r="D158" s="3119"/>
      <c r="E158" s="3119"/>
      <c r="F158" s="3119"/>
      <c r="G158" s="1381">
        <f t="shared" ref="G158:M158" si="10">IFERROR(SUM(INDEX(PO_Enrgy_6_Table,0,MATCH(G$154,PO_Enrgy_6_Hdr,0))),"")</f>
        <v>0</v>
      </c>
      <c r="H158" s="1381">
        <f t="shared" si="10"/>
        <v>0</v>
      </c>
      <c r="I158" s="1381">
        <f t="shared" si="10"/>
        <v>0</v>
      </c>
      <c r="J158" s="1381">
        <f t="shared" si="10"/>
        <v>0</v>
      </c>
      <c r="K158" s="3226">
        <f t="shared" si="10"/>
        <v>0</v>
      </c>
      <c r="L158" s="3227" t="str">
        <f t="shared" si="10"/>
        <v/>
      </c>
      <c r="M158" s="3228" t="str">
        <f t="shared" si="10"/>
        <v/>
      </c>
      <c r="BC158" s="2292"/>
    </row>
    <row r="159" spans="1:61" ht="18" customHeight="1" x14ac:dyDescent="0.25">
      <c r="A159" s="1271" t="s">
        <v>1298</v>
      </c>
      <c r="B159" s="784"/>
      <c r="C159" s="784"/>
      <c r="D159" s="784"/>
      <c r="E159" s="618"/>
      <c r="F159" s="618"/>
      <c r="G159" s="849"/>
      <c r="H159" s="849"/>
      <c r="I159" s="849"/>
      <c r="J159" s="849"/>
      <c r="K159" s="603"/>
      <c r="L159" s="603"/>
      <c r="M159" s="603"/>
    </row>
    <row r="160" spans="1:61" ht="33" customHeight="1" x14ac:dyDescent="0.25">
      <c r="A160" s="1271" t="s">
        <v>1298</v>
      </c>
      <c r="B160" s="784"/>
      <c r="C160" s="784"/>
      <c r="D160" s="784"/>
      <c r="E160" s="618"/>
      <c r="F160" s="618"/>
      <c r="G160" s="850"/>
      <c r="H160" s="850"/>
      <c r="I160" s="850"/>
      <c r="J160" s="850"/>
      <c r="K160" s="602"/>
      <c r="L160" s="602"/>
      <c r="M160" s="602"/>
    </row>
    <row r="161" spans="1:61" ht="21.75" customHeight="1" x14ac:dyDescent="0.25">
      <c r="A161" s="1271" t="s">
        <v>1298</v>
      </c>
      <c r="B161" s="643" t="s">
        <v>1262</v>
      </c>
      <c r="C161" s="644"/>
      <c r="D161" s="644"/>
      <c r="E161" s="644"/>
      <c r="F161" s="644"/>
      <c r="G161" s="851"/>
      <c r="H161" s="851"/>
      <c r="I161" s="851"/>
      <c r="J161" s="851"/>
      <c r="K161" s="644"/>
      <c r="L161" s="644"/>
      <c r="M161" s="644"/>
      <c r="N161" s="564"/>
    </row>
    <row r="162" spans="1:61" ht="34.5" hidden="1" customHeight="1" x14ac:dyDescent="0.25">
      <c r="A162" s="1271" t="s">
        <v>1298</v>
      </c>
      <c r="B162" s="3219" t="s">
        <v>458</v>
      </c>
      <c r="C162" s="3219"/>
      <c r="D162" s="3219"/>
      <c r="E162" s="3219"/>
      <c r="F162" s="3219"/>
      <c r="G162" s="3219"/>
      <c r="H162" s="3219"/>
      <c r="I162" s="3219"/>
      <c r="J162" s="3219"/>
      <c r="K162" s="3219"/>
      <c r="L162" s="3219"/>
      <c r="M162" s="3219"/>
    </row>
    <row r="163" spans="1:61" ht="33" customHeight="1" x14ac:dyDescent="0.25">
      <c r="A163" s="1271" t="s">
        <v>1298</v>
      </c>
      <c r="B163" s="3219" t="s">
        <v>1191</v>
      </c>
      <c r="C163" s="3219"/>
      <c r="D163" s="3219"/>
      <c r="E163" s="3219"/>
      <c r="F163" s="3219"/>
      <c r="G163" s="3219"/>
      <c r="H163" s="3219"/>
      <c r="I163" s="3219"/>
      <c r="J163" s="3219"/>
      <c r="K163" s="3219"/>
      <c r="L163" s="3219"/>
      <c r="M163" s="3219"/>
    </row>
    <row r="164" spans="1:61" ht="33" hidden="1" customHeight="1" x14ac:dyDescent="0.25">
      <c r="A164" s="1271" t="s">
        <v>1298</v>
      </c>
      <c r="B164" s="3219" t="s">
        <v>1169</v>
      </c>
      <c r="C164" s="3219"/>
      <c r="D164" s="3219"/>
      <c r="E164" s="3219"/>
      <c r="F164" s="3219"/>
      <c r="G164" s="3219"/>
      <c r="H164" s="3219"/>
      <c r="I164" s="3219"/>
      <c r="J164" s="3219"/>
      <c r="K164" s="3219"/>
      <c r="L164" s="3219"/>
      <c r="M164" s="3219"/>
    </row>
    <row r="165" spans="1:61" ht="33" hidden="1" customHeight="1" x14ac:dyDescent="0.25">
      <c r="A165" s="1271" t="s">
        <v>1298</v>
      </c>
      <c r="B165" s="3219" t="s">
        <v>1193</v>
      </c>
      <c r="C165" s="3219"/>
      <c r="D165" s="3219"/>
      <c r="E165" s="3219"/>
      <c r="F165" s="3219"/>
      <c r="G165" s="3219"/>
      <c r="H165" s="3219"/>
      <c r="I165" s="3219"/>
      <c r="J165" s="3219"/>
      <c r="K165" s="3219"/>
      <c r="L165" s="3219"/>
      <c r="M165" s="3219"/>
    </row>
    <row r="166" spans="1:61" ht="33" hidden="1" customHeight="1" x14ac:dyDescent="0.25">
      <c r="A166" s="1271" t="s">
        <v>1298</v>
      </c>
      <c r="B166" s="3219" t="s">
        <v>1170</v>
      </c>
      <c r="C166" s="3220"/>
      <c r="D166" s="3220"/>
      <c r="E166" s="3220"/>
      <c r="F166" s="3220"/>
      <c r="G166" s="3220"/>
      <c r="H166" s="3220"/>
      <c r="I166" s="3220"/>
      <c r="J166" s="3220"/>
      <c r="K166" s="3220"/>
      <c r="L166" s="3220"/>
      <c r="M166" s="3220"/>
    </row>
    <row r="167" spans="1:61" ht="45" hidden="1" customHeight="1" x14ac:dyDescent="0.25">
      <c r="A167" s="1271" t="s">
        <v>1298</v>
      </c>
      <c r="B167" s="3219" t="s">
        <v>1288</v>
      </c>
      <c r="C167" s="3220"/>
      <c r="D167" s="3220"/>
      <c r="E167" s="3220"/>
      <c r="F167" s="3220"/>
      <c r="G167" s="3220"/>
      <c r="H167" s="3220"/>
      <c r="I167" s="3220"/>
      <c r="J167" s="3220"/>
      <c r="K167" s="3220"/>
      <c r="L167" s="3220"/>
      <c r="M167" s="3220"/>
    </row>
    <row r="168" spans="1:61" ht="15" customHeight="1" x14ac:dyDescent="0.25">
      <c r="A168" s="1271" t="s">
        <v>1298</v>
      </c>
      <c r="B168" s="630"/>
      <c r="BF168" s="3110" t="s">
        <v>2216</v>
      </c>
      <c r="BG168" s="3110"/>
      <c r="BH168" s="3110"/>
      <c r="BI168" s="3110"/>
    </row>
    <row r="169" spans="1:61" ht="98.25" customHeight="1" x14ac:dyDescent="0.25">
      <c r="A169" s="1271" t="s">
        <v>1298</v>
      </c>
      <c r="B169" s="3123" t="s">
        <v>457</v>
      </c>
      <c r="C169" s="3125"/>
      <c r="D169" s="1368" t="s">
        <v>456</v>
      </c>
      <c r="E169" s="1633" t="s">
        <v>444</v>
      </c>
      <c r="F169" s="1633" t="s">
        <v>1263</v>
      </c>
      <c r="G169" s="1633" t="s">
        <v>347</v>
      </c>
      <c r="H169" s="1633" t="s">
        <v>348</v>
      </c>
      <c r="I169" s="1633" t="s">
        <v>1264</v>
      </c>
      <c r="J169" s="1633" t="s">
        <v>1265</v>
      </c>
      <c r="K169" s="3123" t="s">
        <v>1275</v>
      </c>
      <c r="L169" s="3123"/>
      <c r="M169" s="1633" t="s">
        <v>1266</v>
      </c>
      <c r="N169" s="564"/>
      <c r="W169" s="1549" t="s">
        <v>1090</v>
      </c>
      <c r="Y169" s="1549" t="s">
        <v>1091</v>
      </c>
      <c r="Z169" s="671" t="s">
        <v>1092</v>
      </c>
      <c r="AG169" s="1549" t="s">
        <v>1841</v>
      </c>
      <c r="BF169" s="2344" t="s">
        <v>2217</v>
      </c>
      <c r="BG169" s="2344" t="s">
        <v>2218</v>
      </c>
      <c r="BH169" s="2344" t="s">
        <v>2219</v>
      </c>
      <c r="BI169" s="2344" t="s">
        <v>2220</v>
      </c>
    </row>
    <row r="170" spans="1:61" s="1636" customFormat="1" ht="15" hidden="1" customHeight="1" x14ac:dyDescent="0.25">
      <c r="A170" s="1271" t="s">
        <v>1298</v>
      </c>
      <c r="B170" s="1307" t="s">
        <v>1791</v>
      </c>
      <c r="C170" s="1305"/>
      <c r="D170" s="1307" t="s">
        <v>1792</v>
      </c>
      <c r="E170" s="1307" t="s">
        <v>1765</v>
      </c>
      <c r="F170" s="1307" t="s">
        <v>1793</v>
      </c>
      <c r="G170" s="1307" t="s">
        <v>1798</v>
      </c>
      <c r="H170" s="1307" t="s">
        <v>1800</v>
      </c>
      <c r="I170" s="1307" t="s">
        <v>1801</v>
      </c>
      <c r="J170" s="1307" t="s">
        <v>1802</v>
      </c>
      <c r="K170" s="1307" t="s">
        <v>1803</v>
      </c>
      <c r="L170" s="1307"/>
      <c r="M170" s="1307" t="s">
        <v>1804</v>
      </c>
      <c r="N170" s="1284"/>
      <c r="Q170" s="1550" t="s">
        <v>1776</v>
      </c>
      <c r="R170" s="1550" t="s">
        <v>1777</v>
      </c>
      <c r="S170" s="1550" t="s">
        <v>1858</v>
      </c>
      <c r="T170" s="1550" t="s">
        <v>1859</v>
      </c>
      <c r="W170" s="1636" t="s">
        <v>1090</v>
      </c>
      <c r="Y170" s="1636" t="s">
        <v>1091</v>
      </c>
      <c r="Z170" s="1636" t="s">
        <v>1092</v>
      </c>
      <c r="BF170" s="671"/>
      <c r="BG170" s="671"/>
      <c r="BH170" s="671"/>
      <c r="BI170" s="671"/>
    </row>
    <row r="171" spans="1:61" ht="15.75" customHeight="1" x14ac:dyDescent="0.25">
      <c r="A171" s="1271" t="s">
        <v>1298</v>
      </c>
      <c r="B171" s="3215" t="s">
        <v>482</v>
      </c>
      <c r="C171" s="3218"/>
      <c r="D171" s="3353">
        <f>INDEX(PO_baseline_table,1, 3)</f>
        <v>0</v>
      </c>
      <c r="E171" s="3351" t="str">
        <f>INDEX(PO_baseline_table,1, 4)</f>
        <v>Electricity</v>
      </c>
      <c r="F171" s="1464" t="str">
        <f>IFERROR(IF(ISBLANK(E171),"","Consumption (" &amp; VLOOKUP($E171,PO_Enrgy_1_Table,MATCH($C$16,PO_Enrgy_1_Hdr,0),FALSE) &amp; ")"),"")</f>
        <v>Consumption (kWh)</v>
      </c>
      <c r="G171" s="1465" t="str">
        <f>INDEX(PO_baseline_table,1, 10)</f>
        <v/>
      </c>
      <c r="H171" s="1382"/>
      <c r="I171" s="1677" t="str">
        <f>IFERROR(1-H171/G171,"")</f>
        <v/>
      </c>
      <c r="J171" s="3210" t="str">
        <f>IFERROR(IF($E$327-$H$327&lt;0,"",($G171-$H171)*VLOOKUP($E171,PO_Enrgy_1_Table,MATCH($K$16,PO_Enrgy_1_Hdr,0),FALSE)/($E$327-$H$327)),"")</f>
        <v/>
      </c>
      <c r="K171" s="3212" t="str">
        <f>IFERROR(IF($G$327-$J$327&lt;0,"",($G171*VLOOKUP($E171,PO_Enrgy_8_Table,MATCH($E$232,PO_Enrgy_8_Hdr,0),FALSE)-($H171*VLOOKUP($E171,PO_Enrgy_8_Table,MATCH($H$232,PO_Enrgy_8_Hdr,0),FALSE)))/($G$327-$J$327)),"")</f>
        <v/>
      </c>
      <c r="L171" s="3212"/>
      <c r="M171" s="3213" t="str">
        <f>IFERROR(H171*VLOOKUP($E171,PO_Enrgy_1_Table,MATCH($K$16,PO_Enrgy_1_Hdr,0))/$H$227,"")</f>
        <v/>
      </c>
      <c r="N171" s="1466"/>
      <c r="O171" s="835"/>
      <c r="P171" s="835"/>
      <c r="Q171" s="1549">
        <f t="shared" ref="Q171:Q218" si="11">IFERROR(IF(ISBLANK($E171),"",VLOOKUP($E171,PO_Enrgy_1_Table,MATCH($K$16,PO_Enrgy_1_Hdr,0),FALSE)),"")</f>
        <v>3.4120000000000001E-3</v>
      </c>
      <c r="R171" s="1549">
        <f t="shared" ref="R171:R218" si="12">IFERROR(IF(ISBLANK($E171),"",VLOOKUP($E171,PO_Enrgy_1_Table,MATCH($M$16,PO_Enrgy_1_Hdr,0),FALSE)),"")</f>
        <v>1.0713680000000001E-2</v>
      </c>
      <c r="S171" s="1549" t="str">
        <f t="shared" ref="S171:S218" si="13">IFERROR(IF(FIND("Consumption",F171),(G171*VLOOKUP(MID(F171,FIND("(",F171)+1,LEN(F171)-FIND("(",F171)-1),EnergyUnitsTable,3,FALSE))/(G172*VLOOKUP(MID(F172,FIND("(",F172)+1,LEN(F172)-FIND("(",F172)-1),DemandTable,3,FALSE)),1),"")</f>
        <v/>
      </c>
      <c r="T171" s="1549" t="str">
        <f t="shared" ref="T171:T218" si="14">IFERROR(IF(FIND("Consumption",$F171),(H171*VLOOKUP(MID($F171,FIND("(",$F171)+1,LEN($F171)-FIND("(",$F171)-1),EnergyUnitsTable,3,FALSE))/(H172*VLOOKUP(MID($F172,FIND("(",$F172)+1,LEN($F172)-FIND("(",$F172)-1),DemandTable,3,FALSE)),1),"")</f>
        <v/>
      </c>
      <c r="V171" s="1558">
        <f t="shared" ref="V171:V218" si="15">IFERROR($AN171*H171,0)</f>
        <v>0</v>
      </c>
      <c r="W171" s="1559">
        <f t="shared" ref="W171:W218" si="16">IFERROR(G171*VLOOKUP($AE171,PO_Enrgy_8_Table,4,FALSE),0)</f>
        <v>0</v>
      </c>
      <c r="X171" s="1559">
        <f t="shared" ref="X171:X218" si="17">IFERROR(H171*VLOOKUP($AE171,PO_Enrgy_8_Table,7,FALSE),0)</f>
        <v>0</v>
      </c>
      <c r="Y171" s="1549" t="b">
        <f>IFERROR(IF(D171="x",IF(OR(G171/H171&gt;1.03,G171/H171&lt;0.97),TRUE,FALSE),FALSE),FALSE)</f>
        <v>0</v>
      </c>
      <c r="Z171" s="1549">
        <f>IFERROR(J171*100,)</f>
        <v>0</v>
      </c>
      <c r="AA171" s="1549"/>
      <c r="AB171" s="1549">
        <f>RANK(Z171,$Z$171:$Z$218,0)</f>
        <v>1</v>
      </c>
      <c r="AC171" s="1549">
        <f>AB171</f>
        <v>1</v>
      </c>
      <c r="AD171" s="1549" t="str">
        <f>B171</f>
        <v>Interior lighting</v>
      </c>
      <c r="AE171" s="1421"/>
      <c r="AF171" s="3216" t="str">
        <f>IFERROR(G171/Lighting!$L$43,"")</f>
        <v/>
      </c>
      <c r="AG171" s="3217"/>
      <c r="AH171" s="1422"/>
      <c r="AI171" s="1644"/>
      <c r="AJ171" s="1644"/>
      <c r="AK171" s="1423"/>
      <c r="AO171" s="604"/>
      <c r="BC171" s="2292"/>
      <c r="BF171" s="2345" t="str">
        <f>BF97</f>
        <v>L</v>
      </c>
      <c r="BG171" s="2345" t="str">
        <f>BG97</f>
        <v>Lighting - Conditioned</v>
      </c>
      <c r="BH171" s="2345" t="str">
        <f t="shared" ref="BH171" si="18">BH97</f>
        <v>Electricity</v>
      </c>
      <c r="BI171" s="2345">
        <f>IF(BG171&lt;&gt;"",IFERROR(MATCH(BG171&amp;BH171,'Results from Trace'!$L$1:$L$21,0),""),"")</f>
        <v>7</v>
      </c>
    </row>
    <row r="172" spans="1:61" ht="16.149999999999999" customHeight="1" x14ac:dyDescent="0.25">
      <c r="A172" s="1271" t="s">
        <v>1298</v>
      </c>
      <c r="B172" s="3218"/>
      <c r="C172" s="3218"/>
      <c r="D172" s="3353"/>
      <c r="E172" s="3351"/>
      <c r="F172" s="1464" t="str">
        <f>IFERROR(IF(ISBLANK(E171),"","Demand (" &amp; VLOOKUP($E171,PO_Enrgy_1_Table,MATCH($E$16,PO_Enrgy_1_Hdr,0),FALSE) &amp; ")"),"")</f>
        <v>Demand (kW)</v>
      </c>
      <c r="G172" s="1465" t="str">
        <f>INDEX(PO_baseline_table,2, 10)</f>
        <v/>
      </c>
      <c r="H172" s="1382"/>
      <c r="I172" s="1468" t="str">
        <f t="shared" ref="I172:I218" si="19">IFERROR(1-H172/G172,"")</f>
        <v/>
      </c>
      <c r="J172" s="3211"/>
      <c r="K172" s="3212"/>
      <c r="L172" s="3212"/>
      <c r="M172" s="3214"/>
      <c r="N172" s="1466"/>
      <c r="O172" s="835"/>
      <c r="P172" s="835"/>
      <c r="Q172" s="1549" t="str">
        <f t="shared" si="11"/>
        <v/>
      </c>
      <c r="R172" s="1549" t="str">
        <f t="shared" si="12"/>
        <v/>
      </c>
      <c r="S172" s="1549" t="str">
        <f t="shared" si="13"/>
        <v/>
      </c>
      <c r="T172" s="1549" t="str">
        <f t="shared" si="14"/>
        <v/>
      </c>
      <c r="V172" s="1558">
        <f t="shared" si="15"/>
        <v>0</v>
      </c>
      <c r="W172" s="1559">
        <f t="shared" si="16"/>
        <v>0</v>
      </c>
      <c r="X172" s="1559">
        <f t="shared" si="17"/>
        <v>0</v>
      </c>
      <c r="Y172" s="1549"/>
      <c r="Z172" s="1549"/>
      <c r="AA172" s="1549"/>
      <c r="AB172" s="1549"/>
      <c r="AC172" s="1549"/>
      <c r="AD172" s="1549"/>
      <c r="AE172" s="596"/>
      <c r="AF172" s="3216"/>
      <c r="AG172" s="3217"/>
      <c r="AH172" s="1422"/>
      <c r="AI172" s="1644"/>
      <c r="AJ172" s="1644"/>
      <c r="AK172" s="1424"/>
      <c r="AO172" s="604"/>
      <c r="BC172" s="2292"/>
      <c r="BF172" s="2345" t="str">
        <f t="shared" ref="BF172:BH187" si="20">BF98</f>
        <v>Y</v>
      </c>
      <c r="BG172" s="2345">
        <f t="shared" si="20"/>
        <v>0</v>
      </c>
      <c r="BH172" s="2345">
        <f t="shared" si="20"/>
        <v>0</v>
      </c>
      <c r="BI172" s="2345" t="str">
        <f>IF(BG172&lt;&gt;"",IFERROR(MATCH(BG172&amp;BH172,'Results from Trace'!$L$1:$L$21,0),""),"")</f>
        <v/>
      </c>
    </row>
    <row r="173" spans="1:61" ht="16.149999999999999" customHeight="1" x14ac:dyDescent="0.25">
      <c r="A173" s="1271" t="s">
        <v>1298</v>
      </c>
      <c r="B173" s="3215" t="s">
        <v>481</v>
      </c>
      <c r="C173" s="3215"/>
      <c r="D173" s="3353">
        <f>INDEX(PO_baseline_table,3, 3)</f>
        <v>0</v>
      </c>
      <c r="E173" s="3351" t="str">
        <f>INDEX(PO_baseline_table,3, 4)</f>
        <v>Electricity</v>
      </c>
      <c r="F173" s="1464" t="str">
        <f>IFERROR(IF(ISBLANK(E173),"","Consumption (" &amp; VLOOKUP($E173,PO_Enrgy_1_Table,MATCH($C$16,PO_Enrgy_1_Hdr,0),FALSE) &amp; ")"),"")</f>
        <v>Consumption (kWh)</v>
      </c>
      <c r="G173" s="1465" t="str">
        <f>INDEX(PO_baseline_table,3, 10)</f>
        <v/>
      </c>
      <c r="H173" s="1382"/>
      <c r="I173" s="1677" t="str">
        <f t="shared" si="19"/>
        <v/>
      </c>
      <c r="J173" s="3210" t="str">
        <f>IFERROR(IF($E$327-$H$327&lt;0,"",($G173-$H173)*VLOOKUP($E173,PO_Enrgy_1_Table,MATCH($K$16,PO_Enrgy_1_Hdr,0),FALSE)/($E$327-$H$327)),"")</f>
        <v/>
      </c>
      <c r="K173" s="3212" t="str">
        <f>IFERROR(IF($G$327-$J$327&lt;0,"",($G173*VLOOKUP($E173,PO_Enrgy_8_Table,MATCH($E$232,PO_Enrgy_8_Hdr,0),FALSE)-($H173*VLOOKUP($E173,PO_Enrgy_8_Table,MATCH($H$232,PO_Enrgy_8_Hdr,0),FALSE)))/($G$327-$J$327)),"")</f>
        <v/>
      </c>
      <c r="L173" s="3212"/>
      <c r="M173" s="3213" t="str">
        <f>IFERROR(H173*VLOOKUP($E173,PO_Enrgy_1_Table,MATCH($K$16,PO_Enrgy_1_Hdr,0))/$H$227,"")</f>
        <v/>
      </c>
      <c r="N173" s="1466"/>
      <c r="O173" s="835"/>
      <c r="P173" s="835"/>
      <c r="Q173" s="1549">
        <f t="shared" si="11"/>
        <v>3.4120000000000001E-3</v>
      </c>
      <c r="R173" s="1549">
        <f t="shared" si="12"/>
        <v>1.0713680000000001E-2</v>
      </c>
      <c r="S173" s="1549" t="str">
        <f t="shared" si="13"/>
        <v/>
      </c>
      <c r="T173" s="1549" t="str">
        <f t="shared" si="14"/>
        <v/>
      </c>
      <c r="V173" s="1558">
        <f t="shared" si="15"/>
        <v>0</v>
      </c>
      <c r="W173" s="1559">
        <f t="shared" si="16"/>
        <v>0</v>
      </c>
      <c r="X173" s="1559">
        <f t="shared" si="17"/>
        <v>0</v>
      </c>
      <c r="Y173" s="1549" t="b">
        <f>IFERROR(IF(D173="x",IF(OR(G173/H173&gt;1.03,G173/H173&lt;0.97),TRUE,FALSE),FALSE),FALSE)</f>
        <v>0</v>
      </c>
      <c r="Z173" s="1549">
        <f>IFERROR(J173*100,)</f>
        <v>0</v>
      </c>
      <c r="AA173" s="1549"/>
      <c r="AB173" s="1549">
        <f>RANK(Z173,$Z$171:$Z$218,0)</f>
        <v>1</v>
      </c>
      <c r="AC173" s="1549">
        <f>AB173+COUNTIF($AB$171:$AB172,AB173)</f>
        <v>2</v>
      </c>
      <c r="AD173" s="1549" t="str">
        <f>B173</f>
        <v>Exterior lighting</v>
      </c>
      <c r="AE173" s="1421"/>
      <c r="AF173" s="3205"/>
      <c r="AG173" s="3206"/>
      <c r="AH173" s="1422"/>
      <c r="AI173" s="1644"/>
      <c r="AJ173" s="1644"/>
      <c r="AK173" s="1423"/>
      <c r="AO173" s="604"/>
      <c r="BC173" s="2292"/>
      <c r="BF173" s="2345" t="str">
        <f t="shared" si="20"/>
        <v>W</v>
      </c>
      <c r="BG173" s="2345" t="str">
        <f t="shared" si="20"/>
        <v>Stand-alone Base Utilities</v>
      </c>
      <c r="BH173" s="2345" t="str">
        <f t="shared" si="20"/>
        <v>Electricity</v>
      </c>
      <c r="BI173" s="2345">
        <f>IF(BG173&lt;&gt;"",IFERROR(MATCH(BG173&amp;BH173,'Results from Trace'!$L$1:$L$21,0),""),"")</f>
        <v>15</v>
      </c>
    </row>
    <row r="174" spans="1:61" ht="16.149999999999999" customHeight="1" x14ac:dyDescent="0.25">
      <c r="A174" s="1271" t="s">
        <v>1298</v>
      </c>
      <c r="B174" s="3215"/>
      <c r="C174" s="3215"/>
      <c r="D174" s="3353"/>
      <c r="E174" s="3351"/>
      <c r="F174" s="1464" t="str">
        <f>IFERROR(IF(ISBLANK(E173),"","Demand (" &amp; VLOOKUP($E173,PO_Enrgy_1_Table,MATCH($E$16,PO_Enrgy_1_Hdr,0),FALSE) &amp; ")"),"")</f>
        <v>Demand (kW)</v>
      </c>
      <c r="G174" s="1467" t="str">
        <f>INDEX(PO_baseline_table,4, 10)</f>
        <v/>
      </c>
      <c r="H174" s="1382"/>
      <c r="I174" s="1468" t="str">
        <f t="shared" si="19"/>
        <v/>
      </c>
      <c r="J174" s="3211"/>
      <c r="K174" s="3212"/>
      <c r="L174" s="3212"/>
      <c r="M174" s="3214"/>
      <c r="N174" s="1466"/>
      <c r="O174" s="835"/>
      <c r="P174" s="835"/>
      <c r="Q174" s="1549" t="str">
        <f t="shared" si="11"/>
        <v/>
      </c>
      <c r="R174" s="1549" t="str">
        <f t="shared" si="12"/>
        <v/>
      </c>
      <c r="S174" s="1549" t="str">
        <f t="shared" si="13"/>
        <v/>
      </c>
      <c r="T174" s="1549" t="str">
        <f t="shared" si="14"/>
        <v/>
      </c>
      <c r="V174" s="1558">
        <f t="shared" si="15"/>
        <v>0</v>
      </c>
      <c r="W174" s="1559">
        <f t="shared" si="16"/>
        <v>0</v>
      </c>
      <c r="X174" s="1559">
        <f t="shared" si="17"/>
        <v>0</v>
      </c>
      <c r="Y174" s="1549"/>
      <c r="Z174" s="1549"/>
      <c r="AA174" s="1549"/>
      <c r="AB174" s="1549"/>
      <c r="AC174" s="1549"/>
      <c r="AD174" s="1549"/>
      <c r="AE174" s="596"/>
      <c r="AF174" s="3205"/>
      <c r="AG174" s="3206"/>
      <c r="AH174" s="1422"/>
      <c r="AI174" s="1644"/>
      <c r="AJ174" s="1644"/>
      <c r="AK174" s="1424"/>
      <c r="AO174" s="604"/>
      <c r="BC174" s="2292"/>
      <c r="BF174" s="2345" t="str">
        <f t="shared" si="20"/>
        <v>AJ</v>
      </c>
      <c r="BG174" s="2345">
        <f t="shared" si="20"/>
        <v>0</v>
      </c>
      <c r="BH174" s="2345">
        <f t="shared" si="20"/>
        <v>0</v>
      </c>
      <c r="BI174" s="2345" t="str">
        <f>IF(BG174&lt;&gt;"",IFERROR(MATCH(BG174&amp;BH174,'Results from Trace'!$L$1:$L$21,0),""),"")</f>
        <v/>
      </c>
    </row>
    <row r="175" spans="1:61" ht="16.149999999999999" customHeight="1" x14ac:dyDescent="0.25">
      <c r="A175" s="1271" t="s">
        <v>1298</v>
      </c>
      <c r="B175" s="3215" t="s">
        <v>480</v>
      </c>
      <c r="C175" s="3215"/>
      <c r="D175" s="3353">
        <f>INDEX(PO_baseline_table,5, 3)</f>
        <v>0</v>
      </c>
      <c r="E175" s="3351" t="str">
        <f>INDEX(PO_baseline_table,5, 4)</f>
        <v>Natural Gas</v>
      </c>
      <c r="F175" s="1464" t="str">
        <f>IFERROR(IF(ISBLANK(E175),"","Consumption (" &amp; VLOOKUP($E175,PO_Enrgy_1_Table,MATCH($C$16,PO_Enrgy_1_Hdr,0),FALSE) &amp; ")"),"")</f>
        <v/>
      </c>
      <c r="G175" s="1465" t="str">
        <f>INDEX(PO_baseline_table,5, 10)</f>
        <v/>
      </c>
      <c r="H175" s="1382"/>
      <c r="I175" s="1677" t="str">
        <f t="shared" si="19"/>
        <v/>
      </c>
      <c r="J175" s="3210" t="str">
        <f>IFERROR(IF($E$327-$H$327&lt;0,"",($G175-$H175)*VLOOKUP($E175,PO_Enrgy_1_Table,MATCH($K$16,PO_Enrgy_1_Hdr,0),FALSE)/($E$327-$H$327)),"")</f>
        <v/>
      </c>
      <c r="K175" s="3212" t="str">
        <f>IFERROR(IF($G$327-$J$327&lt;0,"",($G175*VLOOKUP($E175,PO_Enrgy_8_Table,MATCH($E$232,PO_Enrgy_8_Hdr,0),FALSE)-($H175*VLOOKUP($E175,PO_Enrgy_8_Table,MATCH($H$232,PO_Enrgy_8_Hdr,0),FALSE)))/($G$327-$J$327)),"")</f>
        <v/>
      </c>
      <c r="L175" s="3212"/>
      <c r="M175" s="3213" t="str">
        <f>IFERROR(H175*VLOOKUP($E175,PO_Enrgy_1_Table,MATCH($K$16,PO_Enrgy_1_Hdr,0))/$H$227,"")</f>
        <v/>
      </c>
      <c r="N175" s="1466"/>
      <c r="O175" s="835"/>
      <c r="P175" s="835"/>
      <c r="Q175" s="1549" t="str">
        <f t="shared" si="11"/>
        <v/>
      </c>
      <c r="R175" s="1549" t="str">
        <f t="shared" si="12"/>
        <v/>
      </c>
      <c r="S175" s="1549" t="str">
        <f t="shared" si="13"/>
        <v/>
      </c>
      <c r="T175" s="1549" t="str">
        <f t="shared" si="14"/>
        <v/>
      </c>
      <c r="V175" s="1558">
        <f t="shared" si="15"/>
        <v>0</v>
      </c>
      <c r="W175" s="1559">
        <f t="shared" si="16"/>
        <v>0</v>
      </c>
      <c r="X175" s="1559">
        <f t="shared" si="17"/>
        <v>0</v>
      </c>
      <c r="Y175" s="1549" t="b">
        <f>IFERROR(IF(D175="x",IF(OR(G175/H175&gt;1.03,G175/H175&lt;0.97),TRUE,FALSE),FALSE),FALSE)</f>
        <v>0</v>
      </c>
      <c r="Z175" s="1549">
        <f>IFERROR(J175*100,)</f>
        <v>0</v>
      </c>
      <c r="AA175" s="1549"/>
      <c r="AB175" s="1549">
        <f>RANK(Z175,$Z$171:$Z$218,0)</f>
        <v>1</v>
      </c>
      <c r="AC175" s="1549">
        <f>AB175+COUNTIF($AB$171:$AB174,AB175)</f>
        <v>3</v>
      </c>
      <c r="AD175" s="1549" t="str">
        <f>B175</f>
        <v>Space heating</v>
      </c>
      <c r="AE175" s="1421"/>
      <c r="AF175" s="3205"/>
      <c r="AG175" s="3206"/>
      <c r="AH175" s="1422"/>
      <c r="AI175" s="1644"/>
      <c r="AJ175" s="1644"/>
      <c r="AK175" s="1423"/>
      <c r="AO175" s="604"/>
      <c r="BC175" s="2292"/>
      <c r="BF175" s="2345" t="str">
        <f t="shared" si="20"/>
        <v>BA</v>
      </c>
      <c r="BG175" s="2345" t="str">
        <f t="shared" si="20"/>
        <v>Space Heating</v>
      </c>
      <c r="BH175" s="2345" t="str">
        <f t="shared" si="20"/>
        <v>Gas</v>
      </c>
      <c r="BI175" s="2345" t="str">
        <f>IF(BG175&lt;&gt;"",IFERROR(MATCH(BG175&amp;BH175,'Results from Trace'!$L$1:$L$21,0),""),"")</f>
        <v/>
      </c>
    </row>
    <row r="176" spans="1:61" ht="16.149999999999999" customHeight="1" x14ac:dyDescent="0.25">
      <c r="A176" s="1271" t="s">
        <v>1298</v>
      </c>
      <c r="B176" s="3215"/>
      <c r="C176" s="3215"/>
      <c r="D176" s="3353"/>
      <c r="E176" s="3351"/>
      <c r="F176" s="1464" t="str">
        <f>IFERROR(IF(ISBLANK(E175),"","Demand (" &amp; VLOOKUP($E175,PO_Enrgy_1_Table,MATCH($E$16,PO_Enrgy_1_Hdr,0),FALSE) &amp; ")"),"")</f>
        <v/>
      </c>
      <c r="G176" s="1467" t="str">
        <f>INDEX(PO_baseline_table,6, 10)</f>
        <v/>
      </c>
      <c r="H176" s="1382"/>
      <c r="I176" s="1468" t="str">
        <f t="shared" si="19"/>
        <v/>
      </c>
      <c r="J176" s="3211"/>
      <c r="K176" s="3212"/>
      <c r="L176" s="3212"/>
      <c r="M176" s="3214"/>
      <c r="N176" s="1466"/>
      <c r="O176" s="835"/>
      <c r="P176" s="835"/>
      <c r="Q176" s="1549" t="str">
        <f t="shared" si="11"/>
        <v/>
      </c>
      <c r="R176" s="1549" t="str">
        <f t="shared" si="12"/>
        <v/>
      </c>
      <c r="S176" s="1549" t="str">
        <f t="shared" si="13"/>
        <v/>
      </c>
      <c r="T176" s="1549" t="str">
        <f t="shared" si="14"/>
        <v/>
      </c>
      <c r="V176" s="1558">
        <f t="shared" si="15"/>
        <v>0</v>
      </c>
      <c r="W176" s="1559">
        <f t="shared" si="16"/>
        <v>0</v>
      </c>
      <c r="X176" s="1559">
        <f t="shared" si="17"/>
        <v>0</v>
      </c>
      <c r="Y176" s="1549"/>
      <c r="Z176" s="1549"/>
      <c r="AA176" s="1549"/>
      <c r="AB176" s="1549"/>
      <c r="AC176" s="1549"/>
      <c r="AD176" s="1549"/>
      <c r="AE176" s="596"/>
      <c r="AF176" s="3205"/>
      <c r="AG176" s="3206"/>
      <c r="AH176" s="1422"/>
      <c r="AI176" s="1644"/>
      <c r="AJ176" s="1644"/>
      <c r="AK176" s="1424"/>
      <c r="AO176" s="604"/>
      <c r="BC176" s="2292"/>
      <c r="BF176" s="2345">
        <f t="shared" si="20"/>
        <v>0</v>
      </c>
      <c r="BG176" s="2345">
        <f t="shared" si="20"/>
        <v>0</v>
      </c>
      <c r="BH176" s="2345">
        <f t="shared" si="20"/>
        <v>0</v>
      </c>
      <c r="BI176" s="2345" t="str">
        <f>IF(BG176&lt;&gt;"",IFERROR(MATCH(BG176&amp;BH176,'Results from Trace'!$L$1:$L$21,0),""),"")</f>
        <v/>
      </c>
    </row>
    <row r="177" spans="1:61" ht="16.149999999999999" customHeight="1" x14ac:dyDescent="0.25">
      <c r="A177" s="1271" t="s">
        <v>1298</v>
      </c>
      <c r="B177" s="3215" t="s">
        <v>479</v>
      </c>
      <c r="C177" s="3215"/>
      <c r="D177" s="3353">
        <f>INDEX(PO_baseline_table,7, 3)</f>
        <v>0</v>
      </c>
      <c r="E177" s="3351" t="str">
        <f>INDEX(PO_baseline_table,7, 4)</f>
        <v>Electricity</v>
      </c>
      <c r="F177" s="1464" t="str">
        <f>IFERROR(IF(ISBLANK(E177),"","Consumption (" &amp; VLOOKUP($E177,PO_Enrgy_1_Table,MATCH($C$16,PO_Enrgy_1_Hdr,0),FALSE) &amp; ")"),"")</f>
        <v>Consumption (kWh)</v>
      </c>
      <c r="G177" s="1465" t="str">
        <f>INDEX(PO_baseline_table,7, 10)</f>
        <v/>
      </c>
      <c r="H177" s="1382"/>
      <c r="I177" s="1677" t="str">
        <f t="shared" si="19"/>
        <v/>
      </c>
      <c r="J177" s="3210" t="str">
        <f>IFERROR(IF($E$327-$H$327&lt;0,"",($G177-$H177)*VLOOKUP($E177,PO_Enrgy_1_Table,MATCH($K$16,PO_Enrgy_1_Hdr,0),FALSE)/($E$327-$H$327)),"")</f>
        <v/>
      </c>
      <c r="K177" s="3212" t="str">
        <f>IFERROR(IF($G$327-$J$327&lt;0,"",($G177*VLOOKUP($E177,PO_Enrgy_8_Table,MATCH($E$232,PO_Enrgy_8_Hdr,0),FALSE)-($H177*VLOOKUP($E177,PO_Enrgy_8_Table,MATCH($H$232,PO_Enrgy_8_Hdr,0),FALSE)))/($G$327-$J$327)),"")</f>
        <v/>
      </c>
      <c r="L177" s="3212"/>
      <c r="M177" s="3213" t="str">
        <f>IFERROR(H177*VLOOKUP($E177,PO_Enrgy_1_Table,MATCH($K$16,PO_Enrgy_1_Hdr,0))/$H$227,"")</f>
        <v/>
      </c>
      <c r="N177" s="1466"/>
      <c r="O177" s="835"/>
      <c r="P177" s="835"/>
      <c r="Q177" s="1549">
        <f t="shared" si="11"/>
        <v>3.4120000000000001E-3</v>
      </c>
      <c r="R177" s="1549">
        <f t="shared" si="12"/>
        <v>1.0713680000000001E-2</v>
      </c>
      <c r="S177" s="1549" t="str">
        <f t="shared" si="13"/>
        <v/>
      </c>
      <c r="T177" s="1549" t="str">
        <f t="shared" si="14"/>
        <v/>
      </c>
      <c r="V177" s="1558">
        <f t="shared" si="15"/>
        <v>0</v>
      </c>
      <c r="W177" s="1559">
        <f t="shared" si="16"/>
        <v>0</v>
      </c>
      <c r="X177" s="1559">
        <f t="shared" si="17"/>
        <v>0</v>
      </c>
      <c r="Y177" s="1549" t="b">
        <f>IFERROR(IF(D177="x",IF(OR(G177/H177&gt;1.03,G177/H177&lt;0.97),TRUE,FALSE),FALSE),FALSE)</f>
        <v>0</v>
      </c>
      <c r="Z177" s="1549">
        <f>IFERROR(J177*100,)</f>
        <v>0</v>
      </c>
      <c r="AA177" s="1549"/>
      <c r="AB177" s="1549">
        <f>RANK(Z177,$Z$171:$Z$218,0)</f>
        <v>1</v>
      </c>
      <c r="AC177" s="1549">
        <f>AB177+COUNTIF($AB$171:$AB176,AB177)</f>
        <v>4</v>
      </c>
      <c r="AD177" s="1549" t="str">
        <f>B177</f>
        <v>Space cooling</v>
      </c>
      <c r="AE177" s="1421"/>
      <c r="AF177" s="3205"/>
      <c r="AG177" s="3206"/>
      <c r="AH177" s="1422"/>
      <c r="AI177" s="1644"/>
      <c r="AJ177" s="1644"/>
      <c r="AK177" s="1423"/>
      <c r="AO177" s="604"/>
      <c r="BC177" s="2292"/>
      <c r="BF177" s="2345" t="str">
        <f t="shared" si="20"/>
        <v>P</v>
      </c>
      <c r="BG177" s="2345" t="str">
        <f t="shared" si="20"/>
        <v>Space Cooling</v>
      </c>
      <c r="BH177" s="2345" t="str">
        <f t="shared" si="20"/>
        <v>Electricity</v>
      </c>
      <c r="BI177" s="2345" t="str">
        <f>IF(BG177&lt;&gt;"",IFERROR(MATCH(BG177&amp;BH177,'Results from Trace'!$L$1:$L$21,0),""),"")</f>
        <v/>
      </c>
    </row>
    <row r="178" spans="1:61" ht="16.149999999999999" customHeight="1" x14ac:dyDescent="0.25">
      <c r="A178" s="1271" t="s">
        <v>1298</v>
      </c>
      <c r="B178" s="3215"/>
      <c r="C178" s="3215"/>
      <c r="D178" s="3353"/>
      <c r="E178" s="3351"/>
      <c r="F178" s="1464" t="str">
        <f>IFERROR(IF(ISBLANK(E177),"","Demand (" &amp; VLOOKUP($E177,PO_Enrgy_1_Table,MATCH($E$16,PO_Enrgy_1_Hdr,0),FALSE) &amp; ")"),"")</f>
        <v>Demand (kW)</v>
      </c>
      <c r="G178" s="1467" t="str">
        <f>INDEX(PO_baseline_table,8, 10)</f>
        <v/>
      </c>
      <c r="H178" s="1382"/>
      <c r="I178" s="1468" t="str">
        <f t="shared" si="19"/>
        <v/>
      </c>
      <c r="J178" s="3211"/>
      <c r="K178" s="3212"/>
      <c r="L178" s="3212"/>
      <c r="M178" s="3214"/>
      <c r="N178" s="1466"/>
      <c r="O178" s="835"/>
      <c r="P178" s="835"/>
      <c r="Q178" s="1549" t="str">
        <f t="shared" si="11"/>
        <v/>
      </c>
      <c r="R178" s="1549" t="str">
        <f t="shared" si="12"/>
        <v/>
      </c>
      <c r="S178" s="1549" t="str">
        <f t="shared" si="13"/>
        <v/>
      </c>
      <c r="T178" s="1549" t="str">
        <f t="shared" si="14"/>
        <v/>
      </c>
      <c r="V178" s="1558">
        <f t="shared" si="15"/>
        <v>0</v>
      </c>
      <c r="W178" s="1559">
        <f t="shared" si="16"/>
        <v>0</v>
      </c>
      <c r="X178" s="1559">
        <f t="shared" si="17"/>
        <v>0</v>
      </c>
      <c r="Y178" s="1549"/>
      <c r="Z178" s="1549"/>
      <c r="AA178" s="1549"/>
      <c r="AB178" s="1549"/>
      <c r="AC178" s="1549"/>
      <c r="AD178" s="1549"/>
      <c r="AE178" s="596"/>
      <c r="AF178" s="3205"/>
      <c r="AG178" s="3206"/>
      <c r="AH178" s="1422"/>
      <c r="AI178" s="1644"/>
      <c r="AJ178" s="1644"/>
      <c r="AK178" s="1424"/>
      <c r="AO178" s="604"/>
      <c r="BC178" s="2292"/>
      <c r="BF178" s="2345" t="str">
        <f t="shared" si="20"/>
        <v>AC</v>
      </c>
      <c r="BG178" s="2345">
        <f t="shared" si="20"/>
        <v>0</v>
      </c>
      <c r="BH178" s="2345">
        <f t="shared" si="20"/>
        <v>0</v>
      </c>
      <c r="BI178" s="2345" t="str">
        <f>IF(BG178&lt;&gt;"",IFERROR(MATCH(BG178&amp;BH178,'Results from Trace'!$L$1:$L$21,0),""),"")</f>
        <v/>
      </c>
    </row>
    <row r="179" spans="1:61" ht="16.149999999999999" customHeight="1" x14ac:dyDescent="0.25">
      <c r="A179" s="1271" t="s">
        <v>1298</v>
      </c>
      <c r="B179" s="3215" t="s">
        <v>477</v>
      </c>
      <c r="C179" s="3215"/>
      <c r="D179" s="3353">
        <f>INDEX(PO_baseline_table,9, 3)</f>
        <v>0</v>
      </c>
      <c r="E179" s="3351" t="str">
        <f>INDEX(PO_baseline_table,9, 4)</f>
        <v>Electricity</v>
      </c>
      <c r="F179" s="1464" t="str">
        <f>IFERROR(IF(ISBLANK(E179),"","Consumption (" &amp; VLOOKUP($E179,PO_Enrgy_1_Table,MATCH($C$16,PO_Enrgy_1_Hdr,0),FALSE) &amp; ")"),"")</f>
        <v>Consumption (kWh)</v>
      </c>
      <c r="G179" s="1465" t="str">
        <f>INDEX(PO_baseline_table,9, 10)</f>
        <v/>
      </c>
      <c r="H179" s="1382"/>
      <c r="I179" s="1677" t="str">
        <f t="shared" si="19"/>
        <v/>
      </c>
      <c r="J179" s="3210" t="str">
        <f>IFERROR(IF($E$327-$H$327&lt;0,"",($G179-$H179)*VLOOKUP($E179,PO_Enrgy_1_Table,MATCH($K$16,PO_Enrgy_1_Hdr,0),FALSE)/($E$327-$H$327)),"")</f>
        <v/>
      </c>
      <c r="K179" s="3212" t="str">
        <f>IFERROR(IF($G$327-$J$327&lt;0,"",($G179*VLOOKUP($E179,PO_Enrgy_8_Table,MATCH($E$232,PO_Enrgy_8_Hdr,0),FALSE)-($H179*VLOOKUP($E179,PO_Enrgy_8_Table,MATCH($H$232,PO_Enrgy_8_Hdr,0),FALSE)))/($G$327-$J$327)),"")</f>
        <v/>
      </c>
      <c r="L179" s="3212"/>
      <c r="M179" s="3213" t="str">
        <f>IFERROR(H179*VLOOKUP($E179,PO_Enrgy_1_Table,MATCH($K$16,PO_Enrgy_1_Hdr,0))/$H$227,"")</f>
        <v/>
      </c>
      <c r="N179" s="1466"/>
      <c r="O179" s="835"/>
      <c r="P179" s="835"/>
      <c r="Q179" s="1549">
        <f t="shared" si="11"/>
        <v>3.4120000000000001E-3</v>
      </c>
      <c r="R179" s="1549">
        <f t="shared" si="12"/>
        <v>1.0713680000000001E-2</v>
      </c>
      <c r="S179" s="1549" t="str">
        <f t="shared" si="13"/>
        <v/>
      </c>
      <c r="T179" s="1549" t="str">
        <f t="shared" si="14"/>
        <v/>
      </c>
      <c r="V179" s="1558">
        <f t="shared" si="15"/>
        <v>0</v>
      </c>
      <c r="W179" s="1559">
        <f t="shared" si="16"/>
        <v>0</v>
      </c>
      <c r="X179" s="1559">
        <f t="shared" si="17"/>
        <v>0</v>
      </c>
      <c r="Y179" s="1549" t="b">
        <f>IFERROR(IF(D179="x",IF(OR(G179/H179&gt;1.03,G179/H179&lt;0.97),TRUE,FALSE),FALSE),FALSE)</f>
        <v>0</v>
      </c>
      <c r="Z179" s="1549">
        <f>IFERROR(J179*100,)</f>
        <v>0</v>
      </c>
      <c r="AA179" s="1549"/>
      <c r="AB179" s="1549">
        <f>RANK(Z179,$Z$171:$Z$218,0)</f>
        <v>1</v>
      </c>
      <c r="AC179" s="1549">
        <f>AB179+COUNTIF($AB$171:$AB178,AB179)</f>
        <v>5</v>
      </c>
      <c r="AD179" s="1549" t="str">
        <f>B179</f>
        <v>Pumps</v>
      </c>
      <c r="AE179" s="1421"/>
      <c r="AF179" s="3205"/>
      <c r="AG179" s="3206"/>
      <c r="AH179" s="1422"/>
      <c r="AI179" s="1644"/>
      <c r="AJ179" s="1644"/>
      <c r="AK179" s="1423"/>
      <c r="AO179" s="604"/>
      <c r="BC179" s="2292"/>
      <c r="BF179" s="2345" t="str">
        <f t="shared" si="20"/>
        <v>R</v>
      </c>
      <c r="BG179" s="2345" t="str">
        <f t="shared" si="20"/>
        <v>Pumps</v>
      </c>
      <c r="BH179" s="2345" t="str">
        <f t="shared" si="20"/>
        <v>Electricity</v>
      </c>
      <c r="BI179" s="2345">
        <f>IF(BG179&lt;&gt;"",IFERROR(MATCH(BG179&amp;BH179,'Results from Trace'!$L$1:$L$21,0),""),"")</f>
        <v>11</v>
      </c>
    </row>
    <row r="180" spans="1:61" ht="16.149999999999999" customHeight="1" x14ac:dyDescent="0.25">
      <c r="A180" s="1271" t="s">
        <v>1298</v>
      </c>
      <c r="B180" s="3215"/>
      <c r="C180" s="3215"/>
      <c r="D180" s="3353"/>
      <c r="E180" s="3351"/>
      <c r="F180" s="1464" t="str">
        <f>IFERROR(IF(ISBLANK(E179),"","Demand (" &amp; VLOOKUP($E179,PO_Enrgy_1_Table,MATCH($E$16,PO_Enrgy_1_Hdr,0),FALSE) &amp; ")"),"")</f>
        <v>Demand (kW)</v>
      </c>
      <c r="G180" s="1467" t="str">
        <f>INDEX(PO_baseline_table,10, 10)</f>
        <v/>
      </c>
      <c r="H180" s="1382"/>
      <c r="I180" s="1468" t="str">
        <f t="shared" si="19"/>
        <v/>
      </c>
      <c r="J180" s="3211"/>
      <c r="K180" s="3212"/>
      <c r="L180" s="3212"/>
      <c r="M180" s="3214"/>
      <c r="N180" s="1466"/>
      <c r="O180" s="835"/>
      <c r="P180" s="835"/>
      <c r="Q180" s="1549" t="str">
        <f t="shared" si="11"/>
        <v/>
      </c>
      <c r="R180" s="1549" t="str">
        <f t="shared" si="12"/>
        <v/>
      </c>
      <c r="S180" s="1549" t="str">
        <f t="shared" si="13"/>
        <v/>
      </c>
      <c r="T180" s="1549" t="str">
        <f t="shared" si="14"/>
        <v/>
      </c>
      <c r="V180" s="1558">
        <f t="shared" si="15"/>
        <v>0</v>
      </c>
      <c r="W180" s="1559">
        <f t="shared" si="16"/>
        <v>0</v>
      </c>
      <c r="X180" s="1559">
        <f t="shared" si="17"/>
        <v>0</v>
      </c>
      <c r="Y180" s="1549"/>
      <c r="Z180" s="1549"/>
      <c r="AA180" s="1549"/>
      <c r="AB180" s="1549"/>
      <c r="AC180" s="1549"/>
      <c r="AD180" s="1549"/>
      <c r="AE180" s="596"/>
      <c r="AF180" s="3205"/>
      <c r="AG180" s="3206"/>
      <c r="AH180" s="1422"/>
      <c r="AI180" s="1644"/>
      <c r="AJ180" s="1644"/>
      <c r="AK180" s="1424"/>
      <c r="AO180" s="604"/>
      <c r="BC180" s="2292"/>
      <c r="BF180" s="2345" t="str">
        <f t="shared" si="20"/>
        <v>AE</v>
      </c>
      <c r="BG180" s="2345">
        <f t="shared" si="20"/>
        <v>0</v>
      </c>
      <c r="BH180" s="2345">
        <f t="shared" si="20"/>
        <v>0</v>
      </c>
      <c r="BI180" s="2345" t="str">
        <f>IF(BG180&lt;&gt;"",IFERROR(MATCH(BG180&amp;BH180,'Results from Trace'!$L$1:$L$21,0),""),"")</f>
        <v/>
      </c>
    </row>
    <row r="181" spans="1:61" ht="16.149999999999999" customHeight="1" x14ac:dyDescent="0.25">
      <c r="A181" s="1271" t="s">
        <v>1298</v>
      </c>
      <c r="B181" s="3215" t="s">
        <v>476</v>
      </c>
      <c r="C181" s="3215"/>
      <c r="D181" s="3353">
        <f>INDEX(PO_baseline_table,11, 3)</f>
        <v>0</v>
      </c>
      <c r="E181" s="3351" t="str">
        <f>INDEX(PO_baseline_table,11, 4)</f>
        <v>Electricity</v>
      </c>
      <c r="F181" s="1464" t="str">
        <f>IFERROR(IF(ISBLANK(E181),"","Consumption (" &amp; VLOOKUP($E181,PO_Enrgy_1_Table,MATCH($C$16,PO_Enrgy_1_Hdr,0),FALSE) &amp; ")"),"")</f>
        <v>Consumption (kWh)</v>
      </c>
      <c r="G181" s="1465" t="str">
        <f>INDEX(PO_baseline_table,11, 10)</f>
        <v/>
      </c>
      <c r="H181" s="1382"/>
      <c r="I181" s="1677" t="str">
        <f t="shared" si="19"/>
        <v/>
      </c>
      <c r="J181" s="3210" t="str">
        <f>IFERROR(IF($E$327-$H$327&lt;0,"",($G181-$H181)*VLOOKUP($E181,PO_Enrgy_1_Table,MATCH($K$16,PO_Enrgy_1_Hdr,0),FALSE)/($E$327-$H$327)),"")</f>
        <v/>
      </c>
      <c r="K181" s="3212" t="str">
        <f>IFERROR(IF($G$327-$J$327&lt;0,"",($G181*VLOOKUP($E181,PO_Enrgy_8_Table,MATCH($E$232,PO_Enrgy_8_Hdr,0),FALSE)-($H181*VLOOKUP($E181,PO_Enrgy_8_Table,MATCH($H$232,PO_Enrgy_8_Hdr,0),FALSE)))/($G$327-$J$327)),"")</f>
        <v/>
      </c>
      <c r="L181" s="3212"/>
      <c r="M181" s="3213" t="str">
        <f>IFERROR(H181*VLOOKUP($E181,PO_Enrgy_1_Table,MATCH($K$16,PO_Enrgy_1_Hdr,0))/$H$227,"")</f>
        <v/>
      </c>
      <c r="N181" s="1466"/>
      <c r="O181" s="835"/>
      <c r="P181" s="835"/>
      <c r="Q181" s="1549">
        <f t="shared" si="11"/>
        <v>3.4120000000000001E-3</v>
      </c>
      <c r="R181" s="1549">
        <f t="shared" si="12"/>
        <v>1.0713680000000001E-2</v>
      </c>
      <c r="S181" s="1549" t="str">
        <f t="shared" si="13"/>
        <v/>
      </c>
      <c r="T181" s="1549" t="str">
        <f t="shared" si="14"/>
        <v/>
      </c>
      <c r="V181" s="1558">
        <f t="shared" si="15"/>
        <v>0</v>
      </c>
      <c r="W181" s="1559">
        <f t="shared" si="16"/>
        <v>0</v>
      </c>
      <c r="X181" s="1559">
        <f t="shared" si="17"/>
        <v>0</v>
      </c>
      <c r="Y181" s="1549" t="b">
        <f>IFERROR(IF(D181="x",IF(OR(G181/H181&gt;1.03,G181/H181&lt;0.97),TRUE,FALSE),FALSE),FALSE)</f>
        <v>0</v>
      </c>
      <c r="Z181" s="1549">
        <f>IFERROR(J181*100,)</f>
        <v>0</v>
      </c>
      <c r="AA181" s="1549"/>
      <c r="AB181" s="1549">
        <f>RANK(Z181,$Z$171:$Z$218,0)</f>
        <v>1</v>
      </c>
      <c r="AC181" s="1549">
        <f>AB181+COUNTIF($AB$171:$AB180,AB181)</f>
        <v>6</v>
      </c>
      <c r="AD181" s="1549" t="str">
        <f>B181</f>
        <v>Heat rejection</v>
      </c>
      <c r="AE181" s="1421"/>
      <c r="AF181" s="3205"/>
      <c r="AG181" s="3206"/>
      <c r="AH181" s="1422"/>
      <c r="AI181" s="1644"/>
      <c r="AJ181" s="1644"/>
      <c r="AK181" s="1423"/>
      <c r="AO181" s="604"/>
      <c r="BC181" s="2292"/>
      <c r="BF181" s="2345" t="str">
        <f t="shared" si="20"/>
        <v>Q</v>
      </c>
      <c r="BG181" s="2345" t="str">
        <f t="shared" si="20"/>
        <v>Heat Rejection</v>
      </c>
      <c r="BH181" s="2345" t="str">
        <f t="shared" si="20"/>
        <v>Electricity</v>
      </c>
      <c r="BI181" s="2345">
        <f>IF(BG181&lt;&gt;"",IFERROR(MATCH(BG181&amp;BH181,'Results from Trace'!$L$1:$L$21,0),""),"")</f>
        <v>12</v>
      </c>
    </row>
    <row r="182" spans="1:61" ht="16.149999999999999" customHeight="1" x14ac:dyDescent="0.25">
      <c r="A182" s="1271" t="s">
        <v>1298</v>
      </c>
      <c r="B182" s="3215"/>
      <c r="C182" s="3215"/>
      <c r="D182" s="3353"/>
      <c r="E182" s="3351"/>
      <c r="F182" s="1464" t="str">
        <f>IFERROR(IF(ISBLANK(E181),"","Demand (" &amp; VLOOKUP($E181,PO_Enrgy_1_Table,MATCH($E$16,PO_Enrgy_1_Hdr,0),FALSE) &amp; ")"),"")</f>
        <v>Demand (kW)</v>
      </c>
      <c r="G182" s="1467" t="str">
        <f>INDEX(PO_baseline_table,12, 10)</f>
        <v/>
      </c>
      <c r="H182" s="1382"/>
      <c r="I182" s="1468" t="str">
        <f t="shared" si="19"/>
        <v/>
      </c>
      <c r="J182" s="3211"/>
      <c r="K182" s="3212"/>
      <c r="L182" s="3212"/>
      <c r="M182" s="3214"/>
      <c r="N182" s="1466"/>
      <c r="O182" s="835"/>
      <c r="P182" s="835"/>
      <c r="Q182" s="1549" t="str">
        <f t="shared" si="11"/>
        <v/>
      </c>
      <c r="R182" s="1549" t="str">
        <f t="shared" si="12"/>
        <v/>
      </c>
      <c r="S182" s="1549" t="str">
        <f t="shared" si="13"/>
        <v/>
      </c>
      <c r="T182" s="1549" t="str">
        <f t="shared" si="14"/>
        <v/>
      </c>
      <c r="V182" s="1558">
        <f t="shared" si="15"/>
        <v>0</v>
      </c>
      <c r="W182" s="1559">
        <f t="shared" si="16"/>
        <v>0</v>
      </c>
      <c r="X182" s="1559">
        <f t="shared" si="17"/>
        <v>0</v>
      </c>
      <c r="Y182" s="1549"/>
      <c r="Z182" s="1549"/>
      <c r="AA182" s="1549"/>
      <c r="AB182" s="1549"/>
      <c r="AC182" s="1549"/>
      <c r="AD182" s="1549"/>
      <c r="AE182" s="596"/>
      <c r="AF182" s="3205"/>
      <c r="AG182" s="3206"/>
      <c r="AH182" s="1422"/>
      <c r="AI182" s="1644"/>
      <c r="AJ182" s="1644"/>
      <c r="AK182" s="1424"/>
      <c r="AO182" s="604"/>
      <c r="BC182" s="2292"/>
      <c r="BF182" s="2345" t="str">
        <f t="shared" si="20"/>
        <v>AD</v>
      </c>
      <c r="BG182" s="2345">
        <f t="shared" si="20"/>
        <v>0</v>
      </c>
      <c r="BH182" s="2345">
        <f t="shared" si="20"/>
        <v>0</v>
      </c>
      <c r="BI182" s="2345" t="str">
        <f>IF(BG182&lt;&gt;"",IFERROR(MATCH(BG182&amp;BH182,'Results from Trace'!$L$1:$L$21,0),""),"")</f>
        <v/>
      </c>
    </row>
    <row r="183" spans="1:61" ht="16.149999999999999" customHeight="1" x14ac:dyDescent="0.25">
      <c r="A183" s="1271" t="s">
        <v>1298</v>
      </c>
      <c r="B183" s="3215" t="s">
        <v>475</v>
      </c>
      <c r="C183" s="3215"/>
      <c r="D183" s="3353">
        <f>INDEX(PO_baseline_table,13, 3)</f>
        <v>0</v>
      </c>
      <c r="E183" s="3351" t="str">
        <f>INDEX(PO_baseline_table,13, 4)</f>
        <v>Electricity</v>
      </c>
      <c r="F183" s="1464" t="str">
        <f>IFERROR(IF(ISBLANK(E183),"","Consumption (" &amp; VLOOKUP($E183,PO_Enrgy_1_Table,MATCH($C$16,PO_Enrgy_1_Hdr,0),FALSE) &amp; ")"),"")</f>
        <v>Consumption (kWh)</v>
      </c>
      <c r="G183" s="1465" t="str">
        <f>INDEX(PO_baseline_table,13, 10)</f>
        <v/>
      </c>
      <c r="H183" s="1382"/>
      <c r="I183" s="1677" t="str">
        <f t="shared" si="19"/>
        <v/>
      </c>
      <c r="J183" s="3210" t="str">
        <f>IFERROR(IF($E$327-$H$327&lt;0,"",($G183-$H183)*VLOOKUP($E183,PO_Enrgy_1_Table,MATCH($K$16,PO_Enrgy_1_Hdr,0),FALSE)/($E$327-$H$327)),"")</f>
        <v/>
      </c>
      <c r="K183" s="3212" t="str">
        <f>IFERROR(IF($G$327-$J$327&lt;0,"",($G183*VLOOKUP($E183,PO_Enrgy_8_Table,MATCH($E$232,PO_Enrgy_8_Hdr,0),FALSE)-($H183*VLOOKUP($E183,PO_Enrgy_8_Table,MATCH($H$232,PO_Enrgy_8_Hdr,0),FALSE)))/($G$327-$J$327)),"")</f>
        <v/>
      </c>
      <c r="L183" s="3212"/>
      <c r="M183" s="3213" t="str">
        <f>IFERROR(H183*VLOOKUP($E183,PO_Enrgy_1_Table,MATCH($K$16,PO_Enrgy_1_Hdr,0))/$H$227,"")</f>
        <v/>
      </c>
      <c r="N183" s="1466"/>
      <c r="O183" s="835"/>
      <c r="P183" s="835"/>
      <c r="Q183" s="1549">
        <f t="shared" si="11"/>
        <v>3.4120000000000001E-3</v>
      </c>
      <c r="R183" s="1549">
        <f t="shared" si="12"/>
        <v>1.0713680000000001E-2</v>
      </c>
      <c r="S183" s="1549" t="str">
        <f t="shared" si="13"/>
        <v/>
      </c>
      <c r="T183" s="1549" t="str">
        <f t="shared" si="14"/>
        <v/>
      </c>
      <c r="V183" s="1558">
        <f t="shared" si="15"/>
        <v>0</v>
      </c>
      <c r="W183" s="1559">
        <f t="shared" si="16"/>
        <v>0</v>
      </c>
      <c r="X183" s="1559">
        <f t="shared" si="17"/>
        <v>0</v>
      </c>
      <c r="Y183" s="1549" t="b">
        <f>IFERROR(IF(D183="x",IF(OR(G183/H183&gt;1.03,G183/H183&lt;0.97),TRUE,FALSE),FALSE),FALSE)</f>
        <v>0</v>
      </c>
      <c r="Z183" s="1549">
        <f>IFERROR(J183*100,)</f>
        <v>0</v>
      </c>
      <c r="AA183" s="1549"/>
      <c r="AB183" s="1549">
        <f>RANK(Z183,$Z$171:$Z$218,0)</f>
        <v>1</v>
      </c>
      <c r="AC183" s="1549">
        <f>AB183+COUNTIF($AB$171:$AB182,AB183)</f>
        <v>7</v>
      </c>
      <c r="AD183" s="1549" t="str">
        <f>B183</f>
        <v>Fans - interior ventilation</v>
      </c>
      <c r="AE183" s="1421"/>
      <c r="AF183" s="3205"/>
      <c r="AG183" s="3206"/>
      <c r="AH183" s="1422"/>
      <c r="AI183" s="1644"/>
      <c r="AJ183" s="1644"/>
      <c r="AK183" s="1423"/>
      <c r="AO183" s="604"/>
      <c r="BC183" s="2292"/>
      <c r="BF183" s="2345" t="str">
        <f t="shared" si="20"/>
        <v>S</v>
      </c>
      <c r="BG183" s="2345" t="str">
        <f t="shared" si="20"/>
        <v>Fans - Conditioned</v>
      </c>
      <c r="BH183" s="2345" t="str">
        <f t="shared" si="20"/>
        <v>Electricity</v>
      </c>
      <c r="BI183" s="2345">
        <f>IF(BG183&lt;&gt;"",IFERROR(MATCH(BG183&amp;BH183,'Results from Trace'!$L$1:$L$21,0),""),"")</f>
        <v>13</v>
      </c>
    </row>
    <row r="184" spans="1:61" ht="16.149999999999999" customHeight="1" x14ac:dyDescent="0.25">
      <c r="A184" s="1271" t="s">
        <v>1298</v>
      </c>
      <c r="B184" s="3215"/>
      <c r="C184" s="3215"/>
      <c r="D184" s="3353"/>
      <c r="E184" s="3351"/>
      <c r="F184" s="1464" t="str">
        <f>IFERROR(IF(ISBLANK(E183),"","Demand (" &amp; VLOOKUP($E183,PO_Enrgy_1_Table,MATCH($E$16,PO_Enrgy_1_Hdr,0),FALSE) &amp; ")"),"")</f>
        <v>Demand (kW)</v>
      </c>
      <c r="G184" s="1467" t="str">
        <f>INDEX(PO_baseline_table,14, 10)</f>
        <v/>
      </c>
      <c r="H184" s="1382"/>
      <c r="I184" s="1468" t="str">
        <f t="shared" si="19"/>
        <v/>
      </c>
      <c r="J184" s="3211"/>
      <c r="K184" s="3212"/>
      <c r="L184" s="3212"/>
      <c r="M184" s="3214"/>
      <c r="N184" s="1466"/>
      <c r="O184" s="835"/>
      <c r="P184" s="835"/>
      <c r="Q184" s="1549" t="str">
        <f t="shared" si="11"/>
        <v/>
      </c>
      <c r="R184" s="1549" t="str">
        <f t="shared" si="12"/>
        <v/>
      </c>
      <c r="S184" s="1549" t="str">
        <f t="shared" si="13"/>
        <v/>
      </c>
      <c r="T184" s="1549" t="str">
        <f t="shared" si="14"/>
        <v/>
      </c>
      <c r="V184" s="1558">
        <f t="shared" si="15"/>
        <v>0</v>
      </c>
      <c r="W184" s="1559">
        <f t="shared" si="16"/>
        <v>0</v>
      </c>
      <c r="X184" s="1559">
        <f t="shared" si="17"/>
        <v>0</v>
      </c>
      <c r="Y184" s="1549"/>
      <c r="Z184" s="1549"/>
      <c r="AA184" s="1549"/>
      <c r="AB184" s="1549"/>
      <c r="AC184" s="1549"/>
      <c r="AD184" s="1549"/>
      <c r="AE184" s="596"/>
      <c r="AF184" s="3205"/>
      <c r="AG184" s="3206"/>
      <c r="AH184" s="1422"/>
      <c r="AI184" s="1644"/>
      <c r="AJ184" s="1644"/>
      <c r="AK184" s="1424"/>
      <c r="AO184" s="604"/>
      <c r="BC184" s="2292"/>
      <c r="BF184" s="2345" t="str">
        <f t="shared" si="20"/>
        <v>AF</v>
      </c>
      <c r="BG184" s="2345">
        <f t="shared" si="20"/>
        <v>0</v>
      </c>
      <c r="BH184" s="2345">
        <f t="shared" si="20"/>
        <v>0</v>
      </c>
      <c r="BI184" s="2345" t="str">
        <f>IF(BG184&lt;&gt;"",IFERROR(MATCH(BG184&amp;BH184,'Results from Trace'!$L$1:$L$21,0),""),"")</f>
        <v/>
      </c>
    </row>
    <row r="185" spans="1:61" ht="16.149999999999999" customHeight="1" x14ac:dyDescent="0.25">
      <c r="A185" s="1271" t="s">
        <v>1298</v>
      </c>
      <c r="B185" s="3215" t="s">
        <v>474</v>
      </c>
      <c r="C185" s="3215"/>
      <c r="D185" s="3353" t="str">
        <f>INDEX(PO_baseline_table,15, 3)</f>
        <v>x</v>
      </c>
      <c r="E185" s="3351" t="str">
        <f>INDEX(PO_baseline_table,15, 4)</f>
        <v>Electricity</v>
      </c>
      <c r="F185" s="1464" t="str">
        <f>IFERROR(IF(ISBLANK(E185),"","Consumption (" &amp; VLOOKUP($E185,PO_Enrgy_1_Table,MATCH($C$16,PO_Enrgy_1_Hdr,0),FALSE) &amp; ")"),"")</f>
        <v>Consumption (kWh)</v>
      </c>
      <c r="G185" s="1465" t="str">
        <f>INDEX(PO_baseline_table,15, 10)</f>
        <v/>
      </c>
      <c r="H185" s="1382"/>
      <c r="I185" s="1677" t="str">
        <f t="shared" si="19"/>
        <v/>
      </c>
      <c r="J185" s="3210" t="str">
        <f>IFERROR(IF($E$327-$H$327&lt;0,"",($G185-$H185)*VLOOKUP($E185,PO_Enrgy_1_Table,MATCH($K$16,PO_Enrgy_1_Hdr,0),FALSE)/($E$327-$H$327)),"")</f>
        <v/>
      </c>
      <c r="K185" s="3212" t="str">
        <f>IFERROR(IF($G$327-$J$327&lt;0,"",($G185*VLOOKUP($E185,PO_Enrgy_8_Table,MATCH($E$232,PO_Enrgy_8_Hdr,0),FALSE)-($H185*VLOOKUP($E185,PO_Enrgy_8_Table,MATCH($H$232,PO_Enrgy_8_Hdr,0),FALSE)))/($G$327-$J$327)),"")</f>
        <v/>
      </c>
      <c r="L185" s="3212"/>
      <c r="M185" s="3213" t="str">
        <f>IFERROR(H185*VLOOKUP($E185,PO_Enrgy_1_Table,MATCH($K$16,PO_Enrgy_1_Hdr,0))/$H$227,"")</f>
        <v/>
      </c>
      <c r="N185" s="1466"/>
      <c r="O185" s="835"/>
      <c r="P185" s="835"/>
      <c r="Q185" s="1549">
        <f t="shared" si="11"/>
        <v>3.4120000000000001E-3</v>
      </c>
      <c r="R185" s="1549">
        <f t="shared" si="12"/>
        <v>1.0713680000000001E-2</v>
      </c>
      <c r="S185" s="1549" t="str">
        <f t="shared" si="13"/>
        <v/>
      </c>
      <c r="T185" s="1549" t="str">
        <f t="shared" si="14"/>
        <v/>
      </c>
      <c r="V185" s="1558">
        <f t="shared" si="15"/>
        <v>0</v>
      </c>
      <c r="W185" s="1559">
        <f t="shared" si="16"/>
        <v>0</v>
      </c>
      <c r="X185" s="1559">
        <f t="shared" si="17"/>
        <v>0</v>
      </c>
      <c r="Y185" s="1549" t="b">
        <f>IFERROR(IF(D185="x",IF(OR(G185/H185&gt;1.03,G185/H185&lt;0.97),TRUE,FALSE),FALSE),FALSE)</f>
        <v>0</v>
      </c>
      <c r="Z185" s="1549">
        <f>IFERROR(J185*100,)</f>
        <v>0</v>
      </c>
      <c r="AA185" s="1549"/>
      <c r="AB185" s="1549">
        <f>RANK(Z185,$Z$171:$Z$218,0)</f>
        <v>1</v>
      </c>
      <c r="AC185" s="1549">
        <f>AB185+COUNTIF($AB$171:$AB184,AB185)</f>
        <v>8</v>
      </c>
      <c r="AD185" s="1549" t="str">
        <f>B185</f>
        <v>Fans - parking garage</v>
      </c>
      <c r="AE185" s="1421"/>
      <c r="AF185" s="3205"/>
      <c r="AG185" s="3206"/>
      <c r="AH185" s="1422"/>
      <c r="AI185" s="1644"/>
      <c r="AJ185" s="1644"/>
      <c r="AK185" s="1423"/>
      <c r="AO185" s="604"/>
      <c r="BC185" s="2292"/>
      <c r="BF185" s="2345">
        <f t="shared" si="20"/>
        <v>0</v>
      </c>
      <c r="BG185" s="2345">
        <f t="shared" si="20"/>
        <v>0</v>
      </c>
      <c r="BH185" s="2345">
        <f t="shared" si="20"/>
        <v>0</v>
      </c>
      <c r="BI185" s="2345" t="str">
        <f>IF(BG185&lt;&gt;"",IFERROR(MATCH(BG185&amp;BH185,'Results from Trace'!$L$1:$L$21,0),""),"")</f>
        <v/>
      </c>
    </row>
    <row r="186" spans="1:61" ht="16.149999999999999" customHeight="1" x14ac:dyDescent="0.25">
      <c r="A186" s="1271" t="s">
        <v>1298</v>
      </c>
      <c r="B186" s="3215"/>
      <c r="C186" s="3215"/>
      <c r="D186" s="3353"/>
      <c r="E186" s="3351"/>
      <c r="F186" s="1464" t="str">
        <f>IFERROR(IF(ISBLANK(E185),"","Demand (" &amp; VLOOKUP($E185,PO_Enrgy_1_Table,MATCH($E$16,PO_Enrgy_1_Hdr,0),FALSE) &amp; ")"),"")</f>
        <v>Demand (kW)</v>
      </c>
      <c r="G186" s="1467" t="str">
        <f>INDEX(PO_baseline_table,16, 10)</f>
        <v/>
      </c>
      <c r="H186" s="1382"/>
      <c r="I186" s="1468" t="str">
        <f t="shared" si="19"/>
        <v/>
      </c>
      <c r="J186" s="3211"/>
      <c r="K186" s="3212"/>
      <c r="L186" s="3212"/>
      <c r="M186" s="3214"/>
      <c r="N186" s="1466"/>
      <c r="O186" s="835"/>
      <c r="P186" s="835"/>
      <c r="Q186" s="1549" t="str">
        <f t="shared" si="11"/>
        <v/>
      </c>
      <c r="R186" s="1549" t="str">
        <f t="shared" si="12"/>
        <v/>
      </c>
      <c r="S186" s="1549" t="str">
        <f t="shared" si="13"/>
        <v/>
      </c>
      <c r="T186" s="1549" t="str">
        <f t="shared" si="14"/>
        <v/>
      </c>
      <c r="V186" s="1558">
        <f t="shared" si="15"/>
        <v>0</v>
      </c>
      <c r="W186" s="1559">
        <f t="shared" si="16"/>
        <v>0</v>
      </c>
      <c r="X186" s="1559">
        <f t="shared" si="17"/>
        <v>0</v>
      </c>
      <c r="Y186" s="1549"/>
      <c r="Z186" s="1549"/>
      <c r="AA186" s="1549"/>
      <c r="AB186" s="1549"/>
      <c r="AC186" s="1549"/>
      <c r="AD186" s="1549"/>
      <c r="AE186" s="596"/>
      <c r="AF186" s="3205"/>
      <c r="AG186" s="3206"/>
      <c r="AH186" s="1422"/>
      <c r="AI186" s="1644"/>
      <c r="AJ186" s="1644"/>
      <c r="AK186" s="1424"/>
      <c r="AO186" s="604"/>
      <c r="BC186" s="2292"/>
      <c r="BF186" s="2345">
        <f t="shared" si="20"/>
        <v>0</v>
      </c>
      <c r="BG186" s="2345">
        <f t="shared" si="20"/>
        <v>0</v>
      </c>
      <c r="BH186" s="2345">
        <f t="shared" si="20"/>
        <v>0</v>
      </c>
      <c r="BI186" s="2345" t="str">
        <f>IF(BG186&lt;&gt;"",IFERROR(MATCH(BG186&amp;BH186,'Results from Trace'!$L$1:$L$21,0),""),"")</f>
        <v/>
      </c>
    </row>
    <row r="187" spans="1:61" ht="16.149999999999999" customHeight="1" x14ac:dyDescent="0.25">
      <c r="A187" s="1271" t="s">
        <v>1298</v>
      </c>
      <c r="B187" s="3215" t="s">
        <v>473</v>
      </c>
      <c r="C187" s="3215"/>
      <c r="D187" s="3353">
        <f>INDEX(PO_baseline_table,17, 3)</f>
        <v>0</v>
      </c>
      <c r="E187" s="3351" t="str">
        <f>INDEX(PO_baseline_table,17, 4)</f>
        <v>Natural Gas</v>
      </c>
      <c r="F187" s="1464" t="str">
        <f>IFERROR(IF(ISBLANK(E187),"","Consumption (" &amp; VLOOKUP($E187,PO_Enrgy_1_Table,MATCH($C$16,PO_Enrgy_1_Hdr,0),FALSE) &amp; ")"),"")</f>
        <v/>
      </c>
      <c r="G187" s="1465" t="str">
        <f>INDEX(PO_baseline_table,17, 10)</f>
        <v/>
      </c>
      <c r="H187" s="1382"/>
      <c r="I187" s="1677" t="str">
        <f t="shared" si="19"/>
        <v/>
      </c>
      <c r="J187" s="3210" t="str">
        <f>IFERROR(IF($E$327-$H$327&lt;0,"",($G187-$H187)*VLOOKUP($E187,PO_Enrgy_1_Table,MATCH($K$16,PO_Enrgy_1_Hdr,0),FALSE)/($E$327-$H$327)),"")</f>
        <v/>
      </c>
      <c r="K187" s="3212" t="str">
        <f>IFERROR(IF($G$327-$J$327&lt;0,"",($G187*VLOOKUP($E187,PO_Enrgy_8_Table,MATCH($E$232,PO_Enrgy_8_Hdr,0),FALSE)-($H187*VLOOKUP($E187,PO_Enrgy_8_Table,MATCH($H$232,PO_Enrgy_8_Hdr,0),FALSE)))/($G$327-$J$327)),"")</f>
        <v/>
      </c>
      <c r="L187" s="3212"/>
      <c r="M187" s="3213" t="str">
        <f>IFERROR(H187*VLOOKUP($E187,PO_Enrgy_1_Table,MATCH($K$16,PO_Enrgy_1_Hdr,0))/$H$227,"")</f>
        <v/>
      </c>
      <c r="N187" s="1466"/>
      <c r="O187" s="835"/>
      <c r="P187" s="835"/>
      <c r="Q187" s="1549" t="str">
        <f t="shared" si="11"/>
        <v/>
      </c>
      <c r="R187" s="1549" t="str">
        <f t="shared" si="12"/>
        <v/>
      </c>
      <c r="S187" s="1549" t="str">
        <f t="shared" si="13"/>
        <v/>
      </c>
      <c r="T187" s="1549" t="str">
        <f t="shared" si="14"/>
        <v/>
      </c>
      <c r="V187" s="1558">
        <f t="shared" si="15"/>
        <v>0</v>
      </c>
      <c r="W187" s="1559">
        <f t="shared" si="16"/>
        <v>0</v>
      </c>
      <c r="X187" s="1559">
        <f t="shared" si="17"/>
        <v>0</v>
      </c>
      <c r="Y187" s="1549" t="b">
        <f>IFERROR(IF(D187="x",IF(OR(G187/H187&gt;1.03,G187/H187&lt;0.97),TRUE,FALSE),FALSE),FALSE)</f>
        <v>0</v>
      </c>
      <c r="Z187" s="1549">
        <f>IFERROR(J187*100,)</f>
        <v>0</v>
      </c>
      <c r="AA187" s="1549"/>
      <c r="AB187" s="1549">
        <f>RANK(Z187,$Z$171:$Z$218,0)</f>
        <v>1</v>
      </c>
      <c r="AC187" s="1549">
        <f>AB187+COUNTIF($AB$171:$AB186,AB187)</f>
        <v>9</v>
      </c>
      <c r="AD187" s="1549" t="str">
        <f>B187</f>
        <v>Service water heating</v>
      </c>
      <c r="AE187" s="1421"/>
      <c r="AF187" s="3205"/>
      <c r="AG187" s="3206"/>
      <c r="AH187" s="1422"/>
      <c r="AI187" s="1644"/>
      <c r="AJ187" s="1644"/>
      <c r="AK187" s="1423"/>
      <c r="AO187" s="604"/>
      <c r="BC187" s="2292"/>
      <c r="BF187" s="2345" t="str">
        <f t="shared" si="20"/>
        <v>BH</v>
      </c>
      <c r="BG187" s="2345" t="str">
        <f t="shared" si="20"/>
        <v>Stand-alone Base Utilities</v>
      </c>
      <c r="BH187" s="2345" t="str">
        <f t="shared" si="20"/>
        <v>Gas</v>
      </c>
      <c r="BI187" s="2345" t="str">
        <f>IF(BG187&lt;&gt;"",IFERROR(MATCH(BG187&amp;BH187,'Results from Trace'!$L$1:$L$21,0),""),"")</f>
        <v/>
      </c>
    </row>
    <row r="188" spans="1:61" ht="16.149999999999999" customHeight="1" x14ac:dyDescent="0.25">
      <c r="A188" s="1271" t="s">
        <v>1298</v>
      </c>
      <c r="B188" s="3215"/>
      <c r="C188" s="3215"/>
      <c r="D188" s="3353"/>
      <c r="E188" s="3351"/>
      <c r="F188" s="1464" t="str">
        <f>IFERROR(IF(ISBLANK(E187),"","Demand (" &amp; VLOOKUP($E187,PO_Enrgy_1_Table,MATCH($E$16,PO_Enrgy_1_Hdr,0),FALSE) &amp; ")"),"")</f>
        <v/>
      </c>
      <c r="G188" s="1467" t="str">
        <f>INDEX(PO_baseline_table,18, 10)</f>
        <v/>
      </c>
      <c r="H188" s="1382"/>
      <c r="I188" s="1468" t="str">
        <f t="shared" si="19"/>
        <v/>
      </c>
      <c r="J188" s="3211"/>
      <c r="K188" s="3212"/>
      <c r="L188" s="3212"/>
      <c r="M188" s="3214"/>
      <c r="N188" s="1466"/>
      <c r="O188" s="835"/>
      <c r="P188" s="835"/>
      <c r="Q188" s="1549" t="str">
        <f t="shared" si="11"/>
        <v/>
      </c>
      <c r="R188" s="1549" t="str">
        <f t="shared" si="12"/>
        <v/>
      </c>
      <c r="S188" s="1549" t="str">
        <f t="shared" si="13"/>
        <v/>
      </c>
      <c r="T188" s="1549" t="str">
        <f t="shared" si="14"/>
        <v/>
      </c>
      <c r="V188" s="1558">
        <f t="shared" si="15"/>
        <v>0</v>
      </c>
      <c r="W188" s="1559">
        <f t="shared" si="16"/>
        <v>0</v>
      </c>
      <c r="X188" s="1559">
        <f t="shared" si="17"/>
        <v>0</v>
      </c>
      <c r="Y188" s="1549"/>
      <c r="Z188" s="1549"/>
      <c r="AA188" s="1549"/>
      <c r="AB188" s="1549"/>
      <c r="AC188" s="1549"/>
      <c r="AD188" s="1549"/>
      <c r="AE188" s="596"/>
      <c r="AF188" s="3205"/>
      <c r="AG188" s="3206"/>
      <c r="AH188" s="1422"/>
      <c r="AI188" s="1644"/>
      <c r="AJ188" s="1644"/>
      <c r="AK188" s="1424"/>
      <c r="AO188" s="604"/>
      <c r="BC188" s="2292"/>
      <c r="BF188" s="2345">
        <f t="shared" ref="BF188:BH203" si="21">BF114</f>
        <v>0</v>
      </c>
      <c r="BG188" s="2345">
        <f t="shared" si="21"/>
        <v>0</v>
      </c>
      <c r="BH188" s="2345">
        <f t="shared" si="21"/>
        <v>0</v>
      </c>
      <c r="BI188" s="2345" t="str">
        <f>IF(BG188&lt;&gt;"",IFERROR(MATCH(BG188&amp;BH188,'Results from Trace'!$L$1:$L$21,0),""),"")</f>
        <v/>
      </c>
    </row>
    <row r="189" spans="1:61" ht="16.149999999999999" customHeight="1" x14ac:dyDescent="0.25">
      <c r="A189" s="1271" t="s">
        <v>1298</v>
      </c>
      <c r="B189" s="3215" t="s">
        <v>472</v>
      </c>
      <c r="C189" s="3215"/>
      <c r="D189" s="3353" t="str">
        <f>INDEX(PO_baseline_table,19, 3)</f>
        <v>x</v>
      </c>
      <c r="E189" s="3351" t="str">
        <f>INDEX(PO_baseline_table,19, 4)</f>
        <v>Electricity</v>
      </c>
      <c r="F189" s="1464" t="str">
        <f>IFERROR(IF(ISBLANK(E189),"","Consumption (" &amp; VLOOKUP($E189,PO_Enrgy_1_Table,MATCH($C$16,PO_Enrgy_1_Hdr,0),FALSE) &amp; ")"),"")</f>
        <v>Consumption (kWh)</v>
      </c>
      <c r="G189" s="1465" t="str">
        <f>INDEX(PO_baseline_table,19, 10)</f>
        <v/>
      </c>
      <c r="H189" s="1382"/>
      <c r="I189" s="1677" t="str">
        <f t="shared" si="19"/>
        <v/>
      </c>
      <c r="J189" s="3210" t="str">
        <f>IFERROR(IF($E$327-$H$327&lt;0,"",($G189-$H189)*VLOOKUP($E189,PO_Enrgy_1_Table,MATCH($K$16,PO_Enrgy_1_Hdr,0),FALSE)/($E$327-$H$327)),"")</f>
        <v/>
      </c>
      <c r="K189" s="3212" t="str">
        <f>IFERROR(IF($G$327-$J$327&lt;0,"",($G189*VLOOKUP($E189,PO_Enrgy_8_Table,MATCH($E$232,PO_Enrgy_8_Hdr,0),FALSE)-($H189*VLOOKUP($E189,PO_Enrgy_8_Table,MATCH($H$232,PO_Enrgy_8_Hdr,0),FALSE)))/($G$327-$J$327)),"")</f>
        <v/>
      </c>
      <c r="L189" s="3212"/>
      <c r="M189" s="3213" t="str">
        <f>IFERROR(H189*VLOOKUP($E189,PO_Enrgy_1_Table,MATCH($K$16,PO_Enrgy_1_Hdr,0))/$H$227,"")</f>
        <v/>
      </c>
      <c r="N189" s="1466"/>
      <c r="O189" s="835"/>
      <c r="P189" s="835"/>
      <c r="Q189" s="1549">
        <f t="shared" si="11"/>
        <v>3.4120000000000001E-3</v>
      </c>
      <c r="R189" s="1549">
        <f t="shared" si="12"/>
        <v>1.0713680000000001E-2</v>
      </c>
      <c r="S189" s="1549" t="str">
        <f t="shared" si="13"/>
        <v/>
      </c>
      <c r="T189" s="1549" t="str">
        <f t="shared" si="14"/>
        <v/>
      </c>
      <c r="V189" s="1558">
        <f t="shared" si="15"/>
        <v>0</v>
      </c>
      <c r="W189" s="1559">
        <f t="shared" si="16"/>
        <v>0</v>
      </c>
      <c r="X189" s="1559">
        <f t="shared" si="17"/>
        <v>0</v>
      </c>
      <c r="Y189" s="1549" t="b">
        <f>IFERROR(IF(D189="x",IF(OR(G189/H189&gt;1.03,G189/H189&lt;0.97),TRUE,FALSE),FALSE),FALSE)</f>
        <v>0</v>
      </c>
      <c r="Z189" s="1549">
        <f>IFERROR(J189*100,)</f>
        <v>0</v>
      </c>
      <c r="AA189" s="1549"/>
      <c r="AB189" s="1549">
        <f>RANK(Z189,$Z$171:$Z$218,0)</f>
        <v>1</v>
      </c>
      <c r="AC189" s="1549">
        <f>AB189+COUNTIF($AB$171:$AB188,AB189)</f>
        <v>10</v>
      </c>
      <c r="AD189" s="1549" t="str">
        <f>B189</f>
        <v>Receptacle equipment</v>
      </c>
      <c r="AE189" s="1421"/>
      <c r="AF189" s="3205"/>
      <c r="AG189" s="3206"/>
      <c r="AH189" s="1422"/>
      <c r="AI189" s="1644"/>
      <c r="AJ189" s="1644"/>
      <c r="AK189" s="1423"/>
      <c r="AO189" s="604"/>
      <c r="BC189" s="2292"/>
      <c r="BF189" s="2345" t="str">
        <f t="shared" si="21"/>
        <v>N</v>
      </c>
      <c r="BG189" s="2345" t="str">
        <f t="shared" si="21"/>
        <v>Receptacles - Conditioned</v>
      </c>
      <c r="BH189" s="2345" t="str">
        <f t="shared" si="21"/>
        <v>Electricity</v>
      </c>
      <c r="BI189" s="2345">
        <f>IF(BG189&lt;&gt;"",IFERROR(MATCH(BG189&amp;BH189,'Results from Trace'!$L$1:$L$21,0),""),"")</f>
        <v>14</v>
      </c>
    </row>
    <row r="190" spans="1:61" ht="16.149999999999999" customHeight="1" x14ac:dyDescent="0.25">
      <c r="A190" s="1271" t="s">
        <v>1298</v>
      </c>
      <c r="B190" s="3215"/>
      <c r="C190" s="3215"/>
      <c r="D190" s="3353"/>
      <c r="E190" s="3351"/>
      <c r="F190" s="1464" t="str">
        <f>IFERROR(IF(ISBLANK(E189),"","Demand (" &amp; VLOOKUP($E189,PO_Enrgy_1_Table,MATCH($E$16,PO_Enrgy_1_Hdr,0),FALSE) &amp; ")"),"")</f>
        <v>Demand (kW)</v>
      </c>
      <c r="G190" s="1467" t="str">
        <f>INDEX(PO_baseline_table,20, 10)</f>
        <v/>
      </c>
      <c r="H190" s="1382"/>
      <c r="I190" s="1468" t="str">
        <f t="shared" si="19"/>
        <v/>
      </c>
      <c r="J190" s="3211"/>
      <c r="K190" s="3212"/>
      <c r="L190" s="3212"/>
      <c r="M190" s="3214"/>
      <c r="N190" s="1466"/>
      <c r="O190" s="835"/>
      <c r="P190" s="835"/>
      <c r="Q190" s="1549" t="str">
        <f t="shared" si="11"/>
        <v/>
      </c>
      <c r="R190" s="1549" t="str">
        <f t="shared" si="12"/>
        <v/>
      </c>
      <c r="S190" s="1549" t="str">
        <f t="shared" si="13"/>
        <v/>
      </c>
      <c r="T190" s="1549" t="str">
        <f t="shared" si="14"/>
        <v/>
      </c>
      <c r="V190" s="1558">
        <f t="shared" si="15"/>
        <v>0</v>
      </c>
      <c r="W190" s="1559">
        <f t="shared" si="16"/>
        <v>0</v>
      </c>
      <c r="X190" s="1559">
        <f t="shared" si="17"/>
        <v>0</v>
      </c>
      <c r="Y190" s="1549"/>
      <c r="Z190" s="1549"/>
      <c r="AA190" s="1549"/>
      <c r="AB190" s="1549"/>
      <c r="AC190" s="1549"/>
      <c r="AD190" s="1549"/>
      <c r="AE190" s="596"/>
      <c r="AF190" s="3205"/>
      <c r="AG190" s="3206"/>
      <c r="AH190" s="1422"/>
      <c r="AI190" s="1644"/>
      <c r="AJ190" s="1644"/>
      <c r="AK190" s="1424"/>
      <c r="AO190" s="604"/>
      <c r="BC190" s="2292"/>
      <c r="BF190" s="2345" t="str">
        <f t="shared" si="21"/>
        <v>AA</v>
      </c>
      <c r="BG190" s="2345">
        <f t="shared" si="21"/>
        <v>0</v>
      </c>
      <c r="BH190" s="2345">
        <f t="shared" si="21"/>
        <v>0</v>
      </c>
      <c r="BI190" s="2345" t="str">
        <f>IF(BG190&lt;&gt;"",IFERROR(MATCH(BG190&amp;BH190,'Results from Trace'!$L$1:$L$21,0),""),"")</f>
        <v/>
      </c>
    </row>
    <row r="191" spans="1:61" ht="16.149999999999999" customHeight="1" x14ac:dyDescent="0.25">
      <c r="A191" s="1271" t="s">
        <v>1298</v>
      </c>
      <c r="B191" s="3215" t="s">
        <v>471</v>
      </c>
      <c r="C191" s="3215"/>
      <c r="D191" s="3353" t="str">
        <f>INDEX(PO_baseline_table,21, 3)</f>
        <v>x</v>
      </c>
      <c r="E191" s="3351" t="str">
        <f>INDEX(PO_baseline_table,21, 4)</f>
        <v>Electricity</v>
      </c>
      <c r="F191" s="1464" t="str">
        <f>IFERROR(IF(ISBLANK(E191),"","Consumption (" &amp; VLOOKUP($E191,PO_Enrgy_1_Table,MATCH($C$16,PO_Enrgy_1_Hdr,0),FALSE) &amp; ")"),"")</f>
        <v>Consumption (kWh)</v>
      </c>
      <c r="G191" s="1465" t="str">
        <f>INDEX(PO_baseline_table,21, 10)</f>
        <v/>
      </c>
      <c r="H191" s="1382"/>
      <c r="I191" s="1677" t="str">
        <f t="shared" si="19"/>
        <v/>
      </c>
      <c r="J191" s="3210" t="str">
        <f>IFERROR(IF($E$327-$H$327&lt;0,"",($G191-$H191)*VLOOKUP($E191,PO_Enrgy_1_Table,MATCH($K$16,PO_Enrgy_1_Hdr,0),FALSE)/($E$327-$H$327)),"")</f>
        <v/>
      </c>
      <c r="K191" s="3212" t="str">
        <f>IFERROR(IF($G$327-$J$327&lt;0,"",($G191*VLOOKUP($E191,PO_Enrgy_8_Table,MATCH($E$232,PO_Enrgy_8_Hdr,0),FALSE)-($H191*VLOOKUP($E191,PO_Enrgy_8_Table,MATCH($H$232,PO_Enrgy_8_Hdr,0),FALSE)))/($G$327-$J$327)),"")</f>
        <v/>
      </c>
      <c r="L191" s="3212"/>
      <c r="M191" s="3213" t="str">
        <f>IFERROR(H191*VLOOKUP($E191,PO_Enrgy_1_Table,MATCH($K$16,PO_Enrgy_1_Hdr,0))/$H$227,"")</f>
        <v/>
      </c>
      <c r="N191" s="1466"/>
      <c r="O191" s="835"/>
      <c r="P191" s="835"/>
      <c r="Q191" s="1549">
        <f t="shared" si="11"/>
        <v>3.4120000000000001E-3</v>
      </c>
      <c r="R191" s="1549">
        <f t="shared" si="12"/>
        <v>1.0713680000000001E-2</v>
      </c>
      <c r="S191" s="1549" t="str">
        <f t="shared" si="13"/>
        <v/>
      </c>
      <c r="T191" s="1549" t="str">
        <f t="shared" si="14"/>
        <v/>
      </c>
      <c r="V191" s="1558">
        <f t="shared" si="15"/>
        <v>0</v>
      </c>
      <c r="W191" s="1559">
        <f t="shared" si="16"/>
        <v>0</v>
      </c>
      <c r="X191" s="1559">
        <f t="shared" si="17"/>
        <v>0</v>
      </c>
      <c r="Y191" s="1549" t="b">
        <f>IFERROR(IF(D191="x",IF(OR(G191/H191&gt;1.03,G191/H191&lt;0.97),TRUE,FALSE),FALSE),FALSE)</f>
        <v>0</v>
      </c>
      <c r="Z191" s="1549">
        <f>IFERROR(J191*100,)</f>
        <v>0</v>
      </c>
      <c r="AA191" s="1549"/>
      <c r="AB191" s="1549">
        <f>RANK(Z191,$Z$171:$Z$218,0)</f>
        <v>1</v>
      </c>
      <c r="AC191" s="1549">
        <f>AB191+COUNTIF($AB$171:$AB190,AB191)</f>
        <v>11</v>
      </c>
      <c r="AD191" s="1549" t="str">
        <f>B191</f>
        <v>IT equipment</v>
      </c>
      <c r="AE191" s="1421"/>
      <c r="AF191" s="3205"/>
      <c r="AG191" s="3206"/>
      <c r="AH191" s="1422"/>
      <c r="AI191" s="1644"/>
      <c r="AJ191" s="1644"/>
      <c r="AK191" s="1423"/>
      <c r="AO191" s="604"/>
      <c r="BC191" s="2292"/>
      <c r="BF191" s="2345">
        <f t="shared" si="21"/>
        <v>0</v>
      </c>
      <c r="BG191" s="2345">
        <f t="shared" si="21"/>
        <v>0</v>
      </c>
      <c r="BH191" s="2345">
        <f t="shared" si="21"/>
        <v>0</v>
      </c>
      <c r="BI191" s="2345" t="str">
        <f>IF(BG191&lt;&gt;"",IFERROR(MATCH(BG191&amp;BH191,'Results from Trace'!$L$1:$L$21,0),""),"")</f>
        <v/>
      </c>
    </row>
    <row r="192" spans="1:61" ht="16.149999999999999" customHeight="1" x14ac:dyDescent="0.25">
      <c r="A192" s="1271" t="s">
        <v>1298</v>
      </c>
      <c r="B192" s="3215"/>
      <c r="C192" s="3215"/>
      <c r="D192" s="3353"/>
      <c r="E192" s="3351"/>
      <c r="F192" s="1464" t="str">
        <f>IFERROR(IF(ISBLANK(E191),"","Demand (" &amp; VLOOKUP($E191,PO_Enrgy_1_Table,MATCH($E$16,PO_Enrgy_1_Hdr,0),FALSE) &amp; ")"),"")</f>
        <v>Demand (kW)</v>
      </c>
      <c r="G192" s="1467" t="str">
        <f>INDEX(PO_baseline_table,22, 10)</f>
        <v/>
      </c>
      <c r="H192" s="1382"/>
      <c r="I192" s="1468" t="str">
        <f t="shared" si="19"/>
        <v/>
      </c>
      <c r="J192" s="3211"/>
      <c r="K192" s="3212"/>
      <c r="L192" s="3212"/>
      <c r="M192" s="3214"/>
      <c r="N192" s="1466"/>
      <c r="O192" s="835"/>
      <c r="P192" s="835"/>
      <c r="Q192" s="1549" t="str">
        <f t="shared" si="11"/>
        <v/>
      </c>
      <c r="R192" s="1549" t="str">
        <f t="shared" si="12"/>
        <v/>
      </c>
      <c r="S192" s="1549" t="str">
        <f t="shared" si="13"/>
        <v/>
      </c>
      <c r="T192" s="1549" t="str">
        <f t="shared" si="14"/>
        <v/>
      </c>
      <c r="V192" s="1558">
        <f t="shared" si="15"/>
        <v>0</v>
      </c>
      <c r="W192" s="1559">
        <f t="shared" si="16"/>
        <v>0</v>
      </c>
      <c r="X192" s="1559">
        <f t="shared" si="17"/>
        <v>0</v>
      </c>
      <c r="Y192" s="1549"/>
      <c r="Z192" s="1549"/>
      <c r="AA192" s="1549"/>
      <c r="AB192" s="1549"/>
      <c r="AC192" s="1549"/>
      <c r="AD192" s="1549"/>
      <c r="AE192" s="596"/>
      <c r="AF192" s="3205"/>
      <c r="AG192" s="3206"/>
      <c r="AH192" s="1422"/>
      <c r="AI192" s="1644"/>
      <c r="AJ192" s="1644"/>
      <c r="AK192" s="1424"/>
      <c r="AO192" s="604"/>
      <c r="BC192" s="2292"/>
      <c r="BF192" s="2345">
        <f t="shared" si="21"/>
        <v>0</v>
      </c>
      <c r="BG192" s="2345">
        <f t="shared" si="21"/>
        <v>0</v>
      </c>
      <c r="BH192" s="2345">
        <f t="shared" si="21"/>
        <v>0</v>
      </c>
      <c r="BI192" s="2345" t="str">
        <f>IF(BG192&lt;&gt;"",IFERROR(MATCH(BG192&amp;BH192,'Results from Trace'!$L$1:$L$21,0),""),"")</f>
        <v/>
      </c>
    </row>
    <row r="193" spans="1:61" ht="16.149999999999999" customHeight="1" x14ac:dyDescent="0.25">
      <c r="A193" s="1271" t="s">
        <v>1298</v>
      </c>
      <c r="B193" s="3215" t="s">
        <v>470</v>
      </c>
      <c r="C193" s="3215"/>
      <c r="D193" s="3353" t="str">
        <f>INDEX(PO_baseline_table,23, 3)</f>
        <v>x</v>
      </c>
      <c r="E193" s="3351" t="str">
        <f>INDEX(PO_baseline_table,23, 4)</f>
        <v>Electricity</v>
      </c>
      <c r="F193" s="1464" t="str">
        <f>IFERROR(IF(ISBLANK(E193),"","Consumption (" &amp; VLOOKUP($E193,PO_Enrgy_1_Table,MATCH($C$16,PO_Enrgy_1_Hdr,0),FALSE) &amp; ")"),"")</f>
        <v>Consumption (kWh)</v>
      </c>
      <c r="G193" s="1465" t="str">
        <f>INDEX(PO_baseline_table,23, 10)</f>
        <v/>
      </c>
      <c r="H193" s="1382"/>
      <c r="I193" s="1677" t="str">
        <f t="shared" si="19"/>
        <v/>
      </c>
      <c r="J193" s="3210" t="str">
        <f>IFERROR(IF($E$327-$H$327&lt;0,"",($G193-$H193)*VLOOKUP($E193,PO_Enrgy_1_Table,MATCH($K$16,PO_Enrgy_1_Hdr,0),FALSE)/($E$327-$H$327)),"")</f>
        <v/>
      </c>
      <c r="K193" s="3212" t="str">
        <f>IFERROR(IF($G$327-$J$327&lt;0,"",($G193*VLOOKUP($E193,PO_Enrgy_8_Table,MATCH($E$232,PO_Enrgy_8_Hdr,0),FALSE)-($H193*VLOOKUP($E193,PO_Enrgy_8_Table,MATCH($H$232,PO_Enrgy_8_Hdr,0),FALSE)))/($G$327-$J$327)),"")</f>
        <v/>
      </c>
      <c r="L193" s="3212"/>
      <c r="M193" s="3213" t="str">
        <f>IFERROR(H193*VLOOKUP($E193,PO_Enrgy_1_Table,MATCH($K$16,PO_Enrgy_1_Hdr,0))/$H$227,"")</f>
        <v/>
      </c>
      <c r="N193" s="1466"/>
      <c r="O193" s="835"/>
      <c r="P193" s="835"/>
      <c r="Q193" s="1549">
        <f t="shared" si="11"/>
        <v>3.4120000000000001E-3</v>
      </c>
      <c r="R193" s="1549">
        <f t="shared" si="12"/>
        <v>1.0713680000000001E-2</v>
      </c>
      <c r="S193" s="1549" t="str">
        <f t="shared" si="13"/>
        <v/>
      </c>
      <c r="T193" s="1549" t="str">
        <f t="shared" si="14"/>
        <v/>
      </c>
      <c r="V193" s="1558">
        <f t="shared" si="15"/>
        <v>0</v>
      </c>
      <c r="W193" s="1559">
        <f t="shared" si="16"/>
        <v>0</v>
      </c>
      <c r="X193" s="1559">
        <f t="shared" si="17"/>
        <v>0</v>
      </c>
      <c r="Y193" s="1549" t="b">
        <f>IFERROR(IF(D193="x",IF(OR(G193/H193&gt;1.03,G193/H193&lt;0.97),TRUE,FALSE),FALSE),FALSE)</f>
        <v>0</v>
      </c>
      <c r="Z193" s="1549">
        <f>IFERROR(J193*100,)</f>
        <v>0</v>
      </c>
      <c r="AA193" s="1549"/>
      <c r="AB193" s="1549">
        <f>RANK(Z193,$Z$171:$Z$218,0)</f>
        <v>1</v>
      </c>
      <c r="AC193" s="1549">
        <f>AB193+COUNTIF($AB$171:$AB192,AB193)</f>
        <v>12</v>
      </c>
      <c r="AD193" s="1549" t="str">
        <f>B193</f>
        <v>Interior lighting - process</v>
      </c>
      <c r="AE193" s="1421"/>
      <c r="AF193" s="3205"/>
      <c r="AG193" s="3206"/>
      <c r="AH193" s="1422"/>
      <c r="AI193" s="1644"/>
      <c r="AJ193" s="1644"/>
      <c r="AK193" s="1423"/>
      <c r="AO193" s="604"/>
      <c r="BC193" s="2292"/>
      <c r="BF193" s="2345">
        <f t="shared" si="21"/>
        <v>0</v>
      </c>
      <c r="BG193" s="2345">
        <f t="shared" si="21"/>
        <v>0</v>
      </c>
      <c r="BH193" s="2345">
        <f t="shared" si="21"/>
        <v>0</v>
      </c>
      <c r="BI193" s="2345" t="str">
        <f>IF(BG193&lt;&gt;"",IFERROR(MATCH(BG193&amp;BH193,'Results from Trace'!$L$1:$L$21,0),""),"")</f>
        <v/>
      </c>
    </row>
    <row r="194" spans="1:61" ht="16.149999999999999" customHeight="1" x14ac:dyDescent="0.25">
      <c r="A194" s="1271" t="s">
        <v>1298</v>
      </c>
      <c r="B194" s="3215"/>
      <c r="C194" s="3215"/>
      <c r="D194" s="3353"/>
      <c r="E194" s="3351"/>
      <c r="F194" s="1464" t="str">
        <f>IFERROR(IF(ISBLANK(E193),"","Demand (" &amp; VLOOKUP($E193,PO_Enrgy_1_Table,MATCH($E$16,PO_Enrgy_1_Hdr,0),FALSE) &amp; ")"),"")</f>
        <v>Demand (kW)</v>
      </c>
      <c r="G194" s="1467" t="str">
        <f>INDEX(PO_baseline_table,24, 10)</f>
        <v/>
      </c>
      <c r="H194" s="1382"/>
      <c r="I194" s="1468" t="str">
        <f t="shared" si="19"/>
        <v/>
      </c>
      <c r="J194" s="3211"/>
      <c r="K194" s="3212"/>
      <c r="L194" s="3212"/>
      <c r="M194" s="3214"/>
      <c r="N194" s="1466"/>
      <c r="O194" s="835"/>
      <c r="P194" s="835"/>
      <c r="Q194" s="1549" t="str">
        <f t="shared" si="11"/>
        <v/>
      </c>
      <c r="R194" s="1549" t="str">
        <f t="shared" si="12"/>
        <v/>
      </c>
      <c r="S194" s="1549" t="str">
        <f t="shared" si="13"/>
        <v/>
      </c>
      <c r="T194" s="1549" t="str">
        <f t="shared" si="14"/>
        <v/>
      </c>
      <c r="V194" s="1558">
        <f t="shared" si="15"/>
        <v>0</v>
      </c>
      <c r="W194" s="1559">
        <f t="shared" si="16"/>
        <v>0</v>
      </c>
      <c r="X194" s="1559">
        <f t="shared" si="17"/>
        <v>0</v>
      </c>
      <c r="Y194" s="1549"/>
      <c r="Z194" s="1549"/>
      <c r="AA194" s="1549"/>
      <c r="AB194" s="1549"/>
      <c r="AC194" s="1549"/>
      <c r="AD194" s="1549"/>
      <c r="AE194" s="596"/>
      <c r="AF194" s="3205"/>
      <c r="AG194" s="3206"/>
      <c r="AH194" s="1277"/>
      <c r="AI194" s="1644"/>
      <c r="AJ194" s="1644"/>
      <c r="AK194" s="1424"/>
      <c r="AO194" s="604"/>
      <c r="BC194" s="2292"/>
      <c r="BF194" s="2345">
        <f t="shared" si="21"/>
        <v>0</v>
      </c>
      <c r="BG194" s="2345">
        <f t="shared" si="21"/>
        <v>0</v>
      </c>
      <c r="BH194" s="2345">
        <f t="shared" si="21"/>
        <v>0</v>
      </c>
      <c r="BI194" s="2345" t="str">
        <f>IF(BG194&lt;&gt;"",IFERROR(MATCH(BG194&amp;BH194,'Results from Trace'!$L$1:$L$21,0),""),"")</f>
        <v/>
      </c>
    </row>
    <row r="195" spans="1:61" ht="16.149999999999999" customHeight="1" x14ac:dyDescent="0.25">
      <c r="A195" s="1271" t="s">
        <v>1298</v>
      </c>
      <c r="B195" s="3215" t="s">
        <v>427</v>
      </c>
      <c r="C195" s="3215"/>
      <c r="D195" s="3353" t="str">
        <f>INDEX(PO_baseline_table,25, 3)</f>
        <v>x</v>
      </c>
      <c r="E195" s="3351" t="str">
        <f>INDEX(PO_baseline_table,25, 4)</f>
        <v>Electricity</v>
      </c>
      <c r="F195" s="1464" t="str">
        <f>IFERROR(IF(ISBLANK(E195),"","Consumption (" &amp; VLOOKUP($E195,PO_Enrgy_1_Table,MATCH($C$16,PO_Enrgy_1_Hdr,0),FALSE) &amp; ")"),"")</f>
        <v>Consumption (kWh)</v>
      </c>
      <c r="G195" s="1465" t="str">
        <f>INDEX(PO_baseline_table,25, 10)</f>
        <v/>
      </c>
      <c r="H195" s="1382"/>
      <c r="I195" s="1677" t="str">
        <f t="shared" si="19"/>
        <v/>
      </c>
      <c r="J195" s="3210" t="str">
        <f>IFERROR(IF($E$327-$H$327&lt;0,"",($G195-$H195)*VLOOKUP($E195,PO_Enrgy_1_Table,MATCH($K$16,PO_Enrgy_1_Hdr,0),FALSE)/($E$327-$H$327)),"")</f>
        <v/>
      </c>
      <c r="K195" s="3212" t="str">
        <f>IFERROR(IF($G$327-$J$327&lt;0,"",($G195*VLOOKUP($E195,PO_Enrgy_8_Table,MATCH($E$232,PO_Enrgy_8_Hdr,0),FALSE)-($H195*VLOOKUP($E195,PO_Enrgy_8_Table,MATCH($H$232,PO_Enrgy_8_Hdr,0),FALSE)))/($G$327-$J$327)),"")</f>
        <v/>
      </c>
      <c r="L195" s="3212"/>
      <c r="M195" s="3213" t="str">
        <f>IFERROR(H195*VLOOKUP($E195,PO_Enrgy_1_Table,MATCH($K$16,PO_Enrgy_1_Hdr,0))/$H$227,"")</f>
        <v/>
      </c>
      <c r="N195" s="1466"/>
      <c r="O195" s="835"/>
      <c r="P195" s="835"/>
      <c r="Q195" s="1549">
        <f t="shared" si="11"/>
        <v>3.4120000000000001E-3</v>
      </c>
      <c r="R195" s="1549">
        <f t="shared" si="12"/>
        <v>1.0713680000000001E-2</v>
      </c>
      <c r="S195" s="1549" t="str">
        <f t="shared" si="13"/>
        <v/>
      </c>
      <c r="T195" s="1549" t="str">
        <f t="shared" si="14"/>
        <v/>
      </c>
      <c r="V195" s="1558">
        <f t="shared" si="15"/>
        <v>0</v>
      </c>
      <c r="W195" s="1559">
        <f t="shared" si="16"/>
        <v>0</v>
      </c>
      <c r="X195" s="1559">
        <f t="shared" si="17"/>
        <v>0</v>
      </c>
      <c r="Y195" s="1549" t="b">
        <f>IFERROR(IF(D195="x",IF(OR(G195/H195&gt;1.03,G195/H195&lt;0.97),TRUE,FALSE),FALSE),FALSE)</f>
        <v>0</v>
      </c>
      <c r="Z195" s="1549">
        <f>IFERROR(J195*100,)</f>
        <v>0</v>
      </c>
      <c r="AA195" s="1549"/>
      <c r="AB195" s="1549">
        <f>RANK(Z195,$Z$171:$Z$218,0)</f>
        <v>1</v>
      </c>
      <c r="AC195" s="1549">
        <f>AB195+COUNTIF($AB$171:$AB194,AB195)</f>
        <v>13</v>
      </c>
      <c r="AD195" s="1549" t="str">
        <f>B195</f>
        <v>Refrigeration equipment</v>
      </c>
      <c r="AE195" s="1421"/>
      <c r="AF195" s="3205"/>
      <c r="AG195" s="3206"/>
      <c r="AH195" s="1422"/>
      <c r="AI195" s="1644"/>
      <c r="AJ195" s="1644"/>
      <c r="AK195" s="1423"/>
      <c r="AO195" s="604"/>
      <c r="BC195" s="2292"/>
      <c r="BF195" s="2345">
        <f t="shared" si="21"/>
        <v>0</v>
      </c>
      <c r="BG195" s="2345">
        <f t="shared" si="21"/>
        <v>0</v>
      </c>
      <c r="BH195" s="2345">
        <f t="shared" si="21"/>
        <v>0</v>
      </c>
      <c r="BI195" s="2345" t="str">
        <f>IF(BG195&lt;&gt;"",IFERROR(MATCH(BG195&amp;BH195,'Results from Trace'!$L$1:$L$21,0),""),"")</f>
        <v/>
      </c>
    </row>
    <row r="196" spans="1:61" ht="16.149999999999999" customHeight="1" x14ac:dyDescent="0.25">
      <c r="A196" s="1271" t="s">
        <v>1298</v>
      </c>
      <c r="B196" s="3215"/>
      <c r="C196" s="3215"/>
      <c r="D196" s="3353"/>
      <c r="E196" s="3351"/>
      <c r="F196" s="1464" t="str">
        <f>IFERROR(IF(ISBLANK(E195),"","Demand (" &amp; VLOOKUP($E195,PO_Enrgy_1_Table,MATCH($E$16,PO_Enrgy_1_Hdr,0),FALSE) &amp; ")"),"")</f>
        <v>Demand (kW)</v>
      </c>
      <c r="G196" s="1467" t="str">
        <f>INDEX(PO_baseline_table,26, 10)</f>
        <v/>
      </c>
      <c r="H196" s="1382"/>
      <c r="I196" s="1468" t="str">
        <f t="shared" si="19"/>
        <v/>
      </c>
      <c r="J196" s="3211"/>
      <c r="K196" s="3212"/>
      <c r="L196" s="3212"/>
      <c r="M196" s="3214"/>
      <c r="N196" s="1466"/>
      <c r="O196" s="835"/>
      <c r="P196" s="835"/>
      <c r="Q196" s="1549" t="str">
        <f t="shared" si="11"/>
        <v/>
      </c>
      <c r="R196" s="1549" t="str">
        <f t="shared" si="12"/>
        <v/>
      </c>
      <c r="S196" s="1549" t="str">
        <f t="shared" si="13"/>
        <v/>
      </c>
      <c r="T196" s="1549" t="str">
        <f t="shared" si="14"/>
        <v/>
      </c>
      <c r="V196" s="1558">
        <f t="shared" si="15"/>
        <v>0</v>
      </c>
      <c r="W196" s="1559">
        <f t="shared" si="16"/>
        <v>0</v>
      </c>
      <c r="X196" s="1559">
        <f t="shared" si="17"/>
        <v>0</v>
      </c>
      <c r="Y196" s="1549"/>
      <c r="Z196" s="1549"/>
      <c r="AA196" s="1549"/>
      <c r="AB196" s="1549"/>
      <c r="AC196" s="1549"/>
      <c r="AD196" s="1549"/>
      <c r="AE196" s="596"/>
      <c r="AF196" s="3205"/>
      <c r="AG196" s="3206"/>
      <c r="AH196" s="1277"/>
      <c r="AI196" s="1644"/>
      <c r="AJ196" s="1644"/>
      <c r="AK196" s="1424"/>
      <c r="AO196" s="604"/>
      <c r="BC196" s="2292"/>
      <c r="BF196" s="2345">
        <f t="shared" si="21"/>
        <v>0</v>
      </c>
      <c r="BG196" s="2345">
        <f t="shared" si="21"/>
        <v>0</v>
      </c>
      <c r="BH196" s="2345">
        <f t="shared" si="21"/>
        <v>0</v>
      </c>
      <c r="BI196" s="2345" t="str">
        <f>IF(BG196&lt;&gt;"",IFERROR(MATCH(BG196&amp;BH196,'Results from Trace'!$L$1:$L$21,0),""),"")</f>
        <v/>
      </c>
    </row>
    <row r="197" spans="1:61" ht="16.149999999999999" customHeight="1" x14ac:dyDescent="0.25">
      <c r="A197" s="1271" t="s">
        <v>1298</v>
      </c>
      <c r="B197" s="3215" t="s">
        <v>469</v>
      </c>
      <c r="C197" s="3215"/>
      <c r="D197" s="3353" t="str">
        <f>INDEX(PO_baseline_table,27, 3)</f>
        <v>x</v>
      </c>
      <c r="E197" s="3351" t="str">
        <f>INDEX(PO_baseline_table,27, 4)</f>
        <v>Electricity</v>
      </c>
      <c r="F197" s="1464" t="str">
        <f>IFERROR(IF(ISBLANK(E197),"","Consumption (" &amp; VLOOKUP($E197,PO_Enrgy_1_Table,MATCH($C$16,PO_Enrgy_1_Hdr,0),FALSE) &amp; ")"),"")</f>
        <v>Consumption (kWh)</v>
      </c>
      <c r="G197" s="1465" t="str">
        <f>INDEX(PO_baseline_table,27, 10)</f>
        <v/>
      </c>
      <c r="H197" s="1382"/>
      <c r="I197" s="1677" t="str">
        <f t="shared" si="19"/>
        <v/>
      </c>
      <c r="J197" s="3210" t="str">
        <f>IFERROR(IF($E$327-$H$327&lt;0,"",($G197-$H197)*VLOOKUP($E197,PO_Enrgy_1_Table,MATCH($K$16,PO_Enrgy_1_Hdr,0),FALSE)/($E$327-$H$327)),"")</f>
        <v/>
      </c>
      <c r="K197" s="3212" t="str">
        <f>IFERROR(IF($G$327-$J$327&lt;0,"",($G197*VLOOKUP($E197,PO_Enrgy_8_Table,MATCH($E$232,PO_Enrgy_8_Hdr,0),FALSE)-($H197*VLOOKUP($E197,PO_Enrgy_8_Table,MATCH($H$232,PO_Enrgy_8_Hdr,0),FALSE)))/($G$327-$J$327)),"")</f>
        <v/>
      </c>
      <c r="L197" s="3212"/>
      <c r="M197" s="3213" t="str">
        <f>IFERROR(H197*VLOOKUP($E197,PO_Enrgy_1_Table,MATCH($K$16,PO_Enrgy_1_Hdr,0))/$H$227,"")</f>
        <v/>
      </c>
      <c r="N197" s="1466"/>
      <c r="O197" s="835"/>
      <c r="P197" s="835"/>
      <c r="Q197" s="1549">
        <f t="shared" si="11"/>
        <v>3.4120000000000001E-3</v>
      </c>
      <c r="R197" s="1549">
        <f t="shared" si="12"/>
        <v>1.0713680000000001E-2</v>
      </c>
      <c r="S197" s="1549" t="str">
        <f t="shared" si="13"/>
        <v/>
      </c>
      <c r="T197" s="1549" t="str">
        <f t="shared" si="14"/>
        <v/>
      </c>
      <c r="V197" s="1558">
        <f t="shared" si="15"/>
        <v>0</v>
      </c>
      <c r="W197" s="1559">
        <f t="shared" si="16"/>
        <v>0</v>
      </c>
      <c r="X197" s="1559">
        <f t="shared" si="17"/>
        <v>0</v>
      </c>
      <c r="Y197" s="1549" t="b">
        <f>IFERROR(IF(D197="x",IF(OR(G197/H197&gt;1.03,G197/H197&lt;0.97),TRUE,FALSE),FALSE),FALSE)</f>
        <v>0</v>
      </c>
      <c r="Z197" s="1549">
        <f>IFERROR(J197*100,)</f>
        <v>0</v>
      </c>
      <c r="AA197" s="1549"/>
      <c r="AB197" s="1549">
        <f>RANK(Z197,$Z$171:$Z$218,0)</f>
        <v>1</v>
      </c>
      <c r="AC197" s="1549">
        <f>AB197+COUNTIF($AB$171:$AB196,AB197)</f>
        <v>14</v>
      </c>
      <c r="AD197" s="1549" t="str">
        <f>B197</f>
        <v>Fans - Kitchen Ventilation</v>
      </c>
      <c r="AE197" s="1421"/>
      <c r="AF197" s="3205"/>
      <c r="AG197" s="3206"/>
      <c r="AH197" s="1422"/>
      <c r="AI197" s="1644"/>
      <c r="AJ197" s="1644"/>
      <c r="AK197" s="1423"/>
      <c r="AO197" s="604"/>
      <c r="BC197" s="2292"/>
      <c r="BF197" s="2345">
        <f t="shared" si="21"/>
        <v>0</v>
      </c>
      <c r="BG197" s="2345">
        <f t="shared" si="21"/>
        <v>0</v>
      </c>
      <c r="BH197" s="2345">
        <f t="shared" si="21"/>
        <v>0</v>
      </c>
      <c r="BI197" s="2345" t="str">
        <f>IF(BG197&lt;&gt;"",IFERROR(MATCH(BG197&amp;BH197,'Results from Trace'!$L$1:$L$21,0),""),"")</f>
        <v/>
      </c>
    </row>
    <row r="198" spans="1:61" ht="16.149999999999999" customHeight="1" x14ac:dyDescent="0.25">
      <c r="A198" s="1271" t="s">
        <v>1298</v>
      </c>
      <c r="B198" s="3215"/>
      <c r="C198" s="3215"/>
      <c r="D198" s="3353"/>
      <c r="E198" s="3351"/>
      <c r="F198" s="1464" t="str">
        <f>IFERROR(IF(ISBLANK(E197),"","Demand (" &amp; VLOOKUP($E197,PO_Enrgy_1_Table,MATCH($E$16,PO_Enrgy_1_Hdr,0),FALSE) &amp; ")"),"")</f>
        <v>Demand (kW)</v>
      </c>
      <c r="G198" s="1467" t="str">
        <f>INDEX(PO_baseline_table,28, 10)</f>
        <v/>
      </c>
      <c r="H198" s="1382"/>
      <c r="I198" s="1468" t="str">
        <f t="shared" si="19"/>
        <v/>
      </c>
      <c r="J198" s="3211"/>
      <c r="K198" s="3212"/>
      <c r="L198" s="3212"/>
      <c r="M198" s="3214"/>
      <c r="N198" s="1466"/>
      <c r="O198" s="835"/>
      <c r="P198" s="835"/>
      <c r="Q198" s="1549" t="str">
        <f t="shared" si="11"/>
        <v/>
      </c>
      <c r="R198" s="1549" t="str">
        <f t="shared" si="12"/>
        <v/>
      </c>
      <c r="S198" s="1549" t="str">
        <f t="shared" si="13"/>
        <v/>
      </c>
      <c r="T198" s="1549" t="str">
        <f t="shared" si="14"/>
        <v/>
      </c>
      <c r="V198" s="1558">
        <f t="shared" si="15"/>
        <v>0</v>
      </c>
      <c r="W198" s="1559">
        <f t="shared" si="16"/>
        <v>0</v>
      </c>
      <c r="X198" s="1559">
        <f t="shared" si="17"/>
        <v>0</v>
      </c>
      <c r="Y198" s="1549"/>
      <c r="Z198" s="1549"/>
      <c r="AA198" s="1549"/>
      <c r="AB198" s="1549"/>
      <c r="AC198" s="1549"/>
      <c r="AD198" s="1549"/>
      <c r="AE198" s="596"/>
      <c r="AF198" s="3205"/>
      <c r="AG198" s="3206"/>
      <c r="AH198" s="1277"/>
      <c r="AI198" s="1644"/>
      <c r="AJ198" s="1644"/>
      <c r="AK198" s="1424"/>
      <c r="AO198" s="604"/>
      <c r="BC198" s="2292"/>
      <c r="BF198" s="2345">
        <f t="shared" si="21"/>
        <v>0</v>
      </c>
      <c r="BG198" s="2345">
        <f t="shared" si="21"/>
        <v>0</v>
      </c>
      <c r="BH198" s="2345">
        <f t="shared" si="21"/>
        <v>0</v>
      </c>
      <c r="BI198" s="2345" t="str">
        <f>IF(BG198&lt;&gt;"",IFERROR(MATCH(BG198&amp;BH198,'Results from Trace'!$L$1:$L$21,0),""),"")</f>
        <v/>
      </c>
    </row>
    <row r="199" spans="1:61" ht="16.149999999999999" customHeight="1" x14ac:dyDescent="0.25">
      <c r="A199" s="1271" t="s">
        <v>1298</v>
      </c>
      <c r="B199" s="3215" t="s">
        <v>468</v>
      </c>
      <c r="C199" s="3215"/>
      <c r="D199" s="3353" t="str">
        <f>INDEX(PO_baseline_table,29, 3)</f>
        <v>x</v>
      </c>
      <c r="E199" s="3351" t="str">
        <f>INDEX(PO_baseline_table,29, 4)</f>
        <v>Electricity</v>
      </c>
      <c r="F199" s="1464" t="str">
        <f>IFERROR(IF(ISBLANK(E199),"","Consumption (" &amp; VLOOKUP($E199,PO_Enrgy_1_Table,MATCH($C$16,PO_Enrgy_1_Hdr,0),FALSE) &amp; ")"),"")</f>
        <v>Consumption (kWh)</v>
      </c>
      <c r="G199" s="1465" t="str">
        <f>INDEX(PO_baseline_table,29, 10)</f>
        <v/>
      </c>
      <c r="H199" s="1382"/>
      <c r="I199" s="1677" t="str">
        <f t="shared" si="19"/>
        <v/>
      </c>
      <c r="J199" s="3210" t="str">
        <f>IFERROR(IF($E$327-$H$327&lt;0,"",($G199-$H199)*VLOOKUP($E199,PO_Enrgy_1_Table,MATCH($K$16,PO_Enrgy_1_Hdr,0),FALSE)/($E$327-$H$327)),"")</f>
        <v/>
      </c>
      <c r="K199" s="3212" t="str">
        <f>IFERROR(IF($G$327-$J$327&lt;0,"",($G199*VLOOKUP($E199,PO_Enrgy_8_Table,MATCH($E$232,PO_Enrgy_8_Hdr,0),FALSE)-($H199*VLOOKUP($E199,PO_Enrgy_8_Table,MATCH($H$232,PO_Enrgy_8_Hdr,0),FALSE)))/($G$327-$J$327)),"")</f>
        <v/>
      </c>
      <c r="L199" s="3212"/>
      <c r="M199" s="3213" t="str">
        <f>IFERROR(H199*VLOOKUP($E199,PO_Enrgy_1_Table,MATCH($K$16,PO_Enrgy_1_Hdr,0))/$H$227,"")</f>
        <v/>
      </c>
      <c r="N199" s="1466"/>
      <c r="O199" s="835"/>
      <c r="P199" s="835"/>
      <c r="Q199" s="1549">
        <f t="shared" si="11"/>
        <v>3.4120000000000001E-3</v>
      </c>
      <c r="R199" s="1549">
        <f t="shared" si="12"/>
        <v>1.0713680000000001E-2</v>
      </c>
      <c r="S199" s="1549" t="str">
        <f t="shared" si="13"/>
        <v/>
      </c>
      <c r="T199" s="1549" t="str">
        <f t="shared" si="14"/>
        <v/>
      </c>
      <c r="V199" s="1558">
        <f t="shared" si="15"/>
        <v>0</v>
      </c>
      <c r="W199" s="1559">
        <f t="shared" si="16"/>
        <v>0</v>
      </c>
      <c r="X199" s="1559">
        <f t="shared" si="17"/>
        <v>0</v>
      </c>
      <c r="Y199" s="1549" t="b">
        <f>IFERROR(IF(D199="x",IF(OR(G199/H199&gt;1.03,G199/H199&lt;0.97),TRUE,FALSE),FALSE),FALSE)</f>
        <v>0</v>
      </c>
      <c r="Z199" s="1549">
        <f>IFERROR(J199*100,)</f>
        <v>0</v>
      </c>
      <c r="AA199" s="1549"/>
      <c r="AB199" s="1549">
        <f>RANK(Z199,$Z$171:$Z$218,0)</f>
        <v>1</v>
      </c>
      <c r="AC199" s="1549">
        <f>AB199+COUNTIF($AB$171:$AB198,AB199)</f>
        <v>15</v>
      </c>
      <c r="AD199" s="1549" t="str">
        <f>B199</f>
        <v>Cooking</v>
      </c>
      <c r="AE199" s="1421"/>
      <c r="AF199" s="3205"/>
      <c r="AG199" s="3206"/>
      <c r="AH199" s="1422"/>
      <c r="AI199" s="1644"/>
      <c r="AJ199" s="1644"/>
      <c r="AK199" s="1423"/>
      <c r="AO199" s="604"/>
      <c r="BC199" s="2292"/>
      <c r="BF199" s="2345">
        <f t="shared" si="21"/>
        <v>0</v>
      </c>
      <c r="BG199" s="2345">
        <f t="shared" si="21"/>
        <v>0</v>
      </c>
      <c r="BH199" s="2345">
        <f t="shared" si="21"/>
        <v>0</v>
      </c>
      <c r="BI199" s="2345" t="str">
        <f>IF(BG199&lt;&gt;"",IFERROR(MATCH(BG199&amp;BH199,'Results from Trace'!$L$1:$L$21,0),""),"")</f>
        <v/>
      </c>
    </row>
    <row r="200" spans="1:61" ht="16.149999999999999" customHeight="1" x14ac:dyDescent="0.25">
      <c r="A200" s="1271" t="s">
        <v>1298</v>
      </c>
      <c r="B200" s="3215"/>
      <c r="C200" s="3215"/>
      <c r="D200" s="3353"/>
      <c r="E200" s="3351"/>
      <c r="F200" s="1464" t="str">
        <f>IFERROR(IF(ISBLANK(E199),"","Demand (" &amp; VLOOKUP($E199,PO_Enrgy_1_Table,MATCH($E$16,PO_Enrgy_1_Hdr,0),FALSE) &amp; ")"),"")</f>
        <v>Demand (kW)</v>
      </c>
      <c r="G200" s="1467" t="str">
        <f>INDEX(PO_baseline_table,30, 10)</f>
        <v/>
      </c>
      <c r="H200" s="1382"/>
      <c r="I200" s="1468" t="str">
        <f t="shared" si="19"/>
        <v/>
      </c>
      <c r="J200" s="3211"/>
      <c r="K200" s="3212"/>
      <c r="L200" s="3212"/>
      <c r="M200" s="3214"/>
      <c r="N200" s="1466"/>
      <c r="O200" s="835"/>
      <c r="P200" s="835"/>
      <c r="Q200" s="1549" t="str">
        <f t="shared" si="11"/>
        <v/>
      </c>
      <c r="R200" s="1549" t="str">
        <f t="shared" si="12"/>
        <v/>
      </c>
      <c r="S200" s="1549" t="str">
        <f t="shared" si="13"/>
        <v/>
      </c>
      <c r="T200" s="1549" t="str">
        <f t="shared" si="14"/>
        <v/>
      </c>
      <c r="V200" s="1558">
        <f t="shared" si="15"/>
        <v>0</v>
      </c>
      <c r="W200" s="1559">
        <f t="shared" si="16"/>
        <v>0</v>
      </c>
      <c r="X200" s="1559">
        <f t="shared" si="17"/>
        <v>0</v>
      </c>
      <c r="Y200" s="1549"/>
      <c r="Z200" s="1549"/>
      <c r="AA200" s="1549"/>
      <c r="AB200" s="1549"/>
      <c r="AC200" s="1549"/>
      <c r="AD200" s="1549"/>
      <c r="AE200" s="596"/>
      <c r="AF200" s="3205"/>
      <c r="AG200" s="3206"/>
      <c r="AH200" s="1277"/>
      <c r="AI200" s="1644"/>
      <c r="AJ200" s="1644"/>
      <c r="AK200" s="1424"/>
      <c r="AO200" s="604"/>
      <c r="BC200" s="2292"/>
      <c r="BF200" s="2345">
        <f t="shared" si="21"/>
        <v>0</v>
      </c>
      <c r="BG200" s="2345">
        <f t="shared" si="21"/>
        <v>0</v>
      </c>
      <c r="BH200" s="2345">
        <f t="shared" si="21"/>
        <v>0</v>
      </c>
      <c r="BI200" s="2345" t="str">
        <f>IF(BG200&lt;&gt;"",IFERROR(MATCH(BG200&amp;BH200,'Results from Trace'!$L$1:$L$21,0),""),"")</f>
        <v/>
      </c>
    </row>
    <row r="201" spans="1:61" ht="16.149999999999999" customHeight="1" x14ac:dyDescent="0.25">
      <c r="A201" s="1271" t="s">
        <v>1298</v>
      </c>
      <c r="B201" s="3215" t="s">
        <v>467</v>
      </c>
      <c r="C201" s="3215"/>
      <c r="D201" s="3353" t="str">
        <f>INDEX(PO_baseline_table,31, 3)</f>
        <v>x</v>
      </c>
      <c r="E201" s="3351" t="str">
        <f>INDEX(PO_baseline_table,31, 4)</f>
        <v>Electricity</v>
      </c>
      <c r="F201" s="1464" t="str">
        <f>IFERROR(IF(ISBLANK(E201),"","Consumption (" &amp; VLOOKUP($E201,PO_Enrgy_1_Table,MATCH($C$16,PO_Enrgy_1_Hdr,0),FALSE) &amp; ")"),"")</f>
        <v>Consumption (kWh)</v>
      </c>
      <c r="G201" s="1465" t="str">
        <f>INDEX(PO_baseline_table,31, 10)</f>
        <v/>
      </c>
      <c r="H201" s="1382"/>
      <c r="I201" s="1677" t="str">
        <f t="shared" si="19"/>
        <v/>
      </c>
      <c r="J201" s="3210" t="str">
        <f>IFERROR(IF($E$327-$H$327&lt;0,"",($G201-$H201)*VLOOKUP($E201,PO_Enrgy_1_Table,MATCH($K$16,PO_Enrgy_1_Hdr,0),FALSE)/($E$327-$H$327)),"")</f>
        <v/>
      </c>
      <c r="K201" s="3212" t="str">
        <f>IFERROR(IF($G$327-$J$327&lt;0,"",($G201*VLOOKUP($E201,PO_Enrgy_8_Table,MATCH($E$232,PO_Enrgy_8_Hdr,0),FALSE)-($H201*VLOOKUP($E201,PO_Enrgy_8_Table,MATCH($H$232,PO_Enrgy_8_Hdr,0),FALSE)))/($G$327-$J$327)),"")</f>
        <v/>
      </c>
      <c r="L201" s="3212"/>
      <c r="M201" s="3213" t="str">
        <f>IFERROR(H201*VLOOKUP($E201,PO_Enrgy_1_Table,MATCH($K$16,PO_Enrgy_1_Hdr,0))/$H$227,"")</f>
        <v/>
      </c>
      <c r="N201" s="1466"/>
      <c r="O201" s="835"/>
      <c r="P201" s="835"/>
      <c r="Q201" s="1549">
        <f t="shared" si="11"/>
        <v>3.4120000000000001E-3</v>
      </c>
      <c r="R201" s="1549">
        <f t="shared" si="12"/>
        <v>1.0713680000000001E-2</v>
      </c>
      <c r="S201" s="1549" t="str">
        <f t="shared" si="13"/>
        <v/>
      </c>
      <c r="T201" s="1549" t="str">
        <f t="shared" si="14"/>
        <v/>
      </c>
      <c r="V201" s="1558">
        <f t="shared" si="15"/>
        <v>0</v>
      </c>
      <c r="W201" s="1559">
        <f t="shared" si="16"/>
        <v>0</v>
      </c>
      <c r="X201" s="1559">
        <f t="shared" si="17"/>
        <v>0</v>
      </c>
      <c r="Y201" s="1549" t="b">
        <f>IFERROR(IF(D201="x",IF(OR(G201/H201&gt;1.03,G201/H201&lt;0.97),TRUE,FALSE),FALSE),FALSE)</f>
        <v>0</v>
      </c>
      <c r="Z201" s="1549">
        <f>IFERROR(J201*100,)</f>
        <v>0</v>
      </c>
      <c r="AA201" s="1549"/>
      <c r="AB201" s="1549">
        <f>RANK(Z201,$Z$171:$Z$218,0)</f>
        <v>1</v>
      </c>
      <c r="AC201" s="1549">
        <f>AB201+COUNTIF($AB$171:$AB200,AB201)</f>
        <v>16</v>
      </c>
      <c r="AD201" s="1549" t="str">
        <f>B201</f>
        <v>Industrial Process</v>
      </c>
      <c r="AE201" s="1421"/>
      <c r="AF201" s="3205"/>
      <c r="AG201" s="3206"/>
      <c r="AH201" s="1422"/>
      <c r="AI201" s="1644"/>
      <c r="AJ201" s="1644"/>
      <c r="AK201" s="1423"/>
      <c r="AO201" s="604"/>
      <c r="BC201" s="2292"/>
      <c r="BF201" s="2345">
        <f t="shared" si="21"/>
        <v>0</v>
      </c>
      <c r="BG201" s="2345">
        <f t="shared" si="21"/>
        <v>0</v>
      </c>
      <c r="BH201" s="2345">
        <f t="shared" si="21"/>
        <v>0</v>
      </c>
      <c r="BI201" s="2345" t="str">
        <f>IF(BG201&lt;&gt;"",IFERROR(MATCH(BG201&amp;BH201,'Results from Trace'!$L$1:$L$21,0),""),"")</f>
        <v/>
      </c>
    </row>
    <row r="202" spans="1:61" ht="16.149999999999999" customHeight="1" x14ac:dyDescent="0.25">
      <c r="A202" s="1271" t="s">
        <v>1298</v>
      </c>
      <c r="B202" s="3215"/>
      <c r="C202" s="3215"/>
      <c r="D202" s="3353"/>
      <c r="E202" s="3351"/>
      <c r="F202" s="1464" t="str">
        <f>IFERROR(IF(ISBLANK(E201),"","Demand (" &amp; VLOOKUP($E201,PO_Enrgy_1_Table,MATCH($E$16,PO_Enrgy_1_Hdr,0),FALSE) &amp; ")"),"")</f>
        <v>Demand (kW)</v>
      </c>
      <c r="G202" s="1467" t="str">
        <f>INDEX(PO_baseline_table,32, 10)</f>
        <v/>
      </c>
      <c r="H202" s="1382"/>
      <c r="I202" s="1468" t="str">
        <f t="shared" si="19"/>
        <v/>
      </c>
      <c r="J202" s="3211"/>
      <c r="K202" s="3212"/>
      <c r="L202" s="3212"/>
      <c r="M202" s="3214"/>
      <c r="N202" s="1466"/>
      <c r="O202" s="835"/>
      <c r="P202" s="835"/>
      <c r="Q202" s="1549" t="str">
        <f t="shared" si="11"/>
        <v/>
      </c>
      <c r="R202" s="1549" t="str">
        <f t="shared" si="12"/>
        <v/>
      </c>
      <c r="S202" s="1549" t="str">
        <f t="shared" si="13"/>
        <v/>
      </c>
      <c r="T202" s="1549" t="str">
        <f t="shared" si="14"/>
        <v/>
      </c>
      <c r="V202" s="1558">
        <f t="shared" si="15"/>
        <v>0</v>
      </c>
      <c r="W202" s="1559">
        <f t="shared" si="16"/>
        <v>0</v>
      </c>
      <c r="X202" s="1559">
        <f t="shared" si="17"/>
        <v>0</v>
      </c>
      <c r="Y202" s="1549"/>
      <c r="Z202" s="1549"/>
      <c r="AA202" s="1549"/>
      <c r="AB202" s="1549"/>
      <c r="AC202" s="1549"/>
      <c r="AD202" s="1549"/>
      <c r="AE202" s="596"/>
      <c r="AF202" s="3205"/>
      <c r="AG202" s="3206"/>
      <c r="AH202" s="1277"/>
      <c r="AI202" s="1644"/>
      <c r="AJ202" s="1644"/>
      <c r="AK202" s="1424"/>
      <c r="AO202" s="604"/>
      <c r="BC202" s="2292"/>
      <c r="BF202" s="2345">
        <f t="shared" si="21"/>
        <v>0</v>
      </c>
      <c r="BG202" s="2345">
        <f t="shared" si="21"/>
        <v>0</v>
      </c>
      <c r="BH202" s="2345">
        <f t="shared" si="21"/>
        <v>0</v>
      </c>
      <c r="BI202" s="2345" t="str">
        <f>IF(BG202&lt;&gt;"",IFERROR(MATCH(BG202&amp;BH202,'Results from Trace'!$L$1:$L$21,0),""),"")</f>
        <v/>
      </c>
    </row>
    <row r="203" spans="1:61" ht="16.149999999999999" customHeight="1" x14ac:dyDescent="0.25">
      <c r="A203" s="1271" t="s">
        <v>1298</v>
      </c>
      <c r="B203" s="3215" t="s">
        <v>466</v>
      </c>
      <c r="C203" s="3215"/>
      <c r="D203" s="3353" t="str">
        <f>INDEX(PO_baseline_table,33, 3)</f>
        <v>x</v>
      </c>
      <c r="E203" s="3351" t="str">
        <f>INDEX(PO_baseline_table,33, 4)</f>
        <v>Electricity</v>
      </c>
      <c r="F203" s="1464" t="str">
        <f>IFERROR(IF(ISBLANK(E203),"","Consumption (" &amp; VLOOKUP($E203,PO_Enrgy_1_Table,MATCH($C$16,PO_Enrgy_1_Hdr,0),FALSE) &amp; ")"),"")</f>
        <v>Consumption (kWh)</v>
      </c>
      <c r="G203" s="1465" t="str">
        <f>INDEX(PO_baseline_table,33, 10)</f>
        <v/>
      </c>
      <c r="H203" s="1382"/>
      <c r="I203" s="1677" t="str">
        <f t="shared" si="19"/>
        <v/>
      </c>
      <c r="J203" s="3210" t="str">
        <f>IFERROR(IF($E$327-$H$327&lt;0,"",($G203-$H203)*VLOOKUP($E203,PO_Enrgy_1_Table,MATCH($K$16,PO_Enrgy_1_Hdr,0),FALSE)/($E$327-$H$327)),"")</f>
        <v/>
      </c>
      <c r="K203" s="3212" t="str">
        <f>IFERROR(IF($G$327-$J$327&lt;0,"",($G203*VLOOKUP($E203,PO_Enrgy_8_Table,MATCH($E$232,PO_Enrgy_8_Hdr,0),FALSE)-($H203*VLOOKUP($E203,PO_Enrgy_8_Table,MATCH($H$232,PO_Enrgy_8_Hdr,0),FALSE)))/($G$327-$J$327)),"")</f>
        <v/>
      </c>
      <c r="L203" s="3212"/>
      <c r="M203" s="3213" t="str">
        <f>IFERROR(H203*VLOOKUP($E203,PO_Enrgy_1_Table,MATCH($K$16,PO_Enrgy_1_Hdr,0))/$H$227,"")</f>
        <v/>
      </c>
      <c r="N203" s="1466"/>
      <c r="O203" s="835"/>
      <c r="P203" s="835"/>
      <c r="Q203" s="1549">
        <f t="shared" si="11"/>
        <v>3.4120000000000001E-3</v>
      </c>
      <c r="R203" s="1549">
        <f t="shared" si="12"/>
        <v>1.0713680000000001E-2</v>
      </c>
      <c r="S203" s="1549" t="str">
        <f t="shared" si="13"/>
        <v/>
      </c>
      <c r="T203" s="1549" t="str">
        <f t="shared" si="14"/>
        <v/>
      </c>
      <c r="V203" s="1558">
        <f t="shared" si="15"/>
        <v>0</v>
      </c>
      <c r="W203" s="1559">
        <f t="shared" si="16"/>
        <v>0</v>
      </c>
      <c r="X203" s="1559">
        <f t="shared" si="17"/>
        <v>0</v>
      </c>
      <c r="Y203" s="1549" t="b">
        <f>IFERROR(IF(D203="x",IF(OR(G203/H203&gt;1.03,G203/H203&lt;0.97),TRUE,FALSE),FALSE),FALSE)</f>
        <v>0</v>
      </c>
      <c r="Z203" s="1549">
        <f>IFERROR(J203*100,)</f>
        <v>0</v>
      </c>
      <c r="AA203" s="1549"/>
      <c r="AB203" s="1549">
        <f>RANK(Z203,$Z$171:$Z$218,0)</f>
        <v>1</v>
      </c>
      <c r="AC203" s="1549">
        <f>AB203+COUNTIF($AB$171:$AB202,AB203)</f>
        <v>17</v>
      </c>
      <c r="AD203" s="1549" t="str">
        <f>B203</f>
        <v>Elevators and escalators</v>
      </c>
      <c r="AE203" s="1421"/>
      <c r="AF203" s="3205"/>
      <c r="AG203" s="3206"/>
      <c r="AH203" s="1422"/>
      <c r="AI203" s="1644"/>
      <c r="AJ203" s="1644"/>
      <c r="AK203" s="1423"/>
      <c r="AO203" s="604"/>
      <c r="BC203" s="2292"/>
      <c r="BF203" s="2345">
        <f t="shared" si="21"/>
        <v>0</v>
      </c>
      <c r="BG203" s="2345">
        <f t="shared" si="21"/>
        <v>0</v>
      </c>
      <c r="BH203" s="2345">
        <f t="shared" si="21"/>
        <v>0</v>
      </c>
      <c r="BI203" s="2345" t="str">
        <f>IF(BG203&lt;&gt;"",IFERROR(MATCH(BG203&amp;BH203,'Results from Trace'!$L$1:$L$21,0),""),"")</f>
        <v/>
      </c>
    </row>
    <row r="204" spans="1:61" ht="16.149999999999999" customHeight="1" x14ac:dyDescent="0.25">
      <c r="A204" s="1271" t="s">
        <v>1298</v>
      </c>
      <c r="B204" s="3215"/>
      <c r="C204" s="3215"/>
      <c r="D204" s="3353"/>
      <c r="E204" s="3351"/>
      <c r="F204" s="1464" t="str">
        <f>IFERROR(IF(ISBLANK(E203),"","Demand (" &amp; VLOOKUP($E203,PO_Enrgy_1_Table,MATCH($E$16,PO_Enrgy_1_Hdr,0),FALSE) &amp; ")"),"")</f>
        <v>Demand (kW)</v>
      </c>
      <c r="G204" s="1467" t="str">
        <f>INDEX(PO_baseline_table,34, 10)</f>
        <v/>
      </c>
      <c r="H204" s="1382"/>
      <c r="I204" s="1468" t="str">
        <f t="shared" si="19"/>
        <v/>
      </c>
      <c r="J204" s="3211"/>
      <c r="K204" s="3212"/>
      <c r="L204" s="3212"/>
      <c r="M204" s="3214"/>
      <c r="N204" s="1466"/>
      <c r="O204" s="835"/>
      <c r="P204" s="835"/>
      <c r="Q204" s="1549" t="str">
        <f t="shared" si="11"/>
        <v/>
      </c>
      <c r="R204" s="1549" t="str">
        <f t="shared" si="12"/>
        <v/>
      </c>
      <c r="S204" s="1549" t="str">
        <f t="shared" si="13"/>
        <v/>
      </c>
      <c r="T204" s="1549" t="str">
        <f t="shared" si="14"/>
        <v/>
      </c>
      <c r="V204" s="1558">
        <f t="shared" si="15"/>
        <v>0</v>
      </c>
      <c r="W204" s="1559">
        <f t="shared" si="16"/>
        <v>0</v>
      </c>
      <c r="X204" s="1559">
        <f t="shared" si="17"/>
        <v>0</v>
      </c>
      <c r="Y204" s="1549"/>
      <c r="Z204" s="1549"/>
      <c r="AA204" s="1549"/>
      <c r="AB204" s="1549"/>
      <c r="AC204" s="1549"/>
      <c r="AD204" s="1549"/>
      <c r="AE204" s="596"/>
      <c r="AF204" s="3206"/>
      <c r="AG204" s="3206"/>
      <c r="AH204" s="1277"/>
      <c r="AI204" s="1644"/>
      <c r="AJ204" s="1644"/>
      <c r="AK204" s="1424"/>
      <c r="AO204" s="604"/>
      <c r="BC204" s="2292"/>
      <c r="BF204" s="2345">
        <f t="shared" ref="BF204:BH219" si="22">BF130</f>
        <v>0</v>
      </c>
      <c r="BG204" s="2345">
        <f t="shared" si="22"/>
        <v>0</v>
      </c>
      <c r="BH204" s="2345">
        <f t="shared" si="22"/>
        <v>0</v>
      </c>
      <c r="BI204" s="2345" t="str">
        <f>IF(BG204&lt;&gt;"",IFERROR(MATCH(BG204&amp;BH204,'Results from Trace'!$L$1:$L$21,0),""),"")</f>
        <v/>
      </c>
    </row>
    <row r="205" spans="1:61" ht="16.149999999999999" customHeight="1" x14ac:dyDescent="0.25">
      <c r="A205" s="1271" t="s">
        <v>1298</v>
      </c>
      <c r="B205" s="3215" t="s">
        <v>1089</v>
      </c>
      <c r="C205" s="3215"/>
      <c r="D205" s="3353">
        <f>INDEX(PO_baseline_table,35, 3)</f>
        <v>0</v>
      </c>
      <c r="E205" s="3351" t="str">
        <f>INDEX(PO_baseline_table,35, 4)</f>
        <v>Electricity</v>
      </c>
      <c r="F205" s="1464" t="str">
        <f>IFERROR(IF(ISBLANK(E205),"","Consumption (" &amp; VLOOKUP($E205,PO_Enrgy_1_Table,MATCH($C$16,PO_Enrgy_1_Hdr,0),FALSE) &amp; ")"),"")</f>
        <v>Consumption (kWh)</v>
      </c>
      <c r="G205" s="1465" t="str">
        <f>INDEX(PO_baseline_table,35, 10)</f>
        <v/>
      </c>
      <c r="H205" s="1382"/>
      <c r="I205" s="1677" t="str">
        <f t="shared" si="19"/>
        <v/>
      </c>
      <c r="J205" s="3210" t="str">
        <f>IFERROR(IF($E$327-$H$327&lt;0,"",($G205-$H205)*VLOOKUP($E205,PO_Enrgy_1_Table,MATCH($K$16,PO_Enrgy_1_Hdr,0),FALSE)/($E$327-$H$327)),"")</f>
        <v/>
      </c>
      <c r="K205" s="3212" t="str">
        <f>IFERROR(IF($G$327-$J$327&lt;0,"",($G205*VLOOKUP($E205,PO_Enrgy_8_Table,MATCH($E$232,PO_Enrgy_8_Hdr,0),FALSE)-($H205*VLOOKUP($E205,PO_Enrgy_8_Table,MATCH($H$232,PO_Enrgy_8_Hdr,0),FALSE)))/($G$327-$J$327)),"")</f>
        <v/>
      </c>
      <c r="L205" s="3212"/>
      <c r="M205" s="3213" t="str">
        <f>IFERROR(H205*VLOOKUP($E205,PO_Enrgy_1_Table,MATCH($K$16,PO_Enrgy_1_Hdr,0))/$H$227,"")</f>
        <v/>
      </c>
      <c r="N205" s="1466"/>
      <c r="O205" s="835"/>
      <c r="P205" s="835"/>
      <c r="Q205" s="1549">
        <f t="shared" si="11"/>
        <v>3.4120000000000001E-3</v>
      </c>
      <c r="R205" s="1549">
        <f t="shared" si="12"/>
        <v>1.0713680000000001E-2</v>
      </c>
      <c r="S205" s="1549" t="str">
        <f t="shared" si="13"/>
        <v/>
      </c>
      <c r="T205" s="1549" t="str">
        <f t="shared" si="14"/>
        <v/>
      </c>
      <c r="V205" s="1558">
        <f t="shared" si="15"/>
        <v>0</v>
      </c>
      <c r="W205" s="1559">
        <f t="shared" si="16"/>
        <v>0</v>
      </c>
      <c r="X205" s="1559">
        <f t="shared" si="17"/>
        <v>0</v>
      </c>
      <c r="Y205" s="1549" t="b">
        <f>IFERROR(IF(D205="x",IF(OR(G205/H205&gt;1.03,G205/H205&lt;0.97),TRUE,FALSE),FALSE),FALSE)</f>
        <v>0</v>
      </c>
      <c r="Z205" s="1549">
        <f>IFERROR(J205*100,)</f>
        <v>0</v>
      </c>
      <c r="AA205" s="1549"/>
      <c r="AB205" s="1549">
        <f>RANK(Z205,$Z$171:$Z$218,0)</f>
        <v>1</v>
      </c>
      <c r="AC205" s="1549">
        <f>AB205+COUNTIF($AB$171:$AB204,AB205)</f>
        <v>18</v>
      </c>
      <c r="AD205" s="1549" t="str">
        <f>B205</f>
        <v>Heat Pump Supplementary</v>
      </c>
      <c r="AE205" s="1421"/>
      <c r="AF205" s="3205"/>
      <c r="AG205" s="3206"/>
      <c r="AH205" s="1422"/>
      <c r="AI205" s="1644"/>
      <c r="AJ205" s="1644"/>
      <c r="AK205" s="1423"/>
      <c r="AO205" s="604"/>
      <c r="BC205" s="2292"/>
      <c r="BF205" s="2345" t="str">
        <f t="shared" si="22"/>
        <v>U</v>
      </c>
      <c r="BG205" s="2345">
        <f t="shared" si="22"/>
        <v>0</v>
      </c>
      <c r="BH205" s="2345">
        <f t="shared" si="22"/>
        <v>0</v>
      </c>
      <c r="BI205" s="2345" t="str">
        <f>IF(BG205&lt;&gt;"",IFERROR(MATCH(BG205&amp;BH205,'Results from Trace'!$L$1:$L$21,0),""),"")</f>
        <v/>
      </c>
    </row>
    <row r="206" spans="1:61" ht="16.149999999999999" customHeight="1" x14ac:dyDescent="0.25">
      <c r="A206" s="1271" t="s">
        <v>1298</v>
      </c>
      <c r="B206" s="3215"/>
      <c r="C206" s="3215"/>
      <c r="D206" s="3353"/>
      <c r="E206" s="3351"/>
      <c r="F206" s="1464" t="str">
        <f>IFERROR(IF(ISBLANK(E205),"","Demand (" &amp; VLOOKUP($E205,PO_Enrgy_1_Table,MATCH($E$16,PO_Enrgy_1_Hdr,0),FALSE) &amp; ")"),"")</f>
        <v>Demand (kW)</v>
      </c>
      <c r="G206" s="1467" t="str">
        <f>INDEX(PO_baseline_table,36, 10)</f>
        <v/>
      </c>
      <c r="H206" s="1382"/>
      <c r="I206" s="1468" t="str">
        <f t="shared" si="19"/>
        <v/>
      </c>
      <c r="J206" s="3211"/>
      <c r="K206" s="3212"/>
      <c r="L206" s="3212"/>
      <c r="M206" s="3214"/>
      <c r="N206" s="1466"/>
      <c r="O206" s="835"/>
      <c r="P206" s="835"/>
      <c r="Q206" s="1549" t="str">
        <f t="shared" si="11"/>
        <v/>
      </c>
      <c r="R206" s="1549" t="str">
        <f t="shared" si="12"/>
        <v/>
      </c>
      <c r="S206" s="1549" t="str">
        <f t="shared" si="13"/>
        <v/>
      </c>
      <c r="T206" s="1549" t="str">
        <f t="shared" si="14"/>
        <v/>
      </c>
      <c r="V206" s="1558">
        <f t="shared" si="15"/>
        <v>0</v>
      </c>
      <c r="W206" s="1559">
        <f t="shared" si="16"/>
        <v>0</v>
      </c>
      <c r="X206" s="1559">
        <f t="shared" si="17"/>
        <v>0</v>
      </c>
      <c r="Y206" s="1549"/>
      <c r="Z206" s="1549"/>
      <c r="AA206" s="1549"/>
      <c r="AB206" s="1549"/>
      <c r="AC206" s="1549"/>
      <c r="AD206" s="1549"/>
      <c r="AE206" s="596"/>
      <c r="AF206" s="3206"/>
      <c r="AG206" s="3206"/>
      <c r="AH206" s="1277"/>
      <c r="AI206" s="1644"/>
      <c r="AJ206" s="1644"/>
      <c r="AK206" s="1424"/>
      <c r="AO206" s="604"/>
      <c r="BC206" s="2292"/>
      <c r="BF206" s="2345" t="str">
        <f t="shared" si="22"/>
        <v>AH</v>
      </c>
      <c r="BG206" s="2345">
        <f t="shared" si="22"/>
        <v>0</v>
      </c>
      <c r="BH206" s="2345">
        <f t="shared" si="22"/>
        <v>0</v>
      </c>
      <c r="BI206" s="2345" t="str">
        <f>IF(BG206&lt;&gt;"",IFERROR(MATCH(BG206&amp;BH206,'Results from Trace'!$L$1:$L$21,0),""),"")</f>
        <v/>
      </c>
    </row>
    <row r="207" spans="1:61" ht="16.149999999999999" customHeight="1" x14ac:dyDescent="0.25">
      <c r="A207" s="1271" t="s">
        <v>1298</v>
      </c>
      <c r="B207" s="3351" t="str">
        <f>INDEX(PO_base_Add_EndUses,1, 1)</f>
        <v>Space Heating</v>
      </c>
      <c r="C207" s="3352"/>
      <c r="D207" s="3353">
        <f>INDEX(PO_baseline_table,37, 3)</f>
        <v>0</v>
      </c>
      <c r="E207" s="3351" t="str">
        <f>INDEX(PO_baseline_table,37, 4)</f>
        <v>Electricity</v>
      </c>
      <c r="F207" s="1464" t="str">
        <f>IFERROR(IF(ISBLANK(E207),"","Consumption (" &amp; VLOOKUP($E207,PO_Enrgy_1_Table,MATCH($C$16,PO_Enrgy_1_Hdr,0),FALSE) &amp; ")"),"")</f>
        <v>Consumption (kWh)</v>
      </c>
      <c r="G207" s="1465" t="str">
        <f>INDEX(PO_baseline_table,37, 10)</f>
        <v/>
      </c>
      <c r="H207" s="1382"/>
      <c r="I207" s="1677" t="str">
        <f t="shared" si="19"/>
        <v/>
      </c>
      <c r="J207" s="3210" t="str">
        <f>IFERROR(IF($E$327-$H$327&lt;0,"",($G207-$H207)*VLOOKUP($E207,PO_Enrgy_1_Table,MATCH($K$16,PO_Enrgy_1_Hdr,0),FALSE)/($E$327-$H$327)),"")</f>
        <v/>
      </c>
      <c r="K207" s="3212" t="str">
        <f>IFERROR(IF($G$327-$J$327&lt;0,"",($G207*VLOOKUP($E207,PO_Enrgy_8_Table,MATCH($E$232,PO_Enrgy_8_Hdr,0),FALSE)-($H207*VLOOKUP($E207,PO_Enrgy_8_Table,MATCH($H$232,PO_Enrgy_8_Hdr,0),FALSE)))/($G$327-$J$327)),"")</f>
        <v/>
      </c>
      <c r="L207" s="3212"/>
      <c r="M207" s="3213" t="str">
        <f>IFERROR(H207*VLOOKUP($E207,PO_Enrgy_1_Table,MATCH($K$16,PO_Enrgy_1_Hdr,0))/$H$227,"")</f>
        <v/>
      </c>
      <c r="N207" s="1466"/>
      <c r="O207" s="835"/>
      <c r="P207" s="835"/>
      <c r="Q207" s="1549">
        <f t="shared" si="11"/>
        <v>3.4120000000000001E-3</v>
      </c>
      <c r="R207" s="1549">
        <f t="shared" si="12"/>
        <v>1.0713680000000001E-2</v>
      </c>
      <c r="S207" s="1549" t="str">
        <f t="shared" si="13"/>
        <v/>
      </c>
      <c r="T207" s="1549" t="str">
        <f t="shared" si="14"/>
        <v/>
      </c>
      <c r="V207" s="1558">
        <f t="shared" si="15"/>
        <v>0</v>
      </c>
      <c r="W207" s="1559">
        <f t="shared" si="16"/>
        <v>0</v>
      </c>
      <c r="X207" s="1559">
        <f t="shared" si="17"/>
        <v>0</v>
      </c>
      <c r="Y207" s="1549" t="b">
        <f>IFERROR(IF(D207="x",IF(OR(G207/H207&gt;1.03,G207/H207&lt;0.97),TRUE,FALSE),FALSE),FALSE)</f>
        <v>0</v>
      </c>
      <c r="Z207" s="1549">
        <f>IFERROR(J207*100,)</f>
        <v>0</v>
      </c>
      <c r="AA207" s="1549"/>
      <c r="AB207" s="1549">
        <f>RANK(Z207,$Z$171:$Z$218,0)</f>
        <v>1</v>
      </c>
      <c r="AC207" s="1549">
        <f>AB207+COUNTIF($AB$171:$AB206,AB207)</f>
        <v>19</v>
      </c>
      <c r="AD207" s="1549" t="str">
        <f>B207</f>
        <v>Space Heating</v>
      </c>
      <c r="AE207" s="1421"/>
      <c r="AF207" s="3205"/>
      <c r="AG207" s="3206"/>
      <c r="AH207" s="1422"/>
      <c r="AI207" s="1644"/>
      <c r="AJ207" s="1644"/>
      <c r="AK207" s="1423"/>
      <c r="AO207" s="604"/>
      <c r="BC207" s="2292"/>
      <c r="BF207" s="2345" t="str">
        <f t="shared" si="22"/>
        <v>O</v>
      </c>
      <c r="BG207" s="2345">
        <f t="shared" si="22"/>
        <v>0</v>
      </c>
      <c r="BH207" s="2345">
        <f t="shared" si="22"/>
        <v>0</v>
      </c>
      <c r="BI207" s="2345" t="str">
        <f>IF(BG207&lt;&gt;"",IFERROR(MATCH(BG207&amp;BH207,'Results from Trace'!$L$1:$L$21,0),""),"")</f>
        <v/>
      </c>
    </row>
    <row r="208" spans="1:61" ht="16.149999999999999" customHeight="1" x14ac:dyDescent="0.25">
      <c r="A208" s="1271" t="s">
        <v>1298</v>
      </c>
      <c r="B208" s="3351"/>
      <c r="C208" s="3352"/>
      <c r="D208" s="3353"/>
      <c r="E208" s="3351"/>
      <c r="F208" s="1464" t="str">
        <f>IFERROR(IF(ISBLANK(E207),"","Demand (" &amp; VLOOKUP($E207,PO_Enrgy_1_Table,MATCH($E$16,PO_Enrgy_1_Hdr,0),FALSE) &amp; ")"),"")</f>
        <v>Demand (kW)</v>
      </c>
      <c r="G208" s="1467" t="str">
        <f>INDEX(PO_baseline_table,38, 10)</f>
        <v/>
      </c>
      <c r="H208" s="1382"/>
      <c r="I208" s="1468" t="str">
        <f t="shared" si="19"/>
        <v/>
      </c>
      <c r="J208" s="3211"/>
      <c r="K208" s="3212"/>
      <c r="L208" s="3212"/>
      <c r="M208" s="3214"/>
      <c r="N208" s="1466"/>
      <c r="O208" s="835"/>
      <c r="P208" s="835"/>
      <c r="Q208" s="1549" t="str">
        <f t="shared" si="11"/>
        <v/>
      </c>
      <c r="R208" s="1549" t="str">
        <f t="shared" si="12"/>
        <v/>
      </c>
      <c r="S208" s="1549" t="str">
        <f t="shared" si="13"/>
        <v/>
      </c>
      <c r="T208" s="1549" t="str">
        <f t="shared" si="14"/>
        <v/>
      </c>
      <c r="V208" s="1558">
        <f t="shared" si="15"/>
        <v>0</v>
      </c>
      <c r="W208" s="1559">
        <f t="shared" si="16"/>
        <v>0</v>
      </c>
      <c r="X208" s="1559">
        <f t="shared" si="17"/>
        <v>0</v>
      </c>
      <c r="Y208" s="1549"/>
      <c r="Z208" s="1549"/>
      <c r="AA208" s="1549"/>
      <c r="AB208" s="1549"/>
      <c r="AC208" s="1549"/>
      <c r="AD208" s="1549"/>
      <c r="AE208" s="596"/>
      <c r="AF208" s="3206"/>
      <c r="AG208" s="3206"/>
      <c r="AH208" s="1277"/>
      <c r="AI208" s="1644"/>
      <c r="AJ208" s="1644"/>
      <c r="AK208" s="1424"/>
      <c r="AO208" s="604"/>
      <c r="BC208" s="2292"/>
      <c r="BF208" s="2345" t="str">
        <f t="shared" si="22"/>
        <v>AB</v>
      </c>
      <c r="BG208" s="2345">
        <f t="shared" si="22"/>
        <v>0</v>
      </c>
      <c r="BH208" s="2345">
        <f t="shared" si="22"/>
        <v>0</v>
      </c>
      <c r="BI208" s="2345" t="str">
        <f>IF(BG208&lt;&gt;"",IFERROR(MATCH(BG208&amp;BH208,'Results from Trace'!$L$1:$L$21,0),""),"")</f>
        <v/>
      </c>
    </row>
    <row r="209" spans="1:61" ht="16.149999999999999" customHeight="1" x14ac:dyDescent="0.25">
      <c r="A209" s="1271" t="s">
        <v>1298</v>
      </c>
      <c r="B209" s="3351" t="str">
        <f>INDEX(PO_base_Add_EndUses,3, 1)</f>
        <v>Misc Equipment (Gas)</v>
      </c>
      <c r="C209" s="3352"/>
      <c r="D209" s="3353">
        <f>INDEX(PO_baseline_table,39, 3)</f>
        <v>0</v>
      </c>
      <c r="E209" s="3351" t="str">
        <f>INDEX(PO_baseline_table,39, 4)</f>
        <v>Natural Gas</v>
      </c>
      <c r="F209" s="1464" t="str">
        <f>IFERROR(IF(ISBLANK(E209),"","Consumption (" &amp; VLOOKUP($E209,PO_Enrgy_1_Table,MATCH($C$16,PO_Enrgy_1_Hdr,0),FALSE) &amp; ")"),"")</f>
        <v/>
      </c>
      <c r="G209" s="1465" t="str">
        <f>INDEX(PO_baseline_table,39, 10)</f>
        <v/>
      </c>
      <c r="H209" s="1382"/>
      <c r="I209" s="1677" t="str">
        <f t="shared" si="19"/>
        <v/>
      </c>
      <c r="J209" s="3210" t="str">
        <f>IFERROR(IF($E$327-$H$327&lt;0,"",($G209-$H209)*VLOOKUP($E209,PO_Enrgy_1_Table,MATCH($K$16,PO_Enrgy_1_Hdr,0),FALSE)/($E$327-$H$327)),"")</f>
        <v/>
      </c>
      <c r="K209" s="3212" t="str">
        <f>IFERROR(IF($G$327-$J$327&lt;0,"",($G209*VLOOKUP($E209,PO_Enrgy_8_Table,MATCH($E$232,PO_Enrgy_8_Hdr,0),FALSE)-($H209*VLOOKUP($E209,PO_Enrgy_8_Table,MATCH($H$232,PO_Enrgy_8_Hdr,0),FALSE)))/($G$327-$J$327)),"")</f>
        <v/>
      </c>
      <c r="L209" s="3212"/>
      <c r="M209" s="3213" t="str">
        <f>IFERROR(H209*VLOOKUP($E209,PO_Enrgy_1_Table,MATCH($K$16,PO_Enrgy_1_Hdr,0))/$H$227,"")</f>
        <v/>
      </c>
      <c r="N209" s="1466"/>
      <c r="O209" s="835"/>
      <c r="P209" s="835"/>
      <c r="Q209" s="1549" t="str">
        <f t="shared" si="11"/>
        <v/>
      </c>
      <c r="R209" s="1549" t="str">
        <f t="shared" si="12"/>
        <v/>
      </c>
      <c r="S209" s="1549" t="str">
        <f t="shared" si="13"/>
        <v/>
      </c>
      <c r="T209" s="1549" t="str">
        <f t="shared" si="14"/>
        <v/>
      </c>
      <c r="V209" s="1558">
        <f t="shared" si="15"/>
        <v>0</v>
      </c>
      <c r="W209" s="1559">
        <f t="shared" si="16"/>
        <v>0</v>
      </c>
      <c r="X209" s="1559">
        <f t="shared" si="17"/>
        <v>0</v>
      </c>
      <c r="Y209" s="1549" t="b">
        <f>IFERROR(IF(D209="x",IF(OR(G209/H209&gt;1.03,G209/H209&lt;0.97),TRUE,FALSE),FALSE),FALSE)</f>
        <v>0</v>
      </c>
      <c r="Z209" s="1549">
        <f>IFERROR(J209*100,)</f>
        <v>0</v>
      </c>
      <c r="AA209" s="1549"/>
      <c r="AB209" s="1549">
        <f>RANK(Z209,$Z$171:$Z$218,0)</f>
        <v>1</v>
      </c>
      <c r="AC209" s="1549">
        <f>AB209+COUNTIF($AB$171:$AB208,AB209)</f>
        <v>20</v>
      </c>
      <c r="AD209" s="1549" t="str">
        <f>B209</f>
        <v>Misc Equipment (Gas)</v>
      </c>
      <c r="AE209" s="1421"/>
      <c r="AF209" s="3205"/>
      <c r="AG209" s="3206"/>
      <c r="AH209" s="1422"/>
      <c r="AI209" s="1644"/>
      <c r="AJ209" s="1644"/>
      <c r="AK209" s="1423"/>
      <c r="AO209" s="604"/>
      <c r="BC209" s="2292"/>
      <c r="BF209" s="2345" t="str">
        <f t="shared" si="22"/>
        <v>AZ</v>
      </c>
      <c r="BG209" s="2345">
        <f t="shared" si="22"/>
        <v>0</v>
      </c>
      <c r="BH209" s="2345">
        <f t="shared" si="22"/>
        <v>0</v>
      </c>
      <c r="BI209" s="2345" t="str">
        <f>IF(BG209&lt;&gt;"",IFERROR(MATCH(BG209&amp;BH209,'Results from Trace'!$L$1:$L$21,0),""),"")</f>
        <v/>
      </c>
    </row>
    <row r="210" spans="1:61" ht="15.75" customHeight="1" x14ac:dyDescent="0.25">
      <c r="A210" s="1271" t="s">
        <v>1298</v>
      </c>
      <c r="B210" s="3351"/>
      <c r="C210" s="3352"/>
      <c r="D210" s="3353"/>
      <c r="E210" s="3351"/>
      <c r="F210" s="1464" t="str">
        <f>IFERROR(IF(ISBLANK(E209),"","Demand (" &amp; VLOOKUP($E209,PO_Enrgy_1_Table,MATCH($E$16,PO_Enrgy_1_Hdr,0),FALSE) &amp; ")"),"")</f>
        <v/>
      </c>
      <c r="G210" s="1467" t="str">
        <f>INDEX(PO_baseline_table,40, 10)</f>
        <v/>
      </c>
      <c r="H210" s="1382"/>
      <c r="I210" s="1468" t="str">
        <f t="shared" si="19"/>
        <v/>
      </c>
      <c r="J210" s="3211"/>
      <c r="K210" s="3212"/>
      <c r="L210" s="3212"/>
      <c r="M210" s="3214"/>
      <c r="N210" s="1466"/>
      <c r="O210" s="835"/>
      <c r="P210" s="835"/>
      <c r="Q210" s="1549" t="str">
        <f t="shared" si="11"/>
        <v/>
      </c>
      <c r="R210" s="1549" t="str">
        <f t="shared" si="12"/>
        <v/>
      </c>
      <c r="S210" s="1549" t="str">
        <f t="shared" si="13"/>
        <v/>
      </c>
      <c r="T210" s="1549" t="str">
        <f t="shared" si="14"/>
        <v/>
      </c>
      <c r="V210" s="1558">
        <f t="shared" si="15"/>
        <v>0</v>
      </c>
      <c r="W210" s="1559">
        <f t="shared" si="16"/>
        <v>0</v>
      </c>
      <c r="X210" s="1559">
        <f t="shared" si="17"/>
        <v>0</v>
      </c>
      <c r="Y210" s="1549"/>
      <c r="Z210" s="1549"/>
      <c r="AA210" s="1549"/>
      <c r="AB210" s="1549"/>
      <c r="AC210" s="1549"/>
      <c r="AD210" s="1549"/>
      <c r="AE210" s="596"/>
      <c r="AF210" s="3206"/>
      <c r="AG210" s="3206"/>
      <c r="AH210" s="1277"/>
      <c r="AI210" s="1644"/>
      <c r="AJ210" s="1644"/>
      <c r="AK210" s="1424"/>
      <c r="AO210" s="604"/>
      <c r="BC210" s="2292"/>
      <c r="BF210" s="2345">
        <f t="shared" si="22"/>
        <v>0</v>
      </c>
      <c r="BG210" s="2345">
        <f t="shared" si="22"/>
        <v>0</v>
      </c>
      <c r="BH210" s="2345">
        <f t="shared" si="22"/>
        <v>0</v>
      </c>
      <c r="BI210" s="2345" t="str">
        <f>IF(BG210&lt;&gt;"",IFERROR(MATCH(BG210&amp;BH210,'Results from Trace'!$L$1:$L$21,0),""),"")</f>
        <v/>
      </c>
    </row>
    <row r="211" spans="1:61" ht="16.149999999999999" customHeight="1" x14ac:dyDescent="0.25">
      <c r="A211" s="1271" t="s">
        <v>1298</v>
      </c>
      <c r="B211" s="3351" t="str">
        <f>INDEX(PO_base_Add_EndUses,5, 1)</f>
        <v>Auxilary (Gas)</v>
      </c>
      <c r="C211" s="3352"/>
      <c r="D211" s="3353">
        <f>INDEX(PO_baseline_table,41, 3)</f>
        <v>0</v>
      </c>
      <c r="E211" s="3351" t="str">
        <f>INDEX(PO_baseline_table,41, 4)</f>
        <v>Natural Gas</v>
      </c>
      <c r="F211" s="1464" t="str">
        <f>IFERROR(IF(ISBLANK(E211),"","Consumption (" &amp; VLOOKUP($E211,PO_Enrgy_1_Table,MATCH($C$16,PO_Enrgy_1_Hdr,0),FALSE) &amp; ")"),"")</f>
        <v/>
      </c>
      <c r="G211" s="1465" t="str">
        <f>INDEX(PO_baseline_table,41, 10)</f>
        <v/>
      </c>
      <c r="H211" s="1382"/>
      <c r="I211" s="1677" t="str">
        <f t="shared" si="19"/>
        <v/>
      </c>
      <c r="J211" s="3210" t="str">
        <f>IFERROR(IF($E$327-$H$327&lt;0,"",($G211-$H211)*VLOOKUP($E211,PO_Enrgy_1_Table,MATCH($K$16,PO_Enrgy_1_Hdr,0),FALSE)/($E$327-$H$327)),"")</f>
        <v/>
      </c>
      <c r="K211" s="3212" t="str">
        <f>IFERROR(IF($G$327-$J$327&lt;0,"",($G211*VLOOKUP($E211,PO_Enrgy_8_Table,MATCH($E$232,PO_Enrgy_8_Hdr,0),FALSE)-($H211*VLOOKUP($E211,PO_Enrgy_8_Table,MATCH($H$232,PO_Enrgy_8_Hdr,0),FALSE)))/($G$327-$J$327)),"")</f>
        <v/>
      </c>
      <c r="L211" s="3212"/>
      <c r="M211" s="3213" t="str">
        <f>IFERROR(H211*VLOOKUP($E211,PO_Enrgy_1_Table,MATCH($K$16,PO_Enrgy_1_Hdr,0))/$H$227,"")</f>
        <v/>
      </c>
      <c r="N211" s="1466"/>
      <c r="O211" s="835"/>
      <c r="P211" s="835"/>
      <c r="Q211" s="1549" t="str">
        <f t="shared" si="11"/>
        <v/>
      </c>
      <c r="R211" s="1549" t="str">
        <f t="shared" si="12"/>
        <v/>
      </c>
      <c r="S211" s="1549" t="str">
        <f t="shared" si="13"/>
        <v/>
      </c>
      <c r="T211" s="1549" t="str">
        <f t="shared" si="14"/>
        <v/>
      </c>
      <c r="V211" s="1558">
        <f t="shared" si="15"/>
        <v>0</v>
      </c>
      <c r="W211" s="1559">
        <f t="shared" si="16"/>
        <v>0</v>
      </c>
      <c r="X211" s="1559">
        <f t="shared" si="17"/>
        <v>0</v>
      </c>
      <c r="Y211" s="1549" t="b">
        <f>IFERROR(IF(D211="x",IF(OR(G211/H211&gt;1.03,G211/H211&lt;0.97),TRUE,FALSE),FALSE),FALSE)</f>
        <v>0</v>
      </c>
      <c r="Z211" s="1549">
        <f>IFERROR(J211*100,)</f>
        <v>0</v>
      </c>
      <c r="AA211" s="1549"/>
      <c r="AB211" s="1549">
        <f>RANK(Z211,$Z$171:$Z$218,0)</f>
        <v>1</v>
      </c>
      <c r="AC211" s="1549">
        <f>AB211+COUNTIF($AB$171:$AB210,AB211)</f>
        <v>21</v>
      </c>
      <c r="AD211" s="1549" t="str">
        <f>B211</f>
        <v>Auxilary (Gas)</v>
      </c>
      <c r="AE211" s="1421"/>
      <c r="AF211" s="3205"/>
      <c r="AG211" s="3206"/>
      <c r="AH211" s="1422"/>
      <c r="AI211" s="1644"/>
      <c r="AJ211" s="1644"/>
      <c r="AK211" s="1423"/>
      <c r="AO211" s="604"/>
      <c r="BC211" s="2292"/>
      <c r="BF211" s="2345" t="str">
        <f t="shared" si="22"/>
        <v>BD</v>
      </c>
      <c r="BG211" s="2345">
        <f t="shared" si="22"/>
        <v>0</v>
      </c>
      <c r="BH211" s="2345">
        <f t="shared" si="22"/>
        <v>0</v>
      </c>
      <c r="BI211" s="2345" t="str">
        <f>IF(BG211&lt;&gt;"",IFERROR(MATCH(BG211&amp;BH211,'Results from Trace'!$L$1:$L$21,0),""),"")</f>
        <v/>
      </c>
    </row>
    <row r="212" spans="1:61" ht="16.5" customHeight="1" x14ac:dyDescent="0.25">
      <c r="A212" s="1271" t="s">
        <v>1298</v>
      </c>
      <c r="B212" s="3351"/>
      <c r="C212" s="3352"/>
      <c r="D212" s="3353"/>
      <c r="E212" s="3351"/>
      <c r="F212" s="1464" t="str">
        <f>IFERROR(IF(ISBLANK(E211),"","Demand (" &amp; VLOOKUP($E211,PO_Enrgy_1_Table,MATCH($E$16,PO_Enrgy_1_Hdr,0),FALSE) &amp; ")"),"")</f>
        <v/>
      </c>
      <c r="G212" s="1467" t="str">
        <f>INDEX(PO_baseline_table,42, 10)</f>
        <v/>
      </c>
      <c r="H212" s="1382"/>
      <c r="I212" s="1468" t="str">
        <f t="shared" si="19"/>
        <v/>
      </c>
      <c r="J212" s="3211"/>
      <c r="K212" s="3212"/>
      <c r="L212" s="3212"/>
      <c r="M212" s="3214"/>
      <c r="N212" s="1466"/>
      <c r="O212" s="835"/>
      <c r="P212" s="835"/>
      <c r="Q212" s="1549" t="str">
        <f t="shared" si="11"/>
        <v/>
      </c>
      <c r="R212" s="1549" t="str">
        <f t="shared" si="12"/>
        <v/>
      </c>
      <c r="S212" s="1549" t="str">
        <f t="shared" si="13"/>
        <v/>
      </c>
      <c r="T212" s="1549" t="str">
        <f t="shared" si="14"/>
        <v/>
      </c>
      <c r="V212" s="1558">
        <f t="shared" si="15"/>
        <v>0</v>
      </c>
      <c r="W212" s="1559">
        <f t="shared" si="16"/>
        <v>0</v>
      </c>
      <c r="X212" s="1559">
        <f t="shared" si="17"/>
        <v>0</v>
      </c>
      <c r="Y212" s="1549"/>
      <c r="Z212" s="1549"/>
      <c r="AA212" s="1549"/>
      <c r="AB212" s="1549"/>
      <c r="AC212" s="1549"/>
      <c r="AD212" s="1549"/>
      <c r="AE212" s="596"/>
      <c r="AF212" s="3205"/>
      <c r="AG212" s="3206"/>
      <c r="AH212" s="1422"/>
      <c r="AI212" s="1644"/>
      <c r="AJ212" s="1644"/>
      <c r="AK212" s="1424"/>
      <c r="AO212" s="604"/>
      <c r="BC212" s="2292"/>
      <c r="BF212" s="2345">
        <f t="shared" si="22"/>
        <v>0</v>
      </c>
      <c r="BG212" s="2345">
        <f t="shared" si="22"/>
        <v>0</v>
      </c>
      <c r="BH212" s="2345">
        <f t="shared" si="22"/>
        <v>0</v>
      </c>
      <c r="BI212" s="2345" t="str">
        <f>IF(BG212&lt;&gt;"",IFERROR(MATCH(BG212&amp;BH212,'Results from Trace'!$L$1:$L$21,0),""),"")</f>
        <v/>
      </c>
    </row>
    <row r="213" spans="1:61" ht="16.149999999999999" customHeight="1" x14ac:dyDescent="0.25">
      <c r="A213" s="1271" t="s">
        <v>1298</v>
      </c>
      <c r="B213" s="3351" t="str">
        <f>INDEX(PO_base_Add_EndUses,7, 1)</f>
        <v>Cooling (Gas)</v>
      </c>
      <c r="C213" s="3352"/>
      <c r="D213" s="3353">
        <f>INDEX(PO_baseline_table,43, 3)</f>
        <v>0</v>
      </c>
      <c r="E213" s="3351" t="str">
        <f>INDEX(PO_baseline_table,43, 4)</f>
        <v>Natural Gas</v>
      </c>
      <c r="F213" s="1464" t="str">
        <f>IFERROR(IF(ISBLANK(E213),"","Consumption (" &amp; VLOOKUP($E213,PO_Enrgy_1_Table,MATCH($C$16,PO_Enrgy_1_Hdr,0),FALSE) &amp; ")"),"")</f>
        <v/>
      </c>
      <c r="G213" s="1465" t="str">
        <f>INDEX(PO_baseline_table,43, 10)</f>
        <v/>
      </c>
      <c r="H213" s="1382"/>
      <c r="I213" s="1677" t="str">
        <f t="shared" si="19"/>
        <v/>
      </c>
      <c r="J213" s="3210" t="str">
        <f>IFERROR(IF($E$327-$H$327&lt;0,"",($G213-$H213)*VLOOKUP($E213,PO_Enrgy_1_Table,MATCH($K$16,PO_Enrgy_1_Hdr,0),FALSE)/($E$327-$H$327)),"")</f>
        <v/>
      </c>
      <c r="K213" s="3212" t="str">
        <f>IFERROR(IF($G$327-$J$327&lt;0,"",($G213*VLOOKUP($E213,PO_Enrgy_8_Table,MATCH($E$232,PO_Enrgy_8_Hdr,0),FALSE)-($H213*VLOOKUP($E213,PO_Enrgy_8_Table,MATCH($H$232,PO_Enrgy_8_Hdr,0),FALSE)))/($G$327-$J$327)),"")</f>
        <v/>
      </c>
      <c r="L213" s="3212"/>
      <c r="M213" s="3213" t="str">
        <f>IFERROR(H213*VLOOKUP($E213,PO_Enrgy_1_Table,MATCH($K$16,PO_Enrgy_1_Hdr,0))/$H$227,"")</f>
        <v/>
      </c>
      <c r="N213" s="1466"/>
      <c r="O213" s="835"/>
      <c r="P213" s="835"/>
      <c r="Q213" s="1549" t="str">
        <f t="shared" si="11"/>
        <v/>
      </c>
      <c r="R213" s="1549" t="str">
        <f t="shared" si="12"/>
        <v/>
      </c>
      <c r="S213" s="1549" t="str">
        <f t="shared" si="13"/>
        <v/>
      </c>
      <c r="T213" s="1549" t="str">
        <f t="shared" si="14"/>
        <v/>
      </c>
      <c r="V213" s="1558">
        <f t="shared" si="15"/>
        <v>0</v>
      </c>
      <c r="W213" s="1559">
        <f t="shared" si="16"/>
        <v>0</v>
      </c>
      <c r="X213" s="1559">
        <f t="shared" si="17"/>
        <v>0</v>
      </c>
      <c r="Y213" s="1549" t="b">
        <f>IFERROR(IF(D213="x",IF(OR(G213/H213&gt;1.03,G213/H213&lt;0.97),TRUE,FALSE),FALSE),FALSE)</f>
        <v>0</v>
      </c>
      <c r="Z213" s="1549">
        <f>IFERROR(J213*100,)</f>
        <v>0</v>
      </c>
      <c r="AA213" s="1549"/>
      <c r="AB213" s="1549">
        <f>RANK(Z213,$Z$171:$Z$218,0)</f>
        <v>1</v>
      </c>
      <c r="AC213" s="1549">
        <f>AB213+COUNTIF($AB$171:$AB212,AB213)</f>
        <v>22</v>
      </c>
      <c r="AD213" s="1549" t="str">
        <f>B213</f>
        <v>Cooling (Gas)</v>
      </c>
      <c r="AE213" s="1421"/>
      <c r="AF213" s="3205"/>
      <c r="AG213" s="3206"/>
      <c r="AH213" s="1422"/>
      <c r="AI213" s="1644"/>
      <c r="AJ213" s="1644"/>
      <c r="AK213" s="1423"/>
      <c r="AO213" s="604"/>
      <c r="BC213" s="2292"/>
      <c r="BF213" s="2345" t="str">
        <f t="shared" si="22"/>
        <v>BB</v>
      </c>
      <c r="BG213" s="2345">
        <f t="shared" si="22"/>
        <v>0</v>
      </c>
      <c r="BH213" s="2345">
        <f t="shared" si="22"/>
        <v>0</v>
      </c>
      <c r="BI213" s="2345" t="str">
        <f>IF(BG213&lt;&gt;"",IFERROR(MATCH(BG213&amp;BH213,'Results from Trace'!$L$1:$L$21,0),""),"")</f>
        <v/>
      </c>
    </row>
    <row r="214" spans="1:61" ht="15.75" customHeight="1" x14ac:dyDescent="0.25">
      <c r="A214" s="1271" t="s">
        <v>1298</v>
      </c>
      <c r="B214" s="3351"/>
      <c r="C214" s="3352"/>
      <c r="D214" s="3353"/>
      <c r="E214" s="3351"/>
      <c r="F214" s="1464" t="str">
        <f>IFERROR(IF(ISBLANK(E213),"","Demand (" &amp; VLOOKUP($E213,PO_Enrgy_1_Table,MATCH($E$16,PO_Enrgy_1_Hdr,0),FALSE) &amp; ")"),"")</f>
        <v/>
      </c>
      <c r="G214" s="1467" t="str">
        <f>INDEX(PO_baseline_table,44, 10)</f>
        <v/>
      </c>
      <c r="H214" s="1382"/>
      <c r="I214" s="1468" t="str">
        <f t="shared" si="19"/>
        <v/>
      </c>
      <c r="J214" s="3211"/>
      <c r="K214" s="3212"/>
      <c r="L214" s="3212"/>
      <c r="M214" s="3214"/>
      <c r="N214" s="1466"/>
      <c r="O214" s="835"/>
      <c r="P214" s="835"/>
      <c r="Q214" s="1549" t="str">
        <f t="shared" si="11"/>
        <v/>
      </c>
      <c r="R214" s="1549" t="str">
        <f t="shared" si="12"/>
        <v/>
      </c>
      <c r="S214" s="1549" t="str">
        <f t="shared" si="13"/>
        <v/>
      </c>
      <c r="T214" s="1549" t="str">
        <f t="shared" si="14"/>
        <v/>
      </c>
      <c r="V214" s="1558">
        <f t="shared" si="15"/>
        <v>0</v>
      </c>
      <c r="W214" s="1559">
        <f t="shared" si="16"/>
        <v>0</v>
      </c>
      <c r="X214" s="1559">
        <f t="shared" si="17"/>
        <v>0</v>
      </c>
      <c r="Y214" s="1549"/>
      <c r="Z214" s="1549"/>
      <c r="AA214" s="1549"/>
      <c r="AB214" s="1549"/>
      <c r="AC214" s="1549"/>
      <c r="AD214" s="1549"/>
      <c r="AE214" s="596"/>
      <c r="AF214" s="3206"/>
      <c r="AG214" s="3206"/>
      <c r="AH214" s="1277"/>
      <c r="AI214" s="1644"/>
      <c r="AJ214" s="1644"/>
      <c r="AK214" s="1424"/>
      <c r="AO214" s="604"/>
      <c r="BC214" s="2292"/>
      <c r="BF214" s="2345">
        <f t="shared" si="22"/>
        <v>0</v>
      </c>
      <c r="BG214" s="2345">
        <f t="shared" si="22"/>
        <v>0</v>
      </c>
      <c r="BH214" s="2345">
        <f t="shared" si="22"/>
        <v>0</v>
      </c>
      <c r="BI214" s="2345" t="str">
        <f>IF(BG214&lt;&gt;"",IFERROR(MATCH(BG214&amp;BH214,'Results from Trace'!$L$1:$L$21,0),""),"")</f>
        <v/>
      </c>
    </row>
    <row r="215" spans="1:61" ht="16.149999999999999" customHeight="1" x14ac:dyDescent="0.25">
      <c r="A215" s="1271" t="s">
        <v>1298</v>
      </c>
      <c r="B215" s="3351">
        <f>INDEX(PO_base_Add_EndUses,9, 1)</f>
        <v>0</v>
      </c>
      <c r="C215" s="3352"/>
      <c r="D215" s="3353">
        <f>INDEX(PO_baseline_table,45, 3)</f>
        <v>0</v>
      </c>
      <c r="E215" s="3351">
        <f>INDEX(PO_baseline_table,45, 4)</f>
        <v>0</v>
      </c>
      <c r="F215" s="1464" t="str">
        <f>IFERROR(IF(ISBLANK(E215),"","Consumption (" &amp; VLOOKUP($E215,PO_Enrgy_1_Table,MATCH($C$16,PO_Enrgy_1_Hdr,0),FALSE) &amp; ")"),"")</f>
        <v/>
      </c>
      <c r="G215" s="1465" t="str">
        <f>INDEX(PO_baseline_table,45, 10)</f>
        <v/>
      </c>
      <c r="H215" s="1382"/>
      <c r="I215" s="1677" t="str">
        <f t="shared" si="19"/>
        <v/>
      </c>
      <c r="J215" s="3210" t="str">
        <f>IFERROR(IF($E$327-$H$327&lt;0,"",($G215-$H215)*VLOOKUP($E215,PO_Enrgy_1_Table,MATCH($K$16,PO_Enrgy_1_Hdr,0),FALSE)/($E$327-$H$327)),"")</f>
        <v/>
      </c>
      <c r="K215" s="3212" t="str">
        <f>IFERROR(IF($G$327-$J$327&lt;0,"",($G215*VLOOKUP($E215,PO_Enrgy_8_Table,MATCH($E$232,PO_Enrgy_8_Hdr,0),FALSE)-($H215*VLOOKUP($E215,PO_Enrgy_8_Table,MATCH($H$232,PO_Enrgy_8_Hdr,0),FALSE)))/($G$327-$J$327)),"")</f>
        <v/>
      </c>
      <c r="L215" s="3212"/>
      <c r="M215" s="3213" t="str">
        <f>IFERROR(H215*VLOOKUP($E215,PO_Enrgy_1_Table,MATCH($K$16,PO_Enrgy_1_Hdr,0))/$H$227,"")</f>
        <v/>
      </c>
      <c r="N215" s="1466"/>
      <c r="O215" s="835"/>
      <c r="P215" s="835"/>
      <c r="Q215" s="1549" t="str">
        <f t="shared" si="11"/>
        <v/>
      </c>
      <c r="R215" s="1549" t="str">
        <f t="shared" si="12"/>
        <v/>
      </c>
      <c r="S215" s="1549" t="str">
        <f t="shared" si="13"/>
        <v/>
      </c>
      <c r="T215" s="1549" t="str">
        <f t="shared" si="14"/>
        <v/>
      </c>
      <c r="V215" s="1558">
        <f t="shared" si="15"/>
        <v>0</v>
      </c>
      <c r="W215" s="1559">
        <f t="shared" si="16"/>
        <v>0</v>
      </c>
      <c r="X215" s="1559">
        <f t="shared" si="17"/>
        <v>0</v>
      </c>
      <c r="Y215" s="1549" t="b">
        <f>IFERROR(IF(D215="x",IF(OR(G215/H215&gt;1.03,G215/H215&lt;0.97),TRUE,FALSE),FALSE),FALSE)</f>
        <v>0</v>
      </c>
      <c r="Z215" s="1549">
        <f>IFERROR(J215*100,)</f>
        <v>0</v>
      </c>
      <c r="AA215" s="1549"/>
      <c r="AB215" s="1549">
        <f>RANK(Z215,$Z$171:$Z$218,0)</f>
        <v>1</v>
      </c>
      <c r="AC215" s="1549">
        <f>AB215+COUNTIF($AB$171:$AB214,AB215)</f>
        <v>23</v>
      </c>
      <c r="AD215" s="1549">
        <f>B215</f>
        <v>0</v>
      </c>
      <c r="AE215" s="1421"/>
      <c r="AF215" s="3205"/>
      <c r="AG215" s="3206"/>
      <c r="AH215" s="1422"/>
      <c r="AI215" s="1644"/>
      <c r="AJ215" s="1644"/>
      <c r="AK215" s="1423"/>
      <c r="AO215" s="604"/>
      <c r="BC215" s="2292"/>
      <c r="BF215" s="2345">
        <f t="shared" si="22"/>
        <v>0</v>
      </c>
      <c r="BG215" s="2345">
        <f t="shared" si="22"/>
        <v>0</v>
      </c>
      <c r="BH215" s="2345">
        <f t="shared" si="22"/>
        <v>0</v>
      </c>
      <c r="BI215" s="2345" t="str">
        <f>IF(BG215&lt;&gt;"",IFERROR(MATCH(BG215&amp;BH215,'Results from Trace'!$L$1:$L$21,0),""),"")</f>
        <v/>
      </c>
    </row>
    <row r="216" spans="1:61" ht="16.5" customHeight="1" x14ac:dyDescent="0.25">
      <c r="A216" s="1271" t="s">
        <v>1298</v>
      </c>
      <c r="B216" s="3351"/>
      <c r="C216" s="3352"/>
      <c r="D216" s="3353"/>
      <c r="E216" s="3351"/>
      <c r="F216" s="1464" t="str">
        <f>IFERROR(IF(ISBLANK(E215),"","Demand (" &amp; VLOOKUP($E215,PO_Enrgy_1_Table,MATCH($E$16,PO_Enrgy_1_Hdr,0),FALSE) &amp; ")"),"")</f>
        <v/>
      </c>
      <c r="G216" s="1467" t="str">
        <f>INDEX(PO_baseline_table,46, 10)</f>
        <v/>
      </c>
      <c r="H216" s="1382"/>
      <c r="I216" s="1468" t="str">
        <f t="shared" si="19"/>
        <v/>
      </c>
      <c r="J216" s="3211"/>
      <c r="K216" s="3212"/>
      <c r="L216" s="3212"/>
      <c r="M216" s="3214"/>
      <c r="N216" s="1466"/>
      <c r="O216" s="835"/>
      <c r="P216" s="835"/>
      <c r="Q216" s="1549" t="str">
        <f t="shared" si="11"/>
        <v/>
      </c>
      <c r="R216" s="1549" t="str">
        <f t="shared" si="12"/>
        <v/>
      </c>
      <c r="S216" s="1549" t="str">
        <f t="shared" si="13"/>
        <v/>
      </c>
      <c r="T216" s="1549" t="str">
        <f t="shared" si="14"/>
        <v/>
      </c>
      <c r="V216" s="1558">
        <f t="shared" si="15"/>
        <v>0</v>
      </c>
      <c r="W216" s="1559">
        <f t="shared" si="16"/>
        <v>0</v>
      </c>
      <c r="X216" s="1559">
        <f t="shared" si="17"/>
        <v>0</v>
      </c>
      <c r="Y216" s="1549"/>
      <c r="Z216" s="1549"/>
      <c r="AA216" s="1549"/>
      <c r="AB216" s="1549"/>
      <c r="AC216" s="1549"/>
      <c r="AD216" s="1549"/>
      <c r="AE216" s="596"/>
      <c r="AF216" s="3205"/>
      <c r="AG216" s="3206"/>
      <c r="AH216" s="1422"/>
      <c r="AI216" s="1644"/>
      <c r="AJ216" s="1644"/>
      <c r="AK216" s="1424"/>
      <c r="AO216" s="604"/>
      <c r="BC216" s="2292"/>
      <c r="BF216" s="2345">
        <f t="shared" si="22"/>
        <v>0</v>
      </c>
      <c r="BG216" s="2345">
        <f t="shared" si="22"/>
        <v>0</v>
      </c>
      <c r="BH216" s="2345">
        <f t="shared" si="22"/>
        <v>0</v>
      </c>
      <c r="BI216" s="2345" t="str">
        <f>IF(BG216&lt;&gt;"",IFERROR(MATCH(BG216&amp;BH216,'Results from Trace'!$L$1:$L$21,0),""),"")</f>
        <v/>
      </c>
    </row>
    <row r="217" spans="1:61" ht="16.149999999999999" customHeight="1" x14ac:dyDescent="0.25">
      <c r="A217" s="1271" t="s">
        <v>1298</v>
      </c>
      <c r="B217" s="3351">
        <f>INDEX(PO_base_Add_EndUses,11, 1)</f>
        <v>0</v>
      </c>
      <c r="C217" s="3352"/>
      <c r="D217" s="3353">
        <f>INDEX(PO_baseline_table,47, 3)</f>
        <v>0</v>
      </c>
      <c r="E217" s="3351">
        <f>INDEX(PO_baseline_table,47, 4)</f>
        <v>0</v>
      </c>
      <c r="F217" s="1464" t="str">
        <f>IFERROR(IF(ISBLANK(E217),"","Consumption (" &amp; VLOOKUP($E217,PO_Enrgy_1_Table,MATCH($C$16,PO_Enrgy_1_Hdr,0),FALSE) &amp; ")"),"")</f>
        <v/>
      </c>
      <c r="G217" s="1465" t="str">
        <f>INDEX(PO_baseline_table,47, 10)</f>
        <v/>
      </c>
      <c r="H217" s="1382"/>
      <c r="I217" s="1677" t="str">
        <f t="shared" si="19"/>
        <v/>
      </c>
      <c r="J217" s="3210" t="str">
        <f>IFERROR(IF($E$327-$H$327&lt;0,"",($G217-$H217)*VLOOKUP($E217,PO_Enrgy_1_Table,MATCH($K$16,PO_Enrgy_1_Hdr,0),FALSE)/($E$327-$H$327)),"")</f>
        <v/>
      </c>
      <c r="K217" s="3212" t="str">
        <f>IFERROR(IF($G$327-$J$327&lt;0,"",($G217*VLOOKUP($E217,PO_Enrgy_8_Table,MATCH($E$232,PO_Enrgy_8_Hdr,0),FALSE)-($H217*VLOOKUP($E217,PO_Enrgy_8_Table,MATCH($H$232,PO_Enrgy_8_Hdr,0),FALSE)))/($G$327-$J$327)),"")</f>
        <v/>
      </c>
      <c r="L217" s="3212"/>
      <c r="M217" s="3213" t="str">
        <f>IFERROR(H217*VLOOKUP($E217,PO_Enrgy_1_Table,MATCH($K$16,PO_Enrgy_1_Hdr,0))/$H$227,"")</f>
        <v/>
      </c>
      <c r="N217" s="1466"/>
      <c r="O217" s="835"/>
      <c r="P217" s="835"/>
      <c r="Q217" s="1549" t="str">
        <f t="shared" si="11"/>
        <v/>
      </c>
      <c r="R217" s="1549" t="str">
        <f t="shared" si="12"/>
        <v/>
      </c>
      <c r="S217" s="1549" t="str">
        <f t="shared" si="13"/>
        <v/>
      </c>
      <c r="T217" s="1549" t="str">
        <f t="shared" si="14"/>
        <v/>
      </c>
      <c r="V217" s="1558">
        <f t="shared" si="15"/>
        <v>0</v>
      </c>
      <c r="W217" s="1559">
        <f t="shared" si="16"/>
        <v>0</v>
      </c>
      <c r="X217" s="1559">
        <f t="shared" si="17"/>
        <v>0</v>
      </c>
      <c r="Y217" s="1549" t="b">
        <f>IFERROR(IF(D217="x",IF(OR(G217/H217&gt;1.03,G217/H217&lt;0.97),TRUE,FALSE),FALSE),FALSE)</f>
        <v>0</v>
      </c>
      <c r="Z217" s="1549">
        <f>IFERROR(J217*100,)</f>
        <v>0</v>
      </c>
      <c r="AA217" s="1549"/>
      <c r="AB217" s="1549">
        <f>RANK(Z217,$Z$171:$Z$218,0)</f>
        <v>1</v>
      </c>
      <c r="AC217" s="1549">
        <f>AB217+COUNTIF($AB$171:$AB216,AB217)</f>
        <v>24</v>
      </c>
      <c r="AD217" s="1549">
        <f>B217</f>
        <v>0</v>
      </c>
      <c r="AE217" s="1421"/>
      <c r="AF217" s="3205"/>
      <c r="AG217" s="3206"/>
      <c r="AH217" s="1422"/>
      <c r="AI217" s="1644"/>
      <c r="AJ217" s="1644"/>
      <c r="AK217" s="1423"/>
      <c r="AO217" s="604"/>
      <c r="BC217" s="2292"/>
      <c r="BF217" s="2345">
        <f t="shared" si="22"/>
        <v>0</v>
      </c>
      <c r="BG217" s="2345">
        <f t="shared" si="22"/>
        <v>0</v>
      </c>
      <c r="BH217" s="2345">
        <f t="shared" si="22"/>
        <v>0</v>
      </c>
      <c r="BI217" s="2345" t="str">
        <f>IF(BG217&lt;&gt;"",IFERROR(MATCH(BG217&amp;BH217,'Results from Trace'!$L$1:$L$21,0),""),"")</f>
        <v/>
      </c>
    </row>
    <row r="218" spans="1:61" ht="15.75" customHeight="1" x14ac:dyDescent="0.25">
      <c r="A218" s="1271" t="s">
        <v>1298</v>
      </c>
      <c r="B218" s="3351"/>
      <c r="C218" s="3352"/>
      <c r="D218" s="3353"/>
      <c r="E218" s="3351"/>
      <c r="F218" s="1464" t="str">
        <f>IFERROR(IF(ISBLANK(E217),"","Demand (" &amp; VLOOKUP($E217,PO_Enrgy_1_Table,MATCH($E$16,PO_Enrgy_1_Hdr,0),FALSE) &amp; ")"),"")</f>
        <v/>
      </c>
      <c r="G218" s="1467" t="str">
        <f>INDEX(PO_baseline_table,48, 10)</f>
        <v/>
      </c>
      <c r="H218" s="1382"/>
      <c r="I218" s="1468" t="str">
        <f t="shared" si="19"/>
        <v/>
      </c>
      <c r="J218" s="3211"/>
      <c r="K218" s="3212"/>
      <c r="L218" s="3212"/>
      <c r="M218" s="3214"/>
      <c r="N218" s="1466"/>
      <c r="O218" s="835"/>
      <c r="P218" s="835"/>
      <c r="Q218" s="1549" t="str">
        <f t="shared" si="11"/>
        <v/>
      </c>
      <c r="R218" s="1549" t="str">
        <f t="shared" si="12"/>
        <v/>
      </c>
      <c r="S218" s="1549" t="str">
        <f t="shared" si="13"/>
        <v/>
      </c>
      <c r="T218" s="1549" t="str">
        <f t="shared" si="14"/>
        <v/>
      </c>
      <c r="V218" s="1558">
        <f t="shared" si="15"/>
        <v>0</v>
      </c>
      <c r="W218" s="1559">
        <f t="shared" si="16"/>
        <v>0</v>
      </c>
      <c r="X218" s="1559">
        <f t="shared" si="17"/>
        <v>0</v>
      </c>
      <c r="Y218" s="1549"/>
      <c r="Z218" s="1549"/>
      <c r="AA218" s="1549"/>
      <c r="AB218" s="1549"/>
      <c r="AC218" s="1549"/>
      <c r="AD218" s="1549"/>
      <c r="AE218" s="596"/>
      <c r="AF218" s="3206"/>
      <c r="AG218" s="3206"/>
      <c r="AH218" s="1277"/>
      <c r="AI218" s="1644"/>
      <c r="AJ218" s="1644"/>
      <c r="AK218" s="1424"/>
      <c r="AO218" s="604"/>
      <c r="BC218" s="2292"/>
      <c r="BF218" s="2345">
        <f t="shared" si="22"/>
        <v>0</v>
      </c>
      <c r="BG218" s="2345">
        <f t="shared" si="22"/>
        <v>0</v>
      </c>
      <c r="BH218" s="2345">
        <f t="shared" si="22"/>
        <v>0</v>
      </c>
      <c r="BI218" s="2345" t="str">
        <f>IF(BG218&lt;&gt;"",IFERROR(MATCH(BG218&amp;BH218,'Results from Trace'!$L$1:$L$21,0),""),"")</f>
        <v/>
      </c>
    </row>
    <row r="219" spans="1:61" ht="21" customHeight="1" x14ac:dyDescent="0.25">
      <c r="A219" s="1271" t="s">
        <v>1298</v>
      </c>
      <c r="B219" s="590"/>
      <c r="C219" s="590"/>
      <c r="D219" s="1646"/>
      <c r="E219" s="617"/>
      <c r="F219" s="630"/>
      <c r="G219" s="631"/>
      <c r="H219" s="631"/>
      <c r="I219" s="632"/>
      <c r="J219" s="631"/>
      <c r="K219" s="631"/>
      <c r="L219" s="633"/>
      <c r="M219" s="633"/>
      <c r="N219" s="564"/>
      <c r="O219" s="564"/>
      <c r="Q219" s="564"/>
      <c r="R219" s="564"/>
      <c r="S219" s="1478"/>
      <c r="BF219" s="2345">
        <f t="shared" si="22"/>
        <v>0</v>
      </c>
      <c r="BG219" s="2345">
        <f t="shared" si="22"/>
        <v>0</v>
      </c>
      <c r="BH219" s="2345">
        <f t="shared" si="22"/>
        <v>0</v>
      </c>
      <c r="BI219" s="2345" t="str">
        <f>IF(BG219&lt;&gt;"",IFERROR(MATCH(BG219&amp;BH219,'Results from Trace'!$L$1:$L$21,0),""),"")</f>
        <v/>
      </c>
    </row>
    <row r="220" spans="1:61" ht="24" customHeight="1" x14ac:dyDescent="0.25">
      <c r="A220" s="1271" t="s">
        <v>1298</v>
      </c>
      <c r="B220" s="643" t="s">
        <v>1267</v>
      </c>
      <c r="C220" s="644"/>
      <c r="D220" s="644"/>
      <c r="E220" s="644"/>
      <c r="F220" s="644"/>
      <c r="G220" s="644"/>
      <c r="H220" s="644"/>
      <c r="I220" s="644"/>
      <c r="J220" s="644"/>
      <c r="K220" s="644"/>
      <c r="L220" s="644"/>
      <c r="M220" s="644"/>
      <c r="N220" s="564"/>
      <c r="Q220" s="564"/>
      <c r="R220" s="564"/>
      <c r="S220" s="596"/>
      <c r="BF220" s="2345">
        <f t="shared" ref="BF220:BH224" si="23">BF146</f>
        <v>0</v>
      </c>
      <c r="BG220" s="2345">
        <f t="shared" si="23"/>
        <v>0</v>
      </c>
      <c r="BH220" s="2345">
        <f t="shared" si="23"/>
        <v>0</v>
      </c>
      <c r="BI220" s="2345" t="str">
        <f>IF(BG220&lt;&gt;"",IFERROR(MATCH(BG220&amp;BH220,'Results from Trace'!$L$1:$L$21,0),""),"")</f>
        <v/>
      </c>
    </row>
    <row r="221" spans="1:61" ht="21.75" customHeight="1" x14ac:dyDescent="0.25">
      <c r="A221" s="1271" t="s">
        <v>1298</v>
      </c>
      <c r="B221" s="3124" t="s">
        <v>444</v>
      </c>
      <c r="C221" s="3165" t="s">
        <v>1805</v>
      </c>
      <c r="D221" s="3125"/>
      <c r="E221" s="3123" t="s">
        <v>347</v>
      </c>
      <c r="F221" s="3124"/>
      <c r="G221" s="3124"/>
      <c r="H221" s="3123" t="s">
        <v>348</v>
      </c>
      <c r="I221" s="3124"/>
      <c r="J221" s="3124"/>
      <c r="K221" s="3123" t="s">
        <v>448</v>
      </c>
      <c r="L221" s="3124"/>
      <c r="M221" s="2728"/>
      <c r="N221" s="653"/>
      <c r="O221" s="650"/>
      <c r="P221" s="650"/>
      <c r="S221" s="596"/>
      <c r="T221" s="564"/>
      <c r="BF221" s="2345">
        <f t="shared" si="23"/>
        <v>0</v>
      </c>
      <c r="BG221" s="2345">
        <f t="shared" si="23"/>
        <v>0</v>
      </c>
      <c r="BH221" s="2345">
        <f t="shared" si="23"/>
        <v>0</v>
      </c>
      <c r="BI221" s="2345" t="str">
        <f>IF(BG221&lt;&gt;"",IFERROR(MATCH(BG221&amp;BH221,'Results from Trace'!$L$1:$L$21,0),""),"")</f>
        <v/>
      </c>
    </row>
    <row r="222" spans="1:61" ht="63.75" customHeight="1" x14ac:dyDescent="0.25">
      <c r="A222" s="1271" t="s">
        <v>1298</v>
      </c>
      <c r="B222" s="3125"/>
      <c r="C222" s="3125"/>
      <c r="D222" s="3125"/>
      <c r="E222" s="1633" t="s">
        <v>1116</v>
      </c>
      <c r="F222" s="1634" t="str">
        <f>"Source Energy Use 
("  &amp; PO_SourceUnits &amp; ")"</f>
        <v>Source Energy Use 
(Btu x 10^6)</v>
      </c>
      <c r="G222" s="1624" t="s">
        <v>446</v>
      </c>
      <c r="H222" s="1633" t="s">
        <v>1116</v>
      </c>
      <c r="I222" s="1634" t="str">
        <f>"Source Energy Use 
("  &amp; PO_SourceUnits &amp; ")"</f>
        <v>Source Energy Use 
(Btu x 10^6)</v>
      </c>
      <c r="J222" s="1624" t="s">
        <v>446</v>
      </c>
      <c r="K222" s="3123" t="s">
        <v>447</v>
      </c>
      <c r="L222" s="3204"/>
      <c r="M222" s="1633" t="s">
        <v>446</v>
      </c>
      <c r="N222" s="650"/>
      <c r="O222" s="650"/>
      <c r="P222" s="650"/>
      <c r="S222" s="564"/>
      <c r="T222" s="564"/>
      <c r="AD222" s="596"/>
      <c r="AE222" s="596"/>
      <c r="AF222" s="16"/>
      <c r="AG222" s="596"/>
      <c r="AH222" s="596"/>
      <c r="AI222" s="596"/>
      <c r="AJ222" s="596"/>
      <c r="AK222" s="596"/>
      <c r="AL222" s="596"/>
      <c r="AM222" s="596"/>
      <c r="AN222" s="596"/>
      <c r="AO222" s="596"/>
      <c r="BF222" s="2345">
        <f t="shared" si="23"/>
        <v>0</v>
      </c>
      <c r="BG222" s="2345">
        <f t="shared" si="23"/>
        <v>0</v>
      </c>
      <c r="BH222" s="2345">
        <f t="shared" si="23"/>
        <v>0</v>
      </c>
      <c r="BI222" s="2345" t="str">
        <f>IF(BG222&lt;&gt;"",IFERROR(MATCH(BG222&amp;BH222,'Results from Trace'!$L$1:$L$21,0),""),"")</f>
        <v/>
      </c>
    </row>
    <row r="223" spans="1:61" s="1288" customFormat="1" ht="21.75" hidden="1" customHeight="1" x14ac:dyDescent="0.25">
      <c r="A223" s="1271" t="s">
        <v>1298</v>
      </c>
      <c r="B223" s="1379" t="s">
        <v>1765</v>
      </c>
      <c r="C223" s="1379" t="s">
        <v>1793</v>
      </c>
      <c r="D223" s="1379"/>
      <c r="E223" s="1315" t="s">
        <v>1821</v>
      </c>
      <c r="F223" s="1316" t="s">
        <v>1822</v>
      </c>
      <c r="G223" s="1317" t="s">
        <v>1823</v>
      </c>
      <c r="H223" s="1315" t="s">
        <v>1806</v>
      </c>
      <c r="I223" s="1316" t="s">
        <v>1807</v>
      </c>
      <c r="J223" s="1317" t="s">
        <v>1808</v>
      </c>
      <c r="K223" s="1307" t="s">
        <v>1809</v>
      </c>
      <c r="L223" s="1379"/>
      <c r="M223" s="1307" t="s">
        <v>1810</v>
      </c>
      <c r="N223" s="1285"/>
      <c r="O223" s="1286"/>
      <c r="P223" s="1286"/>
      <c r="Q223" s="1249" t="s">
        <v>1776</v>
      </c>
      <c r="R223" s="1249" t="s">
        <v>1777</v>
      </c>
      <c r="S223" s="1287"/>
      <c r="T223" s="1287"/>
      <c r="AD223" s="1289"/>
      <c r="AE223" s="1289"/>
      <c r="AF223" s="1289"/>
      <c r="AG223" s="1289"/>
      <c r="AH223" s="1289"/>
      <c r="AI223" s="1289"/>
      <c r="AJ223" s="1289"/>
      <c r="AK223" s="1289"/>
      <c r="AL223" s="1289"/>
      <c r="AM223" s="1289"/>
      <c r="AN223" s="1289"/>
      <c r="AO223" s="1289"/>
      <c r="BF223" s="2345">
        <f t="shared" si="23"/>
        <v>0</v>
      </c>
      <c r="BG223" s="2345">
        <f t="shared" si="23"/>
        <v>0</v>
      </c>
      <c r="BH223" s="2345">
        <f t="shared" si="23"/>
        <v>0</v>
      </c>
      <c r="BI223" s="2345" t="str">
        <f>IF(BG223&lt;&gt;"",IFERROR(MATCH(BG223&amp;BH223,'Results from Trace'!$L$1:$L$21,0),""),"")</f>
        <v/>
      </c>
    </row>
    <row r="224" spans="1:61" ht="18" customHeight="1" x14ac:dyDescent="0.25">
      <c r="A224" s="1271" t="s">
        <v>1298</v>
      </c>
      <c r="B224" s="1678" t="str">
        <f>IFERROR(IF(ISBLANK(B17),"",B17),"")</f>
        <v>Electricity</v>
      </c>
      <c r="C224" s="3126" t="str">
        <f>IFERROR(IF(ISBLANK($B224),"",VLOOKUP($B224,PO_Enrgy_1_Table,MATCH($C$16,PO_Enrgy_1_Hdr,0),FALSE) ),"")</f>
        <v>kWh</v>
      </c>
      <c r="D224" s="3127" t="e">
        <f>IF(C224="","",VLOOKUP(C224,ProjectEnergyTypeTable,3,FALSE))</f>
        <v>#NAME?</v>
      </c>
      <c r="E224" s="1414">
        <f>IFERROR(SUMIFS(G$171:G$218,$F$171:$F$218,"=Con*",$E$171:$E$218,$B224), 0)</f>
        <v>0</v>
      </c>
      <c r="F224" s="1414">
        <f>IFERROR(SUMIFS(G$171:G$218,$F$171:$F$218,"=Con*",$E$171:$E$218,$B224)*VLOOKUP($B224,PO_Enrgy_1_Table,MATCH($M$16,PO_Enrgy_1_Hdr,0),FALSE), 0)</f>
        <v>0</v>
      </c>
      <c r="G224" s="1469" t="str">
        <f>INDEX(PO_Enrgy_6_Table,MATCH($B224,PO_Enrgy_6_Index,0)-1, 10)</f>
        <v/>
      </c>
      <c r="H224" s="1414">
        <f>IFERROR(SUMIFS(H$171:H$218,$F$171:$F$218,"=Con*",$E$171:$E$218,$B224), 0)</f>
        <v>0</v>
      </c>
      <c r="I224" s="1414">
        <f>IFERROR(SUMIFS(H$171:H$218,$F$171:$F$218,"=Con*",$E$171:$E$218,$B224)*VLOOKUP($B224,PO_Enrgy_1_Table,MATCH($M$16,PO_Enrgy_1_Hdr,0),FALSE), 0)</f>
        <v>0</v>
      </c>
      <c r="J224" s="1385"/>
      <c r="K224" s="3133" t="str">
        <f>IFERROR(1-H224/E224,"")</f>
        <v/>
      </c>
      <c r="L224" s="3134"/>
      <c r="M224" s="1679" t="str">
        <f>IFERROR(1-J224/G224,"")</f>
        <v/>
      </c>
      <c r="N224" s="842"/>
      <c r="O224" s="842"/>
      <c r="P224" s="842"/>
      <c r="Q224" s="1549">
        <f>IFERROR(IF(ISBLANK($B224),"",VLOOKUP($B224,PO_Enrgy_1_Table,MATCH($K$16,PO_Enrgy_1_Hdr,0),FALSE)),"")</f>
        <v>3.4120000000000001E-3</v>
      </c>
      <c r="R224" s="1549">
        <f>IFERROR(IF(ISBLANK($B224),"",VLOOKUP($B224,PO_Enrgy_1_Table,MATCH($M$16,PO_Enrgy_1_Hdr,0),FALSE)),"")</f>
        <v>1.0713680000000001E-2</v>
      </c>
      <c r="S224" s="564"/>
      <c r="T224" s="564"/>
      <c r="AD224" s="1291"/>
      <c r="AE224" s="1291"/>
      <c r="AF224" s="1292"/>
      <c r="AG224" s="605"/>
      <c r="AH224" s="1293"/>
      <c r="AI224" s="1294"/>
      <c r="AJ224" s="596"/>
      <c r="AK224" s="596"/>
      <c r="AL224" s="596"/>
      <c r="AM224" s="596"/>
      <c r="AN224" s="596"/>
      <c r="AO224" s="596"/>
      <c r="BC224" s="2292"/>
      <c r="BF224" s="2345">
        <f t="shared" si="23"/>
        <v>0</v>
      </c>
      <c r="BG224" s="2345">
        <f t="shared" si="23"/>
        <v>0</v>
      </c>
      <c r="BH224" s="2345">
        <f t="shared" si="23"/>
        <v>0</v>
      </c>
      <c r="BI224" s="2345" t="str">
        <f>IF(BG224&lt;&gt;"",IFERROR(MATCH(BG224&amp;BH224,'Results from Trace'!$L$1:$L$21,0),""),"")</f>
        <v/>
      </c>
    </row>
    <row r="225" spans="1:55" ht="18" customHeight="1" x14ac:dyDescent="0.25">
      <c r="A225" s="1271" t="s">
        <v>1298</v>
      </c>
      <c r="B225" s="1678" t="str">
        <f>IFERROR(IF(ISBLANK(B18),"",B18),"")</f>
        <v>District Steam</v>
      </c>
      <c r="C225" s="3126" t="str">
        <f>IFERROR(IF(ISBLANK($B225),"",VLOOKUP($B225,PO_Enrgy_1_Table,MATCH($C$16,PO_Enrgy_1_Hdr,0),FALSE) ),"")</f>
        <v>therm</v>
      </c>
      <c r="D225" s="3127" t="e">
        <f>IF(C225="","",VLOOKUP(C225,ProjectEnergyTypeTable,3,FALSE))</f>
        <v>#NAME?</v>
      </c>
      <c r="E225" s="1414">
        <f>IFERROR(SUMIFS(G$171:G$218,$F$171:$F$218,"=Con*",$E$171:$E$218,$B225), 0)</f>
        <v>0</v>
      </c>
      <c r="F225" s="1414">
        <f>IFERROR(SUMIFS(G$171:G$218,$F$171:$F$218,"=Con*",$E$171:$E$218,$B225)*VLOOKUP($B225,PO_Enrgy_1_Table,MATCH($M$16,PO_Enrgy_1_Hdr,0),FALSE), 0)</f>
        <v>0</v>
      </c>
      <c r="G225" s="1469" t="str">
        <f>INDEX(PO_Enrgy_6_Table,MATCH($B225,PO_Enrgy_6_Index,0)-1, 10)</f>
        <v/>
      </c>
      <c r="H225" s="1414">
        <f>IFERROR(SUMIFS(H$171:H$218,$F$171:$F$218,"=Con*",$E$171:$E$218,$B225), 0)</f>
        <v>0</v>
      </c>
      <c r="I225" s="1414">
        <f>IFERROR(SUMIFS(H$171:H$218,$F$171:$F$218,"=Con*",$E$171:$E$218,$B225)*VLOOKUP($B225,PO_Enrgy_1_Table,MATCH($M$16,PO_Enrgy_1_Hdr,0),FALSE), 0)</f>
        <v>0</v>
      </c>
      <c r="J225" s="1385"/>
      <c r="K225" s="3133" t="str">
        <f>IFERROR(1-H225/E225,"")</f>
        <v/>
      </c>
      <c r="L225" s="3134"/>
      <c r="M225" s="1679" t="str">
        <f>IFERROR(1-J225/G225,"")</f>
        <v/>
      </c>
      <c r="N225" s="842"/>
      <c r="O225" s="842"/>
      <c r="P225" s="842"/>
      <c r="Q225" s="1549">
        <f>IFERROR(IF(ISBLANK($B225),"",VLOOKUP($B225,PO_Enrgy_1_Table,MATCH($K$16,PO_Enrgy_1_Hdr,0),FALSE)),"")</f>
        <v>0.1</v>
      </c>
      <c r="R225" s="1549">
        <f>IFERROR(IF(ISBLANK($B225),"",VLOOKUP($B225,PO_Enrgy_1_Table,MATCH($M$16,PO_Enrgy_1_Hdr,0),FALSE)),"")</f>
        <v>0.12</v>
      </c>
      <c r="S225" s="564"/>
      <c r="T225" s="564"/>
      <c r="AD225" s="1291"/>
      <c r="AE225" s="1291"/>
      <c r="AF225" s="1292"/>
      <c r="AG225" s="605"/>
      <c r="AH225" s="1293"/>
      <c r="AI225" s="1294"/>
      <c r="AJ225" s="596"/>
      <c r="AK225" s="596"/>
      <c r="AL225" s="596"/>
      <c r="AM225" s="596"/>
      <c r="AN225" s="596"/>
      <c r="AO225" s="596"/>
      <c r="BC225" s="2292"/>
    </row>
    <row r="226" spans="1:55" ht="18" customHeight="1" x14ac:dyDescent="0.25">
      <c r="A226" s="1271" t="s">
        <v>1298</v>
      </c>
      <c r="B226" s="2158" t="str">
        <f>IFERROR(IF(ISBLANK(B19),"",B19),"")</f>
        <v>District Cooling</v>
      </c>
      <c r="C226" s="3126" t="str">
        <f>IFERROR(IF(ISBLANK($B226),"",VLOOKUP($B226,PO_Enrgy_1_Table,MATCH($C$16,PO_Enrgy_1_Hdr,0),FALSE) ),"")</f>
        <v>therm</v>
      </c>
      <c r="D226" s="3127" t="e">
        <f>IF(C226="","",VLOOKUP(C226,ProjectEnergyTypeTable,3,FALSE))</f>
        <v>#NAME?</v>
      </c>
      <c r="E226" s="1414">
        <f>IFERROR(SUMIFS(G$171:G$218,$F$171:$F$218,"=Con*",$E$171:$E$218,$B226), 0)</f>
        <v>0</v>
      </c>
      <c r="F226" s="1414">
        <f>IFERROR(SUMIFS(G$171:G$218,$F$171:$F$218,"=Con*",$E$171:$E$218,$B226)*VLOOKUP($B226,PO_Enrgy_1_Table,MATCH($M$16,PO_Enrgy_1_Hdr,0),FALSE), 0)</f>
        <v>0</v>
      </c>
      <c r="G226" s="1469" t="str">
        <f>INDEX(PO_Enrgy_6_Table,MATCH($B226,PO_Enrgy_6_Index,0)-1, 10)</f>
        <v/>
      </c>
      <c r="H226" s="1414">
        <f>IFERROR(SUMIFS(H$171:H$218,$F$171:$F$218,"=Con*",$E$171:$E$218,$B226), 0)</f>
        <v>0</v>
      </c>
      <c r="I226" s="1414">
        <f>IFERROR(SUMIFS(H$171:H$218,$F$171:$F$218,"=Con*",$E$171:$E$218,$B226)*VLOOKUP($B226,PO_Enrgy_1_Table,MATCH($M$16,PO_Enrgy_1_Hdr,0),FALSE), 0)</f>
        <v>0</v>
      </c>
      <c r="J226" s="2152"/>
      <c r="K226" s="3133" t="str">
        <f>IFERROR(1-H226/E226,"")</f>
        <v/>
      </c>
      <c r="L226" s="3134"/>
      <c r="M226" s="2159" t="str">
        <f>IFERROR(1-J226/G226,"")</f>
        <v/>
      </c>
      <c r="N226" s="842"/>
      <c r="O226" s="842"/>
      <c r="P226" s="842"/>
      <c r="Q226" s="1549">
        <f>IFERROR(IF(ISBLANK($B226),"",VLOOKUP($B226,PO_Enrgy_1_Table,MATCH($K$16,PO_Enrgy_1_Hdr,0),FALSE)),"")</f>
        <v>0.1</v>
      </c>
      <c r="R226" s="1549">
        <f>IFERROR(IF(ISBLANK($B226),"",VLOOKUP($B226,PO_Enrgy_1_Table,MATCH($M$16,PO_Enrgy_1_Hdr,0),FALSE)),"")</f>
        <v>0.1</v>
      </c>
      <c r="S226" s="564"/>
      <c r="T226" s="564"/>
      <c r="AD226" s="1291"/>
      <c r="AE226" s="1291"/>
      <c r="AF226" s="1292"/>
      <c r="AG226" s="605"/>
      <c r="AH226" s="1293"/>
      <c r="AI226" s="1294"/>
      <c r="AJ226" s="596"/>
      <c r="AK226" s="596"/>
      <c r="AL226" s="596"/>
      <c r="AM226" s="596"/>
      <c r="AN226" s="596"/>
      <c r="AO226" s="596"/>
      <c r="BC226" s="2292"/>
    </row>
    <row r="227" spans="1:55" s="594" customFormat="1" ht="21" customHeight="1" x14ac:dyDescent="0.25">
      <c r="A227" s="1271" t="s">
        <v>1298</v>
      </c>
      <c r="B227" s="3120" t="str">
        <f>"Energy model subtotal (" &amp; PO_SiteUnits &amp; ")"</f>
        <v>Energy model subtotal (Btu x 10^6)</v>
      </c>
      <c r="C227" s="3120"/>
      <c r="D227" s="3120"/>
      <c r="E227" s="1384">
        <f>IFERROR(SUMPRODUCT(INDEX(PO_Enrgy_7_Table,0,MATCH(E$223,PO_Enrgy_7_Hdr,0)),INDEX(PO_Enrgy_7_Table,0,MATCH($Q$223,PO_Enrgy_7_Hdr,0))),"")</f>
        <v>0</v>
      </c>
      <c r="F227" s="1384">
        <f>IFERROR(SUM(INDEX(PO_Enrgy_7_Table,0,MATCH(F$223,PO_Enrgy_7_Hdr,0))),"")</f>
        <v>0</v>
      </c>
      <c r="G227" s="1387">
        <f>IFERROR(SUM(INDEX(PO_Enrgy_7_Table,0,MATCH(G$223,PO_Enrgy_7_Hdr,0))),"")</f>
        <v>0</v>
      </c>
      <c r="H227" s="1384">
        <f>IFERROR(SUMPRODUCT(INDEX(PO_Enrgy_7_Table,0,MATCH(H$223,PO_Enrgy_7_Hdr,0)),INDEX(PO_Enrgy_7_Table,0,MATCH($Q$223,PO_Enrgy_7_Hdr,0))),"")</f>
        <v>0</v>
      </c>
      <c r="I227" s="1384">
        <f>IFERROR(SUM(INDEX(PO_Enrgy_7_Table,0,MATCH(I$223,PO_Enrgy_7_Hdr,0))),"")</f>
        <v>0</v>
      </c>
      <c r="J227" s="1387">
        <f>IFERROR(SUM(INDEX(PO_Enrgy_7_Table,0,MATCH(J$223,PO_Enrgy_7_Hdr,0))),"")</f>
        <v>0</v>
      </c>
      <c r="K227" s="3163" t="str">
        <f>IFERROR(1-H227/E227,"")</f>
        <v/>
      </c>
      <c r="L227" s="3164"/>
      <c r="M227" s="1622" t="str">
        <f>IFERROR(1-J227/G227,"")</f>
        <v/>
      </c>
      <c r="N227" s="650"/>
      <c r="O227" s="650"/>
      <c r="P227" s="650"/>
      <c r="AD227" s="596"/>
      <c r="AE227" s="596"/>
      <c r="AF227" s="16"/>
      <c r="AG227" s="596"/>
      <c r="AH227" s="1293"/>
      <c r="AI227" s="1294"/>
      <c r="AJ227" s="596"/>
      <c r="AK227" s="596"/>
      <c r="AL227" s="596"/>
      <c r="AM227" s="596"/>
      <c r="AN227" s="596"/>
      <c r="AO227" s="596"/>
      <c r="BC227" s="2292"/>
    </row>
    <row r="228" spans="1:55" s="594" customFormat="1" ht="5.25" customHeight="1" x14ac:dyDescent="0.25">
      <c r="A228" s="1271" t="s">
        <v>1298</v>
      </c>
      <c r="B228" s="1626"/>
      <c r="C228" s="1626"/>
      <c r="D228" s="1626"/>
      <c r="E228" s="602"/>
      <c r="F228" s="602"/>
      <c r="G228" s="841"/>
      <c r="H228" s="602"/>
      <c r="I228" s="602"/>
      <c r="J228" s="841"/>
      <c r="K228" s="822"/>
      <c r="L228" s="822"/>
      <c r="M228" s="822"/>
      <c r="N228" s="650"/>
      <c r="O228" s="650"/>
      <c r="P228" s="650"/>
      <c r="AD228" s="596"/>
      <c r="AE228" s="596"/>
      <c r="AF228" s="16"/>
      <c r="AG228" s="596"/>
      <c r="AH228" s="1293"/>
      <c r="AI228" s="1294"/>
      <c r="AJ228" s="596"/>
      <c r="AK228" s="596"/>
      <c r="AL228" s="596"/>
      <c r="AM228" s="596"/>
      <c r="AN228" s="596"/>
      <c r="AO228" s="596"/>
    </row>
    <row r="229" spans="1:55" s="594" customFormat="1" ht="33" customHeight="1" x14ac:dyDescent="0.25">
      <c r="A229" s="1271" t="s">
        <v>1298</v>
      </c>
      <c r="B229" s="1626"/>
      <c r="C229" s="1626"/>
      <c r="D229" s="1626"/>
      <c r="E229" s="602"/>
      <c r="F229" s="602"/>
      <c r="G229" s="841"/>
      <c r="H229" s="602"/>
      <c r="I229" s="602"/>
      <c r="J229" s="841"/>
      <c r="K229" s="822"/>
      <c r="L229" s="822"/>
      <c r="M229" s="822"/>
      <c r="N229" s="650"/>
      <c r="O229" s="650"/>
      <c r="P229" s="650"/>
      <c r="AD229" s="596"/>
      <c r="AE229" s="596"/>
      <c r="AF229" s="16"/>
      <c r="AG229" s="596"/>
      <c r="AH229" s="1293"/>
      <c r="AI229" s="1294"/>
      <c r="AJ229" s="596"/>
      <c r="AK229" s="596"/>
      <c r="AL229" s="596"/>
      <c r="AM229" s="596"/>
      <c r="AN229" s="596"/>
      <c r="AO229" s="596"/>
    </row>
    <row r="230" spans="1:55" s="594" customFormat="1" ht="21" customHeight="1" x14ac:dyDescent="0.25">
      <c r="A230" s="1271" t="s">
        <v>1298</v>
      </c>
      <c r="B230" s="3200" t="s">
        <v>1268</v>
      </c>
      <c r="C230" s="3201"/>
      <c r="D230" s="3201"/>
      <c r="E230" s="3201"/>
      <c r="F230" s="3201"/>
      <c r="G230" s="3201"/>
      <c r="H230" s="3201"/>
      <c r="I230" s="3201"/>
      <c r="J230" s="3201"/>
      <c r="K230" s="3201"/>
      <c r="L230" s="3201"/>
      <c r="M230" s="822"/>
      <c r="Z230" s="619"/>
      <c r="AA230" s="620"/>
      <c r="AD230" s="596"/>
      <c r="AE230" s="596"/>
      <c r="AF230" s="16"/>
      <c r="AG230" s="596"/>
      <c r="AH230" s="596"/>
      <c r="AI230" s="596"/>
      <c r="AJ230" s="596"/>
      <c r="AK230" s="596"/>
      <c r="AL230" s="596"/>
      <c r="AM230" s="596"/>
      <c r="AN230" s="596"/>
      <c r="AO230" s="596"/>
    </row>
    <row r="231" spans="1:55" ht="33.75" customHeight="1" x14ac:dyDescent="0.25">
      <c r="A231" s="1271" t="s">
        <v>1298</v>
      </c>
      <c r="B231" s="3124" t="s">
        <v>444</v>
      </c>
      <c r="C231" s="2727"/>
      <c r="D231" s="2727"/>
      <c r="E231" s="3166" t="s">
        <v>347</v>
      </c>
      <c r="F231" s="3167"/>
      <c r="G231" s="3167"/>
      <c r="H231" s="3166" t="s">
        <v>348</v>
      </c>
      <c r="I231" s="3167"/>
      <c r="J231" s="3167"/>
      <c r="K231" s="3123" t="s">
        <v>455</v>
      </c>
      <c r="L231" s="3124"/>
      <c r="M231" s="2727"/>
      <c r="N231" s="650"/>
      <c r="O231" s="650"/>
      <c r="P231" s="650"/>
      <c r="S231" s="564"/>
      <c r="AD231" s="596"/>
      <c r="AE231" s="596"/>
      <c r="AF231" s="16"/>
      <c r="AG231" s="596"/>
      <c r="AH231" s="596"/>
      <c r="AI231" s="596"/>
      <c r="AJ231" s="596"/>
      <c r="AK231" s="596"/>
      <c r="AL231" s="596"/>
      <c r="AM231" s="596"/>
      <c r="AN231" s="596"/>
      <c r="AO231" s="596"/>
    </row>
    <row r="232" spans="1:55" s="1288" customFormat="1" ht="38.25" hidden="1" customHeight="1" x14ac:dyDescent="0.25">
      <c r="A232" s="1271" t="s">
        <v>1298</v>
      </c>
      <c r="B232" s="1379" t="s">
        <v>1765</v>
      </c>
      <c r="C232" s="1388" t="s">
        <v>173</v>
      </c>
      <c r="D232" s="1388"/>
      <c r="E232" s="1308" t="s">
        <v>1811</v>
      </c>
      <c r="F232" s="1389"/>
      <c r="G232" s="1389"/>
      <c r="H232" s="1308" t="s">
        <v>1812</v>
      </c>
      <c r="I232" s="1389"/>
      <c r="J232" s="1389"/>
      <c r="K232" s="1307" t="s">
        <v>1813</v>
      </c>
      <c r="L232" s="1379"/>
      <c r="M232" s="1388"/>
      <c r="N232" s="1286"/>
      <c r="O232" s="1286"/>
      <c r="P232" s="1286"/>
      <c r="Q232" s="1249" t="s">
        <v>1776</v>
      </c>
      <c r="R232" s="1249" t="s">
        <v>1777</v>
      </c>
      <c r="S232" s="1287"/>
      <c r="T232" s="1671" t="s">
        <v>1998</v>
      </c>
      <c r="U232" s="1672" t="s">
        <v>1999</v>
      </c>
      <c r="AD232" s="1289"/>
      <c r="AE232" s="1289"/>
      <c r="AF232" s="1295"/>
      <c r="AG232" s="1289"/>
      <c r="AH232" s="1289"/>
      <c r="AI232" s="1289"/>
      <c r="AJ232" s="1289"/>
      <c r="AK232" s="1289"/>
      <c r="AL232" s="1289"/>
      <c r="AM232" s="1289"/>
      <c r="AN232" s="1289"/>
      <c r="AO232" s="1289"/>
    </row>
    <row r="233" spans="1:55" ht="18" customHeight="1" x14ac:dyDescent="0.25">
      <c r="A233" s="1271" t="s">
        <v>1298</v>
      </c>
      <c r="B233" s="1621" t="str">
        <f>IFERROR(IF(ISBLANK(B17),"",B17),"")</f>
        <v>Electricity</v>
      </c>
      <c r="C233" s="3142" t="str">
        <f>IFERROR(CONCATENATE("$ / ",VLOOKUP($B233,PO_Enrgy_1_Table,MATCH($C$16,PO_Enrgy_1_Hdr,0),FALSE)),"")</f>
        <v>$ / kWh</v>
      </c>
      <c r="D233" s="3143" t="e">
        <f>IF(C233="","",VLOOKUP(C233,ProjectEnergyTypeTable,3,FALSE))</f>
        <v>#NAME?</v>
      </c>
      <c r="E233" s="3197" t="str">
        <f t="shared" ref="E233:G235" si="24">IFERROR(IF(AND(DESPath=3,OR($B233="District Cooling",$B233="District Steam",$B233="District Hot Water")),IF($B233="District Cooling",$V$251,$W$251),VLOOKUP($B233,PO_Enrgy_7_Table,MATCH($G$223,PO_Enrgy_7_Hdr,0),FALSE)/VLOOKUP($B233,PO_Enrgy_7_Table,MATCH($E$223,PO_Enrgy_7_Hdr,0),FALSE)),"")</f>
        <v/>
      </c>
      <c r="F233" s="3198" t="str">
        <f t="shared" si="24"/>
        <v/>
      </c>
      <c r="G233" s="3198" t="str">
        <f t="shared" si="24"/>
        <v/>
      </c>
      <c r="H233" s="3197" t="str">
        <f t="shared" ref="H233:J235" si="25">IFERROR(IF(AND(DESPath=3,OR($B233="District Cooling",$B233="District Steam",$B233="District Hot Water")),IF($B233="District Cooling",$V$255,$W$255),VLOOKUP($B233,PO_Enrgy_7_Table,MATCH($J$223,PO_Enrgy_7_Hdr,0),FALSE)/VLOOKUP($B233,PO_Enrgy_7_Table,MATCH($H$223,PO_Enrgy_7_Hdr,0),FALSE)),"")</f>
        <v/>
      </c>
      <c r="I233" s="3198" t="str">
        <f t="shared" si="25"/>
        <v/>
      </c>
      <c r="J233" s="3198" t="str">
        <f t="shared" si="25"/>
        <v/>
      </c>
      <c r="K233" s="3133" t="str">
        <f>IFERROR(ABS(1-H233/E233),"")</f>
        <v/>
      </c>
      <c r="L233" s="3186"/>
      <c r="M233" s="3199"/>
      <c r="N233" s="650"/>
      <c r="O233" s="650"/>
      <c r="P233" s="650"/>
      <c r="Q233" s="1549">
        <f>IFERROR(IF(ISBLANK($B233),"",VLOOKUP($B233,PO_Enrgy_1_Table,MATCH($K$16,PO_Enrgy_1_Hdr,0),FALSE)),"")</f>
        <v>3.4120000000000001E-3</v>
      </c>
      <c r="R233" s="1549">
        <f>IFERROR(IF(ISBLANK($B233),"",VLOOKUP($B233,PO_Enrgy_1_Table,MATCH($M$16,PO_Enrgy_1_Hdr,0),FALSE)),"")</f>
        <v>1.0713680000000001E-2</v>
      </c>
      <c r="S233" s="564"/>
      <c r="T233" s="1549" t="str">
        <f>IFERROR(IF(AND(DESPath=3,OR($B233="District Cooling",$B233="District Steam",$B233="District Hot Water")),IF($B233="District Cooling",$V$251,$W$251),VLOOKUP($B233,PO_Enrgy_7_Table,MATCH($G$223,PO_Enrgy_7_Hdr,0),FALSE)/VLOOKUP($B233,PO_Enrgy_7_Table,MATCH($E$223,PO_Enrgy_7_Hdr,0),FALSE)),"")</f>
        <v/>
      </c>
      <c r="U233" s="1549" t="str">
        <f>IFERROR(IF(AND(DESPath=3,OR($B233="District Cooling",$B233="District Steam",$B233="District Hot Water")),IF($B233="District Cooling",$V$255,$W$255),VLOOKUP($B233,PO_Enrgy_7_Table,MATCH($J$223,PO_Enrgy_7_Hdr,0),FALSE)/VLOOKUP($B233,PO_Enrgy_7_Table,MATCH($H$223,PO_Enrgy_7_Hdr,0),FALSE)),"")</f>
        <v/>
      </c>
      <c r="AD233" s="1291"/>
      <c r="AE233" s="1291"/>
      <c r="AF233" s="1292"/>
      <c r="AG233" s="596"/>
      <c r="AH233" s="1293"/>
      <c r="AI233" s="1294"/>
      <c r="AJ233" s="1297"/>
      <c r="AK233" s="596"/>
      <c r="AL233" s="596"/>
      <c r="AM233" s="596"/>
      <c r="AN233" s="596"/>
      <c r="AO233" s="596"/>
      <c r="BC233" s="2292"/>
    </row>
    <row r="234" spans="1:55" ht="18" customHeight="1" x14ac:dyDescent="0.25">
      <c r="A234" s="1271" t="s">
        <v>1298</v>
      </c>
      <c r="B234" s="1621" t="str">
        <f>IFERROR(IF(ISBLANK(B18),"",B18),"")</f>
        <v>District Steam</v>
      </c>
      <c r="C234" s="3142" t="str">
        <f>IFERROR(CONCATENATE("$ / ",VLOOKUP($B234,PO_Enrgy_1_Table,MATCH($C$16,PO_Enrgy_1_Hdr,0),FALSE)),"")</f>
        <v>$ / therm</v>
      </c>
      <c r="D234" s="3143" t="e">
        <f>IF(C234="","",VLOOKUP(C234,ProjectEnergyTypeTable,3,FALSE))</f>
        <v>#NAME?</v>
      </c>
      <c r="E234" s="3197" t="str">
        <f t="shared" si="24"/>
        <v/>
      </c>
      <c r="F234" s="3198" t="str">
        <f t="shared" si="24"/>
        <v/>
      </c>
      <c r="G234" s="3198" t="str">
        <f t="shared" si="24"/>
        <v/>
      </c>
      <c r="H234" s="3197" t="str">
        <f t="shared" si="25"/>
        <v/>
      </c>
      <c r="I234" s="3198" t="str">
        <f t="shared" si="25"/>
        <v/>
      </c>
      <c r="J234" s="3198" t="str">
        <f t="shared" si="25"/>
        <v/>
      </c>
      <c r="K234" s="3133" t="str">
        <f>IFERROR(ABS(1-H234/E234),"")</f>
        <v/>
      </c>
      <c r="L234" s="3186"/>
      <c r="M234" s="3199"/>
      <c r="N234" s="650"/>
      <c r="O234" s="650"/>
      <c r="P234" s="650"/>
      <c r="Q234" s="1549">
        <f>IFERROR(IF(ISBLANK($B234),"",VLOOKUP($B234,PO_Enrgy_1_Table,MATCH($K$16,PO_Enrgy_1_Hdr,0),FALSE)),"")</f>
        <v>0.1</v>
      </c>
      <c r="R234" s="1549">
        <f>IFERROR(IF(ISBLANK($B234),"",VLOOKUP($B234,PO_Enrgy_1_Table,MATCH($M$16,PO_Enrgy_1_Hdr,0),FALSE)),"")</f>
        <v>0.12</v>
      </c>
      <c r="S234" s="564"/>
      <c r="T234" s="1549" t="str">
        <f>IFERROR(IF(AND(DESPath=3,OR($B234="District Cooling",$B234="District Steam",$B234="District Hot Water")),IF($B234="District Cooling",$V$251,$W$251),VLOOKUP($B234,PO_Enrgy_7_Table,MATCH($G$223,PO_Enrgy_7_Hdr,0),FALSE)/VLOOKUP($B234,PO_Enrgy_7_Table,MATCH($E$223,PO_Enrgy_7_Hdr,0),FALSE)),"")</f>
        <v/>
      </c>
      <c r="U234" s="1549" t="str">
        <f>IFERROR(IF(AND(DESPath=3,OR($B234="District Cooling",$B234="District Steam",$B234="District Hot Water")),IF($B234="District Cooling",$V$255,$W$255),VLOOKUP($B234,PO_Enrgy_7_Table,MATCH($J$223,PO_Enrgy_7_Hdr,0),FALSE)/VLOOKUP($B234,PO_Enrgy_7_Table,MATCH($H$223,PO_Enrgy_7_Hdr,0),FALSE)),"")</f>
        <v/>
      </c>
      <c r="AD234" s="1291"/>
      <c r="AE234" s="1291"/>
      <c r="AF234" s="1292"/>
      <c r="AG234" s="596"/>
      <c r="AH234" s="1293"/>
      <c r="AI234" s="1294"/>
      <c r="AJ234" s="1297"/>
      <c r="AK234" s="596"/>
      <c r="AL234" s="596"/>
      <c r="AM234" s="596"/>
      <c r="AN234" s="596"/>
      <c r="AO234" s="596"/>
      <c r="BC234" s="2292"/>
    </row>
    <row r="235" spans="1:55" ht="18" customHeight="1" x14ac:dyDescent="0.25">
      <c r="A235" s="1271" t="s">
        <v>1298</v>
      </c>
      <c r="B235" s="2160" t="str">
        <f>IFERROR(IF(ISBLANK(B19),"",B19),"")</f>
        <v>District Cooling</v>
      </c>
      <c r="C235" s="3142" t="str">
        <f>IFERROR(CONCATENATE("$ / ",VLOOKUP($B235,PO_Enrgy_1_Table,MATCH($C$16,PO_Enrgy_1_Hdr,0),FALSE)),"")</f>
        <v>$ / therm</v>
      </c>
      <c r="D235" s="3143" t="e">
        <f>IF(C235="","",VLOOKUP(C235,ProjectEnergyTypeTable,3,FALSE))</f>
        <v>#NAME?</v>
      </c>
      <c r="E235" s="3197" t="str">
        <f t="shared" si="24"/>
        <v/>
      </c>
      <c r="F235" s="3198" t="str">
        <f t="shared" si="24"/>
        <v/>
      </c>
      <c r="G235" s="3198" t="str">
        <f t="shared" si="24"/>
        <v/>
      </c>
      <c r="H235" s="3197" t="str">
        <f t="shared" si="25"/>
        <v/>
      </c>
      <c r="I235" s="3198" t="str">
        <f t="shared" si="25"/>
        <v/>
      </c>
      <c r="J235" s="3198" t="str">
        <f t="shared" si="25"/>
        <v/>
      </c>
      <c r="K235" s="3133" t="str">
        <f>IFERROR(ABS(1-H235/E235),"")</f>
        <v/>
      </c>
      <c r="L235" s="3186"/>
      <c r="M235" s="3199"/>
      <c r="N235" s="650"/>
      <c r="O235" s="650"/>
      <c r="P235" s="650"/>
      <c r="Q235" s="1549">
        <f>IFERROR(IF(ISBLANK($B235),"",VLOOKUP($B235,PO_Enrgy_1_Table,MATCH($K$16,PO_Enrgy_1_Hdr,0),FALSE)),"")</f>
        <v>0.1</v>
      </c>
      <c r="R235" s="1549">
        <f>IFERROR(IF(ISBLANK($B235),"",VLOOKUP($B235,PO_Enrgy_1_Table,MATCH($M$16,PO_Enrgy_1_Hdr,0),FALSE)),"")</f>
        <v>0.1</v>
      </c>
      <c r="S235" s="564"/>
      <c r="T235" s="1549" t="str">
        <f>IFERROR(IF(AND(DESPath=3,OR($B235="District Cooling",$B235="District Steam",$B235="District Hot Water")),IF($B235="District Cooling",$V$251,$W$251),VLOOKUP($B235,PO_Enrgy_7_Table,MATCH($G$223,PO_Enrgy_7_Hdr,0),FALSE)/VLOOKUP($B235,PO_Enrgy_7_Table,MATCH($E$223,PO_Enrgy_7_Hdr,0),FALSE)),"")</f>
        <v/>
      </c>
      <c r="U235" s="1549" t="str">
        <f>IFERROR(IF(AND(DESPath=3,OR($B235="District Cooling",$B235="District Steam",$B235="District Hot Water")),IF($B235="District Cooling",$V$255,$W$255),VLOOKUP($B235,PO_Enrgy_7_Table,MATCH($J$223,PO_Enrgy_7_Hdr,0),FALSE)/VLOOKUP($B235,PO_Enrgy_7_Table,MATCH($H$223,PO_Enrgy_7_Hdr,0),FALSE)),"")</f>
        <v/>
      </c>
      <c r="AD235" s="1291"/>
      <c r="AE235" s="1291"/>
      <c r="AF235" s="1292"/>
      <c r="AG235" s="596"/>
      <c r="AH235" s="1293"/>
      <c r="AI235" s="1294"/>
      <c r="AJ235" s="1297"/>
      <c r="AK235" s="596"/>
      <c r="AL235" s="596"/>
      <c r="AM235" s="596"/>
      <c r="AN235" s="596"/>
      <c r="AO235" s="596"/>
      <c r="BC235" s="2292"/>
    </row>
    <row r="236" spans="1:55" s="594" customFormat="1" ht="31.5" customHeight="1" x14ac:dyDescent="0.25">
      <c r="A236" s="1271" t="s">
        <v>1298</v>
      </c>
      <c r="B236" s="1626"/>
      <c r="C236" s="1626"/>
      <c r="D236" s="1626"/>
      <c r="E236" s="602"/>
      <c r="F236" s="602"/>
      <c r="G236" s="841"/>
      <c r="H236" s="602"/>
      <c r="I236" s="602"/>
      <c r="J236" s="841"/>
      <c r="K236" s="846"/>
      <c r="L236" s="822"/>
      <c r="M236" s="822"/>
      <c r="N236" s="650"/>
      <c r="O236" s="650"/>
      <c r="P236" s="650"/>
      <c r="AD236" s="596"/>
      <c r="AE236" s="596"/>
      <c r="AF236" s="16"/>
      <c r="AG236" s="596"/>
      <c r="AH236" s="1293"/>
      <c r="AI236" s="1294"/>
      <c r="AJ236" s="596"/>
      <c r="AK236" s="596"/>
      <c r="AL236" s="596"/>
      <c r="AM236" s="596"/>
      <c r="AN236" s="596"/>
      <c r="AO236" s="596"/>
    </row>
    <row r="237" spans="1:55" ht="21" customHeight="1" x14ac:dyDescent="0.25">
      <c r="A237" s="1271" t="s">
        <v>1298</v>
      </c>
      <c r="B237" s="3200" t="s">
        <v>1269</v>
      </c>
      <c r="C237" s="3201"/>
      <c r="D237" s="3201"/>
      <c r="E237" s="3201"/>
      <c r="F237" s="3201"/>
      <c r="G237" s="3201"/>
      <c r="H237" s="3201"/>
      <c r="I237" s="3201"/>
      <c r="J237" s="3201"/>
      <c r="K237" s="3201"/>
      <c r="L237" s="3201"/>
      <c r="M237" s="650"/>
      <c r="N237" s="564"/>
      <c r="O237" s="564"/>
      <c r="P237" s="564"/>
      <c r="S237" s="564"/>
      <c r="Z237" s="619"/>
      <c r="AA237" s="620"/>
      <c r="AD237" s="596"/>
      <c r="AE237" s="596"/>
      <c r="AF237" s="16"/>
      <c r="AG237" s="596"/>
      <c r="AH237" s="596"/>
      <c r="AI237" s="596"/>
      <c r="AJ237" s="596"/>
      <c r="AK237" s="596"/>
      <c r="AL237" s="596"/>
      <c r="AM237" s="596"/>
      <c r="AN237" s="596"/>
      <c r="AO237" s="596"/>
    </row>
    <row r="238" spans="1:55" ht="41.25" customHeight="1" x14ac:dyDescent="0.25">
      <c r="A238" s="1271" t="s">
        <v>1298</v>
      </c>
      <c r="B238" s="3124" t="s">
        <v>444</v>
      </c>
      <c r="C238" s="3165" t="s">
        <v>1805</v>
      </c>
      <c r="D238" s="3125"/>
      <c r="E238" s="3194" t="s">
        <v>1270</v>
      </c>
      <c r="F238" s="3194"/>
      <c r="G238" s="3194"/>
      <c r="H238" s="3202" t="s">
        <v>1171</v>
      </c>
      <c r="I238" s="3202"/>
      <c r="J238" s="3202"/>
      <c r="K238" s="3195" t="s">
        <v>448</v>
      </c>
      <c r="L238" s="3203"/>
      <c r="M238" s="3196"/>
      <c r="N238" s="3168"/>
      <c r="O238" s="3168"/>
      <c r="P238" s="3168"/>
      <c r="S238" s="564"/>
      <c r="T238" s="564"/>
      <c r="AD238" s="596"/>
      <c r="AE238" s="596"/>
      <c r="AF238" s="16"/>
      <c r="AG238" s="596"/>
      <c r="AH238" s="1293"/>
      <c r="AI238" s="1294"/>
      <c r="AJ238" s="596"/>
      <c r="AK238" s="596"/>
      <c r="AL238" s="596"/>
      <c r="AM238" s="596"/>
      <c r="AN238" s="596"/>
      <c r="AO238" s="596"/>
    </row>
    <row r="239" spans="1:55" ht="63" customHeight="1" x14ac:dyDescent="0.25">
      <c r="A239" s="1271" t="s">
        <v>1298</v>
      </c>
      <c r="B239" s="3125"/>
      <c r="C239" s="3125"/>
      <c r="D239" s="3125"/>
      <c r="E239" s="1628" t="s">
        <v>1116</v>
      </c>
      <c r="F239" s="1639" t="str">
        <f>"Source Energy Use 
("  &amp; PO_SourceUnits &amp; ")"</f>
        <v>Source Energy Use 
(Btu x 10^6)</v>
      </c>
      <c r="G239" s="1637" t="s">
        <v>446</v>
      </c>
      <c r="H239" s="1628" t="s">
        <v>1116</v>
      </c>
      <c r="I239" s="1639" t="str">
        <f>"Source Energy Use 
("  &amp; PO_SourceUnits &amp; ")"</f>
        <v>Source Energy Use 
(Btu x 10^6)</v>
      </c>
      <c r="J239" s="1637" t="s">
        <v>446</v>
      </c>
      <c r="K239" s="3195" t="s">
        <v>447</v>
      </c>
      <c r="L239" s="3196"/>
      <c r="M239" s="1628" t="s">
        <v>446</v>
      </c>
      <c r="N239" s="1625"/>
      <c r="O239" s="1625"/>
      <c r="P239" s="1625"/>
      <c r="S239" s="564"/>
      <c r="T239" s="564"/>
      <c r="AD239" s="596"/>
      <c r="AE239" s="596"/>
      <c r="AF239" s="16"/>
      <c r="AG239" s="596"/>
      <c r="AH239" s="596"/>
      <c r="AI239" s="596"/>
      <c r="AJ239" s="596"/>
      <c r="AK239" s="596"/>
      <c r="AL239" s="596"/>
      <c r="AM239" s="596"/>
      <c r="AN239" s="596"/>
      <c r="AO239" s="596"/>
    </row>
    <row r="240" spans="1:55" s="1288" customFormat="1" ht="21.75" hidden="1" customHeight="1" x14ac:dyDescent="0.25">
      <c r="A240" s="1271" t="s">
        <v>1298</v>
      </c>
      <c r="B240" s="1379" t="s">
        <v>1765</v>
      </c>
      <c r="C240" s="1379" t="s">
        <v>1793</v>
      </c>
      <c r="D240" s="1379"/>
      <c r="E240" s="1315" t="s">
        <v>1821</v>
      </c>
      <c r="F240" s="1316" t="s">
        <v>1822</v>
      </c>
      <c r="G240" s="1317" t="s">
        <v>1823</v>
      </c>
      <c r="H240" s="1315" t="s">
        <v>1806</v>
      </c>
      <c r="I240" s="1316" t="s">
        <v>1807</v>
      </c>
      <c r="J240" s="1317" t="s">
        <v>1808</v>
      </c>
      <c r="K240" s="1307" t="s">
        <v>1809</v>
      </c>
      <c r="L240" s="1379"/>
      <c r="M240" s="1307" t="s">
        <v>1810</v>
      </c>
      <c r="N240" s="1285"/>
      <c r="O240" s="1286"/>
      <c r="P240" s="1286"/>
      <c r="Q240" s="1249" t="s">
        <v>1776</v>
      </c>
      <c r="R240" s="1249" t="s">
        <v>1777</v>
      </c>
      <c r="S240" s="1287"/>
      <c r="T240" s="1287"/>
      <c r="AD240" s="1289"/>
      <c r="AE240" s="1289"/>
      <c r="AF240" s="1289"/>
      <c r="AG240" s="1289"/>
      <c r="AH240" s="1289"/>
      <c r="AI240" s="1289"/>
      <c r="AJ240" s="1289"/>
      <c r="AK240" s="1289"/>
      <c r="AL240" s="1289"/>
      <c r="AM240" s="1289"/>
      <c r="AN240" s="1289"/>
      <c r="AO240" s="1289"/>
    </row>
    <row r="241" spans="1:55" ht="15" customHeight="1" x14ac:dyDescent="0.25">
      <c r="A241" s="1271" t="s">
        <v>1298</v>
      </c>
      <c r="B241" s="1621" t="str">
        <f>IFERROR(IF(ISBLANK(B17),"",B17),"")</f>
        <v>Electricity</v>
      </c>
      <c r="C241" s="3142" t="str">
        <f>IFERROR(IF(ISBLANK($B241),"",VLOOKUP($B241,PO_Enrgy_1_Table,MATCH($C$16,PO_Enrgy_1_Hdr,0),FALSE) ),"")</f>
        <v>kWh</v>
      </c>
      <c r="D241" s="3143" t="e">
        <f>IF(C241="","",VLOOKUP(C241,ProjectEnergyTypeTable,3,FALSE))</f>
        <v>#NAME?</v>
      </c>
      <c r="E241" s="1384">
        <f>IFERROR(VLOOKUP($B241,PO_Enrgy_7_Table,MATCH($E$223,PO_Enrgy_7_Hdr,0),FALSE)+IF(PO_ShowExCalc=TRUE,VLOOKUP($B241,PO_Enrgy_3_Table,MATCH($G$62,PO_Enrgy_3_Hdr,0),FALSE),0),0)</f>
        <v>0</v>
      </c>
      <c r="F241" s="1384">
        <f>IFERROR(VLOOKUP($B241,PO_Enrgy_7_Table,MATCH($F$223,PO_Enrgy_7_Hdr,0),FALSE)+IF(PO_ShowExCalc=TRUE,VLOOKUP($B241,PO_Enrgy_3_Table,MATCH($J$62,PO_Enrgy_3_Hdr,0),FALSE),0),0)</f>
        <v>0</v>
      </c>
      <c r="G241" s="1387">
        <f>IFERROR(VLOOKUP($B241,PO_Enrgy_7_Table,MATCH($G$223,PO_Enrgy_7_Hdr,0),FALSE)+IF(PO_ShowExCalc=TRUE,VLOOKUP($B241,PO_Enrgy_3_Table,MATCH($L$62,PO_Enrgy_3_Hdr,0),FALSE),0),0)</f>
        <v>0</v>
      </c>
      <c r="H241" s="1384">
        <f>IFERROR(VLOOKUP($B241,PO_Enrgy_7_Table,MATCH($H$223,PO_Enrgy_7_Hdr,0),FALSE)-IF(PO_ShowExCalc=TRUE,VLOOKUP($B241,PO_Enrgy_4_Table,MATCH($G$62,PO_Enrgy_3_Hdr,0),FALSE),0),0)</f>
        <v>0</v>
      </c>
      <c r="I241" s="1384">
        <f>IFERROR(VLOOKUP($B241,PO_Enrgy_7_Table,MATCH($I$223,PO_Enrgy_7_Hdr,0),FALSE)-IF(PO_ShowExCalc=TRUE,VLOOKUP($B241,PO_Enrgy_4_Table,MATCH($J$62,PO_Enrgy_3_Hdr,0),FALSE),0),0)</f>
        <v>0</v>
      </c>
      <c r="J241" s="1387">
        <f>IFERROR(VLOOKUP($B241,PO_Enrgy_7_Table,MATCH($J$223,PO_Enrgy_7_Hdr,0),FALSE)-IF(PO_ShowExCalc=TRUE,VLOOKUP($B241,PO_Enrgy_4_Table,MATCH($L$62,PO_Enrgy_3_Hdr,0),FALSE),0),0)</f>
        <v>0</v>
      </c>
      <c r="K241" s="3163" t="str">
        <f>IFERROR(1-H241/E241,"")</f>
        <v/>
      </c>
      <c r="L241" s="3164"/>
      <c r="M241" s="1622" t="str">
        <f>IFERROR(1-J241/G241,"")</f>
        <v/>
      </c>
      <c r="N241" s="650"/>
      <c r="O241" s="650"/>
      <c r="P241" s="650"/>
      <c r="Q241" s="1549">
        <f>IFERROR(IF(ISBLANK($B241),"",VLOOKUP($B241,PO_Enrgy_1_Table,MATCH($K$16,PO_Enrgy_1_Hdr,0),FALSE)),"")</f>
        <v>3.4120000000000001E-3</v>
      </c>
      <c r="R241" s="1549">
        <f>IFERROR(IF(ISBLANK($B241),"",VLOOKUP($B241,PO_Enrgy_1_Table,MATCH($M$16,PO_Enrgy_1_Hdr,0),FALSE)),"")</f>
        <v>1.0713680000000001E-2</v>
      </c>
      <c r="S241" s="564"/>
      <c r="T241" s="564"/>
      <c r="AD241" s="1291"/>
      <c r="AE241" s="1291"/>
      <c r="AF241" s="16"/>
      <c r="AG241" s="596"/>
      <c r="AH241" s="1298"/>
      <c r="AI241" s="1298"/>
      <c r="AJ241" s="1299"/>
      <c r="AK241" s="1299"/>
      <c r="AL241" s="596"/>
      <c r="AM241" s="1300"/>
      <c r="AN241" s="596"/>
      <c r="AO241" s="596"/>
      <c r="AP241" s="669"/>
      <c r="AQ241" s="669"/>
      <c r="BC241" s="2292"/>
    </row>
    <row r="242" spans="1:55" ht="15" customHeight="1" x14ac:dyDescent="0.25">
      <c r="A242" s="1271" t="s">
        <v>1298</v>
      </c>
      <c r="B242" s="1621" t="str">
        <f>IFERROR(IF(ISBLANK(B18),"",B18),"")</f>
        <v>District Steam</v>
      </c>
      <c r="C242" s="3142" t="str">
        <f>IFERROR(IF(ISBLANK($B242),"",VLOOKUP($B242,PO_Enrgy_1_Table,MATCH($C$16,PO_Enrgy_1_Hdr,0),FALSE) ),"")</f>
        <v>therm</v>
      </c>
      <c r="D242" s="3143" t="e">
        <f>IF(C242="","",VLOOKUP(C242,ProjectEnergyTypeTable,3,FALSE))</f>
        <v>#NAME?</v>
      </c>
      <c r="E242" s="1384">
        <f>IFERROR(VLOOKUP($B242,PO_Enrgy_7_Table,MATCH($E$223,PO_Enrgy_7_Hdr,0),FALSE)+IF(PO_ShowExCalc=TRUE,VLOOKUP($B242,PO_Enrgy_3_Table,MATCH($G$62,PO_Enrgy_3_Hdr,0),FALSE),0),0)</f>
        <v>0</v>
      </c>
      <c r="F242" s="1384">
        <f>IFERROR(VLOOKUP($B242,PO_Enrgy_7_Table,MATCH($F$223,PO_Enrgy_7_Hdr,0),FALSE)+IF(PO_ShowExCalc=TRUE,VLOOKUP($B242,PO_Enrgy_3_Table,MATCH($J$62,PO_Enrgy_3_Hdr,0),FALSE),0),0)</f>
        <v>0</v>
      </c>
      <c r="G242" s="1387">
        <f>IFERROR(VLOOKUP($B242,PO_Enrgy_7_Table,MATCH($G$223,PO_Enrgy_7_Hdr,0),FALSE)+IF(PO_ShowExCalc=TRUE,VLOOKUP($B242,PO_Enrgy_3_Table,MATCH($L$62,PO_Enrgy_3_Hdr,0),FALSE),0),0)</f>
        <v>0</v>
      </c>
      <c r="H242" s="1384">
        <f>IFERROR(VLOOKUP($B242,PO_Enrgy_7_Table,MATCH($H$223,PO_Enrgy_7_Hdr,0),FALSE)-IF(PO_ShowExCalc=TRUE,VLOOKUP($B242,PO_Enrgy_4_Table,MATCH($G$62,PO_Enrgy_3_Hdr,0),FALSE),0),0)</f>
        <v>0</v>
      </c>
      <c r="I242" s="1384">
        <f>IFERROR(VLOOKUP($B242,PO_Enrgy_7_Table,MATCH($I$223,PO_Enrgy_7_Hdr,0),FALSE)-IF(PO_ShowExCalc=TRUE,VLOOKUP($B242,PO_Enrgy_4_Table,MATCH($J$62,PO_Enrgy_3_Hdr,0),FALSE),0),0)</f>
        <v>0</v>
      </c>
      <c r="J242" s="1387">
        <f>IFERROR(VLOOKUP($B242,PO_Enrgy_7_Table,MATCH($J$223,PO_Enrgy_7_Hdr,0),FALSE)-IF(PO_ShowExCalc=TRUE,VLOOKUP($B242,PO_Enrgy_4_Table,MATCH($L$62,PO_Enrgy_3_Hdr,0),FALSE),0),0)</f>
        <v>0</v>
      </c>
      <c r="K242" s="3163" t="str">
        <f>IFERROR(1-H242/E242,"")</f>
        <v/>
      </c>
      <c r="L242" s="3164"/>
      <c r="M242" s="1622" t="str">
        <f>IFERROR(1-J242/G242,"")</f>
        <v/>
      </c>
      <c r="N242" s="650"/>
      <c r="O242" s="650"/>
      <c r="P242" s="650"/>
      <c r="Q242" s="1549">
        <f>IFERROR(IF(ISBLANK($B242),"",VLOOKUP($B242,PO_Enrgy_1_Table,MATCH($K$16,PO_Enrgy_1_Hdr,0),FALSE)),"")</f>
        <v>0.1</v>
      </c>
      <c r="R242" s="1549">
        <f>IFERROR(IF(ISBLANK($B242),"",VLOOKUP($B242,PO_Enrgy_1_Table,MATCH($M$16,PO_Enrgy_1_Hdr,0),FALSE)),"")</f>
        <v>0.12</v>
      </c>
      <c r="S242" s="564"/>
      <c r="T242" s="564"/>
      <c r="AD242" s="1291"/>
      <c r="AE242" s="1291"/>
      <c r="AF242" s="16"/>
      <c r="AG242" s="596"/>
      <c r="AH242" s="1298"/>
      <c r="AI242" s="1298"/>
      <c r="AJ242" s="1299"/>
      <c r="AK242" s="1299"/>
      <c r="AL242" s="596"/>
      <c r="AM242" s="1300"/>
      <c r="AN242" s="596"/>
      <c r="AO242" s="596"/>
      <c r="AP242" s="669"/>
      <c r="AQ242" s="669"/>
      <c r="BC242" s="2292"/>
    </row>
    <row r="243" spans="1:55" ht="15" customHeight="1" x14ac:dyDescent="0.25">
      <c r="A243" s="1271" t="s">
        <v>1298</v>
      </c>
      <c r="B243" s="2160" t="str">
        <f>IFERROR(IF(ISBLANK(B19),"",B19),"")</f>
        <v>District Cooling</v>
      </c>
      <c r="C243" s="3142" t="str">
        <f>IFERROR(IF(ISBLANK($B243),"",VLOOKUP($B243,PO_Enrgy_1_Table,MATCH($C$16,PO_Enrgy_1_Hdr,0),FALSE) ),"")</f>
        <v>therm</v>
      </c>
      <c r="D243" s="3143" t="e">
        <f>IF(C243="","",VLOOKUP(C243,ProjectEnergyTypeTable,3,FALSE))</f>
        <v>#NAME?</v>
      </c>
      <c r="E243" s="1384">
        <f>IFERROR(VLOOKUP($B243,PO_Enrgy_7_Table,MATCH($E$223,PO_Enrgy_7_Hdr,0),FALSE)+IF(PO_ShowExCalc=TRUE,VLOOKUP($B243,PO_Enrgy_3_Table,MATCH($G$62,PO_Enrgy_3_Hdr,0),FALSE),0),0)</f>
        <v>0</v>
      </c>
      <c r="F243" s="1384">
        <f>IFERROR(VLOOKUP($B243,PO_Enrgy_7_Table,MATCH($F$223,PO_Enrgy_7_Hdr,0),FALSE)+IF(PO_ShowExCalc=TRUE,VLOOKUP($B243,PO_Enrgy_3_Table,MATCH($J$62,PO_Enrgy_3_Hdr,0),FALSE),0),0)</f>
        <v>0</v>
      </c>
      <c r="G243" s="1387">
        <f>IFERROR(VLOOKUP($B243,PO_Enrgy_7_Table,MATCH($G$223,PO_Enrgy_7_Hdr,0),FALSE)+IF(PO_ShowExCalc=TRUE,VLOOKUP($B243,PO_Enrgy_3_Table,MATCH($L$62,PO_Enrgy_3_Hdr,0),FALSE),0),0)</f>
        <v>0</v>
      </c>
      <c r="H243" s="1384">
        <f>IFERROR(VLOOKUP($B243,PO_Enrgy_7_Table,MATCH($H$223,PO_Enrgy_7_Hdr,0),FALSE)-IF(PO_ShowExCalc=TRUE,VLOOKUP($B243,PO_Enrgy_4_Table,MATCH($G$62,PO_Enrgy_3_Hdr,0),FALSE),0),0)</f>
        <v>0</v>
      </c>
      <c r="I243" s="1384">
        <f>IFERROR(VLOOKUP($B243,PO_Enrgy_7_Table,MATCH($I$223,PO_Enrgy_7_Hdr,0),FALSE)-IF(PO_ShowExCalc=TRUE,VLOOKUP($B243,PO_Enrgy_4_Table,MATCH($J$62,PO_Enrgy_3_Hdr,0),FALSE),0),0)</f>
        <v>0</v>
      </c>
      <c r="J243" s="1387">
        <f>IFERROR(VLOOKUP($B243,PO_Enrgy_7_Table,MATCH($J$223,PO_Enrgy_7_Hdr,0),FALSE)-IF(PO_ShowExCalc=TRUE,VLOOKUP($B243,PO_Enrgy_4_Table,MATCH($L$62,PO_Enrgy_3_Hdr,0),FALSE),0),0)</f>
        <v>0</v>
      </c>
      <c r="K243" s="3163" t="str">
        <f>IFERROR(1-H243/E243,"")</f>
        <v/>
      </c>
      <c r="L243" s="3164"/>
      <c r="M243" s="2150" t="str">
        <f>IFERROR(1-J243/G243,"")</f>
        <v/>
      </c>
      <c r="N243" s="650"/>
      <c r="O243" s="650"/>
      <c r="P243" s="650"/>
      <c r="Q243" s="1549">
        <f>IFERROR(IF(ISBLANK($B243),"",VLOOKUP($B243,PO_Enrgy_1_Table,MATCH($K$16,PO_Enrgy_1_Hdr,0),FALSE)),"")</f>
        <v>0.1</v>
      </c>
      <c r="R243" s="1549">
        <f>IFERROR(IF(ISBLANK($B243),"",VLOOKUP($B243,PO_Enrgy_1_Table,MATCH($M$16,PO_Enrgy_1_Hdr,0),FALSE)),"")</f>
        <v>0.1</v>
      </c>
      <c r="S243" s="564"/>
      <c r="T243" s="564"/>
      <c r="AD243" s="1291"/>
      <c r="AE243" s="1291"/>
      <c r="AF243" s="16"/>
      <c r="AG243" s="596"/>
      <c r="AH243" s="1298"/>
      <c r="AI243" s="1298"/>
      <c r="AJ243" s="1299"/>
      <c r="AK243" s="1299"/>
      <c r="AL243" s="596"/>
      <c r="AM243" s="1300"/>
      <c r="AN243" s="596"/>
      <c r="AO243" s="596"/>
      <c r="AP243" s="669"/>
      <c r="AQ243" s="669"/>
      <c r="BC243" s="2292"/>
    </row>
    <row r="244" spans="1:55" s="594" customFormat="1" ht="21" customHeight="1" x14ac:dyDescent="0.25">
      <c r="A244" s="1271" t="s">
        <v>1298</v>
      </c>
      <c r="B244" s="3120" t="str">
        <f>"Energy model subtotal (" &amp; PO_SiteUnits &amp; ")"</f>
        <v>Energy model subtotal (Btu x 10^6)</v>
      </c>
      <c r="C244" s="3120"/>
      <c r="D244" s="3120"/>
      <c r="E244" s="1384">
        <f>IFERROR(SUMPRODUCT(INDEX(PO_Enrgy_9_Table,0,MATCH(E$240,PO_Enrgy_9_Hdr,0)),INDEX(PO_Enrgy_9_Table,0,MATCH($Q$240,PO_Enrgy_9_Hdr,0))),"")</f>
        <v>0</v>
      </c>
      <c r="F244" s="1384">
        <f>IFERROR(SUM(INDEX(PO_Enrgy_9_Table,0,MATCH(F$240,PO_Enrgy_9_Hdr,0))),"")</f>
        <v>0</v>
      </c>
      <c r="G244" s="1387">
        <f>IFERROR(SUM(INDEX(PO_Enrgy_9_Table,0,MATCH(G$240,PO_Enrgy_9_Hdr,0))),"")</f>
        <v>0</v>
      </c>
      <c r="H244" s="1384">
        <f>IFERROR(SUMPRODUCT(INDEX(PO_Enrgy_9_Table,0,MATCH(H$240,PO_Enrgy_9_Hdr,0)),INDEX(PO_Enrgy_9_Table,0,MATCH($Q$240,PO_Enrgy_9_Hdr,0))),"")</f>
        <v>0</v>
      </c>
      <c r="I244" s="1384">
        <f>IFERROR(SUM(INDEX(PO_Enrgy_9_Table,0,MATCH(I$240,PO_Enrgy_9_Hdr,0))),"")</f>
        <v>0</v>
      </c>
      <c r="J244" s="1387">
        <f>IFERROR(SUM(INDEX(PO_Enrgy_9_Table,0,MATCH(J$240,PO_Enrgy_9_Hdr,0))),"")</f>
        <v>0</v>
      </c>
      <c r="K244" s="3163" t="str">
        <f>IFERROR(1-H244/E244,"")</f>
        <v/>
      </c>
      <c r="L244" s="3164"/>
      <c r="M244" s="1622" t="str">
        <f>IFERROR(1-J244/G244,"")</f>
        <v/>
      </c>
      <c r="N244" s="650"/>
      <c r="O244" s="650"/>
      <c r="P244" s="650"/>
      <c r="AD244" s="596"/>
      <c r="AE244" s="596"/>
      <c r="AF244" s="16"/>
      <c r="AG244" s="596"/>
      <c r="AH244" s="1293"/>
      <c r="AI244" s="1294"/>
      <c r="AJ244" s="596"/>
      <c r="AK244" s="596"/>
      <c r="AL244" s="596"/>
      <c r="AM244" s="596"/>
      <c r="AN244" s="596"/>
      <c r="AO244" s="596"/>
      <c r="BC244" s="2292"/>
    </row>
    <row r="245" spans="1:55" s="594" customFormat="1" ht="33" customHeight="1" x14ac:dyDescent="0.25">
      <c r="A245" s="1271" t="s">
        <v>1298</v>
      </c>
      <c r="B245" s="1301"/>
      <c r="C245" s="1301"/>
      <c r="D245" s="1301"/>
      <c r="E245" s="1302"/>
      <c r="F245" s="1302"/>
      <c r="G245" s="1303"/>
      <c r="H245" s="1302"/>
      <c r="I245" s="1302"/>
      <c r="J245" s="1303"/>
      <c r="K245" s="1304"/>
      <c r="L245" s="1304"/>
      <c r="M245" s="1304"/>
      <c r="N245" s="650"/>
      <c r="O245" s="650"/>
      <c r="P245" s="650"/>
      <c r="AF245" s="834"/>
      <c r="AH245" s="619"/>
      <c r="AI245" s="620"/>
    </row>
    <row r="246" spans="1:55" ht="21" hidden="1" customHeight="1" x14ac:dyDescent="0.25">
      <c r="A246" s="1271" t="s">
        <v>1298</v>
      </c>
      <c r="B246" s="3200" t="s">
        <v>1121</v>
      </c>
      <c r="C246" s="3201"/>
      <c r="D246" s="3201"/>
      <c r="E246" s="3201"/>
      <c r="F246" s="3201"/>
      <c r="G246" s="3201"/>
      <c r="H246" s="3201"/>
      <c r="I246" s="3201"/>
      <c r="J246" s="3201"/>
      <c r="K246" s="3201"/>
      <c r="L246" s="3201"/>
      <c r="M246" s="650"/>
      <c r="N246" s="564"/>
      <c r="O246" s="564"/>
      <c r="P246" s="564"/>
      <c r="S246" s="564"/>
      <c r="X246" s="596"/>
      <c r="Z246" s="619"/>
      <c r="AA246" s="620"/>
      <c r="AF246" s="835"/>
    </row>
    <row r="247" spans="1:55" ht="116.25" hidden="1" customHeight="1" x14ac:dyDescent="0.25">
      <c r="A247" s="1271" t="s">
        <v>1298</v>
      </c>
      <c r="B247" s="3334" t="s">
        <v>1194</v>
      </c>
      <c r="C247" s="3334"/>
      <c r="D247" s="3334"/>
      <c r="E247" s="3334"/>
      <c r="F247" s="3334"/>
      <c r="G247" s="3334"/>
      <c r="H247" s="3334"/>
      <c r="I247" s="3334"/>
      <c r="J247" s="3334"/>
      <c r="K247" s="3335"/>
      <c r="L247" s="3335"/>
      <c r="M247" s="3335"/>
      <c r="N247" s="564"/>
      <c r="O247" s="564"/>
      <c r="P247" s="564"/>
      <c r="S247" s="564"/>
      <c r="X247" s="596"/>
      <c r="Z247" s="619"/>
      <c r="AA247" s="620"/>
      <c r="AF247" s="835"/>
    </row>
    <row r="248" spans="1:55" s="564" customFormat="1" ht="21" hidden="1" customHeight="1" x14ac:dyDescent="0.25">
      <c r="A248" s="1271" t="s">
        <v>1298</v>
      </c>
      <c r="B248" s="3124" t="s">
        <v>1814</v>
      </c>
      <c r="C248" s="3165" t="s">
        <v>1805</v>
      </c>
      <c r="D248" s="3125"/>
      <c r="E248" s="3166" t="s">
        <v>453</v>
      </c>
      <c r="F248" s="3167"/>
      <c r="G248" s="3167"/>
      <c r="H248" s="3166" t="s">
        <v>159</v>
      </c>
      <c r="I248" s="3167"/>
      <c r="J248" s="3167"/>
      <c r="K248" s="3336"/>
      <c r="L248" s="3193"/>
      <c r="M248" s="1646"/>
      <c r="N248" s="650"/>
      <c r="O248" s="654"/>
      <c r="P248" s="650"/>
      <c r="AF248" s="16"/>
    </row>
    <row r="249" spans="1:55" s="564" customFormat="1" ht="38.25" hidden="1" x14ac:dyDescent="0.25">
      <c r="A249" s="1271" t="s">
        <v>1298</v>
      </c>
      <c r="B249" s="3125"/>
      <c r="C249" s="3125"/>
      <c r="D249" s="3125"/>
      <c r="E249" s="1634" t="s">
        <v>1299</v>
      </c>
      <c r="F249" s="1633" t="s">
        <v>1300</v>
      </c>
      <c r="G249" s="1624" t="s">
        <v>446</v>
      </c>
      <c r="H249" s="1634" t="s">
        <v>1299</v>
      </c>
      <c r="I249" s="1633" t="s">
        <v>1116</v>
      </c>
      <c r="J249" s="1624" t="s">
        <v>446</v>
      </c>
      <c r="K249" s="1625"/>
      <c r="L249" s="1625"/>
      <c r="M249" s="1646"/>
      <c r="N249" s="650"/>
      <c r="O249" s="650"/>
      <c r="P249" s="650"/>
      <c r="AH249" s="596"/>
      <c r="AI249" s="596"/>
      <c r="AJ249" s="16"/>
      <c r="AK249" s="596"/>
    </row>
    <row r="250" spans="1:55" s="1287" customFormat="1" ht="15" hidden="1" customHeight="1" x14ac:dyDescent="0.25">
      <c r="A250" s="1271" t="s">
        <v>1298</v>
      </c>
      <c r="B250" s="1305" t="s">
        <v>1765</v>
      </c>
      <c r="C250" s="1305" t="s">
        <v>1793</v>
      </c>
      <c r="D250" s="1305"/>
      <c r="E250" s="1306" t="s">
        <v>1815</v>
      </c>
      <c r="F250" s="1307" t="s">
        <v>1816</v>
      </c>
      <c r="G250" s="1308" t="s">
        <v>1817</v>
      </c>
      <c r="H250" s="1306" t="s">
        <v>1818</v>
      </c>
      <c r="I250" s="1307" t="s">
        <v>1819</v>
      </c>
      <c r="J250" s="1308" t="s">
        <v>1820</v>
      </c>
      <c r="K250" s="1309"/>
      <c r="L250" s="1309"/>
      <c r="M250" s="1286"/>
      <c r="N250" s="1286"/>
      <c r="O250" s="1286"/>
      <c r="P250" s="1286"/>
      <c r="U250" s="564" t="s">
        <v>1199</v>
      </c>
      <c r="V250" s="1310" t="s">
        <v>1201</v>
      </c>
      <c r="W250" s="1310" t="s">
        <v>1202</v>
      </c>
      <c r="AJ250" s="1295"/>
      <c r="AK250" s="1289"/>
    </row>
    <row r="251" spans="1:55" s="564" customFormat="1" ht="17.25" hidden="1" customHeight="1" x14ac:dyDescent="0.25">
      <c r="A251" s="1271" t="s">
        <v>1298</v>
      </c>
      <c r="B251" s="3141" t="s">
        <v>347</v>
      </c>
      <c r="C251" s="3141"/>
      <c r="D251" s="3141"/>
      <c r="E251" s="1394"/>
      <c r="F251" s="1394"/>
      <c r="G251" s="1395"/>
      <c r="H251" s="1394"/>
      <c r="I251" s="1394"/>
      <c r="J251" s="1395"/>
      <c r="K251" s="822"/>
      <c r="L251" s="822"/>
      <c r="M251" s="650"/>
      <c r="N251" s="650"/>
      <c r="O251" s="650"/>
      <c r="P251" s="650"/>
      <c r="Q251" s="1249" t="s">
        <v>1776</v>
      </c>
      <c r="R251" s="1249" t="s">
        <v>1777</v>
      </c>
      <c r="V251" s="1311" t="str">
        <f>IFERROR(V253+V252,"")</f>
        <v/>
      </c>
      <c r="W251" s="1311" t="str">
        <f>IFERROR(W253+W252,"")</f>
        <v/>
      </c>
      <c r="AH251" s="596"/>
      <c r="AI251" s="596"/>
      <c r="AJ251" s="16"/>
      <c r="AK251" s="596"/>
      <c r="AL251" s="622"/>
      <c r="AM251" s="623"/>
    </row>
    <row r="252" spans="1:55" s="564" customFormat="1" ht="18" hidden="1" customHeight="1" x14ac:dyDescent="0.25">
      <c r="A252" s="1271" t="s">
        <v>1298</v>
      </c>
      <c r="B252" s="1426" t="str">
        <f>IFERROR(IF(DESPath=3,"Electricity",""),"")</f>
        <v/>
      </c>
      <c r="C252" s="3142" t="str">
        <f>IFERROR(IF(ISBLANK($B252),"",VLOOKUP($B252,PO_Enrgy_1_Table,MATCH($C$16,PO_Enrgy_1_Hdr,0),FALSE) ),"")</f>
        <v/>
      </c>
      <c r="D252" s="3143" t="str">
        <f>IF(C252="","",VLOOKUP(C252,ProjectEnergyTypeTable,3,FALSE))</f>
        <v/>
      </c>
      <c r="E252" s="1396">
        <f>IFERROR(IF(AND(DESPath=3,DistrictCooling,$B$252="Electricity"),DESPath3_Cooling_COP,0),0)</f>
        <v>0</v>
      </c>
      <c r="F252" s="1397">
        <f>IFERROR(IF(DESPath=3,VLOOKUP("District Cooling",PO_Enrgy_9_Table,MATCH($E$240,PO_Enrgy_9_Hdr,0),FALSE)/$E252*VLOOKUP(VLOOKUP("District Cooling",PO_Enrgy_9_Table,MATCH($C$240,PO_Enrgy_9_Hdr,0),FALSE),EnergyUnitsTable,3,FALSE)/VLOOKUP($C252,EnergyUnitsTable,3,FALSE),0),0)</f>
        <v>0</v>
      </c>
      <c r="G252" s="1398">
        <f>IFERROR(F252*VLOOKUP($B252,PO_Enrgy_8_Table,MATCH($E$232,PO_Enrgy_8_Hdr,0),FALSE),0)</f>
        <v>0</v>
      </c>
      <c r="H252" s="1397">
        <f>IFERROR(IF(AND(DESPath=3,DistrictHeating,$B$252="Electricity"),DESPath3_Heating_eCOP,0),0)</f>
        <v>0</v>
      </c>
      <c r="I252" s="1397">
        <f>IF(DESPath = 3,IFERROR(VLOOKUP("District Hot Water",PO_Enrgy_9_Table,MATCH($E$240,PO_Enrgy_9_Hdr,0),FALSE)/$H252*VLOOKUP(VLOOKUP("District Hot Water",PO_Enrgy_9_Table,MATCH($C$240,PO_Enrgy_9_Hdr,0),FALSE),EnergyUnitsTable,3,FALSE)/VLOOKUP($C252,EnergyUnitsTable,3,FALSE),0)+IFERROR(VLOOKUP("District Steam",PO_Enrgy_9_Table,MATCH($E$240,PO_Enrgy_9_Hdr,0),FALSE)/$H252*VLOOKUP(VLOOKUP("District Steam",PO_Enrgy_9_Table,MATCH($C$240,PO_Enrgy_9_Hdr,0),FALSE),EnergyUnitsTable,3,FALSE)/VLOOKUP($C252,EnergyUnitsTable,3,FALSE),0),0)</f>
        <v>0</v>
      </c>
      <c r="J252" s="1398">
        <f>IFERROR(I252*VLOOKUP($B252,PO_Enrgy_8_Table,MATCH($E$232,PO_Enrgy_8_Hdr,0),FALSE),0)</f>
        <v>0</v>
      </c>
      <c r="K252" s="822"/>
      <c r="L252" s="822"/>
      <c r="M252" s="822"/>
      <c r="N252" s="650"/>
      <c r="O252" s="650"/>
      <c r="P252" s="650"/>
      <c r="Q252" s="1250" t="str">
        <f>IFERROR(IF(ISBLANK($B252),"",VLOOKUP($B252,PO_Enrgy_1_Table,MATCH($K$16,PO_Enrgy_1_Hdr,0),FALSE)),"")</f>
        <v/>
      </c>
      <c r="R252" s="1250" t="str">
        <f>IFERROR(IF(ISBLANK($B252),"",VLOOKUP($B252,PO_Enrgy_1_Table,MATCH($M$16,PO_Enrgy_1_Hdr,0),FALSE)),"")</f>
        <v/>
      </c>
      <c r="U252" s="564" t="s">
        <v>1197</v>
      </c>
      <c r="V252" s="1312" t="str">
        <f>IFERROR(VLOOKUP($B252,PO_Enrgy_8_Table,MATCH($E$232,PO_Enrgy_8_Hdr,0),FALSE)/$E$252*VLOOKUP(VLOOKUP("District Cooling",PO_Enrgy_9_Table,MATCH($C$240,PO_Enrgy_9_Hdr,0),FALSE),EnergyUnitsTable,3,FALSE)/VLOOKUP($C252,EnergyUnitsTable,3,FALSE),"")</f>
        <v/>
      </c>
      <c r="W252" s="1312" t="str">
        <f>IFERROR(VLOOKUP($B252,PO_Enrgy_8_Table,MATCH($E$232,PO_Enrgy_8_Hdr,0),FALSE)/$H$252*(IFERROR(VLOOKUP(VLOOKUP("District Hot Water",PO_Enrgy_9_Table,MATCH($C$240,PO_Enrgy_9_Hdr,0),FALSE),EnergyUnitsTable,3,FALSE),1)+IFERROR(VLOOKUP(VLOOKUP("District Steam",PO_Enrgy_9_Table,MATCH($C$240,PO_Enrgy_9_Hdr,0),FALSE),EnergyUnitsTable,3,FALSE),1))/VLOOKUP($C252,EnergyUnitsTable,3,FALSE),"")</f>
        <v/>
      </c>
      <c r="AH252" s="1291"/>
      <c r="AI252" s="1291"/>
      <c r="AJ252" s="605"/>
      <c r="AK252" s="596"/>
      <c r="AL252" s="622"/>
      <c r="AM252" s="623"/>
      <c r="BC252" s="2292"/>
    </row>
    <row r="253" spans="1:55" s="564" customFormat="1" ht="18" hidden="1" customHeight="1" x14ac:dyDescent="0.25">
      <c r="A253" s="1271" t="s">
        <v>1298</v>
      </c>
      <c r="B253" s="1632" t="str">
        <f>IFERROR(IF(DESPath=3,IF(MATCH("Natural Gas",PO_Enrgy_1_Index,0)&gt;0,"Natural Gas",IF(MATCH("Fuel Oil / Diesel",PO_Enrgy_1_Table,0)&gt;1,"Fuel Oil / Diesel","")),""),"")</f>
        <v/>
      </c>
      <c r="C253" s="3142" t="str">
        <f>IFERROR(IF(ISBLANK($B253),"",VLOOKUP($B253,PO_Enrgy_1_Table,MATCH($C$16,PO_Enrgy_1_Hdr,0),FALSE) ),"")</f>
        <v/>
      </c>
      <c r="D253" s="3143" t="str">
        <f>IF(C253="","",VLOOKUP(C253,ProjectEnergyTypeTable,3,FALSE))</f>
        <v/>
      </c>
      <c r="E253" s="1399"/>
      <c r="F253" s="1399"/>
      <c r="G253" s="1648"/>
      <c r="H253" s="1397">
        <f>IFERROR(IF(AND(DESPath=3,DistrictHeating,$B$252="Electricity"),DESPath3_Heating_fCOP,0),0)</f>
        <v>0</v>
      </c>
      <c r="I253" s="1397">
        <f>IF(DESPath = 3,IFERROR(VLOOKUP("District Hot Water",PO_Enrgy_9_Table,MATCH($E$240,PO_Enrgy_9_Hdr,0),FALSE)/$H253*VLOOKUP(VLOOKUP("District Hot Water",PO_Enrgy_9_Table,MATCH($C$240,PO_Enrgy_9_Hdr,0),FALSE),EnergyUnitsTable,3,FALSE)/VLOOKUP($C253,EnergyUnitsTable,3,FALSE),0)+IFERROR(VLOOKUP("District Steam",PO_Enrgy_9_Table,MATCH($E$240,PO_Enrgy_9_Hdr,0),FALSE)/$H253*VLOOKUP(VLOOKUP("District Steam",PO_Enrgy_9_Table,MATCH($C$240,PO_Enrgy_9_Hdr,0),FALSE),EnergyUnitsTable,3,FALSE)/VLOOKUP($C253,EnergyUnitsTable,3,FALSE),0),0)</f>
        <v>0</v>
      </c>
      <c r="J253" s="1398">
        <f>IFERROR(I253*VLOOKUP($B253,PO_Enrgy_8_Table,MATCH($E$232,PO_Enrgy_8_Hdr,0),FALSE),0)</f>
        <v>0</v>
      </c>
      <c r="K253" s="822"/>
      <c r="L253" s="822"/>
      <c r="M253" s="822"/>
      <c r="N253" s="650"/>
      <c r="O253" s="650"/>
      <c r="P253" s="650"/>
      <c r="Q253" s="1250" t="str">
        <f>IFERROR(IF(ISBLANK($B253),"",VLOOKUP($B253,PO_Enrgy_1_Table,MATCH($K$16,PO_Enrgy_1_Hdr,0),FALSE)),"")</f>
        <v/>
      </c>
      <c r="R253" s="1250" t="str">
        <f>IFERROR(IF(ISBLANK($B253),"",VLOOKUP($B253,PO_Enrgy_1_Table,MATCH($M$16,PO_Enrgy_1_Hdr,0),FALSE)),"")</f>
        <v/>
      </c>
      <c r="U253" s="564" t="s">
        <v>1198</v>
      </c>
      <c r="V253" s="1312" t="str">
        <f>IFERROR(VLOOKUP($B253,PO_Enrgy_8_Table,MATCH($E$232,PO_Enrgy_8_Hdr,0),FALSE)/$E$252*VLOOKUP(VLOOKUP("District Cooling",PO_Enrgy_9_Table,MATCH($C$240,PO_Enrgy_9_Hdr,0),FALSE),EnergyUnitsTable,3,FALSE)/VLOOKUP($C253,EnergyUnitsTable,3,FALSE),"")</f>
        <v/>
      </c>
      <c r="W253" s="1312" t="str">
        <f>IFERROR(VLOOKUP($B253,PO_Enrgy_8_Table,MATCH($E$232,PO_Enrgy_8_Hdr,0),FALSE)/$H$252*(IFERROR(VLOOKUP(VLOOKUP("District Hot Water",PO_Enrgy_9_Table,MATCH($C$240,PO_Enrgy_9_Hdr,0),FALSE),EnergyUnitsTable,3,FALSE),1)+IFERROR(VLOOKUP(VLOOKUP("District Steam",PO_Enrgy_9_Table,MATCH($C$240,PO_Enrgy_9_Hdr,0),FALSE),EnergyUnitsTable,3,FALSE),1))/VLOOKUP($C253,EnergyUnitsTable,3,FALSE),"")</f>
        <v/>
      </c>
      <c r="AH253" s="1291"/>
      <c r="AI253" s="1291"/>
      <c r="AJ253" s="605"/>
      <c r="AK253" s="596"/>
      <c r="AL253" s="622"/>
      <c r="AM253" s="623"/>
      <c r="BC253" s="2292"/>
    </row>
    <row r="254" spans="1:55" s="1287" customFormat="1" ht="15" hidden="1" customHeight="1" x14ac:dyDescent="0.25">
      <c r="A254" s="1271" t="s">
        <v>1298</v>
      </c>
      <c r="B254" s="1305" t="s">
        <v>1765</v>
      </c>
      <c r="C254" s="1305" t="s">
        <v>1793</v>
      </c>
      <c r="D254" s="1305"/>
      <c r="E254" s="1306" t="s">
        <v>1815</v>
      </c>
      <c r="F254" s="1307" t="s">
        <v>1816</v>
      </c>
      <c r="G254" s="1308" t="s">
        <v>1817</v>
      </c>
      <c r="H254" s="1306" t="s">
        <v>1818</v>
      </c>
      <c r="I254" s="1307" t="s">
        <v>1819</v>
      </c>
      <c r="J254" s="1308" t="s">
        <v>1820</v>
      </c>
      <c r="K254" s="1309"/>
      <c r="L254" s="1309"/>
      <c r="M254" s="1286"/>
      <c r="N254" s="1286"/>
      <c r="O254" s="1286"/>
      <c r="P254" s="1286"/>
      <c r="Q254" s="1249" t="s">
        <v>1776</v>
      </c>
      <c r="R254" s="1249" t="s">
        <v>1777</v>
      </c>
      <c r="V254" s="1310" t="s">
        <v>1201</v>
      </c>
      <c r="W254" s="1310" t="s">
        <v>1202</v>
      </c>
      <c r="AH254" s="1289"/>
      <c r="AI254" s="1289"/>
      <c r="AJ254" s="1295"/>
      <c r="AK254" s="1289"/>
    </row>
    <row r="255" spans="1:55" s="564" customFormat="1" ht="17.25" hidden="1" customHeight="1" x14ac:dyDescent="0.25">
      <c r="A255" s="1271" t="s">
        <v>1298</v>
      </c>
      <c r="B255" s="3141" t="s">
        <v>348</v>
      </c>
      <c r="C255" s="3141"/>
      <c r="D255" s="3141"/>
      <c r="E255" s="1401"/>
      <c r="F255" s="1401"/>
      <c r="G255" s="1402"/>
      <c r="H255" s="1401"/>
      <c r="I255" s="1401"/>
      <c r="J255" s="1402"/>
      <c r="K255" s="822"/>
      <c r="L255" s="822"/>
      <c r="M255" s="650"/>
      <c r="N255" s="650"/>
      <c r="O255" s="650"/>
      <c r="P255" s="650"/>
      <c r="U255" s="564" t="s">
        <v>1200</v>
      </c>
      <c r="V255" s="1311" t="str">
        <f>IFERROR(V256+V257,"")</f>
        <v/>
      </c>
      <c r="W255" s="1311" t="str">
        <f>IFERROR(W256+W257,"")</f>
        <v/>
      </c>
      <c r="AI255" s="596"/>
      <c r="AJ255" s="596"/>
      <c r="AK255" s="596"/>
      <c r="AL255" s="622"/>
      <c r="AM255" s="623"/>
    </row>
    <row r="256" spans="1:55" s="564" customFormat="1" ht="18" hidden="1" customHeight="1" x14ac:dyDescent="0.25">
      <c r="A256" s="1271" t="s">
        <v>1298</v>
      </c>
      <c r="B256" s="1403" t="str">
        <f>IFERROR(IF(ISBLANK(B17),"",B17),"")</f>
        <v>Electricity</v>
      </c>
      <c r="C256" s="3142" t="str">
        <f>IFERROR(IF(ISBLANK($B256),"",VLOOKUP($B256,PO_Enrgy_1_Table,MATCH($C$16,PO_Enrgy_1_Hdr,0),FALSE) ),"")</f>
        <v>kWh</v>
      </c>
      <c r="D256" s="3143" t="e">
        <f>IF(C256="","",VLOOKUP(C256,ProjectEnergyTypeTable,3,FALSE))</f>
        <v>#NAME?</v>
      </c>
      <c r="E256" s="2247"/>
      <c r="F256" s="1397">
        <f>IFERROR(IF(DESPath=3,VLOOKUP("District Cooling",PO_Enrgy_9_Table,MATCH($H$240,PO_Enrgy_9_Hdr,0),FALSE)/$E256*VLOOKUP(VLOOKUP("District Cooling",PO_Enrgy_9_Table,MATCH($C$240,PO_Enrgy_9_Hdr,0),FALSE),EnergyUnitsTable,3,FALSE)/VLOOKUP($C256,EnergyUnitsTable,3,FALSE),0),0)</f>
        <v>0</v>
      </c>
      <c r="G256" s="1398">
        <f>IFERROR(F256*VLOOKUP($B256,PO_Enrgy_8_Table,MATCH($H$232,PO_Enrgy_8_Hdr,0),FALSE),0)</f>
        <v>0</v>
      </c>
      <c r="H256" s="2248"/>
      <c r="I256" s="1397">
        <f>IF(DESPath = 3,IFERROR(VLOOKUP("District Hot Water",PO_Enrgy_9_Table,MATCH($H$240,PO_Enrgy_9_Hdr,0),FALSE)/$H256*VLOOKUP(VLOOKUP("District Hot Water",PO_Enrgy_9_Table,MATCH($C$240,PO_Enrgy_9_Hdr,0),FALSE),EnergyUnitsTable,3,FALSE)/VLOOKUP($C256,EnergyUnitsTable,3,FALSE),0)+IFERROR(VLOOKUP("District Steam",PO_Enrgy_9_Table,MATCH($H$240,PO_Enrgy_9_Hdr,0),FALSE)/$H256*VLOOKUP(VLOOKUP("District Steam",PO_Enrgy_9_Table,MATCH($C$240,PO_Enrgy_9_Hdr,0),FALSE),EnergyUnitsTable,3,FALSE)/VLOOKUP($C256,EnergyUnitsTable,3,FALSE),0),0)</f>
        <v>0</v>
      </c>
      <c r="J256" s="1398">
        <f>IFERROR(I256*VLOOKUP($B256,PO_Enrgy_8_Table,MATCH($H$232,PO_Enrgy_8_Hdr,0),FALSE),0)</f>
        <v>0</v>
      </c>
      <c r="K256" s="822"/>
      <c r="L256" s="822"/>
      <c r="M256" s="822"/>
      <c r="N256" s="650"/>
      <c r="O256" s="650"/>
      <c r="P256" s="650"/>
      <c r="Q256" s="1250">
        <f>IFERROR(IF(ISBLANK($B256),"",VLOOKUP($B256,PO_Enrgy_1_Table,MATCH($K$16,PO_Enrgy_1_Hdr,0),FALSE)),"")</f>
        <v>3.4120000000000001E-3</v>
      </c>
      <c r="R256" s="1250">
        <f>IFERROR(IF(ISBLANK($B256),"",VLOOKUP($B256,PO_Enrgy_1_Table,MATCH($M$16,PO_Enrgy_1_Hdr,0),FALSE)),"")</f>
        <v>1.0713680000000001E-2</v>
      </c>
      <c r="U256" s="564" t="s">
        <v>1197</v>
      </c>
      <c r="V256" s="1312" t="str">
        <f>IFERROR(VLOOKUP($B256,PO_Enrgy_8_Table,MATCH($H$232,PO_Enrgy_8_Hdr,0),FALSE)/$E$256*VLOOKUP(VLOOKUP("District Cooling",PO_Enrgy_9_Table,MATCH($C$240,PO_Enrgy_9_Hdr,0),FALSE),EnergyUnitsTable,3,FALSE)/VLOOKUP($C256,EnergyUnitsTable,3,FALSE),"")</f>
        <v/>
      </c>
      <c r="W256" s="1312" t="str">
        <f>IFERROR(VLOOKUP($B256,PO_Enrgy_8_Table,MATCH($H$232,PO_Enrgy_8_Hdr,0),FALSE)/$H$256*(IFERROR(VLOOKUP(VLOOKUP("District Hot Water",PO_Enrgy_9_Table,MATCH($C$240,PO_Enrgy_9_Hdr,0),FALSE),EnergyUnitsTable,3,FALSE),1)+IFERROR(VLOOKUP(VLOOKUP("District Steam",PO_Enrgy_9_Table,MATCH($C$240,PO_Enrgy_9_Hdr,0),FALSE),EnergyUnitsTable,3,FALSE),1))/VLOOKUP($C256,EnergyUnitsTable,3,FALSE),"")</f>
        <v/>
      </c>
      <c r="AH256" s="1291"/>
      <c r="AI256" s="1291"/>
      <c r="AJ256" s="605"/>
      <c r="AK256" s="596"/>
      <c r="AL256" s="622"/>
      <c r="AM256" s="623"/>
      <c r="BC256" s="2292"/>
    </row>
    <row r="257" spans="1:55" s="564" customFormat="1" ht="18" hidden="1" customHeight="1" x14ac:dyDescent="0.25">
      <c r="A257" s="1271" t="s">
        <v>1298</v>
      </c>
      <c r="B257" s="1403" t="str">
        <f>IFERROR(IF(ISBLANK($B$253),"",$B$253),"")</f>
        <v/>
      </c>
      <c r="C257" s="3142" t="str">
        <f>IFERROR(IF(ISBLANK($B257),"",VLOOKUP($B257,PO_Enrgy_1_Table,MATCH($C$16,PO_Enrgy_1_Hdr,0),FALSE) ),"")</f>
        <v/>
      </c>
      <c r="D257" s="3143" t="str">
        <f>IF(C257="","",VLOOKUP(C257,ProjectEnergyTypeTable,3,FALSE))</f>
        <v/>
      </c>
      <c r="E257" s="2248"/>
      <c r="F257" s="1397">
        <f>IFERROR(IF(DESPath=3,VLOOKUP("District Cooling",PO_Enrgy_9_Table,MATCH($H$240,PO_Enrgy_9_Hdr,0),FALSE)/$E257*VLOOKUP(VLOOKUP("District Cooling",PO_Enrgy_9_Table,MATCH($C$240,PO_Enrgy_9_Hdr,0),FALSE),EnergyUnitsTable,3,FALSE)/VLOOKUP($C257,EnergyUnitsTable,3,FALSE),0),0)</f>
        <v>0</v>
      </c>
      <c r="G257" s="1398">
        <f>IFERROR(F257*VLOOKUP($B257,PO_Enrgy_8_Table,MATCH($H$232,PO_Enrgy_8_Hdr,0),FALSE),0)</f>
        <v>0</v>
      </c>
      <c r="H257" s="2249"/>
      <c r="I257" s="1397">
        <f>IF(DESPath = 3,IFERROR(VLOOKUP("District Hot Water",PO_Enrgy_9_Table,MATCH($H$240,PO_Enrgy_9_Hdr,0),FALSE)/$H257*VLOOKUP(VLOOKUP("District Hot Water",PO_Enrgy_9_Table,MATCH($C$240,PO_Enrgy_9_Hdr,0),FALSE),EnergyUnitsTable,3,FALSE)/VLOOKUP($C257,EnergyUnitsTable,3,FALSE),0)+IFERROR(VLOOKUP("District Steam",PO_Enrgy_9_Table,MATCH($H$240,PO_Enrgy_9_Hdr,0),FALSE)/$H257*VLOOKUP(VLOOKUP("District Steam",PO_Enrgy_9_Table,MATCH($C$240,PO_Enrgy_9_Hdr,0),FALSE),EnergyUnitsTable,3,FALSE)/VLOOKUP($C257,EnergyUnitsTable,3,FALSE),0),0)</f>
        <v>0</v>
      </c>
      <c r="J257" s="1398">
        <f>IFERROR(I257*VLOOKUP($B257,PO_Enrgy_8_Table,MATCH($H$232,PO_Enrgy_8_Hdr,0),FALSE),0)</f>
        <v>0</v>
      </c>
      <c r="K257" s="822"/>
      <c r="L257" s="822"/>
      <c r="M257" s="822"/>
      <c r="N257" s="650"/>
      <c r="O257" s="650"/>
      <c r="P257" s="650"/>
      <c r="Q257" s="1250" t="str">
        <f>IFERROR(IF(ISBLANK($B257),"",VLOOKUP($B257,PO_Enrgy_1_Table,MATCH($K$16,PO_Enrgy_1_Hdr,0),FALSE)),"")</f>
        <v/>
      </c>
      <c r="R257" s="1250" t="str">
        <f>IFERROR(IF(ISBLANK($B257),"",VLOOKUP($B257,PO_Enrgy_1_Table,MATCH($M$16,PO_Enrgy_1_Hdr,0),FALSE)),"")</f>
        <v/>
      </c>
      <c r="U257" s="564" t="s">
        <v>1198</v>
      </c>
      <c r="V257" s="1312" t="str">
        <f>IFERROR(VLOOKUP($B257,PO_Enrgy_8_Table,MATCH($H$232,PO_Enrgy_8_Hdr,0),FALSE)/$E$256*VLOOKUP(VLOOKUP("District Cooling",PO_Enrgy_9_Table,MATCH($C$240,PO_Enrgy_9_Hdr,0),FALSE),EnergyUnitsTable,3,FALSE)/VLOOKUP($C257,EnergyUnitsTable,3,FALSE),"")</f>
        <v/>
      </c>
      <c r="W257" s="1312" t="str">
        <f>IFERROR(VLOOKUP($B257,PO_Enrgy_8_Table,MATCH($H$232,PO_Enrgy_8_Hdr,0),FALSE)/$H$256*(IFERROR(VLOOKUP(VLOOKUP("District Hot Water",PO_Enrgy_9_Table,MATCH($C$240,PO_Enrgy_9_Hdr,0),FALSE),EnergyUnitsTable,3,FALSE),1)+IFERROR(VLOOKUP(VLOOKUP("District Steam",PO_Enrgy_9_Table,MATCH($C$240,PO_Enrgy_9_Hdr,0),FALSE),EnergyUnitsTable,3,FALSE),1))/VLOOKUP($C257,EnergyUnitsTable,3,FALSE),"")</f>
        <v/>
      </c>
      <c r="AH257" s="1291"/>
      <c r="AI257" s="1291"/>
      <c r="AJ257" s="605"/>
      <c r="AK257" s="596"/>
      <c r="AL257" s="622" t="str">
        <f t="shared" ref="AL257" si="26">IFERROR(G257/E257,"")</f>
        <v/>
      </c>
      <c r="AM257" s="623" t="str">
        <f t="shared" ref="AM257" si="27">IFERROR(J257/H257,"")</f>
        <v/>
      </c>
      <c r="BC257" s="2292"/>
    </row>
    <row r="258" spans="1:55" s="594" customFormat="1" ht="1.9" hidden="1" customHeight="1" x14ac:dyDescent="0.25">
      <c r="A258" s="1271" t="s">
        <v>1298</v>
      </c>
      <c r="B258" s="1391"/>
      <c r="C258" s="1392"/>
      <c r="D258" s="1391"/>
      <c r="E258" s="1391"/>
      <c r="F258" s="1391"/>
      <c r="G258" s="1393"/>
      <c r="H258" s="1392"/>
      <c r="I258" s="1392" t="s">
        <v>1077</v>
      </c>
      <c r="J258" s="1391"/>
      <c r="K258" s="1626"/>
      <c r="L258" s="1626"/>
      <c r="M258" s="1646"/>
      <c r="N258" s="650"/>
      <c r="O258" s="650"/>
      <c r="P258" s="650"/>
      <c r="AE258" s="670"/>
      <c r="AF258" s="670"/>
      <c r="AH258" s="596"/>
      <c r="AI258" s="596"/>
      <c r="AJ258" s="596"/>
      <c r="AK258" s="596"/>
    </row>
    <row r="259" spans="1:55" s="594" customFormat="1" ht="19.5" hidden="1" customHeight="1" x14ac:dyDescent="0.25">
      <c r="A259" s="1271" t="s">
        <v>1298</v>
      </c>
      <c r="B259" s="3193"/>
      <c r="C259" s="3193"/>
      <c r="D259" s="3193"/>
      <c r="E259" s="843"/>
      <c r="F259" s="1626"/>
      <c r="G259" s="650"/>
      <c r="H259" s="845"/>
      <c r="I259" s="1625"/>
      <c r="J259" s="651"/>
      <c r="K259" s="558"/>
      <c r="L259" s="558"/>
      <c r="M259" s="649"/>
      <c r="N259" s="650"/>
      <c r="O259" s="650"/>
      <c r="P259" s="650"/>
      <c r="AH259" s="596"/>
      <c r="AI259" s="596"/>
      <c r="AJ259" s="596"/>
      <c r="AK259" s="596"/>
      <c r="AL259" s="622"/>
      <c r="AM259" s="623"/>
    </row>
    <row r="260" spans="1:55" s="564" customFormat="1" ht="60" hidden="1" customHeight="1" x14ac:dyDescent="0.25">
      <c r="A260" s="1271" t="s">
        <v>1298</v>
      </c>
      <c r="B260" s="3124" t="s">
        <v>444</v>
      </c>
      <c r="C260" s="3165" t="s">
        <v>1805</v>
      </c>
      <c r="D260" s="3125"/>
      <c r="E260" s="3194" t="s">
        <v>1301</v>
      </c>
      <c r="F260" s="3194"/>
      <c r="G260" s="3194"/>
      <c r="H260" s="3194" t="s">
        <v>1302</v>
      </c>
      <c r="I260" s="3194"/>
      <c r="J260" s="3194"/>
      <c r="K260" s="3158" t="s">
        <v>448</v>
      </c>
      <c r="L260" s="3192"/>
      <c r="M260" s="2777"/>
      <c r="N260" s="3168"/>
      <c r="O260" s="3168"/>
      <c r="P260" s="3168"/>
      <c r="AJ260" s="596"/>
      <c r="AL260" s="622"/>
      <c r="AM260" s="623"/>
    </row>
    <row r="261" spans="1:55" s="564" customFormat="1" ht="48" hidden="1" customHeight="1" x14ac:dyDescent="0.25">
      <c r="A261" s="1271" t="s">
        <v>1298</v>
      </c>
      <c r="B261" s="3125"/>
      <c r="C261" s="3125"/>
      <c r="D261" s="3125"/>
      <c r="E261" s="1637" t="s">
        <v>1116</v>
      </c>
      <c r="F261" s="1639" t="str">
        <f>"Source Energy Use ("  &amp; PO_SourceUnits &amp; ")"</f>
        <v>Source Energy Use (Btu x 10^6)</v>
      </c>
      <c r="G261" s="1628" t="s">
        <v>446</v>
      </c>
      <c r="H261" s="1637" t="s">
        <v>1116</v>
      </c>
      <c r="I261" s="1639" t="str">
        <f>"Source Energy Use ("  &amp; PO_SourceUnits &amp; ")"</f>
        <v>Source Energy Use (Btu x 10^6)</v>
      </c>
      <c r="J261" s="1628" t="s">
        <v>446</v>
      </c>
      <c r="K261" s="3158" t="s">
        <v>447</v>
      </c>
      <c r="L261" s="3139"/>
      <c r="M261" s="1628" t="s">
        <v>446</v>
      </c>
      <c r="N261" s="1625"/>
      <c r="O261" s="1625"/>
      <c r="P261" s="1625"/>
      <c r="AJ261" s="596"/>
    </row>
    <row r="262" spans="1:55" s="1287" customFormat="1" ht="15" hidden="1" customHeight="1" x14ac:dyDescent="0.25">
      <c r="A262" s="1271" t="s">
        <v>1298</v>
      </c>
      <c r="B262" s="1314" t="s">
        <v>1765</v>
      </c>
      <c r="C262" s="1305" t="s">
        <v>1793</v>
      </c>
      <c r="D262" s="1314"/>
      <c r="E262" s="1315" t="s">
        <v>1821</v>
      </c>
      <c r="F262" s="1316" t="s">
        <v>1822</v>
      </c>
      <c r="G262" s="1317" t="s">
        <v>1823</v>
      </c>
      <c r="H262" s="1315" t="s">
        <v>1806</v>
      </c>
      <c r="I262" s="1316" t="s">
        <v>1807</v>
      </c>
      <c r="J262" s="1317" t="s">
        <v>1808</v>
      </c>
      <c r="K262" s="1317" t="s">
        <v>1824</v>
      </c>
      <c r="L262" s="1305"/>
      <c r="M262" s="1317" t="s">
        <v>1810</v>
      </c>
      <c r="N262" s="1309"/>
      <c r="O262" s="1309"/>
      <c r="P262" s="1309"/>
      <c r="Q262" s="1249" t="s">
        <v>1776</v>
      </c>
      <c r="R262" s="1249" t="s">
        <v>1777</v>
      </c>
      <c r="AJ262" s="1289"/>
    </row>
    <row r="263" spans="1:55" s="564" customFormat="1" ht="15" hidden="1" customHeight="1" x14ac:dyDescent="0.25">
      <c r="A263" s="1271" t="s">
        <v>1298</v>
      </c>
      <c r="B263" s="1427" t="str">
        <f>IFERROR(IF(ISBLANK(B17),"",B17),"")</f>
        <v>Electricity</v>
      </c>
      <c r="C263" s="3126" t="str">
        <f>IFERROR(IF(ISBLANK($B263),"",VLOOKUP($B263,PO_Enrgy_1_Table,MATCH($C$16,PO_Enrgy_1_Hdr,0),FALSE) ),"")</f>
        <v>kWh</v>
      </c>
      <c r="D263" s="3127" t="e">
        <f>IF(C263="","",VLOOKUP(C263,ProjectEnergyTypeTable,3,FALSE))</f>
        <v>#NAME?</v>
      </c>
      <c r="E263" s="1406">
        <f>IFERROR(IFERROR(IFERROR(VLOOKUP($B263,PO_DESbase_Enrgy_Table,MATCH($F$250,PO_DESbase_Enrgy_Hdr,0),FALSE),0)+IFERROR(VLOOKUP($B263,PO_DESbase_Enrgy_Table,MATCH($I$250,PO_DESbase_Enrgy_Hdr,0),FALSE),0),0)+IF(OR(DESPath&lt;&gt;3,AND(B263&lt;&gt;"District Cooling",B263&lt;&gt;"District Hot Water",B263&lt;&gt;"District Steam")),VLOOKUP($B263,PO_Enrgy_9_Table,MATCH($E$240,PO_Enrgy_9_Hdr,0),FALSE),0),"")</f>
        <v>0</v>
      </c>
      <c r="F263" s="1406">
        <f>IFERROR(E263*$R263,"")</f>
        <v>0</v>
      </c>
      <c r="G263" s="1387">
        <f>IFERROR(IFERROR(IFERROR(VLOOKUP($B263,PO_DESbase_Enrgy_Table,MATCH($G$250,PO_DESbase_Enrgy_Hdr,0),FALSE),0)+IFERROR(VLOOKUP($B263,PO_DESbase_Enrgy_Table,MATCH($J$250,PO_DESbase_Enrgy_Hdr,0),FALSE),0),0)+IF(OR(DESPath&lt;&gt;3,AND(B263&lt;&gt;"District Cooling",B263&lt;&gt;"District Hot Water",B263&lt;&gt;"District Steam")),VLOOKUP($B263,PO_Enrgy_9_Table,MATCH($G$240,PO_Enrgy_9_Hdr,0),FALSE),0),"")</f>
        <v>0</v>
      </c>
      <c r="H263" s="1406">
        <f>IFERROR(IFERROR(IFERROR(VLOOKUP($B263,PO_DESdesign_Enrgy_Table,MATCH($F$254,PO_DESdesign_Enrgy_Hdr,0),FALSE),0)+IFERROR(VLOOKUP($B263,PO_DESdesign_Enrgy_Table,MATCH($I$254,PO_DESdesign_Enrgy_Hdr,0),FALSE),0),0)+IF(OR(DESPath&lt;&gt;3,AND(B263&lt;&gt;"District Cooling",B263&lt;&gt;"District Hot Water",B263&lt;&gt;"District Steam")),VLOOKUP($B263,PO_Enrgy_9_Table,MATCH($H$240,PO_Enrgy_9_Hdr,0),FALSE),0),"")</f>
        <v>0</v>
      </c>
      <c r="I263" s="1406">
        <f>IFERROR(H263*$R263,"")</f>
        <v>0</v>
      </c>
      <c r="J263" s="1387">
        <f>IFERROR(IFERROR(IFERROR(VLOOKUP($B263,PO_DESdesign_Enrgy_Table,MATCH($G$254,PO_DESdesign_Enrgy_Hdr,0),FALSE),0)+IFERROR(VLOOKUP($B263,PO_DESdesign_Enrgy_Table,MATCH($J$254,PO_DESdesign_Enrgy_Hdr,0),FALSE),0),0)+IF(OR(DESPath&lt;&gt;3,AND(B263&lt;&gt;"District Cooling",B263&lt;&gt;"District Hot Water",B263&lt;&gt;"District Steam")),VLOOKUP($B263,PO_Enrgy_9_Table,MATCH($J$240,PO_Enrgy_9_Hdr,0),FALSE),0),"")</f>
        <v>0</v>
      </c>
      <c r="K263" s="3133" t="str">
        <f>IFERROR(1-H263/E263,"")</f>
        <v/>
      </c>
      <c r="L263" s="3134"/>
      <c r="M263" s="2384" t="str">
        <f>IFERROR(1-J263/G263,"")</f>
        <v/>
      </c>
      <c r="N263" s="650"/>
      <c r="O263" s="650"/>
      <c r="P263" s="650"/>
      <c r="Q263" s="1250">
        <f>IFERROR(IF(ISBLANK($B263),"",VLOOKUP($B263,PO_Enrgy_1_Table,MATCH($K$16,PO_Enrgy_1_Hdr,0),FALSE)),"")</f>
        <v>3.4120000000000001E-3</v>
      </c>
      <c r="R263" s="1250">
        <f>IFERROR(IF(ISBLANK($B263),"",VLOOKUP($B263,PO_Enrgy_1_Table,MATCH($M$16,PO_Enrgy_1_Hdr,0),FALSE)),"")</f>
        <v>1.0713680000000001E-2</v>
      </c>
      <c r="AH263" s="624"/>
      <c r="AI263" s="624"/>
      <c r="AJ263" s="605"/>
      <c r="AL263" s="622"/>
      <c r="AM263" s="623"/>
      <c r="AR263" s="606"/>
      <c r="BC263" s="2292"/>
    </row>
    <row r="264" spans="1:55" s="564" customFormat="1" ht="15" hidden="1" customHeight="1" x14ac:dyDescent="0.25">
      <c r="A264" s="1271" t="s">
        <v>1298</v>
      </c>
      <c r="B264" s="1427" t="str">
        <f>IFERROR(IF(ISBLANK(B18),"",B18),"")</f>
        <v>District Steam</v>
      </c>
      <c r="C264" s="3126" t="str">
        <f>IFERROR(IF(ISBLANK($B264),"",VLOOKUP($B264,PO_Enrgy_1_Table,MATCH($C$16,PO_Enrgy_1_Hdr,0),FALSE) ),"")</f>
        <v>therm</v>
      </c>
      <c r="D264" s="3127" t="e">
        <f>IF(C264="","",VLOOKUP(C264,ProjectEnergyTypeTable,3,FALSE))</f>
        <v>#NAME?</v>
      </c>
      <c r="E264" s="1406">
        <f>IFERROR(IFERROR(IFERROR(VLOOKUP($B264,PO_DESbase_Enrgy_Table,MATCH($F$250,PO_DESbase_Enrgy_Hdr,0),FALSE),0)+IFERROR(VLOOKUP($B264,PO_DESbase_Enrgy_Table,MATCH($I$250,PO_DESbase_Enrgy_Hdr,0),FALSE),0),0)+IF(OR(DESPath&lt;&gt;3,AND(B264&lt;&gt;"District Cooling",B264&lt;&gt;"District Hot Water",B264&lt;&gt;"District Steam")),VLOOKUP($B264,PO_Enrgy_9_Table,MATCH($E$240,PO_Enrgy_9_Hdr,0),FALSE),0),"")</f>
        <v>0</v>
      </c>
      <c r="F264" s="1406">
        <f>IFERROR(E264*$R264,"")</f>
        <v>0</v>
      </c>
      <c r="G264" s="1387">
        <f>IFERROR(IFERROR(IFERROR(VLOOKUP($B264,PO_DESbase_Enrgy_Table,MATCH($G$250,PO_DESbase_Enrgy_Hdr,0),FALSE),0)+IFERROR(VLOOKUP($B264,PO_DESbase_Enrgy_Table,MATCH($J$250,PO_DESbase_Enrgy_Hdr,0),FALSE),0),0)+IF(OR(DESPath&lt;&gt;3,AND(B264&lt;&gt;"District Cooling",B264&lt;&gt;"District Hot Water",B264&lt;&gt;"District Steam")),VLOOKUP($B264,PO_Enrgy_9_Table,MATCH($G$240,PO_Enrgy_9_Hdr,0),FALSE),0),"")</f>
        <v>0</v>
      </c>
      <c r="H264" s="1406">
        <f>IFERROR(IFERROR(IFERROR(VLOOKUP($B264,PO_DESdesign_Enrgy_Table,MATCH($F$254,PO_DESdesign_Enrgy_Hdr,0),FALSE),0)+IFERROR(VLOOKUP($B264,PO_DESdesign_Enrgy_Table,MATCH($I$254,PO_DESdesign_Enrgy_Hdr,0),FALSE),0),0)+IF(OR(DESPath&lt;&gt;3,AND(B264&lt;&gt;"District Cooling",B264&lt;&gt;"District Hot Water",B264&lt;&gt;"District Steam")),VLOOKUP($B264,PO_Enrgy_9_Table,MATCH($H$240,PO_Enrgy_9_Hdr,0),FALSE),0),"")</f>
        <v>0</v>
      </c>
      <c r="I264" s="1406">
        <f>IFERROR(H264*$R264,"")</f>
        <v>0</v>
      </c>
      <c r="J264" s="1387">
        <f>IFERROR(IFERROR(IFERROR(VLOOKUP($B264,PO_DESdesign_Enrgy_Table,MATCH($G$254,PO_DESdesign_Enrgy_Hdr,0),FALSE),0)+IFERROR(VLOOKUP($B264,PO_DESdesign_Enrgy_Table,MATCH($J$254,PO_DESdesign_Enrgy_Hdr,0),FALSE),0),0)+IF(OR(DESPath&lt;&gt;3,AND(B264&lt;&gt;"District Cooling",B264&lt;&gt;"District Hot Water",B264&lt;&gt;"District Steam")),VLOOKUP($B264,PO_Enrgy_9_Table,MATCH($J$240,PO_Enrgy_9_Hdr,0),FALSE),0),"")</f>
        <v>0</v>
      </c>
      <c r="K264" s="3133" t="str">
        <f>IFERROR(1-H264/E264,"")</f>
        <v/>
      </c>
      <c r="L264" s="3134"/>
      <c r="M264" s="2384" t="str">
        <f>IFERROR(1-J264/G264,"")</f>
        <v/>
      </c>
      <c r="N264" s="650"/>
      <c r="O264" s="650"/>
      <c r="P264" s="650"/>
      <c r="Q264" s="1250">
        <f>IFERROR(IF(ISBLANK($B264),"",VLOOKUP($B264,PO_Enrgy_1_Table,MATCH($K$16,PO_Enrgy_1_Hdr,0),FALSE)),"")</f>
        <v>0.1</v>
      </c>
      <c r="R264" s="1250">
        <f>IFERROR(IF(ISBLANK($B264),"",VLOOKUP($B264,PO_Enrgy_1_Table,MATCH($M$16,PO_Enrgy_1_Hdr,0),FALSE)),"")</f>
        <v>0.12</v>
      </c>
      <c r="AH264" s="624"/>
      <c r="AI264" s="624"/>
      <c r="AJ264" s="605"/>
      <c r="AL264" s="622"/>
      <c r="AM264" s="623"/>
      <c r="AR264" s="606"/>
      <c r="BC264" s="2292"/>
    </row>
    <row r="265" spans="1:55" s="564" customFormat="1" ht="15" hidden="1" customHeight="1" x14ac:dyDescent="0.25">
      <c r="A265" s="1271" t="s">
        <v>1298</v>
      </c>
      <c r="B265" s="1427" t="str">
        <f>IFERROR(IF(ISBLANK(B19),"",B19),"")</f>
        <v>District Cooling</v>
      </c>
      <c r="C265" s="3126" t="str">
        <f>IFERROR(IF(ISBLANK($B265),"",VLOOKUP($B265,PO_Enrgy_1_Table,MATCH($C$16,PO_Enrgy_1_Hdr,0),FALSE) ),"")</f>
        <v>therm</v>
      </c>
      <c r="D265" s="3127" t="e">
        <f>IF(C265="","",VLOOKUP(C265,ProjectEnergyTypeTable,3,FALSE))</f>
        <v>#NAME?</v>
      </c>
      <c r="E265" s="1406">
        <f>IFERROR(IFERROR(IFERROR(VLOOKUP($B265,PO_DESbase_Enrgy_Table,MATCH($F$250,PO_DESbase_Enrgy_Hdr,0),FALSE),0)+IFERROR(VLOOKUP($B265,PO_DESbase_Enrgy_Table,MATCH($I$250,PO_DESbase_Enrgy_Hdr,0),FALSE),0),0)+IF(OR(DESPath&lt;&gt;3,AND(B265&lt;&gt;"District Cooling",B265&lt;&gt;"District Hot Water",B265&lt;&gt;"District Steam")),VLOOKUP($B265,PO_Enrgy_9_Table,MATCH($E$240,PO_Enrgy_9_Hdr,0),FALSE),0),"")</f>
        <v>0</v>
      </c>
      <c r="F265" s="1406">
        <f>IFERROR(E265*$R265,"")</f>
        <v>0</v>
      </c>
      <c r="G265" s="1387">
        <f>IFERROR(IFERROR(IFERROR(VLOOKUP($B265,PO_DESbase_Enrgy_Table,MATCH($G$250,PO_DESbase_Enrgy_Hdr,0),FALSE),0)+IFERROR(VLOOKUP($B265,PO_DESbase_Enrgy_Table,MATCH($J$250,PO_DESbase_Enrgy_Hdr,0),FALSE),0),0)+IF(OR(DESPath&lt;&gt;3,AND(B265&lt;&gt;"District Cooling",B265&lt;&gt;"District Hot Water",B265&lt;&gt;"District Steam")),VLOOKUP($B265,PO_Enrgy_9_Table,MATCH($G$240,PO_Enrgy_9_Hdr,0),FALSE),0),"")</f>
        <v>0</v>
      </c>
      <c r="H265" s="1406">
        <f>IFERROR(IFERROR(IFERROR(VLOOKUP($B265,PO_DESdesign_Enrgy_Table,MATCH($F$254,PO_DESdesign_Enrgy_Hdr,0),FALSE),0)+IFERROR(VLOOKUP($B265,PO_DESdesign_Enrgy_Table,MATCH($I$254,PO_DESdesign_Enrgy_Hdr,0),FALSE),0),0)+IF(OR(DESPath&lt;&gt;3,AND(B265&lt;&gt;"District Cooling",B265&lt;&gt;"District Hot Water",B265&lt;&gt;"District Steam")),VLOOKUP($B265,PO_Enrgy_9_Table,MATCH($H$240,PO_Enrgy_9_Hdr,0),FALSE),0),"")</f>
        <v>0</v>
      </c>
      <c r="I265" s="1406">
        <f>IFERROR(H265*$R265,"")</f>
        <v>0</v>
      </c>
      <c r="J265" s="1387">
        <f>IFERROR(IFERROR(IFERROR(VLOOKUP($B265,PO_DESdesign_Enrgy_Table,MATCH($G$254,PO_DESdesign_Enrgy_Hdr,0),FALSE),0)+IFERROR(VLOOKUP($B265,PO_DESdesign_Enrgy_Table,MATCH($J$254,PO_DESdesign_Enrgy_Hdr,0),FALSE),0),0)+IF(OR(DESPath&lt;&gt;3,AND(B265&lt;&gt;"District Cooling",B265&lt;&gt;"District Hot Water",B265&lt;&gt;"District Steam")),VLOOKUP($B265,PO_Enrgy_9_Table,MATCH($J$240,PO_Enrgy_9_Hdr,0),FALSE),0),"")</f>
        <v>0</v>
      </c>
      <c r="K265" s="3133" t="str">
        <f>IFERROR(1-H265/E265,"")</f>
        <v/>
      </c>
      <c r="L265" s="3134"/>
      <c r="M265" s="2384" t="str">
        <f>IFERROR(1-J265/G265,"")</f>
        <v/>
      </c>
      <c r="N265" s="650"/>
      <c r="O265" s="650"/>
      <c r="P265" s="650"/>
      <c r="Q265" s="1250">
        <f>IFERROR(IF(ISBLANK($B265),"",VLOOKUP($B265,PO_Enrgy_1_Table,MATCH($K$16,PO_Enrgy_1_Hdr,0),FALSE)),"")</f>
        <v>0.1</v>
      </c>
      <c r="R265" s="1250">
        <f>IFERROR(IF(ISBLANK($B265),"",VLOOKUP($B265,PO_Enrgy_1_Table,MATCH($M$16,PO_Enrgy_1_Hdr,0),FALSE)),"")</f>
        <v>0.1</v>
      </c>
      <c r="AH265" s="624"/>
      <c r="AI265" s="624"/>
      <c r="AJ265" s="605"/>
      <c r="AL265" s="622"/>
      <c r="AM265" s="623"/>
      <c r="AR265" s="606"/>
      <c r="BC265" s="2292"/>
    </row>
    <row r="266" spans="1:55" s="594" customFormat="1" ht="21" hidden="1" customHeight="1" x14ac:dyDescent="0.25">
      <c r="A266" s="1271" t="s">
        <v>1298</v>
      </c>
      <c r="B266" s="3120" t="str">
        <f>"Energy Model Subtotal (" &amp; PO_SiteUnits &amp; ")"</f>
        <v>Energy Model Subtotal (Btu x 10^6)</v>
      </c>
      <c r="C266" s="3120"/>
      <c r="D266" s="3120"/>
      <c r="E266" s="1384">
        <f>IFERROR(SUMPRODUCT(INDEX(PO_Enrgy_10_Table,0,MATCH(E$262,PO_Enrgy_10_Hdr,0)),INDEX(PO_Enrgy_10_Table,0,MATCH($Q$262,PO_Enrgy_10_Hdr,0))),"")</f>
        <v>0</v>
      </c>
      <c r="F266" s="1384">
        <f>IFERROR(SUM(INDEX(PO_Enrgy_10_Table,0,MATCH(F$262,PO_Enrgy_10_Hdr,0))),"")</f>
        <v>0</v>
      </c>
      <c r="G266" s="1387">
        <f>IFERROR(SUM(INDEX(PO_Enrgy_10_Table,0,MATCH(G$262,PO_Enrgy_10_Hdr,0))),"")</f>
        <v>0</v>
      </c>
      <c r="H266" s="1384">
        <f>IFERROR(SUMPRODUCT(INDEX(PO_Enrgy_10_Table,0,MATCH(H$262,PO_Enrgy_10_Hdr,0)),INDEX(PO_Enrgy_10_Table,0,MATCH($Q$262,PO_Enrgy_10_Hdr,0))),"")</f>
        <v>0</v>
      </c>
      <c r="I266" s="1384">
        <f>IFERROR(SUM(INDEX(PO_Enrgy_10_Table,0,MATCH(I$262,PO_Enrgy_10_Hdr,0))),"")</f>
        <v>0</v>
      </c>
      <c r="J266" s="1387">
        <f>IFERROR(SUM(INDEX(PO_Enrgy_10_Table,0,MATCH(J$262,PO_Enrgy_10_Hdr,0))),"")</f>
        <v>0</v>
      </c>
      <c r="K266" s="3163" t="str">
        <f>IFERROR(1-H266/E266,"")</f>
        <v/>
      </c>
      <c r="L266" s="3164"/>
      <c r="M266" s="1622" t="str">
        <f>IFERROR(1-J266/G266,"")</f>
        <v/>
      </c>
      <c r="N266" s="650"/>
      <c r="O266" s="650"/>
      <c r="P266" s="650"/>
      <c r="AJ266" s="596"/>
      <c r="AL266" s="622"/>
      <c r="AM266" s="623"/>
      <c r="BC266" s="2292"/>
    </row>
    <row r="267" spans="1:55" s="594" customFormat="1" ht="33" hidden="1" customHeight="1" x14ac:dyDescent="0.25">
      <c r="A267" s="1271" t="s">
        <v>1298</v>
      </c>
      <c r="B267" s="3193"/>
      <c r="C267" s="3193"/>
      <c r="D267" s="3193"/>
      <c r="E267" s="1404"/>
      <c r="F267" s="1405"/>
      <c r="G267" s="1404"/>
      <c r="H267" s="1404"/>
      <c r="I267" s="1404"/>
      <c r="J267" s="671"/>
      <c r="K267" s="558"/>
      <c r="L267" s="558"/>
      <c r="M267" s="649"/>
      <c r="N267" s="650"/>
      <c r="O267" s="650"/>
      <c r="P267" s="650"/>
      <c r="AJ267" s="596"/>
      <c r="AL267" s="622"/>
      <c r="AM267" s="623"/>
    </row>
    <row r="268" spans="1:55" s="650" customFormat="1" ht="21.75" hidden="1" customHeight="1" x14ac:dyDescent="0.25">
      <c r="A268" s="1271" t="s">
        <v>1298</v>
      </c>
      <c r="B268" s="712" t="s">
        <v>1122</v>
      </c>
      <c r="AL268" s="645"/>
      <c r="AM268" s="646"/>
    </row>
    <row r="269" spans="1:55" s="594" customFormat="1" ht="76.5" hidden="1" customHeight="1" x14ac:dyDescent="0.25">
      <c r="A269" s="1271" t="s">
        <v>1298</v>
      </c>
      <c r="B269" s="3138" t="str">
        <f>CONCATENATE("Startup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 Also upload simulation outputs and performance rating method calculations with and without the exceptional calculation methods for both Startup IT Loads, and the full buildout IT loads.","
",IF(DESPath=3," Note: The calculations using DES Path 3 must be performed manually for the Startup IT Load method, and supplemental documentation uploaded for the project must show these calculations.",""))</f>
        <v xml:space="preserv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Also upload simulation outputs and performance rating method calculations with and without the exceptional calculation methods for both Startup IT Loads, and the full buildout IT loads.
</v>
      </c>
      <c r="C269" s="3138"/>
      <c r="D269" s="3138"/>
      <c r="E269" s="3138"/>
      <c r="F269" s="3138"/>
      <c r="G269" s="3138"/>
      <c r="H269" s="3138"/>
      <c r="I269" s="3138"/>
      <c r="J269" s="3138"/>
      <c r="K269" s="3138"/>
      <c r="L269" s="3138"/>
      <c r="M269" s="3138"/>
      <c r="N269" s="650"/>
      <c r="O269" s="650"/>
      <c r="P269" s="650"/>
      <c r="AL269" s="622"/>
      <c r="AM269" s="623"/>
    </row>
    <row r="270" spans="1:55" s="650" customFormat="1" ht="21.75" hidden="1" customHeight="1" x14ac:dyDescent="0.25">
      <c r="A270" s="1271" t="s">
        <v>1298</v>
      </c>
      <c r="B270" s="1631" t="s">
        <v>1303</v>
      </c>
      <c r="AL270" s="645"/>
      <c r="AM270" s="646"/>
    </row>
    <row r="271" spans="1:55" ht="32.25" hidden="1" customHeight="1" x14ac:dyDescent="0.25">
      <c r="A271" s="1271" t="s">
        <v>1298</v>
      </c>
      <c r="B271" s="3124" t="s">
        <v>444</v>
      </c>
      <c r="C271" s="3165" t="s">
        <v>1805</v>
      </c>
      <c r="D271" s="3125"/>
      <c r="E271" s="3124" t="s">
        <v>1270</v>
      </c>
      <c r="F271" s="3124"/>
      <c r="G271" s="3124"/>
      <c r="H271" s="3123" t="s">
        <v>1171</v>
      </c>
      <c r="I271" s="3124"/>
      <c r="J271" s="3124"/>
      <c r="K271" s="3123" t="s">
        <v>448</v>
      </c>
      <c r="L271" s="3123"/>
      <c r="M271" s="3123"/>
      <c r="N271" s="3168"/>
      <c r="O271" s="3168"/>
      <c r="P271" s="3168"/>
      <c r="S271" s="564"/>
      <c r="T271" s="564"/>
      <c r="AJ271" s="596"/>
      <c r="AL271" s="619"/>
      <c r="AM271" s="620"/>
    </row>
    <row r="272" spans="1:55" ht="48" hidden="1" customHeight="1" x14ac:dyDescent="0.25">
      <c r="A272" s="1271" t="s">
        <v>1298</v>
      </c>
      <c r="B272" s="3125"/>
      <c r="C272" s="3125"/>
      <c r="D272" s="3125"/>
      <c r="E272" s="1633" t="s">
        <v>1116</v>
      </c>
      <c r="F272" s="1634" t="str">
        <f>"Source Energy Use ("  &amp; PO_SourceUnits &amp; ")"</f>
        <v>Source Energy Use (Btu x 10^6)</v>
      </c>
      <c r="G272" s="1633" t="s">
        <v>446</v>
      </c>
      <c r="H272" s="1633" t="s">
        <v>1116</v>
      </c>
      <c r="I272" s="1634" t="str">
        <f>"Source Energy Use ("  &amp; PO_SourceUnits &amp; ")"</f>
        <v>Source Energy Use (Btu x 10^6)</v>
      </c>
      <c r="J272" s="1633" t="s">
        <v>446</v>
      </c>
      <c r="K272" s="3123" t="s">
        <v>447</v>
      </c>
      <c r="L272" s="3169"/>
      <c r="M272" s="1633" t="s">
        <v>446</v>
      </c>
      <c r="N272" s="1625"/>
      <c r="O272" s="1625"/>
      <c r="P272" s="1625"/>
      <c r="S272" s="564"/>
      <c r="T272" s="564"/>
      <c r="AJ272" s="596"/>
    </row>
    <row r="273" spans="1:40" s="1287" customFormat="1" ht="15" hidden="1" customHeight="1" x14ac:dyDescent="0.25">
      <c r="A273" s="1271" t="s">
        <v>1298</v>
      </c>
      <c r="B273" s="1314" t="s">
        <v>1765</v>
      </c>
      <c r="C273" s="1305" t="s">
        <v>1793</v>
      </c>
      <c r="D273" s="1314"/>
      <c r="E273" s="1315" t="s">
        <v>1821</v>
      </c>
      <c r="F273" s="1316" t="s">
        <v>1822</v>
      </c>
      <c r="G273" s="1317" t="s">
        <v>1823</v>
      </c>
      <c r="H273" s="1315" t="s">
        <v>1806</v>
      </c>
      <c r="I273" s="1316" t="s">
        <v>1807</v>
      </c>
      <c r="J273" s="1317" t="s">
        <v>1808</v>
      </c>
      <c r="K273" s="1317" t="s">
        <v>1824</v>
      </c>
      <c r="L273" s="1305"/>
      <c r="M273" s="1317" t="s">
        <v>1810</v>
      </c>
      <c r="N273" s="1309"/>
      <c r="O273" s="1309"/>
      <c r="P273" s="1309"/>
      <c r="Q273" s="1249" t="s">
        <v>1776</v>
      </c>
      <c r="R273" s="1249" t="s">
        <v>1777</v>
      </c>
      <c r="AJ273" s="1289"/>
    </row>
    <row r="274" spans="1:40" ht="15" hidden="1" customHeight="1" x14ac:dyDescent="0.25">
      <c r="A274" s="1271" t="s">
        <v>1298</v>
      </c>
      <c r="B274" s="1427" t="str">
        <f>IFERROR(IF(ISBLANK(B17),"",B17),"")</f>
        <v>Electricity</v>
      </c>
      <c r="C274" s="3126" t="str">
        <f>IFERROR(IF(ISBLANK($B274),"",VLOOKUP($B274,PO_Enrgy_1_Table,MATCH($C$16,PO_Enrgy_1_Hdr,0),FALSE) ),"")</f>
        <v>kWh</v>
      </c>
      <c r="D274" s="3127" t="e">
        <f>IF(C274="","",VLOOKUP(C274,ProjectEnergyTypeTable,3,FALSE))</f>
        <v>#NAME?</v>
      </c>
      <c r="E274" s="1407"/>
      <c r="F274" s="1428">
        <f>IFERROR(E274*$Q274,"")</f>
        <v>0</v>
      </c>
      <c r="G274" s="1290"/>
      <c r="H274" s="1407"/>
      <c r="I274" s="1428">
        <f>IFERROR(H274*$Q274,"")</f>
        <v>0</v>
      </c>
      <c r="J274" s="1290"/>
      <c r="K274" s="3133" t="str">
        <f>IFERROR(1-H274/E274,"")</f>
        <v/>
      </c>
      <c r="L274" s="3134"/>
      <c r="M274" s="2384" t="str">
        <f>IFERROR(1-J274/G274,"")</f>
        <v/>
      </c>
      <c r="N274" s="650"/>
      <c r="O274" s="650"/>
      <c r="P274" s="650"/>
      <c r="Q274" s="1250">
        <f>IFERROR(IF(ISBLANK($B274),"",VLOOKUP($B274,PO_Enrgy_1_Table,MATCH($K$16,PO_Enrgy_1_Hdr,0),FALSE)),"")</f>
        <v>3.4120000000000001E-3</v>
      </c>
      <c r="R274" s="1250">
        <f>IFERROR(IF(ISBLANK($B274),"",VLOOKUP($B274,PO_Enrgy_1_Table,MATCH($M$16,PO_Enrgy_1_Hdr,0),FALSE)),"")</f>
        <v>1.0713680000000001E-2</v>
      </c>
      <c r="S274" s="564"/>
      <c r="T274" s="564"/>
      <c r="AH274" s="615"/>
      <c r="AI274" s="615"/>
      <c r="AJ274" s="596"/>
      <c r="AL274" s="619"/>
      <c r="AM274" s="620"/>
      <c r="AN274" s="621"/>
    </row>
    <row r="275" spans="1:40" ht="15" hidden="1" customHeight="1" x14ac:dyDescent="0.25">
      <c r="A275" s="1271" t="s">
        <v>1298</v>
      </c>
      <c r="B275" s="1427" t="str">
        <f>IFERROR(IF(ISBLANK(B18),"",B18),"")</f>
        <v>District Steam</v>
      </c>
      <c r="C275" s="3126" t="str">
        <f>IFERROR(IF(ISBLANK($B275),"",VLOOKUP($B275,PO_Enrgy_1_Table,MATCH($C$16,PO_Enrgy_1_Hdr,0),FALSE) ),"")</f>
        <v>therm</v>
      </c>
      <c r="D275" s="3127" t="e">
        <f>IF(C275="","",VLOOKUP(C275,ProjectEnergyTypeTable,3,FALSE))</f>
        <v>#NAME?</v>
      </c>
      <c r="E275" s="1407"/>
      <c r="F275" s="1428">
        <f>IFERROR(E275*$Q275,"")</f>
        <v>0</v>
      </c>
      <c r="G275" s="1290"/>
      <c r="H275" s="1407"/>
      <c r="I275" s="1428">
        <f>IFERROR(H275*$Q275,"")</f>
        <v>0</v>
      </c>
      <c r="J275" s="1290"/>
      <c r="K275" s="3133" t="str">
        <f>IFERROR(1-H275/E275,"")</f>
        <v/>
      </c>
      <c r="L275" s="3134"/>
      <c r="M275" s="2384" t="str">
        <f>IFERROR(1-J275/G275,"")</f>
        <v/>
      </c>
      <c r="N275" s="650"/>
      <c r="O275" s="650"/>
      <c r="P275" s="650"/>
      <c r="Q275" s="1250">
        <f>IFERROR(IF(ISBLANK($B275),"",VLOOKUP($B275,PO_Enrgy_1_Table,MATCH($K$16,PO_Enrgy_1_Hdr,0),FALSE)),"")</f>
        <v>0.1</v>
      </c>
      <c r="R275" s="1250">
        <f>IFERROR(IF(ISBLANK($B275),"",VLOOKUP($B275,PO_Enrgy_1_Table,MATCH($M$16,PO_Enrgy_1_Hdr,0),FALSE)),"")</f>
        <v>0.12</v>
      </c>
      <c r="S275" s="564"/>
      <c r="T275" s="564"/>
      <c r="AH275" s="615"/>
      <c r="AI275" s="615"/>
      <c r="AJ275" s="596"/>
      <c r="AL275" s="619"/>
      <c r="AM275" s="620"/>
      <c r="AN275" s="621"/>
    </row>
    <row r="276" spans="1:40" ht="15" hidden="1" customHeight="1" x14ac:dyDescent="0.25">
      <c r="A276" s="1271" t="s">
        <v>1298</v>
      </c>
      <c r="B276" s="1427" t="str">
        <f>IFERROR(IF(ISBLANK(B19),"",B19),"")</f>
        <v>District Cooling</v>
      </c>
      <c r="C276" s="3126" t="str">
        <f>IFERROR(IF(ISBLANK($B276),"",VLOOKUP($B276,PO_Enrgy_1_Table,MATCH($C$16,PO_Enrgy_1_Hdr,0),FALSE) ),"")</f>
        <v>therm</v>
      </c>
      <c r="D276" s="3127" t="e">
        <f>IF(C276="","",VLOOKUP(C276,ProjectEnergyTypeTable,3,FALSE))</f>
        <v>#NAME?</v>
      </c>
      <c r="E276" s="1407"/>
      <c r="F276" s="1428">
        <f>IFERROR(E276*$Q276,"")</f>
        <v>0</v>
      </c>
      <c r="G276" s="1290"/>
      <c r="H276" s="1407"/>
      <c r="I276" s="1428">
        <f>IFERROR(H276*$Q276,"")</f>
        <v>0</v>
      </c>
      <c r="J276" s="1290"/>
      <c r="K276" s="3133" t="str">
        <f>IFERROR(1-H276/E276,"")</f>
        <v/>
      </c>
      <c r="L276" s="3134"/>
      <c r="M276" s="2384" t="str">
        <f>IFERROR(1-J276/G276,"")</f>
        <v/>
      </c>
      <c r="N276" s="650"/>
      <c r="O276" s="650"/>
      <c r="P276" s="650"/>
      <c r="Q276" s="1250">
        <f>IFERROR(IF(ISBLANK($B276),"",VLOOKUP($B276,PO_Enrgy_1_Table,MATCH($K$16,PO_Enrgy_1_Hdr,0),FALSE)),"")</f>
        <v>0.1</v>
      </c>
      <c r="R276" s="1250">
        <f>IFERROR(IF(ISBLANK($B276),"",VLOOKUP($B276,PO_Enrgy_1_Table,MATCH($M$16,PO_Enrgy_1_Hdr,0),FALSE)),"")</f>
        <v>0.1</v>
      </c>
      <c r="S276" s="564"/>
      <c r="T276" s="564"/>
      <c r="AH276" s="615"/>
      <c r="AI276" s="615"/>
      <c r="AJ276" s="596"/>
      <c r="AL276" s="619"/>
      <c r="AM276" s="620"/>
      <c r="AN276" s="621"/>
    </row>
    <row r="277" spans="1:40" s="594" customFormat="1" ht="21" hidden="1" customHeight="1" x14ac:dyDescent="0.25">
      <c r="A277" s="1271" t="s">
        <v>1298</v>
      </c>
      <c r="B277" s="3120" t="str">
        <f>"Energy model subtotal (" &amp; PO_SiteUnits &amp; ")"</f>
        <v>Energy model subtotal (Btu x 10^6)</v>
      </c>
      <c r="C277" s="3120"/>
      <c r="D277" s="3120"/>
      <c r="E277" s="1406">
        <f>IFERROR(SUMPRODUCT(INDEX(PO_Enrgy_11_Table,0,MATCH(E$273,PO_Enrgy_11_Hdr,0)),INDEX(PO_Enrgy_11_Table,0,MATCH($Q$273,PO_Enrgy_11_Hdr,0))),"")</f>
        <v>0</v>
      </c>
      <c r="F277" s="1397">
        <f>IFERROR(SUM(INDEX(PO_Enrgy_11_Table,0,MATCH(F$273,PO_Enrgy_11_Hdr,0))),"")</f>
        <v>0</v>
      </c>
      <c r="G277" s="1398">
        <f>IFERROR(SUM(INDEX(PO_Enrgy_11_Table,0,MATCH(G$273,PO_Enrgy_11_Hdr,0))),"")</f>
        <v>0</v>
      </c>
      <c r="H277" s="1406">
        <f>IFERROR(SUMPRODUCT(INDEX(PO_Enrgy_11_Table,0,MATCH(H$273,PO_Enrgy_11_Hdr,0)),INDEX(PO_Enrgy_11_Table,0,MATCH($Q$273,PO_Enrgy_11_Hdr,0))),"")</f>
        <v>0</v>
      </c>
      <c r="I277" s="1397">
        <f>IFERROR(SUM(INDEX(PO_Enrgy_11_Table,0,MATCH(I$273,PO_Enrgy_11_Hdr,0))),"")</f>
        <v>0</v>
      </c>
      <c r="J277" s="1398">
        <f>IFERROR(SUM(INDEX(PO_Enrgy_11_Table,0,MATCH(J$273,PO_Enrgy_11_Hdr,0))),"")</f>
        <v>0</v>
      </c>
      <c r="K277" s="3163" t="str">
        <f>IFERROR(1-H277/E277,"")</f>
        <v/>
      </c>
      <c r="L277" s="3164"/>
      <c r="M277" s="1622" t="str">
        <f>IFERROR(1-J277/G277,"")</f>
        <v/>
      </c>
      <c r="N277" s="650"/>
      <c r="O277" s="650"/>
      <c r="P277" s="650"/>
      <c r="AJ277" s="596"/>
      <c r="AL277" s="619"/>
      <c r="AM277" s="620"/>
    </row>
    <row r="278" spans="1:40" s="594" customFormat="1" ht="21.75" hidden="1" customHeight="1" x14ac:dyDescent="0.2">
      <c r="A278" s="1271" t="s">
        <v>1298</v>
      </c>
      <c r="B278" s="3181"/>
      <c r="C278" s="3182"/>
      <c r="D278" s="3182"/>
      <c r="E278" s="3182"/>
      <c r="F278" s="3182"/>
      <c r="G278" s="3182"/>
      <c r="H278" s="3182"/>
      <c r="I278" s="3182"/>
      <c r="J278" s="3182"/>
      <c r="K278" s="3182"/>
      <c r="L278" s="3182"/>
      <c r="M278" s="822"/>
      <c r="N278" s="650"/>
      <c r="O278" s="650"/>
      <c r="P278" s="650"/>
      <c r="AL278" s="622"/>
      <c r="AM278" s="623"/>
    </row>
    <row r="279" spans="1:40" s="650" customFormat="1" ht="19.5" hidden="1" customHeight="1" x14ac:dyDescent="0.25">
      <c r="A279" s="1271" t="s">
        <v>1298</v>
      </c>
      <c r="B279" s="1631" t="s">
        <v>1304</v>
      </c>
      <c r="AL279" s="645"/>
      <c r="AM279" s="646"/>
    </row>
    <row r="280" spans="1:40" ht="32.25" hidden="1" customHeight="1" x14ac:dyDescent="0.25">
      <c r="A280" s="1271" t="s">
        <v>1298</v>
      </c>
      <c r="B280" s="3124" t="s">
        <v>444</v>
      </c>
      <c r="C280" s="3165" t="s">
        <v>1805</v>
      </c>
      <c r="D280" s="3125"/>
      <c r="E280" s="3192" t="s">
        <v>1270</v>
      </c>
      <c r="F280" s="3192"/>
      <c r="G280" s="3192"/>
      <c r="H280" s="3158" t="s">
        <v>1171</v>
      </c>
      <c r="I280" s="3192"/>
      <c r="J280" s="3192"/>
      <c r="K280" s="3158" t="s">
        <v>448</v>
      </c>
      <c r="L280" s="3158"/>
      <c r="M280" s="3158"/>
      <c r="N280" s="3168"/>
      <c r="O280" s="3168"/>
      <c r="P280" s="3168"/>
      <c r="S280" s="564"/>
      <c r="T280" s="564"/>
      <c r="AJ280" s="596"/>
      <c r="AL280" s="619"/>
      <c r="AM280" s="620"/>
    </row>
    <row r="281" spans="1:40" ht="48" hidden="1" customHeight="1" x14ac:dyDescent="0.25">
      <c r="A281" s="1271" t="s">
        <v>1298</v>
      </c>
      <c r="B281" s="3125"/>
      <c r="C281" s="3125"/>
      <c r="D281" s="3125"/>
      <c r="E281" s="1628" t="s">
        <v>1116</v>
      </c>
      <c r="F281" s="1639" t="str">
        <f>"Source Energy Use ("  &amp; PO_SourceUnits &amp; ")"</f>
        <v>Source Energy Use (Btu x 10^6)</v>
      </c>
      <c r="G281" s="1628" t="s">
        <v>446</v>
      </c>
      <c r="H281" s="1628" t="s">
        <v>1116</v>
      </c>
      <c r="I281" s="1639" t="str">
        <f>"Source Energy Use ("  &amp; PO_SourceUnits &amp; ")"</f>
        <v>Source Energy Use (Btu x 10^6)</v>
      </c>
      <c r="J281" s="1628" t="s">
        <v>446</v>
      </c>
      <c r="K281" s="3158" t="s">
        <v>447</v>
      </c>
      <c r="L281" s="3139"/>
      <c r="M281" s="1628" t="s">
        <v>446</v>
      </c>
      <c r="N281" s="1625"/>
      <c r="O281" s="1625"/>
      <c r="P281" s="1625"/>
      <c r="S281" s="564"/>
      <c r="T281" s="564"/>
      <c r="AJ281" s="596"/>
    </row>
    <row r="282" spans="1:40" s="1287" customFormat="1" ht="15" hidden="1" customHeight="1" x14ac:dyDescent="0.25">
      <c r="A282" s="1271" t="s">
        <v>1298</v>
      </c>
      <c r="B282" s="1314" t="s">
        <v>1765</v>
      </c>
      <c r="C282" s="1305" t="s">
        <v>1793</v>
      </c>
      <c r="D282" s="1314"/>
      <c r="E282" s="1315" t="s">
        <v>1821</v>
      </c>
      <c r="F282" s="1316" t="s">
        <v>1822</v>
      </c>
      <c r="G282" s="1317" t="s">
        <v>1823</v>
      </c>
      <c r="H282" s="1315" t="s">
        <v>1806</v>
      </c>
      <c r="I282" s="1316" t="s">
        <v>1807</v>
      </c>
      <c r="J282" s="1317" t="s">
        <v>1808</v>
      </c>
      <c r="K282" s="1317" t="s">
        <v>1824</v>
      </c>
      <c r="L282" s="1305"/>
      <c r="M282" s="1317" t="s">
        <v>1810</v>
      </c>
      <c r="N282" s="1309"/>
      <c r="O282" s="1309"/>
      <c r="P282" s="1309"/>
      <c r="Q282" s="1249" t="s">
        <v>1776</v>
      </c>
      <c r="R282" s="1249" t="s">
        <v>1777</v>
      </c>
      <c r="AJ282" s="1289"/>
    </row>
    <row r="283" spans="1:40" ht="15" hidden="1" customHeight="1" x14ac:dyDescent="0.25">
      <c r="A283" s="1271" t="s">
        <v>1298</v>
      </c>
      <c r="B283" s="1427" t="str">
        <f>IFERROR(IF(ISBLANK(B17),"",B17),"")</f>
        <v>Electricity</v>
      </c>
      <c r="C283" s="3126" t="str">
        <f>IFERROR(IF(ISBLANK($B283),"",VLOOKUP($B283,PO_Enrgy_1_Table,MATCH($C$16,PO_Enrgy_1_Hdr,0),FALSE) ),"")</f>
        <v>kWh</v>
      </c>
      <c r="D283" s="3127" t="e">
        <f>IF(C283="","",VLOOKUP(C283,ProjectEnergyTypeTable,3,FALSE))</f>
        <v>#NAME?</v>
      </c>
      <c r="E283" s="1414">
        <f>IFERROR(VLOOKUP($B283,PO_Enrgy_10_Table,MATCH($E$262,PO_Enrgy_10_Hdr,0),FALSE),"")</f>
        <v>0</v>
      </c>
      <c r="F283" s="1414">
        <f>IFERROR(E283*$R283,"")</f>
        <v>0</v>
      </c>
      <c r="G283" s="1387">
        <f>IFERROR(VLOOKUP($B283,PO_Enrgy_10_Table,MATCH($G$262,PO_Enrgy_10_Hdr,0),FALSE),"")</f>
        <v>0</v>
      </c>
      <c r="H283" s="1414">
        <f>IFERROR(VLOOKUP($B283,PO_Enrgy_10_Table,MATCH($H$262,PO_Enrgy_10_Hdr,0),FALSE),"")</f>
        <v>0</v>
      </c>
      <c r="I283" s="1414">
        <f>IFERROR(H283*$R283,"")</f>
        <v>0</v>
      </c>
      <c r="J283" s="1387">
        <f>IFERROR(VLOOKUP($B283,PO_Enrgy_10_Table,MATCH($J$262,PO_Enrgy_10_Hdr,0),FALSE),"")</f>
        <v>0</v>
      </c>
      <c r="K283" s="3133" t="str">
        <f>IFERROR(1-H283/E283,"")</f>
        <v/>
      </c>
      <c r="L283" s="3134"/>
      <c r="M283" s="2384" t="str">
        <f>IFERROR(1-J283/G283,"")</f>
        <v/>
      </c>
      <c r="N283" s="650"/>
      <c r="O283" s="650"/>
      <c r="P283" s="650"/>
      <c r="Q283" s="1250">
        <f>IFERROR(IF(ISBLANK($B283),"",VLOOKUP($B283,PO_Enrgy_1_Table,MATCH($K$16,PO_Enrgy_1_Hdr,0),FALSE)),"")</f>
        <v>3.4120000000000001E-3</v>
      </c>
      <c r="R283" s="1250">
        <f>IFERROR(IF(ISBLANK($B283),"",VLOOKUP($B283,PO_Enrgy_1_Table,MATCH($M$16,PO_Enrgy_1_Hdr,0),FALSE)),"")</f>
        <v>1.0713680000000001E-2</v>
      </c>
      <c r="S283" s="564"/>
      <c r="T283" s="564"/>
      <c r="AH283" s="615"/>
      <c r="AI283" s="615"/>
      <c r="AJ283" s="596"/>
      <c r="AL283" s="619"/>
      <c r="AM283" s="620"/>
      <c r="AN283" s="621"/>
    </row>
    <row r="284" spans="1:40" ht="15" hidden="1" customHeight="1" x14ac:dyDescent="0.25">
      <c r="A284" s="1271" t="s">
        <v>1298</v>
      </c>
      <c r="B284" s="1427" t="str">
        <f>IFERROR(IF(ISBLANK(B18),"",B18),"")</f>
        <v>District Steam</v>
      </c>
      <c r="C284" s="3126" t="str">
        <f>IFERROR(IF(ISBLANK($B284),"",VLOOKUP($B284,PO_Enrgy_1_Table,MATCH($C$16,PO_Enrgy_1_Hdr,0),FALSE) ),"")</f>
        <v>therm</v>
      </c>
      <c r="D284" s="3127" t="e">
        <f>IF(C284="","",VLOOKUP(C284,ProjectEnergyTypeTable,3,FALSE))</f>
        <v>#NAME?</v>
      </c>
      <c r="E284" s="1414">
        <f>IFERROR(VLOOKUP($B284,PO_Enrgy_10_Table,MATCH($E$262,PO_Enrgy_10_Hdr,0),FALSE),"")</f>
        <v>0</v>
      </c>
      <c r="F284" s="1414">
        <f>IFERROR(E284*$R284,"")</f>
        <v>0</v>
      </c>
      <c r="G284" s="1387">
        <f>IFERROR(VLOOKUP($B284,PO_Enrgy_10_Table,MATCH($G$262,PO_Enrgy_10_Hdr,0),FALSE),"")</f>
        <v>0</v>
      </c>
      <c r="H284" s="1414">
        <f>IFERROR(VLOOKUP($B284,PO_Enrgy_10_Table,MATCH($H$262,PO_Enrgy_10_Hdr,0),FALSE),"")</f>
        <v>0</v>
      </c>
      <c r="I284" s="1414">
        <f>IFERROR(H284*$R284,"")</f>
        <v>0</v>
      </c>
      <c r="J284" s="1387">
        <f>IFERROR(VLOOKUP($B284,PO_Enrgy_10_Table,MATCH($J$262,PO_Enrgy_10_Hdr,0),FALSE),"")</f>
        <v>0</v>
      </c>
      <c r="K284" s="3133" t="str">
        <f>IFERROR(1-H284/E284,"")</f>
        <v/>
      </c>
      <c r="L284" s="3134"/>
      <c r="M284" s="2384" t="str">
        <f>IFERROR(1-J284/G284,"")</f>
        <v/>
      </c>
      <c r="N284" s="650"/>
      <c r="O284" s="650"/>
      <c r="P284" s="650"/>
      <c r="Q284" s="1250">
        <f>IFERROR(IF(ISBLANK($B284),"",VLOOKUP($B284,PO_Enrgy_1_Table,MATCH($K$16,PO_Enrgy_1_Hdr,0),FALSE)),"")</f>
        <v>0.1</v>
      </c>
      <c r="R284" s="1250">
        <f>IFERROR(IF(ISBLANK($B284),"",VLOOKUP($B284,PO_Enrgy_1_Table,MATCH($M$16,PO_Enrgy_1_Hdr,0),FALSE)),"")</f>
        <v>0.12</v>
      </c>
      <c r="S284" s="564"/>
      <c r="T284" s="564"/>
      <c r="AH284" s="615"/>
      <c r="AI284" s="615"/>
      <c r="AJ284" s="596"/>
      <c r="AL284" s="619"/>
      <c r="AM284" s="620"/>
      <c r="AN284" s="621"/>
    </row>
    <row r="285" spans="1:40" ht="15" hidden="1" customHeight="1" x14ac:dyDescent="0.25">
      <c r="A285" s="1271" t="s">
        <v>1298</v>
      </c>
      <c r="B285" s="1427" t="str">
        <f>IFERROR(IF(ISBLANK(B19),"",B19),"")</f>
        <v>District Cooling</v>
      </c>
      <c r="C285" s="3126" t="str">
        <f>IFERROR(IF(ISBLANK($B285),"",VLOOKUP($B285,PO_Enrgy_1_Table,MATCH($C$16,PO_Enrgy_1_Hdr,0),FALSE) ),"")</f>
        <v>therm</v>
      </c>
      <c r="D285" s="3127" t="e">
        <f>IF(C285="","",VLOOKUP(C285,ProjectEnergyTypeTable,3,FALSE))</f>
        <v>#NAME?</v>
      </c>
      <c r="E285" s="1414">
        <f>IFERROR(VLOOKUP($B285,PO_Enrgy_10_Table,MATCH($E$262,PO_Enrgy_10_Hdr,0),FALSE),"")</f>
        <v>0</v>
      </c>
      <c r="F285" s="1414">
        <f>IFERROR(E285*$R285,"")</f>
        <v>0</v>
      </c>
      <c r="G285" s="1387">
        <f>IFERROR(VLOOKUP($B285,PO_Enrgy_10_Table,MATCH($G$262,PO_Enrgy_10_Hdr,0),FALSE),"")</f>
        <v>0</v>
      </c>
      <c r="H285" s="1414">
        <f>IFERROR(VLOOKUP($B285,PO_Enrgy_10_Table,MATCH($H$262,PO_Enrgy_10_Hdr,0),FALSE),"")</f>
        <v>0</v>
      </c>
      <c r="I285" s="1414">
        <f>IFERROR(H285*$R285,"")</f>
        <v>0</v>
      </c>
      <c r="J285" s="1387">
        <f>IFERROR(VLOOKUP($B285,PO_Enrgy_10_Table,MATCH($J$262,PO_Enrgy_10_Hdr,0),FALSE),"")</f>
        <v>0</v>
      </c>
      <c r="K285" s="3133" t="str">
        <f>IFERROR(1-H285/E285,"")</f>
        <v/>
      </c>
      <c r="L285" s="3134"/>
      <c r="M285" s="2384" t="str">
        <f>IFERROR(1-J285/G285,"")</f>
        <v/>
      </c>
      <c r="N285" s="650"/>
      <c r="O285" s="650"/>
      <c r="P285" s="650"/>
      <c r="Q285" s="1250">
        <f>IFERROR(IF(ISBLANK($B285),"",VLOOKUP($B285,PO_Enrgy_1_Table,MATCH($K$16,PO_Enrgy_1_Hdr,0),FALSE)),"")</f>
        <v>0.1</v>
      </c>
      <c r="R285" s="1250">
        <f>IFERROR(IF(ISBLANK($B285),"",VLOOKUP($B285,PO_Enrgy_1_Table,MATCH($M$16,PO_Enrgy_1_Hdr,0),FALSE)),"")</f>
        <v>0.1</v>
      </c>
      <c r="S285" s="564"/>
      <c r="T285" s="564"/>
      <c r="AH285" s="615"/>
      <c r="AI285" s="615"/>
      <c r="AJ285" s="596"/>
      <c r="AL285" s="619"/>
      <c r="AM285" s="620"/>
      <c r="AN285" s="621"/>
    </row>
    <row r="286" spans="1:40" s="594" customFormat="1" ht="21" hidden="1" customHeight="1" x14ac:dyDescent="0.25">
      <c r="A286" s="1271" t="s">
        <v>1298</v>
      </c>
      <c r="B286" s="3120" t="str">
        <f>"Energy model subtotal (" &amp; PO_SiteUnits &amp; ")"</f>
        <v>Energy model subtotal (Btu x 10^6)</v>
      </c>
      <c r="C286" s="3120"/>
      <c r="D286" s="3120"/>
      <c r="E286" s="1384">
        <f>IFERROR(SUMPRODUCT(INDEX(PO_Enrgy_12_Table,0,MATCH(E$282,PO_Enrgy_12_Hdr,0)),INDEX(PO_Enrgy_12_Table,0,MATCH($Q$282,PO_Enrgy_12_Hdr,0))),"")</f>
        <v>0</v>
      </c>
      <c r="F286" s="1384">
        <f>IFERROR(SUM(INDEX(PO_Enrgy_12_Table,0,MATCH(F$282,PO_Enrgy_12_Hdr,0))),"")</f>
        <v>0</v>
      </c>
      <c r="G286" s="1398">
        <f>IFERROR(SUM(INDEX(PO_Enrgy_12_Table,0,MATCH(G$282,PO_Enrgy_12_Hdr,0))),"")</f>
        <v>0</v>
      </c>
      <c r="H286" s="1384">
        <f>IFERROR(SUMPRODUCT(INDEX(PO_Enrgy_12_Table,0,MATCH(H$282,PO_Enrgy_12_Hdr,0)),INDEX(PO_Enrgy_12_Table,0,MATCH($Q$282,PO_Enrgy_12_Hdr,0))),"")</f>
        <v>0</v>
      </c>
      <c r="I286" s="1384">
        <f>IFERROR(SUM(INDEX(PO_Enrgy_12_Table,0,MATCH(I$282,PO_Enrgy_12_Hdr,0))),"")</f>
        <v>0</v>
      </c>
      <c r="J286" s="1398">
        <f>IFERROR(SUM(INDEX(PO_Enrgy_12_Table,0,MATCH(J$282,PO_Enrgy_12_Hdr,0))),"")</f>
        <v>0</v>
      </c>
      <c r="K286" s="3163" t="str">
        <f>IFERROR(1-H286/E286,"")</f>
        <v/>
      </c>
      <c r="L286" s="3164"/>
      <c r="M286" s="1622" t="str">
        <f>IFERROR(1-J286/G286,"")</f>
        <v/>
      </c>
      <c r="N286" s="650"/>
      <c r="O286" s="650"/>
      <c r="P286" s="650"/>
      <c r="AJ286" s="596"/>
      <c r="AL286" s="619"/>
      <c r="AM286" s="620"/>
    </row>
    <row r="287" spans="1:40" s="594" customFormat="1" ht="21.75" hidden="1" customHeight="1" x14ac:dyDescent="0.2">
      <c r="A287" s="1271" t="s">
        <v>1298</v>
      </c>
      <c r="B287" s="3181"/>
      <c r="C287" s="3182"/>
      <c r="D287" s="3182"/>
      <c r="E287" s="3182"/>
      <c r="F287" s="3182"/>
      <c r="G287" s="3182"/>
      <c r="H287" s="3182"/>
      <c r="I287" s="3182"/>
      <c r="J287" s="3182"/>
      <c r="K287" s="3182"/>
      <c r="L287" s="3182"/>
      <c r="M287" s="822"/>
      <c r="N287" s="650"/>
      <c r="O287" s="650"/>
      <c r="P287" s="650"/>
      <c r="AL287" s="622"/>
      <c r="AM287" s="623"/>
    </row>
    <row r="288" spans="1:40" s="650" customFormat="1" ht="21.75" hidden="1" customHeight="1" x14ac:dyDescent="0.25">
      <c r="A288" s="1271" t="s">
        <v>1298</v>
      </c>
      <c r="B288" s="1631" t="s">
        <v>1305</v>
      </c>
      <c r="AL288" s="645"/>
      <c r="AM288" s="646"/>
    </row>
    <row r="289" spans="1:55" ht="32.25" hidden="1" customHeight="1" x14ac:dyDescent="0.25">
      <c r="A289" s="1271" t="s">
        <v>1298</v>
      </c>
      <c r="B289" s="3124" t="s">
        <v>444</v>
      </c>
      <c r="C289" s="3165" t="s">
        <v>1805</v>
      </c>
      <c r="D289" s="3125"/>
      <c r="E289" s="3189" t="s">
        <v>1306</v>
      </c>
      <c r="F289" s="3189"/>
      <c r="G289" s="3189"/>
      <c r="H289" s="3190" t="s">
        <v>454</v>
      </c>
      <c r="I289" s="3189"/>
      <c r="J289" s="3189"/>
      <c r="K289" s="3190" t="s">
        <v>448</v>
      </c>
      <c r="L289" s="3190"/>
      <c r="M289" s="3191"/>
      <c r="N289" s="3168"/>
      <c r="O289" s="3168"/>
      <c r="P289" s="3168"/>
      <c r="S289" s="564"/>
      <c r="T289" s="564"/>
      <c r="AJ289" s="596"/>
      <c r="AL289" s="619"/>
      <c r="AM289" s="620"/>
    </row>
    <row r="290" spans="1:55" ht="48" hidden="1" customHeight="1" x14ac:dyDescent="0.25">
      <c r="A290" s="1271" t="s">
        <v>1298</v>
      </c>
      <c r="B290" s="3125"/>
      <c r="C290" s="3125"/>
      <c r="D290" s="3125"/>
      <c r="E290" s="1628" t="s">
        <v>1116</v>
      </c>
      <c r="F290" s="1639" t="str">
        <f>"Source Energy Use ("  &amp; PO_SourceUnits &amp; ")"</f>
        <v>Source Energy Use (Btu x 10^6)</v>
      </c>
      <c r="G290" s="1628" t="s">
        <v>446</v>
      </c>
      <c r="H290" s="1628" t="s">
        <v>1116</v>
      </c>
      <c r="I290" s="1639" t="str">
        <f>"Source Energy Use ("  &amp; PO_SourceUnits &amp; ")"</f>
        <v>Source Energy Use (Btu x 10^6)</v>
      </c>
      <c r="J290" s="1628" t="s">
        <v>446</v>
      </c>
      <c r="K290" s="3158" t="s">
        <v>447</v>
      </c>
      <c r="L290" s="3139"/>
      <c r="M290" s="1408" t="s">
        <v>446</v>
      </c>
      <c r="N290" s="1625"/>
      <c r="O290" s="1625"/>
      <c r="P290" s="1625"/>
      <c r="S290" s="564"/>
      <c r="T290" s="564"/>
      <c r="AJ290" s="596"/>
    </row>
    <row r="291" spans="1:55" s="1287" customFormat="1" ht="15" hidden="1" customHeight="1" x14ac:dyDescent="0.25">
      <c r="A291" s="1271" t="s">
        <v>1298</v>
      </c>
      <c r="B291" s="1313" t="s">
        <v>1765</v>
      </c>
      <c r="C291" s="1305" t="s">
        <v>1793</v>
      </c>
      <c r="D291" s="1314"/>
      <c r="E291" s="1315" t="s">
        <v>1821</v>
      </c>
      <c r="F291" s="1316" t="s">
        <v>1822</v>
      </c>
      <c r="G291" s="1317" t="s">
        <v>1823</v>
      </c>
      <c r="H291" s="1315" t="s">
        <v>1806</v>
      </c>
      <c r="I291" s="1316" t="s">
        <v>1807</v>
      </c>
      <c r="J291" s="1317" t="s">
        <v>1808</v>
      </c>
      <c r="K291" s="1317" t="s">
        <v>1824</v>
      </c>
      <c r="L291" s="1305"/>
      <c r="M291" s="1318" t="s">
        <v>1810</v>
      </c>
      <c r="N291" s="1309"/>
      <c r="O291" s="1309"/>
      <c r="P291" s="1309"/>
      <c r="Q291" s="1249" t="s">
        <v>1776</v>
      </c>
      <c r="R291" s="1249" t="s">
        <v>1777</v>
      </c>
      <c r="AJ291" s="1289"/>
    </row>
    <row r="292" spans="1:55" ht="15" hidden="1" customHeight="1" x14ac:dyDescent="0.25">
      <c r="A292" s="1271" t="s">
        <v>1298</v>
      </c>
      <c r="B292" s="1429" t="str">
        <f>IFERROR(IF(ISBLANK(B17),"",B17),"")</f>
        <v>Electricity</v>
      </c>
      <c r="C292" s="3126" t="str">
        <f>IFERROR(IF(ISBLANK($B292),"",VLOOKUP($B292,PO_Enrgy_1_Table,MATCH($C$16,PO_Enrgy_1_Hdr,0),FALSE) ),"")</f>
        <v>kWh</v>
      </c>
      <c r="D292" s="3127" t="e">
        <f>IF(C292="","",VLOOKUP(C292,ProjectEnergyTypeTable,3,FALSE))</f>
        <v>#NAME?</v>
      </c>
      <c r="E292" s="1430">
        <f>IFERROR(IF(Datacenter_Avg=TRUE,AVERAGE(VLOOKUP($B292,PO_Enrgy_11_Table,MATCH($E$273,PO_Enrgy_11_Hdr,0),FALSE),VLOOKUP($B292,PO_Enrgy_12_Table,MATCH($E$282,PO_Enrgy_12_Hdr,0),FALSE)),VLOOKUP($B292,PO_Enrgy_12_Table,MATCH($E$282,PO_Enrgy_12_Hdr,0),FALSE)),"")</f>
        <v>0</v>
      </c>
      <c r="F292" s="1430">
        <f>IFERROR(E292*$R292,"")</f>
        <v>0</v>
      </c>
      <c r="G292" s="1387">
        <f>IFERROR(IF(Datacenter_Avg=TRUE,AVERAGE(VLOOKUP($B292,PO_Enrgy_11_Table,MATCH($G$273,PO_Enrgy_11_Hdr,0),FALSE),VLOOKUP($B292,PO_Enrgy_12_Table,MATCH($G$282,PO_Enrgy_12_Hdr,0),FALSE)),VLOOKUP($B292,PO_Enrgy_12_Table,MATCH($G$282,PO_Enrgy_12_Hdr,0),FALSE)),"")</f>
        <v>0</v>
      </c>
      <c r="H292" s="1430">
        <f>IFERROR(IF(Datacenter_Avg=TRUE,AVERAGE(VLOOKUP($B292,PO_Enrgy_11_Table,MATCH($H$273,PO_Enrgy_11_Hdr,0),FALSE),VLOOKUP($B292,PO_Enrgy_12_Table,MATCH($H$282,PO_Enrgy_12_Hdr,0),FALSE)),VLOOKUP($B292,PO_Enrgy_12_Table,MATCH($H$282,PO_Enrgy_12_Hdr,0),FALSE)),"")</f>
        <v>0</v>
      </c>
      <c r="I292" s="1430">
        <f>IFERROR(H292*$R292,"")</f>
        <v>0</v>
      </c>
      <c r="J292" s="1387">
        <f>IFERROR(IF(Datacenter_Avg=TRUE,AVERAGE(VLOOKUP($B292,PO_Enrgy_11_Table,MATCH($J$273,PO_Enrgy_11_Hdr,0),FALSE),VLOOKUP($B292,PO_Enrgy_12_Table,MATCH($J$282,PO_Enrgy_12_Hdr,0),FALSE)),VLOOKUP($B292,PO_Enrgy_12_Table,MATCH($J$282,PO_Enrgy_12_Hdr,0),FALSE)),"")</f>
        <v>0</v>
      </c>
      <c r="K292" s="3133" t="str">
        <f>IFERROR(1-H292/E292,"")</f>
        <v/>
      </c>
      <c r="L292" s="3134"/>
      <c r="M292" s="1431" t="str">
        <f>IFERROR(1-J292/G292,"")</f>
        <v/>
      </c>
      <c r="N292" s="650"/>
      <c r="O292" s="650"/>
      <c r="P292" s="650"/>
      <c r="Q292" s="1250">
        <f>IFERROR(IF(ISBLANK($B292),"",VLOOKUP($B292,PO_Enrgy_1_Table,MATCH($K$16,PO_Enrgy_1_Hdr,0),FALSE)),"")</f>
        <v>3.4120000000000001E-3</v>
      </c>
      <c r="R292" s="1250">
        <f>IFERROR(IF(ISBLANK($B292),"",VLOOKUP($B292,PO_Enrgy_1_Table,MATCH($M$16,PO_Enrgy_1_Hdr,0),FALSE)),"")</f>
        <v>1.0713680000000001E-2</v>
      </c>
      <c r="S292" s="564"/>
      <c r="T292" s="564"/>
      <c r="AH292" s="615"/>
      <c r="AI292" s="615"/>
      <c r="AJ292" s="596"/>
      <c r="AL292" s="619"/>
      <c r="AM292" s="620"/>
      <c r="AN292" s="621"/>
    </row>
    <row r="293" spans="1:55" ht="15" hidden="1" customHeight="1" x14ac:dyDescent="0.25">
      <c r="A293" s="1271" t="s">
        <v>1298</v>
      </c>
      <c r="B293" s="1429" t="str">
        <f>IFERROR(IF(ISBLANK(B18),"",B18),"")</f>
        <v>District Steam</v>
      </c>
      <c r="C293" s="3126" t="str">
        <f>IFERROR(IF(ISBLANK($B293),"",VLOOKUP($B293,PO_Enrgy_1_Table,MATCH($C$16,PO_Enrgy_1_Hdr,0),FALSE) ),"")</f>
        <v>therm</v>
      </c>
      <c r="D293" s="3127" t="e">
        <f>IF(C293="","",VLOOKUP(C293,ProjectEnergyTypeTable,3,FALSE))</f>
        <v>#NAME?</v>
      </c>
      <c r="E293" s="1430">
        <f>IFERROR(IF(Datacenter_Avg=TRUE,AVERAGE(VLOOKUP($B293,PO_Enrgy_11_Table,MATCH($E$273,PO_Enrgy_11_Hdr,0),FALSE),VLOOKUP($B293,PO_Enrgy_12_Table,MATCH($E$282,PO_Enrgy_12_Hdr,0),FALSE)),VLOOKUP($B293,PO_Enrgy_12_Table,MATCH($E$282,PO_Enrgy_12_Hdr,0),FALSE)),"")</f>
        <v>0</v>
      </c>
      <c r="F293" s="1430">
        <f>IFERROR(E293*$R293,"")</f>
        <v>0</v>
      </c>
      <c r="G293" s="1387">
        <f>IFERROR(IF(Datacenter_Avg=TRUE,AVERAGE(VLOOKUP($B293,PO_Enrgy_11_Table,MATCH($G$273,PO_Enrgy_11_Hdr,0),FALSE),VLOOKUP($B293,PO_Enrgy_12_Table,MATCH($G$282,PO_Enrgy_12_Hdr,0),FALSE)),VLOOKUP($B293,PO_Enrgy_12_Table,MATCH($G$282,PO_Enrgy_12_Hdr,0),FALSE)),"")</f>
        <v>0</v>
      </c>
      <c r="H293" s="1430">
        <f>IFERROR(IF(Datacenter_Avg=TRUE,AVERAGE(VLOOKUP($B293,PO_Enrgy_11_Table,MATCH($H$273,PO_Enrgy_11_Hdr,0),FALSE),VLOOKUP($B293,PO_Enrgy_12_Table,MATCH($H$282,PO_Enrgy_12_Hdr,0),FALSE)),VLOOKUP($B293,PO_Enrgy_12_Table,MATCH($H$282,PO_Enrgy_12_Hdr,0),FALSE)),"")</f>
        <v>0</v>
      </c>
      <c r="I293" s="1430">
        <f>IFERROR(H293*$R293,"")</f>
        <v>0</v>
      </c>
      <c r="J293" s="1387">
        <f>IFERROR(IF(Datacenter_Avg=TRUE,AVERAGE(VLOOKUP($B293,PO_Enrgy_11_Table,MATCH($J$273,PO_Enrgy_11_Hdr,0),FALSE),VLOOKUP($B293,PO_Enrgy_12_Table,MATCH($J$282,PO_Enrgy_12_Hdr,0),FALSE)),VLOOKUP($B293,PO_Enrgy_12_Table,MATCH($J$282,PO_Enrgy_12_Hdr,0),FALSE)),"")</f>
        <v>0</v>
      </c>
      <c r="K293" s="3133" t="str">
        <f>IFERROR(1-H293/E293,"")</f>
        <v/>
      </c>
      <c r="L293" s="3134"/>
      <c r="M293" s="1431" t="str">
        <f>IFERROR(1-J293/G293,"")</f>
        <v/>
      </c>
      <c r="N293" s="650"/>
      <c r="O293" s="650"/>
      <c r="P293" s="650"/>
      <c r="Q293" s="1250">
        <f>IFERROR(IF(ISBLANK($B293),"",VLOOKUP($B293,PO_Enrgy_1_Table,MATCH($K$16,PO_Enrgy_1_Hdr,0),FALSE)),"")</f>
        <v>0.1</v>
      </c>
      <c r="R293" s="1250">
        <f>IFERROR(IF(ISBLANK($B293),"",VLOOKUP($B293,PO_Enrgy_1_Table,MATCH($M$16,PO_Enrgy_1_Hdr,0),FALSE)),"")</f>
        <v>0.12</v>
      </c>
      <c r="S293" s="564"/>
      <c r="T293" s="564"/>
      <c r="AH293" s="615"/>
      <c r="AI293" s="615"/>
      <c r="AJ293" s="596"/>
      <c r="AL293" s="619"/>
      <c r="AM293" s="620"/>
      <c r="AN293" s="621"/>
    </row>
    <row r="294" spans="1:55" ht="15" hidden="1" customHeight="1" x14ac:dyDescent="0.25">
      <c r="A294" s="1271" t="s">
        <v>1298</v>
      </c>
      <c r="B294" s="1429" t="str">
        <f>IFERROR(IF(ISBLANK(B19),"",B19),"")</f>
        <v>District Cooling</v>
      </c>
      <c r="C294" s="3126" t="str">
        <f>IFERROR(IF(ISBLANK($B294),"",VLOOKUP($B294,PO_Enrgy_1_Table,MATCH($C$16,PO_Enrgy_1_Hdr,0),FALSE) ),"")</f>
        <v>therm</v>
      </c>
      <c r="D294" s="3127" t="e">
        <f>IF(C294="","",VLOOKUP(C294,ProjectEnergyTypeTable,3,FALSE))</f>
        <v>#NAME?</v>
      </c>
      <c r="E294" s="1430">
        <f>IFERROR(IF(Datacenter_Avg=TRUE,AVERAGE(VLOOKUP($B294,PO_Enrgy_11_Table,MATCH($E$273,PO_Enrgy_11_Hdr,0),FALSE),VLOOKUP($B294,PO_Enrgy_12_Table,MATCH($E$282,PO_Enrgy_12_Hdr,0),FALSE)),VLOOKUP($B294,PO_Enrgy_12_Table,MATCH($E$282,PO_Enrgy_12_Hdr,0),FALSE)),"")</f>
        <v>0</v>
      </c>
      <c r="F294" s="1430">
        <f>IFERROR(E294*$R294,"")</f>
        <v>0</v>
      </c>
      <c r="G294" s="1387">
        <f>IFERROR(IF(Datacenter_Avg=TRUE,AVERAGE(VLOOKUP($B294,PO_Enrgy_11_Table,MATCH($G$273,PO_Enrgy_11_Hdr,0),FALSE),VLOOKUP($B294,PO_Enrgy_12_Table,MATCH($G$282,PO_Enrgy_12_Hdr,0),FALSE)),VLOOKUP($B294,PO_Enrgy_12_Table,MATCH($G$282,PO_Enrgy_12_Hdr,0),FALSE)),"")</f>
        <v>0</v>
      </c>
      <c r="H294" s="1430">
        <f>IFERROR(IF(Datacenter_Avg=TRUE,AVERAGE(VLOOKUP($B294,PO_Enrgy_11_Table,MATCH($H$273,PO_Enrgy_11_Hdr,0),FALSE),VLOOKUP($B294,PO_Enrgy_12_Table,MATCH($H$282,PO_Enrgy_12_Hdr,0),FALSE)),VLOOKUP($B294,PO_Enrgy_12_Table,MATCH($H$282,PO_Enrgy_12_Hdr,0),FALSE)),"")</f>
        <v>0</v>
      </c>
      <c r="I294" s="1430">
        <f>IFERROR(H294*$R294,"")</f>
        <v>0</v>
      </c>
      <c r="J294" s="1387">
        <f>IFERROR(IF(Datacenter_Avg=TRUE,AVERAGE(VLOOKUP($B294,PO_Enrgy_11_Table,MATCH($J$273,PO_Enrgy_11_Hdr,0),FALSE),VLOOKUP($B294,PO_Enrgy_12_Table,MATCH($J$282,PO_Enrgy_12_Hdr,0),FALSE)),VLOOKUP($B294,PO_Enrgy_12_Table,MATCH($J$282,PO_Enrgy_12_Hdr,0),FALSE)),"")</f>
        <v>0</v>
      </c>
      <c r="K294" s="3133" t="str">
        <f>IFERROR(1-H294/E294,"")</f>
        <v/>
      </c>
      <c r="L294" s="3134"/>
      <c r="M294" s="1431" t="str">
        <f>IFERROR(1-J294/G294,"")</f>
        <v/>
      </c>
      <c r="N294" s="650"/>
      <c r="O294" s="650"/>
      <c r="P294" s="650"/>
      <c r="Q294" s="1250">
        <f>IFERROR(IF(ISBLANK($B294),"",VLOOKUP($B294,PO_Enrgy_1_Table,MATCH($K$16,PO_Enrgy_1_Hdr,0),FALSE)),"")</f>
        <v>0.1</v>
      </c>
      <c r="R294" s="1250">
        <f>IFERROR(IF(ISBLANK($B294),"",VLOOKUP($B294,PO_Enrgy_1_Table,MATCH($M$16,PO_Enrgy_1_Hdr,0),FALSE)),"")</f>
        <v>0.1</v>
      </c>
      <c r="S294" s="564"/>
      <c r="T294" s="564"/>
      <c r="AH294" s="615"/>
      <c r="AI294" s="615"/>
      <c r="AJ294" s="596"/>
      <c r="AL294" s="619"/>
      <c r="AM294" s="620"/>
      <c r="AN294" s="621"/>
    </row>
    <row r="295" spans="1:55" s="594" customFormat="1" ht="21" hidden="1" customHeight="1" x14ac:dyDescent="0.25">
      <c r="A295" s="1271" t="s">
        <v>1298</v>
      </c>
      <c r="B295" s="3177" t="str">
        <f>"Energy Model Subtotal (" &amp; PO_SiteUnits &amp; ")"</f>
        <v>Energy Model Subtotal (Btu x 10^6)</v>
      </c>
      <c r="C295" s="3178"/>
      <c r="D295" s="3178"/>
      <c r="E295" s="1409">
        <f>IFERROR(SUMPRODUCT(INDEX(PO_Enrgy_13_Table,0,MATCH(E$291,PO_Enrgy_13_Hdr,0)),INDEX(PO_Enrgy_13_Table,0,MATCH($Q$291,PO_Enrgy_13_Hdr,0))),"")</f>
        <v>0</v>
      </c>
      <c r="F295" s="1410">
        <f>IFERROR(SUM(INDEX(PO_Enrgy_13_Table,0,MATCH(F$291,PO_Enrgy_12_Hdr,0))),"")</f>
        <v>0</v>
      </c>
      <c r="G295" s="1411">
        <f>IFERROR(SUM(INDEX(PO_Enrgy_13_Table,0,MATCH(G$291,PO_Enrgy_12_Hdr,0))),"")</f>
        <v>0</v>
      </c>
      <c r="H295" s="1409">
        <f>IFERROR(SUMPRODUCT(INDEX(PO_Enrgy_13_Table,0,MATCH(H$291,PO_Enrgy_13_Hdr,0)),INDEX(PO_Enrgy_13_Table,0,MATCH($Q$291,PO_Enrgy_13_Hdr,0))),"")</f>
        <v>0</v>
      </c>
      <c r="I295" s="1410">
        <f>IFERROR(SUM(INDEX(PO_Enrgy_13_Table,0,MATCH(I$291,PO_Enrgy_12_Hdr,0))),"")</f>
        <v>0</v>
      </c>
      <c r="J295" s="1411">
        <f>IFERROR(SUM(INDEX(PO_Enrgy_13_Table,0,MATCH(J$291,PO_Enrgy_12_Hdr,0))),"")</f>
        <v>0</v>
      </c>
      <c r="K295" s="3179" t="str">
        <f>IFERROR(1-H295/E295,"")</f>
        <v/>
      </c>
      <c r="L295" s="3180"/>
      <c r="M295" s="1412" t="str">
        <f>IFERROR(1-J295/G295,"")</f>
        <v/>
      </c>
      <c r="N295" s="650"/>
      <c r="O295" s="650"/>
      <c r="P295" s="650"/>
      <c r="AJ295" s="596"/>
      <c r="AL295" s="619"/>
      <c r="AM295" s="620"/>
    </row>
    <row r="296" spans="1:55" s="594" customFormat="1" ht="30" hidden="1" customHeight="1" x14ac:dyDescent="0.2">
      <c r="A296" s="1271" t="s">
        <v>1298</v>
      </c>
      <c r="B296" s="3181"/>
      <c r="C296" s="3182"/>
      <c r="D296" s="3182"/>
      <c r="E296" s="3182"/>
      <c r="F296" s="3182"/>
      <c r="G296" s="3182"/>
      <c r="H296" s="3182"/>
      <c r="I296" s="3182"/>
      <c r="J296" s="3182"/>
      <c r="K296" s="3182"/>
      <c r="L296" s="3182"/>
      <c r="M296" s="822"/>
      <c r="N296" s="650"/>
      <c r="O296" s="650"/>
      <c r="P296" s="650"/>
      <c r="AL296" s="622"/>
      <c r="AM296" s="623"/>
    </row>
    <row r="297" spans="1:55" ht="18" customHeight="1" x14ac:dyDescent="0.25">
      <c r="A297" s="1271" t="s">
        <v>1298</v>
      </c>
      <c r="B297" s="3183" t="s">
        <v>1281</v>
      </c>
      <c r="C297" s="3162"/>
      <c r="D297" s="3162"/>
      <c r="E297" s="3162"/>
      <c r="F297" s="3162"/>
      <c r="G297" s="3184"/>
      <c r="H297" s="3184"/>
      <c r="I297" s="3184"/>
      <c r="J297" s="3184"/>
      <c r="K297" s="3185" t="str">
        <f>$M$295</f>
        <v/>
      </c>
      <c r="L297" s="3186"/>
      <c r="M297" s="3187"/>
      <c r="N297" s="650"/>
      <c r="O297" s="650"/>
      <c r="P297" s="650"/>
      <c r="AJ297" s="596"/>
      <c r="BC297" s="2292"/>
    </row>
    <row r="298" spans="1:55" s="594" customFormat="1" ht="33" customHeight="1" x14ac:dyDescent="0.25">
      <c r="A298" s="1271" t="s">
        <v>1298</v>
      </c>
      <c r="B298" s="1626"/>
      <c r="C298" s="1626"/>
      <c r="D298" s="1626"/>
      <c r="E298" s="602"/>
      <c r="F298" s="602"/>
      <c r="G298" s="651"/>
      <c r="H298" s="602"/>
      <c r="I298" s="602"/>
      <c r="J298" s="651"/>
      <c r="K298" s="822"/>
      <c r="L298" s="822"/>
      <c r="M298" s="822"/>
      <c r="N298" s="650"/>
      <c r="O298" s="650"/>
      <c r="P298" s="650"/>
      <c r="AL298" s="622"/>
      <c r="AM298" s="623"/>
    </row>
    <row r="299" spans="1:55" s="650" customFormat="1" ht="21.75" customHeight="1" x14ac:dyDescent="0.25">
      <c r="A299" s="1271" t="s">
        <v>1298</v>
      </c>
      <c r="B299" s="1631" t="s">
        <v>1271</v>
      </c>
      <c r="AL299" s="645"/>
      <c r="AM299" s="646"/>
    </row>
    <row r="300" spans="1:55" ht="42" customHeight="1" x14ac:dyDescent="0.25">
      <c r="A300" s="1271" t="s">
        <v>1298</v>
      </c>
      <c r="B300" s="3124" t="s">
        <v>444</v>
      </c>
      <c r="C300" s="3165" t="s">
        <v>1805</v>
      </c>
      <c r="D300" s="3125"/>
      <c r="E300" s="3188" t="s">
        <v>452</v>
      </c>
      <c r="F300" s="3188"/>
      <c r="G300" s="3188"/>
      <c r="H300" s="3123" t="s">
        <v>1172</v>
      </c>
      <c r="I300" s="3124"/>
      <c r="J300" s="3124"/>
      <c r="K300" s="3124" t="s">
        <v>451</v>
      </c>
      <c r="L300" s="3124"/>
      <c r="M300" s="3125"/>
      <c r="N300" s="3168"/>
      <c r="O300" s="3168"/>
      <c r="P300" s="3168"/>
      <c r="S300" s="564"/>
      <c r="T300" s="564"/>
      <c r="AJ300" s="596"/>
      <c r="AL300" s="619"/>
      <c r="AM300" s="620"/>
      <c r="AR300" s="1161"/>
      <c r="AS300" s="1162"/>
      <c r="AT300" s="1162"/>
      <c r="AU300" s="1162"/>
      <c r="AV300" s="625"/>
    </row>
    <row r="301" spans="1:55" ht="56.25" customHeight="1" x14ac:dyDescent="0.25">
      <c r="A301" s="1271" t="s">
        <v>1298</v>
      </c>
      <c r="B301" s="3125"/>
      <c r="C301" s="3125"/>
      <c r="D301" s="3125"/>
      <c r="E301" s="1633" t="s">
        <v>450</v>
      </c>
      <c r="F301" s="1634" t="str">
        <f>"Source Energy Use Savings 
("  &amp; PO_SourceUnits &amp; ")"</f>
        <v>Source Energy Use Savings 
(Btu x 10^6)</v>
      </c>
      <c r="G301" s="1633" t="s">
        <v>449</v>
      </c>
      <c r="H301" s="1633" t="s">
        <v>1116</v>
      </c>
      <c r="I301" s="1634" t="str">
        <f>"Source Energy Use 
("  &amp; PO_SourceUnits &amp; ")"</f>
        <v>Source Energy Use 
(Btu x 10^6)</v>
      </c>
      <c r="J301" s="1633" t="s">
        <v>446</v>
      </c>
      <c r="K301" s="3123" t="s">
        <v>447</v>
      </c>
      <c r="L301" s="3125"/>
      <c r="M301" s="1633" t="s">
        <v>446</v>
      </c>
      <c r="N301" s="1646"/>
      <c r="O301" s="1646"/>
      <c r="P301" s="1646"/>
      <c r="S301" s="564"/>
      <c r="T301" s="564"/>
      <c r="AJ301" s="596"/>
      <c r="AL301" s="619"/>
      <c r="AM301" s="620"/>
      <c r="AR301" s="1162"/>
      <c r="AS301" s="638"/>
      <c r="AT301" s="638"/>
      <c r="AU301" s="638"/>
    </row>
    <row r="302" spans="1:55" s="1287" customFormat="1" ht="15" hidden="1" customHeight="1" x14ac:dyDescent="0.25">
      <c r="A302" s="1271" t="s">
        <v>1298</v>
      </c>
      <c r="B302" s="1314" t="s">
        <v>1765</v>
      </c>
      <c r="C302" s="1305" t="s">
        <v>1793</v>
      </c>
      <c r="D302" s="1314"/>
      <c r="E302" s="1315" t="s">
        <v>1825</v>
      </c>
      <c r="F302" s="1316" t="s">
        <v>1826</v>
      </c>
      <c r="G302" s="1317" t="s">
        <v>1827</v>
      </c>
      <c r="H302" s="1315" t="s">
        <v>1806</v>
      </c>
      <c r="I302" s="1316" t="s">
        <v>1807</v>
      </c>
      <c r="J302" s="1317" t="s">
        <v>1808</v>
      </c>
      <c r="K302" s="1317" t="s">
        <v>1824</v>
      </c>
      <c r="L302" s="1305"/>
      <c r="M302" s="1317" t="s">
        <v>1810</v>
      </c>
      <c r="N302" s="1309"/>
      <c r="O302" s="1309"/>
      <c r="P302" s="1309"/>
      <c r="Q302" s="1249" t="s">
        <v>1776</v>
      </c>
      <c r="R302" s="1249" t="s">
        <v>1777</v>
      </c>
      <c r="S302" s="1249" t="s">
        <v>1882</v>
      </c>
      <c r="AJ302" s="1289"/>
    </row>
    <row r="303" spans="1:55" ht="15" customHeight="1" x14ac:dyDescent="0.25">
      <c r="A303" s="1271" t="s">
        <v>1298</v>
      </c>
      <c r="B303" s="1427" t="str">
        <f>IFERROR(IF(ISBLANK(B17),"",B17),"")</f>
        <v>Electricity</v>
      </c>
      <c r="C303" s="3144" t="str">
        <f>IFERROR(IF(ISBLANK($B303),"",VLOOKUP($B303,PO_Enrgy_1_Table,MATCH($C$16,PO_Enrgy_1_Hdr,0),FALSE) ),"")</f>
        <v>kWh</v>
      </c>
      <c r="D303" s="3145" t="e">
        <f>IF(C303="","",VLOOKUP(C303,ProjectEnergyTypeTable,3,FALSE))</f>
        <v>#NAME?</v>
      </c>
      <c r="E303" s="1414">
        <f>IFERROR(IF(PO_SiteRenewable=TRUE,VLOOKUP($B303,PO_Enrgy_2_Table,MATCH($E$38,PO_Enrgy_2_Hdr,0),FALSE),0),"")</f>
        <v>0</v>
      </c>
      <c r="F303" s="1414">
        <f>IFERROR(E303*$R303,"")</f>
        <v>0</v>
      </c>
      <c r="G303" s="1387">
        <f>IFERROR(IF(PO_SiteRenewable=TRUE,VLOOKUP($B303,PO_Enrgy_2_Table,MATCH($J$38,PO_Enrgy_2_Hdr,0),FALSE),0),"")</f>
        <v>0</v>
      </c>
      <c r="H303" s="1414">
        <f>IFERROR(VLOOKUP($B303,PO_Enrgy_13_Table,MATCH($H$291,PO_Enrgy_13_Hdr,0),FALSE)-IF(PO_SiteRenewable=TRUE,VLOOKUP($B303,PO_Enrgy_2_Table,MATCH($E$38,PO_Enrgy_2_Hdr,0),FALSE),0),0)</f>
        <v>0</v>
      </c>
      <c r="I303" s="1414">
        <f>IFERROR(H303*$R303,"")</f>
        <v>0</v>
      </c>
      <c r="J303" s="1387">
        <f>IFERROR(VLOOKUP($B303,PO_Enrgy_13_Table,MATCH($J$291,PO_Enrgy_13_Hdr,0),FALSE)-IF(PO_SiteRenewable=TRUE,VLOOKUP($B303,PO_Enrgy_2_Table,MATCH($J$38,PO_Enrgy_2_Hdr,0),FALSE),0),0)</f>
        <v>0</v>
      </c>
      <c r="K303" s="3146" t="str">
        <f>IFERROR(1-$H303/VLOOKUP($B303,PO_Enrgy_13_Table,MATCH($E$291,PO_Enrgy_13_Hdr,0),FALSE),"")</f>
        <v/>
      </c>
      <c r="L303" s="3147"/>
      <c r="M303" s="1432" t="str">
        <f>IFERROR(1-$J303/VLOOKUP($B303,PO_Enrgy_13_Table,MATCH($G$291,PO_Enrgy_13_Hdr,0),FALSE),"")</f>
        <v/>
      </c>
      <c r="N303" s="650"/>
      <c r="O303" s="650"/>
      <c r="P303" s="650"/>
      <c r="Q303" s="1549">
        <f>IFERROR(IF(ISBLANK($B303),"",VLOOKUP($B303,PO_Enrgy_1_Table,MATCH($K$16,PO_Enrgy_1_Hdr,0),FALSE)),"")</f>
        <v>3.4120000000000001E-3</v>
      </c>
      <c r="R303" s="1549">
        <f>IFERROR(IF(ISBLANK($B303),"",VLOOKUP($B303,PO_Enrgy_1_Table,MATCH($M$16,PO_Enrgy_1_Hdr,0),FALSE)),"")</f>
        <v>1.0713680000000001E-2</v>
      </c>
      <c r="S303" s="1549" t="str">
        <f>IFERROR(G303/E303,"")</f>
        <v/>
      </c>
      <c r="T303" s="564"/>
      <c r="AH303" s="615"/>
      <c r="AI303" s="615"/>
      <c r="AJ303" s="608"/>
      <c r="AL303" s="619"/>
      <c r="AM303" s="619"/>
      <c r="AN303" s="658"/>
      <c r="AP303" s="626"/>
      <c r="AR303" s="627"/>
      <c r="AS303" s="609"/>
      <c r="AT303" s="609"/>
      <c r="AU303" s="639"/>
      <c r="BC303" s="2292"/>
    </row>
    <row r="304" spans="1:55" ht="15" customHeight="1" x14ac:dyDescent="0.25">
      <c r="A304" s="1271" t="s">
        <v>1298</v>
      </c>
      <c r="B304" s="1427" t="str">
        <f>IFERROR(IF(ISBLANK(B18),"",B18),"")</f>
        <v>District Steam</v>
      </c>
      <c r="C304" s="3144" t="str">
        <f>IFERROR(IF(ISBLANK($B304),"",VLOOKUP($B304,PO_Enrgy_1_Table,MATCH($C$16,PO_Enrgy_1_Hdr,0),FALSE) ),"")</f>
        <v>therm</v>
      </c>
      <c r="D304" s="3145" t="e">
        <f>IF(C304="","",VLOOKUP(C304,ProjectEnergyTypeTable,3,FALSE))</f>
        <v>#NAME?</v>
      </c>
      <c r="E304" s="1414">
        <f>IFERROR(IF(PO_SiteRenewable=TRUE,VLOOKUP($B304,PO_Enrgy_2_Table,MATCH($E$38,PO_Enrgy_2_Hdr,0),FALSE),0),"")</f>
        <v>0</v>
      </c>
      <c r="F304" s="1414">
        <f>IFERROR(E304*$R304,"")</f>
        <v>0</v>
      </c>
      <c r="G304" s="1387">
        <f>IFERROR(IF(PO_SiteRenewable=TRUE,VLOOKUP($B304,PO_Enrgy_2_Table,MATCH($J$38,PO_Enrgy_2_Hdr,0),FALSE),0),"")</f>
        <v>0</v>
      </c>
      <c r="H304" s="1414">
        <f>IFERROR(VLOOKUP($B304,PO_Enrgy_13_Table,MATCH($H$291,PO_Enrgy_13_Hdr,0),FALSE)-IF(PO_SiteRenewable=TRUE,VLOOKUP($B304,PO_Enrgy_2_Table,MATCH($E$38,PO_Enrgy_2_Hdr,0),FALSE),0),0)</f>
        <v>0</v>
      </c>
      <c r="I304" s="1414">
        <f>IFERROR(H304*$R304,"")</f>
        <v>0</v>
      </c>
      <c r="J304" s="1387">
        <f>IFERROR(VLOOKUP($B304,PO_Enrgy_13_Table,MATCH($J$291,PO_Enrgy_13_Hdr,0),FALSE)-IF(PO_SiteRenewable=TRUE,VLOOKUP($B304,PO_Enrgy_2_Table,MATCH($J$38,PO_Enrgy_2_Hdr,0),FALSE),0),0)</f>
        <v>0</v>
      </c>
      <c r="K304" s="3146" t="str">
        <f>IFERROR(1-$H304/VLOOKUP($B304,PO_Enrgy_13_Table,MATCH($E$291,PO_Enrgy_13_Hdr,0),FALSE),"")</f>
        <v/>
      </c>
      <c r="L304" s="3147"/>
      <c r="M304" s="1432" t="str">
        <f>IFERROR(1-$J304/VLOOKUP($B304,PO_Enrgy_13_Table,MATCH($G$291,PO_Enrgy_13_Hdr,0),FALSE),"")</f>
        <v/>
      </c>
      <c r="N304" s="650"/>
      <c r="O304" s="650"/>
      <c r="P304" s="650"/>
      <c r="Q304" s="1549">
        <f>IFERROR(IF(ISBLANK($B304),"",VLOOKUP($B304,PO_Enrgy_1_Table,MATCH($K$16,PO_Enrgy_1_Hdr,0),FALSE)),"")</f>
        <v>0.1</v>
      </c>
      <c r="R304" s="1549">
        <f>IFERROR(IF(ISBLANK($B304),"",VLOOKUP($B304,PO_Enrgy_1_Table,MATCH($M$16,PO_Enrgy_1_Hdr,0),FALSE)),"")</f>
        <v>0.12</v>
      </c>
      <c r="S304" s="1549" t="str">
        <f>IFERROR(G304/E304,"")</f>
        <v/>
      </c>
      <c r="T304" s="564"/>
      <c r="AH304" s="615"/>
      <c r="AI304" s="615"/>
      <c r="AJ304" s="608"/>
      <c r="AL304" s="619"/>
      <c r="AM304" s="619"/>
      <c r="AN304" s="658"/>
      <c r="AP304" s="626"/>
      <c r="AR304" s="627"/>
      <c r="AS304" s="609"/>
      <c r="AT304" s="609"/>
      <c r="AU304" s="639"/>
      <c r="BC304" s="2292"/>
    </row>
    <row r="305" spans="1:55" ht="15" customHeight="1" x14ac:dyDescent="0.25">
      <c r="A305" s="1271" t="s">
        <v>1298</v>
      </c>
      <c r="B305" s="1427" t="str">
        <f>IFERROR(IF(ISBLANK(B19),"",B19),"")</f>
        <v>District Cooling</v>
      </c>
      <c r="C305" s="3144" t="str">
        <f>IFERROR(IF(ISBLANK($B305),"",VLOOKUP($B305,PO_Enrgy_1_Table,MATCH($C$16,PO_Enrgy_1_Hdr,0),FALSE) ),"")</f>
        <v>therm</v>
      </c>
      <c r="D305" s="3145" t="e">
        <f>IF(C305="","",VLOOKUP(C305,ProjectEnergyTypeTable,3,FALSE))</f>
        <v>#NAME?</v>
      </c>
      <c r="E305" s="1414">
        <f>IFERROR(IF(PO_SiteRenewable=TRUE,VLOOKUP($B305,PO_Enrgy_2_Table,MATCH($E$38,PO_Enrgy_2_Hdr,0),FALSE),0),"")</f>
        <v>0</v>
      </c>
      <c r="F305" s="1414">
        <f>IFERROR(E305*$R305,"")</f>
        <v>0</v>
      </c>
      <c r="G305" s="1387">
        <f>IFERROR(IF(PO_SiteRenewable=TRUE,VLOOKUP($B305,PO_Enrgy_2_Table,MATCH($J$38,PO_Enrgy_2_Hdr,0),FALSE),0),"")</f>
        <v>0</v>
      </c>
      <c r="H305" s="1414">
        <f>IFERROR(VLOOKUP($B305,PO_Enrgy_13_Table,MATCH($H$291,PO_Enrgy_13_Hdr,0),FALSE)-IF(PO_SiteRenewable=TRUE,VLOOKUP($B305,PO_Enrgy_2_Table,MATCH($E$38,PO_Enrgy_2_Hdr,0),FALSE),0),0)</f>
        <v>0</v>
      </c>
      <c r="I305" s="1414">
        <f>IFERROR(H305*$R305,"")</f>
        <v>0</v>
      </c>
      <c r="J305" s="1387">
        <f>IFERROR(VLOOKUP($B305,PO_Enrgy_13_Table,MATCH($J$291,PO_Enrgy_13_Hdr,0),FALSE)-IF(PO_SiteRenewable=TRUE,VLOOKUP($B305,PO_Enrgy_2_Table,MATCH($J$38,PO_Enrgy_2_Hdr,0),FALSE),0),0)</f>
        <v>0</v>
      </c>
      <c r="K305" s="3146" t="str">
        <f>IFERROR(1-$H305/VLOOKUP($B305,PO_Enrgy_13_Table,MATCH($E$291,PO_Enrgy_13_Hdr,0),FALSE),"")</f>
        <v/>
      </c>
      <c r="L305" s="3147"/>
      <c r="M305" s="1432" t="str">
        <f>IFERROR(1-$J305/VLOOKUP($B305,PO_Enrgy_13_Table,MATCH($G$291,PO_Enrgy_13_Hdr,0),FALSE),"")</f>
        <v/>
      </c>
      <c r="N305" s="650"/>
      <c r="O305" s="650"/>
      <c r="P305" s="650"/>
      <c r="Q305" s="1549">
        <f>IFERROR(IF(ISBLANK($B305),"",VLOOKUP($B305,PO_Enrgy_1_Table,MATCH($K$16,PO_Enrgy_1_Hdr,0),FALSE)),"")</f>
        <v>0.1</v>
      </c>
      <c r="R305" s="1549">
        <f>IFERROR(IF(ISBLANK($B305),"",VLOOKUP($B305,PO_Enrgy_1_Table,MATCH($M$16,PO_Enrgy_1_Hdr,0),FALSE)),"")</f>
        <v>0.1</v>
      </c>
      <c r="S305" s="1549" t="str">
        <f>IFERROR(G305/E305,"")</f>
        <v/>
      </c>
      <c r="T305" s="564"/>
      <c r="AH305" s="615"/>
      <c r="AI305" s="615"/>
      <c r="AJ305" s="608"/>
      <c r="AL305" s="619"/>
      <c r="AM305" s="619"/>
      <c r="AN305" s="658"/>
      <c r="AP305" s="626"/>
      <c r="AR305" s="627"/>
      <c r="AS305" s="609"/>
      <c r="AT305" s="609"/>
      <c r="AU305" s="639"/>
      <c r="BC305" s="2292"/>
    </row>
    <row r="306" spans="1:55" s="594" customFormat="1" ht="21" customHeight="1" x14ac:dyDescent="0.25">
      <c r="A306" s="1271" t="s">
        <v>1298</v>
      </c>
      <c r="B306" s="3120" t="str">
        <f>"Energy model subtotal (" &amp; PO_SiteUnits &amp; ")"</f>
        <v>Energy model subtotal (Btu x 10^6)</v>
      </c>
      <c r="C306" s="3120"/>
      <c r="D306" s="3120"/>
      <c r="E306" s="1414">
        <f>IFERROR(SUMPRODUCT(INDEX(PO_Enrgy_14_Table,0,MATCH(E$302,PO_Enrgy_14_Hdr,0)),INDEX(PO_Enrgy_14_Table,0,MATCH($Q$302,PO_Enrgy_14_Hdr,0))),"")</f>
        <v>0</v>
      </c>
      <c r="F306" s="1384">
        <f>IFERROR(SUM(INDEX(PO_Enrgy_14_Table,0,MATCH(F$302,PO_Enrgy_14_Hdr,0))),"")</f>
        <v>0</v>
      </c>
      <c r="G306" s="1398">
        <f>IFERROR(SUM(INDEX(PO_Enrgy_14_Table,0,MATCH(G$302,PO_Enrgy_14_Hdr,0))),"")</f>
        <v>0</v>
      </c>
      <c r="H306" s="1414">
        <f>IFERROR(SUMPRODUCT(INDEX(PO_Enrgy_14_Table,0,MATCH(H$302,PO_Enrgy_14_Hdr,0)),INDEX(PO_Enrgy_14_Table,0,MATCH($Q$302,PO_Enrgy_14_Hdr,0))),"")</f>
        <v>0</v>
      </c>
      <c r="I306" s="1384">
        <f>IFERROR(SUM(INDEX(PO_Enrgy_14_Table,0,MATCH(I$302,PO_Enrgy_14_Hdr,0))),"")</f>
        <v>0</v>
      </c>
      <c r="J306" s="1398">
        <f>IFERROR(SUM(INDEX(PO_Enrgy_14_Table,0,MATCH(J$302,PO_Enrgy_14_Hdr,0))),"")</f>
        <v>0</v>
      </c>
      <c r="K306" s="3137" t="str">
        <f>IFERROR(1-$H306/$E$295,"")</f>
        <v/>
      </c>
      <c r="L306" s="3137"/>
      <c r="M306" s="1651" t="str">
        <f>IFERROR(1-$J306/$G$295,"")</f>
        <v/>
      </c>
      <c r="N306" s="650"/>
      <c r="O306" s="650"/>
      <c r="P306" s="650"/>
      <c r="AJ306" s="596"/>
      <c r="AL306" s="619"/>
      <c r="AM306" s="620"/>
      <c r="AR306" s="627"/>
      <c r="AS306" s="609"/>
      <c r="AT306" s="609"/>
      <c r="AU306" s="610"/>
      <c r="BC306" s="2292"/>
    </row>
    <row r="307" spans="1:55" s="594" customFormat="1" ht="33" customHeight="1" x14ac:dyDescent="0.25">
      <c r="A307" s="1271" t="s">
        <v>1298</v>
      </c>
      <c r="B307" s="1626"/>
      <c r="C307" s="1626"/>
      <c r="D307" s="1626"/>
      <c r="E307" s="607"/>
      <c r="F307" s="607"/>
      <c r="G307" s="651"/>
      <c r="H307" s="607"/>
      <c r="I307" s="607"/>
      <c r="J307" s="651"/>
      <c r="K307" s="822"/>
      <c r="L307" s="650"/>
      <c r="M307" s="822"/>
      <c r="N307" s="650"/>
      <c r="O307" s="650"/>
      <c r="P307" s="650"/>
      <c r="AJ307" s="596"/>
      <c r="AL307" s="619"/>
      <c r="AM307" s="620"/>
      <c r="AR307" s="627"/>
      <c r="AS307" s="609"/>
      <c r="AT307" s="609"/>
      <c r="AU307" s="610"/>
    </row>
    <row r="308" spans="1:55" s="650" customFormat="1" ht="21.75" hidden="1" customHeight="1" x14ac:dyDescent="0.25">
      <c r="A308" s="1271" t="s">
        <v>1298</v>
      </c>
      <c r="B308" s="1631" t="s">
        <v>1286</v>
      </c>
      <c r="C308" s="585"/>
      <c r="D308" s="585"/>
      <c r="E308" s="585"/>
      <c r="F308" s="585"/>
      <c r="G308" s="585"/>
      <c r="H308" s="585"/>
      <c r="I308" s="585"/>
      <c r="J308" s="585"/>
      <c r="AL308" s="645"/>
      <c r="AM308" s="646"/>
    </row>
    <row r="309" spans="1:55" s="650" customFormat="1" ht="39.75" hidden="1" customHeight="1" x14ac:dyDescent="0.25">
      <c r="A309" s="1271" t="s">
        <v>1298</v>
      </c>
      <c r="B309" s="3138" t="str">
        <f>"Enter the IT equipment energy consumption " &amp; IF(Datacenter_Avg=FALSE, " and total building consumption by end-use including renewable energy ","") &amp; "for the Startup IT loads.  The information for the full buildout loads is tabulated from the data above.  PUE3 is calculated based on source energy."</f>
        <v>Enter the IT equipment energy consumption  and total building consumption by end-use including renewable energy for the Startup IT loads.  The information for the full buildout loads is tabulated from the data above.  PUE3 is calculated based on source energy.</v>
      </c>
      <c r="C309" s="2609"/>
      <c r="D309" s="2609"/>
      <c r="E309" s="2609"/>
      <c r="F309" s="2609"/>
      <c r="G309" s="2609"/>
      <c r="H309" s="2609"/>
      <c r="I309" s="2609"/>
      <c r="J309" s="2609"/>
      <c r="K309" s="2609"/>
      <c r="L309" s="2609"/>
      <c r="M309" s="2609"/>
      <c r="AL309" s="645"/>
      <c r="AM309" s="646"/>
    </row>
    <row r="310" spans="1:55" ht="54" hidden="1" customHeight="1" x14ac:dyDescent="0.25">
      <c r="A310" s="1271" t="s">
        <v>1298</v>
      </c>
      <c r="B310" s="3124" t="s">
        <v>444</v>
      </c>
      <c r="C310" s="3165" t="s">
        <v>1805</v>
      </c>
      <c r="D310" s="3125"/>
      <c r="E310" s="3124" t="s">
        <v>1290</v>
      </c>
      <c r="F310" s="3124"/>
      <c r="G310" s="3124"/>
      <c r="H310" s="3139"/>
      <c r="I310" s="3124" t="s">
        <v>1291</v>
      </c>
      <c r="J310" s="3140"/>
      <c r="K310" s="3140"/>
      <c r="L310" s="3140"/>
      <c r="M310" s="3140"/>
      <c r="N310" s="3168"/>
      <c r="O310" s="3168"/>
      <c r="P310" s="3168"/>
      <c r="S310" s="564"/>
      <c r="T310" s="564"/>
      <c r="AJ310" s="596"/>
      <c r="AL310" s="619"/>
      <c r="AM310" s="620"/>
    </row>
    <row r="311" spans="1:55" ht="48" hidden="1" customHeight="1" x14ac:dyDescent="0.25">
      <c r="A311" s="1271" t="s">
        <v>1298</v>
      </c>
      <c r="B311" s="3125"/>
      <c r="C311" s="3125"/>
      <c r="D311" s="3125"/>
      <c r="E311" s="1633" t="s">
        <v>1116</v>
      </c>
      <c r="F311" s="1634" t="str">
        <f>"Source Energy Use 
("  &amp; PO_SourceUnits &amp; ")"</f>
        <v>Source Energy Use 
(Btu x 10^6)</v>
      </c>
      <c r="G311" s="3123" t="s">
        <v>1117</v>
      </c>
      <c r="H311" s="3169"/>
      <c r="I311" s="1633" t="s">
        <v>1116</v>
      </c>
      <c r="J311" s="1634" t="str">
        <f>"Source Energy Use 
("  &amp; PO_SourceUnits &amp; ")"</f>
        <v>Source Energy Use 
(Btu x 10^6)</v>
      </c>
      <c r="K311" s="3123" t="s">
        <v>1117</v>
      </c>
      <c r="L311" s="3140"/>
      <c r="M311" s="3140"/>
      <c r="N311" s="1625"/>
      <c r="O311" s="1625"/>
      <c r="P311" s="1625"/>
      <c r="S311" s="564"/>
      <c r="T311" s="564"/>
      <c r="AJ311" s="596"/>
    </row>
    <row r="312" spans="1:55" s="1287" customFormat="1" ht="15" hidden="1" customHeight="1" x14ac:dyDescent="0.25">
      <c r="A312" s="1271" t="s">
        <v>1298</v>
      </c>
      <c r="B312" s="1314" t="s">
        <v>1765</v>
      </c>
      <c r="C312" s="1305" t="s">
        <v>1793</v>
      </c>
      <c r="D312" s="1314"/>
      <c r="E312" s="1315" t="s">
        <v>1828</v>
      </c>
      <c r="F312" s="1316" t="s">
        <v>1829</v>
      </c>
      <c r="G312" s="1317" t="s">
        <v>1830</v>
      </c>
      <c r="H312" s="1315"/>
      <c r="I312" s="1316" t="s">
        <v>1831</v>
      </c>
      <c r="J312" s="1317" t="s">
        <v>1832</v>
      </c>
      <c r="K312" s="1317" t="s">
        <v>1833</v>
      </c>
      <c r="L312" s="1305"/>
      <c r="M312" s="1317"/>
      <c r="N312" s="1309"/>
      <c r="O312" s="1309"/>
      <c r="P312" s="1309"/>
      <c r="Q312" s="1249" t="s">
        <v>1776</v>
      </c>
      <c r="R312" s="1249" t="s">
        <v>1777</v>
      </c>
      <c r="AJ312" s="1289"/>
    </row>
    <row r="313" spans="1:55" ht="15" hidden="1" customHeight="1" x14ac:dyDescent="0.25">
      <c r="A313" s="1271" t="s">
        <v>1298</v>
      </c>
      <c r="B313" s="1621" t="str">
        <f>B191</f>
        <v>IT equipment</v>
      </c>
      <c r="C313" s="3142" t="s">
        <v>488</v>
      </c>
      <c r="D313" s="3143" t="e">
        <f>IF(C313="","",VLOOKUP(C313,ProjectEnergyTypeTable,3,FALSE))</f>
        <v>#NAME?</v>
      </c>
      <c r="E313" s="1415"/>
      <c r="F313" s="1384">
        <f>IFERROR(E313*$R313,"")</f>
        <v>0</v>
      </c>
      <c r="G313" s="3170"/>
      <c r="H313" s="3171"/>
      <c r="I313" s="1416">
        <f>IFERROR(VLOOKUP(B313,PO_design_table,MATCH($H$170,PO_design_hdr,0),FALSE),"")</f>
        <v>0</v>
      </c>
      <c r="J313" s="1384">
        <f>IFERROR(I313*$R313,"")</f>
        <v>0</v>
      </c>
      <c r="K313" s="3172"/>
      <c r="L313" s="3172"/>
      <c r="M313" s="3172"/>
      <c r="N313" s="650"/>
      <c r="O313" s="650"/>
      <c r="P313" s="650"/>
      <c r="Q313" s="1250">
        <f>IFERROR(VLOOKUP("Electricity",PO_Enrgy_1_Table,MATCH($K$16,PO_Enrgy_1_Hdr,0),FALSE),"")</f>
        <v>3.4120000000000001E-3</v>
      </c>
      <c r="R313" s="1250">
        <f>IFERROR(VLOOKUP("electricity",PO_Enrgy_1_Table,MATCH($M$16,PO_Enrgy_1_Hdr,0),FALSE),"")</f>
        <v>1.0713680000000001E-2</v>
      </c>
      <c r="S313" s="564"/>
      <c r="T313" s="564"/>
      <c r="AH313" s="615"/>
      <c r="AI313" s="615"/>
      <c r="AJ313" s="596"/>
      <c r="AL313" s="619"/>
      <c r="AM313" s="620"/>
      <c r="AN313" s="621"/>
    </row>
    <row r="314" spans="1:55" ht="21" hidden="1" customHeight="1" x14ac:dyDescent="0.25">
      <c r="A314" s="1271" t="s">
        <v>1298</v>
      </c>
      <c r="B314" s="3118" t="s">
        <v>1113</v>
      </c>
      <c r="C314" s="3173"/>
      <c r="D314" s="3174"/>
      <c r="E314" s="1417"/>
      <c r="F314" s="1417"/>
      <c r="G314" s="3175"/>
      <c r="H314" s="3175"/>
      <c r="I314" s="1418"/>
      <c r="J314" s="1418"/>
      <c r="K314" s="3176"/>
      <c r="L314" s="3176"/>
      <c r="M314" s="3176"/>
      <c r="N314" s="650"/>
      <c r="O314" s="650"/>
      <c r="P314" s="650"/>
      <c r="Q314" s="1249" t="s">
        <v>1776</v>
      </c>
      <c r="R314" s="1249" t="s">
        <v>1777</v>
      </c>
      <c r="S314" s="564"/>
      <c r="T314" s="564"/>
      <c r="AH314" s="615"/>
      <c r="AI314" s="615"/>
      <c r="AJ314" s="596"/>
      <c r="AL314" s="619"/>
      <c r="AM314" s="620"/>
      <c r="AN314" s="621"/>
    </row>
    <row r="315" spans="1:55" ht="15" hidden="1" customHeight="1" x14ac:dyDescent="0.25">
      <c r="A315" s="1271" t="s">
        <v>1298</v>
      </c>
      <c r="B315" s="2383" t="str">
        <f>IFERROR(IF(ISBLANK(B17),"",B17),"")</f>
        <v>Electricity</v>
      </c>
      <c r="C315" s="3126" t="str">
        <f>IFERROR(IF(ISBLANK($B315),"",VLOOKUP($B315,PO_Enrgy_1_Table,MATCH($C$16,PO_Enrgy_1_Hdr,0),FALSE) ),"")</f>
        <v>kWh</v>
      </c>
      <c r="D315" s="3127" t="e">
        <f>IF(C315="","",VLOOKUP(C315,ProjectEnergyTypeTable,3,FALSE))</f>
        <v>#NAME?</v>
      </c>
      <c r="E315" s="1433" t="str">
        <f>IFERROR(IF(Datacenter_Avg=TRUE,VLOOKUP($B315,PO_Enrgy_11_Table,MATCH($H$273,PO_Enrgy_11_Hdr,0),FALSE)-VLOOKUP($B315,PO_Enrgy_14_Table,MATCH($E302,PO_Enrgy_14_Hdr,0),FALSE),""),"")</f>
        <v/>
      </c>
      <c r="F315" s="1414" t="str">
        <f>IFERROR(E315*$R315,"")</f>
        <v/>
      </c>
      <c r="G315" s="3130"/>
      <c r="H315" s="3131"/>
      <c r="I315" s="1414">
        <f>IFERROR(VLOOKUP($B315,PO_Enrgy_12_Table,MATCH($H$282,PO_Enrgy_12_Hdr,0),FALSE)-VLOOKUP($B315,PO_Enrgy_14_Table,MATCH($E$302,PO_Enrgy_14_Hdr,0),FALSE),"")</f>
        <v>0</v>
      </c>
      <c r="J315" s="1414">
        <f>IFERROR(I315*$R315,"")</f>
        <v>0</v>
      </c>
      <c r="K315" s="3132"/>
      <c r="L315" s="3132"/>
      <c r="M315" s="3132"/>
      <c r="N315" s="650"/>
      <c r="O315" s="650"/>
      <c r="P315" s="650"/>
      <c r="Q315" s="1250">
        <f>IFERROR(IF(ISBLANK($B315),"",VLOOKUP($B315,PO_Enrgy_1_Table,MATCH($K$16,PO_Enrgy_1_Hdr,0),FALSE)),"")</f>
        <v>3.4120000000000001E-3</v>
      </c>
      <c r="R315" s="1250">
        <f>IFERROR(IF(ISBLANK($B315),"",VLOOKUP($B315,PO_Enrgy_1_Table,MATCH($M$16,PO_Enrgy_1_Hdr,0),FALSE)),"")</f>
        <v>1.0713680000000001E-2</v>
      </c>
      <c r="S315" s="564"/>
      <c r="T315" s="564"/>
      <c r="AH315" s="615"/>
      <c r="AI315" s="615"/>
      <c r="AJ315" s="1319"/>
      <c r="AK315" s="607"/>
      <c r="AL315" s="619"/>
      <c r="AM315" s="620"/>
      <c r="AN315" s="621"/>
    </row>
    <row r="316" spans="1:55" ht="15" hidden="1" customHeight="1" x14ac:dyDescent="0.25">
      <c r="A316" s="1271" t="s">
        <v>1298</v>
      </c>
      <c r="B316" s="2383" t="str">
        <f>IFERROR(IF(ISBLANK(B18),"",B18),"")</f>
        <v>District Steam</v>
      </c>
      <c r="C316" s="3126" t="str">
        <f>IFERROR(IF(ISBLANK($B316),"",VLOOKUP($B316,PO_Enrgy_1_Table,MATCH($C$16,PO_Enrgy_1_Hdr,0),FALSE) ),"")</f>
        <v>therm</v>
      </c>
      <c r="D316" s="3127" t="e">
        <f>IF(C316="","",VLOOKUP(C316,ProjectEnergyTypeTable,3,FALSE))</f>
        <v>#NAME?</v>
      </c>
      <c r="E316" s="1433" t="str">
        <f>IFERROR(IF(Datacenter_Avg=TRUE,VLOOKUP($B316,PO_Enrgy_11_Table,MATCH($H$273,PO_Enrgy_11_Hdr,0),FALSE)-VLOOKUP($B316,PO_Enrgy_14_Table,MATCH(#REF!,PO_Enrgy_14_Hdr,0),FALSE),""),"")</f>
        <v/>
      </c>
      <c r="F316" s="1414" t="str">
        <f>IFERROR(E316*$R316,"")</f>
        <v/>
      </c>
      <c r="G316" s="3130"/>
      <c r="H316" s="3131"/>
      <c r="I316" s="1414">
        <f>IFERROR(VLOOKUP($B316,PO_Enrgy_12_Table,MATCH($H$282,PO_Enrgy_12_Hdr,0),FALSE)-VLOOKUP($B316,PO_Enrgy_14_Table,MATCH($E$302,PO_Enrgy_14_Hdr,0),FALSE),"")</f>
        <v>0</v>
      </c>
      <c r="J316" s="1414">
        <f>IFERROR(I316*$R316,"")</f>
        <v>0</v>
      </c>
      <c r="K316" s="3132"/>
      <c r="L316" s="3132"/>
      <c r="M316" s="3132"/>
      <c r="N316" s="650"/>
      <c r="O316" s="650"/>
      <c r="P316" s="650"/>
      <c r="Q316" s="1250">
        <f>IFERROR(IF(ISBLANK($B316),"",VLOOKUP($B316,PO_Enrgy_1_Table,MATCH($K$16,PO_Enrgy_1_Hdr,0),FALSE)),"")</f>
        <v>0.1</v>
      </c>
      <c r="R316" s="1250">
        <f>IFERROR(IF(ISBLANK($B316),"",VLOOKUP($B316,PO_Enrgy_1_Table,MATCH($M$16,PO_Enrgy_1_Hdr,0),FALSE)),"")</f>
        <v>0.12</v>
      </c>
      <c r="S316" s="564"/>
      <c r="T316" s="564"/>
      <c r="AH316" s="615"/>
      <c r="AI316" s="615"/>
      <c r="AJ316" s="1319"/>
      <c r="AK316" s="607"/>
      <c r="AL316" s="619"/>
      <c r="AM316" s="620"/>
      <c r="AN316" s="621"/>
    </row>
    <row r="317" spans="1:55" ht="15" hidden="1" customHeight="1" x14ac:dyDescent="0.25">
      <c r="A317" s="1271" t="s">
        <v>1298</v>
      </c>
      <c r="B317" s="2383" t="str">
        <f>IFERROR(IF(ISBLANK(B19),"",B19),"")</f>
        <v>District Cooling</v>
      </c>
      <c r="C317" s="3126" t="str">
        <f>IFERROR(IF(ISBLANK($B317),"",VLOOKUP($B317,PO_Enrgy_1_Table,MATCH($C$16,PO_Enrgy_1_Hdr,0),FALSE) ),"")</f>
        <v>therm</v>
      </c>
      <c r="D317" s="3127" t="e">
        <f>IF(C317="","",VLOOKUP(C317,ProjectEnergyTypeTable,3,FALSE))</f>
        <v>#NAME?</v>
      </c>
      <c r="E317" s="1433" t="str">
        <f>IFERROR(IF(Datacenter_Avg=TRUE,VLOOKUP($B317,PO_Enrgy_11_Table,MATCH($H$273,PO_Enrgy_11_Hdr,0),FALSE)-VLOOKUP($B317,PO_Enrgy_14_Table,MATCH(#REF!,PO_Enrgy_14_Hdr,0),FALSE),""),"")</f>
        <v/>
      </c>
      <c r="F317" s="1414" t="str">
        <f>IFERROR(E317*$R317,"")</f>
        <v/>
      </c>
      <c r="G317" s="3130"/>
      <c r="H317" s="3131"/>
      <c r="I317" s="1414">
        <f>IFERROR(VLOOKUP($B317,PO_Enrgy_12_Table,MATCH($H$282,PO_Enrgy_12_Hdr,0),FALSE)-VLOOKUP($B317,PO_Enrgy_14_Table,MATCH($E$302,PO_Enrgy_14_Hdr,0),FALSE),"")</f>
        <v>0</v>
      </c>
      <c r="J317" s="1414">
        <f>IFERROR(I317*$R317,"")</f>
        <v>0</v>
      </c>
      <c r="K317" s="3132"/>
      <c r="L317" s="3132"/>
      <c r="M317" s="3132"/>
      <c r="N317" s="650"/>
      <c r="O317" s="650"/>
      <c r="P317" s="650"/>
      <c r="Q317" s="1250">
        <f>IFERROR(IF(ISBLANK($B317),"",VLOOKUP($B317,PO_Enrgy_1_Table,MATCH($K$16,PO_Enrgy_1_Hdr,0),FALSE)),"")</f>
        <v>0.1</v>
      </c>
      <c r="R317" s="1250">
        <f>IFERROR(IF(ISBLANK($B317),"",VLOOKUP($B317,PO_Enrgy_1_Table,MATCH($M$16,PO_Enrgy_1_Hdr,0),FALSE)),"")</f>
        <v>0.1</v>
      </c>
      <c r="S317" s="564"/>
      <c r="T317" s="564"/>
      <c r="AH317" s="615"/>
      <c r="AI317" s="615"/>
      <c r="AJ317" s="1319"/>
      <c r="AK317" s="607"/>
      <c r="AL317" s="619"/>
      <c r="AM317" s="620"/>
      <c r="AN317" s="621"/>
    </row>
    <row r="318" spans="1:55" s="594" customFormat="1" ht="21" hidden="1" customHeight="1" x14ac:dyDescent="0.25">
      <c r="A318" s="1271" t="s">
        <v>1298</v>
      </c>
      <c r="B318" s="3120" t="str">
        <f>"Energy model subtotal (" &amp; PO_SiteUnits &amp; ")"</f>
        <v>Energy model subtotal (Btu x 10^6)</v>
      </c>
      <c r="C318" s="3120"/>
      <c r="D318" s="3120"/>
      <c r="E318" s="1414">
        <f>IFERROR(SUMPRODUCT(INDEX(PO_Enrgy_15_Table,0,MATCH(E$312,PO_Enrgy_15_Hdr,0)),INDEX(PO_Enrgy_15_Table,0,MATCH($Q$312,PO_Enrgy_15_Hdr,0))),"")</f>
        <v>0</v>
      </c>
      <c r="F318" s="1384">
        <f>IFERROR(SUM(INDEX(PO_Enrgy_15_Table,0,MATCH(F$312,PO_Enrgy_15_Hdr,0))),"")</f>
        <v>0</v>
      </c>
      <c r="G318" s="3121" t="str">
        <f>IFERROR(F318/F313,"")</f>
        <v/>
      </c>
      <c r="H318" s="3122"/>
      <c r="I318" s="1414">
        <f>IFERROR(SUMPRODUCT(INDEX(PO_Enrgy_15_Table,0,MATCH(I$312,PO_Enrgy_15_Hdr,0)),INDEX(PO_Enrgy_15_Table,0,MATCH($Q$312,PO_Enrgy_15_Hdr,0))),"")</f>
        <v>0</v>
      </c>
      <c r="J318" s="1384">
        <f>IFERROR(SUM(INDEX(PO_Enrgy_15_Table,0,MATCH(J$312,PO_Enrgy_15_Hdr,0))),"")</f>
        <v>0</v>
      </c>
      <c r="K318" s="3121" t="str">
        <f>IFERROR(J318/J313,"")</f>
        <v/>
      </c>
      <c r="L318" s="3121"/>
      <c r="M318" s="3121"/>
      <c r="N318" s="650"/>
      <c r="O318" s="650"/>
      <c r="P318" s="650"/>
      <c r="AJ318" s="16"/>
      <c r="AL318" s="619"/>
      <c r="AM318" s="620"/>
    </row>
    <row r="319" spans="1:55" s="594" customFormat="1" ht="33.75" hidden="1" customHeight="1" x14ac:dyDescent="0.25">
      <c r="A319" s="1271" t="s">
        <v>1298</v>
      </c>
      <c r="B319" s="1626"/>
      <c r="C319" s="1626"/>
      <c r="D319" s="1626"/>
      <c r="E319" s="847"/>
      <c r="F319" s="607"/>
      <c r="G319" s="655"/>
      <c r="I319" s="607"/>
      <c r="J319" s="607"/>
      <c r="K319" s="822"/>
      <c r="L319" s="822"/>
      <c r="M319" s="822"/>
      <c r="N319" s="650"/>
      <c r="O319" s="650"/>
      <c r="P319" s="650"/>
      <c r="AJ319" s="16"/>
      <c r="AL319" s="619"/>
      <c r="AM319" s="620"/>
    </row>
    <row r="320" spans="1:55" s="650" customFormat="1" ht="21" customHeight="1" x14ac:dyDescent="0.25">
      <c r="A320" s="1271" t="s">
        <v>1298</v>
      </c>
      <c r="B320" s="1631" t="s">
        <v>1272</v>
      </c>
      <c r="E320" s="842"/>
      <c r="AJ320" s="842"/>
      <c r="AL320" s="645"/>
      <c r="AM320" s="646"/>
    </row>
    <row r="321" spans="1:60" ht="25.5" customHeight="1" x14ac:dyDescent="0.25">
      <c r="A321" s="1271" t="s">
        <v>1298</v>
      </c>
      <c r="B321" s="3124" t="s">
        <v>444</v>
      </c>
      <c r="C321" s="3165" t="s">
        <v>1805</v>
      </c>
      <c r="D321" s="3125"/>
      <c r="E321" s="3166" t="s">
        <v>347</v>
      </c>
      <c r="F321" s="3167"/>
      <c r="G321" s="3167"/>
      <c r="H321" s="3123" t="s">
        <v>348</v>
      </c>
      <c r="I321" s="3124"/>
      <c r="J321" s="3124"/>
      <c r="K321" s="3123" t="s">
        <v>448</v>
      </c>
      <c r="L321" s="3124"/>
      <c r="M321" s="3125"/>
      <c r="N321" s="650"/>
      <c r="O321" s="650"/>
      <c r="P321" s="650"/>
      <c r="S321" s="564"/>
      <c r="T321" s="564"/>
      <c r="AJ321" s="16"/>
    </row>
    <row r="322" spans="1:60" ht="63.75" customHeight="1" x14ac:dyDescent="0.25">
      <c r="A322" s="1271" t="s">
        <v>1298</v>
      </c>
      <c r="B322" s="3125"/>
      <c r="C322" s="3125"/>
      <c r="D322" s="3125"/>
      <c r="E322" s="1624" t="s">
        <v>1116</v>
      </c>
      <c r="F322" s="1634" t="str">
        <f>"Source Energy Use 
("  &amp; PO_SourceUnits &amp; ")"</f>
        <v>Source Energy Use 
(Btu x 10^6)</v>
      </c>
      <c r="G322" s="1633" t="s">
        <v>446</v>
      </c>
      <c r="H322" s="1633" t="s">
        <v>1116</v>
      </c>
      <c r="I322" s="1634" t="str">
        <f>"Source Energy Use 
("  &amp; PO_SourceUnits &amp; ")"</f>
        <v>Source Energy Use 
(Btu x 10^6)</v>
      </c>
      <c r="J322" s="1633" t="s">
        <v>446</v>
      </c>
      <c r="K322" s="3123" t="s">
        <v>447</v>
      </c>
      <c r="L322" s="3125"/>
      <c r="M322" s="1633" t="s">
        <v>446</v>
      </c>
      <c r="N322" s="650"/>
      <c r="O322" s="650"/>
      <c r="P322" s="650"/>
      <c r="S322" s="564"/>
      <c r="T322" s="564"/>
      <c r="AJ322" s="16"/>
    </row>
    <row r="323" spans="1:60" s="1287" customFormat="1" ht="15" hidden="1" customHeight="1" x14ac:dyDescent="0.25">
      <c r="A323" s="1271" t="s">
        <v>1298</v>
      </c>
      <c r="B323" s="1314" t="s">
        <v>1765</v>
      </c>
      <c r="C323" s="1305" t="s">
        <v>1793</v>
      </c>
      <c r="D323" s="1314"/>
      <c r="E323" s="1315" t="s">
        <v>1821</v>
      </c>
      <c r="F323" s="1316" t="s">
        <v>1822</v>
      </c>
      <c r="G323" s="1317" t="s">
        <v>1823</v>
      </c>
      <c r="H323" s="1315" t="s">
        <v>1806</v>
      </c>
      <c r="I323" s="1316" t="s">
        <v>1807</v>
      </c>
      <c r="J323" s="1317" t="s">
        <v>1808</v>
      </c>
      <c r="K323" s="1317" t="s">
        <v>1824</v>
      </c>
      <c r="L323" s="1305"/>
      <c r="M323" s="1317" t="s">
        <v>1810</v>
      </c>
      <c r="N323" s="1309"/>
      <c r="O323" s="1309"/>
      <c r="P323" s="1309"/>
      <c r="Q323" s="1249" t="s">
        <v>1776</v>
      </c>
      <c r="R323" s="1249" t="s">
        <v>1777</v>
      </c>
      <c r="AJ323" s="1289"/>
    </row>
    <row r="324" spans="1:60" ht="15" customHeight="1" x14ac:dyDescent="0.25">
      <c r="A324" s="1271" t="s">
        <v>1298</v>
      </c>
      <c r="B324" s="2383" t="str">
        <f>IFERROR(IF(ISBLANK(B17),"",B17),"")</f>
        <v>Electricity</v>
      </c>
      <c r="C324" s="3126" t="str">
        <f>IFERROR(IF(ISBLANK($B324),"",VLOOKUP($B324,PO_Enrgy_1_Table,MATCH($C$16,PO_Enrgy_1_Hdr,0),FALSE) ),"")</f>
        <v>kWh</v>
      </c>
      <c r="D324" s="3127" t="e">
        <f>IF(C324="","",VLOOKUP(C324,ProjectEnergyTypeTable,3,FALSE))</f>
        <v>#NAME?</v>
      </c>
      <c r="E324" s="1414">
        <f>IFERROR(VLOOKUP($B324,PO_Enrgy_13_Table,MATCH($E$291,PO_Enrgy_13_Hdr,0),FALSE),"")</f>
        <v>0</v>
      </c>
      <c r="F324" s="1414">
        <f>IFERROR(E324*$R324,"")</f>
        <v>0</v>
      </c>
      <c r="G324" s="1434">
        <f>IFERROR(VLOOKUP($B324,PO_Enrgy_13_Table,MATCH($G$291,PO_Enrgy_13_Hdr,0),FALSE),"")</f>
        <v>0</v>
      </c>
      <c r="H324" s="1414">
        <f>IFERROR(VLOOKUP($B324,PO_Enrgy_14_Table,MATCH($H$291,PO_Enrgy_14_Hdr,0),FALSE),"")</f>
        <v>0</v>
      </c>
      <c r="I324" s="1414">
        <f>IFERROR(H324*$R324,"")</f>
        <v>0</v>
      </c>
      <c r="J324" s="1414">
        <f>IFERROR(VLOOKUP($B324,PO_Enrgy_14_Table,MATCH($J$291,PO_Enrgy_14_Hdr,0),FALSE),"")</f>
        <v>0</v>
      </c>
      <c r="K324" s="3133" t="str">
        <f>IFERROR(1-H324/E324,"")</f>
        <v/>
      </c>
      <c r="L324" s="3134"/>
      <c r="M324" s="2384" t="str">
        <f>IFERROR(1-J324/G324,"")</f>
        <v/>
      </c>
      <c r="N324" s="650"/>
      <c r="O324" s="650"/>
      <c r="P324" s="650"/>
      <c r="Q324" s="1549">
        <f>IFERROR(IF(ISBLANK($B324),"",VLOOKUP($B324,PO_Enrgy_1_Table,MATCH($K$16,PO_Enrgy_1_Hdr,0),FALSE)),"")</f>
        <v>3.4120000000000001E-3</v>
      </c>
      <c r="R324" s="1549">
        <f>IFERROR(IF(ISBLANK($B324),"",VLOOKUP($B324,PO_Enrgy_1_Table,MATCH($M$16,PO_Enrgy_1_Hdr,0),FALSE)),"")</f>
        <v>1.0713680000000001E-2</v>
      </c>
      <c r="S324" s="564"/>
      <c r="T324" s="564"/>
      <c r="AH324" s="615"/>
      <c r="AI324" s="615"/>
      <c r="AJ324" s="16"/>
      <c r="AL324" s="619"/>
      <c r="AM324" s="620"/>
      <c r="BC324" s="2292"/>
    </row>
    <row r="325" spans="1:60" ht="15" customHeight="1" x14ac:dyDescent="0.25">
      <c r="A325" s="1271" t="s">
        <v>1298</v>
      </c>
      <c r="B325" s="2383" t="str">
        <f>IFERROR(IF(ISBLANK(B18),"",B18),"")</f>
        <v>District Steam</v>
      </c>
      <c r="C325" s="3126" t="str">
        <f>IFERROR(IF(ISBLANK($B325),"",VLOOKUP($B325,PO_Enrgy_1_Table,MATCH($C$16,PO_Enrgy_1_Hdr,0),FALSE) ),"")</f>
        <v>therm</v>
      </c>
      <c r="D325" s="3127" t="e">
        <f>IF(C325="","",VLOOKUP(C325,ProjectEnergyTypeTable,3,FALSE))</f>
        <v>#NAME?</v>
      </c>
      <c r="E325" s="1414">
        <f>IFERROR(VLOOKUP($B325,PO_Enrgy_13_Table,MATCH($E$291,PO_Enrgy_13_Hdr,0),FALSE),"")</f>
        <v>0</v>
      </c>
      <c r="F325" s="1414">
        <f>IFERROR(E325*$R325,"")</f>
        <v>0</v>
      </c>
      <c r="G325" s="1434">
        <f>IFERROR(VLOOKUP($B325,PO_Enrgy_13_Table,MATCH($G$291,PO_Enrgy_13_Hdr,0),FALSE),"")</f>
        <v>0</v>
      </c>
      <c r="H325" s="1414">
        <f>IFERROR(VLOOKUP($B325,PO_Enrgy_14_Table,MATCH($H$291,PO_Enrgy_14_Hdr,0),FALSE),"")</f>
        <v>0</v>
      </c>
      <c r="I325" s="1414">
        <f>IFERROR(H325*$R325,"")</f>
        <v>0</v>
      </c>
      <c r="J325" s="1414">
        <f>IFERROR(VLOOKUP($B325,PO_Enrgy_14_Table,MATCH($J$291,PO_Enrgy_14_Hdr,0),FALSE),"")</f>
        <v>0</v>
      </c>
      <c r="K325" s="3133" t="str">
        <f>IFERROR(1-H325/E325,"")</f>
        <v/>
      </c>
      <c r="L325" s="3134"/>
      <c r="M325" s="2384" t="str">
        <f>IFERROR(1-J325/G325,"")</f>
        <v/>
      </c>
      <c r="N325" s="650"/>
      <c r="O325" s="650"/>
      <c r="P325" s="650"/>
      <c r="Q325" s="1549">
        <f>IFERROR(IF(ISBLANK($B325),"",VLOOKUP($B325,PO_Enrgy_1_Table,MATCH($K$16,PO_Enrgy_1_Hdr,0),FALSE)),"")</f>
        <v>0.1</v>
      </c>
      <c r="R325" s="1549">
        <f>IFERROR(IF(ISBLANK($B325),"",VLOOKUP($B325,PO_Enrgy_1_Table,MATCH($M$16,PO_Enrgy_1_Hdr,0),FALSE)),"")</f>
        <v>0.12</v>
      </c>
      <c r="S325" s="564"/>
      <c r="T325" s="564"/>
      <c r="AH325" s="615"/>
      <c r="AI325" s="615"/>
      <c r="AJ325" s="16"/>
      <c r="AL325" s="619"/>
      <c r="AM325" s="620"/>
      <c r="BC325" s="2292"/>
    </row>
    <row r="326" spans="1:60" ht="15" customHeight="1" x14ac:dyDescent="0.25">
      <c r="A326" s="1271" t="s">
        <v>1298</v>
      </c>
      <c r="B326" s="2383" t="str">
        <f>IFERROR(IF(ISBLANK(B19),"",B19),"")</f>
        <v>District Cooling</v>
      </c>
      <c r="C326" s="3126" t="str">
        <f>IFERROR(IF(ISBLANK($B326),"",VLOOKUP($B326,PO_Enrgy_1_Table,MATCH($C$16,PO_Enrgy_1_Hdr,0),FALSE) ),"")</f>
        <v>therm</v>
      </c>
      <c r="D326" s="3127" t="e">
        <f>IF(C326="","",VLOOKUP(C326,ProjectEnergyTypeTable,3,FALSE))</f>
        <v>#NAME?</v>
      </c>
      <c r="E326" s="1414">
        <f>IFERROR(VLOOKUP($B326,PO_Enrgy_13_Table,MATCH($E$291,PO_Enrgy_13_Hdr,0),FALSE),"")</f>
        <v>0</v>
      </c>
      <c r="F326" s="1414">
        <f>IFERROR(E326*$R326,"")</f>
        <v>0</v>
      </c>
      <c r="G326" s="1434">
        <f>IFERROR(VLOOKUP($B326,PO_Enrgy_13_Table,MATCH($G$291,PO_Enrgy_13_Hdr,0),FALSE),"")</f>
        <v>0</v>
      </c>
      <c r="H326" s="1414">
        <f>IFERROR(VLOOKUP($B326,PO_Enrgy_14_Table,MATCH($H$291,PO_Enrgy_14_Hdr,0),FALSE),"")</f>
        <v>0</v>
      </c>
      <c r="I326" s="1414">
        <f>IFERROR(H326*$R326,"")</f>
        <v>0</v>
      </c>
      <c r="J326" s="1414">
        <f>IFERROR(VLOOKUP($B326,PO_Enrgy_14_Table,MATCH($J$291,PO_Enrgy_14_Hdr,0),FALSE),"")</f>
        <v>0</v>
      </c>
      <c r="K326" s="3133" t="str">
        <f>IFERROR(1-H326/E326,"")</f>
        <v/>
      </c>
      <c r="L326" s="3134"/>
      <c r="M326" s="2384" t="str">
        <f>IFERROR(1-J326/G326,"")</f>
        <v/>
      </c>
      <c r="N326" s="650"/>
      <c r="O326" s="650"/>
      <c r="P326" s="650"/>
      <c r="Q326" s="1549">
        <f>IFERROR(IF(ISBLANK($B326),"",VLOOKUP($B326,PO_Enrgy_1_Table,MATCH($K$16,PO_Enrgy_1_Hdr,0),FALSE)),"")</f>
        <v>0.1</v>
      </c>
      <c r="R326" s="1549">
        <f>IFERROR(IF(ISBLANK($B326),"",VLOOKUP($B326,PO_Enrgy_1_Table,MATCH($M$16,PO_Enrgy_1_Hdr,0),FALSE)),"")</f>
        <v>0.1</v>
      </c>
      <c r="S326" s="564"/>
      <c r="T326" s="564"/>
      <c r="AH326" s="615"/>
      <c r="AI326" s="615"/>
      <c r="AJ326" s="16"/>
      <c r="AL326" s="619"/>
      <c r="AM326" s="620"/>
      <c r="BC326" s="2292"/>
    </row>
    <row r="327" spans="1:60" ht="21" customHeight="1" x14ac:dyDescent="0.25">
      <c r="A327" s="1271" t="s">
        <v>1298</v>
      </c>
      <c r="B327" s="3161" t="s">
        <v>147</v>
      </c>
      <c r="C327" s="3162"/>
      <c r="D327" s="3162"/>
      <c r="E327" s="1406">
        <f>IFERROR(SUMPRODUCT(INDEX(PO_Enrgy_16_Table,0,MATCH(E$323,PO_Enrgy_16_Hdr,0)),INDEX(PO_Enrgy_16_Table,0,MATCH($Q$323,PO_Enrgy_16_Hdr,0))),"")</f>
        <v>0</v>
      </c>
      <c r="F327" s="1384">
        <f>IFERROR(SUM(INDEX(PO_Enrgy_16_Table,0,MATCH(F$323,PO_Enrgy_16_Hdr,0))),"")</f>
        <v>0</v>
      </c>
      <c r="G327" s="1398">
        <f>IFERROR(SUM(INDEX(PO_Enrgy_16_Table,0,MATCH(G$323,PO_Enrgy_16_Hdr,0))),"")</f>
        <v>0</v>
      </c>
      <c r="H327" s="1406">
        <f>IFERROR(SUMPRODUCT(INDEX(PO_Enrgy_16_Table,0,MATCH(H$323,PO_Enrgy_16_Hdr,0)),INDEX(PO_Enrgy_16_Table,0,MATCH($Q$323,PO_Enrgy_16_Hdr,0))),"")</f>
        <v>0</v>
      </c>
      <c r="I327" s="1384">
        <f>IFERROR(SUM(INDEX(PO_Enrgy_16_Table,0,MATCH(I$323,PO_Enrgy_16_Hdr,0))),"")</f>
        <v>0</v>
      </c>
      <c r="J327" s="1398">
        <f>IFERROR(SUM(INDEX(PO_Enrgy_16_Table,0,MATCH(J$323,PO_Enrgy_16_Hdr,0))),"")</f>
        <v>0</v>
      </c>
      <c r="K327" s="3163" t="str">
        <f>IFERROR(1-H327/E327,"")</f>
        <v/>
      </c>
      <c r="L327" s="3164"/>
      <c r="M327" s="1622" t="str">
        <f>IFERROR(1-J327/G327,"")</f>
        <v/>
      </c>
      <c r="N327" s="650"/>
      <c r="O327" s="650"/>
      <c r="P327" s="650"/>
      <c r="S327" s="564"/>
      <c r="T327" s="564"/>
      <c r="AJ327" s="16"/>
      <c r="BC327" s="2292"/>
    </row>
    <row r="328" spans="1:60" ht="21" customHeight="1" x14ac:dyDescent="0.25">
      <c r="A328" s="1271" t="s">
        <v>1298</v>
      </c>
      <c r="B328" s="3154" t="s">
        <v>1282</v>
      </c>
      <c r="C328" s="3155"/>
      <c r="D328" s="3155"/>
      <c r="E328" s="3155"/>
      <c r="F328" s="3155"/>
      <c r="G328" s="3156"/>
      <c r="H328" s="3156"/>
      <c r="I328" s="3156"/>
      <c r="J328" s="3156"/>
      <c r="K328" s="3157"/>
      <c r="L328" s="3157"/>
      <c r="M328" s="1419" t="str">
        <f>$M$327</f>
        <v/>
      </c>
      <c r="N328" s="650"/>
      <c r="O328" s="650"/>
      <c r="P328" s="650"/>
      <c r="AJ328" s="16"/>
      <c r="BC328" s="2292"/>
    </row>
    <row r="329" spans="1:60" s="564" customFormat="1" ht="33" customHeight="1" x14ac:dyDescent="0.25">
      <c r="A329" s="1271" t="s">
        <v>1298</v>
      </c>
      <c r="B329" s="650"/>
      <c r="C329" s="784"/>
      <c r="D329" s="784"/>
      <c r="E329" s="850"/>
      <c r="F329" s="603"/>
      <c r="G329" s="602"/>
      <c r="H329" s="603"/>
      <c r="I329" s="602"/>
      <c r="J329" s="656"/>
      <c r="K329" s="650"/>
      <c r="L329" s="650"/>
      <c r="M329" s="650"/>
      <c r="N329" s="650"/>
      <c r="O329" s="650"/>
      <c r="P329" s="650"/>
      <c r="AJ329" s="16"/>
    </row>
    <row r="330" spans="1:60" s="887" customFormat="1" ht="21.75" customHeight="1" x14ac:dyDescent="0.25">
      <c r="A330" s="1271" t="s">
        <v>1298</v>
      </c>
      <c r="B330" s="1081" t="s">
        <v>1120</v>
      </c>
      <c r="E330" s="475"/>
      <c r="H330" s="33"/>
      <c r="I330" s="33"/>
      <c r="J330" s="33"/>
      <c r="M330" s="33"/>
      <c r="N330" s="33"/>
      <c r="O330" s="33"/>
      <c r="T330" s="118"/>
      <c r="U330" s="118"/>
      <c r="V330" s="118"/>
      <c r="W330" s="118"/>
      <c r="X330" s="118"/>
      <c r="Y330" s="118"/>
      <c r="Z330" s="118"/>
      <c r="AA330" s="118"/>
      <c r="AD330" s="118"/>
      <c r="AE330" s="118"/>
      <c r="AF330" s="118"/>
      <c r="AG330" s="118"/>
      <c r="AH330" s="118"/>
      <c r="AI330" s="118"/>
      <c r="AJ330" s="852"/>
      <c r="AK330" s="118"/>
      <c r="AL330" s="118"/>
      <c r="AM330" s="118"/>
      <c r="AN330" s="118"/>
      <c r="AO330" s="118"/>
      <c r="AP330" s="118"/>
      <c r="AQ330" s="118"/>
      <c r="AR330" s="118"/>
      <c r="AS330" s="118"/>
      <c r="AT330" s="118"/>
      <c r="AU330" s="118"/>
      <c r="AV330" s="118"/>
      <c r="AW330" s="118"/>
      <c r="AX330" s="118"/>
      <c r="AY330" s="118"/>
      <c r="AZ330" s="118"/>
      <c r="BA330" s="118"/>
      <c r="BB330" s="118"/>
      <c r="BC330" s="118"/>
      <c r="BD330" s="118"/>
      <c r="BE330" s="118"/>
      <c r="BF330" s="118"/>
      <c r="BG330" s="118"/>
      <c r="BH330" s="118"/>
    </row>
    <row r="331" spans="1:60" s="887" customFormat="1" ht="21.75" customHeight="1" x14ac:dyDescent="0.25">
      <c r="A331" s="1271"/>
      <c r="B331" s="836" t="s">
        <v>1835</v>
      </c>
      <c r="E331" s="475"/>
      <c r="H331" s="33"/>
      <c r="I331" s="33"/>
      <c r="J331" s="33"/>
      <c r="M331" s="33"/>
      <c r="N331" s="33"/>
      <c r="O331" s="33"/>
      <c r="T331" s="118"/>
      <c r="U331" s="118"/>
      <c r="V331" s="118"/>
      <c r="W331" s="118"/>
      <c r="X331" s="118"/>
      <c r="Y331" s="118"/>
      <c r="Z331" s="118"/>
      <c r="AA331" s="118"/>
      <c r="AD331" s="118"/>
      <c r="AE331" s="118"/>
      <c r="AF331" s="118"/>
      <c r="AG331" s="118"/>
      <c r="AH331" s="118"/>
      <c r="AI331" s="118"/>
      <c r="AJ331" s="852"/>
      <c r="AK331" s="118"/>
      <c r="AL331" s="118"/>
      <c r="AM331" s="118"/>
      <c r="AN331" s="118"/>
      <c r="AO331" s="118"/>
      <c r="AP331" s="118"/>
      <c r="AQ331" s="118"/>
      <c r="AR331" s="118"/>
      <c r="AS331" s="118"/>
      <c r="AT331" s="118"/>
      <c r="AU331" s="118"/>
      <c r="AV331" s="118"/>
      <c r="AW331" s="118"/>
      <c r="AX331" s="118"/>
      <c r="AY331" s="118"/>
      <c r="AZ331" s="118"/>
      <c r="BA331" s="118"/>
      <c r="BB331" s="118"/>
      <c r="BC331" s="118"/>
      <c r="BD331" s="118"/>
      <c r="BE331" s="118"/>
      <c r="BF331" s="118"/>
      <c r="BG331" s="118"/>
      <c r="BH331" s="118"/>
    </row>
    <row r="332" spans="1:60" ht="33" customHeight="1" x14ac:dyDescent="0.25">
      <c r="A332" s="1271" t="s">
        <v>1298</v>
      </c>
      <c r="B332" s="3158" t="s">
        <v>1120</v>
      </c>
      <c r="C332" s="3158"/>
      <c r="D332" s="3158"/>
      <c r="E332" s="3158"/>
      <c r="F332" s="3158" t="s">
        <v>347</v>
      </c>
      <c r="G332" s="3139"/>
      <c r="H332" s="3139"/>
      <c r="I332" s="3158" t="s">
        <v>348</v>
      </c>
      <c r="J332" s="3139"/>
      <c r="K332" s="3139"/>
      <c r="L332" s="3139"/>
      <c r="M332" s="3139"/>
    </row>
    <row r="333" spans="1:60" ht="15" customHeight="1" x14ac:dyDescent="0.25">
      <c r="A333" s="1271" t="s">
        <v>1298</v>
      </c>
      <c r="B333" s="3159" t="s">
        <v>443</v>
      </c>
      <c r="C333" s="3160"/>
      <c r="D333" s="3160"/>
      <c r="E333" s="3160"/>
      <c r="F333" s="3309"/>
      <c r="G333" s="3326"/>
      <c r="H333" s="3326"/>
      <c r="I333" s="3325"/>
      <c r="J333" s="3326"/>
      <c r="K333" s="3326"/>
      <c r="L333" s="3326"/>
      <c r="M333" s="3326"/>
      <c r="BC333" s="2292"/>
    </row>
    <row r="334" spans="1:60" ht="15" customHeight="1" x14ac:dyDescent="0.25">
      <c r="A334" s="1271" t="s">
        <v>1298</v>
      </c>
      <c r="B334" s="3159" t="s">
        <v>442</v>
      </c>
      <c r="C334" s="3160"/>
      <c r="D334" s="3160"/>
      <c r="E334" s="3160"/>
      <c r="F334" s="3309"/>
      <c r="G334" s="3326"/>
      <c r="H334" s="3326"/>
      <c r="I334" s="3325"/>
      <c r="J334" s="3326"/>
      <c r="K334" s="3326"/>
      <c r="L334" s="3326"/>
      <c r="M334" s="3326"/>
      <c r="BC334" s="2292"/>
    </row>
    <row r="335" spans="1:60" ht="18" customHeight="1" x14ac:dyDescent="0.25">
      <c r="A335" s="1271" t="s">
        <v>1298</v>
      </c>
      <c r="B335" s="3118" t="s">
        <v>147</v>
      </c>
      <c r="C335" s="3119"/>
      <c r="D335" s="3119"/>
      <c r="E335" s="3119"/>
      <c r="F335" s="3327">
        <f>IF(ISERROR(F333+F334),0,F333+F334)</f>
        <v>0</v>
      </c>
      <c r="G335" s="2777"/>
      <c r="H335" s="2777"/>
      <c r="I335" s="3327">
        <f>IF(ISERROR(I333+I334),0,I333+I334)</f>
        <v>0</v>
      </c>
      <c r="J335" s="2777"/>
      <c r="K335" s="2777"/>
      <c r="L335" s="2777"/>
      <c r="M335" s="2777"/>
      <c r="BC335" s="2292"/>
    </row>
    <row r="336" spans="1:60" ht="18" customHeight="1" x14ac:dyDescent="0.25">
      <c r="A336" s="1271" t="s">
        <v>1298</v>
      </c>
      <c r="B336" s="3118" t="s">
        <v>441</v>
      </c>
      <c r="C336" s="3119"/>
      <c r="D336" s="3119"/>
      <c r="E336" s="3119"/>
      <c r="F336" s="3323" t="str">
        <f>IF(ISERROR(OR(F333+F334,I333+I334)),"Enter numbers only",
     IF(OR(F335&gt;300,I335&gt;300),"No","Yes"))</f>
        <v>Yes</v>
      </c>
      <c r="G336" s="3199"/>
      <c r="H336" s="3199"/>
      <c r="I336" s="3324"/>
      <c r="J336" s="3324"/>
      <c r="K336" s="3324"/>
      <c r="L336" s="3324"/>
      <c r="M336" s="3324"/>
      <c r="BC336" s="2292"/>
    </row>
    <row r="337" spans="2:15" ht="33" customHeight="1" x14ac:dyDescent="0.25">
      <c r="C337" s="3152" t="str">
        <f>IF(ISERROR(F335+I335),"",IF(OR(I335&gt;300,F335&gt;300),"Revise the model so that the unmet load hours for both the baseline and proposed case are 300 hours or less",""))</f>
        <v/>
      </c>
      <c r="D337" s="3153"/>
      <c r="E337" s="3153"/>
      <c r="F337" s="3153"/>
      <c r="G337" s="3153"/>
      <c r="H337" s="628"/>
    </row>
    <row r="338" spans="2:15" ht="30" customHeight="1" x14ac:dyDescent="0.25">
      <c r="B338" s="1996" t="s">
        <v>808</v>
      </c>
    </row>
    <row r="339" spans="2:15" ht="12.75" customHeight="1" x14ac:dyDescent="0.25">
      <c r="B339" s="3331" t="str">
        <f>IF(MultipleBuildingsExist="No","General information","Multiple Building Details")</f>
        <v>General information</v>
      </c>
      <c r="C339" s="2056" t="str">
        <f>"Total Area "&amp;IF(SI_IP_Units="IP","(sq ft)","(sq m)")</f>
        <v>Total Area (sq ft)</v>
      </c>
      <c r="D339" s="2024"/>
      <c r="E339" s="2024"/>
      <c r="F339" s="2024"/>
      <c r="G339" s="2024"/>
      <c r="H339" s="2024"/>
      <c r="I339" s="2024"/>
      <c r="J339" s="2024"/>
      <c r="K339" s="2024"/>
      <c r="L339" s="2024"/>
      <c r="M339" s="2025"/>
    </row>
    <row r="340" spans="2:15" x14ac:dyDescent="0.25">
      <c r="B340" s="3332"/>
      <c r="C340" s="2057">
        <f ca="1">IFERROR(IF(MultipleBuildingsExist="No",
GI_BldgArea,
SUMIF(MBD_BS_Index,$H$5,OFFSET(MBD_BS_Index,0,MATCH('Multiple Buildings Details'!$G$22,MBD_BS_Hdr,0)-1,1,1))+SUMIF(MBD_BS_Index,$H$5,OFFSET(MBD_BS_Index,0,MATCH('Multiple Buildings Details'!$H$22,MBD_BS_Hdr,0)-1,1,1))),"")</f>
        <v>34856</v>
      </c>
      <c r="D340" s="2027"/>
      <c r="E340" s="2027"/>
      <c r="F340" s="2027"/>
      <c r="G340" s="2027"/>
      <c r="H340" s="2027"/>
      <c r="I340" s="2027"/>
      <c r="J340" s="2027"/>
      <c r="K340" s="2027"/>
      <c r="L340" s="2027"/>
      <c r="M340" s="2028"/>
    </row>
    <row r="341" spans="2:15" ht="38.25" customHeight="1" x14ac:dyDescent="0.25">
      <c r="B341" s="3331" t="s">
        <v>301</v>
      </c>
      <c r="C341" s="2055" t="str">
        <f>"Total Area "&amp;IF(SI_IP_Units="IP","(sq ft)","(sq m)")</f>
        <v>Total Area (sq ft)</v>
      </c>
      <c r="D341" s="2021" t="s">
        <v>1861</v>
      </c>
      <c r="E341" s="2021"/>
      <c r="F341" s="2020" t="s">
        <v>1860</v>
      </c>
      <c r="G341" s="2020" t="s">
        <v>2020</v>
      </c>
      <c r="H341" s="2020" t="s">
        <v>2021</v>
      </c>
      <c r="I341" s="2020" t="s">
        <v>2022</v>
      </c>
      <c r="J341" s="2020" t="s">
        <v>2023</v>
      </c>
      <c r="K341" s="2023"/>
      <c r="L341" s="2029"/>
      <c r="M341" s="2025"/>
    </row>
    <row r="342" spans="2:15" x14ac:dyDescent="0.25">
      <c r="B342" s="3332"/>
      <c r="C342" s="2045">
        <f ca="1">IFERROR(IF(L_LPDmethod=1,SUMIF(L_BAMInput_Index,$H$5,OFFSET(L_BAMInput_Index,0,MATCH(Lighting!$D$31,Lighting_Residential_Hdr,0)-1)),SUMIF(L_SxSInput_Index,$H$5,OFFSET(L_SxSInput_Index,0,MATCH(Lighting!$D$56,Lighting_SxS_Residential_Hdr,0)-1))),"")</f>
        <v>0</v>
      </c>
      <c r="D342" s="2058" t="str">
        <f ca="1">IFERROR(OFFSET(L_IL_SumTable,MATCH($H$5,L_IL_SumIndex,0)-1,MATCH(Lighting!$L$97,L_IL_SumHdr,0)-1,1,1),"")</f>
        <v/>
      </c>
      <c r="E342" s="2045"/>
      <c r="F342" s="2052" t="str">
        <f ca="1">IFERROR(OFFSET(L_IL_SumTable,MATCH($H$5,L_IL_SumIndex,0)-1,MATCH(Lighting!$O$97,L_IL_SumHdr,0)-1,1,1),"")</f>
        <v/>
      </c>
      <c r="G342" s="2053">
        <f ca="1">IFERROR(OFFSET(L_ExtSum_Table,1,MATCH(Lighting!$J$147,L_ExtSum_Hdr,0)-1,1,1),"")</f>
        <v>1.6188</v>
      </c>
      <c r="H342" s="2008">
        <f ca="1">IFERROR(OFFSET(L_ExtSum_Table,1,MATCH(Lighting!$M$147,L_ExtSum_Hdr,0)-1,1,1),"")</f>
        <v>0.42599999999999999</v>
      </c>
      <c r="I342" s="2008">
        <f ca="1">IFERROR(OFFSET(L_LtgZone_Table,1,MATCH(Lighting!$M$115,L_LtgZone_Hdr,0)-1,1,1)+OFFSET(L_NTSurface_Table,MATCH(Lighting!$B$143,L_NTSurface_Index,0)-1,MATCH(Lighting!$J$136,L_NTSurface_Hdr,0)-1,1,1),"")</f>
        <v>750</v>
      </c>
      <c r="J342" s="2054">
        <f ca="1">IFERROR(OFFSET(L_NTSurface_Table,MATCH(Lighting!$B$143,L_NTSurface_Index,0)-1,MATCH(Lighting!$M$136,L_NTSurface_Hdr,0)-1,1,1),"")</f>
        <v>0</v>
      </c>
      <c r="K342" s="2026"/>
      <c r="L342" s="2027"/>
      <c r="M342" s="2028"/>
    </row>
    <row r="343" spans="2:15" ht="12.75" customHeight="1" x14ac:dyDescent="0.25">
      <c r="B343" s="3331" t="s">
        <v>1032</v>
      </c>
      <c r="C343" s="2046" t="s">
        <v>1854</v>
      </c>
      <c r="D343" s="1998" t="s">
        <v>1855</v>
      </c>
      <c r="E343" s="1998"/>
      <c r="F343" s="2030" t="s">
        <v>2006</v>
      </c>
      <c r="G343" s="2023"/>
      <c r="H343" s="2024"/>
      <c r="I343" s="2024"/>
      <c r="J343" s="2024"/>
      <c r="K343" s="2024"/>
      <c r="L343" s="2024"/>
      <c r="M343" s="2025"/>
    </row>
    <row r="344" spans="2:15" x14ac:dyDescent="0.25">
      <c r="B344" s="3332"/>
      <c r="C344" s="2047">
        <f ca="1">IFERROR(SUMIF('Shading and Fenestration'!O:O,$H$5,'Shading and Fenestration'!P:P),"")</f>
        <v>0</v>
      </c>
      <c r="D344" s="2006" t="b">
        <f ca="1">IF(IFERROR(COUNTIFS('Shading and Fenestration'!O:O,$H$5,'Shading and Fenestration'!Q:Q,TRUE),"")&gt;0,TRUE,FALSE)</f>
        <v>0</v>
      </c>
      <c r="E344" s="2014"/>
      <c r="F344" s="2005" t="str">
        <f ca="1">IFERROR(OFFSET('Shading and Fenestration'!O:Q,MATCH(CONCATENATE($H$5, " zones"),'Shading and Fenestration'!O:O,0)-1,1,1,1),"")</f>
        <v/>
      </c>
      <c r="G344" s="2026"/>
      <c r="H344" s="2027"/>
      <c r="I344" s="2027"/>
      <c r="J344" s="2027"/>
      <c r="K344" s="2027"/>
      <c r="L344" s="2027"/>
      <c r="M344" s="2028"/>
      <c r="O344" s="593"/>
    </row>
    <row r="345" spans="2:15" ht="41.25" customHeight="1" x14ac:dyDescent="0.25">
      <c r="B345" s="3331" t="s">
        <v>2019</v>
      </c>
      <c r="C345" s="2048" t="s">
        <v>1856</v>
      </c>
      <c r="D345" s="2021" t="s">
        <v>1857</v>
      </c>
      <c r="E345" s="2021"/>
      <c r="F345" s="2020" t="s">
        <v>1861</v>
      </c>
      <c r="G345" s="2020" t="s">
        <v>1860</v>
      </c>
      <c r="H345" s="2020" t="s">
        <v>2024</v>
      </c>
      <c r="I345" s="2020" t="s">
        <v>2025</v>
      </c>
      <c r="J345" s="2020" t="s">
        <v>2026</v>
      </c>
      <c r="K345" s="2021" t="s">
        <v>1862</v>
      </c>
      <c r="L345" s="2021"/>
      <c r="M345" s="2031"/>
    </row>
    <row r="346" spans="2:15" x14ac:dyDescent="0.25">
      <c r="B346" s="3333"/>
      <c r="C346" s="2049">
        <f ca="1">IFERROR(MAX(OFFSET(PO_design_table,MATCH($B$171,PO_design_index,0)-2,MATCH($S$170,PO_design_hdr,0)-1,1,1)),"")</f>
        <v>0</v>
      </c>
      <c r="D346" s="2001">
        <f ca="1">IFERROR(MAX(OFFSET(PO_design_table,MATCH($B$171,PO_design_index,0)-2,MATCH($T$170,PO_design_hdr,0)-1,1,1)),"")</f>
        <v>0</v>
      </c>
      <c r="E346" s="2000"/>
      <c r="F346" s="1997">
        <f ca="1">IFERROR(MAX(OFFSET(PO_design_table,MATCH($B$171,PO_design_index,0)-1,MATCH($G$170,PO_design_hdr,0)-1,1,1)),"")</f>
        <v>0</v>
      </c>
      <c r="G346" s="1997">
        <f ca="1">IFERROR(MAX(OFFSET(PO_design_table,MATCH($B$171,PO_design_index,0)-1,MATCH($H$170,PO_design_hdr,0)-1,1,1)),"")</f>
        <v>0</v>
      </c>
      <c r="H346" s="1997">
        <f ca="1">IFERROR(MAX(OFFSET(PO_design_table,MATCH($B$173,PO_design_index,0)-2,MATCH($G$170,PO_design_hdr,0)-1,1,1)),"")</f>
        <v>0</v>
      </c>
      <c r="I346" s="1997">
        <f ca="1">IFERROR(MAX(OFFSET(PO_design_table,MATCH($B$173,PO_design_index,0)-2,MATCH($H$170,PO_design_hdr,0)-1,1,1)),"")</f>
        <v>0</v>
      </c>
      <c r="J346" s="1997">
        <f ca="1">IFERROR(MAX(OFFSET(PO_design_table,MATCH($B$173,PO_design_index,0)-2,MATCH($S$170,PO_design_hdr,0)-1,1,1)),"")</f>
        <v>0</v>
      </c>
      <c r="K346" s="2000">
        <f ca="1">IFERROR(MAX(OFFSET(PO_design_table,MATCH($B$173,PO_design_index,0)-2,MATCH($T$170,PO_design_hdr,0)-1,1,1)),"")</f>
        <v>0</v>
      </c>
      <c r="L346" s="2006"/>
      <c r="M346" s="2032"/>
    </row>
    <row r="347" spans="2:15" ht="38.25" customHeight="1" x14ac:dyDescent="0.25">
      <c r="B347" s="3333"/>
      <c r="C347" s="2044" t="s">
        <v>2020</v>
      </c>
      <c r="D347" s="2021" t="s">
        <v>2021</v>
      </c>
      <c r="E347" s="2021"/>
      <c r="F347" s="2020" t="s">
        <v>2027</v>
      </c>
      <c r="G347" s="2020" t="s">
        <v>2028</v>
      </c>
      <c r="H347" s="2020" t="s">
        <v>2029</v>
      </c>
      <c r="I347" s="2020" t="s">
        <v>2030</v>
      </c>
      <c r="J347" s="2020" t="s">
        <v>2031</v>
      </c>
      <c r="K347" s="2021" t="s">
        <v>2032</v>
      </c>
      <c r="L347" s="2021"/>
      <c r="M347" s="2020" t="s">
        <v>1875</v>
      </c>
    </row>
    <row r="348" spans="2:15" x14ac:dyDescent="0.25">
      <c r="B348" s="3333"/>
      <c r="C348" s="2045">
        <f ca="1">IFERROR(MAX(OFFSET(PO_design_table,MATCH($B$173,PO_design_index,0)-1,MATCH($G$170,PO_design_hdr,0)-1,1,1)),"")</f>
        <v>0</v>
      </c>
      <c r="D348" s="2000">
        <f ca="1">IFERROR(MAX(OFFSET(PO_design_table,MATCH($B$173,PO_design_index,0)-1,MATCH($H$170,PO_design_hdr,0)-1,1,1)),"")</f>
        <v>0</v>
      </c>
      <c r="E348" s="2000"/>
      <c r="F348" s="1997" t="str">
        <f ca="1">IFERROR((OFFSET(PO_design_table,MATCH($B$189,PO_design_index,0)-2,MATCH($G$170,PO_design_hdr,0)-1,1,1)*OFFSET(PO_design_table,MATCH($B$189,PO_design_index,0)-2,MATCH($Q$170,PO_design_hdr,0)-1,1,1))/OFFSET(PO_ModelSubtotal,0,4,1,1),"")</f>
        <v/>
      </c>
      <c r="G348" s="1997" t="str">
        <f ca="1">IFERROR((OFFSET(PO_design_table,MATCH($B$189,PO_design_index,0)-2,MATCH($H$170,PO_design_hdr,0)-1,1,1)*OFFSET(PO_design_table,MATCH($B$189,PO_design_index,0)-2,MATCH($Q$170,PO_design_hdr,0)-1,1,1))/OFFSET(PO_ModelSubtotal,0,7,1,1),"")</f>
        <v/>
      </c>
      <c r="H348" s="1997"/>
      <c r="I348" s="1997" t="str">
        <f ca="1">IFERROR((OFFSET(PO_design_table,MATCH($B$187,PO_design_index,0)-2,MATCH($G$170,PO_design_hdr,0)-1,1,1)*OFFSET(PO_design_table,MATCH($B$187,PO_design_index,0)-2,MATCH($Q$170,PO_design_hdr,0)-1,1,1))/OFFSET(PO_ModelSubtotal,0,4,1,1),"")</f>
        <v/>
      </c>
      <c r="J348" s="1997" t="str">
        <f ca="1">IFERROR((OFFSET(PO_design_table,MATCH($B$187,PO_design_index,0)-2,MATCH($H$170,PO_design_hdr,0)-1,1,1)*OFFSET(PO_design_table,MATCH($B$187,PO_design_index,0)-2,MATCH($Q$170,PO_design_hdr,0)-1,1,1))/OFFSET(PO_ModelSubtotal,0,7,1,1),"")</f>
        <v/>
      </c>
      <c r="K348" s="2000">
        <f ca="1">IFERROR(MAX(OFFSET(PO_design_table,MATCH($B$179,PO_design_index,0)-2,MATCH($G$170,PO_design_hdr,0)-1,1,1)),"")</f>
        <v>0</v>
      </c>
      <c r="L348" s="2000"/>
      <c r="M348" s="2002">
        <f ca="1">IFERROR(MAX(OFFSET(PO_design_table,MATCH($B$183,PO_design_index,0)-2,MATCH($S$170,PO_design_hdr,0)-1,1,1)),"")</f>
        <v>0</v>
      </c>
    </row>
    <row r="349" spans="2:15" ht="38.25" customHeight="1" x14ac:dyDescent="0.25">
      <c r="B349" s="3333"/>
      <c r="C349" s="2044" t="s">
        <v>1876</v>
      </c>
      <c r="D349" s="2021" t="s">
        <v>1877</v>
      </c>
      <c r="E349" s="2021"/>
      <c r="F349" s="2020" t="s">
        <v>1878</v>
      </c>
      <c r="G349" s="2020" t="s">
        <v>1881</v>
      </c>
      <c r="H349" s="2020" t="s">
        <v>2033</v>
      </c>
      <c r="I349" s="2020" t="s">
        <v>2034</v>
      </c>
      <c r="J349" s="2020" t="s">
        <v>2035</v>
      </c>
      <c r="K349" s="2021" t="s">
        <v>2036</v>
      </c>
      <c r="L349" s="2021"/>
      <c r="M349" s="2020" t="s">
        <v>2037</v>
      </c>
    </row>
    <row r="350" spans="2:15" x14ac:dyDescent="0.25">
      <c r="B350" s="3332"/>
      <c r="C350" s="2045">
        <f ca="1">IFERROR(IFERROR(MAX(OFFSET(PO_design_table,MATCH($B$183,PO_design_index,0)-2,MATCH($T$170,PO_design_hdr,0)-1,1,1)),""),"")</f>
        <v>0</v>
      </c>
      <c r="D350" s="2000">
        <f ca="1">IFERROR(IFERROR(MAX(OFFSET(PO_design_table,MATCH($B$183,PO_design_index,0)-1,MATCH($G$170,PO_design_hdr,0)-1,1,1)),""),"")</f>
        <v>0</v>
      </c>
      <c r="E350" s="2000"/>
      <c r="F350" s="2008">
        <f ca="1">IFERROR(IFERROR(MAX(OFFSET(PO_design_table,MATCH($B$183,PO_design_index,0)-1,MATCH($H$170,PO_design_hdr,0)-1,1,1)),""),"")</f>
        <v>0</v>
      </c>
      <c r="G350" s="2008" t="str">
        <f ca="1">IFERROR(MAX(IFERROR(OFFSET(PO_renewable_table,MATCH("Photovoltaic system",PO_renewable_Index,0)-2,MATCH($S$32,PO_renewable_hdr,0)-1,1,1),0),
IFERROR(OFFSET(PO_renewable_table,MATCH("Solar thermal system",PO_renewable_Index,0)-2,MATCH($S$32,PO_renewable_hdr,0)-1,1,1),0)),"")</f>
        <v/>
      </c>
      <c r="H350" s="2008"/>
      <c r="I350" s="2008" t="str">
        <f ca="1">IFERROR(OFFSET(PO_Enrgy_8_Table,MATCH("Electricity",PO_Enrgy_8_Index,0)-2,MATCH($H$232,PO_Enrgy_8_Hdr,0)-1,1,1),"")</f>
        <v/>
      </c>
      <c r="J350" s="2008" t="str">
        <f ca="1">IFERROR(OFFSET(PO_Enrgy_8_Table,MATCH("Natural Gas",PO_Enrgy_8_Index,0)-2,MATCH($H$232,PO_Enrgy_8_Hdr,0)-1,1,1),"")</f>
        <v/>
      </c>
      <c r="K350" s="2009" t="str">
        <f>IFERROR(GetPerformanceOutputRangeSums("PO_QA_BaseExtLtgDem"),"")</f>
        <v>Error</v>
      </c>
      <c r="L350" s="2009"/>
      <c r="M350" s="2010" t="str">
        <f>IFERROR(GetPerformanceOutputRangeSums("PO_QA_DesignExtLtgDem"),"")</f>
        <v>Error</v>
      </c>
    </row>
    <row r="351" spans="2:15" x14ac:dyDescent="0.25">
      <c r="B351" s="3331" t="s">
        <v>284</v>
      </c>
      <c r="C351" s="2050" t="s">
        <v>1869</v>
      </c>
      <c r="D351" s="2003" t="s">
        <v>1870</v>
      </c>
      <c r="E351" s="2043"/>
      <c r="F351" s="2033"/>
      <c r="G351" s="2034"/>
      <c r="H351" s="2034"/>
      <c r="I351" s="2034"/>
      <c r="J351" s="2034"/>
      <c r="K351" s="2034"/>
      <c r="L351" s="2034"/>
      <c r="M351" s="2035"/>
    </row>
    <row r="352" spans="2:15" x14ac:dyDescent="0.25">
      <c r="B352" s="3332"/>
      <c r="C352" s="2049">
        <f ca="1">COUNTIFS(OFFSET(GHVAC_BHVACST_Index,0,MATCH('General HVAC'!$D$28,GHVAC_BSysType_Hdr,0)-1),"System 2 - PTHP",
OFFSET(GHVAC_BHVACST_Index,0,MATCH('General HVAC'!$B$28,GHVAC_BSysType_Hdr,0)-1),$H$5)+
COUNTIFS(OFFSET(GHVAC_BHVACST_Index,0,MATCH('General HVAC'!$D$28,GHVAC_BSysType_Hdr,0)-1),"System 3 - PSZ-AC",
OFFSET(GHVAC_BHVACST_Index,0,MATCH('General HVAC'!$B$28,GHVAC_BSysType_Hdr,0)-1),$H$5)+
COUNTIFS(OFFSET(GHVAC_BHVACST_Index,0,MATCH('General HVAC'!$D$28,GHVAC_BSysType_Hdr,0)-1),"System 4 - PSZ-HP",
OFFSET(GHVAC_BHVACST_Index,0,MATCH('General HVAC'!$B$28,GHVAC_BSysType_Hdr,0)-1),$H$5)+
COUNTIFS(OFFSET(GHVAC_BHVACST_Index,0,MATCH('General HVAC'!$D$28,GHVAC_BSysType_Hdr,0)-1),"System 6 - Packaged VAV with PFP Boxes",
OFFSET(GHVAC_BHVACST_Index,0,MATCH('General HVAC'!$B$28,GHVAC_BSysType_Hdr,0)-1),$H$5)+
COUNTIFS(OFFSET(GHVAC_BHVACST_Index,0,MATCH('General HVAC'!$D$28,GHVAC_BSysType_Hdr,0)-1),"System 8 - VAV with PFP Boxes",
OFFSET(GHVAC_BHVACST_Index,0,MATCH('General HVAC'!$B$28,GHVAC_BSysType_Hdr,0)-1),$H$5)+
COUNTIFS(OFFSET(GHVAC_BHVACST_Index,0,MATCH('General HVAC'!$D$28,GHVAC_BSysType_Hdr,0)-1),"System 9 - Heating and Ventilation",
OFFSET(GHVAC_BHVACST_Index,0,MATCH('General HVAC'!$B$28,GHVAC_BSysType_Hdr,0)-1),$H$5)+
COUNTIFS(OFFSET(GHVAC_BHVACST_Index,0,MATCH('General HVAC'!$D$28,GHVAC_BSysType_Hdr,0)-1),"System 10 - Heating and Ventilation",
OFFSET(GHVAC_BHVACST_Index,0,MATCH('General HVAC'!$B$28,GHVAC_BSysType_Hdr,0)-1),$H$5)</f>
        <v>0</v>
      </c>
      <c r="D352" s="2001">
        <f ca="1">COUNTIFS(OFFSET(GHVAC_BHVACST_Index,0,MATCH('General HVAC'!$D$28,GHVAC_BSysType_Hdr,0)-1),"System 1 - PTAC",
OFFSET(GHVAC_BHVACST_Index,0,MATCH('General HVAC'!$B$28,GHVAC_BSysType_Hdr,0)-1),$H$5)+
COUNTIFS(OFFSET(GHVAC_BHVACST_Index,0,MATCH('General HVAC'!$D$28,GHVAC_BSysType_Hdr,0)-1),"System 5 - Packaged VAV with Reheat",
OFFSET(GHVAC_BHVACST_Index,0,MATCH('General HVAC'!$B$28,GHVAC_BSysType_Hdr,0)-1),$H$5)+
COUNTIFS(OFFSET(GHVAC_BHVACST_Index,0,MATCH('General HVAC'!$D$28,GHVAC_BSysType_Hdr,0)-1),"System 7 - VAV with Reheat",
OFFSET(GHVAC_BHVACST_Index,0,MATCH('General HVAC'!$B$28,GHVAC_BSysType_Hdr,0)-1),$H$5)</f>
        <v>0</v>
      </c>
      <c r="E352" s="2006"/>
      <c r="F352" s="2036"/>
      <c r="G352" s="2037"/>
      <c r="H352" s="2037"/>
      <c r="I352" s="2037"/>
      <c r="J352" s="2037"/>
      <c r="K352" s="2037"/>
      <c r="L352" s="2037"/>
      <c r="M352" s="2038"/>
    </row>
    <row r="353" spans="2:18" ht="25.5" customHeight="1" x14ac:dyDescent="0.25">
      <c r="B353" s="3331" t="s">
        <v>1043</v>
      </c>
      <c r="C353" s="2044" t="s">
        <v>1873</v>
      </c>
      <c r="D353" s="2021" t="s">
        <v>1874</v>
      </c>
      <c r="E353" s="2021"/>
      <c r="F353" s="2022" t="s">
        <v>1871</v>
      </c>
      <c r="G353" s="2022" t="s">
        <v>1872</v>
      </c>
      <c r="H353" s="2020" t="s">
        <v>2038</v>
      </c>
      <c r="I353" s="2020" t="s">
        <v>2039</v>
      </c>
      <c r="J353" s="2020" t="s">
        <v>2040</v>
      </c>
      <c r="K353" s="2021" t="s">
        <v>2041</v>
      </c>
      <c r="L353" s="2021"/>
      <c r="M353" s="2031"/>
    </row>
    <row r="354" spans="2:18" x14ac:dyDescent="0.25">
      <c r="B354" s="3333"/>
      <c r="C354" s="2045">
        <f>IFERROR(SUMIFS(AHVAC_Base_FanFlow,AHVAC_Base_ID,$H$5),"")</f>
        <v>0</v>
      </c>
      <c r="D354" s="2000">
        <f>IFERROR(SUMIFS(AHVAC_Design_FanFlow,AHVAC_Design_ID,$H$5),"")</f>
        <v>0</v>
      </c>
      <c r="E354" s="2000"/>
      <c r="F354" s="2011">
        <f>IFERROR(SUMIFS(AHVAC_Base_FanPower,AHVAC_Base_ID,$H$5),"")</f>
        <v>0</v>
      </c>
      <c r="G354" s="2011">
        <f>IFERROR(SUMIFS(AHVAC_Design_FanPower,AHVAC_Design_ID,$H$5),"")</f>
        <v>0</v>
      </c>
      <c r="H354" s="2008">
        <f>IFERROR(SUMIFS(AHVAC_Base_CoolingCap,AHVAC_Base_ID,$H$5),"")</f>
        <v>0</v>
      </c>
      <c r="I354" s="2008">
        <f>IFERROR(SUMIFS(AHVAC_Design_CoolingCap,AHVAC_Design_ID,$H$5),"")</f>
        <v>0</v>
      </c>
      <c r="J354" s="2008">
        <f>IFERROR(SUMIFS(AHVAC_Base_HeatingCap,AHVAC_Base_ID,$H$5),"")</f>
        <v>0</v>
      </c>
      <c r="K354" s="2009">
        <f>IFERROR(SUMIFS(AHVAC_Design_HeatingCap,AHVAC_Design_ID,$H$5),"")</f>
        <v>0</v>
      </c>
      <c r="L354" s="2012"/>
      <c r="M354" s="2032"/>
    </row>
    <row r="355" spans="2:18" x14ac:dyDescent="0.25">
      <c r="B355" s="3333"/>
      <c r="C355" s="2046" t="s">
        <v>1879</v>
      </c>
      <c r="D355" s="1999" t="s">
        <v>1880</v>
      </c>
      <c r="E355" s="2043"/>
      <c r="F355" s="2039"/>
      <c r="G355" s="2040"/>
      <c r="H355" s="2034"/>
      <c r="I355" s="2034"/>
      <c r="J355" s="2034"/>
      <c r="K355" s="2034"/>
      <c r="L355" s="2034"/>
      <c r="M355" s="2035"/>
    </row>
    <row r="356" spans="2:18" x14ac:dyDescent="0.25">
      <c r="B356" s="3332"/>
      <c r="C356" s="2051">
        <f>IFERROR(SUMIFS(AHVAC_Base_OAFlow,AHVAC_Base_ID,$H$5),"")</f>
        <v>0</v>
      </c>
      <c r="D356" s="2004">
        <f>IFERROR(SUMIFS(AHVAC_Design_OAFlow,AHVAC_Design_ID,$H$5),"")</f>
        <v>0</v>
      </c>
      <c r="E356" s="2007"/>
      <c r="F356" s="2041"/>
      <c r="G356" s="2042"/>
      <c r="H356" s="2037"/>
      <c r="I356" s="2037"/>
      <c r="J356" s="2037"/>
      <c r="K356" s="2037"/>
      <c r="L356" s="2037"/>
      <c r="M356" s="2038"/>
    </row>
    <row r="357" spans="2:18" ht="30" customHeight="1" x14ac:dyDescent="0.25">
      <c r="C357" s="1479"/>
      <c r="D357" s="1480"/>
      <c r="E357" s="1480"/>
    </row>
    <row r="358" spans="2:18" ht="18" x14ac:dyDescent="0.25">
      <c r="B358" s="2015" t="s">
        <v>439</v>
      </c>
      <c r="C358" s="2016"/>
      <c r="D358" s="2016"/>
      <c r="E358" s="2016"/>
      <c r="F358" s="2017"/>
      <c r="G358" s="2017"/>
      <c r="H358" s="2017"/>
      <c r="I358" s="2018" t="s">
        <v>1883</v>
      </c>
      <c r="J358" s="2018"/>
      <c r="K358" s="2018"/>
      <c r="L358" s="2018"/>
      <c r="M358" s="2019"/>
      <c r="Q358" s="1549" t="s">
        <v>1045</v>
      </c>
      <c r="R358" s="1549" t="s">
        <v>1853</v>
      </c>
    </row>
    <row r="359" spans="2:18" ht="25.5" customHeight="1" x14ac:dyDescent="0.25">
      <c r="B359" s="3348" t="str">
        <f>"The total building area reported in the "&amp;IF(MultipleBuildingsExist="No","General Information", "Multiple Building Details")&amp; " tab differs from the total building area reported in the Lighting tab (Interior Lighting section) by more than 10%. Please check for consistency and verify that the building areas reported are accurate."</f>
        <v>The total building area reported in the General Information tab differs from the total building area reported in the Lighting tab (Interior Lighting section) by more than 10%. Please check for consistency and verify that the building areas reported are accurate.</v>
      </c>
      <c r="C359" s="3349"/>
      <c r="D359" s="3349"/>
      <c r="E359" s="3349"/>
      <c r="F359" s="3349"/>
      <c r="G359" s="3349"/>
      <c r="H359" s="3350"/>
      <c r="I359" s="3346"/>
      <c r="J359" s="3346"/>
      <c r="K359" s="3346"/>
      <c r="L359" s="3346"/>
      <c r="M359" s="3347"/>
      <c r="R359" s="1549" t="b">
        <f ca="1">IFERROR(IF(ABS(C340-C342)/MIN(C340,C342)&gt;0.1,TRUE,FALSE),TRUE)</f>
        <v>1</v>
      </c>
    </row>
    <row r="360" spans="2:18" ht="25.5" customHeight="1" x14ac:dyDescent="0.25">
      <c r="B360" s="3337" t="s">
        <v>1838</v>
      </c>
      <c r="C360" s="3338"/>
      <c r="D360" s="3338"/>
      <c r="E360" s="3338"/>
      <c r="F360" s="3338"/>
      <c r="G360" s="3338"/>
      <c r="H360" s="3339"/>
      <c r="I360" s="3128"/>
      <c r="J360" s="3128"/>
      <c r="K360" s="3128"/>
      <c r="L360" s="3128"/>
      <c r="M360" s="3129"/>
      <c r="R360" s="1549" t="b">
        <f ca="1">IFERROR(IF(C344&gt;0.01,TRUE,FALSE),TRUE)</f>
        <v>0</v>
      </c>
    </row>
    <row r="361" spans="2:18" ht="25.5" customHeight="1" x14ac:dyDescent="0.25">
      <c r="B361" s="3337" t="s">
        <v>1311</v>
      </c>
      <c r="C361" s="3338"/>
      <c r="D361" s="3338"/>
      <c r="E361" s="3338"/>
      <c r="F361" s="3338"/>
      <c r="G361" s="3338"/>
      <c r="H361" s="3339"/>
      <c r="I361" s="3128"/>
      <c r="J361" s="3128"/>
      <c r="K361" s="3128"/>
      <c r="L361" s="3128"/>
      <c r="M361" s="3129"/>
      <c r="R361" s="1549" t="b">
        <f ca="1">IFERROR(IF(D344=TRUE,TRUE,FALSE),TRUE)</f>
        <v>0</v>
      </c>
    </row>
    <row r="362" spans="2:18" ht="40.5" customHeight="1" x14ac:dyDescent="0.25">
      <c r="B362" s="3337" t="s">
        <v>1312</v>
      </c>
      <c r="C362" s="3338"/>
      <c r="D362" s="3338"/>
      <c r="E362" s="3338"/>
      <c r="F362" s="3338"/>
      <c r="G362" s="3338"/>
      <c r="H362" s="3339"/>
      <c r="I362" s="3128"/>
      <c r="J362" s="3128"/>
      <c r="K362" s="3128"/>
      <c r="L362" s="3128"/>
      <c r="M362" s="3129"/>
      <c r="R362" s="1549" t="b">
        <f ca="1">IFERROR(IF(OR(C346&gt;4000,D346&gt;4000),TRUE,FALSE),TRUE)</f>
        <v>0</v>
      </c>
    </row>
    <row r="363" spans="2:18" ht="25.5" customHeight="1" x14ac:dyDescent="0.25">
      <c r="B363" s="3337" t="s">
        <v>1313</v>
      </c>
      <c r="C363" s="3338"/>
      <c r="D363" s="3338"/>
      <c r="E363" s="3338"/>
      <c r="F363" s="3338"/>
      <c r="G363" s="3338"/>
      <c r="H363" s="3339"/>
      <c r="I363" s="3329"/>
      <c r="J363" s="3329"/>
      <c r="K363" s="3329"/>
      <c r="L363" s="3329"/>
      <c r="M363" s="3330"/>
      <c r="R363" s="1549" t="b">
        <f ca="1">IFERROR(IF(OR(ABS(C346-D346)/MIN(C346,D346)&gt;0.1,MIN(C346,D346)=0),TRUE,FALSE),TRUE)</f>
        <v>1</v>
      </c>
    </row>
    <row r="364" spans="2:18" ht="38.25" customHeight="1" x14ac:dyDescent="0.25">
      <c r="B364" s="3337" t="s">
        <v>1314</v>
      </c>
      <c r="C364" s="3338"/>
      <c r="D364" s="3338"/>
      <c r="E364" s="3338"/>
      <c r="F364" s="3338"/>
      <c r="G364" s="3338"/>
      <c r="H364" s="3339"/>
      <c r="I364" s="3329"/>
      <c r="J364" s="3329"/>
      <c r="K364" s="3329"/>
      <c r="L364" s="3329"/>
      <c r="M364" s="3330"/>
      <c r="R364" s="1549" t="b">
        <f ca="1">IFERROR(IF(OR(((F346-D342)/MIN(F346,D342))&gt;0.05,((G346-F342)/MIN(G346,F342))&gt;0.05),TRUE,FALSE),TRUE)</f>
        <v>1</v>
      </c>
    </row>
    <row r="365" spans="2:18" ht="76.5" customHeight="1" x14ac:dyDescent="0.25">
      <c r="B365" s="3337" t="s">
        <v>1315</v>
      </c>
      <c r="C365" s="3338"/>
      <c r="D365" s="3338"/>
      <c r="E365" s="3338"/>
      <c r="F365" s="3338"/>
      <c r="G365" s="3338"/>
      <c r="H365" s="3339"/>
      <c r="I365" s="3329"/>
      <c r="J365" s="3329"/>
      <c r="K365" s="3329"/>
      <c r="L365" s="3329"/>
      <c r="M365" s="3330"/>
      <c r="R365" s="1549" t="b">
        <f ca="1">IFERROR(IF(OR(H346=0,I346=0),TRUE,FALSE),TRUE)</f>
        <v>1</v>
      </c>
    </row>
    <row r="366" spans="2:18" ht="38.25" customHeight="1" x14ac:dyDescent="0.25">
      <c r="B366" s="3337" t="s">
        <v>1316</v>
      </c>
      <c r="C366" s="3338"/>
      <c r="D366" s="3338"/>
      <c r="E366" s="3338"/>
      <c r="F366" s="3338"/>
      <c r="G366" s="3338"/>
      <c r="H366" s="3339"/>
      <c r="I366" s="3128"/>
      <c r="J366" s="3128"/>
      <c r="K366" s="3128"/>
      <c r="L366" s="3128"/>
      <c r="M366" s="3129"/>
      <c r="R366" s="1549" t="b">
        <f ca="1">IFERROR(IF(OR(J346&gt;5110,K346&gt;5110),TRUE,FALSE),TRUE)</f>
        <v>0</v>
      </c>
    </row>
    <row r="367" spans="2:18" ht="38.25" customHeight="1" x14ac:dyDescent="0.25">
      <c r="B367" s="3337" t="s">
        <v>1317</v>
      </c>
      <c r="C367" s="3338"/>
      <c r="D367" s="3338"/>
      <c r="E367" s="3338"/>
      <c r="F367" s="3338"/>
      <c r="G367" s="3338"/>
      <c r="H367" s="3339"/>
      <c r="I367" s="3329"/>
      <c r="J367" s="3329"/>
      <c r="K367" s="3329"/>
      <c r="L367" s="3329"/>
      <c r="M367" s="3330"/>
      <c r="R367" s="1549" t="b">
        <f ca="1">IFERROR(IF(ABS(J346-K346)/MIN(J346,K346)&gt;0.05,TRUE,FALSE),TRUE)</f>
        <v>1</v>
      </c>
    </row>
    <row r="368" spans="2:18" ht="63.75" customHeight="1" x14ac:dyDescent="0.25">
      <c r="B368" s="3337" t="s">
        <v>1318</v>
      </c>
      <c r="C368" s="3338"/>
      <c r="D368" s="3338"/>
      <c r="E368" s="3338"/>
      <c r="F368" s="3338"/>
      <c r="G368" s="3338"/>
      <c r="H368" s="3339"/>
      <c r="I368" s="3329"/>
      <c r="J368" s="3329"/>
      <c r="K368" s="3329"/>
      <c r="L368" s="3329"/>
      <c r="M368" s="3330"/>
      <c r="R368" s="1549" t="b">
        <f ca="1">IFERROR(IF(ABS(H346-I346)/MIN(H346,I346)&lt;0.01,TRUE,FALSE),TRUE)</f>
        <v>1</v>
      </c>
    </row>
    <row r="369" spans="2:18" ht="51" customHeight="1" x14ac:dyDescent="0.25">
      <c r="B369" s="3337" t="s">
        <v>1320</v>
      </c>
      <c r="C369" s="3338"/>
      <c r="D369" s="3338"/>
      <c r="E369" s="3338"/>
      <c r="F369" s="3338"/>
      <c r="G369" s="3338"/>
      <c r="H369" s="3339"/>
      <c r="I369" s="3329"/>
      <c r="J369" s="3329"/>
      <c r="K369" s="3329"/>
      <c r="L369" s="3329"/>
      <c r="M369" s="3330"/>
      <c r="R369" s="1549" t="b">
        <f ca="1">IFERROR(IF(OR(F348&gt;0.4,G348&gt;0.4,F348&lt;0.1,G348&lt;0.1),TRUE,FALSE),TRUE)</f>
        <v>1</v>
      </c>
    </row>
    <row r="370" spans="2:18" ht="25.5" customHeight="1" x14ac:dyDescent="0.25">
      <c r="B370" s="3337" t="s">
        <v>1321</v>
      </c>
      <c r="C370" s="3338"/>
      <c r="D370" s="3338"/>
      <c r="E370" s="3338"/>
      <c r="F370" s="3338"/>
      <c r="G370" s="3338"/>
      <c r="H370" s="3339"/>
      <c r="I370" s="3128"/>
      <c r="J370" s="3128"/>
      <c r="K370" s="3128"/>
      <c r="L370" s="3128"/>
      <c r="M370" s="3129"/>
      <c r="R370" s="1549" t="b">
        <f>IFERROR(IF(COUNTIFS(INDEX(PO_design_table,,MATCH($D$170,PO_design_hdr,0)),"x",INDEX(PO_design_table,,MATCH($I$170,PO_design_hdr,0)),"&gt;0.03")+COUNTIFS(INDEX(PO_design_table,,MATCH($D$170,PO_design_hdr,0)),"x",INDEX(PO_design_table,,MATCH($I$170,PO_design_hdr,0)),"&lt;-0.03")&gt;0,TRUE,FALSE),TRUE)</f>
        <v>0</v>
      </c>
    </row>
    <row r="371" spans="2:18" ht="63.75" customHeight="1" x14ac:dyDescent="0.25">
      <c r="B371" s="3337" t="s">
        <v>1322</v>
      </c>
      <c r="C371" s="3338"/>
      <c r="D371" s="3338"/>
      <c r="E371" s="3338"/>
      <c r="F371" s="3338"/>
      <c r="G371" s="3338"/>
      <c r="H371" s="3339"/>
      <c r="I371" s="3329"/>
      <c r="J371" s="3329"/>
      <c r="K371" s="3329"/>
      <c r="L371" s="3329"/>
      <c r="M371" s="3330"/>
      <c r="R371" s="1549" t="b">
        <f ca="1">IFERROR(IF(OR(I348&gt;0.15,J348&gt;0.15),TRUE,FALSE),TRUE)</f>
        <v>1</v>
      </c>
    </row>
    <row r="372" spans="2:18" ht="25.5" customHeight="1" x14ac:dyDescent="0.25">
      <c r="B372" s="3337" t="s">
        <v>2222</v>
      </c>
      <c r="C372" s="3338"/>
      <c r="D372" s="3338"/>
      <c r="E372" s="3338"/>
      <c r="F372" s="3338"/>
      <c r="G372" s="3338"/>
      <c r="H372" s="3339"/>
      <c r="I372" s="3128"/>
      <c r="J372" s="3128"/>
      <c r="K372" s="3128"/>
      <c r="L372" s="3128"/>
      <c r="M372" s="3129"/>
      <c r="R372" s="1549" t="b">
        <f ca="1">IFERROR(IF(AND(C352&gt;0,D352&lt;1),TRUE,FALSE),TRUE)</f>
        <v>0</v>
      </c>
    </row>
    <row r="373" spans="2:18" ht="51" customHeight="1" x14ac:dyDescent="0.25">
      <c r="B373" s="3337" t="s">
        <v>1308</v>
      </c>
      <c r="C373" s="3338"/>
      <c r="D373" s="3338"/>
      <c r="E373" s="3338"/>
      <c r="F373" s="3338"/>
      <c r="G373" s="3338"/>
      <c r="H373" s="3339"/>
      <c r="I373" s="3329"/>
      <c r="J373" s="3329"/>
      <c r="K373" s="3329"/>
      <c r="L373" s="3329"/>
      <c r="M373" s="3330"/>
      <c r="R373" s="1549" t="b">
        <f>IFERROR(IF(ABS(C354-D354)/MIN(C354,D354),TRUE,FALSE),TRUE)</f>
        <v>1</v>
      </c>
    </row>
    <row r="374" spans="2:18" ht="38.25" customHeight="1" x14ac:dyDescent="0.25">
      <c r="B374" s="3337" t="s">
        <v>1323</v>
      </c>
      <c r="C374" s="3338"/>
      <c r="D374" s="3338"/>
      <c r="E374" s="3338"/>
      <c r="F374" s="3338"/>
      <c r="G374" s="3338"/>
      <c r="H374" s="3339"/>
      <c r="I374" s="3128"/>
      <c r="J374" s="3128"/>
      <c r="K374" s="3128"/>
      <c r="L374" s="3128"/>
      <c r="M374" s="3129"/>
      <c r="R374" s="1549" t="b">
        <f ca="1">IFERROR(IF(OR(M348&gt;4000,C350&gt;4000),TRUE,FALSE),TRUE)</f>
        <v>0</v>
      </c>
    </row>
    <row r="375" spans="2:18" ht="38.25" customHeight="1" x14ac:dyDescent="0.25">
      <c r="B375" s="3337" t="s">
        <v>1324</v>
      </c>
      <c r="C375" s="3338"/>
      <c r="D375" s="3338"/>
      <c r="E375" s="3338"/>
      <c r="F375" s="3338"/>
      <c r="G375" s="3338"/>
      <c r="H375" s="3339"/>
      <c r="I375" s="3329"/>
      <c r="J375" s="3329"/>
      <c r="K375" s="3329"/>
      <c r="L375" s="3329"/>
      <c r="M375" s="3330"/>
      <c r="R375" s="1549" t="b">
        <f ca="1">IFERROR(IF(ABS(M348-C350)/MIN(M348,C350)&gt;0.25,TRUE,FALSE),TRUE)</f>
        <v>1</v>
      </c>
    </row>
    <row r="376" spans="2:18" ht="38.25" customHeight="1" x14ac:dyDescent="0.25">
      <c r="B376" s="3337" t="s">
        <v>1325</v>
      </c>
      <c r="C376" s="3338"/>
      <c r="D376" s="3338"/>
      <c r="E376" s="3338"/>
      <c r="F376" s="3338"/>
      <c r="G376" s="3338"/>
      <c r="H376" s="3339"/>
      <c r="I376" s="3329"/>
      <c r="J376" s="3329"/>
      <c r="K376" s="3329"/>
      <c r="L376" s="3329"/>
      <c r="M376" s="3330"/>
      <c r="R376" s="1549" t="b">
        <f ca="1">IFERROR(IF(OR(((D350-F354)/MIN(D350,F354))&gt;0.05,((F350-G354)/MIN(F350,G354))&gt;0.05),TRUE,FALSE),TRUE)</f>
        <v>1</v>
      </c>
    </row>
    <row r="377" spans="2:18" ht="38.25" customHeight="1" x14ac:dyDescent="0.25">
      <c r="B377" s="3337" t="s">
        <v>1326</v>
      </c>
      <c r="C377" s="3338"/>
      <c r="D377" s="3338"/>
      <c r="E377" s="3338"/>
      <c r="F377" s="3338"/>
      <c r="G377" s="3338"/>
      <c r="H377" s="3339"/>
      <c r="I377" s="3329"/>
      <c r="J377" s="3329"/>
      <c r="K377" s="3329"/>
      <c r="L377" s="3329"/>
      <c r="M377" s="3330"/>
      <c r="R377" s="1549" t="b">
        <f ca="1">IFERROR(IF(OR(1-(D350/F354)&gt;0.6,1-(F350/G354)&gt;0.6),TRUE,FALSE),TRUE)</f>
        <v>1</v>
      </c>
    </row>
    <row r="378" spans="2:18" ht="76.5" customHeight="1" x14ac:dyDescent="0.25">
      <c r="B378" s="3337" t="s">
        <v>1309</v>
      </c>
      <c r="C378" s="3338"/>
      <c r="D378" s="3338"/>
      <c r="E378" s="3338"/>
      <c r="F378" s="3338"/>
      <c r="G378" s="3338"/>
      <c r="H378" s="3339"/>
      <c r="I378" s="3329"/>
      <c r="J378" s="3329"/>
      <c r="K378" s="3329"/>
      <c r="L378" s="3329"/>
      <c r="M378" s="3330"/>
      <c r="N378" s="597"/>
      <c r="R378" s="1549" t="b">
        <f>IFERROR(IF(OR(ABS(H354-I354)/MIN(H354,I354)&gt;0.35,ABS(J354-K354)/MIN(J354,K354)&gt;0.35),TRUE,FALSE),TRUE)</f>
        <v>1</v>
      </c>
    </row>
    <row r="379" spans="2:18" ht="76.5" customHeight="1" x14ac:dyDescent="0.25">
      <c r="B379" s="3337" t="s">
        <v>1310</v>
      </c>
      <c r="C379" s="3338"/>
      <c r="D379" s="3338"/>
      <c r="E379" s="3338"/>
      <c r="F379" s="3338"/>
      <c r="G379" s="3338"/>
      <c r="H379" s="3339"/>
      <c r="I379" s="3128"/>
      <c r="J379" s="3128"/>
      <c r="K379" s="3128"/>
      <c r="L379" s="3128"/>
      <c r="M379" s="3129"/>
      <c r="R379" s="1549" t="b">
        <f>IFERROR(IF(C356&gt;D356,TRUE,FALSE),TRUE)</f>
        <v>0</v>
      </c>
    </row>
    <row r="380" spans="2:18" ht="51" customHeight="1" x14ac:dyDescent="0.25">
      <c r="B380" s="3337" t="s">
        <v>1327</v>
      </c>
      <c r="C380" s="3338"/>
      <c r="D380" s="3338"/>
      <c r="E380" s="3338"/>
      <c r="F380" s="3338"/>
      <c r="G380" s="3338"/>
      <c r="H380" s="3339"/>
      <c r="I380" s="3329"/>
      <c r="J380" s="3329"/>
      <c r="K380" s="3329"/>
      <c r="L380" s="3329"/>
      <c r="M380" s="3330"/>
      <c r="R380" s="1549" t="b">
        <f ca="1">IFERROR(IF(G350&gt;1500,TRUE,FALSE),TRUE)</f>
        <v>1</v>
      </c>
    </row>
    <row r="381" spans="2:18" ht="51" customHeight="1" x14ac:dyDescent="0.25">
      <c r="B381" s="3337" t="s">
        <v>1328</v>
      </c>
      <c r="C381" s="3338"/>
      <c r="D381" s="3338"/>
      <c r="E381" s="3338"/>
      <c r="F381" s="3338"/>
      <c r="G381" s="3338"/>
      <c r="H381" s="3339"/>
      <c r="I381" s="3128"/>
      <c r="J381" s="3128"/>
      <c r="K381" s="3128"/>
      <c r="L381" s="3128"/>
      <c r="M381" s="3129"/>
      <c r="R381" s="1549" t="b">
        <f>IFERROR(IF(COUNTIF(INDEX(PO_Enrgy_8_Table,,MATCH($K$232,PO_Enrgy_8_Hdr,0)),"&gt;0.1")+COUNTIF(INDEX(PO_Enrgy_8_Table,,MATCH($K$232,PO_Enrgy_8_Hdr,0)),"&lt;-0.1")&gt;0,TRUE,FALSE),TRUE)</f>
        <v>0</v>
      </c>
    </row>
    <row r="382" spans="2:18" ht="25.5" customHeight="1" x14ac:dyDescent="0.25">
      <c r="B382" s="3337" t="s">
        <v>1329</v>
      </c>
      <c r="C382" s="3338"/>
      <c r="D382" s="3338"/>
      <c r="E382" s="3338"/>
      <c r="F382" s="3338"/>
      <c r="G382" s="3338"/>
      <c r="H382" s="3339"/>
      <c r="I382" s="3128"/>
      <c r="J382" s="3128"/>
      <c r="K382" s="3128"/>
      <c r="L382" s="3128"/>
      <c r="M382" s="3129"/>
      <c r="R382" s="1549" t="b">
        <f>IFERROR(IF(PO_SiteRenewable=TRUE,IF(COUNTIF(INDEX(PO_renewable_table,,MATCH($U$32,PO_renewable_hdr,0)),"&gt;0.05")+COUNTIF(INDEX(PO_renewable_table,,MATCH($U$32,PO_renewable_hdr,0)),"&lt;-0.05")&gt;0,TRUE,FALSE),FALSE),TRUE)</f>
        <v>0</v>
      </c>
    </row>
    <row r="383" spans="2:18" ht="25.5" customHeight="1" x14ac:dyDescent="0.25">
      <c r="B383" s="3337" t="s">
        <v>1956</v>
      </c>
      <c r="C383" s="3338"/>
      <c r="D383" s="3338"/>
      <c r="E383" s="3338"/>
      <c r="F383" s="3338"/>
      <c r="G383" s="3338"/>
      <c r="H383" s="3339"/>
      <c r="I383" s="3128"/>
      <c r="J383" s="3128"/>
      <c r="K383" s="3128"/>
      <c r="L383" s="3128"/>
      <c r="M383" s="3129"/>
      <c r="N383" s="595"/>
      <c r="O383" s="595"/>
      <c r="P383" s="595"/>
      <c r="Q383" s="595"/>
      <c r="R383" s="1549" t="b">
        <f>IFERROR(IF(PO_ShowExCalc=TRUE,IF(COUNTIF(INDEX(PO_ExCalc_Table,,MATCH($U$56,PO_ExCalc_Hdr,0)),"&gt;0.05")+COUNTIF(INDEX(PO_ExCalc_Table,,MATCH($U$56,PO_ExCalc_Hdr,0)),"&lt;-0.05")&gt;0,TRUE,FALSE),FALSE),TRUE)</f>
        <v>0</v>
      </c>
    </row>
    <row r="384" spans="2:18" ht="25.5" customHeight="1" x14ac:dyDescent="0.25">
      <c r="B384" s="3337" t="s">
        <v>1330</v>
      </c>
      <c r="C384" s="3338"/>
      <c r="D384" s="3338"/>
      <c r="E384" s="3338"/>
      <c r="F384" s="3338"/>
      <c r="G384" s="3338"/>
      <c r="H384" s="3339"/>
      <c r="I384" s="3329"/>
      <c r="J384" s="3329"/>
      <c r="K384" s="3329"/>
      <c r="L384" s="3329"/>
      <c r="M384" s="3330"/>
      <c r="R384" s="1549" t="b">
        <f ca="1">IFERROR(IF(OR(I350&lt;0.06,I350&gt;0.25),TRUE,FALSE),TRUE)</f>
        <v>1</v>
      </c>
    </row>
    <row r="385" spans="2:18" ht="38.25" customHeight="1" x14ac:dyDescent="0.25">
      <c r="B385" s="3337" t="s">
        <v>1957</v>
      </c>
      <c r="C385" s="3338"/>
      <c r="D385" s="3338"/>
      <c r="E385" s="3338"/>
      <c r="F385" s="3338"/>
      <c r="G385" s="3338"/>
      <c r="H385" s="3339"/>
      <c r="I385" s="3329"/>
      <c r="J385" s="3329"/>
      <c r="K385" s="3329"/>
      <c r="L385" s="3329"/>
      <c r="M385" s="3330"/>
      <c r="R385" s="1549" t="b">
        <f ca="1">IFERROR(IF(OR(J350&lt;0.5,J350&gt;2),TRUE,FALSE),TRUE)</f>
        <v>1</v>
      </c>
    </row>
    <row r="386" spans="2:18" ht="43.5" customHeight="1" x14ac:dyDescent="0.25">
      <c r="B386" s="3337" t="s">
        <v>1331</v>
      </c>
      <c r="C386" s="3338"/>
      <c r="D386" s="3338"/>
      <c r="E386" s="3338"/>
      <c r="F386" s="3338"/>
      <c r="G386" s="3338"/>
      <c r="H386" s="3339"/>
      <c r="I386" s="3329"/>
      <c r="J386" s="3329"/>
      <c r="K386" s="3329"/>
      <c r="L386" s="3329"/>
      <c r="M386" s="3330"/>
      <c r="R386" s="1549" t="b">
        <f>IFERROR(IF(PO_EnergyReportingMethod&gt;2,TRUE,FALSE),FALSE)</f>
        <v>1</v>
      </c>
    </row>
    <row r="387" spans="2:18" ht="57.75" customHeight="1" x14ac:dyDescent="0.25">
      <c r="B387" s="3337" t="s">
        <v>1332</v>
      </c>
      <c r="C387" s="3338"/>
      <c r="D387" s="3338"/>
      <c r="E387" s="3338"/>
      <c r="F387" s="3338"/>
      <c r="G387" s="3338"/>
      <c r="H387" s="3339"/>
      <c r="I387" s="3128"/>
      <c r="J387" s="3128"/>
      <c r="K387" s="3128"/>
      <c r="L387" s="3128"/>
      <c r="M387" s="3129"/>
      <c r="R387" s="1549" t="b">
        <f>IFERROR(IF(AND(COUNTIFS(INDEX(PO_design_table,,MATCH($E$170,PO_design_hdr,0)),"Electricity",INDEX(PO_design_table,,MATCH($B$170,PO_design_hdr,0)),"Space Heating",INDEX(PO_design_table,,MATCH($G$170,PO_design_hdr,0)),"&gt;0")&gt;0,COUNTIFS(INDEX(PO_design_table,,MATCH($E$170,PO_design_hdr,0)),"&lt;&gt;Electricity",INDEX(PO_design_table,,MATCH($B$170,PO_design_hdr,0)),"Space Heating",INDEX(PO_design_table,,MATCH($G$170,PO_design_hdr,0)),"&gt;0")&gt;0),TRUE,FALSE),TRUE)</f>
        <v>0</v>
      </c>
    </row>
    <row r="388" spans="2:18" ht="29.25" customHeight="1" x14ac:dyDescent="0.25">
      <c r="B388" s="3337" t="s">
        <v>1333</v>
      </c>
      <c r="C388" s="3338"/>
      <c r="D388" s="3338"/>
      <c r="E388" s="3338"/>
      <c r="F388" s="3338"/>
      <c r="G388" s="3338"/>
      <c r="H388" s="3339"/>
      <c r="I388" s="3128"/>
      <c r="J388" s="3128"/>
      <c r="K388" s="3128"/>
      <c r="L388" s="3128"/>
      <c r="M388" s="3129"/>
      <c r="R388" s="1549" t="b">
        <f>IFERROR(IF(MAX(F335:M335)&gt;300,TRUE,FALSE),TRUE)</f>
        <v>0</v>
      </c>
    </row>
    <row r="389" spans="2:18" ht="52.5" customHeight="1" x14ac:dyDescent="0.25">
      <c r="B389" s="3337" t="str">
        <f>"The three largest end use contributors to the cost savings are "&amp;CONCATENATE(VLOOKUP(1,QCEnSaveRank,2,FALSE),", ", VLOOKUP(2,QCEnSaveRank,2,FALSE), ", ",VLOOKUP(3,QCEnSaveRank,2,FALSE))&amp;" (as reported in the Performance Outputs tab). Please provide a narrative to justify the savings of these end uses, such as the energy conservation measures which contribute to the savings claimed."</f>
        <v>The three largest end use contributors to the cost savings are Interior lighting, Exterior lighting, Space heating (as reported in the Performance Outputs tab). Please provide a narrative to justify the savings of these end uses, such as the energy conservation measures which contribute to the savings claimed.</v>
      </c>
      <c r="C389" s="3338"/>
      <c r="D389" s="3338"/>
      <c r="E389" s="3338"/>
      <c r="F389" s="3338"/>
      <c r="G389" s="3338"/>
      <c r="H389" s="3339"/>
      <c r="I389" s="3329"/>
      <c r="J389" s="3329"/>
      <c r="K389" s="3329"/>
      <c r="L389" s="3329"/>
      <c r="M389" s="3330"/>
      <c r="R389" s="1549" t="b">
        <f>TRUE</f>
        <v>1</v>
      </c>
    </row>
    <row r="390" spans="2:18" ht="36" customHeight="1" x14ac:dyDescent="0.25">
      <c r="B390" s="3337" t="s">
        <v>2004</v>
      </c>
      <c r="C390" s="3338"/>
      <c r="D390" s="3338"/>
      <c r="E390" s="3338"/>
      <c r="F390" s="3338"/>
      <c r="G390" s="3338"/>
      <c r="H390" s="3339"/>
      <c r="I390" s="3128"/>
      <c r="J390" s="3128"/>
      <c r="K390" s="3128"/>
      <c r="L390" s="3128"/>
      <c r="M390" s="3129"/>
      <c r="R390" s="1549" t="b">
        <f>IF(RatingSystemSelection="LEED v4 BD+C: Data Centers",TRUE,FALSE)</f>
        <v>0</v>
      </c>
    </row>
    <row r="391" spans="2:18" ht="33" customHeight="1" x14ac:dyDescent="0.25">
      <c r="B391" s="3340" t="s">
        <v>2007</v>
      </c>
      <c r="C391" s="3341"/>
      <c r="D391" s="3341"/>
      <c r="E391" s="3341"/>
      <c r="F391" s="3341"/>
      <c r="G391" s="3341"/>
      <c r="H391" s="3342"/>
      <c r="I391" s="3150"/>
      <c r="J391" s="3150"/>
      <c r="K391" s="3150"/>
      <c r="L391" s="3150"/>
      <c r="M391" s="3151"/>
      <c r="R391" s="1549" t="b">
        <f ca="1">IFERROR(IF(F344&lt;10,TRUE,FALSE),TRUE)</f>
        <v>0</v>
      </c>
    </row>
    <row r="392" spans="2:18" ht="36" customHeight="1" x14ac:dyDescent="0.25">
      <c r="B392" s="3343" t="s">
        <v>1319</v>
      </c>
      <c r="C392" s="3344"/>
      <c r="D392" s="3344"/>
      <c r="E392" s="3344"/>
      <c r="F392" s="3344"/>
      <c r="G392" s="3344"/>
      <c r="H392" s="3345"/>
      <c r="I392" s="3372"/>
      <c r="J392" s="3372"/>
      <c r="K392" s="3372"/>
      <c r="L392" s="3372"/>
      <c r="M392" s="3373"/>
      <c r="N392" s="650"/>
      <c r="O392" s="596"/>
      <c r="Q392" s="1019"/>
      <c r="R392" s="1549" t="b">
        <f ca="1">IFERROR(IF(OR((K350-G342)/MIN(K350,G342)&gt;0.05,(M350-G342)/MIN(M350,G342)&gt;0.05),TRUE,FALSE),TRUE)</f>
        <v>1</v>
      </c>
    </row>
    <row r="393" spans="2:18" ht="24" customHeight="1" x14ac:dyDescent="0.25">
      <c r="B393" s="3340" t="s">
        <v>1307</v>
      </c>
      <c r="C393" s="3341"/>
      <c r="D393" s="3341"/>
      <c r="E393" s="3341"/>
      <c r="F393" s="3341"/>
      <c r="G393" s="3341"/>
      <c r="H393" s="3342"/>
      <c r="I393" s="3150"/>
      <c r="J393" s="3150"/>
      <c r="K393" s="3150"/>
      <c r="L393" s="3150"/>
      <c r="M393" s="3151"/>
      <c r="N393" s="650"/>
      <c r="O393" s="596"/>
      <c r="Q393" s="1019"/>
      <c r="R393" s="1549" t="b">
        <f ca="1">IFERROR(IF(H342&gt;G342,TRUE,FALSE),TRUE)</f>
        <v>0</v>
      </c>
    </row>
    <row r="394" spans="2:18" ht="60" customHeight="1" x14ac:dyDescent="0.25">
      <c r="B394" s="3340" t="s">
        <v>1337</v>
      </c>
      <c r="C394" s="3341"/>
      <c r="D394" s="3341"/>
      <c r="E394" s="3341"/>
      <c r="F394" s="3341"/>
      <c r="G394" s="3341"/>
      <c r="H394" s="3342"/>
      <c r="I394" s="3150"/>
      <c r="J394" s="3150"/>
      <c r="K394" s="3150"/>
      <c r="L394" s="3150"/>
      <c r="M394" s="3151"/>
      <c r="N394" s="650"/>
      <c r="O394" s="596"/>
      <c r="Q394" s="1019"/>
      <c r="R394" s="1549" t="b">
        <f ca="1">IFERROR(IF(J342&gt;I342,TRUE,FALSE),TRUE)</f>
        <v>0</v>
      </c>
    </row>
  </sheetData>
  <sheetProtection algorithmName="SHA-512" hashValue="zY1I/6SFsloMp2rk8yERRWvGSfOmLVgLg8ZQzEZNVd3YFbhybPidz3SLGkZUf8m4v71Dfm4kwvyQJNnwLFjjYA==" saltValue="zHSYtXMB/MW+TgaffkipVg==" spinCount="100000" sheet="1" objects="1" scenarios="1"/>
  <mergeCells count="719">
    <mergeCell ref="BF94:BI94"/>
    <mergeCell ref="C243:D243"/>
    <mergeCell ref="K243:L243"/>
    <mergeCell ref="C265:D265"/>
    <mergeCell ref="K265:L265"/>
    <mergeCell ref="C276:D276"/>
    <mergeCell ref="K276:L276"/>
    <mergeCell ref="C285:D285"/>
    <mergeCell ref="K285:L285"/>
    <mergeCell ref="B99:C100"/>
    <mergeCell ref="D99:D100"/>
    <mergeCell ref="E99:E100"/>
    <mergeCell ref="K99:M99"/>
    <mergeCell ref="K100:M100"/>
    <mergeCell ref="B101:C102"/>
    <mergeCell ref="D101:D102"/>
    <mergeCell ref="E101:E102"/>
    <mergeCell ref="K101:M101"/>
    <mergeCell ref="K102:M102"/>
    <mergeCell ref="B103:C104"/>
    <mergeCell ref="D103:D104"/>
    <mergeCell ref="E103:E104"/>
    <mergeCell ref="K103:M103"/>
    <mergeCell ref="K104:M104"/>
    <mergeCell ref="C294:D294"/>
    <mergeCell ref="K294:L294"/>
    <mergeCell ref="B251:D251"/>
    <mergeCell ref="C252:D252"/>
    <mergeCell ref="C253:D253"/>
    <mergeCell ref="B255:D255"/>
    <mergeCell ref="C256:D256"/>
    <mergeCell ref="C257:D257"/>
    <mergeCell ref="B244:D244"/>
    <mergeCell ref="K244:L244"/>
    <mergeCell ref="B246:L246"/>
    <mergeCell ref="B247:M247"/>
    <mergeCell ref="B248:B249"/>
    <mergeCell ref="C248:D249"/>
    <mergeCell ref="E248:G248"/>
    <mergeCell ref="H248:J248"/>
    <mergeCell ref="K248:L248"/>
    <mergeCell ref="I390:M390"/>
    <mergeCell ref="I389:M389"/>
    <mergeCell ref="I392:M392"/>
    <mergeCell ref="I393:M393"/>
    <mergeCell ref="I394:M394"/>
    <mergeCell ref="I388:M388"/>
    <mergeCell ref="I373:M373"/>
    <mergeCell ref="I374:M374"/>
    <mergeCell ref="I375:M375"/>
    <mergeCell ref="I376:M376"/>
    <mergeCell ref="I377:M377"/>
    <mergeCell ref="I378:M378"/>
    <mergeCell ref="I379:M379"/>
    <mergeCell ref="I380:M380"/>
    <mergeCell ref="I383:M383"/>
    <mergeCell ref="I391:M391"/>
    <mergeCell ref="I368:M368"/>
    <mergeCell ref="I369:M369"/>
    <mergeCell ref="I371:M371"/>
    <mergeCell ref="I372:M372"/>
    <mergeCell ref="I384:M384"/>
    <mergeCell ref="I385:M385"/>
    <mergeCell ref="I387:M387"/>
    <mergeCell ref="I370:M370"/>
    <mergeCell ref="I381:M381"/>
    <mergeCell ref="I382:M382"/>
    <mergeCell ref="I386:M386"/>
    <mergeCell ref="H5:M5"/>
    <mergeCell ref="B7:M7"/>
    <mergeCell ref="B8:M8"/>
    <mergeCell ref="B9:M9"/>
    <mergeCell ref="B10:M10"/>
    <mergeCell ref="B11:M11"/>
    <mergeCell ref="B12:M12"/>
    <mergeCell ref="B13:M13"/>
    <mergeCell ref="B14:B15"/>
    <mergeCell ref="C14:D15"/>
    <mergeCell ref="E14:E15"/>
    <mergeCell ref="F14:G15"/>
    <mergeCell ref="H14:J15"/>
    <mergeCell ref="K14:M14"/>
    <mergeCell ref="K15:L15"/>
    <mergeCell ref="B20:K20"/>
    <mergeCell ref="L20:M20"/>
    <mergeCell ref="B21:K21"/>
    <mergeCell ref="L21:M21"/>
    <mergeCell ref="B28:M28"/>
    <mergeCell ref="B29:M29"/>
    <mergeCell ref="C16:D16"/>
    <mergeCell ref="C17:D17"/>
    <mergeCell ref="F17:G17"/>
    <mergeCell ref="H17:J17"/>
    <mergeCell ref="K17:L17"/>
    <mergeCell ref="C18:D18"/>
    <mergeCell ref="F18:G18"/>
    <mergeCell ref="H18:J18"/>
    <mergeCell ref="K18:L18"/>
    <mergeCell ref="C19:D19"/>
    <mergeCell ref="F19:G19"/>
    <mergeCell ref="H19:J19"/>
    <mergeCell ref="K19:L19"/>
    <mergeCell ref="B34:D34"/>
    <mergeCell ref="J34:M34"/>
    <mergeCell ref="B35:M35"/>
    <mergeCell ref="B36:D37"/>
    <mergeCell ref="E36:G36"/>
    <mergeCell ref="H36:I37"/>
    <mergeCell ref="J36:M37"/>
    <mergeCell ref="E37:F37"/>
    <mergeCell ref="B31:D31"/>
    <mergeCell ref="F31:G31"/>
    <mergeCell ref="H31:I31"/>
    <mergeCell ref="J31:M31"/>
    <mergeCell ref="B33:D33"/>
    <mergeCell ref="J33:M33"/>
    <mergeCell ref="B42:F42"/>
    <mergeCell ref="H42:I42"/>
    <mergeCell ref="J42:M42"/>
    <mergeCell ref="B43:I43"/>
    <mergeCell ref="J43:M43"/>
    <mergeCell ref="B44:L44"/>
    <mergeCell ref="B39:D39"/>
    <mergeCell ref="H39:I39"/>
    <mergeCell ref="J39:M39"/>
    <mergeCell ref="B40:D40"/>
    <mergeCell ref="H40:I40"/>
    <mergeCell ref="J40:M40"/>
    <mergeCell ref="B41:D41"/>
    <mergeCell ref="H41:I41"/>
    <mergeCell ref="J41:M41"/>
    <mergeCell ref="D56:E56"/>
    <mergeCell ref="D57:E57"/>
    <mergeCell ref="J57:K57"/>
    <mergeCell ref="L57:M57"/>
    <mergeCell ref="D59:E59"/>
    <mergeCell ref="J59:K59"/>
    <mergeCell ref="L59:M59"/>
    <mergeCell ref="B49:M49"/>
    <mergeCell ref="B52:M52"/>
    <mergeCell ref="B54:B55"/>
    <mergeCell ref="C54:C55"/>
    <mergeCell ref="D54:E55"/>
    <mergeCell ref="G54:K54"/>
    <mergeCell ref="L54:M55"/>
    <mergeCell ref="G55:H55"/>
    <mergeCell ref="J55:K55"/>
    <mergeCell ref="F54:F55"/>
    <mergeCell ref="D58:E58"/>
    <mergeCell ref="J58:K58"/>
    <mergeCell ref="L58:M58"/>
    <mergeCell ref="B64:F64"/>
    <mergeCell ref="J64:K64"/>
    <mergeCell ref="L64:M64"/>
    <mergeCell ref="B66:E66"/>
    <mergeCell ref="B68:F68"/>
    <mergeCell ref="J68:K68"/>
    <mergeCell ref="L68:M68"/>
    <mergeCell ref="D60:E60"/>
    <mergeCell ref="J60:K60"/>
    <mergeCell ref="L60:M60"/>
    <mergeCell ref="B61:E61"/>
    <mergeCell ref="B63:F63"/>
    <mergeCell ref="J63:K63"/>
    <mergeCell ref="L63:M63"/>
    <mergeCell ref="B65:F65"/>
    <mergeCell ref="J65:K65"/>
    <mergeCell ref="L65:M65"/>
    <mergeCell ref="B73:M73"/>
    <mergeCell ref="B76:M76"/>
    <mergeCell ref="B77:M77"/>
    <mergeCell ref="B79:M79"/>
    <mergeCell ref="B81:M81"/>
    <mergeCell ref="B83:M83"/>
    <mergeCell ref="B69:F69"/>
    <mergeCell ref="J69:K69"/>
    <mergeCell ref="L69:M69"/>
    <mergeCell ref="B71:F71"/>
    <mergeCell ref="J71:K71"/>
    <mergeCell ref="L71:M71"/>
    <mergeCell ref="B70:F70"/>
    <mergeCell ref="J70:K70"/>
    <mergeCell ref="L70:M70"/>
    <mergeCell ref="B93:M93"/>
    <mergeCell ref="B95:C95"/>
    <mergeCell ref="K95:M95"/>
    <mergeCell ref="B97:C98"/>
    <mergeCell ref="D97:D98"/>
    <mergeCell ref="E97:E98"/>
    <mergeCell ref="K97:M97"/>
    <mergeCell ref="K98:M98"/>
    <mergeCell ref="B84:M84"/>
    <mergeCell ref="B88:M88"/>
    <mergeCell ref="B89:M89"/>
    <mergeCell ref="B90:M90"/>
    <mergeCell ref="B91:M91"/>
    <mergeCell ref="B92:M92"/>
    <mergeCell ref="B105:C106"/>
    <mergeCell ref="D105:D106"/>
    <mergeCell ref="E105:E106"/>
    <mergeCell ref="K105:M105"/>
    <mergeCell ref="K106:M106"/>
    <mergeCell ref="B107:C108"/>
    <mergeCell ref="D107:D108"/>
    <mergeCell ref="E107:E108"/>
    <mergeCell ref="K107:M107"/>
    <mergeCell ref="K108:M108"/>
    <mergeCell ref="B109:C110"/>
    <mergeCell ref="D109:D110"/>
    <mergeCell ref="E109:E110"/>
    <mergeCell ref="K109:M109"/>
    <mergeCell ref="K110:M110"/>
    <mergeCell ref="B111:C112"/>
    <mergeCell ref="D111:D112"/>
    <mergeCell ref="E111:E112"/>
    <mergeCell ref="K111:M111"/>
    <mergeCell ref="K112:M112"/>
    <mergeCell ref="B113:C114"/>
    <mergeCell ref="D113:D114"/>
    <mergeCell ref="E113:E114"/>
    <mergeCell ref="K113:M113"/>
    <mergeCell ref="K114:M114"/>
    <mergeCell ref="B115:C116"/>
    <mergeCell ref="D115:D116"/>
    <mergeCell ref="E115:E116"/>
    <mergeCell ref="K115:M115"/>
    <mergeCell ref="K116:M116"/>
    <mergeCell ref="B117:C118"/>
    <mergeCell ref="D117:D118"/>
    <mergeCell ref="E117:E118"/>
    <mergeCell ref="K117:M117"/>
    <mergeCell ref="K118:M118"/>
    <mergeCell ref="B119:C120"/>
    <mergeCell ref="D119:D120"/>
    <mergeCell ref="E119:E120"/>
    <mergeCell ref="K119:M119"/>
    <mergeCell ref="K120:M120"/>
    <mergeCell ref="B121:C122"/>
    <mergeCell ref="D121:D122"/>
    <mergeCell ref="E121:E122"/>
    <mergeCell ref="K121:M121"/>
    <mergeCell ref="K122:M122"/>
    <mergeCell ref="B123:C124"/>
    <mergeCell ref="D123:D124"/>
    <mergeCell ref="E123:E124"/>
    <mergeCell ref="K123:M123"/>
    <mergeCell ref="K124:M124"/>
    <mergeCell ref="B125:C126"/>
    <mergeCell ref="D125:D126"/>
    <mergeCell ref="E125:E126"/>
    <mergeCell ref="K125:M125"/>
    <mergeCell ref="K126:M126"/>
    <mergeCell ref="B127:C128"/>
    <mergeCell ref="D127:D128"/>
    <mergeCell ref="E127:E128"/>
    <mergeCell ref="K127:M127"/>
    <mergeCell ref="K128:M128"/>
    <mergeCell ref="B129:C130"/>
    <mergeCell ref="D129:D130"/>
    <mergeCell ref="E129:E130"/>
    <mergeCell ref="K129:M129"/>
    <mergeCell ref="K130:M130"/>
    <mergeCell ref="B131:C132"/>
    <mergeCell ref="D131:D132"/>
    <mergeCell ref="E131:E132"/>
    <mergeCell ref="K131:M131"/>
    <mergeCell ref="K132:M132"/>
    <mergeCell ref="B133:C134"/>
    <mergeCell ref="D133:D134"/>
    <mergeCell ref="E133:E134"/>
    <mergeCell ref="K133:M133"/>
    <mergeCell ref="K134:M134"/>
    <mergeCell ref="B135:C136"/>
    <mergeCell ref="D135:D136"/>
    <mergeCell ref="E135:E136"/>
    <mergeCell ref="K135:M135"/>
    <mergeCell ref="K136:M136"/>
    <mergeCell ref="B137:C138"/>
    <mergeCell ref="D137:D138"/>
    <mergeCell ref="E137:E138"/>
    <mergeCell ref="K137:M137"/>
    <mergeCell ref="K138:M138"/>
    <mergeCell ref="B139:C140"/>
    <mergeCell ref="D139:D140"/>
    <mergeCell ref="E139:E140"/>
    <mergeCell ref="K139:M139"/>
    <mergeCell ref="K140:M140"/>
    <mergeCell ref="B141:C142"/>
    <mergeCell ref="D141:D142"/>
    <mergeCell ref="E141:E142"/>
    <mergeCell ref="K141:M141"/>
    <mergeCell ref="K142:M142"/>
    <mergeCell ref="B147:D147"/>
    <mergeCell ref="K147:M147"/>
    <mergeCell ref="B149:F149"/>
    <mergeCell ref="K149:M149"/>
    <mergeCell ref="B150:F150"/>
    <mergeCell ref="K150:M150"/>
    <mergeCell ref="B143:C144"/>
    <mergeCell ref="D143:D144"/>
    <mergeCell ref="E143:E144"/>
    <mergeCell ref="K143:M143"/>
    <mergeCell ref="K144:M144"/>
    <mergeCell ref="B146:D146"/>
    <mergeCell ref="K146:M146"/>
    <mergeCell ref="B148:D148"/>
    <mergeCell ref="K148:M148"/>
    <mergeCell ref="B158:F158"/>
    <mergeCell ref="K158:M158"/>
    <mergeCell ref="B162:M162"/>
    <mergeCell ref="B163:M163"/>
    <mergeCell ref="B164:M164"/>
    <mergeCell ref="B165:M165"/>
    <mergeCell ref="B153:F153"/>
    <mergeCell ref="K153:M153"/>
    <mergeCell ref="B155:E155"/>
    <mergeCell ref="K155:M155"/>
    <mergeCell ref="B156:E156"/>
    <mergeCell ref="K156:M156"/>
    <mergeCell ref="B157:E157"/>
    <mergeCell ref="K157:M157"/>
    <mergeCell ref="AF171:AG172"/>
    <mergeCell ref="B173:C174"/>
    <mergeCell ref="D173:D174"/>
    <mergeCell ref="E173:E174"/>
    <mergeCell ref="J173:J174"/>
    <mergeCell ref="K173:L174"/>
    <mergeCell ref="M173:M174"/>
    <mergeCell ref="AF173:AG174"/>
    <mergeCell ref="B166:M166"/>
    <mergeCell ref="B167:M167"/>
    <mergeCell ref="B169:C169"/>
    <mergeCell ref="K169:L169"/>
    <mergeCell ref="B171:C172"/>
    <mergeCell ref="D171:D172"/>
    <mergeCell ref="E171:E172"/>
    <mergeCell ref="J171:J172"/>
    <mergeCell ref="K171:L172"/>
    <mergeCell ref="M171:M172"/>
    <mergeCell ref="AF175:AG176"/>
    <mergeCell ref="B177:C178"/>
    <mergeCell ref="D177:D178"/>
    <mergeCell ref="E177:E178"/>
    <mergeCell ref="J177:J178"/>
    <mergeCell ref="K177:L178"/>
    <mergeCell ref="M177:M178"/>
    <mergeCell ref="AF177:AG178"/>
    <mergeCell ref="B175:C176"/>
    <mergeCell ref="D175:D176"/>
    <mergeCell ref="E175:E176"/>
    <mergeCell ref="J175:J176"/>
    <mergeCell ref="K175:L176"/>
    <mergeCell ref="M175:M176"/>
    <mergeCell ref="AF179:AG180"/>
    <mergeCell ref="B181:C182"/>
    <mergeCell ref="D181:D182"/>
    <mergeCell ref="E181:E182"/>
    <mergeCell ref="J181:J182"/>
    <mergeCell ref="K181:L182"/>
    <mergeCell ref="M181:M182"/>
    <mergeCell ref="AF181:AG182"/>
    <mergeCell ref="B179:C180"/>
    <mergeCell ref="D179:D180"/>
    <mergeCell ref="E179:E180"/>
    <mergeCell ref="J179:J180"/>
    <mergeCell ref="K179:L180"/>
    <mergeCell ref="M179:M180"/>
    <mergeCell ref="AF183:AG184"/>
    <mergeCell ref="B185:C186"/>
    <mergeCell ref="D185:D186"/>
    <mergeCell ref="E185:E186"/>
    <mergeCell ref="J185:J186"/>
    <mergeCell ref="K185:L186"/>
    <mergeCell ref="M185:M186"/>
    <mergeCell ref="AF185:AG186"/>
    <mergeCell ref="B183:C184"/>
    <mergeCell ref="D183:D184"/>
    <mergeCell ref="E183:E184"/>
    <mergeCell ref="J183:J184"/>
    <mergeCell ref="K183:L184"/>
    <mergeCell ref="M183:M184"/>
    <mergeCell ref="AF187:AG188"/>
    <mergeCell ref="B189:C190"/>
    <mergeCell ref="D189:D190"/>
    <mergeCell ref="E189:E190"/>
    <mergeCell ref="J189:J190"/>
    <mergeCell ref="K189:L190"/>
    <mergeCell ref="M189:M190"/>
    <mergeCell ref="AF189:AG190"/>
    <mergeCell ref="B187:C188"/>
    <mergeCell ref="D187:D188"/>
    <mergeCell ref="E187:E188"/>
    <mergeCell ref="J187:J188"/>
    <mergeCell ref="K187:L188"/>
    <mergeCell ref="M187:M188"/>
    <mergeCell ref="AF191:AG192"/>
    <mergeCell ref="B193:C194"/>
    <mergeCell ref="D193:D194"/>
    <mergeCell ref="E193:E194"/>
    <mergeCell ref="J193:J194"/>
    <mergeCell ref="K193:L194"/>
    <mergeCell ref="M193:M194"/>
    <mergeCell ref="AF193:AG194"/>
    <mergeCell ref="B191:C192"/>
    <mergeCell ref="D191:D192"/>
    <mergeCell ref="E191:E192"/>
    <mergeCell ref="J191:J192"/>
    <mergeCell ref="K191:L192"/>
    <mergeCell ref="M191:M192"/>
    <mergeCell ref="AF195:AG196"/>
    <mergeCell ref="B197:C198"/>
    <mergeCell ref="D197:D198"/>
    <mergeCell ref="E197:E198"/>
    <mergeCell ref="J197:J198"/>
    <mergeCell ref="K197:L198"/>
    <mergeCell ref="M197:M198"/>
    <mergeCell ref="AF197:AG198"/>
    <mergeCell ref="B195:C196"/>
    <mergeCell ref="D195:D196"/>
    <mergeCell ref="E195:E196"/>
    <mergeCell ref="J195:J196"/>
    <mergeCell ref="K195:L196"/>
    <mergeCell ref="M195:M196"/>
    <mergeCell ref="AF199:AG200"/>
    <mergeCell ref="B201:C202"/>
    <mergeCell ref="D201:D202"/>
    <mergeCell ref="E201:E202"/>
    <mergeCell ref="J201:J202"/>
    <mergeCell ref="K201:L202"/>
    <mergeCell ref="M201:M202"/>
    <mergeCell ref="AF201:AG202"/>
    <mergeCell ref="B199:C200"/>
    <mergeCell ref="D199:D200"/>
    <mergeCell ref="E199:E200"/>
    <mergeCell ref="J199:J200"/>
    <mergeCell ref="K199:L200"/>
    <mergeCell ref="M199:M200"/>
    <mergeCell ref="AF203:AG204"/>
    <mergeCell ref="B205:C206"/>
    <mergeCell ref="D205:D206"/>
    <mergeCell ref="E205:E206"/>
    <mergeCell ref="J205:J206"/>
    <mergeCell ref="K205:L206"/>
    <mergeCell ref="M205:M206"/>
    <mergeCell ref="AF205:AG206"/>
    <mergeCell ref="B203:C204"/>
    <mergeCell ref="D203:D204"/>
    <mergeCell ref="E203:E204"/>
    <mergeCell ref="J203:J204"/>
    <mergeCell ref="K203:L204"/>
    <mergeCell ref="M203:M204"/>
    <mergeCell ref="AF207:AG208"/>
    <mergeCell ref="B209:C210"/>
    <mergeCell ref="D209:D210"/>
    <mergeCell ref="E209:E210"/>
    <mergeCell ref="J209:J210"/>
    <mergeCell ref="K209:L210"/>
    <mergeCell ref="M209:M210"/>
    <mergeCell ref="AF209:AG210"/>
    <mergeCell ref="B207:C208"/>
    <mergeCell ref="D207:D208"/>
    <mergeCell ref="E207:E208"/>
    <mergeCell ref="J207:J208"/>
    <mergeCell ref="K207:L208"/>
    <mergeCell ref="M207:M208"/>
    <mergeCell ref="AF211:AG212"/>
    <mergeCell ref="B213:C214"/>
    <mergeCell ref="D213:D214"/>
    <mergeCell ref="E213:E214"/>
    <mergeCell ref="J213:J214"/>
    <mergeCell ref="K213:L214"/>
    <mergeCell ref="M213:M214"/>
    <mergeCell ref="AF213:AG214"/>
    <mergeCell ref="B211:C212"/>
    <mergeCell ref="D211:D212"/>
    <mergeCell ref="E211:E212"/>
    <mergeCell ref="J211:J212"/>
    <mergeCell ref="K211:L212"/>
    <mergeCell ref="M211:M212"/>
    <mergeCell ref="AF215:AG216"/>
    <mergeCell ref="B217:C218"/>
    <mergeCell ref="D217:D218"/>
    <mergeCell ref="E217:E218"/>
    <mergeCell ref="J217:J218"/>
    <mergeCell ref="K217:L218"/>
    <mergeCell ref="M217:M218"/>
    <mergeCell ref="AF217:AG218"/>
    <mergeCell ref="B215:C216"/>
    <mergeCell ref="D215:D216"/>
    <mergeCell ref="E215:E216"/>
    <mergeCell ref="J215:J216"/>
    <mergeCell ref="K215:L216"/>
    <mergeCell ref="M215:M216"/>
    <mergeCell ref="C224:D224"/>
    <mergeCell ref="K224:L224"/>
    <mergeCell ref="C225:D225"/>
    <mergeCell ref="K225:L225"/>
    <mergeCell ref="B227:D227"/>
    <mergeCell ref="K227:L227"/>
    <mergeCell ref="B221:B222"/>
    <mergeCell ref="C221:D222"/>
    <mergeCell ref="E221:G221"/>
    <mergeCell ref="H221:J221"/>
    <mergeCell ref="K221:M221"/>
    <mergeCell ref="K222:L222"/>
    <mergeCell ref="C226:D226"/>
    <mergeCell ref="K226:L226"/>
    <mergeCell ref="B230:L230"/>
    <mergeCell ref="B231:D231"/>
    <mergeCell ref="E231:G231"/>
    <mergeCell ref="H231:J231"/>
    <mergeCell ref="K231:M231"/>
    <mergeCell ref="C233:D233"/>
    <mergeCell ref="E233:G233"/>
    <mergeCell ref="H233:J233"/>
    <mergeCell ref="K233:M233"/>
    <mergeCell ref="N238:P238"/>
    <mergeCell ref="K239:L239"/>
    <mergeCell ref="C241:D241"/>
    <mergeCell ref="K241:L241"/>
    <mergeCell ref="C242:D242"/>
    <mergeCell ref="K242:L242"/>
    <mergeCell ref="C234:D234"/>
    <mergeCell ref="E234:G234"/>
    <mergeCell ref="H234:J234"/>
    <mergeCell ref="K234:M234"/>
    <mergeCell ref="B237:L237"/>
    <mergeCell ref="B238:B239"/>
    <mergeCell ref="C238:D239"/>
    <mergeCell ref="E238:G238"/>
    <mergeCell ref="H238:J238"/>
    <mergeCell ref="K238:M238"/>
    <mergeCell ref="C235:D235"/>
    <mergeCell ref="E235:G235"/>
    <mergeCell ref="H235:J235"/>
    <mergeCell ref="K235:M235"/>
    <mergeCell ref="N260:P260"/>
    <mergeCell ref="K261:L261"/>
    <mergeCell ref="C263:D263"/>
    <mergeCell ref="K263:L263"/>
    <mergeCell ref="C264:D264"/>
    <mergeCell ref="K264:L264"/>
    <mergeCell ref="B259:D259"/>
    <mergeCell ref="B260:B261"/>
    <mergeCell ref="C260:D261"/>
    <mergeCell ref="E260:G260"/>
    <mergeCell ref="H260:J260"/>
    <mergeCell ref="K260:M260"/>
    <mergeCell ref="N271:P271"/>
    <mergeCell ref="K272:L272"/>
    <mergeCell ref="C274:D274"/>
    <mergeCell ref="K274:L274"/>
    <mergeCell ref="C275:D275"/>
    <mergeCell ref="K275:L275"/>
    <mergeCell ref="B266:D266"/>
    <mergeCell ref="K266:L266"/>
    <mergeCell ref="B267:D267"/>
    <mergeCell ref="B269:M269"/>
    <mergeCell ref="B271:B272"/>
    <mergeCell ref="C271:D272"/>
    <mergeCell ref="E271:G271"/>
    <mergeCell ref="H271:J271"/>
    <mergeCell ref="K271:M271"/>
    <mergeCell ref="N280:P280"/>
    <mergeCell ref="K281:L281"/>
    <mergeCell ref="C283:D283"/>
    <mergeCell ref="K283:L283"/>
    <mergeCell ref="C284:D284"/>
    <mergeCell ref="K284:L284"/>
    <mergeCell ref="B277:D277"/>
    <mergeCell ref="K277:L277"/>
    <mergeCell ref="B278:L278"/>
    <mergeCell ref="B280:B281"/>
    <mergeCell ref="C280:D281"/>
    <mergeCell ref="E280:G280"/>
    <mergeCell ref="H280:J280"/>
    <mergeCell ref="K280:M280"/>
    <mergeCell ref="N289:P289"/>
    <mergeCell ref="K290:L290"/>
    <mergeCell ref="C292:D292"/>
    <mergeCell ref="K292:L292"/>
    <mergeCell ref="C293:D293"/>
    <mergeCell ref="K293:L293"/>
    <mergeCell ref="B286:D286"/>
    <mergeCell ref="K286:L286"/>
    <mergeCell ref="B287:L287"/>
    <mergeCell ref="B289:B290"/>
    <mergeCell ref="C289:D290"/>
    <mergeCell ref="E289:G289"/>
    <mergeCell ref="H289:J289"/>
    <mergeCell ref="K289:M289"/>
    <mergeCell ref="B295:D295"/>
    <mergeCell ref="K295:L295"/>
    <mergeCell ref="B296:L296"/>
    <mergeCell ref="B297:J297"/>
    <mergeCell ref="K297:M297"/>
    <mergeCell ref="B300:B301"/>
    <mergeCell ref="C300:D301"/>
    <mergeCell ref="E300:G300"/>
    <mergeCell ref="H300:J300"/>
    <mergeCell ref="K300:M300"/>
    <mergeCell ref="B306:D306"/>
    <mergeCell ref="K306:L306"/>
    <mergeCell ref="B309:M309"/>
    <mergeCell ref="B310:B311"/>
    <mergeCell ref="C310:D311"/>
    <mergeCell ref="E310:H310"/>
    <mergeCell ref="I310:M310"/>
    <mergeCell ref="N300:P300"/>
    <mergeCell ref="K301:L301"/>
    <mergeCell ref="C303:D303"/>
    <mergeCell ref="K303:L303"/>
    <mergeCell ref="C304:D304"/>
    <mergeCell ref="K304:L304"/>
    <mergeCell ref="C305:D305"/>
    <mergeCell ref="K305:L305"/>
    <mergeCell ref="B314:D314"/>
    <mergeCell ref="G314:H314"/>
    <mergeCell ref="K314:M314"/>
    <mergeCell ref="C315:D315"/>
    <mergeCell ref="G315:H315"/>
    <mergeCell ref="K315:M315"/>
    <mergeCell ref="N310:P310"/>
    <mergeCell ref="G311:H311"/>
    <mergeCell ref="K311:M311"/>
    <mergeCell ref="C313:D313"/>
    <mergeCell ref="G313:H313"/>
    <mergeCell ref="K313:M313"/>
    <mergeCell ref="B321:B322"/>
    <mergeCell ref="C321:D322"/>
    <mergeCell ref="E321:G321"/>
    <mergeCell ref="H321:J321"/>
    <mergeCell ref="K321:M321"/>
    <mergeCell ref="K322:L322"/>
    <mergeCell ref="C316:D316"/>
    <mergeCell ref="G316:H316"/>
    <mergeCell ref="K316:M316"/>
    <mergeCell ref="B318:D318"/>
    <mergeCell ref="G318:H318"/>
    <mergeCell ref="K318:M318"/>
    <mergeCell ref="C317:D317"/>
    <mergeCell ref="G317:H317"/>
    <mergeCell ref="K317:M317"/>
    <mergeCell ref="F332:H332"/>
    <mergeCell ref="I332:M332"/>
    <mergeCell ref="B333:E333"/>
    <mergeCell ref="F333:H333"/>
    <mergeCell ref="I333:M333"/>
    <mergeCell ref="C324:D324"/>
    <mergeCell ref="K324:L324"/>
    <mergeCell ref="C325:D325"/>
    <mergeCell ref="K325:L325"/>
    <mergeCell ref="B327:D327"/>
    <mergeCell ref="K327:L327"/>
    <mergeCell ref="C326:D326"/>
    <mergeCell ref="K326:L326"/>
    <mergeCell ref="B328:L328"/>
    <mergeCell ref="B332:E332"/>
    <mergeCell ref="B368:H368"/>
    <mergeCell ref="B369:H369"/>
    <mergeCell ref="B370:H370"/>
    <mergeCell ref="B371:H371"/>
    <mergeCell ref="B372:H372"/>
    <mergeCell ref="B373:H373"/>
    <mergeCell ref="B339:B340"/>
    <mergeCell ref="B341:B342"/>
    <mergeCell ref="B343:B344"/>
    <mergeCell ref="B345:B350"/>
    <mergeCell ref="B351:B352"/>
    <mergeCell ref="B353:B356"/>
    <mergeCell ref="B359:H359"/>
    <mergeCell ref="B360:H360"/>
    <mergeCell ref="B361:H361"/>
    <mergeCell ref="B362:H362"/>
    <mergeCell ref="B363:H363"/>
    <mergeCell ref="B364:H364"/>
    <mergeCell ref="B365:H365"/>
    <mergeCell ref="C337:G337"/>
    <mergeCell ref="B334:E334"/>
    <mergeCell ref="F334:H334"/>
    <mergeCell ref="I334:M334"/>
    <mergeCell ref="B335:E335"/>
    <mergeCell ref="F335:H335"/>
    <mergeCell ref="I335:M335"/>
    <mergeCell ref="B366:H366"/>
    <mergeCell ref="B367:H367"/>
    <mergeCell ref="I359:M359"/>
    <mergeCell ref="I360:M360"/>
    <mergeCell ref="I361:M361"/>
    <mergeCell ref="I362:M362"/>
    <mergeCell ref="I363:M363"/>
    <mergeCell ref="I364:M364"/>
    <mergeCell ref="I365:M365"/>
    <mergeCell ref="I366:M366"/>
    <mergeCell ref="I367:M367"/>
    <mergeCell ref="BF168:BI168"/>
    <mergeCell ref="B383:H383"/>
    <mergeCell ref="B393:H393"/>
    <mergeCell ref="B394:H394"/>
    <mergeCell ref="B384:H384"/>
    <mergeCell ref="B385:H385"/>
    <mergeCell ref="B386:H386"/>
    <mergeCell ref="B387:H387"/>
    <mergeCell ref="B388:H388"/>
    <mergeCell ref="B389:H389"/>
    <mergeCell ref="B390:H390"/>
    <mergeCell ref="B391:H391"/>
    <mergeCell ref="B392:H392"/>
    <mergeCell ref="B374:H374"/>
    <mergeCell ref="B375:H375"/>
    <mergeCell ref="B376:H376"/>
    <mergeCell ref="B377:H377"/>
    <mergeCell ref="B378:H378"/>
    <mergeCell ref="B379:H379"/>
    <mergeCell ref="B380:H380"/>
    <mergeCell ref="B381:H381"/>
    <mergeCell ref="B382:H382"/>
    <mergeCell ref="B336:E336"/>
    <mergeCell ref="F336:M336"/>
  </mergeCells>
  <conditionalFormatting sqref="F336 K297:L297">
    <cfRule type="cellIs" dxfId="26" priority="105" operator="equal">
      <formula>"No"</formula>
    </cfRule>
  </conditionalFormatting>
  <conditionalFormatting sqref="K233:K234">
    <cfRule type="expression" dxfId="25" priority="104">
      <formula>IFERROR(AND(K233&gt;0.1,K233&lt;&gt;""),FALSE)</formula>
    </cfRule>
  </conditionalFormatting>
  <conditionalFormatting sqref="B324:M325 B315:M316 B274:M275 B283:M284 B263:M264 B303:M304 B292:M293">
    <cfRule type="expression" dxfId="24" priority="103">
      <formula>AND(DESPath=3,OR($B263="District Cooling",$B263="District Hot Water",$B263="District Steam"))</formula>
    </cfRule>
  </conditionalFormatting>
  <conditionalFormatting sqref="B359:H394">
    <cfRule type="expression" dxfId="23" priority="102">
      <formula>IF($R359=TRUE,TRUE,FALSE)</formula>
    </cfRule>
  </conditionalFormatting>
  <conditionalFormatting sqref="I359:M394">
    <cfRule type="expression" dxfId="22" priority="101">
      <formula>IF($R359=TRUE,TRUE,FALSE)</formula>
    </cfRule>
  </conditionalFormatting>
  <conditionalFormatting sqref="E233:J234">
    <cfRule type="expression" dxfId="21" priority="1311">
      <formula>AND(DESPath=3,$B$253=$B233,ISERROR(1/VLOOKUP($B233,PO_Enrgy_7_Table,MATCH($G$223,PO_Enrgy_7_Hdr,0),FALSE)))</formula>
    </cfRule>
  </conditionalFormatting>
  <conditionalFormatting sqref="K235">
    <cfRule type="expression" dxfId="20" priority="8">
      <formula>IFERROR(AND(K235&gt;0.1,K235&lt;&gt;""),FALSE)</formula>
    </cfRule>
  </conditionalFormatting>
  <conditionalFormatting sqref="E235:J235">
    <cfRule type="expression" dxfId="19" priority="9">
      <formula>AND(DESPath=3,$B$253=$B235,ISERROR(1/VLOOKUP($B235,PO_Enrgy_7_Table,MATCH($G$223,PO_Enrgy_7_Hdr,0),FALSE)))</formula>
    </cfRule>
  </conditionalFormatting>
  <conditionalFormatting sqref="B265:M265">
    <cfRule type="expression" dxfId="18" priority="7">
      <formula>AND(DESPath=3,OR($B265="District Cooling",$B265="District Hot Water",$B265="District Steam"))</formula>
    </cfRule>
  </conditionalFormatting>
  <conditionalFormatting sqref="B276:M276">
    <cfRule type="expression" dxfId="17" priority="6">
      <formula>AND(DESPath=3,OR($B276="District Cooling",$B276="District Hot Water",$B276="District Steam"))</formula>
    </cfRule>
  </conditionalFormatting>
  <conditionalFormatting sqref="B285:M285">
    <cfRule type="expression" dxfId="16" priority="5">
      <formula>AND(DESPath=3,OR($B285="District Cooling",$B285="District Hot Water",$B285="District Steam"))</formula>
    </cfRule>
  </conditionalFormatting>
  <conditionalFormatting sqref="B294:M294">
    <cfRule type="expression" dxfId="15" priority="4">
      <formula>AND(DESPath=3,OR($B294="District Cooling",$B294="District Hot Water",$B294="District Steam"))</formula>
    </cfRule>
  </conditionalFormatting>
  <conditionalFormatting sqref="B305:M305">
    <cfRule type="expression" dxfId="14" priority="3">
      <formula>AND(DESPath=3,OR($B305="District Cooling",$B305="District Hot Water",$B305="District Steam"))</formula>
    </cfRule>
  </conditionalFormatting>
  <conditionalFormatting sqref="B317:M317">
    <cfRule type="expression" dxfId="13" priority="2">
      <formula>AND(DESPath=3,OR($B317="District Cooling",$B317="District Hot Water",$B317="District Steam"))</formula>
    </cfRule>
  </conditionalFormatting>
  <conditionalFormatting sqref="B326:M326">
    <cfRule type="expression" dxfId="12" priority="1">
      <formula>AND(DESPath=3,OR($B326="District Cooling",$B326="District Hot Water",$B326="District Steam"))</formula>
    </cfRule>
  </conditionalFormatting>
  <dataValidations count="21">
    <dataValidation type="list" errorStyle="warning" allowBlank="1" showInputMessage="1" showErrorMessage="1" errorTitle="Required Input" error="The units must be selected from the provided list." promptTitle="Select the demand units:" sqref="E17:E19" xr:uid="{00000000-0002-0000-1400-000000000000}">
      <formula1>DemandUnits</formula1>
    </dataValidation>
    <dataValidation type="list" allowBlank="1" showInputMessage="1" showErrorMessage="1" errorTitle="Invalid Entry" error="Please select from the list of values shown." promptTitle="Project Energy Types" sqref="B17:B19" xr:uid="{00000000-0002-0000-1400-000001000000}">
      <formula1>FuelTypes</formula1>
    </dataValidation>
    <dataValidation allowBlank="1" showInputMessage="1" showErrorMessage="1" promptTitle="Utility Rate Name" sqref="N17:O19 F17:F19" xr:uid="{00000000-0002-0000-1400-000002000000}"/>
    <dataValidation type="list" allowBlank="1" showInputMessage="1" showErrorMessage="1" errorTitle="Required Input" error="The units must be selected from the provided list." promptTitle="Energy Consumption Units:" sqref="C17:C19" xr:uid="{00000000-0002-0000-1400-000003000000}">
      <formula1>ConsumptionUnits</formula1>
    </dataValidation>
    <dataValidation type="list" allowBlank="1" showInputMessage="1" promptTitle="Utility Rate Structure" sqref="H17:H19" xr:uid="{00000000-0002-0000-1400-000004000000}">
      <formula1>UtilityRateStructure</formula1>
    </dataValidation>
    <dataValidation allowBlank="1" showErrorMessage="1" sqref="B320 B308:B309 B288 B270 B237 B299 B246 B251 B279 B255" xr:uid="{00000000-0002-0000-1400-000005000000}"/>
    <dataValidation type="list" allowBlank="1" promptTitle="Fossil Fuel" prompt="Select the fossil fuel used within the District Plant for generating District Cooling (if applicable)." sqref="B253" xr:uid="{00000000-0002-0000-1400-000006000000}">
      <formula1>INDEX(PO_Enrgy_1_Table,,1)</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219" xr:uid="{00000000-0002-0000-1400-000007000000}">
      <formula1>PO_EnergyType</formula1>
    </dataValidation>
    <dataValidation type="list" showInputMessage="1" sqref="D171:D218 D97:D144" xr:uid="{00000000-0002-0000-1400-000008000000}">
      <formula1>" x"</formula1>
    </dataValidation>
    <dataValidation allowBlank="1" showInputMessage="1" sqref="H33:H34" xr:uid="{00000000-0002-0000-1400-000009000000}"/>
    <dataValidation allowBlank="1" showErrorMessage="1" promptTitle="Calculated Automatically" prompt="This value is calculated automatically based on the virtual energy rates" sqref="T33:T34 J33:J34" xr:uid="{00000000-0002-0000-1400-00000A000000}"/>
    <dataValidation type="list" allowBlank="1" showInputMessage="1" promptTitle="Renewable Source" sqref="B33:D34" xr:uid="{00000000-0002-0000-1400-00000B000000}">
      <formula1>RenewableSource</formula1>
    </dataValidation>
    <dataValidation type="list" allowBlank="1" showInputMessage="1" showErrorMessage="1" promptTitle="Energy Type" sqref="E33:E34" xr:uid="{00000000-0002-0000-1400-00000C000000}">
      <formula1>INDEX(PO_Enrgy_1_Table,,1)</formula1>
    </dataValidation>
    <dataValidation allowBlank="1" promptTitle="Energy End Use" prompt="Select the energy end use or enter the end use if not listed." sqref="B171:C218 B97:C144" xr:uid="{00000000-0002-0000-1400-00000D000000}"/>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20:L21" xr:uid="{00000000-0002-0000-1400-00000E000000}">
      <formula1>ConsumptionUnits</formula1>
    </dataValidation>
    <dataValidation type="whole" allowBlank="1" showErrorMessage="1" errorTitle="Input Error" error="Please enter a whole number between 0 and 8,760 hours." sqref="F333:F334" xr:uid="{00000000-0002-0000-1400-00000F000000}">
      <formula1>0</formula1>
      <formula2>8760</formula2>
    </dataValidation>
    <dataValidation allowBlank="1" showInputMessage="1" showErrorMessage="1" prompt="Enter energy savings as a positive number. If the exceptional calculation method leads to energy penalties for this energy type (i.e. increased proposed case energy usage or decreased baseline case usage), enter the penalty as a negative number." sqref="AW57:AY60 AS57:AU60" xr:uid="{00000000-0002-0000-1400-000010000000}"/>
    <dataValidation type="list" allowBlank="1" showInputMessage="1" showErrorMessage="1" prompt="Select &quot;Add to Baseline&quot; if the exceptional calculation adjusts the Baseline building energy consumption and cost up, or &quot;Subtract from Proposed&quot; if the exceptional calculation adjusts the Proposed building energy consumption and cost down." sqref="AR57:AR60" xr:uid="{00000000-0002-0000-1400-000011000000}">
      <formula1>"Apply to Baseline, Subtract from Proposed"</formula1>
    </dataValidation>
    <dataValidation allowBlank="1" showInputMessage="1" showErrorMessage="1" errorTitle="Not a valid energy type" error="This energy type has not yet been listed in the energy sources table above. Please fill out the energy sources table above; then select from the list of energy types." sqref="B57:C60" xr:uid="{00000000-0002-0000-1400-000012000000}"/>
    <dataValidation type="list" allowBlank="1" showInputMessage="1" showErrorMessage="1" sqref="F57:F60" xr:uid="{00000000-0002-0000-1400-000013000000}">
      <formula1>"Add to Baseline, Subtract from Proposed"</formula1>
    </dataValidation>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97:E144 E171:E218 C61:D61 D57:D60" xr:uid="{00000000-0002-0000-1400-000014000000}">
      <formula1>INDEX(PO_Enrgy_1_Table,,1)</formula1>
    </dataValidation>
  </dataValidations>
  <pageMargins left="0.5" right="0.5" top="0.75" bottom="0.75" header="0.5" footer="0.5"/>
  <pageSetup scale="10" orientation="landscape" r:id="rId1"/>
  <headerFooter alignWithMargins="0">
    <oddFooter>&amp;LU S Green Building Council&amp;C&amp;"Arial,Bold"&amp;A&amp;RLEED&amp;XTM&amp;X v. 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0771" r:id="rId4" name="btnAddRenewable">
              <controlPr defaultSize="0" print="0" autoFill="0" autoPict="0" macro="[0]!addA">
                <anchor moveWithCells="1">
                  <from>
                    <xdr:col>1</xdr:col>
                    <xdr:colOff>57150</xdr:colOff>
                    <xdr:row>43</xdr:row>
                    <xdr:rowOff>104775</xdr:rowOff>
                  </from>
                  <to>
                    <xdr:col>1</xdr:col>
                    <xdr:colOff>1419225</xdr:colOff>
                    <xdr:row>43</xdr:row>
                    <xdr:rowOff>371475</xdr:rowOff>
                  </to>
                </anchor>
              </controlPr>
            </control>
          </mc:Choice>
        </mc:AlternateContent>
        <mc:AlternateContent xmlns:mc="http://schemas.openxmlformats.org/markup-compatibility/2006">
          <mc:Choice Requires="x14">
            <control shapeId="160772" r:id="rId5" name="btbDeleteRenewable">
              <controlPr defaultSize="0" print="0" autoFill="0" autoPict="0" macro="[0]!DeleteSome">
                <anchor moveWithCells="1">
                  <from>
                    <xdr:col>2</xdr:col>
                    <xdr:colOff>28575</xdr:colOff>
                    <xdr:row>43</xdr:row>
                    <xdr:rowOff>104775</xdr:rowOff>
                  </from>
                  <to>
                    <xdr:col>2</xdr:col>
                    <xdr:colOff>1400175</xdr:colOff>
                    <xdr:row>43</xdr:row>
                    <xdr:rowOff>371475</xdr:rowOff>
                  </to>
                </anchor>
              </controlPr>
            </control>
          </mc:Choice>
        </mc:AlternateContent>
        <mc:AlternateContent xmlns:mc="http://schemas.openxmlformats.org/markup-compatibility/2006">
          <mc:Choice Requires="x14">
            <control shapeId="160773" r:id="rId6" name="rbOutputReporting1">
              <controlPr defaultSize="0" autoFill="0" autoLine="0" autoPict="0" macro="[0]!ShowBaselineTable">
                <anchor moveWithCells="1">
                  <from>
                    <xdr:col>1</xdr:col>
                    <xdr:colOff>95250</xdr:colOff>
                    <xdr:row>76</xdr:row>
                    <xdr:rowOff>57150</xdr:rowOff>
                  </from>
                  <to>
                    <xdr:col>1</xdr:col>
                    <xdr:colOff>438150</xdr:colOff>
                    <xdr:row>76</xdr:row>
                    <xdr:rowOff>266700</xdr:rowOff>
                  </to>
                </anchor>
              </controlPr>
            </control>
          </mc:Choice>
        </mc:AlternateContent>
        <mc:AlternateContent xmlns:mc="http://schemas.openxmlformats.org/markup-compatibility/2006">
          <mc:Choice Requires="x14">
            <control shapeId="160774" r:id="rId7" name="rbOutputReporting2">
              <controlPr defaultSize="0" autoFill="0" autoLine="0" autoPict="0" macro="[0]!HideBaselineTable">
                <anchor moveWithCells="1">
                  <from>
                    <xdr:col>1</xdr:col>
                    <xdr:colOff>95250</xdr:colOff>
                    <xdr:row>77</xdr:row>
                    <xdr:rowOff>57150</xdr:rowOff>
                  </from>
                  <to>
                    <xdr:col>1</xdr:col>
                    <xdr:colOff>419100</xdr:colOff>
                    <xdr:row>78</xdr:row>
                    <xdr:rowOff>190500</xdr:rowOff>
                  </to>
                </anchor>
              </controlPr>
            </control>
          </mc:Choice>
        </mc:AlternateContent>
        <mc:AlternateContent xmlns:mc="http://schemas.openxmlformats.org/markup-compatibility/2006">
          <mc:Choice Requires="x14">
            <control shapeId="160775" r:id="rId8" name="rbOutputReporting4">
              <controlPr defaultSize="0" autoFill="0" autoLine="0" autoPict="0" macro="[0]!HideBaselineTable">
                <anchor moveWithCells="1">
                  <from>
                    <xdr:col>1</xdr:col>
                    <xdr:colOff>95250</xdr:colOff>
                    <xdr:row>81</xdr:row>
                    <xdr:rowOff>57150</xdr:rowOff>
                  </from>
                  <to>
                    <xdr:col>1</xdr:col>
                    <xdr:colOff>438150</xdr:colOff>
                    <xdr:row>82</xdr:row>
                    <xdr:rowOff>209550</xdr:rowOff>
                  </to>
                </anchor>
              </controlPr>
            </control>
          </mc:Choice>
        </mc:AlternateContent>
        <mc:AlternateContent xmlns:mc="http://schemas.openxmlformats.org/markup-compatibility/2006">
          <mc:Choice Requires="x14">
            <control shapeId="160776" r:id="rId9" name="rbgOutputReporting">
              <controlPr defaultSize="0" print="0" autoFill="0" autoPict="0">
                <anchor moveWithCells="1">
                  <from>
                    <xdr:col>0</xdr:col>
                    <xdr:colOff>133350</xdr:colOff>
                    <xdr:row>74</xdr:row>
                    <xdr:rowOff>361950</xdr:rowOff>
                  </from>
                  <to>
                    <xdr:col>13</xdr:col>
                    <xdr:colOff>0</xdr:colOff>
                    <xdr:row>84</xdr:row>
                    <xdr:rowOff>0</xdr:rowOff>
                  </to>
                </anchor>
              </controlPr>
            </control>
          </mc:Choice>
        </mc:AlternateContent>
        <mc:AlternateContent xmlns:mc="http://schemas.openxmlformats.org/markup-compatibility/2006">
          <mc:Choice Requires="x14">
            <control shapeId="160777" r:id="rId10" name="SiteRenewable Checkbox">
              <controlPr defaultSize="0" autoFill="0" autoLine="0" autoPict="0" macro="[0]!SiteRenewable_Change">
                <anchor moveWithCells="1">
                  <from>
                    <xdr:col>1</xdr:col>
                    <xdr:colOff>57150</xdr:colOff>
                    <xdr:row>24</xdr:row>
                    <xdr:rowOff>95250</xdr:rowOff>
                  </from>
                  <to>
                    <xdr:col>1</xdr:col>
                    <xdr:colOff>400050</xdr:colOff>
                    <xdr:row>25</xdr:row>
                    <xdr:rowOff>209550</xdr:rowOff>
                  </to>
                </anchor>
              </controlPr>
            </control>
          </mc:Choice>
        </mc:AlternateContent>
        <mc:AlternateContent xmlns:mc="http://schemas.openxmlformats.org/markup-compatibility/2006">
          <mc:Choice Requires="x14">
            <control shapeId="160778" r:id="rId11" name="ExcCalcCheckbox">
              <controlPr locked="0" defaultSize="0" autoFill="0" autoLine="0" autoPict="0" macro="[0]!ExCalc_Change">
                <anchor moveWithCells="1">
                  <from>
                    <xdr:col>1</xdr:col>
                    <xdr:colOff>19050</xdr:colOff>
                    <xdr:row>46</xdr:row>
                    <xdr:rowOff>76200</xdr:rowOff>
                  </from>
                  <to>
                    <xdr:col>1</xdr:col>
                    <xdr:colOff>400050</xdr:colOff>
                    <xdr:row>47</xdr:row>
                    <xdr:rowOff>247650</xdr:rowOff>
                  </to>
                </anchor>
              </controlPr>
            </control>
          </mc:Choice>
        </mc:AlternateContent>
        <mc:AlternateContent xmlns:mc="http://schemas.openxmlformats.org/markup-compatibility/2006">
          <mc:Choice Requires="x14">
            <control shapeId="160779" r:id="rId12" name="rbOutputReporting3">
              <controlPr defaultSize="0" autoFill="0" autoLine="0" autoPict="0" macro="[0]!HideBaselineTable">
                <anchor moveWithCells="1">
                  <from>
                    <xdr:col>1</xdr:col>
                    <xdr:colOff>95250</xdr:colOff>
                    <xdr:row>79</xdr:row>
                    <xdr:rowOff>57150</xdr:rowOff>
                  </from>
                  <to>
                    <xdr:col>1</xdr:col>
                    <xdr:colOff>419100</xdr:colOff>
                    <xdr:row>80</xdr:row>
                    <xdr:rowOff>209550</xdr:rowOff>
                  </to>
                </anchor>
              </controlPr>
            </control>
          </mc:Choice>
        </mc:AlternateContent>
        <mc:AlternateContent xmlns:mc="http://schemas.openxmlformats.org/markup-compatibility/2006">
          <mc:Choice Requires="x14">
            <control shapeId="160780" r:id="rId13" name="btnRestoreRenewCost">
              <controlPr defaultSize="0" print="0" autoFill="0" autoPict="0" macro="[0]!Copy_Default_Renewable_Cost">
                <anchor moveWithCells="1">
                  <from>
                    <xdr:col>10</xdr:col>
                    <xdr:colOff>428625</xdr:colOff>
                    <xdr:row>43</xdr:row>
                    <xdr:rowOff>152400</xdr:rowOff>
                  </from>
                  <to>
                    <xdr:col>12</xdr:col>
                    <xdr:colOff>1076325</xdr:colOff>
                    <xdr:row>43</xdr:row>
                    <xdr:rowOff>409575</xdr:rowOff>
                  </to>
                </anchor>
              </controlPr>
            </control>
          </mc:Choice>
        </mc:AlternateContent>
        <mc:AlternateContent xmlns:mc="http://schemas.openxmlformats.org/markup-compatibility/2006">
          <mc:Choice Requires="x14">
            <control shapeId="160781" r:id="rId14" name="btnAddExCalc">
              <controlPr defaultSize="0" print="0" autoFill="0" autoPict="0" macro="[0]!addB">
                <anchor moveWithCells="1">
                  <from>
                    <xdr:col>1</xdr:col>
                    <xdr:colOff>57150</xdr:colOff>
                    <xdr:row>71</xdr:row>
                    <xdr:rowOff>171450</xdr:rowOff>
                  </from>
                  <to>
                    <xdr:col>1</xdr:col>
                    <xdr:colOff>1419225</xdr:colOff>
                    <xdr:row>71</xdr:row>
                    <xdr:rowOff>438150</xdr:rowOff>
                  </to>
                </anchor>
              </controlPr>
            </control>
          </mc:Choice>
        </mc:AlternateContent>
        <mc:AlternateContent xmlns:mc="http://schemas.openxmlformats.org/markup-compatibility/2006">
          <mc:Choice Requires="x14">
            <control shapeId="160782" r:id="rId15" name="btnDeleteExCalc">
              <controlPr defaultSize="0" print="0" autoFill="0" autoPict="0" macro="[0]!DeleteSome">
                <anchor moveWithCells="1">
                  <from>
                    <xdr:col>2</xdr:col>
                    <xdr:colOff>57150</xdr:colOff>
                    <xdr:row>71</xdr:row>
                    <xdr:rowOff>161925</xdr:rowOff>
                  </from>
                  <to>
                    <xdr:col>2</xdr:col>
                    <xdr:colOff>1428750</xdr:colOff>
                    <xdr:row>71</xdr:row>
                    <xdr:rowOff>438150</xdr:rowOff>
                  </to>
                </anchor>
              </controlPr>
            </control>
          </mc:Choice>
        </mc:AlternateContent>
        <mc:AlternateContent xmlns:mc="http://schemas.openxmlformats.org/markup-compatibility/2006">
          <mc:Choice Requires="x14">
            <control shapeId="160783" r:id="rId16" name="btnRestoreExCalCost">
              <controlPr defaultSize="0" print="0" autoFill="0" autoPict="0" macro="[0]!Copy_Default_ExCalc_Cost">
                <anchor moveWithCells="1">
                  <from>
                    <xdr:col>10</xdr:col>
                    <xdr:colOff>428625</xdr:colOff>
                    <xdr:row>71</xdr:row>
                    <xdr:rowOff>142875</xdr:rowOff>
                  </from>
                  <to>
                    <xdr:col>12</xdr:col>
                    <xdr:colOff>1076325</xdr:colOff>
                    <xdr:row>71</xdr:row>
                    <xdr:rowOff>400050</xdr:rowOff>
                  </to>
                </anchor>
              </controlPr>
            </control>
          </mc:Choice>
        </mc:AlternateContent>
        <mc:AlternateContent xmlns:mc="http://schemas.openxmlformats.org/markup-compatibility/2006">
          <mc:Choice Requires="x14">
            <control shapeId="160790" r:id="rId17" name="Button 22">
              <controlPr defaultSize="0" print="0" autoFill="0" autoPict="0" macro="[0]!Copy_Default_PO_VR_Table">
                <anchor moveWithCells="1">
                  <from>
                    <xdr:col>10</xdr:col>
                    <xdr:colOff>523875</xdr:colOff>
                    <xdr:row>235</xdr:row>
                    <xdr:rowOff>142875</xdr:rowOff>
                  </from>
                  <to>
                    <xdr:col>12</xdr:col>
                    <xdr:colOff>1171575</xdr:colOff>
                    <xdr:row>236</xdr:row>
                    <xdr:rowOff>0</xdr:rowOff>
                  </to>
                </anchor>
              </controlPr>
            </control>
          </mc:Choice>
        </mc:AlternateContent>
        <mc:AlternateContent xmlns:mc="http://schemas.openxmlformats.org/markup-compatibility/2006">
          <mc:Choice Requires="x14">
            <control shapeId="160793" r:id="rId18" name="Button 25">
              <controlPr defaultSize="0" print="0" autoFill="0" autoPict="0" macro="[0]!addA">
                <anchor moveWithCells="1">
                  <from>
                    <xdr:col>1</xdr:col>
                    <xdr:colOff>57150</xdr:colOff>
                    <xdr:row>43</xdr:row>
                    <xdr:rowOff>104775</xdr:rowOff>
                  </from>
                  <to>
                    <xdr:col>1</xdr:col>
                    <xdr:colOff>1419225</xdr:colOff>
                    <xdr:row>43</xdr:row>
                    <xdr:rowOff>371475</xdr:rowOff>
                  </to>
                </anchor>
              </controlPr>
            </control>
          </mc:Choice>
        </mc:AlternateContent>
        <mc:AlternateContent xmlns:mc="http://schemas.openxmlformats.org/markup-compatibility/2006">
          <mc:Choice Requires="x14">
            <control shapeId="160794" r:id="rId19" name="Button 26">
              <controlPr defaultSize="0" print="0" autoFill="0" autoPict="0" macro="[0]!DeleteSome">
                <anchor moveWithCells="1">
                  <from>
                    <xdr:col>2</xdr:col>
                    <xdr:colOff>28575</xdr:colOff>
                    <xdr:row>43</xdr:row>
                    <xdr:rowOff>104775</xdr:rowOff>
                  </from>
                  <to>
                    <xdr:col>2</xdr:col>
                    <xdr:colOff>1400175</xdr:colOff>
                    <xdr:row>43</xdr:row>
                    <xdr:rowOff>371475</xdr:rowOff>
                  </to>
                </anchor>
              </controlPr>
            </control>
          </mc:Choice>
        </mc:AlternateContent>
        <mc:AlternateContent xmlns:mc="http://schemas.openxmlformats.org/markup-compatibility/2006">
          <mc:Choice Requires="x14">
            <control shapeId="160795" r:id="rId20" name="Option Button 27">
              <controlPr defaultSize="0" autoFill="0" autoLine="0" autoPict="0" macro="[0]!ShowBaselineTable">
                <anchor moveWithCells="1">
                  <from>
                    <xdr:col>1</xdr:col>
                    <xdr:colOff>123825</xdr:colOff>
                    <xdr:row>76</xdr:row>
                    <xdr:rowOff>57150</xdr:rowOff>
                  </from>
                  <to>
                    <xdr:col>1</xdr:col>
                    <xdr:colOff>466725</xdr:colOff>
                    <xdr:row>76</xdr:row>
                    <xdr:rowOff>266700</xdr:rowOff>
                  </to>
                </anchor>
              </controlPr>
            </control>
          </mc:Choice>
        </mc:AlternateContent>
        <mc:AlternateContent xmlns:mc="http://schemas.openxmlformats.org/markup-compatibility/2006">
          <mc:Choice Requires="x14">
            <control shapeId="160796" r:id="rId21" name="Option Button 28">
              <controlPr defaultSize="0" autoFill="0" autoLine="0" autoPict="0" macro="[0]!HideBaselineTable">
                <anchor moveWithCells="1">
                  <from>
                    <xdr:col>1</xdr:col>
                    <xdr:colOff>95250</xdr:colOff>
                    <xdr:row>77</xdr:row>
                    <xdr:rowOff>57150</xdr:rowOff>
                  </from>
                  <to>
                    <xdr:col>1</xdr:col>
                    <xdr:colOff>419100</xdr:colOff>
                    <xdr:row>78</xdr:row>
                    <xdr:rowOff>190500</xdr:rowOff>
                  </to>
                </anchor>
              </controlPr>
            </control>
          </mc:Choice>
        </mc:AlternateContent>
        <mc:AlternateContent xmlns:mc="http://schemas.openxmlformats.org/markup-compatibility/2006">
          <mc:Choice Requires="x14">
            <control shapeId="160797" r:id="rId22" name="Option Button 29">
              <controlPr defaultSize="0" autoFill="0" autoLine="0" autoPict="0" macro="[0]!HideBaselineTable">
                <anchor moveWithCells="1">
                  <from>
                    <xdr:col>1</xdr:col>
                    <xdr:colOff>95250</xdr:colOff>
                    <xdr:row>81</xdr:row>
                    <xdr:rowOff>57150</xdr:rowOff>
                  </from>
                  <to>
                    <xdr:col>1</xdr:col>
                    <xdr:colOff>438150</xdr:colOff>
                    <xdr:row>82</xdr:row>
                    <xdr:rowOff>209550</xdr:rowOff>
                  </to>
                </anchor>
              </controlPr>
            </control>
          </mc:Choice>
        </mc:AlternateContent>
        <mc:AlternateContent xmlns:mc="http://schemas.openxmlformats.org/markup-compatibility/2006">
          <mc:Choice Requires="x14">
            <control shapeId="160798" r:id="rId23" name="Group Box 30">
              <controlPr defaultSize="0" print="0" autoFill="0" autoPict="0">
                <anchor moveWithCells="1">
                  <from>
                    <xdr:col>0</xdr:col>
                    <xdr:colOff>133350</xdr:colOff>
                    <xdr:row>74</xdr:row>
                    <xdr:rowOff>361950</xdr:rowOff>
                  </from>
                  <to>
                    <xdr:col>13</xdr:col>
                    <xdr:colOff>0</xdr:colOff>
                    <xdr:row>84</xdr:row>
                    <xdr:rowOff>0</xdr:rowOff>
                  </to>
                </anchor>
              </controlPr>
            </control>
          </mc:Choice>
        </mc:AlternateContent>
        <mc:AlternateContent xmlns:mc="http://schemas.openxmlformats.org/markup-compatibility/2006">
          <mc:Choice Requires="x14">
            <control shapeId="160799" r:id="rId24" name="Check Box 31">
              <controlPr defaultSize="0" autoFill="0" autoLine="0" autoPict="0" macro="[0]!SiteRenewable_Change">
                <anchor moveWithCells="1">
                  <from>
                    <xdr:col>1</xdr:col>
                    <xdr:colOff>57150</xdr:colOff>
                    <xdr:row>24</xdr:row>
                    <xdr:rowOff>95250</xdr:rowOff>
                  </from>
                  <to>
                    <xdr:col>1</xdr:col>
                    <xdr:colOff>400050</xdr:colOff>
                    <xdr:row>25</xdr:row>
                    <xdr:rowOff>209550</xdr:rowOff>
                  </to>
                </anchor>
              </controlPr>
            </control>
          </mc:Choice>
        </mc:AlternateContent>
        <mc:AlternateContent xmlns:mc="http://schemas.openxmlformats.org/markup-compatibility/2006">
          <mc:Choice Requires="x14">
            <control shapeId="160800" r:id="rId25" name="Check Box 32">
              <controlPr locked="0" defaultSize="0" autoFill="0" autoLine="0" autoPict="0" macro="[0]!ExCalc_Change">
                <anchor moveWithCells="1">
                  <from>
                    <xdr:col>1</xdr:col>
                    <xdr:colOff>19050</xdr:colOff>
                    <xdr:row>46</xdr:row>
                    <xdr:rowOff>76200</xdr:rowOff>
                  </from>
                  <to>
                    <xdr:col>1</xdr:col>
                    <xdr:colOff>400050</xdr:colOff>
                    <xdr:row>47</xdr:row>
                    <xdr:rowOff>247650</xdr:rowOff>
                  </to>
                </anchor>
              </controlPr>
            </control>
          </mc:Choice>
        </mc:AlternateContent>
        <mc:AlternateContent xmlns:mc="http://schemas.openxmlformats.org/markup-compatibility/2006">
          <mc:Choice Requires="x14">
            <control shapeId="160801" r:id="rId26" name="Option Button 33">
              <controlPr defaultSize="0" autoFill="0" autoLine="0" autoPict="0" macro="[0]!HideBaselineTable">
                <anchor moveWithCells="1">
                  <from>
                    <xdr:col>1</xdr:col>
                    <xdr:colOff>95250</xdr:colOff>
                    <xdr:row>79</xdr:row>
                    <xdr:rowOff>57150</xdr:rowOff>
                  </from>
                  <to>
                    <xdr:col>1</xdr:col>
                    <xdr:colOff>419100</xdr:colOff>
                    <xdr:row>80</xdr:row>
                    <xdr:rowOff>209550</xdr:rowOff>
                  </to>
                </anchor>
              </controlPr>
            </control>
          </mc:Choice>
        </mc:AlternateContent>
        <mc:AlternateContent xmlns:mc="http://schemas.openxmlformats.org/markup-compatibility/2006">
          <mc:Choice Requires="x14">
            <control shapeId="160802" r:id="rId27" name="Button 34">
              <controlPr defaultSize="0" print="0" autoFill="0" autoPict="0" macro="[0]!Copy_Default_Renewable_Cost">
                <anchor moveWithCells="1">
                  <from>
                    <xdr:col>10</xdr:col>
                    <xdr:colOff>428625</xdr:colOff>
                    <xdr:row>43</xdr:row>
                    <xdr:rowOff>152400</xdr:rowOff>
                  </from>
                  <to>
                    <xdr:col>12</xdr:col>
                    <xdr:colOff>1076325</xdr:colOff>
                    <xdr:row>43</xdr:row>
                    <xdr:rowOff>409575</xdr:rowOff>
                  </to>
                </anchor>
              </controlPr>
            </control>
          </mc:Choice>
        </mc:AlternateContent>
        <mc:AlternateContent xmlns:mc="http://schemas.openxmlformats.org/markup-compatibility/2006">
          <mc:Choice Requires="x14">
            <control shapeId="160803" r:id="rId28" name="Button 35">
              <controlPr defaultSize="0" print="0" autoFill="0" autoPict="0" macro="[0]!addB">
                <anchor moveWithCells="1">
                  <from>
                    <xdr:col>1</xdr:col>
                    <xdr:colOff>57150</xdr:colOff>
                    <xdr:row>71</xdr:row>
                    <xdr:rowOff>171450</xdr:rowOff>
                  </from>
                  <to>
                    <xdr:col>1</xdr:col>
                    <xdr:colOff>1419225</xdr:colOff>
                    <xdr:row>71</xdr:row>
                    <xdr:rowOff>438150</xdr:rowOff>
                  </to>
                </anchor>
              </controlPr>
            </control>
          </mc:Choice>
        </mc:AlternateContent>
        <mc:AlternateContent xmlns:mc="http://schemas.openxmlformats.org/markup-compatibility/2006">
          <mc:Choice Requires="x14">
            <control shapeId="160804" r:id="rId29" name="Button 36">
              <controlPr defaultSize="0" print="0" autoFill="0" autoPict="0" macro="[0]!DeleteSome">
                <anchor moveWithCells="1">
                  <from>
                    <xdr:col>2</xdr:col>
                    <xdr:colOff>57150</xdr:colOff>
                    <xdr:row>71</xdr:row>
                    <xdr:rowOff>161925</xdr:rowOff>
                  </from>
                  <to>
                    <xdr:col>2</xdr:col>
                    <xdr:colOff>1428750</xdr:colOff>
                    <xdr:row>71</xdr:row>
                    <xdr:rowOff>438150</xdr:rowOff>
                  </to>
                </anchor>
              </controlPr>
            </control>
          </mc:Choice>
        </mc:AlternateContent>
        <mc:AlternateContent xmlns:mc="http://schemas.openxmlformats.org/markup-compatibility/2006">
          <mc:Choice Requires="x14">
            <control shapeId="160805" r:id="rId30" name="Button 37">
              <controlPr defaultSize="0" print="0" autoFill="0" autoPict="0" macro="[0]!Copy_Default_ExCalc_Cost">
                <anchor moveWithCells="1">
                  <from>
                    <xdr:col>10</xdr:col>
                    <xdr:colOff>428625</xdr:colOff>
                    <xdr:row>71</xdr:row>
                    <xdr:rowOff>142875</xdr:rowOff>
                  </from>
                  <to>
                    <xdr:col>12</xdr:col>
                    <xdr:colOff>1076325</xdr:colOff>
                    <xdr:row>71</xdr:row>
                    <xdr:rowOff>400050</xdr:rowOff>
                  </to>
                </anchor>
              </controlPr>
            </control>
          </mc:Choice>
        </mc:AlternateContent>
        <mc:AlternateContent xmlns:mc="http://schemas.openxmlformats.org/markup-compatibility/2006">
          <mc:Choice Requires="x14">
            <control shapeId="160806" r:id="rId31" name="Button 38">
              <controlPr defaultSize="0" print="0" autoFill="0" autoPict="0" macro="[0]!Copy_Default_PO_VR_Table">
                <anchor moveWithCells="1">
                  <from>
                    <xdr:col>10</xdr:col>
                    <xdr:colOff>514350</xdr:colOff>
                    <xdr:row>235</xdr:row>
                    <xdr:rowOff>142875</xdr:rowOff>
                  </from>
                  <to>
                    <xdr:col>12</xdr:col>
                    <xdr:colOff>1162050</xdr:colOff>
                    <xdr:row>236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pageSetUpPr fitToPage="1"/>
  </sheetPr>
  <dimension ref="A1:BC153"/>
  <sheetViews>
    <sheetView showGridLines="0" zoomScale="90" zoomScaleNormal="90" zoomScaleSheetLayoutView="100" zoomScalePageLayoutView="90" workbookViewId="0"/>
  </sheetViews>
  <sheetFormatPr defaultColWidth="8.7109375" defaultRowHeight="12.75" outlineLevelCol="1" x14ac:dyDescent="0.25"/>
  <cols>
    <col min="1" max="1" width="3.85546875" style="671" customWidth="1"/>
    <col min="2" max="2" width="21.42578125" style="671" customWidth="1"/>
    <col min="3" max="3" width="24.42578125" style="671" customWidth="1"/>
    <col min="4" max="4" width="3.7109375" style="671" customWidth="1"/>
    <col min="5" max="5" width="17.42578125" style="671" customWidth="1"/>
    <col min="6" max="6" width="21.140625" style="671" customWidth="1"/>
    <col min="7" max="10" width="19.28515625" style="671" customWidth="1"/>
    <col min="11" max="12" width="8.7109375" style="671" customWidth="1"/>
    <col min="13" max="13" width="17.5703125" style="671" customWidth="1"/>
    <col min="14" max="16" width="2.7109375" style="671" customWidth="1"/>
    <col min="17" max="17" width="19.42578125" style="671" hidden="1" customWidth="1" outlineLevel="1"/>
    <col min="18" max="18" width="13.42578125" style="671" hidden="1" customWidth="1" outlineLevel="1"/>
    <col min="19" max="28" width="9.140625" style="671" hidden="1" customWidth="1" outlineLevel="1"/>
    <col min="29" max="31" width="11.140625" style="671" hidden="1" customWidth="1" outlineLevel="1"/>
    <col min="32" max="32" width="9.7109375" style="671" hidden="1" customWidth="1" outlineLevel="1"/>
    <col min="33" max="33" width="9.140625" style="671" hidden="1" customWidth="1" outlineLevel="1"/>
    <col min="34" max="34" width="12.42578125" style="671" hidden="1" customWidth="1" outlineLevel="1"/>
    <col min="35" max="35" width="9.140625" style="671" hidden="1" customWidth="1" outlineLevel="1"/>
    <col min="36" max="36" width="15.7109375" style="671" hidden="1" customWidth="1" outlineLevel="1"/>
    <col min="37" max="37" width="9.140625" style="671" hidden="1" customWidth="1" outlineLevel="1"/>
    <col min="38" max="38" width="10.28515625" style="671" hidden="1" customWidth="1" outlineLevel="1"/>
    <col min="39" max="39" width="10.42578125" style="671" hidden="1" customWidth="1" outlineLevel="1"/>
    <col min="40" max="40" width="9.140625" style="671" hidden="1" customWidth="1" outlineLevel="1"/>
    <col min="41" max="43" width="14.7109375" style="671" hidden="1" customWidth="1" outlineLevel="1"/>
    <col min="44" max="45" width="9.140625" style="671" hidden="1" customWidth="1" outlineLevel="1"/>
    <col min="46" max="47" width="10.28515625" style="671" hidden="1" customWidth="1" outlineLevel="1"/>
    <col min="48" max="48" width="9.140625" style="671" hidden="1" customWidth="1" outlineLevel="1"/>
    <col min="49" max="50" width="11" style="671" hidden="1" customWidth="1" outlineLevel="1"/>
    <col min="51" max="52" width="9.140625" style="671" hidden="1" customWidth="1" outlineLevel="1"/>
    <col min="53" max="53" width="2.7109375" style="671" customWidth="1" collapsed="1"/>
    <col min="54" max="54" width="2.7109375" style="671" customWidth="1"/>
    <col min="55" max="55" width="50.7109375" style="671" customWidth="1"/>
    <col min="56" max="102" width="9.140625" style="671" customWidth="1"/>
    <col min="103" max="16384" width="8.7109375" style="671"/>
  </cols>
  <sheetData>
    <row r="1" spans="1:39" s="118" customFormat="1" x14ac:dyDescent="0.25">
      <c r="A1" s="1099" t="s">
        <v>1298</v>
      </c>
      <c r="B1" s="629"/>
      <c r="C1" s="629"/>
      <c r="D1" s="629"/>
      <c r="E1" s="629"/>
      <c r="F1" s="629"/>
      <c r="G1" s="629"/>
      <c r="H1" s="629"/>
      <c r="I1" s="629"/>
      <c r="J1" s="629"/>
      <c r="K1" s="629"/>
      <c r="L1" s="629"/>
      <c r="M1" s="629"/>
      <c r="Q1" s="83"/>
      <c r="R1" s="83"/>
      <c r="V1" s="83"/>
      <c r="W1" s="83"/>
      <c r="X1" s="83"/>
      <c r="Y1" s="83"/>
      <c r="Z1" s="83"/>
      <c r="AA1" s="83"/>
      <c r="AB1" s="83"/>
      <c r="AC1" s="83"/>
      <c r="AD1" s="83"/>
      <c r="AE1" s="83"/>
      <c r="AF1" s="83"/>
      <c r="AG1" s="83"/>
      <c r="AH1" s="83"/>
      <c r="AI1" s="83"/>
      <c r="AJ1" s="83"/>
      <c r="AK1" s="83"/>
      <c r="AL1" s="83"/>
      <c r="AM1" s="83"/>
    </row>
    <row r="2" spans="1:39" s="118" customFormat="1" ht="24.75" customHeight="1" x14ac:dyDescent="0.25">
      <c r="A2" s="1099" t="s">
        <v>1298</v>
      </c>
      <c r="B2" s="78" t="s">
        <v>1297</v>
      </c>
      <c r="C2" s="629"/>
      <c r="D2" s="634"/>
      <c r="E2" s="634"/>
      <c r="F2" s="634"/>
      <c r="G2" s="634"/>
      <c r="H2" s="634"/>
      <c r="I2" s="634"/>
      <c r="J2" s="634"/>
      <c r="K2" s="634"/>
      <c r="L2" s="634"/>
      <c r="M2" s="634"/>
      <c r="Q2" s="83"/>
      <c r="R2" s="83"/>
      <c r="V2" s="83"/>
      <c r="W2" s="83"/>
      <c r="X2" s="83"/>
      <c r="Y2" s="83"/>
      <c r="Z2" s="83"/>
      <c r="AA2" s="83"/>
      <c r="AB2" s="83"/>
      <c r="AC2" s="83"/>
      <c r="AD2" s="83"/>
      <c r="AE2" s="83"/>
      <c r="AF2" s="83"/>
      <c r="AG2" s="83"/>
      <c r="AH2" s="83"/>
      <c r="AI2" s="83"/>
      <c r="AJ2" s="83"/>
      <c r="AK2" s="83"/>
      <c r="AL2" s="83"/>
      <c r="AM2" s="83"/>
    </row>
    <row r="3" spans="1:39" s="118" customFormat="1" ht="15" customHeight="1" x14ac:dyDescent="0.25">
      <c r="A3" s="1099" t="s">
        <v>1298</v>
      </c>
      <c r="B3" s="629"/>
      <c r="C3" s="629"/>
      <c r="D3" s="629"/>
      <c r="E3" s="629"/>
      <c r="F3" s="629"/>
      <c r="G3" s="629"/>
      <c r="H3" s="629"/>
      <c r="I3" s="629"/>
      <c r="J3" s="629"/>
      <c r="K3" s="629"/>
      <c r="L3" s="629"/>
      <c r="M3" s="629"/>
      <c r="Q3" s="83"/>
      <c r="R3" s="83"/>
      <c r="V3" s="83"/>
      <c r="W3" s="83"/>
      <c r="X3" s="83"/>
      <c r="Y3" s="83"/>
      <c r="Z3" s="83"/>
      <c r="AA3" s="83"/>
      <c r="AB3" s="83"/>
      <c r="AC3" s="83"/>
      <c r="AD3" s="83"/>
      <c r="AE3" s="83"/>
      <c r="AF3" s="83"/>
      <c r="AG3" s="83"/>
      <c r="AH3" s="83"/>
      <c r="AI3" s="83"/>
      <c r="AJ3" s="83"/>
      <c r="AK3" s="83"/>
      <c r="AL3" s="83"/>
      <c r="AM3" s="83"/>
    </row>
    <row r="4" spans="1:39" ht="21.75" customHeight="1" x14ac:dyDescent="0.25">
      <c r="A4" s="1243" t="s">
        <v>1298</v>
      </c>
      <c r="B4" s="657"/>
      <c r="C4" s="1450"/>
      <c r="D4" s="1450"/>
      <c r="E4" s="1463"/>
      <c r="F4" s="1463"/>
      <c r="G4" s="1463"/>
      <c r="H4" s="1463"/>
      <c r="I4" s="1463"/>
      <c r="J4" s="1463"/>
      <c r="K4" s="1463"/>
      <c r="L4" s="1463"/>
      <c r="M4" s="1463"/>
    </row>
    <row r="5" spans="1:39" ht="22.5" hidden="1" customHeight="1" x14ac:dyDescent="0.25">
      <c r="A5" s="1243" t="s">
        <v>1298</v>
      </c>
      <c r="B5" s="3316" t="s">
        <v>1125</v>
      </c>
      <c r="C5" s="3316"/>
      <c r="D5" s="3316"/>
      <c r="E5" s="3316"/>
      <c r="F5" s="3316"/>
      <c r="G5" s="3316"/>
      <c r="H5" s="3316"/>
      <c r="I5" s="3316"/>
      <c r="J5" s="3316"/>
      <c r="K5" s="3316"/>
      <c r="L5" s="3316"/>
      <c r="M5" s="3316"/>
    </row>
    <row r="6" spans="1:39" ht="15.75" hidden="1" customHeight="1" x14ac:dyDescent="0.25">
      <c r="A6" s="1243" t="s">
        <v>1298</v>
      </c>
      <c r="B6" s="3317"/>
      <c r="C6" s="3318"/>
      <c r="D6" s="3318"/>
      <c r="E6" s="3318"/>
      <c r="F6" s="3318"/>
      <c r="G6" s="3318"/>
      <c r="H6" s="3318"/>
      <c r="I6" s="3318"/>
      <c r="J6" s="3318"/>
      <c r="K6" s="3318"/>
      <c r="L6" s="3318"/>
      <c r="M6" s="3318"/>
    </row>
    <row r="7" spans="1:39" ht="15" hidden="1" x14ac:dyDescent="0.25">
      <c r="A7" s="1243" t="s">
        <v>1298</v>
      </c>
      <c r="B7" s="3158" t="s">
        <v>444</v>
      </c>
      <c r="C7" s="3158" t="s">
        <v>494</v>
      </c>
      <c r="D7" s="3125"/>
      <c r="E7" s="3158" t="s">
        <v>493</v>
      </c>
      <c r="F7" s="3158" t="s">
        <v>492</v>
      </c>
      <c r="G7" s="3125"/>
      <c r="H7" s="3158" t="s">
        <v>491</v>
      </c>
      <c r="I7" s="3125"/>
      <c r="J7" s="3125"/>
      <c r="K7" s="3124" t="s">
        <v>1764</v>
      </c>
      <c r="L7" s="3328"/>
      <c r="M7" s="3328"/>
      <c r="N7" s="596"/>
      <c r="O7" s="596"/>
      <c r="P7" s="596"/>
      <c r="AC7" s="1245"/>
    </row>
    <row r="8" spans="1:39" ht="62.25" hidden="1" customHeight="1" x14ac:dyDescent="0.25">
      <c r="A8" s="1243" t="s">
        <v>1298</v>
      </c>
      <c r="B8" s="3125"/>
      <c r="C8" s="3125"/>
      <c r="D8" s="3125"/>
      <c r="E8" s="3125"/>
      <c r="F8" s="3125"/>
      <c r="G8" s="3125"/>
      <c r="H8" s="3125"/>
      <c r="I8" s="3125"/>
      <c r="J8" s="3125"/>
      <c r="K8" s="3124" t="str">
        <f>CONCATENATE("Energy Type Consumption Units to Site Energy Consumption (",PO_SiteUnits,")")</f>
        <v>Energy Type Consumption Units to Site Energy Consumption (Btu x 10^6)</v>
      </c>
      <c r="L8" s="3328"/>
      <c r="M8" s="1446" t="str">
        <f>CONCATENATE("Energy Type Consumption Units to Source Energy Consumption (",PO_SourceUnits,")")</f>
        <v>Energy Type Consumption Units to Source Energy Consumption (Btu x 10^6)</v>
      </c>
      <c r="N8" s="596"/>
      <c r="O8" s="596"/>
      <c r="P8" s="596"/>
      <c r="AC8" s="1246"/>
    </row>
    <row r="9" spans="1:39" ht="15" hidden="1" x14ac:dyDescent="0.25">
      <c r="A9" s="1243" t="s">
        <v>1298</v>
      </c>
      <c r="B9" s="1336" t="s">
        <v>1765</v>
      </c>
      <c r="C9" s="3308" t="s">
        <v>1766</v>
      </c>
      <c r="D9" s="3125"/>
      <c r="E9" s="1336" t="s">
        <v>1767</v>
      </c>
      <c r="F9" s="1336" t="s">
        <v>1768</v>
      </c>
      <c r="G9" s="1337"/>
      <c r="H9" s="1336" t="s">
        <v>1769</v>
      </c>
      <c r="I9" s="1338"/>
      <c r="J9" s="1339"/>
      <c r="K9" s="1336" t="s">
        <v>1770</v>
      </c>
      <c r="L9" s="1339"/>
      <c r="M9" s="1337" t="s">
        <v>1771</v>
      </c>
      <c r="N9" s="1334"/>
      <c r="O9" s="1246"/>
      <c r="P9" s="596"/>
    </row>
    <row r="10" spans="1:39" ht="15" hidden="1" customHeight="1" x14ac:dyDescent="0.25">
      <c r="A10" s="1243" t="s">
        <v>1298</v>
      </c>
      <c r="B10" s="1435" t="str">
        <f>IFERROR(IF(Performance_Outputs_1!B17&lt;&gt;"",Performance_Outputs_1!B17,""),"")</f>
        <v>Electricity</v>
      </c>
      <c r="C10" s="3386" t="str">
        <f>IFERROR(IF(Performance_Outputs_1!C17&lt;&gt;"",Performance_Outputs_1!C17,""),"")</f>
        <v>kWh</v>
      </c>
      <c r="D10" s="3387" t="str">
        <f>IFERROR(IF(Performance_Outputs_1!D17&lt;&gt;"",Performance_Outputs_1!D17,""),"")</f>
        <v/>
      </c>
      <c r="E10" s="1436" t="str">
        <f>IFERROR(IF(Performance_Outputs_1!E17&lt;&gt;"",Performance_Outputs_1!E17,""),"")</f>
        <v>kW</v>
      </c>
      <c r="F10" s="3386" t="str">
        <f>IFERROR(IF(Performance_Outputs_1!F17&lt;&gt;"",Performance_Outputs_1!F17,""),"")</f>
        <v>UT Electricity</v>
      </c>
      <c r="G10" s="3387" t="str">
        <f>IFERROR(IF(Performance_Outputs_1!G17&lt;&gt;"",Performance_Outputs_1!G17,""),"")</f>
        <v/>
      </c>
      <c r="H10" s="3384" t="str">
        <f>IFERROR(IF(Performance_Outputs_1!H17&lt;&gt;"",Performance_Outputs_1!H17,""),"")</f>
        <v>Fixed Rates per unit of consumption</v>
      </c>
      <c r="I10" s="3385" t="str">
        <f>IFERROR(IF(Performance_Outputs_1!I17&lt;&gt;"",Performance_Outputs_1!I17,""),"")</f>
        <v/>
      </c>
      <c r="J10" s="3385" t="str">
        <f>IFERROR(IF(Performance_Outputs_1!J17&lt;&gt;"",Performance_Outputs_1!J17,""),"")</f>
        <v/>
      </c>
      <c r="K10" s="3388">
        <f>IFERROR(VLOOKUP("kBtu",EnergyUnitsTable,3,FALSE)/VLOOKUP(PO_SiteUnits,EnergyUnitsTable,3,FALSE)*VLOOKUP($C10,EnergyUnitsTable,3,FALSE),"")</f>
        <v>3.4120000000000001E-3</v>
      </c>
      <c r="L10" s="3389"/>
      <c r="M10" s="1420">
        <f>IFERROR(VLOOKUP("kBtu",EnergyUnitsTable,3,FALSE)/VLOOKUP(PO_SourceUnits,EnergyUnitsTable,3,FALSE)*VLOOKUP($C10,EnergyUnitsTable,3,FALSE)*VLOOKUP($B10,FuelTypesTable,2,FALSE),"")</f>
        <v>1.0713680000000001E-2</v>
      </c>
      <c r="N10" s="1247"/>
      <c r="O10" s="1247"/>
      <c r="P10" s="596"/>
    </row>
    <row r="11" spans="1:39" ht="15" hidden="1" customHeight="1" x14ac:dyDescent="0.25">
      <c r="A11" s="1243" t="s">
        <v>1298</v>
      </c>
      <c r="B11" s="1435" t="str">
        <f>IFERROR(IF(Performance_Outputs_1!B18&lt;&gt;"",Performance_Outputs_1!B18,""),"")</f>
        <v>District Steam</v>
      </c>
      <c r="C11" s="3386" t="str">
        <f>IFERROR(IF(Performance_Outputs_1!C18&lt;&gt;"",Performance_Outputs_1!C18,""),"")</f>
        <v>therm</v>
      </c>
      <c r="D11" s="3387" t="str">
        <f>IFERROR(IF(Performance_Outputs_1!D18&lt;&gt;"",Performance_Outputs_1!D18,""),"")</f>
        <v/>
      </c>
      <c r="E11" s="1436" t="str">
        <f>IFERROR(IF(Performance_Outputs_1!E18&lt;&gt;"",Performance_Outputs_1!E18,""),"")</f>
        <v>MBH</v>
      </c>
      <c r="F11" s="3386" t="str">
        <f>IFERROR(IF(Performance_Outputs_1!F18&lt;&gt;"",Performance_Outputs_1!F18,""),"")</f>
        <v>UT District Steam</v>
      </c>
      <c r="G11" s="3387" t="str">
        <f>IFERROR(IF(Performance_Outputs_1!G18&lt;&gt;"",Performance_Outputs_1!G18,""),"")</f>
        <v/>
      </c>
      <c r="H11" s="3384" t="str">
        <f>IFERROR(IF(Performance_Outputs_1!H18&lt;&gt;"",Performance_Outputs_1!H18,""),"")</f>
        <v>Fixed Rates per unit of consumption</v>
      </c>
      <c r="I11" s="3385" t="str">
        <f>IFERROR(IF(Performance_Outputs_1!I18&lt;&gt;"",Performance_Outputs_1!I18,""),"")</f>
        <v/>
      </c>
      <c r="J11" s="3385" t="str">
        <f>IFERROR(IF(Performance_Outputs_1!J18&lt;&gt;"",Performance_Outputs_1!J18,""),"")</f>
        <v/>
      </c>
      <c r="K11" s="3388">
        <f>IFERROR(VLOOKUP("kBtu",EnergyUnitsTable,3,FALSE)/VLOOKUP(PO_SiteUnits,EnergyUnitsTable,3,FALSE)*VLOOKUP($C11,EnergyUnitsTable,3,FALSE),"")</f>
        <v>0.1</v>
      </c>
      <c r="L11" s="3389"/>
      <c r="M11" s="1420">
        <f>IFERROR(VLOOKUP("kBtu",EnergyUnitsTable,3,FALSE)/VLOOKUP(PO_SourceUnits,EnergyUnitsTable,3,FALSE)*VLOOKUP($C11,EnergyUnitsTable,3,FALSE)*VLOOKUP($B11,FuelTypesTable,2,FALSE),"")</f>
        <v>0.12</v>
      </c>
      <c r="N11" s="1247"/>
      <c r="O11" s="1247"/>
      <c r="P11" s="596"/>
    </row>
    <row r="12" spans="1:39" ht="15" hidden="1" customHeight="1" x14ac:dyDescent="0.25">
      <c r="A12" s="1243" t="s">
        <v>1298</v>
      </c>
      <c r="B12" s="1435" t="str">
        <f>IFERROR(IF(Performance_Outputs_1!B19&lt;&gt;"",Performance_Outputs_1!B19,""),"")</f>
        <v>District Cooling</v>
      </c>
      <c r="C12" s="3386" t="str">
        <f>IFERROR(IF(Performance_Outputs_1!C19&lt;&gt;"",Performance_Outputs_1!C19,""),"")</f>
        <v>therm</v>
      </c>
      <c r="D12" s="3387" t="str">
        <f>IFERROR(IF(Performance_Outputs_1!D19&lt;&gt;"",Performance_Outputs_1!D19,""),"")</f>
        <v/>
      </c>
      <c r="E12" s="1436" t="str">
        <f>IFERROR(IF(Performance_Outputs_1!E19&lt;&gt;"",Performance_Outputs_1!E19,""),"")</f>
        <v>MBH</v>
      </c>
      <c r="F12" s="3386" t="str">
        <f>IFERROR(IF(Performance_Outputs_1!F19&lt;&gt;"",Performance_Outputs_1!F19,""),"")</f>
        <v>UT District Chilled Water</v>
      </c>
      <c r="G12" s="3387" t="str">
        <f>IFERROR(IF(Performance_Outputs_1!G19&lt;&gt;"",Performance_Outputs_1!G19,""),"")</f>
        <v/>
      </c>
      <c r="H12" s="3384" t="str">
        <f>IFERROR(IF(Performance_Outputs_1!H19&lt;&gt;"",Performance_Outputs_1!H19,""),"")</f>
        <v>Fixed Rates per unit of consumption</v>
      </c>
      <c r="I12" s="3385" t="str">
        <f>IFERROR(IF(Performance_Outputs_1!I19&lt;&gt;"",Performance_Outputs_1!I19,""),"")</f>
        <v/>
      </c>
      <c r="J12" s="3385" t="str">
        <f>IFERROR(IF(Performance_Outputs_1!J19&lt;&gt;"",Performance_Outputs_1!J19,""),"")</f>
        <v/>
      </c>
      <c r="K12" s="3388">
        <f>IFERROR(VLOOKUP("kBtu",EnergyUnitsTable,3,FALSE)/VLOOKUP(PO_SiteUnits,EnergyUnitsTable,3,FALSE)*VLOOKUP($C12,EnergyUnitsTable,3,FALSE),"")</f>
        <v>0.1</v>
      </c>
      <c r="L12" s="3389"/>
      <c r="M12" s="1420">
        <f>IFERROR(VLOOKUP("kBtu",EnergyUnitsTable,3,FALSE)/VLOOKUP(PO_SourceUnits,EnergyUnitsTable,3,FALSE)*VLOOKUP($C12,EnergyUnitsTable,3,FALSE)*VLOOKUP($B12,FuelTypesTable,2,FALSE),"")</f>
        <v>0.1</v>
      </c>
      <c r="N12" s="1247"/>
      <c r="O12" s="1247"/>
      <c r="P12" s="596"/>
    </row>
    <row r="13" spans="1:39" ht="21" hidden="1" customHeight="1" x14ac:dyDescent="0.25">
      <c r="A13" s="1243" t="s">
        <v>1298</v>
      </c>
      <c r="B13" s="3302" t="s">
        <v>1114</v>
      </c>
      <c r="C13" s="3284"/>
      <c r="D13" s="3284"/>
      <c r="E13" s="3284"/>
      <c r="F13" s="3284"/>
      <c r="G13" s="3284"/>
      <c r="H13" s="3284"/>
      <c r="I13" s="3284"/>
      <c r="J13" s="3284"/>
      <c r="K13" s="3284"/>
      <c r="L13" s="3384" t="str">
        <f>IFERROR(IF(Performance_Outputs_1!L20&lt;&gt;"",Performance_Outputs_1!L20,""),"")</f>
        <v>Btu x 10^6</v>
      </c>
      <c r="M13" s="3385" t="str">
        <f>IFERROR(IF(Performance_Outputs_1!M20&lt;&gt;"",Performance_Outputs_1!M20,""),"")</f>
        <v/>
      </c>
      <c r="N13" s="596"/>
      <c r="O13" s="596"/>
      <c r="P13" s="596"/>
    </row>
    <row r="14" spans="1:39" ht="21" hidden="1" customHeight="1" x14ac:dyDescent="0.25">
      <c r="A14" s="1243" t="s">
        <v>1298</v>
      </c>
      <c r="B14" s="3304" t="s">
        <v>1115</v>
      </c>
      <c r="C14" s="3284"/>
      <c r="D14" s="3284"/>
      <c r="E14" s="3284"/>
      <c r="F14" s="3284"/>
      <c r="G14" s="3284"/>
      <c r="H14" s="3284"/>
      <c r="I14" s="3284"/>
      <c r="J14" s="3284"/>
      <c r="K14" s="3284"/>
      <c r="L14" s="3384" t="str">
        <f>IFERROR(IF(Performance_Outputs_1!L21&lt;&gt;"",Performance_Outputs_1!L21,""),"")</f>
        <v>Btu x 10^6</v>
      </c>
      <c r="M14" s="3385" t="str">
        <f>IFERROR(IF(Performance_Outputs_1!M21&lt;&gt;"",Performance_Outputs_1!M21,""),"")</f>
        <v/>
      </c>
    </row>
    <row r="15" spans="1:39" ht="33.75" hidden="1" customHeight="1" x14ac:dyDescent="0.25">
      <c r="A15" s="1243" t="s">
        <v>1298</v>
      </c>
      <c r="B15" s="635"/>
      <c r="C15" s="613"/>
      <c r="D15" s="590"/>
      <c r="E15" s="590"/>
      <c r="F15" s="590"/>
      <c r="G15" s="590"/>
      <c r="H15" s="590"/>
      <c r="I15" s="590"/>
      <c r="J15" s="590"/>
      <c r="K15" s="590"/>
      <c r="L15" s="591"/>
      <c r="M15" s="591"/>
    </row>
    <row r="16" spans="1:39" ht="21.75" hidden="1" customHeight="1" x14ac:dyDescent="0.25">
      <c r="A16" s="1271" t="s">
        <v>1298</v>
      </c>
      <c r="B16" s="643" t="s">
        <v>1262</v>
      </c>
      <c r="C16" s="644"/>
      <c r="D16" s="644"/>
      <c r="E16" s="644"/>
      <c r="F16" s="644"/>
      <c r="G16" s="851"/>
      <c r="H16" s="851"/>
      <c r="I16" s="851"/>
      <c r="J16" s="851"/>
      <c r="K16" s="644"/>
      <c r="L16" s="644"/>
      <c r="M16" s="644"/>
      <c r="N16" s="564"/>
    </row>
    <row r="17" spans="1:41" ht="15" hidden="1" customHeight="1" x14ac:dyDescent="0.25">
      <c r="A17" s="1271" t="s">
        <v>1298</v>
      </c>
      <c r="B17" s="630"/>
    </row>
    <row r="18" spans="1:41" ht="98.25" hidden="1" customHeight="1" x14ac:dyDescent="0.25">
      <c r="A18" s="1271" t="s">
        <v>1298</v>
      </c>
      <c r="B18" s="3123" t="s">
        <v>457</v>
      </c>
      <c r="C18" s="3125"/>
      <c r="D18" s="1368" t="s">
        <v>456</v>
      </c>
      <c r="E18" s="1453" t="s">
        <v>444</v>
      </c>
      <c r="F18" s="1453" t="s">
        <v>1263</v>
      </c>
      <c r="G18" s="1453" t="s">
        <v>347</v>
      </c>
      <c r="H18" s="1453" t="s">
        <v>348</v>
      </c>
      <c r="I18" s="1453" t="s">
        <v>1264</v>
      </c>
      <c r="J18" s="1453" t="s">
        <v>1265</v>
      </c>
      <c r="K18" s="3123" t="s">
        <v>1275</v>
      </c>
      <c r="L18" s="3123"/>
      <c r="M18" s="1453" t="s">
        <v>1266</v>
      </c>
      <c r="N18" s="564"/>
      <c r="W18" s="671" t="s">
        <v>1090</v>
      </c>
      <c r="Y18" s="671" t="s">
        <v>1091</v>
      </c>
      <c r="Z18" s="671" t="s">
        <v>1092</v>
      </c>
      <c r="AG18" s="671" t="s">
        <v>1841</v>
      </c>
    </row>
    <row r="19" spans="1:41" s="1455" customFormat="1" ht="15" hidden="1" x14ac:dyDescent="0.25">
      <c r="A19" s="1271" t="s">
        <v>1298</v>
      </c>
      <c r="B19" s="1307" t="s">
        <v>1791</v>
      </c>
      <c r="C19" s="1305"/>
      <c r="D19" s="1307" t="s">
        <v>1792</v>
      </c>
      <c r="E19" s="1307" t="s">
        <v>1765</v>
      </c>
      <c r="F19" s="1307" t="s">
        <v>1793</v>
      </c>
      <c r="G19" s="1307" t="s">
        <v>1798</v>
      </c>
      <c r="H19" s="1307" t="s">
        <v>1800</v>
      </c>
      <c r="I19" s="1307" t="s">
        <v>1801</v>
      </c>
      <c r="J19" s="1307" t="s">
        <v>1802</v>
      </c>
      <c r="K19" s="1307" t="s">
        <v>1803</v>
      </c>
      <c r="L19" s="1307"/>
      <c r="M19" s="1307" t="s">
        <v>1804</v>
      </c>
      <c r="N19" s="1284"/>
      <c r="Q19" s="1249" t="s">
        <v>1776</v>
      </c>
      <c r="R19" s="1249" t="s">
        <v>1777</v>
      </c>
      <c r="W19" s="1455" t="s">
        <v>1090</v>
      </c>
      <c r="Y19" s="1455" t="s">
        <v>1091</v>
      </c>
      <c r="Z19" s="1455" t="s">
        <v>1092</v>
      </c>
    </row>
    <row r="20" spans="1:41" ht="15.75" hidden="1" customHeight="1" x14ac:dyDescent="0.25">
      <c r="A20" s="1271" t="s">
        <v>1298</v>
      </c>
      <c r="B20" s="3390" t="s">
        <v>482</v>
      </c>
      <c r="C20" s="3397"/>
      <c r="D20" s="3391">
        <v>0</v>
      </c>
      <c r="E20" s="3392" t="s">
        <v>464</v>
      </c>
      <c r="F20" s="1470" t="str">
        <f>IFERROR(IF(ISBLANK(E20),"","Consumption (" &amp; VLOOKUP($E20,PO_Enrgy_1_Table,MATCH($C$9,PO_Enrgy_1_Hdr,0),FALSE) &amp; ")"),"")</f>
        <v>Consumption (kWh)</v>
      </c>
      <c r="G20" s="1471">
        <v>85923</v>
      </c>
      <c r="H20" s="1471">
        <v>62275</v>
      </c>
      <c r="I20" s="1460">
        <f>IFERROR(1-H20/G20,"")</f>
        <v>0.27522316492673671</v>
      </c>
      <c r="J20" s="3393">
        <f>IFERROR(IF($E$122-$H$122&lt;0,"",($G20-$H20)*VLOOKUP($E20,PO_Enrgy_1_Table,MATCH($K$9,PO_Enrgy_1_Hdr,0),FALSE)/($E$122-$H$122)),"")</f>
        <v>0.17114689713067024</v>
      </c>
      <c r="K20" s="3393">
        <f>IFERROR(IF($G$122-$J$122&lt;0,"",($G20*VLOOKUP($E20,PO_Enrgy_8_Table,MATCH($E$81,PO_Enrgy_8_Hdr,0),FALSE)-($H20*VLOOKUP($E20,PO_Enrgy_8_Table,MATCH($H$81,PO_Enrgy_8_Hdr,0),FALSE)))/($G$122-$J$122)),"")</f>
        <v>0.29895576131173995</v>
      </c>
      <c r="L20" s="3393"/>
      <c r="M20" s="3395">
        <f>IFERROR(H20*VLOOKUP($E20,PO_Enrgy_1_Table,MATCH($K$9,PO_Enrgy_1_Hdr,0))/$H$76,"")</f>
        <v>1.5322535064682214</v>
      </c>
      <c r="N20" s="564"/>
      <c r="Q20" s="1250">
        <f t="shared" ref="Q20:Q67" si="0">IFERROR(IF(ISBLANK($E20),"",VLOOKUP($E20,PO_Enrgy_1_Table,MATCH($K$9,PO_Enrgy_1_Hdr,0),FALSE)),"")</f>
        <v>3.4120000000000001E-3</v>
      </c>
      <c r="R20" s="1250">
        <f t="shared" ref="R20:R67" si="1">IFERROR(IF(ISBLANK($E20),"",VLOOKUP($E20,PO_Enrgy_1_Table,MATCH($M$9,PO_Enrgy_1_Hdr,0),FALSE)),"")</f>
        <v>1.0713680000000001E-2</v>
      </c>
      <c r="V20" s="604">
        <f t="shared" ref="V20:V67" si="2">IFERROR($AN20*H20,0)</f>
        <v>0</v>
      </c>
      <c r="W20" s="599">
        <f t="shared" ref="W20:W67" si="3">IFERROR(G20*VLOOKUP($AE20,PO_Enrgy_8_Table,4,FALSE),0)</f>
        <v>0</v>
      </c>
      <c r="X20" s="599">
        <f t="shared" ref="X20:X67" si="4">IFERROR(H20*VLOOKUP($AE20,PO_Enrgy_8_Table,7,FALSE),0)</f>
        <v>0</v>
      </c>
      <c r="Y20" s="671" t="b">
        <f>IFERROR(IF(D20="x",IF(OR(G20/H20&gt;1.03,G20/H20&lt;0.97),TRUE,FALSE),FALSE),FALSE)</f>
        <v>0</v>
      </c>
      <c r="Z20" s="671">
        <f>IFERROR(J20*100,)</f>
        <v>17.114689713067026</v>
      </c>
      <c r="AB20" s="671">
        <f>RANK(Z20,$Z$20:$Z$67,0)</f>
        <v>2</v>
      </c>
      <c r="AC20" s="671">
        <f>AB20</f>
        <v>2</v>
      </c>
      <c r="AD20" s="671" t="str">
        <f>B20</f>
        <v>Interior lighting</v>
      </c>
      <c r="AE20" s="1421"/>
      <c r="AF20" s="3205">
        <f>IFERROR(G20/Lighting!$L$43,"")</f>
        <v>2738.9832453523068</v>
      </c>
      <c r="AG20" s="3206"/>
      <c r="AH20" s="1422"/>
      <c r="AI20" s="1461"/>
      <c r="AJ20" s="1461"/>
      <c r="AK20" s="1423"/>
      <c r="AO20" s="604"/>
    </row>
    <row r="21" spans="1:41" ht="16.149999999999999" hidden="1" customHeight="1" x14ac:dyDescent="0.25">
      <c r="A21" s="1271" t="s">
        <v>1298</v>
      </c>
      <c r="B21" s="3397"/>
      <c r="C21" s="3397"/>
      <c r="D21" s="3391"/>
      <c r="E21" s="3392"/>
      <c r="F21" s="1470" t="str">
        <f>IFERROR(IF(ISBLANK(E20),"","Demand (" &amp; VLOOKUP($E20,PO_Enrgy_1_Table,MATCH($E$9,PO_Enrgy_1_Hdr,0),FALSE) &amp; ")"),"")</f>
        <v>Demand (kW)</v>
      </c>
      <c r="G21" s="1472">
        <v>25.9</v>
      </c>
      <c r="H21" s="1472">
        <v>18.8</v>
      </c>
      <c r="I21" s="1473">
        <f t="shared" ref="I21:I67" si="5">IFERROR(1-H21/G21,"")</f>
        <v>0.27413127413127403</v>
      </c>
      <c r="J21" s="3394"/>
      <c r="K21" s="3393"/>
      <c r="L21" s="3393"/>
      <c r="M21" s="3396"/>
      <c r="N21" s="564"/>
      <c r="Q21" s="1250" t="str">
        <f t="shared" si="0"/>
        <v/>
      </c>
      <c r="R21" s="1250" t="str">
        <f t="shared" si="1"/>
        <v/>
      </c>
      <c r="V21" s="604">
        <f t="shared" si="2"/>
        <v>0</v>
      </c>
      <c r="W21" s="599">
        <f t="shared" si="3"/>
        <v>0</v>
      </c>
      <c r="X21" s="599">
        <f t="shared" si="4"/>
        <v>0</v>
      </c>
      <c r="AE21" s="596"/>
      <c r="AF21" s="3205"/>
      <c r="AG21" s="3206"/>
      <c r="AH21" s="1422"/>
      <c r="AI21" s="1461"/>
      <c r="AJ21" s="1461"/>
      <c r="AK21" s="1424"/>
      <c r="AO21" s="604"/>
    </row>
    <row r="22" spans="1:41" ht="16.149999999999999" hidden="1" customHeight="1" x14ac:dyDescent="0.25">
      <c r="A22" s="1271" t="s">
        <v>1298</v>
      </c>
      <c r="B22" s="3390" t="s">
        <v>481</v>
      </c>
      <c r="C22" s="3390"/>
      <c r="D22" s="3391">
        <v>0</v>
      </c>
      <c r="E22" s="3392" t="s">
        <v>464</v>
      </c>
      <c r="F22" s="1470" t="str">
        <f>IFERROR(IF(ISBLANK(E22),"","Consumption (" &amp; VLOOKUP($E22,PO_Enrgy_1_Table,MATCH($C$9,PO_Enrgy_1_Hdr,0),FALSE) &amp; ")"),"")</f>
        <v>Consumption (kWh)</v>
      </c>
      <c r="G22" s="1471">
        <v>4123</v>
      </c>
      <c r="H22" s="1471">
        <v>2021</v>
      </c>
      <c r="I22" s="1460">
        <f t="shared" si="5"/>
        <v>0.50982294445791898</v>
      </c>
      <c r="J22" s="3393">
        <f>IFERROR(IF($E$122-$H$122&lt;0,"",($G22-$H22)*VLOOKUP($E22,PO_Enrgy_1_Table,MATCH($K$9,PO_Enrgy_1_Hdr,0),FALSE)/($E$122-$H$122)),"")</f>
        <v>1.5212735866401763E-2</v>
      </c>
      <c r="K22" s="3393">
        <f>IFERROR(IF($G$122-$J$122&lt;0,"",($G22*VLOOKUP($E22,PO_Enrgy_8_Table,MATCH($E$81,PO_Enrgy_8_Hdr,0),FALSE)-($H22*VLOOKUP($E22,PO_Enrgy_8_Table,MATCH($H$81,PO_Enrgy_8_Hdr,0),FALSE)))/($G$122-$J$122)),"")</f>
        <v>2.6473473748752006E-2</v>
      </c>
      <c r="L22" s="3393"/>
      <c r="M22" s="3395">
        <f>IFERROR(H22*VLOOKUP($E22,PO_Enrgy_1_Table,MATCH($K$9,PO_Enrgy_1_Hdr,0))/$H$76,"")</f>
        <v>4.9725962851421529E-2</v>
      </c>
      <c r="N22" s="564"/>
      <c r="Q22" s="1250">
        <f t="shared" si="0"/>
        <v>3.4120000000000001E-3</v>
      </c>
      <c r="R22" s="1250">
        <f t="shared" si="1"/>
        <v>1.0713680000000001E-2</v>
      </c>
      <c r="V22" s="604">
        <f t="shared" si="2"/>
        <v>0</v>
      </c>
      <c r="W22" s="599">
        <f t="shared" si="3"/>
        <v>0</v>
      </c>
      <c r="X22" s="599">
        <f t="shared" si="4"/>
        <v>0</v>
      </c>
      <c r="Y22" s="671" t="b">
        <f>IFERROR(IF(D22="x",IF(OR(G22/H22&gt;1.03,G22/H22&lt;0.97),TRUE,FALSE),FALSE),FALSE)</f>
        <v>0</v>
      </c>
      <c r="Z22" s="671">
        <f>IFERROR(J22*100,)</f>
        <v>1.5212735866401763</v>
      </c>
      <c r="AB22" s="671">
        <f>RANK(Z22,$Z$20:$Z$67,0)</f>
        <v>5</v>
      </c>
      <c r="AC22" s="671">
        <f>AB22+COUNTIF($AB$20:$AB21,AB22)</f>
        <v>5</v>
      </c>
      <c r="AD22" s="671" t="str">
        <f>B22</f>
        <v>Exterior lighting</v>
      </c>
      <c r="AE22" s="1421"/>
      <c r="AF22" s="3205"/>
      <c r="AG22" s="3206"/>
      <c r="AH22" s="1422"/>
      <c r="AI22" s="1461"/>
      <c r="AJ22" s="1461"/>
      <c r="AK22" s="1423"/>
      <c r="AO22" s="604"/>
    </row>
    <row r="23" spans="1:41" ht="16.149999999999999" hidden="1" customHeight="1" x14ac:dyDescent="0.25">
      <c r="A23" s="1271" t="s">
        <v>1298</v>
      </c>
      <c r="B23" s="3390"/>
      <c r="C23" s="3390"/>
      <c r="D23" s="3391"/>
      <c r="E23" s="3392"/>
      <c r="F23" s="1470" t="str">
        <f>IFERROR(IF(ISBLANK(E22),"","Demand (" &amp; VLOOKUP($E22,PO_Enrgy_1_Table,MATCH($E$9,PO_Enrgy_1_Hdr,0),FALSE) &amp; ")"),"")</f>
        <v>Demand (kW)</v>
      </c>
      <c r="G23" s="1472">
        <v>0.86899999999999999</v>
      </c>
      <c r="H23" s="1472">
        <v>0.42599999999999999</v>
      </c>
      <c r="I23" s="1473">
        <f t="shared" si="5"/>
        <v>0.50978135788262369</v>
      </c>
      <c r="J23" s="3394"/>
      <c r="K23" s="3393"/>
      <c r="L23" s="3393"/>
      <c r="M23" s="3396"/>
      <c r="N23" s="564"/>
      <c r="Q23" s="1250" t="str">
        <f t="shared" si="0"/>
        <v/>
      </c>
      <c r="R23" s="1250" t="str">
        <f t="shared" si="1"/>
        <v/>
      </c>
      <c r="V23" s="604">
        <f t="shared" si="2"/>
        <v>0</v>
      </c>
      <c r="W23" s="599">
        <f t="shared" si="3"/>
        <v>0</v>
      </c>
      <c r="X23" s="599">
        <f t="shared" si="4"/>
        <v>0</v>
      </c>
      <c r="AE23" s="596"/>
      <c r="AF23" s="3205"/>
      <c r="AG23" s="3206"/>
      <c r="AH23" s="1422"/>
      <c r="AI23" s="1461"/>
      <c r="AJ23" s="1461"/>
      <c r="AK23" s="1424"/>
      <c r="AO23" s="604"/>
    </row>
    <row r="24" spans="1:41" ht="16.149999999999999" hidden="1" customHeight="1" x14ac:dyDescent="0.25">
      <c r="A24" s="1271" t="s">
        <v>1298</v>
      </c>
      <c r="B24" s="3390" t="s">
        <v>480</v>
      </c>
      <c r="C24" s="3390"/>
      <c r="D24" s="3391">
        <v>0</v>
      </c>
      <c r="E24" s="3392" t="s">
        <v>599</v>
      </c>
      <c r="F24" s="1470" t="str">
        <f>IFERROR(IF(ISBLANK(E24),"","Consumption (" &amp; VLOOKUP($E24,PO_Enrgy_1_Table,MATCH($C$9,PO_Enrgy_1_Hdr,0),FALSE) &amp; ")"),"")</f>
        <v>Consumption (therm)</v>
      </c>
      <c r="G24" s="1471">
        <v>1579</v>
      </c>
      <c r="H24" s="1471">
        <v>1016</v>
      </c>
      <c r="I24" s="1460">
        <f t="shared" si="5"/>
        <v>0.35655478150728304</v>
      </c>
      <c r="J24" s="3393">
        <f>IFERROR(IF($E$122-$H$122&lt;0,"",($G24-$H24)*VLOOKUP($E24,PO_Enrgy_1_Table,MATCH($K$9,PO_Enrgy_1_Hdr,0),FALSE)/($E$122-$H$122)),"")</f>
        <v>0.11941915270757868</v>
      </c>
      <c r="K24" s="3393">
        <f>IFERROR(IF($G$122-$J$122&lt;0,"",($G24*VLOOKUP($E24,PO_Enrgy_8_Table,MATCH($E$81,PO_Enrgy_8_Hdr,0),FALSE)-($H24*VLOOKUP($E24,PO_Enrgy_8_Table,MATCH($H$81,PO_Enrgy_8_Hdr,0),FALSE)))/($G$122-$J$122)),"")</f>
        <v>7.3603647614395043E-2</v>
      </c>
      <c r="L24" s="3393"/>
      <c r="M24" s="3395">
        <f>IFERROR(H24*VLOOKUP($E24,PO_Enrgy_1_Table,MATCH($K$9,PO_Enrgy_1_Hdr,0))/$H$76,"")</f>
        <v>2.499830690600904E-2</v>
      </c>
      <c r="N24" s="564"/>
      <c r="Q24" s="1250">
        <f t="shared" si="0"/>
        <v>0.1</v>
      </c>
      <c r="R24" s="1250">
        <f t="shared" si="1"/>
        <v>0.12</v>
      </c>
      <c r="V24" s="604">
        <f t="shared" si="2"/>
        <v>0</v>
      </c>
      <c r="W24" s="599">
        <f t="shared" si="3"/>
        <v>0</v>
      </c>
      <c r="X24" s="599">
        <f t="shared" si="4"/>
        <v>0</v>
      </c>
      <c r="Y24" s="671" t="b">
        <f>IFERROR(IF(D24="x",IF(OR(G24/H24&gt;1.03,G24/H24&lt;0.97),TRUE,FALSE),FALSE),FALSE)</f>
        <v>0</v>
      </c>
      <c r="Z24" s="671">
        <f>IFERROR(J24*100,)</f>
        <v>11.941915270757868</v>
      </c>
      <c r="AB24" s="671">
        <f>RANK(Z24,$Z$20:$Z$67,0)</f>
        <v>3</v>
      </c>
      <c r="AC24" s="671">
        <f>AB24+COUNTIF($AB$20:$AB23,AB24)</f>
        <v>3</v>
      </c>
      <c r="AD24" s="671" t="str">
        <f>B24</f>
        <v>Space heating</v>
      </c>
      <c r="AE24" s="1421"/>
      <c r="AF24" s="3205"/>
      <c r="AG24" s="3206"/>
      <c r="AH24" s="1422"/>
      <c r="AI24" s="1461"/>
      <c r="AJ24" s="1461"/>
      <c r="AK24" s="1423"/>
      <c r="AO24" s="604"/>
    </row>
    <row r="25" spans="1:41" ht="16.149999999999999" hidden="1" customHeight="1" x14ac:dyDescent="0.25">
      <c r="A25" s="1271" t="s">
        <v>1298</v>
      </c>
      <c r="B25" s="3390"/>
      <c r="C25" s="3390"/>
      <c r="D25" s="3391"/>
      <c r="E25" s="3392"/>
      <c r="F25" s="1470" t="str">
        <f>IFERROR(IF(ISBLANK(E24),"","Demand (" &amp; VLOOKUP($E24,PO_Enrgy_1_Table,MATCH($E$9,PO_Enrgy_1_Hdr,0),FALSE) &amp; ")"),"")</f>
        <v>Demand (MBH)</v>
      </c>
      <c r="G25" s="1472">
        <v>2.9</v>
      </c>
      <c r="H25" s="1472">
        <v>2.6</v>
      </c>
      <c r="I25" s="1473">
        <f t="shared" si="5"/>
        <v>0.10344827586206895</v>
      </c>
      <c r="J25" s="3394"/>
      <c r="K25" s="3393"/>
      <c r="L25" s="3393"/>
      <c r="M25" s="3396"/>
      <c r="N25" s="564"/>
      <c r="Q25" s="1250" t="str">
        <f t="shared" si="0"/>
        <v/>
      </c>
      <c r="R25" s="1250" t="str">
        <f t="shared" si="1"/>
        <v/>
      </c>
      <c r="V25" s="604">
        <f t="shared" si="2"/>
        <v>0</v>
      </c>
      <c r="W25" s="599">
        <f t="shared" si="3"/>
        <v>0</v>
      </c>
      <c r="X25" s="599">
        <f t="shared" si="4"/>
        <v>0</v>
      </c>
      <c r="AE25" s="596"/>
      <c r="AF25" s="3205"/>
      <c r="AG25" s="3206"/>
      <c r="AH25" s="1422"/>
      <c r="AI25" s="1461"/>
      <c r="AJ25" s="1461"/>
      <c r="AK25" s="1424"/>
      <c r="AO25" s="604"/>
    </row>
    <row r="26" spans="1:41" ht="16.149999999999999" hidden="1" customHeight="1" x14ac:dyDescent="0.25">
      <c r="A26" s="1271" t="s">
        <v>1298</v>
      </c>
      <c r="B26" s="3390" t="s">
        <v>479</v>
      </c>
      <c r="C26" s="3390"/>
      <c r="D26" s="3391">
        <v>0</v>
      </c>
      <c r="E26" s="3392" t="s">
        <v>158</v>
      </c>
      <c r="F26" s="1470" t="str">
        <f>IFERROR(IF(ISBLANK(E26),"","Consumption (" &amp; VLOOKUP($E26,PO_Enrgy_1_Table,MATCH($C$9,PO_Enrgy_1_Hdr,0),FALSE) &amp; ")"),"")</f>
        <v>Consumption (therm)</v>
      </c>
      <c r="G26" s="1471">
        <v>30143</v>
      </c>
      <c r="H26" s="1471">
        <v>27282</v>
      </c>
      <c r="I26" s="1460">
        <f t="shared" si="5"/>
        <v>9.4914242112596581E-2</v>
      </c>
      <c r="J26" s="3393">
        <f>IFERROR(IF($E$122-$H$122&lt;0,"",($G26-$H26)*VLOOKUP($E26,PO_Enrgy_1_Table,MATCH($K$9,PO_Enrgy_1_Hdr,0),FALSE)/($E$122-$H$122)),"")</f>
        <v>0.60685292343940067</v>
      </c>
      <c r="K26" s="3393">
        <f>IFERROR(IF($G$122-$J$122&lt;0,"",($G26*VLOOKUP($E26,PO_Enrgy_8_Table,MATCH($E$81,PO_Enrgy_8_Hdr,0),FALSE)-($H26*VLOOKUP($E26,PO_Enrgy_8_Table,MATCH($H$81,PO_Enrgy_8_Hdr,0),FALSE)))/($G$122-$J$122)),"")</f>
        <v>0.44080768604461812</v>
      </c>
      <c r="L26" s="3393"/>
      <c r="M26" s="3395" t="str">
        <f>IFERROR(H26*VLOOKUP($E26,PO_Enrgy_1_Table,MATCH($K$9,PO_Enrgy_1_Hdr,0))/$H$76,"")</f>
        <v/>
      </c>
      <c r="N26" s="564"/>
      <c r="Q26" s="1250">
        <f t="shared" si="0"/>
        <v>0.1</v>
      </c>
      <c r="R26" s="1250">
        <f t="shared" si="1"/>
        <v>0.1</v>
      </c>
      <c r="V26" s="604">
        <f t="shared" si="2"/>
        <v>0</v>
      </c>
      <c r="W26" s="599">
        <f t="shared" si="3"/>
        <v>0</v>
      </c>
      <c r="X26" s="599">
        <f t="shared" si="4"/>
        <v>0</v>
      </c>
      <c r="Y26" s="671" t="b">
        <f>IFERROR(IF(D26="x",IF(OR(G26/H26&gt;1.03,G26/H26&lt;0.97),TRUE,FALSE),FALSE),FALSE)</f>
        <v>0</v>
      </c>
      <c r="Z26" s="671">
        <f>IFERROR(J26*100,)</f>
        <v>60.68529234394007</v>
      </c>
      <c r="AB26" s="671">
        <f>RANK(Z26,$Z$20:$Z$67,0)</f>
        <v>1</v>
      </c>
      <c r="AC26" s="671">
        <f>AB26+COUNTIF($AB$20:$AB25,AB26)</f>
        <v>1</v>
      </c>
      <c r="AD26" s="671" t="str">
        <f>B26</f>
        <v>Space cooling</v>
      </c>
      <c r="AE26" s="1421"/>
      <c r="AF26" s="3205"/>
      <c r="AG26" s="3206"/>
      <c r="AH26" s="1422"/>
      <c r="AI26" s="1461"/>
      <c r="AJ26" s="1461"/>
      <c r="AK26" s="1423"/>
      <c r="AO26" s="604"/>
    </row>
    <row r="27" spans="1:41" ht="16.149999999999999" hidden="1" customHeight="1" x14ac:dyDescent="0.25">
      <c r="A27" s="1271" t="s">
        <v>1298</v>
      </c>
      <c r="B27" s="3390"/>
      <c r="C27" s="3390"/>
      <c r="D27" s="3391"/>
      <c r="E27" s="3392"/>
      <c r="F27" s="1470" t="str">
        <f>IFERROR(IF(ISBLANK(E26),"","Demand (" &amp; VLOOKUP($E26,PO_Enrgy_1_Table,MATCH($E$9,PO_Enrgy_1_Hdr,0),FALSE) &amp; ")"),"")</f>
        <v>Demand (MBH)</v>
      </c>
      <c r="G27" s="1472">
        <v>12.9</v>
      </c>
      <c r="H27" s="1472">
        <v>11.5</v>
      </c>
      <c r="I27" s="1473">
        <f t="shared" si="5"/>
        <v>0.10852713178294571</v>
      </c>
      <c r="J27" s="3394"/>
      <c r="K27" s="3393"/>
      <c r="L27" s="3393"/>
      <c r="M27" s="3396"/>
      <c r="N27" s="564"/>
      <c r="Q27" s="1250" t="str">
        <f t="shared" si="0"/>
        <v/>
      </c>
      <c r="R27" s="1250" t="str">
        <f t="shared" si="1"/>
        <v/>
      </c>
      <c r="V27" s="604">
        <f t="shared" si="2"/>
        <v>0</v>
      </c>
      <c r="W27" s="599">
        <f t="shared" si="3"/>
        <v>0</v>
      </c>
      <c r="X27" s="599">
        <f t="shared" si="4"/>
        <v>0</v>
      </c>
      <c r="AE27" s="596"/>
      <c r="AF27" s="3205"/>
      <c r="AG27" s="3206"/>
      <c r="AH27" s="1422"/>
      <c r="AI27" s="1461"/>
      <c r="AJ27" s="1461"/>
      <c r="AK27" s="1424"/>
      <c r="AO27" s="604"/>
    </row>
    <row r="28" spans="1:41" ht="16.149999999999999" hidden="1" customHeight="1" x14ac:dyDescent="0.25">
      <c r="A28" s="1271" t="s">
        <v>1298</v>
      </c>
      <c r="B28" s="3390" t="s">
        <v>477</v>
      </c>
      <c r="C28" s="3390"/>
      <c r="D28" s="3391">
        <v>0</v>
      </c>
      <c r="E28" s="3392" t="s">
        <v>464</v>
      </c>
      <c r="F28" s="1470" t="str">
        <f>IFERROR(IF(ISBLANK(E28),"","Consumption (" &amp; VLOOKUP($E28,PO_Enrgy_1_Table,MATCH($C$9,PO_Enrgy_1_Hdr,0),FALSE) &amp; ")"),"")</f>
        <v>Consumption (kWh)</v>
      </c>
      <c r="G28" s="1471">
        <v>6745</v>
      </c>
      <c r="H28" s="1471">
        <v>6428</v>
      </c>
      <c r="I28" s="1460">
        <f t="shared" si="5"/>
        <v>4.6997776130466962E-2</v>
      </c>
      <c r="J28" s="3393">
        <f>IFERROR(IF($E$122-$H$122&lt;0,"",($G28-$H28)*VLOOKUP($E28,PO_Enrgy_1_Table,MATCH($K$9,PO_Enrgy_1_Hdr,0),FALSE)/($E$122-$H$122)),"")</f>
        <v>2.2942137343717212E-3</v>
      </c>
      <c r="K28" s="3393">
        <f>IFERROR(IF($G$122-$J$122&lt;0,"",($G28*VLOOKUP($E28,PO_Enrgy_8_Table,MATCH($E$81,PO_Enrgy_8_Hdr,0),FALSE)-($H28*VLOOKUP($E28,PO_Enrgy_8_Table,MATCH($H$81,PO_Enrgy_8_Hdr,0),FALSE)))/($G$122-$J$122)),"")</f>
        <v>4.1663305244023828E-3</v>
      </c>
      <c r="L28" s="3393"/>
      <c r="M28" s="3395">
        <f>IFERROR(H28*VLOOKUP($E28,PO_Enrgy_1_Table,MATCH($K$9,PO_Enrgy_1_Hdr,0))/$H$76,"")</f>
        <v>0.1581585795195139</v>
      </c>
      <c r="N28" s="564"/>
      <c r="Q28" s="1250">
        <f t="shared" si="0"/>
        <v>3.4120000000000001E-3</v>
      </c>
      <c r="R28" s="1250">
        <f t="shared" si="1"/>
        <v>1.0713680000000001E-2</v>
      </c>
      <c r="V28" s="604">
        <f t="shared" si="2"/>
        <v>0</v>
      </c>
      <c r="W28" s="599">
        <f t="shared" si="3"/>
        <v>0</v>
      </c>
      <c r="X28" s="599">
        <f t="shared" si="4"/>
        <v>0</v>
      </c>
      <c r="Y28" s="671" t="b">
        <f>IFERROR(IF(D28="x",IF(OR(G28/H28&gt;1.03,G28/H28&lt;0.97),TRUE,FALSE),FALSE),FALSE)</f>
        <v>0</v>
      </c>
      <c r="Z28" s="671">
        <f>IFERROR(J28*100,)</f>
        <v>0.22942137343717212</v>
      </c>
      <c r="AB28" s="671">
        <f>RANK(Z28,$Z$20:$Z$67,0)</f>
        <v>6</v>
      </c>
      <c r="AC28" s="671">
        <f>AB28+COUNTIF($AB$20:$AB27,AB28)</f>
        <v>6</v>
      </c>
      <c r="AD28" s="671" t="str">
        <f>B28</f>
        <v>Pumps</v>
      </c>
      <c r="AE28" s="1421"/>
      <c r="AF28" s="3205"/>
      <c r="AG28" s="3206"/>
      <c r="AH28" s="1422"/>
      <c r="AI28" s="1461"/>
      <c r="AJ28" s="1461"/>
      <c r="AK28" s="1423"/>
      <c r="AO28" s="604"/>
    </row>
    <row r="29" spans="1:41" ht="16.149999999999999" hidden="1" customHeight="1" x14ac:dyDescent="0.25">
      <c r="A29" s="1271" t="s">
        <v>1298</v>
      </c>
      <c r="B29" s="3390"/>
      <c r="C29" s="3390"/>
      <c r="D29" s="3391"/>
      <c r="E29" s="3392"/>
      <c r="F29" s="1470" t="str">
        <f>IFERROR(IF(ISBLANK(E28),"","Demand (" &amp; VLOOKUP($E28,PO_Enrgy_1_Table,MATCH($E$9,PO_Enrgy_1_Hdr,0),FALSE) &amp; ")"),"")</f>
        <v>Demand (kW)</v>
      </c>
      <c r="G29" s="1472">
        <v>4.5999999999999996</v>
      </c>
      <c r="H29" s="1472">
        <v>4.5</v>
      </c>
      <c r="I29" s="1473">
        <f t="shared" si="5"/>
        <v>2.1739130434782483E-2</v>
      </c>
      <c r="J29" s="3394"/>
      <c r="K29" s="3393"/>
      <c r="L29" s="3393"/>
      <c r="M29" s="3396"/>
      <c r="N29" s="564"/>
      <c r="Q29" s="1250" t="str">
        <f t="shared" si="0"/>
        <v/>
      </c>
      <c r="R29" s="1250" t="str">
        <f t="shared" si="1"/>
        <v/>
      </c>
      <c r="V29" s="604">
        <f t="shared" si="2"/>
        <v>0</v>
      </c>
      <c r="W29" s="599">
        <f t="shared" si="3"/>
        <v>0</v>
      </c>
      <c r="X29" s="599">
        <f t="shared" si="4"/>
        <v>0</v>
      </c>
      <c r="AE29" s="596"/>
      <c r="AF29" s="3205"/>
      <c r="AG29" s="3206"/>
      <c r="AH29" s="1422"/>
      <c r="AI29" s="1461"/>
      <c r="AJ29" s="1461"/>
      <c r="AK29" s="1424"/>
      <c r="AO29" s="604"/>
    </row>
    <row r="30" spans="1:41" ht="16.149999999999999" hidden="1" customHeight="1" x14ac:dyDescent="0.25">
      <c r="A30" s="1271" t="s">
        <v>1298</v>
      </c>
      <c r="B30" s="3390" t="s">
        <v>476</v>
      </c>
      <c r="C30" s="3390"/>
      <c r="D30" s="3391">
        <v>0</v>
      </c>
      <c r="E30" s="3392" t="s">
        <v>464</v>
      </c>
      <c r="F30" s="1470" t="str">
        <f>IFERROR(IF(ISBLANK(E30),"","Consumption (" &amp; VLOOKUP($E30,PO_Enrgy_1_Table,MATCH($C$9,PO_Enrgy_1_Hdr,0),FALSE) &amp; ")"),"")</f>
        <v>Consumption (kWh)</v>
      </c>
      <c r="G30" s="1471">
        <v>0</v>
      </c>
      <c r="H30" s="1471">
        <v>0</v>
      </c>
      <c r="I30" s="1460" t="str">
        <f t="shared" si="5"/>
        <v/>
      </c>
      <c r="J30" s="3393">
        <f>IFERROR(IF($E$122-$H$122&lt;0,"",($G30-$H30)*VLOOKUP($E30,PO_Enrgy_1_Table,MATCH($K$9,PO_Enrgy_1_Hdr,0),FALSE)/($E$122-$H$122)),"")</f>
        <v>0</v>
      </c>
      <c r="K30" s="3393">
        <f>IFERROR(IF($G$122-$J$122&lt;0,"",($G30*VLOOKUP($E30,PO_Enrgy_8_Table,MATCH($E$81,PO_Enrgy_8_Hdr,0),FALSE)-($H30*VLOOKUP($E30,PO_Enrgy_8_Table,MATCH($H$81,PO_Enrgy_8_Hdr,0),FALSE)))/($G$122-$J$122)),"")</f>
        <v>0</v>
      </c>
      <c r="L30" s="3393"/>
      <c r="M30" s="3395">
        <f>IFERROR(H30*VLOOKUP($E30,PO_Enrgy_1_Table,MATCH($K$9,PO_Enrgy_1_Hdr,0))/$H$76,"")</f>
        <v>0</v>
      </c>
      <c r="N30" s="564"/>
      <c r="Q30" s="1250">
        <f t="shared" si="0"/>
        <v>3.4120000000000001E-3</v>
      </c>
      <c r="R30" s="1250">
        <f t="shared" si="1"/>
        <v>1.0713680000000001E-2</v>
      </c>
      <c r="V30" s="604">
        <f t="shared" si="2"/>
        <v>0</v>
      </c>
      <c r="W30" s="599">
        <f t="shared" si="3"/>
        <v>0</v>
      </c>
      <c r="X30" s="599">
        <f t="shared" si="4"/>
        <v>0</v>
      </c>
      <c r="Y30" s="671" t="b">
        <f>IFERROR(IF(D30="x",IF(OR(G30/H30&gt;1.03,G30/H30&lt;0.97),TRUE,FALSE),FALSE),FALSE)</f>
        <v>0</v>
      </c>
      <c r="Z30" s="671">
        <f>IFERROR(J30*100,)</f>
        <v>0</v>
      </c>
      <c r="AB30" s="671">
        <f>RANK(Z30,$Z$20:$Z$67,0)</f>
        <v>7</v>
      </c>
      <c r="AC30" s="671">
        <f>AB30+COUNTIF($AB$20:$AB29,AB30)</f>
        <v>7</v>
      </c>
      <c r="AD30" s="671" t="str">
        <f>B30</f>
        <v>Heat rejection</v>
      </c>
      <c r="AE30" s="1421"/>
      <c r="AF30" s="3205"/>
      <c r="AG30" s="3206"/>
      <c r="AH30" s="1422"/>
      <c r="AI30" s="1461"/>
      <c r="AJ30" s="1461"/>
      <c r="AK30" s="1423"/>
      <c r="AO30" s="604"/>
    </row>
    <row r="31" spans="1:41" ht="16.149999999999999" hidden="1" customHeight="1" x14ac:dyDescent="0.25">
      <c r="A31" s="1271" t="s">
        <v>1298</v>
      </c>
      <c r="B31" s="3390"/>
      <c r="C31" s="3390"/>
      <c r="D31" s="3391"/>
      <c r="E31" s="3392"/>
      <c r="F31" s="1470" t="str">
        <f>IFERROR(IF(ISBLANK(E30),"","Demand (" &amp; VLOOKUP($E30,PO_Enrgy_1_Table,MATCH($E$9,PO_Enrgy_1_Hdr,0),FALSE) &amp; ")"),"")</f>
        <v>Demand (kW)</v>
      </c>
      <c r="G31" s="1472">
        <v>0</v>
      </c>
      <c r="H31" s="1472">
        <v>0</v>
      </c>
      <c r="I31" s="1473" t="str">
        <f t="shared" si="5"/>
        <v/>
      </c>
      <c r="J31" s="3394"/>
      <c r="K31" s="3393"/>
      <c r="L31" s="3393"/>
      <c r="M31" s="3396"/>
      <c r="N31" s="564"/>
      <c r="Q31" s="1250" t="str">
        <f t="shared" si="0"/>
        <v/>
      </c>
      <c r="R31" s="1250" t="str">
        <f t="shared" si="1"/>
        <v/>
      </c>
      <c r="V31" s="604">
        <f t="shared" si="2"/>
        <v>0</v>
      </c>
      <c r="W31" s="599">
        <f t="shared" si="3"/>
        <v>0</v>
      </c>
      <c r="X31" s="599">
        <f t="shared" si="4"/>
        <v>0</v>
      </c>
      <c r="AE31" s="596"/>
      <c r="AF31" s="3205"/>
      <c r="AG31" s="3206"/>
      <c r="AH31" s="1422"/>
      <c r="AI31" s="1461"/>
      <c r="AJ31" s="1461"/>
      <c r="AK31" s="1424"/>
      <c r="AO31" s="604"/>
    </row>
    <row r="32" spans="1:41" ht="16.149999999999999" hidden="1" customHeight="1" x14ac:dyDescent="0.25">
      <c r="A32" s="1271" t="s">
        <v>1298</v>
      </c>
      <c r="B32" s="3390" t="s">
        <v>475</v>
      </c>
      <c r="C32" s="3390"/>
      <c r="D32" s="3391">
        <v>0</v>
      </c>
      <c r="E32" s="3392" t="s">
        <v>464</v>
      </c>
      <c r="F32" s="1470" t="str">
        <f>IFERROR(IF(ISBLANK(E32),"","Consumption (" &amp; VLOOKUP($E32,PO_Enrgy_1_Table,MATCH($C$9,PO_Enrgy_1_Hdr,0),FALSE) &amp; ")"),"")</f>
        <v>Consumption (kWh)</v>
      </c>
      <c r="G32" s="1471">
        <v>82957</v>
      </c>
      <c r="H32" s="1471">
        <v>71147</v>
      </c>
      <c r="I32" s="1460">
        <f t="shared" si="5"/>
        <v>0.1423629109056499</v>
      </c>
      <c r="J32" s="3393">
        <f>IFERROR(IF($E$122-$H$122&lt;0,"",($G32-$H32)*VLOOKUP($E32,PO_Enrgy_1_Table,MATCH($K$9,PO_Enrgy_1_Hdr,0),FALSE)/($E$122-$H$122)),"")</f>
        <v>8.5472126823123135E-2</v>
      </c>
      <c r="K32" s="3393">
        <f>IFERROR(IF($G$122-$J$122&lt;0,"",($G32*VLOOKUP($E32,PO_Enrgy_8_Table,MATCH($E$81,PO_Enrgy_8_Hdr,0),FALSE)-($H32*VLOOKUP($E32,PO_Enrgy_8_Table,MATCH($H$81,PO_Enrgy_8_Hdr,0),FALSE)))/($G$122-$J$122)),"")</f>
        <v>0.15043820838582192</v>
      </c>
      <c r="L32" s="3393"/>
      <c r="M32" s="3395">
        <f>IFERROR(H32*VLOOKUP($E32,PO_Enrgy_1_Table,MATCH($K$9,PO_Enrgy_1_Hdr,0))/$H$76,"")</f>
        <v>1.7505458085057335</v>
      </c>
      <c r="N32" s="564"/>
      <c r="Q32" s="1250">
        <f t="shared" si="0"/>
        <v>3.4120000000000001E-3</v>
      </c>
      <c r="R32" s="1250">
        <f t="shared" si="1"/>
        <v>1.0713680000000001E-2</v>
      </c>
      <c r="V32" s="604">
        <f t="shared" si="2"/>
        <v>0</v>
      </c>
      <c r="W32" s="599">
        <f t="shared" si="3"/>
        <v>0</v>
      </c>
      <c r="X32" s="599">
        <f t="shared" si="4"/>
        <v>0</v>
      </c>
      <c r="Y32" s="671" t="b">
        <f>IFERROR(IF(D32="x",IF(OR(G32/H32&gt;1.03,G32/H32&lt;0.97),TRUE,FALSE),FALSE),FALSE)</f>
        <v>0</v>
      </c>
      <c r="Z32" s="671">
        <f>IFERROR(J32*100,)</f>
        <v>8.5472126823123133</v>
      </c>
      <c r="AB32" s="671">
        <f>RANK(Z32,$Z$20:$Z$67,0)</f>
        <v>4</v>
      </c>
      <c r="AC32" s="671">
        <f>AB32+COUNTIF($AB$20:$AB31,AB32)</f>
        <v>4</v>
      </c>
      <c r="AD32" s="671" t="str">
        <f>B32</f>
        <v>Fans - interior ventilation</v>
      </c>
      <c r="AE32" s="1421"/>
      <c r="AF32" s="3205"/>
      <c r="AG32" s="3206"/>
      <c r="AH32" s="1422"/>
      <c r="AI32" s="1461"/>
      <c r="AJ32" s="1461"/>
      <c r="AK32" s="1423"/>
      <c r="AO32" s="604"/>
    </row>
    <row r="33" spans="1:41" ht="16.149999999999999" hidden="1" customHeight="1" x14ac:dyDescent="0.25">
      <c r="A33" s="1271" t="s">
        <v>1298</v>
      </c>
      <c r="B33" s="3390"/>
      <c r="C33" s="3390"/>
      <c r="D33" s="3391"/>
      <c r="E33" s="3392"/>
      <c r="F33" s="1470" t="str">
        <f>IFERROR(IF(ISBLANK(E32),"","Demand (" &amp; VLOOKUP($E32,PO_Enrgy_1_Table,MATCH($E$9,PO_Enrgy_1_Hdr,0),FALSE) &amp; ")"),"")</f>
        <v>Demand (kW)</v>
      </c>
      <c r="G33" s="1472">
        <v>34.6</v>
      </c>
      <c r="H33" s="1472">
        <v>35.1</v>
      </c>
      <c r="I33" s="1473">
        <f t="shared" si="5"/>
        <v>-1.4450867052023142E-2</v>
      </c>
      <c r="J33" s="3394"/>
      <c r="K33" s="3393"/>
      <c r="L33" s="3393"/>
      <c r="M33" s="3396"/>
      <c r="N33" s="564"/>
      <c r="Q33" s="1250" t="str">
        <f t="shared" si="0"/>
        <v/>
      </c>
      <c r="R33" s="1250" t="str">
        <f t="shared" si="1"/>
        <v/>
      </c>
      <c r="V33" s="604">
        <f t="shared" si="2"/>
        <v>0</v>
      </c>
      <c r="W33" s="599">
        <f t="shared" si="3"/>
        <v>0</v>
      </c>
      <c r="X33" s="599">
        <f t="shared" si="4"/>
        <v>0</v>
      </c>
      <c r="AE33" s="596"/>
      <c r="AF33" s="3205"/>
      <c r="AG33" s="3206"/>
      <c r="AH33" s="1422"/>
      <c r="AI33" s="1461"/>
      <c r="AJ33" s="1461"/>
      <c r="AK33" s="1424"/>
      <c r="AO33" s="604"/>
    </row>
    <row r="34" spans="1:41" ht="16.149999999999999" hidden="1" customHeight="1" x14ac:dyDescent="0.25">
      <c r="A34" s="1271" t="s">
        <v>1298</v>
      </c>
      <c r="B34" s="3390" t="s">
        <v>474</v>
      </c>
      <c r="C34" s="3390"/>
      <c r="D34" s="3391" t="s">
        <v>465</v>
      </c>
      <c r="E34" s="3392" t="s">
        <v>464</v>
      </c>
      <c r="F34" s="1470" t="str">
        <f>IFERROR(IF(ISBLANK(E34),"","Consumption (" &amp; VLOOKUP($E34,PO_Enrgy_1_Table,MATCH($C$9,PO_Enrgy_1_Hdr,0),FALSE) &amp; ")"),"")</f>
        <v>Consumption (kWh)</v>
      </c>
      <c r="G34" s="1471">
        <v>0</v>
      </c>
      <c r="H34" s="1471">
        <v>0</v>
      </c>
      <c r="I34" s="1460" t="str">
        <f t="shared" si="5"/>
        <v/>
      </c>
      <c r="J34" s="3393">
        <f>IFERROR(IF($E$122-$H$122&lt;0,"",($G34-$H34)*VLOOKUP($E34,PO_Enrgy_1_Table,MATCH($K$9,PO_Enrgy_1_Hdr,0),FALSE)/($E$122-$H$122)),"")</f>
        <v>0</v>
      </c>
      <c r="K34" s="3393">
        <f>IFERROR(IF($G$122-$J$122&lt;0,"",($G34*VLOOKUP($E34,PO_Enrgy_8_Table,MATCH($E$81,PO_Enrgy_8_Hdr,0),FALSE)-($H34*VLOOKUP($E34,PO_Enrgy_8_Table,MATCH($H$81,PO_Enrgy_8_Hdr,0),FALSE)))/($G$122-$J$122)),"")</f>
        <v>0</v>
      </c>
      <c r="L34" s="3393"/>
      <c r="M34" s="3395">
        <f>IFERROR(H34*VLOOKUP($E34,PO_Enrgy_1_Table,MATCH($K$9,PO_Enrgy_1_Hdr,0))/$H$76,"")</f>
        <v>0</v>
      </c>
      <c r="N34" s="564"/>
      <c r="Q34" s="1250">
        <f t="shared" si="0"/>
        <v>3.4120000000000001E-3</v>
      </c>
      <c r="R34" s="1250">
        <f t="shared" si="1"/>
        <v>1.0713680000000001E-2</v>
      </c>
      <c r="V34" s="604">
        <f t="shared" si="2"/>
        <v>0</v>
      </c>
      <c r="W34" s="599">
        <f t="shared" si="3"/>
        <v>0</v>
      </c>
      <c r="X34" s="599">
        <f t="shared" si="4"/>
        <v>0</v>
      </c>
      <c r="Y34" s="671" t="b">
        <f>IFERROR(IF(D34="x",IF(OR(G34/H34&gt;1.03,G34/H34&lt;0.97),TRUE,FALSE),FALSE),FALSE)</f>
        <v>0</v>
      </c>
      <c r="Z34" s="671">
        <f>IFERROR(J34*100,)</f>
        <v>0</v>
      </c>
      <c r="AB34" s="671">
        <f>RANK(Z34,$Z$20:$Z$67,0)</f>
        <v>7</v>
      </c>
      <c r="AC34" s="671">
        <f>AB34+COUNTIF($AB$20:$AB33,AB34)</f>
        <v>8</v>
      </c>
      <c r="AD34" s="671" t="str">
        <f>B34</f>
        <v>Fans - parking garage</v>
      </c>
      <c r="AE34" s="1421"/>
      <c r="AF34" s="3205"/>
      <c r="AG34" s="3206"/>
      <c r="AH34" s="1422"/>
      <c r="AI34" s="1461"/>
      <c r="AJ34" s="1461"/>
      <c r="AK34" s="1423"/>
      <c r="AO34" s="604"/>
    </row>
    <row r="35" spans="1:41" ht="16.149999999999999" hidden="1" customHeight="1" x14ac:dyDescent="0.25">
      <c r="A35" s="1271" t="s">
        <v>1298</v>
      </c>
      <c r="B35" s="3390"/>
      <c r="C35" s="3390"/>
      <c r="D35" s="3391"/>
      <c r="E35" s="3392"/>
      <c r="F35" s="1470" t="str">
        <f>IFERROR(IF(ISBLANK(E34),"","Demand (" &amp; VLOOKUP($E34,PO_Enrgy_1_Table,MATCH($E$9,PO_Enrgy_1_Hdr,0),FALSE) &amp; ")"),"")</f>
        <v>Demand (kW)</v>
      </c>
      <c r="G35" s="1472">
        <v>0</v>
      </c>
      <c r="H35" s="1472">
        <v>0</v>
      </c>
      <c r="I35" s="1473" t="str">
        <f t="shared" si="5"/>
        <v/>
      </c>
      <c r="J35" s="3394"/>
      <c r="K35" s="3393"/>
      <c r="L35" s="3393"/>
      <c r="M35" s="3396"/>
      <c r="N35" s="564"/>
      <c r="Q35" s="1250" t="str">
        <f t="shared" si="0"/>
        <v/>
      </c>
      <c r="R35" s="1250" t="str">
        <f t="shared" si="1"/>
        <v/>
      </c>
      <c r="V35" s="604">
        <f t="shared" si="2"/>
        <v>0</v>
      </c>
      <c r="W35" s="599">
        <f t="shared" si="3"/>
        <v>0</v>
      </c>
      <c r="X35" s="599">
        <f t="shared" si="4"/>
        <v>0</v>
      </c>
      <c r="AE35" s="596"/>
      <c r="AF35" s="3205"/>
      <c r="AG35" s="3206"/>
      <c r="AH35" s="1422"/>
      <c r="AI35" s="1461"/>
      <c r="AJ35" s="1461"/>
      <c r="AK35" s="1424"/>
      <c r="AO35" s="604"/>
    </row>
    <row r="36" spans="1:41" ht="16.149999999999999" hidden="1" customHeight="1" x14ac:dyDescent="0.25">
      <c r="A36" s="1271" t="s">
        <v>1298</v>
      </c>
      <c r="B36" s="3390" t="s">
        <v>473</v>
      </c>
      <c r="C36" s="3390"/>
      <c r="D36" s="3391">
        <v>0</v>
      </c>
      <c r="E36" s="3392" t="s">
        <v>464</v>
      </c>
      <c r="F36" s="1470" t="str">
        <f>IFERROR(IF(ISBLANK(E36),"","Consumption (" &amp; VLOOKUP($E36,PO_Enrgy_1_Table,MATCH($C$9,PO_Enrgy_1_Hdr,0),FALSE) &amp; ")"),"")</f>
        <v>Consumption (kWh)</v>
      </c>
      <c r="G36" s="1471">
        <v>0</v>
      </c>
      <c r="H36" s="1471">
        <v>0</v>
      </c>
      <c r="I36" s="1460" t="str">
        <f t="shared" si="5"/>
        <v/>
      </c>
      <c r="J36" s="3393">
        <f>IFERROR(IF($E$122-$H$122&lt;0,"",($G36-$H36)*VLOOKUP($E36,PO_Enrgy_1_Table,MATCH($K$9,PO_Enrgy_1_Hdr,0),FALSE)/($E$122-$H$122)),"")</f>
        <v>0</v>
      </c>
      <c r="K36" s="3393">
        <f>IFERROR(IF($G$122-$J$122&lt;0,"",($G36*VLOOKUP($E36,PO_Enrgy_8_Table,MATCH($E$81,PO_Enrgy_8_Hdr,0),FALSE)-($H36*VLOOKUP($E36,PO_Enrgy_8_Table,MATCH($H$81,PO_Enrgy_8_Hdr,0),FALSE)))/($G$122-$J$122)),"")</f>
        <v>0</v>
      </c>
      <c r="L36" s="3393"/>
      <c r="M36" s="3395">
        <f>IFERROR(H36*VLOOKUP($E36,PO_Enrgy_1_Table,MATCH($K$9,PO_Enrgy_1_Hdr,0))/$H$76,"")</f>
        <v>0</v>
      </c>
      <c r="N36" s="564"/>
      <c r="Q36" s="1250">
        <f t="shared" si="0"/>
        <v>3.4120000000000001E-3</v>
      </c>
      <c r="R36" s="1250">
        <f t="shared" si="1"/>
        <v>1.0713680000000001E-2</v>
      </c>
      <c r="V36" s="604">
        <f t="shared" si="2"/>
        <v>0</v>
      </c>
      <c r="W36" s="599">
        <f t="shared" si="3"/>
        <v>0</v>
      </c>
      <c r="X36" s="599">
        <f t="shared" si="4"/>
        <v>0</v>
      </c>
      <c r="Y36" s="671" t="b">
        <f>IFERROR(IF(D36="x",IF(OR(G36/H36&gt;1.03,G36/H36&lt;0.97),TRUE,FALSE),FALSE),FALSE)</f>
        <v>0</v>
      </c>
      <c r="Z36" s="671">
        <f>IFERROR(J36*100,)</f>
        <v>0</v>
      </c>
      <c r="AB36" s="671">
        <f>RANK(Z36,$Z$20:$Z$67,0)</f>
        <v>7</v>
      </c>
      <c r="AC36" s="671">
        <f>AB36+COUNTIF($AB$20:$AB35,AB36)</f>
        <v>9</v>
      </c>
      <c r="AD36" s="671" t="str">
        <f>B36</f>
        <v>Service water heating</v>
      </c>
      <c r="AE36" s="1421"/>
      <c r="AF36" s="3205"/>
      <c r="AG36" s="3206"/>
      <c r="AH36" s="1422"/>
      <c r="AI36" s="1461"/>
      <c r="AJ36" s="1461"/>
      <c r="AK36" s="1423"/>
      <c r="AO36" s="604"/>
    </row>
    <row r="37" spans="1:41" ht="16.149999999999999" hidden="1" customHeight="1" x14ac:dyDescent="0.25">
      <c r="A37" s="1271" t="s">
        <v>1298</v>
      </c>
      <c r="B37" s="3390"/>
      <c r="C37" s="3390"/>
      <c r="D37" s="3391"/>
      <c r="E37" s="3392"/>
      <c r="F37" s="1470" t="str">
        <f>IFERROR(IF(ISBLANK(E36),"","Demand (" &amp; VLOOKUP($E36,PO_Enrgy_1_Table,MATCH($E$9,PO_Enrgy_1_Hdr,0),FALSE) &amp; ")"),"")</f>
        <v>Demand (kW)</v>
      </c>
      <c r="G37" s="1472">
        <v>0</v>
      </c>
      <c r="H37" s="1472">
        <v>0</v>
      </c>
      <c r="I37" s="1473" t="str">
        <f t="shared" si="5"/>
        <v/>
      </c>
      <c r="J37" s="3394"/>
      <c r="K37" s="3393"/>
      <c r="L37" s="3393"/>
      <c r="M37" s="3396"/>
      <c r="N37" s="564"/>
      <c r="Q37" s="1250" t="str">
        <f t="shared" si="0"/>
        <v/>
      </c>
      <c r="R37" s="1250" t="str">
        <f t="shared" si="1"/>
        <v/>
      </c>
      <c r="V37" s="604">
        <f t="shared" si="2"/>
        <v>0</v>
      </c>
      <c r="W37" s="599">
        <f t="shared" si="3"/>
        <v>0</v>
      </c>
      <c r="X37" s="599">
        <f t="shared" si="4"/>
        <v>0</v>
      </c>
      <c r="AE37" s="596"/>
      <c r="AF37" s="3205"/>
      <c r="AG37" s="3206"/>
      <c r="AH37" s="1422"/>
      <c r="AI37" s="1461"/>
      <c r="AJ37" s="1461"/>
      <c r="AK37" s="1424"/>
      <c r="AO37" s="604"/>
    </row>
    <row r="38" spans="1:41" ht="16.149999999999999" hidden="1" customHeight="1" x14ac:dyDescent="0.25">
      <c r="A38" s="1271" t="s">
        <v>1298</v>
      </c>
      <c r="B38" s="3390" t="s">
        <v>472</v>
      </c>
      <c r="C38" s="3390"/>
      <c r="D38" s="3391" t="s">
        <v>465</v>
      </c>
      <c r="E38" s="3392" t="s">
        <v>464</v>
      </c>
      <c r="F38" s="1470" t="str">
        <f>IFERROR(IF(ISBLANK(E38),"","Consumption (" &amp; VLOOKUP($E38,PO_Enrgy_1_Table,MATCH($C$9,PO_Enrgy_1_Hdr,0),FALSE) &amp; ")"),"")</f>
        <v>Consumption (kWh)</v>
      </c>
      <c r="G38" s="1471">
        <v>174575</v>
      </c>
      <c r="H38" s="1471">
        <v>174575</v>
      </c>
      <c r="I38" s="1460">
        <f t="shared" si="5"/>
        <v>0</v>
      </c>
      <c r="J38" s="3393">
        <f>IFERROR(IF($E$122-$H$122&lt;0,"",($G38-$H38)*VLOOKUP($E38,PO_Enrgy_1_Table,MATCH($K$9,PO_Enrgy_1_Hdr,0),FALSE)/($E$122-$H$122)),"")</f>
        <v>0</v>
      </c>
      <c r="K38" s="3393">
        <f>IFERROR(IF($G$122-$J$122&lt;0,"",($G38*VLOOKUP($E38,PO_Enrgy_8_Table,MATCH($E$81,PO_Enrgy_8_Hdr,0),FALSE)-($H38*VLOOKUP($E38,PO_Enrgy_8_Table,MATCH($H$81,PO_Enrgy_8_Hdr,0),FALSE)))/($G$122-$J$122)),"")</f>
        <v>4.9579193166147239E-3</v>
      </c>
      <c r="L38" s="3393"/>
      <c r="M38" s="3395">
        <f>IFERROR(H38*VLOOKUP($E38,PO_Enrgy_1_Table,MATCH($K$9,PO_Enrgy_1_Hdr,0))/$H$76,"")</f>
        <v>4.2953537678312284</v>
      </c>
      <c r="N38" s="564"/>
      <c r="Q38" s="1250">
        <f t="shared" si="0"/>
        <v>3.4120000000000001E-3</v>
      </c>
      <c r="R38" s="1250">
        <f t="shared" si="1"/>
        <v>1.0713680000000001E-2</v>
      </c>
      <c r="V38" s="604">
        <f t="shared" si="2"/>
        <v>0</v>
      </c>
      <c r="W38" s="599">
        <f t="shared" si="3"/>
        <v>0</v>
      </c>
      <c r="X38" s="599">
        <f t="shared" si="4"/>
        <v>0</v>
      </c>
      <c r="Y38" s="671" t="b">
        <f>IFERROR(IF(D38="x",IF(OR(G38/H38&gt;1.03,G38/H38&lt;0.97),TRUE,FALSE),FALSE),FALSE)</f>
        <v>0</v>
      </c>
      <c r="Z38" s="671">
        <f>IFERROR(J38*100,)</f>
        <v>0</v>
      </c>
      <c r="AB38" s="671">
        <f>RANK(Z38,$Z$20:$Z$67,0)</f>
        <v>7</v>
      </c>
      <c r="AC38" s="671">
        <f>AB38+COUNTIF($AB$20:$AB37,AB38)</f>
        <v>10</v>
      </c>
      <c r="AD38" s="671" t="str">
        <f>B38</f>
        <v>Receptacle equipment</v>
      </c>
      <c r="AE38" s="1421"/>
      <c r="AF38" s="3205"/>
      <c r="AG38" s="3206"/>
      <c r="AH38" s="1422"/>
      <c r="AI38" s="1461"/>
      <c r="AJ38" s="1461"/>
      <c r="AK38" s="1423"/>
      <c r="AO38" s="604"/>
    </row>
    <row r="39" spans="1:41" ht="16.149999999999999" hidden="1" customHeight="1" x14ac:dyDescent="0.25">
      <c r="A39" s="1271" t="s">
        <v>1298</v>
      </c>
      <c r="B39" s="3390"/>
      <c r="C39" s="3390"/>
      <c r="D39" s="3391"/>
      <c r="E39" s="3392"/>
      <c r="F39" s="1470" t="str">
        <f>IFERROR(IF(ISBLANK(E38),"","Demand (" &amp; VLOOKUP($E38,PO_Enrgy_1_Table,MATCH($E$9,PO_Enrgy_1_Hdr,0),FALSE) &amp; ")"),"")</f>
        <v>Demand (kW)</v>
      </c>
      <c r="G39" s="1472">
        <v>52.7</v>
      </c>
      <c r="H39" s="1472">
        <v>52.7</v>
      </c>
      <c r="I39" s="1473">
        <f t="shared" si="5"/>
        <v>0</v>
      </c>
      <c r="J39" s="3394"/>
      <c r="K39" s="3393"/>
      <c r="L39" s="3393"/>
      <c r="M39" s="3396"/>
      <c r="N39" s="564"/>
      <c r="Q39" s="1250" t="str">
        <f t="shared" si="0"/>
        <v/>
      </c>
      <c r="R39" s="1250" t="str">
        <f t="shared" si="1"/>
        <v/>
      </c>
      <c r="V39" s="604">
        <f t="shared" si="2"/>
        <v>0</v>
      </c>
      <c r="W39" s="599">
        <f t="shared" si="3"/>
        <v>0</v>
      </c>
      <c r="X39" s="599">
        <f t="shared" si="4"/>
        <v>0</v>
      </c>
      <c r="AE39" s="596"/>
      <c r="AF39" s="3205"/>
      <c r="AG39" s="3206"/>
      <c r="AH39" s="1422"/>
      <c r="AI39" s="1461"/>
      <c r="AJ39" s="1461"/>
      <c r="AK39" s="1424"/>
      <c r="AO39" s="604"/>
    </row>
    <row r="40" spans="1:41" ht="16.149999999999999" hidden="1" customHeight="1" x14ac:dyDescent="0.25">
      <c r="A40" s="1271" t="s">
        <v>1298</v>
      </c>
      <c r="B40" s="3390" t="s">
        <v>471</v>
      </c>
      <c r="C40" s="3390"/>
      <c r="D40" s="3391" t="s">
        <v>465</v>
      </c>
      <c r="E40" s="3392" t="s">
        <v>464</v>
      </c>
      <c r="F40" s="1470" t="str">
        <f>IFERROR(IF(ISBLANK(E40),"","Consumption (" &amp; VLOOKUP($E40,PO_Enrgy_1_Table,MATCH($C$9,PO_Enrgy_1_Hdr,0),FALSE) &amp; ")"),"")</f>
        <v>Consumption (kWh)</v>
      </c>
      <c r="G40" s="1471">
        <v>0</v>
      </c>
      <c r="H40" s="1471">
        <v>0</v>
      </c>
      <c r="I40" s="1460" t="str">
        <f t="shared" si="5"/>
        <v/>
      </c>
      <c r="J40" s="3393">
        <f>IFERROR(IF($E$122-$H$122&lt;0,"",($G40-$H40)*VLOOKUP($E40,PO_Enrgy_1_Table,MATCH($K$9,PO_Enrgy_1_Hdr,0),FALSE)/($E$122-$H$122)),"")</f>
        <v>0</v>
      </c>
      <c r="K40" s="3393">
        <f>IFERROR(IF($G$122-$J$122&lt;0,"",($G40*VLOOKUP($E40,PO_Enrgy_8_Table,MATCH($E$81,PO_Enrgy_8_Hdr,0),FALSE)-($H40*VLOOKUP($E40,PO_Enrgy_8_Table,MATCH($H$81,PO_Enrgy_8_Hdr,0),FALSE)))/($G$122-$J$122)),"")</f>
        <v>0</v>
      </c>
      <c r="L40" s="3393"/>
      <c r="M40" s="3395">
        <f>IFERROR(H40*VLOOKUP($E40,PO_Enrgy_1_Table,MATCH($K$9,PO_Enrgy_1_Hdr,0))/$H$76,"")</f>
        <v>0</v>
      </c>
      <c r="N40" s="564"/>
      <c r="Q40" s="1250">
        <f t="shared" si="0"/>
        <v>3.4120000000000001E-3</v>
      </c>
      <c r="R40" s="1250">
        <f t="shared" si="1"/>
        <v>1.0713680000000001E-2</v>
      </c>
      <c r="V40" s="604">
        <f t="shared" si="2"/>
        <v>0</v>
      </c>
      <c r="W40" s="599">
        <f t="shared" si="3"/>
        <v>0</v>
      </c>
      <c r="X40" s="599">
        <f t="shared" si="4"/>
        <v>0</v>
      </c>
      <c r="Y40" s="671" t="b">
        <f>IFERROR(IF(D40="x",IF(OR(G40/H40&gt;1.03,G40/H40&lt;0.97),TRUE,FALSE),FALSE),FALSE)</f>
        <v>0</v>
      </c>
      <c r="Z40" s="671">
        <f>IFERROR(J40*100,)</f>
        <v>0</v>
      </c>
      <c r="AB40" s="671">
        <f>RANK(Z40,$Z$20:$Z$67,0)</f>
        <v>7</v>
      </c>
      <c r="AC40" s="671">
        <f>AB40+COUNTIF($AB$20:$AB39,AB40)</f>
        <v>11</v>
      </c>
      <c r="AD40" s="671" t="str">
        <f>B40</f>
        <v>IT equipment</v>
      </c>
      <c r="AE40" s="1421"/>
      <c r="AF40" s="3205"/>
      <c r="AG40" s="3206"/>
      <c r="AH40" s="1422"/>
      <c r="AI40" s="1461"/>
      <c r="AJ40" s="1461"/>
      <c r="AK40" s="1423"/>
      <c r="AO40" s="604"/>
    </row>
    <row r="41" spans="1:41" ht="16.149999999999999" hidden="1" customHeight="1" x14ac:dyDescent="0.25">
      <c r="A41" s="1271" t="s">
        <v>1298</v>
      </c>
      <c r="B41" s="3390"/>
      <c r="C41" s="3390"/>
      <c r="D41" s="3391"/>
      <c r="E41" s="3392"/>
      <c r="F41" s="1470" t="str">
        <f>IFERROR(IF(ISBLANK(E40),"","Demand (" &amp; VLOOKUP($E40,PO_Enrgy_1_Table,MATCH($E$9,PO_Enrgy_1_Hdr,0),FALSE) &amp; ")"),"")</f>
        <v>Demand (kW)</v>
      </c>
      <c r="G41" s="1472">
        <v>0</v>
      </c>
      <c r="H41" s="1472">
        <v>0</v>
      </c>
      <c r="I41" s="1473" t="str">
        <f t="shared" si="5"/>
        <v/>
      </c>
      <c r="J41" s="3394"/>
      <c r="K41" s="3393"/>
      <c r="L41" s="3393"/>
      <c r="M41" s="3396"/>
      <c r="N41" s="564"/>
      <c r="Q41" s="1250" t="str">
        <f t="shared" si="0"/>
        <v/>
      </c>
      <c r="R41" s="1250" t="str">
        <f t="shared" si="1"/>
        <v/>
      </c>
      <c r="V41" s="604">
        <f t="shared" si="2"/>
        <v>0</v>
      </c>
      <c r="W41" s="599">
        <f t="shared" si="3"/>
        <v>0</v>
      </c>
      <c r="X41" s="599">
        <f t="shared" si="4"/>
        <v>0</v>
      </c>
      <c r="AE41" s="596"/>
      <c r="AF41" s="3205"/>
      <c r="AG41" s="3206"/>
      <c r="AH41" s="1422"/>
      <c r="AI41" s="1461"/>
      <c r="AJ41" s="1461"/>
      <c r="AK41" s="1424"/>
      <c r="AO41" s="604"/>
    </row>
    <row r="42" spans="1:41" ht="16.149999999999999" hidden="1" customHeight="1" x14ac:dyDescent="0.25">
      <c r="A42" s="1271" t="s">
        <v>1298</v>
      </c>
      <c r="B42" s="3390" t="s">
        <v>470</v>
      </c>
      <c r="C42" s="3390"/>
      <c r="D42" s="3391" t="s">
        <v>465</v>
      </c>
      <c r="E42" s="3392" t="s">
        <v>464</v>
      </c>
      <c r="F42" s="1470" t="str">
        <f>IFERROR(IF(ISBLANK(E42),"","Consumption (" &amp; VLOOKUP($E42,PO_Enrgy_1_Table,MATCH($C$9,PO_Enrgy_1_Hdr,0),FALSE) &amp; ")"),"")</f>
        <v>Consumption (kWh)</v>
      </c>
      <c r="G42" s="1471">
        <v>0</v>
      </c>
      <c r="H42" s="1471">
        <v>0</v>
      </c>
      <c r="I42" s="1460" t="str">
        <f t="shared" si="5"/>
        <v/>
      </c>
      <c r="J42" s="3393">
        <f>IFERROR(IF($E$122-$H$122&lt;0,"",($G42-$H42)*VLOOKUP($E42,PO_Enrgy_1_Table,MATCH($K$9,PO_Enrgy_1_Hdr,0),FALSE)/($E$122-$H$122)),"")</f>
        <v>0</v>
      </c>
      <c r="K42" s="3393">
        <f>IFERROR(IF($G$122-$J$122&lt;0,"",($G42*VLOOKUP($E42,PO_Enrgy_8_Table,MATCH($E$81,PO_Enrgy_8_Hdr,0),FALSE)-($H42*VLOOKUP($E42,PO_Enrgy_8_Table,MATCH($H$81,PO_Enrgy_8_Hdr,0),FALSE)))/($G$122-$J$122)),"")</f>
        <v>0</v>
      </c>
      <c r="L42" s="3393"/>
      <c r="M42" s="3395">
        <f>IFERROR(H42*VLOOKUP($E42,PO_Enrgy_1_Table,MATCH($K$9,PO_Enrgy_1_Hdr,0))/$H$76,"")</f>
        <v>0</v>
      </c>
      <c r="N42" s="564"/>
      <c r="Q42" s="1250">
        <f t="shared" si="0"/>
        <v>3.4120000000000001E-3</v>
      </c>
      <c r="R42" s="1250">
        <f t="shared" si="1"/>
        <v>1.0713680000000001E-2</v>
      </c>
      <c r="V42" s="604">
        <f t="shared" si="2"/>
        <v>0</v>
      </c>
      <c r="W42" s="599">
        <f t="shared" si="3"/>
        <v>0</v>
      </c>
      <c r="X42" s="599">
        <f t="shared" si="4"/>
        <v>0</v>
      </c>
      <c r="Y42" s="671" t="b">
        <f>IFERROR(IF(D42="x",IF(OR(G42/H42&gt;1.03,G42/H42&lt;0.97),TRUE,FALSE),FALSE),FALSE)</f>
        <v>0</v>
      </c>
      <c r="Z42" s="671">
        <f>IFERROR(J42*100,)</f>
        <v>0</v>
      </c>
      <c r="AB42" s="671">
        <f>RANK(Z42,$Z$20:$Z$67,0)</f>
        <v>7</v>
      </c>
      <c r="AC42" s="671">
        <f>AB42+COUNTIF($AB$20:$AB41,AB42)</f>
        <v>12</v>
      </c>
      <c r="AD42" s="671" t="str">
        <f>B42</f>
        <v>Interior lighting - process</v>
      </c>
      <c r="AE42" s="1421"/>
      <c r="AF42" s="3205"/>
      <c r="AG42" s="3206"/>
      <c r="AH42" s="1422"/>
      <c r="AI42" s="1461"/>
      <c r="AJ42" s="1461"/>
      <c r="AK42" s="1423"/>
      <c r="AO42" s="604"/>
    </row>
    <row r="43" spans="1:41" ht="16.149999999999999" hidden="1" customHeight="1" x14ac:dyDescent="0.25">
      <c r="A43" s="1271" t="s">
        <v>1298</v>
      </c>
      <c r="B43" s="3390"/>
      <c r="C43" s="3390"/>
      <c r="D43" s="3391"/>
      <c r="E43" s="3392"/>
      <c r="F43" s="1470" t="str">
        <f>IFERROR(IF(ISBLANK(E42),"","Demand (" &amp; VLOOKUP($E42,PO_Enrgy_1_Table,MATCH($E$9,PO_Enrgy_1_Hdr,0),FALSE) &amp; ")"),"")</f>
        <v>Demand (kW)</v>
      </c>
      <c r="G43" s="1472">
        <v>0</v>
      </c>
      <c r="H43" s="1472">
        <v>0</v>
      </c>
      <c r="I43" s="1473" t="str">
        <f t="shared" si="5"/>
        <v/>
      </c>
      <c r="J43" s="3394"/>
      <c r="K43" s="3393"/>
      <c r="L43" s="3393"/>
      <c r="M43" s="3396"/>
      <c r="N43" s="564"/>
      <c r="Q43" s="1250" t="str">
        <f t="shared" si="0"/>
        <v/>
      </c>
      <c r="R43" s="1250" t="str">
        <f t="shared" si="1"/>
        <v/>
      </c>
      <c r="V43" s="604">
        <f t="shared" si="2"/>
        <v>0</v>
      </c>
      <c r="W43" s="599">
        <f t="shared" si="3"/>
        <v>0</v>
      </c>
      <c r="X43" s="599">
        <f t="shared" si="4"/>
        <v>0</v>
      </c>
      <c r="AE43" s="596"/>
      <c r="AF43" s="3205"/>
      <c r="AG43" s="3206"/>
      <c r="AH43" s="1277"/>
      <c r="AI43" s="1461"/>
      <c r="AJ43" s="1461"/>
      <c r="AK43" s="1424"/>
      <c r="AO43" s="604"/>
    </row>
    <row r="44" spans="1:41" ht="16.149999999999999" hidden="1" customHeight="1" x14ac:dyDescent="0.25">
      <c r="A44" s="1271" t="s">
        <v>1298</v>
      </c>
      <c r="B44" s="3390" t="s">
        <v>427</v>
      </c>
      <c r="C44" s="3390"/>
      <c r="D44" s="3391" t="s">
        <v>465</v>
      </c>
      <c r="E44" s="3392" t="s">
        <v>464</v>
      </c>
      <c r="F44" s="1470" t="str">
        <f>IFERROR(IF(ISBLANK(E44),"","Consumption (" &amp; VLOOKUP($E44,PO_Enrgy_1_Table,MATCH($C$9,PO_Enrgy_1_Hdr,0),FALSE) &amp; ")"),"")</f>
        <v>Consumption (kWh)</v>
      </c>
      <c r="G44" s="1471">
        <v>0</v>
      </c>
      <c r="H44" s="1471">
        <v>0</v>
      </c>
      <c r="I44" s="1460" t="str">
        <f t="shared" si="5"/>
        <v/>
      </c>
      <c r="J44" s="3393">
        <f>IFERROR(IF($E$122-$H$122&lt;0,"",($G44-$H44)*VLOOKUP($E44,PO_Enrgy_1_Table,MATCH($K$9,PO_Enrgy_1_Hdr,0),FALSE)/($E$122-$H$122)),"")</f>
        <v>0</v>
      </c>
      <c r="K44" s="3393">
        <f>IFERROR(IF($G$122-$J$122&lt;0,"",($G44*VLOOKUP($E44,PO_Enrgy_8_Table,MATCH($E$81,PO_Enrgy_8_Hdr,0),FALSE)-($H44*VLOOKUP($E44,PO_Enrgy_8_Table,MATCH($H$81,PO_Enrgy_8_Hdr,0),FALSE)))/($G$122-$J$122)),"")</f>
        <v>0</v>
      </c>
      <c r="L44" s="3393"/>
      <c r="M44" s="3395">
        <f>IFERROR(H44*VLOOKUP($E44,PO_Enrgy_1_Table,MATCH($K$9,PO_Enrgy_1_Hdr,0))/$H$76,"")</f>
        <v>0</v>
      </c>
      <c r="N44" s="564"/>
      <c r="Q44" s="1250">
        <f t="shared" si="0"/>
        <v>3.4120000000000001E-3</v>
      </c>
      <c r="R44" s="1250">
        <f t="shared" si="1"/>
        <v>1.0713680000000001E-2</v>
      </c>
      <c r="V44" s="604">
        <f t="shared" si="2"/>
        <v>0</v>
      </c>
      <c r="W44" s="599">
        <f t="shared" si="3"/>
        <v>0</v>
      </c>
      <c r="X44" s="599">
        <f t="shared" si="4"/>
        <v>0</v>
      </c>
      <c r="Y44" s="671" t="b">
        <f>IFERROR(IF(D44="x",IF(OR(G44/H44&gt;1.03,G44/H44&lt;0.97),TRUE,FALSE),FALSE),FALSE)</f>
        <v>0</v>
      </c>
      <c r="Z44" s="671">
        <f>IFERROR(J44*100,)</f>
        <v>0</v>
      </c>
      <c r="AB44" s="671">
        <f>RANK(Z44,$Z$20:$Z$67,0)</f>
        <v>7</v>
      </c>
      <c r="AC44" s="671">
        <f>AB44+COUNTIF($AB$20:$AB43,AB44)</f>
        <v>13</v>
      </c>
      <c r="AD44" s="671" t="str">
        <f>B44</f>
        <v>Refrigeration equipment</v>
      </c>
      <c r="AE44" s="1421"/>
      <c r="AF44" s="3205"/>
      <c r="AG44" s="3206"/>
      <c r="AH44" s="1422"/>
      <c r="AI44" s="1461"/>
      <c r="AJ44" s="1461"/>
      <c r="AK44" s="1423"/>
      <c r="AO44" s="604"/>
    </row>
    <row r="45" spans="1:41" ht="16.149999999999999" hidden="1" customHeight="1" x14ac:dyDescent="0.25">
      <c r="A45" s="1271" t="s">
        <v>1298</v>
      </c>
      <c r="B45" s="3390"/>
      <c r="C45" s="3390"/>
      <c r="D45" s="3391"/>
      <c r="E45" s="3392"/>
      <c r="F45" s="1470" t="str">
        <f>IFERROR(IF(ISBLANK(E44),"","Demand (" &amp; VLOOKUP($E44,PO_Enrgy_1_Table,MATCH($E$9,PO_Enrgy_1_Hdr,0),FALSE) &amp; ")"),"")</f>
        <v>Demand (kW)</v>
      </c>
      <c r="G45" s="1472">
        <v>0</v>
      </c>
      <c r="H45" s="1472">
        <v>0</v>
      </c>
      <c r="I45" s="1473" t="str">
        <f t="shared" si="5"/>
        <v/>
      </c>
      <c r="J45" s="3394"/>
      <c r="K45" s="3393"/>
      <c r="L45" s="3393"/>
      <c r="M45" s="3396"/>
      <c r="N45" s="564"/>
      <c r="Q45" s="1250" t="str">
        <f t="shared" si="0"/>
        <v/>
      </c>
      <c r="R45" s="1250" t="str">
        <f t="shared" si="1"/>
        <v/>
      </c>
      <c r="V45" s="604">
        <f t="shared" si="2"/>
        <v>0</v>
      </c>
      <c r="W45" s="599">
        <f t="shared" si="3"/>
        <v>0</v>
      </c>
      <c r="X45" s="599">
        <f t="shared" si="4"/>
        <v>0</v>
      </c>
      <c r="AE45" s="596"/>
      <c r="AF45" s="3205"/>
      <c r="AG45" s="3206"/>
      <c r="AH45" s="1277"/>
      <c r="AI45" s="1461"/>
      <c r="AJ45" s="1461"/>
      <c r="AK45" s="1424"/>
      <c r="AO45" s="604"/>
    </row>
    <row r="46" spans="1:41" ht="16.149999999999999" hidden="1" customHeight="1" x14ac:dyDescent="0.25">
      <c r="A46" s="1271" t="s">
        <v>1298</v>
      </c>
      <c r="B46" s="3390" t="s">
        <v>469</v>
      </c>
      <c r="C46" s="3390"/>
      <c r="D46" s="3391" t="s">
        <v>465</v>
      </c>
      <c r="E46" s="3392" t="s">
        <v>464</v>
      </c>
      <c r="F46" s="1470" t="str">
        <f>IFERROR(IF(ISBLANK(E46),"","Consumption (" &amp; VLOOKUP($E46,PO_Enrgy_1_Table,MATCH($C$9,PO_Enrgy_1_Hdr,0),FALSE) &amp; ")"),"")</f>
        <v>Consumption (kWh)</v>
      </c>
      <c r="G46" s="1471">
        <v>0</v>
      </c>
      <c r="H46" s="1471">
        <v>0</v>
      </c>
      <c r="I46" s="1460" t="str">
        <f t="shared" si="5"/>
        <v/>
      </c>
      <c r="J46" s="3393">
        <f>IFERROR(IF($E$122-$H$122&lt;0,"",($G46-$H46)*VLOOKUP($E46,PO_Enrgy_1_Table,MATCH($K$9,PO_Enrgy_1_Hdr,0),FALSE)/($E$122-$H$122)),"")</f>
        <v>0</v>
      </c>
      <c r="K46" s="3393">
        <f>IFERROR(IF($G$122-$J$122&lt;0,"",($G46*VLOOKUP($E46,PO_Enrgy_8_Table,MATCH($E$81,PO_Enrgy_8_Hdr,0),FALSE)-($H46*VLOOKUP($E46,PO_Enrgy_8_Table,MATCH($H$81,PO_Enrgy_8_Hdr,0),FALSE)))/($G$122-$J$122)),"")</f>
        <v>0</v>
      </c>
      <c r="L46" s="3393"/>
      <c r="M46" s="3395">
        <f>IFERROR(H46*VLOOKUP($E46,PO_Enrgy_1_Table,MATCH($K$9,PO_Enrgy_1_Hdr,0))/$H$76,"")</f>
        <v>0</v>
      </c>
      <c r="N46" s="564"/>
      <c r="Q46" s="1250">
        <f t="shared" si="0"/>
        <v>3.4120000000000001E-3</v>
      </c>
      <c r="R46" s="1250">
        <f t="shared" si="1"/>
        <v>1.0713680000000001E-2</v>
      </c>
      <c r="V46" s="604">
        <f t="shared" si="2"/>
        <v>0</v>
      </c>
      <c r="W46" s="599">
        <f t="shared" si="3"/>
        <v>0</v>
      </c>
      <c r="X46" s="599">
        <f t="shared" si="4"/>
        <v>0</v>
      </c>
      <c r="Y46" s="671" t="b">
        <f>IFERROR(IF(D46="x",IF(OR(G46/H46&gt;1.03,G46/H46&lt;0.97),TRUE,FALSE),FALSE),FALSE)</f>
        <v>0</v>
      </c>
      <c r="Z46" s="671">
        <f>IFERROR(J46*100,)</f>
        <v>0</v>
      </c>
      <c r="AB46" s="671">
        <f>RANK(Z46,$Z$20:$Z$67,0)</f>
        <v>7</v>
      </c>
      <c r="AC46" s="671">
        <f>AB46+COUNTIF($AB$20:$AB45,AB46)</f>
        <v>14</v>
      </c>
      <c r="AD46" s="671" t="str">
        <f>B46</f>
        <v>Fans - Kitchen Ventilation</v>
      </c>
      <c r="AE46" s="1421"/>
      <c r="AF46" s="3205"/>
      <c r="AG46" s="3206"/>
      <c r="AH46" s="1422"/>
      <c r="AI46" s="1461"/>
      <c r="AJ46" s="1461"/>
      <c r="AK46" s="1423"/>
      <c r="AO46" s="604"/>
    </row>
    <row r="47" spans="1:41" ht="16.149999999999999" hidden="1" customHeight="1" x14ac:dyDescent="0.25">
      <c r="A47" s="1271" t="s">
        <v>1298</v>
      </c>
      <c r="B47" s="3390"/>
      <c r="C47" s="3390"/>
      <c r="D47" s="3391"/>
      <c r="E47" s="3392"/>
      <c r="F47" s="1470" t="str">
        <f>IFERROR(IF(ISBLANK(E46),"","Demand (" &amp; VLOOKUP($E46,PO_Enrgy_1_Table,MATCH($E$9,PO_Enrgy_1_Hdr,0),FALSE) &amp; ")"),"")</f>
        <v>Demand (kW)</v>
      </c>
      <c r="G47" s="1472">
        <v>0</v>
      </c>
      <c r="H47" s="1472">
        <v>0</v>
      </c>
      <c r="I47" s="1473" t="str">
        <f t="shared" si="5"/>
        <v/>
      </c>
      <c r="J47" s="3394"/>
      <c r="K47" s="3393"/>
      <c r="L47" s="3393"/>
      <c r="M47" s="3396"/>
      <c r="N47" s="564"/>
      <c r="Q47" s="1250" t="str">
        <f t="shared" si="0"/>
        <v/>
      </c>
      <c r="R47" s="1250" t="str">
        <f t="shared" si="1"/>
        <v/>
      </c>
      <c r="V47" s="604">
        <f t="shared" si="2"/>
        <v>0</v>
      </c>
      <c r="W47" s="599">
        <f t="shared" si="3"/>
        <v>0</v>
      </c>
      <c r="X47" s="599">
        <f t="shared" si="4"/>
        <v>0</v>
      </c>
      <c r="AE47" s="596"/>
      <c r="AF47" s="3205"/>
      <c r="AG47" s="3206"/>
      <c r="AH47" s="1277"/>
      <c r="AI47" s="1461"/>
      <c r="AJ47" s="1461"/>
      <c r="AK47" s="1424"/>
      <c r="AO47" s="604"/>
    </row>
    <row r="48" spans="1:41" ht="16.149999999999999" hidden="1" customHeight="1" x14ac:dyDescent="0.25">
      <c r="A48" s="1271" t="s">
        <v>1298</v>
      </c>
      <c r="B48" s="3390" t="s">
        <v>468</v>
      </c>
      <c r="C48" s="3390"/>
      <c r="D48" s="3391" t="s">
        <v>465</v>
      </c>
      <c r="E48" s="3392" t="s">
        <v>464</v>
      </c>
      <c r="F48" s="1470" t="str">
        <f>IFERROR(IF(ISBLANK(E48),"","Consumption (" &amp; VLOOKUP($E48,PO_Enrgy_1_Table,MATCH($C$9,PO_Enrgy_1_Hdr,0),FALSE) &amp; ")"),"")</f>
        <v>Consumption (kWh)</v>
      </c>
      <c r="G48" s="1471">
        <v>0</v>
      </c>
      <c r="H48" s="1471">
        <v>0</v>
      </c>
      <c r="I48" s="1460" t="str">
        <f t="shared" si="5"/>
        <v/>
      </c>
      <c r="J48" s="3393">
        <f>IFERROR(IF($E$122-$H$122&lt;0,"",($G48-$H48)*VLOOKUP($E48,PO_Enrgy_1_Table,MATCH($K$9,PO_Enrgy_1_Hdr,0),FALSE)/($E$122-$H$122)),"")</f>
        <v>0</v>
      </c>
      <c r="K48" s="3393">
        <f>IFERROR(IF($G$122-$J$122&lt;0,"",($G48*VLOOKUP($E48,PO_Enrgy_8_Table,MATCH($E$81,PO_Enrgy_8_Hdr,0),FALSE)-($H48*VLOOKUP($E48,PO_Enrgy_8_Table,MATCH($H$81,PO_Enrgy_8_Hdr,0),FALSE)))/($G$122-$J$122)),"")</f>
        <v>0</v>
      </c>
      <c r="L48" s="3393"/>
      <c r="M48" s="3395">
        <f>IFERROR(H48*VLOOKUP($E48,PO_Enrgy_1_Table,MATCH($K$9,PO_Enrgy_1_Hdr,0))/$H$76,"")</f>
        <v>0</v>
      </c>
      <c r="N48" s="564"/>
      <c r="Q48" s="1250">
        <f t="shared" si="0"/>
        <v>3.4120000000000001E-3</v>
      </c>
      <c r="R48" s="1250">
        <f t="shared" si="1"/>
        <v>1.0713680000000001E-2</v>
      </c>
      <c r="V48" s="604">
        <f t="shared" si="2"/>
        <v>0</v>
      </c>
      <c r="W48" s="599">
        <f t="shared" si="3"/>
        <v>0</v>
      </c>
      <c r="X48" s="599">
        <f t="shared" si="4"/>
        <v>0</v>
      </c>
      <c r="Y48" s="671" t="b">
        <f>IFERROR(IF(D48="x",IF(OR(G48/H48&gt;1.03,G48/H48&lt;0.97),TRUE,FALSE),FALSE),FALSE)</f>
        <v>0</v>
      </c>
      <c r="Z48" s="671">
        <f>IFERROR(J48*100,)</f>
        <v>0</v>
      </c>
      <c r="AB48" s="671">
        <f>RANK(Z48,$Z$20:$Z$67,0)</f>
        <v>7</v>
      </c>
      <c r="AC48" s="671">
        <f>AB48+COUNTIF($AB$20:$AB47,AB48)</f>
        <v>15</v>
      </c>
      <c r="AD48" s="671" t="str">
        <f>B48</f>
        <v>Cooking</v>
      </c>
      <c r="AE48" s="1421"/>
      <c r="AF48" s="3205"/>
      <c r="AG48" s="3206"/>
      <c r="AH48" s="1422"/>
      <c r="AI48" s="1461"/>
      <c r="AJ48" s="1461"/>
      <c r="AK48" s="1423"/>
      <c r="AO48" s="604"/>
    </row>
    <row r="49" spans="1:41" ht="16.149999999999999" hidden="1" customHeight="1" x14ac:dyDescent="0.25">
      <c r="A49" s="1271" t="s">
        <v>1298</v>
      </c>
      <c r="B49" s="3390"/>
      <c r="C49" s="3390"/>
      <c r="D49" s="3391"/>
      <c r="E49" s="3392"/>
      <c r="F49" s="1470" t="str">
        <f>IFERROR(IF(ISBLANK(E48),"","Demand (" &amp; VLOOKUP($E48,PO_Enrgy_1_Table,MATCH($E$9,PO_Enrgy_1_Hdr,0),FALSE) &amp; ")"),"")</f>
        <v>Demand (kW)</v>
      </c>
      <c r="G49" s="1472">
        <v>0</v>
      </c>
      <c r="H49" s="1472">
        <v>0</v>
      </c>
      <c r="I49" s="1473" t="str">
        <f t="shared" si="5"/>
        <v/>
      </c>
      <c r="J49" s="3394"/>
      <c r="K49" s="3393"/>
      <c r="L49" s="3393"/>
      <c r="M49" s="3396"/>
      <c r="N49" s="564"/>
      <c r="Q49" s="1250" t="str">
        <f t="shared" si="0"/>
        <v/>
      </c>
      <c r="R49" s="1250" t="str">
        <f t="shared" si="1"/>
        <v/>
      </c>
      <c r="V49" s="604">
        <f t="shared" si="2"/>
        <v>0</v>
      </c>
      <c r="W49" s="599">
        <f t="shared" si="3"/>
        <v>0</v>
      </c>
      <c r="X49" s="599">
        <f t="shared" si="4"/>
        <v>0</v>
      </c>
      <c r="AE49" s="596"/>
      <c r="AF49" s="3205"/>
      <c r="AG49" s="3206"/>
      <c r="AH49" s="1277"/>
      <c r="AI49" s="1461"/>
      <c r="AJ49" s="1461"/>
      <c r="AK49" s="1424"/>
      <c r="AO49" s="604"/>
    </row>
    <row r="50" spans="1:41" ht="16.149999999999999" hidden="1" customHeight="1" x14ac:dyDescent="0.25">
      <c r="A50" s="1271" t="s">
        <v>1298</v>
      </c>
      <c r="B50" s="3390" t="s">
        <v>467</v>
      </c>
      <c r="C50" s="3390"/>
      <c r="D50" s="3391" t="s">
        <v>465</v>
      </c>
      <c r="E50" s="3392" t="s">
        <v>464</v>
      </c>
      <c r="F50" s="1470" t="str">
        <f>IFERROR(IF(ISBLANK(E50),"","Consumption (" &amp; VLOOKUP($E50,PO_Enrgy_1_Table,MATCH($C$9,PO_Enrgy_1_Hdr,0),FALSE) &amp; ")"),"")</f>
        <v>Consumption (kWh)</v>
      </c>
      <c r="G50" s="1471">
        <v>0</v>
      </c>
      <c r="H50" s="1471">
        <v>0</v>
      </c>
      <c r="I50" s="1460" t="str">
        <f t="shared" si="5"/>
        <v/>
      </c>
      <c r="J50" s="3393">
        <f>IFERROR(IF($E$122-$H$122&lt;0,"",($G50-$H50)*VLOOKUP($E50,PO_Enrgy_1_Table,MATCH($K$9,PO_Enrgy_1_Hdr,0),FALSE)/($E$122-$H$122)),"")</f>
        <v>0</v>
      </c>
      <c r="K50" s="3393">
        <f>IFERROR(IF($G$122-$J$122&lt;0,"",($G50*VLOOKUP($E50,PO_Enrgy_8_Table,MATCH($E$81,PO_Enrgy_8_Hdr,0),FALSE)-($H50*VLOOKUP($E50,PO_Enrgy_8_Table,MATCH($H$81,PO_Enrgy_8_Hdr,0),FALSE)))/($G$122-$J$122)),"")</f>
        <v>0</v>
      </c>
      <c r="L50" s="3393"/>
      <c r="M50" s="3395">
        <f>IFERROR(H50*VLOOKUP($E50,PO_Enrgy_1_Table,MATCH($K$9,PO_Enrgy_1_Hdr,0))/$H$76,"")</f>
        <v>0</v>
      </c>
      <c r="N50" s="564"/>
      <c r="Q50" s="1250">
        <f t="shared" si="0"/>
        <v>3.4120000000000001E-3</v>
      </c>
      <c r="R50" s="1250">
        <f t="shared" si="1"/>
        <v>1.0713680000000001E-2</v>
      </c>
      <c r="V50" s="604">
        <f t="shared" si="2"/>
        <v>0</v>
      </c>
      <c r="W50" s="599">
        <f t="shared" si="3"/>
        <v>0</v>
      </c>
      <c r="X50" s="599">
        <f t="shared" si="4"/>
        <v>0</v>
      </c>
      <c r="Y50" s="671" t="b">
        <f>IFERROR(IF(D50="x",IF(OR(G50/H50&gt;1.03,G50/H50&lt;0.97),TRUE,FALSE),FALSE),FALSE)</f>
        <v>0</v>
      </c>
      <c r="Z50" s="671">
        <f>IFERROR(J50*100,)</f>
        <v>0</v>
      </c>
      <c r="AB50" s="671">
        <f>RANK(Z50,$Z$20:$Z$67,0)</f>
        <v>7</v>
      </c>
      <c r="AC50" s="671">
        <f>AB50+COUNTIF($AB$20:$AB49,AB50)</f>
        <v>16</v>
      </c>
      <c r="AD50" s="671" t="str">
        <f>B50</f>
        <v>Industrial Process</v>
      </c>
      <c r="AE50" s="1421"/>
      <c r="AF50" s="3205"/>
      <c r="AG50" s="3206"/>
      <c r="AH50" s="1422"/>
      <c r="AI50" s="1461"/>
      <c r="AJ50" s="1461"/>
      <c r="AK50" s="1423"/>
      <c r="AO50" s="604"/>
    </row>
    <row r="51" spans="1:41" ht="16.149999999999999" hidden="1" customHeight="1" x14ac:dyDescent="0.25">
      <c r="A51" s="1271" t="s">
        <v>1298</v>
      </c>
      <c r="B51" s="3390"/>
      <c r="C51" s="3390"/>
      <c r="D51" s="3391"/>
      <c r="E51" s="3392"/>
      <c r="F51" s="1470" t="str">
        <f>IFERROR(IF(ISBLANK(E50),"","Demand (" &amp; VLOOKUP($E50,PO_Enrgy_1_Table,MATCH($E$9,PO_Enrgy_1_Hdr,0),FALSE) &amp; ")"),"")</f>
        <v>Demand (kW)</v>
      </c>
      <c r="G51" s="1472">
        <v>0</v>
      </c>
      <c r="H51" s="1472">
        <v>0</v>
      </c>
      <c r="I51" s="1473" t="str">
        <f t="shared" si="5"/>
        <v/>
      </c>
      <c r="J51" s="3394"/>
      <c r="K51" s="3393"/>
      <c r="L51" s="3393"/>
      <c r="M51" s="3396"/>
      <c r="N51" s="564"/>
      <c r="Q51" s="1250" t="str">
        <f t="shared" si="0"/>
        <v/>
      </c>
      <c r="R51" s="1250" t="str">
        <f t="shared" si="1"/>
        <v/>
      </c>
      <c r="V51" s="604">
        <f t="shared" si="2"/>
        <v>0</v>
      </c>
      <c r="W51" s="599">
        <f t="shared" si="3"/>
        <v>0</v>
      </c>
      <c r="X51" s="599">
        <f t="shared" si="4"/>
        <v>0</v>
      </c>
      <c r="AE51" s="596"/>
      <c r="AF51" s="3205"/>
      <c r="AG51" s="3206"/>
      <c r="AH51" s="1277"/>
      <c r="AI51" s="1461"/>
      <c r="AJ51" s="1461"/>
      <c r="AK51" s="1424"/>
      <c r="AO51" s="604"/>
    </row>
    <row r="52" spans="1:41" ht="16.149999999999999" hidden="1" customHeight="1" x14ac:dyDescent="0.25">
      <c r="A52" s="1271" t="s">
        <v>1298</v>
      </c>
      <c r="B52" s="3390" t="s">
        <v>466</v>
      </c>
      <c r="C52" s="3390"/>
      <c r="D52" s="3391" t="s">
        <v>465</v>
      </c>
      <c r="E52" s="3392" t="s">
        <v>464</v>
      </c>
      <c r="F52" s="1470" t="str">
        <f>IFERROR(IF(ISBLANK(E52),"","Consumption (" &amp; VLOOKUP($E52,PO_Enrgy_1_Table,MATCH($C$9,PO_Enrgy_1_Hdr,0),FALSE) &amp; ")"),"")</f>
        <v>Consumption (kWh)</v>
      </c>
      <c r="G52" s="1471">
        <v>28949</v>
      </c>
      <c r="H52" s="1471">
        <v>28949</v>
      </c>
      <c r="I52" s="1460">
        <f t="shared" si="5"/>
        <v>0</v>
      </c>
      <c r="J52" s="3393">
        <f>IFERROR(IF($E$122-$H$122&lt;0,"",($G52-$H52)*VLOOKUP($E52,PO_Enrgy_1_Table,MATCH($K$9,PO_Enrgy_1_Hdr,0),FALSE)/($E$122-$H$122)),"")</f>
        <v>0</v>
      </c>
      <c r="K52" s="3393">
        <f>IFERROR(IF($G$122-$J$122&lt;0,"",($G52*VLOOKUP($E52,PO_Enrgy_8_Table,MATCH($E$81,PO_Enrgy_8_Hdr,0),FALSE)-($H52*VLOOKUP($E52,PO_Enrgy_8_Table,MATCH($H$81,PO_Enrgy_8_Hdr,0),FALSE)))/($G$122-$J$122)),"")</f>
        <v>8.2214982842145458E-4</v>
      </c>
      <c r="L52" s="3393"/>
      <c r="M52" s="3395">
        <f>IFERROR(H52*VLOOKUP($E52,PO_Enrgy_1_Table,MATCH($K$9,PO_Enrgy_1_Hdr,0))/$H$76,"")</f>
        <v>0.71227951439178716</v>
      </c>
      <c r="N52" s="564"/>
      <c r="Q52" s="1250">
        <f t="shared" si="0"/>
        <v>3.4120000000000001E-3</v>
      </c>
      <c r="R52" s="1250">
        <f t="shared" si="1"/>
        <v>1.0713680000000001E-2</v>
      </c>
      <c r="V52" s="604">
        <f t="shared" si="2"/>
        <v>0</v>
      </c>
      <c r="W52" s="599">
        <f t="shared" si="3"/>
        <v>0</v>
      </c>
      <c r="X52" s="599">
        <f t="shared" si="4"/>
        <v>0</v>
      </c>
      <c r="Y52" s="671" t="b">
        <f>IFERROR(IF(D52="x",IF(OR(G52/H52&gt;1.03,G52/H52&lt;0.97),TRUE,FALSE),FALSE),FALSE)</f>
        <v>0</v>
      </c>
      <c r="Z52" s="671">
        <f>IFERROR(J52*100,)</f>
        <v>0</v>
      </c>
      <c r="AB52" s="671">
        <f>RANK(Z52,$Z$20:$Z$67,0)</f>
        <v>7</v>
      </c>
      <c r="AC52" s="671">
        <f>AB52+COUNTIF($AB$20:$AB51,AB52)</f>
        <v>17</v>
      </c>
      <c r="AD52" s="671" t="str">
        <f>B52</f>
        <v>Elevators and escalators</v>
      </c>
      <c r="AE52" s="1421"/>
      <c r="AF52" s="3205"/>
      <c r="AG52" s="3206"/>
      <c r="AH52" s="1422"/>
      <c r="AI52" s="1461"/>
      <c r="AJ52" s="1461"/>
      <c r="AK52" s="1423"/>
      <c r="AO52" s="604"/>
    </row>
    <row r="53" spans="1:41" ht="16.149999999999999" hidden="1" customHeight="1" x14ac:dyDescent="0.25">
      <c r="A53" s="1271" t="s">
        <v>1298</v>
      </c>
      <c r="B53" s="3390"/>
      <c r="C53" s="3390"/>
      <c r="D53" s="3391"/>
      <c r="E53" s="3392"/>
      <c r="F53" s="1470" t="str">
        <f>IFERROR(IF(ISBLANK(E52),"","Demand (" &amp; VLOOKUP($E52,PO_Enrgy_1_Table,MATCH($E$9,PO_Enrgy_1_Hdr,0),FALSE) &amp; ")"),"")</f>
        <v>Demand (kW)</v>
      </c>
      <c r="G53" s="1472">
        <v>12.9</v>
      </c>
      <c r="H53" s="1472">
        <v>12.9</v>
      </c>
      <c r="I53" s="1473">
        <f t="shared" si="5"/>
        <v>0</v>
      </c>
      <c r="J53" s="3394"/>
      <c r="K53" s="3393"/>
      <c r="L53" s="3393"/>
      <c r="M53" s="3396"/>
      <c r="N53" s="564"/>
      <c r="Q53" s="1250" t="str">
        <f t="shared" si="0"/>
        <v/>
      </c>
      <c r="R53" s="1250" t="str">
        <f t="shared" si="1"/>
        <v/>
      </c>
      <c r="V53" s="604">
        <f t="shared" si="2"/>
        <v>0</v>
      </c>
      <c r="W53" s="599">
        <f t="shared" si="3"/>
        <v>0</v>
      </c>
      <c r="X53" s="599">
        <f t="shared" si="4"/>
        <v>0</v>
      </c>
      <c r="AE53" s="596"/>
      <c r="AF53" s="3206"/>
      <c r="AG53" s="3206"/>
      <c r="AH53" s="1277"/>
      <c r="AI53" s="1461"/>
      <c r="AJ53" s="1461"/>
      <c r="AK53" s="1424"/>
      <c r="AO53" s="604"/>
    </row>
    <row r="54" spans="1:41" ht="16.149999999999999" hidden="1" customHeight="1" x14ac:dyDescent="0.25">
      <c r="A54" s="1271" t="s">
        <v>1298</v>
      </c>
      <c r="B54" s="3390" t="s">
        <v>1089</v>
      </c>
      <c r="C54" s="3390"/>
      <c r="D54" s="3391">
        <v>0</v>
      </c>
      <c r="E54" s="3392" t="s">
        <v>464</v>
      </c>
      <c r="F54" s="1470" t="str">
        <f>IFERROR(IF(ISBLANK(E54),"","Consumption (" &amp; VLOOKUP($E54,PO_Enrgy_1_Table,MATCH($C$9,PO_Enrgy_1_Hdr,0),FALSE) &amp; ")"),"")</f>
        <v>Consumption (kWh)</v>
      </c>
      <c r="G54" s="1471">
        <v>0</v>
      </c>
      <c r="H54" s="1471">
        <v>0</v>
      </c>
      <c r="I54" s="1460" t="str">
        <f t="shared" si="5"/>
        <v/>
      </c>
      <c r="J54" s="3393">
        <f>IFERROR(IF($E$122-$H$122&lt;0,"",($G54-$H54)*VLOOKUP($E54,PO_Enrgy_1_Table,MATCH($K$9,PO_Enrgy_1_Hdr,0),FALSE)/($E$122-$H$122)),"")</f>
        <v>0</v>
      </c>
      <c r="K54" s="3393">
        <f>IFERROR(IF($G$122-$J$122&lt;0,"",($G54*VLOOKUP($E54,PO_Enrgy_8_Table,MATCH($E$81,PO_Enrgy_8_Hdr,0),FALSE)-($H54*VLOOKUP($E54,PO_Enrgy_8_Table,MATCH($H$81,PO_Enrgy_8_Hdr,0),FALSE)))/($G$122-$J$122)),"")</f>
        <v>0</v>
      </c>
      <c r="L54" s="3393"/>
      <c r="M54" s="3395">
        <f>IFERROR(H54*VLOOKUP($E54,PO_Enrgy_1_Table,MATCH($K$9,PO_Enrgy_1_Hdr,0))/$H$76,"")</f>
        <v>0</v>
      </c>
      <c r="N54" s="564"/>
      <c r="Q54" s="1250">
        <f t="shared" si="0"/>
        <v>3.4120000000000001E-3</v>
      </c>
      <c r="R54" s="1250">
        <f t="shared" si="1"/>
        <v>1.0713680000000001E-2</v>
      </c>
      <c r="V54" s="604">
        <f t="shared" si="2"/>
        <v>0</v>
      </c>
      <c r="W54" s="599">
        <f t="shared" si="3"/>
        <v>0</v>
      </c>
      <c r="X54" s="599">
        <f t="shared" si="4"/>
        <v>0</v>
      </c>
      <c r="Y54" s="671" t="b">
        <f>IFERROR(IF(D54="x",IF(OR(G54/H54&gt;1.03,G54/H54&lt;0.97),TRUE,FALSE),FALSE),FALSE)</f>
        <v>0</v>
      </c>
      <c r="Z54" s="671">
        <f>IFERROR(J54*100,)</f>
        <v>0</v>
      </c>
      <c r="AB54" s="671">
        <f>RANK(Z54,$Z$20:$Z$67,0)</f>
        <v>7</v>
      </c>
      <c r="AC54" s="671">
        <f>AB54+COUNTIF($AB$20:$AB53,AB54)</f>
        <v>18</v>
      </c>
      <c r="AD54" s="671" t="str">
        <f>B54</f>
        <v>Heat Pump Supplementary</v>
      </c>
      <c r="AE54" s="1421"/>
      <c r="AF54" s="3205"/>
      <c r="AG54" s="3206"/>
      <c r="AH54" s="1422"/>
      <c r="AI54" s="1461"/>
      <c r="AJ54" s="1461"/>
      <c r="AK54" s="1423"/>
      <c r="AO54" s="604"/>
    </row>
    <row r="55" spans="1:41" ht="16.149999999999999" hidden="1" customHeight="1" x14ac:dyDescent="0.25">
      <c r="A55" s="1271" t="s">
        <v>1298</v>
      </c>
      <c r="B55" s="3390"/>
      <c r="C55" s="3390"/>
      <c r="D55" s="3391"/>
      <c r="E55" s="3392"/>
      <c r="F55" s="1470" t="str">
        <f>IFERROR(IF(ISBLANK(E54),"","Demand (" &amp; VLOOKUP($E54,PO_Enrgy_1_Table,MATCH($E$9,PO_Enrgy_1_Hdr,0),FALSE) &amp; ")"),"")</f>
        <v>Demand (kW)</v>
      </c>
      <c r="G55" s="1472">
        <v>0</v>
      </c>
      <c r="H55" s="1472">
        <v>0</v>
      </c>
      <c r="I55" s="1473" t="str">
        <f t="shared" si="5"/>
        <v/>
      </c>
      <c r="J55" s="3394"/>
      <c r="K55" s="3393"/>
      <c r="L55" s="3393"/>
      <c r="M55" s="3396"/>
      <c r="N55" s="564"/>
      <c r="Q55" s="1250" t="str">
        <f t="shared" si="0"/>
        <v/>
      </c>
      <c r="R55" s="1250" t="str">
        <f t="shared" si="1"/>
        <v/>
      </c>
      <c r="V55" s="604">
        <f t="shared" si="2"/>
        <v>0</v>
      </c>
      <c r="W55" s="599">
        <f t="shared" si="3"/>
        <v>0</v>
      </c>
      <c r="X55" s="599">
        <f t="shared" si="4"/>
        <v>0</v>
      </c>
      <c r="AE55" s="596"/>
      <c r="AF55" s="3206"/>
      <c r="AG55" s="3206"/>
      <c r="AH55" s="1277"/>
      <c r="AI55" s="1461"/>
      <c r="AJ55" s="1461"/>
      <c r="AK55" s="1424"/>
      <c r="AO55" s="604"/>
    </row>
    <row r="56" spans="1:41" ht="16.149999999999999" hidden="1" customHeight="1" x14ac:dyDescent="0.25">
      <c r="A56" s="1271" t="s">
        <v>1298</v>
      </c>
      <c r="B56" s="3392" t="s">
        <v>2231</v>
      </c>
      <c r="C56" s="3392"/>
      <c r="D56" s="3391">
        <v>0</v>
      </c>
      <c r="E56" s="3392" t="s">
        <v>464</v>
      </c>
      <c r="F56" s="1470" t="str">
        <f>IFERROR(IF(ISBLANK(E56),"","Consumption (" &amp; VLOOKUP($E56,PO_Enrgy_1_Table,MATCH($C$9,PO_Enrgy_1_Hdr,0),FALSE) &amp; ")"),"")</f>
        <v>Consumption (kWh)</v>
      </c>
      <c r="G56" s="1471">
        <v>15819</v>
      </c>
      <c r="H56" s="1471">
        <v>15874</v>
      </c>
      <c r="I56" s="1460">
        <f t="shared" si="5"/>
        <v>-3.4768316581326175E-3</v>
      </c>
      <c r="J56" s="3393">
        <f>IFERROR(IF($E$122-$H$122&lt;0,"",($G56-$H56)*VLOOKUP($E56,PO_Enrgy_1_Table,MATCH($K$9,PO_Enrgy_1_Hdr,0),FALSE)/($E$122-$H$122)),"")</f>
        <v>-3.9804970154714409E-4</v>
      </c>
      <c r="K56" s="3393">
        <f>IFERROR(IF($G$122-$J$122&lt;0,"",($G56*VLOOKUP($E56,PO_Enrgy_8_Table,MATCH($E$81,PO_Enrgy_8_Hdr,0),FALSE)-($H56*VLOOKUP($E56,PO_Enrgy_8_Table,MATCH($H$81,PO_Enrgy_8_Hdr,0),FALSE)))/($G$122-$J$122)),"")</f>
        <v>-2.4037074202546823E-4</v>
      </c>
      <c r="L56" s="3393"/>
      <c r="M56" s="3395">
        <f>IFERROR(H56*VLOOKUP($E56,PO_Enrgy_1_Table,MATCH($K$9,PO_Enrgy_1_Hdr,0))/$H$76,"")</f>
        <v>0.39057394077360974</v>
      </c>
      <c r="N56" s="564"/>
      <c r="Q56" s="1250">
        <f t="shared" si="0"/>
        <v>3.4120000000000001E-3</v>
      </c>
      <c r="R56" s="1250">
        <f t="shared" si="1"/>
        <v>1.0713680000000001E-2</v>
      </c>
      <c r="V56" s="604">
        <f t="shared" si="2"/>
        <v>0</v>
      </c>
      <c r="W56" s="599">
        <f t="shared" si="3"/>
        <v>0</v>
      </c>
      <c r="X56" s="599">
        <f t="shared" si="4"/>
        <v>0</v>
      </c>
      <c r="Y56" s="671" t="b">
        <f>IFERROR(IF(D56="x",IF(OR(G56/H56&gt;1.03,G56/H56&lt;0.97),TRUE,FALSE),FALSE),FALSE)</f>
        <v>0</v>
      </c>
      <c r="Z56" s="671">
        <f>IFERROR(J56*100,)</f>
        <v>-3.980497015471441E-2</v>
      </c>
      <c r="AB56" s="671">
        <f>RANK(Z56,$Z$20:$Z$67,0)</f>
        <v>24</v>
      </c>
      <c r="AC56" s="671">
        <f>AB56+COUNTIF($AB$20:$AB55,AB56)</f>
        <v>24</v>
      </c>
      <c r="AD56" s="671" t="str">
        <f>B56</f>
        <v>Space Heating (Electricity)</v>
      </c>
      <c r="AE56" s="1421"/>
      <c r="AF56" s="3205"/>
      <c r="AG56" s="3206"/>
      <c r="AH56" s="1422"/>
      <c r="AI56" s="1461"/>
      <c r="AJ56" s="1461"/>
      <c r="AK56" s="1423"/>
      <c r="AO56" s="604"/>
    </row>
    <row r="57" spans="1:41" ht="16.149999999999999" hidden="1" customHeight="1" x14ac:dyDescent="0.25">
      <c r="A57" s="1271" t="s">
        <v>1298</v>
      </c>
      <c r="B57" s="3392"/>
      <c r="C57" s="3392"/>
      <c r="D57" s="3391"/>
      <c r="E57" s="3392"/>
      <c r="F57" s="1470" t="str">
        <f>IFERROR(IF(ISBLANK(E56),"","Demand (" &amp; VLOOKUP($E56,PO_Enrgy_1_Table,MATCH($E$9,PO_Enrgy_1_Hdr,0),FALSE) &amp; ")"),"")</f>
        <v>Demand (kW)</v>
      </c>
      <c r="G57" s="1472">
        <v>8</v>
      </c>
      <c r="H57" s="1472">
        <v>8</v>
      </c>
      <c r="I57" s="1473">
        <f t="shared" si="5"/>
        <v>0</v>
      </c>
      <c r="J57" s="3394"/>
      <c r="K57" s="3393"/>
      <c r="L57" s="3393"/>
      <c r="M57" s="3396"/>
      <c r="N57" s="564"/>
      <c r="Q57" s="1250" t="str">
        <f t="shared" si="0"/>
        <v/>
      </c>
      <c r="R57" s="1250" t="str">
        <f t="shared" si="1"/>
        <v/>
      </c>
      <c r="V57" s="604">
        <f t="shared" si="2"/>
        <v>0</v>
      </c>
      <c r="W57" s="599">
        <f t="shared" si="3"/>
        <v>0</v>
      </c>
      <c r="X57" s="599">
        <f t="shared" si="4"/>
        <v>0</v>
      </c>
      <c r="AE57" s="596"/>
      <c r="AF57" s="3206"/>
      <c r="AG57" s="3206"/>
      <c r="AH57" s="1277"/>
      <c r="AI57" s="1461"/>
      <c r="AJ57" s="1461"/>
      <c r="AK57" s="1424"/>
      <c r="AO57" s="604"/>
    </row>
    <row r="58" spans="1:41" ht="16.149999999999999" hidden="1" customHeight="1" x14ac:dyDescent="0.25">
      <c r="A58" s="1271" t="s">
        <v>1298</v>
      </c>
      <c r="B58" s="3392" t="s">
        <v>2297</v>
      </c>
      <c r="C58" s="3392"/>
      <c r="D58" s="3391">
        <v>0</v>
      </c>
      <c r="E58" s="3392" t="s">
        <v>464</v>
      </c>
      <c r="F58" s="1470" t="str">
        <f>IFERROR(IF(ISBLANK(E58),"","Consumption (" &amp; VLOOKUP($E58,PO_Enrgy_1_Table,MATCH($C$9,PO_Enrgy_1_Hdr,0),FALSE) &amp; ")"),"")</f>
        <v>Consumption (kWh)</v>
      </c>
      <c r="G58" s="1471">
        <v>535</v>
      </c>
      <c r="H58" s="1471">
        <v>535</v>
      </c>
      <c r="I58" s="1460">
        <f t="shared" si="5"/>
        <v>0</v>
      </c>
      <c r="J58" s="3393">
        <f>IFERROR(IF($E$122-$H$122&lt;0,"",($G58-$H58)*VLOOKUP($E58,PO_Enrgy_1_Table,MATCH($K$9,PO_Enrgy_1_Hdr,0),FALSE)/($E$122-$H$122)),"")</f>
        <v>0</v>
      </c>
      <c r="K58" s="3393">
        <f>IFERROR(IF($G$122-$J$122&lt;0,"",($G58*VLOOKUP($E58,PO_Enrgy_8_Table,MATCH($E$81,PO_Enrgy_8_Hdr,0),FALSE)-($H58*VLOOKUP($E58,PO_Enrgy_8_Table,MATCH($H$81,PO_Enrgy_8_Hdr,0),FALSE)))/($G$122-$J$122)),"")</f>
        <v>1.5193967259852126E-5</v>
      </c>
      <c r="L58" s="3393"/>
      <c r="M58" s="3395">
        <f>IFERROR(H58*VLOOKUP($E58,PO_Enrgy_1_Table,MATCH($K$9,PO_Enrgy_1_Hdr,0))/$H$76,"")</f>
        <v>1.3163478538105153E-2</v>
      </c>
      <c r="N58" s="564"/>
      <c r="Q58" s="1250">
        <f t="shared" si="0"/>
        <v>3.4120000000000001E-3</v>
      </c>
      <c r="R58" s="1250">
        <f t="shared" si="1"/>
        <v>1.0713680000000001E-2</v>
      </c>
      <c r="V58" s="604">
        <f t="shared" si="2"/>
        <v>0</v>
      </c>
      <c r="W58" s="599">
        <f t="shared" si="3"/>
        <v>0</v>
      </c>
      <c r="X58" s="599">
        <f t="shared" si="4"/>
        <v>0</v>
      </c>
      <c r="Y58" s="671" t="b">
        <f>IFERROR(IF(D58="x",IF(OR(G58/H58&gt;1.03,G58/H58&lt;0.97),TRUE,FALSE),FALSE),FALSE)</f>
        <v>0</v>
      </c>
      <c r="Z58" s="671">
        <f>IFERROR(J58*100,)</f>
        <v>0</v>
      </c>
      <c r="AB58" s="671">
        <f>RANK(Z58,$Z$20:$Z$67,0)</f>
        <v>7</v>
      </c>
      <c r="AC58" s="671">
        <f>AB58+COUNTIF($AB$20:$AB57,AB58)</f>
        <v>19</v>
      </c>
      <c r="AD58" s="671" t="str">
        <f>B58</f>
        <v>DHW Circulator</v>
      </c>
      <c r="AE58" s="1421"/>
      <c r="AF58" s="3205"/>
      <c r="AG58" s="3206"/>
      <c r="AH58" s="1422"/>
      <c r="AI58" s="1461"/>
      <c r="AJ58" s="1461"/>
      <c r="AK58" s="1423"/>
      <c r="AO58" s="604"/>
    </row>
    <row r="59" spans="1:41" ht="15.75" hidden="1" customHeight="1" x14ac:dyDescent="0.25">
      <c r="A59" s="1271" t="s">
        <v>1298</v>
      </c>
      <c r="B59" s="3392"/>
      <c r="C59" s="3392"/>
      <c r="D59" s="3391"/>
      <c r="E59" s="3392"/>
      <c r="F59" s="1470" t="str">
        <f>IFERROR(IF(ISBLANK(E58),"","Demand (" &amp; VLOOKUP($E58,PO_Enrgy_1_Table,MATCH($E$9,PO_Enrgy_1_Hdr,0),FALSE) &amp; ")"),"")</f>
        <v>Demand (kW)</v>
      </c>
      <c r="G59" s="1472">
        <v>0.3</v>
      </c>
      <c r="H59" s="1472">
        <v>0.3</v>
      </c>
      <c r="I59" s="1473">
        <f t="shared" si="5"/>
        <v>0</v>
      </c>
      <c r="J59" s="3394"/>
      <c r="K59" s="3393"/>
      <c r="L59" s="3393"/>
      <c r="M59" s="3396"/>
      <c r="N59" s="564"/>
      <c r="Q59" s="1250" t="str">
        <f t="shared" si="0"/>
        <v/>
      </c>
      <c r="R59" s="1250" t="str">
        <f t="shared" si="1"/>
        <v/>
      </c>
      <c r="V59" s="604">
        <f t="shared" si="2"/>
        <v>0</v>
      </c>
      <c r="W59" s="599">
        <f t="shared" si="3"/>
        <v>0</v>
      </c>
      <c r="X59" s="599">
        <f t="shared" si="4"/>
        <v>0</v>
      </c>
      <c r="AE59" s="596"/>
      <c r="AF59" s="3206"/>
      <c r="AG59" s="3206"/>
      <c r="AH59" s="1277"/>
      <c r="AI59" s="1461"/>
      <c r="AJ59" s="1461"/>
      <c r="AK59" s="1424"/>
      <c r="AO59" s="604"/>
    </row>
    <row r="60" spans="1:41" ht="16.149999999999999" hidden="1" customHeight="1" x14ac:dyDescent="0.25">
      <c r="A60" s="1271" t="s">
        <v>1298</v>
      </c>
      <c r="B60" s="3392" t="s">
        <v>2232</v>
      </c>
      <c r="C60" s="3392"/>
      <c r="D60" s="3391">
        <v>0</v>
      </c>
      <c r="E60" s="3392" t="s">
        <v>478</v>
      </c>
      <c r="F60" s="1470" t="str">
        <f>IFERROR(IF(ISBLANK(E60),"","Consumption (" &amp; VLOOKUP($E60,PO_Enrgy_1_Table,MATCH($C$9,PO_Enrgy_1_Hdr,0),FALSE) &amp; ")"),"")</f>
        <v/>
      </c>
      <c r="G60" s="1471">
        <v>0</v>
      </c>
      <c r="H60" s="1471">
        <v>0</v>
      </c>
      <c r="I60" s="1460" t="str">
        <f t="shared" si="5"/>
        <v/>
      </c>
      <c r="J60" s="3393" t="str">
        <f>IFERROR(IF($E$122-$H$122&lt;0,"",($G60-$H60)*VLOOKUP($E60,PO_Enrgy_1_Table,MATCH($K$9,PO_Enrgy_1_Hdr,0),FALSE)/($E$122-$H$122)),"")</f>
        <v/>
      </c>
      <c r="K60" s="3393" t="str">
        <f>IFERROR(IF($G$122-$J$122&lt;0,"",($G60*VLOOKUP($E60,PO_Enrgy_8_Table,MATCH($E$81,PO_Enrgy_8_Hdr,0),FALSE)-($H60*VLOOKUP($E60,PO_Enrgy_8_Table,MATCH($H$81,PO_Enrgy_8_Hdr,0),FALSE)))/($G$122-$J$122)),"")</f>
        <v/>
      </c>
      <c r="L60" s="3393"/>
      <c r="M60" s="3395">
        <f>IFERROR(H60*VLOOKUP($E60,PO_Enrgy_1_Table,MATCH($K$9,PO_Enrgy_1_Hdr,0))/$H$76,"")</f>
        <v>0</v>
      </c>
      <c r="N60" s="564"/>
      <c r="Q60" s="1250" t="str">
        <f t="shared" si="0"/>
        <v/>
      </c>
      <c r="R60" s="1250" t="str">
        <f t="shared" si="1"/>
        <v/>
      </c>
      <c r="V60" s="604">
        <f t="shared" si="2"/>
        <v>0</v>
      </c>
      <c r="W60" s="599">
        <f t="shared" si="3"/>
        <v>0</v>
      </c>
      <c r="X60" s="599">
        <f t="shared" si="4"/>
        <v>0</v>
      </c>
      <c r="Y60" s="671" t="b">
        <f>IFERROR(IF(D60="x",IF(OR(G60/H60&gt;1.03,G60/H60&lt;0.97),TRUE,FALSE),FALSE),FALSE)</f>
        <v>0</v>
      </c>
      <c r="Z60" s="671">
        <f>IFERROR(J60*100,)</f>
        <v>0</v>
      </c>
      <c r="AB60" s="671">
        <f>RANK(Z60,$Z$20:$Z$67,0)</f>
        <v>7</v>
      </c>
      <c r="AC60" s="671">
        <f>AB60+COUNTIF($AB$20:$AB59,AB60)</f>
        <v>20</v>
      </c>
      <c r="AD60" s="671" t="str">
        <f>B60</f>
        <v>Auxilary (Natural Gas)</v>
      </c>
      <c r="AE60" s="1421"/>
      <c r="AF60" s="3205"/>
      <c r="AG60" s="3206"/>
      <c r="AH60" s="1422"/>
      <c r="AI60" s="1461"/>
      <c r="AJ60" s="1461"/>
      <c r="AK60" s="1423"/>
      <c r="AO60" s="604"/>
    </row>
    <row r="61" spans="1:41" ht="16.5" hidden="1" customHeight="1" x14ac:dyDescent="0.25">
      <c r="A61" s="1271" t="s">
        <v>1298</v>
      </c>
      <c r="B61" s="3392"/>
      <c r="C61" s="3392"/>
      <c r="D61" s="3391"/>
      <c r="E61" s="3392"/>
      <c r="F61" s="1470" t="str">
        <f>IFERROR(IF(ISBLANK(E60),"","Demand (" &amp; VLOOKUP($E60,PO_Enrgy_1_Table,MATCH($E$9,PO_Enrgy_1_Hdr,0),FALSE) &amp; ")"),"")</f>
        <v/>
      </c>
      <c r="G61" s="1472">
        <v>0</v>
      </c>
      <c r="H61" s="1472">
        <v>0</v>
      </c>
      <c r="I61" s="1473" t="str">
        <f t="shared" si="5"/>
        <v/>
      </c>
      <c r="J61" s="3394"/>
      <c r="K61" s="3393"/>
      <c r="L61" s="3393"/>
      <c r="M61" s="3396"/>
      <c r="N61" s="564"/>
      <c r="Q61" s="1250" t="str">
        <f t="shared" si="0"/>
        <v/>
      </c>
      <c r="R61" s="1250" t="str">
        <f t="shared" si="1"/>
        <v/>
      </c>
      <c r="V61" s="604">
        <f t="shared" si="2"/>
        <v>0</v>
      </c>
      <c r="W61" s="599">
        <f t="shared" si="3"/>
        <v>0</v>
      </c>
      <c r="X61" s="599">
        <f t="shared" si="4"/>
        <v>0</v>
      </c>
      <c r="AE61" s="596"/>
      <c r="AF61" s="3205"/>
      <c r="AG61" s="3206"/>
      <c r="AH61" s="1422"/>
      <c r="AI61" s="1461"/>
      <c r="AJ61" s="1461"/>
      <c r="AK61" s="1424"/>
      <c r="AO61" s="604"/>
    </row>
    <row r="62" spans="1:41" ht="16.149999999999999" hidden="1" customHeight="1" x14ac:dyDescent="0.25">
      <c r="A62" s="1271" t="s">
        <v>1298</v>
      </c>
      <c r="B62" s="3392" t="s">
        <v>2233</v>
      </c>
      <c r="C62" s="3392"/>
      <c r="D62" s="3391">
        <v>0</v>
      </c>
      <c r="E62" s="3392" t="s">
        <v>478</v>
      </c>
      <c r="F62" s="1470" t="str">
        <f>IFERROR(IF(ISBLANK(E62),"","Consumption (" &amp; VLOOKUP($E62,PO_Enrgy_1_Table,MATCH($C$9,PO_Enrgy_1_Hdr,0),FALSE) &amp; ")"),"")</f>
        <v/>
      </c>
      <c r="G62" s="1471">
        <v>0</v>
      </c>
      <c r="H62" s="1471">
        <v>0</v>
      </c>
      <c r="I62" s="1460" t="str">
        <f t="shared" si="5"/>
        <v/>
      </c>
      <c r="J62" s="3393" t="str">
        <f>IFERROR(IF($E$122-$H$122&lt;0,"",($G62-$H62)*VLOOKUP($E62,PO_Enrgy_1_Table,MATCH($K$9,PO_Enrgy_1_Hdr,0),FALSE)/($E$122-$H$122)),"")</f>
        <v/>
      </c>
      <c r="K62" s="3393" t="str">
        <f>IFERROR(IF($G$122-$J$122&lt;0,"",($G62*VLOOKUP($E62,PO_Enrgy_8_Table,MATCH($E$81,PO_Enrgy_8_Hdr,0),FALSE)-($H62*VLOOKUP($E62,PO_Enrgy_8_Table,MATCH($H$81,PO_Enrgy_8_Hdr,0),FALSE)))/($G$122-$J$122)),"")</f>
        <v/>
      </c>
      <c r="L62" s="3393"/>
      <c r="M62" s="3395">
        <f>IFERROR(H62*VLOOKUP($E62,PO_Enrgy_1_Table,MATCH($K$9,PO_Enrgy_1_Hdr,0))/$H$76,"")</f>
        <v>0</v>
      </c>
      <c r="N62" s="564"/>
      <c r="Q62" s="1250" t="str">
        <f t="shared" si="0"/>
        <v/>
      </c>
      <c r="R62" s="1250" t="str">
        <f t="shared" si="1"/>
        <v/>
      </c>
      <c r="V62" s="604">
        <f t="shared" si="2"/>
        <v>0</v>
      </c>
      <c r="W62" s="599">
        <f t="shared" si="3"/>
        <v>0</v>
      </c>
      <c r="X62" s="599">
        <f t="shared" si="4"/>
        <v>0</v>
      </c>
      <c r="Y62" s="671" t="b">
        <f>IFERROR(IF(D62="x",IF(OR(G62/H62&gt;1.03,G62/H62&lt;0.97),TRUE,FALSE),FALSE),FALSE)</f>
        <v>0</v>
      </c>
      <c r="Z62" s="671">
        <f>IFERROR(J62*100,)</f>
        <v>0</v>
      </c>
      <c r="AB62" s="671">
        <f>RANK(Z62,$Z$20:$Z$67,0)</f>
        <v>7</v>
      </c>
      <c r="AC62" s="671">
        <f>AB62+COUNTIF($AB$20:$AB61,AB62)</f>
        <v>21</v>
      </c>
      <c r="AD62" s="671" t="str">
        <f>B62</f>
        <v>Cooling (Natural Gas)</v>
      </c>
      <c r="AE62" s="1421"/>
      <c r="AF62" s="3205"/>
      <c r="AG62" s="3206"/>
      <c r="AH62" s="1422"/>
      <c r="AI62" s="1461"/>
      <c r="AJ62" s="1461"/>
      <c r="AK62" s="1423"/>
      <c r="AO62" s="604"/>
    </row>
    <row r="63" spans="1:41" ht="15.75" hidden="1" customHeight="1" x14ac:dyDescent="0.25">
      <c r="A63" s="1271" t="s">
        <v>1298</v>
      </c>
      <c r="B63" s="3392"/>
      <c r="C63" s="3392"/>
      <c r="D63" s="3391"/>
      <c r="E63" s="3392"/>
      <c r="F63" s="1470" t="str">
        <f>IFERROR(IF(ISBLANK(E62),"","Demand (" &amp; VLOOKUP($E62,PO_Enrgy_1_Table,MATCH($E$9,PO_Enrgy_1_Hdr,0),FALSE) &amp; ")"),"")</f>
        <v/>
      </c>
      <c r="G63" s="1472">
        <v>0</v>
      </c>
      <c r="H63" s="1472">
        <v>0</v>
      </c>
      <c r="I63" s="1473" t="str">
        <f t="shared" si="5"/>
        <v/>
      </c>
      <c r="J63" s="3394"/>
      <c r="K63" s="3393"/>
      <c r="L63" s="3393"/>
      <c r="M63" s="3396"/>
      <c r="N63" s="564"/>
      <c r="Q63" s="1250" t="str">
        <f t="shared" si="0"/>
        <v/>
      </c>
      <c r="R63" s="1250" t="str">
        <f t="shared" si="1"/>
        <v/>
      </c>
      <c r="V63" s="604">
        <f t="shared" si="2"/>
        <v>0</v>
      </c>
      <c r="W63" s="599">
        <f t="shared" si="3"/>
        <v>0</v>
      </c>
      <c r="X63" s="599">
        <f t="shared" si="4"/>
        <v>0</v>
      </c>
      <c r="AE63" s="596"/>
      <c r="AF63" s="3206"/>
      <c r="AG63" s="3206"/>
      <c r="AH63" s="1277"/>
      <c r="AI63" s="1461"/>
      <c r="AJ63" s="1461"/>
      <c r="AK63" s="1424"/>
      <c r="AO63" s="604"/>
    </row>
    <row r="64" spans="1:41" ht="16.149999999999999" hidden="1" customHeight="1" x14ac:dyDescent="0.25">
      <c r="A64" s="1271" t="s">
        <v>1298</v>
      </c>
      <c r="B64" s="3392">
        <v>0</v>
      </c>
      <c r="C64" s="3392"/>
      <c r="D64" s="3391">
        <v>0</v>
      </c>
      <c r="E64" s="3392">
        <v>0</v>
      </c>
      <c r="F64" s="1470" t="str">
        <f>IFERROR(IF(ISBLANK(E64),"","Consumption (" &amp; VLOOKUP($E64,PO_Enrgy_1_Table,MATCH($C$9,PO_Enrgy_1_Hdr,0),FALSE) &amp; ")"),"")</f>
        <v/>
      </c>
      <c r="G64" s="1471">
        <v>0</v>
      </c>
      <c r="H64" s="1471">
        <v>0</v>
      </c>
      <c r="I64" s="1460" t="str">
        <f t="shared" si="5"/>
        <v/>
      </c>
      <c r="J64" s="3393" t="str">
        <f>IFERROR(IF($E$122-$H$122&lt;0,"",($G64-$H64)*VLOOKUP($E64,PO_Enrgy_1_Table,MATCH($K$9,PO_Enrgy_1_Hdr,0),FALSE)/($E$122-$H$122)),"")</f>
        <v/>
      </c>
      <c r="K64" s="3393" t="str">
        <f>IFERROR(IF($G$122-$J$122&lt;0,"",($G64*VLOOKUP($E64,PO_Enrgy_8_Table,MATCH($E$81,PO_Enrgy_8_Hdr,0),FALSE)-($H64*VLOOKUP($E64,PO_Enrgy_8_Table,MATCH($H$81,PO_Enrgy_8_Hdr,0),FALSE)))/($G$122-$J$122)),"")</f>
        <v/>
      </c>
      <c r="L64" s="3393"/>
      <c r="M64" s="3395" t="str">
        <f>IFERROR(H64*VLOOKUP($E64,PO_Enrgy_1_Table,MATCH($K$9,PO_Enrgy_1_Hdr,0))/$H$76,"")</f>
        <v/>
      </c>
      <c r="N64" s="564"/>
      <c r="Q64" s="1250" t="str">
        <f t="shared" si="0"/>
        <v/>
      </c>
      <c r="R64" s="1250" t="str">
        <f t="shared" si="1"/>
        <v/>
      </c>
      <c r="V64" s="604">
        <f t="shared" si="2"/>
        <v>0</v>
      </c>
      <c r="W64" s="599">
        <f t="shared" si="3"/>
        <v>0</v>
      </c>
      <c r="X64" s="599">
        <f t="shared" si="4"/>
        <v>0</v>
      </c>
      <c r="Y64" s="671" t="b">
        <f>IFERROR(IF(D64="x",IF(OR(G64/H64&gt;1.03,G64/H64&lt;0.97),TRUE,FALSE),FALSE),FALSE)</f>
        <v>0</v>
      </c>
      <c r="Z64" s="671">
        <f>IFERROR(J64*100,)</f>
        <v>0</v>
      </c>
      <c r="AB64" s="671">
        <f>RANK(Z64,$Z$20:$Z$67,0)</f>
        <v>7</v>
      </c>
      <c r="AC64" s="671">
        <f>AB64+COUNTIF($AB$20:$AB63,AB64)</f>
        <v>22</v>
      </c>
      <c r="AD64" s="671">
        <f>B64</f>
        <v>0</v>
      </c>
      <c r="AE64" s="1421"/>
      <c r="AF64" s="3205"/>
      <c r="AG64" s="3206"/>
      <c r="AH64" s="1422"/>
      <c r="AI64" s="1461"/>
      <c r="AJ64" s="1461"/>
      <c r="AK64" s="1423"/>
      <c r="AO64" s="604"/>
    </row>
    <row r="65" spans="1:55" ht="16.5" hidden="1" customHeight="1" x14ac:dyDescent="0.25">
      <c r="A65" s="1271" t="s">
        <v>1298</v>
      </c>
      <c r="B65" s="3392"/>
      <c r="C65" s="3392"/>
      <c r="D65" s="3391"/>
      <c r="E65" s="3392"/>
      <c r="F65" s="1470" t="str">
        <f>IFERROR(IF(ISBLANK(E64),"","Demand (" &amp; VLOOKUP($E64,PO_Enrgy_1_Table,MATCH($E$9,PO_Enrgy_1_Hdr,0),FALSE) &amp; ")"),"")</f>
        <v/>
      </c>
      <c r="G65" s="1472">
        <v>0</v>
      </c>
      <c r="H65" s="1472">
        <v>0</v>
      </c>
      <c r="I65" s="1473" t="str">
        <f t="shared" si="5"/>
        <v/>
      </c>
      <c r="J65" s="3394"/>
      <c r="K65" s="3393"/>
      <c r="L65" s="3393"/>
      <c r="M65" s="3396"/>
      <c r="N65" s="564"/>
      <c r="Q65" s="1250" t="str">
        <f t="shared" si="0"/>
        <v/>
      </c>
      <c r="R65" s="1250" t="str">
        <f t="shared" si="1"/>
        <v/>
      </c>
      <c r="V65" s="604">
        <f t="shared" si="2"/>
        <v>0</v>
      </c>
      <c r="W65" s="599">
        <f t="shared" si="3"/>
        <v>0</v>
      </c>
      <c r="X65" s="599">
        <f t="shared" si="4"/>
        <v>0</v>
      </c>
      <c r="AE65" s="596"/>
      <c r="AF65" s="3205"/>
      <c r="AG65" s="3206"/>
      <c r="AH65" s="1422"/>
      <c r="AI65" s="1461"/>
      <c r="AJ65" s="1461"/>
      <c r="AK65" s="1424"/>
      <c r="AO65" s="604"/>
    </row>
    <row r="66" spans="1:55" ht="16.149999999999999" hidden="1" customHeight="1" x14ac:dyDescent="0.25">
      <c r="A66" s="1271" t="s">
        <v>1298</v>
      </c>
      <c r="B66" s="3392">
        <v>0</v>
      </c>
      <c r="C66" s="3392"/>
      <c r="D66" s="3391">
        <v>0</v>
      </c>
      <c r="E66" s="3392">
        <v>0</v>
      </c>
      <c r="F66" s="1470" t="str">
        <f>IFERROR(IF(ISBLANK(E66),"","Consumption (" &amp; VLOOKUP($E66,PO_Enrgy_1_Table,MATCH($C$9,PO_Enrgy_1_Hdr,0),FALSE) &amp; ")"),"")</f>
        <v/>
      </c>
      <c r="G66" s="1471">
        <v>0</v>
      </c>
      <c r="H66" s="1471">
        <v>0</v>
      </c>
      <c r="I66" s="1460" t="str">
        <f t="shared" si="5"/>
        <v/>
      </c>
      <c r="J66" s="3393" t="str">
        <f>IFERROR(IF($E$122-$H$122&lt;0,"",($G66-$H66)*VLOOKUP($E66,PO_Enrgy_1_Table,MATCH($K$9,PO_Enrgy_1_Hdr,0),FALSE)/($E$122-$H$122)),"")</f>
        <v/>
      </c>
      <c r="K66" s="3393" t="str">
        <f>IFERROR(IF($G$122-$J$122&lt;0,"",($G66*VLOOKUP($E66,PO_Enrgy_8_Table,MATCH($E$81,PO_Enrgy_8_Hdr,0),FALSE)-($H66*VLOOKUP($E66,PO_Enrgy_8_Table,MATCH($H$81,PO_Enrgy_8_Hdr,0),FALSE)))/($G$122-$J$122)),"")</f>
        <v/>
      </c>
      <c r="L66" s="3393"/>
      <c r="M66" s="3395" t="str">
        <f>IFERROR(H66*VLOOKUP($E66,PO_Enrgy_1_Table,MATCH($K$9,PO_Enrgy_1_Hdr,0))/$H$76,"")</f>
        <v/>
      </c>
      <c r="N66" s="564"/>
      <c r="Q66" s="1250" t="str">
        <f t="shared" si="0"/>
        <v/>
      </c>
      <c r="R66" s="1250" t="str">
        <f t="shared" si="1"/>
        <v/>
      </c>
      <c r="V66" s="604">
        <f t="shared" si="2"/>
        <v>0</v>
      </c>
      <c r="W66" s="599">
        <f t="shared" si="3"/>
        <v>0</v>
      </c>
      <c r="X66" s="599">
        <f t="shared" si="4"/>
        <v>0</v>
      </c>
      <c r="Y66" s="671" t="b">
        <f>IFERROR(IF(D66="x",IF(OR(G66/H66&gt;1.03,G66/H66&lt;0.97),TRUE,FALSE),FALSE),FALSE)</f>
        <v>0</v>
      </c>
      <c r="Z66" s="671">
        <f>IFERROR(J66*100,)</f>
        <v>0</v>
      </c>
      <c r="AB66" s="671">
        <f>RANK(Z66,$Z$20:$Z$67,0)</f>
        <v>7</v>
      </c>
      <c r="AC66" s="671">
        <f>AB66+COUNTIF($AB$20:$AB65,AB66)</f>
        <v>23</v>
      </c>
      <c r="AD66" s="671">
        <f>B66</f>
        <v>0</v>
      </c>
      <c r="AE66" s="1421"/>
      <c r="AF66" s="3205"/>
      <c r="AG66" s="3206"/>
      <c r="AH66" s="1422"/>
      <c r="AI66" s="1461"/>
      <c r="AJ66" s="1461"/>
      <c r="AK66" s="1423"/>
      <c r="AO66" s="604"/>
    </row>
    <row r="67" spans="1:55" ht="15.75" hidden="1" customHeight="1" x14ac:dyDescent="0.25">
      <c r="A67" s="1271" t="s">
        <v>1298</v>
      </c>
      <c r="B67" s="3392"/>
      <c r="C67" s="3392"/>
      <c r="D67" s="3391"/>
      <c r="E67" s="3392"/>
      <c r="F67" s="1470" t="str">
        <f>IFERROR(IF(ISBLANK(E66),"","Demand (" &amp; VLOOKUP($E66,PO_Enrgy_1_Table,MATCH($E$9,PO_Enrgy_1_Hdr,0),FALSE) &amp; ")"),"")</f>
        <v/>
      </c>
      <c r="G67" s="1472">
        <v>0</v>
      </c>
      <c r="H67" s="1472">
        <v>0</v>
      </c>
      <c r="I67" s="1473" t="str">
        <f t="shared" si="5"/>
        <v/>
      </c>
      <c r="J67" s="3394"/>
      <c r="K67" s="3393"/>
      <c r="L67" s="3393"/>
      <c r="M67" s="3396"/>
      <c r="N67" s="564"/>
      <c r="Q67" s="1250" t="str">
        <f t="shared" si="0"/>
        <v/>
      </c>
      <c r="R67" s="1250" t="str">
        <f t="shared" si="1"/>
        <v/>
      </c>
      <c r="V67" s="604">
        <f t="shared" si="2"/>
        <v>0</v>
      </c>
      <c r="W67" s="599">
        <f t="shared" si="3"/>
        <v>0</v>
      </c>
      <c r="X67" s="599">
        <f t="shared" si="4"/>
        <v>0</v>
      </c>
      <c r="AE67" s="596"/>
      <c r="AF67" s="3206"/>
      <c r="AG67" s="3206"/>
      <c r="AH67" s="1277"/>
      <c r="AI67" s="1461"/>
      <c r="AJ67" s="1461"/>
      <c r="AK67" s="1424"/>
      <c r="AO67" s="604"/>
    </row>
    <row r="68" spans="1:55" ht="21" customHeight="1" x14ac:dyDescent="0.25">
      <c r="A68" s="1271" t="s">
        <v>1298</v>
      </c>
      <c r="B68" s="590"/>
      <c r="C68" s="590"/>
      <c r="D68" s="1462"/>
      <c r="E68" s="617"/>
      <c r="F68" s="630"/>
      <c r="G68" s="631"/>
      <c r="H68" s="631"/>
      <c r="I68" s="632"/>
      <c r="J68" s="631"/>
      <c r="K68" s="631"/>
      <c r="L68" s="633"/>
      <c r="M68" s="633"/>
      <c r="N68" s="564"/>
      <c r="O68" s="564"/>
      <c r="Q68" s="564"/>
      <c r="R68" s="564"/>
    </row>
    <row r="69" spans="1:55" ht="24" customHeight="1" x14ac:dyDescent="0.25">
      <c r="A69" s="1271" t="s">
        <v>1298</v>
      </c>
      <c r="B69" s="643" t="s">
        <v>1267</v>
      </c>
      <c r="C69" s="644"/>
      <c r="D69" s="644"/>
      <c r="E69" s="644"/>
      <c r="F69" s="644"/>
      <c r="G69" s="644"/>
      <c r="H69" s="644"/>
      <c r="I69" s="644"/>
      <c r="J69" s="644"/>
      <c r="K69" s="644"/>
      <c r="L69" s="644"/>
      <c r="M69" s="644"/>
      <c r="N69" s="564"/>
      <c r="Q69" s="564"/>
      <c r="R69" s="564"/>
      <c r="BC69" s="671" t="s">
        <v>2090</v>
      </c>
    </row>
    <row r="70" spans="1:55" ht="21.75" customHeight="1" x14ac:dyDescent="0.25">
      <c r="A70" s="1271" t="s">
        <v>1298</v>
      </c>
      <c r="B70" s="3124" t="s">
        <v>444</v>
      </c>
      <c r="C70" s="3165" t="s">
        <v>1805</v>
      </c>
      <c r="D70" s="3125"/>
      <c r="E70" s="3123" t="s">
        <v>347</v>
      </c>
      <c r="F70" s="3124"/>
      <c r="G70" s="3124"/>
      <c r="H70" s="3123" t="s">
        <v>348</v>
      </c>
      <c r="I70" s="3124"/>
      <c r="J70" s="3124"/>
      <c r="K70" s="3123" t="s">
        <v>448</v>
      </c>
      <c r="L70" s="3124"/>
      <c r="M70" s="2728"/>
      <c r="N70" s="653"/>
      <c r="O70" s="650"/>
      <c r="P70" s="650"/>
      <c r="S70" s="564"/>
      <c r="T70" s="564"/>
    </row>
    <row r="71" spans="1:55" ht="63.75" customHeight="1" x14ac:dyDescent="0.25">
      <c r="A71" s="1271" t="s">
        <v>1298</v>
      </c>
      <c r="B71" s="3125"/>
      <c r="C71" s="3125"/>
      <c r="D71" s="3125"/>
      <c r="E71" s="1453" t="s">
        <v>1116</v>
      </c>
      <c r="F71" s="1454" t="str">
        <f>"Source Energy Use 
("  &amp; PO_SourceUnits &amp; ")"</f>
        <v>Source Energy Use 
(Btu x 10^6)</v>
      </c>
      <c r="G71" s="1447" t="s">
        <v>446</v>
      </c>
      <c r="H71" s="1453" t="s">
        <v>1116</v>
      </c>
      <c r="I71" s="1454" t="str">
        <f>"Source Energy Use 
("  &amp; PO_SourceUnits &amp; ")"</f>
        <v>Source Energy Use 
(Btu x 10^6)</v>
      </c>
      <c r="J71" s="1447" t="s">
        <v>446</v>
      </c>
      <c r="K71" s="3123" t="s">
        <v>447</v>
      </c>
      <c r="L71" s="3204"/>
      <c r="M71" s="1453" t="s">
        <v>446</v>
      </c>
      <c r="N71" s="650"/>
      <c r="O71" s="650"/>
      <c r="P71" s="650"/>
      <c r="S71" s="564"/>
      <c r="T71" s="564"/>
      <c r="AD71" s="596"/>
      <c r="AE71" s="596"/>
      <c r="AF71" s="16"/>
      <c r="AG71" s="596"/>
      <c r="AH71" s="596"/>
      <c r="AI71" s="596"/>
      <c r="AJ71" s="596"/>
      <c r="AK71" s="596"/>
      <c r="AL71" s="596"/>
      <c r="AM71" s="596"/>
      <c r="AN71" s="596"/>
      <c r="AO71" s="596"/>
    </row>
    <row r="72" spans="1:55" s="1288" customFormat="1" ht="21.75" hidden="1" customHeight="1" x14ac:dyDescent="0.25">
      <c r="A72" s="1271" t="s">
        <v>1298</v>
      </c>
      <c r="B72" s="1379" t="s">
        <v>1765</v>
      </c>
      <c r="C72" s="1379" t="s">
        <v>1793</v>
      </c>
      <c r="D72" s="1379"/>
      <c r="E72" s="1307" t="s">
        <v>1821</v>
      </c>
      <c r="F72" s="1379" t="s">
        <v>1822</v>
      </c>
      <c r="G72" s="1379" t="s">
        <v>1823</v>
      </c>
      <c r="H72" s="1307" t="s">
        <v>1806</v>
      </c>
      <c r="I72" s="1379" t="s">
        <v>1807</v>
      </c>
      <c r="J72" s="1379" t="s">
        <v>1808</v>
      </c>
      <c r="K72" s="1307" t="s">
        <v>1809</v>
      </c>
      <c r="L72" s="1379"/>
      <c r="M72" s="1307" t="s">
        <v>1810</v>
      </c>
      <c r="N72" s="1285"/>
      <c r="O72" s="1286"/>
      <c r="P72" s="1286"/>
      <c r="Q72" s="1550" t="s">
        <v>1776</v>
      </c>
      <c r="R72" s="1550" t="s">
        <v>1777</v>
      </c>
      <c r="S72" s="1287"/>
      <c r="T72" s="1287"/>
      <c r="AD72" s="1289"/>
      <c r="AE72" s="1289"/>
      <c r="AF72" s="1289"/>
      <c r="AG72" s="1289"/>
      <c r="AH72" s="1289"/>
      <c r="AI72" s="1289"/>
      <c r="AJ72" s="1289"/>
      <c r="AK72" s="1289"/>
      <c r="AL72" s="1289"/>
      <c r="AM72" s="1289"/>
      <c r="AN72" s="1289"/>
      <c r="AO72" s="1289"/>
    </row>
    <row r="73" spans="1:55" ht="18" customHeight="1" x14ac:dyDescent="0.25">
      <c r="A73" s="1271" t="s">
        <v>1298</v>
      </c>
      <c r="B73" s="1458" t="str">
        <f>IFERROR(IF(ISBLANK(B10),"",B10),"")</f>
        <v>Electricity</v>
      </c>
      <c r="C73" s="3159" t="str">
        <f>IFERROR(IF(ISBLANK($B73),"",VLOOKUP($B73,PO_Enrgy_1_Table,MATCH($C$9,PO_Enrgy_1_Hdr,0),FALSE) ),"")</f>
        <v>kWh</v>
      </c>
      <c r="D73" s="3398" t="e">
        <f>IF(C73="","",VLOOKUP(C73,ProjectEnergyTypeTable,3,FALSE))</f>
        <v>#NAME?</v>
      </c>
      <c r="E73" s="1459">
        <v>399626</v>
      </c>
      <c r="F73" s="1459">
        <v>4281.4650836800001</v>
      </c>
      <c r="G73" s="1474">
        <v>30841</v>
      </c>
      <c r="H73" s="1459">
        <v>361804</v>
      </c>
      <c r="I73" s="1459">
        <v>3876.2522787200005</v>
      </c>
      <c r="J73" s="1475">
        <v>27859</v>
      </c>
      <c r="K73" s="3395">
        <f>IFERROR(1-H73/E73,"")</f>
        <v>9.4643491664706536E-2</v>
      </c>
      <c r="L73" s="3399"/>
      <c r="M73" s="1413">
        <f>IFERROR(1-J73/G73,"")</f>
        <v>9.6689471807010152E-2</v>
      </c>
      <c r="N73" s="650"/>
      <c r="O73" s="650"/>
      <c r="P73" s="650"/>
      <c r="Q73" s="1549">
        <f>IFERROR(IF(ISBLANK($B73),"",VLOOKUP($B73,PO_Enrgy_1_Table,MATCH($K$9,PO_Enrgy_1_Hdr,0),FALSE)),"")</f>
        <v>3.4120000000000001E-3</v>
      </c>
      <c r="R73" s="1549">
        <f>IFERROR(IF(ISBLANK($B73),"",VLOOKUP($B73,PO_Enrgy_1_Table,MATCH($M$9,PO_Enrgy_1_Hdr,0),FALSE)),"")</f>
        <v>1.0713680000000001E-2</v>
      </c>
      <c r="S73" s="564"/>
      <c r="T73" s="564"/>
      <c r="AD73" s="1291"/>
      <c r="AE73" s="1291"/>
      <c r="AF73" s="1292"/>
      <c r="AG73" s="605"/>
      <c r="AH73" s="1293"/>
      <c r="AI73" s="1294"/>
      <c r="AJ73" s="596"/>
      <c r="AK73" s="596"/>
      <c r="AL73" s="596"/>
      <c r="AM73" s="596"/>
      <c r="AN73" s="596"/>
      <c r="AO73" s="596"/>
      <c r="BC73" s="2292"/>
    </row>
    <row r="74" spans="1:55" ht="18" customHeight="1" x14ac:dyDescent="0.25">
      <c r="A74" s="1271" t="s">
        <v>1298</v>
      </c>
      <c r="B74" s="1458" t="str">
        <f>IFERROR(IF(ISBLANK(B11),"",B11),"")</f>
        <v>District Steam</v>
      </c>
      <c r="C74" s="3159" t="str">
        <f>IFERROR(IF(ISBLANK($B74),"",VLOOKUP($B74,PO_Enrgy_1_Table,MATCH($C$9,PO_Enrgy_1_Hdr,0),FALSE) ),"")</f>
        <v>therm</v>
      </c>
      <c r="D74" s="3398" t="e">
        <f>IF(C74="","",VLOOKUP(C74,ProjectEnergyTypeTable,3,FALSE))</f>
        <v>#NAME?</v>
      </c>
      <c r="E74" s="1459">
        <v>1579</v>
      </c>
      <c r="F74" s="1459">
        <v>189.48</v>
      </c>
      <c r="G74" s="1474">
        <v>1381</v>
      </c>
      <c r="H74" s="1459">
        <v>1016</v>
      </c>
      <c r="I74" s="1459">
        <v>121.92</v>
      </c>
      <c r="J74" s="1475">
        <v>929</v>
      </c>
      <c r="K74" s="3395">
        <f>IFERROR(1-H74/E74,"")</f>
        <v>0.35655478150728304</v>
      </c>
      <c r="L74" s="3399"/>
      <c r="M74" s="1413">
        <f>IFERROR(1-J74/G74,"")</f>
        <v>0.3272990586531499</v>
      </c>
      <c r="N74" s="650"/>
      <c r="O74" s="650"/>
      <c r="P74" s="650"/>
      <c r="Q74" s="1549">
        <f>IFERROR(IF(ISBLANK($B74),"",VLOOKUP($B74,PO_Enrgy_1_Table,MATCH($K$9,PO_Enrgy_1_Hdr,0),FALSE)),"")</f>
        <v>0.1</v>
      </c>
      <c r="R74" s="1549">
        <f>IFERROR(IF(ISBLANK($B74),"",VLOOKUP($B74,PO_Enrgy_1_Table,MATCH($M$9,PO_Enrgy_1_Hdr,0),FALSE)),"")</f>
        <v>0.12</v>
      </c>
      <c r="S74" s="564"/>
      <c r="T74" s="564"/>
      <c r="AD74" s="1291"/>
      <c r="AE74" s="1291"/>
      <c r="AF74" s="1292"/>
      <c r="AG74" s="605"/>
      <c r="AH74" s="1293"/>
      <c r="AI74" s="1294"/>
      <c r="AJ74" s="596"/>
      <c r="AK74" s="596"/>
      <c r="AL74" s="596"/>
      <c r="AM74" s="596"/>
      <c r="AN74" s="596"/>
      <c r="AO74" s="596"/>
      <c r="BC74" s="2292"/>
    </row>
    <row r="75" spans="1:55" ht="18" customHeight="1" x14ac:dyDescent="0.25">
      <c r="A75" s="1271" t="s">
        <v>1298</v>
      </c>
      <c r="B75" s="2154" t="str">
        <f>IFERROR(IF(ISBLANK(B12),"",B12),"")</f>
        <v>District Cooling</v>
      </c>
      <c r="C75" s="3159" t="str">
        <f>IFERROR(IF(ISBLANK($B75),"",VLOOKUP($B75,PO_Enrgy_1_Table,MATCH($C$9,PO_Enrgy_1_Hdr,0),FALSE) ),"")</f>
        <v>therm</v>
      </c>
      <c r="D75" s="3398" t="e">
        <f>IF(C75="","",VLOOKUP(C75,ProjectEnergyTypeTable,3,FALSE))</f>
        <v>#NAME?</v>
      </c>
      <c r="E75" s="2155">
        <v>30143</v>
      </c>
      <c r="F75" s="2155">
        <v>3014.3</v>
      </c>
      <c r="G75" s="1474">
        <v>26920</v>
      </c>
      <c r="H75" s="2155">
        <v>27282</v>
      </c>
      <c r="I75" s="2155">
        <v>2728.2000000000003</v>
      </c>
      <c r="J75" s="1475">
        <v>24213</v>
      </c>
      <c r="K75" s="3395">
        <f>IFERROR(1-H75/E75,"")</f>
        <v>9.4914242112596581E-2</v>
      </c>
      <c r="L75" s="3399"/>
      <c r="M75" s="2162">
        <f>IFERROR(1-J75/G75,"")</f>
        <v>0.10055720653789002</v>
      </c>
      <c r="N75" s="650"/>
      <c r="O75" s="650"/>
      <c r="P75" s="650"/>
      <c r="Q75" s="1549">
        <f>IFERROR(IF(ISBLANK($B75),"",VLOOKUP($B75,PO_Enrgy_1_Table,MATCH($K$9,PO_Enrgy_1_Hdr,0),FALSE)),"")</f>
        <v>0.1</v>
      </c>
      <c r="R75" s="1549">
        <f>IFERROR(IF(ISBLANK($B75),"",VLOOKUP($B75,PO_Enrgy_1_Table,MATCH($M$9,PO_Enrgy_1_Hdr,0),FALSE)),"")</f>
        <v>0.1</v>
      </c>
      <c r="S75" s="564"/>
      <c r="T75" s="564"/>
      <c r="AD75" s="1291"/>
      <c r="AE75" s="1291"/>
      <c r="AF75" s="1292"/>
      <c r="AG75" s="605"/>
      <c r="AH75" s="1293"/>
      <c r="AI75" s="1294"/>
      <c r="AJ75" s="596"/>
      <c r="AK75" s="596"/>
      <c r="AL75" s="596"/>
      <c r="AM75" s="596"/>
      <c r="AN75" s="596"/>
      <c r="AO75" s="596"/>
      <c r="BC75" s="2292"/>
    </row>
    <row r="76" spans="1:55" s="594" customFormat="1" ht="21" customHeight="1" x14ac:dyDescent="0.25">
      <c r="A76" s="1271" t="s">
        <v>1298</v>
      </c>
      <c r="B76" s="3120" t="str">
        <f>"Energy model subtotal (" &amp; PO_SiteUnits &amp; ")"</f>
        <v>Energy model subtotal (Btu x 10^6)</v>
      </c>
      <c r="C76" s="3120"/>
      <c r="D76" s="3120"/>
      <c r="E76" s="1384">
        <f>IFERROR(SUMPRODUCT(INDEX(PO_Enrgy_7_Table,0,MATCH(E$72,PO_Enrgy_7_Hdr,0)),INDEX(PO_Enrgy_7_Table,0,MATCH($Q$72,PO_Enrgy_7_Hdr,0))),"")</f>
        <v>4535.7239120000004</v>
      </c>
      <c r="F76" s="1384">
        <f>IFERROR(SUM(INDEX(PO_Enrgy_7_Table,0,MATCH(F$72,PO_Enrgy_7_Hdr,0))),"")</f>
        <v>7485.2450836799999</v>
      </c>
      <c r="G76" s="1387">
        <f>IFERROR(SUM(INDEX(PO_Enrgy_7_Table,0,MATCH(G$72,PO_Enrgy_7_Hdr,0))),"")</f>
        <v>59142</v>
      </c>
      <c r="H76" s="1384">
        <f>IFERROR(SUMPRODUCT(INDEX(PO_Enrgy_7_Table,0,MATCH(H$72,PO_Enrgy_7_Hdr,0)),INDEX(PO_Enrgy_7_Table,0,MATCH($Q$72,PO_Enrgy_7_Hdr,0))),"")</f>
        <v>4064.2752479999999</v>
      </c>
      <c r="I76" s="1384">
        <f>IFERROR(SUM(INDEX(PO_Enrgy_7_Table,0,MATCH(I$72,PO_Enrgy_7_Hdr,0))),"")</f>
        <v>6726.3722787200004</v>
      </c>
      <c r="J76" s="1387">
        <f>IFERROR(SUM(INDEX(PO_Enrgy_7_Table,0,MATCH(J$72,PO_Enrgy_7_Hdr,0))),"")</f>
        <v>53001</v>
      </c>
      <c r="K76" s="3163">
        <f>IFERROR(1-H76/E76,"")</f>
        <v>0.10394121713464655</v>
      </c>
      <c r="L76" s="3164"/>
      <c r="M76" s="1445">
        <f>IFERROR(1-J76/G76,"")</f>
        <v>0.10383483818606065</v>
      </c>
      <c r="N76" s="650"/>
      <c r="O76" s="650"/>
      <c r="P76" s="650"/>
      <c r="AD76" s="596"/>
      <c r="AE76" s="596"/>
      <c r="AF76" s="16"/>
      <c r="AG76" s="596"/>
      <c r="AH76" s="1293"/>
      <c r="AI76" s="1294"/>
      <c r="AJ76" s="596"/>
      <c r="AK76" s="596"/>
      <c r="AL76" s="596"/>
      <c r="AM76" s="596"/>
      <c r="AN76" s="596"/>
      <c r="AO76" s="596"/>
      <c r="BC76" s="2292"/>
    </row>
    <row r="77" spans="1:55" s="594" customFormat="1" ht="5.25" customHeight="1" x14ac:dyDescent="0.25">
      <c r="A77" s="1271" t="s">
        <v>1298</v>
      </c>
      <c r="B77" s="1449"/>
      <c r="C77" s="1449"/>
      <c r="D77" s="1449"/>
      <c r="E77" s="602"/>
      <c r="F77" s="602"/>
      <c r="G77" s="841"/>
      <c r="H77" s="602"/>
      <c r="I77" s="602"/>
      <c r="J77" s="841"/>
      <c r="K77" s="822"/>
      <c r="L77" s="822"/>
      <c r="M77" s="822"/>
      <c r="N77" s="650"/>
      <c r="O77" s="650"/>
      <c r="P77" s="650"/>
      <c r="AD77" s="596"/>
      <c r="AE77" s="596"/>
      <c r="AF77" s="16"/>
      <c r="AG77" s="596"/>
      <c r="AH77" s="1293"/>
      <c r="AI77" s="1294"/>
      <c r="AJ77" s="596"/>
      <c r="AK77" s="596"/>
      <c r="AL77" s="596"/>
      <c r="AM77" s="596"/>
      <c r="AN77" s="596"/>
      <c r="AO77" s="596"/>
    </row>
    <row r="78" spans="1:55" s="594" customFormat="1" ht="33" customHeight="1" x14ac:dyDescent="0.25">
      <c r="A78" s="1271" t="s">
        <v>1298</v>
      </c>
      <c r="B78" s="1449"/>
      <c r="C78" s="1449"/>
      <c r="D78" s="1449"/>
      <c r="E78" s="602"/>
      <c r="F78" s="602"/>
      <c r="G78" s="841"/>
      <c r="H78" s="602"/>
      <c r="I78" s="602"/>
      <c r="J78" s="841"/>
      <c r="K78" s="822"/>
      <c r="L78" s="822"/>
      <c r="M78" s="822"/>
      <c r="N78" s="650"/>
      <c r="O78" s="650"/>
      <c r="P78" s="650"/>
      <c r="AD78" s="596"/>
      <c r="AE78" s="596"/>
      <c r="AF78" s="16"/>
      <c r="AG78" s="596"/>
      <c r="AH78" s="1293"/>
      <c r="AI78" s="1294"/>
      <c r="AJ78" s="596"/>
      <c r="AK78" s="596"/>
      <c r="AL78" s="596"/>
      <c r="AM78" s="596"/>
      <c r="AN78" s="596"/>
      <c r="AO78" s="596"/>
    </row>
    <row r="79" spans="1:55" s="594" customFormat="1" ht="21" customHeight="1" x14ac:dyDescent="0.25">
      <c r="A79" s="1271" t="s">
        <v>1298</v>
      </c>
      <c r="B79" s="3200" t="s">
        <v>1268</v>
      </c>
      <c r="C79" s="3201"/>
      <c r="D79" s="3201"/>
      <c r="E79" s="3201"/>
      <c r="F79" s="3201"/>
      <c r="G79" s="3201"/>
      <c r="H79" s="3201"/>
      <c r="I79" s="3201"/>
      <c r="J79" s="3201"/>
      <c r="K79" s="3201"/>
      <c r="L79" s="3201"/>
      <c r="M79" s="822"/>
      <c r="Z79" s="619"/>
      <c r="AA79" s="620"/>
      <c r="AD79" s="596"/>
      <c r="AE79" s="596"/>
      <c r="AF79" s="16"/>
      <c r="AG79" s="596"/>
      <c r="AH79" s="596"/>
      <c r="AI79" s="596"/>
      <c r="AJ79" s="596"/>
      <c r="AK79" s="596"/>
      <c r="AL79" s="596"/>
      <c r="AM79" s="596"/>
      <c r="AN79" s="596"/>
      <c r="AO79" s="596"/>
    </row>
    <row r="80" spans="1:55" ht="33.75" customHeight="1" x14ac:dyDescent="0.25">
      <c r="A80" s="1271" t="s">
        <v>1298</v>
      </c>
      <c r="B80" s="3124" t="s">
        <v>444</v>
      </c>
      <c r="C80" s="2727"/>
      <c r="D80" s="2727"/>
      <c r="E80" s="3166" t="s">
        <v>347</v>
      </c>
      <c r="F80" s="3167"/>
      <c r="G80" s="3167"/>
      <c r="H80" s="3166" t="s">
        <v>348</v>
      </c>
      <c r="I80" s="3167"/>
      <c r="J80" s="3167"/>
      <c r="K80" s="3123" t="s">
        <v>455</v>
      </c>
      <c r="L80" s="3124"/>
      <c r="M80" s="2727"/>
      <c r="N80" s="650"/>
      <c r="O80" s="650"/>
      <c r="P80" s="650"/>
      <c r="S80" s="564"/>
      <c r="T80" s="564"/>
      <c r="AD80" s="596"/>
      <c r="AE80" s="596"/>
      <c r="AF80" s="16"/>
      <c r="AG80" s="596"/>
      <c r="AH80" s="596"/>
      <c r="AI80" s="596"/>
      <c r="AJ80" s="596"/>
      <c r="AK80" s="596"/>
      <c r="AL80" s="596"/>
      <c r="AM80" s="596"/>
      <c r="AN80" s="596"/>
      <c r="AO80" s="596"/>
    </row>
    <row r="81" spans="1:55" s="1288" customFormat="1" ht="15" hidden="1" x14ac:dyDescent="0.25">
      <c r="A81" s="1271" t="s">
        <v>1298</v>
      </c>
      <c r="B81" s="1379" t="s">
        <v>1765</v>
      </c>
      <c r="C81" s="1388" t="s">
        <v>173</v>
      </c>
      <c r="D81" s="1388"/>
      <c r="E81" s="1308" t="s">
        <v>1811</v>
      </c>
      <c r="F81" s="1389"/>
      <c r="G81" s="1389"/>
      <c r="H81" s="1308" t="s">
        <v>1812</v>
      </c>
      <c r="I81" s="1389"/>
      <c r="J81" s="1389"/>
      <c r="K81" s="1307" t="s">
        <v>1813</v>
      </c>
      <c r="L81" s="1379"/>
      <c r="M81" s="1388"/>
      <c r="N81" s="1286"/>
      <c r="O81" s="1286"/>
      <c r="P81" s="1286"/>
      <c r="Q81" s="1550" t="s">
        <v>1776</v>
      </c>
      <c r="R81" s="1550" t="s">
        <v>1777</v>
      </c>
      <c r="S81" s="1287"/>
      <c r="T81" s="1287"/>
      <c r="AD81" s="1289"/>
      <c r="AE81" s="1289"/>
      <c r="AF81" s="1295"/>
      <c r="AG81" s="1289"/>
      <c r="AH81" s="1289"/>
      <c r="AI81" s="1289"/>
      <c r="AJ81" s="1289"/>
      <c r="AK81" s="1289"/>
      <c r="AL81" s="1289"/>
      <c r="AM81" s="1289"/>
      <c r="AN81" s="1289"/>
      <c r="AO81" s="1289"/>
    </row>
    <row r="82" spans="1:55" ht="18" customHeight="1" x14ac:dyDescent="0.25">
      <c r="A82" s="1271" t="s">
        <v>1298</v>
      </c>
      <c r="B82" s="1444" t="str">
        <f>IFERROR(IF(ISBLANK(B10),"",B10),"")</f>
        <v>Electricity</v>
      </c>
      <c r="C82" s="3142" t="str">
        <f>IFERROR(CONCATENATE("$ / ",VLOOKUP($B82,PO_Enrgy_1_Table,MATCH($C$9,PO_Enrgy_1_Hdr,0),FALSE)),"")</f>
        <v>$ / kWh</v>
      </c>
      <c r="D82" s="3143" t="e">
        <f>IF(C82="","",VLOOKUP(C82,ProjectEnergyTypeTable,3,FALSE))</f>
        <v>#NAME?</v>
      </c>
      <c r="E82" s="3197">
        <f>IFERROR(IF(AND(DESPath=3,OR($B82="District Cooling",$B82="District Steam",$B82="District Hot Water")),IF($B82="District Cooling",#REF!,#REF!),VLOOKUP($B82,PO_Enrgy_7_Table,MATCH($G$72,PO_Enrgy_7_Hdr,0),FALSE)/VLOOKUP($B82,PO_Enrgy_7_Table,MATCH($E$72,PO_Enrgy_7_Hdr,0),FALSE)),"")</f>
        <v>7.7174658305515662E-2</v>
      </c>
      <c r="F82" s="3198"/>
      <c r="G82" s="3198"/>
      <c r="H82" s="3197">
        <f>IFERROR(IF(AND(DESPath=3,OR($B82="District Cooling",$B82="District Steam",$B82="District Hot Water")),IF($B82="District Cooling",#REF!,#REF!),VLOOKUP($B82,PO_Enrgy_7_Table,MATCH($J$72,PO_Enrgy_7_Hdr,0),FALSE)/VLOOKUP($B82,PO_Enrgy_7_Table,MATCH($H$72,PO_Enrgy_7_Hdr,0),FALSE)),"")</f>
        <v>7.7000254281323594E-2</v>
      </c>
      <c r="I82" s="3198"/>
      <c r="J82" s="3198"/>
      <c r="K82" s="3133">
        <f>IFERROR(ABS(1-H82/E82),"")</f>
        <v>2.25986130708411E-3</v>
      </c>
      <c r="L82" s="3186"/>
      <c r="M82" s="3199"/>
      <c r="N82" s="650"/>
      <c r="O82" s="650"/>
      <c r="P82" s="650"/>
      <c r="Q82" s="1549">
        <f>IFERROR(IF(ISBLANK($B82),"",VLOOKUP($B82,PO_Enrgy_1_Table,MATCH($K$9,PO_Enrgy_1_Hdr,0),FALSE)),"")</f>
        <v>3.4120000000000001E-3</v>
      </c>
      <c r="R82" s="1549">
        <f>IFERROR(IF(ISBLANK($B82),"",VLOOKUP($B82,PO_Enrgy_1_Table,MATCH($M$9,PO_Enrgy_1_Hdr,0),FALSE)),"")</f>
        <v>1.0713680000000001E-2</v>
      </c>
      <c r="S82" s="564"/>
      <c r="T82" s="564"/>
      <c r="AD82" s="1291"/>
      <c r="AE82" s="1291"/>
      <c r="AF82" s="1292"/>
      <c r="AG82" s="596"/>
      <c r="AH82" s="1293"/>
      <c r="AI82" s="1294"/>
      <c r="AJ82" s="1297"/>
      <c r="AK82" s="596"/>
      <c r="AL82" s="596"/>
      <c r="AM82" s="596"/>
      <c r="AN82" s="596"/>
      <c r="AO82" s="596"/>
      <c r="BC82" s="2292"/>
    </row>
    <row r="83" spans="1:55" ht="18" customHeight="1" x14ac:dyDescent="0.25">
      <c r="A83" s="1271" t="s">
        <v>1298</v>
      </c>
      <c r="B83" s="1444" t="str">
        <f>IFERROR(IF(ISBLANK(B11),"",B11),"")</f>
        <v>District Steam</v>
      </c>
      <c r="C83" s="3142" t="str">
        <f>IFERROR(CONCATENATE("$ / ",VLOOKUP($B83,PO_Enrgy_1_Table,MATCH($C$9,PO_Enrgy_1_Hdr,0),FALSE)),"")</f>
        <v>$ / therm</v>
      </c>
      <c r="D83" s="3143" t="e">
        <f>IF(C83="","",VLOOKUP(C83,ProjectEnergyTypeTable,3,FALSE))</f>
        <v>#NAME?</v>
      </c>
      <c r="E83" s="3197">
        <f>IFERROR(IF(AND(DESPath=3,OR($B83="District Cooling",$B83="District Steam",$B83="District Hot Water")),IF($B83="District Cooling",#REF!,#REF!),VLOOKUP($B83,PO_Enrgy_7_Table,MATCH($G$72,PO_Enrgy_7_Hdr,0),FALSE)/VLOOKUP($B83,PO_Enrgy_7_Table,MATCH($E$72,PO_Enrgy_7_Hdr,0),FALSE)),"")</f>
        <v>0.87460417986067129</v>
      </c>
      <c r="F83" s="3198"/>
      <c r="G83" s="3198"/>
      <c r="H83" s="3197">
        <f>IFERROR(IF(AND(DESPath=3,OR($B83="District Cooling",$B83="District Steam",$B83="District Hot Water")),IF($B83="District Cooling",#REF!,#REF!),VLOOKUP($B83,PO_Enrgy_7_Table,MATCH($J$72,PO_Enrgy_7_Hdr,0),FALSE)/VLOOKUP($B83,PO_Enrgy_7_Table,MATCH($H$72,PO_Enrgy_7_Hdr,0),FALSE)),"")</f>
        <v>0.91437007874015752</v>
      </c>
      <c r="I83" s="3198"/>
      <c r="J83" s="3198"/>
      <c r="K83" s="3133">
        <f>IFERROR(ABS(1-H83/E83),"")</f>
        <v>4.5467309435705205E-2</v>
      </c>
      <c r="L83" s="3186"/>
      <c r="M83" s="3199"/>
      <c r="N83" s="650"/>
      <c r="O83" s="650"/>
      <c r="P83" s="650"/>
      <c r="Q83" s="1549">
        <f>IFERROR(IF(ISBLANK($B83),"",VLOOKUP($B83,PO_Enrgy_1_Table,MATCH($K$9,PO_Enrgy_1_Hdr,0),FALSE)),"")</f>
        <v>0.1</v>
      </c>
      <c r="R83" s="1549">
        <f>IFERROR(IF(ISBLANK($B83),"",VLOOKUP($B83,PO_Enrgy_1_Table,MATCH($M$9,PO_Enrgy_1_Hdr,0),FALSE)),"")</f>
        <v>0.12</v>
      </c>
      <c r="S83" s="564"/>
      <c r="T83" s="564"/>
      <c r="AD83" s="1291"/>
      <c r="AE83" s="1291"/>
      <c r="AF83" s="1292"/>
      <c r="AG83" s="596"/>
      <c r="AH83" s="1293"/>
      <c r="AI83" s="1294"/>
      <c r="AJ83" s="1297"/>
      <c r="AK83" s="596"/>
      <c r="AL83" s="596"/>
      <c r="AM83" s="596"/>
      <c r="AN83" s="596"/>
      <c r="AO83" s="596"/>
      <c r="BC83" s="2292"/>
    </row>
    <row r="84" spans="1:55" ht="18" customHeight="1" x14ac:dyDescent="0.25">
      <c r="A84" s="1271" t="s">
        <v>1298</v>
      </c>
      <c r="B84" s="2160" t="str">
        <f>IFERROR(IF(ISBLANK(B12),"",B12),"")</f>
        <v>District Cooling</v>
      </c>
      <c r="C84" s="3142" t="str">
        <f>IFERROR(CONCATENATE("$ / ",VLOOKUP($B84,PO_Enrgy_1_Table,MATCH($C$9,PO_Enrgy_1_Hdr,0),FALSE)),"")</f>
        <v>$ / therm</v>
      </c>
      <c r="D84" s="3143" t="e">
        <f>IF(C84="","",VLOOKUP(C84,ProjectEnergyTypeTable,3,FALSE))</f>
        <v>#NAME?</v>
      </c>
      <c r="E84" s="3197">
        <f>IFERROR(IF(AND(DESPath=3,OR($B84="District Cooling",$B84="District Steam",$B84="District Hot Water")),IF($B84="District Cooling",#REF!,#REF!),VLOOKUP($B84,PO_Enrgy_7_Table,MATCH($G$72,PO_Enrgy_7_Hdr,0),FALSE)/VLOOKUP($B84,PO_Enrgy_7_Table,MATCH($E$72,PO_Enrgy_7_Hdr,0),FALSE)),"")</f>
        <v>0.89307633613110837</v>
      </c>
      <c r="F84" s="3198"/>
      <c r="G84" s="3198"/>
      <c r="H84" s="3197">
        <f>IFERROR(IF(AND(DESPath=3,OR($B84="District Cooling",$B84="District Steam",$B84="District Hot Water")),IF($B84="District Cooling",#REF!,#REF!),VLOOKUP($B84,PO_Enrgy_7_Table,MATCH($J$72,PO_Enrgy_7_Hdr,0),FALSE)/VLOOKUP($B84,PO_Enrgy_7_Table,MATCH($H$72,PO_Enrgy_7_Hdr,0),FALSE)),"")</f>
        <v>0.88750824719595334</v>
      </c>
      <c r="I84" s="3198"/>
      <c r="J84" s="3198"/>
      <c r="K84" s="3133">
        <f>IFERROR(ABS(1-H84/E84),"")</f>
        <v>6.2347290034315828E-3</v>
      </c>
      <c r="L84" s="3186"/>
      <c r="M84" s="3199"/>
      <c r="N84" s="650"/>
      <c r="O84" s="650"/>
      <c r="P84" s="650"/>
      <c r="Q84" s="1549">
        <f>IFERROR(IF(ISBLANK($B84),"",VLOOKUP($B84,PO_Enrgy_1_Table,MATCH($K$9,PO_Enrgy_1_Hdr,0),FALSE)),"")</f>
        <v>0.1</v>
      </c>
      <c r="R84" s="1549">
        <f>IFERROR(IF(ISBLANK($B84),"",VLOOKUP($B84,PO_Enrgy_1_Table,MATCH($M$9,PO_Enrgy_1_Hdr,0),FALSE)),"")</f>
        <v>0.1</v>
      </c>
      <c r="S84" s="564"/>
      <c r="T84" s="564"/>
      <c r="AD84" s="1291"/>
      <c r="AE84" s="1291"/>
      <c r="AF84" s="1292"/>
      <c r="AG84" s="596"/>
      <c r="AH84" s="1293"/>
      <c r="AI84" s="1294"/>
      <c r="AJ84" s="1297"/>
      <c r="AK84" s="596"/>
      <c r="AL84" s="596"/>
      <c r="AM84" s="596"/>
      <c r="AN84" s="596"/>
      <c r="AO84" s="596"/>
      <c r="BC84" s="2292"/>
    </row>
    <row r="85" spans="1:55" s="594" customFormat="1" ht="31.5" customHeight="1" x14ac:dyDescent="0.25">
      <c r="A85" s="1271" t="s">
        <v>1298</v>
      </c>
      <c r="B85" s="1449"/>
      <c r="C85" s="1449"/>
      <c r="D85" s="1449"/>
      <c r="E85" s="602"/>
      <c r="F85" s="602"/>
      <c r="G85" s="841"/>
      <c r="H85" s="602"/>
      <c r="I85" s="602"/>
      <c r="J85" s="841"/>
      <c r="K85" s="846"/>
      <c r="L85" s="822"/>
      <c r="M85" s="822"/>
      <c r="N85" s="650"/>
      <c r="O85" s="650"/>
      <c r="P85" s="650"/>
      <c r="AD85" s="596"/>
      <c r="AE85" s="596"/>
      <c r="AF85" s="16"/>
      <c r="AG85" s="596"/>
      <c r="AH85" s="1293"/>
      <c r="AI85" s="1294"/>
      <c r="AJ85" s="596"/>
      <c r="AK85" s="596"/>
      <c r="AL85" s="596"/>
      <c r="AM85" s="596"/>
      <c r="AN85" s="596"/>
      <c r="AO85" s="596"/>
    </row>
    <row r="86" spans="1:55" ht="21" hidden="1" customHeight="1" x14ac:dyDescent="0.25">
      <c r="A86" s="1271" t="s">
        <v>1298</v>
      </c>
      <c r="B86" s="3200" t="s">
        <v>1269</v>
      </c>
      <c r="C86" s="3201"/>
      <c r="D86" s="3201"/>
      <c r="E86" s="3201"/>
      <c r="F86" s="3201"/>
      <c r="G86" s="3201"/>
      <c r="H86" s="3201"/>
      <c r="I86" s="3201"/>
      <c r="J86" s="3201"/>
      <c r="K86" s="3201"/>
      <c r="L86" s="3201"/>
      <c r="M86" s="650"/>
      <c r="N86" s="564"/>
      <c r="O86" s="564"/>
      <c r="P86" s="564"/>
      <c r="S86" s="564"/>
      <c r="Z86" s="619"/>
      <c r="AA86" s="620"/>
      <c r="AD86" s="596"/>
      <c r="AE86" s="596"/>
      <c r="AF86" s="16"/>
      <c r="AG86" s="596"/>
      <c r="AH86" s="596"/>
      <c r="AI86" s="596"/>
      <c r="AJ86" s="596"/>
      <c r="AK86" s="596"/>
      <c r="AL86" s="596"/>
      <c r="AM86" s="596"/>
      <c r="AN86" s="596"/>
      <c r="AO86" s="596"/>
    </row>
    <row r="87" spans="1:55" ht="41.25" hidden="1" customHeight="1" x14ac:dyDescent="0.25">
      <c r="A87" s="1271" t="s">
        <v>1298</v>
      </c>
      <c r="B87" s="3124" t="s">
        <v>444</v>
      </c>
      <c r="C87" s="3165" t="s">
        <v>1805</v>
      </c>
      <c r="D87" s="3125"/>
      <c r="E87" s="3194" t="s">
        <v>1270</v>
      </c>
      <c r="F87" s="3194"/>
      <c r="G87" s="3194"/>
      <c r="H87" s="3202" t="s">
        <v>1171</v>
      </c>
      <c r="I87" s="3202"/>
      <c r="J87" s="3202"/>
      <c r="K87" s="3195" t="s">
        <v>448</v>
      </c>
      <c r="L87" s="3203"/>
      <c r="M87" s="3196"/>
      <c r="N87" s="3168"/>
      <c r="O87" s="3168"/>
      <c r="P87" s="3168"/>
      <c r="S87" s="564"/>
      <c r="T87" s="564"/>
      <c r="AD87" s="596"/>
      <c r="AE87" s="596"/>
      <c r="AF87" s="16"/>
      <c r="AG87" s="596"/>
      <c r="AH87" s="1293"/>
      <c r="AI87" s="1294"/>
      <c r="AJ87" s="596"/>
      <c r="AK87" s="596"/>
      <c r="AL87" s="596"/>
      <c r="AM87" s="596"/>
      <c r="AN87" s="596"/>
      <c r="AO87" s="596"/>
    </row>
    <row r="88" spans="1:55" ht="63" hidden="1" customHeight="1" x14ac:dyDescent="0.25">
      <c r="A88" s="1271" t="s">
        <v>1298</v>
      </c>
      <c r="B88" s="3125"/>
      <c r="C88" s="3125"/>
      <c r="D88" s="3125"/>
      <c r="E88" s="1451" t="s">
        <v>1116</v>
      </c>
      <c r="F88" s="1457" t="str">
        <f>"Source Energy Use 
("  &amp; PO_SourceUnits &amp; ")"</f>
        <v>Source Energy Use 
(Btu x 10^6)</v>
      </c>
      <c r="G88" s="1456" t="s">
        <v>446</v>
      </c>
      <c r="H88" s="1451" t="s">
        <v>1116</v>
      </c>
      <c r="I88" s="1457" t="str">
        <f>"Source Energy Use 
("  &amp; PO_SourceUnits &amp; ")"</f>
        <v>Source Energy Use 
(Btu x 10^6)</v>
      </c>
      <c r="J88" s="1456" t="s">
        <v>446</v>
      </c>
      <c r="K88" s="3195" t="s">
        <v>447</v>
      </c>
      <c r="L88" s="3196"/>
      <c r="M88" s="1451" t="s">
        <v>446</v>
      </c>
      <c r="N88" s="1448"/>
      <c r="O88" s="1448"/>
      <c r="P88" s="1448"/>
      <c r="S88" s="564"/>
      <c r="T88" s="564"/>
      <c r="AD88" s="596"/>
      <c r="AE88" s="596"/>
      <c r="AF88" s="16"/>
      <c r="AG88" s="596"/>
      <c r="AH88" s="596"/>
      <c r="AI88" s="596"/>
      <c r="AJ88" s="596"/>
      <c r="AK88" s="596"/>
      <c r="AL88" s="596"/>
      <c r="AM88" s="596"/>
      <c r="AN88" s="596"/>
      <c r="AO88" s="596"/>
    </row>
    <row r="89" spans="1:55" s="1288" customFormat="1" ht="21.75" hidden="1" customHeight="1" x14ac:dyDescent="0.25">
      <c r="A89" s="1271" t="s">
        <v>1298</v>
      </c>
      <c r="B89" s="1379" t="s">
        <v>1765</v>
      </c>
      <c r="C89" s="1379" t="s">
        <v>1793</v>
      </c>
      <c r="D89" s="1379"/>
      <c r="E89" s="1307" t="s">
        <v>1821</v>
      </c>
      <c r="F89" s="1379" t="s">
        <v>1822</v>
      </c>
      <c r="G89" s="1379" t="s">
        <v>1823</v>
      </c>
      <c r="H89" s="1307" t="s">
        <v>1806</v>
      </c>
      <c r="I89" s="1379" t="s">
        <v>1807</v>
      </c>
      <c r="J89" s="1379" t="s">
        <v>1808</v>
      </c>
      <c r="K89" s="1307" t="s">
        <v>1809</v>
      </c>
      <c r="L89" s="1379"/>
      <c r="M89" s="1307" t="s">
        <v>1810</v>
      </c>
      <c r="N89" s="1285"/>
      <c r="O89" s="1286"/>
      <c r="P89" s="1286"/>
      <c r="Q89" s="1550" t="s">
        <v>1776</v>
      </c>
      <c r="R89" s="1550" t="s">
        <v>1777</v>
      </c>
      <c r="S89" s="1287"/>
      <c r="T89" s="1287"/>
      <c r="AD89" s="1289"/>
      <c r="AE89" s="1289"/>
      <c r="AF89" s="1289"/>
      <c r="AG89" s="1289"/>
      <c r="AH89" s="1289"/>
      <c r="AI89" s="1289"/>
      <c r="AJ89" s="1289"/>
      <c r="AK89" s="1289"/>
      <c r="AL89" s="1289"/>
      <c r="AM89" s="1289"/>
      <c r="AN89" s="1289"/>
      <c r="AO89" s="1289"/>
    </row>
    <row r="90" spans="1:55" ht="15" hidden="1" customHeight="1" x14ac:dyDescent="0.25">
      <c r="A90" s="1271" t="s">
        <v>1298</v>
      </c>
      <c r="B90" s="1444" t="str">
        <f>IFERROR(IF(ISBLANK(B10),"",B10),"")</f>
        <v>Electricity</v>
      </c>
      <c r="C90" s="3142" t="str">
        <f>IFERROR(IF(ISBLANK($B90),"",VLOOKUP($B90,PO_Enrgy_1_Table,MATCH($C$9,PO_Enrgy_1_Hdr,0),FALSE) ),"")</f>
        <v>kWh</v>
      </c>
      <c r="D90" s="3143" t="e">
        <f>IF(C90="","",VLOOKUP(C90,ProjectEnergyTypeTable,3,FALSE))</f>
        <v>#NAME?</v>
      </c>
      <c r="E90" s="1384">
        <v>399626</v>
      </c>
      <c r="F90" s="1384">
        <v>4281.4650836800001</v>
      </c>
      <c r="G90" s="1387">
        <v>30841</v>
      </c>
      <c r="H90" s="1384">
        <v>361804</v>
      </c>
      <c r="I90" s="1384">
        <v>3876.2522787200005</v>
      </c>
      <c r="J90" s="1387">
        <v>27859</v>
      </c>
      <c r="K90" s="3163">
        <f>IFERROR(1-H90/E90,"")</f>
        <v>9.4643491664706536E-2</v>
      </c>
      <c r="L90" s="3164"/>
      <c r="M90" s="1445">
        <f>IFERROR(1-J90/G90,"")</f>
        <v>9.6689471807010152E-2</v>
      </c>
      <c r="N90" s="650"/>
      <c r="O90" s="650"/>
      <c r="P90" s="650"/>
      <c r="Q90" s="1549">
        <f>IFERROR(IF(ISBLANK($B90),"",VLOOKUP($B90,PO_Enrgy_1_Table,MATCH($K$9,PO_Enrgy_1_Hdr,0),FALSE)),"")</f>
        <v>3.4120000000000001E-3</v>
      </c>
      <c r="R90" s="1549">
        <f>IFERROR(IF(ISBLANK($B90),"",VLOOKUP($B90,PO_Enrgy_1_Table,MATCH($M$9,PO_Enrgy_1_Hdr,0),FALSE)),"")</f>
        <v>1.0713680000000001E-2</v>
      </c>
      <c r="S90" s="564"/>
      <c r="T90" s="564"/>
      <c r="AD90" s="1291"/>
      <c r="AE90" s="1291"/>
      <c r="AF90" s="16"/>
      <c r="AG90" s="596"/>
      <c r="AH90" s="1298"/>
      <c r="AI90" s="1298"/>
      <c r="AJ90" s="1299"/>
      <c r="AK90" s="1299"/>
      <c r="AL90" s="596"/>
      <c r="AM90" s="1300"/>
      <c r="AN90" s="596"/>
      <c r="AO90" s="596"/>
      <c r="AP90" s="669"/>
      <c r="AQ90" s="669"/>
      <c r="BC90" s="2292"/>
    </row>
    <row r="91" spans="1:55" ht="15" hidden="1" customHeight="1" x14ac:dyDescent="0.25">
      <c r="A91" s="1271" t="s">
        <v>1298</v>
      </c>
      <c r="B91" s="1444" t="str">
        <f>IFERROR(IF(ISBLANK(B11),"",B11),"")</f>
        <v>District Steam</v>
      </c>
      <c r="C91" s="3142" t="str">
        <f>IFERROR(IF(ISBLANK($B91),"",VLOOKUP($B91,PO_Enrgy_1_Table,MATCH($C$9,PO_Enrgy_1_Hdr,0),FALSE) ),"")</f>
        <v>therm</v>
      </c>
      <c r="D91" s="3143" t="e">
        <f>IF(C91="","",VLOOKUP(C91,ProjectEnergyTypeTable,3,FALSE))</f>
        <v>#NAME?</v>
      </c>
      <c r="E91" s="1384">
        <v>1579</v>
      </c>
      <c r="F91" s="1384">
        <v>189.48</v>
      </c>
      <c r="G91" s="1387">
        <v>1381</v>
      </c>
      <c r="H91" s="1384">
        <v>1016</v>
      </c>
      <c r="I91" s="1384">
        <v>121.92</v>
      </c>
      <c r="J91" s="1387">
        <v>929</v>
      </c>
      <c r="K91" s="3163">
        <f>IFERROR(1-H91/E91,"")</f>
        <v>0.35655478150728304</v>
      </c>
      <c r="L91" s="3164"/>
      <c r="M91" s="1445">
        <f>IFERROR(1-J91/G91,"")</f>
        <v>0.3272990586531499</v>
      </c>
      <c r="N91" s="650"/>
      <c r="O91" s="650"/>
      <c r="P91" s="650"/>
      <c r="Q91" s="1549">
        <f>IFERROR(IF(ISBLANK($B91),"",VLOOKUP($B91,PO_Enrgy_1_Table,MATCH($K$9,PO_Enrgy_1_Hdr,0),FALSE)),"")</f>
        <v>0.1</v>
      </c>
      <c r="R91" s="1549">
        <f>IFERROR(IF(ISBLANK($B91),"",VLOOKUP($B91,PO_Enrgy_1_Table,MATCH($M$9,PO_Enrgy_1_Hdr,0),FALSE)),"")</f>
        <v>0.12</v>
      </c>
      <c r="S91" s="564"/>
      <c r="T91" s="564"/>
      <c r="AD91" s="1291"/>
      <c r="AE91" s="1291"/>
      <c r="AF91" s="16"/>
      <c r="AG91" s="596"/>
      <c r="AH91" s="1298"/>
      <c r="AI91" s="1298"/>
      <c r="AJ91" s="1299"/>
      <c r="AK91" s="1299"/>
      <c r="AL91" s="596"/>
      <c r="AM91" s="1300"/>
      <c r="AN91" s="596"/>
      <c r="AO91" s="596"/>
      <c r="AP91" s="669"/>
      <c r="AQ91" s="669"/>
      <c r="BC91" s="2292"/>
    </row>
    <row r="92" spans="1:55" ht="15" hidden="1" customHeight="1" x14ac:dyDescent="0.25">
      <c r="A92" s="1271" t="s">
        <v>1298</v>
      </c>
      <c r="B92" s="2160" t="str">
        <f>IFERROR(IF(ISBLANK(B12),"",B12),"")</f>
        <v>District Cooling</v>
      </c>
      <c r="C92" s="3142" t="str">
        <f>IFERROR(IF(ISBLANK($B92),"",VLOOKUP($B92,PO_Enrgy_1_Table,MATCH($C$9,PO_Enrgy_1_Hdr,0),FALSE) ),"")</f>
        <v>therm</v>
      </c>
      <c r="D92" s="3143" t="e">
        <f>IF(C92="","",VLOOKUP(C92,ProjectEnergyTypeTable,3,FALSE))</f>
        <v>#NAME?</v>
      </c>
      <c r="E92" s="1384">
        <v>30143</v>
      </c>
      <c r="F92" s="1384">
        <v>3014.3</v>
      </c>
      <c r="G92" s="1387">
        <v>26920</v>
      </c>
      <c r="H92" s="1384">
        <v>27282</v>
      </c>
      <c r="I92" s="1384">
        <v>2728.2000000000003</v>
      </c>
      <c r="J92" s="1387">
        <v>24213</v>
      </c>
      <c r="K92" s="3163">
        <f>IFERROR(1-H92/E92,"")</f>
        <v>9.4914242112596581E-2</v>
      </c>
      <c r="L92" s="3164"/>
      <c r="M92" s="2150">
        <f>IFERROR(1-J92/G92,"")</f>
        <v>0.10055720653789002</v>
      </c>
      <c r="N92" s="650"/>
      <c r="O92" s="650"/>
      <c r="P92" s="650"/>
      <c r="Q92" s="1549">
        <f>IFERROR(IF(ISBLANK($B92),"",VLOOKUP($B92,PO_Enrgy_1_Table,MATCH($K$9,PO_Enrgy_1_Hdr,0),FALSE)),"")</f>
        <v>0.1</v>
      </c>
      <c r="R92" s="1549">
        <f>IFERROR(IF(ISBLANK($B92),"",VLOOKUP($B92,PO_Enrgy_1_Table,MATCH($M$9,PO_Enrgy_1_Hdr,0),FALSE)),"")</f>
        <v>0.1</v>
      </c>
      <c r="S92" s="564"/>
      <c r="T92" s="564"/>
      <c r="AD92" s="1291"/>
      <c r="AE92" s="1291"/>
      <c r="AF92" s="16"/>
      <c r="AG92" s="596"/>
      <c r="AH92" s="1298"/>
      <c r="AI92" s="1298"/>
      <c r="AJ92" s="1299"/>
      <c r="AK92" s="1299"/>
      <c r="AL92" s="596"/>
      <c r="AM92" s="1300"/>
      <c r="AN92" s="596"/>
      <c r="AO92" s="596"/>
      <c r="AP92" s="669"/>
      <c r="AQ92" s="669"/>
      <c r="BC92" s="2292"/>
    </row>
    <row r="93" spans="1:55" s="594" customFormat="1" ht="21" hidden="1" customHeight="1" x14ac:dyDescent="0.25">
      <c r="A93" s="1271" t="s">
        <v>1298</v>
      </c>
      <c r="B93" s="3120" t="str">
        <f>"Energy model subtotal (" &amp; PO_SiteUnits &amp; ")"</f>
        <v>Energy model subtotal (Btu x 10^6)</v>
      </c>
      <c r="C93" s="3120"/>
      <c r="D93" s="3120"/>
      <c r="E93" s="1384">
        <f>IFERROR(SUMPRODUCT(INDEX(PO_Enrgy_9_Table,0,MATCH(E$89,PO_Enrgy_9_Hdr,0)),INDEX(PO_Enrgy_9_Table,0,MATCH($Q$89,PO_Enrgy_9_Hdr,0))),"")</f>
        <v>4535.7239120000004</v>
      </c>
      <c r="F93" s="1384">
        <f>IFERROR(SUM(INDEX(PO_Enrgy_9_Table,0,MATCH(F$89,PO_Enrgy_9_Hdr,0))),"")</f>
        <v>7485.2450836799999</v>
      </c>
      <c r="G93" s="1387">
        <f>IFERROR(SUM(INDEX(PO_Enrgy_9_Table,0,MATCH(G$89,PO_Enrgy_9_Hdr,0))),"")</f>
        <v>59142</v>
      </c>
      <c r="H93" s="1384">
        <f>IFERROR(SUMPRODUCT(INDEX(PO_Enrgy_9_Table,0,MATCH(H$89,PO_Enrgy_9_Hdr,0)),INDEX(PO_Enrgy_9_Table,0,MATCH($Q$89,PO_Enrgy_9_Hdr,0))),"")</f>
        <v>4064.2752479999999</v>
      </c>
      <c r="I93" s="1384">
        <f>IFERROR(SUM(INDEX(PO_Enrgy_9_Table,0,MATCH(I$89,PO_Enrgy_9_Hdr,0))),"")</f>
        <v>6726.3722787200004</v>
      </c>
      <c r="J93" s="1387">
        <f>IFERROR(SUM(INDEX(PO_Enrgy_9_Table,0,MATCH(J$89,PO_Enrgy_9_Hdr,0))),"")</f>
        <v>53001</v>
      </c>
      <c r="K93" s="3163">
        <f>IFERROR(1-H93/E93,"")</f>
        <v>0.10394121713464655</v>
      </c>
      <c r="L93" s="3164"/>
      <c r="M93" s="1445">
        <f>IFERROR(1-J93/G93,"")</f>
        <v>0.10383483818606065</v>
      </c>
      <c r="N93" s="650"/>
      <c r="O93" s="650"/>
      <c r="P93" s="650"/>
      <c r="AD93" s="596"/>
      <c r="AE93" s="596"/>
      <c r="AF93" s="16"/>
      <c r="AG93" s="596"/>
      <c r="AH93" s="1293"/>
      <c r="AI93" s="1294"/>
      <c r="AJ93" s="596"/>
      <c r="AK93" s="596"/>
      <c r="AL93" s="596"/>
      <c r="AM93" s="596"/>
      <c r="AN93" s="596"/>
      <c r="AO93" s="596"/>
      <c r="BC93" s="2292"/>
    </row>
    <row r="94" spans="1:55" s="594" customFormat="1" ht="21.75" customHeight="1" x14ac:dyDescent="0.25">
      <c r="A94" s="1271" t="s">
        <v>1298</v>
      </c>
      <c r="B94" s="3404"/>
      <c r="C94" s="3404"/>
      <c r="D94" s="3404"/>
      <c r="E94" s="3404"/>
      <c r="F94" s="3404"/>
      <c r="G94" s="3404"/>
      <c r="H94" s="3404"/>
      <c r="I94" s="3404"/>
      <c r="J94" s="3404"/>
      <c r="K94" s="3404"/>
      <c r="L94" s="3404"/>
      <c r="M94" s="822"/>
      <c r="N94" s="650"/>
      <c r="O94" s="650"/>
      <c r="P94" s="650"/>
      <c r="AL94" s="622"/>
      <c r="AM94" s="623"/>
    </row>
    <row r="95" spans="1:55" s="650" customFormat="1" ht="21.75" hidden="1" customHeight="1" x14ac:dyDescent="0.25">
      <c r="A95" s="1271" t="s">
        <v>1298</v>
      </c>
      <c r="B95" s="1452" t="s">
        <v>1852</v>
      </c>
      <c r="AL95" s="645"/>
      <c r="AM95" s="646"/>
    </row>
    <row r="96" spans="1:55" ht="32.25" hidden="1" customHeight="1" x14ac:dyDescent="0.25">
      <c r="A96" s="1271" t="s">
        <v>1298</v>
      </c>
      <c r="B96" s="3405" t="s">
        <v>444</v>
      </c>
      <c r="C96" s="3407" t="s">
        <v>1805</v>
      </c>
      <c r="D96" s="3408"/>
      <c r="E96" s="3411" t="s">
        <v>1306</v>
      </c>
      <c r="F96" s="3412"/>
      <c r="G96" s="3413"/>
      <c r="H96" s="3414" t="s">
        <v>454</v>
      </c>
      <c r="I96" s="3415"/>
      <c r="J96" s="3416"/>
      <c r="K96" s="3414" t="s">
        <v>448</v>
      </c>
      <c r="L96" s="3415"/>
      <c r="M96" s="3417"/>
      <c r="N96" s="3400"/>
      <c r="O96" s="3168"/>
      <c r="P96" s="3168"/>
      <c r="S96" s="564"/>
      <c r="T96" s="564"/>
      <c r="AJ96" s="596"/>
      <c r="AL96" s="619"/>
      <c r="AM96" s="620"/>
    </row>
    <row r="97" spans="1:55" ht="48" hidden="1" customHeight="1" x14ac:dyDescent="0.25">
      <c r="A97" s="1271" t="s">
        <v>1298</v>
      </c>
      <c r="B97" s="3406"/>
      <c r="C97" s="3409"/>
      <c r="D97" s="3410"/>
      <c r="E97" s="1451" t="s">
        <v>1116</v>
      </c>
      <c r="F97" s="1457" t="str">
        <f>"Source Energy Use ("  &amp; PO_SourceUnits &amp; ")"</f>
        <v>Source Energy Use (Btu x 10^6)</v>
      </c>
      <c r="G97" s="1451" t="s">
        <v>446</v>
      </c>
      <c r="H97" s="1451" t="s">
        <v>1116</v>
      </c>
      <c r="I97" s="1457" t="str">
        <f>"Source Energy Use ("  &amp; PO_SourceUnits &amp; ")"</f>
        <v>Source Energy Use (Btu x 10^6)</v>
      </c>
      <c r="J97" s="1451" t="s">
        <v>446</v>
      </c>
      <c r="K97" s="3401" t="s">
        <v>447</v>
      </c>
      <c r="L97" s="3402"/>
      <c r="M97" s="1408" t="s">
        <v>446</v>
      </c>
      <c r="N97" s="1448"/>
      <c r="O97" s="1448"/>
      <c r="P97" s="1448"/>
      <c r="S97" s="564"/>
      <c r="T97" s="564"/>
      <c r="AJ97" s="596"/>
    </row>
    <row r="98" spans="1:55" s="1287" customFormat="1" ht="15" hidden="1" x14ac:dyDescent="0.25">
      <c r="A98" s="1271" t="s">
        <v>1298</v>
      </c>
      <c r="B98" s="1313" t="s">
        <v>1765</v>
      </c>
      <c r="C98" s="1305" t="s">
        <v>1793</v>
      </c>
      <c r="D98" s="1314"/>
      <c r="E98" s="1315" t="s">
        <v>1821</v>
      </c>
      <c r="F98" s="1316" t="s">
        <v>1822</v>
      </c>
      <c r="G98" s="1317" t="s">
        <v>1823</v>
      </c>
      <c r="H98" s="1315" t="s">
        <v>1806</v>
      </c>
      <c r="I98" s="1316" t="s">
        <v>1807</v>
      </c>
      <c r="J98" s="1317" t="s">
        <v>1808</v>
      </c>
      <c r="K98" s="1317" t="s">
        <v>1824</v>
      </c>
      <c r="L98" s="1305"/>
      <c r="M98" s="1318" t="s">
        <v>1810</v>
      </c>
      <c r="N98" s="1309"/>
      <c r="O98" s="1309"/>
      <c r="P98" s="1309"/>
      <c r="Q98" s="1249" t="s">
        <v>1776</v>
      </c>
      <c r="R98" s="1249" t="s">
        <v>1777</v>
      </c>
      <c r="AJ98" s="1289"/>
    </row>
    <row r="99" spans="1:55" ht="15" hidden="1" customHeight="1" x14ac:dyDescent="0.25">
      <c r="A99" s="1271" t="s">
        <v>1298</v>
      </c>
      <c r="B99" s="1429" t="str">
        <f>IFERROR(IF(ISBLANK(B10),"",B10),"")</f>
        <v>Electricity</v>
      </c>
      <c r="C99" s="3144" t="str">
        <f>IFERROR(IF(ISBLANK($B99),"",VLOOKUP($B99,PO_Enrgy_1_Table,MATCH($C$9,PO_Enrgy_1_Hdr,0),FALSE) ),"")</f>
        <v>kWh</v>
      </c>
      <c r="D99" s="3403"/>
      <c r="E99" s="1430">
        <v>399626</v>
      </c>
      <c r="F99" s="1430">
        <v>4281.4650836800001</v>
      </c>
      <c r="G99" s="1387">
        <v>30841</v>
      </c>
      <c r="H99" s="1430">
        <v>361804</v>
      </c>
      <c r="I99" s="1430">
        <v>3876.2522787200005</v>
      </c>
      <c r="J99" s="1387">
        <v>27859</v>
      </c>
      <c r="K99" s="3374">
        <f>IFERROR(1-H99/E99,"")</f>
        <v>9.4643491664706536E-2</v>
      </c>
      <c r="L99" s="3375"/>
      <c r="M99" s="1431">
        <f>IFERROR(1-J99/G99,"")</f>
        <v>9.6689471807010152E-2</v>
      </c>
      <c r="N99" s="650"/>
      <c r="O99" s="650"/>
      <c r="P99" s="650"/>
      <c r="Q99" s="1250">
        <f>IFERROR(IF(ISBLANK($B99),"",VLOOKUP($B99,PO_Enrgy_1_Table,MATCH($K$9,PO_Enrgy_1_Hdr,0),FALSE)),"")</f>
        <v>3.4120000000000001E-3</v>
      </c>
      <c r="R99" s="1250">
        <f>IFERROR(IF(ISBLANK($B99),"",VLOOKUP($B99,PO_Enrgy_1_Table,MATCH($M$9,PO_Enrgy_1_Hdr,0),FALSE)),"")</f>
        <v>1.0713680000000001E-2</v>
      </c>
      <c r="S99" s="564"/>
      <c r="T99" s="564"/>
      <c r="AH99" s="615"/>
      <c r="AI99" s="615"/>
      <c r="AJ99" s="596"/>
      <c r="AL99" s="619"/>
      <c r="AM99" s="620"/>
      <c r="AN99" s="621"/>
      <c r="BC99" s="2292"/>
    </row>
    <row r="100" spans="1:55" ht="15" hidden="1" customHeight="1" x14ac:dyDescent="0.25">
      <c r="A100" s="1271" t="s">
        <v>1298</v>
      </c>
      <c r="B100" s="1429" t="str">
        <f>IFERROR(IF(ISBLANK(B11),"",B11),"")</f>
        <v>District Steam</v>
      </c>
      <c r="C100" s="3144" t="str">
        <f>IFERROR(IF(ISBLANK($B100),"",VLOOKUP($B100,PO_Enrgy_1_Table,MATCH($C$9,PO_Enrgy_1_Hdr,0),FALSE) ),"")</f>
        <v>therm</v>
      </c>
      <c r="D100" s="3145" t="e">
        <f>IF(C100="","",VLOOKUP(C100,ProjectEnergyTypeTable,3,FALSE))</f>
        <v>#NAME?</v>
      </c>
      <c r="E100" s="1430">
        <v>1579</v>
      </c>
      <c r="F100" s="1430">
        <v>189.48</v>
      </c>
      <c r="G100" s="1387">
        <v>1381</v>
      </c>
      <c r="H100" s="1430">
        <v>1016</v>
      </c>
      <c r="I100" s="1430">
        <v>121.92</v>
      </c>
      <c r="J100" s="1387">
        <v>929</v>
      </c>
      <c r="K100" s="3374">
        <f>IFERROR(1-H100/E100,"")</f>
        <v>0.35655478150728304</v>
      </c>
      <c r="L100" s="3375"/>
      <c r="M100" s="1431">
        <f>IFERROR(1-J100/G100,"")</f>
        <v>0.3272990586531499</v>
      </c>
      <c r="N100" s="650"/>
      <c r="O100" s="650"/>
      <c r="P100" s="650"/>
      <c r="Q100" s="1250">
        <f>IFERROR(IF(ISBLANK($B100),"",VLOOKUP($B100,PO_Enrgy_1_Table,MATCH($K$9,PO_Enrgy_1_Hdr,0),FALSE)),"")</f>
        <v>0.1</v>
      </c>
      <c r="R100" s="1250">
        <f>IFERROR(IF(ISBLANK($B100),"",VLOOKUP($B100,PO_Enrgy_1_Table,MATCH($M$9,PO_Enrgy_1_Hdr,0),FALSE)),"")</f>
        <v>0.12</v>
      </c>
      <c r="S100" s="564"/>
      <c r="T100" s="564"/>
      <c r="AH100" s="615"/>
      <c r="AI100" s="615"/>
      <c r="AJ100" s="596"/>
      <c r="AL100" s="619"/>
      <c r="AM100" s="620"/>
      <c r="AN100" s="621"/>
      <c r="BC100" s="2292"/>
    </row>
    <row r="101" spans="1:55" ht="15" hidden="1" customHeight="1" x14ac:dyDescent="0.25">
      <c r="A101" s="1271" t="s">
        <v>1298</v>
      </c>
      <c r="B101" s="1429" t="str">
        <f>IFERROR(IF(ISBLANK(B12),"",B12),"")</f>
        <v>District Cooling</v>
      </c>
      <c r="C101" s="3144" t="str">
        <f>IFERROR(IF(ISBLANK($B101),"",VLOOKUP($B101,PO_Enrgy_1_Table,MATCH($C$9,PO_Enrgy_1_Hdr,0),FALSE) ),"")</f>
        <v>therm</v>
      </c>
      <c r="D101" s="3145" t="e">
        <f>IF(C101="","",VLOOKUP(C101,ProjectEnergyTypeTable,3,FALSE))</f>
        <v>#NAME?</v>
      </c>
      <c r="E101" s="1430">
        <v>30143</v>
      </c>
      <c r="F101" s="1430">
        <v>3014.3</v>
      </c>
      <c r="G101" s="1387">
        <v>26920</v>
      </c>
      <c r="H101" s="1430">
        <v>27282</v>
      </c>
      <c r="I101" s="1430">
        <v>2728.2000000000003</v>
      </c>
      <c r="J101" s="1387">
        <v>24213</v>
      </c>
      <c r="K101" s="3374">
        <f>IFERROR(1-H101/E101,"")</f>
        <v>9.4914242112596581E-2</v>
      </c>
      <c r="L101" s="3375"/>
      <c r="M101" s="1431">
        <f>IFERROR(1-J101/G101,"")</f>
        <v>0.10055720653789002</v>
      </c>
      <c r="N101" s="650"/>
      <c r="O101" s="650"/>
      <c r="P101" s="650"/>
      <c r="Q101" s="1250">
        <f>IFERROR(IF(ISBLANK($B101),"",VLOOKUP($B101,PO_Enrgy_1_Table,MATCH($K$9,PO_Enrgy_1_Hdr,0),FALSE)),"")</f>
        <v>0.1</v>
      </c>
      <c r="R101" s="1250">
        <f>IFERROR(IF(ISBLANK($B101),"",VLOOKUP($B101,PO_Enrgy_1_Table,MATCH($M$9,PO_Enrgy_1_Hdr,0),FALSE)),"")</f>
        <v>0.1</v>
      </c>
      <c r="S101" s="564"/>
      <c r="T101" s="564"/>
      <c r="AH101" s="615"/>
      <c r="AI101" s="615"/>
      <c r="AJ101" s="596"/>
      <c r="AL101" s="619"/>
      <c r="AM101" s="620"/>
      <c r="AN101" s="621"/>
      <c r="BC101" s="2292"/>
    </row>
    <row r="102" spans="1:55" s="594" customFormat="1" ht="21" hidden="1" customHeight="1" x14ac:dyDescent="0.25">
      <c r="A102" s="1271" t="s">
        <v>1298</v>
      </c>
      <c r="B102" s="3421" t="str">
        <f>"Energy Model Subtotal (" &amp; PO_SiteUnits &amp; ")"</f>
        <v>Energy Model Subtotal (Btu x 10^6)</v>
      </c>
      <c r="C102" s="3422"/>
      <c r="D102" s="3423"/>
      <c r="E102" s="1409">
        <f>IFERROR(SUMPRODUCT(INDEX(PO_Enrgy_13_Table,0,MATCH(E$98,PO_Enrgy_13_Hdr,0)),INDEX(PO_Enrgy_13_Table,0,MATCH($Q$98,PO_Enrgy_13_Hdr,0))),"")</f>
        <v>4535.7239120000004</v>
      </c>
      <c r="F102" s="1410">
        <f>IFERROR(SUM(INDEX(PO_Enrgy_13_Table,0,MATCH(F$98,PO_Enrgy_13_Hdr,0))),"")</f>
        <v>7485.2450836799999</v>
      </c>
      <c r="G102" s="1411">
        <f>IFERROR(SUM(INDEX(PO_Enrgy_13_Table,0,MATCH(G$98,PO_Enrgy_13_Hdr,0))),"")</f>
        <v>59142</v>
      </c>
      <c r="H102" s="1409">
        <f>IFERROR(SUMPRODUCT(INDEX(PO_Enrgy_13_Table,0,MATCH(H$98,PO_Enrgy_13_Hdr,0)),INDEX(PO_Enrgy_13_Table,0,MATCH($Q$98,PO_Enrgy_13_Hdr,0))),"")</f>
        <v>4064.2752479999999</v>
      </c>
      <c r="I102" s="1410">
        <f>IFERROR(SUM(INDEX(PO_Enrgy_13_Table,0,MATCH(I$98,PO_Enrgy_13_Hdr,0))),"")</f>
        <v>6726.3722787200004</v>
      </c>
      <c r="J102" s="1411">
        <f>IFERROR(SUM(INDEX(PO_Enrgy_13_Table,0,MATCH(J$98,PO_Enrgy_13_Hdr,0))),"")</f>
        <v>53001</v>
      </c>
      <c r="K102" s="3424">
        <f>IFERROR(1-H102/E102,"")</f>
        <v>0.10394121713464655</v>
      </c>
      <c r="L102" s="3425"/>
      <c r="M102" s="1412">
        <f>IFERROR(1-J102/G102,"")</f>
        <v>0.10383483818606065</v>
      </c>
      <c r="N102" s="650"/>
      <c r="O102" s="650"/>
      <c r="P102" s="650"/>
      <c r="AJ102" s="596"/>
      <c r="AL102" s="619"/>
      <c r="AM102" s="620"/>
      <c r="BC102" s="2292"/>
    </row>
    <row r="103" spans="1:55" s="594" customFormat="1" ht="30" customHeight="1" x14ac:dyDescent="0.25">
      <c r="A103" s="1271" t="s">
        <v>1298</v>
      </c>
      <c r="B103" s="3426"/>
      <c r="C103" s="3426"/>
      <c r="D103" s="3426"/>
      <c r="E103" s="3426"/>
      <c r="F103" s="3426"/>
      <c r="G103" s="3426"/>
      <c r="H103" s="3426"/>
      <c r="I103" s="3426"/>
      <c r="J103" s="3426"/>
      <c r="K103" s="3426"/>
      <c r="L103" s="3426"/>
      <c r="M103" s="822"/>
      <c r="N103" s="650"/>
      <c r="O103" s="650"/>
      <c r="P103" s="650"/>
      <c r="AL103" s="622"/>
      <c r="AM103" s="623"/>
    </row>
    <row r="104" spans="1:55" ht="18" customHeight="1" x14ac:dyDescent="0.25">
      <c r="A104" s="1271" t="s">
        <v>1298</v>
      </c>
      <c r="B104" s="3183" t="s">
        <v>1281</v>
      </c>
      <c r="C104" s="3162"/>
      <c r="D104" s="3162"/>
      <c r="E104" s="3162"/>
      <c r="F104" s="3162"/>
      <c r="G104" s="3184"/>
      <c r="H104" s="3184"/>
      <c r="I104" s="3184"/>
      <c r="J104" s="3184"/>
      <c r="K104" s="3185">
        <f>$M$102</f>
        <v>0.10383483818606065</v>
      </c>
      <c r="L104" s="3186"/>
      <c r="M104" s="3187"/>
      <c r="N104" s="650"/>
      <c r="O104" s="650"/>
      <c r="P104" s="650"/>
      <c r="AJ104" s="596"/>
      <c r="BC104" s="2292"/>
    </row>
    <row r="105" spans="1:55" s="594" customFormat="1" ht="33" customHeight="1" x14ac:dyDescent="0.25">
      <c r="A105" s="1271" t="s">
        <v>1298</v>
      </c>
      <c r="B105" s="1449"/>
      <c r="C105" s="1449"/>
      <c r="D105" s="1449"/>
      <c r="E105" s="602"/>
      <c r="F105" s="602"/>
      <c r="G105" s="651"/>
      <c r="H105" s="602"/>
      <c r="I105" s="602"/>
      <c r="J105" s="651"/>
      <c r="K105" s="822"/>
      <c r="L105" s="822"/>
      <c r="M105" s="822"/>
      <c r="N105" s="650"/>
      <c r="O105" s="650"/>
      <c r="P105" s="650"/>
      <c r="AL105" s="622"/>
      <c r="AM105" s="623"/>
    </row>
    <row r="106" spans="1:55" s="650" customFormat="1" ht="21.75" hidden="1" customHeight="1" x14ac:dyDescent="0.25">
      <c r="A106" s="1271" t="s">
        <v>1298</v>
      </c>
      <c r="B106" s="1452" t="s">
        <v>1271</v>
      </c>
      <c r="AL106" s="645"/>
      <c r="AM106" s="646"/>
    </row>
    <row r="107" spans="1:55" ht="42" hidden="1" customHeight="1" x14ac:dyDescent="0.25">
      <c r="A107" s="1271" t="s">
        <v>1298</v>
      </c>
      <c r="B107" s="3124" t="s">
        <v>444</v>
      </c>
      <c r="C107" s="3165" t="s">
        <v>1805</v>
      </c>
      <c r="D107" s="3125"/>
      <c r="E107" s="3188" t="s">
        <v>452</v>
      </c>
      <c r="F107" s="3188"/>
      <c r="G107" s="3188"/>
      <c r="H107" s="3123" t="s">
        <v>1172</v>
      </c>
      <c r="I107" s="3124"/>
      <c r="J107" s="3124"/>
      <c r="K107" s="3124" t="s">
        <v>451</v>
      </c>
      <c r="L107" s="3124"/>
      <c r="M107" s="3125"/>
      <c r="N107" s="3168"/>
      <c r="O107" s="3168"/>
      <c r="P107" s="3168"/>
      <c r="S107" s="564"/>
      <c r="T107" s="564"/>
      <c r="AJ107" s="596"/>
      <c r="AL107" s="619"/>
      <c r="AM107" s="620"/>
      <c r="AR107" s="1161"/>
      <c r="AS107" s="1162"/>
      <c r="AT107" s="1162"/>
      <c r="AU107" s="1162"/>
      <c r="AV107" s="625"/>
    </row>
    <row r="108" spans="1:55" ht="56.25" hidden="1" customHeight="1" x14ac:dyDescent="0.25">
      <c r="A108" s="1271" t="s">
        <v>1298</v>
      </c>
      <c r="B108" s="3125"/>
      <c r="C108" s="3125"/>
      <c r="D108" s="3125"/>
      <c r="E108" s="1453" t="s">
        <v>450</v>
      </c>
      <c r="F108" s="1454" t="str">
        <f>"Source Energy Use Savings 
("  &amp; PO_SourceUnits &amp; ")"</f>
        <v>Source Energy Use Savings 
(Btu x 10^6)</v>
      </c>
      <c r="G108" s="1453" t="s">
        <v>449</v>
      </c>
      <c r="H108" s="1453" t="s">
        <v>1116</v>
      </c>
      <c r="I108" s="1454" t="str">
        <f>"Source Energy Use 
("  &amp; PO_SourceUnits &amp; ")"</f>
        <v>Source Energy Use 
(Btu x 10^6)</v>
      </c>
      <c r="J108" s="1453" t="s">
        <v>446</v>
      </c>
      <c r="K108" s="3123" t="s">
        <v>447</v>
      </c>
      <c r="L108" s="3125"/>
      <c r="M108" s="1453" t="s">
        <v>446</v>
      </c>
      <c r="N108" s="1462"/>
      <c r="O108" s="1462"/>
      <c r="P108" s="1462"/>
      <c r="S108" s="564"/>
      <c r="T108" s="564"/>
      <c r="AJ108" s="596"/>
      <c r="AL108" s="619"/>
      <c r="AM108" s="620"/>
      <c r="AR108" s="1162"/>
      <c r="AS108" s="638"/>
      <c r="AT108" s="638"/>
      <c r="AU108" s="638"/>
    </row>
    <row r="109" spans="1:55" s="1287" customFormat="1" ht="15" hidden="1" x14ac:dyDescent="0.25">
      <c r="A109" s="1271" t="s">
        <v>1298</v>
      </c>
      <c r="B109" s="1314" t="s">
        <v>1765</v>
      </c>
      <c r="C109" s="1305" t="s">
        <v>1793</v>
      </c>
      <c r="D109" s="1314"/>
      <c r="E109" s="1315" t="s">
        <v>1825</v>
      </c>
      <c r="F109" s="1316" t="s">
        <v>1826</v>
      </c>
      <c r="G109" s="1317" t="s">
        <v>1827</v>
      </c>
      <c r="H109" s="1315" t="s">
        <v>1806</v>
      </c>
      <c r="I109" s="1316" t="s">
        <v>1807</v>
      </c>
      <c r="J109" s="1317" t="s">
        <v>1808</v>
      </c>
      <c r="K109" s="1317" t="s">
        <v>1824</v>
      </c>
      <c r="L109" s="1305"/>
      <c r="M109" s="1317" t="s">
        <v>1810</v>
      </c>
      <c r="N109" s="1309"/>
      <c r="O109" s="1309"/>
      <c r="P109" s="1309"/>
      <c r="Q109" s="1550" t="s">
        <v>1776</v>
      </c>
      <c r="R109" s="1550" t="s">
        <v>1777</v>
      </c>
      <c r="AJ109" s="1289"/>
    </row>
    <row r="110" spans="1:55" ht="15" hidden="1" customHeight="1" x14ac:dyDescent="0.25">
      <c r="A110" s="1271" t="s">
        <v>1298</v>
      </c>
      <c r="B110" s="1427" t="str">
        <f>IFERROR(IF(ISBLANK(B10),"",B10),"")</f>
        <v>Electricity</v>
      </c>
      <c r="C110" s="3144" t="str">
        <f>IFERROR(IF(ISBLANK($B110),"",VLOOKUP($B110,PO_Enrgy_1_Table,MATCH($C$9,PO_Enrgy_1_Hdr,0),FALSE) ),"")</f>
        <v>kWh</v>
      </c>
      <c r="D110" s="3145" t="e">
        <f>IF(C110="","",VLOOKUP(C110,ProjectEnergyTypeTable,3,FALSE))</f>
        <v>#NAME?</v>
      </c>
      <c r="E110" s="1414">
        <v>0</v>
      </c>
      <c r="F110" s="1414">
        <v>0</v>
      </c>
      <c r="G110" s="1387">
        <v>0</v>
      </c>
      <c r="H110" s="1414">
        <v>361804</v>
      </c>
      <c r="I110" s="1414">
        <v>3876.2522787200005</v>
      </c>
      <c r="J110" s="1387">
        <v>27859</v>
      </c>
      <c r="K110" s="3146">
        <f>IFERROR(1-$H110/VLOOKUP($B110,PO_Enrgy_13_Table,MATCH($E$98,PO_Enrgy_13_Hdr,0),FALSE),"")</f>
        <v>9.4643491664706536E-2</v>
      </c>
      <c r="L110" s="3147"/>
      <c r="M110" s="1432">
        <f>IFERROR(1-$J110/VLOOKUP($B110,PO_Enrgy_13_Table,MATCH($G$98,PO_Enrgy_13_Hdr,0),FALSE),"")</f>
        <v>9.6689471807010152E-2</v>
      </c>
      <c r="N110" s="650"/>
      <c r="O110" s="650"/>
      <c r="P110" s="650"/>
      <c r="Q110" s="1549">
        <f>IFERROR(IF(ISBLANK($B110),"",VLOOKUP($B110,PO_Enrgy_1_Table,MATCH($K$9,PO_Enrgy_1_Hdr,0),FALSE)),"")</f>
        <v>3.4120000000000001E-3</v>
      </c>
      <c r="R110" s="1549">
        <f>IFERROR(IF(ISBLANK($B110),"",VLOOKUP($B110,PO_Enrgy_1_Table,MATCH($M$9,PO_Enrgy_1_Hdr,0),FALSE)),"")</f>
        <v>1.0713680000000001E-2</v>
      </c>
      <c r="S110" s="564"/>
      <c r="T110" s="564"/>
      <c r="AH110" s="615"/>
      <c r="AI110" s="615"/>
      <c r="AJ110" s="608"/>
      <c r="AL110" s="619"/>
      <c r="AM110" s="619"/>
      <c r="AN110" s="658"/>
      <c r="AP110" s="626"/>
      <c r="AR110" s="627"/>
      <c r="AS110" s="609"/>
      <c r="AT110" s="609"/>
      <c r="AU110" s="639"/>
      <c r="BC110" s="2292"/>
    </row>
    <row r="111" spans="1:55" ht="15" hidden="1" customHeight="1" x14ac:dyDescent="0.25">
      <c r="A111" s="1271" t="s">
        <v>1298</v>
      </c>
      <c r="B111" s="1427" t="str">
        <f>IFERROR(IF(ISBLANK(B11),"",B11),"")</f>
        <v>District Steam</v>
      </c>
      <c r="C111" s="3144" t="str">
        <f>IFERROR(IF(ISBLANK($B111),"",VLOOKUP($B111,PO_Enrgy_1_Table,MATCH($C$9,PO_Enrgy_1_Hdr,0),FALSE) ),"")</f>
        <v>therm</v>
      </c>
      <c r="D111" s="3145" t="e">
        <f>IF(C111="","",VLOOKUP(C111,ProjectEnergyTypeTable,3,FALSE))</f>
        <v>#NAME?</v>
      </c>
      <c r="E111" s="1414">
        <v>0</v>
      </c>
      <c r="F111" s="1414">
        <v>0</v>
      </c>
      <c r="G111" s="1387">
        <v>0</v>
      </c>
      <c r="H111" s="1414">
        <v>1016</v>
      </c>
      <c r="I111" s="1414">
        <v>121.92</v>
      </c>
      <c r="J111" s="1387">
        <v>929</v>
      </c>
      <c r="K111" s="3146">
        <f>IFERROR(1-$H111/VLOOKUP($B111,PO_Enrgy_13_Table,MATCH($E$98,PO_Enrgy_13_Hdr,0),FALSE),"")</f>
        <v>0.35655478150728304</v>
      </c>
      <c r="L111" s="3147"/>
      <c r="M111" s="1432">
        <f>IFERROR(1-$J111/VLOOKUP($B111,PO_Enrgy_13_Table,MATCH($G$98,PO_Enrgy_13_Hdr,0),FALSE),"")</f>
        <v>0.3272990586531499</v>
      </c>
      <c r="N111" s="650"/>
      <c r="O111" s="650"/>
      <c r="P111" s="650"/>
      <c r="Q111" s="1549">
        <f>IFERROR(IF(ISBLANK($B111),"",VLOOKUP($B111,PO_Enrgy_1_Table,MATCH($K$9,PO_Enrgy_1_Hdr,0),FALSE)),"")</f>
        <v>0.1</v>
      </c>
      <c r="R111" s="1549">
        <f>IFERROR(IF(ISBLANK($B111),"",VLOOKUP($B111,PO_Enrgy_1_Table,MATCH($M$9,PO_Enrgy_1_Hdr,0),FALSE)),"")</f>
        <v>0.12</v>
      </c>
      <c r="S111" s="564"/>
      <c r="T111" s="564"/>
      <c r="AH111" s="615"/>
      <c r="AI111" s="615"/>
      <c r="AJ111" s="608"/>
      <c r="AL111" s="619"/>
      <c r="AM111" s="619"/>
      <c r="AN111" s="658"/>
      <c r="AP111" s="626"/>
      <c r="AR111" s="627"/>
      <c r="AS111" s="609"/>
      <c r="AT111" s="609"/>
      <c r="AU111" s="639"/>
      <c r="BC111" s="2292"/>
    </row>
    <row r="112" spans="1:55" ht="15" hidden="1" customHeight="1" x14ac:dyDescent="0.25">
      <c r="A112" s="1271" t="s">
        <v>1298</v>
      </c>
      <c r="B112" s="1427" t="str">
        <f>IFERROR(IF(ISBLANK(B12),"",B12),"")</f>
        <v>District Cooling</v>
      </c>
      <c r="C112" s="3144" t="str">
        <f>IFERROR(IF(ISBLANK($B112),"",VLOOKUP($B112,PO_Enrgy_1_Table,MATCH($C$9,PO_Enrgy_1_Hdr,0),FALSE) ),"")</f>
        <v>therm</v>
      </c>
      <c r="D112" s="3145" t="e">
        <f>IF(C112="","",VLOOKUP(C112,ProjectEnergyTypeTable,3,FALSE))</f>
        <v>#NAME?</v>
      </c>
      <c r="E112" s="1414">
        <v>0</v>
      </c>
      <c r="F112" s="1414">
        <v>0</v>
      </c>
      <c r="G112" s="1387">
        <v>0</v>
      </c>
      <c r="H112" s="1414">
        <v>27282</v>
      </c>
      <c r="I112" s="1414">
        <v>2728.2000000000003</v>
      </c>
      <c r="J112" s="1387">
        <v>24213</v>
      </c>
      <c r="K112" s="3146">
        <f>IFERROR(1-$H112/VLOOKUP($B112,PO_Enrgy_13_Table,MATCH($E$98,PO_Enrgy_13_Hdr,0),FALSE),"")</f>
        <v>9.4914242112596581E-2</v>
      </c>
      <c r="L112" s="3147"/>
      <c r="M112" s="1432">
        <f>IFERROR(1-$J112/VLOOKUP($B112,PO_Enrgy_13_Table,MATCH($G$98,PO_Enrgy_13_Hdr,0),FALSE),"")</f>
        <v>0.10055720653789002</v>
      </c>
      <c r="N112" s="650"/>
      <c r="O112" s="650"/>
      <c r="P112" s="650"/>
      <c r="Q112" s="1549">
        <f>IFERROR(IF(ISBLANK($B112),"",VLOOKUP($B112,PO_Enrgy_1_Table,MATCH($K$9,PO_Enrgy_1_Hdr,0),FALSE)),"")</f>
        <v>0.1</v>
      </c>
      <c r="R112" s="1549">
        <f>IFERROR(IF(ISBLANK($B112),"",VLOOKUP($B112,PO_Enrgy_1_Table,MATCH($M$9,PO_Enrgy_1_Hdr,0),FALSE)),"")</f>
        <v>0.1</v>
      </c>
      <c r="S112" s="564"/>
      <c r="T112" s="564"/>
      <c r="AH112" s="615"/>
      <c r="AI112" s="615"/>
      <c r="AJ112" s="608"/>
      <c r="AL112" s="619"/>
      <c r="AM112" s="619"/>
      <c r="AN112" s="658"/>
      <c r="AP112" s="626"/>
      <c r="AR112" s="627"/>
      <c r="AS112" s="609"/>
      <c r="AT112" s="609"/>
      <c r="AU112" s="639"/>
      <c r="BC112" s="2292"/>
    </row>
    <row r="113" spans="1:55" s="594" customFormat="1" ht="21" hidden="1" customHeight="1" x14ac:dyDescent="0.25">
      <c r="A113" s="1271" t="s">
        <v>1298</v>
      </c>
      <c r="B113" s="3120" t="str">
        <f>"Energy model subtotal (" &amp; PO_SiteUnits &amp; ")"</f>
        <v>Energy model subtotal (Btu x 10^6)</v>
      </c>
      <c r="C113" s="3120"/>
      <c r="D113" s="3120"/>
      <c r="E113" s="1414">
        <f>IFERROR(SUMPRODUCT(INDEX(PO_Enrgy_14_Table,0,MATCH(E$109,PO_Enrgy_14_Hdr,0)),INDEX(PO_Enrgy_14_Table,0,MATCH($Q$109,PO_Enrgy_14_Hdr,0))),"")</f>
        <v>0</v>
      </c>
      <c r="F113" s="1384">
        <f>IFERROR(SUM(INDEX(PO_Enrgy_14_Table,0,MATCH(F$109,PO_Enrgy_14_Hdr,0))),"")</f>
        <v>0</v>
      </c>
      <c r="G113" s="1398">
        <f>IFERROR(SUM(INDEX(PO_Enrgy_14_Table,0,MATCH(G$109,PO_Enrgy_14_Hdr,0))),"")</f>
        <v>0</v>
      </c>
      <c r="H113" s="1414">
        <f>IFERROR(SUMPRODUCT(INDEX(PO_Enrgy_14_Table,0,MATCH(H$109,PO_Enrgy_14_Hdr,0)),INDEX(PO_Enrgy_14_Table,0,MATCH($Q$109,PO_Enrgy_14_Hdr,0))),"")</f>
        <v>4064.2752479999999</v>
      </c>
      <c r="I113" s="1384">
        <f>IFERROR(SUM(INDEX(PO_Enrgy_14_Table,0,MATCH(I$109,PO_Enrgy_14_Hdr,0))),"")</f>
        <v>6726.3722787200004</v>
      </c>
      <c r="J113" s="1398">
        <f>IFERROR(SUM(INDEX(PO_Enrgy_14_Table,0,MATCH(J$109,PO_Enrgy_14_Hdr,0))),"")</f>
        <v>53001</v>
      </c>
      <c r="K113" s="3137">
        <f>IFERROR(1-$H113/$E$102,"")</f>
        <v>0.10394121713464655</v>
      </c>
      <c r="L113" s="3137"/>
      <c r="M113" s="1413">
        <f>IFERROR(1-$J113/$G$102,"")</f>
        <v>0.10383483818606065</v>
      </c>
      <c r="N113" s="650"/>
      <c r="O113" s="650"/>
      <c r="P113" s="650"/>
      <c r="AJ113" s="596"/>
      <c r="AL113" s="619"/>
      <c r="AM113" s="620"/>
      <c r="AR113" s="627"/>
      <c r="AS113" s="609"/>
      <c r="AT113" s="609"/>
      <c r="AU113" s="610"/>
      <c r="BC113" s="2292"/>
    </row>
    <row r="114" spans="1:55" s="594" customFormat="1" ht="33" hidden="1" customHeight="1" x14ac:dyDescent="0.25">
      <c r="A114" s="1271" t="s">
        <v>1298</v>
      </c>
      <c r="B114" s="1449"/>
      <c r="C114" s="1449"/>
      <c r="D114" s="1449"/>
      <c r="E114" s="607"/>
      <c r="F114" s="607"/>
      <c r="G114" s="651"/>
      <c r="H114" s="607"/>
      <c r="I114" s="607"/>
      <c r="J114" s="651"/>
      <c r="K114" s="822"/>
      <c r="L114" s="650"/>
      <c r="M114" s="822"/>
      <c r="N114" s="650"/>
      <c r="O114" s="650"/>
      <c r="P114" s="650"/>
      <c r="AJ114" s="596"/>
      <c r="AL114" s="619"/>
      <c r="AM114" s="620"/>
      <c r="AR114" s="627"/>
      <c r="AS114" s="609"/>
      <c r="AT114" s="609"/>
      <c r="AU114" s="610"/>
    </row>
    <row r="115" spans="1:55" s="650" customFormat="1" ht="21" customHeight="1" x14ac:dyDescent="0.25">
      <c r="A115" s="1271" t="s">
        <v>1298</v>
      </c>
      <c r="B115" s="1452" t="s">
        <v>1272</v>
      </c>
      <c r="E115" s="842"/>
      <c r="AJ115" s="842"/>
      <c r="AL115" s="645"/>
      <c r="AM115" s="646"/>
    </row>
    <row r="116" spans="1:55" ht="25.5" customHeight="1" x14ac:dyDescent="0.25">
      <c r="A116" s="1271" t="s">
        <v>1298</v>
      </c>
      <c r="B116" s="3124" t="s">
        <v>444</v>
      </c>
      <c r="C116" s="3165" t="s">
        <v>1805</v>
      </c>
      <c r="D116" s="3125"/>
      <c r="E116" s="3166" t="s">
        <v>347</v>
      </c>
      <c r="F116" s="3167"/>
      <c r="G116" s="3167"/>
      <c r="H116" s="3123" t="s">
        <v>348</v>
      </c>
      <c r="I116" s="3124"/>
      <c r="J116" s="3124"/>
      <c r="K116" s="3123" t="s">
        <v>448</v>
      </c>
      <c r="L116" s="3124"/>
      <c r="M116" s="3125"/>
      <c r="N116" s="650"/>
      <c r="O116" s="650"/>
      <c r="P116" s="650"/>
      <c r="S116" s="564"/>
      <c r="T116" s="564"/>
      <c r="AJ116" s="16"/>
    </row>
    <row r="117" spans="1:55" ht="63.75" customHeight="1" x14ac:dyDescent="0.25">
      <c r="A117" s="1271" t="s">
        <v>1298</v>
      </c>
      <c r="B117" s="3125"/>
      <c r="C117" s="3125"/>
      <c r="D117" s="3125"/>
      <c r="E117" s="1447" t="s">
        <v>1116</v>
      </c>
      <c r="F117" s="1454" t="str">
        <f>"Source Energy Use 
("  &amp; PO_SourceUnits &amp; ")"</f>
        <v>Source Energy Use 
(Btu x 10^6)</v>
      </c>
      <c r="G117" s="1453" t="s">
        <v>446</v>
      </c>
      <c r="H117" s="1453" t="s">
        <v>1116</v>
      </c>
      <c r="I117" s="1454" t="str">
        <f>"Source Energy Use 
("  &amp; PO_SourceUnits &amp; ")"</f>
        <v>Source Energy Use 
(Btu x 10^6)</v>
      </c>
      <c r="J117" s="1453" t="s">
        <v>446</v>
      </c>
      <c r="K117" s="3123" t="s">
        <v>447</v>
      </c>
      <c r="L117" s="3125"/>
      <c r="M117" s="1453" t="s">
        <v>446</v>
      </c>
      <c r="N117" s="650"/>
      <c r="O117" s="650"/>
      <c r="P117" s="650"/>
      <c r="S117" s="564"/>
      <c r="T117" s="564"/>
      <c r="AJ117" s="16"/>
    </row>
    <row r="118" spans="1:55" s="1287" customFormat="1" ht="15" hidden="1" x14ac:dyDescent="0.25">
      <c r="A118" s="1271" t="s">
        <v>1298</v>
      </c>
      <c r="B118" s="1314" t="s">
        <v>1765</v>
      </c>
      <c r="C118" s="1305" t="s">
        <v>1793</v>
      </c>
      <c r="D118" s="1314"/>
      <c r="E118" s="1315" t="s">
        <v>1821</v>
      </c>
      <c r="F118" s="1316" t="s">
        <v>1822</v>
      </c>
      <c r="G118" s="1317" t="s">
        <v>1823</v>
      </c>
      <c r="H118" s="1315" t="s">
        <v>1806</v>
      </c>
      <c r="I118" s="1316" t="s">
        <v>1807</v>
      </c>
      <c r="J118" s="1317" t="s">
        <v>1808</v>
      </c>
      <c r="K118" s="1317" t="s">
        <v>1824</v>
      </c>
      <c r="L118" s="1305"/>
      <c r="M118" s="1317" t="s">
        <v>1810</v>
      </c>
      <c r="N118" s="1309"/>
      <c r="O118" s="1309"/>
      <c r="P118" s="1309"/>
      <c r="Q118" s="1550" t="s">
        <v>1776</v>
      </c>
      <c r="R118" s="1550" t="s">
        <v>1777</v>
      </c>
      <c r="AJ118" s="1289"/>
    </row>
    <row r="119" spans="1:55" ht="15" customHeight="1" x14ac:dyDescent="0.25">
      <c r="A119" s="1271" t="s">
        <v>1298</v>
      </c>
      <c r="B119" s="2383" t="str">
        <f>IFERROR(IF(ISBLANK(B10),"",B10),"")</f>
        <v>Electricity</v>
      </c>
      <c r="C119" s="3126" t="str">
        <f>IFERROR(IF(ISBLANK($B119),"",VLOOKUP($B119,PO_Enrgy_1_Table,MATCH($C$9,PO_Enrgy_1_Hdr,0),FALSE) ),"")</f>
        <v>kWh</v>
      </c>
      <c r="D119" s="3127" t="e">
        <f>IF(C119="","",VLOOKUP(C119,ProjectEnergyTypeTable,3,FALSE))</f>
        <v>#NAME?</v>
      </c>
      <c r="E119" s="1414">
        <v>399626</v>
      </c>
      <c r="F119" s="1414">
        <v>4281.4650836800001</v>
      </c>
      <c r="G119" s="1434">
        <v>30841</v>
      </c>
      <c r="H119" s="1414">
        <v>361804</v>
      </c>
      <c r="I119" s="1414">
        <v>3876.2522787200005</v>
      </c>
      <c r="J119" s="1414">
        <v>27859</v>
      </c>
      <c r="K119" s="3133">
        <f>IFERROR(1-H119/E119,"")</f>
        <v>9.4643491664706536E-2</v>
      </c>
      <c r="L119" s="3134"/>
      <c r="M119" s="2384">
        <f>IFERROR(1-J119/G119,"")</f>
        <v>9.6689471807010152E-2</v>
      </c>
      <c r="N119" s="650"/>
      <c r="O119" s="650"/>
      <c r="P119" s="650"/>
      <c r="Q119" s="1549">
        <f>IFERROR(IF(ISBLANK($B119),"",VLOOKUP($B119,PO_Enrgy_1_Table,MATCH($K$9,PO_Enrgy_1_Hdr,0),FALSE)),"")</f>
        <v>3.4120000000000001E-3</v>
      </c>
      <c r="R119" s="1549">
        <f>IFERROR(IF(ISBLANK($B119),"",VLOOKUP($B119,PO_Enrgy_1_Table,MATCH($M$9,PO_Enrgy_1_Hdr,0),FALSE)),"")</f>
        <v>1.0713680000000001E-2</v>
      </c>
      <c r="S119" s="564"/>
      <c r="T119" s="564"/>
      <c r="AH119" s="615"/>
      <c r="AI119" s="615"/>
      <c r="AJ119" s="16"/>
      <c r="AL119" s="619"/>
      <c r="AM119" s="620"/>
      <c r="BC119" s="2292"/>
    </row>
    <row r="120" spans="1:55" ht="15" customHeight="1" x14ac:dyDescent="0.25">
      <c r="A120" s="1271" t="s">
        <v>1298</v>
      </c>
      <c r="B120" s="2383" t="str">
        <f>IFERROR(IF(ISBLANK(B11),"",B11),"")</f>
        <v>District Steam</v>
      </c>
      <c r="C120" s="3126" t="str">
        <f>IFERROR(IF(ISBLANK($B120),"",VLOOKUP($B120,PO_Enrgy_1_Table,MATCH($C$9,PO_Enrgy_1_Hdr,0),FALSE) ),"")</f>
        <v>therm</v>
      </c>
      <c r="D120" s="3127" t="e">
        <f>IF(C120="","",VLOOKUP(C120,ProjectEnergyTypeTable,3,FALSE))</f>
        <v>#NAME?</v>
      </c>
      <c r="E120" s="1414">
        <v>1579</v>
      </c>
      <c r="F120" s="1414">
        <v>189.48</v>
      </c>
      <c r="G120" s="1434">
        <v>1381</v>
      </c>
      <c r="H120" s="1414">
        <v>1016</v>
      </c>
      <c r="I120" s="1414">
        <v>121.92</v>
      </c>
      <c r="J120" s="1414">
        <v>929</v>
      </c>
      <c r="K120" s="3133">
        <f>IFERROR(1-H120/E120,"")</f>
        <v>0.35655478150728304</v>
      </c>
      <c r="L120" s="3134"/>
      <c r="M120" s="2384">
        <f>IFERROR(1-J120/G120,"")</f>
        <v>0.3272990586531499</v>
      </c>
      <c r="N120" s="650"/>
      <c r="O120" s="650"/>
      <c r="P120" s="650"/>
      <c r="Q120" s="1549">
        <f>IFERROR(IF(ISBLANK($B120),"",VLOOKUP($B120,PO_Enrgy_1_Table,MATCH($K$9,PO_Enrgy_1_Hdr,0),FALSE)),"")</f>
        <v>0.1</v>
      </c>
      <c r="R120" s="1549">
        <f>IFERROR(IF(ISBLANK($B120),"",VLOOKUP($B120,PO_Enrgy_1_Table,MATCH($M$9,PO_Enrgy_1_Hdr,0),FALSE)),"")</f>
        <v>0.12</v>
      </c>
      <c r="S120" s="564"/>
      <c r="T120" s="564"/>
      <c r="AH120" s="615"/>
      <c r="AI120" s="615"/>
      <c r="AJ120" s="16"/>
      <c r="AL120" s="619"/>
      <c r="AM120" s="620"/>
      <c r="BC120" s="2292"/>
    </row>
    <row r="121" spans="1:55" ht="15" customHeight="1" x14ac:dyDescent="0.25">
      <c r="A121" s="1271" t="s">
        <v>1298</v>
      </c>
      <c r="B121" s="2383" t="str">
        <f>IFERROR(IF(ISBLANK(B12),"",B12),"")</f>
        <v>District Cooling</v>
      </c>
      <c r="C121" s="3126" t="str">
        <f>IFERROR(IF(ISBLANK($B121),"",VLOOKUP($B121,PO_Enrgy_1_Table,MATCH($C$9,PO_Enrgy_1_Hdr,0),FALSE) ),"")</f>
        <v>therm</v>
      </c>
      <c r="D121" s="3127" t="e">
        <f>IF(C121="","",VLOOKUP(C121,ProjectEnergyTypeTable,3,FALSE))</f>
        <v>#NAME?</v>
      </c>
      <c r="E121" s="1414">
        <v>30143</v>
      </c>
      <c r="F121" s="1414">
        <v>3014.3</v>
      </c>
      <c r="G121" s="1434">
        <v>26920</v>
      </c>
      <c r="H121" s="1414">
        <v>27282</v>
      </c>
      <c r="I121" s="1414">
        <v>2728.2000000000003</v>
      </c>
      <c r="J121" s="1414">
        <v>24213</v>
      </c>
      <c r="K121" s="3133">
        <f>IFERROR(1-H121/E121,"")</f>
        <v>9.4914242112596581E-2</v>
      </c>
      <c r="L121" s="3134"/>
      <c r="M121" s="2384">
        <f>IFERROR(1-J121/G121,"")</f>
        <v>0.10055720653789002</v>
      </c>
      <c r="N121" s="650"/>
      <c r="O121" s="650"/>
      <c r="P121" s="650"/>
      <c r="Q121" s="1549">
        <f>IFERROR(IF(ISBLANK($B121),"",VLOOKUP($B121,PO_Enrgy_1_Table,MATCH($K$9,PO_Enrgy_1_Hdr,0),FALSE)),"")</f>
        <v>0.1</v>
      </c>
      <c r="R121" s="1549">
        <f>IFERROR(IF(ISBLANK($B121),"",VLOOKUP($B121,PO_Enrgy_1_Table,MATCH($M$9,PO_Enrgy_1_Hdr,0),FALSE)),"")</f>
        <v>0.1</v>
      </c>
      <c r="S121" s="564"/>
      <c r="T121" s="564"/>
      <c r="AH121" s="615"/>
      <c r="AI121" s="615"/>
      <c r="AJ121" s="16"/>
      <c r="AL121" s="619"/>
      <c r="AM121" s="620"/>
      <c r="BC121" s="2292"/>
    </row>
    <row r="122" spans="1:55" ht="21" customHeight="1" x14ac:dyDescent="0.25">
      <c r="A122" s="1271" t="s">
        <v>1298</v>
      </c>
      <c r="B122" s="3161" t="s">
        <v>147</v>
      </c>
      <c r="C122" s="3162"/>
      <c r="D122" s="3162"/>
      <c r="E122" s="1406">
        <f>IFERROR(SUMPRODUCT(INDEX(PO_Enrgy_16_Table,0,MATCH(E$118,PO_Enrgy_16_Hdr,0)),INDEX(PO_Enrgy_16_Table,0,MATCH($Q$118,PO_Enrgy_16_Hdr,0))),"")</f>
        <v>4535.7239120000004</v>
      </c>
      <c r="F122" s="1384">
        <f>IFERROR(SUM(INDEX(PO_Enrgy_16_Table,0,MATCH(F$118,PO_Enrgy_16_Hdr,0))),"")</f>
        <v>7485.2450836799999</v>
      </c>
      <c r="G122" s="1398">
        <f>IFERROR(SUM(INDEX(PO_Enrgy_16_Table,0,MATCH(G$118,PO_Enrgy_16_Hdr,0))),"")</f>
        <v>59142</v>
      </c>
      <c r="H122" s="1406">
        <f>IFERROR(SUMPRODUCT(INDEX(PO_Enrgy_16_Table,0,MATCH(H$118,PO_Enrgy_16_Hdr,0)),INDEX(PO_Enrgy_16_Table,0,MATCH($Q$118,PO_Enrgy_16_Hdr,0))),"")</f>
        <v>4064.2752479999999</v>
      </c>
      <c r="I122" s="1384">
        <f>IFERROR(SUM(INDEX(PO_Enrgy_16_Table,0,MATCH(I$118,PO_Enrgy_16_Hdr,0))),"")</f>
        <v>6726.3722787200004</v>
      </c>
      <c r="J122" s="1398">
        <f>IFERROR(SUM(INDEX(PO_Enrgy_16_Table,0,MATCH(J$118,PO_Enrgy_16_Hdr,0))),"")</f>
        <v>53001</v>
      </c>
      <c r="K122" s="3163">
        <f>IFERROR(1-H122/E122,"")</f>
        <v>0.10394121713464655</v>
      </c>
      <c r="L122" s="3164"/>
      <c r="M122" s="1445">
        <f>IFERROR(1-J122/G122,"")</f>
        <v>0.10383483818606065</v>
      </c>
      <c r="N122" s="650"/>
      <c r="O122" s="650"/>
      <c r="P122" s="650"/>
      <c r="S122" s="564"/>
      <c r="T122" s="564"/>
      <c r="AJ122" s="16"/>
      <c r="BC122" s="2292"/>
    </row>
    <row r="123" spans="1:55" ht="21" customHeight="1" x14ac:dyDescent="0.25">
      <c r="A123" s="1271" t="s">
        <v>1298</v>
      </c>
      <c r="B123" s="3154" t="s">
        <v>1282</v>
      </c>
      <c r="C123" s="3155"/>
      <c r="D123" s="3155"/>
      <c r="E123" s="3155"/>
      <c r="F123" s="3155"/>
      <c r="G123" s="3156"/>
      <c r="H123" s="3156"/>
      <c r="I123" s="3156"/>
      <c r="J123" s="3156"/>
      <c r="K123" s="3157"/>
      <c r="L123" s="3157"/>
      <c r="M123" s="1419">
        <f>$M$122</f>
        <v>0.10383483818606065</v>
      </c>
      <c r="N123" s="650"/>
      <c r="O123" s="650"/>
      <c r="P123" s="650"/>
      <c r="AJ123" s="16"/>
      <c r="BC123" s="2292"/>
    </row>
    <row r="124" spans="1:55" s="564" customFormat="1" ht="33" customHeight="1" x14ac:dyDescent="0.25">
      <c r="A124" s="1271" t="s">
        <v>1298</v>
      </c>
      <c r="B124" s="650"/>
      <c r="C124" s="784"/>
      <c r="D124" s="784"/>
      <c r="E124" s="850"/>
      <c r="F124" s="603"/>
      <c r="G124" s="602"/>
      <c r="H124" s="603"/>
      <c r="I124" s="602"/>
      <c r="J124" s="656"/>
      <c r="K124" s="650"/>
      <c r="L124" s="650"/>
      <c r="M124" s="650"/>
      <c r="N124" s="650"/>
      <c r="O124" s="650"/>
      <c r="P124" s="650"/>
      <c r="AJ124" s="16"/>
    </row>
    <row r="125" spans="1:55" ht="33" customHeight="1" x14ac:dyDescent="0.25">
      <c r="B125" s="643" t="s">
        <v>808</v>
      </c>
      <c r="C125" s="650"/>
      <c r="D125" s="650"/>
      <c r="E125" s="650"/>
      <c r="F125" s="650"/>
      <c r="G125" s="650"/>
      <c r="H125" s="650"/>
      <c r="I125" s="650"/>
      <c r="J125" s="650"/>
      <c r="K125" s="650"/>
      <c r="L125" s="650"/>
      <c r="M125" s="650"/>
      <c r="N125" s="650"/>
      <c r="O125" s="650"/>
      <c r="P125" s="650"/>
      <c r="Q125" s="650"/>
      <c r="R125" s="650"/>
      <c r="S125" s="650"/>
      <c r="T125" s="650"/>
      <c r="U125" s="650"/>
      <c r="V125" s="650"/>
      <c r="W125" s="650"/>
      <c r="X125" s="650"/>
      <c r="Y125" s="650"/>
      <c r="Z125" s="650"/>
      <c r="AA125" s="650"/>
      <c r="AB125" s="650"/>
      <c r="AC125" s="650"/>
      <c r="AD125" s="650"/>
      <c r="AE125" s="650"/>
      <c r="AF125" s="650"/>
      <c r="AG125" s="738"/>
      <c r="AH125" s="722"/>
      <c r="AI125" s="722"/>
      <c r="AJ125" s="722"/>
    </row>
    <row r="126" spans="1:55" ht="44.25" customHeight="1" x14ac:dyDescent="0.25">
      <c r="B126" s="3383" t="s">
        <v>1205</v>
      </c>
      <c r="C126" s="3383"/>
      <c r="D126" s="3383"/>
      <c r="E126" s="3383"/>
      <c r="F126" s="3383"/>
      <c r="G126" s="3383"/>
      <c r="H126" s="3383"/>
      <c r="I126" s="3383"/>
      <c r="J126" s="3383"/>
      <c r="K126" s="3383"/>
      <c r="L126" s="3383"/>
      <c r="M126" s="3383"/>
      <c r="N126" s="1499"/>
      <c r="O126" s="1499"/>
      <c r="P126" s="1499"/>
      <c r="Q126" s="1499"/>
      <c r="R126" s="1499"/>
      <c r="S126" s="1499"/>
      <c r="T126" s="1499"/>
      <c r="U126" s="1499"/>
      <c r="V126" s="1499"/>
      <c r="W126" s="1499"/>
      <c r="X126" s="1499"/>
      <c r="Y126" s="1499"/>
      <c r="Z126" s="1499"/>
      <c r="AA126" s="1499"/>
      <c r="AB126" s="1499"/>
      <c r="AC126" s="1499"/>
      <c r="AD126" s="1499"/>
      <c r="AE126" s="1499"/>
      <c r="AF126" s="1499"/>
      <c r="AG126" s="738"/>
      <c r="AH126" s="722"/>
      <c r="AI126" s="722"/>
      <c r="AJ126" s="722"/>
    </row>
    <row r="127" spans="1:55" ht="12.75" customHeight="1" x14ac:dyDescent="0.25">
      <c r="B127" s="3379" t="s">
        <v>301</v>
      </c>
      <c r="C127" s="2056" t="s">
        <v>1884</v>
      </c>
      <c r="D127" s="2203" t="s">
        <v>1885</v>
      </c>
      <c r="E127" s="2204"/>
      <c r="F127" s="2205" t="s">
        <v>1887</v>
      </c>
      <c r="G127" s="2205" t="s">
        <v>1886</v>
      </c>
      <c r="H127" s="2205" t="s">
        <v>2003</v>
      </c>
      <c r="I127" s="1277"/>
      <c r="J127" s="1501"/>
      <c r="K127" s="1501"/>
      <c r="L127" s="596"/>
      <c r="M127" s="1501"/>
      <c r="N127" s="1501"/>
      <c r="P127" s="595"/>
      <c r="Q127" s="595"/>
      <c r="R127" s="595"/>
      <c r="S127" s="595"/>
      <c r="T127" s="595"/>
      <c r="U127" s="595"/>
      <c r="V127" s="595"/>
      <c r="W127" s="595"/>
      <c r="X127" s="595"/>
      <c r="Y127" s="595"/>
      <c r="Z127" s="595"/>
      <c r="AA127" s="595"/>
      <c r="AB127" s="595"/>
      <c r="AC127" s="1496"/>
      <c r="AD127" s="1495"/>
      <c r="AE127" s="1495"/>
      <c r="AF127" s="1495"/>
      <c r="AG127" s="738"/>
      <c r="AH127" s="722"/>
      <c r="AI127" s="722"/>
      <c r="AJ127" s="722"/>
    </row>
    <row r="128" spans="1:55" ht="12.75" customHeight="1" x14ac:dyDescent="0.25">
      <c r="B128" s="3379"/>
      <c r="C128" s="2206">
        <f ca="1">OFFSET(L_ExtSum_Table,1,MATCH(Lighting!$J$147,L_ExtSum_Hdr,0)-1,1,1)</f>
        <v>1.6188</v>
      </c>
      <c r="D128" s="2207">
        <f ca="1">OFFSET(L_ExtSum_Table,1,MATCH(Lighting!$M$147,L_ExtSum_Hdr,0)-1,1,1)</f>
        <v>0.42599999999999999</v>
      </c>
      <c r="E128" s="2208"/>
      <c r="F128" s="2209">
        <f ca="1">OFFSET(L_LtgZone_Table,1,MATCH(Lighting!$M$115,L_LtgZone_Hdr,0)-1,1,1)+OFFSET(L_NTSurface_Table,MATCH(Lighting!$B$143,L_NTSurface_Index,0)-1,MATCH(Lighting!$J$136,L_NTSurface_Hdr,0)-1,1,1)</f>
        <v>750</v>
      </c>
      <c r="G128" s="2209">
        <f ca="1">OFFSET(L_NTSurface_Table,MATCH(Lighting!$B$143,L_NTSurface_Index,0)-1,MATCH(Lighting!$M$136,L_NTSurface_Hdr,0)-1,1,1)</f>
        <v>0</v>
      </c>
      <c r="H128" s="2209" t="str">
        <f>L_ELR_Response</f>
        <v>Yes</v>
      </c>
      <c r="I128" s="1277"/>
      <c r="J128" s="1498"/>
      <c r="K128" s="1498"/>
      <c r="L128" s="596"/>
      <c r="M128" s="1498"/>
      <c r="N128" s="1498"/>
      <c r="P128" s="1495"/>
      <c r="Q128" s="1495"/>
      <c r="R128" s="1495"/>
      <c r="S128" s="1495"/>
      <c r="T128" s="1495"/>
      <c r="U128" s="1495"/>
      <c r="V128" s="1495"/>
      <c r="W128" s="1495"/>
      <c r="X128" s="1495"/>
      <c r="Y128" s="1495"/>
      <c r="Z128" s="1495"/>
      <c r="AA128" s="1495"/>
      <c r="AB128" s="1495"/>
      <c r="AC128" s="1495"/>
      <c r="AD128" s="1495"/>
      <c r="AE128" s="1495"/>
      <c r="AF128" s="1495"/>
      <c r="AG128" s="738"/>
      <c r="AH128" s="722"/>
      <c r="AI128" s="722"/>
      <c r="AJ128" s="722"/>
    </row>
    <row r="129" spans="2:36" ht="12.75" customHeight="1" x14ac:dyDescent="0.25">
      <c r="B129" s="3379" t="s">
        <v>1953</v>
      </c>
      <c r="C129" s="2056" t="s">
        <v>1863</v>
      </c>
      <c r="D129" s="2204" t="s">
        <v>1864</v>
      </c>
      <c r="E129" s="2204"/>
      <c r="F129" s="2211"/>
      <c r="G129" s="2212"/>
      <c r="H129" s="2213"/>
      <c r="I129" s="1500"/>
      <c r="J129" s="1500"/>
      <c r="K129" s="1500"/>
      <c r="L129" s="1494"/>
      <c r="M129" s="1494"/>
      <c r="N129" s="1494"/>
      <c r="O129" s="1494"/>
      <c r="P129" s="1495"/>
      <c r="Q129" s="1495"/>
      <c r="R129" s="1495"/>
      <c r="S129" s="1495"/>
      <c r="T129" s="1495"/>
      <c r="U129" s="1495"/>
      <c r="V129" s="1495"/>
      <c r="W129" s="1495"/>
      <c r="X129" s="1495"/>
      <c r="Y129" s="1495"/>
      <c r="Z129" s="1495"/>
      <c r="AA129" s="1495"/>
      <c r="AB129" s="1495"/>
      <c r="AC129" s="1495"/>
      <c r="AD129" s="1495"/>
      <c r="AE129" s="1495"/>
      <c r="AF129" s="1495"/>
      <c r="AG129" s="738"/>
      <c r="AH129" s="722"/>
      <c r="AI129" s="722"/>
      <c r="AJ129" s="722"/>
    </row>
    <row r="130" spans="2:36" ht="12.75" customHeight="1" x14ac:dyDescent="0.25">
      <c r="B130" s="3379"/>
      <c r="C130" s="2206" t="str">
        <f>GetPerformanceOutputRangeSums("PO_QA_BaseExtLtgDem")</f>
        <v>Error</v>
      </c>
      <c r="D130" s="2207" t="str">
        <f>GetPerformanceOutputRangeSums("PO_QA_DesignExtLtgDem")</f>
        <v>Error</v>
      </c>
      <c r="E130" s="2210"/>
      <c r="F130" s="2214"/>
      <c r="G130" s="2201"/>
      <c r="H130" s="2202"/>
      <c r="I130" s="1277"/>
      <c r="J130" s="1161"/>
      <c r="K130" s="1161"/>
      <c r="L130" s="1497" t="s">
        <v>1954</v>
      </c>
      <c r="M130" s="1494"/>
      <c r="N130" s="1494"/>
      <c r="O130" s="1494"/>
      <c r="P130" s="1495"/>
      <c r="Q130" s="1495"/>
      <c r="R130" s="1495"/>
      <c r="S130" s="1495"/>
      <c r="T130" s="1495"/>
      <c r="U130" s="1495"/>
      <c r="V130" s="1495"/>
      <c r="W130" s="1495"/>
      <c r="X130" s="1495"/>
      <c r="Y130" s="1495"/>
      <c r="Z130" s="1495"/>
      <c r="AA130" s="1495"/>
      <c r="AB130" s="1495"/>
      <c r="AC130" s="1495"/>
      <c r="AD130" s="1495"/>
      <c r="AE130" s="1495"/>
      <c r="AF130" s="1495"/>
      <c r="AG130" s="738"/>
      <c r="AH130" s="722"/>
      <c r="AI130" s="722"/>
      <c r="AJ130" s="722"/>
    </row>
    <row r="131" spans="2:36" x14ac:dyDescent="0.25">
      <c r="B131" s="1499"/>
      <c r="C131" s="1499"/>
      <c r="D131" s="1499"/>
      <c r="E131" s="1499"/>
      <c r="F131" s="1499"/>
      <c r="G131" s="1499"/>
      <c r="H131" s="1499"/>
      <c r="I131" s="1499"/>
      <c r="J131" s="1499"/>
      <c r="K131" s="1499"/>
      <c r="L131" s="1499"/>
      <c r="M131" s="1499"/>
      <c r="N131" s="1499"/>
      <c r="O131" s="1499"/>
      <c r="P131" s="1499"/>
      <c r="Q131" s="1499"/>
      <c r="R131" s="1499"/>
      <c r="S131" s="1499"/>
      <c r="T131" s="1499"/>
      <c r="U131" s="1499"/>
      <c r="V131" s="1499"/>
      <c r="W131" s="1499"/>
      <c r="X131" s="1499"/>
      <c r="Y131" s="1499"/>
      <c r="Z131" s="1499"/>
      <c r="AA131" s="1499"/>
      <c r="AB131" s="1499"/>
      <c r="AC131" s="1499"/>
      <c r="AD131" s="1499"/>
      <c r="AE131" s="1499"/>
      <c r="AF131" s="1499"/>
      <c r="AG131" s="738"/>
      <c r="AH131" s="722"/>
      <c r="AI131" s="722"/>
      <c r="AJ131" s="722"/>
    </row>
    <row r="132" spans="2:36" ht="36" x14ac:dyDescent="0.25">
      <c r="B132" s="3430" t="s">
        <v>439</v>
      </c>
      <c r="C132" s="3431"/>
      <c r="D132" s="3431"/>
      <c r="E132" s="3431"/>
      <c r="F132" s="3431"/>
      <c r="G132" s="3431"/>
      <c r="H132" s="3431"/>
      <c r="I132" s="3432"/>
      <c r="J132" s="3433" t="s">
        <v>440</v>
      </c>
      <c r="K132" s="3434"/>
      <c r="L132" s="3434"/>
      <c r="M132" s="3435"/>
      <c r="N132" s="1502"/>
      <c r="O132" s="596"/>
      <c r="Q132" s="1560" t="s">
        <v>1045</v>
      </c>
      <c r="R132" s="1561" t="s">
        <v>1276</v>
      </c>
    </row>
    <row r="133" spans="2:36" ht="36.75" customHeight="1" x14ac:dyDescent="0.25">
      <c r="B133" s="3376" t="s">
        <v>1319</v>
      </c>
      <c r="C133" s="3377"/>
      <c r="D133" s="3377"/>
      <c r="E133" s="3377"/>
      <c r="F133" s="3377"/>
      <c r="G133" s="3377"/>
      <c r="H133" s="3377"/>
      <c r="I133" s="3378"/>
      <c r="J133" s="3380"/>
      <c r="K133" s="3381"/>
      <c r="L133" s="3381"/>
      <c r="M133" s="3382"/>
      <c r="N133" s="650"/>
      <c r="O133" s="596"/>
      <c r="Q133" s="1562"/>
      <c r="R133" s="1549" t="b">
        <f ca="1">IFERROR(IF(OR((C130-C128)/MIN(C130,C128)&gt;0.05,(D130-D128)/MIN(D130,D128)&gt;0.05),TRUE,FALSE),TRUE)</f>
        <v>1</v>
      </c>
    </row>
    <row r="134" spans="2:36" ht="27" customHeight="1" x14ac:dyDescent="0.25">
      <c r="B134" s="3436" t="s">
        <v>1307</v>
      </c>
      <c r="C134" s="3437"/>
      <c r="D134" s="3437"/>
      <c r="E134" s="3437"/>
      <c r="F134" s="3437"/>
      <c r="G134" s="3437"/>
      <c r="H134" s="3437"/>
      <c r="I134" s="3438"/>
      <c r="J134" s="3427"/>
      <c r="K134" s="3428"/>
      <c r="L134" s="3428"/>
      <c r="M134" s="3429"/>
      <c r="N134" s="650"/>
      <c r="O134" s="596"/>
      <c r="Q134" s="1562"/>
      <c r="R134" s="1549" t="b">
        <f ca="1">IFERROR(IF(D128&gt;C128,TRUE,FALSE),TRUE)</f>
        <v>0</v>
      </c>
    </row>
    <row r="135" spans="2:36" ht="48" customHeight="1" x14ac:dyDescent="0.25">
      <c r="B135" s="3436" t="s">
        <v>1337</v>
      </c>
      <c r="C135" s="3437"/>
      <c r="D135" s="3437"/>
      <c r="E135" s="3437"/>
      <c r="F135" s="3437"/>
      <c r="G135" s="3437"/>
      <c r="H135" s="3437"/>
      <c r="I135" s="3438"/>
      <c r="J135" s="3427"/>
      <c r="K135" s="3428"/>
      <c r="L135" s="3428"/>
      <c r="M135" s="3429"/>
      <c r="N135" s="650"/>
      <c r="O135" s="596"/>
      <c r="Q135" s="1562"/>
      <c r="R135" s="1549" t="b">
        <f ca="1">IFERROR(IF(G128&gt;F128,TRUE,FALSE),TRUE)</f>
        <v>0</v>
      </c>
    </row>
    <row r="136" spans="2:36" ht="44.25" customHeight="1" x14ac:dyDescent="0.25">
      <c r="B136" s="3376" t="s">
        <v>2002</v>
      </c>
      <c r="C136" s="3377"/>
      <c r="D136" s="3377"/>
      <c r="E136" s="3377"/>
      <c r="F136" s="3377"/>
      <c r="G136" s="3377"/>
      <c r="H136" s="3377"/>
      <c r="I136" s="3378"/>
      <c r="J136" s="3418"/>
      <c r="K136" s="3419"/>
      <c r="L136" s="3419"/>
      <c r="M136" s="3420"/>
      <c r="Q136" s="1562"/>
      <c r="R136" s="1549" t="b">
        <f>IFERROR(IF(H128&lt;&gt;"Yes",TRUE,FALSE),TRUE)</f>
        <v>0</v>
      </c>
    </row>
    <row r="152" spans="2:14" ht="30" customHeight="1" x14ac:dyDescent="0.2">
      <c r="B152" s="647"/>
      <c r="C152" s="647"/>
      <c r="D152" s="681"/>
      <c r="E152" s="681"/>
      <c r="F152" s="647"/>
      <c r="G152" s="648"/>
      <c r="H152" s="648"/>
      <c r="I152" s="648"/>
      <c r="J152" s="648"/>
      <c r="K152" s="648"/>
      <c r="L152" s="648"/>
      <c r="M152" s="1463"/>
      <c r="N152" s="597"/>
    </row>
    <row r="153" spans="2:14" x14ac:dyDescent="0.2">
      <c r="D153" s="681"/>
      <c r="E153" s="681"/>
    </row>
  </sheetData>
  <sheetProtection algorithmName="SHA-512" hashValue="VogLka45XU3tfDDAe8c4hdkEEsTtXXo4PL1SdzoypAWsQJmnc204crrd7F8spYVzRwjIZrcu9wkuXytvvNTT9A==" saltValue="V4mKpoSFkFFe20ew/DRHvg==" spinCount="100000" sheet="1" objects="1" scenarios="1"/>
  <mergeCells count="305">
    <mergeCell ref="C121:D121"/>
    <mergeCell ref="K121:L121"/>
    <mergeCell ref="H12:J12"/>
    <mergeCell ref="K12:L12"/>
    <mergeCell ref="C75:D75"/>
    <mergeCell ref="K75:L75"/>
    <mergeCell ref="C84:D84"/>
    <mergeCell ref="E84:G84"/>
    <mergeCell ref="H84:J84"/>
    <mergeCell ref="K84:M84"/>
    <mergeCell ref="C92:D92"/>
    <mergeCell ref="K92:L92"/>
    <mergeCell ref="C91:D91"/>
    <mergeCell ref="K91:L91"/>
    <mergeCell ref="C83:D83"/>
    <mergeCell ref="E83:G83"/>
    <mergeCell ref="H83:J83"/>
    <mergeCell ref="K83:M83"/>
    <mergeCell ref="B86:L86"/>
    <mergeCell ref="B87:B88"/>
    <mergeCell ref="B116:B117"/>
    <mergeCell ref="C116:D117"/>
    <mergeCell ref="E116:G116"/>
    <mergeCell ref="H116:J116"/>
    <mergeCell ref="J136:M136"/>
    <mergeCell ref="N107:P107"/>
    <mergeCell ref="K108:L108"/>
    <mergeCell ref="C110:D110"/>
    <mergeCell ref="K110:L110"/>
    <mergeCell ref="C111:D111"/>
    <mergeCell ref="K111:L111"/>
    <mergeCell ref="B102:D102"/>
    <mergeCell ref="K102:L102"/>
    <mergeCell ref="B103:L103"/>
    <mergeCell ref="B104:J104"/>
    <mergeCell ref="K104:M104"/>
    <mergeCell ref="B107:B108"/>
    <mergeCell ref="C107:D108"/>
    <mergeCell ref="E107:G107"/>
    <mergeCell ref="H107:J107"/>
    <mergeCell ref="K107:M107"/>
    <mergeCell ref="J134:M134"/>
    <mergeCell ref="J135:M135"/>
    <mergeCell ref="B132:I132"/>
    <mergeCell ref="J132:M132"/>
    <mergeCell ref="B133:I133"/>
    <mergeCell ref="B134:I134"/>
    <mergeCell ref="B135:I135"/>
    <mergeCell ref="N96:P96"/>
    <mergeCell ref="K97:L97"/>
    <mergeCell ref="K99:L99"/>
    <mergeCell ref="C100:D100"/>
    <mergeCell ref="K100:L100"/>
    <mergeCell ref="C99:D99"/>
    <mergeCell ref="B94:L94"/>
    <mergeCell ref="B96:B97"/>
    <mergeCell ref="C96:D97"/>
    <mergeCell ref="E96:G96"/>
    <mergeCell ref="H96:J96"/>
    <mergeCell ref="K96:M96"/>
    <mergeCell ref="AF64:AG65"/>
    <mergeCell ref="B66:C67"/>
    <mergeCell ref="D66:D67"/>
    <mergeCell ref="E66:E67"/>
    <mergeCell ref="J66:J67"/>
    <mergeCell ref="K66:L67"/>
    <mergeCell ref="M66:M67"/>
    <mergeCell ref="AF66:AG67"/>
    <mergeCell ref="B64:C65"/>
    <mergeCell ref="D64:D65"/>
    <mergeCell ref="E64:E65"/>
    <mergeCell ref="J64:J65"/>
    <mergeCell ref="K64:L65"/>
    <mergeCell ref="M64:M65"/>
    <mergeCell ref="N87:P87"/>
    <mergeCell ref="K88:L88"/>
    <mergeCell ref="C90:D90"/>
    <mergeCell ref="K90:L90"/>
    <mergeCell ref="AF60:AG61"/>
    <mergeCell ref="B62:C63"/>
    <mergeCell ref="D62:D63"/>
    <mergeCell ref="E62:E63"/>
    <mergeCell ref="J62:J63"/>
    <mergeCell ref="K62:L63"/>
    <mergeCell ref="M62:M63"/>
    <mergeCell ref="AF62:AG63"/>
    <mergeCell ref="B60:C61"/>
    <mergeCell ref="D60:D61"/>
    <mergeCell ref="E60:E61"/>
    <mergeCell ref="J60:J61"/>
    <mergeCell ref="K60:L61"/>
    <mergeCell ref="M60:M61"/>
    <mergeCell ref="K80:M80"/>
    <mergeCell ref="C73:D73"/>
    <mergeCell ref="K73:L73"/>
    <mergeCell ref="C74:D74"/>
    <mergeCell ref="K74:L74"/>
    <mergeCell ref="B76:D76"/>
    <mergeCell ref="AF56:AG57"/>
    <mergeCell ref="B58:C59"/>
    <mergeCell ref="D58:D59"/>
    <mergeCell ref="E58:E59"/>
    <mergeCell ref="J58:J59"/>
    <mergeCell ref="K58:L59"/>
    <mergeCell ref="M58:M59"/>
    <mergeCell ref="AF58:AG59"/>
    <mergeCell ref="B56:C57"/>
    <mergeCell ref="D56:D57"/>
    <mergeCell ref="E56:E57"/>
    <mergeCell ref="J56:J57"/>
    <mergeCell ref="K56:L57"/>
    <mergeCell ref="M56:M57"/>
    <mergeCell ref="AF52:AG53"/>
    <mergeCell ref="B54:C55"/>
    <mergeCell ref="D54:D55"/>
    <mergeCell ref="E54:E55"/>
    <mergeCell ref="J54:J55"/>
    <mergeCell ref="K54:L55"/>
    <mergeCell ref="M54:M55"/>
    <mergeCell ref="AF54:AG55"/>
    <mergeCell ref="B52:C53"/>
    <mergeCell ref="D52:D53"/>
    <mergeCell ref="E52:E53"/>
    <mergeCell ref="J52:J53"/>
    <mergeCell ref="K52:L53"/>
    <mergeCell ref="M52:M53"/>
    <mergeCell ref="AF48:AG49"/>
    <mergeCell ref="B50:C51"/>
    <mergeCell ref="D50:D51"/>
    <mergeCell ref="E50:E51"/>
    <mergeCell ref="J50:J51"/>
    <mergeCell ref="K50:L51"/>
    <mergeCell ref="M50:M51"/>
    <mergeCell ref="AF50:AG51"/>
    <mergeCell ref="B48:C49"/>
    <mergeCell ref="D48:D49"/>
    <mergeCell ref="E48:E49"/>
    <mergeCell ref="J48:J49"/>
    <mergeCell ref="K48:L49"/>
    <mergeCell ref="M48:M49"/>
    <mergeCell ref="AF44:AG45"/>
    <mergeCell ref="B46:C47"/>
    <mergeCell ref="D46:D47"/>
    <mergeCell ref="E46:E47"/>
    <mergeCell ref="J46:J47"/>
    <mergeCell ref="K46:L47"/>
    <mergeCell ref="M46:M47"/>
    <mergeCell ref="AF46:AG47"/>
    <mergeCell ref="B44:C45"/>
    <mergeCell ref="D44:D45"/>
    <mergeCell ref="E44:E45"/>
    <mergeCell ref="J44:J45"/>
    <mergeCell ref="K44:L45"/>
    <mergeCell ref="M44:M45"/>
    <mergeCell ref="AF40:AG41"/>
    <mergeCell ref="B42:C43"/>
    <mergeCell ref="D42:D43"/>
    <mergeCell ref="E42:E43"/>
    <mergeCell ref="J42:J43"/>
    <mergeCell ref="K42:L43"/>
    <mergeCell ref="M42:M43"/>
    <mergeCell ref="AF42:AG43"/>
    <mergeCell ref="B40:C41"/>
    <mergeCell ref="D40:D41"/>
    <mergeCell ref="E40:E41"/>
    <mergeCell ref="J40:J41"/>
    <mergeCell ref="K40:L41"/>
    <mergeCell ref="M40:M41"/>
    <mergeCell ref="AF36:AG37"/>
    <mergeCell ref="B38:C39"/>
    <mergeCell ref="D38:D39"/>
    <mergeCell ref="E38:E39"/>
    <mergeCell ref="J38:J39"/>
    <mergeCell ref="K38:L39"/>
    <mergeCell ref="M38:M39"/>
    <mergeCell ref="AF38:AG39"/>
    <mergeCell ref="B36:C37"/>
    <mergeCell ref="D36:D37"/>
    <mergeCell ref="E36:E37"/>
    <mergeCell ref="J36:J37"/>
    <mergeCell ref="K36:L37"/>
    <mergeCell ref="M36:M37"/>
    <mergeCell ref="AF32:AG33"/>
    <mergeCell ref="B34:C35"/>
    <mergeCell ref="D34:D35"/>
    <mergeCell ref="E34:E35"/>
    <mergeCell ref="J34:J35"/>
    <mergeCell ref="K34:L35"/>
    <mergeCell ref="M34:M35"/>
    <mergeCell ref="AF34:AG35"/>
    <mergeCell ref="B32:C33"/>
    <mergeCell ref="D32:D33"/>
    <mergeCell ref="E32:E33"/>
    <mergeCell ref="J32:J33"/>
    <mergeCell ref="K32:L33"/>
    <mergeCell ref="M32:M33"/>
    <mergeCell ref="AF28:AG29"/>
    <mergeCell ref="B30:C31"/>
    <mergeCell ref="D30:D31"/>
    <mergeCell ref="E30:E31"/>
    <mergeCell ref="J30:J31"/>
    <mergeCell ref="K30:L31"/>
    <mergeCell ref="M30:M31"/>
    <mergeCell ref="AF30:AG31"/>
    <mergeCell ref="B28:C29"/>
    <mergeCell ref="D28:D29"/>
    <mergeCell ref="E28:E29"/>
    <mergeCell ref="J28:J29"/>
    <mergeCell ref="K28:L29"/>
    <mergeCell ref="M28:M29"/>
    <mergeCell ref="AF24:AG25"/>
    <mergeCell ref="B26:C27"/>
    <mergeCell ref="D26:D27"/>
    <mergeCell ref="E26:E27"/>
    <mergeCell ref="J26:J27"/>
    <mergeCell ref="K26:L27"/>
    <mergeCell ref="M26:M27"/>
    <mergeCell ref="AF26:AG27"/>
    <mergeCell ref="B24:C25"/>
    <mergeCell ref="D24:D25"/>
    <mergeCell ref="E24:E25"/>
    <mergeCell ref="J24:J25"/>
    <mergeCell ref="K24:L25"/>
    <mergeCell ref="M24:M25"/>
    <mergeCell ref="AF20:AG21"/>
    <mergeCell ref="B22:C23"/>
    <mergeCell ref="D22:D23"/>
    <mergeCell ref="E22:E23"/>
    <mergeCell ref="J22:J23"/>
    <mergeCell ref="K22:L23"/>
    <mergeCell ref="M22:M23"/>
    <mergeCell ref="AF22:AG23"/>
    <mergeCell ref="B18:C18"/>
    <mergeCell ref="K18:L18"/>
    <mergeCell ref="B20:C21"/>
    <mergeCell ref="D20:D21"/>
    <mergeCell ref="E20:E21"/>
    <mergeCell ref="J20:J21"/>
    <mergeCell ref="K20:L21"/>
    <mergeCell ref="M20:M21"/>
    <mergeCell ref="B5:M5"/>
    <mergeCell ref="B6:M6"/>
    <mergeCell ref="B13:K13"/>
    <mergeCell ref="L13:M13"/>
    <mergeCell ref="B14:K14"/>
    <mergeCell ref="L14:M14"/>
    <mergeCell ref="C9:D9"/>
    <mergeCell ref="C10:D10"/>
    <mergeCell ref="F10:G10"/>
    <mergeCell ref="H10:J10"/>
    <mergeCell ref="K10:L10"/>
    <mergeCell ref="C11:D11"/>
    <mergeCell ref="F11:G11"/>
    <mergeCell ref="H11:J11"/>
    <mergeCell ref="K11:L11"/>
    <mergeCell ref="B7:B8"/>
    <mergeCell ref="C7:D8"/>
    <mergeCell ref="E7:E8"/>
    <mergeCell ref="F7:G8"/>
    <mergeCell ref="H7:J8"/>
    <mergeCell ref="K7:M7"/>
    <mergeCell ref="K8:L8"/>
    <mergeCell ref="C12:D12"/>
    <mergeCell ref="F12:G12"/>
    <mergeCell ref="B136:I136"/>
    <mergeCell ref="B79:L79"/>
    <mergeCell ref="B80:D80"/>
    <mergeCell ref="E80:G80"/>
    <mergeCell ref="B127:B128"/>
    <mergeCell ref="B129:B130"/>
    <mergeCell ref="J133:M133"/>
    <mergeCell ref="B126:M126"/>
    <mergeCell ref="B113:D113"/>
    <mergeCell ref="K113:L113"/>
    <mergeCell ref="B123:L123"/>
    <mergeCell ref="C119:D119"/>
    <mergeCell ref="K119:L119"/>
    <mergeCell ref="C120:D120"/>
    <mergeCell ref="K120:L120"/>
    <mergeCell ref="B122:D122"/>
    <mergeCell ref="K122:L122"/>
    <mergeCell ref="C87:D88"/>
    <mergeCell ref="E87:G87"/>
    <mergeCell ref="H87:J87"/>
    <mergeCell ref="K87:M87"/>
    <mergeCell ref="C82:D82"/>
    <mergeCell ref="E82:G82"/>
    <mergeCell ref="H82:J82"/>
    <mergeCell ref="K116:M116"/>
    <mergeCell ref="K117:L117"/>
    <mergeCell ref="H80:J80"/>
    <mergeCell ref="K76:L76"/>
    <mergeCell ref="B70:B71"/>
    <mergeCell ref="C70:D71"/>
    <mergeCell ref="E70:G70"/>
    <mergeCell ref="H70:J70"/>
    <mergeCell ref="K70:M70"/>
    <mergeCell ref="K71:L71"/>
    <mergeCell ref="K82:M82"/>
    <mergeCell ref="B93:D93"/>
    <mergeCell ref="K93:L93"/>
    <mergeCell ref="C101:D101"/>
    <mergeCell ref="K101:L101"/>
    <mergeCell ref="C112:D112"/>
    <mergeCell ref="K112:L112"/>
  </mergeCells>
  <conditionalFormatting sqref="K104:L104">
    <cfRule type="cellIs" dxfId="11" priority="34" operator="equal">
      <formula>"No"</formula>
    </cfRule>
  </conditionalFormatting>
  <conditionalFormatting sqref="K82:K83">
    <cfRule type="expression" dxfId="10" priority="33">
      <formula>IFERROR(AND(K82&gt;0.1,K82&lt;&gt;""),FALSE)</formula>
    </cfRule>
  </conditionalFormatting>
  <conditionalFormatting sqref="B119:M120 B100:M100 B110:M111 B99:C99 E99:M99">
    <cfRule type="expression" dxfId="9" priority="32">
      <formula>AND(DESPath=3,OR($B99="District Cooling",$B99="District Hot Water",$B99="District Steam"))</formula>
    </cfRule>
  </conditionalFormatting>
  <conditionalFormatting sqref="E82:J83">
    <cfRule type="expression" dxfId="8" priority="1204">
      <formula>AND(DESPath=3,#REF!=$B82,ISERROR(1/VLOOKUP($B82,PO_Enrgy_7_Table,MATCH($G$72,PO_Enrgy_7_Hdr,0),FALSE)))</formula>
    </cfRule>
  </conditionalFormatting>
  <conditionalFormatting sqref="J133:M136">
    <cfRule type="expression" dxfId="7" priority="1282">
      <formula>IF($R133=TRUE,TRUE,FALSE)</formula>
    </cfRule>
  </conditionalFormatting>
  <conditionalFormatting sqref="B133:I136">
    <cfRule type="expression" dxfId="6" priority="22">
      <formula>IF($R133=TRUE,TRUE,FALSE)</formula>
    </cfRule>
  </conditionalFormatting>
  <conditionalFormatting sqref="K84">
    <cfRule type="expression" dxfId="5" priority="4">
      <formula>IFERROR(AND(K84&gt;0.1,K84&lt;&gt;""),FALSE)</formula>
    </cfRule>
  </conditionalFormatting>
  <conditionalFormatting sqref="E84:J84">
    <cfRule type="expression" dxfId="4" priority="5">
      <formula>AND(DESPath=3,#REF!=$B84,ISERROR(1/VLOOKUP($B84,PO_Enrgy_7_Table,MATCH($G$72,PO_Enrgy_7_Hdr,0),FALSE)))</formula>
    </cfRule>
  </conditionalFormatting>
  <conditionalFormatting sqref="B101:M101">
    <cfRule type="expression" dxfId="3" priority="3">
      <formula>AND(DESPath=3,OR($B101="District Cooling",$B101="District Hot Water",$B101="District Steam"))</formula>
    </cfRule>
  </conditionalFormatting>
  <conditionalFormatting sqref="B112:M112">
    <cfRule type="expression" dxfId="2" priority="2">
      <formula>AND(DESPath=3,OR($B112="District Cooling",$B112="District Hot Water",$B112="District Steam"))</formula>
    </cfRule>
  </conditionalFormatting>
  <conditionalFormatting sqref="B121:M121">
    <cfRule type="expression" dxfId="1" priority="1">
      <formula>AND(DESPath=3,OR($B121="District Cooling",$B121="District Hot Water",$B121="District Steam"))</formula>
    </cfRule>
  </conditionalFormatting>
  <dataValidations disablePrompts="1" count="11">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20:E67" xr:uid="{00000000-0002-0000-1500-000000000000}">
      <formula1>INDEX(PO_Enrgy_1_Table,,1)</formula1>
    </dataValidation>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13:L14" xr:uid="{00000000-0002-0000-1500-000001000000}">
      <formula1>ConsumptionUnits</formula1>
    </dataValidation>
    <dataValidation allowBlank="1" promptTitle="Energy End Use" prompt="Select the energy end use or enter the end use if not listed." sqref="B20:C67" xr:uid="{00000000-0002-0000-1500-000002000000}"/>
    <dataValidation type="list" showInputMessage="1" sqref="D20:D67" xr:uid="{00000000-0002-0000-1500-000003000000}">
      <formula1>" x"</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68" xr:uid="{00000000-0002-0000-1500-000004000000}">
      <formula1>PO_EnergyType</formula1>
    </dataValidation>
    <dataValidation allowBlank="1" showErrorMessage="1" sqref="B115 B95 B86 B106" xr:uid="{00000000-0002-0000-1500-000005000000}"/>
    <dataValidation type="list" allowBlank="1" showInputMessage="1" promptTitle="Utility Rate Structure" sqref="H10:H12" xr:uid="{00000000-0002-0000-1500-000006000000}">
      <formula1>UtilityRateStructure</formula1>
    </dataValidation>
    <dataValidation type="list" allowBlank="1" showInputMessage="1" showErrorMessage="1" errorTitle="Required Input" error="The units must be selected from the provided list." promptTitle="Energy Consumption Units:" sqref="C10:C12" xr:uid="{00000000-0002-0000-1500-000007000000}">
      <formula1>ConsumptionUnits</formula1>
    </dataValidation>
    <dataValidation allowBlank="1" showInputMessage="1" showErrorMessage="1" promptTitle="Utility Rate Name" sqref="F10:F12 N10:O12" xr:uid="{00000000-0002-0000-1500-000008000000}"/>
    <dataValidation type="list" allowBlank="1" showInputMessage="1" showErrorMessage="1" errorTitle="Invalid Entry" error="Please select from the list of values shown." promptTitle="Project Energy Types" sqref="B10:B12" xr:uid="{00000000-0002-0000-1500-000009000000}">
      <formula1>FuelTypes</formula1>
    </dataValidation>
    <dataValidation type="list" errorStyle="warning" allowBlank="1" showInputMessage="1" showErrorMessage="1" errorTitle="Required Input" error="The units must be selected from the provided list." promptTitle="Select the demand units:" sqref="E10:E12" xr:uid="{00000000-0002-0000-1500-00000A000000}">
      <formula1>DemandUnits</formula1>
    </dataValidation>
  </dataValidations>
  <pageMargins left="0.5" right="0.5" top="0.75" bottom="0.75" header="0.5" footer="0.5"/>
  <pageSetup scale="44" orientation="landscape" r:id="rId1"/>
  <headerFooter alignWithMargins="0">
    <oddFooter>&amp;LU S Green Building Council&amp;C&amp;"Arial,Bold"&amp;A&amp;RLEED&amp;XTM&amp;X v. 2.2</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dimension ref="A1:AK30"/>
  <sheetViews>
    <sheetView showGridLines="0" zoomScale="90" zoomScaleNormal="90" zoomScalePageLayoutView="90" workbookViewId="0">
      <selection activeCell="AA25" sqref="AA25"/>
    </sheetView>
  </sheetViews>
  <sheetFormatPr defaultColWidth="8.7109375" defaultRowHeight="15" x14ac:dyDescent="0.25"/>
  <cols>
    <col min="1" max="2" width="2.7109375" style="719" customWidth="1"/>
    <col min="3" max="33" width="5.7109375" style="719" customWidth="1"/>
    <col min="34" max="34" width="2.7109375" style="719" customWidth="1"/>
    <col min="35" max="35" width="8.7109375" style="719"/>
    <col min="36" max="43" width="12.7109375" style="719" customWidth="1"/>
    <col min="44" max="16384" width="8.7109375" style="719"/>
  </cols>
  <sheetData>
    <row r="1" spans="1:34" s="720" customFormat="1" ht="15" customHeight="1" x14ac:dyDescent="0.25"/>
    <row r="2" spans="1:34" s="720" customFormat="1" ht="15" customHeight="1" x14ac:dyDescent="0.25">
      <c r="B2" s="723"/>
      <c r="C2" s="724"/>
      <c r="D2" s="724"/>
      <c r="E2" s="724"/>
      <c r="F2" s="724"/>
      <c r="G2" s="724"/>
      <c r="H2" s="724"/>
      <c r="I2" s="724"/>
      <c r="J2" s="724"/>
      <c r="K2" s="724"/>
      <c r="L2" s="724"/>
      <c r="M2" s="724"/>
      <c r="N2" s="724"/>
      <c r="O2" s="724"/>
      <c r="P2" s="724"/>
      <c r="Q2" s="724"/>
      <c r="R2" s="724"/>
      <c r="S2" s="724"/>
      <c r="T2" s="724"/>
      <c r="U2" s="724"/>
      <c r="V2" s="724"/>
      <c r="W2" s="724"/>
      <c r="X2" s="724"/>
      <c r="Y2" s="724"/>
      <c r="Z2" s="724"/>
      <c r="AA2" s="724"/>
      <c r="AB2" s="724"/>
      <c r="AC2" s="724"/>
      <c r="AD2" s="724"/>
      <c r="AE2" s="724"/>
      <c r="AF2" s="724"/>
      <c r="AG2" s="724"/>
      <c r="AH2" s="725"/>
    </row>
    <row r="3" spans="1:34" s="720" customFormat="1" ht="24.75" customHeight="1" x14ac:dyDescent="0.25">
      <c r="B3" s="726"/>
      <c r="C3" s="727" t="s">
        <v>1277</v>
      </c>
      <c r="D3" s="728"/>
      <c r="E3" s="728"/>
      <c r="F3" s="728"/>
      <c r="G3" s="735"/>
      <c r="H3" s="735"/>
      <c r="I3" s="728"/>
      <c r="J3" s="728"/>
      <c r="K3" s="728"/>
      <c r="L3" s="728"/>
      <c r="M3" s="735"/>
      <c r="N3" s="728"/>
      <c r="O3" s="728"/>
      <c r="P3" s="728"/>
      <c r="Q3" s="728"/>
      <c r="R3" s="728"/>
      <c r="S3" s="728"/>
      <c r="T3" s="728"/>
      <c r="U3" s="728"/>
      <c r="V3" s="728"/>
      <c r="W3" s="728"/>
      <c r="X3" s="728"/>
      <c r="Y3" s="728"/>
      <c r="Z3" s="728"/>
      <c r="AA3" s="728"/>
      <c r="AB3" s="728"/>
      <c r="AC3" s="728"/>
      <c r="AD3" s="728"/>
      <c r="AE3" s="728"/>
      <c r="AF3" s="728"/>
      <c r="AG3" s="728"/>
      <c r="AH3" s="729"/>
    </row>
    <row r="4" spans="1:34" s="720" customFormat="1" ht="15" customHeight="1" x14ac:dyDescent="0.25">
      <c r="B4" s="726"/>
      <c r="C4" s="730" t="s">
        <v>1278</v>
      </c>
      <c r="D4" s="728"/>
      <c r="E4" s="728"/>
      <c r="F4" s="728"/>
      <c r="G4" s="728"/>
      <c r="H4" s="728"/>
      <c r="I4" s="728"/>
      <c r="J4" s="728"/>
      <c r="K4" s="728"/>
      <c r="L4" s="728"/>
      <c r="M4" s="762"/>
      <c r="N4" s="728"/>
      <c r="O4" s="728"/>
      <c r="P4" s="728"/>
      <c r="Q4" s="728"/>
      <c r="R4" s="728"/>
      <c r="S4" s="728"/>
      <c r="T4" s="728"/>
      <c r="U4" s="728"/>
      <c r="V4" s="728"/>
      <c r="W4" s="728"/>
      <c r="X4" s="728"/>
      <c r="Y4" s="728"/>
      <c r="Z4" s="728"/>
      <c r="AA4" s="728"/>
      <c r="AB4" s="728"/>
      <c r="AC4" s="728"/>
      <c r="AD4" s="728"/>
      <c r="AE4" s="728"/>
      <c r="AF4" s="728"/>
      <c r="AG4" s="728"/>
      <c r="AH4" s="731"/>
    </row>
    <row r="5" spans="1:34" s="720" customFormat="1" ht="21" customHeight="1" x14ac:dyDescent="0.25">
      <c r="B5" s="726"/>
      <c r="C5" s="728"/>
      <c r="D5" s="732"/>
      <c r="E5" s="733"/>
      <c r="F5" s="728"/>
      <c r="G5" s="728"/>
      <c r="H5" s="728"/>
      <c r="I5" s="728"/>
      <c r="J5" s="728"/>
      <c r="K5" s="728"/>
      <c r="L5" s="728"/>
      <c r="M5" s="762"/>
      <c r="N5" s="728"/>
      <c r="O5" s="728"/>
      <c r="P5" s="728"/>
      <c r="Q5" s="728"/>
      <c r="R5" s="728"/>
      <c r="S5" s="728"/>
      <c r="T5" s="728"/>
      <c r="U5" s="728"/>
      <c r="V5" s="728"/>
      <c r="W5" s="728"/>
      <c r="X5" s="728"/>
      <c r="Y5" s="728"/>
      <c r="Z5" s="728"/>
      <c r="AA5" s="728"/>
      <c r="AB5" s="728"/>
      <c r="AC5" s="728"/>
      <c r="AD5" s="728"/>
      <c r="AE5" s="728"/>
      <c r="AF5" s="728"/>
      <c r="AG5" s="728"/>
      <c r="AH5" s="731"/>
    </row>
    <row r="6" spans="1:34" s="720" customFormat="1" ht="15" customHeight="1" x14ac:dyDescent="0.25">
      <c r="B6" s="726"/>
      <c r="C6" s="734" t="s">
        <v>1281</v>
      </c>
      <c r="D6" s="735"/>
      <c r="E6" s="728"/>
      <c r="F6" s="728"/>
      <c r="G6" s="728"/>
      <c r="H6" s="728"/>
      <c r="I6" s="728"/>
      <c r="J6" s="728"/>
      <c r="K6" s="728"/>
      <c r="L6" s="728"/>
      <c r="M6" s="728"/>
      <c r="N6" s="728"/>
      <c r="O6" s="728"/>
      <c r="P6" s="728"/>
      <c r="Q6" s="728"/>
      <c r="R6" s="728"/>
      <c r="S6" s="728"/>
      <c r="T6" s="728"/>
      <c r="U6" s="728"/>
      <c r="V6" s="728"/>
      <c r="W6" s="728"/>
      <c r="X6" s="728"/>
      <c r="Y6" s="728"/>
      <c r="Z6" s="728"/>
      <c r="AA6" s="728"/>
      <c r="AB6" s="728"/>
      <c r="AC6" s="728"/>
      <c r="AD6" s="728"/>
      <c r="AE6" s="728"/>
      <c r="AF6" s="3441">
        <f ca="1">IFERROR(IF(MultipleBuildingsExist="Yes",ROUNDUP(Performance_Outputs_Summary!$K$104,3),ROUNDUP(Performance_Outputs_1!$K$297,3)),"")</f>
        <v>0.104</v>
      </c>
      <c r="AG6" s="3442"/>
      <c r="AH6" s="736"/>
    </row>
    <row r="7" spans="1:34" s="720" customFormat="1" ht="18" customHeight="1" x14ac:dyDescent="0.25">
      <c r="B7" s="726"/>
      <c r="C7" s="734"/>
      <c r="D7" s="735"/>
      <c r="E7" s="739"/>
      <c r="F7" s="728"/>
      <c r="G7" s="728"/>
      <c r="H7" s="728"/>
      <c r="I7" s="728"/>
      <c r="J7" s="728"/>
      <c r="K7" s="728"/>
      <c r="L7" s="728"/>
      <c r="M7" s="763"/>
      <c r="N7" s="728"/>
      <c r="O7" s="728"/>
      <c r="P7" s="728"/>
      <c r="Q7" s="728"/>
      <c r="R7" s="728"/>
      <c r="S7" s="728"/>
      <c r="T7" s="728"/>
      <c r="U7" s="728"/>
      <c r="V7" s="728"/>
      <c r="W7" s="728"/>
      <c r="X7" s="728"/>
      <c r="Y7" s="728"/>
      <c r="Z7" s="728"/>
      <c r="AA7" s="728"/>
      <c r="AB7" s="728"/>
      <c r="AC7" s="728"/>
      <c r="AD7" s="728"/>
      <c r="AE7" s="728"/>
      <c r="AF7" s="728"/>
      <c r="AG7" s="728"/>
      <c r="AH7" s="736"/>
    </row>
    <row r="8" spans="1:34" s="720" customFormat="1" ht="15.75" customHeight="1" x14ac:dyDescent="0.25">
      <c r="B8" s="2215"/>
      <c r="C8" s="2216"/>
      <c r="D8" s="2217"/>
      <c r="E8" s="2218"/>
      <c r="F8" s="2219"/>
      <c r="G8" s="2219"/>
      <c r="H8" s="2219"/>
      <c r="I8" s="2219"/>
      <c r="J8" s="2219"/>
      <c r="K8" s="2219"/>
      <c r="L8" s="2219"/>
      <c r="M8" s="2220"/>
      <c r="N8" s="2219"/>
      <c r="O8" s="2219"/>
      <c r="P8" s="2219"/>
      <c r="Q8" s="2219"/>
      <c r="R8" s="2219"/>
      <c r="S8" s="2219"/>
      <c r="T8" s="2219"/>
      <c r="U8" s="2219"/>
      <c r="V8" s="2219"/>
      <c r="W8" s="2219"/>
      <c r="X8" s="2219"/>
      <c r="Y8" s="2219"/>
      <c r="Z8" s="2219"/>
      <c r="AA8" s="2219"/>
      <c r="AB8" s="2219"/>
      <c r="AC8" s="2219"/>
      <c r="AD8" s="2219"/>
      <c r="AE8" s="2219"/>
      <c r="AF8" s="2219"/>
      <c r="AG8" s="2219"/>
      <c r="AH8" s="2221"/>
    </row>
    <row r="9" spans="1:34" s="720" customFormat="1" ht="15" customHeight="1" x14ac:dyDescent="0.25">
      <c r="B9" s="2222"/>
      <c r="C9" s="2223" t="s">
        <v>1279</v>
      </c>
      <c r="D9" s="2224"/>
      <c r="E9" s="2225"/>
      <c r="F9" s="721"/>
      <c r="G9" s="721"/>
      <c r="H9" s="721"/>
      <c r="I9" s="721"/>
      <c r="J9" s="721"/>
      <c r="K9" s="721"/>
      <c r="L9" s="721"/>
      <c r="M9" s="2226"/>
      <c r="N9" s="721"/>
      <c r="O9" s="721"/>
      <c r="P9" s="721"/>
      <c r="Q9" s="721"/>
      <c r="R9" s="721"/>
      <c r="S9" s="721"/>
      <c r="T9" s="721"/>
      <c r="U9" s="721"/>
      <c r="V9" s="721"/>
      <c r="W9" s="721"/>
      <c r="X9" s="721"/>
      <c r="Y9" s="721"/>
      <c r="Z9" s="721"/>
      <c r="AA9" s="721"/>
      <c r="AB9" s="721"/>
      <c r="AC9" s="721"/>
      <c r="AD9" s="721"/>
      <c r="AE9" s="721"/>
      <c r="AF9" s="721"/>
      <c r="AG9" s="721"/>
      <c r="AH9" s="2227"/>
    </row>
    <row r="10" spans="1:34" s="720" customFormat="1" ht="15" customHeight="1" x14ac:dyDescent="0.25">
      <c r="B10" s="2222"/>
      <c r="C10" s="2228"/>
      <c r="D10" s="2224"/>
      <c r="E10" s="2225"/>
      <c r="F10" s="721"/>
      <c r="G10" s="721"/>
      <c r="H10" s="721"/>
      <c r="I10" s="721"/>
      <c r="J10" s="721"/>
      <c r="K10" s="721"/>
      <c r="L10" s="721"/>
      <c r="M10" s="721"/>
      <c r="N10" s="721"/>
      <c r="O10" s="721"/>
      <c r="P10" s="721"/>
      <c r="Q10" s="721"/>
      <c r="R10" s="721"/>
      <c r="S10" s="721"/>
      <c r="T10" s="721"/>
      <c r="U10" s="721"/>
      <c r="V10" s="721"/>
      <c r="W10" s="721"/>
      <c r="X10" s="721"/>
      <c r="Y10" s="721"/>
      <c r="Z10" s="721"/>
      <c r="AA10" s="721"/>
      <c r="AB10" s="721"/>
      <c r="AC10" s="721"/>
      <c r="AD10" s="721"/>
      <c r="AE10" s="721"/>
      <c r="AF10" s="721"/>
      <c r="AG10" s="721"/>
      <c r="AH10" s="2227"/>
    </row>
    <row r="11" spans="1:34" s="720" customFormat="1" ht="15" customHeight="1" x14ac:dyDescent="0.25">
      <c r="B11" s="2222"/>
      <c r="C11" s="2228" t="s">
        <v>1282</v>
      </c>
      <c r="D11" s="2224"/>
      <c r="E11" s="721"/>
      <c r="F11" s="721"/>
      <c r="G11" s="721"/>
      <c r="H11" s="721"/>
      <c r="I11" s="721"/>
      <c r="J11" s="721"/>
      <c r="K11" s="721"/>
      <c r="L11" s="721"/>
      <c r="M11" s="721"/>
      <c r="N11" s="721"/>
      <c r="O11" s="721"/>
      <c r="P11" s="721"/>
      <c r="Q11" s="721"/>
      <c r="R11" s="721"/>
      <c r="S11" s="721"/>
      <c r="T11" s="721"/>
      <c r="U11" s="721"/>
      <c r="V11" s="721"/>
      <c r="W11" s="721"/>
      <c r="X11" s="721"/>
      <c r="Y11" s="721"/>
      <c r="Z11" s="721"/>
      <c r="AA11" s="721"/>
      <c r="AB11" s="721"/>
      <c r="AC11" s="721"/>
      <c r="AD11" s="721"/>
      <c r="AE11" s="721"/>
      <c r="AF11" s="3443">
        <f ca="1">IFERROR(IF(MultipleBuildingsExist="Yes",ROUNDUP(Performance_Outputs_Summary!$M$123,3),ROUNDUP(Performance_Outputs_1!$M$328,3)),"")</f>
        <v>0.104</v>
      </c>
      <c r="AG11" s="3444"/>
      <c r="AH11" s="2227"/>
    </row>
    <row r="12" spans="1:34" s="720" customFormat="1" ht="18" customHeight="1" x14ac:dyDescent="0.25">
      <c r="B12" s="2229"/>
      <c r="C12" s="2230"/>
      <c r="D12" s="2231"/>
      <c r="E12" s="2232"/>
      <c r="F12" s="2230"/>
      <c r="G12" s="2230"/>
      <c r="H12" s="2230"/>
      <c r="I12" s="2230"/>
      <c r="J12" s="2230"/>
      <c r="K12" s="2230"/>
      <c r="L12" s="2230"/>
      <c r="M12" s="2233"/>
      <c r="N12" s="2230"/>
      <c r="O12" s="2230"/>
      <c r="P12" s="2230"/>
      <c r="Q12" s="2230"/>
      <c r="R12" s="2230"/>
      <c r="S12" s="2230"/>
      <c r="T12" s="2230"/>
      <c r="U12" s="2230"/>
      <c r="V12" s="2230"/>
      <c r="W12" s="2230"/>
      <c r="X12" s="2230"/>
      <c r="Y12" s="2230"/>
      <c r="Z12" s="2230"/>
      <c r="AA12" s="2230"/>
      <c r="AB12" s="2230"/>
      <c r="AC12" s="2230"/>
      <c r="AD12" s="2230"/>
      <c r="AE12" s="2230"/>
      <c r="AF12" s="2230"/>
      <c r="AG12" s="2230"/>
      <c r="AH12" s="2234"/>
    </row>
    <row r="13" spans="1:34" s="720" customFormat="1" ht="13.5" customHeight="1" x14ac:dyDescent="0.25">
      <c r="B13" s="723"/>
      <c r="C13" s="724"/>
      <c r="D13" s="750"/>
      <c r="E13" s="751"/>
      <c r="F13" s="724"/>
      <c r="G13" s="724"/>
      <c r="H13" s="724"/>
      <c r="I13" s="724"/>
      <c r="J13" s="724"/>
      <c r="K13" s="724"/>
      <c r="L13" s="724"/>
      <c r="M13" s="752"/>
      <c r="N13" s="724"/>
      <c r="O13" s="724"/>
      <c r="P13" s="724"/>
      <c r="Q13" s="724"/>
      <c r="R13" s="724"/>
      <c r="S13" s="724"/>
      <c r="T13" s="724"/>
      <c r="U13" s="724"/>
      <c r="V13" s="724"/>
      <c r="W13" s="724"/>
      <c r="X13" s="724"/>
      <c r="Y13" s="724"/>
      <c r="Z13" s="724"/>
      <c r="AA13" s="724"/>
      <c r="AB13" s="724"/>
      <c r="AC13" s="724"/>
      <c r="AD13" s="724"/>
      <c r="AE13" s="724"/>
      <c r="AF13" s="724"/>
      <c r="AG13" s="724"/>
      <c r="AH13" s="725"/>
    </row>
    <row r="14" spans="1:34" s="740" customFormat="1" ht="21" customHeight="1" x14ac:dyDescent="0.25">
      <c r="B14" s="737"/>
      <c r="C14" s="3306" t="s">
        <v>1280</v>
      </c>
      <c r="D14" s="3306"/>
      <c r="E14" s="3306"/>
      <c r="F14" s="3306"/>
      <c r="G14" s="3306"/>
      <c r="H14" s="3306"/>
      <c r="I14" s="3306"/>
      <c r="J14" s="3306"/>
      <c r="K14" s="3306"/>
      <c r="L14" s="3306"/>
      <c r="M14" s="3306"/>
      <c r="N14" s="3306"/>
      <c r="O14" s="3306"/>
      <c r="P14" s="3306"/>
      <c r="Q14" s="3306"/>
      <c r="R14" s="3306"/>
      <c r="S14" s="3306"/>
      <c r="T14" s="3306"/>
      <c r="U14" s="3306"/>
      <c r="V14" s="3306"/>
      <c r="W14" s="3306"/>
      <c r="X14" s="3306"/>
      <c r="Y14" s="3306"/>
      <c r="Z14" s="3306"/>
      <c r="AA14" s="3306"/>
      <c r="AB14" s="3306"/>
      <c r="AC14" s="3306"/>
      <c r="AD14" s="3306"/>
      <c r="AE14" s="3306"/>
      <c r="AF14" s="3306"/>
      <c r="AG14" s="3306"/>
      <c r="AH14" s="738"/>
    </row>
    <row r="15" spans="1:34" s="742" customFormat="1" ht="30" customHeight="1" x14ac:dyDescent="0.2">
      <c r="A15" s="741"/>
      <c r="B15" s="753"/>
      <c r="C15" s="3448" t="str">
        <f>IF(proj_RatingSystem="Data Centers - New Construction","Thresholds are based on the major renovation area as a percentage of total conditioned building area.  A minimum 2% of energy savings must come from building power and cooling infrastructure.",IF(OR("A"=1,proj_RatingSystem="Core and Shell"),"",IF(proj_RatingSystem="Homes","The performance thresholds in the table below are used in combination with the point adjustment on the multifamily details tab for a maximum of 30 points","Thresholds are based on the major renovation area as a percentage of total conditioned building area.")))</f>
        <v>Thresholds are based on the major renovation area as a percentage of total conditioned building area.</v>
      </c>
      <c r="D15" s="3448"/>
      <c r="E15" s="3448"/>
      <c r="F15" s="3448"/>
      <c r="G15" s="3448"/>
      <c r="H15" s="3448"/>
      <c r="I15" s="3448"/>
      <c r="J15" s="3448"/>
      <c r="K15" s="3448"/>
      <c r="L15" s="3448"/>
      <c r="M15" s="3448"/>
      <c r="N15" s="3448"/>
      <c r="O15" s="3448"/>
      <c r="P15" s="3448"/>
      <c r="Q15" s="3448"/>
      <c r="R15" s="3448"/>
      <c r="S15" s="3448"/>
      <c r="T15" s="3448"/>
      <c r="U15" s="3448"/>
      <c r="V15" s="3448"/>
      <c r="W15" s="3448"/>
      <c r="X15" s="3448"/>
      <c r="Y15" s="3448"/>
      <c r="Z15" s="3448"/>
      <c r="AA15" s="3448"/>
      <c r="AB15" s="3448"/>
      <c r="AC15" s="3448"/>
      <c r="AD15" s="3448"/>
      <c r="AE15" s="3448"/>
      <c r="AF15" s="3448"/>
      <c r="AG15" s="3448"/>
      <c r="AH15" s="754"/>
    </row>
    <row r="16" spans="1:34" s="742" customFormat="1" ht="21" customHeight="1" x14ac:dyDescent="0.2">
      <c r="A16" s="743"/>
      <c r="B16" s="753"/>
      <c r="C16" s="3445" t="s">
        <v>1284</v>
      </c>
      <c r="D16" s="3446"/>
      <c r="E16" s="3446"/>
      <c r="F16" s="3446"/>
      <c r="G16" s="3446"/>
      <c r="H16" s="3446"/>
      <c r="I16" s="3446"/>
      <c r="J16" s="3446"/>
      <c r="K16" s="3446"/>
      <c r="L16" s="3446"/>
      <c r="M16" s="3446"/>
      <c r="N16" s="3446"/>
      <c r="O16" s="3446"/>
      <c r="P16" s="3446"/>
      <c r="Q16" s="3446"/>
      <c r="R16" s="3446"/>
      <c r="S16" s="3446"/>
      <c r="T16" s="3446"/>
      <c r="U16" s="3446"/>
      <c r="V16" s="3446"/>
      <c r="W16" s="3446"/>
      <c r="X16" s="3446"/>
      <c r="Y16" s="3446"/>
      <c r="Z16" s="3446"/>
      <c r="AA16" s="3446"/>
      <c r="AB16" s="3446"/>
      <c r="AC16" s="3446"/>
      <c r="AD16" s="3446"/>
      <c r="AE16" s="3446"/>
      <c r="AF16" s="3446"/>
      <c r="AG16" s="3447"/>
      <c r="AH16" s="754"/>
    </row>
    <row r="17" spans="1:37" s="742" customFormat="1" ht="21" customHeight="1" x14ac:dyDescent="0.2">
      <c r="A17" s="744"/>
      <c r="B17" s="753"/>
      <c r="C17" s="1028">
        <f>IF(proj_RatingSystem="Core and Shell",0.02,IF(proj_RatingSystem="Homes",0.05,IF(RatingSystem_IDC=TRUE,0.03,5*(pctNew/100)+3*(PctRenovation/100))))</f>
        <v>0.05</v>
      </c>
      <c r="D17" s="1029">
        <f>C17+1%</f>
        <v>6.0000000000000005E-2</v>
      </c>
      <c r="E17" s="1029">
        <f t="shared" ref="E17:N17" si="0">IF(OR(RatingSystem_IDC=TRUE,proj_RatingSystem="Homes"),D17+1%,D17+2%)</f>
        <v>0.08</v>
      </c>
      <c r="F17" s="1029">
        <f t="shared" si="0"/>
        <v>0.1</v>
      </c>
      <c r="G17" s="1029">
        <f t="shared" si="0"/>
        <v>0.12000000000000001</v>
      </c>
      <c r="H17" s="1029">
        <f t="shared" si="0"/>
        <v>0.14000000000000001</v>
      </c>
      <c r="I17" s="1029">
        <f t="shared" si="0"/>
        <v>0.16</v>
      </c>
      <c r="J17" s="1029">
        <f t="shared" si="0"/>
        <v>0.18</v>
      </c>
      <c r="K17" s="1029">
        <f t="shared" si="0"/>
        <v>0.19999999999999998</v>
      </c>
      <c r="L17" s="1029">
        <f t="shared" si="0"/>
        <v>0.21999999999999997</v>
      </c>
      <c r="M17" s="1029">
        <f t="shared" si="0"/>
        <v>0.23999999999999996</v>
      </c>
      <c r="N17" s="1029">
        <f t="shared" si="0"/>
        <v>0.25999999999999995</v>
      </c>
      <c r="O17" s="1029">
        <f>IF(OR(RatingSystem_IDC=TRUE,proj_RatingSystem="Homes"),N17+1%,N17+3%)</f>
        <v>0.28999999999999992</v>
      </c>
      <c r="P17" s="1029">
        <f>IF(OR(RatingSystem_IDC=TRUE,proj_RatingSystem="Homes"),O17+1%,O17+3%)</f>
        <v>0.31999999999999995</v>
      </c>
      <c r="Q17" s="1029">
        <f>IF(OR(RatingSystem_IDC=TRUE,proj_RatingSystem="Homes"),P17+1%,P17+3%)</f>
        <v>0.35</v>
      </c>
      <c r="R17" s="1029">
        <f>IF(OR(RatingSystem_IDC=TRUE,proj_RatingSystem="Homes"),Q17+1%,Q17+3%)</f>
        <v>0.38</v>
      </c>
      <c r="S17" s="1029">
        <f>IF(proj_RatingSystem="Homes",R17+2%,IF(RatingSystem_IDC=TRUE,R17+2%,R17+4%))</f>
        <v>0.42</v>
      </c>
      <c r="T17" s="1029">
        <f>IF(proj_RatingSystem="Homes",S17+2%,IF(RatingSystem_IDC=TRUE,S17+2%,IF(proj_RatingSystem="Schools - New Construction","",S17+4%)))</f>
        <v>0.45999999999999996</v>
      </c>
      <c r="U17" s="1029">
        <f>IF(proj_RatingSystem="Homes",T17+2%,IF(RatingSystem_IDC=TRUE,T17+2%,IF(proj_RatingSystem="Schools - New Construction","",T17+4%)))</f>
        <v>0.49999999999999994</v>
      </c>
      <c r="V17" s="1029" t="str">
        <f>IF(proj_RatingSystem="Homes",U17+2%,IF(RatingSystem_IDC=TRUE,U17+4%,""))</f>
        <v/>
      </c>
      <c r="W17" s="1029" t="str">
        <f>IF(proj_RatingSystem="Homes",V17+2%,"")</f>
        <v/>
      </c>
      <c r="X17" s="1029" t="str">
        <f t="shared" ref="X17:AF17" si="1">IF(proj_RatingSystem="Homes",W17+3%,"")</f>
        <v/>
      </c>
      <c r="Y17" s="1029" t="str">
        <f t="shared" si="1"/>
        <v/>
      </c>
      <c r="Z17" s="1029" t="str">
        <f t="shared" si="1"/>
        <v/>
      </c>
      <c r="AA17" s="1029" t="str">
        <f t="shared" si="1"/>
        <v/>
      </c>
      <c r="AB17" s="1029" t="str">
        <f t="shared" si="1"/>
        <v/>
      </c>
      <c r="AC17" s="1029" t="str">
        <f t="shared" si="1"/>
        <v/>
      </c>
      <c r="AD17" s="1029" t="str">
        <f t="shared" si="1"/>
        <v/>
      </c>
      <c r="AE17" s="1029" t="str">
        <f t="shared" si="1"/>
        <v/>
      </c>
      <c r="AF17" s="1029" t="str">
        <f t="shared" si="1"/>
        <v/>
      </c>
      <c r="AG17" s="749">
        <f>IF(proj_RatingSystem="Homes",AF17+3%,MAX(C17:AF17)+4%)</f>
        <v>0.53999999999999992</v>
      </c>
      <c r="AH17" s="754"/>
    </row>
    <row r="18" spans="1:37" s="742" customFormat="1" ht="21" customHeight="1" x14ac:dyDescent="0.2">
      <c r="A18" s="744"/>
      <c r="B18" s="753"/>
      <c r="C18" s="1030" t="s">
        <v>1283</v>
      </c>
      <c r="D18" s="1031">
        <f>IF(proj_RatingSystem="Healthcare",3,IF(RatingSystem_IDC=TRUE,4,1))</f>
        <v>1</v>
      </c>
      <c r="E18" s="1031">
        <f>IF(RatingSystem_IDC=TRUE,D18+2,D18+1)</f>
        <v>2</v>
      </c>
      <c r="F18" s="1031">
        <f>IF(RatingSystem_IDC=TRUE,E18+2,E18+1)</f>
        <v>3</v>
      </c>
      <c r="G18" s="1031">
        <f>IF(RatingSystem_IDC=TRUE,F18+2,F18+1)</f>
        <v>4</v>
      </c>
      <c r="H18" s="1031">
        <f t="shared" ref="H18:O18" si="2">G18+1</f>
        <v>5</v>
      </c>
      <c r="I18" s="1031">
        <f t="shared" si="2"/>
        <v>6</v>
      </c>
      <c r="J18" s="1031">
        <f t="shared" si="2"/>
        <v>7</v>
      </c>
      <c r="K18" s="1031">
        <f t="shared" si="2"/>
        <v>8</v>
      </c>
      <c r="L18" s="1031">
        <f t="shared" si="2"/>
        <v>9</v>
      </c>
      <c r="M18" s="1031">
        <f t="shared" si="2"/>
        <v>10</v>
      </c>
      <c r="N18" s="1031">
        <f t="shared" si="2"/>
        <v>11</v>
      </c>
      <c r="O18" s="1031">
        <f t="shared" si="2"/>
        <v>12</v>
      </c>
      <c r="P18" s="1031">
        <f>O18+1</f>
        <v>13</v>
      </c>
      <c r="Q18" s="1031">
        <f>P18+1</f>
        <v>14</v>
      </c>
      <c r="R18" s="1031">
        <f>Q18+1</f>
        <v>15</v>
      </c>
      <c r="S18" s="1031">
        <f>R18+1</f>
        <v>16</v>
      </c>
      <c r="T18" s="1031">
        <f>IF(proj_RatingSystem="Schools - New Construction","",S18+1)</f>
        <v>17</v>
      </c>
      <c r="U18" s="1031">
        <f>IF(proj_RatingSystem="Schools - New Construction","",T18+1)</f>
        <v>18</v>
      </c>
      <c r="V18" s="1031" t="str">
        <f>IF(OR(proj_RatingSystem="Homes",RatingSystem_IDC=TRUE),U18+1,"")</f>
        <v/>
      </c>
      <c r="W18" s="1031" t="str">
        <f t="shared" ref="W18:AF18" si="3">IF(proj_RatingSystem="Homes",V18+1,"")</f>
        <v/>
      </c>
      <c r="X18" s="1031" t="str">
        <f t="shared" si="3"/>
        <v/>
      </c>
      <c r="Y18" s="1031" t="str">
        <f t="shared" si="3"/>
        <v/>
      </c>
      <c r="Z18" s="1031" t="str">
        <f t="shared" si="3"/>
        <v/>
      </c>
      <c r="AA18" s="1031" t="str">
        <f t="shared" si="3"/>
        <v/>
      </c>
      <c r="AB18" s="1031" t="str">
        <f t="shared" si="3"/>
        <v/>
      </c>
      <c r="AC18" s="1031" t="str">
        <f t="shared" si="3"/>
        <v/>
      </c>
      <c r="AD18" s="1031" t="str">
        <f t="shared" si="3"/>
        <v/>
      </c>
      <c r="AE18" s="1031" t="str">
        <f t="shared" si="3"/>
        <v/>
      </c>
      <c r="AF18" s="1031" t="str">
        <f t="shared" si="3"/>
        <v/>
      </c>
      <c r="AG18" s="748" t="str">
        <f>IF(proj_RatingSystem="Homes",AF18+1,"EP")</f>
        <v>EP</v>
      </c>
      <c r="AH18" s="754"/>
    </row>
    <row r="19" spans="1:37" s="742" customFormat="1" ht="21" customHeight="1" x14ac:dyDescent="0.2">
      <c r="A19" s="744"/>
      <c r="B19" s="753"/>
      <c r="C19" s="898"/>
      <c r="D19" s="899"/>
      <c r="E19" s="899"/>
      <c r="F19" s="899"/>
      <c r="G19" s="899"/>
      <c r="H19" s="899"/>
      <c r="I19" s="899"/>
      <c r="J19" s="899"/>
      <c r="K19" s="899"/>
      <c r="L19" s="899"/>
      <c r="M19" s="899"/>
      <c r="N19" s="899"/>
      <c r="O19" s="899"/>
      <c r="P19" s="899"/>
      <c r="Q19" s="899"/>
      <c r="R19" s="899"/>
      <c r="S19" s="899"/>
      <c r="T19" s="899"/>
      <c r="U19" s="899"/>
      <c r="V19" s="899"/>
      <c r="W19" s="899"/>
      <c r="X19" s="899"/>
      <c r="Y19" s="899"/>
      <c r="Z19" s="899"/>
      <c r="AA19" s="899"/>
      <c r="AB19" s="899"/>
      <c r="AC19" s="899"/>
      <c r="AD19" s="899"/>
      <c r="AE19" s="899"/>
      <c r="AF19" s="899"/>
      <c r="AG19" s="898"/>
      <c r="AH19" s="754"/>
    </row>
    <row r="20" spans="1:37" s="742" customFormat="1" ht="21" hidden="1" customHeight="1" x14ac:dyDescent="0.2">
      <c r="A20" s="744"/>
      <c r="B20" s="753"/>
      <c r="C20" s="734" t="s">
        <v>1384</v>
      </c>
      <c r="D20" s="735"/>
      <c r="E20" s="728"/>
      <c r="F20" s="728"/>
      <c r="G20" s="728"/>
      <c r="H20" s="728"/>
      <c r="I20" s="728"/>
      <c r="J20" s="728"/>
      <c r="K20" s="728"/>
      <c r="L20" s="728"/>
      <c r="M20" s="728"/>
      <c r="N20" s="728"/>
      <c r="O20" s="728"/>
      <c r="P20" s="728"/>
      <c r="Q20" s="728"/>
      <c r="R20" s="728"/>
      <c r="S20" s="728"/>
      <c r="T20" s="728"/>
      <c r="U20" s="728"/>
      <c r="V20" s="728"/>
      <c r="W20" s="728"/>
      <c r="X20" s="728"/>
      <c r="Y20" s="728"/>
      <c r="Z20" s="728"/>
      <c r="AA20" s="728"/>
      <c r="AB20" s="728"/>
      <c r="AC20" s="728"/>
      <c r="AD20" s="728"/>
      <c r="AE20" s="728"/>
      <c r="AF20" s="3439">
        <f ca="1">IF(AF11&gt;=D17,MIN(MAX(HLOOKUP($AF$11+0.00005,$D$17:$AG$18,2,TRUE)+Homes_Point_Adjustment,0),30),0)</f>
        <v>3</v>
      </c>
      <c r="AG20" s="3440"/>
      <c r="AH20" s="754"/>
    </row>
    <row r="21" spans="1:37" s="742" customFormat="1" ht="15" customHeight="1" x14ac:dyDescent="0.2">
      <c r="A21" s="744"/>
      <c r="B21" s="755"/>
      <c r="C21" s="756"/>
      <c r="D21" s="756"/>
      <c r="E21" s="756"/>
      <c r="F21" s="756"/>
      <c r="G21" s="756"/>
      <c r="H21" s="757"/>
      <c r="I21" s="758"/>
      <c r="J21" s="759"/>
      <c r="K21" s="760"/>
      <c r="L21" s="760"/>
      <c r="M21" s="756"/>
      <c r="N21" s="756"/>
      <c r="O21" s="756"/>
      <c r="P21" s="756"/>
      <c r="Q21" s="756"/>
      <c r="R21" s="756"/>
      <c r="S21" s="756"/>
      <c r="T21" s="756"/>
      <c r="U21" s="756"/>
      <c r="V21" s="756"/>
      <c r="W21" s="756"/>
      <c r="X21" s="756"/>
      <c r="Y21" s="756"/>
      <c r="Z21" s="756"/>
      <c r="AA21" s="756"/>
      <c r="AB21" s="756"/>
      <c r="AC21" s="756"/>
      <c r="AD21" s="756"/>
      <c r="AE21" s="756"/>
      <c r="AF21" s="756"/>
      <c r="AG21" s="756"/>
      <c r="AH21" s="761"/>
    </row>
    <row r="22" spans="1:37" s="721" customFormat="1" ht="21" customHeight="1" x14ac:dyDescent="0.25">
      <c r="I22" s="720"/>
      <c r="J22" s="720"/>
    </row>
    <row r="30" spans="1:37" x14ac:dyDescent="0.25">
      <c r="AK30" s="1653"/>
    </row>
  </sheetData>
  <sheetProtection algorithmName="SHA-512" hashValue="QpX+TGkfa9NfPr3gu1ZLnR/hOZA1hxJQhy5YJhg+63JtDeiaeqwEvSbeEAoz/leH2PP6Yvq+Frxq6JbcciIMpw==" saltValue="KkR7vZDVUIAamYJFhQfVoQ==" spinCount="100000" sheet="1" objects="1" scenarios="1"/>
  <customSheetViews>
    <customSheetView guid="{75D6F8CE-A4F4-4FDD-BA92-7996F9E19FA9}" scale="90" showGridLines="0">
      <selection activeCell="AF20" sqref="AF20:AG20"/>
      <pageMargins left="0.7" right="0.7" top="0.75" bottom="0.75" header="0.3" footer="0.3"/>
      <pageSetup orientation="portrait" horizontalDpi="1200" verticalDpi="1200" r:id="rId1"/>
    </customSheetView>
  </customSheetViews>
  <mergeCells count="6">
    <mergeCell ref="AF20:AG20"/>
    <mergeCell ref="C14:AG14"/>
    <mergeCell ref="AF6:AG6"/>
    <mergeCell ref="AF11:AG11"/>
    <mergeCell ref="C16:AG16"/>
    <mergeCell ref="C15:AG15"/>
  </mergeCells>
  <conditionalFormatting sqref="C17:AF18">
    <cfRule type="expression" dxfId="0" priority="1">
      <formula>AND($AF$11&gt;=C17,$AF$11&lt;=D17)</formula>
    </cfRule>
  </conditionalFormatting>
  <pageMargins left="0.7" right="0.7" top="0.75" bottom="0.75" header="0.3" footer="0.3"/>
  <pageSetup orientation="portrait" horizontalDpi="1200" verticalDpi="1200" r:id="rId2"/>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tabColor rgb="FFC00000"/>
  </sheetPr>
  <dimension ref="A1:DR218"/>
  <sheetViews>
    <sheetView topLeftCell="A82" workbookViewId="0">
      <selection activeCell="B96" sqref="B96"/>
    </sheetView>
  </sheetViews>
  <sheetFormatPr defaultColWidth="8.7109375" defaultRowHeight="12.75" x14ac:dyDescent="0.2"/>
  <cols>
    <col min="1" max="1" width="11.42578125" style="126" customWidth="1"/>
    <col min="2" max="2" width="22" style="126" bestFit="1" customWidth="1"/>
    <col min="3" max="3" width="22" style="126" customWidth="1"/>
    <col min="4" max="4" width="19.28515625" style="126" customWidth="1"/>
    <col min="5" max="5" width="26" style="126" bestFit="1" customWidth="1"/>
    <col min="6" max="6" width="33.42578125" style="126" bestFit="1" customWidth="1"/>
    <col min="7" max="7" width="10.140625" style="126" bestFit="1" customWidth="1"/>
    <col min="8" max="8" width="13.42578125" style="126" customWidth="1"/>
    <col min="9" max="9" width="19.28515625" style="126" customWidth="1"/>
    <col min="10" max="10" width="9.7109375" style="126" bestFit="1" customWidth="1"/>
    <col min="11" max="12" width="20" style="126" customWidth="1"/>
    <col min="13" max="13" width="12.7109375" style="126" bestFit="1" customWidth="1"/>
    <col min="14" max="14" width="12.7109375" style="126" customWidth="1"/>
    <col min="15" max="24" width="8.7109375" style="126"/>
    <col min="25" max="25" width="59" style="126" bestFit="1" customWidth="1"/>
    <col min="26" max="30" width="8.7109375" style="126"/>
    <col min="31" max="38" width="8.42578125" style="126" customWidth="1"/>
    <col min="39" max="56" width="8.7109375" style="126"/>
    <col min="57" max="57" width="22.28515625" style="126" customWidth="1"/>
    <col min="58" max="78" width="8.7109375" style="126"/>
    <col min="79" max="79" width="17.28515625" style="126" bestFit="1" customWidth="1"/>
    <col min="80" max="81" width="8.7109375" style="126"/>
    <col min="82" max="82" width="30.140625" style="126" customWidth="1"/>
    <col min="83" max="83" width="8.7109375" style="126"/>
    <col min="84" max="84" width="15.140625" style="126" bestFit="1" customWidth="1"/>
    <col min="85" max="85" width="8.7109375" style="126"/>
    <col min="86" max="86" width="11" style="126" customWidth="1"/>
    <col min="87" max="90" width="8.7109375" style="126"/>
    <col min="91" max="91" width="12.7109375" style="126" customWidth="1"/>
    <col min="92" max="92" width="8.7109375" style="126"/>
    <col min="93" max="93" width="25.140625" style="126" bestFit="1" customWidth="1"/>
    <col min="94" max="95" width="8.7109375" style="126"/>
    <col min="96" max="96" width="3" style="126" customWidth="1"/>
    <col min="97" max="97" width="47.28515625" style="126" bestFit="1" customWidth="1"/>
    <col min="98" max="98" width="3.28515625" style="126" customWidth="1"/>
    <col min="99" max="99" width="30.5703125" style="126" customWidth="1"/>
    <col min="100" max="112" width="8.7109375" style="126"/>
    <col min="113" max="113" width="3.5703125" style="126" customWidth="1"/>
    <col min="114" max="114" width="12.5703125" style="126" bestFit="1" customWidth="1"/>
    <col min="115" max="121" width="8.7109375" style="126"/>
    <col min="122" max="122" width="14.7109375" style="126" bestFit="1" customWidth="1"/>
    <col min="123" max="16384" width="8.7109375" style="126"/>
  </cols>
  <sheetData>
    <row r="1" spans="1:122" s="174" customFormat="1" ht="90" x14ac:dyDescent="0.25">
      <c r="B1" s="176" t="s">
        <v>702</v>
      </c>
      <c r="C1" s="176" t="s">
        <v>701</v>
      </c>
      <c r="D1" s="175" t="s">
        <v>700</v>
      </c>
      <c r="E1" s="176" t="s">
        <v>494</v>
      </c>
      <c r="F1" s="175" t="s">
        <v>1078</v>
      </c>
      <c r="G1" s="175" t="s">
        <v>699</v>
      </c>
      <c r="H1" s="175"/>
      <c r="I1" s="175"/>
      <c r="J1" s="174" t="s">
        <v>1093</v>
      </c>
      <c r="K1" s="176" t="s">
        <v>698</v>
      </c>
      <c r="L1" s="176" t="s">
        <v>1078</v>
      </c>
      <c r="M1" s="175" t="s">
        <v>697</v>
      </c>
      <c r="Q1" s="176" t="s">
        <v>696</v>
      </c>
      <c r="S1" s="176" t="s">
        <v>491</v>
      </c>
      <c r="Y1" s="52" t="s">
        <v>695</v>
      </c>
      <c r="Z1" s="176" t="s">
        <v>695</v>
      </c>
      <c r="AD1" s="175" t="s">
        <v>1079</v>
      </c>
      <c r="AE1" s="175" t="s">
        <v>1080</v>
      </c>
      <c r="AF1" s="175" t="s">
        <v>1081</v>
      </c>
      <c r="AN1" s="176" t="s">
        <v>487</v>
      </c>
      <c r="AQ1" s="176" t="s">
        <v>694</v>
      </c>
      <c r="AT1" s="176" t="s">
        <v>693</v>
      </c>
      <c r="AX1" s="175" t="s">
        <v>692</v>
      </c>
      <c r="AY1" s="175" t="s">
        <v>691</v>
      </c>
      <c r="BB1" s="175" t="s">
        <v>690</v>
      </c>
      <c r="BE1" s="176" t="s">
        <v>689</v>
      </c>
      <c r="BF1" s="175" t="s">
        <v>456</v>
      </c>
      <c r="BH1" s="175" t="s">
        <v>688</v>
      </c>
      <c r="BL1" s="175" t="s">
        <v>159</v>
      </c>
      <c r="BN1" s="175" t="s">
        <v>158</v>
      </c>
      <c r="CA1" s="176" t="s">
        <v>687</v>
      </c>
      <c r="CD1" s="175" t="s">
        <v>686</v>
      </c>
      <c r="CL1" s="175" t="s">
        <v>685</v>
      </c>
      <c r="CM1" s="175" t="s">
        <v>684</v>
      </c>
      <c r="CO1" s="661" t="s">
        <v>1185</v>
      </c>
      <c r="CP1" s="659"/>
      <c r="CS1" s="174" t="s">
        <v>1352</v>
      </c>
      <c r="CU1" s="878" t="s">
        <v>1471</v>
      </c>
      <c r="CV1" s="878" t="str">
        <f>CONCATENATE("Base ",IF(SI_IP_Units="IP","(kWh/year)","kWh/year"))</f>
        <v>Base (kWh/year)</v>
      </c>
      <c r="CW1" s="878" t="str">
        <f>CONCATENATE("Energy Star ",IF(SI_IP_Units="IP","(kWh/year)","kWh/year"))</f>
        <v>Energy Star (kWh/year)</v>
      </c>
      <c r="CX1" s="878" t="s">
        <v>1494</v>
      </c>
      <c r="CY1" s="878" t="s">
        <v>1495</v>
      </c>
      <c r="CZ1" s="878" t="s">
        <v>1509</v>
      </c>
      <c r="DA1" s="878" t="str">
        <f>CONCATENATE("Base ",IF(SI_IP_Units="IP","(Therms/year)","kWh/year"))</f>
        <v>Base (Therms/year)</v>
      </c>
      <c r="DB1" s="878" t="str">
        <f>CONCATENATE("Energy Star ",IF(SI_IP_Units="IP","(Therms/year)","kWh/year"))</f>
        <v>Energy Star (Therms/year)</v>
      </c>
      <c r="DC1" s="878" t="s">
        <v>1492</v>
      </c>
      <c r="DD1" s="878" t="s">
        <v>1493</v>
      </c>
      <c r="DE1" s="878" t="s">
        <v>1510</v>
      </c>
      <c r="DF1" s="878" t="s">
        <v>921</v>
      </c>
      <c r="DG1" s="878" t="s">
        <v>1511</v>
      </c>
      <c r="DH1" s="878" t="s">
        <v>1512</v>
      </c>
      <c r="DI1" s="878"/>
      <c r="DJ1" s="878" t="s">
        <v>1477</v>
      </c>
      <c r="DK1" s="878" t="s">
        <v>1482</v>
      </c>
      <c r="DL1" s="878" t="s">
        <v>1483</v>
      </c>
      <c r="DM1" s="878"/>
      <c r="DN1" s="878"/>
      <c r="DO1" s="174" t="s">
        <v>1599</v>
      </c>
      <c r="DR1" s="174" t="s">
        <v>1958</v>
      </c>
    </row>
    <row r="2" spans="1:122" ht="68.25" customHeight="1" x14ac:dyDescent="0.2">
      <c r="A2" s="126">
        <v>1</v>
      </c>
      <c r="B2" s="122" t="s">
        <v>464</v>
      </c>
      <c r="C2" s="169">
        <v>3.14</v>
      </c>
      <c r="E2" s="122" t="s">
        <v>488</v>
      </c>
      <c r="F2" s="122" t="s">
        <v>683</v>
      </c>
      <c r="G2" s="126">
        <v>3.4119999999999999</v>
      </c>
      <c r="H2" s="171"/>
      <c r="I2" s="171"/>
      <c r="J2" s="565">
        <f t="shared" ref="J2:J8" si="0">G2/100</f>
        <v>3.4119999999999998E-2</v>
      </c>
      <c r="K2" s="122" t="s">
        <v>243</v>
      </c>
      <c r="L2" s="122" t="s">
        <v>244</v>
      </c>
      <c r="M2" s="156">
        <v>3.4119999999999999</v>
      </c>
      <c r="N2" s="156"/>
      <c r="Q2" s="122" t="s">
        <v>682</v>
      </c>
      <c r="S2" s="122" t="s">
        <v>681</v>
      </c>
      <c r="Y2" s="95" t="s">
        <v>1209</v>
      </c>
      <c r="Z2" s="122" t="s">
        <v>1074</v>
      </c>
      <c r="AD2" s="174"/>
      <c r="AE2" s="174"/>
      <c r="AF2" s="174"/>
      <c r="AG2" s="174"/>
      <c r="AH2" s="174"/>
      <c r="AI2" s="174"/>
      <c r="AJ2" s="174"/>
      <c r="AK2" s="174"/>
      <c r="AL2" s="122"/>
      <c r="AN2" s="122" t="s">
        <v>680</v>
      </c>
      <c r="AQ2" s="122" t="s">
        <v>504</v>
      </c>
      <c r="AT2" s="122" t="s">
        <v>507</v>
      </c>
      <c r="AX2" s="167" t="s">
        <v>44</v>
      </c>
      <c r="AY2" s="122" t="s">
        <v>679</v>
      </c>
      <c r="BB2" s="126" t="s">
        <v>44</v>
      </c>
      <c r="BE2" s="122" t="s">
        <v>482</v>
      </c>
      <c r="BH2" s="122" t="s">
        <v>678</v>
      </c>
      <c r="BL2" s="122" t="s">
        <v>677</v>
      </c>
      <c r="BN2" s="122" t="s">
        <v>676</v>
      </c>
      <c r="CA2" s="160" t="s">
        <v>675</v>
      </c>
      <c r="CB2" s="160">
        <v>1</v>
      </c>
      <c r="CD2" s="170" t="s">
        <v>674</v>
      </c>
      <c r="CE2" s="160">
        <v>5</v>
      </c>
      <c r="CM2" s="122" t="s">
        <v>673</v>
      </c>
      <c r="CO2" s="663" t="s">
        <v>494</v>
      </c>
      <c r="CP2" s="662" t="s">
        <v>1186</v>
      </c>
      <c r="CS2" s="126" t="s">
        <v>1349</v>
      </c>
      <c r="CU2" s="878" t="s">
        <v>1472</v>
      </c>
      <c r="CV2" s="878">
        <v>529</v>
      </c>
      <c r="CW2" s="878">
        <v>423</v>
      </c>
      <c r="CX2" s="878">
        <v>1</v>
      </c>
      <c r="CY2" s="878">
        <v>0</v>
      </c>
      <c r="DA2" s="878"/>
      <c r="DB2" s="878"/>
      <c r="DE2" s="126">
        <v>0</v>
      </c>
      <c r="DF2" s="126">
        <v>1</v>
      </c>
      <c r="DG2" s="126">
        <v>0</v>
      </c>
      <c r="DH2" s="126">
        <v>0</v>
      </c>
      <c r="DI2" s="878"/>
      <c r="DJ2" s="878" t="s">
        <v>1478</v>
      </c>
      <c r="DK2" s="878">
        <v>0.2</v>
      </c>
      <c r="DL2" s="878">
        <v>0.7</v>
      </c>
      <c r="DM2" s="878"/>
      <c r="DN2" s="878"/>
      <c r="DO2" s="126" t="s">
        <v>1597</v>
      </c>
      <c r="DR2" s="126">
        <f ca="1">ROWS(IF(MBD_LEEDNDEMSubsetExist=TRUE,
OFFSET(MBD_BSTotal_Index,1,0,ROWS(MBD_BSTotal_Index)-1,1),
IF(MultipleBuildingsExist="YES",OFFSET(MBD_BSTotal_Index,2,0,ROWS(MBD_BSTotal_Index)-2,1),
OFFSET(MBD_BSTotal_Index,2,0,ROWS(MBD_BSTotal_Index)-2,1))))</f>
        <v>2</v>
      </c>
    </row>
    <row r="3" spans="1:122" ht="12.75" customHeight="1" x14ac:dyDescent="0.25">
      <c r="A3" s="126">
        <v>2</v>
      </c>
      <c r="B3" s="122" t="s">
        <v>478</v>
      </c>
      <c r="C3" s="169">
        <v>1.05</v>
      </c>
      <c r="D3" s="122" t="s">
        <v>25</v>
      </c>
      <c r="E3" s="122" t="s">
        <v>672</v>
      </c>
      <c r="F3" s="122" t="s">
        <v>671</v>
      </c>
      <c r="G3" s="156">
        <v>3412</v>
      </c>
      <c r="H3" s="171"/>
      <c r="I3" s="171"/>
      <c r="J3" s="565">
        <f t="shared" si="0"/>
        <v>34.119999999999997</v>
      </c>
      <c r="K3" s="122" t="s">
        <v>670</v>
      </c>
      <c r="L3" s="122" t="s">
        <v>669</v>
      </c>
      <c r="M3" s="156">
        <v>3412</v>
      </c>
      <c r="N3" s="156"/>
      <c r="Q3" s="122" t="s">
        <v>668</v>
      </c>
      <c r="S3" s="122" t="s">
        <v>667</v>
      </c>
      <c r="Y3" s="95" t="s">
        <v>1210</v>
      </c>
      <c r="Z3" s="122" t="s">
        <v>1082</v>
      </c>
      <c r="AD3" s="122"/>
      <c r="AE3" s="122"/>
      <c r="AF3" s="122"/>
      <c r="AG3" s="122"/>
      <c r="AH3" s="122"/>
      <c r="AI3" s="122"/>
      <c r="AJ3" s="122"/>
      <c r="AK3" s="122"/>
      <c r="AN3" s="122" t="s">
        <v>666</v>
      </c>
      <c r="AQ3" s="122" t="s">
        <v>503</v>
      </c>
      <c r="AT3" s="122" t="s">
        <v>506</v>
      </c>
      <c r="AX3" s="167" t="s">
        <v>45</v>
      </c>
      <c r="AY3" s="122" t="s">
        <v>665</v>
      </c>
      <c r="BB3" s="126" t="s">
        <v>45</v>
      </c>
      <c r="BE3" s="122" t="s">
        <v>481</v>
      </c>
      <c r="BH3" s="122" t="s">
        <v>664</v>
      </c>
      <c r="BL3" s="122" t="s">
        <v>663</v>
      </c>
      <c r="BN3" s="122" t="s">
        <v>662</v>
      </c>
      <c r="CA3" s="160" t="s">
        <v>661</v>
      </c>
      <c r="CB3" s="160"/>
      <c r="CJ3" s="122" t="s">
        <v>660</v>
      </c>
      <c r="CK3" s="126">
        <v>2</v>
      </c>
      <c r="CL3" s="122" t="s">
        <v>659</v>
      </c>
      <c r="CM3" s="126">
        <v>0</v>
      </c>
      <c r="CO3" s="660" t="s">
        <v>488</v>
      </c>
      <c r="CP3" s="664">
        <v>1</v>
      </c>
      <c r="CS3" s="126" t="s">
        <v>1350</v>
      </c>
      <c r="CU3" s="126" t="s">
        <v>1473</v>
      </c>
      <c r="CV3" s="126">
        <v>206</v>
      </c>
      <c r="CW3" s="126">
        <v>164</v>
      </c>
      <c r="CX3" s="126">
        <v>0.6</v>
      </c>
      <c r="CY3" s="126">
        <v>0.15</v>
      </c>
      <c r="CZ3" s="126">
        <v>0</v>
      </c>
      <c r="DE3" s="126">
        <v>0</v>
      </c>
      <c r="DF3" s="126">
        <v>1</v>
      </c>
      <c r="DG3" s="126">
        <f>IF(SI_IP_Units="IP",1290,4883)</f>
        <v>1290</v>
      </c>
      <c r="DH3" s="126">
        <f>IF(SI_IP_Units="IP",860,3255)</f>
        <v>860</v>
      </c>
      <c r="DJ3" s="126" t="s">
        <v>91</v>
      </c>
      <c r="DK3" s="126">
        <v>0.2</v>
      </c>
      <c r="DL3" s="126">
        <v>0.7</v>
      </c>
      <c r="DO3" s="126" t="s">
        <v>673</v>
      </c>
      <c r="DR3" s="126" t="str">
        <f t="array" aca="1" ref="DR3:DR100" ca="1">IF(MBD_LEEDNDEMSubsetExist=TRUE,
OFFSET(MBD_BSTotal_Index,1,0,ROWS(MBD_BSTotal_Index)-1,1),
IF(MultipleBuildingsExist="YES",OFFSET(MBD_BSTotal_Index,2,0,ROWS(MBD_BSTotal_Index)-2,1),
OFFSET(MBD_BSTotal_Index,2,0,ROWS(MBD_BSTotal_Index)-2,1)))</f>
        <v>SEA Building Addition</v>
      </c>
    </row>
    <row r="4" spans="1:122" ht="12.75" customHeight="1" x14ac:dyDescent="0.25">
      <c r="A4" s="126">
        <v>3</v>
      </c>
      <c r="B4" s="122" t="s">
        <v>158</v>
      </c>
      <c r="C4" s="126">
        <v>1</v>
      </c>
      <c r="E4" s="122" t="s">
        <v>657</v>
      </c>
      <c r="F4" s="122" t="s">
        <v>656</v>
      </c>
      <c r="G4" s="126">
        <v>1</v>
      </c>
      <c r="H4" s="171"/>
      <c r="I4" s="171"/>
      <c r="J4" s="565">
        <f t="shared" si="0"/>
        <v>0.01</v>
      </c>
      <c r="K4" s="122" t="s">
        <v>245</v>
      </c>
      <c r="L4" s="122" t="s">
        <v>246</v>
      </c>
      <c r="M4" s="126">
        <v>1E-3</v>
      </c>
      <c r="S4" s="122" t="s">
        <v>655</v>
      </c>
      <c r="Y4" s="95" t="s">
        <v>1211</v>
      </c>
      <c r="Z4" s="122" t="s">
        <v>1083</v>
      </c>
      <c r="AC4" s="122"/>
      <c r="AD4" s="559"/>
      <c r="AE4" s="559"/>
      <c r="AF4" s="559"/>
      <c r="AG4" s="559"/>
      <c r="AH4" s="559"/>
      <c r="AI4" s="559"/>
      <c r="AJ4" s="560"/>
      <c r="AK4" s="560"/>
      <c r="AL4" s="561"/>
      <c r="AM4" s="163"/>
      <c r="AN4" s="122" t="s">
        <v>654</v>
      </c>
      <c r="AQ4" s="122" t="s">
        <v>502</v>
      </c>
      <c r="AT4" s="122" t="s">
        <v>505</v>
      </c>
      <c r="AX4" s="167" t="s">
        <v>46</v>
      </c>
      <c r="AY4" s="122" t="s">
        <v>653</v>
      </c>
      <c r="BB4" s="126" t="s">
        <v>46</v>
      </c>
      <c r="BE4" s="122" t="s">
        <v>480</v>
      </c>
      <c r="BL4" s="122" t="s">
        <v>652</v>
      </c>
      <c r="BN4" s="122" t="s">
        <v>651</v>
      </c>
      <c r="CA4" s="160" t="s">
        <v>650</v>
      </c>
      <c r="CB4" s="160">
        <v>1</v>
      </c>
      <c r="CD4" s="170" t="s">
        <v>649</v>
      </c>
      <c r="CE4" s="170" t="s">
        <v>648</v>
      </c>
      <c r="CF4" s="173" t="s">
        <v>647</v>
      </c>
      <c r="CG4" s="173" t="s">
        <v>646</v>
      </c>
      <c r="CH4" s="173" t="s">
        <v>645</v>
      </c>
      <c r="CL4" s="126" t="s">
        <v>644</v>
      </c>
      <c r="CM4" s="126">
        <v>0</v>
      </c>
      <c r="CO4" s="660" t="s">
        <v>672</v>
      </c>
      <c r="CP4" s="664">
        <v>1000</v>
      </c>
      <c r="CS4" s="126" t="s">
        <v>1351</v>
      </c>
      <c r="CU4" s="126" t="s">
        <v>1485</v>
      </c>
      <c r="CV4" s="126">
        <v>81</v>
      </c>
      <c r="CW4" s="126">
        <v>57</v>
      </c>
      <c r="CX4" s="126">
        <v>0.8</v>
      </c>
      <c r="CY4" s="126">
        <v>0</v>
      </c>
      <c r="CZ4" s="126">
        <v>0</v>
      </c>
      <c r="DE4" s="126">
        <v>0</v>
      </c>
      <c r="DF4" s="126">
        <v>1</v>
      </c>
      <c r="DG4" s="126">
        <f>IF(SI_IP_Units="IP",12179,46102)*0.2</f>
        <v>2435.8000000000002</v>
      </c>
      <c r="DH4" s="126">
        <f>IF(SI_IP_Units="IP",5637,21338)*0.2</f>
        <v>1127.4000000000001</v>
      </c>
      <c r="DJ4" s="126" t="s">
        <v>1479</v>
      </c>
      <c r="DK4" s="126">
        <v>0.2</v>
      </c>
      <c r="DL4" s="126">
        <v>0.7</v>
      </c>
      <c r="DO4" s="126" t="s">
        <v>1598</v>
      </c>
      <c r="DR4" s="126" t="str">
        <f ca="1"/>
        <v>All</v>
      </c>
    </row>
    <row r="5" spans="1:122" ht="12.75" customHeight="1" x14ac:dyDescent="0.25">
      <c r="A5" s="126">
        <v>4</v>
      </c>
      <c r="B5" s="122" t="s">
        <v>593</v>
      </c>
      <c r="C5" s="169">
        <v>1.2</v>
      </c>
      <c r="E5" s="122" t="s">
        <v>490</v>
      </c>
      <c r="F5" s="122" t="s">
        <v>490</v>
      </c>
      <c r="G5" s="126">
        <v>100</v>
      </c>
      <c r="H5" s="171"/>
      <c r="I5" s="171"/>
      <c r="J5" s="565">
        <f t="shared" si="0"/>
        <v>1</v>
      </c>
      <c r="K5" s="122" t="s">
        <v>642</v>
      </c>
      <c r="L5" s="122" t="s">
        <v>247</v>
      </c>
      <c r="M5" s="156">
        <v>1</v>
      </c>
      <c r="N5" s="156"/>
      <c r="S5" s="122" t="s">
        <v>641</v>
      </c>
      <c r="Y5" s="95" t="s">
        <v>1212</v>
      </c>
      <c r="Z5" s="122" t="s">
        <v>1084</v>
      </c>
      <c r="AD5" s="559"/>
      <c r="AE5" s="559"/>
      <c r="AH5" s="559"/>
      <c r="AI5" s="559"/>
      <c r="AJ5" s="560"/>
      <c r="AK5" s="559"/>
      <c r="AL5" s="163"/>
      <c r="AM5" s="163"/>
      <c r="AN5" s="122" t="s">
        <v>640</v>
      </c>
      <c r="AQ5" s="122" t="s">
        <v>501</v>
      </c>
      <c r="AX5" s="167" t="s">
        <v>47</v>
      </c>
      <c r="AY5" s="122" t="s">
        <v>639</v>
      </c>
      <c r="BB5" s="126" t="s">
        <v>47</v>
      </c>
      <c r="BE5" s="122" t="s">
        <v>479</v>
      </c>
      <c r="CA5" s="160" t="s">
        <v>638</v>
      </c>
      <c r="CB5" s="160">
        <v>1</v>
      </c>
      <c r="CD5" s="160" t="s">
        <v>630</v>
      </c>
      <c r="CE5" s="172">
        <v>40</v>
      </c>
      <c r="CF5" s="160">
        <f t="shared" ref="CF5:CF10" si="1">CE5+1</f>
        <v>41</v>
      </c>
      <c r="CG5" s="160">
        <f t="shared" ref="CG5:CG10" si="2">CE5+$CE$2-1</f>
        <v>44</v>
      </c>
      <c r="CH5" s="160">
        <f>CG5</f>
        <v>44</v>
      </c>
      <c r="CO5" s="660" t="s">
        <v>657</v>
      </c>
      <c r="CP5" s="664">
        <v>0.29308323563892147</v>
      </c>
      <c r="CS5" s="126" t="s">
        <v>1353</v>
      </c>
      <c r="CU5" s="126" t="s">
        <v>1486</v>
      </c>
      <c r="CV5" s="126">
        <v>604</v>
      </c>
      <c r="CW5" s="126">
        <v>604</v>
      </c>
      <c r="CX5" s="126">
        <v>0.4</v>
      </c>
      <c r="CY5" s="126">
        <v>0.3</v>
      </c>
      <c r="CZ5" s="126">
        <v>0</v>
      </c>
      <c r="DE5" s="126">
        <v>0</v>
      </c>
      <c r="DF5" s="126">
        <v>1</v>
      </c>
      <c r="DG5" s="126">
        <v>0</v>
      </c>
      <c r="DH5" s="126">
        <v>0</v>
      </c>
      <c r="DJ5" s="126" t="s">
        <v>1480</v>
      </c>
      <c r="DK5" s="126">
        <v>0.2</v>
      </c>
      <c r="DL5" s="126">
        <v>0.7</v>
      </c>
      <c r="DR5" s="126" t="e">
        <f ca="1"/>
        <v>#N/A</v>
      </c>
    </row>
    <row r="6" spans="1:122" ht="12.75" customHeight="1" x14ac:dyDescent="0.25">
      <c r="A6" s="126">
        <v>5</v>
      </c>
      <c r="B6" s="122" t="s">
        <v>599</v>
      </c>
      <c r="C6" s="169">
        <v>1.2</v>
      </c>
      <c r="E6" s="122" t="s">
        <v>489</v>
      </c>
      <c r="F6" s="122" t="s">
        <v>636</v>
      </c>
      <c r="G6" s="156">
        <v>1000</v>
      </c>
      <c r="H6" s="171"/>
      <c r="I6" s="171"/>
      <c r="J6" s="565">
        <f t="shared" si="0"/>
        <v>10</v>
      </c>
      <c r="K6" s="122" t="s">
        <v>635</v>
      </c>
      <c r="L6" s="122" t="s">
        <v>247</v>
      </c>
      <c r="M6" s="156">
        <v>1</v>
      </c>
      <c r="N6" s="156"/>
      <c r="S6" s="122" t="s">
        <v>634</v>
      </c>
      <c r="Y6" s="95" t="s">
        <v>1213</v>
      </c>
      <c r="Z6" s="122" t="s">
        <v>1085</v>
      </c>
      <c r="AD6" s="559"/>
      <c r="AE6" s="559"/>
      <c r="AH6" s="559"/>
      <c r="AI6" s="559"/>
      <c r="AJ6" s="560"/>
      <c r="AK6" s="559"/>
      <c r="AL6" s="163"/>
      <c r="AM6" s="163"/>
      <c r="AN6" s="122" t="s">
        <v>633</v>
      </c>
      <c r="AQ6" s="122" t="s">
        <v>500</v>
      </c>
      <c r="AX6" s="167" t="s">
        <v>48</v>
      </c>
      <c r="AY6" s="122" t="s">
        <v>632</v>
      </c>
      <c r="BB6" s="126" t="s">
        <v>48</v>
      </c>
      <c r="BE6" s="122" t="s">
        <v>477</v>
      </c>
      <c r="CA6" s="160" t="s">
        <v>631</v>
      </c>
      <c r="CB6" s="160"/>
      <c r="CD6" s="160" t="s">
        <v>630</v>
      </c>
      <c r="CE6" s="160">
        <f>CE5+CE2+22</f>
        <v>67</v>
      </c>
      <c r="CF6" s="160">
        <f t="shared" si="1"/>
        <v>68</v>
      </c>
      <c r="CG6" s="160">
        <f t="shared" si="2"/>
        <v>71</v>
      </c>
      <c r="CH6" s="160">
        <f>CH5-CF5+CF6</f>
        <v>71</v>
      </c>
      <c r="CO6" s="660" t="s">
        <v>490</v>
      </c>
      <c r="CP6" s="664">
        <v>29.308323563892145</v>
      </c>
      <c r="CU6" s="1100" t="s">
        <v>1487</v>
      </c>
      <c r="CV6" s="1100"/>
      <c r="CW6" s="1100"/>
      <c r="CX6" s="1100"/>
      <c r="CY6" s="1100"/>
      <c r="CZ6" s="1100">
        <v>0</v>
      </c>
      <c r="DA6" s="1100">
        <f>IF(SI_IP_Units="IP",45,45/0.03412)</f>
        <v>45</v>
      </c>
      <c r="DB6" s="1100">
        <v>45</v>
      </c>
      <c r="DC6" s="1100">
        <v>0.3</v>
      </c>
      <c r="DD6" s="1100">
        <v>0.2</v>
      </c>
      <c r="DE6" s="1100">
        <v>0</v>
      </c>
      <c r="DF6" s="1100">
        <v>1</v>
      </c>
      <c r="DG6" s="1100">
        <v>0</v>
      </c>
      <c r="DH6" s="1100">
        <v>0</v>
      </c>
      <c r="DJ6" s="126" t="s">
        <v>1481</v>
      </c>
      <c r="DK6" s="126">
        <v>1.5</v>
      </c>
      <c r="DL6" s="126">
        <v>4.9000000000000004</v>
      </c>
      <c r="DR6" s="126" t="e">
        <f ca="1"/>
        <v>#N/A</v>
      </c>
    </row>
    <row r="7" spans="1:122" ht="12.75" customHeight="1" x14ac:dyDescent="0.25">
      <c r="A7" s="126">
        <v>6</v>
      </c>
      <c r="B7" s="122" t="s">
        <v>658</v>
      </c>
      <c r="C7" s="169">
        <v>1.01</v>
      </c>
      <c r="E7" s="122" t="s">
        <v>628</v>
      </c>
      <c r="F7" s="122" t="s">
        <v>627</v>
      </c>
      <c r="G7" s="126">
        <v>0.94799999999999995</v>
      </c>
      <c r="H7" s="171"/>
      <c r="I7" s="171"/>
      <c r="J7" s="565">
        <f t="shared" si="0"/>
        <v>9.4799999999999988E-3</v>
      </c>
      <c r="K7" s="122" t="s">
        <v>626</v>
      </c>
      <c r="L7" s="122" t="s">
        <v>619</v>
      </c>
      <c r="M7" s="156">
        <v>1000</v>
      </c>
      <c r="N7" s="156"/>
      <c r="S7" s="122" t="s">
        <v>625</v>
      </c>
      <c r="Y7" s="95" t="s">
        <v>1214</v>
      </c>
      <c r="Z7" s="122" t="s">
        <v>1086</v>
      </c>
      <c r="AD7" s="559"/>
      <c r="AE7" s="559"/>
      <c r="AF7" s="559"/>
      <c r="AG7" s="559"/>
      <c r="AH7" s="559"/>
      <c r="AI7" s="559"/>
      <c r="AJ7" s="560"/>
      <c r="AK7" s="559"/>
      <c r="AL7" s="163"/>
      <c r="AM7" s="163"/>
      <c r="AN7" s="122" t="s">
        <v>624</v>
      </c>
      <c r="AQ7" s="122" t="s">
        <v>499</v>
      </c>
      <c r="AX7" s="167" t="s">
        <v>49</v>
      </c>
      <c r="AY7" s="122" t="s">
        <v>623</v>
      </c>
      <c r="BB7" s="126" t="s">
        <v>49</v>
      </c>
      <c r="BE7" s="122" t="s">
        <v>476</v>
      </c>
      <c r="CD7" s="170" t="s">
        <v>606</v>
      </c>
      <c r="CE7" s="160">
        <v>31</v>
      </c>
      <c r="CF7" s="160">
        <f t="shared" si="1"/>
        <v>32</v>
      </c>
      <c r="CG7" s="160">
        <f t="shared" si="2"/>
        <v>35</v>
      </c>
      <c r="CH7" s="160">
        <f>CH6-CF6+CF7</f>
        <v>35</v>
      </c>
      <c r="CO7" s="660" t="s">
        <v>489</v>
      </c>
      <c r="CP7" s="664">
        <v>293.08323563892145</v>
      </c>
      <c r="CU7" s="1100" t="s">
        <v>1488</v>
      </c>
      <c r="CV7" s="1080" t="s">
        <v>1513</v>
      </c>
      <c r="CW7" s="1080" t="s">
        <v>1513</v>
      </c>
      <c r="CX7" s="1100">
        <v>0.15</v>
      </c>
      <c r="CY7" s="1100">
        <v>0.05</v>
      </c>
      <c r="CZ7" s="1100">
        <v>139</v>
      </c>
      <c r="DA7" s="1100"/>
      <c r="DB7" s="1100"/>
      <c r="DC7" s="1100"/>
      <c r="DD7" s="1100"/>
      <c r="DE7" s="1100">
        <v>0</v>
      </c>
      <c r="DF7" s="1100">
        <v>1</v>
      </c>
      <c r="DG7" s="1100">
        <v>0</v>
      </c>
      <c r="DH7" s="1100">
        <v>0</v>
      </c>
      <c r="DJ7" s="126" t="s">
        <v>354</v>
      </c>
      <c r="DK7" s="126">
        <v>0.5</v>
      </c>
      <c r="DL7" s="126">
        <v>1.6</v>
      </c>
      <c r="DR7" s="126" t="e">
        <f ca="1"/>
        <v>#N/A</v>
      </c>
    </row>
    <row r="8" spans="1:122" ht="12.75" customHeight="1" x14ac:dyDescent="0.25">
      <c r="A8" s="126">
        <v>7</v>
      </c>
      <c r="B8" s="122" t="s">
        <v>643</v>
      </c>
      <c r="C8" s="169">
        <v>1.01</v>
      </c>
      <c r="D8" s="122" t="s">
        <v>25</v>
      </c>
      <c r="E8" s="122" t="s">
        <v>621</v>
      </c>
      <c r="F8" s="122" t="s">
        <v>621</v>
      </c>
      <c r="G8" s="126">
        <v>12</v>
      </c>
      <c r="H8" s="171"/>
      <c r="I8" s="171"/>
      <c r="J8" s="565">
        <f t="shared" si="0"/>
        <v>0.12</v>
      </c>
      <c r="K8" s="122" t="s">
        <v>620</v>
      </c>
      <c r="L8" s="122" t="s">
        <v>619</v>
      </c>
      <c r="M8" s="156">
        <v>1000</v>
      </c>
      <c r="N8" s="156"/>
      <c r="S8" s="122" t="s">
        <v>618</v>
      </c>
      <c r="Y8" s="95" t="s">
        <v>1215</v>
      </c>
      <c r="Z8" s="122" t="s">
        <v>1087</v>
      </c>
      <c r="AD8" s="559"/>
      <c r="AE8" s="559"/>
      <c r="AF8" s="559"/>
      <c r="AG8" s="559"/>
      <c r="AH8" s="559"/>
      <c r="AI8" s="559"/>
      <c r="AJ8" s="560"/>
      <c r="AK8" s="559"/>
      <c r="AL8" s="163"/>
      <c r="AM8" s="163"/>
      <c r="AN8" s="122" t="s">
        <v>617</v>
      </c>
      <c r="AQ8" s="122" t="s">
        <v>354</v>
      </c>
      <c r="AX8" s="167" t="s">
        <v>50</v>
      </c>
      <c r="AY8" s="122" t="s">
        <v>616</v>
      </c>
      <c r="BB8" s="126" t="s">
        <v>50</v>
      </c>
      <c r="BE8" s="122" t="s">
        <v>475</v>
      </c>
      <c r="CD8" s="170" t="s">
        <v>606</v>
      </c>
      <c r="CE8" s="160">
        <f>CE7+CE2+58</f>
        <v>94</v>
      </c>
      <c r="CF8" s="160">
        <f t="shared" si="1"/>
        <v>95</v>
      </c>
      <c r="CG8" s="160">
        <f t="shared" si="2"/>
        <v>98</v>
      </c>
      <c r="CH8" s="160">
        <f>CH7-CF7+CF8</f>
        <v>98</v>
      </c>
      <c r="CO8" s="660" t="s">
        <v>628</v>
      </c>
      <c r="CP8" s="664">
        <v>0.2778429073856975</v>
      </c>
      <c r="CU8" s="1100" t="s">
        <v>1490</v>
      </c>
      <c r="CV8" s="1100">
        <v>26.5</v>
      </c>
      <c r="CW8" s="1100">
        <v>26.5</v>
      </c>
      <c r="CX8" s="1100">
        <v>1</v>
      </c>
      <c r="CY8" s="1100">
        <v>0</v>
      </c>
      <c r="CZ8" s="1100">
        <v>8.8000000000000007</v>
      </c>
      <c r="DA8" s="1100"/>
      <c r="DB8" s="1100"/>
      <c r="DC8" s="1100">
        <v>0.1</v>
      </c>
      <c r="DD8" s="1100">
        <v>0.05</v>
      </c>
      <c r="DE8" s="1100">
        <v>12.7</v>
      </c>
      <c r="DF8" s="1100">
        <v>1</v>
      </c>
      <c r="DG8" s="1100">
        <v>0</v>
      </c>
      <c r="DH8" s="1100">
        <v>0</v>
      </c>
      <c r="DR8" s="126" t="e">
        <f ca="1"/>
        <v>#N/A</v>
      </c>
    </row>
    <row r="9" spans="1:122" ht="12.75" customHeight="1" x14ac:dyDescent="0.25">
      <c r="A9" s="126">
        <v>8</v>
      </c>
      <c r="B9" s="122" t="s">
        <v>637</v>
      </c>
      <c r="C9" s="169">
        <v>1.01</v>
      </c>
      <c r="K9" s="122" t="s">
        <v>614</v>
      </c>
      <c r="L9" s="122" t="s">
        <v>614</v>
      </c>
      <c r="M9" s="156">
        <v>12</v>
      </c>
      <c r="S9" s="122" t="s">
        <v>613</v>
      </c>
      <c r="Y9" s="95" t="s">
        <v>1216</v>
      </c>
      <c r="Z9" s="122" t="s">
        <v>1088</v>
      </c>
      <c r="AD9" s="559"/>
      <c r="AE9" s="559"/>
      <c r="AF9" s="559"/>
      <c r="AG9" s="559"/>
      <c r="AH9" s="559"/>
      <c r="AI9" s="559"/>
      <c r="AJ9" s="560"/>
      <c r="AK9" s="559"/>
      <c r="AL9" s="163"/>
      <c r="AM9" s="163"/>
      <c r="AN9" s="122" t="s">
        <v>612</v>
      </c>
      <c r="AX9" s="167" t="s">
        <v>51</v>
      </c>
      <c r="AY9" s="122" t="s">
        <v>611</v>
      </c>
      <c r="BB9" s="126" t="s">
        <v>51</v>
      </c>
      <c r="BE9" s="122" t="s">
        <v>474</v>
      </c>
      <c r="CD9" s="170" t="s">
        <v>606</v>
      </c>
      <c r="CE9" s="160">
        <f>65+CE7+2*CE2</f>
        <v>106</v>
      </c>
      <c r="CF9" s="160">
        <f t="shared" si="1"/>
        <v>107</v>
      </c>
      <c r="CG9" s="160">
        <f t="shared" si="2"/>
        <v>110</v>
      </c>
      <c r="CH9" s="160">
        <f>CH8-CF8+CF9</f>
        <v>110</v>
      </c>
      <c r="CO9" s="660" t="s">
        <v>621</v>
      </c>
      <c r="CP9" s="664">
        <v>3.5169988276670576</v>
      </c>
      <c r="CU9" s="1100" t="str">
        <f>CONCATENATE("Range hoood, ",IF(SI_IP_Units="IP","up to 500 cfm","up to 236 L/s"))</f>
        <v>Range hoood, up to 500 cfm</v>
      </c>
      <c r="CV9" s="1079">
        <f>1/IF(SI_IP_Units="IP",2.3,1.085)/1000*2*365</f>
        <v>0.31739130434782614</v>
      </c>
      <c r="CW9" s="1079">
        <f>1/IF(SI_IP_Units="IP",2.8,1.321)/1000*2*365</f>
        <v>0.26071428571428573</v>
      </c>
      <c r="CX9" s="1100">
        <v>0</v>
      </c>
      <c r="CY9" s="1100">
        <v>0</v>
      </c>
      <c r="CZ9" s="1100">
        <v>0</v>
      </c>
      <c r="DA9" s="1100"/>
      <c r="DB9" s="1100"/>
      <c r="DC9" s="1100"/>
      <c r="DD9" s="1100"/>
      <c r="DE9" s="1100">
        <v>0</v>
      </c>
      <c r="DF9" s="1100">
        <v>1</v>
      </c>
      <c r="DG9" s="1100"/>
      <c r="DH9" s="1100"/>
      <c r="DR9" s="126" t="e">
        <f ca="1"/>
        <v>#N/A</v>
      </c>
    </row>
    <row r="10" spans="1:122" ht="12.75" customHeight="1" x14ac:dyDescent="0.25">
      <c r="A10" s="126">
        <v>9</v>
      </c>
      <c r="B10" s="122" t="s">
        <v>629</v>
      </c>
      <c r="C10" s="169">
        <v>1.01</v>
      </c>
      <c r="D10" s="122" t="s">
        <v>25</v>
      </c>
      <c r="S10" s="122" t="s">
        <v>609</v>
      </c>
      <c r="Y10" s="95" t="s">
        <v>1217</v>
      </c>
      <c r="Z10" s="122" t="s">
        <v>1187</v>
      </c>
      <c r="AD10" s="559"/>
      <c r="AE10" s="559"/>
      <c r="AF10" s="559"/>
      <c r="AG10" s="559"/>
      <c r="AH10" s="559"/>
      <c r="AI10" s="559"/>
      <c r="AK10" s="559"/>
      <c r="AL10" s="163"/>
      <c r="AM10" s="163"/>
      <c r="AN10" s="122" t="s">
        <v>608</v>
      </c>
      <c r="AX10" s="167" t="s">
        <v>52</v>
      </c>
      <c r="AY10" s="122" t="s">
        <v>607</v>
      </c>
      <c r="BB10" s="126" t="s">
        <v>52</v>
      </c>
      <c r="BE10" s="122" t="s">
        <v>473</v>
      </c>
      <c r="BF10" s="122"/>
      <c r="CD10" s="170" t="s">
        <v>606</v>
      </c>
      <c r="CE10" s="160">
        <f>123+CE7+3*CE2</f>
        <v>169</v>
      </c>
      <c r="CF10" s="160">
        <f t="shared" si="1"/>
        <v>170</v>
      </c>
      <c r="CG10" s="160">
        <f t="shared" si="2"/>
        <v>173</v>
      </c>
      <c r="CH10" s="160">
        <f>CH9-CF9+CF10</f>
        <v>173</v>
      </c>
      <c r="CO10" s="663" t="s">
        <v>698</v>
      </c>
      <c r="CP10" s="662" t="s">
        <v>1186</v>
      </c>
      <c r="CU10" s="1100" t="str">
        <f>CONCATENATE("Bath / Utility Fan, ",IF(SI_IP_Units="IP","10 to 89 cfm","5 to 42 L/s"))</f>
        <v>Bath / Utility Fan, 10 to 89 cfm</v>
      </c>
      <c r="CV10" s="1079">
        <f>1/IF(SI_IP_Units="IP",1.2,0.566)/1000*2*365</f>
        <v>0.60833333333333339</v>
      </c>
      <c r="CW10" s="1079">
        <f>1/IF(SI_IP_Units="IP",1.4,0.661)/1000*2*365</f>
        <v>0.52142857142857146</v>
      </c>
      <c r="CX10" s="1100">
        <v>0</v>
      </c>
      <c r="CY10" s="1100">
        <v>0</v>
      </c>
      <c r="CZ10" s="1100">
        <v>0</v>
      </c>
      <c r="DA10" s="1100"/>
      <c r="DB10" s="1100"/>
      <c r="DC10" s="1100"/>
      <c r="DD10" s="1100"/>
      <c r="DE10" s="1100">
        <v>0</v>
      </c>
      <c r="DF10" s="1100">
        <v>1</v>
      </c>
      <c r="DG10" s="1100"/>
      <c r="DH10" s="1100"/>
      <c r="DR10" s="126" t="e">
        <f ca="1"/>
        <v>#N/A</v>
      </c>
    </row>
    <row r="11" spans="1:122" ht="12.75" customHeight="1" x14ac:dyDescent="0.25">
      <c r="A11" s="126">
        <v>10</v>
      </c>
      <c r="B11" s="122" t="s">
        <v>622</v>
      </c>
      <c r="C11" s="169">
        <v>1</v>
      </c>
      <c r="D11" s="122" t="s">
        <v>25</v>
      </c>
      <c r="E11" s="122" t="s">
        <v>604</v>
      </c>
      <c r="F11" s="122" t="s">
        <v>603</v>
      </c>
      <c r="G11" s="126">
        <v>1.0289999999999999</v>
      </c>
      <c r="S11" s="122" t="s">
        <v>602</v>
      </c>
      <c r="Y11" s="95" t="s">
        <v>1218</v>
      </c>
      <c r="Z11" s="122" t="s">
        <v>1187</v>
      </c>
      <c r="AD11" s="559"/>
      <c r="AE11" s="559"/>
      <c r="AF11" s="559"/>
      <c r="AG11" s="559"/>
      <c r="AH11" s="559"/>
      <c r="AI11" s="559"/>
      <c r="AJ11" s="560"/>
      <c r="AK11" s="559"/>
      <c r="AL11" s="163"/>
      <c r="AM11" s="163"/>
      <c r="AN11" s="122" t="s">
        <v>601</v>
      </c>
      <c r="AX11" s="167" t="s">
        <v>53</v>
      </c>
      <c r="AY11" s="122" t="s">
        <v>600</v>
      </c>
      <c r="BB11" s="126" t="s">
        <v>53</v>
      </c>
      <c r="BE11" s="122" t="s">
        <v>472</v>
      </c>
      <c r="BF11" s="122" t="s">
        <v>465</v>
      </c>
      <c r="CO11" s="660" t="s">
        <v>243</v>
      </c>
      <c r="CP11" s="664">
        <v>1</v>
      </c>
      <c r="CU11" s="1100" t="str">
        <f>CONCATENATE("Bath / Utility Fan, ",IF(SI_IP_Units="IP","90 to 500 cfm","43 to 236 L/s"))</f>
        <v>Bath / Utility Fan, 90 to 500 cfm</v>
      </c>
      <c r="CV11" s="1079">
        <f>1/IF(SI_IP_Units="IP",2.3,1.085)/1000*2*365</f>
        <v>0.31739130434782614</v>
      </c>
      <c r="CW11" s="1079">
        <f>1/IF(SI_IP_Units="IP",2.8,1.321)/1000*2*365</f>
        <v>0.26071428571428573</v>
      </c>
      <c r="CX11" s="1100">
        <v>0</v>
      </c>
      <c r="CY11" s="1100">
        <v>0</v>
      </c>
      <c r="CZ11" s="1100">
        <v>0</v>
      </c>
      <c r="DA11" s="1100"/>
      <c r="DB11" s="1100"/>
      <c r="DC11" s="1100"/>
      <c r="DD11" s="1100"/>
      <c r="DE11" s="1100">
        <v>0</v>
      </c>
      <c r="DF11" s="1100">
        <v>1</v>
      </c>
      <c r="DG11" s="1100"/>
      <c r="DH11" s="1100"/>
      <c r="DR11" s="126" t="e">
        <f ca="1"/>
        <v>#N/A</v>
      </c>
    </row>
    <row r="12" spans="1:122" ht="12.75" customHeight="1" x14ac:dyDescent="0.25">
      <c r="A12" s="126">
        <v>11</v>
      </c>
      <c r="B12" s="122" t="s">
        <v>615</v>
      </c>
      <c r="C12" s="169">
        <v>1</v>
      </c>
      <c r="D12" s="122" t="s">
        <v>25</v>
      </c>
      <c r="E12" s="122" t="s">
        <v>598</v>
      </c>
      <c r="F12" s="122" t="s">
        <v>597</v>
      </c>
      <c r="G12" s="126">
        <v>102.9</v>
      </c>
      <c r="S12" s="122" t="s">
        <v>596</v>
      </c>
      <c r="Y12" s="95" t="s">
        <v>1219</v>
      </c>
      <c r="Z12" s="122" t="s">
        <v>1187</v>
      </c>
      <c r="AD12" s="559"/>
      <c r="AE12" s="559"/>
      <c r="AF12" s="559"/>
      <c r="AG12" s="559"/>
      <c r="AH12" s="559"/>
      <c r="AI12" s="559"/>
      <c r="AK12" s="559"/>
      <c r="AL12" s="163"/>
      <c r="AM12" s="163"/>
      <c r="AN12" s="122" t="s">
        <v>595</v>
      </c>
      <c r="AX12" s="167" t="s">
        <v>54</v>
      </c>
      <c r="AY12" s="122" t="s">
        <v>594</v>
      </c>
      <c r="BB12" s="126" t="s">
        <v>54</v>
      </c>
      <c r="BE12" s="122" t="s">
        <v>471</v>
      </c>
      <c r="BF12" s="122" t="s">
        <v>465</v>
      </c>
      <c r="CO12" s="660" t="s">
        <v>670</v>
      </c>
      <c r="CP12" s="664">
        <v>1000</v>
      </c>
      <c r="CU12" s="1100"/>
      <c r="CV12" s="1100"/>
      <c r="CW12" s="1100"/>
      <c r="CX12" s="1100"/>
      <c r="CY12" s="1100"/>
      <c r="CZ12" s="1100"/>
      <c r="DA12" s="1100"/>
      <c r="DB12" s="1100"/>
      <c r="DC12" s="1100"/>
      <c r="DD12" s="1100"/>
      <c r="DE12" s="1100"/>
      <c r="DF12" s="1100"/>
      <c r="DG12" s="1100"/>
      <c r="DH12" s="1100"/>
      <c r="DR12" s="126" t="e">
        <f ca="1"/>
        <v>#N/A</v>
      </c>
    </row>
    <row r="13" spans="1:122" ht="12.75" customHeight="1" x14ac:dyDescent="0.25">
      <c r="A13" s="126">
        <v>12</v>
      </c>
      <c r="B13" s="122" t="s">
        <v>610</v>
      </c>
      <c r="C13" s="169">
        <v>1</v>
      </c>
      <c r="D13" s="122" t="s">
        <v>25</v>
      </c>
      <c r="E13" s="122" t="s">
        <v>592</v>
      </c>
      <c r="F13" s="122" t="s">
        <v>591</v>
      </c>
      <c r="G13" s="156">
        <v>1029</v>
      </c>
      <c r="S13" s="122" t="s">
        <v>590</v>
      </c>
      <c r="Y13" s="866" t="s">
        <v>1348</v>
      </c>
      <c r="Z13" s="866" t="s">
        <v>1339</v>
      </c>
      <c r="AD13" s="559"/>
      <c r="AE13" s="559"/>
      <c r="AF13" s="559"/>
      <c r="AG13" s="559"/>
      <c r="AH13" s="559"/>
      <c r="AI13" s="559"/>
      <c r="AJ13" s="560"/>
      <c r="AK13" s="559"/>
      <c r="AL13" s="163"/>
      <c r="AM13" s="163"/>
      <c r="AN13" s="122" t="s">
        <v>589</v>
      </c>
      <c r="AX13" s="167" t="s">
        <v>55</v>
      </c>
      <c r="AY13" s="122" t="s">
        <v>588</v>
      </c>
      <c r="BB13" s="126" t="s">
        <v>55</v>
      </c>
      <c r="BE13" s="122" t="s">
        <v>470</v>
      </c>
      <c r="BF13" s="122" t="s">
        <v>465</v>
      </c>
      <c r="CO13" s="660" t="s">
        <v>245</v>
      </c>
      <c r="CP13" s="664">
        <v>2.9308323563892149E-4</v>
      </c>
      <c r="CU13" s="1100"/>
      <c r="CV13" s="1100"/>
      <c r="CW13" s="1100"/>
      <c r="CX13" s="1100"/>
      <c r="CY13" s="1100"/>
      <c r="CZ13" s="1100"/>
      <c r="DA13" s="1100"/>
      <c r="DB13" s="1100"/>
      <c r="DC13" s="1100"/>
      <c r="DD13" s="1100"/>
      <c r="DE13" s="1100"/>
      <c r="DF13" s="1100"/>
      <c r="DG13" s="1100"/>
      <c r="DH13" s="1100"/>
      <c r="DR13" s="126" t="e">
        <f ca="1"/>
        <v>#N/A</v>
      </c>
    </row>
    <row r="14" spans="1:122" ht="12.75" customHeight="1" x14ac:dyDescent="0.25">
      <c r="A14" s="126">
        <v>13</v>
      </c>
      <c r="B14" s="122" t="s">
        <v>605</v>
      </c>
      <c r="C14" s="169">
        <v>1</v>
      </c>
      <c r="D14" s="122" t="s">
        <v>25</v>
      </c>
      <c r="E14" s="122" t="s">
        <v>587</v>
      </c>
      <c r="F14" s="122" t="s">
        <v>586</v>
      </c>
      <c r="G14" s="156">
        <v>1029000</v>
      </c>
      <c r="S14" s="122" t="s">
        <v>585</v>
      </c>
      <c r="Y14" s="126" t="s">
        <v>1688</v>
      </c>
      <c r="Z14" s="126" t="s">
        <v>1690</v>
      </c>
      <c r="AD14" s="559"/>
      <c r="AE14" s="559"/>
      <c r="AF14" s="559"/>
      <c r="AG14" s="559"/>
      <c r="AH14" s="559"/>
      <c r="AI14" s="559"/>
      <c r="AK14" s="559"/>
      <c r="AL14" s="163"/>
      <c r="AM14" s="163"/>
      <c r="AN14" s="122" t="s">
        <v>584</v>
      </c>
      <c r="AX14" s="167" t="s">
        <v>56</v>
      </c>
      <c r="AY14" s="122" t="s">
        <v>583</v>
      </c>
      <c r="BB14" s="126" t="s">
        <v>56</v>
      </c>
      <c r="BE14" s="122" t="s">
        <v>427</v>
      </c>
      <c r="BF14" s="122" t="s">
        <v>465</v>
      </c>
      <c r="CO14" s="660" t="s">
        <v>642</v>
      </c>
      <c r="CP14" s="664">
        <v>0.29308323563892147</v>
      </c>
      <c r="CU14" s="1100"/>
      <c r="CV14" s="1100"/>
      <c r="CW14" s="1100"/>
      <c r="CX14" s="1100"/>
      <c r="CY14" s="1100"/>
      <c r="CZ14" s="1100"/>
      <c r="DA14" s="1100"/>
      <c r="DB14" s="1100"/>
      <c r="DC14" s="1100"/>
      <c r="DD14" s="1100"/>
      <c r="DE14" s="1100"/>
      <c r="DF14" s="1100"/>
      <c r="DG14" s="1100"/>
      <c r="DH14" s="1100"/>
      <c r="DR14" s="126" t="e">
        <f ca="1"/>
        <v>#N/A</v>
      </c>
    </row>
    <row r="15" spans="1:122" ht="12.75" customHeight="1" x14ac:dyDescent="0.25">
      <c r="B15" s="122"/>
      <c r="C15" s="169"/>
      <c r="E15" s="122" t="s">
        <v>582</v>
      </c>
      <c r="F15" s="122" t="s">
        <v>581</v>
      </c>
      <c r="G15" s="126">
        <v>1.194</v>
      </c>
      <c r="AD15" s="559"/>
      <c r="AE15" s="559"/>
      <c r="AF15" s="559"/>
      <c r="AG15" s="559"/>
      <c r="AH15" s="559"/>
      <c r="AI15" s="559"/>
      <c r="AJ15" s="560"/>
      <c r="AK15" s="559"/>
      <c r="AL15" s="163"/>
      <c r="AM15" s="163"/>
      <c r="AX15" s="167" t="s">
        <v>57</v>
      </c>
      <c r="AY15" s="122" t="s">
        <v>580</v>
      </c>
      <c r="BB15" s="126" t="s">
        <v>57</v>
      </c>
      <c r="BE15" s="122" t="s">
        <v>468</v>
      </c>
      <c r="BF15" s="122" t="s">
        <v>465</v>
      </c>
      <c r="CO15" s="660" t="s">
        <v>635</v>
      </c>
      <c r="CP15" s="664">
        <v>0.29308323563892147</v>
      </c>
      <c r="CU15" s="1100"/>
      <c r="CV15" s="1100"/>
      <c r="CW15" s="1100"/>
      <c r="CX15" s="1100"/>
      <c r="CY15" s="1100"/>
      <c r="CZ15" s="1100"/>
      <c r="DA15" s="1100"/>
      <c r="DB15" s="1100"/>
      <c r="DC15" s="1100"/>
      <c r="DD15" s="1100"/>
      <c r="DE15" s="1100"/>
      <c r="DF15" s="1100"/>
      <c r="DG15" s="1100"/>
      <c r="DH15" s="1100"/>
      <c r="DR15" s="126" t="e">
        <f ca="1"/>
        <v>#N/A</v>
      </c>
    </row>
    <row r="16" spans="1:122" ht="12.75" customHeight="1" x14ac:dyDescent="0.25">
      <c r="B16" s="122"/>
      <c r="C16" s="169"/>
      <c r="E16" s="122" t="s">
        <v>579</v>
      </c>
      <c r="F16" s="122" t="s">
        <v>578</v>
      </c>
      <c r="G16" s="156">
        <v>1194</v>
      </c>
      <c r="AD16" s="559"/>
      <c r="AE16" s="559"/>
      <c r="AF16" s="559"/>
      <c r="AG16" s="559"/>
      <c r="AH16" s="559"/>
      <c r="AI16" s="559"/>
      <c r="AK16" s="559"/>
      <c r="AL16" s="163"/>
      <c r="AM16" s="163"/>
      <c r="AX16" s="167" t="s">
        <v>58</v>
      </c>
      <c r="AY16" s="122" t="s">
        <v>577</v>
      </c>
      <c r="BB16" s="126" t="s">
        <v>58</v>
      </c>
      <c r="BE16" s="122" t="s">
        <v>469</v>
      </c>
      <c r="BF16" s="122" t="s">
        <v>465</v>
      </c>
      <c r="CO16" s="660" t="s">
        <v>626</v>
      </c>
      <c r="CP16" s="664">
        <v>293.08323563892145</v>
      </c>
      <c r="CU16" s="1078" t="s">
        <v>1471</v>
      </c>
      <c r="CV16" s="1078" t="str">
        <f>CONCATENATE("Base ",IF(SI_IP_Units="IP","(kWh/year)","kWh/year"))</f>
        <v>Base (kWh/year)</v>
      </c>
      <c r="CW16" s="1078" t="str">
        <f>CONCATENATE("Energy Star ",IF(SI_IP_Units="IP","(kWh/year)","kWh/year"))</f>
        <v>Energy Star (kWh/year)</v>
      </c>
      <c r="CX16" s="1078" t="s">
        <v>1494</v>
      </c>
      <c r="CY16" s="1078" t="s">
        <v>1495</v>
      </c>
      <c r="CZ16" s="1078" t="s">
        <v>1509</v>
      </c>
      <c r="DA16" s="1078" t="str">
        <f>CONCATENATE("Base ",IF(SI_IP_Units="IP","(Therms/year)","kWh/year"))</f>
        <v>Base (Therms/year)</v>
      </c>
      <c r="DB16" s="1078" t="str">
        <f>CONCATENATE("Energy Star ",IF(SI_IP_Units="IP","(Therms/year)","kWh/year"))</f>
        <v>Energy Star (Therms/year)</v>
      </c>
      <c r="DC16" s="1078" t="s">
        <v>1492</v>
      </c>
      <c r="DD16" s="1078" t="s">
        <v>1493</v>
      </c>
      <c r="DE16" s="1078" t="s">
        <v>1510</v>
      </c>
      <c r="DF16" s="1078" t="s">
        <v>921</v>
      </c>
      <c r="DG16" s="1078" t="s">
        <v>1511</v>
      </c>
      <c r="DH16" s="1078" t="s">
        <v>1512</v>
      </c>
      <c r="DR16" s="126" t="e">
        <f ca="1"/>
        <v>#N/A</v>
      </c>
    </row>
    <row r="17" spans="2:122" ht="12.75" customHeight="1" x14ac:dyDescent="0.25">
      <c r="B17" s="122"/>
      <c r="E17" s="122" t="s">
        <v>576</v>
      </c>
      <c r="F17" s="122" t="s">
        <v>575</v>
      </c>
      <c r="G17" s="156">
        <v>1194000</v>
      </c>
      <c r="AD17" s="559"/>
      <c r="AE17" s="559"/>
      <c r="AF17" s="559"/>
      <c r="AG17" s="559"/>
      <c r="AH17" s="559"/>
      <c r="AI17" s="559"/>
      <c r="AJ17" s="560"/>
      <c r="AK17" s="559"/>
      <c r="AL17" s="163"/>
      <c r="AM17" s="163"/>
      <c r="AX17" s="167" t="s">
        <v>258</v>
      </c>
      <c r="AY17" s="122" t="s">
        <v>574</v>
      </c>
      <c r="BB17" s="126" t="s">
        <v>258</v>
      </c>
      <c r="BE17" s="122" t="s">
        <v>467</v>
      </c>
      <c r="BF17" s="122" t="s">
        <v>465</v>
      </c>
      <c r="CO17" s="660" t="s">
        <v>620</v>
      </c>
      <c r="CP17" s="664">
        <v>293.08323563892145</v>
      </c>
      <c r="CU17" s="1100" t="s">
        <v>1484</v>
      </c>
      <c r="CV17" s="1100">
        <v>196</v>
      </c>
      <c r="CW17" s="1100">
        <v>138</v>
      </c>
      <c r="CX17" s="1100">
        <v>0.8</v>
      </c>
      <c r="CY17" s="1100">
        <v>0</v>
      </c>
      <c r="CZ17" s="1100">
        <v>0</v>
      </c>
      <c r="DA17" s="1100"/>
      <c r="DB17" s="1100"/>
      <c r="DC17" s="1100"/>
      <c r="DD17" s="1100"/>
      <c r="DE17" s="1100">
        <v>0</v>
      </c>
      <c r="DF17" s="1100">
        <v>1</v>
      </c>
      <c r="DG17" s="1100">
        <f>IF(SI_IP_Units="IP",29515,111726)*0.2</f>
        <v>5903</v>
      </c>
      <c r="DH17" s="1100">
        <f>IF(SI_IP_Units="IP",13661,51712)*0.2</f>
        <v>2732.2000000000003</v>
      </c>
      <c r="DR17" s="126" t="e">
        <f ca="1"/>
        <v>#N/A</v>
      </c>
    </row>
    <row r="18" spans="2:122" ht="12.75" customHeight="1" x14ac:dyDescent="0.25">
      <c r="E18" s="122" t="s">
        <v>573</v>
      </c>
      <c r="G18" s="168">
        <v>36.06</v>
      </c>
      <c r="AD18" s="559"/>
      <c r="AE18" s="559"/>
      <c r="AF18" s="559"/>
      <c r="AG18" s="559"/>
      <c r="AH18" s="559"/>
      <c r="AI18" s="559"/>
      <c r="AJ18" s="560"/>
      <c r="AK18" s="559"/>
      <c r="AL18" s="163"/>
      <c r="AM18" s="163"/>
      <c r="AX18" s="167" t="s">
        <v>259</v>
      </c>
      <c r="AY18" s="126" t="str">
        <f>""</f>
        <v/>
      </c>
      <c r="BB18" s="126" t="s">
        <v>259</v>
      </c>
      <c r="BE18" s="122" t="s">
        <v>466</v>
      </c>
      <c r="BF18" s="122" t="s">
        <v>465</v>
      </c>
      <c r="CO18" s="660" t="s">
        <v>614</v>
      </c>
      <c r="CP18" s="664">
        <v>3.5169988276670576</v>
      </c>
      <c r="CU18" s="1100" t="s">
        <v>1489</v>
      </c>
      <c r="CV18" s="1100">
        <v>418</v>
      </c>
      <c r="CW18" s="1100">
        <v>418</v>
      </c>
      <c r="CX18" s="1100">
        <v>0.15</v>
      </c>
      <c r="CY18" s="1100">
        <v>0.05</v>
      </c>
      <c r="CZ18" s="1100">
        <v>139</v>
      </c>
      <c r="DA18" s="1100"/>
      <c r="DB18" s="1100"/>
      <c r="DC18" s="1100"/>
      <c r="DD18" s="1100"/>
      <c r="DE18" s="1100">
        <v>0</v>
      </c>
      <c r="DF18" s="1100">
        <v>2.423</v>
      </c>
      <c r="DG18" s="1100">
        <v>0</v>
      </c>
      <c r="DH18" s="1100">
        <v>0</v>
      </c>
      <c r="DR18" s="126" t="e">
        <f ca="1"/>
        <v>#N/A</v>
      </c>
    </row>
    <row r="19" spans="2:122" ht="12.75" customHeight="1" x14ac:dyDescent="0.25">
      <c r="E19" s="122" t="s">
        <v>572</v>
      </c>
      <c r="G19" s="166">
        <v>138.69049999999999</v>
      </c>
      <c r="AD19" s="559"/>
      <c r="AE19" s="559"/>
      <c r="AF19" s="559"/>
      <c r="AG19" s="559"/>
      <c r="AH19" s="559"/>
      <c r="AI19" s="559"/>
      <c r="AJ19" s="560"/>
      <c r="AK19" s="559"/>
      <c r="AL19" s="163"/>
      <c r="AM19" s="163"/>
      <c r="AX19" s="165">
        <v>8</v>
      </c>
      <c r="AY19" s="126" t="str">
        <f>""</f>
        <v/>
      </c>
      <c r="BB19" s="126">
        <v>8</v>
      </c>
      <c r="BE19" s="122" t="s">
        <v>571</v>
      </c>
      <c r="CU19" s="1100" t="s">
        <v>1491</v>
      </c>
      <c r="CV19" s="1100">
        <v>26.5</v>
      </c>
      <c r="CW19" s="1100">
        <v>26.5</v>
      </c>
      <c r="CX19" s="1100">
        <v>1</v>
      </c>
      <c r="CY19" s="1100">
        <v>0</v>
      </c>
      <c r="CZ19" s="1100">
        <v>8.8000000000000007</v>
      </c>
      <c r="DA19" s="1100"/>
      <c r="DB19" s="1100"/>
      <c r="DC19" s="1100">
        <v>0.1</v>
      </c>
      <c r="DD19" s="1100">
        <v>0.05</v>
      </c>
      <c r="DE19" s="1100">
        <v>12.7</v>
      </c>
      <c r="DF19" s="1100">
        <v>2.423</v>
      </c>
      <c r="DG19" s="1100">
        <v>0</v>
      </c>
      <c r="DH19" s="1100">
        <v>0</v>
      </c>
      <c r="DR19" s="126" t="e">
        <f ca="1"/>
        <v>#N/A</v>
      </c>
    </row>
    <row r="20" spans="2:122" ht="12.75" customHeight="1" x14ac:dyDescent="0.25">
      <c r="E20" s="122" t="s">
        <v>570</v>
      </c>
      <c r="G20" s="126">
        <v>38.92</v>
      </c>
      <c r="AD20" s="559"/>
      <c r="AE20" s="559"/>
      <c r="AF20" s="559"/>
      <c r="AG20" s="559"/>
      <c r="AH20" s="559"/>
      <c r="AI20" s="559"/>
      <c r="AJ20" s="560"/>
      <c r="AK20" s="559"/>
      <c r="AL20" s="163"/>
      <c r="AM20" s="163"/>
      <c r="BE20" s="122" t="s">
        <v>569</v>
      </c>
      <c r="CU20" s="1100"/>
      <c r="CV20" s="1100"/>
      <c r="CW20" s="1100"/>
      <c r="CX20" s="1100"/>
      <c r="CY20" s="1100"/>
      <c r="CZ20" s="1100"/>
      <c r="DA20" s="1100"/>
      <c r="DB20" s="1100"/>
      <c r="DC20" s="1100"/>
      <c r="DD20" s="1100"/>
      <c r="DE20" s="1100"/>
      <c r="DF20" s="1100"/>
      <c r="DG20" s="1100"/>
      <c r="DH20" s="1100"/>
      <c r="DR20" s="126" t="e">
        <f ca="1"/>
        <v>#N/A</v>
      </c>
    </row>
    <row r="21" spans="2:122" ht="12.75" customHeight="1" x14ac:dyDescent="0.25">
      <c r="E21" s="122" t="s">
        <v>568</v>
      </c>
      <c r="G21" s="164">
        <v>149.69</v>
      </c>
      <c r="AD21" s="559"/>
      <c r="AE21" s="559"/>
      <c r="AF21" s="559"/>
      <c r="AG21" s="559"/>
      <c r="AH21" s="559"/>
      <c r="AI21" s="559"/>
      <c r="AJ21" s="560"/>
      <c r="AK21" s="559"/>
      <c r="AL21" s="163"/>
      <c r="AM21" s="163"/>
      <c r="BE21" s="122" t="s">
        <v>567</v>
      </c>
      <c r="CU21" s="1100"/>
      <c r="CV21" s="1100"/>
      <c r="CW21" s="1100"/>
      <c r="CX21" s="1100"/>
      <c r="CY21" s="1100"/>
      <c r="CZ21" s="1100"/>
      <c r="DA21" s="1100"/>
      <c r="DB21" s="1100"/>
      <c r="DC21" s="1100"/>
      <c r="DD21" s="1100"/>
      <c r="DE21" s="1100"/>
      <c r="DF21" s="1100"/>
      <c r="DG21" s="1100"/>
      <c r="DH21" s="1100"/>
      <c r="DR21" s="126" t="e">
        <f ca="1"/>
        <v>#N/A</v>
      </c>
    </row>
    <row r="22" spans="2:122" ht="12.75" customHeight="1" x14ac:dyDescent="0.25">
      <c r="E22" s="122" t="s">
        <v>566</v>
      </c>
      <c r="G22" s="126">
        <v>91.65</v>
      </c>
      <c r="AD22" s="559"/>
      <c r="AE22" s="559"/>
      <c r="AF22" s="559"/>
      <c r="AG22" s="559"/>
      <c r="AH22" s="559"/>
      <c r="AI22" s="559"/>
      <c r="AJ22" s="560"/>
      <c r="AK22" s="559"/>
      <c r="AL22" s="163"/>
      <c r="AM22" s="163"/>
      <c r="BE22" s="122" t="s">
        <v>1184</v>
      </c>
      <c r="DR22" s="126" t="e">
        <f ca="1"/>
        <v>#N/A</v>
      </c>
    </row>
    <row r="23" spans="2:122" ht="12.75" customHeight="1" x14ac:dyDescent="0.25">
      <c r="E23" s="122" t="s">
        <v>565</v>
      </c>
      <c r="G23" s="126">
        <v>23.83</v>
      </c>
      <c r="AD23" s="559"/>
      <c r="AE23" s="559"/>
      <c r="AF23" s="559"/>
      <c r="AG23" s="559"/>
      <c r="AH23" s="559"/>
      <c r="AI23" s="559"/>
      <c r="AJ23" s="560"/>
      <c r="AK23" s="559"/>
      <c r="AL23" s="163"/>
      <c r="AM23" s="163"/>
      <c r="BE23" s="122"/>
      <c r="DR23" s="126" t="e">
        <f ca="1"/>
        <v>#N/A</v>
      </c>
    </row>
    <row r="24" spans="2:122" ht="12.75" customHeight="1" x14ac:dyDescent="0.25">
      <c r="E24" s="122" t="s">
        <v>564</v>
      </c>
      <c r="F24" s="122" t="s">
        <v>563</v>
      </c>
      <c r="G24" s="126">
        <v>12.545</v>
      </c>
      <c r="AD24" s="559"/>
      <c r="AE24" s="559"/>
      <c r="AF24" s="559"/>
      <c r="AG24" s="559"/>
      <c r="AH24" s="559"/>
      <c r="AI24" s="559"/>
      <c r="AJ24" s="560"/>
      <c r="AK24" s="559"/>
      <c r="AL24" s="163"/>
      <c r="AM24" s="163"/>
      <c r="BE24" s="122"/>
      <c r="DR24" s="126" t="e">
        <f ca="1"/>
        <v>#N/A</v>
      </c>
    </row>
    <row r="25" spans="2:122" ht="12.75" customHeight="1" x14ac:dyDescent="0.25">
      <c r="E25" s="122" t="s">
        <v>562</v>
      </c>
      <c r="F25" s="122" t="s">
        <v>561</v>
      </c>
      <c r="G25" s="156">
        <v>12545</v>
      </c>
      <c r="AD25" s="559"/>
      <c r="AE25" s="559"/>
      <c r="AF25" s="559"/>
      <c r="AG25" s="559"/>
      <c r="AH25" s="559"/>
      <c r="AI25" s="559"/>
      <c r="AJ25" s="560"/>
      <c r="AK25" s="559"/>
      <c r="AL25" s="163"/>
      <c r="AM25" s="163"/>
      <c r="DR25" s="126" t="e">
        <f ca="1"/>
        <v>#N/A</v>
      </c>
    </row>
    <row r="26" spans="2:122" ht="12.75" customHeight="1" x14ac:dyDescent="0.25">
      <c r="E26" s="122" t="s">
        <v>560</v>
      </c>
      <c r="F26" s="122" t="s">
        <v>559</v>
      </c>
      <c r="G26" s="156">
        <v>12545000</v>
      </c>
      <c r="AD26" s="559"/>
      <c r="AE26" s="559"/>
      <c r="AF26" s="559"/>
      <c r="AG26" s="559"/>
      <c r="AH26" s="559"/>
      <c r="AI26" s="559"/>
      <c r="AJ26" s="560"/>
      <c r="AK26" s="559"/>
      <c r="AL26" s="163"/>
      <c r="AM26" s="163"/>
      <c r="DR26" s="126" t="e">
        <f ca="1"/>
        <v>#N/A</v>
      </c>
    </row>
    <row r="27" spans="2:122" ht="12.75" customHeight="1" x14ac:dyDescent="0.25">
      <c r="E27" s="122" t="s">
        <v>558</v>
      </c>
      <c r="F27" s="122" t="s">
        <v>557</v>
      </c>
      <c r="G27" s="156">
        <v>24800</v>
      </c>
      <c r="AD27" s="559"/>
      <c r="AE27" s="559"/>
      <c r="AF27" s="559"/>
      <c r="AG27" s="559"/>
      <c r="AH27" s="559"/>
      <c r="AI27" s="559"/>
      <c r="AJ27" s="560"/>
      <c r="AK27" s="559"/>
      <c r="AL27" s="163"/>
      <c r="AM27" s="163"/>
      <c r="DR27" s="126" t="e">
        <f ca="1"/>
        <v>#N/A</v>
      </c>
    </row>
    <row r="28" spans="2:122" ht="12.75" customHeight="1" x14ac:dyDescent="0.25">
      <c r="E28" s="122" t="s">
        <v>556</v>
      </c>
      <c r="F28" s="122" t="s">
        <v>555</v>
      </c>
      <c r="G28" s="126">
        <v>12.465</v>
      </c>
      <c r="AD28" s="559"/>
      <c r="AE28" s="559"/>
      <c r="AF28" s="559"/>
      <c r="AG28" s="559"/>
      <c r="AH28" s="559"/>
      <c r="AI28" s="559"/>
      <c r="AJ28" s="560"/>
      <c r="AK28" s="559"/>
      <c r="AL28" s="163"/>
      <c r="AM28" s="163"/>
      <c r="DR28" s="126" t="e">
        <f ca="1"/>
        <v>#N/A</v>
      </c>
    </row>
    <row r="29" spans="2:122" ht="12.75" customHeight="1" x14ac:dyDescent="0.25">
      <c r="E29" s="122" t="s">
        <v>554</v>
      </c>
      <c r="F29" s="122" t="s">
        <v>553</v>
      </c>
      <c r="G29" s="156">
        <v>12465</v>
      </c>
      <c r="AC29" s="122"/>
      <c r="AD29" s="560"/>
      <c r="AE29" s="560"/>
      <c r="AF29" s="560"/>
      <c r="AG29" s="560"/>
      <c r="AH29" s="560"/>
      <c r="AI29" s="560"/>
      <c r="AJ29" s="560"/>
      <c r="AK29" s="560"/>
      <c r="AL29" s="163"/>
      <c r="AM29" s="163"/>
      <c r="DR29" s="126" t="e">
        <f ca="1"/>
        <v>#N/A</v>
      </c>
    </row>
    <row r="30" spans="2:122" ht="12.75" customHeight="1" x14ac:dyDescent="0.2">
      <c r="E30" s="122" t="s">
        <v>552</v>
      </c>
      <c r="F30" s="122" t="s">
        <v>551</v>
      </c>
      <c r="G30" s="156">
        <v>12465000</v>
      </c>
      <c r="BE30" s="162" t="s">
        <v>550</v>
      </c>
      <c r="DR30" s="126" t="e">
        <f ca="1"/>
        <v>#N/A</v>
      </c>
    </row>
    <row r="31" spans="2:122" ht="12.75" customHeight="1" x14ac:dyDescent="0.2">
      <c r="E31" s="122" t="s">
        <v>549</v>
      </c>
      <c r="F31" s="122" t="s">
        <v>548</v>
      </c>
      <c r="G31" s="156">
        <v>24930</v>
      </c>
      <c r="AL31" s="562"/>
      <c r="BE31" s="122" t="s">
        <v>547</v>
      </c>
      <c r="DR31" s="126" t="e">
        <f ca="1"/>
        <v>#N/A</v>
      </c>
    </row>
    <row r="32" spans="2:122" ht="12.75" customHeight="1" x14ac:dyDescent="0.2">
      <c r="E32" s="122" t="s">
        <v>546</v>
      </c>
      <c r="F32" s="122" t="s">
        <v>545</v>
      </c>
      <c r="G32" s="126">
        <v>12.4</v>
      </c>
      <c r="BE32" s="122" t="s">
        <v>544</v>
      </c>
      <c r="DR32" s="126" t="e">
        <f ca="1"/>
        <v>#N/A</v>
      </c>
    </row>
    <row r="33" spans="5:122" ht="12.75" customHeight="1" x14ac:dyDescent="0.2">
      <c r="E33" s="122" t="s">
        <v>543</v>
      </c>
      <c r="F33" s="122" t="s">
        <v>542</v>
      </c>
      <c r="G33" s="156">
        <v>12400</v>
      </c>
      <c r="BE33" s="122" t="s">
        <v>541</v>
      </c>
      <c r="DR33" s="126" t="e">
        <f ca="1"/>
        <v>#N/A</v>
      </c>
    </row>
    <row r="34" spans="5:122" ht="12.75" customHeight="1" x14ac:dyDescent="0.2">
      <c r="E34" s="122" t="s">
        <v>540</v>
      </c>
      <c r="F34" s="122" t="s">
        <v>539</v>
      </c>
      <c r="G34" s="156">
        <v>12400000</v>
      </c>
      <c r="BE34" s="122" t="s">
        <v>538</v>
      </c>
      <c r="DR34" s="126" t="e">
        <f ca="1"/>
        <v>#N/A</v>
      </c>
    </row>
    <row r="35" spans="5:122" ht="12.75" customHeight="1" x14ac:dyDescent="0.2">
      <c r="E35" s="122" t="s">
        <v>537</v>
      </c>
      <c r="F35" s="122" t="s">
        <v>537</v>
      </c>
      <c r="G35" s="156">
        <v>24800</v>
      </c>
      <c r="BE35" s="122" t="s">
        <v>536</v>
      </c>
      <c r="DR35" s="126" t="e">
        <f ca="1"/>
        <v>#N/A</v>
      </c>
    </row>
    <row r="36" spans="5:122" x14ac:dyDescent="0.2">
      <c r="E36" s="122" t="s">
        <v>535</v>
      </c>
      <c r="F36" s="122" t="s">
        <v>534</v>
      </c>
      <c r="G36" s="161">
        <v>7.69</v>
      </c>
      <c r="BE36" s="122" t="s">
        <v>533</v>
      </c>
      <c r="DR36" s="126" t="e">
        <f ca="1"/>
        <v>#N/A</v>
      </c>
    </row>
    <row r="37" spans="5:122" x14ac:dyDescent="0.2">
      <c r="E37" s="122" t="s">
        <v>532</v>
      </c>
      <c r="F37" s="122" t="s">
        <v>532</v>
      </c>
      <c r="G37" s="156">
        <v>15380</v>
      </c>
      <c r="BE37" s="122" t="s">
        <v>531</v>
      </c>
      <c r="DR37" s="126" t="e">
        <f ca="1"/>
        <v>#N/A</v>
      </c>
    </row>
    <row r="38" spans="5:122" x14ac:dyDescent="0.2">
      <c r="BE38" s="122" t="s">
        <v>530</v>
      </c>
      <c r="DR38" s="126" t="e">
        <f ca="1"/>
        <v>#N/A</v>
      </c>
    </row>
    <row r="39" spans="5:122" x14ac:dyDescent="0.2">
      <c r="DR39" s="126" t="e">
        <f ca="1"/>
        <v>#N/A</v>
      </c>
    </row>
    <row r="40" spans="5:122" x14ac:dyDescent="0.2">
      <c r="DR40" s="126" t="e">
        <f ca="1"/>
        <v>#N/A</v>
      </c>
    </row>
    <row r="41" spans="5:122" x14ac:dyDescent="0.2">
      <c r="DR41" s="126" t="e">
        <f ca="1"/>
        <v>#N/A</v>
      </c>
    </row>
    <row r="42" spans="5:122" x14ac:dyDescent="0.2">
      <c r="DR42" s="126" t="e">
        <f ca="1"/>
        <v>#N/A</v>
      </c>
    </row>
    <row r="43" spans="5:122" x14ac:dyDescent="0.2">
      <c r="DR43" s="126" t="e">
        <f ca="1"/>
        <v>#N/A</v>
      </c>
    </row>
    <row r="44" spans="5:122" x14ac:dyDescent="0.2">
      <c r="DR44" s="126" t="e">
        <f ca="1"/>
        <v>#N/A</v>
      </c>
    </row>
    <row r="45" spans="5:122" x14ac:dyDescent="0.2">
      <c r="DR45" s="126" t="e">
        <f ca="1"/>
        <v>#N/A</v>
      </c>
    </row>
    <row r="46" spans="5:122" x14ac:dyDescent="0.2">
      <c r="DR46" s="126" t="e">
        <f ca="1"/>
        <v>#N/A</v>
      </c>
    </row>
    <row r="47" spans="5:122" x14ac:dyDescent="0.2">
      <c r="DR47" s="126" t="e">
        <f ca="1"/>
        <v>#N/A</v>
      </c>
    </row>
    <row r="48" spans="5:122" x14ac:dyDescent="0.2">
      <c r="DR48" s="126" t="e">
        <f ca="1"/>
        <v>#N/A</v>
      </c>
    </row>
    <row r="49" spans="122:122" x14ac:dyDescent="0.2">
      <c r="DR49" s="126" t="e">
        <f ca="1"/>
        <v>#N/A</v>
      </c>
    </row>
    <row r="50" spans="122:122" x14ac:dyDescent="0.2">
      <c r="DR50" s="126" t="e">
        <f ca="1"/>
        <v>#N/A</v>
      </c>
    </row>
    <row r="51" spans="122:122" x14ac:dyDescent="0.2">
      <c r="DR51" s="126" t="e">
        <f ca="1"/>
        <v>#N/A</v>
      </c>
    </row>
    <row r="52" spans="122:122" x14ac:dyDescent="0.2">
      <c r="DR52" s="126" t="e">
        <f ca="1"/>
        <v>#N/A</v>
      </c>
    </row>
    <row r="53" spans="122:122" x14ac:dyDescent="0.2">
      <c r="DR53" s="126" t="e">
        <f ca="1"/>
        <v>#N/A</v>
      </c>
    </row>
    <row r="54" spans="122:122" x14ac:dyDescent="0.2">
      <c r="DR54" s="126" t="e">
        <f ca="1"/>
        <v>#N/A</v>
      </c>
    </row>
    <row r="55" spans="122:122" x14ac:dyDescent="0.2">
      <c r="DR55" s="126" t="e">
        <f ca="1"/>
        <v>#N/A</v>
      </c>
    </row>
    <row r="56" spans="122:122" x14ac:dyDescent="0.2">
      <c r="DR56" s="126" t="e">
        <f ca="1"/>
        <v>#N/A</v>
      </c>
    </row>
    <row r="57" spans="122:122" x14ac:dyDescent="0.2">
      <c r="DR57" s="126" t="e">
        <f ca="1"/>
        <v>#N/A</v>
      </c>
    </row>
    <row r="58" spans="122:122" x14ac:dyDescent="0.2">
      <c r="DR58" s="126" t="e">
        <f ca="1"/>
        <v>#N/A</v>
      </c>
    </row>
    <row r="59" spans="122:122" x14ac:dyDescent="0.2">
      <c r="DR59" s="126" t="e">
        <f ca="1"/>
        <v>#N/A</v>
      </c>
    </row>
    <row r="60" spans="122:122" x14ac:dyDescent="0.2">
      <c r="DR60" s="126" t="e">
        <f ca="1"/>
        <v>#N/A</v>
      </c>
    </row>
    <row r="61" spans="122:122" x14ac:dyDescent="0.2">
      <c r="DR61" s="126" t="e">
        <f ca="1"/>
        <v>#N/A</v>
      </c>
    </row>
    <row r="62" spans="122:122" x14ac:dyDescent="0.2">
      <c r="DR62" s="126" t="e">
        <f ca="1"/>
        <v>#N/A</v>
      </c>
    </row>
    <row r="63" spans="122:122" x14ac:dyDescent="0.2">
      <c r="DR63" s="126" t="e">
        <f ca="1"/>
        <v>#N/A</v>
      </c>
    </row>
    <row r="64" spans="122:122" x14ac:dyDescent="0.2">
      <c r="DR64" s="126" t="e">
        <f ca="1"/>
        <v>#N/A</v>
      </c>
    </row>
    <row r="65" spans="122:122" x14ac:dyDescent="0.2">
      <c r="DR65" s="126" t="e">
        <f ca="1"/>
        <v>#N/A</v>
      </c>
    </row>
    <row r="66" spans="122:122" x14ac:dyDescent="0.2">
      <c r="DR66" s="126" t="e">
        <f ca="1"/>
        <v>#N/A</v>
      </c>
    </row>
    <row r="67" spans="122:122" x14ac:dyDescent="0.2">
      <c r="DR67" s="126" t="e">
        <f ca="1"/>
        <v>#N/A</v>
      </c>
    </row>
    <row r="68" spans="122:122" x14ac:dyDescent="0.2">
      <c r="DR68" s="126" t="e">
        <f ca="1"/>
        <v>#N/A</v>
      </c>
    </row>
    <row r="69" spans="122:122" x14ac:dyDescent="0.2">
      <c r="DR69" s="126" t="e">
        <f ca="1"/>
        <v>#N/A</v>
      </c>
    </row>
    <row r="70" spans="122:122" x14ac:dyDescent="0.2">
      <c r="DR70" s="126" t="e">
        <f ca="1"/>
        <v>#N/A</v>
      </c>
    </row>
    <row r="71" spans="122:122" x14ac:dyDescent="0.2">
      <c r="DR71" s="126" t="e">
        <f ca="1"/>
        <v>#N/A</v>
      </c>
    </row>
    <row r="72" spans="122:122" x14ac:dyDescent="0.2">
      <c r="DR72" s="126" t="e">
        <f ca="1"/>
        <v>#N/A</v>
      </c>
    </row>
    <row r="73" spans="122:122" x14ac:dyDescent="0.2">
      <c r="DR73" s="126" t="e">
        <f ca="1"/>
        <v>#N/A</v>
      </c>
    </row>
    <row r="74" spans="122:122" x14ac:dyDescent="0.2">
      <c r="DR74" s="126" t="e">
        <f ca="1"/>
        <v>#N/A</v>
      </c>
    </row>
    <row r="75" spans="122:122" x14ac:dyDescent="0.2">
      <c r="DR75" s="126" t="e">
        <f ca="1"/>
        <v>#N/A</v>
      </c>
    </row>
    <row r="76" spans="122:122" x14ac:dyDescent="0.2">
      <c r="DR76" s="126" t="e">
        <f ca="1"/>
        <v>#N/A</v>
      </c>
    </row>
    <row r="77" spans="122:122" x14ac:dyDescent="0.2">
      <c r="DR77" s="126" t="e">
        <f ca="1"/>
        <v>#N/A</v>
      </c>
    </row>
    <row r="78" spans="122:122" x14ac:dyDescent="0.2">
      <c r="DR78" s="126" t="e">
        <f ca="1"/>
        <v>#N/A</v>
      </c>
    </row>
    <row r="79" spans="122:122" x14ac:dyDescent="0.2">
      <c r="DR79" s="126" t="e">
        <f ca="1"/>
        <v>#N/A</v>
      </c>
    </row>
    <row r="80" spans="122:122" x14ac:dyDescent="0.2">
      <c r="DR80" s="126" t="e">
        <f ca="1"/>
        <v>#N/A</v>
      </c>
    </row>
    <row r="81" spans="2:122" x14ac:dyDescent="0.2">
      <c r="DR81" s="126" t="e">
        <f ca="1"/>
        <v>#N/A</v>
      </c>
    </row>
    <row r="82" spans="2:122" x14ac:dyDescent="0.2">
      <c r="DR82" s="126" t="e">
        <f ca="1"/>
        <v>#N/A</v>
      </c>
    </row>
    <row r="83" spans="2:122" x14ac:dyDescent="0.2">
      <c r="DR83" s="126" t="e">
        <f ca="1"/>
        <v>#N/A</v>
      </c>
    </row>
    <row r="84" spans="2:122" x14ac:dyDescent="0.2">
      <c r="DR84" s="126" t="e">
        <f ca="1"/>
        <v>#N/A</v>
      </c>
    </row>
    <row r="85" spans="2:122" x14ac:dyDescent="0.2">
      <c r="DR85" s="126" t="e">
        <f ca="1"/>
        <v>#N/A</v>
      </c>
    </row>
    <row r="86" spans="2:122" x14ac:dyDescent="0.2">
      <c r="DR86" s="126" t="e">
        <f ca="1"/>
        <v>#N/A</v>
      </c>
    </row>
    <row r="87" spans="2:122" x14ac:dyDescent="0.2">
      <c r="DR87" s="126" t="e">
        <f ca="1"/>
        <v>#N/A</v>
      </c>
    </row>
    <row r="88" spans="2:122" x14ac:dyDescent="0.2">
      <c r="DR88" s="126" t="e">
        <f ca="1"/>
        <v>#N/A</v>
      </c>
    </row>
    <row r="89" spans="2:122" x14ac:dyDescent="0.2">
      <c r="DR89" s="126" t="e">
        <f ca="1"/>
        <v>#N/A</v>
      </c>
    </row>
    <row r="90" spans="2:122" x14ac:dyDescent="0.2">
      <c r="B90" s="122" t="s">
        <v>529</v>
      </c>
      <c r="C90" s="160">
        <f>IFERROR(IF('General Information'!I60,1,IF('General Information'!J60,2,IF('General Information'!K60,3,IF('General Information'!L60,4,0)))),"")</f>
        <v>1</v>
      </c>
      <c r="DR90" s="126" t="e">
        <f ca="1"/>
        <v>#N/A</v>
      </c>
    </row>
    <row r="91" spans="2:122" x14ac:dyDescent="0.2">
      <c r="B91" s="122" t="s">
        <v>528</v>
      </c>
      <c r="DR91" s="126" t="e">
        <f ca="1"/>
        <v>#N/A</v>
      </c>
    </row>
    <row r="92" spans="2:122" x14ac:dyDescent="0.2">
      <c r="B92" s="122" t="s">
        <v>527</v>
      </c>
      <c r="DR92" s="126" t="e">
        <f ca="1"/>
        <v>#N/A</v>
      </c>
    </row>
    <row r="93" spans="2:122" x14ac:dyDescent="0.2">
      <c r="B93" s="122" t="s">
        <v>526</v>
      </c>
      <c r="DR93" s="126" t="e">
        <f ca="1"/>
        <v>#N/A</v>
      </c>
    </row>
    <row r="94" spans="2:122" x14ac:dyDescent="0.2">
      <c r="B94" s="122" t="s">
        <v>525</v>
      </c>
      <c r="DR94" s="126" t="e">
        <f ca="1"/>
        <v>#N/A</v>
      </c>
    </row>
    <row r="95" spans="2:122" x14ac:dyDescent="0.2">
      <c r="DR95" s="126" t="e">
        <f ca="1"/>
        <v>#N/A</v>
      </c>
    </row>
    <row r="96" spans="2:122" x14ac:dyDescent="0.2">
      <c r="B96" s="122" t="s">
        <v>524</v>
      </c>
      <c r="C96" s="160" t="b">
        <f>'General Information'!J59</f>
        <v>1</v>
      </c>
      <c r="DR96" s="126" t="e">
        <f ca="1"/>
        <v>#N/A</v>
      </c>
    </row>
    <row r="97" spans="2:122" x14ac:dyDescent="0.2">
      <c r="DR97" s="126" t="e">
        <f ca="1"/>
        <v>#N/A</v>
      </c>
    </row>
    <row r="98" spans="2:122" x14ac:dyDescent="0.2">
      <c r="B98" s="122" t="s">
        <v>523</v>
      </c>
      <c r="C98" s="160" t="b">
        <f>'General Information'!I59</f>
        <v>1</v>
      </c>
      <c r="DR98" s="126" t="e">
        <f ca="1"/>
        <v>#N/A</v>
      </c>
    </row>
    <row r="99" spans="2:122" x14ac:dyDescent="0.2">
      <c r="DR99" s="126" t="e">
        <f ca="1"/>
        <v>#N/A</v>
      </c>
    </row>
    <row r="100" spans="2:122" x14ac:dyDescent="0.2">
      <c r="B100" s="122" t="s">
        <v>522</v>
      </c>
      <c r="DR100" s="126" t="e">
        <f ca="1"/>
        <v>#N/A</v>
      </c>
    </row>
    <row r="101" spans="2:122" ht="6.75" customHeight="1" x14ac:dyDescent="0.2">
      <c r="B101" s="156" t="s">
        <v>1046</v>
      </c>
      <c r="D101" s="156" t="s">
        <v>1046</v>
      </c>
      <c r="F101" s="156" t="s">
        <v>1046</v>
      </c>
    </row>
    <row r="102" spans="2:122" x14ac:dyDescent="0.2">
      <c r="B102" s="159" t="s">
        <v>464</v>
      </c>
      <c r="C102" s="159" t="s">
        <v>488</v>
      </c>
      <c r="D102" s="159" t="s">
        <v>243</v>
      </c>
      <c r="E102" s="122" t="s">
        <v>521</v>
      </c>
    </row>
    <row r="103" spans="2:122" x14ac:dyDescent="0.2">
      <c r="B103" s="159" t="s">
        <v>478</v>
      </c>
      <c r="C103" s="159" t="s">
        <v>490</v>
      </c>
      <c r="D103" s="159" t="s">
        <v>245</v>
      </c>
    </row>
    <row r="104" spans="2:122" ht="6.75" customHeight="1" x14ac:dyDescent="0.2">
      <c r="B104" s="156" t="s">
        <v>1046</v>
      </c>
      <c r="D104" s="156" t="s">
        <v>1046</v>
      </c>
      <c r="F104" s="156" t="s">
        <v>1046</v>
      </c>
    </row>
    <row r="105" spans="2:122" x14ac:dyDescent="0.2">
      <c r="B105" s="158" t="str">
        <f>IF(DESPath=3,IF(DistrictHeating,"District Heating",IF(DistrictCooling,"District Cooling","")),"")</f>
        <v/>
      </c>
      <c r="C105" s="157"/>
      <c r="D105" s="157"/>
      <c r="E105" s="122" t="s">
        <v>520</v>
      </c>
      <c r="F105" s="156"/>
    </row>
    <row r="106" spans="2:122" x14ac:dyDescent="0.2">
      <c r="B106" s="158" t="str">
        <f>IF(DESPath=3,IF(AND(DistrictHeating,DistrictCooling),"District Cooling",""),"")</f>
        <v/>
      </c>
      <c r="C106" s="157"/>
      <c r="D106" s="157"/>
      <c r="F106" s="156"/>
    </row>
    <row r="107" spans="2:122" ht="6.75" customHeight="1" x14ac:dyDescent="0.2">
      <c r="B107" s="156"/>
      <c r="D107" s="156"/>
      <c r="F107" s="156"/>
    </row>
    <row r="110" spans="2:122" x14ac:dyDescent="0.2">
      <c r="B110" s="122"/>
    </row>
    <row r="178" spans="2:4" ht="15" x14ac:dyDescent="0.2">
      <c r="B178" s="155"/>
      <c r="C178" s="3463"/>
      <c r="D178" s="3464"/>
    </row>
    <row r="179" spans="2:4" ht="15" x14ac:dyDescent="0.2">
      <c r="B179" s="155"/>
      <c r="C179" s="3463"/>
      <c r="D179" s="3464"/>
    </row>
    <row r="196" spans="2:112" x14ac:dyDescent="0.2">
      <c r="CL196" s="131"/>
      <c r="CM196" s="131"/>
    </row>
    <row r="197" spans="2:112" x14ac:dyDescent="0.2">
      <c r="CL197" s="131"/>
      <c r="CM197" s="131"/>
    </row>
    <row r="198" spans="2:112" x14ac:dyDescent="0.2">
      <c r="CL198" s="131"/>
      <c r="CM198" s="131"/>
    </row>
    <row r="199" spans="2:112" x14ac:dyDescent="0.2">
      <c r="CL199" s="131"/>
      <c r="CM199" s="131"/>
    </row>
    <row r="200" spans="2:112" x14ac:dyDescent="0.2">
      <c r="CL200" s="131"/>
      <c r="CM200" s="131"/>
    </row>
    <row r="201" spans="2:112" x14ac:dyDescent="0.2">
      <c r="CL201" s="131"/>
      <c r="CM201" s="131"/>
    </row>
    <row r="202" spans="2:112" x14ac:dyDescent="0.2">
      <c r="CL202" s="131"/>
      <c r="CM202" s="131"/>
      <c r="CU202" s="131"/>
      <c r="CV202" s="131"/>
      <c r="CW202" s="131"/>
      <c r="CX202" s="131"/>
      <c r="CY202" s="131"/>
      <c r="CZ202" s="131"/>
      <c r="DA202" s="131"/>
      <c r="DB202" s="131"/>
      <c r="DC202" s="131"/>
      <c r="DD202" s="131"/>
      <c r="DE202" s="131"/>
      <c r="DF202" s="131"/>
      <c r="DG202" s="131"/>
      <c r="DH202" s="131"/>
    </row>
    <row r="203" spans="2:112" s="131" customFormat="1" ht="21" x14ac:dyDescent="0.25">
      <c r="B203" s="154" t="s">
        <v>519</v>
      </c>
      <c r="C203" s="153">
        <v>0</v>
      </c>
      <c r="D203" s="152"/>
      <c r="E203" s="152"/>
      <c r="F203" s="151"/>
      <c r="G203" s="151"/>
      <c r="H203" s="151"/>
      <c r="I203" s="151"/>
      <c r="J203" s="151"/>
      <c r="K203" s="151"/>
      <c r="L203" s="151"/>
      <c r="M203" s="150"/>
      <c r="N203" s="136"/>
    </row>
    <row r="204" spans="2:112" s="131" customFormat="1" ht="12.75" customHeight="1" x14ac:dyDescent="0.25">
      <c r="B204" s="3465" t="s">
        <v>0</v>
      </c>
      <c r="C204" s="3465"/>
      <c r="D204" s="3466"/>
      <c r="E204" s="149"/>
      <c r="F204" s="3467" t="s">
        <v>5</v>
      </c>
      <c r="G204" s="3468"/>
      <c r="H204" s="3465"/>
      <c r="I204" s="3465"/>
      <c r="J204" s="3467" t="s">
        <v>6</v>
      </c>
      <c r="K204" s="3465"/>
      <c r="L204" s="3465"/>
      <c r="M204" s="3465"/>
      <c r="N204" s="136"/>
    </row>
    <row r="205" spans="2:112" s="131" customFormat="1" ht="51.75" customHeight="1" x14ac:dyDescent="0.25">
      <c r="B205" s="3449" t="s">
        <v>518</v>
      </c>
      <c r="C205" s="3450"/>
      <c r="D205" s="3450"/>
      <c r="E205" s="3451"/>
      <c r="F205" s="147"/>
      <c r="G205" s="3455" t="s">
        <v>517</v>
      </c>
      <c r="H205" s="3456"/>
      <c r="I205" s="3457"/>
      <c r="J205" s="3458"/>
      <c r="K205" s="3459"/>
      <c r="L205" s="3459"/>
      <c r="M205" s="3459"/>
      <c r="N205" s="148"/>
    </row>
    <row r="206" spans="2:112" s="131" customFormat="1" ht="45" customHeight="1" x14ac:dyDescent="0.25">
      <c r="B206" s="3452"/>
      <c r="C206" s="3453"/>
      <c r="D206" s="3453"/>
      <c r="E206" s="3454"/>
      <c r="F206" s="147" t="s">
        <v>516</v>
      </c>
      <c r="G206" s="3455" t="s">
        <v>515</v>
      </c>
      <c r="H206" s="3456"/>
      <c r="I206" s="3457"/>
      <c r="J206" s="3460"/>
      <c r="K206" s="3461"/>
      <c r="L206" s="3461"/>
      <c r="M206" s="3462"/>
      <c r="N206" s="148"/>
    </row>
    <row r="207" spans="2:112" s="131" customFormat="1" ht="45" customHeight="1" x14ac:dyDescent="0.25">
      <c r="B207" s="3469" t="s">
        <v>514</v>
      </c>
      <c r="C207" s="3469"/>
      <c r="D207" s="3470"/>
      <c r="E207" s="145"/>
      <c r="F207" s="147"/>
      <c r="G207" s="3455" t="s">
        <v>513</v>
      </c>
      <c r="H207" s="3456"/>
      <c r="I207" s="3457"/>
      <c r="J207" s="3458"/>
      <c r="K207" s="3459"/>
      <c r="L207" s="3459"/>
      <c r="M207" s="3459"/>
      <c r="N207" s="136"/>
    </row>
    <row r="208" spans="2:112" s="131" customFormat="1" x14ac:dyDescent="0.25">
      <c r="B208" s="3469" t="s">
        <v>512</v>
      </c>
      <c r="C208" s="3469"/>
      <c r="D208" s="3471" t="s">
        <v>19</v>
      </c>
      <c r="E208" s="146"/>
      <c r="F208" s="3472" t="s">
        <v>511</v>
      </c>
      <c r="G208" s="3473"/>
      <c r="H208" s="3471" t="s">
        <v>13</v>
      </c>
      <c r="I208" s="3476"/>
      <c r="J208" s="3477" t="s">
        <v>511</v>
      </c>
      <c r="K208" s="3478" t="s">
        <v>13</v>
      </c>
      <c r="L208" s="3478"/>
      <c r="M208" s="3478"/>
      <c r="N208" s="136"/>
    </row>
    <row r="209" spans="2:112" s="131" customFormat="1" ht="15" x14ac:dyDescent="0.25">
      <c r="B209" s="3469"/>
      <c r="C209" s="3469"/>
      <c r="D209" s="3471"/>
      <c r="E209" s="146"/>
      <c r="F209" s="3474"/>
      <c r="G209" s="3475"/>
      <c r="H209" s="138" t="s">
        <v>508</v>
      </c>
      <c r="I209" s="137" t="s">
        <v>20</v>
      </c>
      <c r="J209" s="3477"/>
      <c r="K209" s="3478" t="s">
        <v>508</v>
      </c>
      <c r="L209" s="3478"/>
      <c r="M209" s="556" t="s">
        <v>20</v>
      </c>
      <c r="N209" s="136"/>
    </row>
    <row r="210" spans="2:112" s="131" customFormat="1" x14ac:dyDescent="0.25">
      <c r="B210" s="3469"/>
      <c r="C210" s="3469"/>
      <c r="D210" s="557" t="s">
        <v>14</v>
      </c>
      <c r="E210" s="145"/>
      <c r="F210" s="3479" t="str">
        <f>IF(J210=0,"Identical to Proposed case",J210)</f>
        <v>Identical to Proposed case</v>
      </c>
      <c r="G210" s="3462"/>
      <c r="H210" s="135"/>
      <c r="I210" s="134" t="str">
        <f>IF(J210=0,"",H210/F210)</f>
        <v/>
      </c>
      <c r="J210" s="133"/>
      <c r="K210" s="3480"/>
      <c r="L210" s="3480"/>
      <c r="M210" s="132" t="str">
        <f>IF(J210=0,"",K210/J210)</f>
        <v/>
      </c>
      <c r="N210" s="136"/>
    </row>
    <row r="211" spans="2:112" s="131" customFormat="1" x14ac:dyDescent="0.2">
      <c r="B211" s="3469"/>
      <c r="C211" s="3469"/>
      <c r="D211" s="557" t="s">
        <v>15</v>
      </c>
      <c r="E211" s="145"/>
      <c r="F211" s="3479" t="str">
        <f>IF(J211=0,"Identical to Proposed case",J211)</f>
        <v>Identical to Proposed case</v>
      </c>
      <c r="G211" s="3462"/>
      <c r="H211" s="135"/>
      <c r="I211" s="134" t="str">
        <f>IF(J211=0,"",H211/F211)</f>
        <v/>
      </c>
      <c r="J211" s="133"/>
      <c r="K211" s="3481"/>
      <c r="L211" s="3482"/>
      <c r="M211" s="132" t="str">
        <f>IF(J211=0,"",K211/J211)</f>
        <v/>
      </c>
      <c r="N211" s="136"/>
      <c r="CL211" s="126"/>
      <c r="CM211" s="126"/>
    </row>
    <row r="212" spans="2:112" s="131" customFormat="1" x14ac:dyDescent="0.2">
      <c r="B212" s="3469"/>
      <c r="C212" s="3469"/>
      <c r="D212" s="557" t="s">
        <v>16</v>
      </c>
      <c r="E212" s="145"/>
      <c r="F212" s="3479" t="str">
        <f>IF(J212=0,"Identical to Proposed case",J212)</f>
        <v>Identical to Proposed case</v>
      </c>
      <c r="G212" s="3462"/>
      <c r="H212" s="135"/>
      <c r="I212" s="134" t="str">
        <f>IF(J212=0,"",H212/F212)</f>
        <v/>
      </c>
      <c r="J212" s="133"/>
      <c r="K212" s="3481"/>
      <c r="L212" s="3482"/>
      <c r="M212" s="132" t="str">
        <f>IF(J212=0,"",K212/J212)</f>
        <v/>
      </c>
      <c r="N212" s="136"/>
      <c r="CL212" s="126"/>
      <c r="CM212" s="126"/>
    </row>
    <row r="213" spans="2:112" s="131" customFormat="1" x14ac:dyDescent="0.2">
      <c r="B213" s="3469"/>
      <c r="C213" s="3469"/>
      <c r="D213" s="557" t="s">
        <v>17</v>
      </c>
      <c r="E213" s="145"/>
      <c r="F213" s="3479" t="str">
        <f>IF(J213=0,"Identical to Proposed case",J213)</f>
        <v>Identical to Proposed case</v>
      </c>
      <c r="G213" s="3462"/>
      <c r="H213" s="135"/>
      <c r="I213" s="134" t="str">
        <f>IF(J213=0,"",H213/F213)</f>
        <v/>
      </c>
      <c r="J213" s="133"/>
      <c r="K213" s="3481"/>
      <c r="L213" s="3482"/>
      <c r="M213" s="132" t="str">
        <f>IF(J213=0,"",K213/J213)</f>
        <v/>
      </c>
      <c r="N213" s="136"/>
      <c r="CL213" s="126"/>
      <c r="CM213" s="126"/>
    </row>
    <row r="214" spans="2:112" s="131" customFormat="1" ht="14.65" customHeight="1" x14ac:dyDescent="0.2">
      <c r="B214" s="3469"/>
      <c r="C214" s="3469"/>
      <c r="D214" s="144" t="s">
        <v>18</v>
      </c>
      <c r="E214" s="143"/>
      <c r="F214" s="3483" t="str">
        <f>IF(J214=0,"Identical to Proposed case",J214)</f>
        <v>Identical to Proposed case</v>
      </c>
      <c r="G214" s="3462"/>
      <c r="H214" s="142">
        <f>SUM(H210:H213)</f>
        <v>0</v>
      </c>
      <c r="I214" s="141" t="str">
        <f>IF(J214=0,"",H214/F214)</f>
        <v/>
      </c>
      <c r="J214" s="140">
        <f>SUM(J210:J213)</f>
        <v>0</v>
      </c>
      <c r="K214" s="3484">
        <f>SUM(K210:K213)</f>
        <v>0</v>
      </c>
      <c r="L214" s="3484"/>
      <c r="M214" s="139" t="str">
        <f>IF(J214=0,"",K214/J214)</f>
        <v/>
      </c>
      <c r="N214" s="136"/>
      <c r="CL214" s="126"/>
      <c r="CM214" s="126"/>
    </row>
    <row r="215" spans="2:112" s="131" customFormat="1" x14ac:dyDescent="0.2">
      <c r="B215" s="3449" t="s">
        <v>510</v>
      </c>
      <c r="C215" s="3450"/>
      <c r="D215" s="3450"/>
      <c r="E215" s="3451"/>
      <c r="F215" s="3472" t="s">
        <v>509</v>
      </c>
      <c r="G215" s="3473"/>
      <c r="H215" s="3471" t="s">
        <v>27</v>
      </c>
      <c r="I215" s="3476"/>
      <c r="J215" s="3477" t="s">
        <v>509</v>
      </c>
      <c r="K215" s="3478" t="s">
        <v>27</v>
      </c>
      <c r="L215" s="3478"/>
      <c r="M215" s="3478"/>
      <c r="N215" s="136"/>
      <c r="CL215" s="126"/>
      <c r="CM215" s="126"/>
    </row>
    <row r="216" spans="2:112" s="131" customFormat="1" ht="15" x14ac:dyDescent="0.2">
      <c r="B216" s="3485"/>
      <c r="C216" s="3486"/>
      <c r="D216" s="3486"/>
      <c r="E216" s="3487"/>
      <c r="F216" s="3474"/>
      <c r="G216" s="3475"/>
      <c r="H216" s="138" t="s">
        <v>508</v>
      </c>
      <c r="I216" s="137" t="s">
        <v>20</v>
      </c>
      <c r="J216" s="3477"/>
      <c r="K216" s="3478" t="s">
        <v>508</v>
      </c>
      <c r="L216" s="3478"/>
      <c r="M216" s="556" t="s">
        <v>20</v>
      </c>
      <c r="N216" s="136"/>
      <c r="CL216" s="126"/>
      <c r="CM216" s="126"/>
    </row>
    <row r="217" spans="2:112" s="131" customFormat="1" x14ac:dyDescent="0.2">
      <c r="B217" s="3488"/>
      <c r="C217" s="3489"/>
      <c r="D217" s="3489"/>
      <c r="E217" s="3454"/>
      <c r="F217" s="3479" t="str">
        <f>IF(J217=0,"Identical to Proposed case",J217)</f>
        <v>Identical to Proposed case</v>
      </c>
      <c r="G217" s="3462"/>
      <c r="H217" s="135"/>
      <c r="I217" s="134" t="str">
        <f>IF(J217=0,"",H217/F217)</f>
        <v/>
      </c>
      <c r="J217" s="133"/>
      <c r="K217" s="3480"/>
      <c r="L217" s="3480"/>
      <c r="M217" s="132" t="str">
        <f>IF(J217=0,"",K217/J217)</f>
        <v/>
      </c>
      <c r="CL217" s="126"/>
      <c r="CM217" s="126"/>
      <c r="CU217" s="126"/>
      <c r="CV217" s="126"/>
      <c r="CW217" s="126"/>
      <c r="CX217" s="126"/>
      <c r="CY217" s="126"/>
      <c r="CZ217" s="126"/>
      <c r="DA217" s="126"/>
      <c r="DB217" s="126"/>
      <c r="DC217" s="126"/>
      <c r="DD217" s="126"/>
      <c r="DE217" s="126"/>
      <c r="DF217" s="126"/>
      <c r="DG217" s="126"/>
      <c r="DH217" s="126"/>
    </row>
    <row r="218" spans="2:112" x14ac:dyDescent="0.2">
      <c r="B218" s="130" t="str">
        <f>IF(I214="","",IF(I214&lt;=0.4,"","**Baseline vertical glazing areas limited to 40% of gross above-grade wall area per Table G3.1#5(c)"))</f>
        <v/>
      </c>
      <c r="C218" s="127"/>
      <c r="D218" s="127"/>
      <c r="E218" s="127"/>
      <c r="F218" s="128"/>
      <c r="G218" s="128"/>
      <c r="H218" s="127"/>
      <c r="I218" s="129"/>
      <c r="J218" s="128"/>
      <c r="K218" s="127"/>
      <c r="L218" s="127"/>
      <c r="M218" s="127"/>
    </row>
  </sheetData>
  <sheetProtection algorithmName="SHA-512" hashValue="p1BoiSP7/MRG1ob7Z73Vc/0z3gdEmbatDAlQ2IO7X5Yqfwr8FirqawBqGEq3U2Lzf5XKyD3GD/EO7AsSD69AJg==" saltValue="E6sF+eVNFkVkbRnvrNKYXw==" spinCount="100000" sheet="1" objects="1" scenarios="1"/>
  <dataConsolidate/>
  <customSheetViews>
    <customSheetView guid="{75D6F8CE-A4F4-4FDD-BA92-7996F9E19FA9}" topLeftCell="M1">
      <selection activeCell="Z14" sqref="Z14"/>
      <pageMargins left="0.7" right="0.7" top="0.75" bottom="0.75" header="0.3" footer="0.3"/>
      <pageSetup orientation="portrait" r:id="rId1"/>
    </customSheetView>
  </customSheetViews>
  <mergeCells count="38">
    <mergeCell ref="F213:G213"/>
    <mergeCell ref="K213:L213"/>
    <mergeCell ref="F214:G214"/>
    <mergeCell ref="K214:L214"/>
    <mergeCell ref="B215:E217"/>
    <mergeCell ref="F215:G216"/>
    <mergeCell ref="H215:I215"/>
    <mergeCell ref="J215:J216"/>
    <mergeCell ref="K215:M215"/>
    <mergeCell ref="K216:L216"/>
    <mergeCell ref="F217:G217"/>
    <mergeCell ref="K217:L217"/>
    <mergeCell ref="B207:D207"/>
    <mergeCell ref="G207:I207"/>
    <mergeCell ref="J207:M207"/>
    <mergeCell ref="B208:C214"/>
    <mergeCell ref="D208:D209"/>
    <mergeCell ref="F208:G209"/>
    <mergeCell ref="H208:I208"/>
    <mergeCell ref="J208:J209"/>
    <mergeCell ref="K208:M208"/>
    <mergeCell ref="K209:L209"/>
    <mergeCell ref="F210:G210"/>
    <mergeCell ref="K210:L210"/>
    <mergeCell ref="F211:G211"/>
    <mergeCell ref="K211:L211"/>
    <mergeCell ref="F212:G212"/>
    <mergeCell ref="K212:L212"/>
    <mergeCell ref="C178:D178"/>
    <mergeCell ref="C179:D179"/>
    <mergeCell ref="B204:D204"/>
    <mergeCell ref="F204:I204"/>
    <mergeCell ref="J204:M204"/>
    <mergeCell ref="B205:E206"/>
    <mergeCell ref="G205:I205"/>
    <mergeCell ref="J205:M205"/>
    <mergeCell ref="G206:I206"/>
    <mergeCell ref="J206:M206"/>
  </mergeCells>
  <dataValidations disablePrompts="1" count="19">
    <dataValidation type="list" allowBlank="1" showInputMessage="1" showErrorMessage="1" sqref="B110" xr:uid="{00000000-0002-0000-1700-000000000000}">
      <formula1>EnergySources</formula1>
    </dataValidation>
    <dataValidation allowBlank="1" showInputMessage="1" showErrorMessage="1" prompt="List any permanent or automatically controlled shading devices modeled for the Proposed case (example: 24&quot; light shelves on all south-facing vertical glazing)" sqref="K205:M205 J205:J206" xr:uid="{00000000-0002-0000-1700-000001000000}"/>
    <dataValidation allowBlank="1" showInputMessage="1" showErrorMessage="1" prompt="Describe attributes of building shape/orientation that contribute to improved building performance (example: courtyard with self-shading), or enter &quot;N/A&quot; if not appicable" sqref="J207:M207" xr:uid="{00000000-0002-0000-1700-000002000000}"/>
    <dataValidation type="decimal" operator="greaterThanOrEqual" allowBlank="1" showInputMessage="1" showErrorMessage="1" error="Please enter the value only (without any labels)" prompt="Enter the total area for North-facing (or nearest North-facing) above-grade Proposed exterior walls" sqref="J210" xr:uid="{00000000-0002-0000-1700-000003000000}">
      <formula1>0</formula1>
    </dataValidation>
    <dataValidation type="decimal" operator="greaterThanOrEqual" allowBlank="1" showInputMessage="1" showErrorMessage="1" error="Please enter the value only (without any labels)" prompt="Enter the total area for East-facing (or nearest East-facing) above-grade Proposed exterior walls" sqref="J211" xr:uid="{00000000-0002-0000-1700-000004000000}">
      <formula1>0</formula1>
    </dataValidation>
    <dataValidation type="decimal" operator="greaterThanOrEqual" allowBlank="1" showInputMessage="1" showErrorMessage="1" error="Please enter the value only (without any labels)" prompt="Enter the total area for South-facing (or nearest South-facing) above-grade Proposed exterior walls" sqref="J212" xr:uid="{00000000-0002-0000-1700-000005000000}">
      <formula1>0</formula1>
    </dataValidation>
    <dataValidation type="decimal" operator="greaterThanOrEqual" allowBlank="1" showInputMessage="1" showErrorMessage="1" error="Please enter the value only (without any labels)" prompt="Enter the total area for West-facing (or nearest West-facing) above-grade Proposed exterior walls" sqref="J213" xr:uid="{00000000-0002-0000-1700-000006000000}">
      <formula1>0</formula1>
    </dataValidation>
    <dataValidation type="decimal" operator="greaterThanOrEqual" allowBlank="1" showInputMessage="1" showErrorMessage="1" error="Please enter the value only (without any labels)" prompt="Enter the total area for North-facing (or nearest North-facing) Proposed vertical glazing" sqref="K210:L210" xr:uid="{00000000-0002-0000-1700-000007000000}">
      <formula1>0</formula1>
    </dataValidation>
    <dataValidation type="decimal" operator="greaterThanOrEqual" allowBlank="1" showInputMessage="1" showErrorMessage="1" error="Please enter the value only (without any labels)" prompt="Enter the total area for East-facing (or nearest East-facing) Proposed vertical glazing" sqref="K211:L211" xr:uid="{00000000-0002-0000-1700-000008000000}">
      <formula1>0</formula1>
    </dataValidation>
    <dataValidation type="decimal" operator="greaterThanOrEqual" allowBlank="1" showInputMessage="1" showErrorMessage="1" error="Please enter the value only (without any labels)" prompt="Enter the total area for South-facing (or nearest South-facing) Proposed vertical glazing" sqref="K212:L212" xr:uid="{00000000-0002-0000-1700-000009000000}">
      <formula1>0</formula1>
    </dataValidation>
    <dataValidation type="decimal" operator="greaterThanOrEqual" allowBlank="1" showInputMessage="1" showErrorMessage="1" error="Please enter the value only (without any labels)" prompt="Enter the total area for West-facing (or nearest West-facing) Proposed vertical glazing" sqref="K213:L213" xr:uid="{00000000-0002-0000-1700-00000A000000}">
      <formula1>0</formula1>
    </dataValidation>
    <dataValidation type="decimal" operator="greaterThanOrEqual" allowBlank="1" showInputMessage="1" showErrorMessage="1" error="Please enter the value only (without any labels)" prompt="Enter the total area for North-facing (or nearest North-facing) Baseline vertical glazing" sqref="H210" xr:uid="{00000000-0002-0000-1700-00000B000000}">
      <formula1>0</formula1>
    </dataValidation>
    <dataValidation type="decimal" operator="greaterThanOrEqual" allowBlank="1" showInputMessage="1" showErrorMessage="1" error="Please enter the value only (without any labels)" prompt="Enter the total area for East-facing (or nearest East-facing) Baseline vertical glazing" sqref="H211" xr:uid="{00000000-0002-0000-1700-00000C000000}">
      <formula1>0</formula1>
    </dataValidation>
    <dataValidation type="decimal" operator="greaterThanOrEqual" allowBlank="1" showInputMessage="1" showErrorMessage="1" error="Please enter the value only (without any labels)" prompt="Enter the total area for South-facing (or nearest South-facing) Baseline vertical glazing" sqref="H212" xr:uid="{00000000-0002-0000-1700-00000D000000}">
      <formula1>0</formula1>
    </dataValidation>
    <dataValidation type="decimal" operator="greaterThanOrEqual" allowBlank="1" showInputMessage="1" showErrorMessage="1" error="Please enter the value only (without any labels)" prompt="Enter the total area for West-facing (or nearest West-facing) Baseline vertical glazing" sqref="H213" xr:uid="{00000000-0002-0000-1700-00000E000000}">
      <formula1>0</formula1>
    </dataValidation>
    <dataValidation type="decimal" operator="greaterThanOrEqual" allowBlank="1" showInputMessage="1" showErrorMessage="1" error="Please enter the value only (without any labels)" prompt="If the project includes skylights, enter the total skylight area for the Baseline case. Otherwise, enter &quot;N/A&quot;" sqref="H217" xr:uid="{00000000-0002-0000-1700-00000F000000}">
      <formula1>0</formula1>
    </dataValidation>
    <dataValidation type="decimal" operator="greaterThanOrEqual" allowBlank="1" showInputMessage="1" showErrorMessage="1" error="Please enter the value only (without any labels)" prompt="If the project includes skylights, enter the total skylight area for the Proposed case. Otherwise, enter &quot;N/A&quot;" sqref="K217:L217" xr:uid="{00000000-0002-0000-1700-000010000000}">
      <formula1>0</formula1>
    </dataValidation>
    <dataValidation type="decimal" operator="greaterThanOrEqual" allowBlank="1" showInputMessage="1" showErrorMessage="1" error="Please enter the value only (without any labels)" prompt="Enter the total roof area for the Proposed case" sqref="J217" xr:uid="{00000000-0002-0000-1700-000011000000}">
      <formula1>0</formula1>
    </dataValidation>
    <dataValidation type="list" allowBlank="1" showInputMessage="1" sqref="F205:F207" xr:uid="{00000000-0002-0000-1700-000012000000}">
      <formula1>"Yes,No"</formula1>
    </dataValidation>
  </dataValidations>
  <pageMargins left="0.7" right="0.7" top="0.75" bottom="0.75" header="0.3" footer="0.3"/>
  <pageSetup orientation="portrait"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2">
    <tabColor rgb="FFC00000"/>
  </sheetPr>
  <dimension ref="A1:U31"/>
  <sheetViews>
    <sheetView showGridLines="0" topLeftCell="G15" zoomScale="80" zoomScaleNormal="80" zoomScalePageLayoutView="80" workbookViewId="0">
      <selection activeCell="Q31" sqref="Q31"/>
    </sheetView>
  </sheetViews>
  <sheetFormatPr defaultColWidth="25.7109375" defaultRowHeight="12.75" x14ac:dyDescent="0.25"/>
  <cols>
    <col min="1" max="1" width="25.42578125" style="25" customWidth="1"/>
    <col min="2" max="6" width="24.7109375" style="26" customWidth="1"/>
    <col min="7" max="7" width="11.42578125" style="25" customWidth="1"/>
    <col min="8" max="8" width="24.7109375" style="26" customWidth="1"/>
    <col min="9" max="9" width="24.7109375" style="25" customWidth="1"/>
    <col min="10" max="10" width="2.7109375" style="25" customWidth="1"/>
    <col min="11" max="14" width="14.7109375" style="26" customWidth="1"/>
    <col min="15" max="15" width="18" style="26" bestFit="1" customWidth="1"/>
    <col min="16" max="16" width="2.7109375" style="26" customWidth="1"/>
    <col min="17" max="20" width="14.7109375" style="26" customWidth="1"/>
    <col min="21" max="24" width="10.7109375" style="26" customWidth="1"/>
    <col min="25" max="16384" width="25.7109375" style="26"/>
  </cols>
  <sheetData>
    <row r="1" spans="1:21" x14ac:dyDescent="0.25">
      <c r="A1" s="25" t="s">
        <v>158</v>
      </c>
      <c r="B1" s="26" t="b">
        <f>'General Information'!I59</f>
        <v>1</v>
      </c>
    </row>
    <row r="2" spans="1:21" x14ac:dyDescent="0.25">
      <c r="A2" s="25" t="s">
        <v>159</v>
      </c>
      <c r="B2" s="26" t="b">
        <f>'General Information'!J59</f>
        <v>1</v>
      </c>
    </row>
    <row r="3" spans="1:21" x14ac:dyDescent="0.25">
      <c r="A3" s="88" t="s">
        <v>357</v>
      </c>
      <c r="B3" s="26" t="b">
        <f>'General Information'!I60</f>
        <v>1</v>
      </c>
      <c r="N3" s="573" t="s">
        <v>1102</v>
      </c>
    </row>
    <row r="4" spans="1:21" x14ac:dyDescent="0.25">
      <c r="A4" s="88" t="s">
        <v>355</v>
      </c>
      <c r="B4" s="26" t="b">
        <f>'General Information'!J60</f>
        <v>0</v>
      </c>
    </row>
    <row r="5" spans="1:21" ht="12.75" customHeight="1" x14ac:dyDescent="0.25">
      <c r="A5" s="88" t="s">
        <v>356</v>
      </c>
      <c r="B5" s="26" t="b">
        <f>'General Information'!K60</f>
        <v>0</v>
      </c>
      <c r="C5" s="26">
        <v>3</v>
      </c>
      <c r="D5" s="26">
        <v>4</v>
      </c>
      <c r="E5" s="26">
        <v>5</v>
      </c>
      <c r="F5" s="26">
        <v>6</v>
      </c>
      <c r="G5" s="25">
        <v>7</v>
      </c>
      <c r="H5" s="26">
        <v>8</v>
      </c>
      <c r="I5" s="25">
        <v>9</v>
      </c>
      <c r="J5" s="25">
        <v>10</v>
      </c>
      <c r="K5" s="29">
        <v>11</v>
      </c>
      <c r="L5" s="29">
        <v>12</v>
      </c>
      <c r="M5" s="29">
        <v>13</v>
      </c>
      <c r="N5" s="29">
        <v>14</v>
      </c>
      <c r="O5" s="29">
        <v>15</v>
      </c>
      <c r="P5" s="29">
        <v>16</v>
      </c>
      <c r="Q5" s="29">
        <v>17</v>
      </c>
      <c r="R5" s="29">
        <v>18</v>
      </c>
      <c r="S5" s="29">
        <v>19</v>
      </c>
      <c r="T5" s="29">
        <v>20</v>
      </c>
    </row>
    <row r="6" spans="1:21" x14ac:dyDescent="0.25">
      <c r="A6" s="88" t="s">
        <v>358</v>
      </c>
      <c r="B6" s="26" t="b">
        <f>'General Information'!L60</f>
        <v>0</v>
      </c>
      <c r="K6" s="29"/>
      <c r="L6" s="29"/>
      <c r="M6" s="29"/>
      <c r="N6" s="29"/>
      <c r="O6" s="29"/>
      <c r="P6" s="29"/>
      <c r="Q6" s="29"/>
      <c r="R6" s="29"/>
      <c r="S6" s="29"/>
      <c r="T6" s="29"/>
    </row>
    <row r="7" spans="1:21" ht="26.25" customHeight="1" x14ac:dyDescent="0.25">
      <c r="K7" s="3500" t="s">
        <v>1103</v>
      </c>
      <c r="L7" s="3501"/>
      <c r="M7" s="3501"/>
      <c r="N7" s="3501"/>
      <c r="O7" s="3501"/>
      <c r="Q7" s="3494" t="s">
        <v>1028</v>
      </c>
      <c r="R7" s="3495"/>
      <c r="S7" s="3495"/>
      <c r="T7" s="3495"/>
      <c r="U7" s="3496"/>
    </row>
    <row r="8" spans="1:21" ht="44.25" customHeight="1" x14ac:dyDescent="0.25">
      <c r="A8" s="501" t="s">
        <v>1019</v>
      </c>
      <c r="B8" s="502" t="b">
        <f>IF(AND(C8=FALSE,D8=FALSE,E8=FALSE,F8=FALSE),TRUE,FALSE)</f>
        <v>0</v>
      </c>
      <c r="C8" s="502" t="b">
        <f>AND(B1=TRUE,B2=FALSE,OR(B3=TRUE,B5=TRUE))</f>
        <v>0</v>
      </c>
      <c r="D8" s="502" t="b">
        <f>AND(B1=FALSE,B2=TRUE,OR(B3=TRUE,B5=TRUE))</f>
        <v>0</v>
      </c>
      <c r="E8" s="502" t="b">
        <f>AND(B1=TRUE,B2=TRUE,OR(B3=TRUE,B5=TRUE))</f>
        <v>1</v>
      </c>
      <c r="F8" s="502" t="b">
        <f>B6</f>
        <v>0</v>
      </c>
      <c r="G8" s="3490" t="s">
        <v>1096</v>
      </c>
      <c r="H8" s="3490" t="s">
        <v>1021</v>
      </c>
      <c r="I8" s="3498" t="s">
        <v>1020</v>
      </c>
      <c r="K8" s="3505" t="s">
        <v>1101</v>
      </c>
      <c r="L8" s="3506"/>
      <c r="M8" s="3507" t="s">
        <v>1105</v>
      </c>
      <c r="N8" s="3507" t="s">
        <v>1027</v>
      </c>
      <c r="O8" s="569" t="s">
        <v>1106</v>
      </c>
      <c r="Q8" s="3509" t="s">
        <v>1099</v>
      </c>
      <c r="R8" s="3502" t="s">
        <v>1100</v>
      </c>
      <c r="S8" s="3504" t="s">
        <v>253</v>
      </c>
      <c r="T8" s="3504" t="s">
        <v>254</v>
      </c>
      <c r="U8" s="3492" t="s">
        <v>1107</v>
      </c>
    </row>
    <row r="9" spans="1:21" s="25" customFormat="1" ht="87" customHeight="1" x14ac:dyDescent="0.25">
      <c r="A9" s="501" t="s">
        <v>1026</v>
      </c>
      <c r="B9" s="503" t="s">
        <v>1022</v>
      </c>
      <c r="C9" s="503" t="s">
        <v>1023</v>
      </c>
      <c r="D9" s="503" t="s">
        <v>1024</v>
      </c>
      <c r="E9" s="503" t="s">
        <v>1025</v>
      </c>
      <c r="F9" s="504" t="s">
        <v>359</v>
      </c>
      <c r="G9" s="3491"/>
      <c r="H9" s="3491"/>
      <c r="I9" s="3499"/>
      <c r="K9" s="516" t="s">
        <v>1097</v>
      </c>
      <c r="L9" s="505" t="s">
        <v>1098</v>
      </c>
      <c r="M9" s="3508"/>
      <c r="N9" s="3508"/>
      <c r="O9" s="516" t="s">
        <v>816</v>
      </c>
      <c r="Q9" s="3510"/>
      <c r="R9" s="3503"/>
      <c r="S9" s="3493"/>
      <c r="T9" s="3493"/>
      <c r="U9" s="3493"/>
    </row>
    <row r="10" spans="1:21" s="402" customFormat="1" ht="33" customHeight="1" x14ac:dyDescent="0.25">
      <c r="A10" s="506" t="str">
        <f>IF($C$8=TRUE,C10,IF($D$8=TRUE,D10,IF($E$8=TRUE,E10,IF($F$8=TRUE,F10,B10))))</f>
        <v>System 1 (District Heating &amp; Cooling) - 4-pipe CV Fan Coil</v>
      </c>
      <c r="B10" s="506" t="s">
        <v>136</v>
      </c>
      <c r="C10" s="506" t="s">
        <v>1038</v>
      </c>
      <c r="D10" s="506" t="s">
        <v>165</v>
      </c>
      <c r="E10" s="506" t="s">
        <v>1040</v>
      </c>
      <c r="F10" s="506" t="s">
        <v>157</v>
      </c>
      <c r="G10" s="571">
        <v>1</v>
      </c>
      <c r="H10" s="507" t="str">
        <f t="array" aca="1" ref="H10" ca="1">IFERROR(INDEX($A$10:$A$19,SMALL((IF(LEN($A$10:$A$19),ROW(INDIRECT("1:"&amp;ROWS($A$10:$A$19))))),ROW(A1)),1),"")</f>
        <v>System 1 (District Heating &amp; Cooling) - 4-pipe CV Fan Coil</v>
      </c>
      <c r="I10" s="508" t="str">
        <f t="array" aca="1" ref="I10" ca="1">IFERROR(INDEX($A$10:$A$29,SMALL((IF(LEN($A$10:$A$29),ROW(INDIRECT("1:"&amp;ROWS($A$10:$A$29))))),ROW(A1)),1),"")</f>
        <v>System 1 (District Heating &amp; Cooling) - 4-pipe CV Fan Coil</v>
      </c>
      <c r="J10" s="376"/>
      <c r="K10" s="419">
        <v>2.9999999999999997E-4</v>
      </c>
      <c r="L10" s="401">
        <v>6.4000000000000005E-4</v>
      </c>
      <c r="M10" s="517">
        <v>0</v>
      </c>
      <c r="N10" s="520">
        <v>0</v>
      </c>
      <c r="O10" s="419">
        <v>0</v>
      </c>
      <c r="Q10" s="527">
        <v>0</v>
      </c>
      <c r="R10" s="528">
        <v>0</v>
      </c>
      <c r="S10" s="525"/>
      <c r="T10" s="526">
        <v>0.85499999999999998</v>
      </c>
      <c r="U10" s="583">
        <f t="shared" ref="U10:U29" si="0">IF(SI_IP_Units="SI",1/T10,0.746/T10)</f>
        <v>0.87251461988304091</v>
      </c>
    </row>
    <row r="11" spans="1:21" s="402" customFormat="1" ht="33" customHeight="1" x14ac:dyDescent="0.25">
      <c r="A11" s="509" t="str">
        <f t="shared" ref="A11:A29" si="1">IF($C$8=TRUE,C11,IF($D$8=TRUE,D11,IF($E$8=TRUE,E11,IF($F$8=TRUE,F11,B11))))</f>
        <v/>
      </c>
      <c r="B11" s="509" t="s">
        <v>137</v>
      </c>
      <c r="C11" s="509" t="s">
        <v>1039</v>
      </c>
      <c r="D11" s="510" t="str">
        <f>""</f>
        <v/>
      </c>
      <c r="E11" s="510" t="str">
        <f>""</f>
        <v/>
      </c>
      <c r="F11" s="510" t="str">
        <f>""</f>
        <v/>
      </c>
      <c r="G11" s="572">
        <v>2</v>
      </c>
      <c r="H11" s="511" t="str">
        <f t="array" aca="1" ref="H11" ca="1">IFERROR(INDEX($A$10:$A$19,SMALL((IF(LEN($A$10:$A$19),ROW(INDIRECT("1:"&amp;ROWS($A$10:$A$19))))),ROW(A2)),1),"")</f>
        <v>System 3 (District Heating &amp; Cooling) - 4-pipe CV AHU</v>
      </c>
      <c r="I11" s="512" t="str">
        <f t="array" aca="1" ref="I11" ca="1">IFERROR(INDEX($A$10:$A$29,SMALL((IF(LEN($A$10:$A$29),ROW(INDIRECT("1:"&amp;ROWS($A$10:$A$29))))),ROW(A2)),1),"")</f>
        <v>System 3 (District Heating &amp; Cooling) - 4-pipe CV AHU</v>
      </c>
      <c r="J11" s="376"/>
      <c r="K11" s="406">
        <v>2.9999999999999997E-4</v>
      </c>
      <c r="L11" s="409">
        <v>6.4000000000000005E-4</v>
      </c>
      <c r="M11" s="518">
        <v>0</v>
      </c>
      <c r="N11" s="521">
        <v>0</v>
      </c>
      <c r="O11" s="406">
        <v>0</v>
      </c>
      <c r="Q11" s="513">
        <v>1</v>
      </c>
      <c r="R11" s="523">
        <v>0.8</v>
      </c>
      <c r="S11" s="524">
        <v>0.85499999999999998</v>
      </c>
      <c r="T11" s="524">
        <v>0.86499999999999999</v>
      </c>
      <c r="U11" s="583">
        <f t="shared" si="0"/>
        <v>0.8624277456647399</v>
      </c>
    </row>
    <row r="12" spans="1:21" s="402" customFormat="1" ht="33" customHeight="1" x14ac:dyDescent="0.25">
      <c r="A12" s="509" t="str">
        <f t="shared" si="1"/>
        <v>System 3 (District Heating &amp; Cooling) - 4-pipe CV AHU</v>
      </c>
      <c r="B12" s="509" t="s">
        <v>138</v>
      </c>
      <c r="C12" s="509" t="s">
        <v>160</v>
      </c>
      <c r="D12" s="509" t="s">
        <v>166</v>
      </c>
      <c r="E12" s="509" t="s">
        <v>170</v>
      </c>
      <c r="F12" s="510" t="str">
        <f>""</f>
        <v/>
      </c>
      <c r="G12" s="572">
        <v>3</v>
      </c>
      <c r="H12" s="511" t="str">
        <f t="array" aca="1" ref="H12" ca="1">IFERROR(INDEX($A$10:$A$19,SMALL((IF(LEN($A$10:$A$19),ROW(INDIRECT("1:"&amp;ROWS($A$10:$A$19))))),ROW(A3)),1),"")</f>
        <v>System 5 (District Heating &amp; Cooling) - Change to System 7 - VAV with Reheat</v>
      </c>
      <c r="I12" s="512" t="str">
        <f t="array" aca="1" ref="I12" ca="1">IFERROR(INDEX($A$10:$A$29,SMALL((IF(LEN($A$10:$A$29),ROW(INDIRECT("1:"&amp;ROWS($A$10:$A$29))))),ROW(A3)),1),"")</f>
        <v>System 5 (District Heating &amp; Cooling) - Change to System 7 - VAV with Reheat</v>
      </c>
      <c r="J12" s="376"/>
      <c r="K12" s="406">
        <v>9.3999999999999997E-4</v>
      </c>
      <c r="L12" s="409">
        <v>1.5E-3</v>
      </c>
      <c r="M12" s="518">
        <v>1</v>
      </c>
      <c r="N12" s="521">
        <v>1</v>
      </c>
      <c r="O12" s="406">
        <v>0</v>
      </c>
      <c r="Q12" s="513">
        <v>1.5</v>
      </c>
      <c r="R12" s="523">
        <v>1.1000000000000001</v>
      </c>
      <c r="S12" s="524">
        <v>0.86499999999999999</v>
      </c>
      <c r="T12" s="524">
        <v>0.86499999999999999</v>
      </c>
      <c r="U12" s="583">
        <f t="shared" si="0"/>
        <v>0.8624277456647399</v>
      </c>
    </row>
    <row r="13" spans="1:21" s="402" customFormat="1" ht="33" customHeight="1" x14ac:dyDescent="0.25">
      <c r="A13" s="509" t="str">
        <f t="shared" si="1"/>
        <v/>
      </c>
      <c r="B13" s="509" t="s">
        <v>139</v>
      </c>
      <c r="C13" s="509" t="s">
        <v>161</v>
      </c>
      <c r="D13" s="510" t="str">
        <f>""</f>
        <v/>
      </c>
      <c r="E13" s="510" t="str">
        <f>""</f>
        <v/>
      </c>
      <c r="F13" s="510" t="str">
        <f>""</f>
        <v/>
      </c>
      <c r="G13" s="572">
        <v>4</v>
      </c>
      <c r="H13" s="511" t="str">
        <f t="array" aca="1" ref="H13" ca="1">IFERROR(INDEX($A$10:$A$19,SMALL((IF(LEN($A$10:$A$19),ROW(INDIRECT("1:"&amp;ROWS($A$10:$A$19))))),ROW(A4)),1),"")</f>
        <v>System 7 (District Heating &amp; Cooling) - VAV with Reheat</v>
      </c>
      <c r="I13" s="512" t="str">
        <f t="array" aca="1" ref="I13" ca="1">IFERROR(INDEX($A$10:$A$29,SMALL((IF(LEN($A$10:$A$29),ROW(INDIRECT("1:"&amp;ROWS($A$10:$A$29))))),ROW(A4)),1),"")</f>
        <v>System 7 (District Heating &amp; Cooling) - VAV with Reheat</v>
      </c>
      <c r="J13" s="376"/>
      <c r="K13" s="406">
        <v>9.3999999999999997E-4</v>
      </c>
      <c r="L13" s="409">
        <v>1.5E-3</v>
      </c>
      <c r="M13" s="518">
        <v>1</v>
      </c>
      <c r="N13" s="521">
        <v>1</v>
      </c>
      <c r="O13" s="406">
        <v>0</v>
      </c>
      <c r="Q13" s="513">
        <v>2</v>
      </c>
      <c r="R13" s="523">
        <v>1.5</v>
      </c>
      <c r="S13" s="524">
        <v>0.86499999999999999</v>
      </c>
      <c r="T13" s="524">
        <v>0.89500000000000002</v>
      </c>
      <c r="U13" s="583">
        <f t="shared" si="0"/>
        <v>0.83351955307262571</v>
      </c>
    </row>
    <row r="14" spans="1:21" s="402" customFormat="1" ht="33" customHeight="1" x14ac:dyDescent="0.25">
      <c r="A14" s="509" t="str">
        <f t="shared" si="1"/>
        <v>System 5 (District Heating &amp; Cooling) - Change to System 7 - VAV with Reheat</v>
      </c>
      <c r="B14" s="509" t="s">
        <v>140</v>
      </c>
      <c r="C14" s="509" t="s">
        <v>162</v>
      </c>
      <c r="D14" s="509" t="s">
        <v>167</v>
      </c>
      <c r="E14" s="509" t="s">
        <v>171</v>
      </c>
      <c r="F14" s="510" t="str">
        <f>""</f>
        <v/>
      </c>
      <c r="G14" s="572">
        <v>5</v>
      </c>
      <c r="H14" s="511" t="str">
        <f t="array" aca="1" ref="H14" ca="1">IFERROR(INDEX($A$10:$A$19,SMALL((IF(LEN($A$10:$A$19),ROW(INDIRECT("1:"&amp;ROWS($A$10:$A$19))))),ROW(A5)),1),"")</f>
        <v>System 9 (District Heating) - Heating and Ventilation</v>
      </c>
      <c r="I14" s="512" t="str">
        <f t="array" aca="1" ref="I14" ca="1">IFERROR(INDEX($A$10:$A$29,SMALL((IF(LEN($A$10:$A$29),ROW(INDIRECT("1:"&amp;ROWS($A$10:$A$29))))),ROW(A5)),1),"")</f>
        <v>System 9 (District Heating) - Heating and Ventilation</v>
      </c>
      <c r="J14" s="376"/>
      <c r="K14" s="406">
        <v>1.2999999999999999E-3</v>
      </c>
      <c r="L14" s="409">
        <v>2.0999999999999999E-3</v>
      </c>
      <c r="M14" s="518">
        <v>1</v>
      </c>
      <c r="N14" s="521">
        <v>1</v>
      </c>
      <c r="O14" s="406">
        <v>0</v>
      </c>
      <c r="Q14" s="513">
        <v>3</v>
      </c>
      <c r="R14" s="523">
        <v>2.2000000000000002</v>
      </c>
      <c r="S14" s="524">
        <v>0.89500000000000002</v>
      </c>
      <c r="T14" s="524">
        <v>0.89500000000000002</v>
      </c>
      <c r="U14" s="583">
        <f t="shared" si="0"/>
        <v>0.83351955307262571</v>
      </c>
    </row>
    <row r="15" spans="1:21" s="402" customFormat="1" ht="33" customHeight="1" x14ac:dyDescent="0.25">
      <c r="A15" s="509" t="str">
        <f t="shared" si="1"/>
        <v/>
      </c>
      <c r="B15" s="509" t="s">
        <v>141</v>
      </c>
      <c r="C15" s="509" t="s">
        <v>163</v>
      </c>
      <c r="D15" s="510" t="str">
        <f>""</f>
        <v/>
      </c>
      <c r="E15" s="510" t="str">
        <f>""</f>
        <v/>
      </c>
      <c r="F15" s="510" t="str">
        <f>""</f>
        <v/>
      </c>
      <c r="G15" s="572">
        <v>6</v>
      </c>
      <c r="H15" s="511" t="str">
        <f t="array" aca="1" ref="H15" ca="1">IFERROR(INDEX($A$10:$A$19,SMALL((IF(LEN($A$10:$A$19),ROW(INDIRECT("1:"&amp;ROWS($A$10:$A$19))))),ROW(A6)),1),"")</f>
        <v/>
      </c>
      <c r="I15" s="512" t="str">
        <f t="array" aca="1" ref="I15" ca="1">IFERROR(INDEX($A$10:$A$29,SMALL((IF(LEN($A$10:$A$29),ROW(INDIRECT("1:"&amp;ROWS($A$10:$A$29))))),ROW(A6)),1),"")</f>
        <v>System 1 - PTAC</v>
      </c>
      <c r="J15" s="376"/>
      <c r="K15" s="406">
        <v>1.2999999999999999E-3</v>
      </c>
      <c r="L15" s="409">
        <v>2.0999999999999999E-3</v>
      </c>
      <c r="M15" s="518">
        <v>1</v>
      </c>
      <c r="N15" s="521">
        <v>1</v>
      </c>
      <c r="O15" s="406">
        <v>0</v>
      </c>
      <c r="Q15" s="513">
        <v>5</v>
      </c>
      <c r="R15" s="523">
        <v>3.7</v>
      </c>
      <c r="S15" s="524">
        <v>0.89500000000000002</v>
      </c>
      <c r="T15" s="524">
        <v>0.91700000000000004</v>
      </c>
      <c r="U15" s="583">
        <f t="shared" si="0"/>
        <v>0.81352235550708829</v>
      </c>
    </row>
    <row r="16" spans="1:21" s="402" customFormat="1" ht="33" customHeight="1" x14ac:dyDescent="0.25">
      <c r="A16" s="509" t="str">
        <f t="shared" si="1"/>
        <v>System 7 (District Heating &amp; Cooling) - VAV with Reheat</v>
      </c>
      <c r="B16" s="509" t="s">
        <v>142</v>
      </c>
      <c r="C16" s="509" t="s">
        <v>164</v>
      </c>
      <c r="D16" s="509" t="s">
        <v>168</v>
      </c>
      <c r="E16" s="509" t="s">
        <v>1037</v>
      </c>
      <c r="F16" s="510" t="str">
        <f>""</f>
        <v/>
      </c>
      <c r="G16" s="572">
        <v>7</v>
      </c>
      <c r="H16" s="511" t="str">
        <f t="array" aca="1" ref="H16" ca="1">IFERROR(INDEX($A$10:$A$19,SMALL((IF(LEN($A$10:$A$19),ROW(INDIRECT("1:"&amp;ROWS($A$10:$A$19))))),ROW(A7)),1),"")</f>
        <v/>
      </c>
      <c r="I16" s="512" t="str">
        <f t="array" aca="1" ref="I16" ca="1">IFERROR(INDEX($A$10:$A$29,SMALL((IF(LEN($A$10:$A$29),ROW(INDIRECT("1:"&amp;ROWS($A$10:$A$29))))),ROW(A7)),1),"")</f>
        <v>System 2 - PTHP</v>
      </c>
      <c r="J16" s="376"/>
      <c r="K16" s="406">
        <v>1.2999999999999999E-3</v>
      </c>
      <c r="L16" s="409">
        <v>2.0999999999999999E-3</v>
      </c>
      <c r="M16" s="518">
        <v>1</v>
      </c>
      <c r="N16" s="521">
        <v>1</v>
      </c>
      <c r="O16" s="406">
        <v>0</v>
      </c>
      <c r="Q16" s="513">
        <v>7.5</v>
      </c>
      <c r="R16" s="523">
        <v>5.6</v>
      </c>
      <c r="S16" s="524">
        <v>0.91700000000000004</v>
      </c>
      <c r="T16" s="524">
        <v>0.91700000000000004</v>
      </c>
      <c r="U16" s="583">
        <f t="shared" si="0"/>
        <v>0.81352235550708829</v>
      </c>
    </row>
    <row r="17" spans="1:21" s="402" customFormat="1" ht="33" customHeight="1" x14ac:dyDescent="0.25">
      <c r="A17" s="509" t="str">
        <f t="shared" si="1"/>
        <v/>
      </c>
      <c r="B17" s="509" t="s">
        <v>143</v>
      </c>
      <c r="C17" s="509" t="s">
        <v>2042</v>
      </c>
      <c r="D17" s="510" t="str">
        <f>""</f>
        <v/>
      </c>
      <c r="E17" s="510" t="str">
        <f>""</f>
        <v/>
      </c>
      <c r="F17" s="510" t="str">
        <f>""</f>
        <v/>
      </c>
      <c r="G17" s="572">
        <v>8</v>
      </c>
      <c r="H17" s="511" t="str">
        <f t="array" aca="1" ref="H17" ca="1">IFERROR(INDEX($A$10:$A$19,SMALL((IF(LEN($A$10:$A$19),ROW(INDIRECT("1:"&amp;ROWS($A$10:$A$19))))),ROW(A8)),1),"")</f>
        <v/>
      </c>
      <c r="I17" s="512" t="str">
        <f t="array" aca="1" ref="I17" ca="1">IFERROR(INDEX($A$10:$A$29,SMALL((IF(LEN($A$10:$A$29),ROW(INDIRECT("1:"&amp;ROWS($A$10:$A$29))))),ROW(A8)),1),"")</f>
        <v>System 3 - PSZ-AC</v>
      </c>
      <c r="J17" s="376"/>
      <c r="K17" s="406">
        <v>1.2999999999999999E-3</v>
      </c>
      <c r="L17" s="409">
        <v>2.0999999999999999E-3</v>
      </c>
      <c r="M17" s="518">
        <v>1</v>
      </c>
      <c r="N17" s="521">
        <v>1</v>
      </c>
      <c r="O17" s="406">
        <v>0</v>
      </c>
      <c r="Q17" s="513">
        <v>10</v>
      </c>
      <c r="R17" s="523">
        <v>7.5</v>
      </c>
      <c r="S17" s="524">
        <v>0.91700000000000004</v>
      </c>
      <c r="T17" s="524">
        <v>0.92400000000000004</v>
      </c>
      <c r="U17" s="583">
        <f t="shared" si="0"/>
        <v>0.80735930735930728</v>
      </c>
    </row>
    <row r="18" spans="1:21" s="402" customFormat="1" ht="33" customHeight="1" x14ac:dyDescent="0.25">
      <c r="A18" s="509" t="str">
        <f t="shared" si="1"/>
        <v>System 9 (District Heating) - Heating and Ventilation</v>
      </c>
      <c r="B18" s="509" t="s">
        <v>144</v>
      </c>
      <c r="C18" s="509" t="s">
        <v>144</v>
      </c>
      <c r="D18" s="509" t="s">
        <v>169</v>
      </c>
      <c r="E18" s="509" t="s">
        <v>169</v>
      </c>
      <c r="F18" s="510" t="str">
        <f>""</f>
        <v/>
      </c>
      <c r="G18" s="572">
        <v>9</v>
      </c>
      <c r="H18" s="511" t="str">
        <f t="array" aca="1" ref="H18" ca="1">IFERROR(INDEX($A$10:$A$19,SMALL((IF(LEN($A$10:$A$19),ROW(INDIRECT("1:"&amp;ROWS($A$10:$A$19))))),ROW(A9)),1),"")</f>
        <v/>
      </c>
      <c r="I18" s="512" t="str">
        <f t="array" aca="1" ref="I18" ca="1">IFERROR(INDEX($A$10:$A$29,SMALL((IF(LEN($A$10:$A$29),ROW(INDIRECT("1:"&amp;ROWS($A$10:$A$29))))),ROW(A9)),1),"")</f>
        <v>System 4 - PSZ-HP</v>
      </c>
      <c r="J18" s="376"/>
      <c r="K18" s="406">
        <v>2.9999999999999997E-4</v>
      </c>
      <c r="L18" s="409">
        <v>6.4000000000000005E-4</v>
      </c>
      <c r="M18" s="518">
        <v>0</v>
      </c>
      <c r="N18" s="521">
        <v>0</v>
      </c>
      <c r="O18" s="406">
        <v>1</v>
      </c>
      <c r="Q18" s="513">
        <v>15</v>
      </c>
      <c r="R18" s="523">
        <v>11.1</v>
      </c>
      <c r="S18" s="524">
        <v>0.92400000000000004</v>
      </c>
      <c r="T18" s="524">
        <v>0.93</v>
      </c>
      <c r="U18" s="583">
        <f t="shared" si="0"/>
        <v>0.80215053763440858</v>
      </c>
    </row>
    <row r="19" spans="1:21" s="402" customFormat="1" ht="33" customHeight="1" x14ac:dyDescent="0.25">
      <c r="A19" s="509" t="str">
        <f t="shared" si="1"/>
        <v/>
      </c>
      <c r="B19" s="509" t="s">
        <v>145</v>
      </c>
      <c r="C19" s="509" t="s">
        <v>145</v>
      </c>
      <c r="D19" s="510" t="str">
        <f>""</f>
        <v/>
      </c>
      <c r="E19" s="510" t="str">
        <f>""</f>
        <v/>
      </c>
      <c r="F19" s="510" t="str">
        <f>""</f>
        <v/>
      </c>
      <c r="G19" s="572">
        <v>10</v>
      </c>
      <c r="H19" s="511" t="str">
        <f t="array" aca="1" ref="H19" ca="1">IFERROR(INDEX($A$10:$A$19,SMALL((IF(LEN($A$10:$A$19),ROW(INDIRECT("1:"&amp;ROWS($A$10:$A$19))))),ROW(A10)),1),"")</f>
        <v/>
      </c>
      <c r="I19" s="512" t="str">
        <f t="array" aca="1" ref="I19" ca="1">IFERROR(INDEX($A$10:$A$29,SMALL((IF(LEN($A$10:$A$29),ROW(INDIRECT("1:"&amp;ROWS($A$10:$A$29))))),ROW(A10)),1),"")</f>
        <v>System 5 - Packaged VAV with Reheat</v>
      </c>
      <c r="J19" s="376"/>
      <c r="K19" s="406">
        <v>2.9999999999999997E-4</v>
      </c>
      <c r="L19" s="409">
        <v>6.4000000000000005E-4</v>
      </c>
      <c r="M19" s="518">
        <v>0</v>
      </c>
      <c r="N19" s="521">
        <v>0</v>
      </c>
      <c r="O19" s="406">
        <v>1</v>
      </c>
      <c r="Q19" s="513">
        <v>20</v>
      </c>
      <c r="R19" s="523">
        <v>14.9</v>
      </c>
      <c r="S19" s="524">
        <v>0.93</v>
      </c>
      <c r="T19" s="524">
        <v>0.93</v>
      </c>
      <c r="U19" s="583">
        <f t="shared" si="0"/>
        <v>0.80215053763440858</v>
      </c>
    </row>
    <row r="20" spans="1:21" s="402" customFormat="1" ht="33" customHeight="1" x14ac:dyDescent="0.25">
      <c r="A20" s="509" t="str">
        <f t="shared" si="1"/>
        <v>System 1 - PTAC</v>
      </c>
      <c r="B20" s="510" t="str">
        <f>""</f>
        <v/>
      </c>
      <c r="C20" s="509" t="s">
        <v>136</v>
      </c>
      <c r="D20" s="509" t="s">
        <v>136</v>
      </c>
      <c r="E20" s="509" t="s">
        <v>136</v>
      </c>
      <c r="F20" s="510" t="str">
        <f>""</f>
        <v/>
      </c>
      <c r="G20" s="572">
        <v>1</v>
      </c>
      <c r="H20" s="511" t="str">
        <f t="array" aca="1" ref="H20" ca="1">IFERROR(INDEX($A$10:$A$19,SMALL((IF(LEN($A$10:$A$19),ROW(INDIRECT("1:"&amp;ROWS($A$10:$A$19))))),ROW(A11)),1),"")</f>
        <v/>
      </c>
      <c r="I20" s="512" t="str">
        <f t="array" aca="1" ref="I20" ca="1">IFERROR(INDEX($A$10:$A$29,SMALL((IF(LEN($A$10:$A$29),ROW(INDIRECT("1:"&amp;ROWS($A$10:$A$29))))),ROW(A11)),1),"")</f>
        <v>System 6 - Packaged VAV with PFP Boxes</v>
      </c>
      <c r="J20" s="376"/>
      <c r="K20" s="406">
        <v>2.9999999999999997E-4</v>
      </c>
      <c r="L20" s="409">
        <v>6.4000000000000005E-4</v>
      </c>
      <c r="M20" s="518">
        <v>0</v>
      </c>
      <c r="N20" s="521">
        <v>0</v>
      </c>
      <c r="O20" s="406">
        <v>0</v>
      </c>
      <c r="Q20" s="513">
        <v>25</v>
      </c>
      <c r="R20" s="523">
        <v>18.7</v>
      </c>
      <c r="S20" s="524">
        <v>0.93600000000000005</v>
      </c>
      <c r="T20" s="524">
        <v>0.93600000000000005</v>
      </c>
      <c r="U20" s="583">
        <f t="shared" si="0"/>
        <v>0.79700854700854695</v>
      </c>
    </row>
    <row r="21" spans="1:21" s="402" customFormat="1" ht="33" customHeight="1" x14ac:dyDescent="0.25">
      <c r="A21" s="509" t="str">
        <f t="shared" si="1"/>
        <v>System 2 - PTHP</v>
      </c>
      <c r="B21" s="510" t="str">
        <f>""</f>
        <v/>
      </c>
      <c r="C21" s="509" t="s">
        <v>137</v>
      </c>
      <c r="D21" s="509" t="s">
        <v>137</v>
      </c>
      <c r="E21" s="509" t="s">
        <v>137</v>
      </c>
      <c r="F21" s="510" t="str">
        <f>""</f>
        <v/>
      </c>
      <c r="G21" s="572">
        <v>2</v>
      </c>
      <c r="H21" s="511" t="str">
        <f t="array" aca="1" ref="H21" ca="1">IFERROR(INDEX($A$10:$A$19,SMALL((IF(LEN($A$10:$A$19),ROW(INDIRECT("1:"&amp;ROWS($A$10:$A$19))))),ROW(A12)),1),"")</f>
        <v/>
      </c>
      <c r="I21" s="512" t="str">
        <f t="array" aca="1" ref="I21" ca="1">IFERROR(INDEX($A$10:$A$29,SMALL((IF(LEN($A$10:$A$29),ROW(INDIRECT("1:"&amp;ROWS($A$10:$A$29))))),ROW(A12)),1),"")</f>
        <v>System 7 - VAV with Reheat</v>
      </c>
      <c r="J21" s="376"/>
      <c r="K21" s="406">
        <v>2.9999999999999997E-4</v>
      </c>
      <c r="L21" s="409">
        <v>6.4000000000000005E-4</v>
      </c>
      <c r="M21" s="518">
        <v>0</v>
      </c>
      <c r="N21" s="521">
        <v>0</v>
      </c>
      <c r="O21" s="406">
        <v>0</v>
      </c>
      <c r="Q21" s="513">
        <v>30</v>
      </c>
      <c r="R21" s="523">
        <v>22.4</v>
      </c>
      <c r="S21" s="524">
        <v>0.93600000000000005</v>
      </c>
      <c r="T21" s="524">
        <v>0.94099999999999995</v>
      </c>
      <c r="U21" s="583">
        <f t="shared" si="0"/>
        <v>0.7927736450584485</v>
      </c>
    </row>
    <row r="22" spans="1:21" s="402" customFormat="1" ht="33" customHeight="1" x14ac:dyDescent="0.25">
      <c r="A22" s="509" t="str">
        <f t="shared" si="1"/>
        <v>System 3 - PSZ-AC</v>
      </c>
      <c r="B22" s="510" t="str">
        <f>""</f>
        <v/>
      </c>
      <c r="C22" s="509" t="s">
        <v>138</v>
      </c>
      <c r="D22" s="509" t="s">
        <v>138</v>
      </c>
      <c r="E22" s="509" t="s">
        <v>138</v>
      </c>
      <c r="F22" s="510" t="str">
        <f>""</f>
        <v/>
      </c>
      <c r="G22" s="572">
        <v>3</v>
      </c>
      <c r="H22" s="511" t="str">
        <f t="array" aca="1" ref="H22" ca="1">IFERROR(INDEX($A$10:$A$19,SMALL((IF(LEN($A$10:$A$19),ROW(INDIRECT("1:"&amp;ROWS($A$10:$A$19))))),ROW(A13)),1),"")</f>
        <v/>
      </c>
      <c r="I22" s="512" t="str">
        <f t="array" aca="1" ref="I22" ca="1">IFERROR(INDEX($A$10:$A$29,SMALL((IF(LEN($A$10:$A$29),ROW(INDIRECT("1:"&amp;ROWS($A$10:$A$29))))),ROW(A13)),1),"")</f>
        <v>System 8 - VAV with PFP Boxes</v>
      </c>
      <c r="J22" s="376"/>
      <c r="K22" s="406">
        <v>9.3999999999999997E-4</v>
      </c>
      <c r="L22" s="409">
        <v>1.5E-3</v>
      </c>
      <c r="M22" s="518">
        <v>1</v>
      </c>
      <c r="N22" s="521">
        <v>1</v>
      </c>
      <c r="O22" s="406">
        <v>0</v>
      </c>
      <c r="Q22" s="513">
        <v>40</v>
      </c>
      <c r="R22" s="523">
        <v>29.8</v>
      </c>
      <c r="S22" s="524">
        <v>0.94099999999999995</v>
      </c>
      <c r="T22" s="524">
        <v>0.94499999999999995</v>
      </c>
      <c r="U22" s="583">
        <f t="shared" si="0"/>
        <v>0.78941798941798946</v>
      </c>
    </row>
    <row r="23" spans="1:21" s="402" customFormat="1" ht="33" customHeight="1" x14ac:dyDescent="0.25">
      <c r="A23" s="509" t="str">
        <f t="shared" si="1"/>
        <v>System 4 - PSZ-HP</v>
      </c>
      <c r="B23" s="510" t="str">
        <f>""</f>
        <v/>
      </c>
      <c r="C23" s="509" t="s">
        <v>139</v>
      </c>
      <c r="D23" s="509" t="s">
        <v>139</v>
      </c>
      <c r="E23" s="509" t="s">
        <v>139</v>
      </c>
      <c r="F23" s="510" t="str">
        <f>""</f>
        <v/>
      </c>
      <c r="G23" s="572">
        <v>4</v>
      </c>
      <c r="H23" s="511" t="str">
        <f t="array" aca="1" ref="H23" ca="1">IFERROR(INDEX($A$10:$A$19,SMALL((IF(LEN($A$10:$A$19),ROW(INDIRECT("1:"&amp;ROWS($A$10:$A$19))))),ROW(A14)),1),"")</f>
        <v/>
      </c>
      <c r="I23" s="512" t="str">
        <f t="array" aca="1" ref="I23" ca="1">IFERROR(INDEX($A$10:$A$29,SMALL((IF(LEN($A$10:$A$29),ROW(INDIRECT("1:"&amp;ROWS($A$10:$A$29))))),ROW(A14)),1),"")</f>
        <v>System 9 - Heating and Ventilation</v>
      </c>
      <c r="J23" s="376"/>
      <c r="K23" s="406">
        <v>9.3999999999999997E-4</v>
      </c>
      <c r="L23" s="409">
        <v>1.5E-3</v>
      </c>
      <c r="M23" s="518">
        <v>1</v>
      </c>
      <c r="N23" s="521">
        <v>1</v>
      </c>
      <c r="O23" s="406">
        <v>0</v>
      </c>
      <c r="Q23" s="513">
        <v>50</v>
      </c>
      <c r="R23" s="523">
        <v>37.299999999999997</v>
      </c>
      <c r="S23" s="524">
        <v>0.94499999999999995</v>
      </c>
      <c r="T23" s="524">
        <v>0.95</v>
      </c>
      <c r="U23" s="583">
        <f t="shared" si="0"/>
        <v>0.78526315789473689</v>
      </c>
    </row>
    <row r="24" spans="1:21" s="402" customFormat="1" ht="33" customHeight="1" x14ac:dyDescent="0.25">
      <c r="A24" s="509" t="str">
        <f t="shared" si="1"/>
        <v>System 5 - Packaged VAV with Reheat</v>
      </c>
      <c r="B24" s="510" t="str">
        <f>""</f>
        <v/>
      </c>
      <c r="C24" s="509" t="s">
        <v>140</v>
      </c>
      <c r="D24" s="509" t="s">
        <v>140</v>
      </c>
      <c r="E24" s="509" t="s">
        <v>140</v>
      </c>
      <c r="F24" s="510" t="str">
        <f>""</f>
        <v/>
      </c>
      <c r="G24" s="572">
        <v>5</v>
      </c>
      <c r="H24" s="511" t="str">
        <f t="array" aca="1" ref="H24" ca="1">IFERROR(INDEX($A$10:$A$19,SMALL((IF(LEN($A$10:$A$19),ROW(INDIRECT("1:"&amp;ROWS($A$10:$A$19))))),ROW(A15)),1),"")</f>
        <v/>
      </c>
      <c r="I24" s="512" t="str">
        <f t="array" aca="1" ref="I24" ca="1">IFERROR(INDEX($A$10:$A$29,SMALL((IF(LEN($A$10:$A$29),ROW(INDIRECT("1:"&amp;ROWS($A$10:$A$29))))),ROW(A15)),1),"")</f>
        <v>System 10 - Heating and Ventilation</v>
      </c>
      <c r="J24" s="376"/>
      <c r="K24" s="406">
        <v>1.2999999999999999E-3</v>
      </c>
      <c r="L24" s="409">
        <v>2.0999999999999999E-3</v>
      </c>
      <c r="M24" s="518">
        <v>1</v>
      </c>
      <c r="N24" s="521">
        <v>1</v>
      </c>
      <c r="O24" s="406">
        <v>0</v>
      </c>
      <c r="Q24" s="513">
        <v>60</v>
      </c>
      <c r="R24" s="523">
        <v>44.8</v>
      </c>
      <c r="S24" s="524">
        <v>0.95</v>
      </c>
      <c r="T24" s="524">
        <v>0.95399999999999996</v>
      </c>
      <c r="U24" s="583">
        <f t="shared" si="0"/>
        <v>0.78197064989517817</v>
      </c>
    </row>
    <row r="25" spans="1:21" s="402" customFormat="1" ht="33" customHeight="1" x14ac:dyDescent="0.25">
      <c r="A25" s="509" t="str">
        <f t="shared" si="1"/>
        <v>System 6 - Packaged VAV with PFP Boxes</v>
      </c>
      <c r="B25" s="510" t="str">
        <f>""</f>
        <v/>
      </c>
      <c r="C25" s="509" t="s">
        <v>141</v>
      </c>
      <c r="D25" s="509" t="s">
        <v>141</v>
      </c>
      <c r="E25" s="509" t="s">
        <v>141</v>
      </c>
      <c r="F25" s="510" t="str">
        <f>""</f>
        <v/>
      </c>
      <c r="G25" s="572">
        <v>6</v>
      </c>
      <c r="H25" s="511" t="str">
        <f t="array" aca="1" ref="H25" ca="1">IFERROR(INDEX($A$10:$A$19,SMALL((IF(LEN($A$10:$A$19),ROW(INDIRECT("1:"&amp;ROWS($A$10:$A$19))))),ROW(A16)),1),"")</f>
        <v/>
      </c>
      <c r="I25" s="512" t="str">
        <f t="array" aca="1" ref="I25" ca="1">IFERROR(INDEX($A$10:$A$29,SMALL((IF(LEN($A$10:$A$29),ROW(INDIRECT("1:"&amp;ROWS($A$10:$A$29))))),ROW(A16)),1),"")</f>
        <v/>
      </c>
      <c r="J25" s="376"/>
      <c r="K25" s="406">
        <v>1.2999999999999999E-3</v>
      </c>
      <c r="L25" s="409">
        <v>2.0999999999999999E-3</v>
      </c>
      <c r="M25" s="518">
        <v>1</v>
      </c>
      <c r="N25" s="521">
        <v>1</v>
      </c>
      <c r="O25" s="406">
        <v>0</v>
      </c>
      <c r="Q25" s="513">
        <v>75</v>
      </c>
      <c r="R25" s="523">
        <v>56</v>
      </c>
      <c r="S25" s="524">
        <v>0.95399999999999996</v>
      </c>
      <c r="T25" s="524">
        <v>0.95399999999999996</v>
      </c>
      <c r="U25" s="583">
        <f t="shared" si="0"/>
        <v>0.78197064989517817</v>
      </c>
    </row>
    <row r="26" spans="1:21" s="402" customFormat="1" ht="33" customHeight="1" x14ac:dyDescent="0.25">
      <c r="A26" s="509" t="str">
        <f t="shared" si="1"/>
        <v>System 7 - VAV with Reheat</v>
      </c>
      <c r="B26" s="510" t="str">
        <f>""</f>
        <v/>
      </c>
      <c r="C26" s="509" t="s">
        <v>142</v>
      </c>
      <c r="D26" s="509" t="s">
        <v>142</v>
      </c>
      <c r="E26" s="509" t="s">
        <v>142</v>
      </c>
      <c r="F26" s="510" t="str">
        <f>""</f>
        <v/>
      </c>
      <c r="G26" s="572">
        <v>7</v>
      </c>
      <c r="H26" s="511" t="str">
        <f t="array" aca="1" ref="H26" ca="1">IFERROR(INDEX($A$10:$A$19,SMALL((IF(LEN($A$10:$A$19),ROW(INDIRECT("1:"&amp;ROWS($A$10:$A$19))))),ROW(A17)),1),"")</f>
        <v/>
      </c>
      <c r="I26" s="512" t="str">
        <f t="array" aca="1" ref="I26" ca="1">IFERROR(INDEX($A$10:$A$29,SMALL((IF(LEN($A$10:$A$29),ROW(INDIRECT("1:"&amp;ROWS($A$10:$A$29))))),ROW(A17)),1),"")</f>
        <v/>
      </c>
      <c r="J26" s="376"/>
      <c r="K26" s="406">
        <v>1.2999999999999999E-3</v>
      </c>
      <c r="L26" s="409">
        <v>2.0999999999999999E-3</v>
      </c>
      <c r="M26" s="518">
        <v>1</v>
      </c>
      <c r="N26" s="521">
        <v>1</v>
      </c>
      <c r="O26" s="406">
        <v>0</v>
      </c>
      <c r="Q26" s="513">
        <v>100</v>
      </c>
      <c r="R26" s="523">
        <v>74.599999999999994</v>
      </c>
      <c r="S26" s="524">
        <v>0.95399999999999996</v>
      </c>
      <c r="T26" s="524">
        <v>0.95399999999999996</v>
      </c>
      <c r="U26" s="583">
        <f t="shared" si="0"/>
        <v>0.78197064989517817</v>
      </c>
    </row>
    <row r="27" spans="1:21" s="402" customFormat="1" ht="33" customHeight="1" x14ac:dyDescent="0.25">
      <c r="A27" s="509" t="str">
        <f t="shared" si="1"/>
        <v>System 8 - VAV with PFP Boxes</v>
      </c>
      <c r="B27" s="510" t="str">
        <f>""</f>
        <v/>
      </c>
      <c r="C27" s="509" t="s">
        <v>143</v>
      </c>
      <c r="D27" s="509" t="s">
        <v>143</v>
      </c>
      <c r="E27" s="509" t="s">
        <v>143</v>
      </c>
      <c r="F27" s="510" t="str">
        <f>""</f>
        <v/>
      </c>
      <c r="G27" s="572">
        <v>8</v>
      </c>
      <c r="H27" s="511" t="str">
        <f t="array" aca="1" ref="H27" ca="1">IFERROR(INDEX($A$10:$A$19,SMALL((IF(LEN($A$10:$A$19),ROW(INDIRECT("1:"&amp;ROWS($A$10:$A$19))))),ROW(A18)),1),"")</f>
        <v/>
      </c>
      <c r="I27" s="512" t="str">
        <f t="array" aca="1" ref="I27" ca="1">IFERROR(INDEX($A$10:$A$29,SMALL((IF(LEN($A$10:$A$29),ROW(INDIRECT("1:"&amp;ROWS($A$10:$A$29))))),ROW(A18)),1),"")</f>
        <v/>
      </c>
      <c r="J27" s="376"/>
      <c r="K27" s="406">
        <v>1.2999999999999999E-3</v>
      </c>
      <c r="L27" s="409">
        <v>2.0999999999999999E-3</v>
      </c>
      <c r="M27" s="518">
        <v>1</v>
      </c>
      <c r="N27" s="521">
        <v>1</v>
      </c>
      <c r="O27" s="406">
        <v>0</v>
      </c>
      <c r="Q27" s="513">
        <v>125</v>
      </c>
      <c r="R27" s="523">
        <v>93.3</v>
      </c>
      <c r="S27" s="524">
        <v>0.95399999999999996</v>
      </c>
      <c r="T27" s="524">
        <v>0.95799999999999996</v>
      </c>
      <c r="U27" s="583">
        <f t="shared" si="0"/>
        <v>0.77870563674321502</v>
      </c>
    </row>
    <row r="28" spans="1:21" s="402" customFormat="1" ht="33" customHeight="1" x14ac:dyDescent="0.25">
      <c r="A28" s="509" t="str">
        <f t="shared" si="1"/>
        <v>System 9 - Heating and Ventilation</v>
      </c>
      <c r="B28" s="510" t="str">
        <f>""</f>
        <v/>
      </c>
      <c r="C28" s="510" t="str">
        <f>""</f>
        <v/>
      </c>
      <c r="D28" s="509" t="s">
        <v>144</v>
      </c>
      <c r="E28" s="509" t="s">
        <v>144</v>
      </c>
      <c r="F28" s="510" t="str">
        <f>""</f>
        <v/>
      </c>
      <c r="G28" s="572">
        <v>9</v>
      </c>
      <c r="H28" s="511" t="str">
        <f t="array" aca="1" ref="H28" ca="1">IFERROR(INDEX($A$10:$A$19,SMALL((IF(LEN($A$10:$A$19),ROW(INDIRECT("1:"&amp;ROWS($A$10:$A$19))))),ROW(A19)),1),"")</f>
        <v/>
      </c>
      <c r="I28" s="512" t="str">
        <f t="array" aca="1" ref="I28" ca="1">IFERROR(INDEX($A$10:$A$29,SMALL((IF(LEN($A$10:$A$29),ROW(INDIRECT("1:"&amp;ROWS($A$10:$A$29))))),ROW(A19)),1),"")</f>
        <v/>
      </c>
      <c r="J28" s="376"/>
      <c r="K28" s="406">
        <v>2.9999999999999997E-4</v>
      </c>
      <c r="L28" s="409">
        <v>6.4000000000000005E-4</v>
      </c>
      <c r="M28" s="518">
        <v>0</v>
      </c>
      <c r="N28" s="521">
        <v>0</v>
      </c>
      <c r="O28" s="406">
        <v>1</v>
      </c>
      <c r="Q28" s="513">
        <v>150</v>
      </c>
      <c r="R28" s="523">
        <v>111.9</v>
      </c>
      <c r="S28" s="524">
        <v>0.95799999999999996</v>
      </c>
      <c r="T28" s="524">
        <v>0.96199999999999997</v>
      </c>
      <c r="U28" s="583">
        <f t="shared" si="0"/>
        <v>0.77546777546777546</v>
      </c>
    </row>
    <row r="29" spans="1:21" s="402" customFormat="1" ht="33" customHeight="1" x14ac:dyDescent="0.25">
      <c r="A29" s="514" t="str">
        <f t="shared" si="1"/>
        <v>System 10 - Heating and Ventilation</v>
      </c>
      <c r="B29" s="515" t="str">
        <f>""</f>
        <v/>
      </c>
      <c r="C29" s="515" t="str">
        <f>""</f>
        <v/>
      </c>
      <c r="D29" s="514" t="s">
        <v>145</v>
      </c>
      <c r="E29" s="514" t="s">
        <v>145</v>
      </c>
      <c r="F29" s="515" t="str">
        <f>""</f>
        <v/>
      </c>
      <c r="G29" s="572">
        <v>10</v>
      </c>
      <c r="H29" s="511" t="str">
        <f t="array" aca="1" ref="H29" ca="1">IFERROR(INDEX($A$10:$A$19,SMALL((IF(LEN($A$10:$A$19),ROW(INDIRECT("1:"&amp;ROWS($A$10:$A$19))))),ROW(A20)),1),"")</f>
        <v/>
      </c>
      <c r="I29" s="512" t="str">
        <f t="array" aca="1" ref="I29" ca="1">IFERROR(INDEX($A$10:$A$29,SMALL((IF(LEN($A$10:$A$29),ROW(INDIRECT("1:"&amp;ROWS($A$10:$A$29))))),ROW(A20)),1),"")</f>
        <v/>
      </c>
      <c r="J29" s="376"/>
      <c r="K29" s="410">
        <v>2.9999999999999997E-4</v>
      </c>
      <c r="L29" s="413">
        <v>6.4000000000000005E-4</v>
      </c>
      <c r="M29" s="519">
        <v>0</v>
      </c>
      <c r="N29" s="522">
        <v>0</v>
      </c>
      <c r="O29" s="410">
        <v>1</v>
      </c>
      <c r="Q29" s="534">
        <v>200</v>
      </c>
      <c r="R29" s="535">
        <v>149.19999999999999</v>
      </c>
      <c r="S29" s="536">
        <v>0.96199999999999997</v>
      </c>
      <c r="T29" s="536">
        <v>0.96199999999999997</v>
      </c>
      <c r="U29" s="583">
        <f t="shared" si="0"/>
        <v>0.77546777546777546</v>
      </c>
    </row>
    <row r="30" spans="1:21" ht="30.75" customHeight="1" x14ac:dyDescent="0.25">
      <c r="Q30" s="3497" t="s">
        <v>2239</v>
      </c>
      <c r="R30" s="3497"/>
      <c r="S30" s="3497"/>
      <c r="T30" s="3497"/>
    </row>
    <row r="31" spans="1:21" x14ac:dyDescent="0.25">
      <c r="F31" s="25"/>
    </row>
  </sheetData>
  <sheetProtection algorithmName="SHA-512" hashValue="DRg28FRP4CXWu2mUEjZy+46LrE9TSF/AF64BiPnbPxSMu64JP/SEl7TC2ccSYZeR8T77ZQaSzbwZ4xKgsngoAw==" saltValue="D93gPwcsk2zNIttu29480w==" spinCount="100000" sheet="1" objects="1" scenarios="1"/>
  <customSheetViews>
    <customSheetView guid="{75D6F8CE-A4F4-4FDD-BA92-7996F9E19FA9}" scale="80" showGridLines="0">
      <pageMargins left="0.7" right="0.7" top="0.75" bottom="0.75" header="0.3" footer="0.3"/>
      <pageSetup orientation="portrait"/>
    </customSheetView>
  </customSheetViews>
  <mergeCells count="14">
    <mergeCell ref="G8:G9"/>
    <mergeCell ref="U8:U9"/>
    <mergeCell ref="Q7:U7"/>
    <mergeCell ref="Q30:T30"/>
    <mergeCell ref="H8:H9"/>
    <mergeCell ref="I8:I9"/>
    <mergeCell ref="K7:O7"/>
    <mergeCell ref="R8:R9"/>
    <mergeCell ref="S8:S9"/>
    <mergeCell ref="T8:T9"/>
    <mergeCell ref="K8:L8"/>
    <mergeCell ref="M8:M9"/>
    <mergeCell ref="N8:N9"/>
    <mergeCell ref="Q8:Q9"/>
  </mergeCells>
  <pageMargins left="0.7" right="0.7" top="0.75" bottom="0.75" header="0.3" footer="0.3"/>
  <pageSetup orientation="portrait" r:id="rId1"/>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9">
    <tabColor theme="0"/>
  </sheetPr>
  <dimension ref="A1:V127"/>
  <sheetViews>
    <sheetView workbookViewId="0">
      <selection activeCell="D4" sqref="D4"/>
    </sheetView>
  </sheetViews>
  <sheetFormatPr defaultColWidth="8.7109375" defaultRowHeight="15" x14ac:dyDescent="0.25"/>
  <cols>
    <col min="1" max="1" width="8.7109375" style="177"/>
    <col min="2" max="2" width="21.140625" style="177" customWidth="1"/>
    <col min="3" max="3" width="21" style="177" customWidth="1"/>
    <col min="4" max="4" width="14.28515625" style="177" bestFit="1" customWidth="1"/>
    <col min="5" max="5" width="12.42578125" style="177" bestFit="1" customWidth="1"/>
    <col min="6" max="6" width="14.140625" style="177" customWidth="1"/>
    <col min="7" max="7" width="12.42578125" style="177" bestFit="1" customWidth="1"/>
    <col min="8" max="9" width="8.7109375" style="177"/>
    <col min="10" max="10" width="17.7109375" style="177" bestFit="1" customWidth="1"/>
    <col min="11" max="13" width="8.7109375" style="177"/>
    <col min="14" max="14" width="11.28515625" style="177" customWidth="1"/>
    <col min="15" max="15" width="11" style="177" bestFit="1" customWidth="1"/>
    <col min="16" max="16" width="8.7109375" style="177"/>
    <col min="17" max="17" width="11.42578125" style="177" bestFit="1" customWidth="1"/>
    <col min="18" max="18" width="8.7109375" style="177"/>
    <col min="19" max="19" width="11" style="177" bestFit="1" customWidth="1"/>
    <col min="20" max="16384" width="8.7109375" style="177"/>
  </cols>
  <sheetData>
    <row r="1" spans="1:22" ht="21" x14ac:dyDescent="0.35">
      <c r="A1" s="218" t="s">
        <v>807</v>
      </c>
      <c r="B1" s="178"/>
      <c r="C1" s="178"/>
      <c r="D1" s="178"/>
      <c r="E1" s="178"/>
      <c r="F1" s="178"/>
      <c r="G1" s="178"/>
      <c r="H1" s="178"/>
      <c r="I1" s="178"/>
      <c r="J1" s="178"/>
      <c r="K1" s="178"/>
      <c r="L1" s="178"/>
      <c r="M1" s="178"/>
      <c r="N1" s="178"/>
      <c r="O1" s="178"/>
      <c r="P1" s="178"/>
      <c r="Q1" s="178"/>
      <c r="R1" s="178"/>
      <c r="S1" s="178"/>
      <c r="T1" s="178"/>
      <c r="U1" s="178"/>
      <c r="V1" s="178"/>
    </row>
    <row r="2" spans="1:22" ht="21" x14ac:dyDescent="0.35">
      <c r="A2" s="218"/>
      <c r="B2" s="178"/>
      <c r="C2" s="178"/>
      <c r="D2" s="178"/>
      <c r="E2" s="178"/>
      <c r="F2" s="178"/>
      <c r="G2" s="178"/>
      <c r="H2" s="178"/>
      <c r="I2" s="178"/>
      <c r="J2" s="178"/>
      <c r="K2" s="178"/>
      <c r="L2" s="178"/>
      <c r="M2" s="178"/>
      <c r="N2" s="178"/>
      <c r="O2" s="178"/>
      <c r="P2" s="178"/>
      <c r="Q2" s="178"/>
      <c r="R2" s="178"/>
      <c r="S2" s="178"/>
      <c r="T2" s="178"/>
      <c r="U2" s="178"/>
      <c r="V2" s="178"/>
    </row>
    <row r="3" spans="1:22" x14ac:dyDescent="0.25">
      <c r="A3" s="178"/>
      <c r="B3" s="217" t="s">
        <v>806</v>
      </c>
      <c r="C3" s="201"/>
      <c r="D3" s="201"/>
      <c r="E3" s="201"/>
      <c r="F3" s="201"/>
      <c r="G3" s="201"/>
      <c r="H3" s="201"/>
      <c r="I3" s="201"/>
      <c r="J3" s="201"/>
      <c r="K3" s="201"/>
      <c r="L3" s="216"/>
      <c r="M3" s="201"/>
      <c r="N3" s="216"/>
      <c r="O3" s="201"/>
      <c r="P3" s="201"/>
      <c r="Q3" s="201"/>
      <c r="R3" s="201"/>
      <c r="S3" s="201"/>
      <c r="T3" s="201"/>
      <c r="U3" s="201"/>
      <c r="V3" s="200"/>
    </row>
    <row r="4" spans="1:22" x14ac:dyDescent="0.25">
      <c r="A4" s="178"/>
      <c r="B4" s="215" t="s">
        <v>805</v>
      </c>
      <c r="C4" s="184"/>
      <c r="D4" s="184"/>
      <c r="E4" s="184"/>
      <c r="F4" s="184"/>
      <c r="G4" s="184"/>
      <c r="H4" s="184"/>
      <c r="I4" s="184"/>
      <c r="J4" s="184"/>
      <c r="K4" s="184"/>
      <c r="L4" s="184"/>
      <c r="M4" s="184"/>
      <c r="N4" s="184"/>
      <c r="O4" s="184"/>
      <c r="P4" s="184"/>
      <c r="Q4" s="184"/>
      <c r="R4" s="184"/>
      <c r="S4" s="184"/>
      <c r="T4" s="184"/>
      <c r="U4" s="184"/>
      <c r="V4" s="194"/>
    </row>
    <row r="5" spans="1:22" x14ac:dyDescent="0.25">
      <c r="A5" s="178"/>
      <c r="B5" s="215" t="s">
        <v>804</v>
      </c>
      <c r="C5" s="184"/>
      <c r="D5" s="184"/>
      <c r="E5" s="184"/>
      <c r="F5" s="184"/>
      <c r="G5" s="184"/>
      <c r="H5" s="184"/>
      <c r="I5" s="184"/>
      <c r="J5" s="184"/>
      <c r="K5" s="184"/>
      <c r="L5" s="184"/>
      <c r="M5" s="184"/>
      <c r="N5" s="184"/>
      <c r="O5" s="184"/>
      <c r="P5" s="184"/>
      <c r="Q5" s="184"/>
      <c r="R5" s="184"/>
      <c r="S5" s="184"/>
      <c r="T5" s="184"/>
      <c r="U5" s="184"/>
      <c r="V5" s="194"/>
    </row>
    <row r="6" spans="1:22" x14ac:dyDescent="0.25">
      <c r="A6" s="178"/>
      <c r="B6" s="215" t="s">
        <v>803</v>
      </c>
      <c r="C6" s="184"/>
      <c r="D6" s="184"/>
      <c r="E6" s="184"/>
      <c r="F6" s="184"/>
      <c r="G6" s="184"/>
      <c r="H6" s="184"/>
      <c r="I6" s="184"/>
      <c r="J6" s="184"/>
      <c r="K6" s="184"/>
      <c r="L6" s="184"/>
      <c r="M6" s="184"/>
      <c r="N6" s="184"/>
      <c r="O6" s="184"/>
      <c r="P6" s="184"/>
      <c r="Q6" s="184"/>
      <c r="R6" s="184"/>
      <c r="S6" s="184"/>
      <c r="T6" s="184"/>
      <c r="U6" s="184"/>
      <c r="V6" s="194"/>
    </row>
    <row r="7" spans="1:22" x14ac:dyDescent="0.25">
      <c r="A7" s="178"/>
      <c r="B7" s="215" t="s">
        <v>802</v>
      </c>
      <c r="C7" s="184"/>
      <c r="D7" s="184"/>
      <c r="E7" s="184"/>
      <c r="F7" s="184"/>
      <c r="G7" s="184"/>
      <c r="H7" s="184"/>
      <c r="I7" s="184"/>
      <c r="J7" s="184"/>
      <c r="K7" s="184"/>
      <c r="L7" s="184"/>
      <c r="M7" s="184"/>
      <c r="N7" s="184"/>
      <c r="O7" s="184"/>
      <c r="P7" s="184"/>
      <c r="Q7" s="184"/>
      <c r="R7" s="184"/>
      <c r="S7" s="184"/>
      <c r="T7" s="184"/>
      <c r="U7" s="184"/>
      <c r="V7" s="194"/>
    </row>
    <row r="8" spans="1:22" x14ac:dyDescent="0.25">
      <c r="A8" s="178"/>
      <c r="B8" s="215" t="s">
        <v>801</v>
      </c>
      <c r="C8" s="184"/>
      <c r="D8" s="184"/>
      <c r="E8" s="184"/>
      <c r="F8" s="184"/>
      <c r="G8" s="184"/>
      <c r="H8" s="184"/>
      <c r="I8" s="184"/>
      <c r="J8" s="184"/>
      <c r="K8" s="184"/>
      <c r="L8" s="184"/>
      <c r="M8" s="184"/>
      <c r="N8" s="184"/>
      <c r="O8" s="184"/>
      <c r="P8" s="184"/>
      <c r="Q8" s="184"/>
      <c r="R8" s="184"/>
      <c r="S8" s="184"/>
      <c r="T8" s="184"/>
      <c r="U8" s="184"/>
      <c r="V8" s="194"/>
    </row>
    <row r="9" spans="1:22" x14ac:dyDescent="0.25">
      <c r="A9" s="178"/>
      <c r="B9" s="215" t="s">
        <v>800</v>
      </c>
      <c r="C9" s="184"/>
      <c r="D9" s="184"/>
      <c r="E9" s="184"/>
      <c r="F9" s="184"/>
      <c r="G9" s="184"/>
      <c r="H9" s="184"/>
      <c r="I9" s="184"/>
      <c r="J9" s="184"/>
      <c r="K9" s="184"/>
      <c r="L9" s="184"/>
      <c r="M9" s="184"/>
      <c r="N9" s="184"/>
      <c r="O9" s="184"/>
      <c r="P9" s="184"/>
      <c r="Q9" s="184"/>
      <c r="R9" s="184"/>
      <c r="S9" s="184"/>
      <c r="T9" s="184"/>
      <c r="U9" s="184"/>
      <c r="V9" s="194"/>
    </row>
    <row r="10" spans="1:22" x14ac:dyDescent="0.25">
      <c r="A10" s="178"/>
      <c r="B10" s="215" t="s">
        <v>799</v>
      </c>
      <c r="C10" s="184"/>
      <c r="D10" s="184"/>
      <c r="E10" s="184"/>
      <c r="F10" s="184"/>
      <c r="G10" s="184"/>
      <c r="H10" s="184"/>
      <c r="I10" s="184"/>
      <c r="J10" s="184"/>
      <c r="K10" s="184"/>
      <c r="L10" s="184"/>
      <c r="M10" s="184"/>
      <c r="N10" s="184"/>
      <c r="O10" s="184"/>
      <c r="P10" s="184"/>
      <c r="Q10" s="184"/>
      <c r="R10" s="184"/>
      <c r="S10" s="184"/>
      <c r="T10" s="184"/>
      <c r="U10" s="184"/>
      <c r="V10" s="194"/>
    </row>
    <row r="11" spans="1:22" x14ac:dyDescent="0.25">
      <c r="A11" s="178"/>
      <c r="B11" s="215" t="s">
        <v>798</v>
      </c>
      <c r="C11" s="184"/>
      <c r="D11" s="184"/>
      <c r="E11" s="184"/>
      <c r="F11" s="184"/>
      <c r="G11" s="184"/>
      <c r="H11" s="184"/>
      <c r="I11" s="184"/>
      <c r="J11" s="184"/>
      <c r="K11" s="184"/>
      <c r="L11" s="184"/>
      <c r="M11" s="184"/>
      <c r="N11" s="184"/>
      <c r="O11" s="184"/>
      <c r="P11" s="184"/>
      <c r="Q11" s="184"/>
      <c r="R11" s="184"/>
      <c r="S11" s="184"/>
      <c r="T11" s="184"/>
      <c r="U11" s="184"/>
      <c r="V11" s="194"/>
    </row>
    <row r="12" spans="1:22" x14ac:dyDescent="0.25">
      <c r="A12" s="178"/>
      <c r="B12" s="215" t="s">
        <v>744</v>
      </c>
      <c r="C12" s="184"/>
      <c r="D12" s="184"/>
      <c r="E12" s="184"/>
      <c r="F12" s="184"/>
      <c r="G12" s="184"/>
      <c r="H12" s="184"/>
      <c r="I12" s="184"/>
      <c r="J12" s="184"/>
      <c r="K12" s="184"/>
      <c r="L12" s="184"/>
      <c r="M12" s="184"/>
      <c r="N12" s="184"/>
      <c r="O12" s="184"/>
      <c r="P12" s="184"/>
      <c r="Q12" s="184"/>
      <c r="R12" s="184"/>
      <c r="S12" s="184"/>
      <c r="T12" s="184"/>
      <c r="U12" s="184"/>
      <c r="V12" s="194"/>
    </row>
    <row r="13" spans="1:22" x14ac:dyDescent="0.25">
      <c r="A13" s="178"/>
      <c r="B13" s="214" t="s">
        <v>743</v>
      </c>
      <c r="C13" s="213"/>
      <c r="D13" s="213"/>
      <c r="E13" s="213"/>
      <c r="F13" s="213"/>
      <c r="G13" s="213"/>
      <c r="H13" s="213"/>
      <c r="I13" s="213"/>
      <c r="J13" s="213"/>
      <c r="K13" s="213"/>
      <c r="L13" s="213"/>
      <c r="M13" s="213"/>
      <c r="N13" s="213"/>
      <c r="O13" s="213"/>
      <c r="P13" s="213"/>
      <c r="Q13" s="213"/>
      <c r="R13" s="213"/>
      <c r="S13" s="213"/>
      <c r="T13" s="213"/>
      <c r="U13" s="213"/>
      <c r="V13" s="212"/>
    </row>
    <row r="14" spans="1:22" x14ac:dyDescent="0.25">
      <c r="A14" s="178"/>
      <c r="B14" s="178"/>
      <c r="C14" s="178"/>
      <c r="D14" s="178"/>
      <c r="E14" s="178"/>
      <c r="F14" s="178"/>
      <c r="G14" s="178"/>
      <c r="H14" s="178"/>
      <c r="I14" s="178"/>
      <c r="J14" s="178"/>
      <c r="K14" s="178"/>
      <c r="L14" s="178"/>
      <c r="M14" s="178"/>
      <c r="N14" s="178"/>
      <c r="O14" s="178"/>
      <c r="P14" s="178"/>
      <c r="Q14" s="178"/>
      <c r="R14" s="178"/>
      <c r="S14" s="178"/>
      <c r="T14" s="178"/>
      <c r="U14" s="178"/>
      <c r="V14" s="178"/>
    </row>
    <row r="15" spans="1:22" x14ac:dyDescent="0.25">
      <c r="A15" s="178"/>
      <c r="B15" s="202" t="s">
        <v>797</v>
      </c>
      <c r="C15" s="201"/>
      <c r="D15" s="201"/>
      <c r="E15" s="201"/>
      <c r="F15" s="201"/>
      <c r="G15" s="201"/>
      <c r="H15" s="201"/>
      <c r="I15" s="201"/>
      <c r="J15" s="201"/>
      <c r="K15" s="201"/>
      <c r="L15" s="201"/>
      <c r="M15" s="201"/>
      <c r="N15" s="201"/>
      <c r="O15" s="201"/>
      <c r="P15" s="201"/>
      <c r="Q15" s="201"/>
      <c r="R15" s="201"/>
      <c r="S15" s="201"/>
      <c r="T15" s="201"/>
      <c r="U15" s="201"/>
      <c r="V15" s="200"/>
    </row>
    <row r="16" spans="1:22" x14ac:dyDescent="0.25">
      <c r="A16" s="178"/>
      <c r="B16" s="215"/>
      <c r="C16" s="246" t="s">
        <v>796</v>
      </c>
      <c r="D16" s="184"/>
      <c r="E16" s="245">
        <v>3000</v>
      </c>
      <c r="F16" s="184"/>
      <c r="G16" s="184"/>
      <c r="H16" s="184"/>
      <c r="I16" s="184"/>
      <c r="J16" s="184"/>
      <c r="K16" s="184"/>
      <c r="L16" s="184"/>
      <c r="M16" s="184"/>
      <c r="N16" s="184"/>
      <c r="O16" s="184"/>
      <c r="P16" s="184"/>
      <c r="Q16" s="184"/>
      <c r="R16" s="184"/>
      <c r="S16" s="184"/>
      <c r="T16" s="184"/>
      <c r="U16" s="184"/>
      <c r="V16" s="194"/>
    </row>
    <row r="17" spans="1:22" x14ac:dyDescent="0.25">
      <c r="A17" s="178"/>
      <c r="B17" s="215"/>
      <c r="C17" s="246" t="s">
        <v>795</v>
      </c>
      <c r="D17" s="184"/>
      <c r="E17" s="245">
        <v>1500</v>
      </c>
      <c r="F17" s="184"/>
      <c r="G17" s="184"/>
      <c r="H17" s="184"/>
      <c r="I17" s="184"/>
      <c r="J17" s="184"/>
      <c r="K17" s="184"/>
      <c r="L17" s="184"/>
      <c r="M17" s="184"/>
      <c r="N17" s="184"/>
      <c r="O17" s="184"/>
      <c r="P17" s="184"/>
      <c r="Q17" s="184"/>
      <c r="R17" s="184"/>
      <c r="S17" s="184"/>
      <c r="T17" s="184"/>
      <c r="U17" s="184"/>
      <c r="V17" s="194"/>
    </row>
    <row r="18" spans="1:22" x14ac:dyDescent="0.25">
      <c r="A18" s="178"/>
      <c r="B18" s="197"/>
      <c r="C18" s="184"/>
      <c r="D18" s="184"/>
      <c r="E18" s="184"/>
      <c r="F18" s="184"/>
      <c r="G18" s="184"/>
      <c r="H18" s="184"/>
      <c r="I18" s="184"/>
      <c r="J18" s="184"/>
      <c r="K18" s="184"/>
      <c r="L18" s="184"/>
      <c r="M18" s="184"/>
      <c r="N18" s="184"/>
      <c r="O18" s="184"/>
      <c r="P18" s="184"/>
      <c r="Q18" s="184"/>
      <c r="R18" s="184"/>
      <c r="S18" s="184"/>
      <c r="T18" s="184"/>
      <c r="U18" s="184"/>
      <c r="V18" s="194"/>
    </row>
    <row r="19" spans="1:22" x14ac:dyDescent="0.25">
      <c r="A19" s="178"/>
      <c r="B19" s="197"/>
      <c r="C19" s="184"/>
      <c r="D19" s="184"/>
      <c r="E19" s="184"/>
      <c r="F19" s="184"/>
      <c r="G19" s="184"/>
      <c r="H19" s="184"/>
      <c r="I19" s="184"/>
      <c r="J19" s="184"/>
      <c r="K19" s="184"/>
      <c r="L19" s="184"/>
      <c r="M19" s="184"/>
      <c r="N19" s="184"/>
      <c r="O19" s="184"/>
      <c r="P19" s="184"/>
      <c r="Q19" s="184"/>
      <c r="R19" s="184"/>
      <c r="S19" s="184"/>
      <c r="T19" s="184"/>
      <c r="U19" s="184"/>
      <c r="V19" s="194"/>
    </row>
    <row r="20" spans="1:22" x14ac:dyDescent="0.25">
      <c r="A20" s="178"/>
      <c r="B20" s="215"/>
      <c r="C20" s="227"/>
      <c r="D20" s="227" t="s">
        <v>794</v>
      </c>
      <c r="E20" s="227" t="s">
        <v>793</v>
      </c>
      <c r="F20" s="227" t="s">
        <v>792</v>
      </c>
      <c r="G20" s="227" t="s">
        <v>761</v>
      </c>
      <c r="H20" s="227" t="s">
        <v>760</v>
      </c>
      <c r="I20" s="227" t="s">
        <v>791</v>
      </c>
      <c r="J20" s="227" t="s">
        <v>758</v>
      </c>
      <c r="K20" s="227" t="s">
        <v>757</v>
      </c>
      <c r="L20" s="227" t="s">
        <v>756</v>
      </c>
      <c r="M20" s="227" t="s">
        <v>790</v>
      </c>
      <c r="N20" s="184"/>
      <c r="O20" s="184"/>
      <c r="P20" s="184"/>
      <c r="Q20" s="184"/>
      <c r="R20" s="184"/>
      <c r="S20" s="184"/>
      <c r="T20" s="184"/>
      <c r="U20" s="184"/>
      <c r="V20" s="194"/>
    </row>
    <row r="21" spans="1:22" x14ac:dyDescent="0.25">
      <c r="A21" s="178"/>
      <c r="B21" s="215"/>
      <c r="C21" s="244" t="s">
        <v>789</v>
      </c>
      <c r="D21" s="243">
        <f>$E$16</f>
        <v>3000</v>
      </c>
      <c r="E21" s="227"/>
      <c r="F21" s="243"/>
      <c r="G21" s="243">
        <f>$E$16</f>
        <v>3000</v>
      </c>
      <c r="H21" s="227"/>
      <c r="I21" s="243"/>
      <c r="J21" s="243">
        <f t="shared" ref="J21:K23" si="0">$E$16</f>
        <v>3000</v>
      </c>
      <c r="K21" s="243">
        <f t="shared" si="0"/>
        <v>3000</v>
      </c>
      <c r="L21" s="227"/>
      <c r="M21" s="243"/>
      <c r="N21" s="184"/>
      <c r="O21" s="184"/>
      <c r="P21" s="184"/>
      <c r="Q21" s="184"/>
      <c r="R21" s="184"/>
      <c r="S21" s="184"/>
      <c r="T21" s="184"/>
      <c r="U21" s="184"/>
      <c r="V21" s="194"/>
    </row>
    <row r="22" spans="1:22" x14ac:dyDescent="0.25">
      <c r="A22" s="178"/>
      <c r="B22" s="215"/>
      <c r="C22" s="244" t="s">
        <v>788</v>
      </c>
      <c r="D22" s="243">
        <f>$E$16</f>
        <v>3000</v>
      </c>
      <c r="E22" s="243">
        <f>40%*D21</f>
        <v>1200</v>
      </c>
      <c r="F22" s="243"/>
      <c r="G22" s="243">
        <f>$E$16</f>
        <v>3000</v>
      </c>
      <c r="H22" s="243">
        <f>40%*G21</f>
        <v>1200</v>
      </c>
      <c r="I22" s="243"/>
      <c r="J22" s="243">
        <f t="shared" si="0"/>
        <v>3000</v>
      </c>
      <c r="K22" s="243">
        <f t="shared" si="0"/>
        <v>3000</v>
      </c>
      <c r="L22" s="243">
        <f>40%*K21</f>
        <v>1200</v>
      </c>
      <c r="M22" s="243"/>
      <c r="N22" s="184"/>
      <c r="O22" s="184"/>
      <c r="P22" s="184"/>
      <c r="Q22" s="184"/>
      <c r="R22" s="184"/>
      <c r="S22" s="184"/>
      <c r="T22" s="184"/>
      <c r="U22" s="184"/>
      <c r="V22" s="194"/>
    </row>
    <row r="23" spans="1:22" x14ac:dyDescent="0.25">
      <c r="A23" s="178"/>
      <c r="B23" s="215"/>
      <c r="C23" s="244" t="s">
        <v>787</v>
      </c>
      <c r="D23" s="243">
        <f>$E$16</f>
        <v>3000</v>
      </c>
      <c r="E23" s="243">
        <f>50%*D22</f>
        <v>1500</v>
      </c>
      <c r="F23" s="243">
        <f>20%*D23</f>
        <v>600</v>
      </c>
      <c r="G23" s="243">
        <f>$E$16</f>
        <v>3000</v>
      </c>
      <c r="H23" s="243">
        <f>50%*G22</f>
        <v>1500</v>
      </c>
      <c r="I23" s="243">
        <f>20%*G23</f>
        <v>600</v>
      </c>
      <c r="J23" s="243">
        <f t="shared" si="0"/>
        <v>3000</v>
      </c>
      <c r="K23" s="243">
        <f t="shared" si="0"/>
        <v>3000</v>
      </c>
      <c r="L23" s="243">
        <f>50%*K22</f>
        <v>1500</v>
      </c>
      <c r="M23" s="243">
        <f>20%*K23</f>
        <v>600</v>
      </c>
      <c r="N23" s="184"/>
      <c r="O23" s="184"/>
      <c r="P23" s="184"/>
      <c r="Q23" s="184"/>
      <c r="R23" s="184"/>
      <c r="S23" s="184"/>
      <c r="T23" s="184"/>
      <c r="U23" s="184"/>
      <c r="V23" s="194"/>
    </row>
    <row r="24" spans="1:22" x14ac:dyDescent="0.25">
      <c r="A24" s="178"/>
      <c r="B24" s="214"/>
      <c r="C24" s="213"/>
      <c r="D24" s="213"/>
      <c r="E24" s="213"/>
      <c r="F24" s="213"/>
      <c r="G24" s="213"/>
      <c r="H24" s="213"/>
      <c r="I24" s="213"/>
      <c r="J24" s="213"/>
      <c r="K24" s="213"/>
      <c r="L24" s="213"/>
      <c r="M24" s="213"/>
      <c r="N24" s="213"/>
      <c r="O24" s="213"/>
      <c r="P24" s="213"/>
      <c r="Q24" s="213"/>
      <c r="R24" s="213"/>
      <c r="S24" s="213"/>
      <c r="T24" s="213"/>
      <c r="U24" s="213"/>
      <c r="V24" s="212"/>
    </row>
    <row r="25" spans="1:22" x14ac:dyDescent="0.25">
      <c r="A25" s="178"/>
      <c r="B25" s="179" t="s">
        <v>786</v>
      </c>
      <c r="C25" s="178"/>
      <c r="D25" s="178"/>
      <c r="E25" s="178"/>
      <c r="F25" s="178"/>
      <c r="G25" s="178"/>
      <c r="H25" s="178"/>
      <c r="I25" s="178"/>
      <c r="J25" s="178"/>
      <c r="K25" s="178"/>
      <c r="L25" s="178"/>
      <c r="M25" s="178"/>
      <c r="N25" s="178"/>
      <c r="O25" s="178"/>
      <c r="P25" s="178"/>
      <c r="Q25" s="178"/>
      <c r="R25" s="178"/>
      <c r="S25" s="178"/>
      <c r="T25" s="178"/>
      <c r="U25" s="178"/>
      <c r="V25" s="178"/>
    </row>
    <row r="26" spans="1:22" x14ac:dyDescent="0.25">
      <c r="A26" s="178"/>
      <c r="B26" s="179"/>
      <c r="C26" s="178"/>
      <c r="D26" s="178"/>
      <c r="E26" s="178"/>
      <c r="F26" s="178"/>
      <c r="G26" s="178"/>
      <c r="H26" s="178"/>
      <c r="I26" s="178"/>
      <c r="J26" s="178"/>
      <c r="K26" s="178"/>
      <c r="L26" s="178"/>
      <c r="M26" s="178"/>
      <c r="N26" s="178"/>
      <c r="O26" s="178"/>
      <c r="P26" s="178"/>
      <c r="Q26" s="178"/>
      <c r="R26" s="178"/>
      <c r="S26" s="178"/>
      <c r="T26" s="178"/>
      <c r="U26" s="178"/>
      <c r="V26" s="178"/>
    </row>
    <row r="27" spans="1:22" x14ac:dyDescent="0.25">
      <c r="A27" s="178"/>
      <c r="B27" s="179" t="s">
        <v>785</v>
      </c>
      <c r="C27" s="178">
        <v>38.200000000000003</v>
      </c>
      <c r="D27" s="178" t="s">
        <v>784</v>
      </c>
      <c r="E27" s="178"/>
      <c r="F27" s="178"/>
      <c r="G27" s="178"/>
      <c r="H27" s="178"/>
      <c r="I27" s="178"/>
      <c r="J27" s="178"/>
      <c r="K27" s="178"/>
      <c r="L27" s="178"/>
      <c r="M27" s="178"/>
      <c r="N27" s="178"/>
      <c r="O27" s="178"/>
      <c r="P27" s="178"/>
      <c r="Q27" s="178"/>
      <c r="R27" s="178"/>
      <c r="S27" s="178"/>
      <c r="T27" s="178"/>
      <c r="U27" s="178"/>
      <c r="V27" s="178"/>
    </row>
    <row r="28" spans="1:22" x14ac:dyDescent="0.25">
      <c r="A28" s="178"/>
      <c r="B28" s="178"/>
      <c r="C28" s="178"/>
      <c r="D28" s="178"/>
      <c r="E28" s="178"/>
      <c r="F28" s="178"/>
      <c r="G28" s="178"/>
      <c r="H28" s="178"/>
      <c r="I28" s="178"/>
      <c r="J28" s="178"/>
      <c r="K28" s="178"/>
      <c r="L28" s="178"/>
      <c r="M28" s="178"/>
      <c r="N28" s="178"/>
      <c r="O28" s="178"/>
      <c r="P28" s="178"/>
      <c r="Q28" s="178"/>
      <c r="R28" s="178"/>
      <c r="S28" s="178"/>
      <c r="T28" s="178"/>
      <c r="U28" s="178"/>
      <c r="V28" s="178"/>
    </row>
    <row r="29" spans="1:22" x14ac:dyDescent="0.25">
      <c r="A29" s="178"/>
      <c r="B29" s="178"/>
      <c r="C29" s="178" t="s">
        <v>723</v>
      </c>
      <c r="D29" s="178" t="s">
        <v>772</v>
      </c>
      <c r="E29" s="242" t="s">
        <v>722</v>
      </c>
      <c r="F29" s="178">
        <v>3</v>
      </c>
      <c r="G29" s="178" t="s">
        <v>773</v>
      </c>
      <c r="H29" s="236" t="s">
        <v>720</v>
      </c>
      <c r="I29" s="178">
        <f>C27</f>
        <v>38.200000000000003</v>
      </c>
      <c r="J29" s="178" t="s">
        <v>784</v>
      </c>
      <c r="K29" s="236" t="s">
        <v>720</v>
      </c>
      <c r="L29" s="238">
        <v>0.9</v>
      </c>
      <c r="M29" s="178" t="s">
        <v>783</v>
      </c>
      <c r="N29" s="178"/>
      <c r="O29" s="178"/>
      <c r="P29" s="178" t="s">
        <v>465</v>
      </c>
      <c r="Q29" s="178">
        <v>0.746</v>
      </c>
      <c r="R29" s="178" t="s">
        <v>782</v>
      </c>
      <c r="S29" s="178"/>
      <c r="T29" s="178"/>
      <c r="U29" s="178"/>
      <c r="V29" s="178"/>
    </row>
    <row r="30" spans="1:22" x14ac:dyDescent="0.25">
      <c r="A30" s="178"/>
      <c r="B30" s="179"/>
      <c r="C30" s="241">
        <f>3/38.2/90%*0.746</f>
        <v>6.5095986038394421E-2</v>
      </c>
      <c r="D30" s="178" t="s">
        <v>772</v>
      </c>
      <c r="E30" s="178"/>
      <c r="F30" s="178"/>
      <c r="G30" s="178"/>
      <c r="H30" s="178"/>
      <c r="I30" s="178"/>
      <c r="J30" s="178"/>
      <c r="K30" s="178"/>
      <c r="L30" s="178"/>
      <c r="M30" s="178"/>
      <c r="N30" s="178"/>
      <c r="O30" s="178"/>
      <c r="P30" s="178"/>
      <c r="Q30" s="178"/>
      <c r="R30" s="178"/>
      <c r="S30" s="178"/>
      <c r="T30" s="178"/>
      <c r="U30" s="178"/>
      <c r="V30" s="178"/>
    </row>
    <row r="31" spans="1:22" x14ac:dyDescent="0.25">
      <c r="A31" s="178"/>
      <c r="B31" s="179"/>
      <c r="C31" s="178"/>
      <c r="D31" s="178"/>
      <c r="E31" s="178"/>
      <c r="F31" s="178"/>
      <c r="G31" s="178"/>
      <c r="H31" s="178"/>
      <c r="I31" s="178"/>
      <c r="J31" s="178"/>
      <c r="K31" s="178"/>
      <c r="L31" s="178"/>
      <c r="M31" s="178"/>
      <c r="N31" s="178"/>
      <c r="O31" s="178"/>
      <c r="P31" s="178"/>
      <c r="Q31" s="178"/>
      <c r="R31" s="178"/>
      <c r="S31" s="178"/>
      <c r="T31" s="178"/>
      <c r="U31" s="178"/>
      <c r="V31" s="178"/>
    </row>
    <row r="32" spans="1:22" x14ac:dyDescent="0.25">
      <c r="A32" s="178"/>
      <c r="B32" s="179"/>
      <c r="C32" s="178" t="s">
        <v>723</v>
      </c>
      <c r="D32" s="178" t="s">
        <v>778</v>
      </c>
      <c r="E32" s="178" t="s">
        <v>722</v>
      </c>
      <c r="F32" s="239">
        <f>C30</f>
        <v>6.5095986038394421E-2</v>
      </c>
      <c r="G32" s="178" t="s">
        <v>772</v>
      </c>
      <c r="H32" s="236" t="s">
        <v>465</v>
      </c>
      <c r="I32" s="238">
        <v>0.38</v>
      </c>
      <c r="J32" s="178" t="s">
        <v>781</v>
      </c>
      <c r="K32" s="178"/>
      <c r="L32" s="178" t="s">
        <v>465</v>
      </c>
      <c r="M32" s="240">
        <f>$E$16</f>
        <v>3000</v>
      </c>
      <c r="N32" s="178" t="s">
        <v>780</v>
      </c>
      <c r="O32" s="178"/>
      <c r="P32" s="236" t="s">
        <v>720</v>
      </c>
      <c r="Q32" s="240">
        <f>$E$17</f>
        <v>1500</v>
      </c>
      <c r="R32" s="178" t="s">
        <v>779</v>
      </c>
      <c r="S32" s="178"/>
      <c r="T32" s="178"/>
      <c r="U32" s="178"/>
      <c r="V32" s="178"/>
    </row>
    <row r="33" spans="1:22" x14ac:dyDescent="0.25">
      <c r="A33" s="178"/>
      <c r="B33" s="179"/>
      <c r="C33" s="235">
        <f>F32*I32*M32/Q32</f>
        <v>4.9472949389179753E-2</v>
      </c>
      <c r="D33" s="195" t="s">
        <v>778</v>
      </c>
      <c r="E33" s="178"/>
      <c r="F33" s="239"/>
      <c r="G33" s="178"/>
      <c r="H33" s="236"/>
      <c r="I33" s="238"/>
      <c r="J33" s="178"/>
      <c r="K33" s="178"/>
      <c r="L33" s="178"/>
      <c r="M33" s="178"/>
      <c r="N33" s="178"/>
      <c r="O33" s="178"/>
      <c r="P33" s="236"/>
      <c r="Q33" s="178"/>
      <c r="R33" s="178"/>
      <c r="S33" s="178"/>
      <c r="T33" s="178"/>
      <c r="U33" s="178"/>
      <c r="V33" s="178"/>
    </row>
    <row r="34" spans="1:22" x14ac:dyDescent="0.25">
      <c r="A34" s="178"/>
      <c r="B34" s="179"/>
      <c r="C34" s="178"/>
      <c r="D34" s="178"/>
      <c r="E34" s="178"/>
      <c r="F34" s="178"/>
      <c r="G34" s="178"/>
      <c r="H34" s="178"/>
      <c r="I34" s="178"/>
      <c r="J34" s="178"/>
      <c r="K34" s="178"/>
      <c r="L34" s="178"/>
      <c r="M34" s="178"/>
      <c r="N34" s="178"/>
      <c r="O34" s="178"/>
      <c r="P34" s="178"/>
      <c r="Q34" s="178"/>
      <c r="R34" s="178"/>
      <c r="S34" s="178"/>
      <c r="T34" s="178"/>
      <c r="U34" s="178"/>
      <c r="V34" s="178"/>
    </row>
    <row r="35" spans="1:22" x14ac:dyDescent="0.25">
      <c r="A35" s="178"/>
      <c r="B35" s="179"/>
      <c r="C35" s="178"/>
      <c r="D35" s="178"/>
      <c r="E35" s="178"/>
      <c r="F35" s="178"/>
      <c r="G35" s="178"/>
      <c r="H35" s="178"/>
      <c r="I35" s="178"/>
      <c r="J35" s="178"/>
      <c r="K35" s="178"/>
      <c r="L35" s="178"/>
      <c r="M35" s="178"/>
      <c r="N35" s="178"/>
      <c r="O35" s="178"/>
      <c r="P35" s="178"/>
      <c r="Q35" s="178"/>
      <c r="R35" s="178"/>
      <c r="S35" s="178"/>
      <c r="T35" s="178"/>
      <c r="U35" s="178"/>
      <c r="V35" s="178"/>
    </row>
    <row r="36" spans="1:22" x14ac:dyDescent="0.25">
      <c r="A36" s="178"/>
      <c r="B36" s="179" t="s">
        <v>777</v>
      </c>
      <c r="C36" s="178"/>
      <c r="D36" s="178"/>
      <c r="E36" s="178"/>
      <c r="F36" s="178"/>
      <c r="G36" s="178"/>
      <c r="H36" s="178"/>
      <c r="I36" s="178"/>
      <c r="J36" s="178"/>
      <c r="K36" s="178"/>
      <c r="L36" s="178"/>
      <c r="M36" s="178"/>
      <c r="N36" s="178"/>
      <c r="O36" s="178"/>
      <c r="P36" s="178"/>
      <c r="Q36" s="178"/>
      <c r="R36" s="178"/>
      <c r="S36" s="178"/>
      <c r="T36" s="178"/>
      <c r="U36" s="178"/>
      <c r="V36" s="178"/>
    </row>
    <row r="37" spans="1:22" x14ac:dyDescent="0.25">
      <c r="A37" s="178"/>
      <c r="B37" s="179"/>
      <c r="C37" s="178">
        <v>19</v>
      </c>
      <c r="D37" s="178" t="s">
        <v>257</v>
      </c>
      <c r="E37" s="178"/>
      <c r="F37" s="178"/>
      <c r="G37" s="178"/>
      <c r="H37" s="178"/>
      <c r="I37" s="178"/>
      <c r="J37" s="178"/>
      <c r="K37" s="178"/>
      <c r="L37" s="178"/>
      <c r="M37" s="178"/>
      <c r="N37" s="178"/>
      <c r="O37" s="178"/>
      <c r="P37" s="178"/>
      <c r="Q37" s="178"/>
      <c r="R37" s="178"/>
      <c r="S37" s="178"/>
      <c r="T37" s="178"/>
      <c r="U37" s="178"/>
      <c r="V37" s="178"/>
    </row>
    <row r="38" spans="1:22" x14ac:dyDescent="0.25">
      <c r="A38" s="178"/>
      <c r="B38" s="179"/>
      <c r="C38" s="178"/>
      <c r="D38" s="178"/>
      <c r="E38" s="178"/>
      <c r="F38" s="178"/>
      <c r="G38" s="178"/>
      <c r="H38" s="178"/>
      <c r="I38" s="178"/>
      <c r="J38" s="178"/>
      <c r="K38" s="178"/>
      <c r="L38" s="178"/>
      <c r="M38" s="178"/>
      <c r="N38" s="178"/>
      <c r="O38" s="178"/>
      <c r="P38" s="178"/>
      <c r="Q38" s="178"/>
      <c r="R38" s="178"/>
      <c r="S38" s="178"/>
      <c r="T38" s="178"/>
      <c r="U38" s="178"/>
      <c r="V38" s="178"/>
    </row>
    <row r="39" spans="1:22" x14ac:dyDescent="0.25">
      <c r="A39" s="178"/>
      <c r="B39" s="179"/>
      <c r="C39" s="178" t="s">
        <v>723</v>
      </c>
      <c r="D39" s="178" t="s">
        <v>772</v>
      </c>
      <c r="E39" s="178" t="s">
        <v>774</v>
      </c>
      <c r="F39" s="178">
        <f>C37</f>
        <v>19</v>
      </c>
      <c r="G39" s="178" t="s">
        <v>257</v>
      </c>
      <c r="H39" s="178" t="s">
        <v>465</v>
      </c>
      <c r="I39" s="178">
        <v>3</v>
      </c>
      <c r="J39" s="178" t="s">
        <v>773</v>
      </c>
      <c r="K39" s="236" t="s">
        <v>720</v>
      </c>
      <c r="L39" s="178" t="s">
        <v>719</v>
      </c>
      <c r="M39" s="178"/>
      <c r="N39" s="178"/>
      <c r="O39" s="178"/>
      <c r="P39" s="178"/>
      <c r="Q39" s="178"/>
      <c r="R39" s="178"/>
      <c r="S39" s="178"/>
      <c r="T39" s="178"/>
      <c r="U39" s="178"/>
      <c r="V39" s="178"/>
    </row>
    <row r="40" spans="1:22" x14ac:dyDescent="0.25">
      <c r="A40" s="178"/>
      <c r="B40" s="179"/>
      <c r="C40" s="237">
        <f>F39*I39/1000</f>
        <v>5.7000000000000002E-2</v>
      </c>
      <c r="D40" s="195" t="s">
        <v>772</v>
      </c>
      <c r="E40" s="178"/>
      <c r="F40" s="178"/>
      <c r="G40" s="178"/>
      <c r="H40" s="178"/>
      <c r="I40" s="178"/>
      <c r="J40" s="178"/>
      <c r="K40" s="178"/>
      <c r="L40" s="178"/>
      <c r="M40" s="178"/>
      <c r="N40" s="178"/>
      <c r="O40" s="178"/>
      <c r="P40" s="178"/>
      <c r="Q40" s="178"/>
      <c r="R40" s="178"/>
      <c r="S40" s="178"/>
      <c r="T40" s="178"/>
      <c r="U40" s="178"/>
      <c r="V40" s="178"/>
    </row>
    <row r="41" spans="1:22" x14ac:dyDescent="0.25">
      <c r="A41" s="178"/>
      <c r="B41" s="179"/>
      <c r="C41" s="178"/>
      <c r="D41" s="178"/>
      <c r="E41" s="178"/>
      <c r="F41" s="178"/>
      <c r="G41" s="178"/>
      <c r="H41" s="178"/>
      <c r="I41" s="178"/>
      <c r="J41" s="178"/>
      <c r="K41" s="178"/>
      <c r="L41" s="178"/>
      <c r="M41" s="178"/>
      <c r="N41" s="178"/>
      <c r="O41" s="178"/>
      <c r="P41" s="178"/>
      <c r="Q41" s="178"/>
      <c r="R41" s="178"/>
      <c r="S41" s="178"/>
      <c r="T41" s="178"/>
      <c r="U41" s="178"/>
      <c r="V41" s="178"/>
    </row>
    <row r="42" spans="1:22" x14ac:dyDescent="0.25">
      <c r="A42" s="178"/>
      <c r="B42" s="179" t="s">
        <v>776</v>
      </c>
      <c r="C42" s="178"/>
      <c r="D42" s="178"/>
      <c r="E42" s="178"/>
      <c r="F42" s="178"/>
      <c r="G42" s="178"/>
      <c r="H42" s="178"/>
      <c r="I42" s="178"/>
      <c r="J42" s="178"/>
      <c r="K42" s="178"/>
      <c r="L42" s="178"/>
      <c r="M42" s="178"/>
      <c r="N42" s="178"/>
      <c r="O42" s="178"/>
      <c r="P42" s="178"/>
      <c r="Q42" s="178"/>
      <c r="R42" s="178"/>
      <c r="S42" s="178"/>
      <c r="T42" s="178"/>
      <c r="U42" s="178"/>
      <c r="V42" s="178"/>
    </row>
    <row r="43" spans="1:22" x14ac:dyDescent="0.25">
      <c r="A43" s="178"/>
      <c r="B43" s="179"/>
      <c r="C43" s="178">
        <v>11</v>
      </c>
      <c r="D43" s="178" t="s">
        <v>257</v>
      </c>
      <c r="E43" s="178"/>
      <c r="F43" s="178"/>
      <c r="G43" s="178"/>
      <c r="H43" s="178"/>
      <c r="I43" s="178"/>
      <c r="J43" s="178"/>
      <c r="K43" s="178"/>
      <c r="L43" s="178"/>
      <c r="M43" s="178"/>
      <c r="N43" s="178"/>
      <c r="O43" s="178"/>
      <c r="P43" s="178"/>
      <c r="Q43" s="178"/>
      <c r="R43" s="178"/>
      <c r="S43" s="178"/>
      <c r="T43" s="178"/>
      <c r="U43" s="178"/>
      <c r="V43" s="178"/>
    </row>
    <row r="44" spans="1:22" x14ac:dyDescent="0.25">
      <c r="A44" s="178"/>
      <c r="B44" s="179"/>
      <c r="C44" s="178"/>
      <c r="D44" s="178"/>
      <c r="E44" s="178"/>
      <c r="F44" s="178"/>
      <c r="G44" s="178"/>
      <c r="H44" s="178"/>
      <c r="I44" s="178"/>
      <c r="J44" s="178"/>
      <c r="K44" s="178"/>
      <c r="L44" s="178"/>
      <c r="M44" s="178"/>
      <c r="N44" s="178"/>
      <c r="O44" s="178"/>
      <c r="P44" s="178"/>
      <c r="Q44" s="178"/>
      <c r="R44" s="178"/>
      <c r="S44" s="178"/>
      <c r="T44" s="178"/>
      <c r="U44" s="178"/>
      <c r="V44" s="178"/>
    </row>
    <row r="45" spans="1:22" x14ac:dyDescent="0.25">
      <c r="A45" s="178"/>
      <c r="B45" s="179"/>
      <c r="C45" s="178" t="s">
        <v>723</v>
      </c>
      <c r="D45" s="178" t="s">
        <v>772</v>
      </c>
      <c r="E45" s="178" t="s">
        <v>774</v>
      </c>
      <c r="F45" s="178">
        <f>C43</f>
        <v>11</v>
      </c>
      <c r="G45" s="178" t="s">
        <v>257</v>
      </c>
      <c r="H45" s="178" t="s">
        <v>465</v>
      </c>
      <c r="I45" s="178">
        <v>2</v>
      </c>
      <c r="J45" s="178" t="s">
        <v>773</v>
      </c>
      <c r="K45" s="236" t="s">
        <v>720</v>
      </c>
      <c r="L45" s="178" t="s">
        <v>719</v>
      </c>
      <c r="M45" s="178"/>
      <c r="N45" s="178"/>
      <c r="O45" s="178"/>
      <c r="P45" s="178"/>
      <c r="Q45" s="178"/>
      <c r="R45" s="178"/>
      <c r="S45" s="178"/>
      <c r="T45" s="178"/>
      <c r="U45" s="178"/>
      <c r="V45" s="178"/>
    </row>
    <row r="46" spans="1:22" x14ac:dyDescent="0.25">
      <c r="A46" s="178"/>
      <c r="B46" s="179"/>
      <c r="C46" s="235">
        <f>F45*I45/1000</f>
        <v>2.1999999999999999E-2</v>
      </c>
      <c r="D46" s="195" t="s">
        <v>772</v>
      </c>
      <c r="E46" s="178"/>
      <c r="F46" s="178"/>
      <c r="G46" s="178"/>
      <c r="H46" s="178"/>
      <c r="I46" s="178"/>
      <c r="J46" s="178"/>
      <c r="K46" s="178"/>
      <c r="L46" s="178"/>
      <c r="M46" s="178"/>
      <c r="N46" s="178"/>
      <c r="O46" s="178"/>
      <c r="P46" s="178"/>
      <c r="Q46" s="178"/>
      <c r="R46" s="178"/>
      <c r="S46" s="178"/>
      <c r="T46" s="178"/>
      <c r="U46" s="178"/>
      <c r="V46" s="178"/>
    </row>
    <row r="47" spans="1:22" x14ac:dyDescent="0.25">
      <c r="A47" s="178"/>
      <c r="B47" s="179"/>
      <c r="C47" s="178"/>
      <c r="D47" s="178"/>
      <c r="E47" s="178"/>
      <c r="F47" s="178"/>
      <c r="G47" s="178"/>
      <c r="H47" s="178"/>
      <c r="I47" s="178"/>
      <c r="J47" s="178"/>
      <c r="K47" s="178"/>
      <c r="L47" s="178"/>
      <c r="M47" s="178"/>
      <c r="N47" s="178"/>
      <c r="O47" s="178"/>
      <c r="P47" s="178"/>
      <c r="Q47" s="178"/>
      <c r="R47" s="178"/>
      <c r="S47" s="178"/>
      <c r="T47" s="178"/>
      <c r="U47" s="178"/>
      <c r="V47" s="178"/>
    </row>
    <row r="48" spans="1:22" x14ac:dyDescent="0.25">
      <c r="A48" s="178"/>
      <c r="B48" s="179" t="s">
        <v>775</v>
      </c>
      <c r="C48" s="178"/>
      <c r="D48" s="178"/>
      <c r="E48" s="178"/>
      <c r="F48" s="178"/>
      <c r="G48" s="178"/>
      <c r="H48" s="178"/>
      <c r="I48" s="178"/>
      <c r="J48" s="178"/>
      <c r="K48" s="178"/>
      <c r="L48" s="178"/>
      <c r="M48" s="178"/>
      <c r="N48" s="178"/>
      <c r="O48" s="178"/>
      <c r="P48" s="178"/>
      <c r="Q48" s="178"/>
      <c r="R48" s="178"/>
      <c r="S48" s="178"/>
      <c r="T48" s="178"/>
      <c r="U48" s="178"/>
      <c r="V48" s="178"/>
    </row>
    <row r="49" spans="1:22" x14ac:dyDescent="0.25">
      <c r="A49" s="178"/>
      <c r="B49" s="179"/>
      <c r="C49" s="178">
        <v>11</v>
      </c>
      <c r="D49" s="178" t="s">
        <v>257</v>
      </c>
      <c r="E49" s="178"/>
      <c r="F49" s="178"/>
      <c r="G49" s="178"/>
      <c r="H49" s="178"/>
      <c r="I49" s="178"/>
      <c r="J49" s="178"/>
      <c r="K49" s="178"/>
      <c r="L49" s="178"/>
      <c r="M49" s="178"/>
      <c r="N49" s="178"/>
      <c r="O49" s="178"/>
      <c r="P49" s="178"/>
      <c r="Q49" s="178"/>
      <c r="R49" s="178"/>
      <c r="S49" s="178"/>
      <c r="T49" s="178"/>
      <c r="U49" s="178"/>
      <c r="V49" s="178"/>
    </row>
    <row r="50" spans="1:22" x14ac:dyDescent="0.25">
      <c r="A50" s="178"/>
      <c r="B50" s="179"/>
      <c r="C50" s="178"/>
      <c r="D50" s="178"/>
      <c r="E50" s="178"/>
      <c r="F50" s="178"/>
      <c r="G50" s="178"/>
      <c r="H50" s="178"/>
      <c r="I50" s="178"/>
      <c r="J50" s="178"/>
      <c r="K50" s="178"/>
      <c r="L50" s="178"/>
      <c r="M50" s="178"/>
      <c r="N50" s="178"/>
      <c r="O50" s="178"/>
      <c r="P50" s="178"/>
      <c r="Q50" s="178"/>
      <c r="R50" s="178"/>
      <c r="S50" s="178"/>
      <c r="T50" s="178"/>
      <c r="U50" s="178"/>
      <c r="V50" s="178"/>
    </row>
    <row r="51" spans="1:22" x14ac:dyDescent="0.25">
      <c r="A51" s="178"/>
      <c r="B51" s="179"/>
      <c r="C51" s="178" t="s">
        <v>723</v>
      </c>
      <c r="D51" s="178" t="s">
        <v>772</v>
      </c>
      <c r="E51" s="178" t="s">
        <v>774</v>
      </c>
      <c r="F51" s="178">
        <f>C49</f>
        <v>11</v>
      </c>
      <c r="G51" s="178" t="s">
        <v>257</v>
      </c>
      <c r="H51" s="178" t="s">
        <v>465</v>
      </c>
      <c r="I51" s="178">
        <v>2</v>
      </c>
      <c r="J51" s="178" t="s">
        <v>773</v>
      </c>
      <c r="K51" s="236" t="s">
        <v>720</v>
      </c>
      <c r="L51" s="178" t="s">
        <v>719</v>
      </c>
      <c r="M51" s="178"/>
      <c r="N51" s="178"/>
      <c r="O51" s="178"/>
      <c r="P51" s="178"/>
      <c r="Q51" s="178"/>
      <c r="R51" s="178"/>
      <c r="S51" s="178"/>
      <c r="T51" s="178"/>
      <c r="U51" s="178"/>
      <c r="V51" s="178"/>
    </row>
    <row r="52" spans="1:22" x14ac:dyDescent="0.25">
      <c r="A52" s="178"/>
      <c r="B52" s="179"/>
      <c r="C52" s="235">
        <f>F51*I51/1000</f>
        <v>2.1999999999999999E-2</v>
      </c>
      <c r="D52" s="195" t="s">
        <v>772</v>
      </c>
      <c r="E52" s="178"/>
      <c r="F52" s="178"/>
      <c r="G52" s="178"/>
      <c r="H52" s="178"/>
      <c r="I52" s="178"/>
      <c r="J52" s="178"/>
      <c r="K52" s="178"/>
      <c r="L52" s="178"/>
      <c r="M52" s="178"/>
      <c r="N52" s="178"/>
      <c r="O52" s="178"/>
      <c r="P52" s="178"/>
      <c r="Q52" s="178"/>
      <c r="R52" s="178"/>
      <c r="S52" s="178"/>
      <c r="T52" s="178"/>
      <c r="U52" s="178"/>
      <c r="V52" s="178"/>
    </row>
    <row r="53" spans="1:22" x14ac:dyDescent="0.25">
      <c r="A53" s="178"/>
      <c r="B53" s="179"/>
      <c r="C53" s="178"/>
      <c r="D53" s="178"/>
      <c r="E53" s="178"/>
      <c r="F53" s="178"/>
      <c r="G53" s="178"/>
      <c r="H53" s="178"/>
      <c r="I53" s="178"/>
      <c r="J53" s="178"/>
      <c r="K53" s="178"/>
      <c r="L53" s="178"/>
      <c r="M53" s="178"/>
      <c r="N53" s="178"/>
      <c r="O53" s="178"/>
      <c r="P53" s="178"/>
      <c r="Q53" s="178"/>
      <c r="R53" s="178"/>
      <c r="S53" s="178"/>
      <c r="T53" s="178"/>
      <c r="U53" s="178"/>
      <c r="V53" s="178"/>
    </row>
    <row r="54" spans="1:22" x14ac:dyDescent="0.25">
      <c r="A54" s="178"/>
      <c r="B54" s="179" t="s">
        <v>771</v>
      </c>
      <c r="C54" s="178"/>
      <c r="D54" s="178"/>
      <c r="E54" s="178"/>
      <c r="F54" s="178"/>
      <c r="G54" s="178"/>
      <c r="H54" s="178"/>
      <c r="I54" s="178"/>
      <c r="J54" s="178"/>
      <c r="K54" s="178"/>
      <c r="L54" s="178"/>
      <c r="M54" s="178"/>
      <c r="N54" s="178"/>
      <c r="O54" s="178"/>
      <c r="P54" s="178"/>
      <c r="Q54" s="178"/>
      <c r="R54" s="178"/>
      <c r="S54" s="178"/>
      <c r="T54" s="178"/>
      <c r="U54" s="178"/>
      <c r="V54" s="178"/>
    </row>
    <row r="55" spans="1:22" x14ac:dyDescent="0.25">
      <c r="A55" s="178"/>
      <c r="B55" s="179" t="s">
        <v>770</v>
      </c>
      <c r="C55" s="178"/>
      <c r="D55" s="178"/>
      <c r="E55" s="178"/>
      <c r="F55" s="178"/>
      <c r="G55" s="178"/>
      <c r="H55" s="178"/>
      <c r="I55" s="178"/>
      <c r="J55" s="178"/>
      <c r="K55" s="178"/>
      <c r="L55" s="178"/>
      <c r="M55" s="178"/>
      <c r="N55" s="178"/>
      <c r="O55" s="178"/>
      <c r="P55" s="178"/>
      <c r="Q55" s="178"/>
      <c r="R55" s="178"/>
      <c r="S55" s="178"/>
      <c r="T55" s="178"/>
      <c r="U55" s="178"/>
      <c r="V55" s="178"/>
    </row>
    <row r="56" spans="1:22" x14ac:dyDescent="0.25">
      <c r="A56" s="178"/>
      <c r="C56" s="179" t="s">
        <v>715</v>
      </c>
      <c r="D56" s="227">
        <v>1.1499999999999999</v>
      </c>
      <c r="E56" s="178"/>
      <c r="F56" s="178"/>
      <c r="G56" s="178"/>
      <c r="H56" s="178" t="s">
        <v>769</v>
      </c>
      <c r="I56" s="178"/>
      <c r="J56" s="178"/>
      <c r="K56" s="178"/>
      <c r="L56" s="178"/>
      <c r="M56" s="178"/>
      <c r="N56" s="178"/>
      <c r="O56" s="178"/>
      <c r="P56" s="234">
        <f>3413/12000</f>
        <v>0.28441666666666665</v>
      </c>
      <c r="Q56" s="178"/>
      <c r="R56" s="178"/>
      <c r="S56" s="178"/>
      <c r="T56" s="178"/>
      <c r="U56" s="178"/>
      <c r="V56" s="178"/>
    </row>
    <row r="57" spans="1:22" x14ac:dyDescent="0.25">
      <c r="A57" s="178"/>
      <c r="B57" s="179"/>
      <c r="C57" s="178"/>
      <c r="D57" s="178"/>
      <c r="E57" s="178"/>
      <c r="F57" s="178"/>
      <c r="G57" s="178"/>
      <c r="Q57" s="178"/>
      <c r="R57" s="178"/>
      <c r="S57" s="178"/>
      <c r="T57" s="178"/>
      <c r="U57" s="178"/>
      <c r="V57" s="178"/>
    </row>
    <row r="58" spans="1:22" x14ac:dyDescent="0.25">
      <c r="A58" s="178"/>
      <c r="B58" s="3511" t="s">
        <v>768</v>
      </c>
      <c r="C58" s="3512"/>
      <c r="D58" s="233"/>
      <c r="E58" s="232"/>
      <c r="F58" s="231"/>
      <c r="G58" s="3513" t="s">
        <v>767</v>
      </c>
      <c r="H58" s="3514"/>
      <c r="I58" s="3514"/>
      <c r="J58" s="3514"/>
      <c r="K58" s="3514"/>
      <c r="L58" s="3514"/>
      <c r="M58" s="3514"/>
      <c r="N58" s="3514"/>
      <c r="O58" s="3514"/>
      <c r="P58" s="3512"/>
      <c r="Q58" s="1320" t="s">
        <v>766</v>
      </c>
      <c r="T58" s="178"/>
      <c r="U58" s="178"/>
      <c r="V58" s="178"/>
    </row>
    <row r="59" spans="1:22" x14ac:dyDescent="0.25">
      <c r="A59" s="178"/>
      <c r="B59" s="228" t="s">
        <v>248</v>
      </c>
      <c r="C59" s="228" t="s">
        <v>243</v>
      </c>
      <c r="D59" s="227" t="s">
        <v>765</v>
      </c>
      <c r="E59" s="227" t="s">
        <v>764</v>
      </c>
      <c r="F59" s="227" t="s">
        <v>763</v>
      </c>
      <c r="G59" s="227" t="s">
        <v>762</v>
      </c>
      <c r="H59" s="227" t="s">
        <v>761</v>
      </c>
      <c r="I59" s="227" t="s">
        <v>760</v>
      </c>
      <c r="J59" s="227" t="s">
        <v>759</v>
      </c>
      <c r="K59" s="227" t="s">
        <v>758</v>
      </c>
      <c r="L59" s="227" t="s">
        <v>757</v>
      </c>
      <c r="M59" s="227" t="s">
        <v>756</v>
      </c>
      <c r="N59" s="227" t="s">
        <v>755</v>
      </c>
      <c r="O59" s="227" t="s">
        <v>754</v>
      </c>
      <c r="P59" s="219" t="s">
        <v>445</v>
      </c>
      <c r="Q59" s="1321"/>
      <c r="T59" s="178"/>
      <c r="U59" s="178"/>
      <c r="V59" s="178"/>
    </row>
    <row r="60" spans="1:22" x14ac:dyDescent="0.25">
      <c r="A60" s="178"/>
      <c r="B60" s="230">
        <v>0</v>
      </c>
      <c r="C60" s="230">
        <v>0</v>
      </c>
      <c r="D60" s="228">
        <v>1</v>
      </c>
      <c r="E60" s="227" t="s">
        <v>753</v>
      </c>
      <c r="F60" s="226">
        <v>5.5819999999999999</v>
      </c>
      <c r="G60" s="225">
        <f t="shared" ref="G60:G65" si="1">1/F60</f>
        <v>0.1791472590469366</v>
      </c>
      <c r="H60" s="223">
        <f>C$46*$G$21/$E$17*$P56</f>
        <v>1.2514333333333332E-2</v>
      </c>
      <c r="I60" s="227"/>
      <c r="J60" s="227"/>
      <c r="K60" s="225">
        <f>0.72*$C$52*$J$21/$E$17*$P56</f>
        <v>9.0103199999999987E-3</v>
      </c>
      <c r="L60" s="224">
        <f>$C$40/$D60*K$21/$E$17*$P56</f>
        <v>3.2423500000000001E-2</v>
      </c>
      <c r="M60" s="223"/>
      <c r="N60" s="223"/>
      <c r="O60" s="223">
        <f>$C$33*$P56</f>
        <v>1.4070931355439208E-2</v>
      </c>
      <c r="P60" s="222">
        <f t="shared" ref="P60:P65" si="2">SUM(G60:O60)</f>
        <v>0.24716634373570912</v>
      </c>
      <c r="Q60" s="221">
        <f t="shared" ref="Q60:Q65" si="3">1/P60</f>
        <v>4.0458582867143251</v>
      </c>
      <c r="T60" s="178"/>
      <c r="U60" s="178"/>
      <c r="V60" s="178"/>
    </row>
    <row r="61" spans="1:22" x14ac:dyDescent="0.25">
      <c r="A61" s="178"/>
      <c r="B61" s="229">
        <f>75/$D$56</f>
        <v>65.217391304347828</v>
      </c>
      <c r="C61" s="229">
        <f>264/$D$56</f>
        <v>229.56521739130437</v>
      </c>
      <c r="D61" s="228">
        <v>1</v>
      </c>
      <c r="E61" s="227" t="s">
        <v>753</v>
      </c>
      <c r="F61" s="226">
        <v>5.718</v>
      </c>
      <c r="G61" s="225">
        <f t="shared" si="1"/>
        <v>0.17488632388947184</v>
      </c>
      <c r="H61" s="223">
        <f>C$46*$G$21/$E$17*$P56</f>
        <v>1.2514333333333332E-2</v>
      </c>
      <c r="I61" s="227"/>
      <c r="J61" s="227"/>
      <c r="K61" s="225">
        <f>0.72*$C$52*$J$21/$E$17*$P56</f>
        <v>9.0103199999999987E-3</v>
      </c>
      <c r="L61" s="224">
        <f>$C$40/$D61*K$21/$E$17*$P56</f>
        <v>3.2423500000000001E-2</v>
      </c>
      <c r="M61" s="223"/>
      <c r="N61" s="223"/>
      <c r="O61" s="223">
        <f>$C$33*$P56</f>
        <v>1.4070931355439208E-2</v>
      </c>
      <c r="P61" s="222">
        <f t="shared" si="2"/>
        <v>0.24290540857824436</v>
      </c>
      <c r="Q61" s="221">
        <f t="shared" si="3"/>
        <v>4.1168288752939866</v>
      </c>
      <c r="T61" s="178"/>
      <c r="U61" s="178"/>
      <c r="V61" s="178"/>
    </row>
    <row r="62" spans="1:22" x14ac:dyDescent="0.25">
      <c r="A62" s="178"/>
      <c r="B62" s="229">
        <f>150/$D$56</f>
        <v>130.43478260869566</v>
      </c>
      <c r="C62" s="229">
        <f>528/$D$56</f>
        <v>459.13043478260875</v>
      </c>
      <c r="D62" s="228">
        <v>1</v>
      </c>
      <c r="E62" s="227" t="s">
        <v>753</v>
      </c>
      <c r="F62" s="226">
        <v>6.0640000000000001</v>
      </c>
      <c r="G62" s="225">
        <f t="shared" si="1"/>
        <v>0.16490765171503957</v>
      </c>
      <c r="H62" s="223">
        <f>C$46*$G$21/$E$17*$P56</f>
        <v>1.2514333333333332E-2</v>
      </c>
      <c r="I62" s="227"/>
      <c r="J62" s="227"/>
      <c r="K62" s="225">
        <f>0.72*$C$52*$J$21/$E$17*$P56</f>
        <v>9.0103199999999987E-3</v>
      </c>
      <c r="L62" s="224">
        <f>$C$40/$D62*K$21/$E$17*$P56</f>
        <v>3.2423500000000001E-2</v>
      </c>
      <c r="M62" s="223"/>
      <c r="N62" s="223"/>
      <c r="O62" s="223">
        <f>$C$33*$P56</f>
        <v>1.4070931355439208E-2</v>
      </c>
      <c r="P62" s="222">
        <f t="shared" si="2"/>
        <v>0.23292673640381209</v>
      </c>
      <c r="Q62" s="221">
        <f t="shared" si="3"/>
        <v>4.2931954289109848</v>
      </c>
      <c r="T62" s="178"/>
      <c r="U62" s="178"/>
      <c r="V62" s="178"/>
    </row>
    <row r="63" spans="1:22" x14ac:dyDescent="0.25">
      <c r="A63" s="178"/>
      <c r="B63" s="229">
        <f>300/$D$56</f>
        <v>260.86956521739131</v>
      </c>
      <c r="C63" s="229">
        <f>1055/$D$56</f>
        <v>917.39130434782612</v>
      </c>
      <c r="D63" s="228">
        <v>2</v>
      </c>
      <c r="E63" s="227" t="s">
        <v>753</v>
      </c>
      <c r="F63" s="226">
        <v>6.0640000000000001</v>
      </c>
      <c r="G63" s="225">
        <f t="shared" si="1"/>
        <v>0.16490765171503957</v>
      </c>
      <c r="H63" s="223">
        <f>C$46/D63*$G$22/$E$17*$P56</f>
        <v>6.2571666666666661E-3</v>
      </c>
      <c r="I63" s="225">
        <f>C$46/D63*$H$22/$E$17*$P56</f>
        <v>2.5028666666666662E-3</v>
      </c>
      <c r="J63" s="227"/>
      <c r="K63" s="225">
        <f>$C$52*0.42*$J$22/$E$17*$P56</f>
        <v>5.2560199999999993E-3</v>
      </c>
      <c r="L63" s="224">
        <f>$C$40/$D63*K$22/$E$17*$P56</f>
        <v>1.621175E-2</v>
      </c>
      <c r="M63" s="223">
        <f>$C$40/$D63*L$22/$E$17*$P56</f>
        <v>6.4846999999999995E-3</v>
      </c>
      <c r="N63" s="223"/>
      <c r="O63" s="223">
        <f>$C$33*$P56</f>
        <v>1.4070931355439208E-2</v>
      </c>
      <c r="P63" s="222">
        <f t="shared" si="2"/>
        <v>0.21569108640381213</v>
      </c>
      <c r="Q63" s="221">
        <f t="shared" si="3"/>
        <v>4.6362602028338893</v>
      </c>
      <c r="T63" s="178"/>
      <c r="U63" s="178"/>
      <c r="V63" s="178"/>
    </row>
    <row r="64" spans="1:22" x14ac:dyDescent="0.25">
      <c r="A64" s="178"/>
      <c r="B64" s="229">
        <f>600/$D$56</f>
        <v>521.73913043478262</v>
      </c>
      <c r="C64" s="229">
        <f>2110/$D$56</f>
        <v>1834.7826086956522</v>
      </c>
      <c r="D64" s="228">
        <v>2</v>
      </c>
      <c r="E64" s="227" t="s">
        <v>752</v>
      </c>
      <c r="F64" s="226">
        <v>5.9009999999999998</v>
      </c>
      <c r="G64" s="225">
        <f t="shared" si="1"/>
        <v>0.16946280291476021</v>
      </c>
      <c r="H64" s="223">
        <f>C$46/D64*$G$22/$E$17*$P56</f>
        <v>6.2571666666666661E-3</v>
      </c>
      <c r="I64" s="225">
        <f>C$46/D64*$H$22/$E$17*$P56</f>
        <v>2.5028666666666662E-3</v>
      </c>
      <c r="J64" s="227"/>
      <c r="K64" s="225">
        <f>$C$52*0.42*$J$22/$E$17*$P56</f>
        <v>5.2560199999999993E-3</v>
      </c>
      <c r="L64" s="224">
        <f>$C$40/$D64*K$22/$E$17*$P56</f>
        <v>1.621175E-2</v>
      </c>
      <c r="M64" s="223">
        <f>$C$40/$D64*L$22/$E$17*$P56</f>
        <v>6.4846999999999995E-3</v>
      </c>
      <c r="N64" s="223"/>
      <c r="O64" s="223">
        <f>$C$33*$P56</f>
        <v>1.4070931355439208E-2</v>
      </c>
      <c r="P64" s="222">
        <f t="shared" si="2"/>
        <v>0.22024623760353276</v>
      </c>
      <c r="Q64" s="221">
        <f t="shared" si="3"/>
        <v>4.5403726796010426</v>
      </c>
      <c r="T64" s="178"/>
      <c r="U64" s="178"/>
      <c r="V64" s="178"/>
    </row>
    <row r="65" spans="1:22" x14ac:dyDescent="0.25">
      <c r="A65" s="178"/>
      <c r="B65" s="229">
        <f>1200/$D$56</f>
        <v>1043.4782608695652</v>
      </c>
      <c r="C65" s="229">
        <f>4220/$D$56</f>
        <v>3669.5652173913045</v>
      </c>
      <c r="D65" s="228">
        <v>3</v>
      </c>
      <c r="E65" s="227" t="s">
        <v>752</v>
      </c>
      <c r="F65" s="226">
        <v>6.4059999999999997</v>
      </c>
      <c r="G65" s="225">
        <f t="shared" si="1"/>
        <v>0.15610365282547611</v>
      </c>
      <c r="H65" s="223">
        <f>C$46/D65*$G$23/$E$17*$P56</f>
        <v>4.1714444444444438E-3</v>
      </c>
      <c r="I65" s="225">
        <f>C$46/D65*$H$23/$E$17*$P56</f>
        <v>2.0857222222222219E-3</v>
      </c>
      <c r="J65" s="225">
        <f>C$46/D65*$I$23/$E$17*$P56</f>
        <v>8.3428888888888891E-4</v>
      </c>
      <c r="K65" s="225">
        <f>$C$52*0.42*$J$23/$E$17*$P56</f>
        <v>5.2560199999999993E-3</v>
      </c>
      <c r="L65" s="224">
        <f>$C$40/$D65*K$23/$E$17*$P56</f>
        <v>1.0807833333333332E-2</v>
      </c>
      <c r="M65" s="223">
        <f>$C$40/D$65*L$23/$E$17*$P56</f>
        <v>5.4039166666666662E-3</v>
      </c>
      <c r="N65" s="223">
        <f>$C$40/D$65*M$23/$E$17*$P56</f>
        <v>2.1615666666666665E-3</v>
      </c>
      <c r="O65" s="223">
        <f>$C$33*$P56</f>
        <v>1.4070931355439208E-2</v>
      </c>
      <c r="P65" s="222">
        <f t="shared" si="2"/>
        <v>0.20089537640313757</v>
      </c>
      <c r="Q65" s="221">
        <f t="shared" si="3"/>
        <v>4.977715355645099</v>
      </c>
      <c r="T65" s="178"/>
      <c r="U65" s="178"/>
      <c r="V65" s="178"/>
    </row>
    <row r="66" spans="1:22" x14ac:dyDescent="0.25">
      <c r="A66" s="178"/>
      <c r="B66" s="220"/>
      <c r="C66" s="201"/>
      <c r="D66" s="178"/>
      <c r="E66" s="178"/>
      <c r="F66" s="178"/>
      <c r="G66" s="178"/>
      <c r="H66" s="178"/>
      <c r="I66" s="178"/>
      <c r="J66" s="178"/>
      <c r="K66" s="178"/>
      <c r="L66" s="178"/>
      <c r="M66" s="178"/>
      <c r="N66" s="178"/>
      <c r="O66" s="178"/>
      <c r="P66" s="178"/>
      <c r="Q66" s="178"/>
      <c r="R66" s="178"/>
      <c r="S66" s="178"/>
      <c r="T66" s="178"/>
      <c r="U66" s="178"/>
      <c r="V66" s="178"/>
    </row>
    <row r="67" spans="1:22" x14ac:dyDescent="0.25">
      <c r="A67" s="178"/>
      <c r="B67" s="186" t="s">
        <v>707</v>
      </c>
      <c r="C67" s="184"/>
      <c r="D67" s="178"/>
      <c r="E67" s="178"/>
      <c r="F67" s="178"/>
      <c r="G67" s="178"/>
      <c r="H67" s="178"/>
      <c r="I67" s="178"/>
      <c r="J67" s="178"/>
      <c r="K67" s="178"/>
      <c r="L67" s="178"/>
      <c r="M67" s="178"/>
      <c r="N67" s="178"/>
      <c r="O67" s="178"/>
      <c r="P67" s="178"/>
      <c r="Q67" s="178"/>
      <c r="R67" s="178"/>
      <c r="S67" s="178"/>
      <c r="T67" s="178"/>
      <c r="U67" s="178"/>
      <c r="V67" s="178"/>
    </row>
    <row r="68" spans="1:22" x14ac:dyDescent="0.25">
      <c r="A68" s="178"/>
      <c r="B68" s="185"/>
      <c r="C68" s="184"/>
      <c r="D68" s="178"/>
      <c r="E68" s="178"/>
      <c r="F68" s="178"/>
      <c r="G68" s="178"/>
      <c r="H68" s="178"/>
      <c r="I68" s="178"/>
      <c r="J68" s="178"/>
      <c r="K68" s="178"/>
      <c r="L68" s="178"/>
      <c r="M68" s="178"/>
      <c r="N68" s="178"/>
      <c r="O68" s="178"/>
      <c r="P68" s="178"/>
      <c r="Q68" s="178"/>
      <c r="R68" s="178"/>
      <c r="S68" s="178"/>
      <c r="T68" s="178"/>
      <c r="U68" s="178"/>
      <c r="V68" s="178"/>
    </row>
    <row r="69" spans="1:22" x14ac:dyDescent="0.25">
      <c r="A69" s="178"/>
      <c r="B69" s="178"/>
      <c r="C69" s="182" t="s">
        <v>706</v>
      </c>
      <c r="D69" s="178"/>
      <c r="E69" s="178"/>
      <c r="F69" s="178"/>
      <c r="G69" s="178"/>
      <c r="H69" s="178"/>
      <c r="I69" s="178"/>
      <c r="J69" s="178"/>
      <c r="K69" s="178"/>
      <c r="L69" s="178"/>
      <c r="M69" s="178"/>
      <c r="N69" s="178"/>
      <c r="O69" s="178"/>
      <c r="P69" s="178"/>
      <c r="Q69" s="178"/>
      <c r="R69" s="178"/>
      <c r="S69" s="178"/>
      <c r="T69" s="178"/>
      <c r="U69" s="178"/>
      <c r="V69" s="178"/>
    </row>
    <row r="70" spans="1:22" x14ac:dyDescent="0.25">
      <c r="A70" s="178"/>
      <c r="B70" s="178"/>
      <c r="C70" s="219">
        <f>IF(OR(SUMIF(Performance_Outputs_1!$R$171:$R$218,"District Cooling",Performance_Outputs_1!$G$171:$G$218)=0,ISERROR(VLOOKUP(VLOOKUP("District Cooling",Performance_Outputs_1!$B$17:$F$18,5,FALSE),DemandTable,3,FALSE)/12)),1200,(SUMIF(Performance_Outputs_1!$R$171:$R$218,"District Cooling",Performance_Outputs_1!$G$171:$G$218)*VLOOKUP(VLOOKUP("District Cooling",Performance_Outputs_1!$B$17:$F$18,5,FALSE),DemandTable,3,FALSE)/12))</f>
        <v>1200</v>
      </c>
      <c r="D70" s="179" t="s">
        <v>248</v>
      </c>
      <c r="E70" s="178"/>
      <c r="F70" s="178"/>
      <c r="G70" s="178"/>
      <c r="H70" s="178"/>
      <c r="I70" s="178"/>
      <c r="J70" s="178"/>
      <c r="K70" s="178"/>
      <c r="L70" s="178"/>
      <c r="M70" s="178"/>
      <c r="N70" s="178"/>
      <c r="O70" s="178"/>
      <c r="P70" s="178"/>
      <c r="Q70" s="178"/>
      <c r="R70" s="178"/>
      <c r="S70" s="178"/>
      <c r="T70" s="178"/>
      <c r="U70" s="178"/>
      <c r="V70" s="178"/>
    </row>
    <row r="71" spans="1:22" x14ac:dyDescent="0.25">
      <c r="A71" s="178"/>
      <c r="B71" s="178"/>
      <c r="C71" s="178"/>
      <c r="D71" s="178"/>
      <c r="E71" s="178"/>
      <c r="F71" s="178"/>
      <c r="G71" s="178"/>
      <c r="H71" s="178"/>
      <c r="I71" s="178"/>
      <c r="J71" s="178"/>
      <c r="K71" s="178"/>
      <c r="L71" s="178"/>
      <c r="M71" s="178"/>
      <c r="N71" s="178"/>
      <c r="O71" s="178"/>
      <c r="P71" s="178"/>
      <c r="Q71" s="178"/>
      <c r="R71" s="178"/>
      <c r="S71" s="178"/>
      <c r="T71" s="178"/>
      <c r="U71" s="178"/>
      <c r="V71" s="178"/>
    </row>
    <row r="72" spans="1:22" x14ac:dyDescent="0.25">
      <c r="A72" s="178"/>
      <c r="B72" s="178"/>
      <c r="C72" s="182" t="s">
        <v>751</v>
      </c>
      <c r="D72" s="178"/>
      <c r="E72" s="178"/>
      <c r="F72" s="178"/>
      <c r="G72" s="178"/>
      <c r="H72" s="178"/>
      <c r="I72" s="178"/>
      <c r="J72" s="178"/>
      <c r="K72" s="178"/>
      <c r="L72" s="178"/>
      <c r="M72" s="178"/>
      <c r="N72" s="178"/>
      <c r="O72" s="178"/>
      <c r="P72" s="178"/>
      <c r="Q72" s="178"/>
      <c r="R72" s="178"/>
      <c r="S72" s="178"/>
      <c r="T72" s="178"/>
      <c r="U72" s="178"/>
      <c r="V72" s="178"/>
    </row>
    <row r="73" spans="1:22" x14ac:dyDescent="0.25">
      <c r="A73" s="178"/>
      <c r="B73" s="178"/>
      <c r="C73" s="181">
        <f>IF(ISERROR(VLOOKUP($C$70,DESBaseCHWTable,16)),$Q$65,VLOOKUP($C$70,DESBaseCHWTable,16))</f>
        <v>4.977715355645099</v>
      </c>
      <c r="D73" s="179" t="s">
        <v>750</v>
      </c>
      <c r="E73" s="178"/>
      <c r="F73" s="178"/>
      <c r="G73" s="178"/>
      <c r="H73" s="178"/>
      <c r="I73" s="178"/>
      <c r="J73" s="178"/>
      <c r="K73" s="178"/>
      <c r="L73" s="178"/>
      <c r="M73" s="178"/>
      <c r="N73" s="178"/>
      <c r="O73" s="178"/>
      <c r="P73" s="178"/>
      <c r="Q73" s="178"/>
      <c r="R73" s="178"/>
      <c r="S73" s="178"/>
      <c r="T73" s="178"/>
      <c r="U73" s="178"/>
      <c r="V73" s="178"/>
    </row>
    <row r="74" spans="1:22" x14ac:dyDescent="0.25">
      <c r="A74" s="178"/>
      <c r="B74" s="178"/>
      <c r="C74" s="178"/>
      <c r="D74" s="178"/>
      <c r="E74" s="178"/>
      <c r="F74" s="178"/>
      <c r="G74" s="178"/>
      <c r="H74" s="178"/>
      <c r="I74" s="178"/>
      <c r="J74" s="178"/>
      <c r="K74" s="178"/>
      <c r="L74" s="178"/>
      <c r="M74" s="178"/>
      <c r="N74" s="178"/>
      <c r="O74" s="178"/>
      <c r="P74" s="178"/>
      <c r="Q74" s="178"/>
      <c r="R74" s="178"/>
      <c r="S74" s="178"/>
      <c r="T74" s="178"/>
      <c r="U74" s="178"/>
      <c r="V74" s="178"/>
    </row>
    <row r="75" spans="1:22" ht="21" x14ac:dyDescent="0.35">
      <c r="A75" s="218" t="s">
        <v>749</v>
      </c>
      <c r="B75" s="178"/>
      <c r="C75" s="178"/>
      <c r="D75" s="178"/>
      <c r="E75" s="178"/>
      <c r="F75" s="178"/>
      <c r="G75" s="178"/>
      <c r="H75" s="178"/>
      <c r="I75" s="178"/>
      <c r="J75" s="178"/>
      <c r="K75" s="178"/>
      <c r="L75" s="178"/>
      <c r="M75" s="178"/>
      <c r="N75" s="178"/>
      <c r="O75" s="178"/>
      <c r="P75" s="178"/>
      <c r="Q75" s="178"/>
      <c r="R75" s="178"/>
      <c r="S75" s="178"/>
      <c r="T75" s="178"/>
      <c r="U75" s="178"/>
      <c r="V75" s="178"/>
    </row>
    <row r="76" spans="1:22" ht="21" x14ac:dyDescent="0.35">
      <c r="A76" s="218"/>
      <c r="B76" s="178"/>
      <c r="C76" s="178"/>
      <c r="D76" s="178"/>
      <c r="E76" s="178"/>
      <c r="F76" s="178"/>
      <c r="G76" s="178"/>
      <c r="H76" s="178"/>
      <c r="I76" s="178"/>
      <c r="J76" s="178"/>
      <c r="K76" s="178"/>
      <c r="L76" s="178"/>
      <c r="M76" s="178"/>
      <c r="N76" s="178"/>
      <c r="O76" s="178"/>
      <c r="P76" s="178"/>
      <c r="Q76" s="178"/>
      <c r="R76" s="178"/>
      <c r="S76" s="178"/>
      <c r="T76" s="178"/>
      <c r="U76" s="178"/>
      <c r="V76" s="178"/>
    </row>
    <row r="77" spans="1:22" x14ac:dyDescent="0.25">
      <c r="A77" s="178"/>
      <c r="B77" s="217" t="s">
        <v>748</v>
      </c>
      <c r="C77" s="201"/>
      <c r="D77" s="201"/>
      <c r="E77" s="201"/>
      <c r="F77" s="201"/>
      <c r="G77" s="201"/>
      <c r="H77" s="201"/>
      <c r="I77" s="201"/>
      <c r="J77" s="201"/>
      <c r="K77" s="201"/>
      <c r="L77" s="216"/>
      <c r="M77" s="201"/>
      <c r="N77" s="216"/>
      <c r="O77" s="201"/>
      <c r="P77" s="201"/>
      <c r="Q77" s="201"/>
      <c r="R77" s="201"/>
      <c r="S77" s="201"/>
      <c r="T77" s="201"/>
      <c r="U77" s="201"/>
      <c r="V77" s="200"/>
    </row>
    <row r="78" spans="1:22" x14ac:dyDescent="0.25">
      <c r="A78" s="178"/>
      <c r="B78" s="215" t="s">
        <v>747</v>
      </c>
      <c r="C78" s="184"/>
      <c r="D78" s="184"/>
      <c r="E78" s="184"/>
      <c r="F78" s="184"/>
      <c r="G78" s="184"/>
      <c r="H78" s="184"/>
      <c r="I78" s="184"/>
      <c r="J78" s="184"/>
      <c r="K78" s="184"/>
      <c r="L78" s="184"/>
      <c r="M78" s="184"/>
      <c r="N78" s="184"/>
      <c r="O78" s="184"/>
      <c r="P78" s="184"/>
      <c r="Q78" s="184"/>
      <c r="R78" s="184"/>
      <c r="S78" s="184"/>
      <c r="T78" s="184"/>
      <c r="U78" s="184"/>
      <c r="V78" s="194"/>
    </row>
    <row r="79" spans="1:22" x14ac:dyDescent="0.25">
      <c r="A79" s="178"/>
      <c r="B79" s="215" t="s">
        <v>746</v>
      </c>
      <c r="C79" s="184"/>
      <c r="D79" s="184"/>
      <c r="E79" s="184"/>
      <c r="F79" s="184"/>
      <c r="G79" s="184"/>
      <c r="H79" s="184"/>
      <c r="I79" s="184"/>
      <c r="J79" s="184"/>
      <c r="K79" s="184"/>
      <c r="L79" s="184"/>
      <c r="M79" s="184"/>
      <c r="N79" s="184"/>
      <c r="O79" s="184"/>
      <c r="P79" s="184"/>
      <c r="Q79" s="184"/>
      <c r="R79" s="184"/>
      <c r="S79" s="184"/>
      <c r="T79" s="184"/>
      <c r="U79" s="184"/>
      <c r="V79" s="194"/>
    </row>
    <row r="80" spans="1:22" x14ac:dyDescent="0.25">
      <c r="A80" s="178"/>
      <c r="B80" s="215" t="s">
        <v>745</v>
      </c>
      <c r="C80" s="184"/>
      <c r="D80" s="184"/>
      <c r="E80" s="184"/>
      <c r="F80" s="184"/>
      <c r="G80" s="184"/>
      <c r="H80" s="184"/>
      <c r="I80" s="184"/>
      <c r="J80" s="184"/>
      <c r="K80" s="184"/>
      <c r="L80" s="184"/>
      <c r="M80" s="184"/>
      <c r="N80" s="184"/>
      <c r="O80" s="184"/>
      <c r="P80" s="184"/>
      <c r="Q80" s="184"/>
      <c r="R80" s="184"/>
      <c r="S80" s="184"/>
      <c r="T80" s="184"/>
      <c r="U80" s="184"/>
      <c r="V80" s="194"/>
    </row>
    <row r="81" spans="1:22" x14ac:dyDescent="0.25">
      <c r="A81" s="178"/>
      <c r="B81" s="215" t="s">
        <v>744</v>
      </c>
      <c r="C81" s="184"/>
      <c r="D81" s="184"/>
      <c r="E81" s="184"/>
      <c r="F81" s="184"/>
      <c r="G81" s="184"/>
      <c r="H81" s="184"/>
      <c r="I81" s="184"/>
      <c r="J81" s="184"/>
      <c r="K81" s="184"/>
      <c r="L81" s="184"/>
      <c r="M81" s="184"/>
      <c r="N81" s="184"/>
      <c r="O81" s="184"/>
      <c r="P81" s="184"/>
      <c r="Q81" s="184"/>
      <c r="R81" s="184"/>
      <c r="S81" s="184"/>
      <c r="T81" s="184"/>
      <c r="U81" s="184"/>
      <c r="V81" s="194"/>
    </row>
    <row r="82" spans="1:22" x14ac:dyDescent="0.25">
      <c r="A82" s="178"/>
      <c r="B82" s="215" t="s">
        <v>743</v>
      </c>
      <c r="C82" s="184"/>
      <c r="D82" s="184"/>
      <c r="E82" s="184"/>
      <c r="F82" s="184"/>
      <c r="G82" s="184"/>
      <c r="H82" s="184"/>
      <c r="I82" s="184"/>
      <c r="J82" s="184"/>
      <c r="K82" s="184"/>
      <c r="L82" s="184"/>
      <c r="M82" s="184"/>
      <c r="N82" s="184"/>
      <c r="O82" s="184"/>
      <c r="P82" s="184"/>
      <c r="Q82" s="184"/>
      <c r="R82" s="184"/>
      <c r="S82" s="184"/>
      <c r="T82" s="184"/>
      <c r="U82" s="184"/>
      <c r="V82" s="194"/>
    </row>
    <row r="83" spans="1:22" x14ac:dyDescent="0.25">
      <c r="A83" s="178"/>
      <c r="B83" s="214" t="s">
        <v>742</v>
      </c>
      <c r="C83" s="213"/>
      <c r="D83" s="213"/>
      <c r="E83" s="213"/>
      <c r="F83" s="213"/>
      <c r="G83" s="213"/>
      <c r="H83" s="213"/>
      <c r="I83" s="213"/>
      <c r="J83" s="213"/>
      <c r="K83" s="213"/>
      <c r="L83" s="213"/>
      <c r="M83" s="213"/>
      <c r="N83" s="213"/>
      <c r="O83" s="213"/>
      <c r="P83" s="213"/>
      <c r="Q83" s="213"/>
      <c r="R83" s="213"/>
      <c r="S83" s="213"/>
      <c r="T83" s="213"/>
      <c r="U83" s="213"/>
      <c r="V83" s="212"/>
    </row>
    <row r="84" spans="1:22" x14ac:dyDescent="0.25">
      <c r="A84" s="178"/>
      <c r="B84" s="178"/>
      <c r="C84" s="178"/>
      <c r="D84" s="178"/>
      <c r="E84" s="178"/>
      <c r="F84" s="178"/>
      <c r="G84" s="178"/>
      <c r="H84" s="178"/>
      <c r="I84" s="178"/>
      <c r="J84" s="178"/>
      <c r="K84" s="178"/>
      <c r="L84" s="178"/>
      <c r="M84" s="178"/>
      <c r="N84" s="178"/>
      <c r="O84" s="178"/>
      <c r="P84" s="178"/>
      <c r="Q84" s="178"/>
      <c r="R84" s="178"/>
      <c r="S84" s="178"/>
      <c r="T84" s="178"/>
      <c r="U84" s="178"/>
      <c r="V84" s="178"/>
    </row>
    <row r="85" spans="1:22" x14ac:dyDescent="0.25">
      <c r="A85" s="178"/>
      <c r="C85" s="178"/>
      <c r="D85" s="178"/>
      <c r="E85" s="178"/>
      <c r="F85" s="178"/>
      <c r="G85" s="178"/>
      <c r="H85" s="178"/>
      <c r="I85" s="178"/>
      <c r="J85" s="178"/>
      <c r="K85" s="178"/>
      <c r="L85" s="178"/>
      <c r="M85" s="178"/>
      <c r="N85" s="178"/>
      <c r="O85" s="178"/>
      <c r="P85" s="178"/>
      <c r="Q85" s="178"/>
      <c r="R85" s="178"/>
      <c r="S85" s="178"/>
      <c r="T85" s="178"/>
      <c r="U85" s="178"/>
      <c r="V85" s="178"/>
    </row>
    <row r="86" spans="1:22" x14ac:dyDescent="0.25">
      <c r="A86" s="178"/>
      <c r="B86" s="202" t="s">
        <v>741</v>
      </c>
      <c r="C86" s="201"/>
      <c r="D86" s="201"/>
      <c r="E86" s="201"/>
      <c r="F86" s="201"/>
      <c r="G86" s="201"/>
      <c r="H86" s="201"/>
      <c r="I86" s="201"/>
      <c r="J86" s="201"/>
      <c r="K86" s="201"/>
      <c r="L86" s="201"/>
      <c r="M86" s="201"/>
      <c r="N86" s="201"/>
      <c r="O86" s="201"/>
      <c r="P86" s="201"/>
      <c r="Q86" s="201"/>
      <c r="R86" s="201"/>
      <c r="S86" s="201"/>
      <c r="T86" s="201"/>
      <c r="U86" s="201"/>
      <c r="V86" s="200"/>
    </row>
    <row r="87" spans="1:22" x14ac:dyDescent="0.25">
      <c r="A87" s="178"/>
      <c r="B87" s="211" t="s">
        <v>740</v>
      </c>
      <c r="C87" s="184"/>
      <c r="D87" s="184"/>
      <c r="E87" s="184"/>
      <c r="F87" s="184"/>
      <c r="G87" s="184"/>
      <c r="H87" s="184"/>
      <c r="I87" s="184"/>
      <c r="J87" s="184"/>
      <c r="K87" s="184"/>
      <c r="L87" s="184"/>
      <c r="M87" s="184"/>
      <c r="N87" s="184"/>
      <c r="O87" s="184"/>
      <c r="P87" s="184"/>
      <c r="Q87" s="184"/>
      <c r="R87" s="184"/>
      <c r="S87" s="184"/>
      <c r="T87" s="184"/>
      <c r="U87" s="184"/>
      <c r="V87" s="194"/>
    </row>
    <row r="88" spans="1:22" x14ac:dyDescent="0.25">
      <c r="A88" s="178"/>
      <c r="B88" s="211" t="s">
        <v>739</v>
      </c>
      <c r="C88" s="184"/>
      <c r="D88" s="184"/>
      <c r="E88" s="184"/>
      <c r="F88" s="184"/>
      <c r="G88" s="184"/>
      <c r="H88" s="184"/>
      <c r="I88" s="184"/>
      <c r="J88" s="184"/>
      <c r="K88" s="184"/>
      <c r="L88" s="184"/>
      <c r="M88" s="184"/>
      <c r="N88" s="184"/>
      <c r="O88" s="184"/>
      <c r="P88" s="184"/>
      <c r="Q88" s="184"/>
      <c r="R88" s="184"/>
      <c r="S88" s="184"/>
      <c r="T88" s="184"/>
      <c r="U88" s="184"/>
      <c r="V88" s="194"/>
    </row>
    <row r="89" spans="1:22" x14ac:dyDescent="0.25">
      <c r="A89" s="178"/>
      <c r="B89" s="208" t="s">
        <v>738</v>
      </c>
      <c r="C89" s="184"/>
      <c r="D89" s="184"/>
      <c r="E89" s="184"/>
      <c r="F89" s="184"/>
      <c r="G89" s="184"/>
      <c r="H89" s="184"/>
      <c r="I89" s="184"/>
      <c r="J89" s="184"/>
      <c r="K89" s="184"/>
      <c r="L89" s="184"/>
      <c r="M89" s="184"/>
      <c r="N89" s="184"/>
      <c r="O89" s="184"/>
      <c r="P89" s="184"/>
      <c r="Q89" s="184"/>
      <c r="R89" s="184"/>
      <c r="S89" s="184"/>
      <c r="T89" s="184"/>
      <c r="U89" s="184"/>
      <c r="V89" s="194"/>
    </row>
    <row r="90" spans="1:22" x14ac:dyDescent="0.25">
      <c r="A90" s="178"/>
      <c r="B90" s="207" t="s">
        <v>737</v>
      </c>
      <c r="C90" s="184"/>
      <c r="D90" s="184"/>
      <c r="E90" s="210"/>
      <c r="F90" s="184"/>
      <c r="G90" s="184"/>
      <c r="H90" s="184"/>
      <c r="I90" s="184"/>
      <c r="J90" s="184"/>
      <c r="K90" s="184"/>
      <c r="L90" s="184"/>
      <c r="M90" s="184"/>
      <c r="N90" s="184"/>
      <c r="O90" s="184"/>
      <c r="P90" s="184"/>
      <c r="Q90" s="184"/>
      <c r="R90" s="184"/>
      <c r="S90" s="184"/>
      <c r="T90" s="184"/>
      <c r="U90" s="184"/>
      <c r="V90" s="194"/>
    </row>
    <row r="91" spans="1:22" x14ac:dyDescent="0.25">
      <c r="A91" s="178"/>
      <c r="B91" s="211"/>
      <c r="C91" s="184"/>
      <c r="D91" s="184"/>
      <c r="E91" s="184"/>
      <c r="F91" s="184"/>
      <c r="G91" s="184"/>
      <c r="H91" s="184"/>
      <c r="I91" s="184"/>
      <c r="J91" s="184"/>
      <c r="K91" s="184"/>
      <c r="L91" s="184"/>
      <c r="M91" s="184"/>
      <c r="N91" s="184"/>
      <c r="O91" s="184"/>
      <c r="P91" s="184"/>
      <c r="Q91" s="184"/>
      <c r="R91" s="184"/>
      <c r="S91" s="184"/>
      <c r="T91" s="184"/>
      <c r="U91" s="184"/>
      <c r="V91" s="194"/>
    </row>
    <row r="92" spans="1:22" x14ac:dyDescent="0.25">
      <c r="A92" s="178"/>
      <c r="B92" s="211" t="s">
        <v>736</v>
      </c>
      <c r="C92" s="184"/>
      <c r="D92" s="184"/>
      <c r="E92" s="184"/>
      <c r="F92" s="184"/>
      <c r="G92" s="184"/>
      <c r="H92" s="184"/>
      <c r="I92" s="184"/>
      <c r="J92" s="184"/>
      <c r="K92" s="184"/>
      <c r="L92" s="184"/>
      <c r="M92" s="184"/>
      <c r="N92" s="184"/>
      <c r="O92" s="184"/>
      <c r="P92" s="184"/>
      <c r="Q92" s="184"/>
      <c r="R92" s="184"/>
      <c r="S92" s="184"/>
      <c r="T92" s="184"/>
      <c r="U92" s="184"/>
      <c r="V92" s="194"/>
    </row>
    <row r="93" spans="1:22" x14ac:dyDescent="0.25">
      <c r="A93" s="178"/>
      <c r="B93" s="208" t="s">
        <v>735</v>
      </c>
      <c r="C93" s="184" t="s">
        <v>731</v>
      </c>
      <c r="D93" s="184" t="s">
        <v>730</v>
      </c>
      <c r="E93" s="184"/>
      <c r="F93" s="184"/>
      <c r="G93" s="184"/>
      <c r="H93" s="184"/>
      <c r="I93" s="184"/>
      <c r="J93" s="184"/>
      <c r="K93" s="184"/>
      <c r="L93" s="184"/>
      <c r="M93" s="184"/>
      <c r="N93" s="184"/>
      <c r="O93" s="184"/>
      <c r="P93" s="184"/>
      <c r="Q93" s="184"/>
      <c r="R93" s="184"/>
      <c r="S93" s="184"/>
      <c r="T93" s="184"/>
      <c r="U93" s="184"/>
      <c r="V93" s="194"/>
    </row>
    <row r="94" spans="1:22" x14ac:dyDescent="0.25">
      <c r="A94" s="178"/>
      <c r="B94" s="207"/>
      <c r="C94" s="184" t="s">
        <v>729</v>
      </c>
      <c r="D94" s="184" t="s">
        <v>734</v>
      </c>
      <c r="E94" s="210"/>
      <c r="F94" s="184"/>
      <c r="G94" s="184"/>
      <c r="H94" s="184"/>
      <c r="I94" s="184"/>
      <c r="J94" s="184"/>
      <c r="K94" s="184"/>
      <c r="L94" s="184"/>
      <c r="M94" s="184"/>
      <c r="N94" s="184"/>
      <c r="O94" s="184"/>
      <c r="P94" s="184"/>
      <c r="Q94" s="184"/>
      <c r="R94" s="184"/>
      <c r="S94" s="184"/>
      <c r="T94" s="184"/>
      <c r="U94" s="184"/>
      <c r="V94" s="194"/>
    </row>
    <row r="95" spans="1:22" x14ac:dyDescent="0.25">
      <c r="B95" s="206"/>
      <c r="C95" s="205" t="s">
        <v>727</v>
      </c>
      <c r="D95" s="204" t="s">
        <v>733</v>
      </c>
      <c r="E95" s="204"/>
      <c r="F95" s="204"/>
      <c r="G95" s="204"/>
      <c r="H95" s="204"/>
      <c r="I95" s="204"/>
      <c r="J95" s="204"/>
      <c r="K95" s="204"/>
      <c r="L95" s="204"/>
      <c r="M95" s="204"/>
      <c r="N95" s="204"/>
      <c r="O95" s="204"/>
      <c r="P95" s="204"/>
      <c r="Q95" s="204"/>
      <c r="R95" s="204"/>
      <c r="S95" s="204"/>
      <c r="T95" s="204"/>
      <c r="U95" s="204"/>
      <c r="V95" s="203"/>
    </row>
    <row r="96" spans="1:22" x14ac:dyDescent="0.25">
      <c r="B96" s="209"/>
      <c r="C96" s="204"/>
      <c r="D96" s="204"/>
      <c r="E96" s="204"/>
      <c r="F96" s="204"/>
      <c r="G96" s="204"/>
      <c r="H96" s="204"/>
      <c r="I96" s="204"/>
      <c r="J96" s="204"/>
      <c r="K96" s="204"/>
      <c r="L96" s="204"/>
      <c r="M96" s="204"/>
      <c r="N96" s="204"/>
      <c r="O96" s="204"/>
      <c r="P96" s="204"/>
      <c r="Q96" s="204"/>
      <c r="R96" s="204"/>
      <c r="S96" s="204"/>
      <c r="T96" s="204"/>
      <c r="U96" s="204"/>
      <c r="V96" s="203"/>
    </row>
    <row r="97" spans="1:22" x14ac:dyDescent="0.25">
      <c r="B97" s="208" t="s">
        <v>732</v>
      </c>
      <c r="C97" s="184" t="s">
        <v>731</v>
      </c>
      <c r="D97" s="184" t="s">
        <v>730</v>
      </c>
      <c r="E97" s="204"/>
      <c r="F97" s="204"/>
      <c r="G97" s="204"/>
      <c r="H97" s="204"/>
      <c r="I97" s="204"/>
      <c r="J97" s="204"/>
      <c r="K97" s="204"/>
      <c r="L97" s="204"/>
      <c r="M97" s="204"/>
      <c r="N97" s="204"/>
      <c r="O97" s="204"/>
      <c r="P97" s="204"/>
      <c r="Q97" s="204"/>
      <c r="R97" s="204"/>
      <c r="S97" s="204"/>
      <c r="T97" s="204"/>
      <c r="U97" s="204"/>
      <c r="V97" s="203"/>
    </row>
    <row r="98" spans="1:22" x14ac:dyDescent="0.25">
      <c r="B98" s="207"/>
      <c r="C98" s="184" t="s">
        <v>729</v>
      </c>
      <c r="D98" s="184" t="s">
        <v>728</v>
      </c>
      <c r="E98" s="204"/>
      <c r="F98" s="204"/>
      <c r="G98" s="204"/>
      <c r="H98" s="204"/>
      <c r="I98" s="204"/>
      <c r="J98" s="204"/>
      <c r="K98" s="204"/>
      <c r="L98" s="204"/>
      <c r="M98" s="204"/>
      <c r="N98" s="204"/>
      <c r="O98" s="204"/>
      <c r="P98" s="204"/>
      <c r="Q98" s="204"/>
      <c r="R98" s="204"/>
      <c r="S98" s="204"/>
      <c r="T98" s="204"/>
      <c r="U98" s="204"/>
      <c r="V98" s="203"/>
    </row>
    <row r="99" spans="1:22" x14ac:dyDescent="0.25">
      <c r="B99" s="206"/>
      <c r="C99" s="205" t="s">
        <v>727</v>
      </c>
      <c r="D99" s="204" t="s">
        <v>726</v>
      </c>
      <c r="E99" s="204"/>
      <c r="F99" s="204"/>
      <c r="G99" s="204"/>
      <c r="H99" s="204"/>
      <c r="I99" s="204"/>
      <c r="J99" s="204"/>
      <c r="K99" s="204"/>
      <c r="L99" s="204"/>
      <c r="M99" s="204"/>
      <c r="N99" s="204"/>
      <c r="O99" s="204"/>
      <c r="P99" s="204"/>
      <c r="Q99" s="204"/>
      <c r="R99" s="204"/>
      <c r="S99" s="204"/>
      <c r="T99" s="204"/>
      <c r="U99" s="204"/>
      <c r="V99" s="203"/>
    </row>
    <row r="100" spans="1:22" x14ac:dyDescent="0.25">
      <c r="B100" s="193"/>
      <c r="C100" s="192"/>
      <c r="D100" s="192"/>
      <c r="E100" s="192"/>
      <c r="F100" s="192"/>
      <c r="G100" s="192"/>
      <c r="H100" s="192"/>
      <c r="I100" s="192"/>
      <c r="J100" s="192"/>
      <c r="K100" s="192"/>
      <c r="L100" s="192"/>
      <c r="M100" s="192"/>
      <c r="N100" s="192"/>
      <c r="O100" s="192"/>
      <c r="P100" s="192"/>
      <c r="Q100" s="192"/>
      <c r="R100" s="192"/>
      <c r="S100" s="192"/>
      <c r="T100" s="192"/>
      <c r="U100" s="192"/>
      <c r="V100" s="191"/>
    </row>
    <row r="102" spans="1:22" x14ac:dyDescent="0.25">
      <c r="A102" s="178"/>
      <c r="B102" s="202" t="s">
        <v>725</v>
      </c>
      <c r="C102" s="201"/>
      <c r="D102" s="201"/>
      <c r="E102" s="201"/>
      <c r="F102" s="201"/>
      <c r="G102" s="201"/>
      <c r="H102" s="201"/>
      <c r="I102" s="201"/>
      <c r="J102" s="201"/>
      <c r="K102" s="201"/>
      <c r="L102" s="201"/>
      <c r="M102" s="201"/>
      <c r="N102" s="201"/>
      <c r="O102" s="201"/>
      <c r="P102" s="201"/>
      <c r="Q102" s="201"/>
      <c r="R102" s="201"/>
      <c r="S102" s="201"/>
      <c r="T102" s="201"/>
      <c r="U102" s="201"/>
      <c r="V102" s="200"/>
    </row>
    <row r="103" spans="1:22" x14ac:dyDescent="0.25">
      <c r="A103" s="178"/>
      <c r="B103" s="197"/>
      <c r="C103" s="184">
        <v>19</v>
      </c>
      <c r="D103" s="184" t="s">
        <v>257</v>
      </c>
      <c r="E103" s="184"/>
      <c r="F103" s="184"/>
      <c r="G103" s="184"/>
      <c r="H103" s="184"/>
      <c r="I103" s="184"/>
      <c r="J103" s="184"/>
      <c r="K103" s="184"/>
      <c r="L103" s="184"/>
      <c r="M103" s="184"/>
      <c r="N103" s="184"/>
      <c r="O103" s="184"/>
      <c r="P103" s="184"/>
      <c r="Q103" s="184"/>
      <c r="R103" s="184"/>
      <c r="S103" s="184"/>
      <c r="T103" s="184"/>
      <c r="U103" s="184"/>
      <c r="V103" s="194"/>
    </row>
    <row r="104" spans="1:22" x14ac:dyDescent="0.25">
      <c r="A104" s="178"/>
      <c r="B104" s="197"/>
      <c r="C104" s="184" t="s">
        <v>724</v>
      </c>
      <c r="D104" s="184"/>
      <c r="E104" s="184"/>
      <c r="F104" s="184"/>
      <c r="G104" s="184"/>
      <c r="H104" s="184"/>
      <c r="I104" s="184"/>
      <c r="J104" s="184"/>
      <c r="K104" s="184"/>
      <c r="L104" s="184"/>
      <c r="M104" s="184"/>
      <c r="N104" s="184"/>
      <c r="O104" s="184"/>
      <c r="P104" s="184"/>
      <c r="Q104" s="184"/>
      <c r="R104" s="184"/>
      <c r="S104" s="184"/>
      <c r="T104" s="184"/>
      <c r="U104" s="184"/>
      <c r="V104" s="194"/>
    </row>
    <row r="105" spans="1:22" x14ac:dyDescent="0.25">
      <c r="A105" s="178"/>
      <c r="B105" s="197"/>
      <c r="C105" s="184" t="s">
        <v>723</v>
      </c>
      <c r="D105" s="184" t="s">
        <v>718</v>
      </c>
      <c r="E105" s="199" t="s">
        <v>722</v>
      </c>
      <c r="F105" s="184">
        <f>C103</f>
        <v>19</v>
      </c>
      <c r="G105" s="184" t="s">
        <v>257</v>
      </c>
      <c r="H105" s="184" t="s">
        <v>465</v>
      </c>
      <c r="I105" s="184">
        <v>0.1366</v>
      </c>
      <c r="J105" s="184" t="s">
        <v>721</v>
      </c>
      <c r="K105" s="198" t="s">
        <v>720</v>
      </c>
      <c r="L105" s="184" t="s">
        <v>719</v>
      </c>
      <c r="M105" s="184"/>
      <c r="N105" s="184"/>
      <c r="O105" s="184"/>
      <c r="P105" s="184"/>
      <c r="Q105" s="184"/>
      <c r="R105" s="184"/>
      <c r="S105" s="184"/>
      <c r="T105" s="184"/>
      <c r="U105" s="184"/>
      <c r="V105" s="194"/>
    </row>
    <row r="106" spans="1:22" x14ac:dyDescent="0.25">
      <c r="A106" s="178"/>
      <c r="B106" s="197"/>
      <c r="C106" s="196">
        <f>F105*I105/1000</f>
        <v>2.5954000000000003E-3</v>
      </c>
      <c r="D106" s="195" t="s">
        <v>718</v>
      </c>
      <c r="E106" s="184"/>
      <c r="F106" s="184"/>
      <c r="G106" s="184"/>
      <c r="H106" s="184"/>
      <c r="I106" s="184"/>
      <c r="J106" s="184"/>
      <c r="K106" s="184"/>
      <c r="L106" s="184"/>
      <c r="M106" s="184"/>
      <c r="N106" s="184"/>
      <c r="O106" s="184"/>
      <c r="P106" s="184"/>
      <c r="Q106" s="184"/>
      <c r="R106" s="184"/>
      <c r="S106" s="184"/>
      <c r="T106" s="184"/>
      <c r="U106" s="184"/>
      <c r="V106" s="194"/>
    </row>
    <row r="107" spans="1:22" x14ac:dyDescent="0.25">
      <c r="B107" s="193"/>
      <c r="C107" s="192"/>
      <c r="D107" s="192"/>
      <c r="E107" s="192"/>
      <c r="F107" s="192"/>
      <c r="G107" s="192"/>
      <c r="H107" s="192"/>
      <c r="I107" s="192"/>
      <c r="J107" s="192"/>
      <c r="K107" s="192"/>
      <c r="L107" s="192"/>
      <c r="M107" s="192"/>
      <c r="N107" s="192"/>
      <c r="O107" s="192"/>
      <c r="P107" s="192"/>
      <c r="Q107" s="192"/>
      <c r="R107" s="192"/>
      <c r="S107" s="192"/>
      <c r="T107" s="192"/>
      <c r="U107" s="192"/>
      <c r="V107" s="191"/>
    </row>
    <row r="109" spans="1:22" x14ac:dyDescent="0.25">
      <c r="A109" s="178"/>
      <c r="B109" s="1322" t="s">
        <v>717</v>
      </c>
      <c r="C109" s="1323"/>
      <c r="D109" s="1323"/>
      <c r="E109" s="1323"/>
      <c r="F109" s="1323"/>
      <c r="G109" s="1323"/>
      <c r="H109" s="1323"/>
      <c r="I109" s="1323"/>
      <c r="J109" s="1323"/>
      <c r="K109" s="1323"/>
      <c r="L109" s="1323"/>
      <c r="M109" s="1323"/>
      <c r="N109" s="1323"/>
      <c r="O109" s="1323"/>
      <c r="P109" s="1323"/>
      <c r="Q109" s="1323"/>
      <c r="R109" s="1323"/>
      <c r="S109" s="1323"/>
      <c r="T109" s="1323"/>
      <c r="U109" s="1323"/>
      <c r="V109" s="1323"/>
    </row>
    <row r="110" spans="1:22" x14ac:dyDescent="0.25">
      <c r="A110" s="178"/>
      <c r="B110" s="1322" t="s">
        <v>716</v>
      </c>
      <c r="C110" s="1323"/>
      <c r="D110" s="1323"/>
      <c r="E110" s="1323"/>
      <c r="F110" s="1323"/>
      <c r="G110" s="1323"/>
      <c r="H110" s="1323"/>
      <c r="I110" s="1323"/>
      <c r="J110" s="1323"/>
      <c r="K110" s="1323"/>
      <c r="L110" s="1323"/>
      <c r="M110" s="1323"/>
      <c r="N110" s="1323"/>
      <c r="O110" s="1323"/>
      <c r="P110" s="1323"/>
      <c r="Q110" s="1323"/>
      <c r="R110" s="1323"/>
      <c r="S110" s="1323"/>
      <c r="T110" s="1323"/>
      <c r="U110" s="1323"/>
      <c r="V110" s="1323"/>
    </row>
    <row r="111" spans="1:22" x14ac:dyDescent="0.25">
      <c r="A111" s="178"/>
      <c r="B111" s="1324"/>
      <c r="C111" s="1322" t="s">
        <v>715</v>
      </c>
      <c r="D111" s="1325">
        <v>1.25</v>
      </c>
      <c r="E111" s="1323"/>
      <c r="F111" s="1323"/>
      <c r="G111" s="1323"/>
      <c r="H111" s="1323"/>
      <c r="I111" s="1323"/>
      <c r="J111" s="1323"/>
      <c r="K111" s="1323"/>
      <c r="L111" s="1323"/>
      <c r="M111" s="1323"/>
      <c r="N111" s="1323"/>
      <c r="O111" s="1323"/>
      <c r="P111" s="1323"/>
      <c r="Q111" s="1323"/>
      <c r="R111" s="1323"/>
      <c r="S111" s="1323"/>
      <c r="T111" s="1323"/>
      <c r="U111" s="1323"/>
      <c r="V111" s="1323"/>
    </row>
    <row r="112" spans="1:22" x14ac:dyDescent="0.25">
      <c r="A112" s="178"/>
      <c r="B112" s="1322"/>
      <c r="C112" s="1323"/>
      <c r="D112" s="1323"/>
      <c r="E112" s="1323"/>
      <c r="F112" s="1323"/>
      <c r="G112" s="1323"/>
      <c r="H112" s="1323"/>
      <c r="I112" s="1323"/>
      <c r="J112" s="1323"/>
      <c r="K112" s="1323"/>
      <c r="L112" s="1323"/>
      <c r="M112" s="1323"/>
      <c r="N112" s="1323"/>
      <c r="O112" s="1323"/>
      <c r="P112" s="1323"/>
      <c r="Q112" s="1323"/>
      <c r="R112" s="1323"/>
      <c r="S112" s="1323"/>
      <c r="T112" s="1323"/>
      <c r="U112" s="1323"/>
      <c r="V112" s="1323"/>
    </row>
    <row r="113" spans="1:22" ht="64.5" x14ac:dyDescent="0.25">
      <c r="B113" s="3515" t="s">
        <v>714</v>
      </c>
      <c r="C113" s="3516"/>
      <c r="D113" s="3516" t="s">
        <v>713</v>
      </c>
      <c r="E113" s="3516"/>
      <c r="F113" s="1326" t="s">
        <v>712</v>
      </c>
      <c r="G113" s="3517" t="s">
        <v>704</v>
      </c>
      <c r="H113" s="3517"/>
      <c r="I113" s="3518" t="s">
        <v>703</v>
      </c>
      <c r="J113" s="1327"/>
      <c r="K113" s="1327"/>
      <c r="L113" s="1327"/>
      <c r="M113" s="1327"/>
      <c r="N113" s="1327"/>
      <c r="O113" s="1327"/>
      <c r="P113" s="1324"/>
      <c r="Q113" s="1324"/>
      <c r="R113" s="1324"/>
      <c r="S113" s="1324"/>
      <c r="T113" s="1324"/>
      <c r="U113" s="1324"/>
      <c r="V113" s="1324"/>
    </row>
    <row r="114" spans="1:22" x14ac:dyDescent="0.25">
      <c r="B114" s="3516"/>
      <c r="C114" s="3516"/>
      <c r="D114" s="3516" t="s">
        <v>710</v>
      </c>
      <c r="E114" s="3516"/>
      <c r="F114" s="1328" t="s">
        <v>711</v>
      </c>
      <c r="G114" s="3517" t="s">
        <v>710</v>
      </c>
      <c r="H114" s="3517"/>
      <c r="I114" s="3519"/>
      <c r="J114" s="1327"/>
      <c r="K114" s="1327"/>
      <c r="L114" s="1327"/>
      <c r="M114" s="1327"/>
      <c r="N114" s="1327"/>
      <c r="O114" s="1327"/>
      <c r="P114" s="1324"/>
      <c r="Q114" s="1324"/>
      <c r="R114" s="1324"/>
      <c r="S114" s="1324"/>
      <c r="T114" s="1324"/>
      <c r="U114" s="1324"/>
      <c r="V114" s="1324"/>
    </row>
    <row r="115" spans="1:22" x14ac:dyDescent="0.25">
      <c r="B115" s="1329" t="s">
        <v>245</v>
      </c>
      <c r="C115" s="1329" t="s">
        <v>243</v>
      </c>
      <c r="D115" s="1328" t="s">
        <v>709</v>
      </c>
      <c r="E115" s="1328" t="s">
        <v>708</v>
      </c>
      <c r="F115" s="1328"/>
      <c r="G115" s="1330" t="s">
        <v>709</v>
      </c>
      <c r="H115" s="1330" t="s">
        <v>708</v>
      </c>
      <c r="I115" s="3520"/>
      <c r="J115" s="1327"/>
      <c r="K115" s="1327"/>
      <c r="L115" s="1327"/>
      <c r="M115" s="1327"/>
      <c r="N115" s="1327"/>
      <c r="O115" s="1327"/>
      <c r="P115" s="1324"/>
      <c r="Q115" s="1324"/>
      <c r="R115" s="1324"/>
      <c r="S115" s="1324"/>
      <c r="T115" s="1324"/>
      <c r="U115" s="1324"/>
      <c r="V115" s="1324"/>
    </row>
    <row r="116" spans="1:22" x14ac:dyDescent="0.25">
      <c r="B116" s="190">
        <v>0</v>
      </c>
      <c r="C116" s="1328">
        <v>0</v>
      </c>
      <c r="D116" s="1331">
        <v>0.8</v>
      </c>
      <c r="E116" s="1331">
        <v>0.8</v>
      </c>
      <c r="F116" s="188">
        <f>$C$106*3000/1500*0.72</f>
        <v>3.7373760000000002E-3</v>
      </c>
      <c r="G116" s="187">
        <f t="shared" ref="G116:H118" si="4">D116</f>
        <v>0.8</v>
      </c>
      <c r="H116" s="187">
        <f t="shared" si="4"/>
        <v>0.8</v>
      </c>
      <c r="I116" s="1332">
        <f>1/F116</f>
        <v>267.5674055808139</v>
      </c>
      <c r="J116" s="1327"/>
      <c r="K116" s="1327"/>
      <c r="L116" s="1327"/>
      <c r="M116" s="1327"/>
      <c r="N116" s="1327"/>
      <c r="O116" s="1327"/>
      <c r="P116" s="1324"/>
      <c r="Q116" s="1324"/>
      <c r="R116" s="1324"/>
      <c r="S116" s="1324"/>
      <c r="T116" s="1324"/>
      <c r="U116" s="1324"/>
      <c r="V116" s="1324"/>
    </row>
    <row r="117" spans="1:22" x14ac:dyDescent="0.25">
      <c r="B117" s="189">
        <f>300000/$D$111</f>
        <v>240000</v>
      </c>
      <c r="C117" s="1328">
        <v>88</v>
      </c>
      <c r="D117" s="1331">
        <v>0.8</v>
      </c>
      <c r="E117" s="1331">
        <v>0.82</v>
      </c>
      <c r="F117" s="188">
        <f>$C$106*3000/1500*0.42</f>
        <v>2.1801360000000001E-3</v>
      </c>
      <c r="G117" s="187">
        <f t="shared" si="4"/>
        <v>0.8</v>
      </c>
      <c r="H117" s="187">
        <f t="shared" si="4"/>
        <v>0.82</v>
      </c>
      <c r="I117" s="1332">
        <f>1/F117</f>
        <v>458.68698099568098</v>
      </c>
      <c r="J117" s="1327"/>
      <c r="K117" s="1327"/>
      <c r="L117" s="1327"/>
      <c r="M117" s="1327"/>
      <c r="N117" s="1327"/>
      <c r="O117" s="1327"/>
      <c r="P117" s="1324"/>
      <c r="Q117" s="1324"/>
      <c r="R117" s="1324"/>
      <c r="S117" s="1324"/>
      <c r="T117" s="1324"/>
      <c r="U117" s="1324"/>
      <c r="V117" s="1324"/>
    </row>
    <row r="118" spans="1:22" x14ac:dyDescent="0.25">
      <c r="B118" s="189">
        <f>2500000/$D$111</f>
        <v>2000000</v>
      </c>
      <c r="C118" s="1328">
        <v>733</v>
      </c>
      <c r="D118" s="1331">
        <v>0.82</v>
      </c>
      <c r="E118" s="1331">
        <v>0.84</v>
      </c>
      <c r="F118" s="188">
        <f>$C$106*3000/1500*0.42</f>
        <v>2.1801360000000001E-3</v>
      </c>
      <c r="G118" s="187">
        <f t="shared" si="4"/>
        <v>0.82</v>
      </c>
      <c r="H118" s="187">
        <f t="shared" si="4"/>
        <v>0.84</v>
      </c>
      <c r="I118" s="1332">
        <f>1/F118</f>
        <v>458.68698099568098</v>
      </c>
      <c r="J118" s="1327"/>
      <c r="K118" s="1327"/>
      <c r="L118" s="1327"/>
      <c r="M118" s="1327"/>
      <c r="N118" s="1327"/>
      <c r="O118" s="1327"/>
      <c r="P118" s="1324"/>
      <c r="Q118" s="1324"/>
      <c r="R118" s="1324"/>
      <c r="S118" s="1324"/>
      <c r="T118" s="1324"/>
      <c r="U118" s="1324"/>
      <c r="V118" s="1324"/>
    </row>
    <row r="119" spans="1:22" x14ac:dyDescent="0.25">
      <c r="B119" s="1324"/>
      <c r="C119" s="1324"/>
      <c r="D119" s="1324"/>
      <c r="E119" s="1324"/>
      <c r="F119" s="1324"/>
      <c r="G119" s="1324"/>
      <c r="H119" s="1324"/>
      <c r="I119" s="1324"/>
      <c r="J119" s="1324"/>
      <c r="K119" s="1324"/>
      <c r="L119" s="1324"/>
      <c r="M119" s="1324"/>
      <c r="N119" s="1324"/>
      <c r="O119" s="1324"/>
      <c r="P119" s="1324"/>
      <c r="Q119" s="1324"/>
      <c r="R119" s="1324"/>
      <c r="S119" s="1324"/>
      <c r="T119" s="1324"/>
      <c r="U119" s="1324"/>
      <c r="V119" s="1324"/>
    </row>
    <row r="120" spans="1:22" x14ac:dyDescent="0.25">
      <c r="A120" s="178"/>
      <c r="B120" s="186" t="s">
        <v>1195</v>
      </c>
      <c r="C120" s="184"/>
      <c r="D120" s="178"/>
      <c r="E120" s="178"/>
      <c r="F120" s="178"/>
      <c r="G120" s="178"/>
      <c r="H120" s="178"/>
      <c r="I120" s="178"/>
      <c r="J120" s="178"/>
      <c r="K120" s="178"/>
      <c r="L120" s="178"/>
      <c r="M120" s="178"/>
      <c r="N120" s="178"/>
      <c r="O120" s="178"/>
      <c r="P120" s="178"/>
      <c r="Q120" s="178"/>
      <c r="R120" s="178"/>
      <c r="S120" s="178"/>
      <c r="T120" s="178"/>
      <c r="U120" s="178"/>
      <c r="V120" s="178"/>
    </row>
    <row r="121" spans="1:22" x14ac:dyDescent="0.25">
      <c r="A121" s="178"/>
      <c r="B121" s="185"/>
      <c r="C121" s="184"/>
      <c r="D121" s="178"/>
      <c r="E121" s="178"/>
      <c r="F121" s="178"/>
      <c r="G121" s="178"/>
      <c r="H121" s="178"/>
      <c r="I121" s="178"/>
      <c r="J121" s="178"/>
      <c r="K121" s="178"/>
      <c r="L121" s="178"/>
      <c r="M121" s="178"/>
      <c r="N121" s="178"/>
      <c r="O121" s="178"/>
      <c r="P121" s="178"/>
      <c r="Q121" s="178"/>
      <c r="R121" s="178"/>
      <c r="S121" s="178"/>
      <c r="T121" s="178"/>
      <c r="U121" s="178"/>
      <c r="V121" s="178"/>
    </row>
    <row r="122" spans="1:22" x14ac:dyDescent="0.25">
      <c r="A122" s="178"/>
      <c r="B122" s="178"/>
      <c r="C122" s="668" t="s">
        <v>1196</v>
      </c>
      <c r="D122" s="178"/>
      <c r="E122" s="178"/>
      <c r="F122" s="178"/>
      <c r="G122" s="178"/>
      <c r="H122" s="178"/>
      <c r="I122" s="178"/>
      <c r="J122" s="178"/>
      <c r="K122" s="178"/>
      <c r="L122" s="178"/>
      <c r="M122" s="178"/>
      <c r="N122" s="178"/>
      <c r="O122" s="178"/>
      <c r="P122" s="178"/>
      <c r="Q122" s="178"/>
      <c r="R122" s="178"/>
      <c r="S122" s="178"/>
      <c r="T122" s="178"/>
      <c r="U122" s="178"/>
      <c r="V122" s="178"/>
    </row>
    <row r="123" spans="1:22" x14ac:dyDescent="0.25">
      <c r="A123" s="178"/>
      <c r="B123" s="178"/>
      <c r="C123" s="183">
        <f>IF(SUMIF(Performance_Outputs_1!$R$171:$R$218,"District Hot Water",Performance_Outputs_1!$G$171:$G$218)+SUMIF(Performance_Outputs_1!$R$171:$R$218,"District Steam",Performance_Outputs_1!$G$171:$G$218)=0,3000000,IF(ISERROR(VLOOKUP(VLOOKUP("District Hot Water",Performance_Outputs_1!$B$17:$F$18,5,FALSE),DemandTable,3,FALSE)),IF(ISERROR(VLOOKUP(VLOOKUP("District Steam",Performance_Outputs_1!$B$17:$F$18,5,FALSE),DemandTable,3,FALSE)),3000000,(SUMIF(Performance_Outputs_1!$R$171:$R$218,"District Steam",Performance_Outputs_1!$G$171:$G$218)*(VLOOKUP(VLOOKUP("District Steam",Performance_Outputs_1!$B$17:$F$18,5,FALSE),DemandTable,3,FALSE))/VLOOKUP("Btuh",DemandTable,3,FALSE))),(SUMIF(Performance_Outputs_1!$R$171:$R$218,"District Hot Water",Performance_Outputs_1!$G$171:$G$218)*(VLOOKUP(VLOOKUP("District Hot Water",Performance_Outputs_1!$B$17:$F$18,5,FALSE),DemandTable,3,FALSE))/VLOOKUP("Btuh",DemandTable,3,FALSE))))</f>
        <v>3000000</v>
      </c>
      <c r="D123" s="179" t="s">
        <v>245</v>
      </c>
      <c r="E123" s="178"/>
      <c r="F123" s="178"/>
      <c r="G123" s="178"/>
      <c r="H123" s="178"/>
      <c r="I123" s="178"/>
      <c r="J123" s="178"/>
      <c r="K123" s="178"/>
      <c r="L123" s="178"/>
      <c r="M123" s="178"/>
      <c r="N123" s="178"/>
      <c r="O123" s="178"/>
      <c r="P123" s="178"/>
      <c r="Q123" s="178"/>
      <c r="R123" s="178"/>
      <c r="S123" s="178"/>
      <c r="T123" s="178"/>
      <c r="U123" s="178"/>
      <c r="V123" s="178"/>
    </row>
    <row r="124" spans="1:22" x14ac:dyDescent="0.25">
      <c r="A124" s="178"/>
      <c r="B124" s="178"/>
      <c r="C124" s="178"/>
      <c r="D124" s="178"/>
      <c r="E124" s="178"/>
      <c r="F124" s="178"/>
      <c r="G124" s="178"/>
      <c r="H124" s="178"/>
      <c r="I124" s="178"/>
      <c r="J124" s="178"/>
      <c r="K124" s="178"/>
      <c r="L124" s="178"/>
      <c r="M124" s="178"/>
      <c r="N124" s="178"/>
      <c r="O124" s="178"/>
      <c r="P124" s="178"/>
      <c r="Q124" s="178"/>
      <c r="R124" s="178"/>
      <c r="S124" s="178"/>
      <c r="T124" s="178"/>
      <c r="U124" s="178"/>
      <c r="V124" s="178"/>
    </row>
    <row r="125" spans="1:22" x14ac:dyDescent="0.25">
      <c r="A125" s="178"/>
      <c r="B125" s="178"/>
      <c r="C125" s="182" t="s">
        <v>705</v>
      </c>
      <c r="D125" s="178"/>
      <c r="E125" s="178"/>
      <c r="F125" s="178"/>
      <c r="G125" s="178"/>
      <c r="H125" s="178"/>
      <c r="I125" s="178"/>
      <c r="J125" s="178"/>
      <c r="K125" s="178"/>
      <c r="L125" s="178"/>
      <c r="M125" s="178"/>
      <c r="N125" s="178"/>
      <c r="O125" s="178"/>
      <c r="P125" s="178"/>
      <c r="Q125" s="178"/>
      <c r="R125" s="178"/>
      <c r="S125" s="178"/>
      <c r="T125" s="178"/>
      <c r="U125" s="178"/>
      <c r="V125" s="178"/>
    </row>
    <row r="126" spans="1:22" x14ac:dyDescent="0.25">
      <c r="A126" s="178"/>
      <c r="B126" s="178"/>
      <c r="C126" s="181">
        <f>(IF(ISERROR(VLOOKUP(Performance_Outputs_1!$B$253,DropdownData!$B$2:$D$14,3,FALSE)),$H$118,IF(VLOOKUP(Performance_Outputs_1!$B$253,DropdownData!$B$2:$D$14,3,FALSE)="Yes",IF(ISERROR(VLOOKUP($C$123,DESBaseHHWTable,6)),$H$118,VLOOKUP($C$123,DESBaseHHWTable,6)),IF(ISERROR(VLOOKUP($C$123,DESBaseHHWTable,7)),$H$118,VLOOKUP($C$123,DESBaseHHWTable,7)))))</f>
        <v>0.84</v>
      </c>
      <c r="D126" s="179" t="s">
        <v>704</v>
      </c>
      <c r="E126" s="178"/>
      <c r="F126" s="180">
        <f>IF(ISERROR(VLOOKUP($C$123,DESBaseHHWTable,8)),$I$118,VLOOKUP($C$123,DESBaseHHWTable,8))</f>
        <v>458.68698099568098</v>
      </c>
      <c r="G126" s="179" t="s">
        <v>703</v>
      </c>
      <c r="H126" s="178"/>
      <c r="I126" s="178"/>
      <c r="J126" s="178"/>
      <c r="K126" s="178"/>
      <c r="L126" s="178"/>
      <c r="M126" s="178"/>
      <c r="N126" s="178"/>
      <c r="O126" s="178"/>
      <c r="P126" s="178"/>
      <c r="Q126" s="178"/>
      <c r="R126" s="178"/>
      <c r="S126" s="178"/>
      <c r="T126" s="178"/>
      <c r="U126" s="178"/>
      <c r="V126" s="178"/>
    </row>
    <row r="127" spans="1:22" x14ac:dyDescent="0.25">
      <c r="A127" s="178"/>
      <c r="B127" s="178"/>
      <c r="C127" s="178"/>
      <c r="D127" s="178"/>
      <c r="E127" s="178"/>
      <c r="F127" s="178"/>
      <c r="G127" s="178"/>
      <c r="H127" s="178"/>
      <c r="I127" s="178"/>
      <c r="J127" s="178"/>
      <c r="K127" s="178"/>
      <c r="L127" s="178"/>
      <c r="M127" s="178"/>
      <c r="N127" s="178"/>
      <c r="O127" s="178"/>
      <c r="P127" s="178"/>
      <c r="Q127" s="178"/>
      <c r="R127" s="178"/>
      <c r="S127" s="178"/>
      <c r="T127" s="178"/>
      <c r="U127" s="178"/>
      <c r="V127" s="178"/>
    </row>
  </sheetData>
  <sheetProtection algorithmName="SHA-512" hashValue="czutyHP+HZPeypz8nSwOijzYDgVyJZ7z7ahgSPY0Hr9ZTHdD7vhFDexq5HP0zfYFBjqFrYZV2/j0mY+N/9RFYA==" saltValue="DYeI5CIHKld4Z1vRHr6JOw==" spinCount="100000" sheet="1" objects="1" scenarios="1"/>
  <mergeCells count="8">
    <mergeCell ref="B58:C58"/>
    <mergeCell ref="G58:P58"/>
    <mergeCell ref="B113:C114"/>
    <mergeCell ref="D113:E113"/>
    <mergeCell ref="G113:H113"/>
    <mergeCell ref="I113:I115"/>
    <mergeCell ref="D114:E114"/>
    <mergeCell ref="G114:H1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583</vt:i4>
      </vt:variant>
    </vt:vector>
  </HeadingPairs>
  <TitlesOfParts>
    <vt:vector size="609" baseType="lpstr">
      <vt:lpstr>Instructions</vt:lpstr>
      <vt:lpstr>Definitions</vt:lpstr>
      <vt:lpstr>General Information</vt:lpstr>
      <vt:lpstr>Multiple Buildings Details</vt:lpstr>
      <vt:lpstr>Schedules</vt:lpstr>
      <vt:lpstr>EFLH Calculator</vt:lpstr>
      <vt:lpstr>Multifamily Details</vt:lpstr>
      <vt:lpstr>Opaque Assemblies</vt:lpstr>
      <vt:lpstr>Shading and Fenestration</vt:lpstr>
      <vt:lpstr>Envelope Assumptions</vt:lpstr>
      <vt:lpstr>Lighting</vt:lpstr>
      <vt:lpstr>Lighting Assumptions</vt:lpstr>
      <vt:lpstr>Process Loads</vt:lpstr>
      <vt:lpstr>Service Water Heating</vt:lpstr>
      <vt:lpstr>General HVAC</vt:lpstr>
      <vt:lpstr>Air-Side HVAC</vt:lpstr>
      <vt:lpstr>Water-Side HVAC</vt:lpstr>
      <vt:lpstr>Results from eQuest</vt:lpstr>
      <vt:lpstr>Results from Trace</vt:lpstr>
      <vt:lpstr>Performance_Outputs_1</vt:lpstr>
      <vt:lpstr>Performance_Outputs_0</vt:lpstr>
      <vt:lpstr>Performance_Outputs_Summary</vt:lpstr>
      <vt:lpstr>Summary</vt:lpstr>
      <vt:lpstr>DropdownData</vt:lpstr>
      <vt:lpstr>HVAC Lookup</vt:lpstr>
      <vt:lpstr>District Energy Path 3</vt:lpstr>
      <vt:lpstr>AddPowAnchor</vt:lpstr>
      <vt:lpstr>AHVAC_Base_CoolingCap</vt:lpstr>
      <vt:lpstr>AHVAC_Base_FanFlow</vt:lpstr>
      <vt:lpstr>AHVAC_Base_FanPower</vt:lpstr>
      <vt:lpstr>AHVAC_Base_HeatingCap</vt:lpstr>
      <vt:lpstr>AHVAC_Base_ID</vt:lpstr>
      <vt:lpstr>AHVAC_Base_OAFlow</vt:lpstr>
      <vt:lpstr>AHVAC_BaseSystemList</vt:lpstr>
      <vt:lpstr>AHVAC_Design_CoolingCap</vt:lpstr>
      <vt:lpstr>AHVAC_Design_FanFlow</vt:lpstr>
      <vt:lpstr>AHVAC_Design_FanPower</vt:lpstr>
      <vt:lpstr>AHVAC_Design_HeatingCap</vt:lpstr>
      <vt:lpstr>AHVAC_Design_ID</vt:lpstr>
      <vt:lpstr>AHVAC_Design_OAFlow</vt:lpstr>
      <vt:lpstr>AreaUnits</vt:lpstr>
      <vt:lpstr>AshraeClimate</vt:lpstr>
      <vt:lpstr>DropdownData!AshraeCZ</vt:lpstr>
      <vt:lpstr>Avg_Bedroom_Area</vt:lpstr>
      <vt:lpstr>Avg_Bedrooms</vt:lpstr>
      <vt:lpstr>BAequipTable</vt:lpstr>
      <vt:lpstr>BAManchor</vt:lpstr>
      <vt:lpstr>BAMCategories</vt:lpstr>
      <vt:lpstr>BaselineAnchor</vt:lpstr>
      <vt:lpstr>BaselineHVACModeled</vt:lpstr>
      <vt:lpstr>BaselineOrientationExemptions</vt:lpstr>
      <vt:lpstr>'Air-Side HVAC'!Building_ID_Entry</vt:lpstr>
      <vt:lpstr>'General HVAC'!Building_ID_Entry</vt:lpstr>
      <vt:lpstr>Lighting!Building_ID_Entry</vt:lpstr>
      <vt:lpstr>'Multifamily Details'!Building_ID_Entry</vt:lpstr>
      <vt:lpstr>'Opaque Assemblies'!Building_ID_Entry</vt:lpstr>
      <vt:lpstr>'Process Loads'!Building_ID_Entry</vt:lpstr>
      <vt:lpstr>'Service Water Heating'!Building_ID_Entry</vt:lpstr>
      <vt:lpstr>'Shading and Fenestration'!Building_ID_Entry</vt:lpstr>
      <vt:lpstr>'Water-Side HVAC'!Building_ID_Entry</vt:lpstr>
      <vt:lpstr>BuildingNames</vt:lpstr>
      <vt:lpstr>BuildingNames2</vt:lpstr>
      <vt:lpstr>BuildingOrientationExemptionRange</vt:lpstr>
      <vt:lpstr>BuildingRotationModeled</vt:lpstr>
      <vt:lpstr>Performance_Outputs_0!BvPUnregCheck</vt:lpstr>
      <vt:lpstr>Performance_Outputs_Summary!BvPUnregCheck</vt:lpstr>
      <vt:lpstr>BvPUnregCheck</vt:lpstr>
      <vt:lpstr>CaliforniaClimate</vt:lpstr>
      <vt:lpstr>CampusEndUses</vt:lpstr>
      <vt:lpstr>CAZones</vt:lpstr>
      <vt:lpstr>ClimateZone</vt:lpstr>
      <vt:lpstr>CodeUsed</vt:lpstr>
      <vt:lpstr>ConsumptionUnits</vt:lpstr>
      <vt:lpstr>Datacenter_Avg</vt:lpstr>
      <vt:lpstr>DD_GH_BaseSysList</vt:lpstr>
      <vt:lpstr>DemandTable</vt:lpstr>
      <vt:lpstr>DemandUnits</vt:lpstr>
      <vt:lpstr>DESBaseCHWTable</vt:lpstr>
      <vt:lpstr>DESBaseHHWTable</vt:lpstr>
      <vt:lpstr>DESInputsInGeneralInformation</vt:lpstr>
      <vt:lpstr>DESPath</vt:lpstr>
      <vt:lpstr>DESPath3_Cooling_COP</vt:lpstr>
      <vt:lpstr>DESPath3_Heating_eCOP</vt:lpstr>
      <vt:lpstr>DESPath3_Heating_fCOP</vt:lpstr>
      <vt:lpstr>DistrictCooling</vt:lpstr>
      <vt:lpstr>DistrictHeating</vt:lpstr>
      <vt:lpstr>'EFLH Calculator'!EFLH_Fraction_Abbreviated</vt:lpstr>
      <vt:lpstr>'EFLH Calculator'!EFLH_Fraction_Detailed</vt:lpstr>
      <vt:lpstr>'EFLH Calculator'!EFLH_On_Off_Abbreviated</vt:lpstr>
      <vt:lpstr>'EFLH Calculator'!EFLH_ON_OFF_Detailed</vt:lpstr>
      <vt:lpstr>EndUses</vt:lpstr>
      <vt:lpstr>EnergyCode</vt:lpstr>
      <vt:lpstr>EnergyModelPhase</vt:lpstr>
      <vt:lpstr>EnergyModelPhaseOther</vt:lpstr>
      <vt:lpstr>EnergySources</vt:lpstr>
      <vt:lpstr>EnergyUnitsTable</vt:lpstr>
      <vt:lpstr>DropdownData!EnvelopeCopyRange</vt:lpstr>
      <vt:lpstr>EquipAnchor</vt:lpstr>
      <vt:lpstr>EquipBAanchor</vt:lpstr>
      <vt:lpstr>Fanslookup</vt:lpstr>
      <vt:lpstr>FinishedAnchor</vt:lpstr>
      <vt:lpstr>Performance_Outputs_0!FormulaProposed1</vt:lpstr>
      <vt:lpstr>Performance_Outputs_1!FormulaProposed1</vt:lpstr>
      <vt:lpstr>Performance_Outputs_Summary!FormulaProposed1</vt:lpstr>
      <vt:lpstr>FuelTable</vt:lpstr>
      <vt:lpstr>FuelTypes</vt:lpstr>
      <vt:lpstr>FuelTypesTable</vt:lpstr>
      <vt:lpstr>GenHVACformatref</vt:lpstr>
      <vt:lpstr>GHVAC_BaseSystemList</vt:lpstr>
      <vt:lpstr>GHVAC_BHVACST_Index</vt:lpstr>
      <vt:lpstr>GHVAC_BSysType_Hdr</vt:lpstr>
      <vt:lpstr>GHVAC_BSysType_Index</vt:lpstr>
      <vt:lpstr>GHVAC_BSysType_Table</vt:lpstr>
      <vt:lpstr>GHVAC_PHVACST_Index</vt:lpstr>
      <vt:lpstr>GI_BldgArea</vt:lpstr>
      <vt:lpstr>GI_DES_ModelingMethod</vt:lpstr>
      <vt:lpstr>GI_DES_Path1Boolean</vt:lpstr>
      <vt:lpstr>GI_DESPath</vt:lpstr>
      <vt:lpstr>GI_Project_Name</vt:lpstr>
      <vt:lpstr>GI_Project_Number</vt:lpstr>
      <vt:lpstr>GI_RSV_DataCenterMethod</vt:lpstr>
      <vt:lpstr>Homes_DwellingEqpList</vt:lpstr>
      <vt:lpstr>Homes_DwellingEqpLookup</vt:lpstr>
      <vt:lpstr>Homes_DwellingNonResEPDList</vt:lpstr>
      <vt:lpstr>Homes_DwellingNonResEPDLookup</vt:lpstr>
      <vt:lpstr>Homes_LaundryEqpList</vt:lpstr>
      <vt:lpstr>Homes_LaundryEqpLookup</vt:lpstr>
      <vt:lpstr>Homes_Point_Adjustment</vt:lpstr>
      <vt:lpstr>HomesEqpCalc</vt:lpstr>
      <vt:lpstr>HomesInGeneralInformation</vt:lpstr>
      <vt:lpstr>L_BAM_Area_Total</vt:lpstr>
      <vt:lpstr>L_BAM_ButtonRow</vt:lpstr>
      <vt:lpstr>L_BAM_SumHdr</vt:lpstr>
      <vt:lpstr>L_BAM_SumIndex</vt:lpstr>
      <vt:lpstr>L_BAM_SumTable</vt:lpstr>
      <vt:lpstr>L_BAMInput_Index</vt:lpstr>
      <vt:lpstr>L_ELR_Response</vt:lpstr>
      <vt:lpstr>L_ExtSum_Hdr</vt:lpstr>
      <vt:lpstr>L_ExtSum_Index</vt:lpstr>
      <vt:lpstr>L_ExtSum_Table</vt:lpstr>
      <vt:lpstr>L_IL_SumHdr</vt:lpstr>
      <vt:lpstr>L_IL_SumIndex</vt:lpstr>
      <vt:lpstr>L_IL_SumTable</vt:lpstr>
      <vt:lpstr>L_IPL_Index</vt:lpstr>
      <vt:lpstr>L_LPDmethod</vt:lpstr>
      <vt:lpstr>L_LtgZone_Hdr</vt:lpstr>
      <vt:lpstr>L_LtgZone_Index</vt:lpstr>
      <vt:lpstr>L_LtgZone_Table</vt:lpstr>
      <vt:lpstr>L_NTSurface_Hdr</vt:lpstr>
      <vt:lpstr>L_NTSurface_Index</vt:lpstr>
      <vt:lpstr>L_NTSurface_Table</vt:lpstr>
      <vt:lpstr>L_SxS_Area_Total</vt:lpstr>
      <vt:lpstr>L_SxS_SumHdr</vt:lpstr>
      <vt:lpstr>L_SxS_SumIndex</vt:lpstr>
      <vt:lpstr>L_SxS_SumTable</vt:lpstr>
      <vt:lpstr>L_SxSALP_ButtonRow</vt:lpstr>
      <vt:lpstr>L_SxSALP_SumHdr</vt:lpstr>
      <vt:lpstr>L_SXSALP_SumIndex</vt:lpstr>
      <vt:lpstr>L_SxSALP_SumTable</vt:lpstr>
      <vt:lpstr>L_SxSALPInput_Hdr</vt:lpstr>
      <vt:lpstr>L_SxSALPInput_Index</vt:lpstr>
      <vt:lpstr>L_SxSInput_Index</vt:lpstr>
      <vt:lpstr>L_SxSM_ButtonRow</vt:lpstr>
      <vt:lpstr>LastBaseline</vt:lpstr>
      <vt:lpstr>LastProposed</vt:lpstr>
      <vt:lpstr>Lighting_Residential_Hdr</vt:lpstr>
      <vt:lpstr>Lighting_Residential_Index</vt:lpstr>
      <vt:lpstr>Lighting_Residential_Table</vt:lpstr>
      <vt:lpstr>Lighting_SxS_Residential_Hdr</vt:lpstr>
      <vt:lpstr>Lighting_SxS_Residential_Index</vt:lpstr>
      <vt:lpstr>Lighting_SxS_Residential_Table</vt:lpstr>
      <vt:lpstr>MBD_BS_Hdr</vt:lpstr>
      <vt:lpstr>MBD_BS_Index</vt:lpstr>
      <vt:lpstr>MBD_BS_Table</vt:lpstr>
      <vt:lpstr>MBD_BSTotal_Index</vt:lpstr>
      <vt:lpstr>MBD_EMI_Hdr</vt:lpstr>
      <vt:lpstr>MBD_EMI_Index</vt:lpstr>
      <vt:lpstr>MBD_EMI_Table</vt:lpstr>
      <vt:lpstr>'Multiple Buildings Details'!MBD_EMSubsetRange</vt:lpstr>
      <vt:lpstr>MBD_LEEDNDEMSubsetExist</vt:lpstr>
      <vt:lpstr>MBD_rbModelMethod</vt:lpstr>
      <vt:lpstr>MD_BUS_Hdr</vt:lpstr>
      <vt:lpstr>MD_BUS_Index</vt:lpstr>
      <vt:lpstr>MD_BUS_SumHdr</vt:lpstr>
      <vt:lpstr>MD_BUS_SumIndex</vt:lpstr>
      <vt:lpstr>MD_BUS_SumTable</vt:lpstr>
      <vt:lpstr>MD_BUS_Table</vt:lpstr>
      <vt:lpstr>MD_HDUEC_Hdr</vt:lpstr>
      <vt:lpstr>MD_HDUEC_Index</vt:lpstr>
      <vt:lpstr>MD_HDUEC_Table</vt:lpstr>
      <vt:lpstr>MD_HDUEMS_Table</vt:lpstr>
      <vt:lpstr>MD_HLREMS_Index</vt:lpstr>
      <vt:lpstr>MD_HLREMS_Table</vt:lpstr>
      <vt:lpstr>MD_HSWHLS_Table</vt:lpstr>
      <vt:lpstr>MD_Laundry_Hdr</vt:lpstr>
      <vt:lpstr>MD_Laundry_Index</vt:lpstr>
      <vt:lpstr>MD_Laundry_Table</vt:lpstr>
      <vt:lpstr>'Multifamily Details'!MD_SWH_Profile</vt:lpstr>
      <vt:lpstr>ModelingMethod</vt:lpstr>
      <vt:lpstr>Motor_Horsepower</vt:lpstr>
      <vt:lpstr>Motor_Horsepower_Nominal_Efficiency_IP</vt:lpstr>
      <vt:lpstr>Motor_Horsepower_Nominal_Efficiency_SI</vt:lpstr>
      <vt:lpstr>MultipleBuildingsExist</vt:lpstr>
      <vt:lpstr>Natural_Gas</vt:lpstr>
      <vt:lpstr>OA_AGEWC_hdr</vt:lpstr>
      <vt:lpstr>OA_AGEWC_Index</vt:lpstr>
      <vt:lpstr>OA_AGEWC_table</vt:lpstr>
      <vt:lpstr>OA_BGEWC_hdr</vt:lpstr>
      <vt:lpstr>OA_BGEWC_Index</vt:lpstr>
      <vt:lpstr>OA_BGEWC_table</vt:lpstr>
      <vt:lpstr>OA_EFC_hdr</vt:lpstr>
      <vt:lpstr>OA_EFC_Index</vt:lpstr>
      <vt:lpstr>OA_EFC_table</vt:lpstr>
      <vt:lpstr>OA_OBEC_hdr</vt:lpstr>
      <vt:lpstr>OA_OBEC_Index</vt:lpstr>
      <vt:lpstr>OA_OBEC_table</vt:lpstr>
      <vt:lpstr>OA_OD_hdr</vt:lpstr>
      <vt:lpstr>OA_OD_Index</vt:lpstr>
      <vt:lpstr>OA_OD_table</vt:lpstr>
      <vt:lpstr>OA_SOGF_hdr</vt:lpstr>
      <vt:lpstr>OA_SOGF_Index</vt:lpstr>
      <vt:lpstr>OA_SOGF_table</vt:lpstr>
      <vt:lpstr>OutputSheetNames</vt:lpstr>
      <vt:lpstr>pctNew</vt:lpstr>
      <vt:lpstr>PctRenovation</vt:lpstr>
      <vt:lpstr>PL_BAEPD_Hdr</vt:lpstr>
      <vt:lpstr>PL_BAEPD_Index</vt:lpstr>
      <vt:lpstr>PL_BAEPD_Table</vt:lpstr>
      <vt:lpstr>PL_BAEPDInput_Index</vt:lpstr>
      <vt:lpstr>PL_EPD_SumHdr</vt:lpstr>
      <vt:lpstr>PL_EPD_SumIndex</vt:lpstr>
      <vt:lpstr>PL_EPD_SumTable</vt:lpstr>
      <vt:lpstr>PL_GFPC_Index</vt:lpstr>
      <vt:lpstr>PL_GFPC_Table</vt:lpstr>
      <vt:lpstr>PL_NRPEInput_Index</vt:lpstr>
      <vt:lpstr>PL_REMM_BAMBoolean</vt:lpstr>
      <vt:lpstr>PL_REMM_Description</vt:lpstr>
      <vt:lpstr>PL_REMM_SxSBoolean</vt:lpstr>
      <vt:lpstr>PL_SxSEPD_Hdr</vt:lpstr>
      <vt:lpstr>PL_SxSEPD_Index</vt:lpstr>
      <vt:lpstr>PL_SxSEPD_Table</vt:lpstr>
      <vt:lpstr>PL_SxSEPDInput_Index</vt:lpstr>
      <vt:lpstr>Performance_Outputs_0!PO_base_Add_EndUses</vt:lpstr>
      <vt:lpstr>Performance_Outputs_1!PO_base_Add_EndUses</vt:lpstr>
      <vt:lpstr>Performance_Outputs_0!PO_baseline_hdr</vt:lpstr>
      <vt:lpstr>Performance_Outputs_1!PO_baseline_hdr</vt:lpstr>
      <vt:lpstr>Performance_Outputs_0!PO_baseline_index</vt:lpstr>
      <vt:lpstr>Performance_Outputs_1!PO_baseline_index</vt:lpstr>
      <vt:lpstr>Performance_Outputs_0!PO_Baseline_Subtotal_table</vt:lpstr>
      <vt:lpstr>Performance_Outputs_1!PO_Baseline_Subtotal_table</vt:lpstr>
      <vt:lpstr>Performance_Outputs_Summary!PO_Baseline_Subtotal_table</vt:lpstr>
      <vt:lpstr>Performance_Outputs_0!PO_baseline_table</vt:lpstr>
      <vt:lpstr>PO_baseline_table</vt:lpstr>
      <vt:lpstr>Performance_Outputs_0!PO_BaselineSection</vt:lpstr>
      <vt:lpstr>Performance_Outputs_1!PO_BaselineSection</vt:lpstr>
      <vt:lpstr>Performance_Outputs_0!PO_Datacenter_averaged_tables</vt:lpstr>
      <vt:lpstr>Performance_Outputs_1!PO_Datacenter_averaged_tables</vt:lpstr>
      <vt:lpstr>Performance_Outputs_Summary!PO_Datacenter_averaged_tables</vt:lpstr>
      <vt:lpstr>Performance_Outputs_0!PO_Datacenter_PUE_table</vt:lpstr>
      <vt:lpstr>Performance_Outputs_1!PO_Datacenter_PUE_table</vt:lpstr>
      <vt:lpstr>Performance_Outputs_0!PO_Datacenter_text1</vt:lpstr>
      <vt:lpstr>Performance_Outputs_1!PO_Datacenter_text1</vt:lpstr>
      <vt:lpstr>Performance_Outputs_0!PO_Datacenter_text2</vt:lpstr>
      <vt:lpstr>Performance_Outputs_1!PO_Datacenter_text2</vt:lpstr>
      <vt:lpstr>Performance_Outputs_0!PO_Datacenter_text3</vt:lpstr>
      <vt:lpstr>Performance_Outputs_1!PO_Datacenter_text3</vt:lpstr>
      <vt:lpstr>Performance_Outputs_0!PO_DES_PRM_Section</vt:lpstr>
      <vt:lpstr>Performance_Outputs_1!PO_DES_PRM_Section</vt:lpstr>
      <vt:lpstr>Performance_Outputs_0!PO_DESbase_Enrgy_Hdr</vt:lpstr>
      <vt:lpstr>Performance_Outputs_1!PO_DESbase_Enrgy_Hdr</vt:lpstr>
      <vt:lpstr>Performance_Outputs_0!PO_DESbase_Enrgy_Index</vt:lpstr>
      <vt:lpstr>Performance_Outputs_1!PO_DESbase_Enrgy_Index</vt:lpstr>
      <vt:lpstr>Performance_Outputs_0!PO_DESbase_Enrgy_Table</vt:lpstr>
      <vt:lpstr>Performance_Outputs_1!PO_DESbase_Enrgy_Table</vt:lpstr>
      <vt:lpstr>Performance_Outputs_0!PO_DESdesign_Enrgy_Hdr</vt:lpstr>
      <vt:lpstr>Performance_Outputs_1!PO_DESdesign_Enrgy_Hdr</vt:lpstr>
      <vt:lpstr>Performance_Outputs_0!PO_DESdesign_Enrgy_Index</vt:lpstr>
      <vt:lpstr>Performance_Outputs_1!PO_DESdesign_Enrgy_Index</vt:lpstr>
      <vt:lpstr>Performance_Outputs_0!PO_DESdesign_Enrgy_Table</vt:lpstr>
      <vt:lpstr>Performance_Outputs_1!PO_DESdesign_Enrgy_Table</vt:lpstr>
      <vt:lpstr>Performance_Outputs_0!PO_design_Add_EndUses</vt:lpstr>
      <vt:lpstr>Performance_Outputs_1!PO_design_Add_EndUses</vt:lpstr>
      <vt:lpstr>Performance_Outputs_Summary!PO_design_Add_EndUses</vt:lpstr>
      <vt:lpstr>Performance_Outputs_0!PO_design_hdr</vt:lpstr>
      <vt:lpstr>Performance_Outputs_1!PO_design_hdr</vt:lpstr>
      <vt:lpstr>Performance_Outputs_Summary!PO_design_hdr</vt:lpstr>
      <vt:lpstr>Performance_Outputs_0!PO_design_index</vt:lpstr>
      <vt:lpstr>Performance_Outputs_1!PO_design_index</vt:lpstr>
      <vt:lpstr>Performance_Outputs_Summary!PO_design_index</vt:lpstr>
      <vt:lpstr>Performance_Outputs_0!PO_design_table</vt:lpstr>
      <vt:lpstr>Performance_Outputs_1!PO_design_table</vt:lpstr>
      <vt:lpstr>Performance_Outputs_Summary!PO_design_table</vt:lpstr>
      <vt:lpstr>Performance_Outputs_Summary!PO_DesignOutputs_Section</vt:lpstr>
      <vt:lpstr>Performance_Outputs_0!PO_DESPath1_text1</vt:lpstr>
      <vt:lpstr>Performance_Outputs_1!PO_DESPath1_text1</vt:lpstr>
      <vt:lpstr>Performance_Outputs_0!PO_DESPath1_text2</vt:lpstr>
      <vt:lpstr>Performance_Outputs_1!PO_DESPath1_text2</vt:lpstr>
      <vt:lpstr>Performance_Outputs_0!PO_DESPath1_text3</vt:lpstr>
      <vt:lpstr>Performance_Outputs_1!PO_DESPath1_text3</vt:lpstr>
      <vt:lpstr>Performance_Outputs_0!PO_DESPath2_text1</vt:lpstr>
      <vt:lpstr>Performance_Outputs_1!PO_DESPath2_text1</vt:lpstr>
      <vt:lpstr>Performance_Outputs_0!PO_DESPath2_text2</vt:lpstr>
      <vt:lpstr>Performance_Outputs_1!PO_DESPath2_text2</vt:lpstr>
      <vt:lpstr>Performance_Outputs_0!PO_DESpath2_text3</vt:lpstr>
      <vt:lpstr>Performance_Outputs_1!PO_DESpath2_text3</vt:lpstr>
      <vt:lpstr>Performance_Outputs_0!PO_DESPath3_tables</vt:lpstr>
      <vt:lpstr>Performance_Outputs_1!PO_DESPath3_tables</vt:lpstr>
      <vt:lpstr>Performance_Outputs_0!PO_DESPath3_text1</vt:lpstr>
      <vt:lpstr>Performance_Outputs_1!PO_DESPath3_text1</vt:lpstr>
      <vt:lpstr>Performance_Outputs_0!PO_DESPath3_text2</vt:lpstr>
      <vt:lpstr>Performance_Outputs_1!PO_DESPath3_text2</vt:lpstr>
      <vt:lpstr>Performance_Outputs_0!PO_DESPath3_text3</vt:lpstr>
      <vt:lpstr>Performance_Outputs_1!PO_DESPath3_text3</vt:lpstr>
      <vt:lpstr>Performance_Outputs_Summary!PO_DESPath3outputs</vt:lpstr>
      <vt:lpstr>Performance_Outputs_0!PO_EnergyEndUses</vt:lpstr>
      <vt:lpstr>Performance_Outputs_1!PO_EnergyEndUses</vt:lpstr>
      <vt:lpstr>Performance_Outputs_Summary!PO_EnergyEndUses</vt:lpstr>
      <vt:lpstr>Performance_Outputs_0!PO_EnergyReportingMethod</vt:lpstr>
      <vt:lpstr>Performance_Outputs_1!PO_EnergyReportingMethod</vt:lpstr>
      <vt:lpstr>Performance_Outputs_Summary!PO_EnergySources_Section</vt:lpstr>
      <vt:lpstr>Performance_Outputs_0!PO_EnergyType</vt:lpstr>
      <vt:lpstr>Performance_Outputs_1!PO_EnergyType</vt:lpstr>
      <vt:lpstr>Performance_Outputs_Summary!PO_EnergyType</vt:lpstr>
      <vt:lpstr>Performance_Outputs_0!PO_Enrgy_1_Hdr</vt:lpstr>
      <vt:lpstr>Performance_Outputs_1!PO_Enrgy_1_Hdr</vt:lpstr>
      <vt:lpstr>Performance_Outputs_Summary!PO_Enrgy_1_Hdr</vt:lpstr>
      <vt:lpstr>Performance_Outputs_0!PO_Enrgy_1_Index</vt:lpstr>
      <vt:lpstr>Performance_Outputs_1!PO_Enrgy_1_Index</vt:lpstr>
      <vt:lpstr>Performance_Outputs_Summary!PO_Enrgy_1_Index</vt:lpstr>
      <vt:lpstr>Performance_Outputs_0!PO_Enrgy_1_Table</vt:lpstr>
      <vt:lpstr>Performance_Outputs_1!PO_Enrgy_1_Table</vt:lpstr>
      <vt:lpstr>Performance_Outputs_Summary!PO_Enrgy_1_Table</vt:lpstr>
      <vt:lpstr>Performance_Outputs_0!PO_Enrgy_10_Hdr</vt:lpstr>
      <vt:lpstr>Performance_Outputs_1!PO_Enrgy_10_Hdr</vt:lpstr>
      <vt:lpstr>Performance_Outputs_0!PO_Enrgy_10_Index</vt:lpstr>
      <vt:lpstr>Performance_Outputs_1!PO_Enrgy_10_Index</vt:lpstr>
      <vt:lpstr>Performance_Outputs_0!PO_Enrgy_10_Table</vt:lpstr>
      <vt:lpstr>Performance_Outputs_1!PO_Enrgy_10_Table</vt:lpstr>
      <vt:lpstr>Performance_Outputs_0!PO_Enrgy_11_Hdr</vt:lpstr>
      <vt:lpstr>Performance_Outputs_1!PO_Enrgy_11_Hdr</vt:lpstr>
      <vt:lpstr>Performance_Outputs_0!PO_Enrgy_11_Index</vt:lpstr>
      <vt:lpstr>Performance_Outputs_1!PO_Enrgy_11_Index</vt:lpstr>
      <vt:lpstr>Performance_Outputs_0!PO_Enrgy_11_Table</vt:lpstr>
      <vt:lpstr>Performance_Outputs_1!PO_Enrgy_11_Table</vt:lpstr>
      <vt:lpstr>Performance_Outputs_0!PO_Enrgy_12_Hdr</vt:lpstr>
      <vt:lpstr>Performance_Outputs_1!PO_Enrgy_12_Hdr</vt:lpstr>
      <vt:lpstr>Performance_Outputs_0!PO_Enrgy_12_Index</vt:lpstr>
      <vt:lpstr>Performance_Outputs_1!PO_Enrgy_12_Index</vt:lpstr>
      <vt:lpstr>Performance_Outputs_0!PO_Enrgy_12_Table</vt:lpstr>
      <vt:lpstr>Performance_Outputs_1!PO_Enrgy_12_Table</vt:lpstr>
      <vt:lpstr>Performance_Outputs_0!PO_Enrgy_13_Hdr</vt:lpstr>
      <vt:lpstr>Performance_Outputs_1!PO_Enrgy_13_Hdr</vt:lpstr>
      <vt:lpstr>Performance_Outputs_Summary!PO_Enrgy_13_Hdr</vt:lpstr>
      <vt:lpstr>Performance_Outputs_0!PO_Enrgy_13_Index</vt:lpstr>
      <vt:lpstr>Performance_Outputs_1!PO_Enrgy_13_Index</vt:lpstr>
      <vt:lpstr>Performance_Outputs_Summary!PO_Enrgy_13_Index</vt:lpstr>
      <vt:lpstr>Performance_Outputs_0!PO_Enrgy_13_Table</vt:lpstr>
      <vt:lpstr>Performance_Outputs_1!PO_Enrgy_13_Table</vt:lpstr>
      <vt:lpstr>Performance_Outputs_Summary!PO_Enrgy_13_Table</vt:lpstr>
      <vt:lpstr>Performance_Outputs_0!PO_Enrgy_14_Hdr</vt:lpstr>
      <vt:lpstr>Performance_Outputs_1!PO_Enrgy_14_Hdr</vt:lpstr>
      <vt:lpstr>Performance_Outputs_Summary!PO_Enrgy_14_Hdr</vt:lpstr>
      <vt:lpstr>Performance_Outputs_0!PO_Enrgy_14_Index</vt:lpstr>
      <vt:lpstr>Performance_Outputs_1!PO_Enrgy_14_Index</vt:lpstr>
      <vt:lpstr>Performance_Outputs_Summary!PO_Enrgy_14_Index</vt:lpstr>
      <vt:lpstr>Performance_Outputs_0!PO_Enrgy_14_Table</vt:lpstr>
      <vt:lpstr>Performance_Outputs_1!PO_Enrgy_14_Table</vt:lpstr>
      <vt:lpstr>Performance_Outputs_Summary!PO_Enrgy_14_Table</vt:lpstr>
      <vt:lpstr>Performance_Outputs_0!PO_Enrgy_15_Hdr</vt:lpstr>
      <vt:lpstr>Performance_Outputs_1!PO_Enrgy_15_Hdr</vt:lpstr>
      <vt:lpstr>Performance_Outputs_0!PO_Enrgy_15_Index</vt:lpstr>
      <vt:lpstr>Performance_Outputs_1!PO_Enrgy_15_Index</vt:lpstr>
      <vt:lpstr>Performance_Outputs_0!PO_Enrgy_15_Table</vt:lpstr>
      <vt:lpstr>Performance_Outputs_1!PO_Enrgy_15_Table</vt:lpstr>
      <vt:lpstr>Performance_Outputs_0!PO_Enrgy_16_Hdr</vt:lpstr>
      <vt:lpstr>Performance_Outputs_1!PO_Enrgy_16_Hdr</vt:lpstr>
      <vt:lpstr>Performance_Outputs_Summary!PO_Enrgy_16_Hdr</vt:lpstr>
      <vt:lpstr>Performance_Outputs_0!PO_Enrgy_16_Index</vt:lpstr>
      <vt:lpstr>Performance_Outputs_1!PO_Enrgy_16_Index</vt:lpstr>
      <vt:lpstr>Performance_Outputs_Summary!PO_Enrgy_16_Index</vt:lpstr>
      <vt:lpstr>Performance_Outputs_0!PO_Enrgy_16_Table</vt:lpstr>
      <vt:lpstr>Performance_Outputs_1!PO_Enrgy_16_Table</vt:lpstr>
      <vt:lpstr>Performance_Outputs_Summary!PO_Enrgy_16_Table</vt:lpstr>
      <vt:lpstr>Performance_Outputs_0!PO_Enrgy_2_Hdr</vt:lpstr>
      <vt:lpstr>Performance_Outputs_1!PO_Enrgy_2_Hdr</vt:lpstr>
      <vt:lpstr>Performance_Outputs_0!PO_Enrgy_2_Index</vt:lpstr>
      <vt:lpstr>Performance_Outputs_1!PO_Enrgy_2_Index</vt:lpstr>
      <vt:lpstr>Performance_Outputs_0!PO_Enrgy_2_Table</vt:lpstr>
      <vt:lpstr>Performance_Outputs_1!PO_Enrgy_2_Table</vt:lpstr>
      <vt:lpstr>Performance_Outputs_0!PO_Enrgy_3_Hdr</vt:lpstr>
      <vt:lpstr>Performance_Outputs_1!PO_Enrgy_3_Hdr</vt:lpstr>
      <vt:lpstr>Performance_Outputs_0!PO_Enrgy_3_Index</vt:lpstr>
      <vt:lpstr>Performance_Outputs_1!PO_Enrgy_3_Index</vt:lpstr>
      <vt:lpstr>Performance_Outputs_0!PO_Enrgy_3_Table</vt:lpstr>
      <vt:lpstr>Performance_Outputs_1!PO_Enrgy_3_Table</vt:lpstr>
      <vt:lpstr>Performance_Outputs_0!PO_Enrgy_4_Hdr</vt:lpstr>
      <vt:lpstr>Performance_Outputs_1!PO_Enrgy_4_Hdr</vt:lpstr>
      <vt:lpstr>Performance_Outputs_0!PO_Enrgy_4_Index</vt:lpstr>
      <vt:lpstr>Performance_Outputs_1!PO_Enrgy_4_Index</vt:lpstr>
      <vt:lpstr>Performance_Outputs_0!PO_Enrgy_4_Table</vt:lpstr>
      <vt:lpstr>Performance_Outputs_1!PO_Enrgy_4_Table</vt:lpstr>
      <vt:lpstr>Performance_Outputs_0!PO_Enrgy_5_Hdr</vt:lpstr>
      <vt:lpstr>Performance_Outputs_1!PO_Enrgy_5_Hdr</vt:lpstr>
      <vt:lpstr>Performance_Outputs_0!PO_Enrgy_5_Index</vt:lpstr>
      <vt:lpstr>Performance_Outputs_1!PO_Enrgy_5_Index</vt:lpstr>
      <vt:lpstr>Performance_Outputs_0!PO_Enrgy_5_Table</vt:lpstr>
      <vt:lpstr>Performance_Outputs_1!PO_Enrgy_5_Table</vt:lpstr>
      <vt:lpstr>Performance_Outputs_0!PO_Enrgy_6_Hdr</vt:lpstr>
      <vt:lpstr>Performance_Outputs_1!PO_Enrgy_6_Hdr</vt:lpstr>
      <vt:lpstr>Performance_Outputs_0!PO_Enrgy_6_Index</vt:lpstr>
      <vt:lpstr>Performance_Outputs_1!PO_Enrgy_6_Index</vt:lpstr>
      <vt:lpstr>Performance_Outputs_0!PO_Enrgy_6_Table</vt:lpstr>
      <vt:lpstr>Performance_Outputs_1!PO_Enrgy_6_Table</vt:lpstr>
      <vt:lpstr>Performance_Outputs_0!PO_Enrgy_7_Hdr</vt:lpstr>
      <vt:lpstr>Performance_Outputs_1!PO_Enrgy_7_Hdr</vt:lpstr>
      <vt:lpstr>Performance_Outputs_Summary!PO_Enrgy_7_Hdr</vt:lpstr>
      <vt:lpstr>Performance_Outputs_0!PO_Enrgy_7_Index</vt:lpstr>
      <vt:lpstr>Performance_Outputs_1!PO_Enrgy_7_Index</vt:lpstr>
      <vt:lpstr>Performance_Outputs_Summary!PO_Enrgy_7_Index</vt:lpstr>
      <vt:lpstr>Performance_Outputs_0!PO_Enrgy_7_Table</vt:lpstr>
      <vt:lpstr>Performance_Outputs_1!PO_Enrgy_7_Table</vt:lpstr>
      <vt:lpstr>Performance_Outputs_Summary!PO_Enrgy_7_Table</vt:lpstr>
      <vt:lpstr>Performance_Outputs_0!PO_Enrgy_8_Hdr</vt:lpstr>
      <vt:lpstr>Performance_Outputs_1!PO_Enrgy_8_Hdr</vt:lpstr>
      <vt:lpstr>Performance_Outputs_Summary!PO_Enrgy_8_Hdr</vt:lpstr>
      <vt:lpstr>Performance_Outputs_0!PO_Enrgy_8_Index</vt:lpstr>
      <vt:lpstr>Performance_Outputs_1!PO_Enrgy_8_Index</vt:lpstr>
      <vt:lpstr>Performance_Outputs_Summary!PO_Enrgy_8_Index</vt:lpstr>
      <vt:lpstr>Performance_Outputs_0!PO_Enrgy_8_Table</vt:lpstr>
      <vt:lpstr>Performance_Outputs_1!PO_Enrgy_8_Table</vt:lpstr>
      <vt:lpstr>Performance_Outputs_Summary!PO_Enrgy_8_Table</vt:lpstr>
      <vt:lpstr>Performance_Outputs_0!PO_Enrgy_9_Hdr</vt:lpstr>
      <vt:lpstr>Performance_Outputs_1!PO_Enrgy_9_Hdr</vt:lpstr>
      <vt:lpstr>Performance_Outputs_Summary!PO_Enrgy_9_Hdr</vt:lpstr>
      <vt:lpstr>Performance_Outputs_0!PO_Enrgy_9_Index</vt:lpstr>
      <vt:lpstr>Performance_Outputs_1!PO_Enrgy_9_Index</vt:lpstr>
      <vt:lpstr>Performance_Outputs_Summary!PO_Enrgy_9_Index</vt:lpstr>
      <vt:lpstr>Performance_Outputs_0!PO_Enrgy_9_Table</vt:lpstr>
      <vt:lpstr>Performance_Outputs_1!PO_Enrgy_9_Table</vt:lpstr>
      <vt:lpstr>Performance_Outputs_Summary!PO_Enrgy_9_Table</vt:lpstr>
      <vt:lpstr>Performance_Outputs_0!PO_eQUESTOutputColumn</vt:lpstr>
      <vt:lpstr>Performance_Outputs_1!PO_eQUESTOutputColumn</vt:lpstr>
      <vt:lpstr>Performance_Outputs_0!PO_ExCalc_Hdr</vt:lpstr>
      <vt:lpstr>Performance_Outputs_1!PO_ExCalc_Hdr</vt:lpstr>
      <vt:lpstr>Performance_Outputs_0!PO_ExCalc_Table</vt:lpstr>
      <vt:lpstr>Performance_Outputs_1!PO_ExCalc_Table</vt:lpstr>
      <vt:lpstr>Performance_Outputs_0!PO_ExCalcOutputs</vt:lpstr>
      <vt:lpstr>Performance_Outputs_1!PO_ExCalcOutputs</vt:lpstr>
      <vt:lpstr>Performance_Outputs_Summary!PO_ExCalcOutputs</vt:lpstr>
      <vt:lpstr>Performance_Outputs_0!PO_ExCalcSection</vt:lpstr>
      <vt:lpstr>Performance_Outputs_1!PO_ExCalcSection</vt:lpstr>
      <vt:lpstr>Performance_Outputs_0!PO_ExLBaseAnchor</vt:lpstr>
      <vt:lpstr>PO_ExLBaseAnchor</vt:lpstr>
      <vt:lpstr>Performance_Outputs_0!PO_ModelID</vt:lpstr>
      <vt:lpstr>Performance_Outputs_1!PO_ModelID</vt:lpstr>
      <vt:lpstr>Performance_Outputs_0!PO_ModelSubtotal</vt:lpstr>
      <vt:lpstr>Performance_Outputs_1!PO_ModelSubtotal</vt:lpstr>
      <vt:lpstr>Performance_Outputs_Summary!PO_ModelSubtotal</vt:lpstr>
      <vt:lpstr>Performance_Outputs_0!PO_ModelSubtotals</vt:lpstr>
      <vt:lpstr>Performance_Outputs_1!PO_ModelSubtotals</vt:lpstr>
      <vt:lpstr>Performance_Outputs_Summary!PO_ModelSubtotals</vt:lpstr>
      <vt:lpstr>Performance_Outputs_0!PO_Multiplier</vt:lpstr>
      <vt:lpstr>Performance_Outputs_1!PO_Multiplier</vt:lpstr>
      <vt:lpstr>Performance_Outputs_0!PO_PRM_Total_Section</vt:lpstr>
      <vt:lpstr>Performance_Outputs_1!PO_PRM_Total_Section</vt:lpstr>
      <vt:lpstr>Performance_Outputs_Summary!PO_PRM_Total_Section</vt:lpstr>
      <vt:lpstr>Performance_Outputs_1!PO_QA_BaseExtLtgDem</vt:lpstr>
      <vt:lpstr>Performance_Outputs_1!PO_QA_DesignExtLtgDem</vt:lpstr>
      <vt:lpstr>Performance_Outputs_0!PO_QACheck</vt:lpstr>
      <vt:lpstr>Performance_Outputs_1!PO_QACheck</vt:lpstr>
      <vt:lpstr>Performance_Outputs_0!PO_qcrenewtablelookup</vt:lpstr>
      <vt:lpstr>Performance_Outputs_1!PO_qcrenewtablelookup</vt:lpstr>
      <vt:lpstr>Performance_Outputs_0!PO_QCvirtuallookup</vt:lpstr>
      <vt:lpstr>Performance_Outputs_1!PO_QCvirtuallookup</vt:lpstr>
      <vt:lpstr>Performance_Outputs_Summary!PO_QCvirtuallookup</vt:lpstr>
      <vt:lpstr>Performance_Outputs_0!PO_QCvirtualratetable</vt:lpstr>
      <vt:lpstr>Performance_Outputs_1!PO_QCvirtualratetable</vt:lpstr>
      <vt:lpstr>Performance_Outputs_Summary!PO_QCvirtualratetable</vt:lpstr>
      <vt:lpstr>Performance_Outputs_0!PO_renewable_hdr</vt:lpstr>
      <vt:lpstr>Performance_Outputs_1!PO_renewable_hdr</vt:lpstr>
      <vt:lpstr>Performance_Outputs_0!PO_renewable_Index</vt:lpstr>
      <vt:lpstr>Performance_Outputs_1!PO_renewable_Index</vt:lpstr>
      <vt:lpstr>Performance_Outputs_0!PO_renewable_table</vt:lpstr>
      <vt:lpstr>Performance_Outputs_1!PO_renewable_table</vt:lpstr>
      <vt:lpstr>Performance_Outputs_0!PO_RenewableEnergyTotal</vt:lpstr>
      <vt:lpstr>Performance_Outputs_1!PO_RenewableEnergyTotal</vt:lpstr>
      <vt:lpstr>Performance_Outputs_0!PO_RenewableOutputs</vt:lpstr>
      <vt:lpstr>Performance_Outputs_1!PO_RenewableOutputs</vt:lpstr>
      <vt:lpstr>Performance_Outputs_Summary!PO_RenewableOutputs</vt:lpstr>
      <vt:lpstr>Performance_Outputs_0!PO_RenewableRange</vt:lpstr>
      <vt:lpstr>Performance_Outputs_1!PO_RenewableRange</vt:lpstr>
      <vt:lpstr>Performance_Outputs_0!PO_Retail_text1</vt:lpstr>
      <vt:lpstr>Performance_Outputs_1!PO_Retail_text1</vt:lpstr>
      <vt:lpstr>Performance_Outputs_0!PO_Retail_text2</vt:lpstr>
      <vt:lpstr>Performance_Outputs_1!PO_Retail_text2</vt:lpstr>
      <vt:lpstr>Performance_Outputs_0!PO_Section_Baseline</vt:lpstr>
      <vt:lpstr>Performance_Outputs_1!PO_Section_Baseline</vt:lpstr>
      <vt:lpstr>Performance_Outputs_0!PO_SectionExCalc</vt:lpstr>
      <vt:lpstr>Performance_Outputs_1!PO_SectionExCalc</vt:lpstr>
      <vt:lpstr>Performance_Outputs_0!PO_SectionUnmetLoads</vt:lpstr>
      <vt:lpstr>Performance_Outputs_1!PO_SectionUnmetLoads</vt:lpstr>
      <vt:lpstr>Performance_Outputs_0!PO_ShowExCalc</vt:lpstr>
      <vt:lpstr>Performance_Outputs_1!PO_ShowExCalc</vt:lpstr>
      <vt:lpstr>Performance_Outputs_0!PO_SiteRenewable</vt:lpstr>
      <vt:lpstr>Performance_Outputs_1!PO_SiteRenewable</vt:lpstr>
      <vt:lpstr>Performance_Outputs_0!PO_SiteUnits</vt:lpstr>
      <vt:lpstr>Performance_Outputs_1!PO_SiteUnits</vt:lpstr>
      <vt:lpstr>Performance_Outputs_Summary!PO_SiteUnits</vt:lpstr>
      <vt:lpstr>Performance_Outputs_0!PO_SourceUnits</vt:lpstr>
      <vt:lpstr>Performance_Outputs_1!PO_SourceUnits</vt:lpstr>
      <vt:lpstr>Performance_Outputs_Summary!PO_SourceUnits</vt:lpstr>
      <vt:lpstr>Performance_Outputs_0!PO_TableExceptionalCalc</vt:lpstr>
      <vt:lpstr>Performance_Outputs_1!PO_TableExceptionalCalc</vt:lpstr>
      <vt:lpstr>Performance_Outputs_0!PO_TableSiteRenewable</vt:lpstr>
      <vt:lpstr>Performance_Outputs_1!PO_TableSiteRenewable</vt:lpstr>
      <vt:lpstr>Performance_Outputs_0!PO_TraceOutputColumns</vt:lpstr>
      <vt:lpstr>Performance_Outputs_1!PO_TraceOutputColumns</vt:lpstr>
      <vt:lpstr>Performance_Outputs_0!PO_VirtualEnergyRate</vt:lpstr>
      <vt:lpstr>Performance_Outputs_1!PO_VirtualEnergyRate</vt:lpstr>
      <vt:lpstr>Performance_Outputs_0!PO_VR_hdr</vt:lpstr>
      <vt:lpstr>Performance_Outputs_1!PO_VR_hdr</vt:lpstr>
      <vt:lpstr>Performance_Outputs_0!PO_VR_table</vt:lpstr>
      <vt:lpstr>Performance_Outputs_1!PO_VR_table</vt:lpstr>
      <vt:lpstr>Performance_Outputs_0!Print_Area</vt:lpstr>
      <vt:lpstr>Performance_Outputs_1!Print_Area</vt:lpstr>
      <vt:lpstr>Performance_Outputs_Summary!Print_Area</vt:lpstr>
      <vt:lpstr>proj_RatingSystem</vt:lpstr>
      <vt:lpstr>ProjectEnergyTypes2</vt:lpstr>
      <vt:lpstr>ProjectEnergyTypeTable2</vt:lpstr>
      <vt:lpstr>ProjectPhaseCompleteness</vt:lpstr>
      <vt:lpstr>ProposedAnchor</vt:lpstr>
      <vt:lpstr>ProposedHVACModeled</vt:lpstr>
      <vt:lpstr>Performance_Outputs_0!QA_Check</vt:lpstr>
      <vt:lpstr>Performance_Outputs_1!QA_Check</vt:lpstr>
      <vt:lpstr>Performance_Outputs_Summary!QA_Check</vt:lpstr>
      <vt:lpstr>QCConsumptionConvert</vt:lpstr>
      <vt:lpstr>QCDemandConvert</vt:lpstr>
      <vt:lpstr>Performance_Outputs_0!QCEnSaveRank</vt:lpstr>
      <vt:lpstr>Performance_Outputs_Summary!QCEnSaveRank</vt:lpstr>
      <vt:lpstr>QCEnSaveRank</vt:lpstr>
      <vt:lpstr>Performance_Outputs_0!qcExCalcbasediff</vt:lpstr>
      <vt:lpstr>Performance_Outputs_1!qcExCalcbasediff</vt:lpstr>
      <vt:lpstr>Performance_Outputs_Summary!qcExCalcbasediff</vt:lpstr>
      <vt:lpstr>Performance_Outputs_0!qcExCalcbasediff2</vt:lpstr>
      <vt:lpstr>Performance_Outputs_Summary!qcExCalcbasediff2</vt:lpstr>
      <vt:lpstr>qcExCalcbasediff2</vt:lpstr>
      <vt:lpstr>Performance_Outputs_0!qcExLPerfAnchor</vt:lpstr>
      <vt:lpstr>Performance_Outputs_Summary!qcExLPerfAnchor</vt:lpstr>
      <vt:lpstr>qcExLPerfAnchor</vt:lpstr>
      <vt:lpstr>qcnontrade</vt:lpstr>
      <vt:lpstr>Qty_Bedrooms</vt:lpstr>
      <vt:lpstr>Qty_Res_Units</vt:lpstr>
      <vt:lpstr>RatingSystem</vt:lpstr>
      <vt:lpstr>RatingSystem_IDC</vt:lpstr>
      <vt:lpstr>RatingSystemSelection</vt:lpstr>
      <vt:lpstr>rbOutputReporting</vt:lpstr>
      <vt:lpstr>RenewableSource</vt:lpstr>
      <vt:lpstr>Res_Usage_Profile_Table</vt:lpstr>
      <vt:lpstr>ResDwellingUnitsExist</vt:lpstr>
      <vt:lpstr>Performance_Outputs_0!RNvsVIRTqcCheck</vt:lpstr>
      <vt:lpstr>Performance_Outputs_Summary!RNvsVIRTqcCheck</vt:lpstr>
      <vt:lpstr>RNvsVIRTqcCheck</vt:lpstr>
      <vt:lpstr>S_ResDwellingSchedule</vt:lpstr>
      <vt:lpstr>S_S_TotalPoints</vt:lpstr>
      <vt:lpstr>S_Sched_Hdr</vt:lpstr>
      <vt:lpstr>S_Sched_Index</vt:lpstr>
      <vt:lpstr>S_Sched_Table</vt:lpstr>
      <vt:lpstr>SbSanchor</vt:lpstr>
      <vt:lpstr>SbSequipTable</vt:lpstr>
      <vt:lpstr>SelectedSxS</vt:lpstr>
      <vt:lpstr>SF_BMZ_Table</vt:lpstr>
      <vt:lpstr>SF_qc40BaseFenestration</vt:lpstr>
      <vt:lpstr>SF_qcVerticalGlazingDiff</vt:lpstr>
      <vt:lpstr>SF_S_hdr</vt:lpstr>
      <vt:lpstr>SF_S_Index</vt:lpstr>
      <vt:lpstr>SF_S_table</vt:lpstr>
      <vt:lpstr>SF_VG_hdr</vt:lpstr>
      <vt:lpstr>SF_VG_Index</vt:lpstr>
      <vt:lpstr>SF_VG_table</vt:lpstr>
      <vt:lpstr>SI_IP_Units</vt:lpstr>
      <vt:lpstr>SimProgram</vt:lpstr>
      <vt:lpstr>SimTool</vt:lpstr>
      <vt:lpstr>SimulationProgram</vt:lpstr>
      <vt:lpstr>SkyLightDescs</vt:lpstr>
      <vt:lpstr>SWH_Fixture_Hdr</vt:lpstr>
      <vt:lpstr>SWH_Fixture_Index</vt:lpstr>
      <vt:lpstr>SWH_Fixture_Table</vt:lpstr>
      <vt:lpstr>SWH_Flow_Hdr</vt:lpstr>
      <vt:lpstr>SWH_Flow_Index</vt:lpstr>
      <vt:lpstr>SWH_Flow_Table</vt:lpstr>
      <vt:lpstr>SWH_Heater_Hdr</vt:lpstr>
      <vt:lpstr>SWH_Heater_Rows</vt:lpstr>
      <vt:lpstr>SWH_Heater_Table</vt:lpstr>
      <vt:lpstr>SxSCategories</vt:lpstr>
      <vt:lpstr>tableBAM</vt:lpstr>
      <vt:lpstr>tablesSxS</vt:lpstr>
      <vt:lpstr>tableSxS</vt:lpstr>
      <vt:lpstr>TemplateBaseline</vt:lpstr>
      <vt:lpstr>TemplateProposed</vt:lpstr>
      <vt:lpstr>ThermalTable</vt:lpstr>
      <vt:lpstr>ThermalTypes</vt:lpstr>
      <vt:lpstr>TradableSurfaces</vt:lpstr>
      <vt:lpstr>'Shading and Fenestration'!UfactorMethod</vt:lpstr>
      <vt:lpstr>UtilityRateStructure</vt:lpstr>
      <vt:lpstr>VertGlazeDescs</vt:lpstr>
      <vt:lpstr>WSHVAC_Base_System</vt:lpstr>
      <vt:lpstr>WSHVAC_Proposed_System</vt:lpstr>
      <vt:lpstr>Zone</vt:lpstr>
      <vt:lpstr>ZoneTable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dc:creator>
  <cp:lastModifiedBy>Lilliestierna, Noble</cp:lastModifiedBy>
  <cp:lastPrinted>2012-07-30T15:34:22Z</cp:lastPrinted>
  <dcterms:created xsi:type="dcterms:W3CDTF">2012-03-14T12:57:25Z</dcterms:created>
  <dcterms:modified xsi:type="dcterms:W3CDTF">2022-01-10T17:09:40Z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8fc07e74-f785-4a10-b3d4-6ca68b3cef1f</vt:lpwstr>
  </property>
</Properties>
</file>