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176428E6-CC11-C334-683E-B6102A28F97D}"/>
  <workbookPr codeName="ThisWorkbook"/>
  <mc:AlternateContent xmlns:mc="http://schemas.openxmlformats.org/markup-compatibility/2006">
    <mc:Choice Requires="x15">
      <x15ac:absPath xmlns:x15ac="http://schemas.microsoft.com/office/spreadsheetml/2010/11/ac" url="C:\Users\mikieffer\Dropbox (USGBC)\LEED\LEED\Technical Development\LEED v4.1\Form &amp; Calculator Updates\EQ\"/>
    </mc:Choice>
  </mc:AlternateContent>
  <xr:revisionPtr revIDLastSave="0" documentId="13_ncr:1_{85D257E4-8E82-472B-81DE-B7822291F86A}" xr6:coauthVersionLast="47" xr6:coauthVersionMax="47" xr10:uidLastSave="{00000000-0000-0000-0000-000000000000}"/>
  <bookViews>
    <workbookView xWindow="28680" yWindow="-120" windowWidth="29040" windowHeight="15840" xr2:uid="{00000000-000D-0000-FFFF-FFFF00000000}"/>
  </bookViews>
  <sheets>
    <sheet name="Instructions" sheetId="4" r:id="rId1"/>
    <sheet name="Multiple Zone" sheetId="14" state="hidden" r:id="rId2"/>
    <sheet name="100% OA" sheetId="10" state="hidden" r:id="rId3"/>
    <sheet name="Single Zone" sheetId="34" state="hidden" r:id="rId4"/>
    <sheet name="Summary" sheetId="12" r:id="rId5"/>
  </sheets>
  <definedNames>
    <definedName name="Airflow">'Multiple Zone'!#REF!</definedName>
    <definedName name="Airflow_allz">'Multiple Zone'!$Y$26</definedName>
    <definedName name="Airflow_cz">'Multiple Zone'!$E$26</definedName>
    <definedName name="Allzones">'Multiple Zone'!$D$8</definedName>
    <definedName name="allzones_row">'Multiple Zone'!$21:$22</definedName>
    <definedName name="Area">'Multiple Zone'!$E$19</definedName>
    <definedName name="Area_allz">'Multiple Zone'!$Y$19</definedName>
    <definedName name="Area_cz">'Multiple Zone'!$Z$19</definedName>
    <definedName name="credit">Instructions!$P$169</definedName>
    <definedName name="criticalzone_row">'Multiple Zone'!$23:$24</definedName>
    <definedName name="Equationshow">'Multiple Zone'!$32:$32</definedName>
    <definedName name="Ev">'Multiple Zone'!$E$34</definedName>
    <definedName name="Ev_notother">'Multiple Zone'!$Y$34</definedName>
    <definedName name="Ev_other">'Multiple Zone'!$Z$34</definedName>
    <definedName name="I_15">AND(Instructions!$K$14="LEED v4.1",Instructions!$K$21=15%)</definedName>
    <definedName name="I_30">AND(Instructions!$K$14="LEED v4.1",Instructions!$K$21=30%)</definedName>
    <definedName name="I_No">AND(Instructions!$K$14="LEED v4.1",Instructions!$K$21="No")</definedName>
    <definedName name="I_v4.1">Instructions!$K$14&lt;&gt;"LEED v4.1"</definedName>
    <definedName name="LEED">Instructions!$O$169</definedName>
    <definedName name="LEED2009list">Instructions!$N$173:$N$244</definedName>
    <definedName name="LEEDv41lIST">Instructions!$Q$173:$Q$256</definedName>
    <definedName name="LEEDv4list">Instructions!$O$173:$O$251</definedName>
    <definedName name="max_Zpz">Instructions!$N$255:$O$309</definedName>
    <definedName name="Method">'Multiple Zone'!$E$29</definedName>
    <definedName name="Occupancy">Instructions!$C$76:$C$160</definedName>
    <definedName name="Otherhide">'Multiple Zone'!$33:$33</definedName>
    <definedName name="Sheets">TRANSPOSE(GET.WORKBOOK(1))&amp;T(NOW())</definedName>
    <definedName name="simple">'Multiple Zone'!$30:$33</definedName>
    <definedName name="SZ_Sum">Summary!$11:$14</definedName>
    <definedName name="SZcheck">Instructions!$P$173</definedName>
    <definedName name="Tablerow">'Multiple Zone'!$30:$31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2" l="1" a="1"/>
  <c r="J8" i="12" s="1"/>
  <c r="E25" i="14" a="1"/>
  <c r="E25" i="14" s="1"/>
  <c r="A14" i="10"/>
  <c r="Q213" i="4" l="1"/>
  <c r="K116" i="4" l="1"/>
  <c r="J116" i="4"/>
  <c r="I116" i="4"/>
  <c r="H116" i="4"/>
  <c r="G116" i="4"/>
  <c r="C116" i="4"/>
  <c r="F48" i="4" l="1"/>
  <c r="C56" i="4"/>
  <c r="F62" i="4"/>
  <c r="F52" i="4" l="1"/>
  <c r="F51" i="4"/>
  <c r="F47" i="4"/>
  <c r="C53" i="4"/>
  <c r="C63" i="4"/>
  <c r="S14" i="14" l="1"/>
  <c r="S16" i="14"/>
  <c r="S15" i="14"/>
  <c r="E27" i="14" l="1"/>
  <c r="E19" i="14"/>
  <c r="V16" i="14"/>
  <c r="V15" i="14"/>
  <c r="V14" i="14"/>
  <c r="U16" i="14"/>
  <c r="U15" i="14"/>
  <c r="U14" i="14"/>
  <c r="T16" i="14"/>
  <c r="T15" i="14"/>
  <c r="T14" i="14"/>
  <c r="E19" i="10" l="1"/>
  <c r="K13" i="12" l="1"/>
  <c r="K12" i="12"/>
  <c r="AJ3" i="10"/>
  <c r="AJ3" i="14"/>
  <c r="P173" i="4"/>
  <c r="AG3" i="14" l="1"/>
  <c r="D13" i="12" l="1"/>
  <c r="E13" i="12"/>
  <c r="G13" i="12"/>
  <c r="H13" i="12"/>
  <c r="I13" i="12"/>
  <c r="P13" i="12"/>
  <c r="A13" i="34"/>
  <c r="T13" i="12" l="1"/>
  <c r="F13" i="12"/>
  <c r="Q13" i="12"/>
  <c r="S13" i="12"/>
  <c r="O13" i="12"/>
  <c r="R13" i="12"/>
  <c r="D16" i="12"/>
  <c r="D19" i="12"/>
  <c r="F34" i="14" l="1"/>
  <c r="I16" i="12"/>
  <c r="P16" i="12"/>
  <c r="M16" i="12"/>
  <c r="T19" i="12"/>
  <c r="H16" i="12"/>
  <c r="R16" i="12"/>
  <c r="S19" i="12"/>
  <c r="H19" i="12"/>
  <c r="I19" i="12"/>
  <c r="G16" i="12"/>
  <c r="K19" i="12"/>
  <c r="P19" i="12"/>
  <c r="J16" i="12"/>
  <c r="O19" i="12"/>
  <c r="G19" i="12"/>
  <c r="O16" i="12"/>
  <c r="R19" i="12"/>
  <c r="K16" i="12"/>
  <c r="S16" i="12"/>
  <c r="E16" i="12"/>
  <c r="Q16" i="12"/>
  <c r="M19" i="12"/>
  <c r="E19" i="12"/>
  <c r="N19" i="12"/>
  <c r="N16" i="12"/>
  <c r="Q19" i="12"/>
  <c r="C19" i="12" l="1"/>
  <c r="F19" i="12"/>
  <c r="L16" i="12"/>
  <c r="C16" i="12"/>
  <c r="F16" i="12"/>
  <c r="A15" i="10"/>
  <c r="A16" i="10"/>
  <c r="A15" i="14"/>
  <c r="A16" i="14"/>
  <c r="H12" i="12"/>
  <c r="G12" i="12"/>
  <c r="P12" i="12"/>
  <c r="E12" i="12"/>
  <c r="I12" i="12"/>
  <c r="F12" i="12" l="1"/>
  <c r="T12" i="12"/>
  <c r="Q12" i="12"/>
  <c r="O12" i="12"/>
  <c r="D12" i="12"/>
  <c r="S12" i="12" l="1"/>
  <c r="R12" i="12"/>
  <c r="K21" i="12" l="1"/>
  <c r="H21" i="12" l="1"/>
  <c r="A12" i="34"/>
  <c r="P169" i="4" l="1"/>
  <c r="B35" i="14" s="1" a="1"/>
  <c r="B35" i="14" s="1"/>
  <c r="O169" i="4"/>
  <c r="Z3" i="10"/>
  <c r="AE3" i="10"/>
  <c r="AA3" i="14"/>
  <c r="AE3" i="14"/>
  <c r="Z3" i="14"/>
  <c r="A13" i="10"/>
  <c r="A14" i="14"/>
  <c r="AB14" i="14"/>
  <c r="AB15" i="14"/>
  <c r="B3" i="10"/>
  <c r="D6" i="10" s="1"/>
  <c r="Y19" i="14"/>
  <c r="F19" i="14"/>
  <c r="AB16" i="14"/>
  <c r="B3" i="14"/>
  <c r="D6" i="14" s="1"/>
  <c r="N169" i="4"/>
  <c r="F25" i="14" l="1" a="1"/>
  <c r="F25" i="14" s="1"/>
  <c r="B21" i="10" a="1"/>
  <c r="B21" i="10" s="1"/>
  <c r="L12" i="10" a="1"/>
  <c r="L12" i="10" s="1"/>
  <c r="L13" i="14" a="1"/>
  <c r="L13" i="14" s="1"/>
  <c r="J10" i="34" a="1"/>
  <c r="J10" i="34" s="1"/>
  <c r="Q236" i="4"/>
  <c r="Q177" i="4"/>
  <c r="R12" i="10"/>
  <c r="D24" i="14"/>
  <c r="D21" i="10"/>
  <c r="H147" i="4"/>
  <c r="G159" i="4"/>
  <c r="H159" i="4"/>
  <c r="G147" i="4"/>
  <c r="O11" i="10"/>
  <c r="I94" i="4"/>
  <c r="N12" i="14"/>
  <c r="J11" i="10"/>
  <c r="N11" i="10"/>
  <c r="AA12" i="14"/>
  <c r="D23" i="10"/>
  <c r="D19" i="10"/>
  <c r="O12" i="14"/>
  <c r="B19" i="10"/>
  <c r="E11" i="10"/>
  <c r="L12" i="14"/>
  <c r="J10" i="12"/>
  <c r="K10" i="12"/>
  <c r="E12" i="14"/>
  <c r="D23" i="14"/>
  <c r="L11" i="10"/>
  <c r="N10" i="12"/>
  <c r="D35" i="14"/>
  <c r="H12" i="14"/>
  <c r="H10" i="12"/>
  <c r="I11" i="10"/>
  <c r="I12" i="14"/>
  <c r="D37" i="14"/>
  <c r="R10" i="12"/>
  <c r="K12" i="14"/>
  <c r="D26" i="14"/>
  <c r="H11" i="10"/>
  <c r="M10" i="12"/>
  <c r="K11" i="10"/>
  <c r="E19" i="4"/>
  <c r="C80" i="4"/>
  <c r="K147" i="4"/>
  <c r="C139" i="4"/>
  <c r="J94" i="4"/>
  <c r="J9" i="34"/>
  <c r="M9" i="34"/>
  <c r="I9" i="34"/>
  <c r="Q9" i="34"/>
  <c r="H9" i="34"/>
  <c r="L9" i="34"/>
  <c r="E9" i="34"/>
  <c r="J12" i="14"/>
  <c r="P12" i="14"/>
  <c r="D19" i="14"/>
  <c r="D25" i="14"/>
  <c r="I14" i="10" l="1"/>
  <c r="K14" i="10" s="1"/>
  <c r="R14" i="10"/>
  <c r="P14" i="10" s="1"/>
  <c r="H14" i="10"/>
  <c r="J14" i="10" s="1"/>
  <c r="I13" i="10"/>
  <c r="K13" i="10" s="1"/>
  <c r="I16" i="10"/>
  <c r="K16" i="10" s="1"/>
  <c r="I15" i="10"/>
  <c r="K15" i="10" s="1"/>
  <c r="H13" i="34"/>
  <c r="M13" i="12" s="1"/>
  <c r="I13" i="34"/>
  <c r="Q13" i="34"/>
  <c r="O13" i="34" s="1"/>
  <c r="R15" i="10"/>
  <c r="AA16" i="14"/>
  <c r="Y16" i="14" s="1"/>
  <c r="R13" i="10"/>
  <c r="AA15" i="14"/>
  <c r="R16" i="10"/>
  <c r="AA14" i="14"/>
  <c r="Y14" i="14" s="1"/>
  <c r="Q12" i="34"/>
  <c r="O12" i="34" s="1"/>
  <c r="H12" i="34"/>
  <c r="M12" i="12" s="1"/>
  <c r="H14" i="14"/>
  <c r="H16" i="10"/>
  <c r="H16" i="14"/>
  <c r="J16" i="14" s="1"/>
  <c r="H15" i="14"/>
  <c r="J15" i="14" s="1"/>
  <c r="I12" i="34"/>
  <c r="H15" i="10"/>
  <c r="H13" i="10"/>
  <c r="I16" i="14"/>
  <c r="K16" i="14" s="1"/>
  <c r="I15" i="14"/>
  <c r="K15" i="14" s="1"/>
  <c r="I14" i="14"/>
  <c r="K14" i="14" s="1"/>
  <c r="L15" i="14" l="1" a="1"/>
  <c r="L15" i="14" s="1"/>
  <c r="N15" i="14" s="1"/>
  <c r="Q15" i="14" s="1"/>
  <c r="L14" i="10" a="1"/>
  <c r="L14" i="10" s="1"/>
  <c r="N14" i="10" s="1"/>
  <c r="AL14" i="10" s="1"/>
  <c r="J12" i="34" a="1"/>
  <c r="J12" i="34" s="1"/>
  <c r="L16" i="14" a="1"/>
  <c r="L16" i="14" s="1"/>
  <c r="N16" i="14" s="1"/>
  <c r="Q16" i="14" s="1"/>
  <c r="J13" i="34" a="1"/>
  <c r="J13" i="34" s="1"/>
  <c r="L13" i="34" s="1"/>
  <c r="E21" i="14"/>
  <c r="E22" i="14" s="1"/>
  <c r="P16" i="10"/>
  <c r="J16" i="10"/>
  <c r="P15" i="10"/>
  <c r="J15" i="10"/>
  <c r="P13" i="10"/>
  <c r="N12" i="12"/>
  <c r="AB3" i="14"/>
  <c r="J14" i="14"/>
  <c r="L14" i="14" s="1" a="1"/>
  <c r="L14" i="14" s="1"/>
  <c r="N13" i="12"/>
  <c r="Y15" i="14"/>
  <c r="AC3" i="14"/>
  <c r="AC3" i="10"/>
  <c r="L16" i="10" l="1" a="1"/>
  <c r="L16" i="10" s="1"/>
  <c r="N16" i="10" s="1"/>
  <c r="AL16" i="10" s="1"/>
  <c r="L15" i="10" a="1"/>
  <c r="L15" i="10" s="1"/>
  <c r="N15" i="10" s="1"/>
  <c r="AL15" i="10" s="1"/>
  <c r="N14" i="14"/>
  <c r="Q14" i="14" s="1"/>
  <c r="E30" i="14" s="1"/>
  <c r="E31" i="14" s="1"/>
  <c r="E20" i="10"/>
  <c r="AA3" i="10" s="1"/>
  <c r="J13" i="10"/>
  <c r="L13" i="10" s="1" a="1"/>
  <c r="L13" i="10" s="1"/>
  <c r="J13" i="12"/>
  <c r="L13" i="12" s="1"/>
  <c r="L12" i="34"/>
  <c r="I21" i="12"/>
  <c r="AD3" i="14"/>
  <c r="J19" i="12"/>
  <c r="N13" i="10" l="1"/>
  <c r="AL13" i="10" s="1"/>
  <c r="AM7" i="10" s="1"/>
  <c r="AN7" i="10" s="1"/>
  <c r="AO7" i="10" s="1"/>
  <c r="AB3" i="10"/>
  <c r="W16" i="14"/>
  <c r="W15" i="14"/>
  <c r="W14" i="14"/>
  <c r="J12" i="12"/>
  <c r="L12" i="12" s="1"/>
  <c r="E35" i="14"/>
  <c r="AI3" i="14" s="1"/>
  <c r="L19" i="12"/>
  <c r="E33" i="14"/>
  <c r="E21" i="10" l="1"/>
  <c r="AI3" i="10" s="1"/>
  <c r="AH3" i="14"/>
  <c r="R21" i="12"/>
  <c r="AF3" i="14"/>
  <c r="E32" i="14" l="1" a="1"/>
  <c r="E32" i="14" s="1"/>
  <c r="Y34" i="14" s="1"/>
  <c r="J21"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0" authorId="0" shapeId="0" xr:uid="{00000000-0006-0000-0100-000001000000}">
      <text>
        <r>
          <rPr>
            <sz val="10"/>
            <color rgb="FF000000"/>
            <rFont val="Arial"/>
            <family val="2"/>
          </rPr>
          <t>From ASHRAE 62.1, Table 6-1</t>
        </r>
      </text>
    </comment>
    <comment ref="E10" authorId="0" shapeId="0" xr:uid="{00000000-0006-0000-0100-000002000000}">
      <text>
        <r>
          <rPr>
            <sz val="10"/>
            <color indexed="81"/>
            <rFont val="Arial"/>
            <family val="2"/>
          </rPr>
          <t>Net occupiable floor area of the ventilation zone</t>
        </r>
      </text>
    </comment>
    <comment ref="F10" authorId="0" shapeId="0" xr:uid="{00000000-0006-0000-0100-000003000000}">
      <text>
        <r>
          <rPr>
            <sz val="10"/>
            <color rgb="FF000000"/>
            <rFont val="Arial"/>
            <family val="2"/>
          </rPr>
          <t>The default value should only be used if the expected occupancy is unknown.</t>
        </r>
      </text>
    </comment>
    <comment ref="G10" authorId="0" shapeId="0" xr:uid="{00000000-0006-0000-0100-000004000000}">
      <text>
        <r>
          <rPr>
            <sz val="10"/>
            <color indexed="81"/>
            <rFont val="Arial"/>
            <family val="2"/>
          </rPr>
          <t>Number of people in the ventilation zone during typical usage</t>
        </r>
      </text>
    </comment>
    <comment ref="H10" authorId="0" shapeId="0" xr:uid="{00000000-0006-0000-0100-000005000000}">
      <text>
        <r>
          <rPr>
            <sz val="10"/>
            <color rgb="FF000000"/>
            <rFont val="Arial"/>
            <family val="2"/>
          </rPr>
          <t>Outdoor airflow rate required per person as determined from ASHRAE 62.1, Table 6-1</t>
        </r>
      </text>
    </comment>
    <comment ref="I10" authorId="0" shapeId="0" xr:uid="{00000000-0006-0000-0100-000006000000}">
      <text>
        <r>
          <rPr>
            <sz val="10"/>
            <color indexed="81"/>
            <rFont val="Arial"/>
            <family val="2"/>
          </rPr>
          <t>Outdoor airflow rate required per unit as determined from ASHRAE 62.1, Table 6-1</t>
        </r>
      </text>
    </comment>
    <comment ref="M10" authorId="0" shapeId="0" xr:uid="{00000000-0006-0000-0100-000007000000}">
      <text>
        <r>
          <rPr>
            <sz val="10"/>
            <color rgb="FF000000"/>
            <rFont val="Arial"/>
            <family val="2"/>
          </rPr>
          <t xml:space="preserve">Measure of effectiveness of supply air distribution to the breathing zone.  
</t>
        </r>
        <r>
          <rPr>
            <sz val="10"/>
            <color rgb="FF000000"/>
            <rFont val="Arial"/>
            <family val="2"/>
          </rPr>
          <t xml:space="preserve">
</t>
        </r>
        <r>
          <rPr>
            <sz val="10"/>
            <color rgb="FF000000"/>
            <rFont val="Arial"/>
            <family val="2"/>
          </rPr>
          <t>See Instructions tab for recommended Ez values.</t>
        </r>
      </text>
    </comment>
    <comment ref="O10" authorId="0" shapeId="0" xr:uid="{00000000-0006-0000-0100-000008000000}">
      <text>
        <r>
          <rPr>
            <sz val="10"/>
            <color indexed="81"/>
            <rFont val="Arial"/>
            <family val="2"/>
          </rPr>
          <t>Expected discharge (supply) airflow to the zone that includes primary airflow and secondary recirculated airflow</t>
        </r>
      </text>
    </comment>
    <comment ref="P10" authorId="0" shapeId="0" xr:uid="{00000000-0006-0000-0100-000009000000}">
      <text>
        <r>
          <rPr>
            <sz val="10"/>
            <color indexed="81"/>
            <rFont val="Arial"/>
            <family val="2"/>
          </rPr>
          <t xml:space="preserve">Primary airflow rate to the ventilation zone from the air handler, including outdoor air and recirculated air. (for VAV-system design purposes, Vpz is lowest zone primary airflow value expected at the design condition analyzed.) </t>
        </r>
      </text>
    </comment>
    <comment ref="R10" authorId="0" shapeId="0" xr:uid="{00000000-0006-0000-0100-00000A000000}">
      <text>
        <r>
          <rPr>
            <sz val="10"/>
            <color indexed="81"/>
            <rFont val="Arial"/>
            <family val="2"/>
          </rPr>
          <t>Fraction of secondary recirculated air to the zone that is representative of average system return air rather than air directly recirculated from the zone.
See Instructions tab for recommended Er values.</t>
        </r>
      </text>
    </comment>
    <comment ref="S10" authorId="0" shapeId="0" xr:uid="{00000000-0006-0000-0100-00000B000000}">
      <text>
        <r>
          <rPr>
            <sz val="10"/>
            <color indexed="81"/>
            <rFont val="Arial"/>
            <family val="2"/>
          </rPr>
          <t xml:space="preserve">The fraction of primary air in the discharge air to the ventilation zone (Vpz / Vdz). For single-zone and single-supply systems, Ep is 1.0. </t>
        </r>
      </text>
    </comment>
    <comment ref="B20" authorId="0" shapeId="0" xr:uid="{00000000-0006-0000-0100-00000C000000}">
      <text>
        <r>
          <rPr>
            <sz val="10"/>
            <color indexed="81"/>
            <rFont val="Arial"/>
            <family val="2"/>
          </rPr>
          <t>Simultaneous number of occupants in the area served by the ventilation system</t>
        </r>
      </text>
    </comment>
    <comment ref="B23" authorId="0" shapeId="0" xr:uid="{00000000-0006-0000-0100-00000D000000}">
      <text>
        <r>
          <rPr>
            <sz val="10"/>
            <color rgb="FF000000"/>
            <rFont val="Arial"/>
            <family val="2"/>
          </rPr>
          <t>Area-weighted Rp value</t>
        </r>
      </text>
    </comment>
    <comment ref="B24" authorId="0" shapeId="0" xr:uid="{00000000-0006-0000-0100-00000E000000}">
      <text>
        <r>
          <rPr>
            <sz val="10"/>
            <color indexed="81"/>
            <rFont val="Arial"/>
            <family val="2"/>
          </rPr>
          <t>People-weighted Ra value</t>
        </r>
      </text>
    </comment>
    <comment ref="B26" authorId="0" shapeId="0" xr:uid="{00000000-0006-0000-0100-00000F000000}">
      <text>
        <r>
          <rPr>
            <sz val="10"/>
            <color rgb="FF000000"/>
            <rFont val="Calibri"/>
            <family val="2"/>
          </rPr>
          <t>new: Highest expected system primary airflow at the condition analyzed (usually between ΣVpz-min and design Vps since the minimum zone primary airflow seldom occurs at the same time)</t>
        </r>
      </text>
    </comment>
    <comment ref="B30" authorId="0" shapeId="0" xr:uid="{00000000-0006-0000-0100-000010000000}">
      <text>
        <r>
          <rPr>
            <sz val="10"/>
            <color indexed="81"/>
            <rFont val="Arial"/>
            <family val="2"/>
          </rPr>
          <t>Largest value of Zpz</t>
        </r>
      </text>
    </comment>
    <comment ref="B31" authorId="0" shapeId="0" xr:uid="{00000000-0006-0000-0100-000011000000}">
      <text>
        <r>
          <rPr>
            <sz val="10"/>
            <color indexed="81"/>
            <rFont val="Arial"/>
            <family val="2"/>
          </rPr>
          <t>Lookup from ASHRAE 62.1, Table 6-3</t>
        </r>
      </text>
    </comment>
    <comment ref="B32" authorId="0" shapeId="0" xr:uid="{00000000-0006-0000-0100-000012000000}">
      <text>
        <r>
          <rPr>
            <sz val="10"/>
            <color indexed="81"/>
            <rFont val="Arial"/>
            <family val="2"/>
          </rPr>
          <t>Lowest zone ventilation efficiency among all zones served by the air handler</t>
        </r>
      </text>
    </comment>
    <comment ref="B33" authorId="0" shapeId="0" xr:uid="{00000000-0006-0000-0100-000013000000}">
      <text>
        <r>
          <rPr>
            <sz val="10"/>
            <color indexed="81"/>
            <rFont val="Arial"/>
            <family val="2"/>
          </rPr>
          <t>If using Table 6-3 to determine Ev, the critical zone is the zone with largest value of Zpz. 
Otherwise, the critical zone is the zone with minimum Evz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9" authorId="0" shapeId="0" xr:uid="{00000000-0006-0000-0200-000001000000}">
      <text>
        <r>
          <rPr>
            <sz val="10"/>
            <color indexed="81"/>
            <rFont val="Arial"/>
            <family val="2"/>
          </rPr>
          <t>Lookup from ASHRAE 62.1, Table 6-1</t>
        </r>
      </text>
    </comment>
    <comment ref="E9" authorId="0" shapeId="0" xr:uid="{00000000-0006-0000-0200-000002000000}">
      <text>
        <r>
          <rPr>
            <sz val="10"/>
            <color indexed="81"/>
            <rFont val="Arial"/>
            <family val="2"/>
          </rPr>
          <t>Net occupiable floor area of the ventilation zone</t>
        </r>
      </text>
    </comment>
    <comment ref="F9" authorId="0" shapeId="0" xr:uid="{00000000-0006-0000-0200-000003000000}">
      <text>
        <r>
          <rPr>
            <sz val="10"/>
            <color indexed="81"/>
            <rFont val="Arial"/>
            <family val="2"/>
          </rPr>
          <t>The default value should only be used if the expected occupancy is unknown.</t>
        </r>
      </text>
    </comment>
    <comment ref="G9" authorId="0" shapeId="0" xr:uid="{00000000-0006-0000-0200-000004000000}">
      <text>
        <r>
          <rPr>
            <sz val="10"/>
            <color indexed="81"/>
            <rFont val="Arial"/>
            <family val="2"/>
          </rPr>
          <t>Number of people in the ventilation zone during typical usage</t>
        </r>
      </text>
    </comment>
    <comment ref="H9" authorId="0" shapeId="0" xr:uid="{00000000-0006-0000-0200-000005000000}">
      <text>
        <r>
          <rPr>
            <sz val="10"/>
            <color rgb="FF000000"/>
            <rFont val="Arial"/>
            <family val="2"/>
          </rPr>
          <t>Outdoor airflow rate required per person as determined from ASHRAE 62.1, Table 6-1</t>
        </r>
      </text>
    </comment>
    <comment ref="I9" authorId="0" shapeId="0" xr:uid="{00000000-0006-0000-0200-000006000000}">
      <text>
        <r>
          <rPr>
            <sz val="10"/>
            <color rgb="FF000000"/>
            <rFont val="Arial"/>
            <family val="2"/>
          </rPr>
          <t>Outdoor airflow rate required per unit as determined from ASHRAE 62.1, Table 6-1</t>
        </r>
      </text>
    </comment>
    <comment ref="M9" authorId="0" shapeId="0" xr:uid="{00000000-0006-0000-0200-000007000000}">
      <text>
        <r>
          <rPr>
            <sz val="10"/>
            <color indexed="81"/>
            <rFont val="Arial"/>
            <family val="2"/>
          </rPr>
          <t>Measure of effectiveness of supply air distribution to the breathing zone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7" authorId="0" shapeId="0" xr:uid="{00000000-0006-0000-0300-000001000000}">
      <text>
        <r>
          <rPr>
            <sz val="10"/>
            <color rgb="FF000000"/>
            <rFont val="Arial"/>
            <family val="2"/>
          </rPr>
          <t>Lookup from ASHRAE 62.1, Table 6-1</t>
        </r>
      </text>
    </comment>
    <comment ref="E7" authorId="0" shapeId="0" xr:uid="{00000000-0006-0000-0300-000002000000}">
      <text>
        <r>
          <rPr>
            <sz val="10"/>
            <color indexed="81"/>
            <rFont val="Arial"/>
            <family val="2"/>
          </rPr>
          <t>Net occupiable floor area of the ventilation zone</t>
        </r>
      </text>
    </comment>
    <comment ref="F7" authorId="0" shapeId="0" xr:uid="{00000000-0006-0000-0300-000003000000}">
      <text>
        <r>
          <rPr>
            <sz val="10"/>
            <color indexed="81"/>
            <rFont val="Arial"/>
            <family val="2"/>
          </rPr>
          <t>The default value should only be used if the expected occupancy is unknown.</t>
        </r>
      </text>
    </comment>
    <comment ref="G7" authorId="0" shapeId="0" xr:uid="{00000000-0006-0000-0300-000004000000}">
      <text>
        <r>
          <rPr>
            <sz val="10"/>
            <color indexed="81"/>
            <rFont val="Arial"/>
            <family val="2"/>
          </rPr>
          <t>Number of people in the ventilation zone during typical usage</t>
        </r>
      </text>
    </comment>
    <comment ref="H7" authorId="0" shapeId="0" xr:uid="{00000000-0006-0000-0300-000005000000}">
      <text>
        <r>
          <rPr>
            <sz val="10"/>
            <color indexed="81"/>
            <rFont val="Arial"/>
            <family val="2"/>
          </rPr>
          <t>Outdoor airflow rate required per person as determined from ASHRAE 62.1, Table 6-1</t>
        </r>
      </text>
    </comment>
    <comment ref="I7" authorId="0" shapeId="0" xr:uid="{00000000-0006-0000-0300-000006000000}">
      <text>
        <r>
          <rPr>
            <sz val="10"/>
            <color indexed="81"/>
            <rFont val="Arial"/>
            <family val="2"/>
          </rPr>
          <t>Outdoor airflow rate required per unit as determined from ASHRAE 62.1, Table 6-1</t>
        </r>
      </text>
    </comment>
    <comment ref="K7" authorId="0" shapeId="0" xr:uid="{00000000-0006-0000-0300-000007000000}">
      <text>
        <r>
          <rPr>
            <sz val="10"/>
            <color indexed="81"/>
            <rFont val="Arial"/>
            <family val="2"/>
          </rPr>
          <t>Measure of effectiveness of supply air distribution to the breathing zone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<sst xmlns="http://schemas.openxmlformats.org/spreadsheetml/2006/main" count="717" uniqueCount="317">
  <si>
    <t>Az</t>
  </si>
  <si>
    <t>Rp</t>
  </si>
  <si>
    <t>Ra</t>
  </si>
  <si>
    <t>Pz</t>
  </si>
  <si>
    <t>Vbz</t>
  </si>
  <si>
    <t>Vdz</t>
  </si>
  <si>
    <t>Vpz</t>
  </si>
  <si>
    <t>Voz</t>
  </si>
  <si>
    <t>Fa</t>
  </si>
  <si>
    <t>Fb</t>
  </si>
  <si>
    <t>Fc</t>
  </si>
  <si>
    <t>Zpz</t>
  </si>
  <si>
    <t>Voz / Vpz</t>
  </si>
  <si>
    <t>Ep</t>
  </si>
  <si>
    <t>Ep + (1-Ep) Er</t>
  </si>
  <si>
    <t>Vbz / Ez</t>
  </si>
  <si>
    <t>Evz</t>
  </si>
  <si>
    <t>Er</t>
  </si>
  <si>
    <t>Ez</t>
  </si>
  <si>
    <t>Xs</t>
  </si>
  <si>
    <t>Vou / Vps</t>
  </si>
  <si>
    <t>Vou</t>
  </si>
  <si>
    <t>Vps</t>
  </si>
  <si>
    <t>D</t>
  </si>
  <si>
    <t>System population</t>
  </si>
  <si>
    <t>Ps</t>
  </si>
  <si>
    <t>sum of Pz</t>
  </si>
  <si>
    <t>Ra Az</t>
  </si>
  <si>
    <t>Rp Pz</t>
  </si>
  <si>
    <t>∑Pz</t>
  </si>
  <si>
    <t>Max Zpz</t>
  </si>
  <si>
    <t>Are you using default value for zone population?</t>
  </si>
  <si>
    <t>Occupant diversity</t>
  </si>
  <si>
    <t>Uncorrected outdoor air intake</t>
  </si>
  <si>
    <t>Average outdoor air fraction</t>
  </si>
  <si>
    <t>people</t>
  </si>
  <si>
    <t>Ps / ∑Pz</t>
  </si>
  <si>
    <t>Step 1.</t>
  </si>
  <si>
    <t>Enable macros.</t>
  </si>
  <si>
    <t>Note: This calculator is for use with Excel for Mac 2011 and Excel 2007 or later.</t>
  </si>
  <si>
    <r>
      <rPr>
        <b/>
        <sz val="10"/>
        <rFont val="Arial"/>
        <family val="2"/>
      </rPr>
      <t>Step 2.</t>
    </r>
    <r>
      <rPr>
        <sz val="10"/>
        <rFont val="Arial"/>
        <family val="2"/>
      </rPr>
      <t xml:space="preserve"> </t>
    </r>
  </si>
  <si>
    <t>Unit of measurement</t>
  </si>
  <si>
    <t>Note: This selection must match the unit of measurement chosen during project registration.</t>
  </si>
  <si>
    <t>Upload the completed spreadsheet to LEED Online.  Complete any related summary fields in the LEED credit form with the results of the calculator.</t>
  </si>
  <si>
    <t>Assumptions</t>
  </si>
  <si>
    <t xml:space="preserve">Occupancy 
Category </t>
  </si>
  <si>
    <t>People OA Rate</t>
  </si>
  <si>
    <t>Area OA Rate</t>
  </si>
  <si>
    <t>Cell</t>
  </si>
  <si>
    <t xml:space="preserve">Day room </t>
  </si>
  <si>
    <t>Guard stations</t>
  </si>
  <si>
    <t xml:space="preserve">Booking / waiting </t>
  </si>
  <si>
    <t>Daycare (through age 4)</t>
  </si>
  <si>
    <t>Classrooms (ages 5-8)</t>
  </si>
  <si>
    <t>Classrooms (age 9 plus)</t>
  </si>
  <si>
    <t xml:space="preserve">Lecture classroom </t>
  </si>
  <si>
    <t>Lecture hall (fixed seats)</t>
  </si>
  <si>
    <t xml:space="preserve">Art classroom </t>
  </si>
  <si>
    <t>Science laboratories</t>
  </si>
  <si>
    <t xml:space="preserve">Wood / metal shop </t>
  </si>
  <si>
    <t>Computer lab</t>
  </si>
  <si>
    <t xml:space="preserve">Media center </t>
  </si>
  <si>
    <t xml:space="preserve">Music / theater/ dance </t>
  </si>
  <si>
    <t xml:space="preserve">Multi-use assembly </t>
  </si>
  <si>
    <t xml:space="preserve">Restaurant dining rooms </t>
  </si>
  <si>
    <t xml:space="preserve">Cafeteria / fast food dining </t>
  </si>
  <si>
    <t xml:space="preserve">Bars / cocktail lounges </t>
  </si>
  <si>
    <t xml:space="preserve">Conference / meeting </t>
  </si>
  <si>
    <t xml:space="preserve">Corridors </t>
  </si>
  <si>
    <t xml:space="preserve">Storage rooms </t>
  </si>
  <si>
    <t xml:space="preserve">Bedroom / living room </t>
  </si>
  <si>
    <t xml:space="preserve">Barracks sleeping areas </t>
  </si>
  <si>
    <t xml:space="preserve">Lobbies / prefunction </t>
  </si>
  <si>
    <t xml:space="preserve">Multi-purpose assembly </t>
  </si>
  <si>
    <t xml:space="preserve">Office space </t>
  </si>
  <si>
    <t xml:space="preserve">Reception areas </t>
  </si>
  <si>
    <t xml:space="preserve">Telephone / data entry </t>
  </si>
  <si>
    <t xml:space="preserve">Main entry lobbies </t>
  </si>
  <si>
    <t xml:space="preserve">Bank vault / safe deposit </t>
  </si>
  <si>
    <t xml:space="preserve">Computer (not printing ) </t>
  </si>
  <si>
    <t>Pharmacy (prep, area)</t>
  </si>
  <si>
    <t>Photo studios</t>
  </si>
  <si>
    <t xml:space="preserve">Shipping / receiving </t>
  </si>
  <si>
    <t>Transportation waiting</t>
  </si>
  <si>
    <t>Warehouses</t>
  </si>
  <si>
    <t xml:space="preserve">Auditorium seating area </t>
  </si>
  <si>
    <t>Places of religious worship</t>
  </si>
  <si>
    <t xml:space="preserve">Courtrooms </t>
  </si>
  <si>
    <t xml:space="preserve">Legislative chambers </t>
  </si>
  <si>
    <t xml:space="preserve">Libraries </t>
  </si>
  <si>
    <t xml:space="preserve">Lobbies </t>
  </si>
  <si>
    <t>Museums (children's)</t>
  </si>
  <si>
    <t xml:space="preserve">Museums / galleries </t>
  </si>
  <si>
    <t xml:space="preserve">Sales </t>
  </si>
  <si>
    <t xml:space="preserve">Mall common areas </t>
  </si>
  <si>
    <t xml:space="preserve">Beauty and nail salon </t>
  </si>
  <si>
    <t xml:space="preserve">Supermarket </t>
  </si>
  <si>
    <t xml:space="preserve">Coin-operated laundries </t>
  </si>
  <si>
    <t>Sports arena (play area)</t>
  </si>
  <si>
    <t>Gym, stadium (play area)</t>
  </si>
  <si>
    <t xml:space="preserve">Spectator areas </t>
  </si>
  <si>
    <t>Swimming (pool &amp; deck)</t>
  </si>
  <si>
    <t xml:space="preserve">Disco / dance floors </t>
  </si>
  <si>
    <t>Health club / aerobics</t>
  </si>
  <si>
    <t>Health club / weight</t>
  </si>
  <si>
    <t>Bowling alley (seating)</t>
  </si>
  <si>
    <t xml:space="preserve">Gambling casinos </t>
  </si>
  <si>
    <t xml:space="preserve">Game arcades </t>
  </si>
  <si>
    <t>UOM</t>
  </si>
  <si>
    <t>U.S. Green Building Council</t>
  </si>
  <si>
    <t>1 = IP, 2 = SI</t>
  </si>
  <si>
    <t>All Rights Reserved</t>
  </si>
  <si>
    <t xml:space="preserve">Complete the ventilation rate procedure (VRP) for each ventilation system, at the specified analysis condition.  </t>
  </si>
  <si>
    <t>CS</t>
  </si>
  <si>
    <t>CSFR</t>
  </si>
  <si>
    <t>CSCRH</t>
  </si>
  <si>
    <t xml:space="preserve">CSCRW </t>
  </si>
  <si>
    <t>Ceiling supply of warm air less than 15°F (8°C) above space temperature and ceiling return provided that the 150 fpm (0.8 m/s) supply air jet reaches to within 4.5 ft (1.4 m) of floor level. Note: For lower velocity supply air, Ez = 0.8.</t>
  </si>
  <si>
    <t xml:space="preserve">FSCR </t>
  </si>
  <si>
    <t>FSCR-LV</t>
  </si>
  <si>
    <t>FSFR</t>
  </si>
  <si>
    <t>FSCRW</t>
  </si>
  <si>
    <t>MUEX</t>
  </si>
  <si>
    <t>MU-EX</t>
  </si>
  <si>
    <t>Ev</t>
  </si>
  <si>
    <t>&lt;=0.15</t>
  </si>
  <si>
    <t>&lt;=0.25</t>
  </si>
  <si>
    <t>&lt;=0.35</t>
  </si>
  <si>
    <t>&lt;=0.45</t>
  </si>
  <si>
    <t>&lt;=0.55</t>
  </si>
  <si>
    <t>&gt;0.55</t>
  </si>
  <si>
    <t>&lt;1.0</t>
  </si>
  <si>
    <t>(cfm per person)</t>
  </si>
  <si>
    <t>System name and number</t>
  </si>
  <si>
    <t>Summary</t>
  </si>
  <si>
    <t xml:space="preserve">Note: All information on this tab is READ-ONLY. To edit, see the previous tab(s). </t>
  </si>
  <si>
    <t>A</t>
  </si>
  <si>
    <t>Condition
Analyzed</t>
  </si>
  <si>
    <t>System Name 
and Number</t>
  </si>
  <si>
    <t>System 
Type</t>
  </si>
  <si>
    <t>Single Zone</t>
  </si>
  <si>
    <t>Occupancy
Category</t>
  </si>
  <si>
    <t>(l/s per person)</t>
  </si>
  <si>
    <t xml:space="preserve">(cfm per sq ft) </t>
  </si>
  <si>
    <t>(l/s per sq m)</t>
  </si>
  <si>
    <t>Zone
Population</t>
  </si>
  <si>
    <t>Default Pz</t>
  </si>
  <si>
    <t>Occupant Density</t>
  </si>
  <si>
    <t>Zone Air Distribution Effectiveness</t>
  </si>
  <si>
    <t>University / college laboratories</t>
  </si>
  <si>
    <t>Kitchen (cooking)</t>
  </si>
  <si>
    <t>Coffee stations</t>
  </si>
  <si>
    <t>Occupiable storage rooms for liquids or gels</t>
  </si>
  <si>
    <t>Laundry rooms, central</t>
  </si>
  <si>
    <t>Laundry rooms within dwelling units</t>
  </si>
  <si>
    <t>Occupiable storage rooms for dry materials</t>
  </si>
  <si>
    <t>Banks or bank lobbies</t>
  </si>
  <si>
    <t>Sorting, packing, light assembly</t>
  </si>
  <si>
    <t>Telephone closets</t>
  </si>
  <si>
    <t>Common corridors</t>
  </si>
  <si>
    <t xml:space="preserve">Stages, studios </t>
  </si>
  <si>
    <t>(people)</t>
  </si>
  <si>
    <t>Zone Secondary Recirculation Fraction</t>
  </si>
  <si>
    <t>Supply Air Fraction</t>
  </si>
  <si>
    <t>Zone Primary Air Fraction</t>
  </si>
  <si>
    <t>Mixed Air Fraction</t>
  </si>
  <si>
    <t>Outdoor Air Fraction</t>
  </si>
  <si>
    <t>Primary Outdoor Air Fraction</t>
  </si>
  <si>
    <t>Sum of zone population</t>
  </si>
  <si>
    <t/>
  </si>
  <si>
    <t>Ventilation efficiency</t>
  </si>
  <si>
    <t>B</t>
  </si>
  <si>
    <r>
      <rPr>
        <b/>
        <sz val="10"/>
        <rFont val="Arial"/>
        <family val="2"/>
      </rPr>
      <t>Step 3.</t>
    </r>
    <r>
      <rPr>
        <sz val="10"/>
        <rFont val="Arial"/>
        <family val="2"/>
      </rPr>
      <t xml:space="preserve"> </t>
    </r>
  </si>
  <si>
    <t>LEED</t>
  </si>
  <si>
    <t>1 = 2009, 2 = v4</t>
  </si>
  <si>
    <t>Break rooms (general)</t>
  </si>
  <si>
    <t>Breakrooms (office buildings)</t>
  </si>
  <si>
    <t>Dwelling unit - studio or one-bedroom</t>
  </si>
  <si>
    <t>Dwelling unit - two-bedroom</t>
  </si>
  <si>
    <t>Dwelling unit - three-bedroom</t>
  </si>
  <si>
    <t>Pet shops (animal areas)</t>
  </si>
  <si>
    <t>Pet shops</t>
  </si>
  <si>
    <t>9= 2009 only
4=v4 only
B= Both</t>
  </si>
  <si>
    <t>Barber shop</t>
  </si>
  <si>
    <t>LEED2009</t>
  </si>
  <si>
    <t>LEEDv4</t>
  </si>
  <si>
    <t>Barbershop</t>
  </si>
  <si>
    <t>Zone Air Distribution Effectiveness (Ez)</t>
  </si>
  <si>
    <t>Ceiling supply of cool air</t>
  </si>
  <si>
    <t>Ceiling supply of warm air and floor return</t>
  </si>
  <si>
    <t>Ceiling supply of warm air 15°F (8°C) or more above space temperature and ceiling return</t>
  </si>
  <si>
    <t>Floor supply of warm air and floor return</t>
  </si>
  <si>
    <t>Floor supply of warm air and ceiling return</t>
  </si>
  <si>
    <t>Code</t>
  </si>
  <si>
    <t>Air Distribution Configuration</t>
  </si>
  <si>
    <t>System Ventilation Efficiency (Ev)</t>
  </si>
  <si>
    <t>Zone Secondary Recirculation Fraction (Er)</t>
  </si>
  <si>
    <t>Plenum return systems with secondary recirculation (e.g., fan-powered VAV with plenum return)</t>
  </si>
  <si>
    <t>Systems with system-level recirculation (e.g., dual-fan dual-duct systems with ducted return)</t>
  </si>
  <si>
    <t>Other system types</t>
  </si>
  <si>
    <t>Ducted return systems with secondary recirculation (e.g., fan-powered VAV with ducted return)</t>
  </si>
  <si>
    <t>System Configuration</t>
  </si>
  <si>
    <t>Occupancy</t>
  </si>
  <si>
    <t>LEED rating system version</t>
  </si>
  <si>
    <t>Note: This selection must match project registration.</t>
  </si>
  <si>
    <t>Step 6.</t>
  </si>
  <si>
    <t xml:space="preserve">People 
Outdoor 
Air Rate </t>
  </si>
  <si>
    <t>Area
Outdoor
Air Rate</t>
  </si>
  <si>
    <t>Breathing 
Zone Outdoor Airflow
(people related portion)</t>
  </si>
  <si>
    <t>Breathing
Zone Outdoor
Airflow
(area related portion)</t>
  </si>
  <si>
    <t>Breathing 
Zone Outdoor Airflow</t>
  </si>
  <si>
    <t>Zone Name 
and Number</t>
  </si>
  <si>
    <t>Zone 
Population</t>
  </si>
  <si>
    <t>System area</t>
  </si>
  <si>
    <t>As</t>
  </si>
  <si>
    <t>All zones are included in the VRP calculation</t>
  </si>
  <si>
    <r>
      <t xml:space="preserve">Condition analyzed </t>
    </r>
    <r>
      <rPr>
        <sz val="10"/>
        <color theme="0" tint="-0.499984740745262"/>
        <rFont val="Arial"/>
        <family val="2"/>
      </rPr>
      <t>(impacts Ez, Vdz, Vpz and Vps)</t>
    </r>
  </si>
  <si>
    <t>People outdoor air rate for system</t>
  </si>
  <si>
    <t>Rp system</t>
  </si>
  <si>
    <t>Area outdoor air rate for system</t>
  </si>
  <si>
    <t>Ra system</t>
  </si>
  <si>
    <t>System primary airflow (at condition analyzed)</t>
  </si>
  <si>
    <t>Which method from ASHRAE 62.1 is being used to determine system ventilation efficiency (Ev)?</t>
  </si>
  <si>
    <t>Minimum (Evz)</t>
  </si>
  <si>
    <t>Critical zone</t>
  </si>
  <si>
    <t>Zone name for critical zone lookup</t>
  </si>
  <si>
    <t>Vou / Ev</t>
  </si>
  <si>
    <t>Outdoor air intake flow provided (measured or design)</t>
  </si>
  <si>
    <t>Max (Zpz)</t>
  </si>
  <si>
    <t>Zone ventilation efficiency (Table 6-3)</t>
  </si>
  <si>
    <t>Show simple view</t>
  </si>
  <si>
    <t>all zones</t>
  </si>
  <si>
    <t>critical zones</t>
  </si>
  <si>
    <t>Not other</t>
  </si>
  <si>
    <t>Other</t>
  </si>
  <si>
    <t>Zone 
Discharge Airflow</t>
  </si>
  <si>
    <t>Zone 
Primary 
Airflow</t>
  </si>
  <si>
    <t>Vot</t>
  </si>
  <si>
    <r>
      <t>Zone 
Floor Area</t>
    </r>
    <r>
      <rPr>
        <i/>
        <sz val="10"/>
        <rFont val="Arial"/>
        <family val="2"/>
      </rPr>
      <t/>
    </r>
  </si>
  <si>
    <r>
      <t>People 
Outdoor 
Air Rate</t>
    </r>
    <r>
      <rPr>
        <i/>
        <sz val="10"/>
        <rFont val="Arial"/>
        <family val="2"/>
      </rPr>
      <t/>
    </r>
  </si>
  <si>
    <r>
      <t>Area
Outdoor
Air Rate</t>
    </r>
    <r>
      <rPr>
        <i/>
        <sz val="10"/>
        <rFont val="Arial"/>
        <family val="2"/>
      </rPr>
      <t/>
    </r>
  </si>
  <si>
    <r>
      <t>Breathing 
Zone Outdoor Airflow</t>
    </r>
    <r>
      <rPr>
        <i/>
        <sz val="10"/>
        <rFont val="Arial"/>
        <family val="2"/>
      </rPr>
      <t/>
    </r>
  </si>
  <si>
    <r>
      <t>Zone Air Distribution Effectiveness</t>
    </r>
    <r>
      <rPr>
        <i/>
        <sz val="10"/>
        <rFont val="Arial"/>
        <family val="2"/>
      </rPr>
      <t/>
    </r>
  </si>
  <si>
    <t>People
Outdoor 
Air Rate</t>
  </si>
  <si>
    <t>Area
Outdoor 
Air Rate</t>
  </si>
  <si>
    <t>Zone 
Outdoor 
Airflow</t>
  </si>
  <si>
    <t>∑Az</t>
  </si>
  <si>
    <t>∑Voz</t>
  </si>
  <si>
    <t>Floor area</t>
  </si>
  <si>
    <t>Population</t>
  </si>
  <si>
    <t>Required Vot</t>
  </si>
  <si>
    <t>Actual</t>
  </si>
  <si>
    <t>&gt;&gt;&gt;&gt;</t>
  </si>
  <si>
    <t>Totals</t>
  </si>
  <si>
    <t>Outdoor Air Intake Flow Provided
(measured or design)</t>
  </si>
  <si>
    <t>All zones included 
in the VRP calculation?</t>
  </si>
  <si>
    <t>Zone 
Floor Area</t>
  </si>
  <si>
    <t>Occupancy 
Category</t>
  </si>
  <si>
    <t>Source: ASHRAE 62.1, Section A1.2.2</t>
  </si>
  <si>
    <r>
      <rPr>
        <b/>
        <sz val="10"/>
        <rFont val="Arial"/>
        <family val="2"/>
      </rPr>
      <t>Step 4.</t>
    </r>
    <r>
      <rPr>
        <sz val="10"/>
        <rFont val="Arial"/>
        <family val="2"/>
      </rPr>
      <t xml:space="preserve"> </t>
    </r>
  </si>
  <si>
    <t>Increase breathing zone outdoor airflow by 30%?</t>
  </si>
  <si>
    <t>Credit</t>
  </si>
  <si>
    <t>1 = yes, 2 = no</t>
  </si>
  <si>
    <t>Step 7.</t>
  </si>
  <si>
    <t>Ez average</t>
  </si>
  <si>
    <t>n/a</t>
  </si>
  <si>
    <r>
      <t xml:space="preserve">Occupant Diversity
</t>
    </r>
    <r>
      <rPr>
        <i/>
        <sz val="10"/>
        <color theme="1" tint="0.14999847407452621"/>
        <rFont val="Arial"/>
        <family val="2"/>
      </rPr>
      <t>D</t>
    </r>
  </si>
  <si>
    <r>
      <t xml:space="preserve">Average 
Zone Air Distribution Effectiveness
</t>
    </r>
    <r>
      <rPr>
        <i/>
        <sz val="10"/>
        <color theme="1" tint="0.14999847407452621"/>
        <rFont val="Arial"/>
        <family val="2"/>
      </rPr>
      <t>Ez average</t>
    </r>
  </si>
  <si>
    <r>
      <t xml:space="preserve">Ventilation
Efficiency
</t>
    </r>
    <r>
      <rPr>
        <i/>
        <sz val="10"/>
        <color theme="1" tint="0.14999847407452621"/>
        <rFont val="Arial"/>
        <family val="2"/>
      </rPr>
      <t>Ev</t>
    </r>
  </si>
  <si>
    <r>
      <t xml:space="preserve">Average Outdoor Air Fraction
</t>
    </r>
    <r>
      <rPr>
        <i/>
        <sz val="10"/>
        <color theme="1" tint="0.14999847407452621"/>
        <rFont val="Arial"/>
        <family val="2"/>
      </rPr>
      <t>Xs</t>
    </r>
  </si>
  <si>
    <t>System 
Floor Area</t>
  </si>
  <si>
    <t>System Population</t>
  </si>
  <si>
    <t>People 
Outdoor 
Air Rate for System</t>
  </si>
  <si>
    <t>Area
Outdoor
Air Rate for System</t>
  </si>
  <si>
    <t>System 
Primary Airflow 
(at condition analyzed)</t>
  </si>
  <si>
    <r>
      <t>Condition
Analyzed</t>
    </r>
    <r>
      <rPr>
        <sz val="10"/>
        <color theme="1" tint="0.14999847407452621"/>
        <rFont val="Arial"/>
        <family val="2"/>
      </rPr>
      <t xml:space="preserve"> (impacts Ez)</t>
    </r>
  </si>
  <si>
    <t>Add a tab for each multiple zone and 100% outdoor air system in the project using the "Add System" button below.</t>
  </si>
  <si>
    <r>
      <rPr>
        <b/>
        <sz val="10"/>
        <rFont val="Arial"/>
        <family val="2"/>
      </rPr>
      <t>Step 5.</t>
    </r>
    <r>
      <rPr>
        <sz val="10"/>
        <rFont val="Arial"/>
        <family val="2"/>
      </rPr>
      <t xml:space="preserve"> </t>
    </r>
  </si>
  <si>
    <t>Does the project include single zone systems?</t>
  </si>
  <si>
    <t>Multiple Zone and 100% Outdoor Air Systems</t>
  </si>
  <si>
    <t>Single Zone Systems</t>
  </si>
  <si>
    <t>HIDDEN SPACER FOR SUMMARY</t>
  </si>
  <si>
    <t>Multiple Zone Systems</t>
  </si>
  <si>
    <t>100% Outdoor Air Systems</t>
  </si>
  <si>
    <t>C</t>
  </si>
  <si>
    <t>Single zone</t>
  </si>
  <si>
    <t>Multiple zone</t>
  </si>
  <si>
    <t>100% Outdoor air</t>
  </si>
  <si>
    <t>Nondefault
Pz</t>
  </si>
  <si>
    <t>Electrical equipment rooms</t>
  </si>
  <si>
    <t>Elevator machine rooms</t>
  </si>
  <si>
    <t>Daycare sickroom</t>
  </si>
  <si>
    <t>Dwelling unit</t>
  </si>
  <si>
    <t>General manufacturing (excludes heavy 
industrial and processes using chemicals)</t>
  </si>
  <si>
    <t>1-(1-Ez)(1-Er)(1-Ep)</t>
  </si>
  <si>
    <t>Zone Ventilation Efficiency (Appendix A)</t>
  </si>
  <si>
    <t>(Fa+Xs * Fb-Zpz *Ep*Fc)/Fa</t>
  </si>
  <si>
    <t>max Zpz</t>
  </si>
  <si>
    <t>Outdoor air 
intake flow provided 
meets or exceeds Vot?</t>
  </si>
  <si>
    <r>
      <t xml:space="preserve">Condition analyzed </t>
    </r>
    <r>
      <rPr>
        <sz val="10"/>
        <color theme="1" tint="0.499984740745262"/>
        <rFont val="Arial"/>
        <family val="2"/>
      </rPr>
      <t>(impacts Ez)</t>
    </r>
  </si>
  <si>
    <t>Vpz/Vdz</t>
  </si>
  <si>
    <t>Zone 
Outdoor 
Airflow Provided</t>
  </si>
  <si>
    <t>(measured or design)</t>
  </si>
  <si>
    <t>Zone outdoor airflow provided meets or exceeds Voz for all zones?</t>
  </si>
  <si>
    <t>Default Occupant Density                 (#/1000 sq ft or #/100 sq m)</t>
  </si>
  <si>
    <r>
      <t xml:space="preserve">Minimum Indoor Air Quality Performance Calculator
</t>
    </r>
    <r>
      <rPr>
        <sz val="9"/>
        <rFont val="Arial"/>
        <family val="2"/>
      </rPr>
      <t>LEED 2009, v4, and v4.1 EQ Prerequisite Minimum Indoor Air Quality Performance</t>
    </r>
  </si>
  <si>
    <t>Freezer and refrigerated spaces &lt;50 deg F</t>
  </si>
  <si>
    <t>LEEDv4.1</t>
  </si>
  <si>
    <r>
      <t xml:space="preserve">Copyright </t>
    </r>
    <r>
      <rPr>
        <sz val="9"/>
        <color theme="0" tint="-0.499984740745262"/>
        <rFont val="Arial"/>
        <family val="2"/>
      </rPr>
      <t>©</t>
    </r>
    <r>
      <rPr>
        <sz val="8"/>
        <color theme="0" tint="-0.499984740745262"/>
        <rFont val="Arial"/>
        <family val="2"/>
      </rPr>
      <t xml:space="preserve"> 2019</t>
    </r>
  </si>
  <si>
    <t>IP units</t>
  </si>
  <si>
    <t>No</t>
  </si>
  <si>
    <t>Increase breathing zone outdoor airflow?</t>
  </si>
  <si>
    <t>Select if attempting EQ Credit Enhanced Indoor Air Qualities Strategies: Strategy 5. Increased Ventilation 15% OR Strategy 6. Increased Ventilation 30%</t>
  </si>
  <si>
    <t>Yes</t>
  </si>
  <si>
    <t>LEED v4.1</t>
  </si>
  <si>
    <t>v05</t>
  </si>
  <si>
    <t>Last updated 07/28/23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</si>
</sst>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0.0"/>
    <numFmt numFmtId="165" formatCode="0.000"/>
    <numFmt numFmtId="166" formatCode="#,##0.0"/>
    <numFmt numFmtId="167" formatCode="0;\-0;;@"/>
    <numFmt numFmtId="168" formatCode="#,##0.00;[Red]#,##0.00"/>
    <numFmt numFmtId="169" formatCode="0.00;[Red]0.00"/>
    <numFmt numFmtId="170" formatCode="#,##0;[Red]#,##0"/>
  </numFmts>
  <fonts count="52"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sz val="11"/>
      <name val="Calibri"/>
      <family val="2"/>
      <scheme val="minor"/>
    </font>
    <font>
      <sz val="10"/>
      <color theme="1"/>
      <name val="Arial"/>
      <family val="2"/>
    </font>
    <font>
      <b/>
      <sz val="10"/>
      <color theme="1"/>
      <name val="Arial"/>
      <family val="2"/>
    </font>
    <font>
      <sz val="8"/>
      <color theme="1"/>
      <name val="Arial"/>
      <family val="2"/>
    </font>
    <font>
      <sz val="8"/>
      <name val="Arial"/>
      <family val="2"/>
    </font>
    <font>
      <sz val="10"/>
      <color rgb="FFFF0000"/>
      <name val="Arial"/>
      <family val="2"/>
    </font>
    <font>
      <sz val="10"/>
      <name val="Arial"/>
      <family val="2"/>
    </font>
    <font>
      <sz val="9"/>
      <color theme="1"/>
      <name val="Arial"/>
      <family val="2"/>
    </font>
    <font>
      <sz val="9"/>
      <name val="Arial"/>
      <family val="2"/>
    </font>
    <font>
      <b/>
      <sz val="10"/>
      <name val="Arial"/>
      <family val="2"/>
    </font>
    <font>
      <sz val="8"/>
      <color theme="2" tint="-0.499984740745262"/>
      <name val="Arial"/>
      <family val="2"/>
    </font>
    <font>
      <b/>
      <sz val="8"/>
      <color theme="2" tint="-0.499984740745262"/>
      <name val="Arial"/>
      <family val="2"/>
    </font>
    <font>
      <sz val="10"/>
      <color theme="0"/>
      <name val="Arial"/>
      <family val="2"/>
    </font>
    <font>
      <b/>
      <sz val="10"/>
      <color theme="0"/>
      <name val="Arial"/>
      <family val="2"/>
    </font>
    <font>
      <sz val="16"/>
      <name val="Arial Black"/>
      <family val="2"/>
    </font>
    <font>
      <sz val="16"/>
      <color theme="0"/>
      <name val="Arial Black"/>
      <family val="2"/>
    </font>
    <font>
      <i/>
      <sz val="9"/>
      <color theme="1"/>
      <name val="Arial"/>
      <family val="2"/>
    </font>
    <font>
      <sz val="10"/>
      <color rgb="FF000000"/>
      <name val="Arial"/>
      <family val="2"/>
    </font>
    <font>
      <sz val="16"/>
      <color theme="1"/>
      <name val="Arial Black"/>
      <family val="2"/>
    </font>
    <font>
      <b/>
      <sz val="16"/>
      <name val="Arial"/>
      <family val="2"/>
    </font>
    <font>
      <i/>
      <sz val="10"/>
      <name val="Arial"/>
      <family val="2"/>
    </font>
    <font>
      <sz val="8"/>
      <color theme="0" tint="-0.499984740745262"/>
      <name val="Arial"/>
      <family val="2"/>
    </font>
    <font>
      <sz val="9"/>
      <color theme="0" tint="-0.499984740745262"/>
      <name val="Arial"/>
      <family val="2"/>
    </font>
    <font>
      <b/>
      <sz val="9"/>
      <name val="Arial"/>
      <family val="2"/>
    </font>
    <font>
      <i/>
      <sz val="10"/>
      <color theme="1"/>
      <name val="Arial"/>
      <family val="2"/>
    </font>
    <font>
      <sz val="10"/>
      <color theme="0" tint="-0.499984740745262"/>
      <name val="Arial"/>
      <family val="2"/>
    </font>
    <font>
      <sz val="10"/>
      <color theme="1" tint="0.249977111117893"/>
      <name val="Arial"/>
      <family val="2"/>
    </font>
    <font>
      <i/>
      <sz val="10"/>
      <color theme="1" tint="0.249977111117893"/>
      <name val="Arial"/>
      <family val="2"/>
    </font>
    <font>
      <sz val="10"/>
      <color theme="1" tint="0.14999847407452621"/>
      <name val="Arial"/>
      <family val="2"/>
    </font>
    <font>
      <i/>
      <sz val="10"/>
      <color theme="1" tint="0.14999847407452621"/>
      <name val="Arial"/>
      <family val="2"/>
    </font>
    <font>
      <sz val="9"/>
      <color theme="1" tint="0.14999847407452621"/>
      <name val="Arial"/>
      <family val="2"/>
    </font>
    <font>
      <sz val="11"/>
      <color theme="0"/>
      <name val="Calibri"/>
      <family val="2"/>
      <scheme val="minor"/>
    </font>
    <font>
      <i/>
      <sz val="10"/>
      <color theme="0"/>
      <name val="Arial"/>
      <family val="2"/>
    </font>
    <font>
      <sz val="10"/>
      <color indexed="81"/>
      <name val="Arial"/>
      <family val="2"/>
    </font>
    <font>
      <sz val="11"/>
      <color theme="1" tint="0.14999847407452621"/>
      <name val="Calibri"/>
      <family val="2"/>
      <scheme val="minor"/>
    </font>
    <font>
      <sz val="8"/>
      <color theme="1" tint="0.14999847407452621"/>
      <name val="Arial"/>
      <family val="2"/>
    </font>
    <font>
      <sz val="10"/>
      <color theme="0" tint="-4.9989318521683403E-2"/>
      <name val="Arial"/>
      <family val="2"/>
    </font>
    <font>
      <i/>
      <sz val="10"/>
      <color theme="0" tint="-4.9989318521683403E-2"/>
      <name val="Arial"/>
      <family val="2"/>
    </font>
    <font>
      <sz val="10"/>
      <color theme="1" tint="0.499984740745262"/>
      <name val="Arial"/>
      <family val="2"/>
    </font>
    <font>
      <sz val="10"/>
      <color rgb="FF000000"/>
      <name val="Calibri"/>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00ADD0"/>
        <bgColor indexed="64"/>
      </patternFill>
    </fill>
  </fills>
  <borders count="84">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bottom style="thin">
        <color theme="0" tint="-0.34998626667073579"/>
      </bottom>
      <diagonal/>
    </border>
    <border>
      <left/>
      <right/>
      <top style="thin">
        <color theme="0" tint="-0.499984740745262"/>
      </top>
      <bottom style="thin">
        <color theme="0" tint="-0.24994659260841701"/>
      </bottom>
      <diagonal/>
    </border>
    <border>
      <left/>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style="thin">
        <color theme="0" tint="-0.499984740745262"/>
      </top>
      <bottom/>
      <diagonal/>
    </border>
    <border>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24994659260841701"/>
      </left>
      <right/>
      <top/>
      <bottom style="thin">
        <color theme="0" tint="-0.499984740745262"/>
      </bottom>
      <diagonal/>
    </border>
    <border>
      <left/>
      <right style="thin">
        <color theme="0" tint="-0.24994659260841701"/>
      </right>
      <top/>
      <bottom style="thin">
        <color theme="0" tint="-0.499984740745262"/>
      </bottom>
      <diagonal/>
    </border>
    <border>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right style="thin">
        <color theme="0" tint="-0.24994659260841701"/>
      </right>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style="thin">
        <color theme="0" tint="-0.24994659260841701"/>
      </left>
      <right/>
      <top style="thin">
        <color theme="0" tint="-0.24994659260841701"/>
      </top>
      <bottom/>
      <diagonal/>
    </border>
    <border>
      <left style="thin">
        <color theme="0" tint="-0.499984740745262"/>
      </left>
      <right style="thin">
        <color theme="0" tint="-0.499984740745262"/>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499984740745262"/>
      </right>
      <top style="thin">
        <color theme="0" tint="-0.24994659260841701"/>
      </top>
      <bottom style="thin">
        <color theme="0" tint="-0.24994659260841701"/>
      </bottom>
      <diagonal/>
    </border>
    <border>
      <left/>
      <right style="thin">
        <color indexed="64"/>
      </right>
      <top/>
      <bottom/>
      <diagonal/>
    </border>
    <border>
      <left/>
      <right style="thin">
        <color indexed="64"/>
      </right>
      <top/>
      <bottom style="thin">
        <color theme="0" tint="-0.34998626667073579"/>
      </bottom>
      <diagonal/>
    </border>
    <border>
      <left style="thin">
        <color theme="0" tint="-0.34998626667073579"/>
      </left>
      <right/>
      <top/>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diagonal/>
    </border>
    <border>
      <left style="thin">
        <color theme="0" tint="-0.34998626667073579"/>
      </left>
      <right style="thin">
        <color theme="0" tint="-0.499984740745262"/>
      </right>
      <top/>
      <bottom/>
      <diagonal/>
    </border>
    <border>
      <left style="thin">
        <color theme="0" tint="-0.34998626667073579"/>
      </left>
      <right style="thin">
        <color theme="0" tint="-0.499984740745262"/>
      </right>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24994659260841701"/>
      </bottom>
      <diagonal/>
    </border>
    <border>
      <left style="thin">
        <color theme="0" tint="-0.24994659260841701"/>
      </left>
      <right/>
      <top/>
      <bottom style="thin">
        <color theme="0" tint="-0.24994659260841701"/>
      </bottom>
      <diagonal/>
    </border>
    <border>
      <left/>
      <right/>
      <top style="thin">
        <color indexed="64"/>
      </top>
      <bottom/>
      <diagonal/>
    </border>
    <border>
      <left/>
      <right style="thin">
        <color indexed="64"/>
      </right>
      <top style="thin">
        <color indexed="64"/>
      </top>
      <bottom/>
      <diagonal/>
    </border>
  </borders>
  <cellStyleXfs count="8">
    <xf numFmtId="0" fontId="0" fillId="0" borderId="0"/>
    <xf numFmtId="43" fontId="11" fillId="0" borderId="0" applyFont="0" applyFill="0" applyBorder="0" applyAlignment="0" applyProtection="0"/>
    <xf numFmtId="0" fontId="18" fillId="0" borderId="0"/>
    <xf numFmtId="0" fontId="18" fillId="0" borderId="0"/>
    <xf numFmtId="0" fontId="11" fillId="0" borderId="0"/>
    <xf numFmtId="0" fontId="11" fillId="0" borderId="0"/>
    <xf numFmtId="0" fontId="18" fillId="0" borderId="0"/>
    <xf numFmtId="9" fontId="18" fillId="0" borderId="0" applyFont="0" applyFill="0" applyBorder="0" applyAlignment="0" applyProtection="0"/>
  </cellStyleXfs>
  <cellXfs count="545">
    <xf numFmtId="0" fontId="0" fillId="0" borderId="0" xfId="0"/>
    <xf numFmtId="0" fontId="13" fillId="3" borderId="0" xfId="2" applyFont="1" applyFill="1"/>
    <xf numFmtId="0" fontId="13" fillId="3" borderId="0" xfId="0" applyFont="1" applyFill="1"/>
    <xf numFmtId="0" fontId="24" fillId="3" borderId="0" xfId="0" applyFont="1" applyFill="1"/>
    <xf numFmtId="0" fontId="13" fillId="0" borderId="1" xfId="0" applyFont="1" applyBorder="1"/>
    <xf numFmtId="0" fontId="25" fillId="0" borderId="2" xfId="0" applyFont="1" applyBorder="1"/>
    <xf numFmtId="0" fontId="13" fillId="0" borderId="2" xfId="0" applyFont="1" applyBorder="1"/>
    <xf numFmtId="0" fontId="25" fillId="0" borderId="3" xfId="0" applyFont="1" applyBorder="1"/>
    <xf numFmtId="0" fontId="13" fillId="0" borderId="4" xfId="2" applyFont="1" applyBorder="1"/>
    <xf numFmtId="0" fontId="13" fillId="0" borderId="0" xfId="2" applyFont="1"/>
    <xf numFmtId="0" fontId="13" fillId="0" borderId="0" xfId="0" applyFont="1"/>
    <xf numFmtId="0" fontId="21" fillId="0" borderId="0" xfId="0" applyFont="1" applyAlignment="1">
      <alignment horizontal="left" vertical="top" wrapText="1"/>
    </xf>
    <xf numFmtId="0" fontId="14" fillId="0" borderId="0" xfId="2" applyFont="1" applyAlignment="1">
      <alignment horizontal="left" vertical="top"/>
    </xf>
    <xf numFmtId="0" fontId="21" fillId="0" borderId="0" xfId="2" applyFont="1" applyAlignment="1">
      <alignment vertical="center"/>
    </xf>
    <xf numFmtId="0" fontId="13" fillId="0" borderId="0" xfId="2" applyFont="1" applyAlignment="1">
      <alignment vertical="center"/>
    </xf>
    <xf numFmtId="0" fontId="21" fillId="0" borderId="0" xfId="0" applyFont="1" applyAlignment="1">
      <alignment horizontal="left" vertical="center" wrapText="1"/>
    </xf>
    <xf numFmtId="0" fontId="18" fillId="0" borderId="0" xfId="2" applyAlignment="1">
      <alignment vertical="top" wrapText="1"/>
    </xf>
    <xf numFmtId="0" fontId="13" fillId="3" borderId="0" xfId="3" applyFont="1" applyFill="1" applyAlignment="1">
      <alignment vertical="center"/>
    </xf>
    <xf numFmtId="0" fontId="18" fillId="0" borderId="0" xfId="2" applyAlignment="1">
      <alignment vertical="center" wrapText="1"/>
    </xf>
    <xf numFmtId="0" fontId="13" fillId="3" borderId="0" xfId="0" applyFont="1" applyFill="1" applyAlignment="1">
      <alignment horizontal="left"/>
    </xf>
    <xf numFmtId="0" fontId="13" fillId="3" borderId="0" xfId="4" applyFont="1" applyFill="1"/>
    <xf numFmtId="0" fontId="19" fillId="3" borderId="6" xfId="4" applyFont="1" applyFill="1" applyBorder="1" applyAlignment="1" applyProtection="1">
      <alignment horizontal="left" vertical="center" indent="1"/>
      <protection locked="0"/>
    </xf>
    <xf numFmtId="0" fontId="13" fillId="3" borderId="0" xfId="4" applyFont="1" applyFill="1" applyAlignment="1">
      <alignment horizontal="left"/>
    </xf>
    <xf numFmtId="0" fontId="13" fillId="0" borderId="5" xfId="3" applyFont="1" applyBorder="1" applyAlignment="1">
      <alignment vertical="center"/>
    </xf>
    <xf numFmtId="0" fontId="14" fillId="0" borderId="0" xfId="2" applyFont="1" applyAlignment="1">
      <alignment horizontal="left" vertical="center"/>
    </xf>
    <xf numFmtId="0" fontId="13" fillId="0" borderId="7" xfId="2" applyFont="1" applyBorder="1"/>
    <xf numFmtId="0" fontId="13" fillId="0" borderId="8" xfId="2" applyFont="1" applyBorder="1"/>
    <xf numFmtId="0" fontId="18" fillId="0" borderId="8" xfId="2" applyBorder="1" applyAlignment="1">
      <alignment vertical="top" wrapText="1"/>
    </xf>
    <xf numFmtId="0" fontId="21" fillId="0" borderId="8" xfId="0" applyFont="1" applyBorder="1" applyAlignment="1">
      <alignment horizontal="left" vertical="top" wrapText="1"/>
    </xf>
    <xf numFmtId="0" fontId="13" fillId="3" borderId="8" xfId="0" applyFont="1" applyFill="1" applyBorder="1"/>
    <xf numFmtId="0" fontId="13" fillId="3" borderId="8" xfId="0" applyFont="1" applyFill="1" applyBorder="1" applyAlignment="1">
      <alignment vertical="top" wrapText="1"/>
    </xf>
    <xf numFmtId="0" fontId="12" fillId="3" borderId="0" xfId="4" applyFont="1" applyFill="1"/>
    <xf numFmtId="0" fontId="18" fillId="3" borderId="0" xfId="0" applyFont="1" applyFill="1"/>
    <xf numFmtId="0" fontId="13" fillId="3" borderId="26" xfId="0" applyFont="1" applyFill="1" applyBorder="1" applyAlignment="1">
      <alignment horizontal="center" vertical="center" wrapText="1"/>
    </xf>
    <xf numFmtId="0" fontId="17" fillId="3" borderId="0" xfId="0" applyFont="1" applyFill="1"/>
    <xf numFmtId="0" fontId="17" fillId="0" borderId="0" xfId="2" applyFont="1"/>
    <xf numFmtId="0" fontId="13" fillId="6" borderId="0" xfId="0" applyFont="1" applyFill="1"/>
    <xf numFmtId="0" fontId="24" fillId="6" borderId="0" xfId="0" applyFont="1" applyFill="1"/>
    <xf numFmtId="0" fontId="27" fillId="6" borderId="0" xfId="0" applyFont="1" applyFill="1" applyAlignment="1">
      <alignment horizontal="left" vertical="center"/>
    </xf>
    <xf numFmtId="0" fontId="27" fillId="6" borderId="0" xfId="0" applyFont="1" applyFill="1" applyAlignment="1">
      <alignment horizontal="left" vertical="center" wrapText="1"/>
    </xf>
    <xf numFmtId="0" fontId="24" fillId="6" borderId="0" xfId="0" applyFont="1" applyFill="1" applyAlignment="1">
      <alignment vertical="center" wrapText="1"/>
    </xf>
    <xf numFmtId="0" fontId="24" fillId="6" borderId="0" xfId="0" applyFont="1" applyFill="1" applyAlignment="1">
      <alignment horizontal="left" vertical="center" wrapText="1"/>
    </xf>
    <xf numFmtId="0" fontId="30" fillId="6" borderId="0" xfId="0" applyFont="1" applyFill="1"/>
    <xf numFmtId="0" fontId="18" fillId="2" borderId="1" xfId="6" applyFill="1" applyBorder="1" applyAlignment="1" applyProtection="1">
      <alignment vertical="center"/>
      <protection hidden="1"/>
    </xf>
    <xf numFmtId="0" fontId="18" fillId="2" borderId="2" xfId="6" applyFill="1" applyBorder="1" applyAlignment="1" applyProtection="1">
      <alignment vertical="center"/>
      <protection hidden="1"/>
    </xf>
    <xf numFmtId="0" fontId="18" fillId="3" borderId="0" xfId="6" applyFill="1" applyAlignment="1" applyProtection="1">
      <alignment vertical="center"/>
      <protection hidden="1"/>
    </xf>
    <xf numFmtId="0" fontId="18" fillId="2" borderId="4" xfId="6" applyFill="1" applyBorder="1" applyAlignment="1" applyProtection="1">
      <alignment vertical="center"/>
      <protection hidden="1"/>
    </xf>
    <xf numFmtId="0" fontId="18" fillId="2" borderId="0" xfId="6" applyFill="1" applyAlignment="1" applyProtection="1">
      <alignment vertical="center"/>
      <protection hidden="1"/>
    </xf>
    <xf numFmtId="0" fontId="31" fillId="2" borderId="0" xfId="6" applyFont="1" applyFill="1" applyAlignment="1" applyProtection="1">
      <alignment horizontal="left" vertical="center"/>
      <protection hidden="1"/>
    </xf>
    <xf numFmtId="0" fontId="21" fillId="2" borderId="0" xfId="6" applyFont="1" applyFill="1" applyAlignment="1" applyProtection="1">
      <alignment vertical="center"/>
      <protection hidden="1"/>
    </xf>
    <xf numFmtId="49" fontId="16" fillId="2" borderId="0" xfId="6" applyNumberFormat="1" applyFont="1" applyFill="1" applyAlignment="1" applyProtection="1">
      <alignment vertical="center"/>
      <protection hidden="1"/>
    </xf>
    <xf numFmtId="49" fontId="32" fillId="2" borderId="0" xfId="6" applyNumberFormat="1" applyFont="1" applyFill="1" applyAlignment="1" applyProtection="1">
      <alignment vertical="center"/>
      <protection hidden="1"/>
    </xf>
    <xf numFmtId="49" fontId="18" fillId="2" borderId="0" xfId="6" applyNumberFormat="1" applyFill="1" applyAlignment="1" applyProtection="1">
      <alignment vertical="center"/>
      <protection hidden="1"/>
    </xf>
    <xf numFmtId="0" fontId="18" fillId="2" borderId="8" xfId="6" applyFill="1" applyBorder="1" applyAlignment="1" applyProtection="1">
      <alignment vertical="center"/>
      <protection hidden="1"/>
    </xf>
    <xf numFmtId="0" fontId="16" fillId="3" borderId="0" xfId="6" applyFont="1" applyFill="1" applyAlignment="1" applyProtection="1">
      <alignment vertical="top" wrapText="1"/>
      <protection hidden="1"/>
    </xf>
    <xf numFmtId="0" fontId="33" fillId="3" borderId="0" xfId="5" applyFont="1" applyFill="1" applyAlignment="1">
      <alignment horizontal="right" vertical="center"/>
    </xf>
    <xf numFmtId="0" fontId="33" fillId="3" borderId="0" xfId="2" applyFont="1" applyFill="1" applyAlignment="1">
      <alignment horizontal="right" vertical="center"/>
    </xf>
    <xf numFmtId="0" fontId="27" fillId="6" borderId="0" xfId="0" applyFont="1" applyFill="1" applyAlignment="1">
      <alignment vertical="center"/>
    </xf>
    <xf numFmtId="0" fontId="25" fillId="6" borderId="0" xfId="0" applyFont="1" applyFill="1" applyAlignment="1">
      <alignment vertical="center"/>
    </xf>
    <xf numFmtId="0" fontId="30" fillId="6" borderId="0" xfId="0" applyFont="1" applyFill="1" applyAlignment="1">
      <alignment horizontal="left" vertical="center"/>
    </xf>
    <xf numFmtId="0" fontId="25" fillId="6" borderId="0" xfId="0" applyFont="1" applyFill="1" applyAlignment="1">
      <alignment horizontal="left" vertical="center"/>
    </xf>
    <xf numFmtId="0" fontId="13" fillId="6" borderId="0" xfId="0" applyFont="1" applyFill="1" applyAlignment="1">
      <alignment horizontal="left" vertical="center"/>
    </xf>
    <xf numFmtId="0" fontId="13" fillId="6" borderId="0" xfId="0" applyFont="1" applyFill="1" applyAlignment="1">
      <alignment horizontal="right" vertical="center"/>
    </xf>
    <xf numFmtId="0" fontId="27" fillId="6" borderId="0" xfId="0" applyFont="1" applyFill="1" applyAlignment="1">
      <alignment horizontal="right" vertical="center" wrapText="1"/>
    </xf>
    <xf numFmtId="0" fontId="18" fillId="0" borderId="0" xfId="2" applyAlignment="1">
      <alignment horizontal="left" vertical="center" wrapText="1"/>
    </xf>
    <xf numFmtId="0" fontId="15" fillId="0" borderId="0" xfId="0" applyFont="1"/>
    <xf numFmtId="164" fontId="13" fillId="0" borderId="0" xfId="0" applyNumberFormat="1" applyFont="1"/>
    <xf numFmtId="0" fontId="13" fillId="0" borderId="0" xfId="0" applyFont="1" applyAlignment="1">
      <alignment horizontal="center"/>
    </xf>
    <xf numFmtId="0" fontId="13" fillId="0" borderId="0" xfId="0" quotePrefix="1" applyFont="1"/>
    <xf numFmtId="0" fontId="14" fillId="0" borderId="0" xfId="0" applyFont="1"/>
    <xf numFmtId="0" fontId="13" fillId="0" borderId="0" xfId="0" applyFont="1" applyAlignment="1">
      <alignment horizontal="center" vertical="center" wrapText="1"/>
    </xf>
    <xf numFmtId="0" fontId="9" fillId="0" borderId="0" xfId="0" applyFont="1" applyAlignment="1">
      <alignment horizontal="right" vertical="center"/>
    </xf>
    <xf numFmtId="0" fontId="18" fillId="4" borderId="34" xfId="0" applyFont="1" applyFill="1" applyBorder="1" applyAlignment="1">
      <alignment horizontal="left" vertical="center" indent="1"/>
    </xf>
    <xf numFmtId="0" fontId="18" fillId="4" borderId="15" xfId="0" applyFont="1" applyFill="1" applyBorder="1" applyAlignment="1">
      <alignment horizontal="left" vertical="center" indent="1"/>
    </xf>
    <xf numFmtId="0" fontId="18" fillId="4" borderId="29" xfId="0" applyFont="1" applyFill="1" applyBorder="1" applyAlignment="1">
      <alignment horizontal="left" vertical="center" indent="1"/>
    </xf>
    <xf numFmtId="49" fontId="18" fillId="4" borderId="29" xfId="0" applyNumberFormat="1" applyFont="1" applyFill="1" applyBorder="1" applyAlignment="1">
      <alignment horizontal="left" vertical="center" indent="1"/>
    </xf>
    <xf numFmtId="0" fontId="18" fillId="4" borderId="35" xfId="0" applyFont="1" applyFill="1" applyBorder="1" applyAlignment="1">
      <alignment horizontal="left" vertical="center" indent="1"/>
    </xf>
    <xf numFmtId="0" fontId="18" fillId="4" borderId="21" xfId="0" applyFont="1" applyFill="1" applyBorder="1" applyAlignment="1">
      <alignment horizontal="left" vertical="center"/>
    </xf>
    <xf numFmtId="0" fontId="0" fillId="3" borderId="0" xfId="0" applyFill="1"/>
    <xf numFmtId="0" fontId="18" fillId="4" borderId="30" xfId="0" applyFont="1" applyFill="1" applyBorder="1" applyAlignment="1">
      <alignment horizontal="left" vertical="center"/>
    </xf>
    <xf numFmtId="0" fontId="18" fillId="4" borderId="28" xfId="0" applyFont="1" applyFill="1" applyBorder="1" applyAlignment="1">
      <alignment horizontal="left" vertical="center"/>
    </xf>
    <xf numFmtId="0" fontId="18" fillId="4" borderId="21" xfId="0" applyFont="1" applyFill="1" applyBorder="1" applyAlignment="1">
      <alignment horizontal="left" vertical="center" indent="1"/>
    </xf>
    <xf numFmtId="0" fontId="13" fillId="0" borderId="5" xfId="0" applyFont="1" applyBorder="1"/>
    <xf numFmtId="0" fontId="21" fillId="0" borderId="5" xfId="0" applyFont="1" applyBorder="1" applyAlignment="1">
      <alignment horizontal="left" vertical="top" wrapText="1"/>
    </xf>
    <xf numFmtId="0" fontId="13" fillId="0" borderId="0" xfId="0" applyFont="1" applyAlignment="1">
      <alignment vertical="center"/>
    </xf>
    <xf numFmtId="0" fontId="13" fillId="0" borderId="5" xfId="2" applyFont="1" applyBorder="1"/>
    <xf numFmtId="0" fontId="13" fillId="0" borderId="4" xfId="3" applyFont="1" applyBorder="1" applyAlignment="1">
      <alignment vertical="center"/>
    </xf>
    <xf numFmtId="0" fontId="14" fillId="0" borderId="0" xfId="3" applyFont="1" applyAlignment="1">
      <alignment horizontal="left" vertical="center"/>
    </xf>
    <xf numFmtId="0" fontId="20" fillId="0" borderId="0" xfId="2" applyFont="1" applyAlignment="1">
      <alignment vertical="center"/>
    </xf>
    <xf numFmtId="0" fontId="13" fillId="0" borderId="4" xfId="4" applyFont="1" applyBorder="1"/>
    <xf numFmtId="0" fontId="14" fillId="0" borderId="0" xfId="4" applyFont="1" applyAlignment="1">
      <alignment horizontal="left" vertical="top"/>
    </xf>
    <xf numFmtId="0" fontId="18" fillId="0" borderId="0" xfId="2" applyAlignment="1">
      <alignment horizontal="left" vertical="center"/>
    </xf>
    <xf numFmtId="0" fontId="13" fillId="0" borderId="0" xfId="4" applyFont="1" applyAlignment="1">
      <alignment vertical="center"/>
    </xf>
    <xf numFmtId="0" fontId="13" fillId="0" borderId="0" xfId="0" applyFont="1" applyAlignment="1">
      <alignment horizontal="left" vertical="center"/>
    </xf>
    <xf numFmtId="0" fontId="18" fillId="0" borderId="0" xfId="2" applyAlignment="1">
      <alignment vertical="center"/>
    </xf>
    <xf numFmtId="0" fontId="13" fillId="0" borderId="0" xfId="4" applyFont="1" applyAlignment="1">
      <alignment horizontal="left" vertical="center"/>
    </xf>
    <xf numFmtId="0" fontId="13" fillId="0" borderId="5" xfId="4" applyFont="1" applyBorder="1"/>
    <xf numFmtId="0" fontId="13" fillId="0" borderId="9" xfId="2" applyFont="1" applyBorder="1"/>
    <xf numFmtId="0" fontId="8" fillId="4" borderId="17" xfId="0" applyFont="1" applyFill="1" applyBorder="1" applyAlignment="1">
      <alignment horizontal="center" vertical="center" wrapText="1"/>
    </xf>
    <xf numFmtId="0" fontId="8" fillId="4" borderId="20" xfId="0" applyFont="1" applyFill="1" applyBorder="1" applyAlignment="1">
      <alignment horizontal="center" vertical="center" wrapText="1"/>
    </xf>
    <xf numFmtId="0" fontId="8" fillId="4" borderId="21" xfId="0" applyFont="1" applyFill="1" applyBorder="1" applyAlignment="1">
      <alignment horizontal="center" vertical="center" wrapText="1"/>
    </xf>
    <xf numFmtId="0" fontId="8" fillId="4" borderId="19" xfId="0" applyFont="1" applyFill="1" applyBorder="1" applyAlignment="1">
      <alignment horizontal="center" vertical="center" wrapText="1"/>
    </xf>
    <xf numFmtId="0" fontId="12" fillId="0" borderId="1" xfId="4" applyFont="1" applyBorder="1"/>
    <xf numFmtId="0" fontId="21" fillId="0" borderId="2" xfId="2" applyFont="1" applyBorder="1" applyAlignment="1">
      <alignment vertical="top"/>
    </xf>
    <xf numFmtId="0" fontId="18" fillId="0" borderId="2" xfId="0" applyFont="1" applyBorder="1"/>
    <xf numFmtId="0" fontId="18" fillId="0" borderId="2" xfId="2" applyBorder="1" applyAlignment="1">
      <alignment vertical="top" wrapText="1"/>
    </xf>
    <xf numFmtId="0" fontId="12" fillId="0" borderId="2" xfId="4" applyFont="1" applyBorder="1"/>
    <xf numFmtId="0" fontId="0" fillId="0" borderId="0" xfId="0" applyAlignment="1">
      <alignment horizontal="center"/>
    </xf>
    <xf numFmtId="0" fontId="21" fillId="0" borderId="0" xfId="0" applyFont="1"/>
    <xf numFmtId="0" fontId="21" fillId="0" borderId="0" xfId="0" applyFont="1" applyAlignment="1">
      <alignment horizontal="center" wrapText="1"/>
    </xf>
    <xf numFmtId="0" fontId="18" fillId="0" borderId="0" xfId="0" applyFont="1" applyAlignment="1">
      <alignment horizontal="center"/>
    </xf>
    <xf numFmtId="0" fontId="12" fillId="0" borderId="3" xfId="4" applyFont="1" applyBorder="1"/>
    <xf numFmtId="0" fontId="12" fillId="0" borderId="4" xfId="4" applyFont="1" applyBorder="1"/>
    <xf numFmtId="0" fontId="21" fillId="0" borderId="0" xfId="2" applyFont="1" applyAlignment="1">
      <alignment vertical="top"/>
    </xf>
    <xf numFmtId="0" fontId="18" fillId="0" borderId="0" xfId="0" applyFont="1"/>
    <xf numFmtId="0" fontId="12" fillId="0" borderId="0" xfId="4" applyFont="1"/>
    <xf numFmtId="0" fontId="12" fillId="0" borderId="5" xfId="4" applyFont="1" applyBorder="1"/>
    <xf numFmtId="0" fontId="13" fillId="0" borderId="10" xfId="0" applyFont="1" applyBorder="1"/>
    <xf numFmtId="0" fontId="13" fillId="0" borderId="4" xfId="0" applyFont="1" applyBorder="1"/>
    <xf numFmtId="0" fontId="19" fillId="0" borderId="27" xfId="0" applyFont="1" applyBorder="1" applyAlignment="1">
      <alignment horizontal="right" vertical="center"/>
    </xf>
    <xf numFmtId="0" fontId="19" fillId="0" borderId="20" xfId="0" applyFont="1" applyBorder="1" applyAlignment="1">
      <alignment horizontal="right" vertical="center"/>
    </xf>
    <xf numFmtId="0" fontId="13" fillId="0" borderId="7" xfId="0" applyFont="1" applyBorder="1"/>
    <xf numFmtId="0" fontId="13" fillId="0" borderId="8" xfId="0" applyFont="1" applyBorder="1"/>
    <xf numFmtId="0" fontId="13" fillId="0" borderId="9" xfId="0" applyFont="1" applyBorder="1"/>
    <xf numFmtId="49" fontId="13" fillId="0" borderId="0" xfId="0" applyNumberFormat="1" applyFont="1" applyAlignment="1">
      <alignment horizontal="center" vertical="center" wrapText="1"/>
    </xf>
    <xf numFmtId="49" fontId="13" fillId="0" borderId="0" xfId="0" applyNumberFormat="1" applyFont="1" applyAlignment="1">
      <alignment vertical="top" wrapText="1"/>
    </xf>
    <xf numFmtId="49" fontId="13" fillId="0" borderId="0" xfId="0" applyNumberFormat="1" applyFont="1" applyAlignment="1">
      <alignment vertical="center"/>
    </xf>
    <xf numFmtId="164" fontId="22" fillId="0" borderId="0" xfId="0" applyNumberFormat="1" applyFont="1"/>
    <xf numFmtId="0" fontId="22" fillId="0" borderId="0" xfId="0" applyFont="1"/>
    <xf numFmtId="164" fontId="23" fillId="0" borderId="0" xfId="0" applyNumberFormat="1" applyFont="1"/>
    <xf numFmtId="165" fontId="22" fillId="0" borderId="0" xfId="0" applyNumberFormat="1" applyFont="1"/>
    <xf numFmtId="0" fontId="18" fillId="0" borderId="36" xfId="0" applyFont="1" applyBorder="1" applyAlignment="1">
      <alignment horizontal="left" vertical="center" indent="1"/>
    </xf>
    <xf numFmtId="0" fontId="18" fillId="0" borderId="36" xfId="0" applyFont="1" applyBorder="1" applyAlignment="1">
      <alignment horizontal="left" vertical="center"/>
    </xf>
    <xf numFmtId="164" fontId="18" fillId="0" borderId="36" xfId="0" applyNumberFormat="1" applyFont="1" applyBorder="1" applyAlignment="1">
      <alignment horizontal="right" vertical="center"/>
    </xf>
    <xf numFmtId="164" fontId="13" fillId="0" borderId="0" xfId="0" applyNumberFormat="1" applyFont="1" applyAlignment="1">
      <alignment horizontal="center"/>
    </xf>
    <xf numFmtId="2" fontId="23" fillId="0" borderId="0" xfId="0" applyNumberFormat="1" applyFont="1"/>
    <xf numFmtId="0" fontId="24" fillId="0" borderId="0" xfId="0" applyFont="1" applyAlignment="1" applyProtection="1">
      <alignment vertical="center"/>
      <protection hidden="1"/>
    </xf>
    <xf numFmtId="0" fontId="15" fillId="0" borderId="0" xfId="0" applyFont="1" applyAlignment="1">
      <alignment horizontal="left" vertical="center"/>
    </xf>
    <xf numFmtId="164" fontId="13" fillId="0" borderId="0" xfId="0" applyNumberFormat="1" applyFont="1" applyAlignment="1">
      <alignment horizontal="right" vertical="center"/>
    </xf>
    <xf numFmtId="0" fontId="8" fillId="0" borderId="0" xfId="0" applyFont="1" applyAlignment="1">
      <alignment horizontal="center" vertical="center" wrapText="1"/>
    </xf>
    <xf numFmtId="0" fontId="0" fillId="0" borderId="0" xfId="0" applyAlignment="1">
      <alignment horizontal="left" vertical="center"/>
    </xf>
    <xf numFmtId="0" fontId="0" fillId="0" borderId="0" xfId="0" applyAlignment="1">
      <alignment horizontal="right" vertical="center"/>
    </xf>
    <xf numFmtId="0" fontId="7" fillId="3" borderId="20" xfId="0" applyFont="1" applyFill="1" applyBorder="1" applyAlignment="1" applyProtection="1">
      <alignment horizontal="left" vertical="center" indent="1"/>
      <protection locked="0"/>
    </xf>
    <xf numFmtId="0" fontId="7" fillId="3" borderId="26" xfId="0" applyFont="1" applyFill="1" applyBorder="1" applyAlignment="1">
      <alignment horizontal="center" vertical="center" wrapText="1"/>
    </xf>
    <xf numFmtId="0" fontId="7" fillId="3" borderId="0" xfId="0" applyFont="1" applyFill="1"/>
    <xf numFmtId="0" fontId="19" fillId="3" borderId="26" xfId="0" applyFont="1" applyFill="1" applyBorder="1" applyAlignment="1">
      <alignment horizontal="center" vertical="center"/>
    </xf>
    <xf numFmtId="0" fontId="20" fillId="0" borderId="34" xfId="0" applyFont="1" applyBorder="1" applyAlignment="1">
      <alignment horizontal="left" vertical="center" indent="1"/>
    </xf>
    <xf numFmtId="0" fontId="20" fillId="0" borderId="37" xfId="0" applyFont="1" applyBorder="1" applyAlignment="1">
      <alignment horizontal="left" vertical="center" indent="1"/>
    </xf>
    <xf numFmtId="0" fontId="20" fillId="0" borderId="29" xfId="0" applyFont="1" applyBorder="1" applyAlignment="1">
      <alignment horizontal="left" vertical="center" indent="1"/>
    </xf>
    <xf numFmtId="0" fontId="20" fillId="0" borderId="30" xfId="0" applyFont="1" applyBorder="1" applyAlignment="1">
      <alignment horizontal="left" vertical="center" indent="1"/>
    </xf>
    <xf numFmtId="0" fontId="20" fillId="0" borderId="35" xfId="0" applyFont="1" applyBorder="1" applyAlignment="1">
      <alignment horizontal="left" vertical="center" indent="1"/>
    </xf>
    <xf numFmtId="0" fontId="20" fillId="0" borderId="38" xfId="0" applyFont="1" applyBorder="1" applyAlignment="1">
      <alignment horizontal="left" vertical="center" indent="1"/>
    </xf>
    <xf numFmtId="0" fontId="20" fillId="0" borderId="29" xfId="0" applyFont="1" applyBorder="1" applyAlignment="1">
      <alignment vertical="center" wrapText="1"/>
    </xf>
    <xf numFmtId="0" fontId="7" fillId="5" borderId="31" xfId="0" applyFont="1" applyFill="1" applyBorder="1" applyAlignment="1">
      <alignment horizontal="center" vertical="center"/>
    </xf>
    <xf numFmtId="0" fontId="35" fillId="0" borderId="0" xfId="2" applyFont="1" applyAlignment="1">
      <alignment vertical="center"/>
    </xf>
    <xf numFmtId="0" fontId="19" fillId="0" borderId="14" xfId="0" applyFont="1" applyBorder="1" applyAlignment="1">
      <alignment horizontal="right" vertical="center"/>
    </xf>
    <xf numFmtId="0" fontId="19" fillId="0" borderId="14" xfId="0" applyFont="1" applyBorder="1" applyAlignment="1">
      <alignment horizontal="right" vertical="center" indent="1"/>
    </xf>
    <xf numFmtId="0" fontId="19" fillId="0" borderId="27" xfId="0" applyFont="1" applyBorder="1" applyAlignment="1">
      <alignment horizontal="right" vertical="center" indent="1"/>
    </xf>
    <xf numFmtId="0" fontId="28" fillId="0" borderId="20" xfId="0" applyFont="1" applyBorder="1" applyAlignment="1">
      <alignment horizontal="center" vertical="center"/>
    </xf>
    <xf numFmtId="0" fontId="7" fillId="5" borderId="31" xfId="0" applyFont="1" applyFill="1" applyBorder="1" applyAlignment="1">
      <alignment horizontal="center" vertical="center" wrapText="1"/>
    </xf>
    <xf numFmtId="0" fontId="16" fillId="0" borderId="0" xfId="2" applyFont="1" applyAlignment="1">
      <alignment vertical="center"/>
    </xf>
    <xf numFmtId="0" fontId="19" fillId="0" borderId="39" xfId="0" applyFont="1" applyBorder="1" applyAlignment="1">
      <alignment horizontal="right" vertical="center"/>
    </xf>
    <xf numFmtId="0" fontId="19" fillId="0" borderId="19" xfId="0" applyFont="1" applyBorder="1" applyAlignment="1">
      <alignment horizontal="right" vertical="center"/>
    </xf>
    <xf numFmtId="0" fontId="19" fillId="0" borderId="28" xfId="0" applyFont="1" applyBorder="1" applyAlignment="1">
      <alignment horizontal="right" vertical="center"/>
    </xf>
    <xf numFmtId="0" fontId="19" fillId="0" borderId="21" xfId="0" applyFont="1" applyBorder="1" applyAlignment="1">
      <alignment horizontal="right" vertical="center"/>
    </xf>
    <xf numFmtId="0" fontId="19" fillId="0" borderId="11" xfId="0" applyFont="1" applyBorder="1" applyAlignment="1">
      <alignment horizontal="right" vertical="center"/>
    </xf>
    <xf numFmtId="0" fontId="19" fillId="0" borderId="25" xfId="0" applyFont="1" applyBorder="1" applyAlignment="1">
      <alignment horizontal="right" vertical="center"/>
    </xf>
    <xf numFmtId="0" fontId="19" fillId="0" borderId="17" xfId="0" applyFont="1" applyBorder="1" applyAlignment="1">
      <alignment horizontal="right" vertical="center"/>
    </xf>
    <xf numFmtId="0" fontId="19" fillId="0" borderId="16" xfId="0" applyFont="1" applyBorder="1" applyAlignment="1">
      <alignment horizontal="right" vertical="center"/>
    </xf>
    <xf numFmtId="0" fontId="19" fillId="0" borderId="40" xfId="0" applyFont="1" applyBorder="1" applyAlignment="1">
      <alignment horizontal="right" vertical="center"/>
    </xf>
    <xf numFmtId="0" fontId="19" fillId="0" borderId="22" xfId="0" applyFont="1" applyBorder="1" applyAlignment="1">
      <alignment horizontal="right" vertical="center"/>
    </xf>
    <xf numFmtId="0" fontId="19" fillId="0" borderId="15" xfId="0" applyFont="1" applyBorder="1" applyAlignment="1">
      <alignment horizontal="right" vertical="center"/>
    </xf>
    <xf numFmtId="0" fontId="19" fillId="0" borderId="13" xfId="0" applyFont="1" applyBorder="1" applyAlignment="1">
      <alignment horizontal="right" vertical="center"/>
    </xf>
    <xf numFmtId="0" fontId="8" fillId="0" borderId="45" xfId="0" applyFont="1" applyBorder="1" applyAlignment="1">
      <alignment horizontal="center" vertical="center" wrapText="1"/>
    </xf>
    <xf numFmtId="0" fontId="18" fillId="0" borderId="45" xfId="0" applyFont="1" applyBorder="1" applyAlignment="1">
      <alignment horizontal="center" vertical="center" wrapText="1"/>
    </xf>
    <xf numFmtId="0" fontId="18" fillId="4" borderId="41" xfId="0" applyFont="1" applyFill="1" applyBorder="1" applyAlignment="1">
      <alignment horizontal="center" vertical="center" wrapText="1"/>
    </xf>
    <xf numFmtId="0" fontId="18" fillId="4" borderId="50" xfId="0" applyFont="1" applyFill="1" applyBorder="1" applyAlignment="1">
      <alignment horizontal="center" vertical="center" wrapText="1"/>
    </xf>
    <xf numFmtId="49" fontId="36" fillId="0" borderId="0" xfId="0" applyNumberFormat="1" applyFont="1" applyAlignment="1">
      <alignment vertical="top" wrapText="1"/>
    </xf>
    <xf numFmtId="0" fontId="32" fillId="0" borderId="44" xfId="0" applyFont="1" applyBorder="1" applyAlignment="1">
      <alignment horizontal="center" vertical="top" wrapText="1"/>
    </xf>
    <xf numFmtId="0" fontId="32" fillId="4" borderId="44" xfId="0" applyFont="1" applyFill="1" applyBorder="1" applyAlignment="1">
      <alignment horizontal="center" vertical="top" wrapText="1"/>
    </xf>
    <xf numFmtId="0" fontId="13" fillId="0" borderId="24" xfId="0" applyFont="1" applyBorder="1" applyAlignment="1">
      <alignment horizontal="center" vertical="top" wrapText="1"/>
    </xf>
    <xf numFmtId="0" fontId="20" fillId="0" borderId="24" xfId="0" applyFont="1" applyBorder="1" applyAlignment="1">
      <alignment horizontal="center" vertical="top" wrapText="1"/>
    </xf>
    <xf numFmtId="0" fontId="32" fillId="4" borderId="51" xfId="0" applyFont="1" applyFill="1" applyBorder="1" applyAlignment="1">
      <alignment horizontal="center" vertical="top" wrapText="1"/>
    </xf>
    <xf numFmtId="0" fontId="32" fillId="4" borderId="42" xfId="0" applyFont="1" applyFill="1" applyBorder="1" applyAlignment="1">
      <alignment horizontal="center" vertical="top" wrapText="1"/>
    </xf>
    <xf numFmtId="0" fontId="36" fillId="0" borderId="44" xfId="0" applyFont="1" applyBorder="1" applyAlignment="1">
      <alignment horizontal="center" vertical="top" wrapText="1"/>
    </xf>
    <xf numFmtId="0" fontId="18" fillId="4" borderId="44" xfId="0" applyFont="1" applyFill="1" applyBorder="1" applyAlignment="1">
      <alignment horizontal="center" vertical="top" wrapText="1"/>
    </xf>
    <xf numFmtId="49" fontId="18" fillId="4" borderId="44" xfId="0" applyNumberFormat="1" applyFont="1" applyFill="1" applyBorder="1" applyAlignment="1">
      <alignment horizontal="center" vertical="top" wrapText="1"/>
    </xf>
    <xf numFmtId="0" fontId="18" fillId="4" borderId="51" xfId="0" applyFont="1" applyFill="1" applyBorder="1" applyAlignment="1">
      <alignment horizontal="center" vertical="top" wrapText="1"/>
    </xf>
    <xf numFmtId="0" fontId="18" fillId="4" borderId="42" xfId="0" applyFont="1" applyFill="1" applyBorder="1" applyAlignment="1">
      <alignment horizontal="center" vertical="top" wrapText="1"/>
    </xf>
    <xf numFmtId="0" fontId="6" fillId="0" borderId="45" xfId="0" applyFont="1" applyBorder="1" applyAlignment="1">
      <alignment horizontal="center" vertical="center" wrapText="1"/>
    </xf>
    <xf numFmtId="0" fontId="18" fillId="0" borderId="26" xfId="0" applyFont="1" applyBorder="1" applyAlignment="1">
      <alignment horizontal="left" vertical="center"/>
    </xf>
    <xf numFmtId="3" fontId="18" fillId="0" borderId="14" xfId="0" applyNumberFormat="1" applyFont="1" applyBorder="1" applyAlignment="1">
      <alignment horizontal="right" vertical="center"/>
    </xf>
    <xf numFmtId="3" fontId="18" fillId="3" borderId="27" xfId="0" applyNumberFormat="1" applyFont="1" applyFill="1" applyBorder="1" applyAlignment="1" applyProtection="1">
      <alignment horizontal="right" vertical="center"/>
      <protection locked="0"/>
    </xf>
    <xf numFmtId="4" fontId="18" fillId="0" borderId="27" xfId="0" applyNumberFormat="1" applyFont="1" applyBorder="1" applyAlignment="1">
      <alignment horizontal="right" vertical="center"/>
    </xf>
    <xf numFmtId="0" fontId="18" fillId="4" borderId="15" xfId="0" applyFont="1" applyFill="1" applyBorder="1" applyAlignment="1">
      <alignment horizontal="left" vertical="center"/>
    </xf>
    <xf numFmtId="0" fontId="18" fillId="4" borderId="28" xfId="0" applyFont="1" applyFill="1" applyBorder="1" applyAlignment="1">
      <alignment horizontal="left" vertical="center" wrapText="1"/>
    </xf>
    <xf numFmtId="0" fontId="32" fillId="4" borderId="37" xfId="0" applyFont="1" applyFill="1" applyBorder="1" applyAlignment="1">
      <alignment horizontal="left" vertical="center"/>
    </xf>
    <xf numFmtId="0" fontId="32" fillId="4" borderId="30" xfId="0" applyFont="1" applyFill="1" applyBorder="1" applyAlignment="1">
      <alignment horizontal="left" vertical="center"/>
    </xf>
    <xf numFmtId="0" fontId="32" fillId="4" borderId="38" xfId="0" applyFont="1" applyFill="1" applyBorder="1" applyAlignment="1">
      <alignment horizontal="left" vertical="center"/>
    </xf>
    <xf numFmtId="0" fontId="32" fillId="0" borderId="36" xfId="0" applyFont="1" applyBorder="1" applyAlignment="1">
      <alignment horizontal="left" vertical="center"/>
    </xf>
    <xf numFmtId="0" fontId="18" fillId="4" borderId="52" xfId="0" applyFont="1" applyFill="1" applyBorder="1" applyAlignment="1">
      <alignment horizontal="left" vertical="center" indent="1"/>
    </xf>
    <xf numFmtId="0" fontId="18" fillId="4" borderId="53" xfId="0" applyFont="1" applyFill="1" applyBorder="1" applyAlignment="1">
      <alignment horizontal="left" vertical="center"/>
    </xf>
    <xf numFmtId="0" fontId="18" fillId="4" borderId="54" xfId="0" applyFont="1" applyFill="1" applyBorder="1" applyAlignment="1">
      <alignment horizontal="left" vertical="center" indent="1"/>
    </xf>
    <xf numFmtId="0" fontId="41" fillId="3" borderId="44" xfId="0" applyFont="1" applyFill="1" applyBorder="1" applyAlignment="1">
      <alignment horizontal="center" vertical="top" wrapText="1"/>
    </xf>
    <xf numFmtId="0" fontId="40" fillId="3" borderId="44" xfId="0" applyFont="1" applyFill="1" applyBorder="1" applyAlignment="1">
      <alignment horizontal="center" vertical="top" wrapText="1"/>
    </xf>
    <xf numFmtId="0" fontId="40" fillId="3" borderId="48" xfId="0" applyFont="1" applyFill="1" applyBorder="1" applyAlignment="1">
      <alignment horizontal="center" vertical="center" wrapText="1"/>
    </xf>
    <xf numFmtId="0" fontId="41" fillId="3" borderId="46" xfId="0" applyFont="1" applyFill="1" applyBorder="1" applyAlignment="1">
      <alignment horizontal="center" vertical="top" wrapText="1"/>
    </xf>
    <xf numFmtId="49" fontId="40" fillId="3" borderId="46" xfId="0" applyNumberFormat="1" applyFont="1" applyFill="1" applyBorder="1" applyAlignment="1">
      <alignment horizontal="center" vertical="top" wrapText="1"/>
    </xf>
    <xf numFmtId="0" fontId="40" fillId="3" borderId="50" xfId="0" applyFont="1" applyFill="1" applyBorder="1" applyAlignment="1">
      <alignment horizontal="center" vertical="center" wrapText="1"/>
    </xf>
    <xf numFmtId="0" fontId="41" fillId="3" borderId="51" xfId="0" applyFont="1" applyFill="1" applyBorder="1" applyAlignment="1">
      <alignment horizontal="center" vertical="top" wrapText="1"/>
    </xf>
    <xf numFmtId="49" fontId="40" fillId="3" borderId="44" xfId="0" applyNumberFormat="1" applyFont="1" applyFill="1" applyBorder="1" applyAlignment="1">
      <alignment horizontal="center" vertical="top" wrapText="1"/>
    </xf>
    <xf numFmtId="49" fontId="40" fillId="3" borderId="51" xfId="0" applyNumberFormat="1" applyFont="1" applyFill="1" applyBorder="1" applyAlignment="1">
      <alignment horizontal="center" vertical="top" wrapText="1"/>
    </xf>
    <xf numFmtId="0" fontId="10" fillId="3" borderId="27" xfId="0" applyFont="1" applyFill="1" applyBorder="1" applyAlignment="1" applyProtection="1">
      <alignment horizontal="left" vertical="center" indent="1"/>
      <protection locked="0"/>
    </xf>
    <xf numFmtId="0" fontId="38" fillId="3" borderId="29" xfId="0" applyFont="1" applyFill="1" applyBorder="1" applyAlignment="1">
      <alignment horizontal="left" vertical="center" indent="1"/>
    </xf>
    <xf numFmtId="0" fontId="39" fillId="3" borderId="30" xfId="0" applyFont="1" applyFill="1" applyBorder="1" applyAlignment="1">
      <alignment horizontal="left" vertical="center"/>
    </xf>
    <xf numFmtId="0" fontId="38" fillId="3" borderId="28" xfId="0" applyFont="1" applyFill="1" applyBorder="1" applyAlignment="1">
      <alignment horizontal="left" vertical="center"/>
    </xf>
    <xf numFmtId="0" fontId="6" fillId="0" borderId="0" xfId="0" applyFont="1" applyAlignment="1">
      <alignment horizontal="left" vertical="center" indent="3"/>
    </xf>
    <xf numFmtId="0" fontId="6" fillId="0" borderId="0" xfId="0" applyFont="1"/>
    <xf numFmtId="165" fontId="18" fillId="3" borderId="14" xfId="0" applyNumberFormat="1" applyFont="1" applyFill="1" applyBorder="1" applyAlignment="1" applyProtection="1">
      <alignment horizontal="left" vertical="center" wrapText="1"/>
      <protection locked="0"/>
    </xf>
    <xf numFmtId="0" fontId="40" fillId="3" borderId="43" xfId="0" applyFont="1" applyFill="1" applyBorder="1" applyAlignment="1">
      <alignment horizontal="center" vertical="center" wrapText="1"/>
    </xf>
    <xf numFmtId="0" fontId="18" fillId="4" borderId="43" xfId="0" applyFont="1" applyFill="1" applyBorder="1" applyAlignment="1">
      <alignment horizontal="center" vertical="center" wrapText="1"/>
    </xf>
    <xf numFmtId="0" fontId="18" fillId="3" borderId="14" xfId="2" applyFill="1" applyBorder="1" applyAlignment="1" applyProtection="1">
      <alignment horizontal="left" vertical="center" indent="1"/>
      <protection locked="0"/>
    </xf>
    <xf numFmtId="0" fontId="10" fillId="3" borderId="20" xfId="0" applyFont="1" applyFill="1" applyBorder="1" applyAlignment="1" applyProtection="1">
      <alignment horizontal="left" vertical="center" indent="1"/>
      <protection locked="0"/>
    </xf>
    <xf numFmtId="164" fontId="20" fillId="0" borderId="45" xfId="0" applyNumberFormat="1" applyFont="1" applyBorder="1" applyAlignment="1">
      <alignment horizontal="center" vertical="center" wrapText="1"/>
    </xf>
    <xf numFmtId="0" fontId="20" fillId="0" borderId="45" xfId="0" applyFont="1" applyBorder="1" applyAlignment="1">
      <alignment horizontal="center" vertical="center" wrapText="1"/>
    </xf>
    <xf numFmtId="2" fontId="20" fillId="0" borderId="45" xfId="0" applyNumberFormat="1" applyFont="1" applyBorder="1" applyAlignment="1">
      <alignment horizontal="center" vertical="center" wrapText="1"/>
    </xf>
    <xf numFmtId="0" fontId="20" fillId="0" borderId="0" xfId="0" applyFont="1" applyAlignment="1">
      <alignment horizontal="left" vertical="center" indent="1"/>
    </xf>
    <xf numFmtId="3" fontId="18" fillId="3" borderId="26" xfId="0" applyNumberFormat="1" applyFont="1" applyFill="1" applyBorder="1" applyAlignment="1" applyProtection="1">
      <alignment vertical="center"/>
      <protection locked="0"/>
    </xf>
    <xf numFmtId="164" fontId="18" fillId="3" borderId="26" xfId="0" applyNumberFormat="1" applyFont="1" applyFill="1" applyBorder="1" applyAlignment="1" applyProtection="1">
      <alignment horizontal="center" vertical="center"/>
      <protection locked="0"/>
    </xf>
    <xf numFmtId="4" fontId="40" fillId="0" borderId="26" xfId="0" applyNumberFormat="1" applyFont="1" applyBorder="1" applyAlignment="1">
      <alignment vertical="center"/>
    </xf>
    <xf numFmtId="3" fontId="18" fillId="3" borderId="25" xfId="0" applyNumberFormat="1" applyFont="1" applyFill="1" applyBorder="1" applyAlignment="1" applyProtection="1">
      <alignment horizontal="right" vertical="center"/>
      <protection locked="0"/>
    </xf>
    <xf numFmtId="3" fontId="18" fillId="3" borderId="26" xfId="0" applyNumberFormat="1" applyFont="1" applyFill="1" applyBorder="1" applyAlignment="1" applyProtection="1">
      <alignment horizontal="right" vertical="center"/>
      <protection locked="0"/>
    </xf>
    <xf numFmtId="0" fontId="18" fillId="4" borderId="55" xfId="0" applyFont="1" applyFill="1" applyBorder="1" applyAlignment="1">
      <alignment horizontal="center" vertical="center" wrapText="1"/>
    </xf>
    <xf numFmtId="0" fontId="32" fillId="4" borderId="10" xfId="0" applyFont="1" applyFill="1" applyBorder="1" applyAlignment="1">
      <alignment horizontal="center" vertical="top" wrapText="1"/>
    </xf>
    <xf numFmtId="49" fontId="18" fillId="4" borderId="10" xfId="0" applyNumberFormat="1" applyFont="1" applyFill="1" applyBorder="1" applyAlignment="1">
      <alignment horizontal="center" vertical="top" wrapText="1"/>
    </xf>
    <xf numFmtId="49" fontId="18" fillId="3" borderId="25" xfId="0" applyNumberFormat="1" applyFont="1" applyFill="1" applyBorder="1" applyAlignment="1" applyProtection="1">
      <alignment vertical="center"/>
      <protection locked="0"/>
    </xf>
    <xf numFmtId="0" fontId="24" fillId="0" borderId="0" xfId="0" applyFont="1"/>
    <xf numFmtId="0" fontId="43" fillId="0" borderId="0" xfId="0" applyFont="1"/>
    <xf numFmtId="49" fontId="24" fillId="0" borderId="0" xfId="0" applyNumberFormat="1" applyFont="1" applyAlignment="1">
      <alignment horizontal="center" vertical="center" wrapText="1"/>
    </xf>
    <xf numFmtId="49" fontId="44" fillId="0" borderId="0" xfId="0" applyNumberFormat="1" applyFont="1" applyAlignment="1">
      <alignment vertical="top" wrapText="1"/>
    </xf>
    <xf numFmtId="49" fontId="24" fillId="0" borderId="0" xfId="0" applyNumberFormat="1" applyFont="1" applyAlignment="1">
      <alignment vertical="top" wrapText="1"/>
    </xf>
    <xf numFmtId="0" fontId="5" fillId="0" borderId="0" xfId="0" applyFont="1" applyAlignment="1">
      <alignment horizontal="left" vertical="center" indent="3"/>
    </xf>
    <xf numFmtId="0" fontId="18" fillId="0" borderId="0" xfId="0" applyFont="1" applyAlignment="1">
      <alignment horizontal="left" vertical="center" indent="1"/>
    </xf>
    <xf numFmtId="0" fontId="32" fillId="0" borderId="0" xfId="0" applyFont="1" applyAlignment="1">
      <alignment horizontal="left" vertical="center"/>
    </xf>
    <xf numFmtId="0" fontId="18" fillId="0" borderId="0" xfId="0" applyFont="1" applyAlignment="1">
      <alignment horizontal="left" vertical="center"/>
    </xf>
    <xf numFmtId="164" fontId="18" fillId="0" borderId="0" xfId="0" applyNumberFormat="1" applyFont="1" applyAlignment="1">
      <alignment horizontal="right" vertical="center"/>
    </xf>
    <xf numFmtId="0" fontId="18" fillId="4" borderId="57" xfId="0" applyFont="1" applyFill="1" applyBorder="1" applyAlignment="1">
      <alignment horizontal="center" vertical="top" wrapText="1"/>
    </xf>
    <xf numFmtId="49" fontId="32" fillId="4" borderId="37" xfId="0" applyNumberFormat="1" applyFont="1" applyFill="1" applyBorder="1" applyAlignment="1">
      <alignment horizontal="left" vertical="center"/>
    </xf>
    <xf numFmtId="49" fontId="32" fillId="4" borderId="30" xfId="0" applyNumberFormat="1" applyFont="1" applyFill="1" applyBorder="1" applyAlignment="1">
      <alignment horizontal="left" vertical="center"/>
    </xf>
    <xf numFmtId="0" fontId="18" fillId="4" borderId="58" xfId="0" applyFont="1" applyFill="1" applyBorder="1" applyAlignment="1">
      <alignment horizontal="center" vertical="top" wrapText="1"/>
    </xf>
    <xf numFmtId="0" fontId="13" fillId="0" borderId="26" xfId="0" applyFont="1" applyBorder="1" applyAlignment="1" applyProtection="1">
      <alignment horizontal="center" vertical="center"/>
      <protection locked="0"/>
    </xf>
    <xf numFmtId="0" fontId="13" fillId="4" borderId="57" xfId="0" applyFont="1" applyFill="1" applyBorder="1" applyAlignment="1">
      <alignment horizontal="center" vertical="top" wrapText="1"/>
    </xf>
    <xf numFmtId="0" fontId="19" fillId="0" borderId="24" xfId="0" applyFont="1" applyBorder="1" applyAlignment="1">
      <alignment horizontal="center" vertical="center" wrapText="1"/>
    </xf>
    <xf numFmtId="0" fontId="5" fillId="0" borderId="0" xfId="0" applyFont="1"/>
    <xf numFmtId="49" fontId="9" fillId="3" borderId="25" xfId="0" applyNumberFormat="1" applyFont="1" applyFill="1" applyBorder="1" applyAlignment="1" applyProtection="1">
      <alignment horizontal="left" vertical="center"/>
      <protection locked="0"/>
    </xf>
    <xf numFmtId="37" fontId="18" fillId="3" borderId="26" xfId="1" applyNumberFormat="1" applyFont="1" applyFill="1" applyBorder="1" applyAlignment="1" applyProtection="1">
      <alignment horizontal="right" vertical="center"/>
      <protection locked="0"/>
    </xf>
    <xf numFmtId="164" fontId="9" fillId="3" borderId="26" xfId="0" applyNumberFormat="1" applyFont="1" applyFill="1" applyBorder="1" applyAlignment="1" applyProtection="1">
      <alignment horizontal="center" vertical="center"/>
      <protection locked="0"/>
    </xf>
    <xf numFmtId="0" fontId="18" fillId="4" borderId="54" xfId="0" applyFont="1" applyFill="1" applyBorder="1" applyAlignment="1">
      <alignment horizontal="left" vertical="center"/>
    </xf>
    <xf numFmtId="0" fontId="5" fillId="0" borderId="26" xfId="0" applyFont="1" applyBorder="1" applyAlignment="1">
      <alignment horizontal="center" vertical="center" wrapText="1"/>
    </xf>
    <xf numFmtId="3" fontId="13" fillId="0" borderId="26" xfId="0" applyNumberFormat="1" applyFont="1" applyBorder="1" applyAlignment="1">
      <alignment horizontal="center" vertical="center" wrapText="1"/>
    </xf>
    <xf numFmtId="3" fontId="18" fillId="3" borderId="31" xfId="1" applyNumberFormat="1" applyFont="1" applyFill="1" applyBorder="1" applyAlignment="1" applyProtection="1">
      <alignment horizontal="right" vertical="center"/>
      <protection locked="0"/>
    </xf>
    <xf numFmtId="0" fontId="40" fillId="3" borderId="57" xfId="0" applyFont="1" applyFill="1" applyBorder="1" applyAlignment="1">
      <alignment horizontal="center" vertical="top" wrapText="1"/>
    </xf>
    <xf numFmtId="0" fontId="40" fillId="3" borderId="29" xfId="0" applyFont="1" applyFill="1" applyBorder="1" applyAlignment="1">
      <alignment horizontal="left" vertical="center" indent="1"/>
    </xf>
    <xf numFmtId="0" fontId="41" fillId="3" borderId="30" xfId="0" applyFont="1" applyFill="1" applyBorder="1" applyAlignment="1">
      <alignment horizontal="left" vertical="center"/>
    </xf>
    <xf numFmtId="0" fontId="40" fillId="3" borderId="28" xfId="0" applyFont="1" applyFill="1" applyBorder="1" applyAlignment="1">
      <alignment horizontal="left" vertical="center"/>
    </xf>
    <xf numFmtId="2" fontId="40" fillId="0" borderId="27" xfId="0" applyNumberFormat="1" applyFont="1" applyBorder="1" applyAlignment="1">
      <alignment horizontal="right" vertical="center"/>
    </xf>
    <xf numFmtId="4" fontId="40" fillId="2" borderId="26" xfId="0" applyNumberFormat="1" applyFont="1" applyFill="1" applyBorder="1" applyAlignment="1">
      <alignment horizontal="right" vertical="center"/>
    </xf>
    <xf numFmtId="0" fontId="24" fillId="0" borderId="0" xfId="0" applyFont="1" applyAlignment="1">
      <alignment horizontal="center" vertical="center" wrapText="1"/>
    </xf>
    <xf numFmtId="0" fontId="24" fillId="0" borderId="0" xfId="0" applyFont="1" applyAlignment="1" applyProtection="1">
      <alignment vertical="top"/>
      <protection hidden="1"/>
    </xf>
    <xf numFmtId="2" fontId="18" fillId="3" borderId="27" xfId="0" applyNumberFormat="1" applyFont="1" applyFill="1" applyBorder="1" applyAlignment="1" applyProtection="1">
      <alignment horizontal="right" vertical="center"/>
      <protection locked="0"/>
    </xf>
    <xf numFmtId="3" fontId="20" fillId="2" borderId="24" xfId="6" applyNumberFormat="1" applyFont="1" applyFill="1" applyBorder="1" applyAlignment="1" applyProtection="1">
      <alignment horizontal="right" vertical="center" wrapText="1"/>
      <protection hidden="1"/>
    </xf>
    <xf numFmtId="49" fontId="19" fillId="0" borderId="0" xfId="0" applyNumberFormat="1" applyFont="1" applyAlignment="1">
      <alignment horizontal="center" vertical="center" wrapText="1"/>
    </xf>
    <xf numFmtId="0" fontId="19" fillId="0" borderId="44" xfId="0" applyFont="1" applyBorder="1" applyAlignment="1">
      <alignment horizontal="center" vertical="center" wrapText="1"/>
    </xf>
    <xf numFmtId="0" fontId="20" fillId="0" borderId="44" xfId="0" applyFont="1" applyBorder="1" applyAlignment="1">
      <alignment horizontal="center" vertical="center" wrapText="1"/>
    </xf>
    <xf numFmtId="0" fontId="40" fillId="0" borderId="46" xfId="0" applyFont="1" applyBorder="1" applyAlignment="1">
      <alignment horizontal="left" vertical="center" indent="1"/>
    </xf>
    <xf numFmtId="0" fontId="40" fillId="0" borderId="0" xfId="0" applyFont="1" applyAlignment="1">
      <alignment horizontal="left" vertical="center" indent="1"/>
    </xf>
    <xf numFmtId="0" fontId="46" fillId="0" borderId="0" xfId="0" applyFont="1" applyAlignment="1">
      <alignment horizontal="left" indent="1"/>
    </xf>
    <xf numFmtId="0" fontId="47" fillId="0" borderId="0" xfId="0" applyFont="1"/>
    <xf numFmtId="4" fontId="18" fillId="3" borderId="27" xfId="0" applyNumberFormat="1" applyFont="1" applyFill="1" applyBorder="1" applyAlignment="1" applyProtection="1">
      <alignment horizontal="right" vertical="center"/>
      <protection locked="0"/>
    </xf>
    <xf numFmtId="4" fontId="13" fillId="0" borderId="26" xfId="0" applyNumberFormat="1" applyFont="1" applyBorder="1" applyAlignment="1">
      <alignment horizontal="center" vertical="center" wrapText="1"/>
    </xf>
    <xf numFmtId="4" fontId="18" fillId="0" borderId="24" xfId="0" applyNumberFormat="1" applyFont="1" applyBorder="1" applyAlignment="1">
      <alignment horizontal="right" vertical="center"/>
    </xf>
    <xf numFmtId="4" fontId="18" fillId="2" borderId="24" xfId="0" applyNumberFormat="1" applyFont="1" applyFill="1" applyBorder="1" applyAlignment="1">
      <alignment horizontal="right" vertical="center"/>
    </xf>
    <xf numFmtId="4" fontId="18" fillId="0" borderId="26" xfId="0" applyNumberFormat="1" applyFont="1" applyBorder="1" applyAlignment="1">
      <alignment horizontal="right" vertical="center"/>
    </xf>
    <xf numFmtId="4" fontId="18" fillId="0" borderId="26" xfId="0" applyNumberFormat="1" applyFont="1" applyBorder="1" applyAlignment="1">
      <alignment vertical="center"/>
    </xf>
    <xf numFmtId="0" fontId="4" fillId="3" borderId="26" xfId="0" applyFont="1" applyFill="1" applyBorder="1" applyAlignment="1">
      <alignment horizontal="center" vertical="center" wrapText="1"/>
    </xf>
    <xf numFmtId="0" fontId="4" fillId="3" borderId="0" xfId="0" applyFont="1" applyFill="1"/>
    <xf numFmtId="0" fontId="19" fillId="3" borderId="6" xfId="4" applyFont="1" applyFill="1" applyBorder="1" applyAlignment="1" applyProtection="1">
      <alignment horizontal="center" vertical="center"/>
      <protection locked="0"/>
    </xf>
    <xf numFmtId="0" fontId="18" fillId="4" borderId="43" xfId="0" applyFont="1" applyFill="1" applyBorder="1" applyAlignment="1" applyProtection="1">
      <alignment horizontal="center" vertical="center" wrapText="1"/>
      <protection hidden="1"/>
    </xf>
    <xf numFmtId="0" fontId="18" fillId="4" borderId="57" xfId="0" applyFont="1" applyFill="1" applyBorder="1" applyAlignment="1" applyProtection="1">
      <alignment horizontal="center" vertical="center" wrapText="1"/>
      <protection hidden="1"/>
    </xf>
    <xf numFmtId="0" fontId="3" fillId="0" borderId="26" xfId="0" applyFont="1" applyBorder="1" applyAlignment="1">
      <alignment horizontal="center" vertical="center" wrapText="1"/>
    </xf>
    <xf numFmtId="3" fontId="18" fillId="3" borderId="61" xfId="0" applyNumberFormat="1" applyFont="1" applyFill="1" applyBorder="1" applyAlignment="1" applyProtection="1">
      <alignment horizontal="right" vertical="center"/>
      <protection locked="0"/>
    </xf>
    <xf numFmtId="166" fontId="13" fillId="0" borderId="26" xfId="0" applyNumberFormat="1" applyFont="1" applyBorder="1" applyAlignment="1">
      <alignment horizontal="center" vertical="center" wrapText="1"/>
    </xf>
    <xf numFmtId="4" fontId="3" fillId="0" borderId="26" xfId="0" applyNumberFormat="1" applyFont="1" applyBorder="1" applyAlignment="1">
      <alignment horizontal="center" vertical="center" wrapText="1"/>
    </xf>
    <xf numFmtId="4" fontId="20" fillId="2" borderId="24" xfId="6" applyNumberFormat="1" applyFont="1" applyFill="1" applyBorder="1" applyAlignment="1" applyProtection="1">
      <alignment horizontal="right" vertical="center" wrapText="1"/>
      <protection hidden="1"/>
    </xf>
    <xf numFmtId="4" fontId="18" fillId="3" borderId="40" xfId="0" applyNumberFormat="1" applyFont="1" applyFill="1" applyBorder="1" applyAlignment="1" applyProtection="1">
      <alignment horizontal="right" vertical="center"/>
      <protection locked="0"/>
    </xf>
    <xf numFmtId="0" fontId="40" fillId="3" borderId="43" xfId="0" applyFont="1" applyFill="1" applyBorder="1" applyAlignment="1" applyProtection="1">
      <alignment horizontal="center" wrapText="1"/>
      <protection hidden="1"/>
    </xf>
    <xf numFmtId="4" fontId="42" fillId="2" borderId="24" xfId="6" applyNumberFormat="1" applyFont="1" applyFill="1" applyBorder="1" applyAlignment="1" applyProtection="1">
      <alignment horizontal="right" vertical="center" wrapText="1"/>
      <protection hidden="1"/>
    </xf>
    <xf numFmtId="49" fontId="18" fillId="2" borderId="0" xfId="6" applyNumberFormat="1" applyFill="1" applyAlignment="1" applyProtection="1">
      <alignment horizontal="left" vertical="center" indent="3"/>
      <protection hidden="1"/>
    </xf>
    <xf numFmtId="0" fontId="32" fillId="3" borderId="0" xfId="6" applyFont="1" applyFill="1" applyAlignment="1" applyProtection="1">
      <alignment vertical="center"/>
      <protection hidden="1"/>
    </xf>
    <xf numFmtId="0" fontId="32" fillId="2" borderId="4" xfId="6" applyFont="1" applyFill="1" applyBorder="1" applyAlignment="1" applyProtection="1">
      <alignment vertical="center"/>
      <protection hidden="1"/>
    </xf>
    <xf numFmtId="0" fontId="32" fillId="2" borderId="0" xfId="6" applyFont="1" applyFill="1" applyAlignment="1" applyProtection="1">
      <alignment vertical="center"/>
      <protection hidden="1"/>
    </xf>
    <xf numFmtId="0" fontId="32" fillId="4" borderId="44" xfId="0" applyFont="1" applyFill="1" applyBorder="1" applyAlignment="1" applyProtection="1">
      <alignment horizontal="center" vertical="center" wrapText="1"/>
      <protection hidden="1"/>
    </xf>
    <xf numFmtId="0" fontId="32" fillId="4" borderId="44" xfId="0" applyFont="1" applyFill="1" applyBorder="1" applyAlignment="1" applyProtection="1">
      <alignment horizontal="center" wrapText="1"/>
      <protection hidden="1"/>
    </xf>
    <xf numFmtId="0" fontId="41" fillId="3" borderId="44" xfId="0" applyFont="1" applyFill="1" applyBorder="1" applyAlignment="1" applyProtection="1">
      <alignment horizontal="center" vertical="center" wrapText="1"/>
      <protection hidden="1"/>
    </xf>
    <xf numFmtId="0" fontId="41" fillId="3" borderId="44" xfId="0" applyFont="1" applyFill="1" applyBorder="1" applyAlignment="1" applyProtection="1">
      <alignment horizontal="center" wrapText="1"/>
      <protection hidden="1"/>
    </xf>
    <xf numFmtId="49" fontId="18" fillId="4" borderId="64" xfId="0" applyNumberFormat="1" applyFont="1" applyFill="1" applyBorder="1" applyAlignment="1">
      <alignment horizontal="center" vertical="center" wrapText="1"/>
    </xf>
    <xf numFmtId="0" fontId="20" fillId="4" borderId="45" xfId="0" applyFont="1" applyFill="1" applyBorder="1" applyAlignment="1">
      <alignment horizontal="center" vertical="center" wrapText="1"/>
    </xf>
    <xf numFmtId="0" fontId="18" fillId="4" borderId="45" xfId="0" applyFont="1" applyFill="1" applyBorder="1" applyAlignment="1">
      <alignment horizontal="center" vertical="center" wrapText="1"/>
    </xf>
    <xf numFmtId="0" fontId="42" fillId="3" borderId="45" xfId="0" applyFont="1" applyFill="1" applyBorder="1" applyAlignment="1">
      <alignment horizontal="center" vertical="center" wrapText="1"/>
    </xf>
    <xf numFmtId="0" fontId="40" fillId="3" borderId="45" xfId="0" applyFont="1" applyFill="1" applyBorder="1" applyAlignment="1">
      <alignment horizontal="center" vertical="center" wrapText="1"/>
    </xf>
    <xf numFmtId="0" fontId="18" fillId="4" borderId="65" xfId="0" applyFont="1" applyFill="1" applyBorder="1" applyAlignment="1">
      <alignment horizontal="center" vertical="center" wrapText="1"/>
    </xf>
    <xf numFmtId="0" fontId="20" fillId="4" borderId="64" xfId="0" applyFont="1" applyFill="1" applyBorder="1" applyAlignment="1">
      <alignment horizontal="center" vertical="center" wrapText="1"/>
    </xf>
    <xf numFmtId="0" fontId="40" fillId="3" borderId="66" xfId="0" applyFont="1" applyFill="1" applyBorder="1" applyAlignment="1">
      <alignment horizontal="center" vertical="center" wrapText="1"/>
    </xf>
    <xf numFmtId="0" fontId="20" fillId="4" borderId="67" xfId="0" applyFont="1" applyFill="1" applyBorder="1" applyAlignment="1">
      <alignment horizontal="center" vertical="center" wrapText="1"/>
    </xf>
    <xf numFmtId="0" fontId="13" fillId="4" borderId="41" xfId="0" applyFont="1" applyFill="1" applyBorder="1" applyAlignment="1">
      <alignment horizontal="center" vertical="center" wrapText="1"/>
    </xf>
    <xf numFmtId="0" fontId="20" fillId="4" borderId="43" xfId="0" applyFont="1" applyFill="1" applyBorder="1" applyAlignment="1">
      <alignment horizontal="center" vertical="center" wrapText="1"/>
    </xf>
    <xf numFmtId="0" fontId="42" fillId="3" borderId="43" xfId="0" applyFont="1" applyFill="1" applyBorder="1" applyAlignment="1">
      <alignment horizontal="center" vertical="center" wrapText="1"/>
    </xf>
    <xf numFmtId="0" fontId="19" fillId="4" borderId="43" xfId="0" applyFont="1" applyFill="1" applyBorder="1" applyAlignment="1">
      <alignment horizontal="center" vertical="center" wrapText="1"/>
    </xf>
    <xf numFmtId="0" fontId="2" fillId="0" borderId="0" xfId="0" applyFont="1" applyAlignment="1">
      <alignment horizontal="center" vertical="center" wrapText="1"/>
    </xf>
    <xf numFmtId="0" fontId="18" fillId="2" borderId="7" xfId="6" applyFill="1" applyBorder="1" applyAlignment="1" applyProtection="1">
      <alignment vertical="center"/>
      <protection hidden="1"/>
    </xf>
    <xf numFmtId="0" fontId="18" fillId="4" borderId="11" xfId="0" applyFont="1" applyFill="1" applyBorder="1" applyAlignment="1">
      <alignment vertical="center"/>
    </xf>
    <xf numFmtId="0" fontId="20" fillId="4" borderId="12" xfId="0" applyFont="1" applyFill="1" applyBorder="1" applyAlignment="1">
      <alignment vertical="center" wrapText="1"/>
    </xf>
    <xf numFmtId="0" fontId="20" fillId="4" borderId="12" xfId="0" applyFont="1" applyFill="1" applyBorder="1" applyAlignment="1">
      <alignment horizontal="left" vertical="center" wrapText="1"/>
    </xf>
    <xf numFmtId="0" fontId="42" fillId="3" borderId="12" xfId="0" applyFont="1" applyFill="1" applyBorder="1" applyAlignment="1">
      <alignment horizontal="left" vertical="center" wrapText="1"/>
    </xf>
    <xf numFmtId="0" fontId="40" fillId="3" borderId="12" xfId="0" applyFont="1" applyFill="1" applyBorder="1" applyAlignment="1">
      <alignment horizontal="center" vertical="center" wrapText="1"/>
    </xf>
    <xf numFmtId="0" fontId="18" fillId="4" borderId="12" xfId="0" applyFont="1" applyFill="1" applyBorder="1" applyAlignment="1">
      <alignment horizontal="center" vertical="center" wrapText="1"/>
    </xf>
    <xf numFmtId="0" fontId="18" fillId="4" borderId="14" xfId="0" applyFont="1" applyFill="1" applyBorder="1" applyAlignment="1">
      <alignment horizontal="center" vertical="center" wrapText="1"/>
    </xf>
    <xf numFmtId="0" fontId="8" fillId="4" borderId="57" xfId="0" applyFont="1" applyFill="1" applyBorder="1" applyAlignment="1">
      <alignment horizontal="center" vertical="center" wrapText="1"/>
    </xf>
    <xf numFmtId="0" fontId="18" fillId="4" borderId="58" xfId="0" applyFont="1" applyFill="1" applyBorder="1" applyAlignment="1">
      <alignment horizontal="center" vertical="top"/>
    </xf>
    <xf numFmtId="0" fontId="18" fillId="3" borderId="25" xfId="2" applyFill="1" applyBorder="1" applyAlignment="1" applyProtection="1">
      <alignment vertical="center"/>
      <protection locked="0"/>
    </xf>
    <xf numFmtId="0" fontId="10" fillId="3" borderId="26" xfId="0" applyFont="1" applyFill="1" applyBorder="1" applyAlignment="1" applyProtection="1">
      <alignment vertical="center"/>
      <protection locked="0"/>
    </xf>
    <xf numFmtId="0" fontId="18" fillId="3" borderId="26" xfId="0" applyFont="1" applyFill="1" applyBorder="1" applyAlignment="1" applyProtection="1">
      <alignment vertical="center"/>
      <protection locked="0"/>
    </xf>
    <xf numFmtId="164" fontId="8" fillId="3" borderId="26" xfId="0" applyNumberFormat="1" applyFont="1" applyFill="1" applyBorder="1" applyAlignment="1" applyProtection="1">
      <alignment horizontal="center" vertical="center"/>
      <protection locked="0"/>
    </xf>
    <xf numFmtId="4" fontId="18" fillId="2" borderId="26" xfId="1" applyNumberFormat="1" applyFont="1" applyFill="1" applyBorder="1" applyAlignment="1" applyProtection="1">
      <alignment horizontal="right" vertical="center"/>
      <protection locked="0"/>
    </xf>
    <xf numFmtId="43" fontId="18" fillId="3" borderId="26" xfId="1" applyFont="1" applyFill="1" applyBorder="1" applyAlignment="1" applyProtection="1">
      <alignment horizontal="right" vertical="center"/>
      <protection locked="0"/>
    </xf>
    <xf numFmtId="37" fontId="18" fillId="0" borderId="26" xfId="1" applyNumberFormat="1" applyFont="1" applyFill="1" applyBorder="1" applyAlignment="1" applyProtection="1">
      <alignment horizontal="right" vertical="center"/>
    </xf>
    <xf numFmtId="3" fontId="18" fillId="3" borderId="27" xfId="1" applyNumberFormat="1" applyFont="1" applyFill="1" applyBorder="1" applyAlignment="1" applyProtection="1">
      <alignment horizontal="right" vertical="center"/>
      <protection locked="0"/>
    </xf>
    <xf numFmtId="167" fontId="20" fillId="2" borderId="24" xfId="6" applyNumberFormat="1" applyFont="1" applyFill="1" applyBorder="1" applyAlignment="1" applyProtection="1">
      <alignment horizontal="left" vertical="center"/>
      <protection hidden="1"/>
    </xf>
    <xf numFmtId="0" fontId="40" fillId="3" borderId="49" xfId="0" applyFont="1" applyFill="1" applyBorder="1" applyAlignment="1" applyProtection="1">
      <alignment horizontal="center" wrapText="1"/>
      <protection hidden="1"/>
    </xf>
    <xf numFmtId="0" fontId="41" fillId="3" borderId="47" xfId="0" applyFont="1" applyFill="1" applyBorder="1" applyAlignment="1" applyProtection="1">
      <alignment horizontal="center" vertical="center" wrapText="1"/>
      <protection hidden="1"/>
    </xf>
    <xf numFmtId="4" fontId="42" fillId="2" borderId="63" xfId="6" applyNumberFormat="1" applyFont="1" applyFill="1" applyBorder="1" applyAlignment="1" applyProtection="1">
      <alignment horizontal="right" vertical="center" wrapText="1"/>
      <protection hidden="1"/>
    </xf>
    <xf numFmtId="14" fontId="20" fillId="2" borderId="62" xfId="6" applyNumberFormat="1" applyFont="1" applyFill="1" applyBorder="1" applyAlignment="1" applyProtection="1">
      <alignment horizontal="center" vertical="center" wrapText="1"/>
      <protection hidden="1"/>
    </xf>
    <xf numFmtId="0" fontId="2" fillId="3" borderId="26" xfId="0" applyFont="1" applyFill="1" applyBorder="1" applyAlignment="1">
      <alignment horizontal="center" vertical="center" wrapText="1"/>
    </xf>
    <xf numFmtId="0" fontId="13" fillId="0" borderId="68" xfId="2" applyFont="1" applyBorder="1" applyAlignment="1">
      <alignment vertical="center"/>
    </xf>
    <xf numFmtId="0" fontId="21" fillId="0" borderId="68" xfId="0" applyFont="1" applyBorder="1" applyAlignment="1">
      <alignment horizontal="left" vertical="center" wrapText="1"/>
    </xf>
    <xf numFmtId="0" fontId="13" fillId="0" borderId="68" xfId="0" applyFont="1" applyBorder="1" applyAlignment="1">
      <alignment vertical="center"/>
    </xf>
    <xf numFmtId="0" fontId="32" fillId="0" borderId="0" xfId="2" applyFont="1" applyAlignment="1">
      <alignment vertical="center"/>
    </xf>
    <xf numFmtId="0" fontId="32" fillId="0" borderId="68" xfId="2" applyFont="1" applyBorder="1"/>
    <xf numFmtId="167" fontId="20" fillId="2" borderId="24" xfId="6" applyNumberFormat="1" applyFont="1" applyFill="1" applyBorder="1" applyAlignment="1" applyProtection="1">
      <alignment horizontal="center" vertical="center"/>
      <protection hidden="1"/>
    </xf>
    <xf numFmtId="3" fontId="20" fillId="2" borderId="33" xfId="6" applyNumberFormat="1" applyFont="1" applyFill="1" applyBorder="1" applyAlignment="1">
      <alignment horizontal="right" vertical="center" wrapText="1"/>
    </xf>
    <xf numFmtId="4" fontId="20" fillId="2" borderId="33" xfId="6" applyNumberFormat="1" applyFont="1" applyFill="1" applyBorder="1" applyAlignment="1">
      <alignment horizontal="right" vertical="center" wrapText="1"/>
    </xf>
    <xf numFmtId="0" fontId="13" fillId="0" borderId="0" xfId="0" applyFont="1" applyAlignment="1">
      <alignment horizontal="center" vertical="center"/>
    </xf>
    <xf numFmtId="167" fontId="20" fillId="3" borderId="53" xfId="6" applyNumberFormat="1" applyFont="1" applyFill="1" applyBorder="1" applyAlignment="1" applyProtection="1">
      <alignment horizontal="left" vertical="center"/>
      <protection hidden="1"/>
    </xf>
    <xf numFmtId="167" fontId="20" fillId="3" borderId="53" xfId="6" applyNumberFormat="1" applyFont="1" applyFill="1" applyBorder="1" applyAlignment="1" applyProtection="1">
      <alignment horizontal="center" vertical="center"/>
      <protection hidden="1"/>
    </xf>
    <xf numFmtId="3" fontId="20" fillId="3" borderId="53" xfId="6" applyNumberFormat="1" applyFont="1" applyFill="1" applyBorder="1" applyAlignment="1" applyProtection="1">
      <alignment horizontal="right" vertical="center" wrapText="1"/>
      <protection hidden="1"/>
    </xf>
    <xf numFmtId="4" fontId="20" fillId="3" borderId="53" xfId="6" applyNumberFormat="1" applyFont="1" applyFill="1" applyBorder="1" applyAlignment="1" applyProtection="1">
      <alignment horizontal="right" vertical="center" wrapText="1"/>
      <protection hidden="1"/>
    </xf>
    <xf numFmtId="167" fontId="20" fillId="3" borderId="52" xfId="6" applyNumberFormat="1" applyFont="1" applyFill="1" applyBorder="1" applyAlignment="1" applyProtection="1">
      <alignment horizontal="left" vertical="center" indent="1"/>
      <protection hidden="1"/>
    </xf>
    <xf numFmtId="167" fontId="20" fillId="2" borderId="38" xfId="6" applyNumberFormat="1" applyFont="1" applyFill="1" applyBorder="1" applyAlignment="1" applyProtection="1">
      <alignment horizontal="left" vertical="center"/>
      <protection hidden="1"/>
    </xf>
    <xf numFmtId="167" fontId="20" fillId="2" borderId="38" xfId="6" applyNumberFormat="1" applyFont="1" applyFill="1" applyBorder="1" applyAlignment="1" applyProtection="1">
      <alignment horizontal="center" vertical="center"/>
      <protection hidden="1"/>
    </xf>
    <xf numFmtId="3" fontId="20" fillId="2" borderId="38" xfId="6" applyNumberFormat="1" applyFont="1" applyFill="1" applyBorder="1" applyAlignment="1" applyProtection="1">
      <alignment horizontal="right" vertical="center" wrapText="1"/>
      <protection hidden="1"/>
    </xf>
    <xf numFmtId="4" fontId="20" fillId="2" borderId="38" xfId="6" applyNumberFormat="1" applyFont="1" applyFill="1" applyBorder="1" applyAlignment="1" applyProtection="1">
      <alignment horizontal="right" vertical="center" wrapText="1"/>
      <protection hidden="1"/>
    </xf>
    <xf numFmtId="167" fontId="20" fillId="2" borderId="26" xfId="6" applyNumberFormat="1" applyFont="1" applyFill="1" applyBorder="1" applyAlignment="1" applyProtection="1">
      <alignment horizontal="left" vertical="center"/>
      <protection hidden="1"/>
    </xf>
    <xf numFmtId="167" fontId="20" fillId="2" borderId="26" xfId="6" applyNumberFormat="1" applyFont="1" applyFill="1" applyBorder="1" applyAlignment="1" applyProtection="1">
      <alignment horizontal="center" vertical="center"/>
      <protection hidden="1"/>
    </xf>
    <xf numFmtId="3" fontId="20" fillId="2" borderId="26" xfId="6" applyNumberFormat="1" applyFont="1" applyFill="1" applyBorder="1" applyAlignment="1" applyProtection="1">
      <alignment horizontal="right" vertical="center" wrapText="1"/>
      <protection hidden="1"/>
    </xf>
    <xf numFmtId="4" fontId="20" fillId="2" borderId="26" xfId="6" applyNumberFormat="1" applyFont="1" applyFill="1" applyBorder="1" applyAlignment="1" applyProtection="1">
      <alignment horizontal="right" vertical="center" wrapText="1"/>
      <protection hidden="1"/>
    </xf>
    <xf numFmtId="4" fontId="42" fillId="2" borderId="26" xfId="6" applyNumberFormat="1" applyFont="1" applyFill="1" applyBorder="1" applyAlignment="1" applyProtection="1">
      <alignment horizontal="right" vertical="center" wrapText="1"/>
      <protection hidden="1"/>
    </xf>
    <xf numFmtId="166" fontId="42" fillId="2" borderId="26" xfId="6" applyNumberFormat="1" applyFont="1" applyFill="1" applyBorder="1" applyAlignment="1" applyProtection="1">
      <alignment horizontal="center" vertical="center" wrapText="1"/>
      <protection hidden="1"/>
    </xf>
    <xf numFmtId="14" fontId="20" fillId="2" borderId="27" xfId="6" applyNumberFormat="1" applyFont="1" applyFill="1" applyBorder="1" applyAlignment="1" applyProtection="1">
      <alignment horizontal="center" vertical="center" wrapText="1"/>
      <protection hidden="1"/>
    </xf>
    <xf numFmtId="0" fontId="13" fillId="3" borderId="26" xfId="0" applyFont="1" applyFill="1" applyBorder="1" applyAlignment="1" applyProtection="1">
      <alignment horizontal="center" vertical="center" wrapText="1"/>
      <protection locked="0"/>
    </xf>
    <xf numFmtId="0" fontId="1" fillId="0" borderId="45" xfId="0" applyFont="1" applyBorder="1" applyAlignment="1">
      <alignment horizontal="center" vertical="center" wrapText="1"/>
    </xf>
    <xf numFmtId="4" fontId="18" fillId="3" borderId="26" xfId="0" applyNumberFormat="1" applyFont="1" applyFill="1" applyBorder="1" applyAlignment="1" applyProtection="1">
      <alignment horizontal="right" vertical="center"/>
      <protection locked="0"/>
    </xf>
    <xf numFmtId="0" fontId="40" fillId="3" borderId="65" xfId="0" applyFont="1" applyFill="1" applyBorder="1" applyAlignment="1">
      <alignment horizontal="center" vertical="center" wrapText="1"/>
    </xf>
    <xf numFmtId="167" fontId="40" fillId="0" borderId="27" xfId="0" applyNumberFormat="1" applyFont="1" applyBorder="1" applyAlignment="1">
      <alignment horizontal="left" vertical="center"/>
    </xf>
    <xf numFmtId="0" fontId="40" fillId="4" borderId="49" xfId="0" applyFont="1" applyFill="1" applyBorder="1" applyAlignment="1">
      <alignment horizontal="center" vertical="center" wrapText="1"/>
    </xf>
    <xf numFmtId="0" fontId="41" fillId="4" borderId="47" xfId="0" applyFont="1" applyFill="1" applyBorder="1" applyAlignment="1">
      <alignment horizontal="center" vertical="top" wrapText="1"/>
    </xf>
    <xf numFmtId="49" fontId="40" fillId="4" borderId="47" xfId="0" applyNumberFormat="1" applyFont="1" applyFill="1" applyBorder="1" applyAlignment="1">
      <alignment horizontal="center" vertical="top" wrapText="1"/>
    </xf>
    <xf numFmtId="0" fontId="40" fillId="4" borderId="69" xfId="0" applyFont="1" applyFill="1" applyBorder="1" applyAlignment="1">
      <alignment horizontal="center" vertical="center" wrapText="1"/>
    </xf>
    <xf numFmtId="0" fontId="1" fillId="3" borderId="26" xfId="0" applyFont="1" applyFill="1" applyBorder="1" applyAlignment="1">
      <alignment horizontal="center" vertical="center" wrapText="1"/>
    </xf>
    <xf numFmtId="2" fontId="38" fillId="0" borderId="27" xfId="0" applyNumberFormat="1" applyFont="1" applyBorder="1" applyAlignment="1">
      <alignment horizontal="right" vertical="center"/>
    </xf>
    <xf numFmtId="2" fontId="20" fillId="0" borderId="23" xfId="0" applyNumberFormat="1" applyFont="1" applyBorder="1" applyAlignment="1">
      <alignment vertical="center" wrapText="1"/>
    </xf>
    <xf numFmtId="4" fontId="22" fillId="0" borderId="0" xfId="0" applyNumberFormat="1" applyFont="1"/>
    <xf numFmtId="2" fontId="40" fillId="0" borderId="39" xfId="0" applyNumberFormat="1" applyFont="1" applyBorder="1" applyAlignment="1">
      <alignment horizontal="right" vertical="center"/>
    </xf>
    <xf numFmtId="0" fontId="48" fillId="3" borderId="0" xfId="6" applyFont="1" applyFill="1" applyAlignment="1" applyProtection="1">
      <alignment vertical="center"/>
      <protection hidden="1"/>
    </xf>
    <xf numFmtId="0" fontId="49" fillId="3" borderId="0" xfId="6" applyFont="1" applyFill="1" applyAlignment="1" applyProtection="1">
      <alignment vertical="center"/>
      <protection hidden="1"/>
    </xf>
    <xf numFmtId="166" fontId="42" fillId="2" borderId="24" xfId="6" applyNumberFormat="1" applyFont="1" applyFill="1" applyBorder="1" applyAlignment="1" applyProtection="1">
      <alignment horizontal="right" vertical="center" wrapText="1"/>
      <protection hidden="1"/>
    </xf>
    <xf numFmtId="4" fontId="18" fillId="2" borderId="26" xfId="0" applyNumberFormat="1" applyFont="1" applyFill="1" applyBorder="1" applyAlignment="1">
      <alignment horizontal="right" vertical="center"/>
    </xf>
    <xf numFmtId="2" fontId="20" fillId="0" borderId="63" xfId="0" applyNumberFormat="1" applyFont="1" applyBorder="1" applyAlignment="1">
      <alignment vertical="center" wrapText="1"/>
    </xf>
    <xf numFmtId="0" fontId="1" fillId="3" borderId="45" xfId="0" applyFont="1" applyFill="1" applyBorder="1" applyAlignment="1">
      <alignment horizontal="center" vertical="center" wrapText="1"/>
    </xf>
    <xf numFmtId="0" fontId="19" fillId="0" borderId="11" xfId="0" applyFont="1" applyBorder="1"/>
    <xf numFmtId="0" fontId="19" fillId="0" borderId="25" xfId="0" applyFont="1" applyBorder="1"/>
    <xf numFmtId="2" fontId="18" fillId="3" borderId="40" xfId="0" applyNumberFormat="1" applyFont="1" applyFill="1" applyBorder="1" applyAlignment="1" applyProtection="1">
      <alignment horizontal="right" vertical="center"/>
      <protection locked="0"/>
    </xf>
    <xf numFmtId="0" fontId="20" fillId="3" borderId="0" xfId="0" applyFont="1" applyFill="1" applyAlignment="1">
      <alignment horizontal="left" vertical="center" indent="1"/>
    </xf>
    <xf numFmtId="0" fontId="20" fillId="3" borderId="0" xfId="0" applyFont="1" applyFill="1" applyAlignment="1">
      <alignment vertical="center" wrapText="1"/>
    </xf>
    <xf numFmtId="3" fontId="42" fillId="2" borderId="24" xfId="6" applyNumberFormat="1" applyFont="1" applyFill="1" applyBorder="1" applyAlignment="1" applyProtection="1">
      <alignment horizontal="right" vertical="center" wrapText="1"/>
      <protection hidden="1"/>
    </xf>
    <xf numFmtId="168" fontId="18" fillId="2" borderId="14" xfId="1" applyNumberFormat="1" applyFont="1" applyFill="1" applyBorder="1" applyAlignment="1" applyProtection="1">
      <alignment horizontal="right" vertical="center"/>
    </xf>
    <xf numFmtId="168" fontId="18" fillId="2" borderId="27" xfId="1" applyNumberFormat="1" applyFont="1" applyFill="1" applyBorder="1" applyAlignment="1" applyProtection="1">
      <alignment horizontal="right" vertical="center"/>
    </xf>
    <xf numFmtId="169" fontId="18" fillId="2" borderId="27" xfId="1" applyNumberFormat="1" applyFont="1" applyFill="1" applyBorder="1" applyAlignment="1" applyProtection="1">
      <alignment horizontal="right" vertical="center"/>
    </xf>
    <xf numFmtId="170" fontId="18" fillId="2" borderId="20" xfId="1" applyNumberFormat="1" applyFont="1" applyFill="1" applyBorder="1" applyAlignment="1" applyProtection="1">
      <alignment horizontal="right" vertical="center"/>
    </xf>
    <xf numFmtId="169" fontId="40" fillId="0" borderId="26" xfId="0" applyNumberFormat="1" applyFont="1" applyBorder="1" applyAlignment="1">
      <alignment vertical="center"/>
    </xf>
    <xf numFmtId="169" fontId="40" fillId="2" borderId="26" xfId="1" applyNumberFormat="1" applyFont="1" applyFill="1" applyBorder="1" applyAlignment="1" applyProtection="1">
      <alignment horizontal="right" vertical="center"/>
    </xf>
    <xf numFmtId="4" fontId="40" fillId="2" borderId="26" xfId="1" applyNumberFormat="1" applyFont="1" applyFill="1" applyBorder="1" applyAlignment="1" applyProtection="1">
      <alignment horizontal="right" vertical="center"/>
    </xf>
    <xf numFmtId="4" fontId="18" fillId="2" borderId="27" xfId="1" applyNumberFormat="1" applyFont="1" applyFill="1" applyBorder="1" applyAlignment="1" applyProtection="1">
      <alignment horizontal="right" vertical="center"/>
    </xf>
    <xf numFmtId="2" fontId="18" fillId="2" borderId="39" xfId="0" applyNumberFormat="1" applyFont="1" applyFill="1" applyBorder="1" applyAlignment="1">
      <alignment horizontal="right" vertical="center"/>
    </xf>
    <xf numFmtId="4" fontId="18" fillId="0" borderId="14" xfId="0" applyNumberFormat="1" applyFont="1" applyBorder="1" applyAlignment="1">
      <alignment horizontal="right" vertical="center"/>
    </xf>
    <xf numFmtId="4" fontId="18" fillId="0" borderId="20" xfId="0" applyNumberFormat="1" applyFont="1" applyBorder="1" applyAlignment="1">
      <alignment horizontal="right" vertical="center"/>
    </xf>
    <xf numFmtId="2" fontId="40" fillId="0" borderId="26" xfId="0" applyNumberFormat="1" applyFont="1" applyBorder="1" applyAlignment="1">
      <alignment vertical="center"/>
    </xf>
    <xf numFmtId="2" fontId="40" fillId="0" borderId="39" xfId="0" applyNumberFormat="1" applyFont="1" applyBorder="1" applyAlignment="1">
      <alignment vertical="center"/>
    </xf>
    <xf numFmtId="3" fontId="18" fillId="0" borderId="20" xfId="0" applyNumberFormat="1" applyFont="1" applyBorder="1" applyAlignment="1">
      <alignment horizontal="right" vertical="center"/>
    </xf>
    <xf numFmtId="2" fontId="40" fillId="0" borderId="26" xfId="0" applyNumberFormat="1" applyFont="1" applyBorder="1" applyAlignment="1">
      <alignment horizontal="right" vertical="center"/>
    </xf>
    <xf numFmtId="2" fontId="18" fillId="0" borderId="27" xfId="0" applyNumberFormat="1" applyFont="1" applyBorder="1" applyAlignment="1">
      <alignment horizontal="right" vertical="center"/>
    </xf>
    <xf numFmtId="0" fontId="1" fillId="0" borderId="0" xfId="0" applyFont="1"/>
    <xf numFmtId="2" fontId="40" fillId="2" borderId="26" xfId="1" applyNumberFormat="1" applyFont="1" applyFill="1" applyBorder="1" applyAlignment="1" applyProtection="1">
      <alignment horizontal="right" vertical="center"/>
    </xf>
    <xf numFmtId="2" fontId="18" fillId="3" borderId="26" xfId="0" applyNumberFormat="1" applyFont="1" applyFill="1" applyBorder="1" applyAlignment="1" applyProtection="1">
      <alignment horizontal="right" vertical="center"/>
      <protection locked="0"/>
    </xf>
    <xf numFmtId="0" fontId="40" fillId="3" borderId="44" xfId="0" applyFont="1" applyFill="1" applyBorder="1" applyAlignment="1" applyProtection="1">
      <alignment horizontal="center" vertical="center" wrapText="1"/>
      <protection hidden="1"/>
    </xf>
    <xf numFmtId="0" fontId="1" fillId="0" borderId="0" xfId="0" applyFont="1" applyAlignment="1">
      <alignment horizontal="center" vertical="center" wrapText="1"/>
    </xf>
    <xf numFmtId="0" fontId="18" fillId="2" borderId="71" xfId="6" applyFill="1" applyBorder="1" applyAlignment="1" applyProtection="1">
      <alignment vertical="center"/>
      <protection hidden="1"/>
    </xf>
    <xf numFmtId="0" fontId="32" fillId="2" borderId="71" xfId="6" applyFont="1" applyFill="1" applyBorder="1" applyAlignment="1" applyProtection="1">
      <alignment vertical="center"/>
      <protection hidden="1"/>
    </xf>
    <xf numFmtId="0" fontId="18" fillId="2" borderId="72" xfId="6" applyFill="1" applyBorder="1" applyAlignment="1" applyProtection="1">
      <alignment vertical="center"/>
      <protection hidden="1"/>
    </xf>
    <xf numFmtId="0" fontId="18" fillId="3" borderId="30" xfId="6" applyFill="1" applyBorder="1" applyAlignment="1" applyProtection="1">
      <alignment vertical="center"/>
      <protection locked="0" hidden="1"/>
    </xf>
    <xf numFmtId="0" fontId="18" fillId="3" borderId="73" xfId="6" applyFill="1" applyBorder="1" applyAlignment="1" applyProtection="1">
      <alignment vertical="center"/>
      <protection hidden="1"/>
    </xf>
    <xf numFmtId="0" fontId="32" fillId="3" borderId="73" xfId="6" applyFont="1" applyFill="1" applyBorder="1" applyAlignment="1" applyProtection="1">
      <alignment vertical="center"/>
      <protection hidden="1"/>
    </xf>
    <xf numFmtId="0" fontId="40" fillId="3" borderId="47" xfId="0" applyFont="1" applyFill="1" applyBorder="1" applyAlignment="1" applyProtection="1">
      <alignment horizontal="center" vertical="center" wrapText="1"/>
      <protection hidden="1"/>
    </xf>
    <xf numFmtId="166" fontId="42" fillId="2" borderId="24" xfId="6" applyNumberFormat="1" applyFont="1" applyFill="1" applyBorder="1" applyAlignment="1" applyProtection="1">
      <alignment horizontal="center" vertical="center" wrapText="1"/>
      <protection hidden="1"/>
    </xf>
    <xf numFmtId="14" fontId="20" fillId="3" borderId="74" xfId="6" applyNumberFormat="1" applyFont="1" applyFill="1" applyBorder="1" applyAlignment="1" applyProtection="1">
      <alignment horizontal="center" vertical="center" wrapText="1"/>
      <protection hidden="1"/>
    </xf>
    <xf numFmtId="4" fontId="42" fillId="3" borderId="74" xfId="6" applyNumberFormat="1" applyFont="1" applyFill="1" applyBorder="1" applyAlignment="1" applyProtection="1">
      <alignment horizontal="right" vertical="center" wrapText="1"/>
      <protection hidden="1"/>
    </xf>
    <xf numFmtId="166" fontId="42" fillId="3" borderId="74" xfId="6" applyNumberFormat="1" applyFont="1" applyFill="1" applyBorder="1" applyAlignment="1" applyProtection="1">
      <alignment horizontal="center" vertical="center" wrapText="1"/>
      <protection hidden="1"/>
    </xf>
    <xf numFmtId="14" fontId="20" fillId="3" borderId="75" xfId="6" applyNumberFormat="1" applyFont="1" applyFill="1" applyBorder="1" applyAlignment="1" applyProtection="1">
      <alignment horizontal="center" vertical="center" wrapText="1"/>
      <protection hidden="1"/>
    </xf>
    <xf numFmtId="14" fontId="20" fillId="2" borderId="68" xfId="6" applyNumberFormat="1" applyFont="1" applyFill="1" applyBorder="1" applyAlignment="1" applyProtection="1">
      <alignment horizontal="center" vertical="center" wrapText="1"/>
      <protection hidden="1"/>
    </xf>
    <xf numFmtId="4" fontId="42" fillId="2" borderId="68" xfId="6" applyNumberFormat="1" applyFont="1" applyFill="1" applyBorder="1" applyAlignment="1" applyProtection="1">
      <alignment horizontal="right" vertical="center" wrapText="1"/>
      <protection hidden="1"/>
    </xf>
    <xf numFmtId="166" fontId="42" fillId="2" borderId="68" xfId="6" applyNumberFormat="1" applyFont="1" applyFill="1" applyBorder="1" applyAlignment="1" applyProtection="1">
      <alignment horizontal="center" vertical="center" wrapText="1"/>
      <protection hidden="1"/>
    </xf>
    <xf numFmtId="3" fontId="20" fillId="2" borderId="76" xfId="6" applyNumberFormat="1" applyFont="1" applyFill="1" applyBorder="1" applyAlignment="1">
      <alignment horizontal="right" vertical="center" wrapText="1"/>
    </xf>
    <xf numFmtId="14" fontId="20" fillId="4" borderId="74" xfId="6" applyNumberFormat="1" applyFont="1" applyFill="1" applyBorder="1" applyAlignment="1" applyProtection="1">
      <alignment horizontal="center" vertical="center" wrapText="1"/>
      <protection hidden="1"/>
    </xf>
    <xf numFmtId="14" fontId="42" fillId="4" borderId="74" xfId="6" applyNumberFormat="1" applyFont="1" applyFill="1" applyBorder="1" applyAlignment="1" applyProtection="1">
      <alignment horizontal="center" vertical="center" wrapText="1"/>
      <protection hidden="1"/>
    </xf>
    <xf numFmtId="3" fontId="42" fillId="0" borderId="74" xfId="6" applyNumberFormat="1" applyFont="1" applyBorder="1" applyAlignment="1">
      <alignment horizontal="right" vertical="center" wrapText="1"/>
    </xf>
    <xf numFmtId="14" fontId="20" fillId="4" borderId="75" xfId="6" applyNumberFormat="1" applyFont="1" applyFill="1" applyBorder="1" applyAlignment="1" applyProtection="1">
      <alignment horizontal="center" vertical="center" wrapText="1"/>
      <protection hidden="1"/>
    </xf>
    <xf numFmtId="166" fontId="42" fillId="2" borderId="81" xfId="6" applyNumberFormat="1" applyFont="1" applyFill="1" applyBorder="1" applyAlignment="1" applyProtection="1">
      <alignment horizontal="center" vertical="center" wrapText="1"/>
      <protection hidden="1"/>
    </xf>
    <xf numFmtId="14" fontId="20" fillId="2" borderId="80" xfId="6" applyNumberFormat="1" applyFont="1" applyFill="1" applyBorder="1" applyAlignment="1" applyProtection="1">
      <alignment horizontal="center" vertical="center" wrapText="1"/>
      <protection hidden="1"/>
    </xf>
    <xf numFmtId="0" fontId="18" fillId="2" borderId="82" xfId="6" applyFill="1" applyBorder="1" applyAlignment="1" applyProtection="1">
      <alignment vertical="center"/>
      <protection hidden="1"/>
    </xf>
    <xf numFmtId="0" fontId="18" fillId="2" borderId="83" xfId="6" applyFill="1" applyBorder="1" applyAlignment="1" applyProtection="1">
      <alignment vertical="center"/>
      <protection hidden="1"/>
    </xf>
    <xf numFmtId="2" fontId="40" fillId="2" borderId="25" xfId="0" applyNumberFormat="1" applyFont="1" applyFill="1" applyBorder="1" applyAlignment="1">
      <alignment horizontal="right" vertical="center"/>
    </xf>
    <xf numFmtId="2" fontId="40" fillId="2" borderId="28" xfId="0" applyNumberFormat="1" applyFont="1" applyFill="1" applyBorder="1" applyAlignment="1">
      <alignment horizontal="right" vertical="center"/>
    </xf>
    <xf numFmtId="0" fontId="19" fillId="0" borderId="28" xfId="0" applyFont="1" applyBorder="1" applyAlignment="1">
      <alignment horizontal="right" vertical="center" wrapText="1"/>
    </xf>
    <xf numFmtId="0" fontId="20" fillId="0" borderId="30" xfId="0" applyFont="1" applyBorder="1" applyAlignment="1">
      <alignment vertical="center" wrapText="1"/>
    </xf>
    <xf numFmtId="0" fontId="20" fillId="0" borderId="70" xfId="0" applyFont="1" applyBorder="1" applyAlignment="1">
      <alignment vertical="center" wrapText="1"/>
    </xf>
    <xf numFmtId="9" fontId="19" fillId="3" borderId="6" xfId="4" applyNumberFormat="1" applyFont="1" applyFill="1" applyBorder="1" applyAlignment="1" applyProtection="1">
      <alignment horizontal="center" vertical="center"/>
      <protection locked="0"/>
    </xf>
    <xf numFmtId="0" fontId="1" fillId="3" borderId="0" xfId="2" applyFont="1" applyFill="1"/>
    <xf numFmtId="0" fontId="1" fillId="0" borderId="4" xfId="2" applyFont="1" applyBorder="1"/>
    <xf numFmtId="0" fontId="1" fillId="0" borderId="0" xfId="2" applyFont="1"/>
    <xf numFmtId="0" fontId="1" fillId="0" borderId="5" xfId="2" applyFont="1" applyBorder="1"/>
    <xf numFmtId="0" fontId="19" fillId="0" borderId="25" xfId="0" applyFont="1" applyBorder="1" applyAlignment="1">
      <alignment horizontal="left" vertical="center" wrapText="1" indent="1"/>
    </xf>
    <xf numFmtId="0" fontId="19" fillId="0" borderId="26" xfId="0" applyFont="1" applyBorder="1" applyAlignment="1">
      <alignment horizontal="left" vertical="center" wrapText="1" indent="1"/>
    </xf>
    <xf numFmtId="0" fontId="19" fillId="0" borderId="17" xfId="0" applyFont="1" applyBorder="1" applyAlignment="1">
      <alignment horizontal="left" vertical="center" wrapText="1" indent="1"/>
    </xf>
    <xf numFmtId="0" fontId="19" fillId="0" borderId="18" xfId="0" applyFont="1" applyBorder="1" applyAlignment="1">
      <alignment horizontal="left" vertical="center" wrapText="1" indent="1"/>
    </xf>
    <xf numFmtId="0" fontId="7" fillId="5" borderId="32" xfId="0" applyFont="1" applyFill="1" applyBorder="1" applyAlignment="1">
      <alignment horizontal="center" vertical="center" wrapText="1"/>
    </xf>
    <xf numFmtId="0" fontId="7" fillId="5" borderId="33" xfId="0" applyFont="1" applyFill="1" applyBorder="1" applyAlignment="1">
      <alignment horizontal="center" vertical="center" wrapText="1"/>
    </xf>
    <xf numFmtId="0" fontId="19" fillId="0" borderId="11" xfId="0" applyFont="1" applyBorder="1" applyAlignment="1">
      <alignment horizontal="left" vertical="center" wrapText="1" indent="1"/>
    </xf>
    <xf numFmtId="0" fontId="19" fillId="0" borderId="12" xfId="0" applyFont="1" applyBorder="1" applyAlignment="1">
      <alignment horizontal="left" vertical="center" wrapText="1" indent="1"/>
    </xf>
    <xf numFmtId="0" fontId="7" fillId="3" borderId="26" xfId="0" applyFont="1" applyFill="1" applyBorder="1" applyAlignment="1">
      <alignment horizontal="left" vertical="center" wrapText="1"/>
    </xf>
    <xf numFmtId="0" fontId="7" fillId="5" borderId="32" xfId="0" applyFont="1" applyFill="1" applyBorder="1" applyAlignment="1">
      <alignment horizontal="center" vertical="center"/>
    </xf>
    <xf numFmtId="0" fontId="7" fillId="5" borderId="33" xfId="0" applyFont="1" applyFill="1" applyBorder="1" applyAlignment="1">
      <alignment horizontal="center" vertical="center"/>
    </xf>
    <xf numFmtId="0" fontId="19" fillId="0" borderId="11" xfId="0" applyFont="1" applyBorder="1" applyAlignment="1">
      <alignment horizontal="left" vertical="center" indent="1"/>
    </xf>
    <xf numFmtId="0" fontId="19" fillId="0" borderId="12" xfId="0" applyFont="1" applyBorder="1" applyAlignment="1">
      <alignment horizontal="left" vertical="center" indent="1"/>
    </xf>
    <xf numFmtId="0" fontId="19" fillId="0" borderId="25" xfId="0" applyFont="1" applyBorder="1" applyAlignment="1">
      <alignment horizontal="left" vertical="center" indent="1"/>
    </xf>
    <xf numFmtId="0" fontId="19" fillId="0" borderId="26" xfId="0" applyFont="1" applyBorder="1" applyAlignment="1">
      <alignment horizontal="left" vertical="center" indent="1"/>
    </xf>
    <xf numFmtId="0" fontId="19" fillId="0" borderId="17" xfId="0" applyFont="1" applyBorder="1" applyAlignment="1">
      <alignment horizontal="left" vertical="center" indent="1"/>
    </xf>
    <xf numFmtId="0" fontId="19" fillId="0" borderId="18" xfId="0" applyFont="1" applyBorder="1" applyAlignment="1">
      <alignment horizontal="left" vertical="center" indent="1"/>
    </xf>
    <xf numFmtId="0" fontId="26" fillId="0" borderId="0" xfId="0" applyFont="1" applyAlignment="1">
      <alignment horizontal="left" vertical="top" wrapText="1"/>
    </xf>
    <xf numFmtId="0" fontId="18" fillId="0" borderId="0" xfId="2" applyAlignment="1">
      <alignment horizontal="left" vertical="center" wrapText="1"/>
    </xf>
    <xf numFmtId="0" fontId="18" fillId="0" borderId="0" xfId="2" applyAlignment="1">
      <alignment horizontal="left" wrapText="1"/>
    </xf>
    <xf numFmtId="0" fontId="20" fillId="0" borderId="0" xfId="2" applyFont="1" applyAlignment="1">
      <alignment vertical="center" wrapText="1"/>
    </xf>
    <xf numFmtId="0" fontId="20" fillId="0" borderId="29" xfId="0" applyFont="1" applyBorder="1" applyAlignment="1">
      <alignment horizontal="left" vertical="center" wrapText="1" indent="1"/>
    </xf>
    <xf numFmtId="0" fontId="20" fillId="0" borderId="30" xfId="0" applyFont="1" applyBorder="1" applyAlignment="1">
      <alignment horizontal="left" vertical="center" wrapText="1" indent="1"/>
    </xf>
    <xf numFmtId="0" fontId="20" fillId="0" borderId="70" xfId="0" applyFont="1" applyBorder="1" applyAlignment="1">
      <alignment horizontal="left" vertical="center" wrapText="1" indent="1"/>
    </xf>
    <xf numFmtId="0" fontId="13" fillId="4" borderId="11" xfId="0" applyFont="1" applyFill="1" applyBorder="1" applyAlignment="1">
      <alignment horizontal="center" vertical="center" wrapText="1"/>
    </xf>
    <xf numFmtId="0" fontId="13" fillId="4" borderId="12" xfId="0" applyFont="1" applyFill="1" applyBorder="1" applyAlignment="1">
      <alignment horizontal="center" vertical="center" wrapText="1"/>
    </xf>
    <xf numFmtId="0" fontId="13" fillId="4" borderId="13" xfId="0" applyFont="1" applyFill="1" applyBorder="1" applyAlignment="1">
      <alignment horizontal="center" vertical="center" wrapText="1"/>
    </xf>
    <xf numFmtId="0" fontId="13" fillId="4" borderId="17" xfId="0" applyFont="1" applyFill="1" applyBorder="1" applyAlignment="1">
      <alignment horizontal="center" vertical="center" wrapText="1"/>
    </xf>
    <xf numFmtId="0" fontId="13" fillId="4" borderId="18" xfId="0" applyFont="1" applyFill="1" applyBorder="1" applyAlignment="1">
      <alignment horizontal="center" vertical="center" wrapText="1"/>
    </xf>
    <xf numFmtId="0" fontId="13" fillId="4" borderId="19" xfId="0" applyFont="1" applyFill="1" applyBorder="1" applyAlignment="1">
      <alignment horizontal="center" vertical="center" wrapText="1"/>
    </xf>
    <xf numFmtId="0" fontId="13" fillId="4" borderId="14" xfId="0" applyFont="1" applyFill="1" applyBorder="1" applyAlignment="1">
      <alignment horizontal="center" vertical="center" wrapText="1"/>
    </xf>
    <xf numFmtId="0" fontId="13" fillId="4" borderId="15" xfId="0" applyFont="1" applyFill="1" applyBorder="1" applyAlignment="1">
      <alignment horizontal="center" vertical="center" wrapText="1"/>
    </xf>
    <xf numFmtId="0" fontId="1" fillId="4" borderId="16"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8" fillId="4" borderId="34" xfId="0" applyFont="1" applyFill="1" applyBorder="1" applyAlignment="1">
      <alignment horizontal="left" vertical="center" wrapText="1" indent="1"/>
    </xf>
    <xf numFmtId="0" fontId="18" fillId="4" borderId="37" xfId="0" applyFont="1" applyFill="1" applyBorder="1" applyAlignment="1">
      <alignment horizontal="left" vertical="center" wrapText="1" indent="1"/>
    </xf>
    <xf numFmtId="0" fontId="18" fillId="4" borderId="15" xfId="0" applyFont="1" applyFill="1" applyBorder="1" applyAlignment="1">
      <alignment horizontal="left" vertical="center" wrapText="1" indent="1"/>
    </xf>
    <xf numFmtId="0" fontId="18" fillId="4" borderId="11" xfId="0" applyFont="1" applyFill="1" applyBorder="1" applyAlignment="1">
      <alignment horizontal="left" vertical="center" indent="1"/>
    </xf>
    <xf numFmtId="0" fontId="18" fillId="4" borderId="12" xfId="0" applyFont="1" applyFill="1" applyBorder="1" applyAlignment="1">
      <alignment horizontal="left" vertical="center" indent="1"/>
    </xf>
    <xf numFmtId="0" fontId="18" fillId="4" borderId="25" xfId="0" applyFont="1" applyFill="1" applyBorder="1" applyAlignment="1">
      <alignment horizontal="left" vertical="center" indent="1"/>
    </xf>
    <xf numFmtId="0" fontId="18" fillId="4" borderId="26" xfId="0" applyFont="1" applyFill="1" applyBorder="1" applyAlignment="1">
      <alignment horizontal="left" vertical="center" indent="1"/>
    </xf>
    <xf numFmtId="0" fontId="20" fillId="4" borderId="45" xfId="0" applyFont="1" applyFill="1" applyBorder="1" applyAlignment="1">
      <alignment horizontal="center" vertical="center" wrapText="1"/>
    </xf>
    <xf numFmtId="164" fontId="18" fillId="3" borderId="39" xfId="0" applyNumberFormat="1" applyFont="1" applyFill="1" applyBorder="1" applyAlignment="1" applyProtection="1">
      <alignment horizontal="left" vertical="center"/>
      <protection locked="0"/>
    </xf>
    <xf numFmtId="164" fontId="18" fillId="3" borderId="28" xfId="0" applyNumberFormat="1" applyFont="1" applyFill="1" applyBorder="1" applyAlignment="1" applyProtection="1">
      <alignment horizontal="left" vertical="center"/>
      <protection locked="0"/>
    </xf>
    <xf numFmtId="0" fontId="18" fillId="4" borderId="17" xfId="0" applyFont="1" applyFill="1" applyBorder="1" applyAlignment="1">
      <alignment horizontal="left" vertical="center" indent="1"/>
    </xf>
    <xf numFmtId="0" fontId="18" fillId="4" borderId="18" xfId="0" applyFont="1" applyFill="1" applyBorder="1" applyAlignment="1">
      <alignment horizontal="left" vertical="center" indent="1"/>
    </xf>
    <xf numFmtId="0" fontId="40" fillId="3" borderId="43" xfId="0" applyFont="1" applyFill="1" applyBorder="1" applyAlignment="1">
      <alignment horizontal="center" vertical="center" wrapText="1"/>
    </xf>
    <xf numFmtId="0" fontId="40" fillId="3" borderId="44" xfId="0" applyFont="1" applyFill="1" applyBorder="1" applyAlignment="1">
      <alignment horizontal="center" vertical="center" wrapText="1"/>
    </xf>
    <xf numFmtId="49" fontId="18" fillId="4" borderId="41" xfId="0" applyNumberFormat="1" applyFont="1" applyFill="1" applyBorder="1" applyAlignment="1">
      <alignment horizontal="center" vertical="center" wrapText="1"/>
    </xf>
    <xf numFmtId="49" fontId="18" fillId="4" borderId="42" xfId="0" applyNumberFormat="1" applyFont="1" applyFill="1" applyBorder="1" applyAlignment="1">
      <alignment horizontal="center" vertical="center" wrapText="1"/>
    </xf>
    <xf numFmtId="0" fontId="18" fillId="4" borderId="48" xfId="0" applyFont="1" applyFill="1" applyBorder="1" applyAlignment="1">
      <alignment horizontal="center" vertical="center" wrapText="1"/>
    </xf>
    <xf numFmtId="0" fontId="18" fillId="4" borderId="49" xfId="0" applyFont="1" applyFill="1" applyBorder="1" applyAlignment="1">
      <alignment horizontal="center" vertical="center" wrapText="1"/>
    </xf>
    <xf numFmtId="0" fontId="18" fillId="4" borderId="46" xfId="0" applyFont="1" applyFill="1" applyBorder="1" applyAlignment="1">
      <alignment horizontal="center" vertical="center" wrapText="1"/>
    </xf>
    <xf numFmtId="0" fontId="18" fillId="4" borderId="47" xfId="0" applyFont="1" applyFill="1" applyBorder="1" applyAlignment="1">
      <alignment horizontal="center" vertical="center" wrapText="1"/>
    </xf>
    <xf numFmtId="0" fontId="18" fillId="4" borderId="43" xfId="0" applyFont="1" applyFill="1" applyBorder="1" applyAlignment="1">
      <alignment horizontal="center" vertical="center" wrapText="1"/>
    </xf>
    <xf numFmtId="0" fontId="18" fillId="4" borderId="44" xfId="0" applyFont="1" applyFill="1" applyBorder="1" applyAlignment="1">
      <alignment horizontal="center" vertical="center" wrapText="1"/>
    </xf>
    <xf numFmtId="0" fontId="18" fillId="4" borderId="57" xfId="0" applyFont="1" applyFill="1" applyBorder="1" applyAlignment="1">
      <alignment horizontal="center" vertical="center" wrapText="1"/>
    </xf>
    <xf numFmtId="0" fontId="8" fillId="0" borderId="45" xfId="0" applyFont="1" applyBorder="1" applyAlignment="1">
      <alignment horizontal="center" vertical="center" wrapText="1"/>
    </xf>
    <xf numFmtId="0" fontId="8" fillId="0" borderId="44" xfId="0" applyFont="1" applyBorder="1" applyAlignment="1">
      <alignment horizontal="center" vertical="center" wrapText="1"/>
    </xf>
    <xf numFmtId="0" fontId="8" fillId="0" borderId="24" xfId="0" applyFont="1" applyBorder="1" applyAlignment="1">
      <alignment horizontal="center" vertical="center" wrapText="1"/>
    </xf>
    <xf numFmtId="0" fontId="18" fillId="0" borderId="45" xfId="0" applyFont="1" applyBorder="1" applyAlignment="1">
      <alignment horizontal="center" vertical="center" wrapText="1"/>
    </xf>
    <xf numFmtId="0" fontId="18" fillId="0" borderId="44" xfId="0" applyFont="1" applyBorder="1" applyAlignment="1">
      <alignment horizontal="center" vertical="center" wrapText="1"/>
    </xf>
    <xf numFmtId="0" fontId="18" fillId="4" borderId="59" xfId="0" applyFont="1" applyFill="1" applyBorder="1" applyAlignment="1">
      <alignment horizontal="center" vertical="center" wrapText="1"/>
    </xf>
    <xf numFmtId="0" fontId="18" fillId="4" borderId="60" xfId="0" applyFont="1" applyFill="1" applyBorder="1" applyAlignment="1">
      <alignment horizontal="center" vertical="center" wrapText="1"/>
    </xf>
    <xf numFmtId="0" fontId="20" fillId="4" borderId="43" xfId="0" applyFont="1" applyFill="1" applyBorder="1" applyAlignment="1">
      <alignment horizontal="center" vertical="center" wrapText="1"/>
    </xf>
    <xf numFmtId="0" fontId="18" fillId="3" borderId="26" xfId="0" applyFont="1" applyFill="1" applyBorder="1" applyAlignment="1" applyProtection="1">
      <alignment horizontal="left" vertical="center"/>
      <protection locked="0"/>
    </xf>
    <xf numFmtId="49" fontId="18" fillId="4" borderId="56" xfId="0" applyNumberFormat="1" applyFont="1" applyFill="1" applyBorder="1" applyAlignment="1">
      <alignment horizontal="center" vertical="center" wrapText="1"/>
    </xf>
    <xf numFmtId="0" fontId="20" fillId="0" borderId="44" xfId="0" applyFont="1" applyBorder="1" applyAlignment="1">
      <alignment horizontal="center" vertical="center" wrapText="1"/>
    </xf>
    <xf numFmtId="0" fontId="20" fillId="0" borderId="24" xfId="0" applyFont="1" applyBorder="1" applyAlignment="1">
      <alignment horizontal="center" vertical="center" wrapText="1"/>
    </xf>
    <xf numFmtId="0" fontId="18" fillId="4" borderId="41" xfId="0" applyFont="1" applyFill="1" applyBorder="1" applyAlignment="1">
      <alignment horizontal="center" vertical="center" wrapText="1"/>
    </xf>
    <xf numFmtId="0" fontId="18" fillId="4" borderId="42" xfId="0" applyFont="1" applyFill="1" applyBorder="1" applyAlignment="1">
      <alignment horizontal="center" vertical="center"/>
    </xf>
    <xf numFmtId="0" fontId="18" fillId="4" borderId="56" xfId="0" applyFont="1" applyFill="1" applyBorder="1" applyAlignment="1">
      <alignment horizontal="center" vertical="center"/>
    </xf>
    <xf numFmtId="0" fontId="18" fillId="4" borderId="50" xfId="0" applyFont="1" applyFill="1" applyBorder="1" applyAlignment="1">
      <alignment horizontal="center" vertical="center" wrapText="1"/>
    </xf>
    <xf numFmtId="0" fontId="18" fillId="4" borderId="51"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24" xfId="0" applyFont="1" applyBorder="1" applyAlignment="1">
      <alignment horizontal="center" vertical="center" wrapText="1"/>
    </xf>
    <xf numFmtId="0" fontId="18" fillId="4" borderId="43" xfId="0" applyFont="1" applyFill="1" applyBorder="1" applyAlignment="1" applyProtection="1">
      <alignment horizontal="center" wrapText="1"/>
      <protection hidden="1"/>
    </xf>
    <xf numFmtId="0" fontId="18" fillId="4" borderId="44" xfId="0" applyFont="1" applyFill="1" applyBorder="1" applyAlignment="1" applyProtection="1">
      <alignment horizontal="center" wrapText="1"/>
      <protection hidden="1"/>
    </xf>
    <xf numFmtId="0" fontId="18" fillId="4" borderId="50" xfId="0" applyFont="1" applyFill="1" applyBorder="1" applyAlignment="1" applyProtection="1">
      <alignment horizontal="center" vertical="center" wrapText="1"/>
      <protection hidden="1"/>
    </xf>
    <xf numFmtId="0" fontId="18" fillId="4" borderId="51" xfId="0" applyFont="1" applyFill="1" applyBorder="1" applyAlignment="1" applyProtection="1">
      <alignment horizontal="center" vertical="center" wrapText="1"/>
      <protection hidden="1"/>
    </xf>
    <xf numFmtId="0" fontId="18" fillId="4" borderId="32" xfId="6" applyFill="1" applyBorder="1" applyAlignment="1" applyProtection="1">
      <alignment horizontal="left" vertical="center" indent="1"/>
      <protection hidden="1"/>
    </xf>
    <xf numFmtId="0" fontId="18" fillId="4" borderId="33" xfId="6" applyFill="1" applyBorder="1" applyAlignment="1" applyProtection="1">
      <alignment horizontal="left" vertical="center" indent="1"/>
      <protection hidden="1"/>
    </xf>
    <xf numFmtId="0" fontId="18" fillId="4" borderId="41" xfId="0" applyFont="1" applyFill="1" applyBorder="1" applyAlignment="1" applyProtection="1">
      <alignment horizontal="center" vertical="center" wrapText="1"/>
      <protection hidden="1"/>
    </xf>
    <xf numFmtId="0" fontId="18" fillId="4" borderId="42" xfId="0" applyFont="1" applyFill="1" applyBorder="1" applyAlignment="1" applyProtection="1">
      <alignment horizontal="center" vertical="center" wrapText="1"/>
      <protection hidden="1"/>
    </xf>
    <xf numFmtId="0" fontId="18" fillId="4" borderId="56" xfId="0" applyFont="1" applyFill="1" applyBorder="1" applyAlignment="1" applyProtection="1">
      <alignment horizontal="center" vertical="center" wrapText="1"/>
      <protection hidden="1"/>
    </xf>
    <xf numFmtId="0" fontId="18" fillId="4" borderId="43" xfId="0" applyFont="1" applyFill="1" applyBorder="1" applyAlignment="1" applyProtection="1">
      <alignment horizontal="center" vertical="center" wrapText="1"/>
      <protection hidden="1"/>
    </xf>
    <xf numFmtId="0" fontId="18" fillId="4" borderId="44" xfId="0" applyFont="1" applyFill="1" applyBorder="1" applyAlignment="1" applyProtection="1">
      <alignment horizontal="center" vertical="center" wrapText="1"/>
      <protection hidden="1"/>
    </xf>
    <xf numFmtId="0" fontId="18" fillId="4" borderId="57" xfId="0" applyFont="1" applyFill="1" applyBorder="1" applyAlignment="1" applyProtection="1">
      <alignment horizontal="center" vertical="center" wrapText="1"/>
      <protection hidden="1"/>
    </xf>
    <xf numFmtId="0" fontId="18" fillId="4" borderId="77" xfId="0" applyFont="1" applyFill="1" applyBorder="1" applyAlignment="1" applyProtection="1">
      <alignment horizontal="center" vertical="center" wrapText="1"/>
      <protection hidden="1"/>
    </xf>
    <xf numFmtId="0" fontId="18" fillId="4" borderId="78" xfId="0" applyFont="1" applyFill="1" applyBorder="1" applyAlignment="1" applyProtection="1">
      <alignment horizontal="center" vertical="center" wrapText="1"/>
      <protection hidden="1"/>
    </xf>
    <xf numFmtId="0" fontId="18" fillId="4" borderId="79" xfId="0" applyFont="1" applyFill="1" applyBorder="1" applyAlignment="1" applyProtection="1">
      <alignment horizontal="center" vertical="center" wrapText="1"/>
      <protection hidden="1"/>
    </xf>
    <xf numFmtId="0" fontId="40" fillId="3" borderId="43" xfId="0" applyFont="1" applyFill="1" applyBorder="1" applyAlignment="1" applyProtection="1">
      <alignment horizontal="center" vertical="center" wrapText="1"/>
      <protection hidden="1"/>
    </xf>
    <xf numFmtId="0" fontId="40" fillId="3" borderId="44" xfId="0" applyFont="1" applyFill="1" applyBorder="1" applyAlignment="1" applyProtection="1">
      <alignment horizontal="center" vertical="center" wrapText="1"/>
      <protection hidden="1"/>
    </xf>
    <xf numFmtId="0" fontId="40" fillId="3" borderId="48" xfId="0" applyFont="1" applyFill="1" applyBorder="1" applyAlignment="1" applyProtection="1">
      <alignment horizontal="center" vertical="center" wrapText="1"/>
      <protection hidden="1"/>
    </xf>
    <xf numFmtId="0" fontId="40" fillId="3" borderId="46" xfId="0" applyFont="1" applyFill="1" applyBorder="1" applyAlignment="1" applyProtection="1">
      <alignment horizontal="center" vertical="center" wrapText="1"/>
      <protection hidden="1"/>
    </xf>
  </cellXfs>
  <cellStyles count="8">
    <cellStyle name="Comma" xfId="1" builtinId="3"/>
    <cellStyle name="Normal" xfId="0" builtinId="0"/>
    <cellStyle name="Normal 2" xfId="4" xr:uid="{00000000-0005-0000-0000-000002000000}"/>
    <cellStyle name="Normal 2 2" xfId="2" xr:uid="{00000000-0005-0000-0000-000003000000}"/>
    <cellStyle name="Normal 2 2 2" xfId="5" xr:uid="{00000000-0005-0000-0000-000004000000}"/>
    <cellStyle name="Normal 2 3" xfId="3" xr:uid="{00000000-0005-0000-0000-000005000000}"/>
    <cellStyle name="Normal 4" xfId="6" xr:uid="{00000000-0005-0000-0000-000006000000}"/>
    <cellStyle name="Percent 2" xfId="7" xr:uid="{00000000-0005-0000-0000-000007000000}"/>
  </cellStyles>
  <dxfs count="7">
    <dxf>
      <fill>
        <patternFill>
          <bgColor theme="0" tint="-4.9989318521683403E-2"/>
        </patternFill>
      </fill>
    </dxf>
    <dxf>
      <font>
        <color theme="0"/>
      </font>
    </dxf>
    <dxf>
      <font>
        <color theme="0"/>
      </font>
    </dxf>
    <dxf>
      <font>
        <color theme="0"/>
      </font>
    </dxf>
    <dxf>
      <font>
        <b/>
        <i val="0"/>
        <u val="none"/>
        <color auto="1"/>
      </font>
      <fill>
        <patternFill>
          <bgColor rgb="FFC5F5FF"/>
        </patternFill>
      </fill>
      <border>
        <left style="thin">
          <color theme="0" tint="-0.499984740745262"/>
        </left>
        <right style="thin">
          <color theme="0" tint="-0.24994659260841701"/>
        </right>
        <top style="thin">
          <color theme="0" tint="-0.24994659260841701"/>
        </top>
        <bottom style="thin">
          <color theme="0" tint="-0.24994659260841701"/>
        </bottom>
      </border>
    </dxf>
    <dxf>
      <font>
        <color rgb="FF9C0006"/>
      </font>
      <fill>
        <patternFill>
          <bgColor rgb="FFFFC7CE"/>
        </patternFill>
      </fill>
    </dxf>
    <dxf>
      <font>
        <color theme="0"/>
      </font>
    </dxf>
  </dxfs>
  <tableStyles count="1" defaultTableStyle="TableStyleMedium2" defaultPivotStyle="PivotStyleLight16">
    <tableStyle name="MySqlDefault" pivot="0" table="0" count="0" xr9:uid="{00000000-0011-0000-FFFF-FFFF00000000}"/>
  </tableStyles>
  <colors>
    <mruColors>
      <color rgb="FFC5F5FF"/>
      <color rgb="FF00AD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customXml" Target="../customXml/item2.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Y$5"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P$5" lockText="1"/>
</file>

<file path=xl/ctrlProps/ctrlProp9.xml><?xml version="1.0" encoding="utf-8"?>
<formControlPr xmlns="http://schemas.microsoft.com/office/spreadsheetml/2009/9/main" objectType="CheckBox" fmlaLink="$O$5"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V$5"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63498</xdr:colOff>
      <xdr:row>1</xdr:row>
      <xdr:rowOff>63498</xdr:rowOff>
    </xdr:from>
    <xdr:to>
      <xdr:col>4</xdr:col>
      <xdr:colOff>11904</xdr:colOff>
      <xdr:row>3</xdr:row>
      <xdr:rowOff>117737</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43415" y="253998"/>
          <a:ext cx="773906" cy="773906"/>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xdr:col>
          <xdr:colOff>1120140</xdr:colOff>
          <xdr:row>29</xdr:row>
          <xdr:rowOff>99060</xdr:rowOff>
        </xdr:from>
        <xdr:to>
          <xdr:col>6</xdr:col>
          <xdr:colOff>838200</xdr:colOff>
          <xdr:row>29</xdr:row>
          <xdr:rowOff>381000</xdr:rowOff>
        </xdr:to>
        <xdr:sp macro="" textlink="">
          <xdr:nvSpPr>
            <xdr:cNvPr id="3145" name="Button 7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29</xdr:row>
          <xdr:rowOff>99060</xdr:rowOff>
        </xdr:from>
        <xdr:to>
          <xdr:col>5</xdr:col>
          <xdr:colOff>1028700</xdr:colOff>
          <xdr:row>29</xdr:row>
          <xdr:rowOff>365760</xdr:rowOff>
        </xdr:to>
        <xdr:sp macro="" textlink="">
          <xdr:nvSpPr>
            <xdr:cNvPr id="3146" name="Button 7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137160</xdr:rowOff>
        </xdr:from>
        <xdr:to>
          <xdr:col>1</xdr:col>
          <xdr:colOff>1371600</xdr:colOff>
          <xdr:row>16</xdr:row>
          <xdr:rowOff>419100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100-000009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1463040</xdr:colOff>
          <xdr:row>16</xdr:row>
          <xdr:rowOff>137160</xdr:rowOff>
        </xdr:from>
        <xdr:to>
          <xdr:col>1</xdr:col>
          <xdr:colOff>2842260</xdr:colOff>
          <xdr:row>16</xdr:row>
          <xdr:rowOff>403860</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100-00000A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4</xdr:row>
          <xdr:rowOff>152400</xdr:rowOff>
        </xdr:from>
        <xdr:to>
          <xdr:col>1</xdr:col>
          <xdr:colOff>2118360</xdr:colOff>
          <xdr:row>4</xdr:row>
          <xdr:rowOff>441960</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100-00001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205740</xdr:rowOff>
        </xdr:from>
        <xdr:to>
          <xdr:col>1</xdr:col>
          <xdr:colOff>1371600</xdr:colOff>
          <xdr:row>16</xdr:row>
          <xdr:rowOff>480060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200-000003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1463040</xdr:colOff>
          <xdr:row>16</xdr:row>
          <xdr:rowOff>190500</xdr:rowOff>
        </xdr:from>
        <xdr:to>
          <xdr:col>1</xdr:col>
          <xdr:colOff>2842260</xdr:colOff>
          <xdr:row>16</xdr:row>
          <xdr:rowOff>472440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200-000004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4</xdr:row>
          <xdr:rowOff>167640</xdr:rowOff>
        </xdr:from>
        <xdr:to>
          <xdr:col>1</xdr:col>
          <xdr:colOff>2118360</xdr:colOff>
          <xdr:row>4</xdr:row>
          <xdr:rowOff>457200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0200-000006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4</xdr:row>
          <xdr:rowOff>167640</xdr:rowOff>
        </xdr:from>
        <xdr:to>
          <xdr:col>1</xdr:col>
          <xdr:colOff>2118360</xdr:colOff>
          <xdr:row>4</xdr:row>
          <xdr:rowOff>457200</xdr:rowOff>
        </xdr:to>
        <xdr:sp macro="" textlink="">
          <xdr:nvSpPr>
            <xdr:cNvPr id="63489" name="Check Box 1" hidden="1">
              <a:extLst>
                <a:ext uri="{63B3BB69-23CF-44E3-9099-C40C66FF867C}">
                  <a14:compatExt spid="_x0000_s63489"/>
                </a:ext>
                <a:ext uri="{FF2B5EF4-FFF2-40B4-BE49-F238E27FC236}">
                  <a16:creationId xmlns:a16="http://schemas.microsoft.com/office/drawing/2014/main" id="{00000000-0008-0000-0300-000001F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53340</xdr:colOff>
          <xdr:row>14</xdr:row>
          <xdr:rowOff>38100</xdr:rowOff>
        </xdr:from>
        <xdr:to>
          <xdr:col>1</xdr:col>
          <xdr:colOff>1424940</xdr:colOff>
          <xdr:row>15</xdr:row>
          <xdr:rowOff>129540</xdr:rowOff>
        </xdr:to>
        <xdr:sp macro="" textlink="">
          <xdr:nvSpPr>
            <xdr:cNvPr id="63497" name="Button 9" hidden="1">
              <a:extLst>
                <a:ext uri="{63B3BB69-23CF-44E3-9099-C40C66FF867C}">
                  <a14:compatExt spid="_x0000_s63497"/>
                </a:ext>
                <a:ext uri="{FF2B5EF4-FFF2-40B4-BE49-F238E27FC236}">
                  <a16:creationId xmlns:a16="http://schemas.microsoft.com/office/drawing/2014/main" id="{00000000-0008-0000-0300-000009F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1508760</xdr:colOff>
          <xdr:row>14</xdr:row>
          <xdr:rowOff>22860</xdr:rowOff>
        </xdr:from>
        <xdr:to>
          <xdr:col>2</xdr:col>
          <xdr:colOff>586740</xdr:colOff>
          <xdr:row>15</xdr:row>
          <xdr:rowOff>114300</xdr:rowOff>
        </xdr:to>
        <xdr:sp macro="" textlink="">
          <xdr:nvSpPr>
            <xdr:cNvPr id="63498" name="Button 10" hidden="1">
              <a:extLst>
                <a:ext uri="{63B3BB69-23CF-44E3-9099-C40C66FF867C}">
                  <a14:compatExt spid="_x0000_s63498"/>
                </a:ext>
                <a:ext uri="{FF2B5EF4-FFF2-40B4-BE49-F238E27FC236}">
                  <a16:creationId xmlns:a16="http://schemas.microsoft.com/office/drawing/2014/main" id="{00000000-0008-0000-0300-00000AF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System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53340</xdr:colOff>
          <xdr:row>4</xdr:row>
          <xdr:rowOff>137160</xdr:rowOff>
        </xdr:from>
        <xdr:to>
          <xdr:col>3</xdr:col>
          <xdr:colOff>1424940</xdr:colOff>
          <xdr:row>6</xdr:row>
          <xdr:rowOff>22860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4</xdr:row>
          <xdr:rowOff>137160</xdr:rowOff>
        </xdr:from>
        <xdr:to>
          <xdr:col>5</xdr:col>
          <xdr:colOff>739140</xdr:colOff>
          <xdr:row>6</xdr:row>
          <xdr:rowOff>60960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400-0000023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#NAME?</fb>
    <v>10</v>
    <v>10</v>
  </rv>
  <rv s="1">
    <v>10</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9"/>
  <sheetViews>
    <sheetView showGridLines="0" tabSelected="1" topLeftCell="A34" zoomScale="90" zoomScaleNormal="90" workbookViewId="0">
      <selection activeCell="K172" sqref="K172"/>
    </sheetView>
  </sheetViews>
  <sheetFormatPr defaultColWidth="9.109375" defaultRowHeight="14.4" x14ac:dyDescent="0.3"/>
  <cols>
    <col min="1" max="2" width="2.6640625" style="2" customWidth="1"/>
    <col min="3" max="3" width="7" style="2" customWidth="1"/>
    <col min="4" max="4" width="2.6640625" style="2" customWidth="1"/>
    <col min="5" max="5" width="5.6640625" style="2" customWidth="1"/>
    <col min="6" max="6" width="24.6640625" style="2" customWidth="1"/>
    <col min="7" max="10" width="14.6640625" style="2" customWidth="1"/>
    <col min="11" max="11" width="17.44140625" style="2" customWidth="1"/>
    <col min="12" max="12" width="5.33203125" style="2" customWidth="1"/>
    <col min="13" max="13" width="18.77734375" style="2" customWidth="1"/>
    <col min="14" max="14" width="14.33203125" style="2" hidden="1" customWidth="1"/>
    <col min="15" max="15" width="11.44140625" style="78" hidden="1" customWidth="1"/>
    <col min="16" max="16" width="11.109375" style="78" hidden="1" customWidth="1"/>
    <col min="17" max="17" width="22.33203125" style="78" hidden="1" customWidth="1"/>
    <col min="18" max="20" width="9.109375" style="78" hidden="1" customWidth="1"/>
    <col min="21" max="16384" width="9.109375" style="78"/>
  </cols>
  <sheetData>
    <row r="1" spans="1:14" x14ac:dyDescent="0.3">
      <c r="A1" s="1"/>
      <c r="B1" s="1"/>
      <c r="C1" s="1"/>
      <c r="E1" s="1"/>
      <c r="F1" s="1"/>
      <c r="G1" s="1"/>
      <c r="H1" s="1"/>
      <c r="I1" s="1"/>
    </row>
    <row r="2" spans="1:14" x14ac:dyDescent="0.3">
      <c r="A2" s="3"/>
      <c r="B2" s="4"/>
      <c r="C2" s="5"/>
      <c r="D2" s="6"/>
      <c r="E2" s="5"/>
      <c r="F2" s="5"/>
      <c r="G2" s="5"/>
      <c r="H2" s="5"/>
      <c r="I2" s="5"/>
      <c r="J2" s="5"/>
      <c r="K2" s="5"/>
      <c r="L2" s="7"/>
    </row>
    <row r="3" spans="1:14" ht="42" customHeight="1" x14ac:dyDescent="0.3">
      <c r="A3" s="1"/>
      <c r="B3" s="8"/>
      <c r="C3" s="35"/>
      <c r="D3" s="10"/>
      <c r="E3" s="466" t="s">
        <v>305</v>
      </c>
      <c r="F3" s="466"/>
      <c r="G3" s="466"/>
      <c r="H3" s="466"/>
      <c r="I3" s="466"/>
      <c r="J3" s="466"/>
      <c r="K3" s="466"/>
      <c r="L3" s="82"/>
    </row>
    <row r="4" spans="1:14" ht="21" customHeight="1" x14ac:dyDescent="0.3">
      <c r="A4" s="1"/>
      <c r="B4" s="8"/>
      <c r="C4" s="9"/>
      <c r="D4" s="10"/>
      <c r="E4" s="11"/>
      <c r="F4" s="11"/>
      <c r="G4" s="11"/>
      <c r="H4" s="11"/>
      <c r="I4" s="11"/>
      <c r="J4" s="11"/>
      <c r="K4" s="11"/>
      <c r="L4" s="83"/>
    </row>
    <row r="5" spans="1:14" ht="15" customHeight="1" x14ac:dyDescent="0.3">
      <c r="A5" s="1"/>
      <c r="B5" s="8"/>
      <c r="C5" s="12"/>
      <c r="D5" s="10"/>
      <c r="E5" s="13" t="s">
        <v>37</v>
      </c>
      <c r="F5" s="14"/>
      <c r="G5" s="14"/>
      <c r="H5" s="14"/>
      <c r="I5" s="15"/>
      <c r="J5" s="15"/>
      <c r="K5" s="84"/>
      <c r="L5" s="82"/>
    </row>
    <row r="6" spans="1:14" ht="15" customHeight="1" x14ac:dyDescent="0.3">
      <c r="A6" s="1"/>
      <c r="B6" s="8"/>
      <c r="C6" s="12"/>
      <c r="D6" s="16"/>
      <c r="E6" s="467" t="s">
        <v>38</v>
      </c>
      <c r="F6" s="467"/>
      <c r="G6" s="467"/>
      <c r="H6" s="467"/>
      <c r="I6" s="15"/>
      <c r="J6" s="15"/>
      <c r="K6" s="14"/>
      <c r="L6" s="85"/>
      <c r="M6" s="1"/>
      <c r="N6" s="1"/>
    </row>
    <row r="7" spans="1:14" ht="21" customHeight="1" x14ac:dyDescent="0.3">
      <c r="A7" s="17"/>
      <c r="B7" s="86"/>
      <c r="C7" s="87"/>
      <c r="D7" s="18"/>
      <c r="E7" s="88" t="s">
        <v>39</v>
      </c>
      <c r="F7" s="88"/>
      <c r="G7" s="88"/>
      <c r="H7" s="88"/>
      <c r="I7" s="88"/>
      <c r="J7" s="88"/>
      <c r="K7" s="88"/>
      <c r="L7" s="23"/>
      <c r="M7" s="17"/>
      <c r="N7" s="17"/>
    </row>
    <row r="8" spans="1:14" ht="15" customHeight="1" x14ac:dyDescent="0.3">
      <c r="A8" s="1"/>
      <c r="B8" s="8"/>
      <c r="C8" s="9"/>
      <c r="D8" s="16"/>
      <c r="E8" s="18"/>
      <c r="F8" s="14"/>
      <c r="G8" s="14"/>
      <c r="H8" s="14"/>
      <c r="I8" s="15"/>
      <c r="J8" s="15"/>
      <c r="K8" s="14"/>
      <c r="L8" s="85"/>
      <c r="M8" s="1"/>
      <c r="N8" s="1"/>
    </row>
    <row r="9" spans="1:14" ht="15" customHeight="1" x14ac:dyDescent="0.3">
      <c r="B9" s="89"/>
      <c r="C9" s="90"/>
      <c r="D9" s="10"/>
      <c r="E9" s="91" t="s">
        <v>40</v>
      </c>
      <c r="F9" s="64"/>
      <c r="G9" s="92"/>
      <c r="H9" s="92"/>
      <c r="I9" s="15"/>
      <c r="J9" s="15"/>
      <c r="K9" s="93"/>
      <c r="L9" s="82"/>
      <c r="M9" s="19"/>
      <c r="N9" s="19"/>
    </row>
    <row r="10" spans="1:14" ht="15" customHeight="1" x14ac:dyDescent="0.3">
      <c r="A10" s="20"/>
      <c r="B10" s="89"/>
      <c r="C10" s="90"/>
      <c r="D10" s="16"/>
      <c r="E10" s="94" t="s">
        <v>41</v>
      </c>
      <c r="F10" s="94"/>
      <c r="G10" s="94"/>
      <c r="H10" s="94"/>
      <c r="I10" s="92"/>
      <c r="J10" s="92"/>
      <c r="K10" s="21" t="s">
        <v>309</v>
      </c>
      <c r="L10" s="96"/>
      <c r="M10" s="22"/>
      <c r="N10" s="22"/>
    </row>
    <row r="11" spans="1:14" ht="15" customHeight="1" x14ac:dyDescent="0.3">
      <c r="A11" s="17"/>
      <c r="B11" s="86"/>
      <c r="C11" s="87"/>
      <c r="D11" s="18"/>
      <c r="E11" s="88" t="s">
        <v>42</v>
      </c>
      <c r="F11" s="88"/>
      <c r="G11" s="88"/>
      <c r="H11" s="88"/>
      <c r="I11" s="88"/>
      <c r="J11" s="88"/>
      <c r="K11" s="88"/>
      <c r="L11" s="23"/>
      <c r="M11" s="17"/>
      <c r="N11" s="17"/>
    </row>
    <row r="12" spans="1:14" ht="15" customHeight="1" x14ac:dyDescent="0.3">
      <c r="A12" s="1"/>
      <c r="B12" s="8"/>
      <c r="C12" s="9"/>
      <c r="D12" s="16"/>
      <c r="E12" s="18"/>
      <c r="F12" s="14"/>
      <c r="G12" s="14"/>
      <c r="H12" s="14"/>
      <c r="I12" s="15"/>
      <c r="J12" s="15"/>
      <c r="K12" s="14"/>
      <c r="L12" s="85"/>
      <c r="M12" s="1"/>
      <c r="N12" s="1"/>
    </row>
    <row r="13" spans="1:14" ht="15" customHeight="1" x14ac:dyDescent="0.3">
      <c r="B13" s="89"/>
      <c r="C13" s="90"/>
      <c r="D13" s="10"/>
      <c r="E13" s="91" t="s">
        <v>172</v>
      </c>
      <c r="F13" s="64"/>
      <c r="G13" s="92"/>
      <c r="H13" s="92"/>
      <c r="I13" s="15"/>
      <c r="J13" s="15"/>
      <c r="K13" s="93"/>
      <c r="L13" s="82"/>
      <c r="M13" s="19"/>
      <c r="N13" s="19"/>
    </row>
    <row r="14" spans="1:14" ht="15" customHeight="1" x14ac:dyDescent="0.3">
      <c r="A14" s="20"/>
      <c r="B14" s="89"/>
      <c r="C14" s="90"/>
      <c r="D14" s="16"/>
      <c r="E14" s="94" t="s">
        <v>203</v>
      </c>
      <c r="F14" s="94"/>
      <c r="G14" s="94"/>
      <c r="H14" s="94"/>
      <c r="I14" s="92"/>
      <c r="J14" s="92"/>
      <c r="K14" s="21" t="s">
        <v>314</v>
      </c>
      <c r="L14" s="96"/>
      <c r="M14" s="22"/>
      <c r="N14" s="22"/>
    </row>
    <row r="15" spans="1:14" ht="15" customHeight="1" x14ac:dyDescent="0.3">
      <c r="A15" s="17"/>
      <c r="B15" s="86"/>
      <c r="C15" s="87"/>
      <c r="D15" s="18"/>
      <c r="E15" s="88" t="s">
        <v>204</v>
      </c>
      <c r="F15" s="88"/>
      <c r="G15" s="88"/>
      <c r="H15" s="88"/>
      <c r="I15" s="88"/>
      <c r="J15" s="88"/>
      <c r="K15" s="88"/>
      <c r="L15" s="23"/>
      <c r="M15" s="17"/>
      <c r="N15" s="17"/>
    </row>
    <row r="16" spans="1:14" ht="15" customHeight="1" x14ac:dyDescent="0.3">
      <c r="A16" s="1"/>
      <c r="B16" s="8"/>
      <c r="C16" s="9"/>
      <c r="D16" s="16"/>
      <c r="E16" s="18"/>
      <c r="F16" s="14"/>
      <c r="G16" s="14"/>
      <c r="H16" s="14"/>
      <c r="I16" s="15"/>
      <c r="J16" s="15"/>
      <c r="K16" s="14"/>
      <c r="L16" s="85"/>
      <c r="M16" s="1"/>
      <c r="N16" s="1"/>
    </row>
    <row r="17" spans="1:14" ht="15" customHeight="1" x14ac:dyDescent="0.3">
      <c r="B17" s="89"/>
      <c r="C17" s="90"/>
      <c r="D17" s="10"/>
      <c r="E17" s="91" t="s">
        <v>259</v>
      </c>
      <c r="F17" s="64"/>
      <c r="G17" s="92"/>
      <c r="H17" s="92"/>
      <c r="I17" s="15"/>
      <c r="J17" s="15"/>
      <c r="K17" s="93"/>
      <c r="L17" s="82"/>
      <c r="M17" s="19"/>
      <c r="N17" s="19"/>
    </row>
    <row r="18" spans="1:14" ht="15" hidden="1" customHeight="1" x14ac:dyDescent="0.3">
      <c r="A18" s="20"/>
      <c r="B18" s="89"/>
      <c r="C18" s="90"/>
      <c r="D18" s="16"/>
      <c r="E18" s="94" t="s">
        <v>260</v>
      </c>
      <c r="F18" s="94"/>
      <c r="G18" s="94"/>
      <c r="H18" s="94"/>
      <c r="I18" s="92"/>
      <c r="J18" s="92"/>
      <c r="K18" s="286" t="s">
        <v>313</v>
      </c>
      <c r="L18" s="96"/>
      <c r="M18" s="22"/>
      <c r="N18" s="22"/>
    </row>
    <row r="19" spans="1:14" ht="15" hidden="1" customHeight="1" x14ac:dyDescent="0.3">
      <c r="A19" s="17"/>
      <c r="B19" s="86"/>
      <c r="C19" s="87"/>
      <c r="D19" s="18"/>
      <c r="E19" s="88" t="str">
        <f>IF(LEED=1,"Select if attempting EQ Credit Increased Ventilation.","Select if attempting EQ Credit Enhanced Indoor Air Quality Strategies, Option 2, Strategy B: Increased Ventilation.")</f>
        <v>Select if attempting EQ Credit Enhanced Indoor Air Quality Strategies, Option 2, Strategy B: Increased Ventilation.</v>
      </c>
      <c r="F19" s="88"/>
      <c r="G19" s="88"/>
      <c r="H19" s="88"/>
      <c r="I19" s="88"/>
      <c r="J19" s="88"/>
      <c r="K19" s="88"/>
      <c r="L19" s="23"/>
      <c r="M19" s="17"/>
      <c r="N19" s="17"/>
    </row>
    <row r="20" spans="1:14" ht="15" hidden="1" customHeight="1" x14ac:dyDescent="0.3">
      <c r="A20" s="17"/>
      <c r="B20" s="86"/>
      <c r="C20" s="87"/>
      <c r="D20" s="18"/>
      <c r="E20" s="88"/>
      <c r="F20" s="88"/>
      <c r="G20" s="88"/>
      <c r="H20" s="88"/>
      <c r="I20" s="88"/>
      <c r="J20" s="88"/>
      <c r="K20" s="88"/>
      <c r="L20" s="23"/>
      <c r="M20" s="17"/>
      <c r="N20" s="17"/>
    </row>
    <row r="21" spans="1:14" ht="15" customHeight="1" x14ac:dyDescent="0.3">
      <c r="A21" s="445"/>
      <c r="B21" s="446"/>
      <c r="C21" s="447"/>
      <c r="D21" s="16"/>
      <c r="E21" s="94" t="s">
        <v>311</v>
      </c>
      <c r="F21" s="88"/>
      <c r="G21" s="88"/>
      <c r="H21" s="88"/>
      <c r="I21" s="88"/>
      <c r="J21" s="88"/>
      <c r="K21" s="444" t="s">
        <v>310</v>
      </c>
      <c r="L21" s="448"/>
      <c r="M21" s="445"/>
      <c r="N21" s="445"/>
    </row>
    <row r="22" spans="1:14" ht="25.95" customHeight="1" x14ac:dyDescent="0.3">
      <c r="A22" s="445"/>
      <c r="B22" s="446"/>
      <c r="C22" s="447"/>
      <c r="D22" s="16"/>
      <c r="E22" s="469" t="s">
        <v>312</v>
      </c>
      <c r="F22" s="469"/>
      <c r="G22" s="469"/>
      <c r="H22" s="469"/>
      <c r="I22" s="469"/>
      <c r="J22" s="88"/>
      <c r="K22" s="88"/>
      <c r="L22" s="448"/>
      <c r="M22" s="445"/>
      <c r="N22" s="445"/>
    </row>
    <row r="23" spans="1:14" ht="15" customHeight="1" x14ac:dyDescent="0.3">
      <c r="A23" s="17"/>
      <c r="B23" s="86"/>
      <c r="C23" s="87"/>
      <c r="D23" s="18"/>
      <c r="E23" s="88"/>
      <c r="F23" s="88"/>
      <c r="G23" s="88"/>
      <c r="H23" s="88"/>
      <c r="I23" s="88"/>
      <c r="J23" s="88"/>
      <c r="K23" s="88"/>
      <c r="L23" s="23"/>
      <c r="M23" s="17"/>
      <c r="N23" s="17"/>
    </row>
    <row r="24" spans="1:14" ht="15" customHeight="1" x14ac:dyDescent="0.3">
      <c r="B24" s="89"/>
      <c r="C24" s="90"/>
      <c r="D24" s="10"/>
      <c r="E24" s="91" t="s">
        <v>277</v>
      </c>
      <c r="F24" s="64"/>
      <c r="G24" s="92"/>
      <c r="H24" s="92"/>
      <c r="I24" s="15"/>
      <c r="J24" s="15"/>
      <c r="K24" s="93"/>
      <c r="L24" s="82"/>
      <c r="M24" s="19"/>
      <c r="N24" s="19"/>
    </row>
    <row r="25" spans="1:14" ht="21" customHeight="1" x14ac:dyDescent="0.3">
      <c r="A25" s="1"/>
      <c r="B25" s="8"/>
      <c r="C25" s="12"/>
      <c r="D25" s="10"/>
      <c r="E25" s="346" t="s">
        <v>280</v>
      </c>
      <c r="F25" s="14"/>
      <c r="G25" s="14"/>
      <c r="H25" s="14"/>
      <c r="I25" s="15"/>
      <c r="J25" s="15"/>
      <c r="K25" s="84"/>
      <c r="L25" s="82"/>
    </row>
    <row r="26" spans="1:14" ht="15" customHeight="1" x14ac:dyDescent="0.3">
      <c r="A26" s="20"/>
      <c r="B26" s="89"/>
      <c r="C26" s="90"/>
      <c r="D26" s="16"/>
      <c r="E26" s="94" t="s">
        <v>278</v>
      </c>
      <c r="F26" s="94"/>
      <c r="G26" s="94"/>
      <c r="H26" s="94"/>
      <c r="I26" s="92"/>
      <c r="J26" s="92"/>
      <c r="K26" s="286" t="s">
        <v>310</v>
      </c>
      <c r="L26" s="96"/>
      <c r="M26" s="22"/>
      <c r="N26" s="22"/>
    </row>
    <row r="27" spans="1:14" ht="15" customHeight="1" x14ac:dyDescent="0.3">
      <c r="A27" s="20"/>
      <c r="B27" s="89"/>
      <c r="C27" s="90"/>
      <c r="D27" s="16"/>
      <c r="E27" s="91"/>
      <c r="F27" s="64"/>
      <c r="G27" s="64"/>
      <c r="H27" s="92"/>
      <c r="I27" s="15"/>
      <c r="J27" s="15"/>
      <c r="K27" s="95"/>
      <c r="L27" s="96"/>
      <c r="M27" s="22"/>
      <c r="N27" s="22"/>
    </row>
    <row r="28" spans="1:14" ht="21" customHeight="1" x14ac:dyDescent="0.3">
      <c r="A28" s="1"/>
      <c r="B28" s="8"/>
      <c r="C28" s="12"/>
      <c r="D28" s="10"/>
      <c r="E28" s="347" t="s">
        <v>279</v>
      </c>
      <c r="F28" s="343"/>
      <c r="G28" s="343"/>
      <c r="H28" s="343"/>
      <c r="I28" s="344"/>
      <c r="J28" s="344"/>
      <c r="K28" s="345"/>
      <c r="L28" s="82"/>
    </row>
    <row r="29" spans="1:14" ht="24" customHeight="1" x14ac:dyDescent="0.3">
      <c r="A29" s="1"/>
      <c r="B29" s="8"/>
      <c r="C29" s="12"/>
      <c r="D29" s="16"/>
      <c r="E29" s="468" t="s">
        <v>276</v>
      </c>
      <c r="F29" s="468"/>
      <c r="G29" s="468"/>
      <c r="H29" s="468"/>
      <c r="I29" s="468"/>
      <c r="J29" s="468"/>
      <c r="K29" s="468"/>
      <c r="L29" s="85"/>
      <c r="M29" s="1"/>
      <c r="N29" s="1"/>
    </row>
    <row r="30" spans="1:14" ht="34.5" customHeight="1" x14ac:dyDescent="0.3">
      <c r="A30" s="1"/>
      <c r="B30" s="8"/>
      <c r="C30" s="12"/>
      <c r="D30" s="16"/>
      <c r="E30" s="64"/>
      <c r="F30" s="64"/>
      <c r="G30" s="64"/>
      <c r="H30" s="64"/>
      <c r="I30" s="64"/>
      <c r="J30" s="64"/>
      <c r="K30" s="64"/>
      <c r="L30" s="85"/>
      <c r="M30" s="1"/>
      <c r="N30" s="1"/>
    </row>
    <row r="31" spans="1:14" ht="15" customHeight="1" x14ac:dyDescent="0.3">
      <c r="A31" s="20"/>
      <c r="B31" s="89"/>
      <c r="C31" s="90"/>
      <c r="D31" s="16"/>
      <c r="E31" s="91"/>
      <c r="F31" s="64"/>
      <c r="G31" s="64"/>
      <c r="H31" s="92"/>
      <c r="I31" s="15"/>
      <c r="J31" s="15"/>
      <c r="K31" s="95"/>
      <c r="L31" s="96"/>
      <c r="M31" s="22"/>
      <c r="N31" s="22"/>
    </row>
    <row r="32" spans="1:14" ht="15" customHeight="1" x14ac:dyDescent="0.3">
      <c r="A32" s="1"/>
      <c r="B32" s="8"/>
      <c r="C32" s="12"/>
      <c r="D32" s="10"/>
      <c r="E32" s="13" t="s">
        <v>205</v>
      </c>
      <c r="F32" s="14"/>
      <c r="G32" s="14"/>
      <c r="H32" s="14"/>
      <c r="I32" s="15"/>
      <c r="J32" s="15"/>
      <c r="K32" s="84"/>
      <c r="L32" s="82"/>
    </row>
    <row r="33" spans="1:14" ht="21" customHeight="1" x14ac:dyDescent="0.3">
      <c r="A33" s="1"/>
      <c r="B33" s="8"/>
      <c r="C33" s="12"/>
      <c r="D33" s="16"/>
      <c r="E33" s="467" t="s">
        <v>112</v>
      </c>
      <c r="F33" s="467"/>
      <c r="G33" s="467"/>
      <c r="H33" s="467"/>
      <c r="I33" s="467"/>
      <c r="J33" s="467"/>
      <c r="K33" s="467"/>
      <c r="L33" s="85"/>
      <c r="M33" s="1"/>
      <c r="N33" s="1"/>
    </row>
    <row r="34" spans="1:14" ht="15" customHeight="1" x14ac:dyDescent="0.3">
      <c r="A34" s="1"/>
      <c r="B34" s="8"/>
      <c r="C34" s="9"/>
      <c r="D34" s="16"/>
      <c r="E34" s="18"/>
      <c r="F34" s="14"/>
      <c r="G34" s="14"/>
      <c r="H34" s="14"/>
      <c r="I34" s="15"/>
      <c r="J34" s="15"/>
      <c r="K34" s="14"/>
      <c r="L34" s="85"/>
      <c r="M34" s="1"/>
      <c r="N34" s="1"/>
    </row>
    <row r="35" spans="1:14" ht="15" customHeight="1" x14ac:dyDescent="0.3">
      <c r="A35" s="1"/>
      <c r="B35" s="8"/>
      <c r="C35" s="12"/>
      <c r="D35" s="10"/>
      <c r="E35" s="13" t="s">
        <v>263</v>
      </c>
      <c r="F35" s="14"/>
      <c r="G35" s="14"/>
      <c r="H35" s="14"/>
      <c r="I35" s="15"/>
      <c r="J35" s="15"/>
      <c r="K35" s="84"/>
      <c r="L35" s="82"/>
    </row>
    <row r="36" spans="1:14" ht="30" customHeight="1" x14ac:dyDescent="0.3">
      <c r="A36" s="1"/>
      <c r="B36" s="8"/>
      <c r="C36" s="24"/>
      <c r="D36" s="16"/>
      <c r="E36" s="467" t="s">
        <v>43</v>
      </c>
      <c r="F36" s="467"/>
      <c r="G36" s="467"/>
      <c r="H36" s="467"/>
      <c r="I36" s="467"/>
      <c r="J36" s="467"/>
      <c r="K36" s="467"/>
      <c r="L36" s="85"/>
      <c r="M36" s="1"/>
      <c r="N36" s="1"/>
    </row>
    <row r="37" spans="1:14" ht="21" customHeight="1" x14ac:dyDescent="0.3">
      <c r="A37" s="1"/>
      <c r="B37" s="25"/>
      <c r="C37" s="26"/>
      <c r="D37" s="27"/>
      <c r="E37" s="27"/>
      <c r="F37" s="26"/>
      <c r="G37" s="26"/>
      <c r="H37" s="26"/>
      <c r="I37" s="28"/>
      <c r="J37" s="28"/>
      <c r="K37" s="26"/>
      <c r="L37" s="97"/>
      <c r="M37" s="1"/>
      <c r="N37" s="1"/>
    </row>
    <row r="38" spans="1:14" ht="24.75" customHeight="1" x14ac:dyDescent="0.3">
      <c r="B38" s="29"/>
      <c r="C38" s="30"/>
      <c r="D38" s="30"/>
      <c r="E38" s="30"/>
      <c r="F38" s="30"/>
      <c r="G38" s="30"/>
      <c r="H38" s="30"/>
      <c r="I38" s="30"/>
      <c r="J38" s="30"/>
      <c r="K38" s="29"/>
      <c r="L38" s="29"/>
    </row>
    <row r="39" spans="1:14" ht="18" customHeight="1" x14ac:dyDescent="0.3">
      <c r="A39" s="31"/>
      <c r="B39" s="102"/>
      <c r="C39" s="103"/>
      <c r="D39" s="104"/>
      <c r="E39" s="105"/>
      <c r="F39" s="105"/>
      <c r="G39" s="106"/>
      <c r="H39" s="107"/>
      <c r="I39" s="108"/>
      <c r="J39" s="109"/>
      <c r="K39" s="110"/>
      <c r="L39" s="111"/>
      <c r="M39" s="32"/>
      <c r="N39" s="32"/>
    </row>
    <row r="40" spans="1:14" ht="24.75" customHeight="1" x14ac:dyDescent="0.3">
      <c r="A40" s="31"/>
      <c r="B40" s="112"/>
      <c r="C40" s="113" t="s">
        <v>44</v>
      </c>
      <c r="D40" s="114"/>
      <c r="E40" s="16"/>
      <c r="F40" s="16"/>
      <c r="G40" s="115"/>
      <c r="H40" s="107"/>
      <c r="I40" s="108"/>
      <c r="J40" s="109"/>
      <c r="K40" s="110"/>
      <c r="L40" s="116"/>
      <c r="M40" s="32"/>
      <c r="N40" s="32"/>
    </row>
    <row r="41" spans="1:14" ht="24.75" customHeight="1" x14ac:dyDescent="0.3">
      <c r="A41" s="31"/>
      <c r="B41" s="112"/>
      <c r="C41" s="154" t="s">
        <v>187</v>
      </c>
      <c r="D41" s="114"/>
      <c r="E41" s="16"/>
      <c r="F41" s="16"/>
      <c r="G41" s="115"/>
      <c r="H41" s="107"/>
      <c r="I41" s="108"/>
      <c r="J41" s="109"/>
      <c r="K41" s="110"/>
      <c r="L41" s="116"/>
      <c r="M41" s="32"/>
      <c r="N41" s="32"/>
    </row>
    <row r="42" spans="1:14" ht="33" customHeight="1" x14ac:dyDescent="0.3">
      <c r="A42" s="31"/>
      <c r="B42" s="112"/>
      <c r="C42" s="458" t="s">
        <v>193</v>
      </c>
      <c r="D42" s="459"/>
      <c r="E42" s="459"/>
      <c r="F42" s="459" t="s">
        <v>194</v>
      </c>
      <c r="G42" s="459"/>
      <c r="H42" s="459"/>
      <c r="I42" s="459"/>
      <c r="J42" s="459"/>
      <c r="K42" s="153" t="s">
        <v>18</v>
      </c>
      <c r="L42" s="116"/>
      <c r="M42" s="32"/>
      <c r="N42" s="32"/>
    </row>
    <row r="43" spans="1:14" ht="15" customHeight="1" x14ac:dyDescent="0.3">
      <c r="A43" s="31"/>
      <c r="B43" s="112"/>
      <c r="C43" s="460" t="s">
        <v>113</v>
      </c>
      <c r="D43" s="461"/>
      <c r="E43" s="461"/>
      <c r="F43" s="461" t="s">
        <v>188</v>
      </c>
      <c r="G43" s="461"/>
      <c r="H43" s="461"/>
      <c r="I43" s="461"/>
      <c r="J43" s="461"/>
      <c r="K43" s="155">
        <v>1</v>
      </c>
      <c r="L43" s="116"/>
      <c r="M43" s="32"/>
      <c r="N43" s="32"/>
    </row>
    <row r="44" spans="1:14" ht="15" customHeight="1" x14ac:dyDescent="0.3">
      <c r="A44" s="31"/>
      <c r="B44" s="112"/>
      <c r="C44" s="462" t="s">
        <v>114</v>
      </c>
      <c r="D44" s="463"/>
      <c r="E44" s="463"/>
      <c r="F44" s="463" t="s">
        <v>189</v>
      </c>
      <c r="G44" s="463"/>
      <c r="H44" s="463"/>
      <c r="I44" s="463"/>
      <c r="J44" s="463"/>
      <c r="K44" s="119">
        <v>1</v>
      </c>
      <c r="L44" s="116"/>
      <c r="M44" s="32"/>
      <c r="N44" s="32"/>
    </row>
    <row r="45" spans="1:14" ht="15" customHeight="1" x14ac:dyDescent="0.3">
      <c r="A45" s="31"/>
      <c r="B45" s="112"/>
      <c r="C45" s="462" t="s">
        <v>115</v>
      </c>
      <c r="D45" s="463"/>
      <c r="E45" s="463"/>
      <c r="F45" s="463" t="s">
        <v>190</v>
      </c>
      <c r="G45" s="463"/>
      <c r="H45" s="463"/>
      <c r="I45" s="463"/>
      <c r="J45" s="463"/>
      <c r="K45" s="119">
        <v>0.8</v>
      </c>
      <c r="L45" s="116"/>
      <c r="M45" s="32"/>
      <c r="N45" s="32"/>
    </row>
    <row r="46" spans="1:14" ht="41.25" customHeight="1" x14ac:dyDescent="0.3">
      <c r="A46" s="31"/>
      <c r="B46" s="112"/>
      <c r="C46" s="462" t="s">
        <v>116</v>
      </c>
      <c r="D46" s="463"/>
      <c r="E46" s="463"/>
      <c r="F46" s="450" t="s">
        <v>117</v>
      </c>
      <c r="G46" s="450"/>
      <c r="H46" s="450"/>
      <c r="I46" s="450"/>
      <c r="J46" s="450"/>
      <c r="K46" s="119">
        <v>1</v>
      </c>
      <c r="L46" s="116"/>
      <c r="M46" s="32"/>
      <c r="N46" s="32"/>
    </row>
    <row r="47" spans="1:14" ht="33" customHeight="1" x14ac:dyDescent="0.3">
      <c r="A47" s="31"/>
      <c r="B47" s="112"/>
      <c r="C47" s="462" t="s">
        <v>118</v>
      </c>
      <c r="D47" s="463"/>
      <c r="E47" s="463"/>
      <c r="F47" s="450" t="str">
        <f>IF($K$14="LEED v4.1","Floor supply of cool air and ceiling return, provided that the vertical throw is greater than 50 fpm (0.25 m/s) at a height of 4.5 ft (1.4 m) or more above the floor.","Floor supply of cool air and ceiling return provided that the 150 fpm (0.8 m/s) supply jet reaches 4.5 ft (1.4 m) or more above the floor. Note: Most underfloor air distribution systems comply with this provision.")</f>
        <v>Floor supply of cool air and ceiling return, provided that the vertical throw is greater than 50 fpm (0.25 m/s) at a height of 4.5 ft (1.4 m) or more above the floor.</v>
      </c>
      <c r="G47" s="450"/>
      <c r="H47" s="450"/>
      <c r="I47" s="450"/>
      <c r="J47" s="450"/>
      <c r="K47" s="119">
        <v>1</v>
      </c>
      <c r="L47" s="116"/>
      <c r="M47" s="32"/>
      <c r="N47" s="32"/>
    </row>
    <row r="48" spans="1:14" ht="33" customHeight="1" x14ac:dyDescent="0.3">
      <c r="A48" s="31"/>
      <c r="B48" s="112"/>
      <c r="C48" s="462" t="s">
        <v>119</v>
      </c>
      <c r="D48" s="463"/>
      <c r="E48" s="463"/>
      <c r="F48" s="450" t="str">
        <f>IF($K$14="LEED v4.1",CONCATENATE("Floor supply of cool air and ceiling return, provided low-velocity displacement ventilation achieves unidirectional flow and thermal stratification, or underfloor air distribution systems where the vertical","throw is less than or equal to 50 fpm (0.25 m/s) at a height of 4.5 ft (1.4 m) above the floor"),"Floor supply of cool air and ceiling return, provided low-velocity displacement ventilation achieves unidirectional flow and thermal stratification")</f>
        <v>Floor supply of cool air and ceiling return, provided low-velocity displacement ventilation achieves unidirectional flow and thermal stratification, or underfloor air distribution systems where the verticalthrow is less than or equal to 50 fpm (0.25 m/s) at a height of 4.5 ft (1.4 m) above the floor</v>
      </c>
      <c r="G48" s="450"/>
      <c r="H48" s="450"/>
      <c r="I48" s="450"/>
      <c r="J48" s="450"/>
      <c r="K48" s="119">
        <v>1.2</v>
      </c>
      <c r="L48" s="116"/>
      <c r="M48" s="32"/>
      <c r="N48" s="32"/>
    </row>
    <row r="49" spans="1:14" ht="15" customHeight="1" x14ac:dyDescent="0.3">
      <c r="A49" s="31"/>
      <c r="B49" s="112"/>
      <c r="C49" s="462" t="s">
        <v>120</v>
      </c>
      <c r="D49" s="463"/>
      <c r="E49" s="463"/>
      <c r="F49" s="463" t="s">
        <v>191</v>
      </c>
      <c r="G49" s="463"/>
      <c r="H49" s="463"/>
      <c r="I49" s="463"/>
      <c r="J49" s="463"/>
      <c r="K49" s="119">
        <v>1</v>
      </c>
      <c r="L49" s="116"/>
      <c r="M49" s="32"/>
      <c r="N49" s="32"/>
    </row>
    <row r="50" spans="1:14" ht="15" customHeight="1" x14ac:dyDescent="0.3">
      <c r="A50" s="31"/>
      <c r="B50" s="112"/>
      <c r="C50" s="462" t="s">
        <v>121</v>
      </c>
      <c r="D50" s="463"/>
      <c r="E50" s="463"/>
      <c r="F50" s="463" t="s">
        <v>192</v>
      </c>
      <c r="G50" s="463"/>
      <c r="H50" s="463"/>
      <c r="I50" s="463"/>
      <c r="J50" s="463"/>
      <c r="K50" s="119">
        <v>0.7</v>
      </c>
      <c r="L50" s="116"/>
      <c r="M50" s="32"/>
      <c r="N50" s="32"/>
    </row>
    <row r="51" spans="1:14" ht="15" customHeight="1" x14ac:dyDescent="0.3">
      <c r="A51" s="31"/>
      <c r="B51" s="112"/>
      <c r="C51" s="462" t="s">
        <v>122</v>
      </c>
      <c r="D51" s="463"/>
      <c r="E51" s="463"/>
      <c r="F51" s="463" t="str">
        <f>IF($K$14="LEED v4.1","Makeup supply drawn in on the opposite side of the room from the exhaust, return, or both.","Makeup supply drawn in on the opposite side of the room from the exhaust and/or return")</f>
        <v>Makeup supply drawn in on the opposite side of the room from the exhaust, return, or both.</v>
      </c>
      <c r="G51" s="463"/>
      <c r="H51" s="463"/>
      <c r="I51" s="463"/>
      <c r="J51" s="463"/>
      <c r="K51" s="119">
        <v>0.8</v>
      </c>
      <c r="L51" s="116"/>
      <c r="M51" s="32"/>
      <c r="N51" s="32"/>
    </row>
    <row r="52" spans="1:14" ht="15" customHeight="1" x14ac:dyDescent="0.3">
      <c r="A52" s="31"/>
      <c r="B52" s="112"/>
      <c r="C52" s="464" t="s">
        <v>123</v>
      </c>
      <c r="D52" s="465"/>
      <c r="E52" s="465"/>
      <c r="F52" s="465" t="str">
        <f>IF($K$14="LEED v4.1","Makeup supply drawn in near to the exhaust, return, or both locations.","Makeup supply drawn in near to the exhaust and/or return location.")</f>
        <v>Makeup supply drawn in near to the exhaust, return, or both locations.</v>
      </c>
      <c r="G52" s="465"/>
      <c r="H52" s="465"/>
      <c r="I52" s="465"/>
      <c r="J52" s="465"/>
      <c r="K52" s="120">
        <v>0.5</v>
      </c>
      <c r="L52" s="116"/>
      <c r="M52" s="32"/>
      <c r="N52" s="32"/>
    </row>
    <row r="53" spans="1:14" ht="21" customHeight="1" x14ac:dyDescent="0.3">
      <c r="A53" s="31"/>
      <c r="B53" s="112"/>
      <c r="C53" s="160" t="str">
        <f>IF($K$14="LEED v4.1","Source: ASHRAE 62.1-2016, Table 6.2.2.2","Source: ASHRAE 62.1, Table 6-2")</f>
        <v>Source: ASHRAE 62.1-2016, Table 6.2.2.2</v>
      </c>
      <c r="D53" s="114"/>
      <c r="E53" s="16"/>
      <c r="F53" s="16"/>
      <c r="G53" s="115"/>
      <c r="H53" s="107"/>
      <c r="I53" s="108"/>
      <c r="J53" s="109"/>
      <c r="K53" s="110"/>
      <c r="L53" s="116"/>
      <c r="M53" s="32"/>
      <c r="N53" s="32"/>
    </row>
    <row r="54" spans="1:14" ht="15" customHeight="1" x14ac:dyDescent="0.3">
      <c r="A54" s="31"/>
      <c r="B54" s="112"/>
      <c r="C54" s="160"/>
      <c r="D54" s="114"/>
      <c r="E54" s="16"/>
      <c r="F54" s="16"/>
      <c r="G54" s="115"/>
      <c r="H54" s="107"/>
      <c r="I54" s="108"/>
      <c r="J54" s="109"/>
      <c r="K54" s="110"/>
      <c r="L54" s="116"/>
      <c r="M54" s="32"/>
      <c r="N54" s="32"/>
    </row>
    <row r="55" spans="1:14" ht="24.75" customHeight="1" x14ac:dyDescent="0.3">
      <c r="A55" s="31"/>
      <c r="B55" s="112"/>
      <c r="C55" s="154" t="s">
        <v>195</v>
      </c>
      <c r="D55" s="114"/>
      <c r="E55" s="16"/>
      <c r="F55" s="16"/>
      <c r="G55" s="115"/>
      <c r="H55" s="107"/>
      <c r="I55" s="108"/>
      <c r="J55" s="109"/>
      <c r="K55" s="110"/>
      <c r="L55" s="116"/>
      <c r="M55" s="32"/>
      <c r="N55" s="32"/>
    </row>
    <row r="56" spans="1:14" ht="33" customHeight="1" x14ac:dyDescent="0.3">
      <c r="A56" s="31"/>
      <c r="B56" s="112"/>
      <c r="C56" s="458" t="str">
        <f>IF($K$14="LEED v4.1","Max Zpz","Max Zp")</f>
        <v>Max Zpz</v>
      </c>
      <c r="D56" s="459"/>
      <c r="E56" s="459"/>
      <c r="F56" s="153" t="s">
        <v>124</v>
      </c>
      <c r="G56"/>
      <c r="H56" s="107"/>
      <c r="I56" s="108"/>
      <c r="J56" s="109"/>
      <c r="K56" s="110"/>
      <c r="L56" s="116"/>
      <c r="M56" s="32"/>
      <c r="N56" s="32"/>
    </row>
    <row r="57" spans="1:14" ht="15" customHeight="1" x14ac:dyDescent="0.3">
      <c r="A57" s="31"/>
      <c r="B57" s="112"/>
      <c r="C57" s="455" t="s">
        <v>125</v>
      </c>
      <c r="D57" s="456"/>
      <c r="E57" s="456"/>
      <c r="F57" s="156">
        <v>1</v>
      </c>
      <c r="G57"/>
      <c r="H57" s="107"/>
      <c r="I57" s="108"/>
      <c r="J57" s="109"/>
      <c r="K57" s="110"/>
      <c r="L57" s="116"/>
      <c r="M57" s="32"/>
      <c r="N57" s="32"/>
    </row>
    <row r="58" spans="1:14" ht="15" customHeight="1" x14ac:dyDescent="0.3">
      <c r="A58" s="31"/>
      <c r="B58" s="112"/>
      <c r="C58" s="449" t="s">
        <v>126</v>
      </c>
      <c r="D58" s="450"/>
      <c r="E58" s="450"/>
      <c r="F58" s="157">
        <v>0.9</v>
      </c>
      <c r="G58"/>
      <c r="H58" s="107"/>
      <c r="I58" s="108"/>
      <c r="J58" s="109"/>
      <c r="K58" s="110"/>
      <c r="L58" s="116"/>
      <c r="M58" s="32"/>
      <c r="N58" s="32"/>
    </row>
    <row r="59" spans="1:14" ht="15" customHeight="1" x14ac:dyDescent="0.3">
      <c r="A59" s="31"/>
      <c r="B59" s="112"/>
      <c r="C59" s="449" t="s">
        <v>127</v>
      </c>
      <c r="D59" s="450"/>
      <c r="E59" s="450"/>
      <c r="F59" s="157">
        <v>0.8</v>
      </c>
      <c r="G59"/>
      <c r="H59" s="107"/>
      <c r="I59" s="108"/>
      <c r="J59" s="109"/>
      <c r="K59" s="110"/>
      <c r="L59" s="116"/>
      <c r="M59" s="32"/>
      <c r="N59" s="32"/>
    </row>
    <row r="60" spans="1:14" ht="15" customHeight="1" x14ac:dyDescent="0.3">
      <c r="A60" s="31"/>
      <c r="B60" s="112"/>
      <c r="C60" s="449" t="s">
        <v>128</v>
      </c>
      <c r="D60" s="450"/>
      <c r="E60" s="450"/>
      <c r="F60" s="157">
        <v>0.7</v>
      </c>
      <c r="G60"/>
      <c r="H60" s="107"/>
      <c r="I60" s="108"/>
      <c r="J60" s="109"/>
      <c r="K60" s="110"/>
      <c r="L60" s="116"/>
      <c r="M60" s="32"/>
      <c r="N60" s="32"/>
    </row>
    <row r="61" spans="1:14" ht="15" customHeight="1" x14ac:dyDescent="0.3">
      <c r="A61" s="31"/>
      <c r="B61" s="112"/>
      <c r="C61" s="449" t="s">
        <v>129</v>
      </c>
      <c r="D61" s="450"/>
      <c r="E61" s="450"/>
      <c r="F61" s="157">
        <v>0.6</v>
      </c>
      <c r="G61"/>
      <c r="H61" s="107"/>
      <c r="I61" s="108"/>
      <c r="J61" s="109"/>
      <c r="K61" s="110"/>
      <c r="L61" s="116"/>
      <c r="M61" s="32"/>
      <c r="N61" s="32"/>
    </row>
    <row r="62" spans="1:14" ht="15" customHeight="1" x14ac:dyDescent="0.3">
      <c r="A62" s="31"/>
      <c r="B62" s="112"/>
      <c r="C62" s="451" t="s">
        <v>130</v>
      </c>
      <c r="D62" s="452"/>
      <c r="E62" s="452"/>
      <c r="F62" s="158" t="str">
        <f>IF($K$14="LEED v4.1","Use Normative Appendix A","use Appendix A")</f>
        <v>Use Normative Appendix A</v>
      </c>
      <c r="G62"/>
      <c r="H62" s="107"/>
      <c r="I62" s="108"/>
      <c r="J62" s="109"/>
      <c r="K62" s="110"/>
      <c r="L62" s="116"/>
      <c r="M62" s="32"/>
      <c r="N62" s="32"/>
    </row>
    <row r="63" spans="1:14" ht="21" customHeight="1" x14ac:dyDescent="0.3">
      <c r="A63" s="31"/>
      <c r="B63" s="112"/>
      <c r="C63" s="160" t="str">
        <f>IF($K$14="LEED v4.1","Source: ASHRAE 62.1-2016, Table 6.2.2.2","Source: ASHRAE 62.1, Table 6-3")</f>
        <v>Source: ASHRAE 62.1-2016, Table 6.2.2.2</v>
      </c>
      <c r="D63" s="114"/>
      <c r="E63" s="16"/>
      <c r="F63" s="16"/>
      <c r="G63" s="115"/>
      <c r="H63" s="107"/>
      <c r="I63" s="108"/>
      <c r="J63" s="109"/>
      <c r="K63" s="110"/>
      <c r="L63" s="116"/>
      <c r="M63" s="32"/>
      <c r="N63" s="32"/>
    </row>
    <row r="64" spans="1:14" ht="15" customHeight="1" x14ac:dyDescent="0.3">
      <c r="A64" s="31"/>
      <c r="B64" s="112"/>
      <c r="C64" s="113"/>
      <c r="D64" s="114"/>
      <c r="E64" s="16"/>
      <c r="F64" s="16"/>
      <c r="G64" s="115"/>
      <c r="H64" s="107"/>
      <c r="I64" s="108"/>
      <c r="J64" s="109"/>
      <c r="K64" s="110"/>
      <c r="L64" s="116"/>
      <c r="M64" s="32"/>
      <c r="N64" s="32"/>
    </row>
    <row r="65" spans="1:14" ht="24.75" customHeight="1" x14ac:dyDescent="0.3">
      <c r="A65" s="31"/>
      <c r="B65" s="112"/>
      <c r="C65" s="154" t="s">
        <v>196</v>
      </c>
      <c r="D65" s="114"/>
      <c r="E65" s="16"/>
      <c r="F65" s="16"/>
      <c r="G65" s="115"/>
      <c r="H65" s="107"/>
      <c r="I65" s="108"/>
      <c r="J65" s="109"/>
      <c r="K65" s="110"/>
      <c r="L65" s="116"/>
      <c r="M65" s="32"/>
      <c r="N65" s="32"/>
    </row>
    <row r="66" spans="1:14" ht="33" customHeight="1" x14ac:dyDescent="0.3">
      <c r="A66" s="31"/>
      <c r="B66" s="112"/>
      <c r="C66" s="453" t="s">
        <v>201</v>
      </c>
      <c r="D66" s="454"/>
      <c r="E66" s="454"/>
      <c r="F66" s="454"/>
      <c r="G66" s="454"/>
      <c r="H66" s="454"/>
      <c r="I66" s="454"/>
      <c r="J66" s="454"/>
      <c r="K66" s="159" t="s">
        <v>17</v>
      </c>
      <c r="L66" s="116"/>
      <c r="M66" s="32"/>
      <c r="N66" s="32"/>
    </row>
    <row r="67" spans="1:14" ht="24.75" customHeight="1" x14ac:dyDescent="0.3">
      <c r="A67" s="31"/>
      <c r="B67" s="112"/>
      <c r="C67" s="455" t="s">
        <v>197</v>
      </c>
      <c r="D67" s="456"/>
      <c r="E67" s="456"/>
      <c r="F67" s="456"/>
      <c r="G67" s="456"/>
      <c r="H67" s="456"/>
      <c r="I67" s="456"/>
      <c r="J67" s="456"/>
      <c r="K67" s="155" t="s">
        <v>131</v>
      </c>
      <c r="L67" s="116"/>
      <c r="M67" s="32"/>
      <c r="N67" s="32"/>
    </row>
    <row r="68" spans="1:14" ht="24.75" customHeight="1" x14ac:dyDescent="0.3">
      <c r="A68" s="31"/>
      <c r="B68" s="112"/>
      <c r="C68" s="449" t="s">
        <v>200</v>
      </c>
      <c r="D68" s="450"/>
      <c r="E68" s="450"/>
      <c r="F68" s="450"/>
      <c r="G68" s="450"/>
      <c r="H68" s="450"/>
      <c r="I68" s="450"/>
      <c r="J68" s="450"/>
      <c r="K68" s="119">
        <v>0</v>
      </c>
      <c r="L68" s="116"/>
      <c r="M68" s="32"/>
      <c r="N68" s="32"/>
    </row>
    <row r="69" spans="1:14" ht="24.75" customHeight="1" x14ac:dyDescent="0.3">
      <c r="A69" s="31"/>
      <c r="B69" s="112"/>
      <c r="C69" s="449" t="s">
        <v>198</v>
      </c>
      <c r="D69" s="450"/>
      <c r="E69" s="450"/>
      <c r="F69" s="450"/>
      <c r="G69" s="450"/>
      <c r="H69" s="450"/>
      <c r="I69" s="450"/>
      <c r="J69" s="450"/>
      <c r="K69" s="119">
        <v>1</v>
      </c>
      <c r="L69" s="116"/>
      <c r="M69" s="32"/>
      <c r="N69" s="32"/>
    </row>
    <row r="70" spans="1:14" ht="24.75" customHeight="1" x14ac:dyDescent="0.3">
      <c r="A70" s="31"/>
      <c r="B70" s="112"/>
      <c r="C70" s="451" t="s">
        <v>199</v>
      </c>
      <c r="D70" s="452"/>
      <c r="E70" s="452"/>
      <c r="F70" s="452"/>
      <c r="G70" s="452"/>
      <c r="H70" s="452"/>
      <c r="I70" s="452"/>
      <c r="J70" s="452"/>
      <c r="K70" s="120">
        <v>0.75</v>
      </c>
      <c r="L70" s="116"/>
      <c r="M70" s="32"/>
      <c r="N70" s="32"/>
    </row>
    <row r="71" spans="1:14" ht="21" customHeight="1" x14ac:dyDescent="0.3">
      <c r="A71" s="31"/>
      <c r="B71" s="112"/>
      <c r="C71" s="160" t="s">
        <v>258</v>
      </c>
      <c r="D71" s="114"/>
      <c r="E71" s="16"/>
      <c r="F71" s="16"/>
      <c r="G71" s="115"/>
      <c r="H71" s="107"/>
      <c r="I71" s="108"/>
      <c r="J71" s="109"/>
      <c r="K71" s="110"/>
      <c r="L71" s="116"/>
      <c r="M71" s="32"/>
      <c r="N71" s="32"/>
    </row>
    <row r="72" spans="1:14" ht="15" customHeight="1" x14ac:dyDescent="0.3">
      <c r="A72" s="31"/>
      <c r="B72" s="112"/>
      <c r="C72" s="113"/>
      <c r="D72" s="114"/>
      <c r="E72" s="16"/>
      <c r="F72" s="16"/>
      <c r="G72" s="115"/>
      <c r="H72" s="107"/>
      <c r="I72" s="108"/>
      <c r="J72" s="109"/>
      <c r="K72" s="110"/>
      <c r="L72" s="116"/>
      <c r="M72" s="32"/>
      <c r="N72" s="32"/>
    </row>
    <row r="73" spans="1:14" ht="24.75" customHeight="1" x14ac:dyDescent="0.3">
      <c r="A73" s="31"/>
      <c r="B73" s="112"/>
      <c r="C73" s="154" t="s">
        <v>202</v>
      </c>
      <c r="D73" s="114"/>
      <c r="E73" s="16"/>
      <c r="F73" s="16"/>
      <c r="G73" s="115"/>
      <c r="H73" s="107"/>
      <c r="I73" s="108"/>
      <c r="J73" s="109"/>
      <c r="K73" s="110"/>
      <c r="L73" s="116"/>
      <c r="M73" s="32"/>
      <c r="N73" s="32"/>
    </row>
    <row r="74" spans="1:14" ht="32.25" customHeight="1" x14ac:dyDescent="0.3">
      <c r="B74" s="117"/>
      <c r="C74" s="473" t="s">
        <v>45</v>
      </c>
      <c r="D74" s="474"/>
      <c r="E74" s="474"/>
      <c r="F74" s="475"/>
      <c r="G74" s="473" t="s">
        <v>46</v>
      </c>
      <c r="H74" s="479"/>
      <c r="I74" s="480" t="s">
        <v>47</v>
      </c>
      <c r="J74" s="475"/>
      <c r="K74" s="481" t="s">
        <v>304</v>
      </c>
      <c r="L74" s="82"/>
      <c r="N74" s="457" t="s">
        <v>182</v>
      </c>
    </row>
    <row r="75" spans="1:14" ht="27.75" customHeight="1" x14ac:dyDescent="0.3">
      <c r="B75" s="117"/>
      <c r="C75" s="476"/>
      <c r="D75" s="477"/>
      <c r="E75" s="477"/>
      <c r="F75" s="478"/>
      <c r="G75" s="98" t="s">
        <v>132</v>
      </c>
      <c r="H75" s="99" t="s">
        <v>142</v>
      </c>
      <c r="I75" s="100" t="s">
        <v>143</v>
      </c>
      <c r="J75" s="101" t="s">
        <v>144</v>
      </c>
      <c r="K75" s="482"/>
      <c r="L75" s="82"/>
      <c r="N75" s="457"/>
    </row>
    <row r="76" spans="1:14" x14ac:dyDescent="0.3">
      <c r="B76" s="118"/>
      <c r="C76" s="146" t="s">
        <v>57</v>
      </c>
      <c r="D76" s="147"/>
      <c r="E76" s="147"/>
      <c r="F76" s="147"/>
      <c r="G76" s="165">
        <v>10</v>
      </c>
      <c r="H76" s="155">
        <v>5</v>
      </c>
      <c r="I76" s="171">
        <v>0.18</v>
      </c>
      <c r="J76" s="172">
        <v>0.9</v>
      </c>
      <c r="K76" s="168">
        <v>20</v>
      </c>
      <c r="L76" s="82"/>
      <c r="N76" s="145" t="s">
        <v>171</v>
      </c>
    </row>
    <row r="77" spans="1:14" x14ac:dyDescent="0.3">
      <c r="B77" s="118"/>
      <c r="C77" s="148" t="s">
        <v>85</v>
      </c>
      <c r="D77" s="149"/>
      <c r="E77" s="149"/>
      <c r="F77" s="149"/>
      <c r="G77" s="166">
        <v>5</v>
      </c>
      <c r="H77" s="119">
        <v>2.5</v>
      </c>
      <c r="I77" s="163">
        <v>0.06</v>
      </c>
      <c r="J77" s="161">
        <v>0.3</v>
      </c>
      <c r="K77" s="169">
        <v>150</v>
      </c>
      <c r="L77" s="82"/>
      <c r="N77" s="145" t="s">
        <v>171</v>
      </c>
    </row>
    <row r="78" spans="1:14" x14ac:dyDescent="0.3">
      <c r="B78" s="118"/>
      <c r="C78" s="148" t="s">
        <v>78</v>
      </c>
      <c r="D78" s="149"/>
      <c r="E78" s="149"/>
      <c r="F78" s="149"/>
      <c r="G78" s="166">
        <v>5</v>
      </c>
      <c r="H78" s="119">
        <v>2.5</v>
      </c>
      <c r="I78" s="163">
        <v>0.06</v>
      </c>
      <c r="J78" s="161">
        <v>0.3</v>
      </c>
      <c r="K78" s="169">
        <v>5</v>
      </c>
      <c r="L78" s="82"/>
      <c r="N78" s="145" t="s">
        <v>171</v>
      </c>
    </row>
    <row r="79" spans="1:14" x14ac:dyDescent="0.3">
      <c r="B79" s="118"/>
      <c r="C79" s="148" t="s">
        <v>156</v>
      </c>
      <c r="D79" s="149"/>
      <c r="E79" s="149"/>
      <c r="F79" s="149"/>
      <c r="G79" s="166">
        <v>7.5</v>
      </c>
      <c r="H79" s="119">
        <v>3.8</v>
      </c>
      <c r="I79" s="163">
        <v>0.06</v>
      </c>
      <c r="J79" s="161">
        <v>0.3</v>
      </c>
      <c r="K79" s="169">
        <v>15</v>
      </c>
      <c r="L79" s="82"/>
      <c r="N79" s="145">
        <v>4</v>
      </c>
    </row>
    <row r="80" spans="1:14" x14ac:dyDescent="0.3">
      <c r="B80" s="118"/>
      <c r="C80" s="148" t="str">
        <f>IF($O$169=1,"Barber shop","Barbershop")</f>
        <v>Barbershop</v>
      </c>
      <c r="D80" s="149"/>
      <c r="E80" s="149"/>
      <c r="F80" s="149"/>
      <c r="G80" s="166">
        <v>7.5</v>
      </c>
      <c r="H80" s="119">
        <v>3.8</v>
      </c>
      <c r="I80" s="163">
        <v>0.06</v>
      </c>
      <c r="J80" s="161">
        <v>0.3</v>
      </c>
      <c r="K80" s="169">
        <v>25</v>
      </c>
      <c r="L80" s="82"/>
      <c r="N80" s="145" t="s">
        <v>171</v>
      </c>
    </row>
    <row r="81" spans="2:14" x14ac:dyDescent="0.3">
      <c r="B81" s="118"/>
      <c r="C81" s="148" t="s">
        <v>71</v>
      </c>
      <c r="D81" s="149"/>
      <c r="E81" s="149"/>
      <c r="F81" s="149"/>
      <c r="G81" s="166">
        <v>5</v>
      </c>
      <c r="H81" s="119">
        <v>2.5</v>
      </c>
      <c r="I81" s="163">
        <v>0.06</v>
      </c>
      <c r="J81" s="161">
        <v>0.3</v>
      </c>
      <c r="K81" s="169">
        <v>20</v>
      </c>
      <c r="L81" s="82"/>
      <c r="N81" s="145" t="s">
        <v>171</v>
      </c>
    </row>
    <row r="82" spans="2:14" x14ac:dyDescent="0.3">
      <c r="B82" s="118"/>
      <c r="C82" s="148" t="s">
        <v>66</v>
      </c>
      <c r="D82" s="149"/>
      <c r="E82" s="149"/>
      <c r="F82" s="149"/>
      <c r="G82" s="166">
        <v>7.5</v>
      </c>
      <c r="H82" s="119">
        <v>3.8</v>
      </c>
      <c r="I82" s="163">
        <v>0.18</v>
      </c>
      <c r="J82" s="161">
        <v>0.9</v>
      </c>
      <c r="K82" s="169">
        <v>100</v>
      </c>
      <c r="L82" s="82"/>
      <c r="N82" s="145" t="s">
        <v>171</v>
      </c>
    </row>
    <row r="83" spans="2:14" x14ac:dyDescent="0.3">
      <c r="B83" s="118"/>
      <c r="C83" s="148" t="s">
        <v>95</v>
      </c>
      <c r="D83" s="149"/>
      <c r="E83" s="149"/>
      <c r="F83" s="149"/>
      <c r="G83" s="166">
        <v>20</v>
      </c>
      <c r="H83" s="119">
        <v>10</v>
      </c>
      <c r="I83" s="163">
        <v>0.12</v>
      </c>
      <c r="J83" s="161">
        <v>0.6</v>
      </c>
      <c r="K83" s="169">
        <v>25</v>
      </c>
      <c r="L83" s="82"/>
      <c r="N83" s="145" t="s">
        <v>171</v>
      </c>
    </row>
    <row r="84" spans="2:14" x14ac:dyDescent="0.3">
      <c r="B84" s="118"/>
      <c r="C84" s="148" t="s">
        <v>70</v>
      </c>
      <c r="D84" s="149"/>
      <c r="E84" s="149"/>
      <c r="F84" s="149"/>
      <c r="G84" s="166">
        <v>5</v>
      </c>
      <c r="H84" s="119">
        <v>2.5</v>
      </c>
      <c r="I84" s="163">
        <v>0.06</v>
      </c>
      <c r="J84" s="161">
        <v>0.3</v>
      </c>
      <c r="K84" s="169">
        <v>10</v>
      </c>
      <c r="L84" s="82"/>
      <c r="N84" s="145" t="s">
        <v>171</v>
      </c>
    </row>
    <row r="85" spans="2:14" x14ac:dyDescent="0.3">
      <c r="B85" s="118"/>
      <c r="C85" s="148" t="s">
        <v>51</v>
      </c>
      <c r="D85" s="149"/>
      <c r="E85" s="149"/>
      <c r="F85" s="149"/>
      <c r="G85" s="166">
        <v>7.5</v>
      </c>
      <c r="H85" s="119">
        <v>3.8</v>
      </c>
      <c r="I85" s="163">
        <v>0.06</v>
      </c>
      <c r="J85" s="161">
        <v>0.3</v>
      </c>
      <c r="K85" s="169">
        <v>50</v>
      </c>
      <c r="L85" s="82"/>
      <c r="N85" s="145" t="s">
        <v>171</v>
      </c>
    </row>
    <row r="86" spans="2:14" x14ac:dyDescent="0.3">
      <c r="B86" s="118"/>
      <c r="C86" s="148" t="s">
        <v>105</v>
      </c>
      <c r="D86" s="149"/>
      <c r="E86" s="149"/>
      <c r="F86" s="149"/>
      <c r="G86" s="166">
        <v>10</v>
      </c>
      <c r="H86" s="119">
        <v>5</v>
      </c>
      <c r="I86" s="163">
        <v>0.12</v>
      </c>
      <c r="J86" s="161">
        <v>0.6</v>
      </c>
      <c r="K86" s="169">
        <v>40</v>
      </c>
      <c r="L86" s="82"/>
      <c r="N86" s="145" t="s">
        <v>171</v>
      </c>
    </row>
    <row r="87" spans="2:14" x14ac:dyDescent="0.3">
      <c r="B87" s="118"/>
      <c r="C87" s="148" t="s">
        <v>175</v>
      </c>
      <c r="D87" s="149"/>
      <c r="E87" s="149"/>
      <c r="F87" s="149"/>
      <c r="G87" s="166">
        <v>5</v>
      </c>
      <c r="H87" s="119">
        <v>2.5</v>
      </c>
      <c r="I87" s="163">
        <v>0.06</v>
      </c>
      <c r="J87" s="161">
        <v>0.3</v>
      </c>
      <c r="K87" s="169">
        <v>25</v>
      </c>
      <c r="L87" s="82"/>
      <c r="N87" s="145" t="s">
        <v>171</v>
      </c>
    </row>
    <row r="88" spans="2:14" x14ac:dyDescent="0.3">
      <c r="B88" s="118"/>
      <c r="C88" s="148" t="s">
        <v>176</v>
      </c>
      <c r="D88" s="149"/>
      <c r="E88" s="149"/>
      <c r="F88" s="149"/>
      <c r="G88" s="166">
        <v>5</v>
      </c>
      <c r="H88" s="119">
        <v>2.5</v>
      </c>
      <c r="I88" s="163">
        <v>0.12</v>
      </c>
      <c r="J88" s="161">
        <v>0.6</v>
      </c>
      <c r="K88" s="169">
        <v>50</v>
      </c>
      <c r="L88" s="82"/>
      <c r="N88" s="145">
        <v>4</v>
      </c>
    </row>
    <row r="89" spans="2:14" x14ac:dyDescent="0.3">
      <c r="B89" s="118"/>
      <c r="C89" s="148" t="s">
        <v>65</v>
      </c>
      <c r="D89" s="149"/>
      <c r="E89" s="149"/>
      <c r="F89" s="149"/>
      <c r="G89" s="166">
        <v>7.5</v>
      </c>
      <c r="H89" s="119">
        <v>3.8</v>
      </c>
      <c r="I89" s="163">
        <v>0.18</v>
      </c>
      <c r="J89" s="161">
        <v>0.9</v>
      </c>
      <c r="K89" s="169">
        <v>100</v>
      </c>
      <c r="L89" s="82"/>
      <c r="N89" s="145" t="s">
        <v>171</v>
      </c>
    </row>
    <row r="90" spans="2:14" x14ac:dyDescent="0.3">
      <c r="B90" s="118"/>
      <c r="C90" s="148" t="s">
        <v>48</v>
      </c>
      <c r="D90" s="149"/>
      <c r="E90" s="149"/>
      <c r="F90" s="149"/>
      <c r="G90" s="166">
        <v>5</v>
      </c>
      <c r="H90" s="119">
        <v>2.5</v>
      </c>
      <c r="I90" s="163">
        <v>0.12</v>
      </c>
      <c r="J90" s="161">
        <v>0.6</v>
      </c>
      <c r="K90" s="169">
        <v>25</v>
      </c>
      <c r="L90" s="82"/>
      <c r="N90" s="145" t="s">
        <v>171</v>
      </c>
    </row>
    <row r="91" spans="2:14" x14ac:dyDescent="0.3">
      <c r="B91" s="118"/>
      <c r="C91" s="148" t="s">
        <v>54</v>
      </c>
      <c r="D91" s="149"/>
      <c r="E91" s="149"/>
      <c r="F91" s="149"/>
      <c r="G91" s="166">
        <v>10</v>
      </c>
      <c r="H91" s="119">
        <v>5</v>
      </c>
      <c r="I91" s="163">
        <v>0.12</v>
      </c>
      <c r="J91" s="161">
        <v>0.6</v>
      </c>
      <c r="K91" s="169">
        <v>35</v>
      </c>
      <c r="L91" s="82"/>
      <c r="N91" s="145" t="s">
        <v>171</v>
      </c>
    </row>
    <row r="92" spans="2:14" x14ac:dyDescent="0.3">
      <c r="B92" s="118"/>
      <c r="C92" s="148" t="s">
        <v>53</v>
      </c>
      <c r="D92" s="149"/>
      <c r="E92" s="149"/>
      <c r="F92" s="149"/>
      <c r="G92" s="166">
        <v>10</v>
      </c>
      <c r="H92" s="119">
        <v>5</v>
      </c>
      <c r="I92" s="163">
        <v>0.12</v>
      </c>
      <c r="J92" s="161">
        <v>0.6</v>
      </c>
      <c r="K92" s="169">
        <v>25</v>
      </c>
      <c r="L92" s="82"/>
      <c r="N92" s="145" t="s">
        <v>171</v>
      </c>
    </row>
    <row r="93" spans="2:14" x14ac:dyDescent="0.3">
      <c r="B93" s="118"/>
      <c r="C93" s="148" t="s">
        <v>151</v>
      </c>
      <c r="D93" s="149"/>
      <c r="E93" s="149"/>
      <c r="F93" s="149"/>
      <c r="G93" s="166">
        <v>5</v>
      </c>
      <c r="H93" s="119">
        <v>2.5</v>
      </c>
      <c r="I93" s="163">
        <v>0.06</v>
      </c>
      <c r="J93" s="161">
        <v>0.3</v>
      </c>
      <c r="K93" s="169">
        <v>20</v>
      </c>
      <c r="L93" s="82"/>
      <c r="N93" s="145" t="s">
        <v>171</v>
      </c>
    </row>
    <row r="94" spans="2:14" x14ac:dyDescent="0.3">
      <c r="B94" s="118"/>
      <c r="C94" s="148" t="s">
        <v>97</v>
      </c>
      <c r="D94" s="149"/>
      <c r="E94" s="149"/>
      <c r="F94" s="149"/>
      <c r="G94" s="166">
        <v>7.5</v>
      </c>
      <c r="H94" s="119">
        <v>3.8</v>
      </c>
      <c r="I94" s="163" t="str">
        <f>IF($O$169=1,"0.06","0.12")</f>
        <v>0.12</v>
      </c>
      <c r="J94" s="161" t="str">
        <f>IF($O$169=1,"0.3","0.6")</f>
        <v>0.6</v>
      </c>
      <c r="K94" s="169">
        <v>20</v>
      </c>
      <c r="L94" s="82"/>
      <c r="N94" s="145" t="s">
        <v>171</v>
      </c>
    </row>
    <row r="95" spans="2:14" x14ac:dyDescent="0.3">
      <c r="B95" s="118"/>
      <c r="C95" s="148" t="s">
        <v>159</v>
      </c>
      <c r="D95" s="149"/>
      <c r="E95" s="149"/>
      <c r="F95" s="149"/>
      <c r="G95" s="166">
        <v>0</v>
      </c>
      <c r="H95" s="119">
        <v>0</v>
      </c>
      <c r="I95" s="163">
        <v>0.06</v>
      </c>
      <c r="J95" s="161">
        <v>0.3</v>
      </c>
      <c r="K95" s="169">
        <v>0</v>
      </c>
      <c r="L95" s="82"/>
      <c r="N95" s="145" t="s">
        <v>171</v>
      </c>
    </row>
    <row r="96" spans="2:14" x14ac:dyDescent="0.3">
      <c r="B96" s="118"/>
      <c r="C96" s="148" t="s">
        <v>79</v>
      </c>
      <c r="D96" s="149"/>
      <c r="E96" s="149"/>
      <c r="F96" s="149"/>
      <c r="G96" s="166">
        <v>5</v>
      </c>
      <c r="H96" s="119">
        <v>2.5</v>
      </c>
      <c r="I96" s="163">
        <v>0.06</v>
      </c>
      <c r="J96" s="161">
        <v>0.3</v>
      </c>
      <c r="K96" s="169">
        <v>4</v>
      </c>
      <c r="L96" s="82"/>
      <c r="N96" s="145" t="s">
        <v>171</v>
      </c>
    </row>
    <row r="97" spans="2:14" x14ac:dyDescent="0.3">
      <c r="B97" s="118"/>
      <c r="C97" s="148" t="s">
        <v>60</v>
      </c>
      <c r="D97" s="149"/>
      <c r="E97" s="149"/>
      <c r="F97" s="149"/>
      <c r="G97" s="166">
        <v>10</v>
      </c>
      <c r="H97" s="119">
        <v>5</v>
      </c>
      <c r="I97" s="163">
        <v>0.12</v>
      </c>
      <c r="J97" s="161">
        <v>0.6</v>
      </c>
      <c r="K97" s="169">
        <v>25</v>
      </c>
      <c r="L97" s="82"/>
      <c r="N97" s="145" t="s">
        <v>171</v>
      </c>
    </row>
    <row r="98" spans="2:14" x14ac:dyDescent="0.3">
      <c r="B98" s="118"/>
      <c r="C98" s="148" t="s">
        <v>67</v>
      </c>
      <c r="D98" s="149"/>
      <c r="E98" s="149"/>
      <c r="F98" s="149"/>
      <c r="G98" s="166">
        <v>5</v>
      </c>
      <c r="H98" s="119">
        <v>2.5</v>
      </c>
      <c r="I98" s="163">
        <v>0.06</v>
      </c>
      <c r="J98" s="161">
        <v>0.3</v>
      </c>
      <c r="K98" s="169">
        <v>50</v>
      </c>
      <c r="L98" s="82"/>
      <c r="N98" s="145" t="s">
        <v>171</v>
      </c>
    </row>
    <row r="99" spans="2:14" x14ac:dyDescent="0.3">
      <c r="B99" s="118"/>
      <c r="C99" s="148" t="s">
        <v>68</v>
      </c>
      <c r="D99" s="149"/>
      <c r="E99" s="149"/>
      <c r="F99" s="149"/>
      <c r="G99" s="166">
        <v>0</v>
      </c>
      <c r="H99" s="119">
        <v>0</v>
      </c>
      <c r="I99" s="163">
        <v>0.06</v>
      </c>
      <c r="J99" s="161">
        <v>0.3</v>
      </c>
      <c r="K99" s="169">
        <v>0</v>
      </c>
      <c r="L99" s="82"/>
      <c r="N99" s="145" t="s">
        <v>171</v>
      </c>
    </row>
    <row r="100" spans="2:14" x14ac:dyDescent="0.3">
      <c r="B100" s="118"/>
      <c r="C100" s="148" t="s">
        <v>87</v>
      </c>
      <c r="D100" s="149"/>
      <c r="E100" s="149"/>
      <c r="F100" s="149"/>
      <c r="G100" s="166">
        <v>5</v>
      </c>
      <c r="H100" s="119">
        <v>2.5</v>
      </c>
      <c r="I100" s="163">
        <v>0.06</v>
      </c>
      <c r="J100" s="161">
        <v>0.3</v>
      </c>
      <c r="K100" s="169">
        <v>70</v>
      </c>
      <c r="L100" s="82"/>
      <c r="N100" s="145" t="s">
        <v>171</v>
      </c>
    </row>
    <row r="101" spans="2:14" x14ac:dyDescent="0.3">
      <c r="B101" s="118"/>
      <c r="C101" s="148" t="s">
        <v>49</v>
      </c>
      <c r="D101" s="149"/>
      <c r="E101" s="149"/>
      <c r="F101" s="149"/>
      <c r="G101" s="166">
        <v>5</v>
      </c>
      <c r="H101" s="119">
        <v>2.5</v>
      </c>
      <c r="I101" s="163">
        <v>0.06</v>
      </c>
      <c r="J101" s="161">
        <v>0.3</v>
      </c>
      <c r="K101" s="169">
        <v>30</v>
      </c>
      <c r="L101" s="82"/>
      <c r="N101" s="145" t="s">
        <v>171</v>
      </c>
    </row>
    <row r="102" spans="2:14" x14ac:dyDescent="0.3">
      <c r="B102" s="118"/>
      <c r="C102" s="148" t="s">
        <v>52</v>
      </c>
      <c r="D102" s="149"/>
      <c r="E102" s="149"/>
      <c r="F102" s="149"/>
      <c r="G102" s="166">
        <v>10</v>
      </c>
      <c r="H102" s="119">
        <v>5</v>
      </c>
      <c r="I102" s="163">
        <v>0.18</v>
      </c>
      <c r="J102" s="161">
        <v>0.9</v>
      </c>
      <c r="K102" s="169">
        <v>25</v>
      </c>
      <c r="L102" s="82"/>
      <c r="N102" s="145" t="s">
        <v>171</v>
      </c>
    </row>
    <row r="103" spans="2:14" x14ac:dyDescent="0.3">
      <c r="B103" s="118"/>
      <c r="C103" s="148" t="s">
        <v>291</v>
      </c>
      <c r="D103" s="149"/>
      <c r="E103" s="149"/>
      <c r="F103" s="149"/>
      <c r="G103" s="166">
        <v>10</v>
      </c>
      <c r="H103" s="119">
        <v>5</v>
      </c>
      <c r="I103" s="163">
        <v>0.18</v>
      </c>
      <c r="J103" s="161">
        <v>0.9</v>
      </c>
      <c r="K103" s="169">
        <v>25</v>
      </c>
      <c r="L103" s="82"/>
      <c r="N103" s="145" t="s">
        <v>171</v>
      </c>
    </row>
    <row r="104" spans="2:14" x14ac:dyDescent="0.3">
      <c r="B104" s="118"/>
      <c r="C104" s="148" t="s">
        <v>102</v>
      </c>
      <c r="D104" s="149"/>
      <c r="E104" s="149"/>
      <c r="F104" s="149"/>
      <c r="G104" s="166">
        <v>20</v>
      </c>
      <c r="H104" s="119">
        <v>10</v>
      </c>
      <c r="I104" s="163">
        <v>0.06</v>
      </c>
      <c r="J104" s="161">
        <v>0.3</v>
      </c>
      <c r="K104" s="169">
        <v>100</v>
      </c>
      <c r="L104" s="82"/>
      <c r="N104" s="145" t="s">
        <v>171</v>
      </c>
    </row>
    <row r="105" spans="2:14" hidden="1" x14ac:dyDescent="0.3">
      <c r="B105" s="118"/>
      <c r="C105" s="148" t="s">
        <v>292</v>
      </c>
      <c r="D105" s="149"/>
      <c r="E105" s="149"/>
      <c r="F105" s="149"/>
      <c r="G105" s="166">
        <v>5</v>
      </c>
      <c r="H105" s="119">
        <v>2.5</v>
      </c>
      <c r="I105" s="163">
        <v>0.06</v>
      </c>
      <c r="J105" s="161">
        <v>0.3</v>
      </c>
      <c r="K105" s="169" t="s">
        <v>265</v>
      </c>
      <c r="L105" s="82"/>
      <c r="N105" s="145">
        <v>9</v>
      </c>
    </row>
    <row r="106" spans="2:14" x14ac:dyDescent="0.3">
      <c r="B106" s="118"/>
      <c r="C106" s="148" t="s">
        <v>177</v>
      </c>
      <c r="D106" s="149"/>
      <c r="E106" s="149"/>
      <c r="F106" s="149"/>
      <c r="G106" s="166">
        <v>5</v>
      </c>
      <c r="H106" s="119">
        <v>2.5</v>
      </c>
      <c r="I106" s="163">
        <v>0.06</v>
      </c>
      <c r="J106" s="161">
        <v>0.3</v>
      </c>
      <c r="K106" s="169">
        <v>2</v>
      </c>
      <c r="L106" s="82"/>
      <c r="N106" s="145">
        <v>4</v>
      </c>
    </row>
    <row r="107" spans="2:14" x14ac:dyDescent="0.3">
      <c r="B107" s="118"/>
      <c r="C107" s="148" t="s">
        <v>179</v>
      </c>
      <c r="D107" s="149"/>
      <c r="E107" s="149"/>
      <c r="F107" s="149"/>
      <c r="G107" s="166">
        <v>5</v>
      </c>
      <c r="H107" s="119">
        <v>2.5</v>
      </c>
      <c r="I107" s="163">
        <v>0.06</v>
      </c>
      <c r="J107" s="161">
        <v>0.3</v>
      </c>
      <c r="K107" s="169">
        <v>4</v>
      </c>
      <c r="L107" s="82"/>
      <c r="N107" s="145">
        <v>4</v>
      </c>
    </row>
    <row r="108" spans="2:14" x14ac:dyDescent="0.3">
      <c r="B108" s="118"/>
      <c r="C108" s="148" t="s">
        <v>178</v>
      </c>
      <c r="D108" s="149"/>
      <c r="E108" s="149"/>
      <c r="F108" s="149"/>
      <c r="G108" s="166">
        <v>5</v>
      </c>
      <c r="H108" s="119">
        <v>2.5</v>
      </c>
      <c r="I108" s="163">
        <v>0.06</v>
      </c>
      <c r="J108" s="161">
        <v>0.3</v>
      </c>
      <c r="K108" s="169">
        <v>3</v>
      </c>
      <c r="L108" s="82"/>
      <c r="N108" s="145">
        <v>4</v>
      </c>
    </row>
    <row r="109" spans="2:14" hidden="1" x14ac:dyDescent="0.3">
      <c r="B109" s="118"/>
      <c r="C109" s="148" t="s">
        <v>289</v>
      </c>
      <c r="D109" s="149"/>
      <c r="E109" s="149"/>
      <c r="F109" s="149"/>
      <c r="G109" s="166">
        <v>0</v>
      </c>
      <c r="H109" s="119">
        <v>0</v>
      </c>
      <c r="I109" s="163">
        <v>0.06</v>
      </c>
      <c r="J109" s="161">
        <v>0.3</v>
      </c>
      <c r="K109" s="169">
        <v>0</v>
      </c>
      <c r="L109" s="82"/>
      <c r="N109" s="145">
        <v>9</v>
      </c>
    </row>
    <row r="110" spans="2:14" hidden="1" x14ac:dyDescent="0.3">
      <c r="B110" s="118"/>
      <c r="C110" s="148" t="s">
        <v>290</v>
      </c>
      <c r="D110" s="149"/>
      <c r="E110" s="149"/>
      <c r="F110" s="149"/>
      <c r="G110" s="166">
        <v>0</v>
      </c>
      <c r="H110" s="119">
        <v>0</v>
      </c>
      <c r="I110" s="163">
        <v>0.12</v>
      </c>
      <c r="J110" s="161">
        <v>0.6</v>
      </c>
      <c r="K110" s="169">
        <v>0</v>
      </c>
      <c r="L110" s="82"/>
      <c r="N110" s="145">
        <v>9</v>
      </c>
    </row>
    <row r="111" spans="2:14" x14ac:dyDescent="0.3">
      <c r="B111" s="118"/>
      <c r="C111" s="148" t="s">
        <v>306</v>
      </c>
      <c r="D111" s="149"/>
      <c r="E111" s="149"/>
      <c r="F111" s="149"/>
      <c r="G111" s="166">
        <v>10</v>
      </c>
      <c r="H111" s="119">
        <v>5</v>
      </c>
      <c r="I111" s="441">
        <v>0</v>
      </c>
      <c r="J111" s="161">
        <v>0</v>
      </c>
      <c r="K111" s="169">
        <v>0</v>
      </c>
      <c r="L111" s="82"/>
      <c r="N111" s="145"/>
    </row>
    <row r="112" spans="2:14" x14ac:dyDescent="0.3">
      <c r="B112" s="118"/>
      <c r="C112" s="148" t="s">
        <v>106</v>
      </c>
      <c r="D112" s="149"/>
      <c r="E112" s="149"/>
      <c r="F112" s="149"/>
      <c r="G112" s="166">
        <v>7.5</v>
      </c>
      <c r="H112" s="119">
        <v>3.8</v>
      </c>
      <c r="I112" s="163">
        <v>0.18</v>
      </c>
      <c r="J112" s="161">
        <v>0.9</v>
      </c>
      <c r="K112" s="169">
        <v>120</v>
      </c>
      <c r="L112" s="82"/>
      <c r="N112" s="145" t="s">
        <v>171</v>
      </c>
    </row>
    <row r="113" spans="2:14" x14ac:dyDescent="0.3">
      <c r="B113" s="118"/>
      <c r="C113" s="148" t="s">
        <v>107</v>
      </c>
      <c r="D113" s="149"/>
      <c r="E113" s="149"/>
      <c r="F113" s="149"/>
      <c r="G113" s="166">
        <v>7.5</v>
      </c>
      <c r="H113" s="119">
        <v>3.8</v>
      </c>
      <c r="I113" s="163">
        <v>0.18</v>
      </c>
      <c r="J113" s="161">
        <v>0.9</v>
      </c>
      <c r="K113" s="169">
        <v>20</v>
      </c>
      <c r="L113" s="82"/>
      <c r="N113" s="145" t="s">
        <v>171</v>
      </c>
    </row>
    <row r="114" spans="2:14" ht="33" customHeight="1" x14ac:dyDescent="0.3">
      <c r="B114" s="118"/>
      <c r="C114" s="470" t="s">
        <v>293</v>
      </c>
      <c r="D114" s="471"/>
      <c r="E114" s="471"/>
      <c r="F114" s="472"/>
      <c r="G114" s="166">
        <v>10</v>
      </c>
      <c r="H114" s="119">
        <v>5</v>
      </c>
      <c r="I114" s="163">
        <v>0.18</v>
      </c>
      <c r="J114" s="161">
        <v>0.9</v>
      </c>
      <c r="K114" s="169">
        <v>7</v>
      </c>
      <c r="L114" s="82"/>
      <c r="N114" s="145">
        <v>4</v>
      </c>
    </row>
    <row r="115" spans="2:14" x14ac:dyDescent="0.3">
      <c r="B115" s="118"/>
      <c r="C115" s="148" t="s">
        <v>50</v>
      </c>
      <c r="D115" s="149"/>
      <c r="E115" s="149"/>
      <c r="F115" s="149"/>
      <c r="G115" s="166">
        <v>5</v>
      </c>
      <c r="H115" s="119">
        <v>2.5</v>
      </c>
      <c r="I115" s="163">
        <v>0.06</v>
      </c>
      <c r="J115" s="161">
        <v>0.3</v>
      </c>
      <c r="K115" s="169">
        <v>15</v>
      </c>
      <c r="L115" s="82"/>
      <c r="N115" s="145" t="s">
        <v>171</v>
      </c>
    </row>
    <row r="116" spans="2:14" x14ac:dyDescent="0.3">
      <c r="B116" s="118"/>
      <c r="C116" s="148" t="str">
        <f>IF($K$14="LEED v4.1","Gym, sports arena (play area)","Gym, stadium (play area)")</f>
        <v>Gym, sports arena (play area)</v>
      </c>
      <c r="D116" s="149"/>
      <c r="E116" s="149"/>
      <c r="F116" s="149"/>
      <c r="G116" s="166" t="str">
        <f>IF($K$14="LEED v4.1","20","0")</f>
        <v>20</v>
      </c>
      <c r="H116" s="119" t="str">
        <f>IF($K$14="LEED v4.1","10","0")</f>
        <v>10</v>
      </c>
      <c r="I116" s="163" t="str">
        <f>IF($K$14="LEED v4.1","0.18","0.3")</f>
        <v>0.18</v>
      </c>
      <c r="J116" s="161" t="str">
        <f>IF($K$14="LEED v4.1","0.9","1.5")</f>
        <v>0.9</v>
      </c>
      <c r="K116" s="169" t="str">
        <f>IF($K$14="LEED v4.1","7","30")</f>
        <v>7</v>
      </c>
      <c r="L116" s="82"/>
      <c r="N116" s="145" t="s">
        <v>171</v>
      </c>
    </row>
    <row r="117" spans="2:14" x14ac:dyDescent="0.3">
      <c r="B117" s="118"/>
      <c r="C117" s="148" t="s">
        <v>103</v>
      </c>
      <c r="D117" s="149"/>
      <c r="E117" s="149"/>
      <c r="F117" s="149"/>
      <c r="G117" s="166">
        <v>20</v>
      </c>
      <c r="H117" s="119">
        <v>10</v>
      </c>
      <c r="I117" s="163">
        <v>0.06</v>
      </c>
      <c r="J117" s="161">
        <v>0.3</v>
      </c>
      <c r="K117" s="169">
        <v>40</v>
      </c>
      <c r="L117" s="82"/>
      <c r="N117" s="145" t="s">
        <v>171</v>
      </c>
    </row>
    <row r="118" spans="2:14" x14ac:dyDescent="0.3">
      <c r="B118" s="118"/>
      <c r="C118" s="148" t="s">
        <v>104</v>
      </c>
      <c r="D118" s="149"/>
      <c r="E118" s="149"/>
      <c r="F118" s="149"/>
      <c r="G118" s="166">
        <v>20</v>
      </c>
      <c r="H118" s="119">
        <v>10</v>
      </c>
      <c r="I118" s="163">
        <v>0.06</v>
      </c>
      <c r="J118" s="161">
        <v>0.3</v>
      </c>
      <c r="K118" s="169">
        <v>10</v>
      </c>
      <c r="L118" s="82"/>
      <c r="N118" s="145" t="s">
        <v>171</v>
      </c>
    </row>
    <row r="119" spans="2:14" x14ac:dyDescent="0.3">
      <c r="B119" s="118"/>
      <c r="C119" s="148" t="s">
        <v>150</v>
      </c>
      <c r="D119" s="149"/>
      <c r="E119" s="149"/>
      <c r="F119" s="149"/>
      <c r="G119" s="166">
        <v>7.5</v>
      </c>
      <c r="H119" s="119">
        <v>3.8</v>
      </c>
      <c r="I119" s="163">
        <v>0.12</v>
      </c>
      <c r="J119" s="161">
        <v>0.6</v>
      </c>
      <c r="K119" s="169">
        <v>20</v>
      </c>
      <c r="L119" s="82"/>
      <c r="N119" s="145">
        <v>4</v>
      </c>
    </row>
    <row r="120" spans="2:14" x14ac:dyDescent="0.3">
      <c r="B120" s="118"/>
      <c r="C120" s="148" t="s">
        <v>154</v>
      </c>
      <c r="D120" s="149"/>
      <c r="E120" s="149"/>
      <c r="F120" s="149"/>
      <c r="G120" s="166">
        <v>5</v>
      </c>
      <c r="H120" s="119">
        <v>2.5</v>
      </c>
      <c r="I120" s="163">
        <v>0.12</v>
      </c>
      <c r="J120" s="161">
        <v>0.6</v>
      </c>
      <c r="K120" s="169">
        <v>10</v>
      </c>
      <c r="L120" s="82"/>
      <c r="N120" s="145" t="s">
        <v>171</v>
      </c>
    </row>
    <row r="121" spans="2:14" x14ac:dyDescent="0.3">
      <c r="B121" s="118"/>
      <c r="C121" s="148" t="s">
        <v>153</v>
      </c>
      <c r="D121" s="149"/>
      <c r="E121" s="149"/>
      <c r="F121" s="149"/>
      <c r="G121" s="166">
        <v>5</v>
      </c>
      <c r="H121" s="119">
        <v>2.5</v>
      </c>
      <c r="I121" s="163">
        <v>0.12</v>
      </c>
      <c r="J121" s="161">
        <v>0.6</v>
      </c>
      <c r="K121" s="169">
        <v>10</v>
      </c>
      <c r="L121" s="82"/>
      <c r="N121" s="145" t="s">
        <v>171</v>
      </c>
    </row>
    <row r="122" spans="2:14" x14ac:dyDescent="0.3">
      <c r="B122" s="118"/>
      <c r="C122" s="148" t="s">
        <v>55</v>
      </c>
      <c r="D122" s="149"/>
      <c r="E122" s="149"/>
      <c r="F122" s="149"/>
      <c r="G122" s="166">
        <v>7.5</v>
      </c>
      <c r="H122" s="119">
        <v>3.8</v>
      </c>
      <c r="I122" s="163">
        <v>0.06</v>
      </c>
      <c r="J122" s="161">
        <v>0.3</v>
      </c>
      <c r="K122" s="169">
        <v>65</v>
      </c>
      <c r="L122" s="82"/>
      <c r="N122" s="145" t="s">
        <v>171</v>
      </c>
    </row>
    <row r="123" spans="2:14" x14ac:dyDescent="0.3">
      <c r="B123" s="118"/>
      <c r="C123" s="148" t="s">
        <v>56</v>
      </c>
      <c r="D123" s="149"/>
      <c r="E123" s="149"/>
      <c r="F123" s="149"/>
      <c r="G123" s="166">
        <v>7.5</v>
      </c>
      <c r="H123" s="119">
        <v>3.8</v>
      </c>
      <c r="I123" s="163">
        <v>0.06</v>
      </c>
      <c r="J123" s="161">
        <v>0.3</v>
      </c>
      <c r="K123" s="169">
        <v>150</v>
      </c>
      <c r="L123" s="82"/>
      <c r="N123" s="145" t="s">
        <v>171</v>
      </c>
    </row>
    <row r="124" spans="2:14" x14ac:dyDescent="0.3">
      <c r="B124" s="118"/>
      <c r="C124" s="148" t="s">
        <v>88</v>
      </c>
      <c r="D124" s="149"/>
      <c r="E124" s="149"/>
      <c r="F124" s="149"/>
      <c r="G124" s="166">
        <v>5</v>
      </c>
      <c r="H124" s="119">
        <v>2.5</v>
      </c>
      <c r="I124" s="163">
        <v>0.06</v>
      </c>
      <c r="J124" s="161">
        <v>0.3</v>
      </c>
      <c r="K124" s="169">
        <v>50</v>
      </c>
      <c r="L124" s="82"/>
      <c r="N124" s="145" t="s">
        <v>171</v>
      </c>
    </row>
    <row r="125" spans="2:14" x14ac:dyDescent="0.3">
      <c r="B125" s="118"/>
      <c r="C125" s="148" t="s">
        <v>89</v>
      </c>
      <c r="D125" s="149"/>
      <c r="E125" s="149"/>
      <c r="F125" s="149"/>
      <c r="G125" s="166">
        <v>5</v>
      </c>
      <c r="H125" s="119">
        <v>2.5</v>
      </c>
      <c r="I125" s="163">
        <v>0.12</v>
      </c>
      <c r="J125" s="161">
        <v>0.6</v>
      </c>
      <c r="K125" s="169">
        <v>10</v>
      </c>
      <c r="L125" s="82"/>
      <c r="N125" s="145" t="s">
        <v>171</v>
      </c>
    </row>
    <row r="126" spans="2:14" x14ac:dyDescent="0.3">
      <c r="B126" s="118"/>
      <c r="C126" s="148" t="s">
        <v>90</v>
      </c>
      <c r="D126" s="149"/>
      <c r="E126" s="149"/>
      <c r="F126" s="149"/>
      <c r="G126" s="166">
        <v>5</v>
      </c>
      <c r="H126" s="119">
        <v>2.5</v>
      </c>
      <c r="I126" s="163">
        <v>0.06</v>
      </c>
      <c r="J126" s="161">
        <v>0.3</v>
      </c>
      <c r="K126" s="169">
        <v>150</v>
      </c>
      <c r="L126" s="82"/>
      <c r="N126" s="145" t="s">
        <v>171</v>
      </c>
    </row>
    <row r="127" spans="2:14" x14ac:dyDescent="0.3">
      <c r="B127" s="118"/>
      <c r="C127" s="148" t="s">
        <v>72</v>
      </c>
      <c r="D127" s="149"/>
      <c r="E127" s="149"/>
      <c r="F127" s="149"/>
      <c r="G127" s="166">
        <v>7.5</v>
      </c>
      <c r="H127" s="119">
        <v>3.8</v>
      </c>
      <c r="I127" s="163">
        <v>0.06</v>
      </c>
      <c r="J127" s="161">
        <v>0.3</v>
      </c>
      <c r="K127" s="169">
        <v>30</v>
      </c>
      <c r="L127" s="82"/>
      <c r="N127" s="145" t="s">
        <v>171</v>
      </c>
    </row>
    <row r="128" spans="2:14" x14ac:dyDescent="0.3">
      <c r="B128" s="118"/>
      <c r="C128" s="148" t="s">
        <v>77</v>
      </c>
      <c r="D128" s="149"/>
      <c r="E128" s="149"/>
      <c r="F128" s="149"/>
      <c r="G128" s="166">
        <v>5</v>
      </c>
      <c r="H128" s="119">
        <v>2.5</v>
      </c>
      <c r="I128" s="163">
        <v>0.06</v>
      </c>
      <c r="J128" s="161">
        <v>0.3</v>
      </c>
      <c r="K128" s="169">
        <v>10</v>
      </c>
      <c r="L128" s="82"/>
      <c r="N128" s="145" t="s">
        <v>171</v>
      </c>
    </row>
    <row r="129" spans="2:14" x14ac:dyDescent="0.3">
      <c r="B129" s="118"/>
      <c r="C129" s="148" t="s">
        <v>94</v>
      </c>
      <c r="D129" s="149"/>
      <c r="E129" s="149"/>
      <c r="F129" s="149"/>
      <c r="G129" s="166">
        <v>7.5</v>
      </c>
      <c r="H129" s="119">
        <v>3.8</v>
      </c>
      <c r="I129" s="163">
        <v>0.06</v>
      </c>
      <c r="J129" s="161">
        <v>0.3</v>
      </c>
      <c r="K129" s="169">
        <v>40</v>
      </c>
      <c r="L129" s="82"/>
      <c r="N129" s="145" t="s">
        <v>171</v>
      </c>
    </row>
    <row r="130" spans="2:14" x14ac:dyDescent="0.3">
      <c r="B130" s="118"/>
      <c r="C130" s="148" t="s">
        <v>61</v>
      </c>
      <c r="D130" s="149"/>
      <c r="E130" s="149"/>
      <c r="F130" s="149"/>
      <c r="G130" s="166">
        <v>10</v>
      </c>
      <c r="H130" s="119">
        <v>5</v>
      </c>
      <c r="I130" s="163">
        <v>0.12</v>
      </c>
      <c r="J130" s="161">
        <v>0.6</v>
      </c>
      <c r="K130" s="169">
        <v>25</v>
      </c>
      <c r="L130" s="82"/>
      <c r="N130" s="145" t="s">
        <v>171</v>
      </c>
    </row>
    <row r="131" spans="2:14" x14ac:dyDescent="0.3">
      <c r="B131" s="118"/>
      <c r="C131" s="148" t="s">
        <v>73</v>
      </c>
      <c r="D131" s="149"/>
      <c r="E131" s="149"/>
      <c r="F131" s="149"/>
      <c r="G131" s="166">
        <v>5</v>
      </c>
      <c r="H131" s="119">
        <v>2.5</v>
      </c>
      <c r="I131" s="163">
        <v>0.06</v>
      </c>
      <c r="J131" s="161">
        <v>0.3</v>
      </c>
      <c r="K131" s="169">
        <v>120</v>
      </c>
      <c r="L131" s="82"/>
      <c r="N131" s="145" t="s">
        <v>171</v>
      </c>
    </row>
    <row r="132" spans="2:14" x14ac:dyDescent="0.3">
      <c r="B132" s="118"/>
      <c r="C132" s="148" t="s">
        <v>63</v>
      </c>
      <c r="D132" s="149"/>
      <c r="E132" s="149"/>
      <c r="F132" s="149"/>
      <c r="G132" s="166">
        <v>7.5</v>
      </c>
      <c r="H132" s="119">
        <v>3.8</v>
      </c>
      <c r="I132" s="163">
        <v>0.06</v>
      </c>
      <c r="J132" s="161">
        <v>0.3</v>
      </c>
      <c r="K132" s="169">
        <v>100</v>
      </c>
      <c r="L132" s="82"/>
      <c r="N132" s="145" t="s">
        <v>171</v>
      </c>
    </row>
    <row r="133" spans="2:14" x14ac:dyDescent="0.3">
      <c r="B133" s="118"/>
      <c r="C133" s="148" t="s">
        <v>91</v>
      </c>
      <c r="D133" s="149"/>
      <c r="E133" s="149"/>
      <c r="F133" s="149"/>
      <c r="G133" s="166">
        <v>7.5</v>
      </c>
      <c r="H133" s="119">
        <v>3.8</v>
      </c>
      <c r="I133" s="163">
        <v>0.12</v>
      </c>
      <c r="J133" s="161">
        <v>0.6</v>
      </c>
      <c r="K133" s="169">
        <v>40</v>
      </c>
      <c r="L133" s="82"/>
      <c r="N133" s="145" t="s">
        <v>171</v>
      </c>
    </row>
    <row r="134" spans="2:14" x14ac:dyDescent="0.3">
      <c r="B134" s="118"/>
      <c r="C134" s="148" t="s">
        <v>92</v>
      </c>
      <c r="D134" s="149"/>
      <c r="E134" s="149"/>
      <c r="F134" s="149"/>
      <c r="G134" s="166">
        <v>7.5</v>
      </c>
      <c r="H134" s="119">
        <v>3.8</v>
      </c>
      <c r="I134" s="163">
        <v>0.06</v>
      </c>
      <c r="J134" s="161">
        <v>0.3</v>
      </c>
      <c r="K134" s="169">
        <v>40</v>
      </c>
      <c r="L134" s="82"/>
      <c r="N134" s="145" t="s">
        <v>171</v>
      </c>
    </row>
    <row r="135" spans="2:14" x14ac:dyDescent="0.3">
      <c r="B135" s="118"/>
      <c r="C135" s="148" t="s">
        <v>62</v>
      </c>
      <c r="D135" s="149"/>
      <c r="E135" s="149"/>
      <c r="F135" s="149"/>
      <c r="G135" s="166">
        <v>10</v>
      </c>
      <c r="H135" s="119">
        <v>5</v>
      </c>
      <c r="I135" s="163">
        <v>0.06</v>
      </c>
      <c r="J135" s="161">
        <v>0.3</v>
      </c>
      <c r="K135" s="169">
        <v>35</v>
      </c>
      <c r="L135" s="82"/>
      <c r="N135" s="145" t="s">
        <v>171</v>
      </c>
    </row>
    <row r="136" spans="2:14" x14ac:dyDescent="0.3">
      <c r="B136" s="118"/>
      <c r="C136" s="148" t="s">
        <v>155</v>
      </c>
      <c r="D136" s="149"/>
      <c r="E136" s="149"/>
      <c r="F136" s="149"/>
      <c r="G136" s="166">
        <v>5</v>
      </c>
      <c r="H136" s="119">
        <v>2.5</v>
      </c>
      <c r="I136" s="163">
        <v>0.06</v>
      </c>
      <c r="J136" s="161">
        <v>0.3</v>
      </c>
      <c r="K136" s="169">
        <v>2</v>
      </c>
      <c r="L136" s="82"/>
      <c r="N136" s="145">
        <v>4</v>
      </c>
    </row>
    <row r="137" spans="2:14" x14ac:dyDescent="0.3">
      <c r="B137" s="118"/>
      <c r="C137" s="148" t="s">
        <v>152</v>
      </c>
      <c r="D137" s="149"/>
      <c r="E137" s="149"/>
      <c r="F137" s="149"/>
      <c r="G137" s="166">
        <v>5</v>
      </c>
      <c r="H137" s="119">
        <v>2.5</v>
      </c>
      <c r="I137" s="163">
        <v>0.12</v>
      </c>
      <c r="J137" s="161">
        <v>0.6</v>
      </c>
      <c r="K137" s="169">
        <v>2</v>
      </c>
      <c r="L137" s="82"/>
      <c r="N137" s="145">
        <v>4</v>
      </c>
    </row>
    <row r="138" spans="2:14" x14ac:dyDescent="0.3">
      <c r="B138" s="118"/>
      <c r="C138" s="148" t="s">
        <v>74</v>
      </c>
      <c r="D138" s="149"/>
      <c r="E138" s="149"/>
      <c r="F138" s="149"/>
      <c r="G138" s="166">
        <v>5</v>
      </c>
      <c r="H138" s="119">
        <v>2.5</v>
      </c>
      <c r="I138" s="163">
        <v>0.06</v>
      </c>
      <c r="J138" s="161">
        <v>0.3</v>
      </c>
      <c r="K138" s="169">
        <v>5</v>
      </c>
      <c r="L138" s="82"/>
      <c r="N138" s="145" t="s">
        <v>171</v>
      </c>
    </row>
    <row r="139" spans="2:14" x14ac:dyDescent="0.3">
      <c r="B139" s="118"/>
      <c r="C139" s="148" t="str">
        <f>IF($O$169=1,"Pet shops","Pet shops (animal areas)")</f>
        <v>Pet shops (animal areas)</v>
      </c>
      <c r="D139" s="149"/>
      <c r="E139" s="149"/>
      <c r="F139" s="149"/>
      <c r="G139" s="166">
        <v>7.5</v>
      </c>
      <c r="H139" s="119">
        <v>3.8</v>
      </c>
      <c r="I139" s="163">
        <v>0.18</v>
      </c>
      <c r="J139" s="161">
        <v>0.9</v>
      </c>
      <c r="K139" s="169">
        <v>10</v>
      </c>
      <c r="L139" s="82"/>
      <c r="N139" s="145" t="s">
        <v>171</v>
      </c>
    </row>
    <row r="140" spans="2:14" x14ac:dyDescent="0.3">
      <c r="B140" s="118"/>
      <c r="C140" s="148" t="s">
        <v>80</v>
      </c>
      <c r="D140" s="149"/>
      <c r="E140" s="149"/>
      <c r="F140" s="149"/>
      <c r="G140" s="166">
        <v>5</v>
      </c>
      <c r="H140" s="119">
        <v>2.5</v>
      </c>
      <c r="I140" s="163">
        <v>0.18</v>
      </c>
      <c r="J140" s="161">
        <v>0.9</v>
      </c>
      <c r="K140" s="169">
        <v>10</v>
      </c>
      <c r="L140" s="82"/>
      <c r="N140" s="145" t="s">
        <v>171</v>
      </c>
    </row>
    <row r="141" spans="2:14" x14ac:dyDescent="0.3">
      <c r="B141" s="118"/>
      <c r="C141" s="148" t="s">
        <v>81</v>
      </c>
      <c r="D141" s="149"/>
      <c r="E141" s="149"/>
      <c r="F141" s="149"/>
      <c r="G141" s="166">
        <v>5</v>
      </c>
      <c r="H141" s="119">
        <v>2.5</v>
      </c>
      <c r="I141" s="163">
        <v>0.12</v>
      </c>
      <c r="J141" s="161">
        <v>0.6</v>
      </c>
      <c r="K141" s="169">
        <v>10</v>
      </c>
      <c r="L141" s="82"/>
      <c r="N141" s="145" t="s">
        <v>171</v>
      </c>
    </row>
    <row r="142" spans="2:14" x14ac:dyDescent="0.3">
      <c r="B142" s="118"/>
      <c r="C142" s="148" t="s">
        <v>86</v>
      </c>
      <c r="D142" s="149"/>
      <c r="E142" s="149"/>
      <c r="F142" s="149"/>
      <c r="G142" s="166">
        <v>5</v>
      </c>
      <c r="H142" s="119">
        <v>2.5</v>
      </c>
      <c r="I142" s="163">
        <v>0.06</v>
      </c>
      <c r="J142" s="161">
        <v>0.3</v>
      </c>
      <c r="K142" s="169">
        <v>120</v>
      </c>
      <c r="L142" s="82"/>
      <c r="N142" s="145" t="s">
        <v>171</v>
      </c>
    </row>
    <row r="143" spans="2:14" x14ac:dyDescent="0.3">
      <c r="B143" s="118"/>
      <c r="C143" s="148" t="s">
        <v>75</v>
      </c>
      <c r="D143" s="149"/>
      <c r="E143" s="149"/>
      <c r="F143" s="149"/>
      <c r="G143" s="166">
        <v>5</v>
      </c>
      <c r="H143" s="119">
        <v>2.5</v>
      </c>
      <c r="I143" s="163">
        <v>0.06</v>
      </c>
      <c r="J143" s="161">
        <v>0.3</v>
      </c>
      <c r="K143" s="169">
        <v>30</v>
      </c>
      <c r="L143" s="82"/>
      <c r="N143" s="145" t="s">
        <v>171</v>
      </c>
    </row>
    <row r="144" spans="2:14" x14ac:dyDescent="0.3">
      <c r="B144" s="118"/>
      <c r="C144" s="148" t="s">
        <v>64</v>
      </c>
      <c r="D144" s="149"/>
      <c r="E144" s="149"/>
      <c r="F144" s="149"/>
      <c r="G144" s="166">
        <v>7.5</v>
      </c>
      <c r="H144" s="119">
        <v>3.8</v>
      </c>
      <c r="I144" s="163">
        <v>0.18</v>
      </c>
      <c r="J144" s="161">
        <v>0.9</v>
      </c>
      <c r="K144" s="169">
        <v>70</v>
      </c>
      <c r="L144" s="82"/>
      <c r="N144" s="145" t="s">
        <v>171</v>
      </c>
    </row>
    <row r="145" spans="2:14" x14ac:dyDescent="0.3">
      <c r="B145" s="118"/>
      <c r="C145" s="148" t="s">
        <v>93</v>
      </c>
      <c r="D145" s="149"/>
      <c r="E145" s="149"/>
      <c r="F145" s="149"/>
      <c r="G145" s="166">
        <v>7.5</v>
      </c>
      <c r="H145" s="119">
        <v>3.8</v>
      </c>
      <c r="I145" s="163">
        <v>0.12</v>
      </c>
      <c r="J145" s="161">
        <v>0.6</v>
      </c>
      <c r="K145" s="169">
        <v>15</v>
      </c>
      <c r="L145" s="82"/>
      <c r="N145" s="145" t="s">
        <v>171</v>
      </c>
    </row>
    <row r="146" spans="2:14" x14ac:dyDescent="0.3">
      <c r="B146" s="118"/>
      <c r="C146" s="148" t="s">
        <v>58</v>
      </c>
      <c r="D146" s="149"/>
      <c r="E146" s="149"/>
      <c r="F146" s="149"/>
      <c r="G146" s="166">
        <v>10</v>
      </c>
      <c r="H146" s="119">
        <v>5</v>
      </c>
      <c r="I146" s="163">
        <v>0.18</v>
      </c>
      <c r="J146" s="161">
        <v>0.9</v>
      </c>
      <c r="K146" s="169">
        <v>25</v>
      </c>
      <c r="L146" s="82"/>
      <c r="N146" s="145" t="s">
        <v>171</v>
      </c>
    </row>
    <row r="147" spans="2:14" hidden="1" x14ac:dyDescent="0.3">
      <c r="B147" s="118"/>
      <c r="C147" s="148" t="s">
        <v>82</v>
      </c>
      <c r="D147" s="149"/>
      <c r="E147" s="149"/>
      <c r="F147" s="149"/>
      <c r="G147" s="166">
        <f>IF($O$169=1,0,10)</f>
        <v>10</v>
      </c>
      <c r="H147" s="119">
        <f>IF($O$169=1,0,5)</f>
        <v>5</v>
      </c>
      <c r="I147" s="163">
        <v>0.12</v>
      </c>
      <c r="J147" s="161">
        <v>0.6</v>
      </c>
      <c r="K147" s="169" t="str">
        <f>IF($O$169=1,"0","2")</f>
        <v>2</v>
      </c>
      <c r="L147" s="82"/>
      <c r="N147" s="145" t="s">
        <v>171</v>
      </c>
    </row>
    <row r="148" spans="2:14" x14ac:dyDescent="0.3">
      <c r="B148" s="118"/>
      <c r="C148" s="148" t="s">
        <v>157</v>
      </c>
      <c r="D148" s="149"/>
      <c r="E148" s="149"/>
      <c r="F148" s="149"/>
      <c r="G148" s="166">
        <v>7.5</v>
      </c>
      <c r="H148" s="119">
        <v>3.8</v>
      </c>
      <c r="I148" s="163">
        <v>0.12</v>
      </c>
      <c r="J148" s="161">
        <v>0.6</v>
      </c>
      <c r="K148" s="169">
        <v>7</v>
      </c>
      <c r="L148" s="82"/>
      <c r="N148" s="145">
        <v>4</v>
      </c>
    </row>
    <row r="149" spans="2:14" x14ac:dyDescent="0.3">
      <c r="B149" s="118"/>
      <c r="C149" s="148" t="s">
        <v>100</v>
      </c>
      <c r="D149" s="149"/>
      <c r="E149" s="149"/>
      <c r="F149" s="149"/>
      <c r="G149" s="166">
        <v>7.5</v>
      </c>
      <c r="H149" s="119">
        <v>3.8</v>
      </c>
      <c r="I149" s="163">
        <v>0.06</v>
      </c>
      <c r="J149" s="161">
        <v>0.3</v>
      </c>
      <c r="K149" s="169">
        <v>150</v>
      </c>
      <c r="L149" s="82"/>
      <c r="N149" s="145" t="s">
        <v>171</v>
      </c>
    </row>
    <row r="150" spans="2:14" x14ac:dyDescent="0.3">
      <c r="B150" s="118"/>
      <c r="C150" s="148" t="s">
        <v>98</v>
      </c>
      <c r="D150" s="149"/>
      <c r="E150" s="149"/>
      <c r="F150" s="149"/>
      <c r="G150" s="166">
        <v>0</v>
      </c>
      <c r="H150" s="119">
        <v>0</v>
      </c>
      <c r="I150" s="441">
        <v>0.3</v>
      </c>
      <c r="J150" s="161">
        <v>1.5</v>
      </c>
      <c r="K150" s="169">
        <v>0</v>
      </c>
      <c r="L150" s="82"/>
      <c r="N150" s="145" t="s">
        <v>171</v>
      </c>
    </row>
    <row r="151" spans="2:14" x14ac:dyDescent="0.3">
      <c r="B151" s="118"/>
      <c r="C151" s="148" t="s">
        <v>160</v>
      </c>
      <c r="D151" s="149"/>
      <c r="E151" s="149"/>
      <c r="F151" s="149"/>
      <c r="G151" s="166">
        <v>10</v>
      </c>
      <c r="H151" s="119">
        <v>5</v>
      </c>
      <c r="I151" s="163">
        <v>0.06</v>
      </c>
      <c r="J151" s="161">
        <v>0.3</v>
      </c>
      <c r="K151" s="169">
        <v>70</v>
      </c>
      <c r="L151" s="82"/>
      <c r="N151" s="145" t="s">
        <v>171</v>
      </c>
    </row>
    <row r="152" spans="2:14" hidden="1" x14ac:dyDescent="0.3">
      <c r="B152" s="118"/>
      <c r="C152" s="148" t="s">
        <v>69</v>
      </c>
      <c r="D152" s="149"/>
      <c r="E152" s="149"/>
      <c r="F152" s="149"/>
      <c r="G152" s="166">
        <v>0</v>
      </c>
      <c r="H152" s="119">
        <v>0</v>
      </c>
      <c r="I152" s="163">
        <v>0.12</v>
      </c>
      <c r="J152" s="161">
        <v>0.6</v>
      </c>
      <c r="K152" s="169">
        <v>0</v>
      </c>
      <c r="L152" s="82"/>
      <c r="N152" s="145">
        <v>9</v>
      </c>
    </row>
    <row r="153" spans="2:14" x14ac:dyDescent="0.3">
      <c r="B153" s="118"/>
      <c r="C153" s="148" t="s">
        <v>96</v>
      </c>
      <c r="D153" s="149"/>
      <c r="E153" s="149"/>
      <c r="F153" s="149"/>
      <c r="G153" s="166">
        <v>7.5</v>
      </c>
      <c r="H153" s="119">
        <v>3.8</v>
      </c>
      <c r="I153" s="163">
        <v>0.06</v>
      </c>
      <c r="J153" s="161">
        <v>0.3</v>
      </c>
      <c r="K153" s="169">
        <v>8</v>
      </c>
      <c r="L153" s="82"/>
      <c r="N153" s="145" t="s">
        <v>171</v>
      </c>
    </row>
    <row r="154" spans="2:14" x14ac:dyDescent="0.3">
      <c r="B154" s="118"/>
      <c r="C154" s="148" t="s">
        <v>101</v>
      </c>
      <c r="D154" s="149"/>
      <c r="E154" s="149"/>
      <c r="F154" s="149"/>
      <c r="G154" s="166">
        <v>0</v>
      </c>
      <c r="H154" s="119">
        <v>0</v>
      </c>
      <c r="I154" s="163">
        <v>0.48</v>
      </c>
      <c r="J154" s="161">
        <v>2.4</v>
      </c>
      <c r="K154" s="169">
        <v>0</v>
      </c>
      <c r="L154" s="82"/>
      <c r="N154" s="145" t="s">
        <v>171</v>
      </c>
    </row>
    <row r="155" spans="2:14" x14ac:dyDescent="0.3">
      <c r="B155" s="118"/>
      <c r="C155" s="148" t="s">
        <v>76</v>
      </c>
      <c r="D155" s="149"/>
      <c r="E155" s="149"/>
      <c r="F155" s="149"/>
      <c r="G155" s="166">
        <v>5</v>
      </c>
      <c r="H155" s="119">
        <v>2.5</v>
      </c>
      <c r="I155" s="163">
        <v>0.06</v>
      </c>
      <c r="J155" s="161">
        <v>0.3</v>
      </c>
      <c r="K155" s="169">
        <v>60</v>
      </c>
      <c r="L155" s="82"/>
      <c r="N155" s="145" t="s">
        <v>171</v>
      </c>
    </row>
    <row r="156" spans="2:14" x14ac:dyDescent="0.3">
      <c r="B156" s="118"/>
      <c r="C156" s="148" t="s">
        <v>158</v>
      </c>
      <c r="D156" s="149"/>
      <c r="E156" s="149"/>
      <c r="F156" s="149"/>
      <c r="G156" s="166">
        <v>0</v>
      </c>
      <c r="H156" s="119">
        <v>0</v>
      </c>
      <c r="I156" s="163">
        <v>0</v>
      </c>
      <c r="J156" s="161">
        <v>0</v>
      </c>
      <c r="K156" s="169">
        <v>0</v>
      </c>
      <c r="L156" s="82"/>
      <c r="N156" s="145">
        <v>4</v>
      </c>
    </row>
    <row r="157" spans="2:14" x14ac:dyDescent="0.3">
      <c r="B157" s="118"/>
      <c r="C157" s="148" t="s">
        <v>83</v>
      </c>
      <c r="D157" s="149"/>
      <c r="E157" s="149"/>
      <c r="F157" s="149"/>
      <c r="G157" s="166">
        <v>7.5</v>
      </c>
      <c r="H157" s="119">
        <v>3.8</v>
      </c>
      <c r="I157" s="163">
        <v>0.06</v>
      </c>
      <c r="J157" s="161">
        <v>0.3</v>
      </c>
      <c r="K157" s="169">
        <v>100</v>
      </c>
      <c r="L157" s="82"/>
      <c r="N157" s="145" t="s">
        <v>171</v>
      </c>
    </row>
    <row r="158" spans="2:14" x14ac:dyDescent="0.3">
      <c r="B158" s="118"/>
      <c r="C158" s="148" t="s">
        <v>149</v>
      </c>
      <c r="D158" s="149"/>
      <c r="E158" s="149"/>
      <c r="F158" s="149"/>
      <c r="G158" s="166">
        <v>10</v>
      </c>
      <c r="H158" s="119">
        <v>5</v>
      </c>
      <c r="I158" s="163">
        <v>0.18</v>
      </c>
      <c r="J158" s="161">
        <v>0.9</v>
      </c>
      <c r="K158" s="169">
        <v>25</v>
      </c>
      <c r="L158" s="82"/>
      <c r="N158" s="145">
        <v>4</v>
      </c>
    </row>
    <row r="159" spans="2:14" x14ac:dyDescent="0.3">
      <c r="B159" s="118"/>
      <c r="C159" s="148" t="s">
        <v>84</v>
      </c>
      <c r="D159" s="149"/>
      <c r="E159" s="149"/>
      <c r="F159" s="149"/>
      <c r="G159" s="166">
        <f>IF($O$169=1,0,10)</f>
        <v>10</v>
      </c>
      <c r="H159" s="119">
        <f>IF($O$169=1,0,5)</f>
        <v>5</v>
      </c>
      <c r="I159" s="163">
        <v>0.06</v>
      </c>
      <c r="J159" s="161">
        <v>0.3</v>
      </c>
      <c r="K159" s="169">
        <v>0</v>
      </c>
      <c r="L159" s="82"/>
      <c r="N159" s="145" t="s">
        <v>171</v>
      </c>
    </row>
    <row r="160" spans="2:14" x14ac:dyDescent="0.3">
      <c r="B160" s="118"/>
      <c r="C160" s="150" t="s">
        <v>59</v>
      </c>
      <c r="D160" s="151"/>
      <c r="E160" s="151"/>
      <c r="F160" s="151"/>
      <c r="G160" s="167">
        <v>10</v>
      </c>
      <c r="H160" s="120">
        <v>5</v>
      </c>
      <c r="I160" s="164">
        <v>0.18</v>
      </c>
      <c r="J160" s="162">
        <v>0.9</v>
      </c>
      <c r="K160" s="170">
        <v>20</v>
      </c>
      <c r="L160" s="82"/>
      <c r="N160" s="145" t="s">
        <v>171</v>
      </c>
    </row>
    <row r="161" spans="2:20" ht="24" customHeight="1" x14ac:dyDescent="0.3">
      <c r="B161" s="121"/>
      <c r="C161" s="122"/>
      <c r="D161" s="122"/>
      <c r="E161" s="122"/>
      <c r="F161" s="122"/>
      <c r="G161" s="122"/>
      <c r="H161" s="122"/>
      <c r="I161" s="122"/>
      <c r="J161" s="122"/>
      <c r="K161" s="122"/>
      <c r="L161" s="123"/>
    </row>
    <row r="162" spans="2:20" ht="9" customHeight="1" x14ac:dyDescent="0.3"/>
    <row r="163" spans="2:20" ht="12" customHeight="1" x14ac:dyDescent="0.3">
      <c r="K163" s="34"/>
      <c r="L163" s="55" t="s">
        <v>315</v>
      </c>
    </row>
    <row r="164" spans="2:20" ht="12" customHeight="1" x14ac:dyDescent="0.3">
      <c r="K164" s="34"/>
      <c r="L164" s="55" t="s">
        <v>308</v>
      </c>
    </row>
    <row r="165" spans="2:20" ht="12" customHeight="1" x14ac:dyDescent="0.3">
      <c r="K165" s="34"/>
      <c r="L165" s="56" t="s">
        <v>109</v>
      </c>
    </row>
    <row r="166" spans="2:20" ht="12" customHeight="1" x14ac:dyDescent="0.3">
      <c r="K166" s="34"/>
      <c r="L166" s="56" t="s">
        <v>111</v>
      </c>
    </row>
    <row r="167" spans="2:20" x14ac:dyDescent="0.3">
      <c r="L167" s="56" t="s">
        <v>316</v>
      </c>
    </row>
    <row r="168" spans="2:20" x14ac:dyDescent="0.3">
      <c r="N168" s="33" t="s">
        <v>108</v>
      </c>
      <c r="O168" s="143" t="s">
        <v>173</v>
      </c>
      <c r="P168" s="284" t="s">
        <v>261</v>
      </c>
    </row>
    <row r="169" spans="2:20" x14ac:dyDescent="0.3">
      <c r="N169" s="33">
        <f>IF(K10="IP units",1,2)</f>
        <v>1</v>
      </c>
      <c r="O169" s="33">
        <f>IF(K14="LEED 2009",1,2)</f>
        <v>2</v>
      </c>
      <c r="P169" s="33">
        <f>IF(K18="Yes",1,2)</f>
        <v>1</v>
      </c>
    </row>
    <row r="170" spans="2:20" x14ac:dyDescent="0.3">
      <c r="N170" s="2" t="s">
        <v>110</v>
      </c>
      <c r="O170" s="144" t="s">
        <v>174</v>
      </c>
      <c r="P170" s="285" t="s">
        <v>262</v>
      </c>
    </row>
    <row r="172" spans="2:20" x14ac:dyDescent="0.3">
      <c r="N172" s="143" t="s">
        <v>184</v>
      </c>
      <c r="O172" s="143" t="s">
        <v>185</v>
      </c>
      <c r="P172" s="342" t="s">
        <v>140</v>
      </c>
      <c r="Q172" s="377" t="s">
        <v>307</v>
      </c>
    </row>
    <row r="173" spans="2:20" x14ac:dyDescent="0.3">
      <c r="G173" s="391"/>
      <c r="H173" s="391"/>
      <c r="I173" s="391"/>
      <c r="J173" s="391"/>
      <c r="N173" s="146" t="s">
        <v>57</v>
      </c>
      <c r="O173" s="146" t="s">
        <v>57</v>
      </c>
      <c r="P173" s="368">
        <f>IF(K26="Yes",1,2)</f>
        <v>2</v>
      </c>
      <c r="Q173" s="146" t="s">
        <v>57</v>
      </c>
      <c r="R173" s="147"/>
      <c r="S173" s="147"/>
      <c r="T173" s="147"/>
    </row>
    <row r="174" spans="2:20" x14ac:dyDescent="0.3">
      <c r="G174" s="391"/>
      <c r="H174" s="391"/>
      <c r="I174" s="391"/>
      <c r="J174" s="391"/>
      <c r="N174" s="148" t="s">
        <v>85</v>
      </c>
      <c r="O174" s="148" t="s">
        <v>85</v>
      </c>
      <c r="P174" s="285" t="s">
        <v>262</v>
      </c>
      <c r="Q174" s="148" t="s">
        <v>85</v>
      </c>
      <c r="R174" s="149"/>
      <c r="S174" s="149"/>
      <c r="T174" s="149"/>
    </row>
    <row r="175" spans="2:20" x14ac:dyDescent="0.3">
      <c r="G175" s="391"/>
      <c r="H175" s="391"/>
      <c r="I175" s="391"/>
      <c r="J175" s="391"/>
      <c r="N175" s="148" t="s">
        <v>78</v>
      </c>
      <c r="O175" s="148" t="s">
        <v>78</v>
      </c>
      <c r="Q175" s="148" t="s">
        <v>78</v>
      </c>
      <c r="R175" s="149"/>
      <c r="S175" s="149"/>
      <c r="T175" s="149"/>
    </row>
    <row r="176" spans="2:20" x14ac:dyDescent="0.3">
      <c r="G176" s="391"/>
      <c r="H176" s="391"/>
      <c r="I176" s="391"/>
      <c r="J176" s="391"/>
      <c r="N176" s="148" t="s">
        <v>183</v>
      </c>
      <c r="O176" s="148" t="s">
        <v>156</v>
      </c>
      <c r="Q176" s="148" t="s">
        <v>156</v>
      </c>
      <c r="R176" s="149"/>
      <c r="S176" s="149"/>
      <c r="T176" s="149"/>
    </row>
    <row r="177" spans="7:20" x14ac:dyDescent="0.3">
      <c r="G177" s="391"/>
      <c r="H177" s="391"/>
      <c r="I177" s="391"/>
      <c r="J177" s="391"/>
      <c r="N177" s="148" t="s">
        <v>71</v>
      </c>
      <c r="O177" s="148" t="s">
        <v>186</v>
      </c>
      <c r="Q177" s="148" t="str">
        <f>IF($O$169=1,"Barber shop","Barbershop")</f>
        <v>Barbershop</v>
      </c>
      <c r="R177" s="149"/>
      <c r="S177" s="149"/>
      <c r="T177" s="149"/>
    </row>
    <row r="178" spans="7:20" x14ac:dyDescent="0.3">
      <c r="G178" s="391"/>
      <c r="H178" s="391"/>
      <c r="I178" s="391"/>
      <c r="J178" s="391"/>
      <c r="N178" s="148" t="s">
        <v>66</v>
      </c>
      <c r="O178" s="148" t="s">
        <v>71</v>
      </c>
      <c r="Q178" s="148" t="s">
        <v>71</v>
      </c>
      <c r="R178" s="149"/>
      <c r="S178" s="149"/>
      <c r="T178" s="149"/>
    </row>
    <row r="179" spans="7:20" x14ac:dyDescent="0.3">
      <c r="G179" s="391"/>
      <c r="H179" s="391"/>
      <c r="I179" s="391"/>
      <c r="J179" s="391"/>
      <c r="N179" s="148" t="s">
        <v>95</v>
      </c>
      <c r="O179" s="148" t="s">
        <v>66</v>
      </c>
      <c r="Q179" s="148" t="s">
        <v>66</v>
      </c>
      <c r="R179" s="149"/>
      <c r="S179" s="149"/>
      <c r="T179" s="149"/>
    </row>
    <row r="180" spans="7:20" x14ac:dyDescent="0.3">
      <c r="G180" s="391"/>
      <c r="H180" s="391"/>
      <c r="I180" s="391"/>
      <c r="J180" s="391"/>
      <c r="N180" s="148" t="s">
        <v>70</v>
      </c>
      <c r="O180" s="148" t="s">
        <v>95</v>
      </c>
      <c r="Q180" s="148" t="s">
        <v>95</v>
      </c>
      <c r="R180" s="149"/>
      <c r="S180" s="149"/>
      <c r="T180" s="149"/>
    </row>
    <row r="181" spans="7:20" x14ac:dyDescent="0.3">
      <c r="G181" s="391"/>
      <c r="H181" s="391"/>
      <c r="I181" s="391"/>
      <c r="J181" s="391"/>
      <c r="N181" s="148" t="s">
        <v>51</v>
      </c>
      <c r="O181" s="148" t="s">
        <v>70</v>
      </c>
      <c r="Q181" s="148" t="s">
        <v>70</v>
      </c>
      <c r="R181" s="149"/>
      <c r="S181" s="149"/>
      <c r="T181" s="149"/>
    </row>
    <row r="182" spans="7:20" x14ac:dyDescent="0.3">
      <c r="G182" s="391"/>
      <c r="H182" s="391"/>
      <c r="I182" s="391"/>
      <c r="J182" s="391"/>
      <c r="N182" s="148" t="s">
        <v>105</v>
      </c>
      <c r="O182" s="148" t="s">
        <v>51</v>
      </c>
      <c r="Q182" s="148" t="s">
        <v>51</v>
      </c>
      <c r="R182" s="149"/>
      <c r="S182" s="149"/>
      <c r="T182" s="149"/>
    </row>
    <row r="183" spans="7:20" x14ac:dyDescent="0.3">
      <c r="G183" s="391"/>
      <c r="H183" s="391"/>
      <c r="I183" s="391"/>
      <c r="J183" s="391"/>
      <c r="N183" s="148" t="s">
        <v>175</v>
      </c>
      <c r="O183" s="148" t="s">
        <v>105</v>
      </c>
      <c r="Q183" s="148" t="s">
        <v>105</v>
      </c>
      <c r="R183" s="149"/>
      <c r="S183" s="149"/>
      <c r="T183" s="149"/>
    </row>
    <row r="184" spans="7:20" x14ac:dyDescent="0.3">
      <c r="G184" s="391"/>
      <c r="H184" s="391"/>
      <c r="I184" s="391"/>
      <c r="J184" s="391"/>
      <c r="N184" s="148" t="s">
        <v>65</v>
      </c>
      <c r="O184" s="148" t="s">
        <v>175</v>
      </c>
      <c r="Q184" s="148" t="s">
        <v>175</v>
      </c>
      <c r="R184" s="149"/>
      <c r="S184" s="149"/>
      <c r="T184" s="149"/>
    </row>
    <row r="185" spans="7:20" x14ac:dyDescent="0.3">
      <c r="G185" s="391"/>
      <c r="H185" s="391"/>
      <c r="I185" s="391"/>
      <c r="J185" s="391"/>
      <c r="N185" s="148" t="s">
        <v>48</v>
      </c>
      <c r="O185" s="148" t="s">
        <v>176</v>
      </c>
      <c r="Q185" s="148" t="s">
        <v>176</v>
      </c>
      <c r="R185" s="149"/>
      <c r="S185" s="149"/>
      <c r="T185" s="149"/>
    </row>
    <row r="186" spans="7:20" x14ac:dyDescent="0.3">
      <c r="G186" s="391"/>
      <c r="H186" s="391"/>
      <c r="I186" s="391"/>
      <c r="J186" s="391"/>
      <c r="N186" s="148" t="s">
        <v>54</v>
      </c>
      <c r="O186" s="148" t="s">
        <v>65</v>
      </c>
      <c r="Q186" s="148" t="s">
        <v>65</v>
      </c>
      <c r="R186" s="149"/>
      <c r="S186" s="149"/>
      <c r="T186" s="149"/>
    </row>
    <row r="187" spans="7:20" x14ac:dyDescent="0.3">
      <c r="G187" s="391"/>
      <c r="H187" s="391"/>
      <c r="I187" s="391"/>
      <c r="J187" s="391"/>
      <c r="N187" s="148" t="s">
        <v>53</v>
      </c>
      <c r="O187" s="148" t="s">
        <v>48</v>
      </c>
      <c r="Q187" s="148" t="s">
        <v>48</v>
      </c>
      <c r="R187" s="149"/>
      <c r="S187" s="149"/>
      <c r="T187" s="149"/>
    </row>
    <row r="188" spans="7:20" x14ac:dyDescent="0.3">
      <c r="G188" s="391"/>
      <c r="H188" s="391"/>
      <c r="I188" s="391"/>
      <c r="J188" s="391"/>
      <c r="N188" s="148" t="s">
        <v>151</v>
      </c>
      <c r="O188" s="148" t="s">
        <v>54</v>
      </c>
      <c r="Q188" s="148" t="s">
        <v>54</v>
      </c>
      <c r="R188" s="149"/>
      <c r="S188" s="149"/>
      <c r="T188" s="149"/>
    </row>
    <row r="189" spans="7:20" x14ac:dyDescent="0.3">
      <c r="G189" s="391"/>
      <c r="H189" s="391"/>
      <c r="I189" s="391"/>
      <c r="J189" s="391"/>
      <c r="N189" s="148" t="s">
        <v>97</v>
      </c>
      <c r="O189" s="148" t="s">
        <v>53</v>
      </c>
      <c r="Q189" s="148" t="s">
        <v>53</v>
      </c>
      <c r="R189" s="149"/>
      <c r="S189" s="149"/>
      <c r="T189" s="149"/>
    </row>
    <row r="190" spans="7:20" x14ac:dyDescent="0.3">
      <c r="G190" s="391"/>
      <c r="H190" s="391"/>
      <c r="I190" s="391"/>
      <c r="J190" s="391"/>
      <c r="N190" s="148" t="s">
        <v>159</v>
      </c>
      <c r="O190" s="148" t="s">
        <v>151</v>
      </c>
      <c r="Q190" s="148" t="s">
        <v>151</v>
      </c>
      <c r="R190" s="149"/>
      <c r="S190" s="149"/>
      <c r="T190" s="149"/>
    </row>
    <row r="191" spans="7:20" x14ac:dyDescent="0.3">
      <c r="G191" s="391"/>
      <c r="H191" s="391"/>
      <c r="I191" s="391"/>
      <c r="J191" s="391"/>
      <c r="N191" s="148" t="s">
        <v>79</v>
      </c>
      <c r="O191" s="148" t="s">
        <v>97</v>
      </c>
      <c r="Q191" s="148" t="s">
        <v>97</v>
      </c>
      <c r="R191" s="149"/>
      <c r="S191" s="149"/>
      <c r="T191" s="149"/>
    </row>
    <row r="192" spans="7:20" x14ac:dyDescent="0.3">
      <c r="G192" s="391"/>
      <c r="H192" s="391"/>
      <c r="I192" s="391"/>
      <c r="J192" s="391"/>
      <c r="N192" s="148" t="s">
        <v>60</v>
      </c>
      <c r="O192" s="148" t="s">
        <v>159</v>
      </c>
      <c r="Q192" s="148" t="s">
        <v>159</v>
      </c>
      <c r="R192" s="149"/>
      <c r="S192" s="149"/>
      <c r="T192" s="149"/>
    </row>
    <row r="193" spans="7:20" x14ac:dyDescent="0.3">
      <c r="G193" s="391"/>
      <c r="H193" s="391"/>
      <c r="I193" s="391"/>
      <c r="J193" s="391"/>
      <c r="N193" s="148" t="s">
        <v>67</v>
      </c>
      <c r="O193" s="148" t="s">
        <v>79</v>
      </c>
      <c r="Q193" s="148" t="s">
        <v>79</v>
      </c>
      <c r="R193" s="149"/>
      <c r="S193" s="149"/>
      <c r="T193" s="149"/>
    </row>
    <row r="194" spans="7:20" x14ac:dyDescent="0.3">
      <c r="G194" s="391"/>
      <c r="H194" s="391"/>
      <c r="I194" s="391"/>
      <c r="J194" s="391"/>
      <c r="N194" s="148" t="s">
        <v>68</v>
      </c>
      <c r="O194" s="148" t="s">
        <v>60</v>
      </c>
      <c r="Q194" s="148" t="s">
        <v>60</v>
      </c>
      <c r="R194" s="149"/>
      <c r="S194" s="149"/>
      <c r="T194" s="149"/>
    </row>
    <row r="195" spans="7:20" x14ac:dyDescent="0.3">
      <c r="G195" s="391"/>
      <c r="H195" s="391"/>
      <c r="I195" s="391"/>
      <c r="J195" s="391"/>
      <c r="N195" s="148" t="s">
        <v>87</v>
      </c>
      <c r="O195" s="148" t="s">
        <v>67</v>
      </c>
      <c r="Q195" s="148" t="s">
        <v>67</v>
      </c>
      <c r="R195" s="149"/>
      <c r="S195" s="149"/>
      <c r="T195" s="149"/>
    </row>
    <row r="196" spans="7:20" x14ac:dyDescent="0.3">
      <c r="G196" s="391"/>
      <c r="H196" s="391"/>
      <c r="I196" s="391"/>
      <c r="J196" s="391"/>
      <c r="N196" s="148" t="s">
        <v>49</v>
      </c>
      <c r="O196" s="148" t="s">
        <v>68</v>
      </c>
      <c r="Q196" s="148" t="s">
        <v>68</v>
      </c>
      <c r="R196" s="149"/>
      <c r="S196" s="149"/>
      <c r="T196" s="149"/>
    </row>
    <row r="197" spans="7:20" x14ac:dyDescent="0.3">
      <c r="G197" s="391"/>
      <c r="H197" s="391"/>
      <c r="I197" s="391"/>
      <c r="J197" s="391"/>
      <c r="N197" s="148" t="s">
        <v>52</v>
      </c>
      <c r="O197" s="148" t="s">
        <v>87</v>
      </c>
      <c r="Q197" s="148" t="s">
        <v>87</v>
      </c>
      <c r="R197" s="149"/>
      <c r="S197" s="149"/>
      <c r="T197" s="149"/>
    </row>
    <row r="198" spans="7:20" x14ac:dyDescent="0.3">
      <c r="G198" s="391"/>
      <c r="H198" s="391"/>
      <c r="I198" s="391"/>
      <c r="J198" s="391"/>
      <c r="N198" s="148" t="s">
        <v>291</v>
      </c>
      <c r="O198" s="148" t="s">
        <v>49</v>
      </c>
      <c r="Q198" s="148" t="s">
        <v>49</v>
      </c>
      <c r="R198" s="149"/>
      <c r="S198" s="149"/>
      <c r="T198" s="149"/>
    </row>
    <row r="199" spans="7:20" x14ac:dyDescent="0.3">
      <c r="G199" s="391"/>
      <c r="H199" s="391"/>
      <c r="I199" s="391"/>
      <c r="J199" s="391"/>
      <c r="N199" s="148" t="s">
        <v>102</v>
      </c>
      <c r="O199" s="148" t="s">
        <v>52</v>
      </c>
      <c r="Q199" s="148" t="s">
        <v>52</v>
      </c>
      <c r="R199" s="149"/>
      <c r="S199" s="149"/>
      <c r="T199" s="149"/>
    </row>
    <row r="200" spans="7:20" x14ac:dyDescent="0.3">
      <c r="G200" s="391"/>
      <c r="H200" s="391"/>
      <c r="I200" s="391"/>
      <c r="J200" s="391"/>
      <c r="N200" s="148" t="s">
        <v>292</v>
      </c>
      <c r="O200" s="148" t="s">
        <v>102</v>
      </c>
      <c r="Q200" s="148" t="s">
        <v>291</v>
      </c>
      <c r="R200" s="149"/>
      <c r="S200" s="149"/>
      <c r="T200" s="149"/>
    </row>
    <row r="201" spans="7:20" x14ac:dyDescent="0.3">
      <c r="G201" s="391"/>
      <c r="H201" s="391"/>
      <c r="I201" s="391"/>
      <c r="J201" s="391"/>
      <c r="N201" s="148" t="s">
        <v>289</v>
      </c>
      <c r="O201" s="148" t="s">
        <v>177</v>
      </c>
      <c r="Q201" s="148" t="s">
        <v>102</v>
      </c>
      <c r="R201" s="149"/>
      <c r="S201" s="149"/>
      <c r="T201" s="149"/>
    </row>
    <row r="202" spans="7:20" x14ac:dyDescent="0.3">
      <c r="G202" s="391"/>
      <c r="H202" s="391"/>
      <c r="I202" s="391"/>
      <c r="J202" s="391"/>
      <c r="N202" s="148" t="s">
        <v>290</v>
      </c>
      <c r="O202" s="148" t="s">
        <v>179</v>
      </c>
      <c r="Q202" s="148" t="s">
        <v>292</v>
      </c>
      <c r="R202" s="149"/>
      <c r="S202" s="149"/>
      <c r="T202" s="149"/>
    </row>
    <row r="203" spans="7:20" x14ac:dyDescent="0.3">
      <c r="G203" s="391"/>
      <c r="H203" s="391"/>
      <c r="I203" s="391"/>
      <c r="J203" s="391"/>
      <c r="N203" s="148" t="s">
        <v>106</v>
      </c>
      <c r="O203" s="148" t="s">
        <v>178</v>
      </c>
      <c r="Q203" s="148" t="s">
        <v>177</v>
      </c>
      <c r="R203" s="149"/>
      <c r="S203" s="149"/>
      <c r="T203" s="149"/>
    </row>
    <row r="204" spans="7:20" x14ac:dyDescent="0.3">
      <c r="G204" s="391"/>
      <c r="H204" s="391"/>
      <c r="I204" s="391"/>
      <c r="J204" s="391"/>
      <c r="N204" s="148" t="s">
        <v>107</v>
      </c>
      <c r="O204" s="148" t="s">
        <v>106</v>
      </c>
      <c r="Q204" s="148" t="s">
        <v>179</v>
      </c>
      <c r="R204" s="149"/>
      <c r="S204" s="149"/>
      <c r="T204" s="149"/>
    </row>
    <row r="205" spans="7:20" x14ac:dyDescent="0.3">
      <c r="G205" s="391"/>
      <c r="H205" s="391"/>
      <c r="I205" s="391"/>
      <c r="J205" s="391"/>
      <c r="N205" s="148" t="s">
        <v>50</v>
      </c>
      <c r="O205" s="148" t="s">
        <v>107</v>
      </c>
      <c r="Q205" s="148" t="s">
        <v>178</v>
      </c>
      <c r="R205" s="149"/>
      <c r="S205" s="149"/>
      <c r="T205" s="149"/>
    </row>
    <row r="206" spans="7:20" ht="91.2" x14ac:dyDescent="0.3">
      <c r="G206" s="391"/>
      <c r="H206" s="391"/>
      <c r="I206" s="391"/>
      <c r="J206" s="391"/>
      <c r="N206" s="148" t="s">
        <v>99</v>
      </c>
      <c r="O206" s="152" t="s">
        <v>293</v>
      </c>
      <c r="Q206" s="148" t="s">
        <v>289</v>
      </c>
      <c r="R206" s="149"/>
      <c r="S206" s="149"/>
      <c r="T206" s="149"/>
    </row>
    <row r="207" spans="7:20" x14ac:dyDescent="0.3">
      <c r="G207" s="391"/>
      <c r="H207" s="391"/>
      <c r="I207" s="391"/>
      <c r="J207" s="391"/>
      <c r="N207" s="148" t="s">
        <v>103</v>
      </c>
      <c r="O207" s="148" t="s">
        <v>50</v>
      </c>
      <c r="Q207" s="148" t="s">
        <v>290</v>
      </c>
      <c r="R207" s="149"/>
      <c r="S207" s="149"/>
      <c r="T207" s="149"/>
    </row>
    <row r="208" spans="7:20" x14ac:dyDescent="0.3">
      <c r="G208" s="391"/>
      <c r="H208" s="391"/>
      <c r="I208" s="391"/>
      <c r="J208" s="391"/>
      <c r="N208" s="148" t="s">
        <v>104</v>
      </c>
      <c r="O208" s="148" t="s">
        <v>99</v>
      </c>
      <c r="Q208" s="148" t="s">
        <v>306</v>
      </c>
      <c r="R208" s="149"/>
      <c r="S208" s="149"/>
      <c r="T208" s="149"/>
    </row>
    <row r="209" spans="7:20" x14ac:dyDescent="0.3">
      <c r="G209" s="391"/>
      <c r="H209" s="391"/>
      <c r="I209" s="391"/>
      <c r="J209" s="391"/>
      <c r="N209" s="148" t="s">
        <v>154</v>
      </c>
      <c r="O209" s="148" t="s">
        <v>103</v>
      </c>
      <c r="Q209" s="148" t="s">
        <v>106</v>
      </c>
      <c r="R209" s="149"/>
      <c r="S209" s="149"/>
      <c r="T209" s="149"/>
    </row>
    <row r="210" spans="7:20" ht="24" customHeight="1" x14ac:dyDescent="0.3">
      <c r="G210" s="392"/>
      <c r="H210" s="392"/>
      <c r="I210" s="392"/>
      <c r="J210" s="392"/>
      <c r="N210" s="148" t="s">
        <v>153</v>
      </c>
      <c r="O210" s="148" t="s">
        <v>104</v>
      </c>
      <c r="Q210" s="148" t="s">
        <v>107</v>
      </c>
      <c r="R210" s="149"/>
      <c r="S210" s="149"/>
      <c r="T210" s="149"/>
    </row>
    <row r="211" spans="7:20" ht="14.55" customHeight="1" x14ac:dyDescent="0.3">
      <c r="G211" s="391"/>
      <c r="H211" s="391"/>
      <c r="I211" s="391"/>
      <c r="J211" s="391"/>
      <c r="N211" s="148" t="s">
        <v>55</v>
      </c>
      <c r="O211" s="148" t="s">
        <v>150</v>
      </c>
      <c r="Q211" s="152" t="s">
        <v>293</v>
      </c>
      <c r="R211" s="442"/>
      <c r="S211" s="442"/>
      <c r="T211" s="443"/>
    </row>
    <row r="212" spans="7:20" x14ac:dyDescent="0.3">
      <c r="G212" s="391"/>
      <c r="H212" s="391"/>
      <c r="I212" s="391"/>
      <c r="J212" s="391"/>
      <c r="N212" s="148" t="s">
        <v>56</v>
      </c>
      <c r="O212" s="148" t="s">
        <v>154</v>
      </c>
      <c r="Q212" s="148" t="s">
        <v>50</v>
      </c>
      <c r="R212" s="149"/>
      <c r="S212" s="149"/>
      <c r="T212" s="149"/>
    </row>
    <row r="213" spans="7:20" x14ac:dyDescent="0.3">
      <c r="G213" s="391"/>
      <c r="H213" s="391"/>
      <c r="I213" s="391"/>
      <c r="J213" s="391"/>
      <c r="N213" s="148" t="s">
        <v>88</v>
      </c>
      <c r="O213" s="148" t="s">
        <v>153</v>
      </c>
      <c r="Q213" s="148" t="str">
        <f>IF($K$14="LEED v4.1","Gym, sports arena (play area)","Gym, stadium (play area)")</f>
        <v>Gym, sports arena (play area)</v>
      </c>
      <c r="R213" s="149"/>
      <c r="S213" s="149"/>
      <c r="T213" s="149"/>
    </row>
    <row r="214" spans="7:20" x14ac:dyDescent="0.3">
      <c r="G214" s="391"/>
      <c r="H214" s="391"/>
      <c r="I214" s="391"/>
      <c r="J214" s="391"/>
      <c r="N214" s="148" t="s">
        <v>89</v>
      </c>
      <c r="O214" s="148" t="s">
        <v>55</v>
      </c>
      <c r="Q214" s="148" t="s">
        <v>103</v>
      </c>
      <c r="R214" s="149"/>
      <c r="S214" s="149"/>
      <c r="T214" s="149"/>
    </row>
    <row r="215" spans="7:20" x14ac:dyDescent="0.3">
      <c r="G215" s="391"/>
      <c r="H215" s="391"/>
      <c r="I215" s="391"/>
      <c r="J215" s="391"/>
      <c r="N215" s="148" t="s">
        <v>90</v>
      </c>
      <c r="O215" s="148" t="s">
        <v>56</v>
      </c>
      <c r="Q215" s="148" t="s">
        <v>104</v>
      </c>
      <c r="R215" s="149"/>
      <c r="S215" s="149"/>
      <c r="T215" s="149"/>
    </row>
    <row r="216" spans="7:20" x14ac:dyDescent="0.3">
      <c r="G216" s="391"/>
      <c r="H216" s="391"/>
      <c r="I216" s="391"/>
      <c r="J216" s="391"/>
      <c r="N216" s="148" t="s">
        <v>72</v>
      </c>
      <c r="O216" s="148" t="s">
        <v>88</v>
      </c>
      <c r="Q216" s="148" t="s">
        <v>150</v>
      </c>
      <c r="R216" s="149"/>
      <c r="S216" s="149"/>
      <c r="T216" s="149"/>
    </row>
    <row r="217" spans="7:20" x14ac:dyDescent="0.3">
      <c r="G217" s="391"/>
      <c r="H217" s="391"/>
      <c r="I217" s="391"/>
      <c r="J217" s="391"/>
      <c r="N217" s="148" t="s">
        <v>77</v>
      </c>
      <c r="O217" s="148" t="s">
        <v>89</v>
      </c>
      <c r="Q217" s="148" t="s">
        <v>154</v>
      </c>
      <c r="R217" s="149"/>
      <c r="S217" s="149"/>
      <c r="T217" s="149"/>
    </row>
    <row r="218" spans="7:20" x14ac:dyDescent="0.3">
      <c r="G218" s="391"/>
      <c r="H218" s="391"/>
      <c r="I218" s="391"/>
      <c r="J218" s="391"/>
      <c r="N218" s="148" t="s">
        <v>94</v>
      </c>
      <c r="O218" s="148" t="s">
        <v>90</v>
      </c>
      <c r="Q218" s="148" t="s">
        <v>153</v>
      </c>
      <c r="R218" s="149"/>
      <c r="S218" s="149"/>
      <c r="T218" s="149"/>
    </row>
    <row r="219" spans="7:20" x14ac:dyDescent="0.3">
      <c r="G219" s="391"/>
      <c r="H219" s="391"/>
      <c r="I219" s="391"/>
      <c r="J219" s="391"/>
      <c r="N219" s="148" t="s">
        <v>61</v>
      </c>
      <c r="O219" s="148" t="s">
        <v>72</v>
      </c>
      <c r="Q219" s="148" t="s">
        <v>55</v>
      </c>
      <c r="R219" s="149"/>
      <c r="S219" s="149"/>
      <c r="T219" s="149"/>
    </row>
    <row r="220" spans="7:20" x14ac:dyDescent="0.3">
      <c r="G220" s="391"/>
      <c r="H220" s="391"/>
      <c r="I220" s="391"/>
      <c r="J220" s="391"/>
      <c r="N220" s="148" t="s">
        <v>73</v>
      </c>
      <c r="O220" s="148" t="s">
        <v>77</v>
      </c>
      <c r="Q220" s="148" t="s">
        <v>56</v>
      </c>
      <c r="R220" s="149"/>
      <c r="S220" s="149"/>
      <c r="T220" s="149"/>
    </row>
    <row r="221" spans="7:20" x14ac:dyDescent="0.3">
      <c r="G221" s="391"/>
      <c r="H221" s="391"/>
      <c r="I221" s="391"/>
      <c r="J221" s="391"/>
      <c r="N221" s="148" t="s">
        <v>63</v>
      </c>
      <c r="O221" s="148" t="s">
        <v>94</v>
      </c>
      <c r="Q221" s="148" t="s">
        <v>88</v>
      </c>
      <c r="R221" s="149"/>
      <c r="S221" s="149"/>
      <c r="T221" s="149"/>
    </row>
    <row r="222" spans="7:20" x14ac:dyDescent="0.3">
      <c r="G222" s="391"/>
      <c r="H222" s="391"/>
      <c r="I222" s="391"/>
      <c r="J222" s="391"/>
      <c r="N222" s="148" t="s">
        <v>91</v>
      </c>
      <c r="O222" s="148" t="s">
        <v>61</v>
      </c>
      <c r="Q222" s="148" t="s">
        <v>89</v>
      </c>
      <c r="R222" s="149"/>
      <c r="S222" s="149"/>
      <c r="T222" s="149"/>
    </row>
    <row r="223" spans="7:20" x14ac:dyDescent="0.3">
      <c r="G223" s="391"/>
      <c r="H223" s="391"/>
      <c r="I223" s="391"/>
      <c r="J223" s="391"/>
      <c r="N223" s="148" t="s">
        <v>92</v>
      </c>
      <c r="O223" s="148" t="s">
        <v>73</v>
      </c>
      <c r="Q223" s="148" t="s">
        <v>90</v>
      </c>
      <c r="R223" s="149"/>
      <c r="S223" s="149"/>
      <c r="T223" s="149"/>
    </row>
    <row r="224" spans="7:20" x14ac:dyDescent="0.3">
      <c r="G224" s="391"/>
      <c r="H224" s="391"/>
      <c r="I224" s="391"/>
      <c r="J224" s="391"/>
      <c r="N224" s="148" t="s">
        <v>62</v>
      </c>
      <c r="O224" s="148" t="s">
        <v>63</v>
      </c>
      <c r="Q224" s="148" t="s">
        <v>72</v>
      </c>
      <c r="R224" s="149"/>
      <c r="S224" s="149"/>
      <c r="T224" s="149"/>
    </row>
    <row r="225" spans="7:20" x14ac:dyDescent="0.3">
      <c r="G225" s="391"/>
      <c r="H225" s="391"/>
      <c r="I225" s="391"/>
      <c r="J225" s="391"/>
      <c r="N225" s="148" t="s">
        <v>74</v>
      </c>
      <c r="O225" s="148" t="s">
        <v>91</v>
      </c>
      <c r="Q225" s="148" t="s">
        <v>77</v>
      </c>
      <c r="R225" s="149"/>
      <c r="S225" s="149"/>
      <c r="T225" s="149"/>
    </row>
    <row r="226" spans="7:20" x14ac:dyDescent="0.3">
      <c r="G226" s="391"/>
      <c r="H226" s="391"/>
      <c r="I226" s="391"/>
      <c r="J226" s="391"/>
      <c r="N226" s="148" t="s">
        <v>181</v>
      </c>
      <c r="O226" s="148" t="s">
        <v>92</v>
      </c>
      <c r="Q226" s="148" t="s">
        <v>94</v>
      </c>
      <c r="R226" s="149"/>
      <c r="S226" s="149"/>
      <c r="T226" s="149"/>
    </row>
    <row r="227" spans="7:20" x14ac:dyDescent="0.3">
      <c r="G227" s="391"/>
      <c r="H227" s="391"/>
      <c r="I227" s="391"/>
      <c r="J227" s="391"/>
      <c r="N227" s="148" t="s">
        <v>80</v>
      </c>
      <c r="O227" s="148" t="s">
        <v>62</v>
      </c>
      <c r="Q227" s="148" t="s">
        <v>61</v>
      </c>
      <c r="R227" s="149"/>
      <c r="S227" s="149"/>
      <c r="T227" s="149"/>
    </row>
    <row r="228" spans="7:20" x14ac:dyDescent="0.3">
      <c r="G228" s="391"/>
      <c r="H228" s="391"/>
      <c r="I228" s="391"/>
      <c r="J228" s="391"/>
      <c r="N228" s="148" t="s">
        <v>81</v>
      </c>
      <c r="O228" s="148" t="s">
        <v>155</v>
      </c>
      <c r="Q228" s="148" t="s">
        <v>73</v>
      </c>
      <c r="R228" s="149"/>
      <c r="S228" s="149"/>
      <c r="T228" s="149"/>
    </row>
    <row r="229" spans="7:20" x14ac:dyDescent="0.3">
      <c r="G229" s="391"/>
      <c r="H229" s="391"/>
      <c r="I229" s="391"/>
      <c r="J229" s="391"/>
      <c r="N229" s="148" t="s">
        <v>86</v>
      </c>
      <c r="O229" s="148" t="s">
        <v>152</v>
      </c>
      <c r="Q229" s="148" t="s">
        <v>63</v>
      </c>
      <c r="R229" s="149"/>
      <c r="S229" s="149"/>
      <c r="T229" s="149"/>
    </row>
    <row r="230" spans="7:20" x14ac:dyDescent="0.3">
      <c r="G230" s="391"/>
      <c r="H230" s="391"/>
      <c r="I230" s="391"/>
      <c r="J230" s="391"/>
      <c r="N230" s="148" t="s">
        <v>75</v>
      </c>
      <c r="O230" s="148" t="s">
        <v>74</v>
      </c>
      <c r="Q230" s="148" t="s">
        <v>91</v>
      </c>
      <c r="R230" s="149"/>
      <c r="S230" s="149"/>
      <c r="T230" s="149"/>
    </row>
    <row r="231" spans="7:20" x14ac:dyDescent="0.3">
      <c r="G231" s="391"/>
      <c r="H231" s="391"/>
      <c r="I231" s="391"/>
      <c r="J231" s="391"/>
      <c r="N231" s="148" t="s">
        <v>64</v>
      </c>
      <c r="O231" s="148" t="s">
        <v>180</v>
      </c>
      <c r="Q231" s="148" t="s">
        <v>92</v>
      </c>
      <c r="R231" s="149"/>
      <c r="S231" s="149"/>
      <c r="T231" s="149"/>
    </row>
    <row r="232" spans="7:20" x14ac:dyDescent="0.3">
      <c r="G232" s="391"/>
      <c r="H232" s="391"/>
      <c r="I232" s="391"/>
      <c r="J232" s="391"/>
      <c r="N232" s="148" t="s">
        <v>93</v>
      </c>
      <c r="O232" s="148" t="s">
        <v>80</v>
      </c>
      <c r="Q232" s="148" t="s">
        <v>62</v>
      </c>
      <c r="R232" s="149"/>
      <c r="S232" s="149"/>
      <c r="T232" s="149"/>
    </row>
    <row r="233" spans="7:20" x14ac:dyDescent="0.3">
      <c r="G233" s="391"/>
      <c r="H233" s="391"/>
      <c r="I233" s="391"/>
      <c r="J233" s="391"/>
      <c r="N233" s="148" t="s">
        <v>58</v>
      </c>
      <c r="O233" s="148" t="s">
        <v>81</v>
      </c>
      <c r="Q233" s="148" t="s">
        <v>155</v>
      </c>
      <c r="R233" s="149"/>
      <c r="S233" s="149"/>
      <c r="T233" s="149"/>
    </row>
    <row r="234" spans="7:20" x14ac:dyDescent="0.3">
      <c r="G234" s="391"/>
      <c r="H234" s="391"/>
      <c r="I234" s="391"/>
      <c r="J234" s="391"/>
      <c r="N234" s="148" t="s">
        <v>82</v>
      </c>
      <c r="O234" s="148" t="s">
        <v>86</v>
      </c>
      <c r="Q234" s="148" t="s">
        <v>152</v>
      </c>
      <c r="R234" s="149"/>
      <c r="S234" s="149"/>
      <c r="T234" s="149"/>
    </row>
    <row r="235" spans="7:20" x14ac:dyDescent="0.3">
      <c r="G235" s="391"/>
      <c r="H235" s="391"/>
      <c r="I235" s="391"/>
      <c r="J235" s="391"/>
      <c r="N235" s="148" t="s">
        <v>100</v>
      </c>
      <c r="O235" s="148" t="s">
        <v>75</v>
      </c>
      <c r="Q235" s="148" t="s">
        <v>74</v>
      </c>
      <c r="R235" s="149"/>
      <c r="S235" s="149"/>
      <c r="T235" s="149"/>
    </row>
    <row r="236" spans="7:20" x14ac:dyDescent="0.3">
      <c r="G236" s="391"/>
      <c r="H236" s="391"/>
      <c r="I236" s="391"/>
      <c r="J236" s="391"/>
      <c r="N236" s="148" t="s">
        <v>98</v>
      </c>
      <c r="O236" s="148" t="s">
        <v>64</v>
      </c>
      <c r="Q236" s="148" t="str">
        <f>IF($O$169=1,"Pet shops","Pet shops (animal areas)")</f>
        <v>Pet shops (animal areas)</v>
      </c>
      <c r="R236" s="149"/>
      <c r="S236" s="149"/>
      <c r="T236" s="149"/>
    </row>
    <row r="237" spans="7:20" x14ac:dyDescent="0.3">
      <c r="G237" s="391"/>
      <c r="H237" s="391"/>
      <c r="I237" s="391"/>
      <c r="J237" s="391"/>
      <c r="N237" s="148" t="s">
        <v>160</v>
      </c>
      <c r="O237" s="148" t="s">
        <v>93</v>
      </c>
      <c r="Q237" s="148" t="s">
        <v>80</v>
      </c>
      <c r="R237" s="149"/>
      <c r="S237" s="149"/>
      <c r="T237" s="149"/>
    </row>
    <row r="238" spans="7:20" x14ac:dyDescent="0.3">
      <c r="G238" s="391"/>
      <c r="H238" s="391"/>
      <c r="I238" s="391"/>
      <c r="J238" s="391"/>
      <c r="N238" s="148" t="s">
        <v>69</v>
      </c>
      <c r="O238" s="148" t="s">
        <v>58</v>
      </c>
      <c r="Q238" s="148" t="s">
        <v>81</v>
      </c>
      <c r="R238" s="149"/>
      <c r="S238" s="149"/>
      <c r="T238" s="149"/>
    </row>
    <row r="239" spans="7:20" x14ac:dyDescent="0.3">
      <c r="G239" s="391"/>
      <c r="H239" s="391"/>
      <c r="I239" s="391"/>
      <c r="J239" s="391"/>
      <c r="N239" s="148" t="s">
        <v>96</v>
      </c>
      <c r="O239" s="148" t="s">
        <v>82</v>
      </c>
      <c r="Q239" s="148" t="s">
        <v>86</v>
      </c>
      <c r="R239" s="149"/>
      <c r="S239" s="149"/>
      <c r="T239" s="149"/>
    </row>
    <row r="240" spans="7:20" x14ac:dyDescent="0.3">
      <c r="G240" s="391"/>
      <c r="H240" s="391"/>
      <c r="I240" s="391"/>
      <c r="J240" s="391"/>
      <c r="N240" s="148" t="s">
        <v>101</v>
      </c>
      <c r="O240" s="148" t="s">
        <v>157</v>
      </c>
      <c r="Q240" s="148" t="s">
        <v>75</v>
      </c>
      <c r="R240" s="149"/>
      <c r="S240" s="149"/>
      <c r="T240" s="149"/>
    </row>
    <row r="241" spans="7:20" x14ac:dyDescent="0.3">
      <c r="G241" s="391"/>
      <c r="H241" s="391"/>
      <c r="I241" s="391"/>
      <c r="J241" s="391"/>
      <c r="N241" s="148" t="s">
        <v>76</v>
      </c>
      <c r="O241" s="148" t="s">
        <v>100</v>
      </c>
      <c r="Q241" s="148" t="s">
        <v>64</v>
      </c>
      <c r="R241" s="149"/>
      <c r="S241" s="149"/>
      <c r="T241" s="149"/>
    </row>
    <row r="242" spans="7:20" x14ac:dyDescent="0.3">
      <c r="G242" s="391"/>
      <c r="H242" s="391"/>
      <c r="I242" s="391"/>
      <c r="J242" s="391"/>
      <c r="N242" s="148" t="s">
        <v>83</v>
      </c>
      <c r="O242" s="148" t="s">
        <v>98</v>
      </c>
      <c r="Q242" s="148" t="s">
        <v>93</v>
      </c>
      <c r="R242" s="149"/>
      <c r="S242" s="149"/>
      <c r="T242" s="149"/>
    </row>
    <row r="243" spans="7:20" x14ac:dyDescent="0.3">
      <c r="G243" s="391"/>
      <c r="H243" s="391"/>
      <c r="I243" s="391"/>
      <c r="J243" s="391"/>
      <c r="N243" s="148" t="s">
        <v>84</v>
      </c>
      <c r="O243" s="148" t="s">
        <v>160</v>
      </c>
      <c r="Q243" s="148" t="s">
        <v>58</v>
      </c>
      <c r="R243" s="149"/>
      <c r="S243" s="149"/>
      <c r="T243" s="149"/>
    </row>
    <row r="244" spans="7:20" x14ac:dyDescent="0.3">
      <c r="G244" s="391"/>
      <c r="H244" s="391"/>
      <c r="I244" s="391"/>
      <c r="J244" s="391"/>
      <c r="N244" s="150" t="s">
        <v>59</v>
      </c>
      <c r="O244" s="148" t="s">
        <v>96</v>
      </c>
      <c r="Q244" s="148" t="s">
        <v>82</v>
      </c>
      <c r="R244" s="149"/>
      <c r="S244" s="149"/>
      <c r="T244" s="149"/>
    </row>
    <row r="245" spans="7:20" x14ac:dyDescent="0.3">
      <c r="G245" s="391"/>
      <c r="H245" s="391"/>
      <c r="I245" s="391"/>
      <c r="J245" s="391"/>
      <c r="O245" s="148" t="s">
        <v>101</v>
      </c>
      <c r="Q245" s="148" t="s">
        <v>157</v>
      </c>
      <c r="R245" s="149"/>
      <c r="S245" s="149"/>
      <c r="T245" s="149"/>
    </row>
    <row r="246" spans="7:20" x14ac:dyDescent="0.3">
      <c r="G246" s="391"/>
      <c r="H246" s="391"/>
      <c r="I246" s="391"/>
      <c r="J246" s="391"/>
      <c r="O246" s="148" t="s">
        <v>76</v>
      </c>
      <c r="Q246" s="148" t="s">
        <v>100</v>
      </c>
      <c r="R246" s="149"/>
      <c r="S246" s="149"/>
      <c r="T246" s="149"/>
    </row>
    <row r="247" spans="7:20" x14ac:dyDescent="0.3">
      <c r="G247" s="391"/>
      <c r="H247" s="391"/>
      <c r="I247" s="391"/>
      <c r="J247" s="391"/>
      <c r="O247" s="148" t="s">
        <v>158</v>
      </c>
      <c r="Q247" s="148" t="s">
        <v>160</v>
      </c>
      <c r="R247" s="149"/>
      <c r="S247" s="149"/>
      <c r="T247" s="149"/>
    </row>
    <row r="248" spans="7:20" x14ac:dyDescent="0.3">
      <c r="G248" s="391"/>
      <c r="H248" s="391"/>
      <c r="I248" s="391"/>
      <c r="J248" s="391"/>
      <c r="O248" s="148" t="s">
        <v>83</v>
      </c>
      <c r="Q248" s="148" t="s">
        <v>69</v>
      </c>
      <c r="R248" s="149"/>
      <c r="S248" s="149"/>
      <c r="T248" s="149"/>
    </row>
    <row r="249" spans="7:20" x14ac:dyDescent="0.3">
      <c r="G249" s="391"/>
      <c r="H249" s="391"/>
      <c r="I249" s="391"/>
      <c r="J249" s="391"/>
      <c r="O249" s="148" t="s">
        <v>149</v>
      </c>
      <c r="Q249" s="148" t="s">
        <v>96</v>
      </c>
      <c r="R249" s="149"/>
      <c r="S249" s="149"/>
      <c r="T249" s="149"/>
    </row>
    <row r="250" spans="7:20" x14ac:dyDescent="0.3">
      <c r="G250" s="391"/>
      <c r="H250" s="391"/>
      <c r="I250" s="391"/>
      <c r="J250" s="391"/>
      <c r="O250" s="148" t="s">
        <v>84</v>
      </c>
      <c r="Q250" s="148" t="s">
        <v>101</v>
      </c>
      <c r="R250" s="149"/>
      <c r="S250" s="149"/>
      <c r="T250" s="149"/>
    </row>
    <row r="251" spans="7:20" x14ac:dyDescent="0.3">
      <c r="G251" s="391"/>
      <c r="H251" s="391"/>
      <c r="I251" s="391"/>
      <c r="J251" s="391"/>
      <c r="O251" s="150" t="s">
        <v>59</v>
      </c>
      <c r="Q251" s="148" t="s">
        <v>76</v>
      </c>
      <c r="R251" s="149"/>
      <c r="S251" s="149"/>
      <c r="T251" s="149"/>
    </row>
    <row r="252" spans="7:20" x14ac:dyDescent="0.3">
      <c r="Q252" s="148" t="s">
        <v>158</v>
      </c>
      <c r="R252" s="149"/>
      <c r="S252" s="149"/>
      <c r="T252" s="149"/>
    </row>
    <row r="253" spans="7:20" x14ac:dyDescent="0.3">
      <c r="N253" s="387" t="s">
        <v>297</v>
      </c>
      <c r="O253" s="377" t="s">
        <v>124</v>
      </c>
      <c r="Q253" s="148" t="s">
        <v>83</v>
      </c>
      <c r="R253" s="149"/>
      <c r="S253" s="149"/>
      <c r="T253" s="149"/>
    </row>
    <row r="254" spans="7:20" x14ac:dyDescent="0.3">
      <c r="N254" s="388">
        <v>0</v>
      </c>
      <c r="O254" s="386">
        <v>1</v>
      </c>
      <c r="Q254" s="148" t="s">
        <v>149</v>
      </c>
      <c r="R254" s="149"/>
      <c r="S254" s="149"/>
      <c r="T254" s="149"/>
    </row>
    <row r="255" spans="7:20" x14ac:dyDescent="0.3">
      <c r="N255" s="389">
        <v>0.01</v>
      </c>
      <c r="O255" s="386">
        <v>1</v>
      </c>
      <c r="Q255" s="148" t="s">
        <v>84</v>
      </c>
      <c r="R255" s="149"/>
      <c r="S255" s="149"/>
      <c r="T255" s="149"/>
    </row>
    <row r="256" spans="7:20" x14ac:dyDescent="0.3">
      <c r="N256" s="389">
        <v>0.02</v>
      </c>
      <c r="O256" s="386">
        <v>1</v>
      </c>
      <c r="Q256" s="150" t="s">
        <v>59</v>
      </c>
      <c r="R256" s="149"/>
      <c r="S256" s="149"/>
      <c r="T256" s="149"/>
    </row>
    <row r="257" spans="14:20" x14ac:dyDescent="0.3">
      <c r="N257" s="389">
        <v>0.03</v>
      </c>
      <c r="O257" s="386">
        <v>1</v>
      </c>
      <c r="R257" s="151"/>
      <c r="S257" s="151"/>
      <c r="T257" s="151"/>
    </row>
    <row r="258" spans="14:20" x14ac:dyDescent="0.3">
      <c r="N258" s="389">
        <v>0.04</v>
      </c>
      <c r="O258" s="386">
        <v>1</v>
      </c>
    </row>
    <row r="259" spans="14:20" x14ac:dyDescent="0.3">
      <c r="N259" s="389">
        <v>0.05</v>
      </c>
      <c r="O259" s="386">
        <v>1</v>
      </c>
    </row>
    <row r="260" spans="14:20" x14ac:dyDescent="0.3">
      <c r="N260" s="389">
        <v>0.06</v>
      </c>
      <c r="O260" s="386">
        <v>1</v>
      </c>
    </row>
    <row r="261" spans="14:20" x14ac:dyDescent="0.3">
      <c r="N261" s="389">
        <v>7.0000000000000007E-2</v>
      </c>
      <c r="O261" s="386">
        <v>1</v>
      </c>
    </row>
    <row r="262" spans="14:20" x14ac:dyDescent="0.3">
      <c r="N262" s="389">
        <v>0.08</v>
      </c>
      <c r="O262" s="386">
        <v>1</v>
      </c>
    </row>
    <row r="263" spans="14:20" x14ac:dyDescent="0.3">
      <c r="N263" s="389">
        <v>0.09</v>
      </c>
      <c r="O263" s="386">
        <v>1</v>
      </c>
    </row>
    <row r="264" spans="14:20" x14ac:dyDescent="0.3">
      <c r="N264" s="389">
        <v>0.1</v>
      </c>
      <c r="O264" s="386">
        <v>1</v>
      </c>
    </row>
    <row r="265" spans="14:20" x14ac:dyDescent="0.3">
      <c r="N265" s="389">
        <v>0.11</v>
      </c>
      <c r="O265" s="386">
        <v>1</v>
      </c>
    </row>
    <row r="266" spans="14:20" x14ac:dyDescent="0.3">
      <c r="N266" s="389">
        <v>0.12</v>
      </c>
      <c r="O266" s="386">
        <v>1</v>
      </c>
    </row>
    <row r="267" spans="14:20" x14ac:dyDescent="0.3">
      <c r="N267" s="389">
        <v>0.13</v>
      </c>
      <c r="O267" s="386">
        <v>1</v>
      </c>
    </row>
    <row r="268" spans="14:20" x14ac:dyDescent="0.3">
      <c r="N268" s="389">
        <v>0.14000000000000001</v>
      </c>
      <c r="O268" s="386">
        <v>1</v>
      </c>
    </row>
    <row r="269" spans="14:20" x14ac:dyDescent="0.3">
      <c r="N269" s="389">
        <v>0.15</v>
      </c>
      <c r="O269" s="386">
        <v>1</v>
      </c>
    </row>
    <row r="270" spans="14:20" x14ac:dyDescent="0.3">
      <c r="N270" s="379">
        <v>0.16</v>
      </c>
      <c r="O270" s="379">
        <v>0.99</v>
      </c>
    </row>
    <row r="271" spans="14:20" x14ac:dyDescent="0.3">
      <c r="N271" s="379">
        <v>0.17</v>
      </c>
      <c r="O271" s="379">
        <v>0.98</v>
      </c>
    </row>
    <row r="272" spans="14:20" x14ac:dyDescent="0.3">
      <c r="N272" s="379">
        <v>0.18</v>
      </c>
      <c r="O272" s="379">
        <v>0.97</v>
      </c>
    </row>
    <row r="273" spans="14:15" x14ac:dyDescent="0.3">
      <c r="N273" s="379">
        <v>0.19</v>
      </c>
      <c r="O273" s="379">
        <v>0.96</v>
      </c>
    </row>
    <row r="274" spans="14:15" x14ac:dyDescent="0.3">
      <c r="N274" s="379">
        <v>0.2</v>
      </c>
      <c r="O274" s="379">
        <v>0.95</v>
      </c>
    </row>
    <row r="275" spans="14:15" x14ac:dyDescent="0.3">
      <c r="N275" s="379">
        <v>0.21</v>
      </c>
      <c r="O275" s="379">
        <v>0.94</v>
      </c>
    </row>
    <row r="276" spans="14:15" x14ac:dyDescent="0.3">
      <c r="N276" s="379">
        <v>0.22</v>
      </c>
      <c r="O276" s="379">
        <v>0.92999999999999994</v>
      </c>
    </row>
    <row r="277" spans="14:15" x14ac:dyDescent="0.3">
      <c r="N277" s="379">
        <v>0.23</v>
      </c>
      <c r="O277" s="379">
        <v>0.91999999999999993</v>
      </c>
    </row>
    <row r="278" spans="14:15" x14ac:dyDescent="0.3">
      <c r="N278" s="379">
        <v>0.24</v>
      </c>
      <c r="O278" s="379">
        <v>0.90999999999999992</v>
      </c>
    </row>
    <row r="279" spans="14:15" x14ac:dyDescent="0.3">
      <c r="N279" s="379">
        <v>0.25</v>
      </c>
      <c r="O279" s="379">
        <v>0.89999999999999991</v>
      </c>
    </row>
    <row r="280" spans="14:15" x14ac:dyDescent="0.3">
      <c r="N280" s="379">
        <v>0.26</v>
      </c>
      <c r="O280" s="379">
        <v>0.8899999999999999</v>
      </c>
    </row>
    <row r="281" spans="14:15" x14ac:dyDescent="0.3">
      <c r="N281" s="379">
        <v>0.27</v>
      </c>
      <c r="O281" s="379">
        <v>0.87999999999999989</v>
      </c>
    </row>
    <row r="282" spans="14:15" x14ac:dyDescent="0.3">
      <c r="N282" s="379">
        <v>0.28000000000000003</v>
      </c>
      <c r="O282" s="379">
        <v>0.86999999999999988</v>
      </c>
    </row>
    <row r="283" spans="14:15" x14ac:dyDescent="0.3">
      <c r="N283" s="379">
        <v>0.28999999999999998</v>
      </c>
      <c r="O283" s="379">
        <v>0.85999999999999988</v>
      </c>
    </row>
    <row r="284" spans="14:15" x14ac:dyDescent="0.3">
      <c r="N284" s="379">
        <v>0.3</v>
      </c>
      <c r="O284" s="379">
        <v>0.84999999999999987</v>
      </c>
    </row>
    <row r="285" spans="14:15" x14ac:dyDescent="0.3">
      <c r="N285" s="379">
        <v>0.31</v>
      </c>
      <c r="O285" s="379">
        <v>0.83999999999999986</v>
      </c>
    </row>
    <row r="286" spans="14:15" x14ac:dyDescent="0.3">
      <c r="N286" s="379">
        <v>0.32</v>
      </c>
      <c r="O286" s="379">
        <v>0.82999999999999985</v>
      </c>
    </row>
    <row r="287" spans="14:15" x14ac:dyDescent="0.3">
      <c r="N287" s="379">
        <v>0.33</v>
      </c>
      <c r="O287" s="379">
        <v>0.81999999999999984</v>
      </c>
    </row>
    <row r="288" spans="14:15" x14ac:dyDescent="0.3">
      <c r="N288" s="379">
        <v>0.34</v>
      </c>
      <c r="O288" s="379">
        <v>0.80999999999999983</v>
      </c>
    </row>
    <row r="289" spans="14:15" x14ac:dyDescent="0.3">
      <c r="N289" s="379">
        <v>0.35</v>
      </c>
      <c r="O289" s="379">
        <v>0.79999999999999982</v>
      </c>
    </row>
    <row r="290" spans="14:15" x14ac:dyDescent="0.3">
      <c r="N290" s="379">
        <v>0.36</v>
      </c>
      <c r="O290" s="379">
        <v>0.78999999999999981</v>
      </c>
    </row>
    <row r="291" spans="14:15" x14ac:dyDescent="0.3">
      <c r="N291" s="379">
        <v>0.37</v>
      </c>
      <c r="O291" s="379">
        <v>0.7799999999999998</v>
      </c>
    </row>
    <row r="292" spans="14:15" x14ac:dyDescent="0.3">
      <c r="N292" s="379">
        <v>0.38</v>
      </c>
      <c r="O292" s="379">
        <v>0.7699999999999998</v>
      </c>
    </row>
    <row r="293" spans="14:15" x14ac:dyDescent="0.3">
      <c r="N293" s="379">
        <v>0.39</v>
      </c>
      <c r="O293" s="379">
        <v>0.75999999999999979</v>
      </c>
    </row>
    <row r="294" spans="14:15" x14ac:dyDescent="0.3">
      <c r="N294" s="379">
        <v>0.4</v>
      </c>
      <c r="O294" s="379">
        <v>0.74999999999999978</v>
      </c>
    </row>
    <row r="295" spans="14:15" x14ac:dyDescent="0.3">
      <c r="N295" s="379">
        <v>0.41</v>
      </c>
      <c r="O295" s="379">
        <v>0.73999999999999977</v>
      </c>
    </row>
    <row r="296" spans="14:15" x14ac:dyDescent="0.3">
      <c r="N296" s="379">
        <v>0.42</v>
      </c>
      <c r="O296" s="379">
        <v>0.72999999999999976</v>
      </c>
    </row>
    <row r="297" spans="14:15" x14ac:dyDescent="0.3">
      <c r="N297" s="379">
        <v>0.43</v>
      </c>
      <c r="O297" s="379">
        <v>0.71999999999999975</v>
      </c>
    </row>
    <row r="298" spans="14:15" x14ac:dyDescent="0.3">
      <c r="N298" s="379">
        <v>0.44</v>
      </c>
      <c r="O298" s="379">
        <v>0.70999999999999974</v>
      </c>
    </row>
    <row r="299" spans="14:15" x14ac:dyDescent="0.3">
      <c r="N299" s="379">
        <v>0.45</v>
      </c>
      <c r="O299" s="379">
        <v>0.69999999999999973</v>
      </c>
    </row>
    <row r="300" spans="14:15" x14ac:dyDescent="0.3">
      <c r="N300" s="379">
        <v>0.46</v>
      </c>
      <c r="O300" s="379">
        <v>0.68999999999999972</v>
      </c>
    </row>
    <row r="301" spans="14:15" x14ac:dyDescent="0.3">
      <c r="N301" s="379">
        <v>0.47</v>
      </c>
      <c r="O301" s="379">
        <v>0.67999999999999972</v>
      </c>
    </row>
    <row r="302" spans="14:15" x14ac:dyDescent="0.3">
      <c r="N302" s="379">
        <v>0.48</v>
      </c>
      <c r="O302" s="379">
        <v>0.66999999999999971</v>
      </c>
    </row>
    <row r="303" spans="14:15" x14ac:dyDescent="0.3">
      <c r="N303" s="379">
        <v>0.49</v>
      </c>
      <c r="O303" s="379">
        <v>0.6599999999999997</v>
      </c>
    </row>
    <row r="304" spans="14:15" x14ac:dyDescent="0.3">
      <c r="N304" s="379">
        <v>0.5</v>
      </c>
      <c r="O304" s="379">
        <v>0.64999999999999969</v>
      </c>
    </row>
    <row r="305" spans="14:15" x14ac:dyDescent="0.3">
      <c r="N305" s="379">
        <v>0.51</v>
      </c>
      <c r="O305" s="379">
        <v>0.63999999999999968</v>
      </c>
    </row>
    <row r="306" spans="14:15" x14ac:dyDescent="0.3">
      <c r="N306" s="379">
        <v>0.52</v>
      </c>
      <c r="O306" s="379">
        <v>0.62999999999999967</v>
      </c>
    </row>
    <row r="307" spans="14:15" x14ac:dyDescent="0.3">
      <c r="N307" s="379">
        <v>0.53</v>
      </c>
      <c r="O307" s="379">
        <v>0.61999999999999966</v>
      </c>
    </row>
    <row r="308" spans="14:15" x14ac:dyDescent="0.3">
      <c r="N308" s="379">
        <v>0.54</v>
      </c>
      <c r="O308" s="379">
        <v>0.60999999999999965</v>
      </c>
    </row>
    <row r="309" spans="14:15" x14ac:dyDescent="0.3">
      <c r="N309" s="379">
        <v>0.55000000000000004</v>
      </c>
      <c r="O309" s="379">
        <v>0.59999999999999964</v>
      </c>
    </row>
  </sheetData>
  <sheetProtection algorithmName="SHA-512" hashValue="bE/o6VyhDobHTpK15uZSkutirU4nAbUHPD3losy3gnjIKzvLgulzRylj39Fn+8sEa2V9ezXno7TTIZxqHMn1kg==" saltValue="dwBSLK4FUQxBetoHA0503w==" spinCount="100000" sheet="1" objects="1" scenarios="1"/>
  <sortState xmlns:xlrd2="http://schemas.microsoft.com/office/spreadsheetml/2017/richdata2" ref="N253:O308">
    <sortCondition ref="N253:N308"/>
  </sortState>
  <dataConsolidate/>
  <mergeCells count="46">
    <mergeCell ref="C114:F114"/>
    <mergeCell ref="C74:F75"/>
    <mergeCell ref="G74:H74"/>
    <mergeCell ref="I74:J74"/>
    <mergeCell ref="K74:K75"/>
    <mergeCell ref="C59:E59"/>
    <mergeCell ref="F46:J46"/>
    <mergeCell ref="F47:J47"/>
    <mergeCell ref="F48:J48"/>
    <mergeCell ref="F49:J49"/>
    <mergeCell ref="F50:J50"/>
    <mergeCell ref="C56:E56"/>
    <mergeCell ref="F51:J51"/>
    <mergeCell ref="F52:J52"/>
    <mergeCell ref="C57:E57"/>
    <mergeCell ref="C58:E58"/>
    <mergeCell ref="F44:J44"/>
    <mergeCell ref="F45:J45"/>
    <mergeCell ref="E3:K3"/>
    <mergeCell ref="E6:H6"/>
    <mergeCell ref="E29:K29"/>
    <mergeCell ref="E36:K36"/>
    <mergeCell ref="E33:K33"/>
    <mergeCell ref="E22:I22"/>
    <mergeCell ref="N74:N75"/>
    <mergeCell ref="C42:E42"/>
    <mergeCell ref="F42:J42"/>
    <mergeCell ref="C43:E43"/>
    <mergeCell ref="C44:E44"/>
    <mergeCell ref="C45:E45"/>
    <mergeCell ref="C46:E46"/>
    <mergeCell ref="C47:E47"/>
    <mergeCell ref="C48:E48"/>
    <mergeCell ref="C49:E49"/>
    <mergeCell ref="C50:E50"/>
    <mergeCell ref="C51:E51"/>
    <mergeCell ref="C52:E52"/>
    <mergeCell ref="C68:J68"/>
    <mergeCell ref="C60:E60"/>
    <mergeCell ref="F43:J43"/>
    <mergeCell ref="C69:J69"/>
    <mergeCell ref="C70:J70"/>
    <mergeCell ref="C61:E61"/>
    <mergeCell ref="C62:E62"/>
    <mergeCell ref="C66:J66"/>
    <mergeCell ref="C67:J67"/>
  </mergeCells>
  <dataValidations count="4">
    <dataValidation type="list" allowBlank="1" showInputMessage="1" showErrorMessage="1" sqref="K10" xr:uid="{00000000-0002-0000-0000-000000000000}">
      <formula1>"IP units, SI units"</formula1>
    </dataValidation>
    <dataValidation type="list" allowBlank="1" showInputMessage="1" showErrorMessage="1" sqref="K14" xr:uid="{00000000-0002-0000-0000-000001000000}">
      <formula1>"LEED 2009, LEED v4, LEED v4.1"</formula1>
    </dataValidation>
    <dataValidation type="list" allowBlank="1" showInputMessage="1" showErrorMessage="1" sqref="K18 K26" xr:uid="{00000000-0002-0000-0000-000002000000}">
      <formula1>"Yes, No"</formula1>
    </dataValidation>
    <dataValidation type="list" allowBlank="1" showInputMessage="1" showErrorMessage="1" sqref="K21" xr:uid="{34603CFD-5964-5546-92C0-04D034C34AC9}">
      <formula1>"30%,15%,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45" r:id="rId4" name="Button 73">
              <controlPr defaultSize="0" print="0" autoFill="0" autoPict="0" macro="[0]!Go_to_WS">
                <anchor moveWithCells="1">
                  <from>
                    <xdr:col>5</xdr:col>
                    <xdr:colOff>1120140</xdr:colOff>
                    <xdr:row>29</xdr:row>
                    <xdr:rowOff>99060</xdr:rowOff>
                  </from>
                  <to>
                    <xdr:col>6</xdr:col>
                    <xdr:colOff>838200</xdr:colOff>
                    <xdr:row>29</xdr:row>
                    <xdr:rowOff>381000</xdr:rowOff>
                  </to>
                </anchor>
              </controlPr>
            </control>
          </mc:Choice>
        </mc:AlternateContent>
        <mc:AlternateContent xmlns:mc="http://schemas.openxmlformats.org/markup-compatibility/2006">
          <mc:Choice Requires="x14">
            <control shapeId="3146" r:id="rId5" name="Button 74">
              <controlPr defaultSize="0" print="0" autoFill="0" autoPict="0" macro="[0]!add_sht">
                <anchor moveWithCells="1">
                  <from>
                    <xdr:col>4</xdr:col>
                    <xdr:colOff>38100</xdr:colOff>
                    <xdr:row>29</xdr:row>
                    <xdr:rowOff>99060</xdr:rowOff>
                  </from>
                  <to>
                    <xdr:col>5</xdr:col>
                    <xdr:colOff>1028700</xdr:colOff>
                    <xdr:row>29</xdr:row>
                    <xdr:rowOff>365760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outlinePr summaryBelow="0"/>
  </sheetPr>
  <dimension ref="A1:AJ38"/>
  <sheetViews>
    <sheetView showGridLines="0" topLeftCell="A11" zoomScale="80" zoomScaleNormal="80" workbookViewId="0">
      <selection activeCell="E25" sqref="E25"/>
    </sheetView>
  </sheetViews>
  <sheetFormatPr defaultColWidth="9.109375" defaultRowHeight="13.2" x14ac:dyDescent="0.25"/>
  <cols>
    <col min="1" max="1" width="2.6640625" style="236" customWidth="1"/>
    <col min="2" max="2" width="45.77734375" style="10" customWidth="1"/>
    <col min="3" max="3" width="13.6640625" style="66" customWidth="1"/>
    <col min="4" max="4" width="20.6640625" style="10" customWidth="1"/>
    <col min="5" max="5" width="16.6640625" style="10" customWidth="1"/>
    <col min="6" max="6" width="12.6640625" style="65" customWidth="1"/>
    <col min="7" max="11" width="14.6640625" style="66" customWidth="1"/>
    <col min="12" max="12" width="16.77734375" style="10" customWidth="1"/>
    <col min="13" max="17" width="14.6640625" style="10" customWidth="1"/>
    <col min="18" max="18" width="14.44140625" style="10" customWidth="1"/>
    <col min="19" max="19" width="14.33203125" style="10" customWidth="1"/>
    <col min="20" max="23" width="14.6640625" style="10" customWidth="1"/>
    <col min="24" max="24" width="2.6640625" style="10" customWidth="1"/>
    <col min="25" max="25" width="10.44140625" style="10" hidden="1" customWidth="1"/>
    <col min="26" max="26" width="10.6640625" style="10" hidden="1" customWidth="1"/>
    <col min="27" max="36" width="9.109375" style="10" hidden="1" customWidth="1"/>
    <col min="37" max="16384" width="9.109375" style="10"/>
  </cols>
  <sheetData>
    <row r="1" spans="1:36" ht="15" customHeight="1" x14ac:dyDescent="0.6">
      <c r="A1" s="37"/>
      <c r="B1" s="42"/>
      <c r="C1" s="36"/>
      <c r="D1" s="36"/>
      <c r="E1" s="36"/>
      <c r="F1" s="36"/>
      <c r="G1" s="36"/>
      <c r="H1" s="36"/>
      <c r="I1" s="36"/>
      <c r="J1" s="36"/>
      <c r="K1" s="36"/>
      <c r="L1" s="36"/>
      <c r="M1" s="36"/>
      <c r="N1" s="36"/>
      <c r="O1" s="36"/>
      <c r="P1" s="36"/>
      <c r="Q1" s="36"/>
      <c r="R1" s="36"/>
      <c r="S1" s="36"/>
      <c r="T1" s="36"/>
      <c r="U1" s="36"/>
      <c r="V1" s="36"/>
      <c r="W1" s="36"/>
    </row>
    <row r="2" spans="1:36" ht="21" customHeight="1" x14ac:dyDescent="0.25">
      <c r="A2" s="37"/>
      <c r="B2" s="58" t="s">
        <v>286</v>
      </c>
      <c r="C2" s="39"/>
      <c r="D2" s="40"/>
      <c r="E2" s="40"/>
      <c r="F2" s="39"/>
      <c r="G2" s="39"/>
      <c r="H2" s="40"/>
      <c r="I2" s="40"/>
      <c r="J2" s="40"/>
      <c r="K2" s="40"/>
      <c r="L2" s="40"/>
      <c r="M2" s="40"/>
      <c r="N2" s="40"/>
      <c r="O2" s="40"/>
      <c r="P2" s="40"/>
      <c r="Q2" s="40"/>
      <c r="R2" s="40"/>
      <c r="S2" s="40"/>
      <c r="T2" s="40"/>
      <c r="U2" s="40"/>
      <c r="V2" s="40"/>
      <c r="W2" s="40"/>
      <c r="Z2" s="258" t="s">
        <v>248</v>
      </c>
      <c r="AA2" s="258" t="s">
        <v>249</v>
      </c>
      <c r="AB2" s="289" t="s">
        <v>1</v>
      </c>
      <c r="AC2" s="289" t="s">
        <v>2</v>
      </c>
      <c r="AD2" s="289" t="s">
        <v>23</v>
      </c>
      <c r="AE2" s="289" t="s">
        <v>264</v>
      </c>
      <c r="AF2" s="289" t="s">
        <v>124</v>
      </c>
      <c r="AG2" s="289" t="s">
        <v>22</v>
      </c>
      <c r="AH2" s="289" t="s">
        <v>19</v>
      </c>
      <c r="AI2" s="258" t="s">
        <v>250</v>
      </c>
      <c r="AJ2" s="258" t="s">
        <v>251</v>
      </c>
    </row>
    <row r="3" spans="1:36" ht="21" customHeight="1" x14ac:dyDescent="0.25">
      <c r="A3" s="37"/>
      <c r="B3" s="57" t="str">
        <f ca="1">REPLACE(CELL("filename",A1),1,FIND("]",CELL("filename",A1)),"")</f>
        <v>Multiple Zone</v>
      </c>
      <c r="C3" s="39"/>
      <c r="D3" s="40"/>
      <c r="E3" s="40"/>
      <c r="F3" s="39"/>
      <c r="G3" s="39"/>
      <c r="H3" s="40"/>
      <c r="I3" s="40"/>
      <c r="J3" s="40"/>
      <c r="K3" s="40"/>
      <c r="L3" s="40"/>
      <c r="M3" s="40"/>
      <c r="N3" s="40"/>
      <c r="O3" s="40"/>
      <c r="P3" s="40"/>
      <c r="Q3" s="40"/>
      <c r="R3" s="40"/>
      <c r="S3" s="40"/>
      <c r="T3" s="40"/>
      <c r="U3" s="40"/>
      <c r="V3" s="40"/>
      <c r="W3" s="40"/>
      <c r="Z3" s="259">
        <f>Area</f>
        <v>0</v>
      </c>
      <c r="AA3" s="279">
        <f>$E$20</f>
        <v>0</v>
      </c>
      <c r="AB3" s="279">
        <f>IFERROR(IF(Allzones="Yes",(SUM($J14:$J16)/SUM($G14:$G16)),$E$23),0)</f>
        <v>0</v>
      </c>
      <c r="AC3" s="279">
        <f>IFERROR(IF(Allzones="Yes",(SUM($K14:$K16)/Area),$E$24),0)</f>
        <v>0</v>
      </c>
      <c r="AD3" s="291">
        <f>$E$22</f>
        <v>0</v>
      </c>
      <c r="AE3" s="291">
        <f>IFERROR(AVERAGEIF($M$14:$M$16,"&lt;&gt;0"),0)</f>
        <v>0</v>
      </c>
      <c r="AF3" s="279">
        <f>Ev</f>
        <v>0</v>
      </c>
      <c r="AG3" s="259">
        <f>Airflow_cz</f>
        <v>0</v>
      </c>
      <c r="AH3" s="279">
        <f>$E$27</f>
        <v>0</v>
      </c>
      <c r="AI3" s="259">
        <f>ROUND(E35,0)</f>
        <v>0</v>
      </c>
      <c r="AJ3" s="259">
        <f>ROUND(E37,0)</f>
        <v>0</v>
      </c>
    </row>
    <row r="4" spans="1:36" ht="15" customHeight="1" x14ac:dyDescent="0.6">
      <c r="A4" s="37"/>
      <c r="B4" s="42"/>
      <c r="C4" s="36"/>
      <c r="D4" s="36"/>
      <c r="E4" s="36"/>
      <c r="F4" s="36"/>
      <c r="G4" s="36"/>
      <c r="H4" s="36"/>
      <c r="I4" s="36"/>
      <c r="J4" s="36"/>
      <c r="K4" s="36"/>
      <c r="L4" s="36"/>
      <c r="M4" s="36"/>
      <c r="N4" s="36"/>
      <c r="O4" s="36"/>
      <c r="P4" s="36"/>
      <c r="Q4" s="36"/>
      <c r="R4" s="36"/>
      <c r="S4" s="36"/>
      <c r="T4" s="36"/>
      <c r="U4" s="36"/>
      <c r="V4" s="36"/>
      <c r="W4" s="36"/>
    </row>
    <row r="5" spans="1:36" ht="47.25" customHeight="1" x14ac:dyDescent="0.25">
      <c r="B5" s="216" t="s">
        <v>230</v>
      </c>
      <c r="Y5" s="250" t="b">
        <v>0</v>
      </c>
    </row>
    <row r="6" spans="1:36" ht="18" customHeight="1" x14ac:dyDescent="0.25">
      <c r="B6" s="486" t="s">
        <v>133</v>
      </c>
      <c r="C6" s="487"/>
      <c r="D6" s="221" t="str">
        <f ca="1">B3</f>
        <v>Multiple Zone</v>
      </c>
      <c r="F6" s="10"/>
      <c r="L6" s="68"/>
      <c r="Z6" s="217"/>
    </row>
    <row r="7" spans="1:36" ht="18" customHeight="1" x14ac:dyDescent="0.25">
      <c r="B7" s="488" t="s">
        <v>216</v>
      </c>
      <c r="C7" s="489"/>
      <c r="D7" s="212"/>
      <c r="F7" s="67"/>
      <c r="L7" s="68"/>
    </row>
    <row r="8" spans="1:36" customFormat="1" ht="18" customHeight="1" x14ac:dyDescent="0.3">
      <c r="A8" s="237"/>
      <c r="B8" s="493" t="s">
        <v>215</v>
      </c>
      <c r="C8" s="494"/>
      <c r="D8" s="222"/>
    </row>
    <row r="9" spans="1:36" ht="21" customHeight="1" x14ac:dyDescent="0.25">
      <c r="B9" s="69"/>
      <c r="C9" s="10"/>
      <c r="F9" s="66"/>
      <c r="I9" s="10"/>
      <c r="J9" s="10"/>
      <c r="K9" s="10"/>
    </row>
    <row r="10" spans="1:36" s="124" customFormat="1" ht="75" customHeight="1" x14ac:dyDescent="0.3">
      <c r="A10" s="238"/>
      <c r="B10" s="497" t="s">
        <v>211</v>
      </c>
      <c r="C10" s="499" t="s">
        <v>257</v>
      </c>
      <c r="D10" s="500"/>
      <c r="E10" s="220" t="s">
        <v>256</v>
      </c>
      <c r="F10" s="503" t="s">
        <v>31</v>
      </c>
      <c r="G10" s="220" t="s">
        <v>212</v>
      </c>
      <c r="H10" s="219" t="s">
        <v>206</v>
      </c>
      <c r="I10" s="219" t="s">
        <v>207</v>
      </c>
      <c r="J10" s="495" t="s">
        <v>208</v>
      </c>
      <c r="K10" s="495" t="s">
        <v>209</v>
      </c>
      <c r="L10" s="219" t="s">
        <v>210</v>
      </c>
      <c r="M10" s="220" t="s">
        <v>148</v>
      </c>
      <c r="N10" s="176" t="s">
        <v>245</v>
      </c>
      <c r="O10" s="175" t="s">
        <v>235</v>
      </c>
      <c r="P10" s="220" t="s">
        <v>236</v>
      </c>
      <c r="Q10" s="205" t="s">
        <v>167</v>
      </c>
      <c r="R10" s="232" t="s">
        <v>162</v>
      </c>
      <c r="S10" s="373" t="s">
        <v>164</v>
      </c>
      <c r="T10" s="219" t="s">
        <v>163</v>
      </c>
      <c r="U10" s="219" t="s">
        <v>165</v>
      </c>
      <c r="V10" s="219" t="s">
        <v>166</v>
      </c>
      <c r="W10" s="208" t="s">
        <v>295</v>
      </c>
      <c r="Y10" s="173" t="s">
        <v>146</v>
      </c>
      <c r="Z10" s="369" t="s">
        <v>288</v>
      </c>
      <c r="AA10" s="174" t="s">
        <v>147</v>
      </c>
      <c r="AB10" s="189" t="s">
        <v>225</v>
      </c>
    </row>
    <row r="11" spans="1:36" s="177" customFormat="1" ht="15" customHeight="1" x14ac:dyDescent="0.3">
      <c r="A11" s="239"/>
      <c r="B11" s="498"/>
      <c r="C11" s="501"/>
      <c r="D11" s="502"/>
      <c r="E11" s="179" t="s">
        <v>0</v>
      </c>
      <c r="F11" s="504"/>
      <c r="G11" s="179" t="s">
        <v>3</v>
      </c>
      <c r="H11" s="203" t="s">
        <v>1</v>
      </c>
      <c r="I11" s="203" t="s">
        <v>2</v>
      </c>
      <c r="J11" s="496"/>
      <c r="K11" s="496"/>
      <c r="L11" s="203" t="s">
        <v>4</v>
      </c>
      <c r="M11" s="179" t="s">
        <v>18</v>
      </c>
      <c r="N11" s="182" t="s">
        <v>7</v>
      </c>
      <c r="O11" s="183" t="s">
        <v>5</v>
      </c>
      <c r="P11" s="179" t="s">
        <v>6</v>
      </c>
      <c r="Q11" s="206" t="s">
        <v>11</v>
      </c>
      <c r="R11" s="233" t="s">
        <v>17</v>
      </c>
      <c r="S11" s="374" t="s">
        <v>13</v>
      </c>
      <c r="T11" s="203" t="s">
        <v>8</v>
      </c>
      <c r="U11" s="203" t="s">
        <v>9</v>
      </c>
      <c r="V11" s="203" t="s">
        <v>10</v>
      </c>
      <c r="W11" s="209" t="s">
        <v>16</v>
      </c>
      <c r="Y11" s="184"/>
      <c r="Z11" s="184"/>
      <c r="AA11" s="178"/>
      <c r="AB11" s="184"/>
    </row>
    <row r="12" spans="1:36" s="125" customFormat="1" ht="32.25" customHeight="1" x14ac:dyDescent="0.3">
      <c r="A12" s="240"/>
      <c r="B12" s="498"/>
      <c r="C12" s="501"/>
      <c r="D12" s="502"/>
      <c r="E12" s="185" t="str">
        <f>IF(Instructions!$N$169=1,"(sq ft)","(sq m)")</f>
        <v>(sq ft)</v>
      </c>
      <c r="F12" s="505"/>
      <c r="G12" s="185" t="s">
        <v>161</v>
      </c>
      <c r="H12" s="204" t="str">
        <f>IF(Instructions!$N$169=1,Instructions!$G$75,Instructions!$H$75)</f>
        <v>(cfm per person)</v>
      </c>
      <c r="I12" s="204" t="str">
        <f>IF(Instructions!$N$169=1,Instructions!$I$75,Instructions!$J$75)</f>
        <v xml:space="preserve">(cfm per sq ft) </v>
      </c>
      <c r="J12" s="204" t="str">
        <f>IF(Instructions!$N$169=1,"(cfm)","(l/s)")</f>
        <v>(cfm)</v>
      </c>
      <c r="K12" s="204" t="str">
        <f>IF(Instructions!$N$169=1,"(cfm)","(l/s)")</f>
        <v>(cfm)</v>
      </c>
      <c r="L12" s="204" t="str">
        <f>IF(Instructions!$N$169=1,"(cfm)","(l/s)")</f>
        <v>(cfm)</v>
      </c>
      <c r="M12" s="186"/>
      <c r="N12" s="187" t="str">
        <f>IF(Instructions!$N$169=1,"(cfm)","(l/s)")</f>
        <v>(cfm)</v>
      </c>
      <c r="O12" s="188" t="str">
        <f>IF(Instructions!$N$169=1,"(cfm)","(l/s)")</f>
        <v>(cfm)</v>
      </c>
      <c r="P12" s="185" t="str">
        <f>IF(Instructions!$N$169=1,"(cfm)","(l/s)")</f>
        <v>(cfm)</v>
      </c>
      <c r="Q12" s="207"/>
      <c r="R12" s="234"/>
      <c r="S12" s="375"/>
      <c r="T12" s="210"/>
      <c r="U12" s="210"/>
      <c r="V12" s="210"/>
      <c r="W12" s="211"/>
      <c r="Y12" s="180"/>
      <c r="Z12" s="180"/>
      <c r="AA12" s="181" t="str">
        <f>IF(Instructions!$N$169=1,"(occupants per 1,000 sq ft)","(occupants per 100 sq m)")</f>
        <v>(occupants per 1,000 sq ft)</v>
      </c>
      <c r="AB12" s="180"/>
    </row>
    <row r="13" spans="1:36" s="271" customFormat="1" ht="12.45" customHeight="1" x14ac:dyDescent="0.3">
      <c r="A13" s="238" t="s">
        <v>136</v>
      </c>
      <c r="B13" s="305"/>
      <c r="C13" s="490"/>
      <c r="D13" s="490"/>
      <c r="E13" s="306"/>
      <c r="F13" s="307"/>
      <c r="G13" s="306"/>
      <c r="H13" s="308"/>
      <c r="I13" s="308"/>
      <c r="J13" s="309" t="s">
        <v>28</v>
      </c>
      <c r="K13" s="309" t="s">
        <v>27</v>
      </c>
      <c r="L13" s="309" t="str" cm="1">
        <f t="array" ref="L13">IF(I_15,"(Rp Pz + Ra Az)*1.15",IF(I_30,"(Rp Pz + Ra Az)*1.3",IF(I_No,"(Rp Pz + Ra Az)",IF(AND(Instructions!K14&lt;&gt;"LEED v4.1",credit=1),"(Rp Pz + Ra Az)*1.3","(Rp Pz + Ra Az)"))))</f>
        <v>(Rp Pz + Ra Az)</v>
      </c>
      <c r="M13" s="306"/>
      <c r="N13" s="310" t="s">
        <v>15</v>
      </c>
      <c r="O13" s="311"/>
      <c r="P13" s="306"/>
      <c r="Q13" s="312" t="s">
        <v>12</v>
      </c>
      <c r="R13" s="313"/>
      <c r="S13" s="376" t="s">
        <v>300</v>
      </c>
      <c r="T13" s="309" t="s">
        <v>14</v>
      </c>
      <c r="U13" s="309" t="s">
        <v>13</v>
      </c>
      <c r="V13" s="309" t="s">
        <v>294</v>
      </c>
      <c r="W13" s="371" t="s">
        <v>296</v>
      </c>
      <c r="Y13" s="272"/>
      <c r="Z13" s="272"/>
      <c r="AA13" s="273"/>
      <c r="AB13" s="272"/>
    </row>
    <row r="14" spans="1:36" s="126" customFormat="1" ht="13.2" customHeight="1" x14ac:dyDescent="0.3">
      <c r="A14" s="136">
        <f>IF(C14=0,0,0)</f>
        <v>0</v>
      </c>
      <c r="B14" s="235"/>
      <c r="C14" s="491"/>
      <c r="D14" s="492"/>
      <c r="E14" s="227"/>
      <c r="F14" s="228"/>
      <c r="G14" s="370"/>
      <c r="H14" s="229">
        <f>IFERROR(IF(Instructions!$N$169=1,VLOOKUP(C14,Instructions!$C$76:$K$160,5,FALSE),VLOOKUP(C14,Instructions!$C$76:$K$160,6,FALSE)),0)</f>
        <v>0</v>
      </c>
      <c r="I14" s="229">
        <f>IFERROR(IF(Instructions!$N$169=1,VLOOKUP(C14,Instructions!$C$76:$K$160,7,FALSE),VLOOKUP(C14,Instructions!$C$76:$K$160,8,FALSE)),0)</f>
        <v>0</v>
      </c>
      <c r="J14" s="405">
        <f>TRUNC(IFERROR(H14*G14,0),2)</f>
        <v>0</v>
      </c>
      <c r="K14" s="405">
        <f>TRUNC(IFERROR(I14*E14,0),2)</f>
        <v>0</v>
      </c>
      <c r="L14" s="406" cm="1">
        <f t="array" ref="L14">TRUNC(IFERROR(IF(I_15,SUM(J14:K14)*1.15,IF(I_30,SUM(J14:K14)*1.3,IF(I_No,SUM(J14:K14),IF(AND(Instructions!K14&lt;&gt;"LEED v4.1",credit=1),SUM(J14:K14)*1.3,SUM(J14:K14))))),0),2)</f>
        <v>0</v>
      </c>
      <c r="M14" s="412"/>
      <c r="N14" s="402">
        <f t="shared" ref="N14:N15" si="0">IFERROR(L14/M14,0)</f>
        <v>0</v>
      </c>
      <c r="O14" s="230"/>
      <c r="P14" s="231"/>
      <c r="Q14" s="381">
        <f>IFERROR(ROUND(N14/P14,2),0)</f>
        <v>0</v>
      </c>
      <c r="R14" s="390"/>
      <c r="S14" s="439">
        <f>IFERROR($P14/$O14,0)</f>
        <v>0</v>
      </c>
      <c r="T14" s="408">
        <f>TRUNC(IFERROR(S14+(1-S14)*R14,0),2)</f>
        <v>0</v>
      </c>
      <c r="U14" s="408">
        <f>TRUNC(S14,2)</f>
        <v>0</v>
      </c>
      <c r="V14" s="408">
        <f>TRUNC(IFERROR(1-(1-M14)*(1-R14)*(1-S14),0),2)</f>
        <v>0</v>
      </c>
      <c r="W14" s="265">
        <f>TRUNC(IFERROR(IF($E$27&gt;0,(T14+$E$27 * U14-Q14 * S14 * V14)/T14,0),0),2)</f>
        <v>0</v>
      </c>
      <c r="Y14" s="282">
        <f>IFERROR(IF(Instructions!$N$169=1,($AA14/1000)*$E14,($AA14/100)*$E14),0)</f>
        <v>0</v>
      </c>
      <c r="Z14" s="370"/>
      <c r="AA14" s="283">
        <f>IFERROR(VLOOKUP($C14,Instructions!$C$76:$K$160,9,FALSE),0)</f>
        <v>0</v>
      </c>
      <c r="AB14" s="190">
        <f>B14</f>
        <v>0</v>
      </c>
    </row>
    <row r="15" spans="1:36" s="126" customFormat="1" ht="15" customHeight="1" x14ac:dyDescent="0.3">
      <c r="A15" s="136">
        <f t="shared" ref="A15:A16" si="1">IF(C15=0,0,0)</f>
        <v>0</v>
      </c>
      <c r="B15" s="235"/>
      <c r="C15" s="491"/>
      <c r="D15" s="492"/>
      <c r="E15" s="227"/>
      <c r="F15" s="228"/>
      <c r="G15" s="370"/>
      <c r="H15" s="229">
        <f>IFERROR(IF(Instructions!$N$169=1,VLOOKUP(C15,Instructions!$C$76:$K$160,5,FALSE),VLOOKUP(C15,Instructions!$C$76:$K$160,6,FALSE)),0)</f>
        <v>0</v>
      </c>
      <c r="I15" s="229">
        <f>IFERROR(IF(Instructions!$N$169=1,VLOOKUP(C15,Instructions!$C$76:$K$160,7,FALSE),VLOOKUP(C15,Instructions!$C$76:$K$160,8,FALSE)),0)</f>
        <v>0</v>
      </c>
      <c r="J15" s="405">
        <f>TRUNC(IFERROR(H15*G15,0),2)</f>
        <v>0</v>
      </c>
      <c r="K15" s="405">
        <f>TRUNC(IFERROR(I15*E15,0),2)</f>
        <v>0</v>
      </c>
      <c r="L15" s="406" cm="1">
        <f t="array" ref="L15">TRUNC(IFERROR(IF(I_15,SUM(J15:K15)*1.15,IF(I_30,SUM(J15:K15)*1.3,IF(I_No,SUM(J15:K15),IF(AND(I_v4.1,credit=1),SUM(J15:K15)*1.3,SUM(J15:K15))))),0),2)</f>
        <v>0</v>
      </c>
      <c r="M15" s="412"/>
      <c r="N15" s="402">
        <f t="shared" si="0"/>
        <v>0</v>
      </c>
      <c r="O15" s="230"/>
      <c r="P15" s="231"/>
      <c r="Q15" s="381">
        <f t="shared" ref="Q15:Q16" si="2">IFERROR(ROUND(N15/P15,2),0)</f>
        <v>0</v>
      </c>
      <c r="R15" s="294"/>
      <c r="S15" s="440">
        <f>IFERROR($P15/$O15,0)</f>
        <v>0</v>
      </c>
      <c r="T15" s="408">
        <f>TRUNC(IFERROR(S15+(1-S15)*R15,0),2)</f>
        <v>0</v>
      </c>
      <c r="U15" s="408">
        <f>TRUNC(S15,2)</f>
        <v>0</v>
      </c>
      <c r="V15" s="408">
        <f>TRUNC(IFERROR(1-(1-M15)*(1-R15)*(1-S15),0),2)</f>
        <v>0</v>
      </c>
      <c r="W15" s="265">
        <f>TRUNC(IFERROR(IF($E$27&gt;0,(T15+$E$27 * U15-Q15 * S15 * V15)/T15,0),0),2)</f>
        <v>0</v>
      </c>
      <c r="Y15" s="282">
        <f>IFERROR(IF(Instructions!$N$169=1,($AA15/1000)*$E15,($AA15/100)*$E15),0)</f>
        <v>0</v>
      </c>
      <c r="Z15" s="370"/>
      <c r="AA15" s="283">
        <f>IFERROR(VLOOKUP($C15,Instructions!$C$76:$K$160,9,FALSE),0)</f>
        <v>0</v>
      </c>
      <c r="AB15" s="190">
        <f>B15</f>
        <v>0</v>
      </c>
    </row>
    <row r="16" spans="1:36" s="126" customFormat="1" ht="15" customHeight="1" x14ac:dyDescent="0.3">
      <c r="A16" s="136">
        <f t="shared" si="1"/>
        <v>0</v>
      </c>
      <c r="B16" s="235"/>
      <c r="C16" s="491"/>
      <c r="D16" s="492"/>
      <c r="E16" s="227"/>
      <c r="F16" s="228"/>
      <c r="G16" s="370"/>
      <c r="H16" s="229">
        <f>IFERROR(IF(Instructions!$N$169=1,VLOOKUP(C16,Instructions!$C$76:$K$160,5,FALSE),VLOOKUP(C16,Instructions!$C$76:$K$160,6,FALSE)),0)</f>
        <v>0</v>
      </c>
      <c r="I16" s="229">
        <f>IFERROR(IF(Instructions!$N$169=1,VLOOKUP(C16,Instructions!$C$76:$K$160,7,FALSE),VLOOKUP(C16,Instructions!$C$76:$K$160,8,FALSE)),0)</f>
        <v>0</v>
      </c>
      <c r="J16" s="405">
        <f>TRUNC(IFERROR(H16*G16,0),2)</f>
        <v>0</v>
      </c>
      <c r="K16" s="405">
        <f>TRUNC(IFERROR(I16*E16,0),2)</f>
        <v>0</v>
      </c>
      <c r="L16" s="406" cm="1">
        <f t="array" ref="L16">TRUNC(IFERROR(IF(I_15,SUM(J16:K16)*1.15,IF(I_30,SUM(J16:K16)*1.3,IF(I_No,SUM(J16:K16),IF(AND(I_v4.1,credit=1),SUM(J16:K16)*1.3,SUM(J16:K16))))),0),2)</f>
        <v>0</v>
      </c>
      <c r="M16" s="412"/>
      <c r="N16" s="402">
        <f>IFERROR(L16/M16,0)</f>
        <v>0</v>
      </c>
      <c r="O16" s="230"/>
      <c r="P16" s="231"/>
      <c r="Q16" s="381">
        <f t="shared" si="2"/>
        <v>0</v>
      </c>
      <c r="R16" s="294"/>
      <c r="S16" s="439">
        <f>IFERROR($P16/$O16,0)</f>
        <v>0</v>
      </c>
      <c r="T16" s="408">
        <f>TRUNC(IFERROR(S16+(1-S16)*R16,0),2)</f>
        <v>0</v>
      </c>
      <c r="U16" s="408">
        <f>TRUNC(S16,2)</f>
        <v>0</v>
      </c>
      <c r="V16" s="408">
        <f>TRUNC(IFERROR(1-(1-M16)*(1-R16)*(1-S16),0),2)</f>
        <v>0</v>
      </c>
      <c r="W16" s="265">
        <f>TRUNC(IFERROR(IF($E$27&gt;0,(T16+$E$27 * U16-Q16 * S16 * V16)/T16,0),0),2)</f>
        <v>0</v>
      </c>
      <c r="Y16" s="282">
        <f>IFERROR(IF(Instructions!$N$169=1,($AA16/1000)*$E16,($AA16/100)*$E16),0)</f>
        <v>0</v>
      </c>
      <c r="Z16" s="370"/>
      <c r="AA16" s="283">
        <f>IFERROR(VLOOKUP($C16,Instructions!$C$76:$K$160,9,FALSE),0)</f>
        <v>0</v>
      </c>
      <c r="AB16" s="190">
        <f>B16</f>
        <v>0</v>
      </c>
    </row>
    <row r="17" spans="1:26" ht="49.5" customHeight="1" x14ac:dyDescent="0.25">
      <c r="A17" s="268"/>
      <c r="P17" s="410"/>
    </row>
    <row r="18" spans="1:26" ht="17.25" customHeight="1" x14ac:dyDescent="0.25">
      <c r="G18" s="10"/>
      <c r="H18" s="10"/>
      <c r="Y18" s="223" t="s">
        <v>231</v>
      </c>
      <c r="Z18" s="223" t="s">
        <v>232</v>
      </c>
    </row>
    <row r="19" spans="1:26" ht="18" customHeight="1" x14ac:dyDescent="0.25">
      <c r="B19" s="72" t="s">
        <v>213</v>
      </c>
      <c r="C19" s="196" t="s">
        <v>214</v>
      </c>
      <c r="D19" s="194" t="str">
        <f>IF(Instructions!$N$169=1,"(sq ft)","(sq m)")</f>
        <v>(sq ft)</v>
      </c>
      <c r="E19" s="403">
        <f>TRUNC(SUM($E14:$E16),2)</f>
        <v>0</v>
      </c>
      <c r="F19" s="274" t="str">
        <f>IF(D8="Yes","Net occupiable floor area served by the ventilation system", "∑Az")</f>
        <v>∑Az</v>
      </c>
      <c r="G19" s="10"/>
      <c r="H19" s="10"/>
      <c r="Y19" s="191">
        <f>SUM($E14:$E16)</f>
        <v>0</v>
      </c>
      <c r="Z19" s="290"/>
    </row>
    <row r="20" spans="1:26" ht="18" customHeight="1" x14ac:dyDescent="0.25">
      <c r="B20" s="74" t="s">
        <v>24</v>
      </c>
      <c r="C20" s="197" t="s">
        <v>25</v>
      </c>
      <c r="D20" s="80" t="s">
        <v>161</v>
      </c>
      <c r="E20" s="278"/>
      <c r="F20" s="274"/>
      <c r="Z20" s="66"/>
    </row>
    <row r="21" spans="1:26" s="128" customFormat="1" ht="18" hidden="1" customHeight="1" x14ac:dyDescent="0.25">
      <c r="A21" s="236"/>
      <c r="B21" s="74" t="s">
        <v>168</v>
      </c>
      <c r="C21" s="197" t="s">
        <v>26</v>
      </c>
      <c r="D21" s="80" t="s">
        <v>161</v>
      </c>
      <c r="E21" s="409">
        <f>TRUNC(SUM(G14:G16),2)</f>
        <v>0</v>
      </c>
      <c r="F21" s="274" t="s">
        <v>29</v>
      </c>
      <c r="I21" s="127"/>
      <c r="J21" s="127"/>
      <c r="K21" s="127"/>
      <c r="Z21" s="127"/>
    </row>
    <row r="22" spans="1:26" s="128" customFormat="1" ht="18" hidden="1" customHeight="1" x14ac:dyDescent="0.25">
      <c r="A22" s="236"/>
      <c r="B22" s="74" t="s">
        <v>32</v>
      </c>
      <c r="C22" s="197" t="s">
        <v>23</v>
      </c>
      <c r="D22" s="80"/>
      <c r="E22" s="409">
        <f>TRUNC(IFERROR(E20/E21,0),2)</f>
        <v>0</v>
      </c>
      <c r="F22" s="274" t="s">
        <v>36</v>
      </c>
      <c r="I22" s="127"/>
      <c r="J22" s="127"/>
      <c r="K22" s="127"/>
      <c r="Z22" s="127"/>
    </row>
    <row r="23" spans="1:26" s="128" customFormat="1" ht="18" customHeight="1" x14ac:dyDescent="0.25">
      <c r="A23" s="236"/>
      <c r="B23" s="74" t="s">
        <v>217</v>
      </c>
      <c r="C23" s="197" t="s">
        <v>218</v>
      </c>
      <c r="D23" s="80" t="str">
        <f>IF(Instructions!$N$169=1,Instructions!$G$75,Instructions!$H$75)</f>
        <v>(cfm per person)</v>
      </c>
      <c r="E23" s="269"/>
      <c r="F23" s="274"/>
      <c r="I23" s="127"/>
      <c r="J23" s="127"/>
      <c r="K23" s="127"/>
      <c r="Z23" s="127"/>
    </row>
    <row r="24" spans="1:26" s="128" customFormat="1" ht="18" customHeight="1" x14ac:dyDescent="0.25">
      <c r="A24" s="236"/>
      <c r="B24" s="74" t="s">
        <v>219</v>
      </c>
      <c r="C24" s="197" t="s">
        <v>220</v>
      </c>
      <c r="D24" s="80" t="str">
        <f>IF(Instructions!$N$169=1,Instructions!$I$75,Instructions!$J$75)</f>
        <v xml:space="preserve">(cfm per sq ft) </v>
      </c>
      <c r="E24" s="269"/>
      <c r="F24" s="274"/>
      <c r="I24" s="127"/>
      <c r="J24" s="127"/>
      <c r="K24" s="127"/>
      <c r="Z24" s="127"/>
    </row>
    <row r="25" spans="1:26" s="128" customFormat="1" ht="18" customHeight="1" x14ac:dyDescent="0.25">
      <c r="A25" s="236"/>
      <c r="B25" s="74" t="s">
        <v>33</v>
      </c>
      <c r="C25" s="197" t="s">
        <v>21</v>
      </c>
      <c r="D25" s="195" t="str">
        <f>IF(Instructions!$N$169=1,"(cfm)","(l/s)")</f>
        <v>(cfm)</v>
      </c>
      <c r="E25" s="193" cm="1">
        <f t="array" ref="E25">TRUNC(IF(ISBLANK($E$20),0,IF(D8="No", IF(I_15,( E23*E20+E24*E19)*1.15, IF(I_30, ( E23*E20+E24*E19)*1.3, IF(I_No, (E23*E20+E24*E19), IF(AND(I_v4.1,credit=1),(E23*E20+E24*E19)*1.3, IF(AND(I_v4.1,credit=2),(E23*E20+E24*E19)))))), IF(I_15,(E22*SUM(J14:J16)+SUM(K14:K16))*1.15, IF(I_30, (E22*SUM(J14:J16)+SUM(K14:K16))*1.3, IF(I_No, (E22*SUM(J14:J16)+SUM(K14:K16)), IF(AND(I_v4.1,credit=1),(E22*SUM(J14:J16)+SUM(K14:K16))*1.3, IF(AND(I_v4.1,credit=2),(E22*SUM(J14:J16)+SUM(K14:K16))))))))),2)</f>
        <v>0</v>
      </c>
      <c r="F25" s="274" t="str" cm="1">
        <f t="array" ref="F25">IF(D8="No", IF(I_15,"(Rp system Ps) + (Ra system As)*1.15", IF(I_30," (Rp system Ps) + (Ra system As)*1.3", IF(I_No, "(Rp system Ps) + (Ra system As)", IF(AND(I_v4.1,credit=1),"(Rp system Ps) + (Ra system As)*1.3", IF(AND(I_v4.1,credit=2),"(Rp system Ps) + (Ra system As)"))))), IF(I_15,"D ∑ (Rp Pz) + ∑(Ra Az)*1.15", IF(I_30, "D ∑ (Rp Pz) + ∑(Ra Az)*1.3", IF(I_No, "D ∑ (Rp Pz) + ∑(Ra Az)", IF(AND(I_v4.1,credit=1),"D ∑ (Rp Pz) + ∑(Ra Az)*1.3", IF(AND(I_v4.1,credit=2),"D ∑ (Rp Pz) + ∑(Ra Az)"))))))</f>
        <v>D ∑ (Rp Pz) + ∑(Ra Az)</v>
      </c>
      <c r="G25" s="127"/>
      <c r="I25" s="129"/>
      <c r="J25" s="129"/>
      <c r="K25" s="129"/>
      <c r="Z25" s="127"/>
    </row>
    <row r="26" spans="1:26" s="128" customFormat="1" ht="18" customHeight="1" x14ac:dyDescent="0.25">
      <c r="A26" s="236"/>
      <c r="B26" s="74" t="s">
        <v>221</v>
      </c>
      <c r="C26" s="197" t="s">
        <v>22</v>
      </c>
      <c r="D26" s="195" t="str">
        <f>IF(Instructions!$N$169=1,"(cfm)","(l/s)")</f>
        <v>(cfm)</v>
      </c>
      <c r="E26" s="192"/>
      <c r="F26" s="274"/>
      <c r="I26" s="127"/>
      <c r="J26" s="127"/>
      <c r="K26" s="127"/>
      <c r="Z26" s="127"/>
    </row>
    <row r="27" spans="1:26" s="128" customFormat="1" ht="18" customHeight="1" x14ac:dyDescent="0.25">
      <c r="A27" s="236"/>
      <c r="B27" s="76" t="s">
        <v>34</v>
      </c>
      <c r="C27" s="198" t="s">
        <v>19</v>
      </c>
      <c r="D27" s="77"/>
      <c r="E27" s="404">
        <f>TRUNC(IFERROR(E25/Airflow_cz,0),2)</f>
        <v>0</v>
      </c>
      <c r="F27" s="274" t="s">
        <v>20</v>
      </c>
      <c r="I27" s="130"/>
      <c r="J27" s="130"/>
      <c r="K27" s="130"/>
      <c r="Z27" s="127"/>
    </row>
    <row r="28" spans="1:26" ht="15" customHeight="1" x14ac:dyDescent="0.25">
      <c r="B28" s="131" t="s">
        <v>169</v>
      </c>
      <c r="C28" s="199"/>
      <c r="D28" s="132"/>
      <c r="E28" s="133"/>
      <c r="F28" s="275"/>
      <c r="G28" s="10"/>
      <c r="H28" s="10"/>
      <c r="I28" s="134"/>
      <c r="J28" s="134"/>
      <c r="K28" s="134"/>
      <c r="Z28" s="134"/>
    </row>
    <row r="29" spans="1:26" s="128" customFormat="1" ht="33" customHeight="1" x14ac:dyDescent="0.25">
      <c r="A29" s="236"/>
      <c r="B29" s="483" t="s">
        <v>222</v>
      </c>
      <c r="C29" s="484"/>
      <c r="D29" s="485"/>
      <c r="E29" s="218"/>
      <c r="F29" s="274"/>
      <c r="I29" s="130"/>
      <c r="J29" s="130"/>
      <c r="K29" s="130"/>
      <c r="Z29" s="130"/>
    </row>
    <row r="30" spans="1:26" s="128" customFormat="1" ht="18" hidden="1" customHeight="1" x14ac:dyDescent="0.25">
      <c r="A30" s="236"/>
      <c r="B30" s="213" t="s">
        <v>228</v>
      </c>
      <c r="C30" s="214" t="s">
        <v>30</v>
      </c>
      <c r="D30" s="215"/>
      <c r="E30" s="378">
        <f>MAX($Q$14:$Q$16)</f>
        <v>0</v>
      </c>
      <c r="F30" s="274"/>
      <c r="G30" s="380"/>
      <c r="I30" s="130"/>
      <c r="J30" s="130"/>
      <c r="K30" s="130"/>
      <c r="Z30" s="130"/>
    </row>
    <row r="31" spans="1:26" s="128" customFormat="1" ht="18" hidden="1" customHeight="1" x14ac:dyDescent="0.25">
      <c r="A31" s="236"/>
      <c r="B31" s="213" t="s">
        <v>229</v>
      </c>
      <c r="C31" s="214" t="s">
        <v>16</v>
      </c>
      <c r="D31" s="215"/>
      <c r="E31" s="378">
        <f>IF(E30&gt;0,IF(E30=0,1.15,IF(E30&gt;0.55,"Use Appendix A",VLOOKUP(E30,Instructions!$N$255:$O$309,2,TRUE))),0)</f>
        <v>0</v>
      </c>
      <c r="F31" s="274"/>
      <c r="I31" s="127"/>
      <c r="J31" s="127"/>
      <c r="K31" s="127"/>
      <c r="Z31" s="127"/>
    </row>
    <row r="32" spans="1:26" s="128" customFormat="1" ht="18" hidden="1" customHeight="1" x14ac:dyDescent="0.25">
      <c r="A32" s="236"/>
      <c r="B32" s="262" t="s">
        <v>223</v>
      </c>
      <c r="C32" s="263"/>
      <c r="D32" s="264"/>
      <c r="E32" s="265">
        <f t="array" ref="E32">MIN(IF($C$14:$D$16&gt;0,$W$14:$W$16))</f>
        <v>0</v>
      </c>
      <c r="F32" s="274"/>
      <c r="I32" s="135"/>
      <c r="J32" s="135"/>
      <c r="K32" s="135"/>
      <c r="Z32" s="135"/>
    </row>
    <row r="33" spans="1:26" s="128" customFormat="1" ht="18" hidden="1" customHeight="1" x14ac:dyDescent="0.25">
      <c r="A33" s="236"/>
      <c r="B33" s="262" t="s">
        <v>224</v>
      </c>
      <c r="C33" s="263"/>
      <c r="D33" s="264"/>
      <c r="E33" s="372">
        <f>VLOOKUP(E30,Q14:AB16,12,FALSE)</f>
        <v>0</v>
      </c>
      <c r="F33" s="274"/>
      <c r="I33" s="135"/>
      <c r="J33" s="135"/>
      <c r="K33" s="135"/>
      <c r="Y33" s="224" t="s">
        <v>233</v>
      </c>
      <c r="Z33" s="225" t="s">
        <v>234</v>
      </c>
    </row>
    <row r="34" spans="1:26" s="128" customFormat="1" ht="18" customHeight="1" x14ac:dyDescent="0.25">
      <c r="A34" s="236"/>
      <c r="B34" s="74" t="s">
        <v>170</v>
      </c>
      <c r="C34" s="197" t="s">
        <v>124</v>
      </c>
      <c r="D34" s="79"/>
      <c r="E34" s="294"/>
      <c r="F34" s="274" t="str">
        <f>IF(AND(E29&lt;&gt;"Table 6-3",E29&lt;&gt;"Appendix A")," ", "Ventilation efficiency from critical zone")</f>
        <v xml:space="preserve"> </v>
      </c>
      <c r="I34" s="135"/>
      <c r="J34" s="135"/>
      <c r="K34" s="135"/>
      <c r="Y34" s="193">
        <f>IF($E29="Table 6-3",$E31,$E32)</f>
        <v>0</v>
      </c>
      <c r="Z34" s="294"/>
    </row>
    <row r="35" spans="1:26" customFormat="1" ht="18" customHeight="1" x14ac:dyDescent="0.3">
      <c r="A35" s="237"/>
      <c r="B35" s="76" t="str" cm="1">
        <f t="array" ref="B35">IF(I_15,"Outdoor air intake flow (15% above 62.1 requirement)",IF(I_30,"Outdoor air intake flow (30% above 62.1 requirement)",IF(I_No,"Outdoor air intake flow (required by 62.1)",IF(AND(Instructions!K14&lt;&gt;"LEED v4.1",credit=1),"Outdoor air intake flow (30% above 62.1 requirement)","Outdoor air intake flow (required by 62.1)"))))</f>
        <v>Outdoor air intake flow (required by 62.1)</v>
      </c>
      <c r="C35" s="198" t="s">
        <v>237</v>
      </c>
      <c r="D35" s="81" t="str">
        <f>IF(Instructions!$N$169=1,"(cfm)","(l/s)")</f>
        <v>(cfm)</v>
      </c>
      <c r="E35" s="407">
        <f>IFERROR(E25/E34,0)</f>
        <v>0</v>
      </c>
      <c r="F35" s="274" t="s">
        <v>226</v>
      </c>
    </row>
    <row r="36" spans="1:26" customFormat="1" ht="15" customHeight="1" x14ac:dyDescent="0.3">
      <c r="A36" s="237"/>
      <c r="F36" s="276"/>
    </row>
    <row r="37" spans="1:26" customFormat="1" ht="18" customHeight="1" x14ac:dyDescent="0.3">
      <c r="A37" s="237"/>
      <c r="B37" s="200" t="s">
        <v>227</v>
      </c>
      <c r="C37" s="201"/>
      <c r="D37" s="202" t="str">
        <f>IF(Instructions!$N$169=1,"(cfm)","(l/s)")</f>
        <v>(cfm)</v>
      </c>
      <c r="E37" s="260"/>
      <c r="F37" s="274"/>
    </row>
    <row r="38" spans="1:26" x14ac:dyDescent="0.25">
      <c r="F38" s="277"/>
    </row>
  </sheetData>
  <sheetProtection algorithmName="SHA-512" hashValue="e6pAyAjGb1IOCc81jdfVKAk/2IIhqpEYJAIpvisXLDu2ZM+x33IIocxM2OtVNDczf+IJ6OIWtW6OhlsWi5vj6g==" saltValue="pmoGidDdO4T+RIGzyXgnvg==" spinCount="100000" sheet="1" objects="1" scenarios="1" formatRows="0"/>
  <mergeCells count="13">
    <mergeCell ref="K10:K11"/>
    <mergeCell ref="B10:B12"/>
    <mergeCell ref="C10:D12"/>
    <mergeCell ref="F10:F12"/>
    <mergeCell ref="C16:D16"/>
    <mergeCell ref="J10:J11"/>
    <mergeCell ref="C14:D14"/>
    <mergeCell ref="B29:D29"/>
    <mergeCell ref="B6:C6"/>
    <mergeCell ref="B7:C7"/>
    <mergeCell ref="C13:D13"/>
    <mergeCell ref="C15:D15"/>
    <mergeCell ref="B8:C8"/>
  </mergeCells>
  <conditionalFormatting sqref="F19:F37">
    <cfRule type="expression" dxfId="6" priority="36">
      <formula>IF($Y$5=TRUE,TRUE,FALSE)</formula>
    </cfRule>
  </conditionalFormatting>
  <conditionalFormatting sqref="W14:W16">
    <cfRule type="cellIs" dxfId="5" priority="1" operator="lessThan">
      <formula>0</formula>
    </cfRule>
  </conditionalFormatting>
  <conditionalFormatting sqref="B14:B16">
    <cfRule type="expression" dxfId="4" priority="47">
      <formula>IF(AND($E$33&gt;0,$B14=$E$33),TRUE,FALSE)</formula>
    </cfRule>
  </conditionalFormatting>
  <dataValidations disablePrompts="1" count="7">
    <dataValidation type="list" allowBlank="1" showInputMessage="1" sqref="D7" xr:uid="{00000000-0002-0000-0100-000000000000}">
      <formula1>"Heating, Cooling, Other (specify)"</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00000000-0002-0000-0100-000001000000}">
      <formula1>31</formula1>
    </dataValidation>
    <dataValidation type="list" allowBlank="1" showInputMessage="1" showErrorMessage="1" sqref="D8 F14:F16" xr:uid="{00000000-0002-0000-0100-000002000000}">
      <formula1>"Yes, No"</formula1>
    </dataValidation>
    <dataValidation type="list" allowBlank="1" showInputMessage="1" sqref="E29" xr:uid="{00000000-0002-0000-0100-000003000000}">
      <formula1>"Table 6-3, Appendix A, Other (specify)"</formula1>
    </dataValidation>
    <dataValidation type="list" allowBlank="1" showInputMessage="1" sqref="M14:M16" xr:uid="{00000000-0002-0000-0100-000004000000}">
      <formula1>"1.2, 1.0, 0.8, 0.7, 0.5, Other (specify)"</formula1>
    </dataValidation>
    <dataValidation type="list" allowBlank="1" showInputMessage="1" sqref="R14:R16" xr:uid="{00000000-0002-0000-0100-000005000000}">
      <formula1>"1.2, 1.0, 0.75, 0.5, 0,Other (specify)"</formula1>
    </dataValidation>
    <dataValidation type="decimal" allowBlank="1" showInputMessage="1" showErrorMessage="1" error="The Zone Primary Air Fraction (Ep) is outside of the allowable range (must be between 0 and 1). Adjust the values for Zone Discharge Airflow (Vdz) or Zone Primary Airflow (Vpz) accordingly._x000a_" sqref="S14:S16" xr:uid="{00000000-0002-0000-0100-000006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65" r:id="rId4" name="Button 9">
              <controlPr defaultSize="0" print="0" autoFill="0" autoPict="0" macro="[0]!AddMZ">
                <anchor moveWithCells="1">
                  <from>
                    <xdr:col>1</xdr:col>
                    <xdr:colOff>0</xdr:colOff>
                    <xdr:row>16</xdr:row>
                    <xdr:rowOff>137160</xdr:rowOff>
                  </from>
                  <to>
                    <xdr:col>1</xdr:col>
                    <xdr:colOff>1371600</xdr:colOff>
                    <xdr:row>16</xdr:row>
                    <xdr:rowOff>419100</xdr:rowOff>
                  </to>
                </anchor>
              </controlPr>
            </control>
          </mc:Choice>
        </mc:AlternateContent>
        <mc:AlternateContent xmlns:mc="http://schemas.openxmlformats.org/markup-compatibility/2006">
          <mc:Choice Requires="x14">
            <control shapeId="19466" r:id="rId5" name="Button 10">
              <controlPr defaultSize="0" print="0" autoFill="0" autoPict="0" macro="[0]!DeleteRow">
                <anchor moveWithCells="1">
                  <from>
                    <xdr:col>1</xdr:col>
                    <xdr:colOff>1463040</xdr:colOff>
                    <xdr:row>16</xdr:row>
                    <xdr:rowOff>137160</xdr:rowOff>
                  </from>
                  <to>
                    <xdr:col>1</xdr:col>
                    <xdr:colOff>2842260</xdr:colOff>
                    <xdr:row>16</xdr:row>
                    <xdr:rowOff>403860</xdr:rowOff>
                  </to>
                </anchor>
              </controlPr>
            </control>
          </mc:Choice>
        </mc:AlternateContent>
        <mc:AlternateContent xmlns:mc="http://schemas.openxmlformats.org/markup-compatibility/2006">
          <mc:Choice Requires="x14">
            <control shapeId="19484" r:id="rId6" name="Check Box 28">
              <controlPr defaultSize="0" autoFill="0" autoLine="0" autoPict="0" macro="[0]!SimpleCalc">
                <anchor moveWithCells="1">
                  <from>
                    <xdr:col>1</xdr:col>
                    <xdr:colOff>15240</xdr:colOff>
                    <xdr:row>4</xdr:row>
                    <xdr:rowOff>152400</xdr:rowOff>
                  </from>
                  <to>
                    <xdr:col>1</xdr:col>
                    <xdr:colOff>2118360</xdr:colOff>
                    <xdr:row>4</xdr:row>
                    <xdr:rowOff>441960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7000000}">
          <x14:formula1>
            <xm:f>IF(Instructions!$K$14="LEED 2009",LEED2009list,IF(Instructions!$K$14="LEED v4",LEEDv4list, LEEDv41lIST))</xm:f>
          </x14:formula1>
          <xm:sqref>C14:D16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O25"/>
  <sheetViews>
    <sheetView showGridLines="0" topLeftCell="A2" zoomScale="80" zoomScaleNormal="80" workbookViewId="0">
      <selection activeCell="L12" sqref="L12"/>
    </sheetView>
  </sheetViews>
  <sheetFormatPr defaultColWidth="9.109375" defaultRowHeight="13.2" x14ac:dyDescent="0.25"/>
  <cols>
    <col min="1" max="1" width="2.6640625" style="10" customWidth="1"/>
    <col min="2" max="2" width="52.6640625" style="10" customWidth="1"/>
    <col min="3" max="3" width="14.6640625" style="10" customWidth="1"/>
    <col min="4" max="4" width="20.6640625" style="10" customWidth="1"/>
    <col min="5" max="11" width="14.6640625" style="10" customWidth="1"/>
    <col min="12" max="12" width="17.6640625" style="10" customWidth="1"/>
    <col min="13" max="14" width="14.6640625" style="10" customWidth="1"/>
    <col min="15" max="15" width="20.109375" style="10" customWidth="1"/>
    <col min="16" max="17" width="10.6640625" style="10" hidden="1" customWidth="1"/>
    <col min="18" max="36" width="9.109375" style="10" hidden="1" customWidth="1"/>
    <col min="37" max="37" width="9.109375" style="10"/>
    <col min="38" max="41" width="9.109375" style="10" hidden="1" customWidth="1"/>
    <col min="42" max="43" width="9.109375" style="10" customWidth="1"/>
    <col min="44" max="16384" width="9.109375" style="10"/>
  </cols>
  <sheetData>
    <row r="1" spans="1:41" ht="14.25" customHeight="1" x14ac:dyDescent="0.6">
      <c r="A1" s="36"/>
      <c r="B1" s="42"/>
      <c r="C1" s="36"/>
      <c r="D1" s="36"/>
      <c r="E1" s="36"/>
      <c r="F1" s="36"/>
      <c r="G1" s="36"/>
      <c r="H1" s="36"/>
      <c r="I1" s="36"/>
      <c r="J1" s="36"/>
      <c r="K1" s="36"/>
      <c r="L1" s="36"/>
      <c r="M1" s="36"/>
      <c r="N1" s="36"/>
    </row>
    <row r="2" spans="1:41" ht="21" customHeight="1" x14ac:dyDescent="0.25">
      <c r="A2" s="37"/>
      <c r="B2" s="58" t="s">
        <v>287</v>
      </c>
      <c r="C2" s="40"/>
      <c r="D2" s="40"/>
      <c r="E2" s="39"/>
      <c r="F2" s="39"/>
      <c r="G2" s="40"/>
      <c r="H2" s="40"/>
      <c r="I2" s="40"/>
      <c r="J2" s="40"/>
      <c r="K2" s="40"/>
      <c r="L2" s="40"/>
      <c r="M2" s="40"/>
      <c r="N2" s="40"/>
      <c r="P2" s="253" t="s">
        <v>252</v>
      </c>
      <c r="Q2" s="253" t="s">
        <v>252</v>
      </c>
      <c r="R2" s="253" t="s">
        <v>252</v>
      </c>
      <c r="S2" s="253" t="s">
        <v>252</v>
      </c>
      <c r="T2" s="253" t="s">
        <v>252</v>
      </c>
      <c r="U2" s="253" t="s">
        <v>252</v>
      </c>
      <c r="V2" s="253" t="s">
        <v>252</v>
      </c>
      <c r="W2" s="253" t="s">
        <v>252</v>
      </c>
      <c r="X2" s="253" t="s">
        <v>252</v>
      </c>
      <c r="Y2" s="253" t="s">
        <v>252</v>
      </c>
      <c r="Z2" s="258" t="s">
        <v>248</v>
      </c>
      <c r="AA2" s="258" t="s">
        <v>249</v>
      </c>
      <c r="AB2" s="289" t="s">
        <v>1</v>
      </c>
      <c r="AC2" s="289" t="s">
        <v>2</v>
      </c>
      <c r="AD2" s="289" t="s">
        <v>23</v>
      </c>
      <c r="AE2" s="289" t="s">
        <v>264</v>
      </c>
      <c r="AF2" s="289" t="s">
        <v>124</v>
      </c>
      <c r="AG2" s="289" t="s">
        <v>22</v>
      </c>
      <c r="AH2" s="289" t="s">
        <v>19</v>
      </c>
      <c r="AI2" s="258" t="s">
        <v>250</v>
      </c>
      <c r="AJ2" s="258" t="s">
        <v>251</v>
      </c>
    </row>
    <row r="3" spans="1:41" ht="21" customHeight="1" x14ac:dyDescent="0.25">
      <c r="A3" s="37"/>
      <c r="B3" s="57" t="str">
        <f ca="1">REPLACE(CELL("filename",A1),1,FIND("]",CELL("filename",A1)),"")</f>
        <v>100% OA</v>
      </c>
      <c r="C3" s="40"/>
      <c r="D3" s="40"/>
      <c r="E3" s="39"/>
      <c r="F3" s="39"/>
      <c r="G3" s="40"/>
      <c r="H3" s="40"/>
      <c r="I3" s="40"/>
      <c r="J3" s="40"/>
      <c r="K3" s="40"/>
      <c r="L3" s="40"/>
      <c r="M3" s="40"/>
      <c r="N3" s="40"/>
      <c r="O3" s="40"/>
      <c r="Z3" s="259">
        <f>$E$19</f>
        <v>0</v>
      </c>
      <c r="AA3" s="279">
        <f>$E$20</f>
        <v>0</v>
      </c>
      <c r="AB3" s="279">
        <f>IFERROR(SUM($J$13:$J$16)/$E$20,0)</f>
        <v>0</v>
      </c>
      <c r="AC3" s="279">
        <f>IFERROR(SUM($K$13:$K$16)/$E$19,0)</f>
        <v>0</v>
      </c>
      <c r="AD3" s="292" t="s">
        <v>265</v>
      </c>
      <c r="AE3" s="292">
        <f>IFERROR(AVERAGEIF($M$13:$M$16,"&lt;&gt;0"),0)</f>
        <v>0</v>
      </c>
      <c r="AF3" s="292" t="s">
        <v>265</v>
      </c>
      <c r="AG3" s="292" t="s">
        <v>265</v>
      </c>
      <c r="AH3" s="292" t="s">
        <v>265</v>
      </c>
      <c r="AI3" s="259">
        <f>ROUND($E$21,0)</f>
        <v>0</v>
      </c>
      <c r="AJ3" s="259">
        <f>ROUND($E$23,0)</f>
        <v>0</v>
      </c>
    </row>
    <row r="4" spans="1:41" ht="15" customHeight="1" x14ac:dyDescent="0.6">
      <c r="A4" s="36"/>
      <c r="B4" s="42"/>
      <c r="C4" s="36"/>
      <c r="D4" s="36"/>
      <c r="E4" s="36"/>
      <c r="F4" s="36"/>
      <c r="G4" s="36"/>
      <c r="H4" s="36"/>
      <c r="I4" s="36"/>
      <c r="J4" s="36"/>
      <c r="K4" s="36"/>
      <c r="L4" s="36"/>
      <c r="M4" s="36"/>
      <c r="N4" s="36"/>
      <c r="O4" s="36"/>
    </row>
    <row r="5" spans="1:41" ht="47.25" customHeight="1" x14ac:dyDescent="0.25">
      <c r="B5" s="241" t="s">
        <v>230</v>
      </c>
      <c r="E5" s="65"/>
      <c r="F5" s="66"/>
      <c r="G5" s="66"/>
      <c r="H5" s="66"/>
      <c r="P5" s="250" t="b">
        <v>0</v>
      </c>
    </row>
    <row r="6" spans="1:41" ht="18" customHeight="1" x14ac:dyDescent="0.25">
      <c r="B6" s="72" t="s">
        <v>133</v>
      </c>
      <c r="C6" s="73"/>
      <c r="D6" s="221" t="str">
        <f ca="1">B3</f>
        <v>100% OA</v>
      </c>
    </row>
    <row r="7" spans="1:41" ht="18" customHeight="1" x14ac:dyDescent="0.25">
      <c r="B7" s="76" t="s">
        <v>299</v>
      </c>
      <c r="C7" s="81"/>
      <c r="D7" s="142"/>
      <c r="AM7" s="10">
        <f>COUNTIF($AL13:$AL16,"No")</f>
        <v>0</v>
      </c>
      <c r="AN7" s="10">
        <f>SUM(AM7-0)</f>
        <v>0</v>
      </c>
      <c r="AO7" s="10" t="str">
        <f>IF(AN7=0,"Yes","No")</f>
        <v>Yes</v>
      </c>
    </row>
    <row r="8" spans="1:41" customFormat="1" ht="18" customHeight="1" x14ac:dyDescent="0.3"/>
    <row r="9" spans="1:41" s="70" customFormat="1" ht="55.5" customHeight="1" x14ac:dyDescent="0.3">
      <c r="B9" s="497" t="s">
        <v>211</v>
      </c>
      <c r="C9" s="499" t="s">
        <v>141</v>
      </c>
      <c r="D9" s="500"/>
      <c r="E9" s="220" t="s">
        <v>256</v>
      </c>
      <c r="F9" s="503" t="s">
        <v>31</v>
      </c>
      <c r="G9" s="220" t="s">
        <v>145</v>
      </c>
      <c r="H9" s="219" t="s">
        <v>243</v>
      </c>
      <c r="I9" s="219" t="s">
        <v>244</v>
      </c>
      <c r="J9" s="495" t="s">
        <v>208</v>
      </c>
      <c r="K9" s="495" t="s">
        <v>209</v>
      </c>
      <c r="L9" s="219" t="s">
        <v>210</v>
      </c>
      <c r="M9" s="220" t="s">
        <v>148</v>
      </c>
      <c r="N9" s="176" t="s">
        <v>245</v>
      </c>
      <c r="O9" s="176" t="s">
        <v>301</v>
      </c>
      <c r="P9" s="506" t="s">
        <v>146</v>
      </c>
      <c r="Q9" s="506" t="s">
        <v>146</v>
      </c>
      <c r="R9" s="509" t="s">
        <v>147</v>
      </c>
    </row>
    <row r="10" spans="1:41" s="70" customFormat="1" ht="21" customHeight="1" x14ac:dyDescent="0.3">
      <c r="B10" s="498"/>
      <c r="C10" s="501"/>
      <c r="D10" s="502"/>
      <c r="E10" s="179" t="s">
        <v>0</v>
      </c>
      <c r="F10" s="504"/>
      <c r="G10" s="179" t="s">
        <v>3</v>
      </c>
      <c r="H10" s="203" t="s">
        <v>1</v>
      </c>
      <c r="I10" s="203" t="s">
        <v>2</v>
      </c>
      <c r="J10" s="496"/>
      <c r="K10" s="496"/>
      <c r="L10" s="203" t="s">
        <v>4</v>
      </c>
      <c r="M10" s="179" t="s">
        <v>18</v>
      </c>
      <c r="N10" s="182" t="s">
        <v>7</v>
      </c>
      <c r="O10" s="182" t="s">
        <v>302</v>
      </c>
      <c r="P10" s="507"/>
      <c r="Q10" s="507"/>
      <c r="R10" s="510"/>
    </row>
    <row r="11" spans="1:41" s="70" customFormat="1" ht="31.95" customHeight="1" x14ac:dyDescent="0.3">
      <c r="A11" s="267" t="s">
        <v>171</v>
      </c>
      <c r="B11" s="515"/>
      <c r="C11" s="511"/>
      <c r="D11" s="512"/>
      <c r="E11" s="246" t="str">
        <f>IF(Instructions!$N$169=1,"(sq ft)","(sq m)")</f>
        <v>(sq ft)</v>
      </c>
      <c r="F11" s="505"/>
      <c r="G11" s="246" t="s">
        <v>161</v>
      </c>
      <c r="H11" s="261" t="str">
        <f>IF(Instructions!$N$169=1,Instructions!$G$75,Instructions!$H$75)</f>
        <v>(cfm per person)</v>
      </c>
      <c r="I11" s="261" t="str">
        <f>IF(Instructions!$N$169=1,Instructions!$I$75,Instructions!$J$75)</f>
        <v xml:space="preserve">(cfm per sq ft) </v>
      </c>
      <c r="J11" s="204" t="str">
        <f>IF(Instructions!$N$169=1,"(cfm)","(l/s)")</f>
        <v>(cfm)</v>
      </c>
      <c r="K11" s="204" t="str">
        <f>IF(Instructions!$N$169=1,"(cfm)","(l/s)")</f>
        <v>(cfm)</v>
      </c>
      <c r="L11" s="261" t="str">
        <f>IF(Instructions!$N$169=1,"(cfm)","(l/s)")</f>
        <v>(cfm)</v>
      </c>
      <c r="M11" s="251"/>
      <c r="N11" s="249" t="str">
        <f>IF(Instructions!$N$169=1,"(cfm)","(l/s)")</f>
        <v>(cfm)</v>
      </c>
      <c r="O11" s="249" t="str">
        <f>IF(Instructions!$N$169=1,"(cfm)","()")</f>
        <v>(cfm)</v>
      </c>
      <c r="P11" s="507"/>
      <c r="Q11" s="507"/>
      <c r="R11" s="510"/>
    </row>
    <row r="12" spans="1:41" s="70" customFormat="1" ht="19.05" customHeight="1" x14ac:dyDescent="0.3">
      <c r="A12" s="267" t="s">
        <v>136</v>
      </c>
      <c r="B12" s="314"/>
      <c r="C12" s="513"/>
      <c r="D12" s="513"/>
      <c r="E12" s="315"/>
      <c r="F12" s="315"/>
      <c r="G12" s="315"/>
      <c r="H12" s="316"/>
      <c r="I12" s="316"/>
      <c r="J12" s="219" t="s">
        <v>28</v>
      </c>
      <c r="K12" s="219" t="s">
        <v>27</v>
      </c>
      <c r="L12" s="219" t="str" cm="1">
        <f t="array" ref="L12">IF(I_15,"(Rp Pz + Ra Az)*1.15",IF(I_30,"(Rp Pz + Ra Az)*1.3",IF(I_No,"(Rp Pz + Ra Az)",IF(AND(Instructions!K14&lt;&gt;"LEED v4.1",credit=1),"(Rp Pz + Ra Az)*1.3","(Rp Pz + Ra Az)"))))</f>
        <v>(Rp Pz + Ra Az)</v>
      </c>
      <c r="M12" s="317"/>
      <c r="N12" s="176" t="s">
        <v>15</v>
      </c>
      <c r="O12" s="176"/>
      <c r="P12" s="508"/>
      <c r="Q12" s="508"/>
      <c r="R12" s="252" t="str">
        <f>IF(Instructions!N169=1,"(occupants per 1,000 sq ft)","(occupants per 100 sq m)")</f>
        <v>(occupants per 1,000 sq ft)</v>
      </c>
      <c r="AL12" s="414"/>
    </row>
    <row r="13" spans="1:41" s="71" customFormat="1" ht="12.45" hidden="1" customHeight="1" x14ac:dyDescent="0.3">
      <c r="A13" s="136">
        <f>IF(C13=0,0,0)</f>
        <v>0</v>
      </c>
      <c r="B13" s="254"/>
      <c r="C13" s="514"/>
      <c r="D13" s="514"/>
      <c r="E13" s="255"/>
      <c r="F13" s="256"/>
      <c r="G13" s="370"/>
      <c r="H13" s="266">
        <f>IFERROR(IF(Instructions!$N$169=1,VLOOKUP(C13,Instructions!$C$76:$K$160,5,FALSE),VLOOKUP(C13,Instructions!$C$76:$K$160,6,FALSE)),0)</f>
        <v>0</v>
      </c>
      <c r="I13" s="266">
        <f>TRUNC(IFERROR(IF(Instructions!$N$169=1,VLOOKUP(C13,Instructions!$C$76:$K$160,7,FALSE),VLOOKUP(C13,Instructions!$C$76:$K$160,8,FALSE)),0),2)</f>
        <v>0</v>
      </c>
      <c r="J13" s="229">
        <f>TRUNC(H13*G13,2)</f>
        <v>0</v>
      </c>
      <c r="K13" s="229">
        <f>TRUNC(I13*E13,2)</f>
        <v>0</v>
      </c>
      <c r="L13" s="400" cm="1">
        <f t="array" ref="L13">TRUNC(IF(I_15,(J13+K13)*1.15,IF(I_30,(J13+K13)*1.3,IF(I_No,(J13+K13),IF(AND(I_v4.1,credit=1),(J13+K13)*1.3,(J13+K13))))),2)</f>
        <v>0</v>
      </c>
      <c r="M13" s="412"/>
      <c r="N13" s="401">
        <f>TRUNC(IFERROR(L13/M13,0),2)</f>
        <v>0</v>
      </c>
      <c r="O13" s="255"/>
      <c r="P13" s="280">
        <f>IFERROR(IF(Instructions!$N$169=1,($R13/1000)*$E13,($R13/100)*$E13),0)</f>
        <v>0</v>
      </c>
      <c r="Q13" s="370"/>
      <c r="R13" s="281">
        <f>IFERROR(VLOOKUP($C13,Instructions!$C$76:$K$160,9,FALSE),0)</f>
        <v>0</v>
      </c>
      <c r="AL13" s="71" t="str">
        <f>IF($O13 &gt;=$N13,"Yes","No")</f>
        <v>Yes</v>
      </c>
    </row>
    <row r="14" spans="1:41" s="71" customFormat="1" ht="12" customHeight="1" x14ac:dyDescent="0.3">
      <c r="A14" s="136">
        <f>IF(C14=0,0,0)</f>
        <v>0</v>
      </c>
      <c r="B14" s="254"/>
      <c r="C14" s="514"/>
      <c r="D14" s="514"/>
      <c r="E14" s="255"/>
      <c r="F14" s="256"/>
      <c r="G14" s="370"/>
      <c r="H14" s="266">
        <f>IFERROR(IF(Instructions!$N$169=1,VLOOKUP(C14,Instructions!$C$76:$K$160,5,FALSE),VLOOKUP(C14,Instructions!$C$76:$K$160,6,FALSE)),0)</f>
        <v>0</v>
      </c>
      <c r="I14" s="266">
        <f>TRUNC(IFERROR(IF(Instructions!$N$169=1,VLOOKUP(C14,Instructions!$C$76:$K$160,7,FALSE),VLOOKUP(C14,Instructions!$C$76:$K$160,8,FALSE)),0),2)</f>
        <v>0</v>
      </c>
      <c r="J14" s="229">
        <f>TRUNC(H14*G14,2)</f>
        <v>0</v>
      </c>
      <c r="K14" s="229">
        <f>TRUNC(I14*E14,2)</f>
        <v>0</v>
      </c>
      <c r="L14" s="400" cm="1">
        <f t="array" ref="L14">TRUNC(IF(I_15,(J14+K14)*1.15,IF(I_30,(J14+K14)*1.3,IF(I_No,(J14+K14),IF(AND(I_v4.1,credit=1),(J14+K14)*1.3,(J14+K14))))),2)</f>
        <v>0</v>
      </c>
      <c r="M14" s="412"/>
      <c r="N14" s="401">
        <f>TRUNC(IFERROR(L14/M14,0),2)</f>
        <v>0</v>
      </c>
      <c r="O14" s="255"/>
      <c r="P14" s="280">
        <f>IFERROR(IF(Instructions!$N$169=1,($R14/1000)*$E14,($R14/100)*$E14),0)</f>
        <v>0</v>
      </c>
      <c r="Q14" s="370"/>
      <c r="R14" s="281">
        <f>IFERROR(VLOOKUP($C14,Instructions!$C$76:$K$160,9,FALSE),0)</f>
        <v>0</v>
      </c>
      <c r="AL14" s="71" t="str">
        <f>IF($O14 &gt;=$N14,"Yes","No")</f>
        <v>Yes</v>
      </c>
    </row>
    <row r="15" spans="1:41" s="71" customFormat="1" ht="15" customHeight="1" x14ac:dyDescent="0.3">
      <c r="A15" s="136">
        <f t="shared" ref="A15:A16" si="0">IF(C15=0,0,0)</f>
        <v>0</v>
      </c>
      <c r="B15" s="254"/>
      <c r="C15" s="514"/>
      <c r="D15" s="514"/>
      <c r="E15" s="255"/>
      <c r="F15" s="256"/>
      <c r="G15" s="370"/>
      <c r="H15" s="266">
        <f>IFERROR(IF(Instructions!$N$169=1,VLOOKUP(C15,Instructions!$C$76:$K$160,5,FALSE),VLOOKUP(C15,Instructions!$C$76:$K$160,6,FALSE)),0)</f>
        <v>0</v>
      </c>
      <c r="I15" s="266">
        <f>TRUNC(IFERROR(IF(Instructions!$N$169=1,VLOOKUP(C15,Instructions!$C$76:$K$160,7,FALSE),VLOOKUP(C15,Instructions!$C$76:$K$160,8,FALSE)),0),2)</f>
        <v>0</v>
      </c>
      <c r="J15" s="398">
        <f>TRUNC(H15*G15,2)</f>
        <v>0</v>
      </c>
      <c r="K15" s="398">
        <f>TRUNC(I15*E15,2)</f>
        <v>0</v>
      </c>
      <c r="L15" s="399" cm="1">
        <f t="array" ref="L15">TRUNC(IF(I_15,(J15+K15)*1.15,IF(I_30,(J15+K15)*1.3,IF(I_No,(J15+K15),IF(AND(I_v4.1,credit=1),(J15+K15)*1.3,(J15+K15))))),2)</f>
        <v>0</v>
      </c>
      <c r="M15" s="412"/>
      <c r="N15" s="396">
        <f>TRUNC(IFERROR(L15/M15,0),2)</f>
        <v>0</v>
      </c>
      <c r="O15" s="255"/>
      <c r="P15" s="280">
        <f>IFERROR(IF(Instructions!$N$169=1,($R15/1000)*$E15,($R15/100)*$E15),0)</f>
        <v>0</v>
      </c>
      <c r="Q15" s="370"/>
      <c r="R15" s="281">
        <f>IFERROR(VLOOKUP($C15,Instructions!$C$76:$K$160,9,FALSE),0)</f>
        <v>0</v>
      </c>
      <c r="AL15" s="71" t="str">
        <f>IF($O15 &gt;=$N15,"Yes","No")</f>
        <v>Yes</v>
      </c>
    </row>
    <row r="16" spans="1:41" s="71" customFormat="1" ht="15" customHeight="1" x14ac:dyDescent="0.3">
      <c r="A16" s="136">
        <f t="shared" si="0"/>
        <v>0</v>
      </c>
      <c r="B16" s="254"/>
      <c r="C16" s="514"/>
      <c r="D16" s="514"/>
      <c r="E16" s="255"/>
      <c r="F16" s="256"/>
      <c r="G16" s="370"/>
      <c r="H16" s="266">
        <f>IFERROR(IF(Instructions!$N$169=1,VLOOKUP(C16,Instructions!$C$76:$K$160,5,FALSE),VLOOKUP(C16,Instructions!$C$76:$K$160,6,FALSE)),0)</f>
        <v>0</v>
      </c>
      <c r="I16" s="266">
        <f>TRUNC(IFERROR(IF(Instructions!$N$169=1,VLOOKUP(C16,Instructions!$C$76:$K$160,7,FALSE),VLOOKUP(C16,Instructions!$C$76:$K$160,8,FALSE)),0),2)</f>
        <v>0</v>
      </c>
      <c r="J16" s="398">
        <f>TRUNC(H16*G16,2)</f>
        <v>0</v>
      </c>
      <c r="K16" s="398">
        <f>TRUNC(I16*E16,2)</f>
        <v>0</v>
      </c>
      <c r="L16" s="399" cm="1">
        <f t="array" ref="L16">TRUNC(IF(I_15,(J16+K16)*1.15,IF(I_30,(J16+K16)*1.3,IF(I_No,(J16+K16),IF(AND(I_v4.1,credit=1),(J16+K16)*1.3,(J16+K16))))),2)</f>
        <v>0</v>
      </c>
      <c r="M16" s="412"/>
      <c r="N16" s="396">
        <f>TRUNC(IFERROR(L16/M16,0),2)</f>
        <v>0</v>
      </c>
      <c r="O16" s="255"/>
      <c r="P16" s="280">
        <f>IFERROR(IF(Instructions!$N$169=1,($R16/1000)*$E16,($R16/100)*$E16),0)</f>
        <v>0</v>
      </c>
      <c r="Q16" s="370"/>
      <c r="R16" s="281">
        <f>IFERROR(VLOOKUP($C16,Instructions!$C$76:$K$160,9,FALSE),0)</f>
        <v>0</v>
      </c>
      <c r="AL16" s="71" t="str">
        <f>IF($O16 &gt;=$N16,"Yes","No")</f>
        <v>Yes</v>
      </c>
    </row>
    <row r="17" spans="1:27" ht="54.75" customHeight="1" x14ac:dyDescent="0.25">
      <c r="A17" s="268"/>
    </row>
    <row r="19" spans="1:27" customFormat="1" ht="18" customHeight="1" x14ac:dyDescent="0.3">
      <c r="B19" s="72" t="str">
        <f>CONCATENATE("System area ",IF(Instructions!$N$169=1,"(sq ft)","(sq m)"))</f>
        <v>System area (sq ft)</v>
      </c>
      <c r="C19" s="247" t="s">
        <v>214</v>
      </c>
      <c r="D19" s="194" t="str">
        <f>IF(Instructions!$N$169=1,"(sq ft)","(sq m)")</f>
        <v>(sq ft)</v>
      </c>
      <c r="E19" s="394">
        <f>TRUNC(SUM(E13:E16),2)</f>
        <v>0</v>
      </c>
      <c r="F19" s="274" t="s">
        <v>246</v>
      </c>
    </row>
    <row r="20" spans="1:27" customFormat="1" ht="18" customHeight="1" x14ac:dyDescent="0.3">
      <c r="B20" s="75" t="s">
        <v>24</v>
      </c>
      <c r="C20" s="248" t="s">
        <v>25</v>
      </c>
      <c r="D20" s="80" t="s">
        <v>161</v>
      </c>
      <c r="E20" s="395">
        <f>TRUNC(SUM(G13:G16),2)</f>
        <v>0</v>
      </c>
      <c r="F20" s="274" t="s">
        <v>29</v>
      </c>
    </row>
    <row r="21" spans="1:27" customFormat="1" ht="18" customHeight="1" x14ac:dyDescent="0.3">
      <c r="B21" s="76" t="str" cm="1">
        <f t="array" ref="B21">IF(I_15,"Outdoor air intake flow (15% above 62.1 requirement)",IF(I_30,"Outdoor air intake flow (30% above 62.1 requirement)",IF(I_No,"Outdoor air intake flow (required by 62.1)",IF(AND(Instructions!K14&lt;&gt;"LEED v4.1",credit=1),"Outdoor air intake flow (30% above 62.1 requirement)","Outdoor air intake flow (required by 62.1)"))))</f>
        <v>Outdoor air intake flow (required by 62.1)</v>
      </c>
      <c r="C21" s="198" t="s">
        <v>237</v>
      </c>
      <c r="D21" s="77" t="str">
        <f>IF(Instructions!$N$169=1,"(cfm)","(l/s)")</f>
        <v>(cfm)</v>
      </c>
      <c r="E21" s="397">
        <f>TRUNC(SUM(N13:N16),0)</f>
        <v>0</v>
      </c>
      <c r="F21" s="274" t="s">
        <v>247</v>
      </c>
    </row>
    <row r="22" spans="1:27" ht="15" customHeight="1" x14ac:dyDescent="0.25">
      <c r="A22" s="236"/>
      <c r="B22" s="242" t="s">
        <v>169</v>
      </c>
      <c r="C22" s="243"/>
      <c r="D22" s="244"/>
      <c r="E22" s="245"/>
      <c r="F22" s="226"/>
      <c r="H22" s="134"/>
      <c r="I22" s="134"/>
      <c r="L22" s="134"/>
      <c r="M22" s="134"/>
      <c r="O22" s="410"/>
      <c r="AA22" s="134"/>
    </row>
    <row r="23" spans="1:27" customFormat="1" ht="18" customHeight="1" x14ac:dyDescent="0.3">
      <c r="B23" s="200" t="s">
        <v>227</v>
      </c>
      <c r="C23" s="201"/>
      <c r="D23" s="257" t="str">
        <f>IF(Instructions!$N$169=1,"(cfm)","(l/s)")</f>
        <v>(cfm)</v>
      </c>
      <c r="E23" s="260"/>
    </row>
    <row r="24" spans="1:27" ht="21" customHeight="1" x14ac:dyDescent="0.25">
      <c r="B24" s="69"/>
      <c r="F24" s="66"/>
      <c r="G24" s="66"/>
      <c r="H24" s="66"/>
    </row>
    <row r="25" spans="1:27" x14ac:dyDescent="0.25">
      <c r="B25" s="410"/>
    </row>
  </sheetData>
  <sheetProtection algorithmName="SHA-512" hashValue="xNhSTe1QS06FQkQAPt+6CnpIA4gVdtWQUjbYJTHFa2xbjE85PQc8d9tXucOmZ2XFDSCPurqX5R2MkAZrCzLSBg==" saltValue="Z7p1F/NSEiZ72lJ7gEy+3A==" spinCount="100000" sheet="1" formatRows="0"/>
  <mergeCells count="13">
    <mergeCell ref="C13:D13"/>
    <mergeCell ref="B9:B11"/>
    <mergeCell ref="F9:F11"/>
    <mergeCell ref="C16:D16"/>
    <mergeCell ref="C15:D15"/>
    <mergeCell ref="C14:D14"/>
    <mergeCell ref="J9:J10"/>
    <mergeCell ref="K9:K10"/>
    <mergeCell ref="P9:P12"/>
    <mergeCell ref="R9:R11"/>
    <mergeCell ref="C9:D11"/>
    <mergeCell ref="C12:D12"/>
    <mergeCell ref="Q9:Q12"/>
  </mergeCells>
  <conditionalFormatting sqref="F19">
    <cfRule type="expression" dxfId="3" priority="4">
      <formula>IF($P$5=TRUE,TRUE,FALSE)</formula>
    </cfRule>
  </conditionalFormatting>
  <conditionalFormatting sqref="F20">
    <cfRule type="expression" dxfId="2" priority="2">
      <formula>IF($P$5=TRUE,TRUE,FALSE)</formula>
    </cfRule>
  </conditionalFormatting>
  <conditionalFormatting sqref="F21">
    <cfRule type="expression" dxfId="1" priority="1">
      <formula>IF($P$5=TRUE,TRUE,FALSE)</formula>
    </cfRule>
  </conditionalFormatting>
  <dataValidations count="4">
    <dataValidation type="list" allowBlank="1" showInputMessage="1" sqref="D7:D8" xr:uid="{00000000-0002-0000-0200-000000000000}">
      <formula1>"Heating, Cooling, Other (specify)"</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00000000-0002-0000-0200-000001000000}">
      <formula1>31</formula1>
    </dataValidation>
    <dataValidation type="list" showInputMessage="1" sqref="M13:M16" xr:uid="{00000000-0002-0000-0200-000002000000}">
      <formula1>"1.2, 1.0, 0.8, 0.7, 0.5, Other (specify)"</formula1>
    </dataValidation>
    <dataValidation type="list" allowBlank="1" showInputMessage="1" showErrorMessage="1" sqref="F13:F16" xr:uid="{00000000-0002-0000-0200-00000300000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5" r:id="rId4" name="Button 3">
              <controlPr defaultSize="0" print="0" autoFill="0" autoPict="0" macro="[0]!AddMZ">
                <anchor moveWithCells="1">
                  <from>
                    <xdr:col>1</xdr:col>
                    <xdr:colOff>0</xdr:colOff>
                    <xdr:row>16</xdr:row>
                    <xdr:rowOff>205740</xdr:rowOff>
                  </from>
                  <to>
                    <xdr:col>1</xdr:col>
                    <xdr:colOff>1371600</xdr:colOff>
                    <xdr:row>16</xdr:row>
                    <xdr:rowOff>480060</xdr:rowOff>
                  </to>
                </anchor>
              </controlPr>
            </control>
          </mc:Choice>
        </mc:AlternateContent>
        <mc:AlternateContent xmlns:mc="http://schemas.openxmlformats.org/markup-compatibility/2006">
          <mc:Choice Requires="x14">
            <control shapeId="23556" r:id="rId5" name="Button 4">
              <controlPr defaultSize="0" print="0" autoFill="0" autoPict="0" macro="[0]!DeleteRowOA">
                <anchor moveWithCells="1">
                  <from>
                    <xdr:col>1</xdr:col>
                    <xdr:colOff>1463040</xdr:colOff>
                    <xdr:row>16</xdr:row>
                    <xdr:rowOff>190500</xdr:rowOff>
                  </from>
                  <to>
                    <xdr:col>1</xdr:col>
                    <xdr:colOff>2842260</xdr:colOff>
                    <xdr:row>16</xdr:row>
                    <xdr:rowOff>472440</xdr:rowOff>
                  </to>
                </anchor>
              </controlPr>
            </control>
          </mc:Choice>
        </mc:AlternateContent>
        <mc:AlternateContent xmlns:mc="http://schemas.openxmlformats.org/markup-compatibility/2006">
          <mc:Choice Requires="x14">
            <control shapeId="23558" r:id="rId6" name="Check Box 6">
              <controlPr defaultSize="0" autoFill="0" autoLine="0" autoPict="0" macro="[0]!SimpleCalcOA">
                <anchor moveWithCells="1">
                  <from>
                    <xdr:col>1</xdr:col>
                    <xdr:colOff>15240</xdr:colOff>
                    <xdr:row>4</xdr:row>
                    <xdr:rowOff>167640</xdr:rowOff>
                  </from>
                  <to>
                    <xdr:col>1</xdr:col>
                    <xdr:colOff>2118360</xdr:colOff>
                    <xdr:row>4</xdr:row>
                    <xdr:rowOff>457200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IF(Instructions!$K$14="LEED 2009",LEED2009list,IF(Instructions!$K$14="LEED v4",LEEDv4list, LEEDv41lIST))</xm:f>
          </x14:formula1>
          <xm:sqref>C13:D16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Q13"/>
  <sheetViews>
    <sheetView showGridLines="0" zoomScale="80" zoomScaleNormal="80" workbookViewId="0">
      <selection activeCell="F19" sqref="F19"/>
    </sheetView>
  </sheetViews>
  <sheetFormatPr defaultColWidth="9.109375" defaultRowHeight="14.4" x14ac:dyDescent="0.3"/>
  <cols>
    <col min="1" max="1" width="2.6640625" customWidth="1"/>
    <col min="2" max="2" width="34.6640625" style="140" customWidth="1"/>
    <col min="3" max="3" width="18.6640625" customWidth="1"/>
    <col min="4" max="4" width="34.44140625" style="140" customWidth="1"/>
    <col min="5" max="5" width="14.6640625" style="140" customWidth="1"/>
    <col min="6" max="6" width="14.6640625" style="141" customWidth="1"/>
    <col min="7" max="13" width="14.6640625" customWidth="1"/>
    <col min="14" max="14" width="2.6640625" customWidth="1"/>
    <col min="15" max="17" width="9.109375" hidden="1" customWidth="1"/>
    <col min="18" max="18" width="0" hidden="1" customWidth="1"/>
  </cols>
  <sheetData>
    <row r="1" spans="1:17" s="10" customFormat="1" ht="14.25" customHeight="1" x14ac:dyDescent="0.25">
      <c r="A1" s="36"/>
      <c r="B1" s="59"/>
      <c r="C1" s="36"/>
      <c r="D1" s="61"/>
      <c r="E1" s="61"/>
      <c r="F1" s="62"/>
      <c r="G1" s="62"/>
      <c r="H1" s="62"/>
      <c r="I1" s="62"/>
      <c r="J1" s="62"/>
      <c r="K1" s="62"/>
      <c r="L1" s="62"/>
      <c r="M1" s="62"/>
    </row>
    <row r="2" spans="1:17" s="10" customFormat="1" ht="21" customHeight="1" x14ac:dyDescent="0.25">
      <c r="A2" s="37"/>
      <c r="B2" s="60" t="s">
        <v>285</v>
      </c>
      <c r="C2" s="40"/>
      <c r="D2" s="41"/>
      <c r="E2" s="38"/>
      <c r="F2" s="63"/>
      <c r="G2" s="63"/>
      <c r="H2" s="63"/>
      <c r="I2" s="63"/>
      <c r="J2" s="63"/>
      <c r="K2" s="63"/>
      <c r="L2" s="63"/>
      <c r="M2" s="63"/>
      <c r="O2" s="253"/>
      <c r="P2" s="253"/>
    </row>
    <row r="3" spans="1:17" s="10" customFormat="1" ht="21" customHeight="1" x14ac:dyDescent="0.25">
      <c r="A3" s="37"/>
      <c r="B3" s="38" t="s">
        <v>140</v>
      </c>
      <c r="C3" s="40"/>
      <c r="D3" s="41"/>
      <c r="E3" s="38"/>
      <c r="F3" s="63"/>
      <c r="G3" s="63"/>
      <c r="H3" s="63"/>
      <c r="I3" s="63"/>
      <c r="J3" s="63"/>
      <c r="K3" s="63"/>
      <c r="L3" s="63"/>
      <c r="M3" s="63"/>
    </row>
    <row r="4" spans="1:17" s="10" customFormat="1" ht="15" customHeight="1" x14ac:dyDescent="0.25">
      <c r="A4" s="36"/>
      <c r="B4" s="59"/>
      <c r="C4" s="36"/>
      <c r="D4" s="61"/>
      <c r="E4" s="61"/>
      <c r="F4" s="62"/>
      <c r="G4" s="62"/>
      <c r="H4" s="62"/>
      <c r="I4" s="62"/>
      <c r="J4" s="62"/>
      <c r="K4" s="62"/>
      <c r="L4" s="62"/>
      <c r="M4" s="62"/>
    </row>
    <row r="5" spans="1:17" s="10" customFormat="1" ht="46.5" customHeight="1" x14ac:dyDescent="0.25">
      <c r="B5" s="241" t="s">
        <v>230</v>
      </c>
      <c r="D5" s="93"/>
      <c r="E5" s="137"/>
      <c r="F5" s="138"/>
      <c r="O5" s="250" t="b">
        <v>0</v>
      </c>
      <c r="P5" s="351"/>
    </row>
    <row r="6" spans="1:17" ht="18" customHeight="1" x14ac:dyDescent="0.3">
      <c r="B6"/>
      <c r="D6"/>
      <c r="E6" s="137"/>
      <c r="F6"/>
    </row>
    <row r="7" spans="1:17" s="139" customFormat="1" ht="52.5" customHeight="1" x14ac:dyDescent="0.3">
      <c r="B7" s="518" t="s">
        <v>138</v>
      </c>
      <c r="C7" s="503" t="s">
        <v>275</v>
      </c>
      <c r="D7" s="503" t="s">
        <v>45</v>
      </c>
      <c r="E7" s="220" t="s">
        <v>238</v>
      </c>
      <c r="F7" s="503" t="s">
        <v>31</v>
      </c>
      <c r="G7" s="220" t="s">
        <v>212</v>
      </c>
      <c r="H7" s="219" t="s">
        <v>239</v>
      </c>
      <c r="I7" s="219" t="s">
        <v>240</v>
      </c>
      <c r="J7" s="219" t="s">
        <v>241</v>
      </c>
      <c r="K7" s="220" t="s">
        <v>242</v>
      </c>
      <c r="L7" s="220" t="s">
        <v>245</v>
      </c>
      <c r="M7" s="521" t="s">
        <v>227</v>
      </c>
      <c r="O7" s="506" t="s">
        <v>146</v>
      </c>
      <c r="P7" s="523" t="s">
        <v>288</v>
      </c>
      <c r="Q7" s="509" t="s">
        <v>147</v>
      </c>
    </row>
    <row r="8" spans="1:17" s="139" customFormat="1" ht="21" customHeight="1" x14ac:dyDescent="0.3">
      <c r="B8" s="519"/>
      <c r="C8" s="504"/>
      <c r="D8" s="504"/>
      <c r="E8" s="179" t="s">
        <v>0</v>
      </c>
      <c r="F8" s="504"/>
      <c r="G8" s="179" t="s">
        <v>3</v>
      </c>
      <c r="H8" s="203" t="s">
        <v>1</v>
      </c>
      <c r="I8" s="203" t="s">
        <v>2</v>
      </c>
      <c r="J8" s="203" t="s">
        <v>4</v>
      </c>
      <c r="K8" s="179" t="s">
        <v>18</v>
      </c>
      <c r="L8" s="179" t="s">
        <v>7</v>
      </c>
      <c r="M8" s="522"/>
      <c r="O8" s="507"/>
      <c r="P8" s="524"/>
      <c r="Q8" s="510"/>
    </row>
    <row r="9" spans="1:17" s="139" customFormat="1" ht="31.2" customHeight="1" x14ac:dyDescent="0.3">
      <c r="A9" s="267" t="s">
        <v>171</v>
      </c>
      <c r="B9" s="520"/>
      <c r="C9" s="505"/>
      <c r="D9" s="505"/>
      <c r="E9" s="246" t="str">
        <f>IF(Instructions!$N$169=1,"(sq ft)","(sq m)")</f>
        <v>(sq ft)</v>
      </c>
      <c r="F9" s="505"/>
      <c r="G9" s="246" t="s">
        <v>35</v>
      </c>
      <c r="H9" s="261" t="str">
        <f>IF(Instructions!$N$169=1,Instructions!$G$75,Instructions!$H$75)</f>
        <v>(cfm per person)</v>
      </c>
      <c r="I9" s="261" t="str">
        <f>IF(Instructions!$N$169=1,Instructions!$I$75,Instructions!$J$75)</f>
        <v xml:space="preserve">(cfm per sq ft) </v>
      </c>
      <c r="J9" s="261" t="str">
        <f>IF(Instructions!$N$169=1,"(cfm)","(l/s)")</f>
        <v>(cfm)</v>
      </c>
      <c r="K9" s="327"/>
      <c r="L9" s="246" t="str">
        <f>IF(Instructions!$N$169=1,"(cfm)","(l/s)")</f>
        <v>(cfm)</v>
      </c>
      <c r="M9" s="328" t="str">
        <f>IF(Instructions!$N$169=1,"(cfm)","(l/s)")</f>
        <v>(cfm)</v>
      </c>
      <c r="O9" s="507"/>
      <c r="P9" s="524"/>
      <c r="Q9" s="516" t="str">
        <f>IF(Instructions!N169=1,"Occupants 
per 
1,000 sq ft","Occupants 
per 
100 sq m")</f>
        <v>Occupants 
per 
1,000 sq ft</v>
      </c>
    </row>
    <row r="10" spans="1:17" s="139" customFormat="1" ht="33" customHeight="1" x14ac:dyDescent="0.3">
      <c r="A10" s="318"/>
      <c r="B10" s="320"/>
      <c r="C10" s="321"/>
      <c r="D10" s="321"/>
      <c r="E10" s="322"/>
      <c r="F10" s="322"/>
      <c r="G10" s="322"/>
      <c r="H10" s="323"/>
      <c r="I10" s="323"/>
      <c r="J10" s="324" t="str" cm="1">
        <f t="array" ref="J10">IF(I_15,"(Rp Pz + Ra Az)*1.15",IF(I_30,"(Rp Pz + Ra Az)*1.3",IF(I_No,"(Rp Pz + Ra Az)",IF(AND(Instructions!K14&lt;&gt;"LEED v4.1",credit=1),"(Rp Pz + Ra Az)*1.3","(Rp Pz + Ra Az)"))))</f>
        <v>(Rp Pz + Ra Az)</v>
      </c>
      <c r="K10" s="322"/>
      <c r="L10" s="325" t="s">
        <v>15</v>
      </c>
      <c r="M10" s="326"/>
      <c r="O10" s="508"/>
      <c r="P10" s="525"/>
      <c r="Q10" s="517"/>
    </row>
    <row r="11" spans="1:17" ht="16.05" hidden="1" customHeight="1" x14ac:dyDescent="0.3">
      <c r="B11" t="s">
        <v>281</v>
      </c>
      <c r="D11"/>
      <c r="E11"/>
      <c r="F11"/>
    </row>
    <row r="12" spans="1:17" ht="16.8" hidden="1" customHeight="1" x14ac:dyDescent="0.3">
      <c r="A12" s="136">
        <f>IF(B12=0,0,0)</f>
        <v>0</v>
      </c>
      <c r="B12" s="329"/>
      <c r="C12" s="330"/>
      <c r="D12" s="331"/>
      <c r="E12" s="255"/>
      <c r="F12" s="332"/>
      <c r="G12" s="333"/>
      <c r="H12" s="266">
        <f>IFERROR(IF(Instructions!$N$169=1,VLOOKUP(D12,Instructions!$C$76:$K$160,5,FALSE),VLOOKUP(D12,Instructions!$C$76:$K$160,6,FALSE)),0)</f>
        <v>0</v>
      </c>
      <c r="I12" s="266">
        <f>IFERROR(IF(Instructions!$N$169=1,VLOOKUP(D12,Instructions!$C$76:$K$160,7,FALSE),VLOOKUP(D12,Instructions!$C$76:$K$160,8,FALSE)),0)</f>
        <v>0</v>
      </c>
      <c r="J12" s="411" cm="1">
        <f t="array" ref="J12">TRUNC(IF(I_15,((I12*E12)+(H12*G12))*1.15,IF(I_30,((I12*E12)+(H12*G12))*1.3,IF(I_No,((I12*E12)+(H12*G12)),IF(AND(Instructions!K14&lt;&gt;"LEED v4.1",credit=1),((I12*E12)+(H12*G12))*1.3,((I12*E12)+(H12*G12)))))),2)</f>
        <v>0</v>
      </c>
      <c r="K12" s="334"/>
      <c r="L12" s="335">
        <f>IFERROR(J12/K12,0)</f>
        <v>0</v>
      </c>
      <c r="M12" s="336"/>
      <c r="O12" s="282">
        <f>IFERROR(IF(Instructions!$N$169=1,($Q12/1000)*$E12,($Q12/100)*$E12),0)</f>
        <v>0</v>
      </c>
      <c r="P12" s="370"/>
      <c r="Q12" s="385">
        <f>IFERROR(VLOOKUP($D12,Instructions!$C$76:$K$160,9,FALSE),0)</f>
        <v>0</v>
      </c>
    </row>
    <row r="13" spans="1:17" ht="15" customHeight="1" x14ac:dyDescent="0.3">
      <c r="A13" s="136">
        <f>IF(B13=0,0,0)</f>
        <v>0</v>
      </c>
      <c r="B13" s="329"/>
      <c r="C13" s="330"/>
      <c r="D13" s="331"/>
      <c r="E13" s="255"/>
      <c r="F13" s="332"/>
      <c r="G13" s="370"/>
      <c r="H13" s="266">
        <f>IFERROR(IF(Instructions!$N$169=1,VLOOKUP(D13,Instructions!$C$76:$K$160,5,FALSE),VLOOKUP(D13,Instructions!$C$76:$K$160,6,FALSE)),0)</f>
        <v>0</v>
      </c>
      <c r="I13" s="266">
        <f>IFERROR(IF(Instructions!$N$169=1,VLOOKUP(D13,Instructions!$C$76:$K$160,7,FALSE),VLOOKUP(D13,Instructions!$C$76:$K$160,8,FALSE)),0)</f>
        <v>0</v>
      </c>
      <c r="J13" s="411" cm="1">
        <f t="array" ref="J13">TRUNC(IF(I_15,((I13*E13)+(H13*G13))*1.15,IF(I_30,((I13*E13)+(H13*G13))*1.3,IF(I_No,((I13*E13)+(H13*G13)),IF(AND(Instructions!K14&lt;&gt;"LEED v4.1",credit=1),((I13*E13)+(H13*G13))*1.3,((I13*E13)+(H13*G13)))))),2)</f>
        <v>0</v>
      </c>
      <c r="K13" s="334"/>
      <c r="L13" s="335">
        <f>IFERROR(J13/K13,0)</f>
        <v>0</v>
      </c>
      <c r="M13" s="336"/>
      <c r="O13" s="282">
        <f>IFERROR(IF(Instructions!$N$169=1,($Q13/1000)*$E13,($Q13/100)*$E13),0)</f>
        <v>0</v>
      </c>
      <c r="P13" s="370"/>
      <c r="Q13" s="385">
        <f>IFERROR(VLOOKUP($D13,Instructions!$C$76:$K$160,9,FALSE),0)</f>
        <v>0</v>
      </c>
    </row>
  </sheetData>
  <sheetProtection algorithmName="SHA-512" hashValue="NdN9WBnYV6vFNbDipCPMGWfn+ldcotn4UAU+Cgigc8IfDVbA546k30gLv9U77UF5bqyEiDfDaAW5RZwVqArypA==" saltValue="R/gEEedq7oEvhVyTT65kTA==" spinCount="100000" sheet="1" objects="1" scenarios="1" formatRows="0"/>
  <mergeCells count="9">
    <mergeCell ref="O7:O10"/>
    <mergeCell ref="Q7:Q8"/>
    <mergeCell ref="Q9:Q10"/>
    <mergeCell ref="B7:B9"/>
    <mergeCell ref="C7:C9"/>
    <mergeCell ref="D7:D9"/>
    <mergeCell ref="M7:M8"/>
    <mergeCell ref="F7:F9"/>
    <mergeCell ref="P7:P10"/>
  </mergeCells>
  <conditionalFormatting sqref="G12">
    <cfRule type="expression" dxfId="0" priority="6">
      <formula>IF(OR($G12&lt;&gt;$O12,$F12="No"),TRUE,FALSE)</formula>
    </cfRule>
  </conditionalFormatting>
  <dataValidations count="5">
    <dataValidation type="list" allowBlank="1" showInputMessage="1" sqref="D6 C12:C13" xr:uid="{00000000-0002-0000-0300-000000000000}">
      <formula1>"Heating, Cooling, Other (specify)"</formula1>
    </dataValidation>
    <dataValidation showDropDown="1" showInputMessage="1" showErrorMessage="1" sqref="L12:L13" xr:uid="{00000000-0002-0000-0300-000001000000}"/>
    <dataValidation type="list" showInputMessage="1" sqref="K12:K13" xr:uid="{00000000-0002-0000-0300-000002000000}">
      <formula1>"1.2, 1.0, 0.8, 0.7, 0.5, Other (specify)"</formula1>
    </dataValidation>
    <dataValidation type="list" allowBlank="1" showInputMessage="1" showErrorMessage="1" sqref="F12:F13" xr:uid="{00000000-0002-0000-0300-000003000000}">
      <formula1>"Yes, No"</formula1>
    </dataValidation>
    <dataValidation type="custom" operator="lessThan" allowBlank="1" showInputMessage="1" showErrorMessage="1" errorTitle="Duplicate Entry" error="The value was already entered.  All system names and numbers must be unique." sqref="B12:B13" xr:uid="{00000000-0002-0000-0300-000004000000}">
      <formula1>COUNTIF($B$12:$B$14,B12)=1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Check Box 1">
              <controlPr defaultSize="0" autoFill="0" autoLine="0" autoPict="0" macro="[0]!SimpleCalcSZ">
                <anchor moveWithCells="1">
                  <from>
                    <xdr:col>1</xdr:col>
                    <xdr:colOff>15240</xdr:colOff>
                    <xdr:row>4</xdr:row>
                    <xdr:rowOff>167640</xdr:rowOff>
                  </from>
                  <to>
                    <xdr:col>1</xdr:col>
                    <xdr:colOff>2118360</xdr:colOff>
                    <xdr:row>4</xdr:row>
                    <xdr:rowOff>457200</xdr:rowOff>
                  </to>
                </anchor>
              </controlPr>
            </control>
          </mc:Choice>
        </mc:AlternateContent>
        <mc:AlternateContent xmlns:mc="http://schemas.openxmlformats.org/markup-compatibility/2006">
          <mc:Choice Requires="x14">
            <control shapeId="63497" r:id="rId5" name="Button 9">
              <controlPr defaultSize="0" print="0" autoFill="0" autoPict="0" macro="[0]!MultiRowsandFill">
                <anchor moveWithCells="1">
                  <from>
                    <xdr:col>1</xdr:col>
                    <xdr:colOff>53340</xdr:colOff>
                    <xdr:row>14</xdr:row>
                    <xdr:rowOff>38100</xdr:rowOff>
                  </from>
                  <to>
                    <xdr:col>1</xdr:col>
                    <xdr:colOff>1424940</xdr:colOff>
                    <xdr:row>15</xdr:row>
                    <xdr:rowOff>129540</xdr:rowOff>
                  </to>
                </anchor>
              </controlPr>
            </control>
          </mc:Choice>
        </mc:AlternateContent>
        <mc:AlternateContent xmlns:mc="http://schemas.openxmlformats.org/markup-compatibility/2006">
          <mc:Choice Requires="x14">
            <control shapeId="63498" r:id="rId6" name="Button 10">
              <controlPr defaultSize="0" print="0" autoFill="0" autoPict="0" macro="[0]!DeleteRowSZ">
                <anchor moveWithCells="1">
                  <from>
                    <xdr:col>1</xdr:col>
                    <xdr:colOff>1508760</xdr:colOff>
                    <xdr:row>14</xdr:row>
                    <xdr:rowOff>22860</xdr:rowOff>
                  </from>
                  <to>
                    <xdr:col>2</xdr:col>
                    <xdr:colOff>586740</xdr:colOff>
                    <xdr:row>15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IF(Instructions!$K$14="LEED 2009",LEED2009list,IF(Instructions!$K$14="LEED v4",LEEDv4list, LEEDv41lIST))</xm:f>
          </x14:formula1>
          <xm:sqref>D12:D13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2:W23"/>
  <sheetViews>
    <sheetView zoomScale="80" zoomScaleNormal="80" workbookViewId="0">
      <selection activeCell="I27" sqref="I27"/>
    </sheetView>
  </sheetViews>
  <sheetFormatPr defaultColWidth="8.77734375" defaultRowHeight="15" customHeight="1" x14ac:dyDescent="0.3"/>
  <cols>
    <col min="1" max="1" width="2.6640625" style="382" customWidth="1"/>
    <col min="2" max="2" width="2.44140625" style="45" customWidth="1"/>
    <col min="3" max="3" width="2.44140625" style="45" hidden="1" customWidth="1"/>
    <col min="4" max="4" width="30.6640625" style="45" customWidth="1"/>
    <col min="5" max="5" width="20.6640625" style="45" customWidth="1"/>
    <col min="6" max="6" width="14.6640625" style="45" customWidth="1"/>
    <col min="7" max="7" width="20.6640625" style="45" customWidth="1"/>
    <col min="8" max="12" width="14.6640625" style="45" customWidth="1"/>
    <col min="13" max="19" width="14.6640625" style="45" hidden="1" customWidth="1"/>
    <col min="20" max="20" width="12.6640625" style="45" customWidth="1"/>
    <col min="21" max="21" width="8.77734375" style="45" customWidth="1"/>
    <col min="22" max="22" width="8.77734375" style="45" hidden="1" customWidth="1"/>
    <col min="23" max="23" width="8.77734375" style="45" customWidth="1"/>
    <col min="24" max="16384" width="8.77734375" style="45"/>
  </cols>
  <sheetData>
    <row r="2" spans="1:23" ht="15" customHeight="1" x14ac:dyDescent="0.3">
      <c r="B2" s="43"/>
      <c r="C2" s="44">
        <v>1</v>
      </c>
      <c r="D2" s="44"/>
      <c r="E2" s="44"/>
      <c r="F2" s="44"/>
      <c r="G2" s="44"/>
      <c r="H2" s="44"/>
      <c r="I2" s="44"/>
      <c r="J2" s="44"/>
      <c r="K2" s="44"/>
      <c r="L2" s="44"/>
      <c r="M2" s="44"/>
      <c r="N2" s="44"/>
      <c r="O2" s="44"/>
      <c r="P2" s="44"/>
      <c r="Q2" s="44"/>
      <c r="R2" s="44"/>
      <c r="S2" s="44"/>
      <c r="T2" s="437"/>
      <c r="U2" s="438"/>
    </row>
    <row r="3" spans="1:23" ht="24.75" customHeight="1" x14ac:dyDescent="0.3">
      <c r="B3" s="46"/>
      <c r="C3" s="47">
        <v>1</v>
      </c>
      <c r="D3" s="48" t="s">
        <v>134</v>
      </c>
      <c r="E3" s="48"/>
      <c r="F3" s="48"/>
      <c r="G3" s="47"/>
      <c r="H3" s="49"/>
      <c r="I3" s="49"/>
      <c r="J3" s="49"/>
      <c r="K3" s="49"/>
      <c r="L3" s="49"/>
      <c r="M3" s="49"/>
      <c r="N3" s="49"/>
      <c r="O3" s="49"/>
      <c r="P3" s="49"/>
      <c r="Q3" s="49"/>
      <c r="R3" s="49"/>
      <c r="S3" s="49"/>
      <c r="T3" s="49"/>
      <c r="U3" s="415"/>
      <c r="W3" s="419"/>
    </row>
    <row r="4" spans="1:23" ht="15" customHeight="1" x14ac:dyDescent="0.3">
      <c r="B4" s="46"/>
      <c r="C4" s="47">
        <v>1</v>
      </c>
      <c r="D4" s="50" t="s">
        <v>135</v>
      </c>
      <c r="E4" s="50"/>
      <c r="F4" s="50"/>
      <c r="G4" s="47"/>
      <c r="H4" s="51"/>
      <c r="I4" s="49"/>
      <c r="J4" s="49"/>
      <c r="K4" s="49"/>
      <c r="L4" s="49"/>
      <c r="M4" s="49"/>
      <c r="N4" s="49"/>
      <c r="O4" s="49"/>
      <c r="P4" s="49"/>
      <c r="Q4" s="49"/>
      <c r="R4" s="49"/>
      <c r="S4" s="49"/>
      <c r="T4" s="47"/>
      <c r="U4" s="415"/>
      <c r="W4" s="419"/>
    </row>
    <row r="5" spans="1:23" ht="15" customHeight="1" x14ac:dyDescent="0.3">
      <c r="B5" s="46"/>
      <c r="C5" s="47">
        <v>1</v>
      </c>
      <c r="D5" s="47"/>
      <c r="E5" s="47"/>
      <c r="F5" s="47"/>
      <c r="G5" s="51"/>
      <c r="H5" s="51"/>
      <c r="I5" s="49"/>
      <c r="J5" s="49"/>
      <c r="K5" s="49"/>
      <c r="L5" s="49"/>
      <c r="M5" s="49"/>
      <c r="N5" s="49"/>
      <c r="O5" s="49"/>
      <c r="P5" s="49"/>
      <c r="Q5" s="49"/>
      <c r="R5" s="49"/>
      <c r="S5" s="49"/>
      <c r="T5" s="51"/>
      <c r="U5" s="415"/>
      <c r="V5" s="418" t="b">
        <v>1</v>
      </c>
      <c r="W5" s="419"/>
    </row>
    <row r="6" spans="1:23" ht="15" customHeight="1" x14ac:dyDescent="0.3">
      <c r="B6" s="46"/>
      <c r="C6" s="47">
        <v>1</v>
      </c>
      <c r="D6" s="52"/>
      <c r="E6" s="297" t="s">
        <v>230</v>
      </c>
      <c r="F6" s="52"/>
      <c r="G6" s="49"/>
      <c r="H6" s="49"/>
      <c r="I6" s="49"/>
      <c r="J6" s="49"/>
      <c r="K6" s="49"/>
      <c r="L6" s="49"/>
      <c r="M6" s="49"/>
      <c r="N6" s="49"/>
      <c r="O6" s="49"/>
      <c r="P6" s="49"/>
      <c r="Q6" s="49"/>
      <c r="R6" s="49"/>
      <c r="S6" s="49"/>
      <c r="T6" s="49"/>
      <c r="U6" s="415"/>
      <c r="W6" s="419"/>
    </row>
    <row r="7" spans="1:23" ht="15" customHeight="1" x14ac:dyDescent="0.3">
      <c r="B7" s="46"/>
      <c r="C7" s="47">
        <v>1</v>
      </c>
      <c r="D7" s="52"/>
      <c r="E7" s="52"/>
      <c r="F7" s="52"/>
      <c r="G7" s="49"/>
      <c r="H7" s="49"/>
      <c r="I7" s="49"/>
      <c r="J7" s="49"/>
      <c r="K7" s="49"/>
      <c r="L7" s="49"/>
      <c r="M7" s="49"/>
      <c r="N7" s="49"/>
      <c r="O7" s="49"/>
      <c r="P7" s="49"/>
      <c r="Q7" s="49"/>
      <c r="R7" s="49"/>
      <c r="S7" s="49"/>
      <c r="T7" s="49"/>
      <c r="U7" s="415"/>
      <c r="W7" s="419"/>
    </row>
    <row r="8" spans="1:23" ht="69" customHeight="1" x14ac:dyDescent="0.25">
      <c r="B8" s="46"/>
      <c r="C8" s="47">
        <v>1</v>
      </c>
      <c r="D8" s="532" t="s">
        <v>138</v>
      </c>
      <c r="E8" s="535" t="s">
        <v>139</v>
      </c>
      <c r="F8" s="535" t="s">
        <v>255</v>
      </c>
      <c r="G8" s="535" t="s">
        <v>137</v>
      </c>
      <c r="H8" s="287" t="s">
        <v>270</v>
      </c>
      <c r="I8" s="287" t="s">
        <v>271</v>
      </c>
      <c r="J8" s="287" t="str" cm="1">
        <f t="array" ref="J8">IF(I_15,"Outdoor Air Intake Flow (15% above 62.1 requirement)",IF(I_30,"Outdoor Air Intake Flow (30% above 62.1 requirement)",IF(I_No,"Outdoor Air Intake Flow (required by 62.1)",IF(AND(Instructions!K14&lt;&gt;"LEED v4.1",credit=1),"Outdoor Air Intake Flow (30% above 62.1 requirement)","Outdoor Air Intake Flow (required by 62.1)"))))</f>
        <v>Outdoor Air Intake Flow (required by 62.1)</v>
      </c>
      <c r="K8" s="526" t="s">
        <v>254</v>
      </c>
      <c r="L8" s="528" t="s">
        <v>298</v>
      </c>
      <c r="M8" s="338" t="s">
        <v>272</v>
      </c>
      <c r="N8" s="295" t="s">
        <v>273</v>
      </c>
      <c r="O8" s="541" t="s">
        <v>266</v>
      </c>
      <c r="P8" s="541" t="s">
        <v>267</v>
      </c>
      <c r="Q8" s="541" t="s">
        <v>268</v>
      </c>
      <c r="R8" s="295" t="s">
        <v>274</v>
      </c>
      <c r="S8" s="543" t="s">
        <v>269</v>
      </c>
      <c r="T8" s="538" t="s">
        <v>303</v>
      </c>
      <c r="U8" s="415"/>
      <c r="W8" s="419"/>
    </row>
    <row r="9" spans="1:23" s="298" customFormat="1" ht="15" customHeight="1" x14ac:dyDescent="0.25">
      <c r="A9" s="383" t="s">
        <v>171</v>
      </c>
      <c r="B9" s="299"/>
      <c r="C9" s="300"/>
      <c r="D9" s="533"/>
      <c r="E9" s="536"/>
      <c r="F9" s="536"/>
      <c r="G9" s="536"/>
      <c r="H9" s="301" t="s">
        <v>214</v>
      </c>
      <c r="I9" s="301" t="s">
        <v>25</v>
      </c>
      <c r="J9" s="302" t="s">
        <v>237</v>
      </c>
      <c r="K9" s="527"/>
      <c r="L9" s="529"/>
      <c r="M9" s="339" t="s">
        <v>218</v>
      </c>
      <c r="N9" s="303" t="s">
        <v>220</v>
      </c>
      <c r="O9" s="542"/>
      <c r="P9" s="542"/>
      <c r="Q9" s="542"/>
      <c r="R9" s="304" t="s">
        <v>22</v>
      </c>
      <c r="S9" s="544"/>
      <c r="T9" s="539"/>
      <c r="U9" s="416"/>
      <c r="W9" s="420"/>
    </row>
    <row r="10" spans="1:23" ht="33" customHeight="1" x14ac:dyDescent="0.3">
      <c r="B10" s="46"/>
      <c r="C10" s="47">
        <v>1</v>
      </c>
      <c r="D10" s="534"/>
      <c r="E10" s="537"/>
      <c r="F10" s="537"/>
      <c r="G10" s="537"/>
      <c r="H10" s="288" t="str">
        <f>IF(Instructions!$N$169=2,"(sq m)","(sq ft)")</f>
        <v>(sq ft)</v>
      </c>
      <c r="I10" s="288" t="s">
        <v>161</v>
      </c>
      <c r="J10" s="288" t="str">
        <f>IF(Instructions!$N$169=2,"(L/s)","(cfm)")</f>
        <v>(cfm)</v>
      </c>
      <c r="K10" s="288" t="str">
        <f>IF(Instructions!$N$169=2,"(L/s)","(cfm)")</f>
        <v>(cfm)</v>
      </c>
      <c r="L10" s="529"/>
      <c r="M10" s="421" t="str">
        <f>IF(Instructions!$N$169=1,Instructions!$G$75,Instructions!$H$75)</f>
        <v>(cfm per person)</v>
      </c>
      <c r="N10" s="413" t="str">
        <f>IF(Instructions!$N$169=1,Instructions!$I$75,Instructions!$J$75)</f>
        <v xml:space="preserve">(cfm per sq ft) </v>
      </c>
      <c r="O10" s="542"/>
      <c r="P10" s="542"/>
      <c r="Q10" s="542"/>
      <c r="R10" s="413" t="str">
        <f>IF(Instructions!$N$169=1,"(cfm)","(l/s)")</f>
        <v>(cfm)</v>
      </c>
      <c r="S10" s="544"/>
      <c r="T10" s="540"/>
      <c r="U10" s="415"/>
      <c r="V10" s="298"/>
      <c r="W10" s="419"/>
    </row>
    <row r="11" spans="1:23" ht="21" hidden="1" customHeight="1" x14ac:dyDescent="0.3">
      <c r="B11" s="46"/>
      <c r="C11" s="47"/>
      <c r="D11" s="356" t="s">
        <v>280</v>
      </c>
      <c r="E11" s="352"/>
      <c r="F11" s="353"/>
      <c r="G11" s="352"/>
      <c r="H11" s="354"/>
      <c r="I11" s="355"/>
      <c r="J11" s="354"/>
      <c r="K11" s="354"/>
      <c r="L11" s="423"/>
      <c r="M11" s="424"/>
      <c r="N11" s="424"/>
      <c r="O11" s="425"/>
      <c r="P11" s="424"/>
      <c r="Q11" s="425"/>
      <c r="R11" s="425"/>
      <c r="S11" s="425"/>
      <c r="T11" s="426"/>
      <c r="U11" s="415"/>
      <c r="V11" s="298"/>
      <c r="W11" s="419"/>
    </row>
    <row r="12" spans="1:23" ht="15" hidden="1" customHeight="1" x14ac:dyDescent="0.3">
      <c r="B12" s="46"/>
      <c r="C12" s="47"/>
      <c r="D12" s="361">
        <f>'Single Zone'!$B12</f>
        <v>0</v>
      </c>
      <c r="E12" s="361" t="str">
        <f>'Single Zone'!$B$2</f>
        <v>Single zone</v>
      </c>
      <c r="F12" s="362" t="str">
        <f>IF(E12="Single zone","n/a","")</f>
        <v>n/a</v>
      </c>
      <c r="G12" s="361">
        <f>'Single Zone'!$C12</f>
        <v>0</v>
      </c>
      <c r="H12" s="363">
        <f>'Single Zone'!$E12</f>
        <v>0</v>
      </c>
      <c r="I12" s="364">
        <f>'Single Zone'!G12</f>
        <v>0</v>
      </c>
      <c r="J12" s="363">
        <f>ROUND('Single Zone'!L12,0)</f>
        <v>0</v>
      </c>
      <c r="K12" s="363">
        <f>ROUND('Single Zone'!M12,0)</f>
        <v>0</v>
      </c>
      <c r="L12" s="341" t="str">
        <f t="shared" ref="L12" si="0">IF(AND(K12&gt;0,J12&gt;0,K12&gt;=J12),"Yes","No")</f>
        <v>No</v>
      </c>
      <c r="M12" s="296">
        <f>'Single Zone'!H12</f>
        <v>0</v>
      </c>
      <c r="N12" s="296">
        <f>'Single Zone'!I12</f>
        <v>0</v>
      </c>
      <c r="O12" s="422" t="str">
        <f t="shared" ref="O12:O13" si="1">IF($E12="Single zone","n/a","")</f>
        <v>n/a</v>
      </c>
      <c r="P12" s="296">
        <f>'Single Zone'!K12</f>
        <v>0</v>
      </c>
      <c r="Q12" s="422" t="str">
        <f t="shared" ref="Q12:S13" si="2">IF($E12="Single zone","n/a","")</f>
        <v>n/a</v>
      </c>
      <c r="R12" s="422" t="str">
        <f t="shared" si="2"/>
        <v>n/a</v>
      </c>
      <c r="S12" s="435" t="str">
        <f t="shared" si="2"/>
        <v>n/a</v>
      </c>
      <c r="T12" s="436" t="str">
        <f>IF(E12="Single zone","n/a","")</f>
        <v>n/a</v>
      </c>
      <c r="U12" s="415"/>
      <c r="V12" s="298"/>
      <c r="W12" s="419"/>
    </row>
    <row r="13" spans="1:23" ht="15" hidden="1" customHeight="1" x14ac:dyDescent="0.3">
      <c r="B13" s="46"/>
      <c r="C13" s="47"/>
      <c r="D13" s="361">
        <f>'Single Zone'!$B13</f>
        <v>0</v>
      </c>
      <c r="E13" s="361" t="str">
        <f>'Single Zone'!$B$2</f>
        <v>Single zone</v>
      </c>
      <c r="F13" s="362" t="str">
        <f>IF(E13="Single zone","n/a","")</f>
        <v>n/a</v>
      </c>
      <c r="G13" s="361">
        <f>'Single Zone'!$C13</f>
        <v>0</v>
      </c>
      <c r="H13" s="363">
        <f>'Single Zone'!$E13</f>
        <v>0</v>
      </c>
      <c r="I13" s="364">
        <f>'Single Zone'!G13</f>
        <v>0</v>
      </c>
      <c r="J13" s="363">
        <f>ROUND('Single Zone'!L13,0)</f>
        <v>0</v>
      </c>
      <c r="K13" s="363">
        <f>ROUND('Single Zone'!M13,0)</f>
        <v>0</v>
      </c>
      <c r="L13" s="367" t="str">
        <f t="shared" ref="L13" si="3">IF(AND(K13&gt;0,J13&gt;0,K13&gt;=J13),"Yes","No")</f>
        <v>No</v>
      </c>
      <c r="M13" s="365">
        <f>'Single Zone'!H13</f>
        <v>0</v>
      </c>
      <c r="N13" s="365">
        <f>'Single Zone'!I13</f>
        <v>0</v>
      </c>
      <c r="O13" s="366" t="str">
        <f t="shared" si="1"/>
        <v>n/a</v>
      </c>
      <c r="P13" s="365">
        <f>'Single Zone'!K13</f>
        <v>0</v>
      </c>
      <c r="Q13" s="366" t="str">
        <f t="shared" si="2"/>
        <v>n/a</v>
      </c>
      <c r="R13" s="366" t="str">
        <f t="shared" si="2"/>
        <v>n/a</v>
      </c>
      <c r="S13" s="366" t="str">
        <f t="shared" si="2"/>
        <v>n/a</v>
      </c>
      <c r="T13" s="367" t="str">
        <f>IF(E13="Single zone","n/a","")</f>
        <v>n/a</v>
      </c>
      <c r="U13" s="415"/>
      <c r="V13" s="298"/>
      <c r="W13" s="419"/>
    </row>
    <row r="14" spans="1:23" ht="15" hidden="1" customHeight="1" x14ac:dyDescent="0.3">
      <c r="B14" s="46"/>
      <c r="C14" s="47"/>
      <c r="D14" s="357"/>
      <c r="E14" s="357"/>
      <c r="F14" s="358"/>
      <c r="G14" s="357"/>
      <c r="H14" s="359"/>
      <c r="I14" s="360"/>
      <c r="J14" s="359"/>
      <c r="K14" s="359"/>
      <c r="L14" s="427"/>
      <c r="M14" s="428"/>
      <c r="N14" s="428"/>
      <c r="O14" s="429"/>
      <c r="P14" s="428"/>
      <c r="Q14" s="429"/>
      <c r="R14" s="429"/>
      <c r="S14" s="429"/>
      <c r="T14" s="47"/>
      <c r="U14" s="415"/>
      <c r="V14" s="298"/>
      <c r="W14" s="419"/>
    </row>
    <row r="15" spans="1:23" ht="21" customHeight="1" x14ac:dyDescent="0.3">
      <c r="B15" s="46"/>
      <c r="C15" s="47"/>
      <c r="D15" s="356" t="s">
        <v>282</v>
      </c>
      <c r="E15" s="352"/>
      <c r="F15" s="353"/>
      <c r="G15" s="352"/>
      <c r="H15" s="354"/>
      <c r="I15" s="355"/>
      <c r="J15" s="354"/>
      <c r="K15" s="354"/>
      <c r="L15" s="423"/>
      <c r="M15" s="424"/>
      <c r="N15" s="424"/>
      <c r="O15" s="425"/>
      <c r="P15" s="424"/>
      <c r="Q15" s="425"/>
      <c r="R15" s="425"/>
      <c r="S15" s="425"/>
      <c r="T15" s="426"/>
      <c r="U15" s="415"/>
      <c r="V15" s="298"/>
      <c r="W15" s="419"/>
    </row>
    <row r="16" spans="1:23" ht="15" hidden="1" customHeight="1" x14ac:dyDescent="0.3">
      <c r="B16" s="46"/>
      <c r="C16" s="47">
        <f ca="1">IFERROR(IF(OR(,D16="Multiple Zone",D16="100% OA",D16="Summary",D16="Single Zone",E16="100% Outdoor Air"),0,1),0)</f>
        <v>0</v>
      </c>
      <c r="D16" s="337" t="e" vm="1">
        <f ca="1">INDEX(MID(Sheets,FIND("]",Sheets)+1,255),ROW(A1),1)</f>
        <v>#NAME?</v>
      </c>
      <c r="E16" s="337" t="e" vm="2">
        <f t="shared" ref="E16" ca="1" si="4">INDIRECT("'"&amp;D16&amp;"'!$B$2")</f>
        <v>#VALUE!</v>
      </c>
      <c r="F16" s="348" t="e" vm="2">
        <f t="shared" ref="F16" ca="1" si="5">IF(E16="Multiple Zone",INDIRECT("'"&amp;D16&amp;"'!$D$8"),"n/a")</f>
        <v>#VALUE!</v>
      </c>
      <c r="G16" s="337" t="e" vm="2">
        <f t="shared" ref="G16" ca="1" si="6">INDIRECT("'"&amp;D16&amp;"'!$D$7")</f>
        <v>#VALUE!</v>
      </c>
      <c r="H16" s="270" t="e" vm="2">
        <f t="shared" ref="H16" ca="1" si="7">INDIRECT("'"&amp;D16&amp;"'!$Z$3")</f>
        <v>#VALUE!</v>
      </c>
      <c r="I16" s="293" t="e" vm="2">
        <f t="shared" ref="I16" ca="1" si="8">INDIRECT("'"&amp;D16&amp;"'!$AA$3")</f>
        <v>#VALUE!</v>
      </c>
      <c r="J16" s="270" t="e" vm="2">
        <f t="shared" ref="J16" ca="1" si="9">INDIRECT("'"&amp;D16&amp;"'!$AI$3")</f>
        <v>#VALUE!</v>
      </c>
      <c r="K16" s="270" t="e" vm="2">
        <f t="shared" ref="K16" ca="1" si="10">INDIRECT("'"&amp;D16&amp;"'!$AJ$3")</f>
        <v>#VALUE!</v>
      </c>
      <c r="L16" s="341" t="e" vm="2">
        <f t="shared" ref="L16" ca="1" si="11">IF(AND(K16&gt;0,J16&gt;0,K16&gt;=J16),"Yes","No")</f>
        <v>#VALUE!</v>
      </c>
      <c r="M16" s="340" t="e" vm="2">
        <f t="shared" ref="M16" ca="1" si="12">INDIRECT("'"&amp;D16&amp;"'!$AB$3")</f>
        <v>#VALUE!</v>
      </c>
      <c r="N16" s="296" t="e" vm="2">
        <f t="shared" ref="N16" ca="1" si="13">INDIRECT("'"&amp;D16&amp;"'!$AC$3")</f>
        <v>#VALUE!</v>
      </c>
      <c r="O16" s="384" t="e" vm="2">
        <f t="shared" ref="O16" ca="1" si="14">INDIRECT("'"&amp;D16&amp;"'!$AD$3")</f>
        <v>#VALUE!</v>
      </c>
      <c r="P16" s="296" t="e" vm="2">
        <f t="shared" ref="P16" ca="1" si="15">INDIRECT("'"&amp;D16&amp;"'!$AE$3")</f>
        <v>#VALUE!</v>
      </c>
      <c r="Q16" s="296" t="e" vm="2">
        <f t="shared" ref="Q16" ca="1" si="16">INDIRECT("'"&amp;D16&amp;"'!$AF$3")</f>
        <v>#VALUE!</v>
      </c>
      <c r="R16" s="393" t="e" vm="2">
        <f t="shared" ref="R16" ca="1" si="17">INDIRECT("'"&amp;D16&amp;"'!$AG$3")</f>
        <v>#VALUE!</v>
      </c>
      <c r="S16" s="296" t="e" vm="2">
        <f t="shared" ref="S16" ca="1" si="18">INDIRECT("'"&amp;D16&amp;"'!$AH$3")</f>
        <v>#VALUE!</v>
      </c>
      <c r="T16" s="341" t="s">
        <v>265</v>
      </c>
      <c r="U16" s="415"/>
      <c r="V16" s="298"/>
      <c r="W16" s="419"/>
    </row>
    <row r="17" spans="1:23" ht="15" customHeight="1" x14ac:dyDescent="0.3">
      <c r="A17" s="382" t="s">
        <v>136</v>
      </c>
      <c r="B17" s="46"/>
      <c r="C17" s="47"/>
      <c r="D17" s="357"/>
      <c r="E17" s="357"/>
      <c r="F17" s="358"/>
      <c r="G17" s="357"/>
      <c r="H17" s="359"/>
      <c r="I17" s="360"/>
      <c r="J17" s="359"/>
      <c r="K17" s="359"/>
      <c r="L17" s="427"/>
      <c r="M17" s="428"/>
      <c r="N17" s="428"/>
      <c r="O17" s="429"/>
      <c r="P17" s="428"/>
      <c r="Q17" s="429"/>
      <c r="R17" s="429"/>
      <c r="S17" s="429"/>
      <c r="T17" s="47"/>
      <c r="U17" s="415"/>
      <c r="V17" s="298"/>
      <c r="W17" s="419"/>
    </row>
    <row r="18" spans="1:23" ht="18.75" customHeight="1" x14ac:dyDescent="0.3">
      <c r="B18" s="46"/>
      <c r="C18" s="47"/>
      <c r="D18" s="356" t="s">
        <v>283</v>
      </c>
      <c r="E18" s="352"/>
      <c r="F18" s="353"/>
      <c r="G18" s="352"/>
      <c r="H18" s="354"/>
      <c r="I18" s="355"/>
      <c r="J18" s="354"/>
      <c r="K18" s="354"/>
      <c r="L18" s="423"/>
      <c r="M18" s="424"/>
      <c r="N18" s="424"/>
      <c r="O18" s="425"/>
      <c r="P18" s="424"/>
      <c r="Q18" s="425"/>
      <c r="R18" s="425"/>
      <c r="S18" s="425"/>
      <c r="T18" s="426"/>
      <c r="U18" s="415"/>
      <c r="V18" s="298"/>
      <c r="W18" s="419"/>
    </row>
    <row r="19" spans="1:23" ht="15" hidden="1" customHeight="1" x14ac:dyDescent="0.3">
      <c r="B19" s="46"/>
      <c r="C19" s="47">
        <f ca="1">IFERROR(IF(OR(D19="Multiple Zone",D19="100% OA",D19="Summary",D19="Single Zone",E19="Multiple Zone"),0,1),0)</f>
        <v>0</v>
      </c>
      <c r="D19" s="337" t="e" vm="1">
        <f ca="1">INDEX(MID(Sheets,FIND("]",Sheets)+1,255),ROW(A1),1)</f>
        <v>#NAME?</v>
      </c>
      <c r="E19" s="337" t="e" vm="2">
        <f t="shared" ref="E19" ca="1" si="19">INDIRECT("'"&amp;D19&amp;"'!$B$2")</f>
        <v>#VALUE!</v>
      </c>
      <c r="F19" s="348" t="e" vm="2">
        <f t="shared" ref="F19" ca="1" si="20">IF(E19="Multiple Zone",INDIRECT("'"&amp;D19&amp;"'!$D$8"),"n/a")</f>
        <v>#VALUE!</v>
      </c>
      <c r="G19" s="337" t="e" vm="2">
        <f t="shared" ref="G19" ca="1" si="21">INDIRECT("'"&amp;D19&amp;"'!$D$7")</f>
        <v>#VALUE!</v>
      </c>
      <c r="H19" s="270" t="e" vm="2">
        <f t="shared" ref="H19" ca="1" si="22">INDIRECT("'"&amp;D19&amp;"'!$Z$3")</f>
        <v>#VALUE!</v>
      </c>
      <c r="I19" s="293" t="e" vm="2">
        <f t="shared" ref="I19" ca="1" si="23">INDIRECT("'"&amp;D19&amp;"'!$AA$3")</f>
        <v>#VALUE!</v>
      </c>
      <c r="J19" s="270" t="e" vm="2">
        <f t="shared" ref="J19" ca="1" si="24">INDIRECT("'"&amp;D19&amp;"'!$AI$3")</f>
        <v>#VALUE!</v>
      </c>
      <c r="K19" s="270" t="e" vm="2">
        <f t="shared" ref="K19" ca="1" si="25">INDIRECT("'"&amp;D19&amp;"'!$AJ$3")</f>
        <v>#VALUE!</v>
      </c>
      <c r="L19" s="341" t="e" vm="2">
        <f t="shared" ref="L19" ca="1" si="26">IF(AND(K19&gt;0,J19&gt;0,K19&gt;=J19),"Yes","No")</f>
        <v>#VALUE!</v>
      </c>
      <c r="M19" s="340" t="e" vm="2">
        <f t="shared" ref="M19" ca="1" si="27">INDIRECT("'"&amp;D19&amp;"'!$AB$3")</f>
        <v>#VALUE!</v>
      </c>
      <c r="N19" s="296" t="e" vm="2">
        <f t="shared" ref="N19" ca="1" si="28">INDIRECT("'"&amp;D19&amp;"'!$AC$3")</f>
        <v>#VALUE!</v>
      </c>
      <c r="O19" s="384" t="e" vm="2">
        <f t="shared" ref="O19" ca="1" si="29">INDIRECT("'"&amp;D19&amp;"'!$AD$3")</f>
        <v>#VALUE!</v>
      </c>
      <c r="P19" s="296" t="e" vm="2">
        <f t="shared" ref="P19" ca="1" si="30">INDIRECT("'"&amp;D19&amp;"'!$AE$3")</f>
        <v>#VALUE!</v>
      </c>
      <c r="Q19" s="296" t="e" vm="2">
        <f t="shared" ref="Q19" ca="1" si="31">INDIRECT("'"&amp;D19&amp;"'!$AF$3")</f>
        <v>#VALUE!</v>
      </c>
      <c r="R19" s="393" t="e" vm="2">
        <f t="shared" ref="R19" ca="1" si="32">INDIRECT("'"&amp;D19&amp;"'!$AG$3")</f>
        <v>#VALUE!</v>
      </c>
      <c r="S19" s="296" t="e" vm="2">
        <f t="shared" ref="S19" ca="1" si="33">INDIRECT("'"&amp;D19&amp;"'!$AH$3")</f>
        <v>#VALUE!</v>
      </c>
      <c r="T19" s="341" t="e" vm="2">
        <f ca="1">INDIRECT("'"&amp;$D19&amp;"'!AO7")</f>
        <v>#VALUE!</v>
      </c>
      <c r="U19" s="415"/>
      <c r="V19" s="298"/>
      <c r="W19" s="419"/>
    </row>
    <row r="20" spans="1:23" ht="15" customHeight="1" x14ac:dyDescent="0.3">
      <c r="A20" s="382" t="s">
        <v>284</v>
      </c>
      <c r="B20" s="46"/>
      <c r="C20" s="47"/>
      <c r="D20" s="357"/>
      <c r="E20" s="357"/>
      <c r="F20" s="358"/>
      <c r="G20" s="357"/>
      <c r="H20" s="359"/>
      <c r="I20" s="360"/>
      <c r="J20" s="359"/>
      <c r="K20" s="359"/>
      <c r="L20" s="427"/>
      <c r="M20" s="428"/>
      <c r="N20" s="428"/>
      <c r="O20" s="429"/>
      <c r="P20" s="428"/>
      <c r="Q20" s="429"/>
      <c r="R20" s="429"/>
      <c r="S20" s="429"/>
      <c r="T20" s="47"/>
      <c r="U20" s="415"/>
      <c r="V20" s="298"/>
      <c r="W20" s="419"/>
    </row>
    <row r="21" spans="1:23" ht="21" customHeight="1" x14ac:dyDescent="0.3">
      <c r="B21" s="46"/>
      <c r="C21" s="47"/>
      <c r="D21" s="530" t="s">
        <v>253</v>
      </c>
      <c r="E21" s="531"/>
      <c r="F21" s="531"/>
      <c r="G21" s="531"/>
      <c r="H21" s="349" t="e" vm="2">
        <f ca="1">SUM(H11:H20)</f>
        <v>#VALUE!</v>
      </c>
      <c r="I21" s="350" t="e" vm="2">
        <f ca="1">SUM(I11:I20)</f>
        <v>#VALUE!</v>
      </c>
      <c r="J21" s="349" t="e" vm="2">
        <f ca="1">SUM(J11:J20)</f>
        <v>#VALUE!</v>
      </c>
      <c r="K21" s="430" t="e" vm="2">
        <f ca="1">SUM(K11:K20)</f>
        <v>#VALUE!</v>
      </c>
      <c r="L21" s="431"/>
      <c r="M21" s="432"/>
      <c r="N21" s="432"/>
      <c r="O21" s="432"/>
      <c r="P21" s="432"/>
      <c r="Q21" s="432"/>
      <c r="R21" s="433" t="e" vm="2">
        <f ca="1">SUM(R11:R20)</f>
        <v>#VALUE!</v>
      </c>
      <c r="S21" s="432"/>
      <c r="T21" s="434"/>
      <c r="U21" s="415"/>
      <c r="V21" s="298"/>
      <c r="W21" s="419"/>
    </row>
    <row r="22" spans="1:23" ht="14.25" customHeight="1" x14ac:dyDescent="0.3">
      <c r="B22" s="319"/>
      <c r="C22" s="53"/>
      <c r="D22" s="53"/>
      <c r="E22" s="53"/>
      <c r="F22" s="53"/>
      <c r="G22" s="53"/>
      <c r="H22" s="53"/>
      <c r="I22" s="53"/>
      <c r="J22" s="53"/>
      <c r="K22" s="53"/>
      <c r="L22" s="53"/>
      <c r="M22" s="53"/>
      <c r="N22" s="53"/>
      <c r="O22" s="53"/>
      <c r="P22" s="53"/>
      <c r="Q22" s="53"/>
      <c r="R22" s="53"/>
      <c r="S22" s="53"/>
      <c r="T22" s="53"/>
      <c r="U22" s="417"/>
      <c r="W22" s="419"/>
    </row>
    <row r="23" spans="1:23" ht="15" customHeight="1" x14ac:dyDescent="0.3">
      <c r="K23" s="54"/>
    </row>
  </sheetData>
  <sheetProtection algorithmName="SHA-512" hashValue="A56EOru4uIawwtkn9eJMjYuSpu/qo86YbH0z02/gWciX84YSkWoD2xueiM6DkUWWE0W20q34fwGClBOPXzACuw==" saltValue="PordJ2nPDNXA44H901g5Uw==" spinCount="100000" sheet="1" objects="1" scenarios="1"/>
  <mergeCells count="12">
    <mergeCell ref="T8:T10"/>
    <mergeCell ref="O8:O10"/>
    <mergeCell ref="P8:P10"/>
    <mergeCell ref="Q8:Q10"/>
    <mergeCell ref="S8:S10"/>
    <mergeCell ref="K8:K9"/>
    <mergeCell ref="L8:L10"/>
    <mergeCell ref="D21:G21"/>
    <mergeCell ref="D8:D10"/>
    <mergeCell ref="E8:E10"/>
    <mergeCell ref="F8:F10"/>
    <mergeCell ref="G8:G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efreshSummary">
                <anchor moveWithCells="1" sizeWithCells="1">
                  <from>
                    <xdr:col>3</xdr:col>
                    <xdr:colOff>53340</xdr:colOff>
                    <xdr:row>4</xdr:row>
                    <xdr:rowOff>137160</xdr:rowOff>
                  </from>
                  <to>
                    <xdr:col>3</xdr:col>
                    <xdr:colOff>1424940</xdr:colOff>
                    <xdr:row>6</xdr:row>
                    <xdr:rowOff>22860</xdr:rowOff>
                  </to>
                </anchor>
              </controlPr>
            </control>
          </mc:Choice>
        </mc:AlternateContent>
        <mc:AlternateContent xmlns:mc="http://schemas.openxmlformats.org/markup-compatibility/2006">
          <mc:Choice Requires="x14">
            <control shapeId="13314" r:id="rId5" name="Check Box 2">
              <controlPr defaultSize="0" autoFill="0" autoLine="0" autoPict="0" macro="[0]!SimpleSummary">
                <anchor moveWithCells="1">
                  <from>
                    <xdr:col>4</xdr:col>
                    <xdr:colOff>15240</xdr:colOff>
                    <xdr:row>4</xdr:row>
                    <xdr:rowOff>137160</xdr:rowOff>
                  </from>
                  <to>
                    <xdr:col>5</xdr:col>
                    <xdr:colOff>739140</xdr:colOff>
                    <xdr:row>6</xdr:row>
                    <xdr:rowOff>60960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40C339-D883-4BD1-9023-2A648712B2FF}">
  <ds:schemaRefs>
    <ds:schemaRef ds:uri="http://schemas.microsoft.com/sharepoint/v3/contenttype/forms"/>
  </ds:schemaRefs>
</ds:datastoreItem>
</file>

<file path=customXml/itemProps2.xml><?xml version="1.0" encoding="utf-8"?>
<ds:datastoreItem xmlns:ds="http://schemas.openxmlformats.org/officeDocument/2006/customXml" ds:itemID="{FE421838-8ACA-4F41-868C-49CCBF8CFD0C}">
  <ds:schemaRefs>
    <ds:schemaRef ds:uri="http://schemas.microsoft.com/office/2006/metadata/properties"/>
    <ds:schemaRef ds:uri="http://schemas.microsoft.com/office/infopath/2007/PartnerControls"/>
    <ds:schemaRef ds:uri="http://schemas.microsoft.com/sharepoint/v3"/>
  </ds:schemaRefs>
</ds:datastoreItem>
</file>

<file path=customXml/itemProps3.xml><?xml version="1.0" encoding="utf-8"?>
<ds:datastoreItem xmlns:ds="http://schemas.openxmlformats.org/officeDocument/2006/customXml" ds:itemID="{5915D7F6-61B6-4222-87A5-7DD7E0B244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Instructions</vt:lpstr>
      <vt:lpstr>Multiple Zone</vt:lpstr>
      <vt:lpstr>100% OA</vt:lpstr>
      <vt:lpstr>Single Zone</vt:lpstr>
      <vt:lpstr>Summary</vt:lpstr>
      <vt:lpstr>Airflow_allz</vt:lpstr>
      <vt:lpstr>Airflow_cz</vt:lpstr>
      <vt:lpstr>Allzones</vt:lpstr>
      <vt:lpstr>allzones_row</vt:lpstr>
      <vt:lpstr>Area</vt:lpstr>
      <vt:lpstr>Area_allz</vt:lpstr>
      <vt:lpstr>Area_cz</vt:lpstr>
      <vt:lpstr>credit</vt:lpstr>
      <vt:lpstr>criticalzone_row</vt:lpstr>
      <vt:lpstr>Equationshow</vt:lpstr>
      <vt:lpstr>Ev</vt:lpstr>
      <vt:lpstr>Ev_notother</vt:lpstr>
      <vt:lpstr>Ev_other</vt:lpstr>
      <vt:lpstr>LEED</vt:lpstr>
      <vt:lpstr>LEED2009list</vt:lpstr>
      <vt:lpstr>LEEDv41lIST</vt:lpstr>
      <vt:lpstr>LEEDv4list</vt:lpstr>
      <vt:lpstr>max_Zpz</vt:lpstr>
      <vt:lpstr>Method</vt:lpstr>
      <vt:lpstr>Occupancy</vt:lpstr>
      <vt:lpstr>Otherhide</vt:lpstr>
      <vt:lpstr>simple</vt:lpstr>
      <vt:lpstr>SZ_Sum</vt:lpstr>
      <vt:lpstr>SZcheck</vt:lpstr>
      <vt:lpstr>Tablerow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Batya Metalitz</dc:creator>
  <cp:lastModifiedBy>Mikaela Kieffer</cp:lastModifiedBy>
  <dcterms:created xsi:type="dcterms:W3CDTF">2014-10-21T00:39:17Z</dcterms:created>
  <dcterms:modified xsi:type="dcterms:W3CDTF">2023-10-11T20:16:20Z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119d7ea8-3db3-48b3-a446-1d15b113e19f</vt:lpwstr>
  </property>
  <property fmtid="{D5CDD505-2E9C-101B-9397-08002B2CF9AE}" pid="3" name="ContentTypeId">
    <vt:lpwstr>0x01010025A613617A7C5B46826CF6D217F037D7</vt:lpwstr>
  </property>
</Properties>
</file>