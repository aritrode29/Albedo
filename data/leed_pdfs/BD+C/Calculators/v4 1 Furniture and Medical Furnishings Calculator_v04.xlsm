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BC58C6B1-8752-B0C3-C2C4-DFD462C6FBC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mikieffer\Dropbox (USGBC)\LEED\LEED\Technical Development\LEED v4.1\Form &amp; Calculator Updates\MR\"/>
    </mc:Choice>
  </mc:AlternateContent>
  <xr:revisionPtr revIDLastSave="0" documentId="13_ncr:1_{7D1BDA95-A95E-456D-BA4C-32C67CC4551F}" xr6:coauthVersionLast="47" xr6:coauthVersionMax="47" xr10:uidLastSave="{00000000-0000-0000-0000-000000000000}"/>
  <workbookProtection workbookAlgorithmName="SHA-512" workbookHashValue="oN2h5SY4Y/RCjVs8MD50TopYau9DXWz8GvSc8FniCay9/QaqjELb7GPgXm0198XBUSvLJPhmMgbcjXBzaz+2pQ==" workbookSaltValue="kZlO5rvisyAETgew/VKJtQ==" workbookSpinCount="100000" lockStructure="1"/>
  <bookViews>
    <workbookView xWindow="-108" yWindow="-108" windowWidth="23256" windowHeight="12576" tabRatio="799" xr2:uid="{00000000-000D-0000-FFFF-FFFF00000000}"/>
  </bookViews>
  <sheets>
    <sheet name="Instructions" sheetId="73" r:id="rId1"/>
    <sheet name="Calculator" sheetId="80" r:id="rId2"/>
    <sheet name="Summary" sheetId="81" r:id="rId3"/>
  </sheets>
  <definedNames>
    <definedName name="EPD" localSheetId="1">Calculator!#REF!</definedName>
    <definedName name="EPD">#REF!</definedName>
    <definedName name="MateialType" localSheetId="1">Calculator!#REF!</definedName>
    <definedName name="MateialType">#REF!</definedName>
    <definedName name="MaterialType" localSheetId="1">Calculator!#REF!</definedName>
    <definedName name="MaterialType">#REF!</definedName>
    <definedName name="MaterialType1">Calculator!#REF!</definedName>
    <definedName name="_xlnm.Print_Area" localSheetId="0">Instructions!$B$18:$G$25</definedName>
    <definedName name="_xlnm.Print_Titles" localSheetId="1">Calculator!$4:$8</definedName>
    <definedName name="YesNo">Calculator!#REF!</definedName>
  </definedNames>
  <calcPr calcId="191029"/>
  <customWorkbookViews>
    <customWorkbookView name="Letter Template" guid="{8F5AAEC0-BAB9-4CA1-848B-2FEB1F9D2809}" maximized="1" windowWidth="796" windowHeight="454" tabRatio="696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1" i="80" l="1"/>
  <c r="Q12" i="80"/>
  <c r="Q10" i="80"/>
  <c r="Q13" i="80" l="1"/>
  <c r="S10" i="80"/>
  <c r="H6" i="81" l="1"/>
  <c r="AD11" i="80" l="1"/>
  <c r="AD12" i="80"/>
  <c r="AA11" i="80"/>
  <c r="AA12" i="80"/>
  <c r="Y11" i="80"/>
  <c r="Y12" i="80"/>
  <c r="W11" i="80"/>
  <c r="W12" i="80"/>
  <c r="U11" i="80"/>
  <c r="U12" i="80"/>
  <c r="AM11" i="80"/>
  <c r="AM12" i="80"/>
  <c r="AM10" i="80"/>
  <c r="AD10" i="80" l="1"/>
  <c r="AA10" i="80"/>
  <c r="Y10" i="80"/>
  <c r="W10" i="80"/>
  <c r="U10" i="80"/>
  <c r="S11" i="80"/>
  <c r="AG11" i="80" s="1"/>
  <c r="S12" i="80"/>
  <c r="AG12" i="80" s="1"/>
  <c r="AG10" i="80" l="1"/>
  <c r="AL12" i="80"/>
  <c r="AL11" i="80"/>
  <c r="AL10" i="80"/>
  <c r="AH10" i="80" s="1"/>
  <c r="Y13" i="80" l="1"/>
  <c r="L10" i="80"/>
  <c r="M10" i="80"/>
  <c r="J24" i="73"/>
  <c r="L11" i="80"/>
  <c r="M11" i="80"/>
  <c r="L12" i="80"/>
  <c r="M12" i="80"/>
  <c r="A10" i="80"/>
  <c r="D13" i="80"/>
  <c r="AD13" i="80" l="1"/>
  <c r="W13" i="80"/>
  <c r="AA13" i="80"/>
  <c r="M13" i="80"/>
  <c r="L13" i="80"/>
  <c r="U13" i="80"/>
  <c r="S13" i="80"/>
  <c r="AJ10" i="80"/>
  <c r="AH12" i="80"/>
  <c r="AJ12" i="80" s="1"/>
  <c r="AH11" i="80"/>
  <c r="AJ11" i="80" s="1"/>
  <c r="AH13" i="80" l="1"/>
  <c r="AJ13" i="80" l="1"/>
  <c r="H8" i="81" s="1"/>
  <c r="H10" i="8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USGBC</author>
    <author>cyan</author>
  </authors>
  <commentList>
    <comment ref="D7" authorId="0" shapeId="0" xr:uid="{00000000-0006-0000-0100-000001000000}">
      <text>
        <r>
          <rPr>
            <sz val="10"/>
            <color indexed="81"/>
            <rFont val="Arial"/>
            <family val="2"/>
          </rPr>
          <t>Equals cost per item times number of items purchased. In the case of a salvaged item may be the actual or replacement value, but must be consistent with the cost used to calculated the total materials cost for the project.</t>
        </r>
      </text>
    </comment>
    <comment ref="K7" authorId="0" shapeId="0" xr:uid="{00000000-0006-0000-0100-000002000000}">
      <text>
        <r>
          <rPr>
            <sz val="10"/>
            <color indexed="81"/>
            <rFont val="Arial"/>
            <family val="2"/>
          </rPr>
          <t xml:space="preserve">Required for Option 2 only
</t>
        </r>
      </text>
    </comment>
    <comment ref="AF8" authorId="1" shapeId="0" xr:uid="{00000000-0006-0000-0100-000003000000}">
      <text>
        <r>
          <rPr>
            <sz val="10"/>
            <color rgb="FF000000"/>
            <rFont val="Arial"/>
            <family val="2"/>
          </rPr>
          <t>All extraction, manufacture, and purchase (including distribution) of the product and its materials occur within 100 mile (160 km) radius.</t>
        </r>
      </text>
    </comment>
    <comment ref="S9" authorId="1" shapeId="0" xr:uid="{00000000-0006-0000-0100-000004000000}">
      <text>
        <r>
          <rPr>
            <sz val="10"/>
            <color indexed="81"/>
            <rFont val="Arial"/>
            <family val="2"/>
          </rPr>
          <t>Products with extended producer responsibility are valued at 50% of their cost.</t>
        </r>
      </text>
    </comment>
  </commentList>
</comments>
</file>

<file path=xl/sharedStrings.xml><?xml version="1.0" encoding="utf-8"?>
<sst xmlns="http://schemas.openxmlformats.org/spreadsheetml/2006/main" count="92" uniqueCount="74">
  <si>
    <t>Recycled Content</t>
  </si>
  <si>
    <t>Step 2.</t>
  </si>
  <si>
    <t>Materials Reuse</t>
  </si>
  <si>
    <t>Wood Products</t>
  </si>
  <si>
    <t>Manufacturer or Vendor Name</t>
  </si>
  <si>
    <t>Sustainable 
Criteria Value
($)</t>
  </si>
  <si>
    <t>Extended Producer Responsibility
Closed Loop or 
Take Back Program Name</t>
  </si>
  <si>
    <t>Step 1.</t>
  </si>
  <si>
    <t>Enable macros</t>
  </si>
  <si>
    <t xml:space="preserve">Step 4. </t>
  </si>
  <si>
    <t>Percent 
Post-Consumer
(%)</t>
  </si>
  <si>
    <t>Percent
Pre-Consumer
(%)</t>
  </si>
  <si>
    <t xml:space="preserve">Summary </t>
  </si>
  <si>
    <t>Percent 
Salvaged 
or Reused
(%)</t>
  </si>
  <si>
    <t>Extended Producer Responsibility</t>
  </si>
  <si>
    <t xml:space="preserve">Complete all columns with applicable material data for the attempted options.  If the option is not attempted, leave the column blank.  </t>
  </si>
  <si>
    <t>Note: All information on this tab is READ-ONLY. To edit, see previous tabs.</t>
  </si>
  <si>
    <t>`</t>
  </si>
  <si>
    <t>Actual materials cost for all freestanding furniture and medical furnishings ($)</t>
  </si>
  <si>
    <t>General Information</t>
  </si>
  <si>
    <t>Calculator</t>
  </si>
  <si>
    <t>Environmental Product Declaration</t>
  </si>
  <si>
    <t>Chemical Groups</t>
  </si>
  <si>
    <t>Option 2 
Sustainable 
Criteria Value
($)</t>
  </si>
  <si>
    <t>Meets or 
Exceeds 
ANSI/BIFMA Standard Method M7.1-2011</t>
  </si>
  <si>
    <t>Option 1 
Sustainable 
Criteria Value
($)</t>
  </si>
  <si>
    <t>A</t>
  </si>
  <si>
    <t>Heavy Metals 
under 100 ppm</t>
  </si>
  <si>
    <t>Hexavalent 
Chromium
under 100 ppm</t>
  </si>
  <si>
    <t>Added 
Antimicrobial Treatment 
under 100 ppm</t>
  </si>
  <si>
    <t>Sustainable 
Criteria
Value
($)</t>
  </si>
  <si>
    <t>Urea 
Formaldehyde
under 100 ppm</t>
  </si>
  <si>
    <t>PFCs and 
PFOA 
under 100 ppm</t>
  </si>
  <si>
    <t>EPD Program Operator</t>
  </si>
  <si>
    <t>Complete the Calculator tab for all freestanding furniture and medical furnishings that meet the credit requirements.</t>
  </si>
  <si>
    <t>Actual materials cost for all freestanding furniture and medical furnishings</t>
  </si>
  <si>
    <t xml:space="preserve">Total value of sustainable materials </t>
  </si>
  <si>
    <t>Total value</t>
  </si>
  <si>
    <t>Note: This calculator is for use with Excel for Mac 2011 and Excel 2007 or later.</t>
  </si>
  <si>
    <t>Upload the completed spreadsheet to LEED Online.  Complete any related summary fields in the LEED credit form with the results of the calculator.</t>
  </si>
  <si>
    <t>Total Sustainable Criteria Value for all Options
($)</t>
  </si>
  <si>
    <t>Step 3.</t>
  </si>
  <si>
    <t>Unit of measurement</t>
  </si>
  <si>
    <t>Note: This selection must match the unit of measurement chosen during project registration.</t>
  </si>
  <si>
    <t>UOM</t>
  </si>
  <si>
    <t>1 = IP; 2 = SI</t>
  </si>
  <si>
    <t xml:space="preserve">Step 5. </t>
  </si>
  <si>
    <t>Total sustainable criteria value for all options ($)</t>
  </si>
  <si>
    <t>Sustainable criteria value as a percentage of total furniture cost (%)</t>
  </si>
  <si>
    <t>U.S. Green Building Council</t>
  </si>
  <si>
    <t>All Rights Reserved</t>
  </si>
  <si>
    <t>Does the entire product meet local criteria?</t>
  </si>
  <si>
    <r>
      <t xml:space="preserve">Option 3
</t>
    </r>
    <r>
      <rPr>
        <sz val="10"/>
        <rFont val="Arial"/>
        <family val="2"/>
      </rPr>
      <t>Multi-Attribute Assessment of Products</t>
    </r>
  </si>
  <si>
    <r>
      <t xml:space="preserve">Option 1. </t>
    </r>
    <r>
      <rPr>
        <sz val="10"/>
        <color indexed="63"/>
        <rFont val="Arial"/>
        <family val="2"/>
      </rPr>
      <t>Minimal Chemical Content and</t>
    </r>
    <r>
      <rPr>
        <b/>
        <sz val="10"/>
        <color indexed="63"/>
        <rFont val="Arial"/>
        <family val="2"/>
      </rPr>
      <t xml:space="preserve"> Option 2. </t>
    </r>
    <r>
      <rPr>
        <sz val="10"/>
        <color indexed="63"/>
        <rFont val="Arial"/>
        <family val="2"/>
      </rPr>
      <t>Testing and Modeling of Chemical Content</t>
    </r>
  </si>
  <si>
    <t>Responsible Sourcing of Raw Materials</t>
  </si>
  <si>
    <t>Bio-based Materials meeting basic criteria (Testing Only)</t>
  </si>
  <si>
    <t xml:space="preserve"> (%)</t>
  </si>
  <si>
    <t>Bio-based Materials  (Testing &amp; SAN Compliant)</t>
  </si>
  <si>
    <t>Percent Meeting Sustainable Agriculture Network Standard (%)</t>
  </si>
  <si>
    <t>Percent 
FSC
Certified
(%)</t>
  </si>
  <si>
    <t>Sustainable 
Criteria Value
Subtotal
($)</t>
  </si>
  <si>
    <t>Option 3  Sustainable Criteria Value with Location Valuation Factor
($)</t>
  </si>
  <si>
    <t>Total sustainable criteria value with location valuation factor</t>
  </si>
  <si>
    <r>
      <t xml:space="preserve">Copyright </t>
    </r>
    <r>
      <rPr>
        <sz val="9"/>
        <color theme="0" tint="-0.499984740745262"/>
        <rFont val="Arial"/>
        <family val="2"/>
      </rPr>
      <t>©</t>
    </r>
    <r>
      <rPr>
        <sz val="8"/>
        <color theme="0" tint="-0.499984740745262"/>
        <rFont val="Arial"/>
        <family val="2"/>
      </rPr>
      <t xml:space="preserve"> 2019</t>
    </r>
  </si>
  <si>
    <t>Material Type or Category</t>
  </si>
  <si>
    <t>Sustainable Material Cost
($)</t>
  </si>
  <si>
    <t>EPD/LCA</t>
  </si>
  <si>
    <t>Corr for distance valuation</t>
  </si>
  <si>
    <t>200%, of material cost</t>
  </si>
  <si>
    <r>
      <rPr>
        <sz val="16"/>
        <rFont val="Arial Black"/>
        <family val="2"/>
      </rPr>
      <t xml:space="preserve">Furniture and Medical Furnishings Calculator
</t>
    </r>
    <r>
      <rPr>
        <sz val="9"/>
        <rFont val="Arial"/>
        <family val="2"/>
      </rPr>
      <t>LEED v4.1 MR Credit Furniture and Medical Furnishings</t>
    </r>
  </si>
  <si>
    <t>Yes</t>
  </si>
  <si>
    <t>not required</t>
  </si>
  <si>
    <t>Updated 07/24/23</t>
  </si>
  <si>
    <t>V04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</si>
</sst>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-* #,##0.00\ _€_-;\-* #,##0.00\ _€_-;_-* &quot;-&quot;??\ _€_-;_-@_-"/>
  </numFmts>
  <fonts count="33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FF0000"/>
      <name val="Arial"/>
      <family val="2"/>
    </font>
    <font>
      <sz val="10"/>
      <color rgb="FF777777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6"/>
      <color theme="0"/>
      <name val="Arial Black"/>
      <family val="2"/>
    </font>
    <font>
      <sz val="10"/>
      <color indexed="81"/>
      <name val="Arial"/>
      <family val="2"/>
    </font>
    <font>
      <b/>
      <sz val="10"/>
      <color indexed="63"/>
      <name val="Arial"/>
      <family val="2"/>
    </font>
    <font>
      <sz val="16"/>
      <name val="Arial Black"/>
      <family val="2"/>
    </font>
    <font>
      <sz val="9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8"/>
      <color theme="0" tint="-0.499984740745262"/>
      <name val="Arial"/>
      <family val="2"/>
    </font>
    <font>
      <sz val="9"/>
      <color theme="0" tint="-0.499984740745262"/>
      <name val="Arial"/>
      <family val="2"/>
    </font>
    <font>
      <sz val="10"/>
      <color indexed="6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DBA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3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/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499984740745262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499984740745262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/>
      <top/>
      <bottom style="thin">
        <color theme="0" tint="-0.499984740745262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499984740745262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499984740745262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249977111117893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499984740745262"/>
      </top>
      <bottom style="thin">
        <color indexed="64"/>
      </bottom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4" fillId="0" borderId="0"/>
    <xf numFmtId="0" fontId="14" fillId="0" borderId="0"/>
  </cellStyleXfs>
  <cellXfs count="301">
    <xf numFmtId="0" fontId="0" fillId="0" borderId="0" xfId="0"/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6" borderId="7" xfId="0" applyFont="1" applyFill="1" applyBorder="1" applyAlignment="1">
      <alignment horizontal="left" vertical="center" wrapText="1"/>
    </xf>
    <xf numFmtId="0" fontId="2" fillId="6" borderId="9" xfId="0" applyFont="1" applyFill="1" applyBorder="1" applyAlignment="1">
      <alignment vertical="center"/>
    </xf>
    <xf numFmtId="0" fontId="2" fillId="6" borderId="3" xfId="0" applyFont="1" applyFill="1" applyBorder="1" applyAlignment="1">
      <alignment vertical="center"/>
    </xf>
    <xf numFmtId="0" fontId="2" fillId="6" borderId="4" xfId="0" applyFont="1" applyFill="1" applyBorder="1" applyAlignment="1">
      <alignment vertical="center"/>
    </xf>
    <xf numFmtId="0" fontId="2" fillId="6" borderId="5" xfId="0" applyFont="1" applyFill="1" applyBorder="1" applyAlignment="1">
      <alignment vertical="center"/>
    </xf>
    <xf numFmtId="0" fontId="2" fillId="6" borderId="6" xfId="0" applyFont="1" applyFill="1" applyBorder="1" applyAlignment="1">
      <alignment vertical="center"/>
    </xf>
    <xf numFmtId="0" fontId="13" fillId="6" borderId="0" xfId="0" applyFont="1" applyFill="1" applyAlignment="1">
      <alignment horizontal="left" vertical="center"/>
    </xf>
    <xf numFmtId="0" fontId="8" fillId="6" borderId="7" xfId="0" applyFont="1" applyFill="1" applyBorder="1" applyAlignment="1">
      <alignment vertical="center"/>
    </xf>
    <xf numFmtId="0" fontId="8" fillId="5" borderId="0" xfId="0" applyFont="1" applyFill="1" applyAlignment="1">
      <alignment vertical="center"/>
    </xf>
    <xf numFmtId="49" fontId="3" fillId="6" borderId="0" xfId="0" applyNumberFormat="1" applyFont="1" applyFill="1" applyAlignment="1">
      <alignment vertical="center"/>
    </xf>
    <xf numFmtId="49" fontId="11" fillId="6" borderId="0" xfId="0" applyNumberFormat="1" applyFont="1" applyFill="1" applyAlignment="1">
      <alignment vertical="center"/>
    </xf>
    <xf numFmtId="0" fontId="2" fillId="6" borderId="7" xfId="0" applyFont="1" applyFill="1" applyBorder="1" applyAlignment="1">
      <alignment vertical="center"/>
    </xf>
    <xf numFmtId="0" fontId="17" fillId="5" borderId="0" xfId="0" applyFont="1" applyFill="1" applyAlignment="1">
      <alignment vertical="center" wrapText="1"/>
    </xf>
    <xf numFmtId="49" fontId="11" fillId="6" borderId="0" xfId="0" applyNumberFormat="1" applyFont="1" applyFill="1" applyAlignment="1">
      <alignment vertical="center" wrapText="1"/>
    </xf>
    <xf numFmtId="49" fontId="2" fillId="6" borderId="0" xfId="0" applyNumberFormat="1" applyFont="1" applyFill="1" applyAlignment="1">
      <alignment vertical="center"/>
    </xf>
    <xf numFmtId="49" fontId="18" fillId="5" borderId="0" xfId="0" applyNumberFormat="1" applyFont="1" applyFill="1" applyAlignment="1">
      <alignment vertical="center" wrapText="1"/>
    </xf>
    <xf numFmtId="49" fontId="3" fillId="5" borderId="0" xfId="0" applyNumberFormat="1" applyFont="1" applyFill="1" applyAlignment="1">
      <alignment vertical="top" wrapText="1"/>
    </xf>
    <xf numFmtId="0" fontId="6" fillId="6" borderId="0" xfId="0" applyFont="1" applyFill="1" applyAlignment="1">
      <alignment vertical="top"/>
    </xf>
    <xf numFmtId="49" fontId="2" fillId="6" borderId="0" xfId="0" applyNumberFormat="1" applyFont="1" applyFill="1" applyAlignment="1">
      <alignment vertical="top"/>
    </xf>
    <xf numFmtId="44" fontId="2" fillId="6" borderId="0" xfId="0" applyNumberFormat="1" applyFont="1" applyFill="1" applyAlignment="1">
      <alignment vertical="center" wrapText="1"/>
    </xf>
    <xf numFmtId="0" fontId="18" fillId="5" borderId="0" xfId="0" applyFont="1" applyFill="1" applyAlignment="1">
      <alignment vertical="center" wrapText="1"/>
    </xf>
    <xf numFmtId="0" fontId="2" fillId="5" borderId="0" xfId="0" applyFont="1" applyFill="1"/>
    <xf numFmtId="49" fontId="2" fillId="5" borderId="0" xfId="0" applyNumberFormat="1" applyFont="1" applyFill="1"/>
    <xf numFmtId="49" fontId="2" fillId="5" borderId="0" xfId="0" applyNumberFormat="1" applyFont="1" applyFill="1" applyAlignment="1">
      <alignment vertical="center" wrapText="1"/>
    </xf>
    <xf numFmtId="0" fontId="2" fillId="6" borderId="8" xfId="0" applyFont="1" applyFill="1" applyBorder="1" applyAlignment="1">
      <alignment vertical="center"/>
    </xf>
    <xf numFmtId="44" fontId="2" fillId="6" borderId="9" xfId="0" applyNumberFormat="1" applyFont="1" applyFill="1" applyBorder="1" applyAlignment="1">
      <alignment vertical="center" wrapText="1"/>
    </xf>
    <xf numFmtId="0" fontId="2" fillId="6" borderId="10" xfId="0" applyFont="1" applyFill="1" applyBorder="1" applyAlignment="1">
      <alignment vertical="center"/>
    </xf>
    <xf numFmtId="49" fontId="2" fillId="5" borderId="0" xfId="0" applyNumberFormat="1" applyFont="1" applyFill="1" applyAlignment="1">
      <alignment vertical="center"/>
    </xf>
    <xf numFmtId="44" fontId="2" fillId="5" borderId="0" xfId="0" applyNumberFormat="1" applyFont="1" applyFill="1" applyAlignment="1">
      <alignment vertical="center"/>
    </xf>
    <xf numFmtId="10" fontId="2" fillId="5" borderId="0" xfId="5" applyNumberFormat="1" applyFont="1" applyFill="1" applyBorder="1" applyAlignment="1" applyProtection="1">
      <alignment vertical="center"/>
    </xf>
    <xf numFmtId="9" fontId="2" fillId="5" borderId="0" xfId="5" applyFont="1" applyFill="1" applyBorder="1" applyAlignment="1" applyProtection="1">
      <alignment vertical="center"/>
    </xf>
    <xf numFmtId="0" fontId="3" fillId="5" borderId="0" xfId="0" applyFont="1" applyFill="1" applyAlignment="1">
      <alignment vertical="top" wrapText="1"/>
    </xf>
    <xf numFmtId="0" fontId="3" fillId="5" borderId="0" xfId="0" applyFont="1" applyFill="1" applyAlignment="1">
      <alignment horizontal="left" vertical="center" wrapText="1"/>
    </xf>
    <xf numFmtId="0" fontId="15" fillId="3" borderId="0" xfId="0" applyFont="1" applyFill="1" applyProtection="1">
      <protection hidden="1"/>
    </xf>
    <xf numFmtId="0" fontId="15" fillId="0" borderId="0" xfId="0" applyFont="1" applyProtection="1">
      <protection hidden="1"/>
    </xf>
    <xf numFmtId="0" fontId="16" fillId="3" borderId="0" xfId="0" applyFont="1" applyFill="1" applyProtection="1">
      <protection hidden="1"/>
    </xf>
    <xf numFmtId="0" fontId="16" fillId="3" borderId="0" xfId="0" applyFont="1" applyFill="1" applyAlignment="1" applyProtection="1">
      <alignment vertical="center" wrapText="1"/>
      <protection hidden="1"/>
    </xf>
    <xf numFmtId="0" fontId="16" fillId="3" borderId="0" xfId="0" applyFont="1" applyFill="1" applyAlignment="1" applyProtection="1">
      <alignment horizontal="left" vertical="center" wrapText="1"/>
      <protection hidden="1"/>
    </xf>
    <xf numFmtId="0" fontId="2" fillId="0" borderId="0" xfId="0" applyFont="1" applyAlignment="1" applyProtection="1">
      <alignment vertical="center"/>
      <protection hidden="1"/>
    </xf>
    <xf numFmtId="49" fontId="2" fillId="0" borderId="0" xfId="0" applyNumberFormat="1" applyFont="1" applyAlignment="1" applyProtection="1">
      <alignment vertical="center" wrapText="1"/>
      <protection hidden="1"/>
    </xf>
    <xf numFmtId="44" fontId="2" fillId="0" borderId="0" xfId="1" applyFont="1" applyBorder="1" applyAlignment="1" applyProtection="1">
      <alignment vertical="center" wrapText="1"/>
      <protection hidden="1"/>
    </xf>
    <xf numFmtId="0" fontId="10" fillId="0" borderId="0" xfId="0" applyFont="1" applyAlignment="1" applyProtection="1">
      <alignment vertical="center"/>
      <protection hidden="1"/>
    </xf>
    <xf numFmtId="44" fontId="11" fillId="0" borderId="0" xfId="1" applyFont="1" applyAlignment="1" applyProtection="1">
      <alignment vertical="center"/>
      <protection hidden="1"/>
    </xf>
    <xf numFmtId="44" fontId="2" fillId="0" borderId="0" xfId="1" applyFont="1" applyAlignment="1" applyProtection="1">
      <alignment vertical="center"/>
      <protection hidden="1"/>
    </xf>
    <xf numFmtId="9" fontId="2" fillId="0" borderId="0" xfId="0" applyNumberFormat="1" applyFont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top" wrapText="1"/>
      <protection hidden="1"/>
    </xf>
    <xf numFmtId="0" fontId="23" fillId="3" borderId="0" xfId="0" applyFont="1" applyFill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top" wrapText="1"/>
      <protection hidden="1"/>
    </xf>
    <xf numFmtId="49" fontId="20" fillId="5" borderId="0" xfId="0" applyNumberFormat="1" applyFont="1" applyFill="1" applyAlignment="1">
      <alignment horizontal="left" vertical="top" wrapText="1"/>
    </xf>
    <xf numFmtId="0" fontId="2" fillId="0" borderId="0" xfId="0" applyFont="1" applyAlignment="1" applyProtection="1">
      <alignment vertical="top"/>
      <protection hidden="1"/>
    </xf>
    <xf numFmtId="44" fontId="2" fillId="7" borderId="6" xfId="0" applyNumberFormat="1" applyFont="1" applyFill="1" applyBorder="1" applyAlignment="1" applyProtection="1">
      <alignment horizontal="left" vertical="center" wrapText="1"/>
      <protection hidden="1"/>
    </xf>
    <xf numFmtId="1" fontId="2" fillId="0" borderId="0" xfId="5" applyNumberFormat="1" applyFont="1" applyFill="1" applyBorder="1" applyAlignment="1" applyProtection="1">
      <alignment horizontal="left" vertical="center" wrapText="1"/>
      <protection hidden="1"/>
    </xf>
    <xf numFmtId="44" fontId="2" fillId="7" borderId="13" xfId="1" applyFont="1" applyFill="1" applyBorder="1" applyAlignment="1" applyProtection="1">
      <alignment vertical="center" wrapText="1"/>
      <protection hidden="1"/>
    </xf>
    <xf numFmtId="49" fontId="18" fillId="0" borderId="0" xfId="0" applyNumberFormat="1" applyFont="1" applyAlignment="1" applyProtection="1">
      <alignment vertical="center"/>
      <protection hidden="1"/>
    </xf>
    <xf numFmtId="0" fontId="18" fillId="0" borderId="0" xfId="0" applyFont="1" applyAlignment="1" applyProtection="1">
      <alignment vertical="center"/>
      <protection hidden="1"/>
    </xf>
    <xf numFmtId="0" fontId="2" fillId="7" borderId="29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49" fontId="25" fillId="7" borderId="12" xfId="0" applyNumberFormat="1" applyFont="1" applyFill="1" applyBorder="1" applyAlignment="1">
      <alignment horizontal="left" vertical="center" wrapText="1" indent="1"/>
    </xf>
    <xf numFmtId="0" fontId="3" fillId="5" borderId="0" xfId="0" applyFont="1" applyFill="1"/>
    <xf numFmtId="0" fontId="3" fillId="5" borderId="0" xfId="0" applyFont="1" applyFill="1" applyAlignment="1">
      <alignment vertical="center"/>
    </xf>
    <xf numFmtId="0" fontId="0" fillId="5" borderId="0" xfId="0" applyFill="1"/>
    <xf numFmtId="0" fontId="3" fillId="6" borderId="3" xfId="0" applyFont="1" applyFill="1" applyBorder="1" applyAlignment="1">
      <alignment vertical="center"/>
    </xf>
    <xf numFmtId="0" fontId="3" fillId="6" borderId="4" xfId="0" applyFont="1" applyFill="1" applyBorder="1" applyAlignment="1">
      <alignment vertical="center"/>
    </xf>
    <xf numFmtId="0" fontId="0" fillId="6" borderId="4" xfId="0" applyFill="1" applyBorder="1"/>
    <xf numFmtId="0" fontId="0" fillId="6" borderId="5" xfId="0" applyFill="1" applyBorder="1"/>
    <xf numFmtId="0" fontId="14" fillId="5" borderId="0" xfId="2" applyFont="1" applyFill="1"/>
    <xf numFmtId="0" fontId="14" fillId="6" borderId="6" xfId="2" applyFont="1" applyFill="1" applyBorder="1"/>
    <xf numFmtId="0" fontId="14" fillId="6" borderId="0" xfId="2" applyFont="1" applyFill="1"/>
    <xf numFmtId="0" fontId="14" fillId="6" borderId="7" xfId="2" applyFont="1" applyFill="1" applyBorder="1"/>
    <xf numFmtId="0" fontId="0" fillId="5" borderId="0" xfId="0" applyFill="1" applyAlignment="1">
      <alignment horizontal="left"/>
    </xf>
    <xf numFmtId="0" fontId="3" fillId="6" borderId="6" xfId="0" applyFont="1" applyFill="1" applyBorder="1" applyAlignment="1">
      <alignment vertical="center"/>
    </xf>
    <xf numFmtId="0" fontId="7" fillId="6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0" fillId="6" borderId="0" xfId="0" applyFill="1"/>
    <xf numFmtId="0" fontId="0" fillId="6" borderId="7" xfId="0" applyFill="1" applyBorder="1"/>
    <xf numFmtId="0" fontId="9" fillId="6" borderId="0" xfId="0" applyFont="1" applyFill="1" applyAlignment="1">
      <alignment horizontal="left" vertical="center" indent="1"/>
    </xf>
    <xf numFmtId="0" fontId="3" fillId="5" borderId="0" xfId="0" applyFont="1" applyFill="1" applyAlignment="1">
      <alignment horizontal="left"/>
    </xf>
    <xf numFmtId="0" fontId="3" fillId="6" borderId="0" xfId="0" applyFont="1" applyFill="1"/>
    <xf numFmtId="44" fontId="3" fillId="6" borderId="7" xfId="1" applyFont="1" applyFill="1" applyBorder="1" applyAlignment="1" applyProtection="1">
      <alignment vertical="center"/>
    </xf>
    <xf numFmtId="0" fontId="5" fillId="6" borderId="7" xfId="0" applyFont="1" applyFill="1" applyBorder="1" applyAlignment="1">
      <alignment vertical="top" wrapText="1"/>
    </xf>
    <xf numFmtId="0" fontId="5" fillId="5" borderId="0" xfId="0" applyFont="1" applyFill="1" applyAlignment="1">
      <alignment vertical="top" wrapText="1"/>
    </xf>
    <xf numFmtId="0" fontId="4" fillId="6" borderId="0" xfId="0" applyFont="1" applyFill="1" applyAlignment="1">
      <alignment vertical="center"/>
    </xf>
    <xf numFmtId="0" fontId="3" fillId="6" borderId="7" xfId="0" applyFont="1" applyFill="1" applyBorder="1"/>
    <xf numFmtId="0" fontId="3" fillId="6" borderId="8" xfId="0" applyFont="1" applyFill="1" applyBorder="1" applyAlignment="1">
      <alignment vertical="center"/>
    </xf>
    <xf numFmtId="0" fontId="3" fillId="6" borderId="9" xfId="0" applyFont="1" applyFill="1" applyBorder="1" applyAlignment="1">
      <alignment vertical="center"/>
    </xf>
    <xf numFmtId="0" fontId="9" fillId="6" borderId="9" xfId="0" applyFont="1" applyFill="1" applyBorder="1" applyAlignment="1">
      <alignment horizontal="left" vertical="center" indent="1"/>
    </xf>
    <xf numFmtId="0" fontId="0" fillId="6" borderId="9" xfId="0" applyFill="1" applyBorder="1"/>
    <xf numFmtId="0" fontId="0" fillId="6" borderId="10" xfId="0" applyFill="1" applyBorder="1"/>
    <xf numFmtId="0" fontId="4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19" fillId="5" borderId="0" xfId="0" applyFont="1" applyFill="1" applyAlignment="1">
      <alignment horizontal="left" vertical="center"/>
    </xf>
    <xf numFmtId="0" fontId="2" fillId="0" borderId="0" xfId="0" applyFont="1" applyProtection="1">
      <protection hidden="1"/>
    </xf>
    <xf numFmtId="44" fontId="2" fillId="7" borderId="14" xfId="1" applyFont="1" applyFill="1" applyBorder="1" applyAlignment="1" applyProtection="1">
      <alignment vertical="center" wrapText="1"/>
      <protection hidden="1"/>
    </xf>
    <xf numFmtId="39" fontId="2" fillId="7" borderId="14" xfId="1" applyNumberFormat="1" applyFont="1" applyFill="1" applyBorder="1" applyAlignment="1" applyProtection="1">
      <alignment horizontal="center" vertical="center" wrapText="1"/>
      <protection hidden="1"/>
    </xf>
    <xf numFmtId="2" fontId="2" fillId="7" borderId="13" xfId="1" applyNumberFormat="1" applyFont="1" applyFill="1" applyBorder="1" applyAlignment="1" applyProtection="1">
      <alignment horizontal="center" vertical="center" wrapText="1"/>
      <protection hidden="1"/>
    </xf>
    <xf numFmtId="9" fontId="2" fillId="0" borderId="0" xfId="5" applyFont="1" applyFill="1" applyBorder="1" applyAlignment="1" applyProtection="1">
      <alignment horizontal="right" vertical="center"/>
      <protection hidden="1"/>
    </xf>
    <xf numFmtId="9" fontId="2" fillId="0" borderId="0" xfId="5" applyFont="1" applyFill="1" applyBorder="1" applyAlignment="1" applyProtection="1">
      <alignment vertical="center"/>
      <protection hidden="1"/>
    </xf>
    <xf numFmtId="9" fontId="2" fillId="0" borderId="0" xfId="5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right" vertical="center"/>
      <protection hidden="1"/>
    </xf>
    <xf numFmtId="44" fontId="2" fillId="0" borderId="0" xfId="1" applyFont="1" applyFill="1" applyBorder="1" applyAlignment="1" applyProtection="1">
      <alignment vertical="center" wrapText="1"/>
      <protection hidden="1"/>
    </xf>
    <xf numFmtId="9" fontId="2" fillId="0" borderId="0" xfId="5" applyFont="1" applyFill="1" applyBorder="1" applyAlignment="1" applyProtection="1">
      <alignment vertical="center" wrapText="1"/>
      <protection hidden="1"/>
    </xf>
    <xf numFmtId="0" fontId="2" fillId="7" borderId="3" xfId="0" applyFont="1" applyFill="1" applyBorder="1" applyAlignment="1">
      <alignment horizontal="left" vertical="center" wrapText="1" indent="1"/>
    </xf>
    <xf numFmtId="49" fontId="2" fillId="7" borderId="6" xfId="1" applyNumberFormat="1" applyFont="1" applyFill="1" applyBorder="1" applyAlignment="1" applyProtection="1">
      <alignment horizontal="center" vertical="center" wrapText="1"/>
    </xf>
    <xf numFmtId="49" fontId="2" fillId="7" borderId="14" xfId="0" applyNumberFormat="1" applyFont="1" applyFill="1" applyBorder="1" applyAlignment="1">
      <alignment horizontal="center" vertical="center" wrapText="1"/>
    </xf>
    <xf numFmtId="49" fontId="2" fillId="4" borderId="16" xfId="1" applyNumberFormat="1" applyFont="1" applyFill="1" applyBorder="1" applyAlignment="1" applyProtection="1">
      <alignment horizontal="center" vertical="center" wrapText="1"/>
    </xf>
    <xf numFmtId="44" fontId="27" fillId="5" borderId="2" xfId="1" applyFont="1" applyFill="1" applyBorder="1" applyAlignment="1" applyProtection="1">
      <alignment vertical="center"/>
      <protection locked="0"/>
    </xf>
    <xf numFmtId="49" fontId="27" fillId="5" borderId="23" xfId="0" applyNumberFormat="1" applyFont="1" applyFill="1" applyBorder="1" applyAlignment="1" applyProtection="1">
      <alignment horizontal="left" vertical="center"/>
      <protection locked="0"/>
    </xf>
    <xf numFmtId="49" fontId="27" fillId="5" borderId="24" xfId="0" applyNumberFormat="1" applyFont="1" applyFill="1" applyBorder="1" applyAlignment="1" applyProtection="1">
      <alignment horizontal="left" vertical="center"/>
      <protection locked="0"/>
    </xf>
    <xf numFmtId="49" fontId="27" fillId="5" borderId="26" xfId="0" applyNumberFormat="1" applyFont="1" applyFill="1" applyBorder="1" applyAlignment="1" applyProtection="1">
      <alignment horizontal="left" vertical="center"/>
      <protection locked="0"/>
    </xf>
    <xf numFmtId="49" fontId="27" fillId="5" borderId="27" xfId="0" applyNumberFormat="1" applyFont="1" applyFill="1" applyBorder="1" applyAlignment="1" applyProtection="1">
      <alignment horizontal="left" vertical="center"/>
      <protection locked="0"/>
    </xf>
    <xf numFmtId="44" fontId="27" fillId="5" borderId="28" xfId="1" applyFont="1" applyFill="1" applyBorder="1" applyAlignment="1" applyProtection="1">
      <alignment vertical="center" wrapText="1"/>
      <protection locked="0"/>
    </xf>
    <xf numFmtId="49" fontId="27" fillId="5" borderId="29" xfId="0" applyNumberFormat="1" applyFont="1" applyFill="1" applyBorder="1" applyAlignment="1" applyProtection="1">
      <alignment horizontal="left" vertical="center"/>
      <protection locked="0"/>
    </xf>
    <xf numFmtId="49" fontId="27" fillId="5" borderId="30" xfId="0" applyNumberFormat="1" applyFont="1" applyFill="1" applyBorder="1" applyAlignment="1" applyProtection="1">
      <alignment horizontal="left" vertical="center"/>
      <protection locked="0"/>
    </xf>
    <xf numFmtId="44" fontId="27" fillId="5" borderId="31" xfId="1" applyFont="1" applyFill="1" applyBorder="1" applyAlignment="1" applyProtection="1">
      <alignment vertical="center" wrapText="1"/>
      <protection locked="0"/>
    </xf>
    <xf numFmtId="0" fontId="27" fillId="5" borderId="23" xfId="0" applyFont="1" applyFill="1" applyBorder="1" applyAlignment="1" applyProtection="1">
      <alignment horizontal="center" vertical="center"/>
      <protection locked="0"/>
    </xf>
    <xf numFmtId="0" fontId="27" fillId="5" borderId="24" xfId="0" applyFont="1" applyFill="1" applyBorder="1" applyAlignment="1" applyProtection="1">
      <alignment horizontal="center" vertical="center"/>
      <protection locked="0"/>
    </xf>
    <xf numFmtId="0" fontId="27" fillId="5" borderId="26" xfId="0" applyFont="1" applyFill="1" applyBorder="1" applyAlignment="1" applyProtection="1">
      <alignment horizontal="center" vertical="center"/>
      <protection locked="0"/>
    </xf>
    <xf numFmtId="0" fontId="27" fillId="5" borderId="27" xfId="0" applyFont="1" applyFill="1" applyBorder="1" applyAlignment="1" applyProtection="1">
      <alignment horizontal="center" vertical="center"/>
      <protection locked="0"/>
    </xf>
    <xf numFmtId="0" fontId="27" fillId="5" borderId="29" xfId="0" applyFont="1" applyFill="1" applyBorder="1" applyAlignment="1" applyProtection="1">
      <alignment horizontal="center" vertical="center"/>
      <protection locked="0"/>
    </xf>
    <xf numFmtId="0" fontId="27" fillId="5" borderId="30" xfId="0" applyFont="1" applyFill="1" applyBorder="1" applyAlignment="1" applyProtection="1">
      <alignment horizontal="center" vertical="center"/>
      <protection locked="0"/>
    </xf>
    <xf numFmtId="44" fontId="27" fillId="0" borderId="2" xfId="1" applyFont="1" applyBorder="1" applyAlignment="1" applyProtection="1">
      <alignment horizontal="center" vertical="center"/>
    </xf>
    <xf numFmtId="164" fontId="27" fillId="5" borderId="21" xfId="1" applyNumberFormat="1" applyFont="1" applyFill="1" applyBorder="1" applyAlignment="1" applyProtection="1">
      <alignment vertical="center" wrapText="1"/>
      <protection locked="0"/>
    </xf>
    <xf numFmtId="44" fontId="27" fillId="6" borderId="2" xfId="0" applyNumberFormat="1" applyFont="1" applyFill="1" applyBorder="1" applyAlignment="1">
      <alignment vertical="center"/>
    </xf>
    <xf numFmtId="10" fontId="27" fillId="6" borderId="2" xfId="5" applyNumberFormat="1" applyFont="1" applyFill="1" applyBorder="1" applyAlignment="1" applyProtection="1">
      <alignment horizontal="center" vertical="center"/>
    </xf>
    <xf numFmtId="0" fontId="1" fillId="5" borderId="0" xfId="90" applyFont="1" applyFill="1" applyAlignment="1">
      <alignment vertical="center"/>
    </xf>
    <xf numFmtId="0" fontId="1" fillId="6" borderId="6" xfId="90" applyFont="1" applyFill="1" applyBorder="1" applyAlignment="1">
      <alignment vertical="center"/>
    </xf>
    <xf numFmtId="0" fontId="29" fillId="6" borderId="0" xfId="90" applyFont="1" applyFill="1" applyAlignment="1">
      <alignment horizontal="left" vertical="center"/>
    </xf>
    <xf numFmtId="0" fontId="2" fillId="6" borderId="0" xfId="3" applyFill="1" applyAlignment="1">
      <alignment vertical="center" wrapText="1"/>
    </xf>
    <xf numFmtId="0" fontId="1" fillId="6" borderId="7" xfId="90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0" fontId="27" fillId="5" borderId="2" xfId="0" applyFont="1" applyFill="1" applyBorder="1" applyAlignment="1" applyProtection="1">
      <alignment horizontal="left" vertical="center" indent="1"/>
      <protection locked="0"/>
    </xf>
    <xf numFmtId="0" fontId="4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 wrapText="1"/>
    </xf>
    <xf numFmtId="44" fontId="2" fillId="6" borderId="0" xfId="1" applyFont="1" applyFill="1" applyBorder="1" applyAlignment="1" applyProtection="1">
      <alignment vertical="center"/>
    </xf>
    <xf numFmtId="0" fontId="27" fillId="5" borderId="27" xfId="0" applyFont="1" applyFill="1" applyBorder="1" applyAlignment="1">
      <alignment horizontal="center" vertical="center"/>
    </xf>
    <xf numFmtId="0" fontId="27" fillId="0" borderId="27" xfId="1" applyNumberFormat="1" applyFont="1" applyFill="1" applyBorder="1" applyAlignment="1" applyProtection="1">
      <alignment horizontal="left" vertical="center" indent="1"/>
    </xf>
    <xf numFmtId="0" fontId="27" fillId="5" borderId="0" xfId="0" applyFont="1" applyFill="1"/>
    <xf numFmtId="0" fontId="30" fillId="5" borderId="0" xfId="91" applyFont="1" applyFill="1" applyAlignment="1">
      <alignment horizontal="right" vertical="center"/>
    </xf>
    <xf numFmtId="0" fontId="30" fillId="5" borderId="0" xfId="2" applyFont="1" applyFill="1" applyAlignment="1">
      <alignment horizontal="right" vertical="center"/>
    </xf>
    <xf numFmtId="10" fontId="27" fillId="5" borderId="26" xfId="1" applyNumberFormat="1" applyFont="1" applyFill="1" applyBorder="1" applyAlignment="1" applyProtection="1">
      <alignment horizontal="center" vertical="center" wrapText="1"/>
      <protection locked="0"/>
    </xf>
    <xf numFmtId="44" fontId="27" fillId="0" borderId="47" xfId="1" applyFont="1" applyBorder="1" applyAlignment="1" applyProtection="1">
      <alignment horizontal="center" vertical="center"/>
    </xf>
    <xf numFmtId="44" fontId="27" fillId="0" borderId="33" xfId="1" applyFont="1" applyBorder="1" applyAlignment="1" applyProtection="1">
      <alignment horizontal="center" vertical="center"/>
    </xf>
    <xf numFmtId="44" fontId="27" fillId="0" borderId="47" xfId="1" applyFont="1" applyFill="1" applyBorder="1" applyAlignment="1" applyProtection="1">
      <alignment vertical="center" wrapText="1"/>
    </xf>
    <xf numFmtId="0" fontId="2" fillId="7" borderId="40" xfId="0" applyFont="1" applyFill="1" applyBorder="1" applyAlignment="1">
      <alignment horizontal="center" vertical="center" wrapText="1"/>
    </xf>
    <xf numFmtId="0" fontId="27" fillId="5" borderId="38" xfId="0" applyFont="1" applyFill="1" applyBorder="1" applyAlignment="1" applyProtection="1">
      <alignment horizontal="center" vertical="center"/>
      <protection locked="0"/>
    </xf>
    <xf numFmtId="0" fontId="27" fillId="5" borderId="39" xfId="0" applyFont="1" applyFill="1" applyBorder="1" applyAlignment="1" applyProtection="1">
      <alignment horizontal="center" vertical="center"/>
      <protection locked="0"/>
    </xf>
    <xf numFmtId="0" fontId="27" fillId="5" borderId="40" xfId="0" applyFont="1" applyFill="1" applyBorder="1" applyAlignment="1" applyProtection="1">
      <alignment horizontal="center" vertical="center"/>
      <protection locked="0"/>
    </xf>
    <xf numFmtId="44" fontId="27" fillId="2" borderId="35" xfId="1" applyFont="1" applyFill="1" applyBorder="1" applyAlignment="1" applyProtection="1">
      <alignment vertical="center" wrapText="1"/>
    </xf>
    <xf numFmtId="44" fontId="27" fillId="2" borderId="49" xfId="1" applyFont="1" applyFill="1" applyBorder="1" applyAlignment="1" applyProtection="1">
      <alignment vertical="center" wrapText="1"/>
    </xf>
    <xf numFmtId="44" fontId="27" fillId="2" borderId="48" xfId="1" applyFont="1" applyFill="1" applyBorder="1" applyAlignment="1" applyProtection="1">
      <alignment vertical="center" wrapText="1"/>
    </xf>
    <xf numFmtId="0" fontId="27" fillId="5" borderId="50" xfId="0" applyFont="1" applyFill="1" applyBorder="1" applyAlignment="1" applyProtection="1">
      <alignment horizontal="center" vertical="center"/>
      <protection locked="0"/>
    </xf>
    <xf numFmtId="0" fontId="27" fillId="5" borderId="52" xfId="0" applyFont="1" applyFill="1" applyBorder="1" applyAlignment="1" applyProtection="1">
      <alignment horizontal="center" vertical="center"/>
      <protection locked="0"/>
    </xf>
    <xf numFmtId="0" fontId="27" fillId="5" borderId="51" xfId="0" applyFont="1" applyFill="1" applyBorder="1" applyAlignment="1" applyProtection="1">
      <alignment horizontal="center" vertical="center"/>
      <protection locked="0"/>
    </xf>
    <xf numFmtId="44" fontId="27" fillId="0" borderId="50" xfId="0" applyNumberFormat="1" applyFont="1" applyBorder="1" applyAlignment="1">
      <alignment vertical="center"/>
    </xf>
    <xf numFmtId="44" fontId="27" fillId="0" borderId="52" xfId="0" applyNumberFormat="1" applyFont="1" applyBorder="1" applyAlignment="1">
      <alignment vertical="center"/>
    </xf>
    <xf numFmtId="44" fontId="27" fillId="0" borderId="51" xfId="0" applyNumberFormat="1" applyFont="1" applyBorder="1" applyAlignment="1">
      <alignment vertical="center"/>
    </xf>
    <xf numFmtId="49" fontId="2" fillId="4" borderId="45" xfId="1" applyNumberFormat="1" applyFont="1" applyFill="1" applyBorder="1" applyAlignment="1" applyProtection="1">
      <alignment horizontal="center" vertical="center" wrapText="1"/>
    </xf>
    <xf numFmtId="49" fontId="2" fillId="4" borderId="53" xfId="1" applyNumberFormat="1" applyFont="1" applyFill="1" applyBorder="1" applyAlignment="1" applyProtection="1">
      <alignment horizontal="center" vertical="center" wrapText="1"/>
    </xf>
    <xf numFmtId="0" fontId="2" fillId="4" borderId="55" xfId="0" applyFont="1" applyFill="1" applyBorder="1" applyAlignment="1">
      <alignment horizontal="center" vertical="center" wrapText="1"/>
    </xf>
    <xf numFmtId="0" fontId="2" fillId="4" borderId="56" xfId="0" applyFont="1" applyFill="1" applyBorder="1" applyAlignment="1">
      <alignment horizontal="center" vertical="center" wrapText="1"/>
    </xf>
    <xf numFmtId="49" fontId="2" fillId="4" borderId="57" xfId="1" applyNumberFormat="1" applyFont="1" applyFill="1" applyBorder="1" applyAlignment="1" applyProtection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49" fontId="2" fillId="7" borderId="0" xfId="0" applyNumberFormat="1" applyFont="1" applyFill="1" applyAlignment="1">
      <alignment horizontal="center" vertical="center" wrapText="1"/>
    </xf>
    <xf numFmtId="49" fontId="2" fillId="7" borderId="19" xfId="1" applyNumberFormat="1" applyFont="1" applyFill="1" applyBorder="1" applyAlignment="1" applyProtection="1">
      <alignment horizontal="center" vertical="center" wrapText="1"/>
      <protection hidden="1"/>
    </xf>
    <xf numFmtId="49" fontId="2" fillId="7" borderId="20" xfId="1" applyNumberFormat="1" applyFont="1" applyFill="1" applyBorder="1" applyAlignment="1" applyProtection="1">
      <alignment horizontal="center" vertical="center" wrapText="1"/>
      <protection hidden="1"/>
    </xf>
    <xf numFmtId="49" fontId="2" fillId="7" borderId="20" xfId="5" applyNumberFormat="1" applyFont="1" applyFill="1" applyBorder="1" applyAlignment="1" applyProtection="1">
      <alignment horizontal="center" vertical="center" wrapText="1"/>
      <protection hidden="1"/>
    </xf>
    <xf numFmtId="49" fontId="2" fillId="7" borderId="19" xfId="0" applyNumberFormat="1" applyFont="1" applyFill="1" applyBorder="1" applyAlignment="1" applyProtection="1">
      <alignment horizontal="center" vertical="center" wrapText="1"/>
      <protection hidden="1"/>
    </xf>
    <xf numFmtId="49" fontId="2" fillId="7" borderId="17" xfId="5" applyNumberFormat="1" applyFont="1" applyFill="1" applyBorder="1" applyAlignment="1" applyProtection="1">
      <alignment horizontal="center" vertical="center" wrapText="1"/>
      <protection hidden="1"/>
    </xf>
    <xf numFmtId="49" fontId="2" fillId="7" borderId="44" xfId="0" applyNumberFormat="1" applyFont="1" applyFill="1" applyBorder="1" applyAlignment="1" applyProtection="1">
      <alignment horizontal="center" vertical="center" wrapText="1"/>
      <protection hidden="1"/>
    </xf>
    <xf numFmtId="164" fontId="27" fillId="5" borderId="21" xfId="5" applyNumberFormat="1" applyFont="1" applyFill="1" applyBorder="1" applyAlignment="1" applyProtection="1">
      <alignment vertical="center" wrapText="1"/>
      <protection locked="0"/>
    </xf>
    <xf numFmtId="10" fontId="27" fillId="5" borderId="21" xfId="5" applyNumberFormat="1" applyFont="1" applyFill="1" applyBorder="1" applyAlignment="1" applyProtection="1">
      <alignment vertical="center" wrapText="1"/>
      <protection locked="0"/>
    </xf>
    <xf numFmtId="164" fontId="27" fillId="5" borderId="59" xfId="1" applyNumberFormat="1" applyFont="1" applyFill="1" applyBorder="1" applyAlignment="1" applyProtection="1">
      <alignment vertical="center" wrapText="1"/>
      <protection locked="0"/>
    </xf>
    <xf numFmtId="164" fontId="27" fillId="5" borderId="59" xfId="5" applyNumberFormat="1" applyFont="1" applyFill="1" applyBorder="1" applyAlignment="1" applyProtection="1">
      <alignment vertical="center" wrapText="1"/>
      <protection locked="0"/>
    </xf>
    <xf numFmtId="10" fontId="27" fillId="5" borderId="59" xfId="5" applyNumberFormat="1" applyFont="1" applyFill="1" applyBorder="1" applyAlignment="1" applyProtection="1">
      <alignment vertical="center" wrapText="1"/>
      <protection locked="0"/>
    </xf>
    <xf numFmtId="164" fontId="27" fillId="5" borderId="60" xfId="5" applyNumberFormat="1" applyFont="1" applyFill="1" applyBorder="1" applyAlignment="1" applyProtection="1">
      <alignment vertical="center" wrapText="1"/>
      <protection locked="0"/>
    </xf>
    <xf numFmtId="0" fontId="2" fillId="7" borderId="32" xfId="1" applyNumberFormat="1" applyFont="1" applyFill="1" applyBorder="1" applyAlignment="1" applyProtection="1">
      <alignment horizontal="left" vertical="center" wrapText="1" indent="1"/>
      <protection hidden="1"/>
    </xf>
    <xf numFmtId="9" fontId="27" fillId="5" borderId="21" xfId="1" applyNumberFormat="1" applyFont="1" applyFill="1" applyBorder="1" applyAlignment="1" applyProtection="1">
      <alignment vertical="center" wrapText="1"/>
      <protection locked="0"/>
    </xf>
    <xf numFmtId="9" fontId="27" fillId="5" borderId="59" xfId="1" applyNumberFormat="1" applyFont="1" applyFill="1" applyBorder="1" applyAlignment="1" applyProtection="1">
      <alignment vertical="center" wrapText="1"/>
      <protection locked="0"/>
    </xf>
    <xf numFmtId="44" fontId="2" fillId="4" borderId="14" xfId="5" applyNumberFormat="1" applyFont="1" applyFill="1" applyBorder="1" applyAlignment="1" applyProtection="1">
      <alignment vertical="center" wrapText="1"/>
    </xf>
    <xf numFmtId="49" fontId="2" fillId="4" borderId="6" xfId="0" applyNumberFormat="1" applyFont="1" applyFill="1" applyBorder="1" applyAlignment="1" applyProtection="1">
      <alignment horizontal="center" vertical="center" wrapText="1"/>
      <protection hidden="1"/>
    </xf>
    <xf numFmtId="10" fontId="27" fillId="5" borderId="63" xfId="1" applyNumberFormat="1" applyFont="1" applyFill="1" applyBorder="1" applyAlignment="1" applyProtection="1">
      <alignment horizontal="center" vertical="center" wrapText="1"/>
      <protection locked="0"/>
    </xf>
    <xf numFmtId="44" fontId="27" fillId="0" borderId="64" xfId="1" applyFont="1" applyBorder="1" applyAlignment="1" applyProtection="1">
      <alignment vertical="center" wrapText="1"/>
    </xf>
    <xf numFmtId="49" fontId="2" fillId="4" borderId="68" xfId="1" applyNumberFormat="1" applyFont="1" applyFill="1" applyBorder="1" applyAlignment="1" applyProtection="1">
      <alignment horizontal="center" vertical="center" wrapText="1"/>
    </xf>
    <xf numFmtId="44" fontId="27" fillId="5" borderId="69" xfId="1" applyFont="1" applyFill="1" applyBorder="1" applyAlignment="1" applyProtection="1">
      <alignment horizontal="left" vertical="center" wrapText="1"/>
      <protection locked="0"/>
    </xf>
    <xf numFmtId="44" fontId="27" fillId="5" borderId="18" xfId="1" applyFont="1" applyFill="1" applyBorder="1" applyAlignment="1" applyProtection="1">
      <alignment vertical="center" wrapText="1"/>
      <protection locked="0"/>
    </xf>
    <xf numFmtId="44" fontId="27" fillId="5" borderId="71" xfId="1" applyFont="1" applyFill="1" applyBorder="1" applyAlignment="1" applyProtection="1">
      <alignment vertical="center" wrapText="1"/>
      <protection locked="0"/>
    </xf>
    <xf numFmtId="49" fontId="2" fillId="4" borderId="73" xfId="1" applyNumberFormat="1" applyFont="1" applyFill="1" applyBorder="1" applyAlignment="1" applyProtection="1">
      <alignment horizontal="center" vertical="center" wrapText="1"/>
    </xf>
    <xf numFmtId="0" fontId="2" fillId="7" borderId="72" xfId="1" applyNumberFormat="1" applyFont="1" applyFill="1" applyBorder="1" applyAlignment="1" applyProtection="1">
      <alignment horizontal="left" vertical="center" wrapText="1" indent="1"/>
      <protection hidden="1"/>
    </xf>
    <xf numFmtId="0" fontId="2" fillId="7" borderId="67" xfId="0" applyFont="1" applyFill="1" applyBorder="1" applyAlignment="1">
      <alignment horizontal="center" vertical="center" wrapText="1"/>
    </xf>
    <xf numFmtId="164" fontId="27" fillId="5" borderId="15" xfId="5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hidden="1"/>
    </xf>
    <xf numFmtId="9" fontId="3" fillId="0" borderId="0" xfId="0" applyNumberFormat="1" applyFont="1" applyAlignment="1" applyProtection="1">
      <alignment horizontal="center" vertical="center" wrapText="1"/>
      <protection hidden="1"/>
    </xf>
    <xf numFmtId="44" fontId="27" fillId="0" borderId="25" xfId="1" applyFont="1" applyBorder="1" applyAlignment="1">
      <alignment vertical="center" wrapText="1"/>
    </xf>
    <xf numFmtId="165" fontId="3" fillId="0" borderId="0" xfId="0" applyNumberFormat="1" applyFont="1" applyAlignment="1" applyProtection="1">
      <alignment vertical="center"/>
      <protection hidden="1"/>
    </xf>
    <xf numFmtId="44" fontId="27" fillId="0" borderId="74" xfId="1" applyFont="1" applyBorder="1" applyAlignment="1">
      <alignment vertical="center" wrapText="1"/>
    </xf>
    <xf numFmtId="44" fontId="2" fillId="4" borderId="13" xfId="5" applyNumberFormat="1" applyFont="1" applyFill="1" applyBorder="1" applyAlignment="1" applyProtection="1">
      <alignment vertical="center" wrapText="1"/>
    </xf>
    <xf numFmtId="39" fontId="2" fillId="7" borderId="13" xfId="1" applyNumberFormat="1" applyFont="1" applyFill="1" applyBorder="1" applyAlignment="1" applyProtection="1">
      <alignment horizontal="center" vertical="center" wrapText="1"/>
      <protection hidden="1"/>
    </xf>
    <xf numFmtId="44" fontId="27" fillId="0" borderId="57" xfId="1" applyFont="1" applyBorder="1" applyAlignment="1">
      <alignment vertical="center" wrapText="1"/>
    </xf>
    <xf numFmtId="44" fontId="27" fillId="0" borderId="28" xfId="1" applyFont="1" applyBorder="1" applyAlignment="1">
      <alignment vertical="center" wrapText="1"/>
    </xf>
    <xf numFmtId="44" fontId="27" fillId="0" borderId="66" xfId="1" applyFont="1" applyBorder="1" applyAlignment="1" applyProtection="1">
      <alignment vertical="center" wrapText="1"/>
    </xf>
    <xf numFmtId="44" fontId="27" fillId="0" borderId="77" xfId="1" applyFont="1" applyBorder="1" applyAlignment="1" applyProtection="1">
      <alignment vertical="center" wrapText="1"/>
    </xf>
    <xf numFmtId="44" fontId="27" fillId="0" borderId="76" xfId="1" applyFont="1" applyBorder="1" applyAlignment="1" applyProtection="1">
      <alignment vertical="center" wrapText="1"/>
    </xf>
    <xf numFmtId="44" fontId="27" fillId="6" borderId="79" xfId="5" applyNumberFormat="1" applyFont="1" applyFill="1" applyBorder="1" applyAlignment="1" applyProtection="1">
      <alignment vertical="center" wrapText="1"/>
    </xf>
    <xf numFmtId="44" fontId="27" fillId="6" borderId="54" xfId="5" applyNumberFormat="1" applyFont="1" applyFill="1" applyBorder="1" applyAlignment="1" applyProtection="1">
      <alignment vertical="center" wrapText="1"/>
    </xf>
    <xf numFmtId="44" fontId="27" fillId="6" borderId="78" xfId="5" applyNumberFormat="1" applyFont="1" applyFill="1" applyBorder="1" applyAlignment="1" applyProtection="1">
      <alignment vertical="center" wrapText="1"/>
    </xf>
    <xf numFmtId="44" fontId="27" fillId="0" borderId="85" xfId="1" applyFont="1" applyBorder="1" applyAlignment="1" applyProtection="1">
      <alignment vertical="center" wrapText="1"/>
    </xf>
    <xf numFmtId="44" fontId="27" fillId="2" borderId="85" xfId="1" applyFont="1" applyFill="1" applyBorder="1" applyAlignment="1" applyProtection="1">
      <alignment vertical="center" wrapText="1"/>
    </xf>
    <xf numFmtId="44" fontId="27" fillId="0" borderId="86" xfId="1" applyFont="1" applyBorder="1" applyAlignment="1" applyProtection="1">
      <alignment vertical="center" wrapText="1"/>
    </xf>
    <xf numFmtId="44" fontId="27" fillId="2" borderId="86" xfId="1" applyFont="1" applyFill="1" applyBorder="1" applyAlignment="1" applyProtection="1">
      <alignment vertical="center" wrapText="1"/>
    </xf>
    <xf numFmtId="44" fontId="27" fillId="0" borderId="84" xfId="1" applyFont="1" applyBorder="1" applyAlignment="1" applyProtection="1">
      <alignment vertical="center" wrapText="1"/>
    </xf>
    <xf numFmtId="44" fontId="27" fillId="2" borderId="84" xfId="1" applyFont="1" applyFill="1" applyBorder="1" applyAlignment="1" applyProtection="1">
      <alignment vertical="center" wrapText="1"/>
    </xf>
    <xf numFmtId="0" fontId="8" fillId="4" borderId="82" xfId="0" applyFont="1" applyFill="1" applyBorder="1" applyAlignment="1">
      <alignment horizontal="center" vertical="center" wrapText="1"/>
    </xf>
    <xf numFmtId="0" fontId="8" fillId="4" borderId="83" xfId="0" applyFont="1" applyFill="1" applyBorder="1" applyAlignment="1">
      <alignment horizontal="center" vertical="center" wrapText="1"/>
    </xf>
    <xf numFmtId="49" fontId="2" fillId="4" borderId="88" xfId="1" applyNumberFormat="1" applyFont="1" applyFill="1" applyBorder="1" applyAlignment="1" applyProtection="1">
      <alignment horizontal="center" vertical="center" wrapText="1"/>
    </xf>
    <xf numFmtId="49" fontId="2" fillId="4" borderId="87" xfId="1" applyNumberFormat="1" applyFont="1" applyFill="1" applyBorder="1" applyAlignment="1" applyProtection="1">
      <alignment horizontal="center" vertical="center" wrapText="1"/>
    </xf>
    <xf numFmtId="44" fontId="27" fillId="5" borderId="89" xfId="1" applyFont="1" applyFill="1" applyBorder="1" applyAlignment="1" applyProtection="1">
      <alignment horizontal="left" vertical="center" wrapText="1"/>
      <protection locked="0"/>
    </xf>
    <xf numFmtId="44" fontId="27" fillId="5" borderId="90" xfId="1" applyFont="1" applyFill="1" applyBorder="1" applyAlignment="1" applyProtection="1">
      <alignment horizontal="left" vertical="center" wrapText="1"/>
      <protection locked="0"/>
    </xf>
    <xf numFmtId="44" fontId="27" fillId="5" borderId="91" xfId="1" applyFont="1" applyFill="1" applyBorder="1" applyAlignment="1" applyProtection="1">
      <alignment horizontal="left" vertical="center" wrapText="1"/>
      <protection locked="0"/>
    </xf>
    <xf numFmtId="0" fontId="8" fillId="4" borderId="12" xfId="0" applyFont="1" applyFill="1" applyBorder="1" applyAlignment="1">
      <alignment horizontal="center" vertical="center" wrapText="1"/>
    </xf>
    <xf numFmtId="4" fontId="27" fillId="5" borderId="25" xfId="1" applyNumberFormat="1" applyFont="1" applyFill="1" applyBorder="1" applyAlignment="1" applyProtection="1">
      <alignment vertical="center" wrapText="1"/>
      <protection locked="0"/>
    </xf>
    <xf numFmtId="49" fontId="2" fillId="8" borderId="20" xfId="1" applyNumberFormat="1" applyFont="1" applyFill="1" applyBorder="1" applyAlignment="1" applyProtection="1">
      <alignment horizontal="center" vertical="center" wrapText="1"/>
      <protection hidden="1"/>
    </xf>
    <xf numFmtId="49" fontId="2" fillId="8" borderId="19" xfId="1" applyNumberFormat="1" applyFont="1" applyFill="1" applyBorder="1" applyAlignment="1" applyProtection="1">
      <alignment horizontal="center" vertical="center" wrapText="1"/>
      <protection hidden="1"/>
    </xf>
    <xf numFmtId="9" fontId="27" fillId="8" borderId="21" xfId="1" applyNumberFormat="1" applyFont="1" applyFill="1" applyBorder="1" applyAlignment="1" applyProtection="1">
      <alignment vertical="center" wrapText="1"/>
      <protection locked="0"/>
    </xf>
    <xf numFmtId="44" fontId="27" fillId="8" borderId="85" xfId="1" applyFont="1" applyFill="1" applyBorder="1" applyAlignment="1" applyProtection="1">
      <alignment vertical="center" wrapText="1"/>
    </xf>
    <xf numFmtId="9" fontId="27" fillId="8" borderId="59" xfId="1" applyNumberFormat="1" applyFont="1" applyFill="1" applyBorder="1" applyAlignment="1" applyProtection="1">
      <alignment vertical="center" wrapText="1"/>
      <protection locked="0"/>
    </xf>
    <xf numFmtId="44" fontId="27" fillId="8" borderId="84" xfId="1" applyFont="1" applyFill="1" applyBorder="1" applyAlignment="1" applyProtection="1">
      <alignment vertical="center" wrapText="1"/>
    </xf>
    <xf numFmtId="44" fontId="27" fillId="8" borderId="86" xfId="1" applyFont="1" applyFill="1" applyBorder="1" applyAlignment="1" applyProtection="1">
      <alignment vertical="center" wrapText="1"/>
    </xf>
    <xf numFmtId="0" fontId="2" fillId="8" borderId="32" xfId="1" applyNumberFormat="1" applyFont="1" applyFill="1" applyBorder="1" applyAlignment="1" applyProtection="1">
      <alignment horizontal="left" vertical="center" wrapText="1" indent="1"/>
      <protection hidden="1"/>
    </xf>
    <xf numFmtId="44" fontId="27" fillId="8" borderId="47" xfId="1" applyFont="1" applyFill="1" applyBorder="1" applyAlignment="1" applyProtection="1">
      <alignment horizontal="center" vertical="center"/>
    </xf>
    <xf numFmtId="44" fontId="27" fillId="0" borderId="92" xfId="1" applyFont="1" applyBorder="1" applyAlignment="1" applyProtection="1">
      <alignment vertical="center" wrapText="1"/>
    </xf>
    <xf numFmtId="0" fontId="9" fillId="6" borderId="0" xfId="0" applyFont="1" applyFill="1" applyAlignment="1">
      <alignment horizontal="left" vertical="center" indent="1"/>
    </xf>
    <xf numFmtId="0" fontId="2" fillId="6" borderId="0" xfId="0" applyFont="1" applyFill="1" applyAlignment="1">
      <alignment horizontal="left" vertical="center" wrapText="1"/>
    </xf>
    <xf numFmtId="0" fontId="19" fillId="5" borderId="0" xfId="0" applyFont="1" applyFill="1" applyAlignment="1">
      <alignment horizontal="left" vertical="center" wrapText="1"/>
    </xf>
    <xf numFmtId="0" fontId="12" fillId="6" borderId="0" xfId="0" applyFont="1" applyFill="1" applyAlignment="1">
      <alignment horizontal="left" vertical="top" wrapText="1"/>
    </xf>
    <xf numFmtId="0" fontId="7" fillId="6" borderId="0" xfId="0" applyFont="1" applyFill="1" applyAlignment="1">
      <alignment horizontal="left" vertical="top" wrapText="1"/>
    </xf>
    <xf numFmtId="0" fontId="27" fillId="6" borderId="0" xfId="3" applyFont="1" applyFill="1" applyAlignment="1">
      <alignment horizontal="left" vertical="center"/>
    </xf>
    <xf numFmtId="0" fontId="2" fillId="6" borderId="0" xfId="3" applyFill="1" applyAlignment="1">
      <alignment horizontal="left" vertical="center" wrapText="1"/>
    </xf>
    <xf numFmtId="9" fontId="2" fillId="7" borderId="32" xfId="5" applyFont="1" applyFill="1" applyBorder="1" applyAlignment="1" applyProtection="1">
      <alignment horizontal="left" vertical="center" indent="1"/>
      <protection hidden="1"/>
    </xf>
    <xf numFmtId="9" fontId="2" fillId="7" borderId="33" xfId="5" applyFont="1" applyFill="1" applyBorder="1" applyAlignment="1" applyProtection="1">
      <alignment horizontal="left" vertical="center" indent="1"/>
      <protection hidden="1"/>
    </xf>
    <xf numFmtId="0" fontId="8" fillId="4" borderId="87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54" xfId="0" applyFont="1" applyFill="1" applyBorder="1" applyAlignment="1">
      <alignment horizontal="center" vertical="center" wrapText="1"/>
    </xf>
    <xf numFmtId="9" fontId="2" fillId="7" borderId="32" xfId="5" applyFont="1" applyFill="1" applyBorder="1" applyAlignment="1" applyProtection="1">
      <alignment horizontal="left" vertical="center" wrapText="1" indent="1"/>
      <protection hidden="1"/>
    </xf>
    <xf numFmtId="9" fontId="2" fillId="7" borderId="70" xfId="5" applyFont="1" applyFill="1" applyBorder="1" applyAlignment="1" applyProtection="1">
      <alignment horizontal="left" vertical="center" wrapText="1" indent="1"/>
      <protection hidden="1"/>
    </xf>
    <xf numFmtId="49" fontId="2" fillId="4" borderId="61" xfId="1" applyNumberFormat="1" applyFont="1" applyFill="1" applyBorder="1" applyAlignment="1" applyProtection="1">
      <alignment horizontal="center" vertical="center" wrapText="1"/>
    </xf>
    <xf numFmtId="49" fontId="2" fillId="4" borderId="62" xfId="1" applyNumberFormat="1" applyFont="1" applyFill="1" applyBorder="1" applyAlignment="1" applyProtection="1">
      <alignment horizontal="center" vertical="center" wrapText="1"/>
    </xf>
    <xf numFmtId="49" fontId="25" fillId="7" borderId="32" xfId="0" applyNumberFormat="1" applyFont="1" applyFill="1" applyBorder="1" applyAlignment="1">
      <alignment horizontal="left" vertical="center" wrapText="1" indent="1"/>
    </xf>
    <xf numFmtId="49" fontId="25" fillId="7" borderId="33" xfId="0" applyNumberFormat="1" applyFont="1" applyFill="1" applyBorder="1" applyAlignment="1">
      <alignment horizontal="left" vertical="center" wrapText="1" indent="1"/>
    </xf>
    <xf numFmtId="49" fontId="25" fillId="7" borderId="37" xfId="0" applyNumberFormat="1" applyFont="1" applyFill="1" applyBorder="1" applyAlignment="1">
      <alignment horizontal="left" vertical="center" wrapText="1" indent="1"/>
    </xf>
    <xf numFmtId="0" fontId="2" fillId="7" borderId="23" xfId="0" applyFont="1" applyFill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49" fontId="2" fillId="7" borderId="35" xfId="0" applyNumberFormat="1" applyFont="1" applyFill="1" applyBorder="1" applyAlignment="1">
      <alignment horizontal="center" vertical="center" wrapText="1"/>
    </xf>
    <xf numFmtId="49" fontId="2" fillId="7" borderId="48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0" fillId="0" borderId="75" xfId="0" applyBorder="1" applyAlignment="1">
      <alignment vertical="center" wrapText="1"/>
    </xf>
    <xf numFmtId="0" fontId="2" fillId="7" borderId="14" xfId="0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>
      <alignment horizontal="center" vertical="center" wrapText="1"/>
    </xf>
    <xf numFmtId="0" fontId="8" fillId="4" borderId="81" xfId="0" applyFont="1" applyFill="1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9" fontId="2" fillId="7" borderId="1" xfId="5" applyFont="1" applyFill="1" applyBorder="1" applyAlignment="1" applyProtection="1">
      <alignment horizontal="left" vertical="center" wrapText="1"/>
      <protection hidden="1"/>
    </xf>
    <xf numFmtId="0" fontId="0" fillId="0" borderId="75" xfId="0" applyBorder="1" applyAlignment="1">
      <alignment vertical="center"/>
    </xf>
    <xf numFmtId="44" fontId="2" fillId="4" borderId="55" xfId="1" applyFont="1" applyFill="1" applyBorder="1" applyAlignment="1" applyProtection="1">
      <alignment horizontal="center" vertical="center" wrapText="1"/>
    </xf>
    <xf numFmtId="44" fontId="2" fillId="4" borderId="46" xfId="1" applyFont="1" applyFill="1" applyBorder="1" applyAlignment="1" applyProtection="1">
      <alignment horizontal="center" vertical="center" wrapText="1"/>
    </xf>
    <xf numFmtId="49" fontId="2" fillId="7" borderId="65" xfId="0" applyNumberFormat="1" applyFont="1" applyFill="1" applyBorder="1" applyAlignment="1" applyProtection="1">
      <alignment horizontal="center" vertical="center" wrapText="1"/>
      <protection hidden="1"/>
    </xf>
    <xf numFmtId="49" fontId="2" fillId="7" borderId="80" xfId="0" applyNumberFormat="1" applyFont="1" applyFill="1" applyBorder="1" applyAlignment="1" applyProtection="1">
      <alignment horizontal="center" vertical="center" wrapText="1"/>
      <protection hidden="1"/>
    </xf>
    <xf numFmtId="49" fontId="2" fillId="7" borderId="53" xfId="0" applyNumberFormat="1" applyFont="1" applyFill="1" applyBorder="1" applyAlignment="1" applyProtection="1">
      <alignment horizontal="center" vertical="center" wrapText="1"/>
      <protection hidden="1"/>
    </xf>
    <xf numFmtId="0" fontId="2" fillId="7" borderId="32" xfId="0" applyFont="1" applyFill="1" applyBorder="1" applyAlignment="1" applyProtection="1">
      <alignment horizontal="left" vertical="center" indent="1"/>
      <protection hidden="1"/>
    </xf>
    <xf numFmtId="0" fontId="2" fillId="7" borderId="33" xfId="0" applyFont="1" applyFill="1" applyBorder="1" applyAlignment="1" applyProtection="1">
      <alignment horizontal="left" vertical="center" indent="1"/>
      <protection hidden="1"/>
    </xf>
    <xf numFmtId="0" fontId="2" fillId="4" borderId="26" xfId="0" applyFont="1" applyFill="1" applyBorder="1" applyAlignment="1">
      <alignment horizontal="center" vertical="center" wrapText="1"/>
    </xf>
    <xf numFmtId="0" fontId="2" fillId="4" borderId="29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30" xfId="0" applyFont="1" applyFill="1" applyBorder="1" applyAlignment="1">
      <alignment horizontal="center" vertical="center" wrapText="1"/>
    </xf>
    <xf numFmtId="49" fontId="2" fillId="4" borderId="28" xfId="1" applyNumberFormat="1" applyFont="1" applyFill="1" applyBorder="1" applyAlignment="1" applyProtection="1">
      <alignment horizontal="center" vertical="center" wrapText="1"/>
    </xf>
    <xf numFmtId="49" fontId="2" fillId="4" borderId="31" xfId="1" applyNumberFormat="1" applyFont="1" applyFill="1" applyBorder="1" applyAlignment="1" applyProtection="1">
      <alignment horizontal="center" vertical="center" wrapText="1"/>
    </xf>
    <xf numFmtId="0" fontId="8" fillId="4" borderId="34" xfId="0" applyFont="1" applyFill="1" applyBorder="1" applyAlignment="1">
      <alignment horizontal="left" vertical="center" wrapText="1" indent="1"/>
    </xf>
    <xf numFmtId="0" fontId="8" fillId="4" borderId="35" xfId="0" applyFont="1" applyFill="1" applyBorder="1" applyAlignment="1">
      <alignment horizontal="left" vertical="center" wrapText="1" indent="1"/>
    </xf>
    <xf numFmtId="0" fontId="8" fillId="4" borderId="36" xfId="0" applyFont="1" applyFill="1" applyBorder="1" applyAlignment="1">
      <alignment horizontal="left" vertical="center" wrapText="1" indent="1"/>
    </xf>
    <xf numFmtId="0" fontId="2" fillId="7" borderId="32" xfId="5" applyNumberFormat="1" applyFont="1" applyFill="1" applyBorder="1" applyAlignment="1" applyProtection="1">
      <alignment horizontal="left" vertical="center" wrapText="1" indent="1"/>
      <protection hidden="1"/>
    </xf>
    <xf numFmtId="0" fontId="2" fillId="7" borderId="33" xfId="5" applyNumberFormat="1" applyFont="1" applyFill="1" applyBorder="1" applyAlignment="1" applyProtection="1">
      <alignment horizontal="left" vertical="center" wrapText="1" indent="1"/>
      <protection hidden="1"/>
    </xf>
    <xf numFmtId="49" fontId="2" fillId="7" borderId="43" xfId="0" applyNumberFormat="1" applyFont="1" applyFill="1" applyBorder="1" applyAlignment="1" applyProtection="1">
      <alignment horizontal="center" vertical="center" wrapText="1"/>
      <protection hidden="1"/>
    </xf>
    <xf numFmtId="49" fontId="0" fillId="0" borderId="42" xfId="0" applyNumberFormat="1" applyBorder="1" applyAlignment="1" applyProtection="1">
      <alignment horizontal="center"/>
      <protection hidden="1"/>
    </xf>
    <xf numFmtId="49" fontId="2" fillId="8" borderId="43" xfId="0" applyNumberFormat="1" applyFont="1" applyFill="1" applyBorder="1" applyAlignment="1" applyProtection="1">
      <alignment horizontal="center" vertical="center" wrapText="1"/>
      <protection hidden="1"/>
    </xf>
    <xf numFmtId="49" fontId="0" fillId="8" borderId="42" xfId="0" applyNumberFormat="1" applyFill="1" applyBorder="1" applyAlignment="1" applyProtection="1">
      <alignment horizontal="center"/>
      <protection hidden="1"/>
    </xf>
    <xf numFmtId="49" fontId="2" fillId="7" borderId="42" xfId="0" applyNumberFormat="1" applyFont="1" applyFill="1" applyBorder="1" applyAlignment="1" applyProtection="1">
      <alignment horizontal="center" vertical="center" wrapText="1"/>
      <protection hidden="1"/>
    </xf>
    <xf numFmtId="49" fontId="2" fillId="7" borderId="22" xfId="0" applyNumberFormat="1" applyFont="1" applyFill="1" applyBorder="1" applyAlignment="1" applyProtection="1">
      <alignment horizontal="center" vertical="center" wrapText="1"/>
      <protection hidden="1"/>
    </xf>
    <xf numFmtId="49" fontId="20" fillId="5" borderId="0" xfId="0" applyNumberFormat="1" applyFont="1" applyFill="1" applyAlignment="1">
      <alignment horizontal="left" vertical="top" wrapText="1"/>
    </xf>
    <xf numFmtId="49" fontId="2" fillId="5" borderId="0" xfId="0" applyNumberFormat="1" applyFont="1" applyFill="1" applyAlignment="1">
      <alignment wrapText="1"/>
    </xf>
    <xf numFmtId="49" fontId="2" fillId="5" borderId="0" xfId="0" applyNumberFormat="1" applyFont="1" applyFill="1" applyAlignment="1">
      <alignment horizontal="left" vertical="top" wrapText="1"/>
    </xf>
    <xf numFmtId="49" fontId="2" fillId="5" borderId="0" xfId="0" applyNumberFormat="1" applyFont="1" applyFill="1" applyAlignment="1">
      <alignment vertical="top" wrapText="1"/>
    </xf>
  </cellXfs>
  <cellStyles count="92">
    <cellStyle name="Currency" xfId="1" builtinId="4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Normal" xfId="0" builtinId="0"/>
    <cellStyle name="Normal 2" xfId="2" xr:uid="{00000000-0005-0000-0000-000056000000}"/>
    <cellStyle name="Normal 2 2" xfId="3" xr:uid="{00000000-0005-0000-0000-000057000000}"/>
    <cellStyle name="Normal 2 2 2" xfId="91" xr:uid="{00000000-0005-0000-0000-000058000000}"/>
    <cellStyle name="Normal 2 3" xfId="90" xr:uid="{00000000-0005-0000-0000-000059000000}"/>
    <cellStyle name="Normal 3" xfId="4" xr:uid="{00000000-0005-0000-0000-00005A000000}"/>
    <cellStyle name="Percent" xfId="5" builtinId="5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28224</xdr:colOff>
      <xdr:row>1</xdr:row>
      <xdr:rowOff>38807</xdr:rowOff>
    </xdr:from>
    <xdr:to>
      <xdr:col>3</xdr:col>
      <xdr:colOff>173904</xdr:colOff>
      <xdr:row>3</xdr:row>
      <xdr:rowOff>96856</xdr:rowOff>
    </xdr:to>
    <xdr:pic>
      <xdr:nvPicPr>
        <xdr:cNvPr id="2184" name="Picture 2" descr="logo_black.png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141" y="229307"/>
          <a:ext cx="773906" cy="7739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13</xdr:row>
          <xdr:rowOff>175260</xdr:rowOff>
        </xdr:from>
        <xdr:to>
          <xdr:col>2</xdr:col>
          <xdr:colOff>175260</xdr:colOff>
          <xdr:row>15</xdr:row>
          <xdr:rowOff>129540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13</xdr:row>
          <xdr:rowOff>190500</xdr:rowOff>
        </xdr:from>
        <xdr:to>
          <xdr:col>2</xdr:col>
          <xdr:colOff>1623060</xdr:colOff>
          <xdr:row>15</xdr:row>
          <xdr:rowOff>137160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2"/>
  <sheetViews>
    <sheetView showGridLines="0" tabSelected="1" zoomScale="90" zoomScaleNormal="90" zoomScalePageLayoutView="90" workbookViewId="0">
      <selection activeCell="L4" sqref="L4"/>
    </sheetView>
  </sheetViews>
  <sheetFormatPr defaultColWidth="8.77734375" defaultRowHeight="13.2" x14ac:dyDescent="0.25"/>
  <cols>
    <col min="1" max="1" width="2.6640625" style="63" customWidth="1"/>
    <col min="2" max="2" width="2.44140625" style="64" customWidth="1"/>
    <col min="3" max="3" width="7" style="64" customWidth="1"/>
    <col min="4" max="4" width="2.6640625" style="64" customWidth="1"/>
    <col min="5" max="5" width="7" style="64" customWidth="1"/>
    <col min="6" max="6" width="68.6640625" style="64" customWidth="1"/>
    <col min="7" max="7" width="14.77734375" style="65" customWidth="1"/>
    <col min="8" max="8" width="2.44140625" style="65" customWidth="1"/>
    <col min="9" max="9" width="10.44140625" style="65" customWidth="1"/>
    <col min="10" max="10" width="8.77734375" style="65" hidden="1" customWidth="1"/>
    <col min="11" max="12" width="8.77734375" style="65"/>
    <col min="13" max="13" width="8.109375" style="63" customWidth="1"/>
    <col min="14" max="14" width="8.77734375" style="63" customWidth="1"/>
    <col min="15" max="16384" width="8.77734375" style="63"/>
  </cols>
  <sheetData>
    <row r="1" spans="1:12" ht="15" customHeight="1" x14ac:dyDescent="0.25">
      <c r="L1" s="63"/>
    </row>
    <row r="2" spans="1:12" ht="15" customHeight="1" x14ac:dyDescent="0.25">
      <c r="B2" s="66"/>
      <c r="C2" s="67"/>
      <c r="D2" s="67"/>
      <c r="E2" s="67"/>
      <c r="F2" s="67"/>
      <c r="G2" s="68"/>
      <c r="H2" s="69"/>
      <c r="L2" s="63"/>
    </row>
    <row r="3" spans="1:12" s="65" customFormat="1" ht="42" customHeight="1" x14ac:dyDescent="0.3">
      <c r="A3" s="70"/>
      <c r="B3" s="71"/>
      <c r="C3" s="72"/>
      <c r="D3" s="238"/>
      <c r="E3" s="241" t="s">
        <v>69</v>
      </c>
      <c r="F3" s="242"/>
      <c r="G3" s="242"/>
      <c r="H3" s="73"/>
      <c r="I3" s="64"/>
      <c r="J3" s="74"/>
      <c r="K3" s="74"/>
      <c r="L3" s="74"/>
    </row>
    <row r="4" spans="1:12" ht="15" customHeight="1" x14ac:dyDescent="0.25">
      <c r="B4" s="75"/>
      <c r="C4" s="76"/>
      <c r="D4" s="238"/>
      <c r="E4" s="77"/>
      <c r="F4" s="77"/>
      <c r="G4" s="78"/>
      <c r="H4" s="79"/>
      <c r="I4" s="64"/>
      <c r="J4" s="63"/>
    </row>
    <row r="5" spans="1:12" ht="15" customHeight="1" x14ac:dyDescent="0.25">
      <c r="B5" s="75"/>
      <c r="C5" s="77"/>
      <c r="D5" s="238"/>
      <c r="E5" s="1" t="s">
        <v>7</v>
      </c>
      <c r="F5" s="77"/>
      <c r="G5" s="78"/>
      <c r="H5" s="79"/>
      <c r="I5" s="64"/>
      <c r="J5" s="63"/>
    </row>
    <row r="6" spans="1:12" ht="15" customHeight="1" x14ac:dyDescent="0.25">
      <c r="B6" s="75"/>
      <c r="C6" s="77"/>
      <c r="D6" s="80"/>
      <c r="E6" s="2" t="s">
        <v>8</v>
      </c>
      <c r="F6" s="77"/>
      <c r="G6" s="78"/>
      <c r="H6" s="79"/>
      <c r="I6" s="64"/>
      <c r="J6" s="63"/>
    </row>
    <row r="7" spans="1:12" s="129" customFormat="1" ht="21" customHeight="1" x14ac:dyDescent="0.25">
      <c r="B7" s="130"/>
      <c r="C7" s="131"/>
      <c r="D7" s="132"/>
      <c r="E7" s="243" t="s">
        <v>38</v>
      </c>
      <c r="F7" s="243"/>
      <c r="G7" s="243"/>
      <c r="H7" s="133"/>
      <c r="J7" s="134"/>
    </row>
    <row r="8" spans="1:12" ht="15" customHeight="1" x14ac:dyDescent="0.25">
      <c r="B8" s="75"/>
      <c r="C8" s="77"/>
      <c r="D8" s="80"/>
      <c r="E8" s="2"/>
      <c r="F8" s="77"/>
      <c r="G8" s="78"/>
      <c r="H8" s="79"/>
      <c r="I8" s="64"/>
      <c r="J8" s="81"/>
    </row>
    <row r="9" spans="1:12" ht="15" customHeight="1" x14ac:dyDescent="0.25">
      <c r="B9" s="75"/>
      <c r="C9" s="77"/>
      <c r="D9" s="80"/>
      <c r="E9" s="1" t="s">
        <v>1</v>
      </c>
      <c r="F9" s="77"/>
      <c r="G9" s="78"/>
      <c r="H9" s="79"/>
      <c r="I9" s="64"/>
      <c r="J9" s="81"/>
    </row>
    <row r="10" spans="1:12" ht="15" customHeight="1" x14ac:dyDescent="0.25">
      <c r="B10" s="75"/>
      <c r="C10" s="77"/>
      <c r="D10" s="80"/>
      <c r="E10" s="2" t="s">
        <v>42</v>
      </c>
      <c r="F10" s="77"/>
      <c r="G10" s="135"/>
      <c r="H10" s="79"/>
      <c r="I10" s="64"/>
      <c r="J10" s="81"/>
      <c r="K10" s="25"/>
      <c r="L10" s="25"/>
    </row>
    <row r="11" spans="1:12" s="129" customFormat="1" ht="21" customHeight="1" x14ac:dyDescent="0.25">
      <c r="B11" s="130"/>
      <c r="C11" s="131"/>
      <c r="D11" s="132"/>
      <c r="E11" s="243" t="s">
        <v>43</v>
      </c>
      <c r="F11" s="243"/>
      <c r="G11" s="243"/>
      <c r="H11" s="133"/>
      <c r="J11" s="134"/>
    </row>
    <row r="12" spans="1:12" ht="15" customHeight="1" x14ac:dyDescent="0.25">
      <c r="B12" s="75"/>
      <c r="C12" s="82"/>
      <c r="D12" s="136"/>
      <c r="E12" s="137"/>
      <c r="F12" s="136"/>
      <c r="G12" s="138"/>
      <c r="H12" s="87"/>
      <c r="I12" s="63"/>
      <c r="L12" s="63"/>
    </row>
    <row r="13" spans="1:12" ht="15" customHeight="1" x14ac:dyDescent="0.25">
      <c r="B13" s="75"/>
      <c r="C13" s="77"/>
      <c r="D13" s="77"/>
      <c r="E13" s="1" t="s">
        <v>41</v>
      </c>
      <c r="F13" s="77"/>
      <c r="G13" s="78"/>
      <c r="H13" s="79"/>
      <c r="I13" s="64"/>
      <c r="L13" s="63"/>
    </row>
    <row r="14" spans="1:12" ht="15" customHeight="1" x14ac:dyDescent="0.25">
      <c r="B14" s="75"/>
      <c r="C14" s="77"/>
      <c r="D14" s="82"/>
      <c r="E14" s="2" t="s">
        <v>35</v>
      </c>
      <c r="F14" s="82"/>
      <c r="G14" s="110"/>
      <c r="H14" s="83"/>
      <c r="I14" s="63"/>
      <c r="L14" s="63"/>
    </row>
    <row r="15" spans="1:12" ht="15" customHeight="1" x14ac:dyDescent="0.25">
      <c r="B15" s="75"/>
      <c r="C15" s="77"/>
      <c r="D15" s="80"/>
      <c r="E15" s="2"/>
      <c r="F15" s="77"/>
      <c r="G15" s="78"/>
      <c r="H15" s="79"/>
      <c r="I15" s="64"/>
      <c r="J15" s="81"/>
    </row>
    <row r="16" spans="1:12" ht="15" customHeight="1" x14ac:dyDescent="0.25">
      <c r="B16" s="75"/>
      <c r="C16" s="77"/>
      <c r="D16" s="77"/>
      <c r="E16" s="1" t="s">
        <v>9</v>
      </c>
      <c r="F16" s="77"/>
      <c r="G16" s="78"/>
      <c r="H16" s="79"/>
      <c r="I16" s="64"/>
      <c r="L16" s="63"/>
    </row>
    <row r="17" spans="2:11" ht="29.25" customHeight="1" x14ac:dyDescent="0.25">
      <c r="B17" s="75"/>
      <c r="C17" s="77"/>
      <c r="D17" s="80"/>
      <c r="E17" s="239" t="s">
        <v>34</v>
      </c>
      <c r="F17" s="239"/>
      <c r="G17" s="239"/>
      <c r="H17" s="79"/>
      <c r="I17" s="64"/>
      <c r="J17" s="63"/>
    </row>
    <row r="18" spans="2:11" ht="15" customHeight="1" x14ac:dyDescent="0.25">
      <c r="B18" s="75"/>
      <c r="C18" s="77"/>
      <c r="D18" s="80"/>
      <c r="E18" s="2"/>
      <c r="F18" s="77"/>
      <c r="G18" s="78"/>
      <c r="H18" s="79"/>
      <c r="I18" s="64"/>
      <c r="J18" s="81"/>
    </row>
    <row r="19" spans="2:11" ht="15" customHeight="1" x14ac:dyDescent="0.25">
      <c r="B19" s="75"/>
      <c r="C19" s="82"/>
      <c r="D19" s="77"/>
      <c r="E19" s="1" t="s">
        <v>46</v>
      </c>
      <c r="F19" s="77"/>
      <c r="G19" s="78"/>
      <c r="H19" s="84"/>
      <c r="I19" s="85"/>
      <c r="J19" s="85"/>
      <c r="K19" s="63"/>
    </row>
    <row r="20" spans="2:11" ht="30" customHeight="1" x14ac:dyDescent="0.25">
      <c r="B20" s="75"/>
      <c r="C20" s="86"/>
      <c r="D20" s="77"/>
      <c r="E20" s="244" t="s">
        <v>39</v>
      </c>
      <c r="F20" s="244"/>
      <c r="G20" s="244"/>
      <c r="H20" s="87"/>
      <c r="I20" s="63"/>
      <c r="J20" s="63"/>
      <c r="K20" s="63"/>
    </row>
    <row r="21" spans="2:11" ht="23.25" customHeight="1" x14ac:dyDescent="0.25">
      <c r="B21" s="88"/>
      <c r="C21" s="89"/>
      <c r="D21" s="90"/>
      <c r="E21" s="5"/>
      <c r="F21" s="89"/>
      <c r="G21" s="91"/>
      <c r="H21" s="92"/>
      <c r="I21" s="64"/>
      <c r="J21" s="81"/>
    </row>
    <row r="22" spans="2:11" ht="9" customHeight="1" x14ac:dyDescent="0.25">
      <c r="C22" s="93"/>
    </row>
    <row r="23" spans="2:11" ht="12" customHeight="1" x14ac:dyDescent="0.25">
      <c r="D23" s="63"/>
      <c r="H23" s="142" t="s">
        <v>73</v>
      </c>
      <c r="J23" s="139" t="s">
        <v>44</v>
      </c>
    </row>
    <row r="24" spans="2:11" ht="12" customHeight="1" x14ac:dyDescent="0.25">
      <c r="C24" s="63"/>
      <c r="D24" s="63"/>
      <c r="H24" s="142" t="s">
        <v>63</v>
      </c>
      <c r="J24" s="140">
        <f>IF(G10="IP units",1,2)</f>
        <v>2</v>
      </c>
    </row>
    <row r="25" spans="2:11" ht="12" customHeight="1" x14ac:dyDescent="0.25">
      <c r="H25" s="143" t="s">
        <v>49</v>
      </c>
      <c r="J25" s="141" t="s">
        <v>45</v>
      </c>
    </row>
    <row r="26" spans="2:11" ht="12" customHeight="1" x14ac:dyDescent="0.25">
      <c r="H26" s="143" t="s">
        <v>50</v>
      </c>
    </row>
    <row r="27" spans="2:11" x14ac:dyDescent="0.25">
      <c r="H27" s="143" t="s">
        <v>72</v>
      </c>
    </row>
    <row r="29" spans="2:11" x14ac:dyDescent="0.25">
      <c r="D29" s="94"/>
      <c r="E29" s="94"/>
    </row>
    <row r="30" spans="2:11" x14ac:dyDescent="0.25">
      <c r="D30" s="94"/>
      <c r="E30" s="94"/>
    </row>
    <row r="31" spans="2:11" x14ac:dyDescent="0.25">
      <c r="D31" s="94"/>
      <c r="E31" s="94"/>
    </row>
    <row r="33" spans="3:6" x14ac:dyDescent="0.25">
      <c r="C33" s="240"/>
      <c r="D33" s="240"/>
      <c r="E33" s="240"/>
      <c r="F33" s="240"/>
    </row>
    <row r="34" spans="3:6" x14ac:dyDescent="0.25">
      <c r="C34" s="240"/>
      <c r="D34" s="240"/>
      <c r="E34" s="240"/>
      <c r="F34" s="240"/>
    </row>
    <row r="35" spans="3:6" x14ac:dyDescent="0.25">
      <c r="C35" s="240"/>
      <c r="D35" s="240"/>
      <c r="E35" s="240"/>
      <c r="F35" s="240"/>
    </row>
    <row r="36" spans="3:6" x14ac:dyDescent="0.25">
      <c r="C36" s="240"/>
      <c r="D36" s="240"/>
      <c r="E36" s="240"/>
      <c r="F36" s="240"/>
    </row>
    <row r="37" spans="3:6" x14ac:dyDescent="0.25">
      <c r="C37" s="95"/>
      <c r="D37" s="95"/>
      <c r="E37" s="95"/>
      <c r="F37" s="95"/>
    </row>
    <row r="38" spans="3:6" x14ac:dyDescent="0.25">
      <c r="C38" s="240"/>
      <c r="D38" s="240"/>
      <c r="E38" s="240"/>
      <c r="F38" s="240"/>
    </row>
    <row r="39" spans="3:6" x14ac:dyDescent="0.25">
      <c r="C39" s="240"/>
      <c r="D39" s="240"/>
      <c r="E39" s="240"/>
      <c r="F39" s="240"/>
    </row>
    <row r="40" spans="3:6" x14ac:dyDescent="0.25">
      <c r="C40" s="240"/>
      <c r="D40" s="240"/>
      <c r="E40" s="240"/>
      <c r="F40" s="240"/>
    </row>
    <row r="41" spans="3:6" x14ac:dyDescent="0.25">
      <c r="C41" s="240"/>
      <c r="D41" s="240"/>
      <c r="E41" s="240"/>
      <c r="F41" s="240"/>
    </row>
    <row r="42" spans="3:6" x14ac:dyDescent="0.25">
      <c r="C42" s="95"/>
      <c r="D42" s="95"/>
      <c r="E42" s="95"/>
      <c r="F42" s="95"/>
    </row>
  </sheetData>
  <sheetProtection algorithmName="SHA-512" hashValue="JnotXEoi2xurXbtTL+SYb7vA/2ku+MV4hf5OBWsdLtaryC40BESOtnetyHUfdapDl5uJB/kkjkVyg6gariu7lQ==" saltValue="w7U05sskF3GHC4WZBbOkiA==" spinCount="100000" sheet="1" objects="1" scenarios="1"/>
  <mergeCells count="10">
    <mergeCell ref="D3:D5"/>
    <mergeCell ref="E17:G17"/>
    <mergeCell ref="C40:F41"/>
    <mergeCell ref="C33:F34"/>
    <mergeCell ref="C35:F36"/>
    <mergeCell ref="C38:F39"/>
    <mergeCell ref="E3:G3"/>
    <mergeCell ref="E7:G7"/>
    <mergeCell ref="E20:G20"/>
    <mergeCell ref="E11:G11"/>
  </mergeCells>
  <phoneticPr fontId="3" type="noConversion"/>
  <dataValidations count="1">
    <dataValidation type="list" allowBlank="1" showInputMessage="1" showErrorMessage="1" sqref="G10" xr:uid="{00000000-0002-0000-0000-000000000000}">
      <formula1>"IP units, SI units"</formula1>
    </dataValidation>
  </dataValidations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outlinePr summaryBelow="0" summaryRight="0"/>
  </sheetPr>
  <dimension ref="A1:AM135"/>
  <sheetViews>
    <sheetView showGridLines="0" zoomScale="90" zoomScaleNormal="90" zoomScaleSheetLayoutView="100" zoomScalePageLayoutView="80" workbookViewId="0">
      <selection activeCell="P22" sqref="P22"/>
    </sheetView>
  </sheetViews>
  <sheetFormatPr defaultColWidth="9.109375" defaultRowHeight="13.2" x14ac:dyDescent="0.25"/>
  <cols>
    <col min="1" max="1" width="2.6640625" style="42" customWidth="1"/>
    <col min="2" max="2" width="18.6640625" style="42" customWidth="1"/>
    <col min="3" max="3" width="24.6640625" style="42" customWidth="1"/>
    <col min="4" max="4" width="14.6640625" style="47" customWidth="1"/>
    <col min="5" max="5" width="2.6640625" style="47" customWidth="1"/>
    <col min="6" max="12" width="14.6640625" style="96" hidden="1" customWidth="1"/>
    <col min="13" max="13" width="14.6640625" style="42" hidden="1" customWidth="1"/>
    <col min="14" max="14" width="2.6640625" style="42" hidden="1" customWidth="1"/>
    <col min="15" max="16" width="24.6640625" style="47" customWidth="1"/>
    <col min="17" max="17" width="55.109375" style="47" customWidth="1"/>
    <col min="18" max="18" width="28.6640625" style="47" customWidth="1"/>
    <col min="19" max="21" width="14.6640625" style="47" customWidth="1"/>
    <col min="22" max="23" width="14.6640625" style="47" hidden="1" customWidth="1"/>
    <col min="24" max="28" width="14.6640625" style="42" customWidth="1"/>
    <col min="29" max="29" width="24.6640625" style="42" customWidth="1"/>
    <col min="30" max="30" width="14.6640625" style="42" customWidth="1"/>
    <col min="31" max="31" width="6.6640625" style="42" customWidth="1"/>
    <col min="32" max="32" width="18.109375" style="42" customWidth="1"/>
    <col min="33" max="34" width="14.6640625" style="42" customWidth="1"/>
    <col min="35" max="35" width="2.44140625" style="42" customWidth="1"/>
    <col min="36" max="36" width="14.77734375" style="42" customWidth="1"/>
    <col min="37" max="37" width="15.77734375" style="42" customWidth="1"/>
    <col min="38" max="38" width="12" style="42" hidden="1" customWidth="1"/>
    <col min="39" max="39" width="10" style="42" hidden="1" customWidth="1"/>
    <col min="40" max="16384" width="9.109375" style="42"/>
  </cols>
  <sheetData>
    <row r="1" spans="1:39" s="38" customFormat="1" ht="15" customHeight="1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</row>
    <row r="2" spans="1:39" s="38" customFormat="1" ht="21" customHeight="1" x14ac:dyDescent="0.25">
      <c r="A2" s="39"/>
      <c r="B2" s="51" t="s">
        <v>20</v>
      </c>
      <c r="C2" s="41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</row>
    <row r="3" spans="1:39" s="38" customFormat="1" ht="1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</row>
    <row r="4" spans="1:39" x14ac:dyDescent="0.25">
      <c r="C4" s="43"/>
      <c r="D4" s="44"/>
      <c r="E4" s="44"/>
      <c r="O4" s="44"/>
      <c r="P4" s="44"/>
      <c r="Q4" s="44"/>
      <c r="R4" s="44"/>
      <c r="S4" s="44"/>
      <c r="T4" s="44"/>
      <c r="U4" s="44"/>
      <c r="V4" s="44"/>
      <c r="W4" s="44"/>
      <c r="X4" s="56"/>
    </row>
    <row r="5" spans="1:39" ht="18" customHeight="1" x14ac:dyDescent="0.25">
      <c r="B5" s="54" t="s">
        <v>15</v>
      </c>
      <c r="C5" s="50"/>
      <c r="D5" s="50"/>
      <c r="E5" s="54"/>
      <c r="M5" s="50"/>
      <c r="N5" s="50"/>
      <c r="O5" s="54"/>
      <c r="P5" s="54"/>
      <c r="Q5" s="54"/>
      <c r="R5" s="54"/>
      <c r="S5" s="54"/>
      <c r="T5" s="54"/>
      <c r="U5" s="54"/>
      <c r="V5" s="54"/>
      <c r="W5" s="54"/>
      <c r="X5" s="50"/>
      <c r="Y5" s="50"/>
      <c r="AE5" s="52"/>
      <c r="AF5" s="52"/>
      <c r="AG5" s="50"/>
      <c r="AH5" s="50"/>
      <c r="AI5" s="50"/>
    </row>
    <row r="6" spans="1:39" ht="37.950000000000003" customHeight="1" x14ac:dyDescent="0.25">
      <c r="B6" s="286" t="s">
        <v>19</v>
      </c>
      <c r="C6" s="287"/>
      <c r="D6" s="288"/>
      <c r="E6" s="106"/>
      <c r="F6" s="254" t="s">
        <v>53</v>
      </c>
      <c r="G6" s="255"/>
      <c r="H6" s="255"/>
      <c r="I6" s="255"/>
      <c r="J6" s="255"/>
      <c r="K6" s="255"/>
      <c r="L6" s="255"/>
      <c r="M6" s="256"/>
      <c r="N6" s="62"/>
      <c r="O6" s="264" t="s">
        <v>52</v>
      </c>
      <c r="P6" s="265"/>
      <c r="Q6" s="265"/>
      <c r="R6" s="265"/>
      <c r="S6" s="265"/>
      <c r="T6" s="265"/>
      <c r="U6" s="265"/>
      <c r="V6" s="265"/>
      <c r="W6" s="265"/>
      <c r="X6" s="265"/>
      <c r="Y6" s="265"/>
      <c r="Z6" s="265"/>
      <c r="AA6" s="265"/>
      <c r="AB6" s="265"/>
      <c r="AC6" s="265"/>
      <c r="AD6" s="265"/>
      <c r="AE6" s="265"/>
      <c r="AF6" s="265"/>
      <c r="AG6" s="265"/>
      <c r="AH6" s="265"/>
      <c r="AI6" s="265"/>
      <c r="AJ6" s="266"/>
    </row>
    <row r="7" spans="1:39" ht="24.75" customHeight="1" x14ac:dyDescent="0.25">
      <c r="B7" s="280" t="s">
        <v>64</v>
      </c>
      <c r="C7" s="282" t="s">
        <v>4</v>
      </c>
      <c r="D7" s="284" t="s">
        <v>65</v>
      </c>
      <c r="E7" s="107"/>
      <c r="F7" s="257" t="s">
        <v>22</v>
      </c>
      <c r="G7" s="258"/>
      <c r="H7" s="258"/>
      <c r="I7" s="258"/>
      <c r="J7" s="259"/>
      <c r="K7" s="260" t="s">
        <v>24</v>
      </c>
      <c r="L7" s="260" t="s">
        <v>25</v>
      </c>
      <c r="M7" s="262" t="s">
        <v>23</v>
      </c>
      <c r="N7" s="108"/>
      <c r="O7" s="247" t="s">
        <v>21</v>
      </c>
      <c r="P7" s="248"/>
      <c r="Q7" s="249"/>
      <c r="R7" s="269" t="s">
        <v>54</v>
      </c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26"/>
      <c r="AF7" s="219"/>
      <c r="AG7" s="219"/>
      <c r="AH7" s="219"/>
      <c r="AI7" s="219"/>
      <c r="AJ7" s="220"/>
    </row>
    <row r="8" spans="1:39" s="45" customFormat="1" ht="64.2" customHeight="1" x14ac:dyDescent="0.25">
      <c r="B8" s="281"/>
      <c r="C8" s="283"/>
      <c r="D8" s="285"/>
      <c r="E8" s="107"/>
      <c r="F8" s="60" t="s">
        <v>31</v>
      </c>
      <c r="G8" s="61" t="s">
        <v>27</v>
      </c>
      <c r="H8" s="61" t="s">
        <v>28</v>
      </c>
      <c r="I8" s="61" t="s">
        <v>32</v>
      </c>
      <c r="J8" s="148" t="s">
        <v>29</v>
      </c>
      <c r="K8" s="261"/>
      <c r="L8" s="261"/>
      <c r="M8" s="263"/>
      <c r="N8" s="108"/>
      <c r="O8" s="221" t="s">
        <v>33</v>
      </c>
      <c r="P8" s="109" t="s">
        <v>66</v>
      </c>
      <c r="Q8" s="161" t="s">
        <v>30</v>
      </c>
      <c r="R8" s="252" t="s">
        <v>14</v>
      </c>
      <c r="S8" s="253"/>
      <c r="T8" s="291" t="s">
        <v>55</v>
      </c>
      <c r="U8" s="292"/>
      <c r="V8" s="293" t="s">
        <v>57</v>
      </c>
      <c r="W8" s="294"/>
      <c r="X8" s="291" t="s">
        <v>3</v>
      </c>
      <c r="Y8" s="295"/>
      <c r="Z8" s="291" t="s">
        <v>2</v>
      </c>
      <c r="AA8" s="295"/>
      <c r="AB8" s="291" t="s">
        <v>0</v>
      </c>
      <c r="AC8" s="296"/>
      <c r="AD8" s="296"/>
      <c r="AE8" s="187"/>
      <c r="AF8" s="273" t="s">
        <v>51</v>
      </c>
      <c r="AG8" s="275" t="s">
        <v>60</v>
      </c>
      <c r="AH8" s="275" t="s">
        <v>61</v>
      </c>
      <c r="AI8" s="196"/>
      <c r="AJ8" s="267" t="s">
        <v>40</v>
      </c>
    </row>
    <row r="9" spans="1:39" s="45" customFormat="1" ht="70.2" customHeight="1" x14ac:dyDescent="0.25">
      <c r="B9" s="163"/>
      <c r="C9" s="164"/>
      <c r="D9" s="165"/>
      <c r="E9" s="107"/>
      <c r="F9" s="166"/>
      <c r="G9" s="167"/>
      <c r="H9" s="167"/>
      <c r="I9" s="167"/>
      <c r="J9" s="168"/>
      <c r="K9" s="169"/>
      <c r="L9" s="169"/>
      <c r="M9" s="170"/>
      <c r="N9" s="108"/>
      <c r="O9" s="222"/>
      <c r="P9" s="190"/>
      <c r="Q9" s="194"/>
      <c r="R9" s="162" t="s">
        <v>6</v>
      </c>
      <c r="S9" s="171" t="s">
        <v>5</v>
      </c>
      <c r="T9" s="172" t="s">
        <v>56</v>
      </c>
      <c r="U9" s="171" t="s">
        <v>5</v>
      </c>
      <c r="V9" s="228" t="s">
        <v>58</v>
      </c>
      <c r="W9" s="229" t="s">
        <v>5</v>
      </c>
      <c r="X9" s="172" t="s">
        <v>59</v>
      </c>
      <c r="Y9" s="171" t="s">
        <v>5</v>
      </c>
      <c r="Z9" s="173" t="s">
        <v>13</v>
      </c>
      <c r="AA9" s="174" t="s">
        <v>5</v>
      </c>
      <c r="AB9" s="173" t="s">
        <v>10</v>
      </c>
      <c r="AC9" s="175" t="s">
        <v>11</v>
      </c>
      <c r="AD9" s="176" t="s">
        <v>5</v>
      </c>
      <c r="AE9" s="187"/>
      <c r="AF9" s="274"/>
      <c r="AG9" s="276"/>
      <c r="AH9" s="277"/>
      <c r="AI9" s="196"/>
      <c r="AJ9" s="268"/>
      <c r="AL9" s="198" t="s">
        <v>67</v>
      </c>
      <c r="AM9" s="199" t="s">
        <v>68</v>
      </c>
    </row>
    <row r="10" spans="1:39" ht="27.75" customHeight="1" x14ac:dyDescent="0.25">
      <c r="A10" s="49">
        <f>IF(B10&gt;=0,0,0)</f>
        <v>0</v>
      </c>
      <c r="B10" s="111"/>
      <c r="C10" s="112"/>
      <c r="D10" s="227"/>
      <c r="E10" s="55"/>
      <c r="F10" s="119" t="s">
        <v>70</v>
      </c>
      <c r="G10" s="120" t="s">
        <v>70</v>
      </c>
      <c r="H10" s="120" t="s">
        <v>70</v>
      </c>
      <c r="I10" s="120" t="s">
        <v>70</v>
      </c>
      <c r="J10" s="149" t="s">
        <v>70</v>
      </c>
      <c r="K10" s="155" t="s">
        <v>70</v>
      </c>
      <c r="L10" s="158">
        <f>IF(COUNTIF(F10:J10,"Yes")&gt;=4,D10,0)</f>
        <v>0</v>
      </c>
      <c r="M10" s="152">
        <f>IF(AND(OR(K10="Yes",K10="N/A"),COUNTIF(F10:J10,"Yes")&gt;=2),D10,0)</f>
        <v>0</v>
      </c>
      <c r="N10" s="97"/>
      <c r="O10" s="223"/>
      <c r="P10" s="191"/>
      <c r="Q10" s="213">
        <f>IF(ISBLANK(P10),0,IF($P10="Product specific LCA",$D10*1,IF($P10="Product Specific Type III External EPD",$D10*1.5,IF($P10="Product specific Type III Internal EPD",$D10*1,IF($P10="Industry-wide/generic EPD",$D10*1,0)))))</f>
        <v>0</v>
      </c>
      <c r="R10" s="192"/>
      <c r="S10" s="213">
        <f t="shared" ref="S10:S12" si="0">IF(R10&gt;0,D10*0.5,0)</f>
        <v>0</v>
      </c>
      <c r="T10" s="184"/>
      <c r="U10" s="213">
        <f t="shared" ref="U10:U12" si="1">IFERROR(T10*D10,0)*(0.5)</f>
        <v>0</v>
      </c>
      <c r="V10" s="230"/>
      <c r="W10" s="231">
        <f t="shared" ref="W10:W12" si="2">IFERROR(V10*D10,0)*(1)</f>
        <v>0</v>
      </c>
      <c r="X10" s="126"/>
      <c r="Y10" s="213">
        <f t="shared" ref="Y10:Y12" si="3">IFERROR(X10*D10,0)</f>
        <v>0</v>
      </c>
      <c r="Z10" s="177"/>
      <c r="AA10" s="214">
        <f t="shared" ref="AA10:AA12" si="4">IFERROR(D10*Z10,0)*2</f>
        <v>0</v>
      </c>
      <c r="AB10" s="178"/>
      <c r="AC10" s="197"/>
      <c r="AD10" s="210">
        <f t="shared" ref="AD10:AD12" si="5">IFERROR((AB10*D10)+((AC10*D10)/2),0)</f>
        <v>0</v>
      </c>
      <c r="AE10" s="186"/>
      <c r="AF10" s="188"/>
      <c r="AG10" s="189">
        <f>SUM(Q10, S10, U10,Y10,AA10,AD10)</f>
        <v>0</v>
      </c>
      <c r="AH10" s="202">
        <f>IF(AL10&lt;=AM10,AL10,IF(AL10&gt;AM10,AM10))</f>
        <v>0</v>
      </c>
      <c r="AI10" s="98"/>
      <c r="AJ10" s="207">
        <f t="shared" ref="AJ10:AJ12" si="6">SUM(L10,M10,AH10)</f>
        <v>0</v>
      </c>
      <c r="AL10" s="200">
        <f>IF(AF10="Yes",AG10*2,AG10)</f>
        <v>0</v>
      </c>
      <c r="AM10" s="201">
        <f>D10*2</f>
        <v>0</v>
      </c>
    </row>
    <row r="11" spans="1:39" x14ac:dyDescent="0.25">
      <c r="A11" s="49"/>
      <c r="B11" s="113"/>
      <c r="C11" s="114"/>
      <c r="D11" s="115"/>
      <c r="E11" s="55"/>
      <c r="F11" s="121"/>
      <c r="G11" s="122"/>
      <c r="H11" s="122"/>
      <c r="I11" s="122"/>
      <c r="J11" s="150"/>
      <c r="K11" s="156"/>
      <c r="L11" s="159">
        <f t="shared" ref="L11:L12" si="7">IF(COUNTIF(F11:J11,"Yes")&gt;=4,D11,0)</f>
        <v>0</v>
      </c>
      <c r="M11" s="153">
        <f t="shared" ref="M11:M12" si="8">IF(AND(OR(K11="Yes",K11="N/A"),COUNTIF(F11:J11,"Yes")&gt;=2),D11,0)</f>
        <v>0</v>
      </c>
      <c r="N11" s="97"/>
      <c r="O11" s="224"/>
      <c r="P11" s="191"/>
      <c r="Q11" s="213">
        <f t="shared" ref="Q11:Q12" si="9">IF(ISBLANK(P11),0,IF($P11="Product specific LCA",$D11*1,IF($P11="Product Specific Type III External EPD",$D11*1.5,IF($P11="Product specific Type III Internal EPD",$D11*1,IF($P11="Industry-wide/generic EPD",$D11*1,0)))))</f>
        <v>0</v>
      </c>
      <c r="R11" s="193"/>
      <c r="S11" s="217">
        <f t="shared" si="0"/>
        <v>0</v>
      </c>
      <c r="T11" s="185"/>
      <c r="U11" s="217">
        <f t="shared" si="1"/>
        <v>0</v>
      </c>
      <c r="V11" s="232"/>
      <c r="W11" s="233">
        <f t="shared" si="2"/>
        <v>0</v>
      </c>
      <c r="X11" s="179"/>
      <c r="Y11" s="217">
        <f t="shared" si="3"/>
        <v>0</v>
      </c>
      <c r="Z11" s="180"/>
      <c r="AA11" s="218">
        <f t="shared" si="4"/>
        <v>0</v>
      </c>
      <c r="AB11" s="181"/>
      <c r="AC11" s="182"/>
      <c r="AD11" s="212">
        <f t="shared" si="5"/>
        <v>0</v>
      </c>
      <c r="AE11" s="186"/>
      <c r="AF11" s="144"/>
      <c r="AG11" s="189">
        <f>SUM(Q11, S11, U11,Y11,AA11,AD11)</f>
        <v>0</v>
      </c>
      <c r="AH11" s="206">
        <f t="shared" ref="AH11:AH12" si="10">IF(AL11&lt;=AM11,AL11,IF(AL11&gt;AM11,AM11))</f>
        <v>0</v>
      </c>
      <c r="AI11" s="98"/>
      <c r="AJ11" s="209">
        <f t="shared" si="6"/>
        <v>0</v>
      </c>
      <c r="AL11" s="200">
        <f t="shared" ref="AL11:AL12" si="11">IF(AF11="Yes",AG11*2,AG11)</f>
        <v>0</v>
      </c>
      <c r="AM11" s="201">
        <f>D11*2</f>
        <v>0</v>
      </c>
    </row>
    <row r="12" spans="1:39" x14ac:dyDescent="0.25">
      <c r="A12" s="49"/>
      <c r="B12" s="116"/>
      <c r="C12" s="117"/>
      <c r="D12" s="118"/>
      <c r="E12" s="55"/>
      <c r="F12" s="123"/>
      <c r="G12" s="124"/>
      <c r="H12" s="124"/>
      <c r="I12" s="124"/>
      <c r="J12" s="151"/>
      <c r="K12" s="157"/>
      <c r="L12" s="160">
        <f t="shared" si="7"/>
        <v>0</v>
      </c>
      <c r="M12" s="154">
        <f t="shared" si="8"/>
        <v>0</v>
      </c>
      <c r="N12" s="97"/>
      <c r="O12" s="225"/>
      <c r="P12" s="191"/>
      <c r="Q12" s="213">
        <f t="shared" si="9"/>
        <v>0</v>
      </c>
      <c r="R12" s="193"/>
      <c r="S12" s="215">
        <f t="shared" si="0"/>
        <v>0</v>
      </c>
      <c r="T12" s="185"/>
      <c r="U12" s="215">
        <f t="shared" si="1"/>
        <v>0</v>
      </c>
      <c r="V12" s="232"/>
      <c r="W12" s="234">
        <f t="shared" si="2"/>
        <v>0</v>
      </c>
      <c r="X12" s="179"/>
      <c r="Y12" s="215">
        <f t="shared" si="3"/>
        <v>0</v>
      </c>
      <c r="Z12" s="180"/>
      <c r="AA12" s="216">
        <f t="shared" si="4"/>
        <v>0</v>
      </c>
      <c r="AB12" s="181"/>
      <c r="AC12" s="182"/>
      <c r="AD12" s="211">
        <f t="shared" si="5"/>
        <v>0</v>
      </c>
      <c r="AE12" s="186"/>
      <c r="AF12" s="144"/>
      <c r="AG12" s="189">
        <f>SUM(Q12, S12, U12,Y12,AA12,AD12)</f>
        <v>0</v>
      </c>
      <c r="AH12" s="205">
        <f t="shared" si="10"/>
        <v>0</v>
      </c>
      <c r="AI12" s="98"/>
      <c r="AJ12" s="208">
        <f t="shared" si="6"/>
        <v>0</v>
      </c>
      <c r="AL12" s="200">
        <f t="shared" si="11"/>
        <v>0</v>
      </c>
      <c r="AM12" s="201">
        <f>D12*2</f>
        <v>0</v>
      </c>
    </row>
    <row r="13" spans="1:39" ht="37.5" customHeight="1" x14ac:dyDescent="0.25">
      <c r="A13" s="49" t="s">
        <v>26</v>
      </c>
      <c r="B13" s="278" t="s">
        <v>36</v>
      </c>
      <c r="C13" s="279"/>
      <c r="D13" s="147">
        <f>SUM(D10:D12)</f>
        <v>0</v>
      </c>
      <c r="E13" s="57"/>
      <c r="F13" s="245" t="s">
        <v>37</v>
      </c>
      <c r="G13" s="246"/>
      <c r="H13" s="246"/>
      <c r="I13" s="246"/>
      <c r="J13" s="246"/>
      <c r="K13" s="246"/>
      <c r="L13" s="146">
        <f>SUM(L10:L12)</f>
        <v>0</v>
      </c>
      <c r="M13" s="145">
        <f>SUM(M10:M12)</f>
        <v>0</v>
      </c>
      <c r="N13" s="99"/>
      <c r="O13" s="250" t="s">
        <v>37</v>
      </c>
      <c r="P13" s="251"/>
      <c r="Q13" s="237">
        <f t="shared" ref="Q13" si="12">IF(ISBLANK(P13),0,IF($P$10="Product specific LCA",$D$10,IF($P$10="Product specific Type III Internal EPD",$D$10,IF($P$10="Industry-wide/generic EPD",$D$10,IF($P$10="Product Specific Type III External EPD",$D$10*1.5,0)))))</f>
        <v>0</v>
      </c>
      <c r="R13" s="195" t="s">
        <v>37</v>
      </c>
      <c r="S13" s="145">
        <f>SUM(S10:S12)</f>
        <v>0</v>
      </c>
      <c r="T13" s="183" t="s">
        <v>37</v>
      </c>
      <c r="U13" s="145">
        <f>SUM(U10:U12)</f>
        <v>0</v>
      </c>
      <c r="V13" s="235" t="s">
        <v>37</v>
      </c>
      <c r="W13" s="236">
        <f>SUM(W10:W12)</f>
        <v>0</v>
      </c>
      <c r="X13" s="183" t="s">
        <v>37</v>
      </c>
      <c r="Y13" s="145">
        <f>SUM(Y10:Y12)</f>
        <v>0</v>
      </c>
      <c r="Z13" s="183" t="s">
        <v>37</v>
      </c>
      <c r="AA13" s="145">
        <f>SUM(AA10:AA12)</f>
        <v>0</v>
      </c>
      <c r="AB13" s="289" t="s">
        <v>37</v>
      </c>
      <c r="AC13" s="290"/>
      <c r="AD13" s="145">
        <f>SUM(AD10:AD12)</f>
        <v>0</v>
      </c>
      <c r="AE13" s="203"/>
      <c r="AF13" s="271" t="s">
        <v>62</v>
      </c>
      <c r="AG13" s="272"/>
      <c r="AH13" s="145">
        <f>SUM(AH10:AH12)</f>
        <v>0</v>
      </c>
      <c r="AI13" s="204"/>
      <c r="AJ13" s="125">
        <f>SUM(AJ10:AJ12)</f>
        <v>0</v>
      </c>
      <c r="AL13"/>
      <c r="AM13"/>
    </row>
    <row r="14" spans="1:39" ht="31.95" customHeight="1" x14ac:dyDescent="0.25">
      <c r="D14" s="42"/>
      <c r="E14" s="42"/>
      <c r="F14" s="42"/>
      <c r="H14" s="100"/>
      <c r="I14" s="100"/>
      <c r="J14" s="100"/>
      <c r="K14" s="101"/>
      <c r="L14" s="100"/>
      <c r="O14" s="42"/>
      <c r="P14" s="42"/>
      <c r="Q14" s="42"/>
      <c r="R14" s="42"/>
      <c r="S14" s="42"/>
      <c r="T14" s="42"/>
      <c r="U14" s="42"/>
      <c r="V14" s="42" t="s">
        <v>71</v>
      </c>
      <c r="W14" s="42" t="s">
        <v>71</v>
      </c>
    </row>
    <row r="15" spans="1:39" ht="31.95" customHeight="1" x14ac:dyDescent="0.25">
      <c r="D15" s="42"/>
      <c r="E15" s="42"/>
      <c r="F15" s="42"/>
      <c r="H15" s="100"/>
      <c r="I15" s="100"/>
      <c r="J15" s="100"/>
      <c r="K15" s="101"/>
      <c r="L15" s="100"/>
      <c r="M15" s="59"/>
      <c r="O15" s="42"/>
      <c r="P15" s="42"/>
      <c r="Q15" s="42"/>
      <c r="R15" s="42"/>
      <c r="S15" s="42"/>
      <c r="T15" s="42"/>
      <c r="U15" s="42"/>
      <c r="V15" s="42"/>
      <c r="W15" s="42"/>
    </row>
    <row r="16" spans="1:39" ht="31.95" customHeight="1" x14ac:dyDescent="0.25">
      <c r="D16" s="42"/>
      <c r="E16" s="42"/>
      <c r="F16" s="42"/>
      <c r="G16" s="102"/>
      <c r="H16" s="102"/>
      <c r="I16" s="102"/>
      <c r="J16" s="103"/>
      <c r="K16" s="104"/>
      <c r="L16" s="102"/>
      <c r="O16" s="42"/>
      <c r="P16" s="42"/>
      <c r="Q16" s="42"/>
      <c r="R16" s="42"/>
      <c r="S16" s="42"/>
      <c r="T16" s="42"/>
      <c r="U16" s="42"/>
      <c r="V16" s="42"/>
      <c r="W16" s="42"/>
    </row>
    <row r="17" spans="2:36" ht="33" customHeight="1" x14ac:dyDescent="0.25">
      <c r="D17" s="42"/>
      <c r="E17" s="42"/>
      <c r="F17" s="42"/>
      <c r="G17" s="102"/>
      <c r="H17" s="102"/>
      <c r="I17" s="102"/>
      <c r="J17" s="100"/>
      <c r="K17" s="105"/>
      <c r="L17" s="102"/>
      <c r="O17" s="58"/>
      <c r="P17" s="58"/>
      <c r="Q17" s="58"/>
      <c r="R17" s="58"/>
      <c r="S17" s="58"/>
      <c r="T17" s="58"/>
      <c r="U17" s="58"/>
      <c r="V17" s="58"/>
      <c r="W17" s="58"/>
    </row>
    <row r="18" spans="2:36" ht="12" customHeight="1" x14ac:dyDescent="0.25">
      <c r="E18" s="58"/>
      <c r="F18" s="102"/>
      <c r="G18" s="102"/>
      <c r="H18" s="102"/>
      <c r="I18" s="102"/>
      <c r="J18" s="100"/>
      <c r="K18" s="101"/>
      <c r="L18" s="102"/>
      <c r="O18" s="58"/>
      <c r="P18" s="58"/>
      <c r="Q18" s="58"/>
      <c r="R18" s="58"/>
      <c r="S18" s="58"/>
      <c r="T18" s="58"/>
      <c r="U18" s="58"/>
      <c r="V18" s="58"/>
      <c r="W18" s="58"/>
    </row>
    <row r="19" spans="2:36" x14ac:dyDescent="0.25">
      <c r="E19" s="59"/>
      <c r="F19" s="42"/>
      <c r="G19" s="42"/>
      <c r="H19" s="42"/>
      <c r="I19" s="42"/>
      <c r="J19" s="42"/>
      <c r="K19" s="42"/>
      <c r="L19" s="42"/>
      <c r="O19" s="59"/>
      <c r="P19" s="59"/>
      <c r="Q19" s="59"/>
      <c r="R19" s="59"/>
      <c r="S19" s="59"/>
      <c r="T19" s="59"/>
      <c r="U19" s="59"/>
      <c r="V19" s="59"/>
      <c r="W19" s="59"/>
    </row>
    <row r="20" spans="2:36" x14ac:dyDescent="0.25">
      <c r="B20" s="42" t="s">
        <v>17</v>
      </c>
      <c r="E20" s="59"/>
      <c r="F20" s="42"/>
      <c r="G20" s="42"/>
      <c r="H20" s="42"/>
      <c r="I20" s="42"/>
      <c r="J20" s="42"/>
      <c r="K20" s="42"/>
      <c r="L20" s="42"/>
      <c r="O20" s="59"/>
      <c r="P20" s="59"/>
      <c r="Q20" s="59"/>
      <c r="R20" s="59"/>
      <c r="S20" s="59"/>
      <c r="T20" s="59"/>
      <c r="U20" s="59"/>
      <c r="V20" s="59"/>
      <c r="W20" s="59"/>
    </row>
    <row r="21" spans="2:36" ht="12" customHeight="1" x14ac:dyDescent="0.25">
      <c r="E21" s="46"/>
      <c r="F21" s="42"/>
      <c r="G21" s="42"/>
      <c r="H21" s="42"/>
      <c r="I21" s="42"/>
      <c r="J21" s="42"/>
      <c r="K21" s="42"/>
      <c r="L21" s="42"/>
      <c r="O21" s="46"/>
      <c r="P21" s="46"/>
      <c r="Q21" s="46"/>
      <c r="R21" s="46"/>
      <c r="S21" s="46"/>
      <c r="T21" s="46"/>
      <c r="U21" s="46"/>
      <c r="V21" s="46"/>
      <c r="W21" s="46"/>
    </row>
    <row r="22" spans="2:36" ht="12" customHeight="1" x14ac:dyDescent="0.25">
      <c r="F22" s="42"/>
      <c r="G22" s="42"/>
      <c r="H22" s="42"/>
      <c r="I22" s="42"/>
      <c r="J22" s="42"/>
      <c r="K22" s="42"/>
      <c r="L22" s="42"/>
    </row>
    <row r="23" spans="2:36" ht="12" customHeight="1" x14ac:dyDescent="0.25"/>
    <row r="24" spans="2:36" ht="12" customHeight="1" x14ac:dyDescent="0.25"/>
    <row r="25" spans="2:36" ht="12" customHeight="1" x14ac:dyDescent="0.25"/>
    <row r="26" spans="2:36" ht="12" customHeight="1" x14ac:dyDescent="0.25"/>
    <row r="27" spans="2:36" ht="12" customHeight="1" x14ac:dyDescent="0.25"/>
    <row r="28" spans="2:36" ht="12" customHeight="1" x14ac:dyDescent="0.25"/>
    <row r="29" spans="2:36" ht="12" customHeight="1" x14ac:dyDescent="0.25"/>
    <row r="30" spans="2:36" ht="15" customHeight="1" x14ac:dyDescent="0.25"/>
    <row r="31" spans="2:36" ht="15" customHeight="1" x14ac:dyDescent="0.25">
      <c r="AJ31" s="48"/>
    </row>
    <row r="32" spans="2:36" ht="19.95" customHeight="1" x14ac:dyDescent="0.25"/>
    <row r="33" spans="2:36" s="48" customFormat="1" ht="19.95" customHeight="1" x14ac:dyDescent="0.25">
      <c r="B33" s="42"/>
      <c r="C33" s="42"/>
      <c r="D33" s="47"/>
      <c r="E33" s="47"/>
      <c r="F33" s="96"/>
      <c r="G33" s="96"/>
      <c r="H33" s="96"/>
      <c r="I33" s="96"/>
      <c r="J33" s="96"/>
      <c r="K33" s="96"/>
      <c r="L33" s="96"/>
      <c r="M33" s="42"/>
      <c r="N33" s="42"/>
      <c r="O33" s="47"/>
      <c r="P33" s="47"/>
      <c r="Q33" s="47"/>
      <c r="R33" s="47"/>
      <c r="S33" s="47"/>
      <c r="T33" s="47"/>
      <c r="U33" s="47"/>
      <c r="V33" s="47"/>
      <c r="W33" s="47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</row>
    <row r="34" spans="2:36" ht="19.95" customHeight="1" x14ac:dyDescent="0.25"/>
    <row r="35" spans="2:36" ht="19.95" customHeight="1" x14ac:dyDescent="0.25"/>
    <row r="36" spans="2:36" ht="19.95" customHeight="1" x14ac:dyDescent="0.25"/>
    <row r="37" spans="2:36" ht="19.95" customHeight="1" x14ac:dyDescent="0.25"/>
    <row r="38" spans="2:36" ht="19.95" customHeight="1" x14ac:dyDescent="0.25"/>
    <row r="39" spans="2:36" ht="19.95" customHeight="1" x14ac:dyDescent="0.25"/>
    <row r="55" ht="13.2" customHeight="1" x14ac:dyDescent="0.25"/>
    <row r="71" ht="13.2" customHeight="1" x14ac:dyDescent="0.25"/>
    <row r="87" ht="13.2" customHeight="1" x14ac:dyDescent="0.25"/>
    <row r="103" ht="13.2" customHeight="1" x14ac:dyDescent="0.25"/>
    <row r="119" ht="13.2" customHeight="1" x14ac:dyDescent="0.25"/>
    <row r="135" ht="13.2" customHeight="1" x14ac:dyDescent="0.25"/>
  </sheetData>
  <sheetProtection sheet="1" formatColumns="0" formatRows="0"/>
  <dataConsolidate/>
  <mergeCells count="27">
    <mergeCell ref="AB13:AC13"/>
    <mergeCell ref="T8:U8"/>
    <mergeCell ref="V8:W8"/>
    <mergeCell ref="X8:Y8"/>
    <mergeCell ref="Z8:AA8"/>
    <mergeCell ref="AB8:AD8"/>
    <mergeCell ref="B13:C13"/>
    <mergeCell ref="B7:B8"/>
    <mergeCell ref="C7:C8"/>
    <mergeCell ref="D7:D8"/>
    <mergeCell ref="B6:D6"/>
    <mergeCell ref="F13:K13"/>
    <mergeCell ref="O7:Q7"/>
    <mergeCell ref="O13:P13"/>
    <mergeCell ref="R8:S8"/>
    <mergeCell ref="F6:M6"/>
    <mergeCell ref="F7:J7"/>
    <mergeCell ref="L7:L8"/>
    <mergeCell ref="M7:M8"/>
    <mergeCell ref="K7:K8"/>
    <mergeCell ref="O6:AJ6"/>
    <mergeCell ref="AJ8:AJ9"/>
    <mergeCell ref="R7:AD7"/>
    <mergeCell ref="AF13:AG13"/>
    <mergeCell ref="AF8:AF9"/>
    <mergeCell ref="AG8:AG9"/>
    <mergeCell ref="AH8:AH9"/>
  </mergeCells>
  <phoneticPr fontId="3" type="noConversion"/>
  <conditionalFormatting sqref="K17:K18 K14:K15">
    <cfRule type="cellIs" dxfId="0" priority="1" stopIfTrue="1" operator="greaterThan">
      <formula>1</formula>
    </cfRule>
  </conditionalFormatting>
  <dataValidations count="5">
    <dataValidation type="list" allowBlank="1" showInputMessage="1" showErrorMessage="1" sqref="K196610:L196618 K262146:L262154 K327682:L327690 K393218:L393226 K458754:L458762 K524290:L524298 K589826:L589834 K655362:L655370 K720898:L720906 K786434:L786442 K851970:L851978 K917506:L917514 K983042:L983050 K65538:L65546 K131074:L131082" xr:uid="{00000000-0002-0000-0100-000000000000}">
      <formula1>$BT$2:$BT$4</formula1>
    </dataValidation>
    <dataValidation type="list" allowBlank="1" showInputMessage="1" showErrorMessage="1" sqref="K10:K12" xr:uid="{00000000-0002-0000-0100-000001000000}">
      <formula1>"Yes, No, N/A"</formula1>
    </dataValidation>
    <dataValidation type="list" allowBlank="1" showInputMessage="1" showErrorMessage="1" sqref="F10:J12" xr:uid="{00000000-0002-0000-0100-000002000000}">
      <formula1>"Yes,No"</formula1>
    </dataValidation>
    <dataValidation type="list" allowBlank="1" showInputMessage="1" showErrorMessage="1" sqref="AF10:AF12" xr:uid="{00000000-0002-0000-0100-000003000000}">
      <formula1>"Yes, No"</formula1>
    </dataValidation>
    <dataValidation type="list" allowBlank="1" showInputMessage="1" showErrorMessage="1" sqref="P10:P12" xr:uid="{00000000-0002-0000-0100-000004000000}">
      <formula1>"Product specific LCA,Product specific Type III Internal EPD,Industry-wide/generic EPD,Product Specific Type III External EPD"</formula1>
    </dataValidation>
  </dataValidations>
  <pageMargins left="1" right="0.75" top="1" bottom="0.75" header="0.5" footer="0.5"/>
  <pageSetup orientation="portrait" r:id="rId1"/>
  <headerFooter alignWithMargins="0">
    <oddFooter>&amp;LU S Green Building Council&amp;C&amp;"Arial,Bold"&amp;A&amp;RLEED&amp;XTM&amp;X Material Tracker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3" r:id="rId4" name="Button 13">
              <controlPr defaultSize="0" print="0" autoFill="0" autoPict="0" macro="[0]!addA">
                <anchor moveWithCells="1">
                  <from>
                    <xdr:col>1</xdr:col>
                    <xdr:colOff>53340</xdr:colOff>
                    <xdr:row>13</xdr:row>
                    <xdr:rowOff>175260</xdr:rowOff>
                  </from>
                  <to>
                    <xdr:col>2</xdr:col>
                    <xdr:colOff>175260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5" name="Button 14">
              <controlPr defaultSize="0" print="0" autoFill="0" autoPict="0" macro="[0]!DeleteRow">
                <anchor moveWithCells="1">
                  <from>
                    <xdr:col>2</xdr:col>
                    <xdr:colOff>251460</xdr:colOff>
                    <xdr:row>13</xdr:row>
                    <xdr:rowOff>190500</xdr:rowOff>
                  </from>
                  <to>
                    <xdr:col>2</xdr:col>
                    <xdr:colOff>1623060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K24"/>
  <sheetViews>
    <sheetView showGridLines="0" zoomScale="90" zoomScaleNormal="90" zoomScalePageLayoutView="90" workbookViewId="0">
      <selection activeCell="H6" sqref="H6"/>
    </sheetView>
  </sheetViews>
  <sheetFormatPr defaultColWidth="8.77734375" defaultRowHeight="15" customHeight="1" x14ac:dyDescent="0.25"/>
  <cols>
    <col min="1" max="2" width="2.6640625" style="3" customWidth="1"/>
    <col min="3" max="3" width="7" style="3" customWidth="1"/>
    <col min="4" max="4" width="2.44140625" style="3" customWidth="1"/>
    <col min="5" max="5" width="5.6640625" style="3" customWidth="1"/>
    <col min="6" max="6" width="68.6640625" style="3" customWidth="1"/>
    <col min="7" max="7" width="2.6640625" style="3" customWidth="1"/>
    <col min="8" max="8" width="14.6640625" style="3" customWidth="1"/>
    <col min="9" max="9" width="2.6640625" style="3" customWidth="1"/>
    <col min="10" max="10" width="2.44140625" style="3" customWidth="1"/>
    <col min="11" max="11" width="28.6640625" style="3" customWidth="1"/>
    <col min="12" max="16384" width="8.77734375" style="3"/>
  </cols>
  <sheetData>
    <row r="2" spans="2:11" ht="15" customHeight="1" x14ac:dyDescent="0.25">
      <c r="B2" s="6"/>
      <c r="C2" s="7"/>
      <c r="D2" s="7"/>
      <c r="E2" s="7"/>
      <c r="F2" s="7"/>
      <c r="G2" s="7"/>
      <c r="H2" s="7"/>
      <c r="I2" s="8"/>
    </row>
    <row r="3" spans="2:11" ht="24.75" customHeight="1" x14ac:dyDescent="0.25">
      <c r="B3" s="9"/>
      <c r="C3" s="10" t="s">
        <v>12</v>
      </c>
      <c r="D3" s="2"/>
      <c r="E3" s="2"/>
      <c r="F3" s="1"/>
      <c r="G3" s="1"/>
      <c r="H3" s="1"/>
      <c r="I3" s="11"/>
      <c r="J3" s="12"/>
      <c r="K3" s="12"/>
    </row>
    <row r="4" spans="2:11" ht="15" customHeight="1" x14ac:dyDescent="0.25">
      <c r="B4" s="9"/>
      <c r="C4" s="13" t="s">
        <v>16</v>
      </c>
      <c r="D4" s="2"/>
      <c r="E4" s="2"/>
      <c r="F4" s="14"/>
      <c r="G4" s="14"/>
      <c r="H4" s="2"/>
      <c r="I4" s="15"/>
      <c r="K4" s="16"/>
    </row>
    <row r="5" spans="2:11" ht="15" customHeight="1" x14ac:dyDescent="0.25">
      <c r="B5" s="9"/>
      <c r="C5" s="2"/>
      <c r="D5" s="17"/>
      <c r="E5" s="14"/>
      <c r="F5" s="14"/>
      <c r="G5" s="14"/>
      <c r="H5" s="17"/>
      <c r="I5" s="15"/>
      <c r="K5" s="16"/>
    </row>
    <row r="6" spans="2:11" ht="15" customHeight="1" x14ac:dyDescent="0.25">
      <c r="B6" s="9"/>
      <c r="C6" s="18" t="s">
        <v>18</v>
      </c>
      <c r="D6" s="1"/>
      <c r="E6" s="1"/>
      <c r="F6" s="1"/>
      <c r="G6" s="2"/>
      <c r="H6" s="127">
        <f>Instructions!G14</f>
        <v>0</v>
      </c>
      <c r="I6" s="4"/>
      <c r="K6" s="19"/>
    </row>
    <row r="7" spans="2:11" ht="9" customHeight="1" x14ac:dyDescent="0.25">
      <c r="B7" s="9"/>
      <c r="C7" s="21"/>
      <c r="D7" s="18"/>
      <c r="E7" s="18"/>
      <c r="F7" s="2"/>
      <c r="G7" s="2"/>
      <c r="H7" s="2"/>
      <c r="I7" s="15"/>
      <c r="K7" s="20"/>
    </row>
    <row r="8" spans="2:11" ht="15" customHeight="1" x14ac:dyDescent="0.25">
      <c r="B8" s="9"/>
      <c r="C8" s="18" t="s">
        <v>47</v>
      </c>
      <c r="D8" s="2"/>
      <c r="E8" s="22"/>
      <c r="F8" s="2"/>
      <c r="G8" s="2"/>
      <c r="H8" s="127">
        <f>Calculator!AJ13</f>
        <v>0</v>
      </c>
      <c r="I8" s="15"/>
      <c r="K8" s="36"/>
    </row>
    <row r="9" spans="2:11" ht="9" customHeight="1" x14ac:dyDescent="0.25">
      <c r="B9" s="9"/>
      <c r="C9" s="22"/>
      <c r="D9" s="2"/>
      <c r="E9" s="22"/>
      <c r="F9" s="2"/>
      <c r="G9" s="2"/>
      <c r="H9" s="2"/>
      <c r="I9" s="15"/>
      <c r="K9" s="24"/>
    </row>
    <row r="10" spans="2:11" ht="15" customHeight="1" x14ac:dyDescent="0.25">
      <c r="B10" s="9"/>
      <c r="C10" s="18" t="s">
        <v>48</v>
      </c>
      <c r="D10" s="2"/>
      <c r="E10" s="18"/>
      <c r="F10" s="23"/>
      <c r="G10" s="2"/>
      <c r="H10" s="128">
        <f>IFERROR(H8/H6,0)</f>
        <v>0</v>
      </c>
      <c r="I10" s="15"/>
      <c r="K10" s="36"/>
    </row>
    <row r="11" spans="2:11" ht="15" customHeight="1" x14ac:dyDescent="0.25">
      <c r="B11" s="28"/>
      <c r="C11" s="5"/>
      <c r="D11" s="29"/>
      <c r="E11" s="29"/>
      <c r="F11" s="29"/>
      <c r="G11" s="5"/>
      <c r="H11" s="5"/>
      <c r="I11" s="30"/>
      <c r="J11" s="25"/>
      <c r="K11" s="35"/>
    </row>
    <row r="12" spans="2:11" ht="15" customHeight="1" x14ac:dyDescent="0.25">
      <c r="J12" s="25"/>
      <c r="K12" s="35"/>
    </row>
    <row r="13" spans="2:11" ht="15" customHeight="1" x14ac:dyDescent="0.25">
      <c r="D13" s="31"/>
      <c r="E13" s="31"/>
      <c r="F13" s="31"/>
      <c r="J13" s="25"/>
      <c r="K13" s="26"/>
    </row>
    <row r="14" spans="2:11" ht="15" customHeight="1" x14ac:dyDescent="0.25">
      <c r="D14" s="299"/>
      <c r="E14" s="299"/>
      <c r="F14" s="299"/>
      <c r="G14" s="32"/>
      <c r="J14" s="25"/>
      <c r="K14" s="300"/>
    </row>
    <row r="15" spans="2:11" ht="15" customHeight="1" x14ac:dyDescent="0.25">
      <c r="D15" s="299"/>
      <c r="E15" s="299"/>
      <c r="F15" s="299"/>
      <c r="J15" s="25"/>
      <c r="K15" s="300"/>
    </row>
    <row r="16" spans="2:11" ht="15" customHeight="1" x14ac:dyDescent="0.25">
      <c r="D16" s="298"/>
      <c r="E16" s="298"/>
      <c r="F16" s="27"/>
      <c r="J16" s="25"/>
      <c r="K16" s="27"/>
    </row>
    <row r="17" spans="4:11" ht="15" customHeight="1" x14ac:dyDescent="0.25">
      <c r="D17" s="298"/>
      <c r="E17" s="298"/>
      <c r="F17" s="27"/>
      <c r="G17" s="33"/>
      <c r="J17" s="25"/>
      <c r="K17" s="26"/>
    </row>
    <row r="18" spans="4:11" ht="15" customHeight="1" x14ac:dyDescent="0.25">
      <c r="D18" s="297"/>
      <c r="E18" s="297"/>
      <c r="F18" s="297"/>
      <c r="G18" s="297"/>
      <c r="J18" s="25"/>
      <c r="K18" s="298"/>
    </row>
    <row r="19" spans="4:11" ht="15" customHeight="1" x14ac:dyDescent="0.25">
      <c r="D19" s="298"/>
      <c r="E19" s="298"/>
      <c r="F19" s="31"/>
      <c r="J19" s="25"/>
      <c r="K19" s="298"/>
    </row>
    <row r="20" spans="4:11" ht="15" customHeight="1" x14ac:dyDescent="0.25">
      <c r="D20" s="298"/>
      <c r="E20" s="298"/>
      <c r="F20" s="31"/>
      <c r="G20" s="34"/>
      <c r="J20" s="25"/>
      <c r="K20" s="53"/>
    </row>
    <row r="21" spans="4:11" ht="15" customHeight="1" x14ac:dyDescent="0.25">
      <c r="D21" s="297"/>
      <c r="E21" s="297"/>
      <c r="F21" s="31"/>
      <c r="J21" s="25"/>
      <c r="K21" s="298"/>
    </row>
    <row r="22" spans="4:11" ht="15" customHeight="1" x14ac:dyDescent="0.25">
      <c r="J22" s="25"/>
      <c r="K22" s="298"/>
    </row>
    <row r="23" spans="4:11" ht="15" customHeight="1" x14ac:dyDescent="0.25">
      <c r="J23" s="25"/>
      <c r="K23" s="53"/>
    </row>
    <row r="24" spans="4:11" ht="15" customHeight="1" x14ac:dyDescent="0.25">
      <c r="J24" s="25"/>
      <c r="K24" s="25"/>
    </row>
  </sheetData>
  <sheetProtection algorithmName="SHA-512" hashValue="cPQTCxHQWax/q6Ci7LLPnQHhp/YgEhtD1KeDd8RcWyPaWyWIPRaYc7oZ0g/DETL3K57aqiyQfGlWWS+BqVYGPQ==" saltValue="9xpyyL3Ab4Tb/S6O5hbyVQ==" spinCount="100000" sheet="1" objects="1" scenarios="1"/>
  <mergeCells count="8">
    <mergeCell ref="D21:E21"/>
    <mergeCell ref="K21:K22"/>
    <mergeCell ref="D14:F15"/>
    <mergeCell ref="K14:K15"/>
    <mergeCell ref="D16:E17"/>
    <mergeCell ref="D18:G18"/>
    <mergeCell ref="K18:K19"/>
    <mergeCell ref="D19:E20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A613617A7C5B46826CF6D217F037D7" ma:contentTypeVersion="17" ma:contentTypeDescription="Create a new document." ma:contentTypeScope="" ma:versionID="e999bd87669cd8477f7eb10dc20f5d1a">
  <xsd:schema xmlns:xsd="http://www.w3.org/2001/XMLSchema" xmlns:xs="http://www.w3.org/2001/XMLSchema" xmlns:p="http://schemas.microsoft.com/office/2006/metadata/properties" xmlns:ns1="http://schemas.microsoft.com/sharepoint/v3" xmlns:ns3="ce537f1a-68b8-4212-8072-4597f22b4385" xmlns:ns4="ba895b08-f796-4204-acce-b11d769937f4" targetNamespace="http://schemas.microsoft.com/office/2006/metadata/properties" ma:root="true" ma:fieldsID="f67d12b2bba6bf1c9605a5abf410a527" ns1:_="" ns3:_="" ns4:_="">
    <xsd:import namespace="http://schemas.microsoft.com/sharepoint/v3"/>
    <xsd:import namespace="ce537f1a-68b8-4212-8072-4597f22b4385"/>
    <xsd:import namespace="ba895b08-f796-4204-acce-b11d769937f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EventHashCode" minOccurs="0"/>
                <xsd:element ref="ns4:MediaServiceGenerationTime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1:_ip_UnifiedCompliancePolicyProperties" minOccurs="0"/>
                <xsd:element ref="ns1:_ip_UnifiedCompliancePolicyUIAc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537f1a-68b8-4212-8072-4597f22b438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895b08-f796-4204-acce-b11d769937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8470AB-8A7A-4928-B23F-D2A07CC35D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301030-F6E4-42E3-BC30-2AF4ED39194B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D56B9C0D-4BD6-4419-BE22-29E6FA9E2C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e537f1a-68b8-4212-8072-4597f22b4385"/>
    <ds:schemaRef ds:uri="ba895b08-f796-4204-acce-b11d769937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Calculator</vt:lpstr>
      <vt:lpstr>Summary</vt:lpstr>
      <vt:lpstr>Instructions!Print_Area</vt:lpstr>
      <vt:lpstr>Calculator!Print_Titles</vt:lpstr>
    </vt:vector>
  </TitlesOfParts>
  <Company>USGBC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USGBC</dc:creator>
  <cp:lastModifiedBy>Mikaela Kieffer</cp:lastModifiedBy>
  <cp:lastPrinted>2010-10-11T23:47:34Z</cp:lastPrinted>
  <dcterms:created xsi:type="dcterms:W3CDTF">2002-04-04T14:19:14Z</dcterms:created>
  <dcterms:modified xsi:type="dcterms:W3CDTF">2023-07-24T20:47:12Z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0x01010025A613617A7C5B46826CF6D217F037D7</vt:lpwstr>
  </property>
</Properties>
</file>