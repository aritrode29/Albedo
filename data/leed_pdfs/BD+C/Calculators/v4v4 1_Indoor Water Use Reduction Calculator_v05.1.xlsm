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6.xml" ContentType="application/vnd.openxmlformats-officedocument.drawing+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drawings/drawing8.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https://usgbc-my.sharepoint.com/personal/csnyder_usgbc_org/Documents/WE/ND Indoor Water Use Calc/"/>
    </mc:Choice>
  </mc:AlternateContent>
  <xr:revisionPtr revIDLastSave="28" documentId="8_{3DA7016B-11B2-48B0-9C06-6CA12AAC6DE5}" xr6:coauthVersionLast="47" xr6:coauthVersionMax="47" xr10:uidLastSave="{BC055738-AEB6-4739-94FB-8A9A65FFC418}"/>
  <workbookProtection workbookAlgorithmName="SHA-512" workbookHashValue="gjbJ6iIO7nWa5PsxQyHEyflhqGjhSJqnYDpE5c9A8sGUWKezxM3YD/RV0vgRBEQ4ZrlhtBq7CSmvBBBBk1P7rA==" workbookSaltValue="wGz86glRzsbYzHde9VKSvA==" workbookSpinCount="100000" lockStructure="1"/>
  <bookViews>
    <workbookView xWindow="28680" yWindow="-120" windowWidth="29040" windowHeight="15840" tabRatio="832" xr2:uid="{00000000-000D-0000-FFFF-FFFF00000000}"/>
  </bookViews>
  <sheets>
    <sheet name="Instructions" sheetId="4" r:id="rId1"/>
    <sheet name="Group 1" sheetId="70" r:id="rId2"/>
    <sheet name="Base Calc" sheetId="37" state="hidden" r:id="rId3"/>
    <sheet name="Lowrise Indoor Water Use" sheetId="49" state="hidden" r:id="rId4"/>
    <sheet name="Lowrise Wastewater Use" sheetId="47" state="hidden" r:id="rId5"/>
    <sheet name="Summary D+C" sheetId="11" r:id="rId6"/>
    <sheet name="Summary O+M" sheetId="12" r:id="rId7"/>
    <sheet name="Summary ND" sheetId="48" state="hidden" r:id="rId8"/>
  </sheets>
  <definedNames>
    <definedName name="_unitType">'Lowrise Wastewater Use'!$W$10:$W$17</definedName>
    <definedName name="CellBelow">"B7"</definedName>
    <definedName name="Default" localSheetId="1">'Group 1'!$AB$15:$AG$17</definedName>
    <definedName name="Default">'Base Calc'!$AB$15:$AG$17</definedName>
    <definedName name="FlowFixture">Instructions!$C$48:$C$53</definedName>
    <definedName name="FlushFixture">Instructions!$C$45:$C$47</definedName>
    <definedName name="NDrs">Instructions!$V$57</definedName>
    <definedName name="NDsteps">Instructions!$17:$29</definedName>
    <definedName name="Nondefault" localSheetId="1">'Group 1'!$AB$11:$AG$13</definedName>
    <definedName name="Nondefault">'Base Calc'!$AB$11:$AG$13</definedName>
    <definedName name="nonNDsteps">Instructions!$30:$35</definedName>
    <definedName name="Ratio1" localSheetId="1">'Group 1'!$AB$16:$AG$17</definedName>
    <definedName name="Ratio1">'Base Calc'!$AB$16:$AG$17</definedName>
    <definedName name="Ratio2" localSheetId="1">'Group 1'!$D$12:$I$13</definedName>
    <definedName name="Ratio2">'Base Calc'!$D$12:$I$13</definedName>
    <definedName name="Sheets">TRANSPOSE(GET.WORKBOOK(1))&amp;T(NOW())</definedName>
    <definedName name="Table" localSheetId="1">'Group 1'!$D$11:$I$13</definedName>
    <definedName name="Table">'Base Calc'!$D$11:$I$13</definedName>
    <definedName name="Toilet">Instructions!$U$60:$U$63</definedName>
    <definedName name="Total1" localSheetId="1">'Group 1'!$AB$11:$AG$11</definedName>
    <definedName name="Total1">'Base Calc'!$AB$11:$AG$11</definedName>
    <definedName name="Total2" localSheetId="1">'Group 1'!$D$11:$I$11</definedName>
    <definedName name="Total2">'Base Calc'!$D$11:$I$11</definedName>
    <definedName name="UOM">Instructions!$T$57</definedName>
    <definedName name="Urinal">Instructions!$V$60:$V$62</definedName>
  </definedNames>
  <calcPr calcId="191028"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O48" i="70" l="1"/>
  <c r="N48" i="70"/>
  <c r="M48" i="70"/>
  <c r="L48" i="70"/>
  <c r="K48" i="70"/>
  <c r="E48" i="70"/>
  <c r="O47" i="70"/>
  <c r="N47" i="70"/>
  <c r="M47" i="70"/>
  <c r="L47" i="70"/>
  <c r="K47" i="70"/>
  <c r="E47" i="70"/>
  <c r="O46" i="70"/>
  <c r="N46" i="70"/>
  <c r="M46" i="70"/>
  <c r="L46" i="70"/>
  <c r="K46" i="70"/>
  <c r="E46" i="70"/>
  <c r="A46" i="70"/>
  <c r="O45" i="70"/>
  <c r="N45" i="70"/>
  <c r="M45" i="70"/>
  <c r="L45" i="70"/>
  <c r="K45" i="70"/>
  <c r="E45" i="70"/>
  <c r="A45" i="70"/>
  <c r="O44" i="70"/>
  <c r="N44" i="70"/>
  <c r="M44" i="70"/>
  <c r="L44" i="70"/>
  <c r="K44" i="70"/>
  <c r="E44" i="70"/>
  <c r="A44" i="70"/>
  <c r="P43" i="70"/>
  <c r="X35" i="70"/>
  <c r="O35" i="70"/>
  <c r="N35" i="70"/>
  <c r="M35" i="70"/>
  <c r="L35" i="70"/>
  <c r="K35" i="70"/>
  <c r="X34" i="70"/>
  <c r="O34" i="70"/>
  <c r="N34" i="70"/>
  <c r="M34" i="70"/>
  <c r="L34" i="70"/>
  <c r="K34" i="70"/>
  <c r="X33" i="70"/>
  <c r="O33" i="70"/>
  <c r="N33" i="70"/>
  <c r="M33" i="70"/>
  <c r="L33" i="70"/>
  <c r="K33" i="70"/>
  <c r="A33" i="70"/>
  <c r="X32" i="70"/>
  <c r="O32" i="70"/>
  <c r="N32" i="70"/>
  <c r="M32" i="70"/>
  <c r="L32" i="70"/>
  <c r="K32" i="70"/>
  <c r="A32" i="70"/>
  <c r="X31" i="70"/>
  <c r="O31" i="70"/>
  <c r="N31" i="70"/>
  <c r="M31" i="70"/>
  <c r="L31" i="70"/>
  <c r="K31" i="70"/>
  <c r="A31" i="70"/>
  <c r="P30" i="70"/>
  <c r="B20" i="70"/>
  <c r="AE17" i="70"/>
  <c r="AD16" i="70"/>
  <c r="I13" i="70"/>
  <c r="H13" i="70"/>
  <c r="G13" i="70"/>
  <c r="F13" i="70"/>
  <c r="E13" i="70"/>
  <c r="D13" i="70"/>
  <c r="K13" i="70" s="1"/>
  <c r="I12" i="70"/>
  <c r="H12" i="70"/>
  <c r="G12" i="70"/>
  <c r="F12" i="70"/>
  <c r="E12" i="70"/>
  <c r="D12" i="70"/>
  <c r="AG11" i="70"/>
  <c r="AG17" i="70" s="1"/>
  <c r="AF11" i="70"/>
  <c r="AF16" i="70" s="1"/>
  <c r="AE11" i="70"/>
  <c r="AE16" i="70" s="1"/>
  <c r="AD11" i="70"/>
  <c r="AD17" i="70" s="1"/>
  <c r="AC11" i="70"/>
  <c r="AC17" i="70" s="1"/>
  <c r="AB11" i="70"/>
  <c r="AB16" i="70" s="1"/>
  <c r="B2" i="70"/>
  <c r="I13" i="37"/>
  <c r="H13" i="37"/>
  <c r="G13" i="37"/>
  <c r="F13" i="37"/>
  <c r="E13" i="37"/>
  <c r="D13" i="37"/>
  <c r="I12" i="37"/>
  <c r="H12" i="37"/>
  <c r="G12" i="37"/>
  <c r="F12" i="37"/>
  <c r="E12" i="37"/>
  <c r="D12" i="37"/>
  <c r="R32" i="70" l="1"/>
  <c r="V32" i="70" s="1"/>
  <c r="R48" i="70"/>
  <c r="V48" i="70" s="1"/>
  <c r="K12" i="70"/>
  <c r="K11" i="70" s="1"/>
  <c r="R47" i="70"/>
  <c r="V47" i="70" s="1"/>
  <c r="R44" i="70"/>
  <c r="V44" i="70" s="1"/>
  <c r="R34" i="70"/>
  <c r="V34" i="70" s="1"/>
  <c r="AG16" i="70"/>
  <c r="R45" i="70"/>
  <c r="V45" i="70" s="1"/>
  <c r="R46" i="70"/>
  <c r="V46" i="70" s="1"/>
  <c r="AC16" i="70"/>
  <c r="R31" i="70"/>
  <c r="V31" i="70" s="1"/>
  <c r="AF17" i="70"/>
  <c r="R33" i="70"/>
  <c r="V33" i="70" s="1"/>
  <c r="R35" i="70"/>
  <c r="V35" i="70" s="1"/>
  <c r="AB17" i="70"/>
  <c r="E25" i="70" l="1"/>
  <c r="I37" i="70"/>
  <c r="Z14" i="70" s="1"/>
  <c r="I50" i="70"/>
  <c r="Z13" i="70" s="1"/>
  <c r="T57" i="4" l="1"/>
  <c r="G43" i="37" s="1"/>
  <c r="V57" i="4"/>
  <c r="E36" i="4" s="1"/>
  <c r="N14" i="49"/>
  <c r="J25" i="48" s="1"/>
  <c r="R118" i="47"/>
  <c r="Q118" i="47"/>
  <c r="R117" i="47"/>
  <c r="Q117" i="47"/>
  <c r="R116" i="47"/>
  <c r="Q116" i="47"/>
  <c r="R115" i="47"/>
  <c r="T115" i="47" s="1"/>
  <c r="Q115" i="47"/>
  <c r="R114" i="47"/>
  <c r="T114" i="47" s="1"/>
  <c r="Q114" i="47"/>
  <c r="R99" i="47"/>
  <c r="R98" i="47"/>
  <c r="R97" i="47"/>
  <c r="R96" i="47"/>
  <c r="R95" i="47"/>
  <c r="T95" i="47" s="1"/>
  <c r="R80" i="47"/>
  <c r="Q80" i="47"/>
  <c r="R79" i="47"/>
  <c r="Q79" i="47"/>
  <c r="R78" i="47"/>
  <c r="Q78" i="47"/>
  <c r="R77" i="47"/>
  <c r="Q77" i="47"/>
  <c r="R76" i="47"/>
  <c r="Q76" i="47"/>
  <c r="R56" i="47"/>
  <c r="Q56" i="47"/>
  <c r="R55" i="47"/>
  <c r="Q55" i="47"/>
  <c r="R54" i="47"/>
  <c r="Q54" i="47"/>
  <c r="R53" i="47"/>
  <c r="Q53" i="47"/>
  <c r="R52" i="47"/>
  <c r="Q52" i="47"/>
  <c r="R38" i="47"/>
  <c r="Q38" i="47"/>
  <c r="R37" i="47"/>
  <c r="Q37" i="47"/>
  <c r="R36" i="47"/>
  <c r="Q36" i="47"/>
  <c r="R35" i="47"/>
  <c r="Q35" i="47"/>
  <c r="R34" i="47"/>
  <c r="Q34" i="47"/>
  <c r="K11" i="49"/>
  <c r="K12" i="49"/>
  <c r="K13" i="49"/>
  <c r="H10" i="49"/>
  <c r="H12" i="49"/>
  <c r="H13" i="49"/>
  <c r="E10" i="49"/>
  <c r="E12" i="49"/>
  <c r="E13" i="49"/>
  <c r="K9" i="49"/>
  <c r="M13" i="49"/>
  <c r="M12" i="49"/>
  <c r="M11" i="49"/>
  <c r="A11" i="49"/>
  <c r="M10" i="49"/>
  <c r="A10" i="49"/>
  <c r="M9" i="49"/>
  <c r="A9" i="49"/>
  <c r="B2" i="49"/>
  <c r="K138" i="47"/>
  <c r="J138" i="47"/>
  <c r="K137" i="47"/>
  <c r="J137" i="47"/>
  <c r="K136" i="47"/>
  <c r="J136" i="47"/>
  <c r="K135" i="47"/>
  <c r="J135" i="47"/>
  <c r="C134" i="47"/>
  <c r="K134" i="47" s="1"/>
  <c r="D119" i="47"/>
  <c r="V118" i="47"/>
  <c r="E118" i="47" s="1"/>
  <c r="P118" i="47"/>
  <c r="M118" i="47"/>
  <c r="N118" i="47" s="1"/>
  <c r="K118" i="47"/>
  <c r="I118" i="47"/>
  <c r="G118" i="47"/>
  <c r="V117" i="47"/>
  <c r="E117" i="47" s="1"/>
  <c r="E119" i="47" s="1"/>
  <c r="P117" i="47"/>
  <c r="M117" i="47"/>
  <c r="K117" i="47"/>
  <c r="N117" i="47" s="1"/>
  <c r="I117" i="47"/>
  <c r="G117" i="47"/>
  <c r="V116" i="47"/>
  <c r="E116" i="47"/>
  <c r="P116" i="47"/>
  <c r="M116" i="47"/>
  <c r="K116" i="47"/>
  <c r="I116" i="47"/>
  <c r="N116" i="47" s="1"/>
  <c r="G116" i="47"/>
  <c r="A116" i="47"/>
  <c r="V115" i="47"/>
  <c r="E115" i="47"/>
  <c r="P115" i="47"/>
  <c r="M115" i="47"/>
  <c r="K115" i="47"/>
  <c r="I115" i="47"/>
  <c r="N115" i="47" s="1"/>
  <c r="G115" i="47"/>
  <c r="A115" i="47"/>
  <c r="V114" i="47"/>
  <c r="P114" i="47"/>
  <c r="M114" i="47"/>
  <c r="K114" i="47"/>
  <c r="I114" i="47"/>
  <c r="G114" i="47"/>
  <c r="N114" i="47" s="1"/>
  <c r="E114" i="47"/>
  <c r="A114" i="47"/>
  <c r="A108" i="47"/>
  <c r="A107" i="47"/>
  <c r="A106" i="47"/>
  <c r="D100" i="47"/>
  <c r="V99" i="47"/>
  <c r="E99" i="47"/>
  <c r="Q99" i="47"/>
  <c r="P99" i="47"/>
  <c r="M99" i="47"/>
  <c r="K99" i="47"/>
  <c r="I99" i="47"/>
  <c r="G99" i="47"/>
  <c r="V98" i="47"/>
  <c r="E98" i="47"/>
  <c r="Q98" i="47"/>
  <c r="P98" i="47"/>
  <c r="M98" i="47"/>
  <c r="K98" i="47"/>
  <c r="I98" i="47"/>
  <c r="G98" i="47"/>
  <c r="V97" i="47"/>
  <c r="E97" i="47"/>
  <c r="Q97" i="47"/>
  <c r="P97" i="47"/>
  <c r="M97" i="47"/>
  <c r="K97" i="47"/>
  <c r="I97" i="47"/>
  <c r="G97" i="47"/>
  <c r="A97" i="47"/>
  <c r="V96" i="47"/>
  <c r="E96" i="47" s="1"/>
  <c r="E100" i="47" s="1"/>
  <c r="Q96" i="47"/>
  <c r="P96" i="47"/>
  <c r="M96" i="47"/>
  <c r="K96" i="47"/>
  <c r="I96" i="47"/>
  <c r="G96" i="47"/>
  <c r="A96" i="47"/>
  <c r="V95" i="47"/>
  <c r="E95" i="47"/>
  <c r="Q95" i="47"/>
  <c r="P95" i="47"/>
  <c r="M95" i="47"/>
  <c r="K95" i="47"/>
  <c r="I95" i="47"/>
  <c r="G95" i="47"/>
  <c r="N95" i="47" s="1"/>
  <c r="O95" i="47" s="1"/>
  <c r="S95" i="47" s="1"/>
  <c r="A95" i="47"/>
  <c r="A89" i="47"/>
  <c r="A88" i="47"/>
  <c r="A87" i="47"/>
  <c r="D81" i="47"/>
  <c r="V80" i="47"/>
  <c r="E80" i="47" s="1"/>
  <c r="P80" i="47"/>
  <c r="O80" i="47" s="1"/>
  <c r="M80" i="47"/>
  <c r="K80" i="47"/>
  <c r="I80" i="47"/>
  <c r="G80" i="47"/>
  <c r="V79" i="47"/>
  <c r="E79" i="47"/>
  <c r="P79" i="47"/>
  <c r="M79" i="47"/>
  <c r="K79" i="47"/>
  <c r="I79" i="47"/>
  <c r="G79" i="47"/>
  <c r="V78" i="47"/>
  <c r="E78" i="47" s="1"/>
  <c r="P78" i="47"/>
  <c r="M78" i="47"/>
  <c r="K78" i="47"/>
  <c r="N78" i="47" s="1"/>
  <c r="I78" i="47"/>
  <c r="G78" i="47"/>
  <c r="A78" i="47"/>
  <c r="V77" i="47"/>
  <c r="E77" i="47" s="1"/>
  <c r="P77" i="47"/>
  <c r="M77" i="47"/>
  <c r="K77" i="47"/>
  <c r="N77" i="47" s="1"/>
  <c r="I77" i="47"/>
  <c r="G77" i="47"/>
  <c r="A77" i="47"/>
  <c r="V76" i="47"/>
  <c r="E76" i="47" s="1"/>
  <c r="E81" i="47" s="1"/>
  <c r="P76" i="47"/>
  <c r="M76" i="47"/>
  <c r="K76" i="47"/>
  <c r="I76" i="47"/>
  <c r="G76" i="47"/>
  <c r="N76" i="47" s="1"/>
  <c r="A76" i="47"/>
  <c r="A70" i="47"/>
  <c r="A69" i="47"/>
  <c r="A68" i="47"/>
  <c r="E65" i="47"/>
  <c r="D57" i="47"/>
  <c r="V56" i="47"/>
  <c r="E56" i="47"/>
  <c r="P56" i="47"/>
  <c r="M56" i="47"/>
  <c r="N56" i="47" s="1"/>
  <c r="K56" i="47"/>
  <c r="I56" i="47"/>
  <c r="G56" i="47"/>
  <c r="V55" i="47"/>
  <c r="E55" i="47" s="1"/>
  <c r="P55" i="47"/>
  <c r="M55" i="47"/>
  <c r="K55" i="47"/>
  <c r="N55" i="47" s="1"/>
  <c r="I55" i="47"/>
  <c r="G55" i="47"/>
  <c r="V54" i="47"/>
  <c r="E54" i="47"/>
  <c r="P54" i="47"/>
  <c r="M54" i="47"/>
  <c r="K54" i="47"/>
  <c r="I54" i="47"/>
  <c r="N54" i="47" s="1"/>
  <c r="G54" i="47"/>
  <c r="A54" i="47"/>
  <c r="V53" i="47"/>
  <c r="E53" i="47"/>
  <c r="P53" i="47"/>
  <c r="M53" i="47"/>
  <c r="K53" i="47"/>
  <c r="I53" i="47"/>
  <c r="N53" i="47" s="1"/>
  <c r="G53" i="47"/>
  <c r="A53" i="47"/>
  <c r="V52" i="47"/>
  <c r="E52" i="47"/>
  <c r="E57" i="47" s="1"/>
  <c r="P52" i="47"/>
  <c r="M52" i="47"/>
  <c r="K52" i="47"/>
  <c r="I52" i="47"/>
  <c r="N52" i="47" s="1"/>
  <c r="G52" i="47"/>
  <c r="A52" i="47"/>
  <c r="A46" i="47"/>
  <c r="A45" i="47"/>
  <c r="A44" i="47"/>
  <c r="D39" i="47"/>
  <c r="V38" i="47"/>
  <c r="E38" i="47"/>
  <c r="P38" i="47"/>
  <c r="M38" i="47"/>
  <c r="K38" i="47"/>
  <c r="I38" i="47"/>
  <c r="N38" i="47" s="1"/>
  <c r="G38" i="47"/>
  <c r="V37" i="47"/>
  <c r="E37" i="47" s="1"/>
  <c r="E39" i="47" s="1"/>
  <c r="P37" i="47"/>
  <c r="M37" i="47"/>
  <c r="K37" i="47"/>
  <c r="I37" i="47"/>
  <c r="G37" i="47"/>
  <c r="N37" i="47" s="1"/>
  <c r="V36" i="47"/>
  <c r="E36" i="47"/>
  <c r="P36" i="47"/>
  <c r="M36" i="47"/>
  <c r="K36" i="47"/>
  <c r="I36" i="47"/>
  <c r="G36" i="47"/>
  <c r="N36" i="47" s="1"/>
  <c r="A36" i="47"/>
  <c r="V35" i="47"/>
  <c r="E35" i="47"/>
  <c r="P35" i="47"/>
  <c r="M35" i="47"/>
  <c r="K35" i="47"/>
  <c r="I35" i="47"/>
  <c r="G35" i="47"/>
  <c r="A35" i="47"/>
  <c r="V34" i="47"/>
  <c r="E34" i="47"/>
  <c r="P34" i="47"/>
  <c r="M34" i="47"/>
  <c r="K34" i="47"/>
  <c r="I34" i="47"/>
  <c r="G34" i="47"/>
  <c r="N34" i="47" s="1"/>
  <c r="A34" i="47"/>
  <c r="A27" i="47"/>
  <c r="A26" i="47"/>
  <c r="A25" i="47"/>
  <c r="C18" i="47"/>
  <c r="D17" i="47"/>
  <c r="D16" i="47"/>
  <c r="D15" i="47"/>
  <c r="A15" i="47"/>
  <c r="D14" i="47"/>
  <c r="A14" i="47"/>
  <c r="D13" i="47"/>
  <c r="A13" i="47"/>
  <c r="D12" i="47"/>
  <c r="A12" i="47"/>
  <c r="D11" i="47"/>
  <c r="A11" i="47"/>
  <c r="N97" i="47"/>
  <c r="O97" i="47"/>
  <c r="J134" i="47"/>
  <c r="N35" i="47"/>
  <c r="D18" i="47"/>
  <c r="N79" i="47"/>
  <c r="N99" i="47"/>
  <c r="N80" i="47"/>
  <c r="N96" i="47"/>
  <c r="N98" i="47"/>
  <c r="O98" i="47" s="1"/>
  <c r="S98" i="47" s="1"/>
  <c r="J21" i="12"/>
  <c r="K13" i="37"/>
  <c r="K12" i="37"/>
  <c r="M32" i="37"/>
  <c r="O32" i="37"/>
  <c r="O33" i="37"/>
  <c r="O34" i="37"/>
  <c r="O35" i="37"/>
  <c r="O31" i="37"/>
  <c r="M35" i="37"/>
  <c r="M34" i="37"/>
  <c r="M33" i="37"/>
  <c r="M31" i="37"/>
  <c r="X32" i="37"/>
  <c r="X33" i="37"/>
  <c r="X34" i="37"/>
  <c r="X35" i="37"/>
  <c r="X31" i="37"/>
  <c r="P30" i="37"/>
  <c r="P43" i="37"/>
  <c r="A45" i="37"/>
  <c r="E45" i="37"/>
  <c r="A32" i="37"/>
  <c r="E48" i="37"/>
  <c r="E47" i="37"/>
  <c r="E46" i="37"/>
  <c r="A46" i="37"/>
  <c r="E44" i="37"/>
  <c r="A44" i="37"/>
  <c r="A33" i="37"/>
  <c r="A31" i="37"/>
  <c r="B20" i="37"/>
  <c r="B2" i="37"/>
  <c r="D5" i="37" s="1"/>
  <c r="H30" i="37"/>
  <c r="B25" i="37"/>
  <c r="V43" i="37"/>
  <c r="G32" i="37"/>
  <c r="G35" i="37"/>
  <c r="B37" i="37"/>
  <c r="B50" i="37"/>
  <c r="D22" i="12"/>
  <c r="D19" i="12"/>
  <c r="E9" i="11"/>
  <c r="AF11" i="37"/>
  <c r="AF17" i="37"/>
  <c r="AC11" i="37"/>
  <c r="AC16" i="37" s="1"/>
  <c r="AC17" i="37"/>
  <c r="AE11" i="37"/>
  <c r="AE17" i="37"/>
  <c r="AB11" i="37"/>
  <c r="AB17" i="37"/>
  <c r="AD11" i="37"/>
  <c r="AD17" i="37"/>
  <c r="AG11" i="37"/>
  <c r="AG17" i="37" s="1"/>
  <c r="AG16" i="37"/>
  <c r="AE16" i="37"/>
  <c r="AF16" i="37"/>
  <c r="AD16" i="37"/>
  <c r="L44" i="37"/>
  <c r="L33" i="37"/>
  <c r="L35" i="37"/>
  <c r="L48" i="37"/>
  <c r="L47" i="37"/>
  <c r="L31" i="37"/>
  <c r="L46" i="37"/>
  <c r="L34" i="37"/>
  <c r="L32" i="37"/>
  <c r="L45" i="37"/>
  <c r="N34" i="37"/>
  <c r="N33" i="37"/>
  <c r="N47" i="37"/>
  <c r="N35" i="37"/>
  <c r="N32" i="37"/>
  <c r="N45" i="37"/>
  <c r="N46" i="37"/>
  <c r="N31" i="37"/>
  <c r="N44" i="37"/>
  <c r="N48" i="37"/>
  <c r="O47" i="37"/>
  <c r="O45" i="37"/>
  <c r="O48" i="37"/>
  <c r="O46" i="37"/>
  <c r="O44" i="37"/>
  <c r="K34" i="37"/>
  <c r="K46" i="37"/>
  <c r="K32" i="37"/>
  <c r="K45" i="37"/>
  <c r="K35" i="37"/>
  <c r="K44" i="37"/>
  <c r="K33" i="37"/>
  <c r="K31" i="37"/>
  <c r="K48" i="37"/>
  <c r="K47" i="37"/>
  <c r="M45" i="37"/>
  <c r="M44" i="37"/>
  <c r="M46" i="37"/>
  <c r="M48" i="37"/>
  <c r="M47" i="37"/>
  <c r="AB16" i="37"/>
  <c r="D14" i="11"/>
  <c r="G33" i="37"/>
  <c r="G34" i="37"/>
  <c r="G45" i="37"/>
  <c r="U30" i="37"/>
  <c r="E15" i="12"/>
  <c r="B36" i="37"/>
  <c r="G46" i="37"/>
  <c r="B24" i="37"/>
  <c r="G30" i="37"/>
  <c r="D43" i="48"/>
  <c r="D41" i="48"/>
  <c r="H11" i="49"/>
  <c r="E11" i="49"/>
  <c r="D20" i="12"/>
  <c r="G48" i="37"/>
  <c r="G44" i="37"/>
  <c r="H9" i="11"/>
  <c r="V30" i="37"/>
  <c r="H123" i="47"/>
  <c r="M113" i="47"/>
  <c r="T112" i="47"/>
  <c r="O112" i="47"/>
  <c r="P93" i="47"/>
  <c r="M75" i="47"/>
  <c r="T74" i="47"/>
  <c r="O74" i="47"/>
  <c r="B64" i="47"/>
  <c r="M51" i="47"/>
  <c r="T50" i="47"/>
  <c r="O50" i="47"/>
  <c r="G33" i="47"/>
  <c r="Q32" i="47"/>
  <c r="K10" i="49"/>
  <c r="H9" i="49"/>
  <c r="D8" i="49"/>
  <c r="G123" i="47"/>
  <c r="K113" i="47"/>
  <c r="S112" i="47"/>
  <c r="N112" i="47"/>
  <c r="T93" i="47"/>
  <c r="O93" i="47"/>
  <c r="K75" i="47"/>
  <c r="S74" i="47"/>
  <c r="N74" i="47"/>
  <c r="B63" i="47"/>
  <c r="K51" i="47"/>
  <c r="S50" i="47"/>
  <c r="N50" i="47"/>
  <c r="M33" i="47"/>
  <c r="T32" i="47"/>
  <c r="O32" i="47"/>
  <c r="E9" i="49"/>
  <c r="D18" i="48"/>
  <c r="I113" i="47"/>
  <c r="R112" i="47"/>
  <c r="C105" i="47"/>
  <c r="S93" i="47"/>
  <c r="I75" i="47"/>
  <c r="R74" i="47"/>
  <c r="C67" i="47"/>
  <c r="I51" i="47"/>
  <c r="R50" i="47"/>
  <c r="C43" i="47"/>
  <c r="K33" i="47"/>
  <c r="S32" i="47"/>
  <c r="N32" i="47"/>
  <c r="J8" i="49"/>
  <c r="I123" i="47"/>
  <c r="G113" i="47"/>
  <c r="Q112" i="47"/>
  <c r="B104" i="47"/>
  <c r="R93" i="47"/>
  <c r="G75" i="47"/>
  <c r="Q74" i="47"/>
  <c r="B65" i="47"/>
  <c r="G51" i="47"/>
  <c r="Q50" i="47"/>
  <c r="I33" i="47"/>
  <c r="R32" i="47"/>
  <c r="C24" i="47"/>
  <c r="G8" i="49"/>
  <c r="D19" i="48"/>
  <c r="H14" i="48"/>
  <c r="E14" i="48"/>
  <c r="H15" i="12"/>
  <c r="D13" i="11"/>
  <c r="G31" i="37"/>
  <c r="G47" i="37"/>
  <c r="B49" i="37"/>
  <c r="U43" i="37"/>
  <c r="B23" i="37"/>
  <c r="O99" i="47"/>
  <c r="O96" i="47"/>
  <c r="D17" i="12"/>
  <c r="D11" i="11"/>
  <c r="F40" i="48"/>
  <c r="F20" i="11"/>
  <c r="D16" i="48"/>
  <c r="F28" i="12"/>
  <c r="S97" i="47" l="1"/>
  <c r="O55" i="47"/>
  <c r="S55" i="47" s="1"/>
  <c r="T118" i="47"/>
  <c r="O53" i="47"/>
  <c r="S53" i="47" s="1"/>
  <c r="O54" i="47"/>
  <c r="S54" i="47" s="1"/>
  <c r="T36" i="47"/>
  <c r="T53" i="47"/>
  <c r="T76" i="47"/>
  <c r="T80" i="47"/>
  <c r="O79" i="47"/>
  <c r="S79" i="47" s="1"/>
  <c r="O118" i="47"/>
  <c r="S118" i="47" s="1"/>
  <c r="T37" i="47"/>
  <c r="T54" i="47"/>
  <c r="T77" i="47"/>
  <c r="T96" i="47"/>
  <c r="O77" i="47"/>
  <c r="S77" i="47" s="1"/>
  <c r="O78" i="47"/>
  <c r="S78" i="47" s="1"/>
  <c r="O117" i="47"/>
  <c r="S117" i="47" s="1"/>
  <c r="T97" i="47"/>
  <c r="T116" i="47"/>
  <c r="S80" i="47"/>
  <c r="S96" i="47"/>
  <c r="O38" i="47"/>
  <c r="S38" i="47" s="1"/>
  <c r="O115" i="47"/>
  <c r="S115" i="47" s="1"/>
  <c r="O116" i="47"/>
  <c r="S116" i="47" s="1"/>
  <c r="T34" i="47"/>
  <c r="T38" i="47"/>
  <c r="T55" i="47"/>
  <c r="T78" i="47"/>
  <c r="T98" i="47"/>
  <c r="B50" i="70"/>
  <c r="B49" i="70"/>
  <c r="U43" i="70"/>
  <c r="G30" i="70"/>
  <c r="H43" i="70"/>
  <c r="G33" i="70"/>
  <c r="U33" i="70" s="1"/>
  <c r="G32" i="70"/>
  <c r="U32" i="70" s="1"/>
  <c r="B24" i="70"/>
  <c r="G45" i="70"/>
  <c r="U45" i="70" s="1"/>
  <c r="G35" i="70"/>
  <c r="U35" i="70" s="1"/>
  <c r="V30" i="70"/>
  <c r="H30" i="70"/>
  <c r="B25" i="70"/>
  <c r="G31" i="70"/>
  <c r="U31" i="70" s="1"/>
  <c r="G43" i="70"/>
  <c r="G34" i="70"/>
  <c r="U34" i="70" s="1"/>
  <c r="B23" i="70"/>
  <c r="G46" i="70"/>
  <c r="U46" i="70" s="1"/>
  <c r="G44" i="70"/>
  <c r="U44" i="70" s="1"/>
  <c r="B37" i="70"/>
  <c r="V43" i="70"/>
  <c r="G47" i="70"/>
  <c r="U47" i="70" s="1"/>
  <c r="B36" i="70"/>
  <c r="U30" i="70"/>
  <c r="G48" i="70"/>
  <c r="U48" i="70" s="1"/>
  <c r="T99" i="47"/>
  <c r="T117" i="47"/>
  <c r="O37" i="47"/>
  <c r="S37" i="47" s="1"/>
  <c r="S99" i="47"/>
  <c r="O35" i="47"/>
  <c r="S35" i="47" s="1"/>
  <c r="O36" i="47"/>
  <c r="S36" i="47" s="1"/>
  <c r="O56" i="47"/>
  <c r="S56" i="47" s="1"/>
  <c r="T35" i="47"/>
  <c r="T52" i="47"/>
  <c r="T56" i="47"/>
  <c r="T79" i="47"/>
  <c r="H43" i="37"/>
  <c r="O34" i="47"/>
  <c r="S34" i="47" s="1"/>
  <c r="R44" i="37"/>
  <c r="V44" i="37" s="1"/>
  <c r="R32" i="37"/>
  <c r="V32" i="37" s="1"/>
  <c r="R31" i="37"/>
  <c r="V31" i="37" s="1"/>
  <c r="R45" i="37"/>
  <c r="V45" i="37" s="1"/>
  <c r="R46" i="37"/>
  <c r="V46" i="37" s="1"/>
  <c r="R34" i="37"/>
  <c r="V34" i="37" s="1"/>
  <c r="R47" i="37"/>
  <c r="U47" i="37" s="1"/>
  <c r="R33" i="37"/>
  <c r="V33" i="37" s="1"/>
  <c r="U45" i="37"/>
  <c r="R48" i="37"/>
  <c r="V48" i="37" s="1"/>
  <c r="R35" i="37"/>
  <c r="V35" i="37" s="1"/>
  <c r="O52" i="47"/>
  <c r="S52" i="47" s="1"/>
  <c r="O76" i="47"/>
  <c r="S76" i="47" s="1"/>
  <c r="O114" i="47"/>
  <c r="S114" i="47" s="1"/>
  <c r="S119" i="47" s="1"/>
  <c r="G128" i="47" s="1"/>
  <c r="I128" i="47" s="1"/>
  <c r="K11" i="37"/>
  <c r="N12" i="49"/>
  <c r="N9" i="49"/>
  <c r="N11" i="49"/>
  <c r="N10" i="49"/>
  <c r="N13" i="49"/>
  <c r="E25" i="37"/>
  <c r="C16" i="48"/>
  <c r="C11" i="11"/>
  <c r="C17" i="12"/>
  <c r="I16" i="48"/>
  <c r="H16" i="48"/>
  <c r="T57" i="47" l="1"/>
  <c r="H125" i="47" s="1"/>
  <c r="T100" i="47"/>
  <c r="H127" i="47" s="1"/>
  <c r="T119" i="47"/>
  <c r="H128" i="47" s="1"/>
  <c r="I49" i="70"/>
  <c r="Z11" i="70" s="1"/>
  <c r="S100" i="47"/>
  <c r="G127" i="47" s="1"/>
  <c r="I127" i="47" s="1"/>
  <c r="T81" i="47"/>
  <c r="H126" i="47" s="1"/>
  <c r="T39" i="47"/>
  <c r="H124" i="47" s="1"/>
  <c r="U32" i="37"/>
  <c r="S81" i="47"/>
  <c r="G126" i="47" s="1"/>
  <c r="I126" i="47" s="1"/>
  <c r="S39" i="47"/>
  <c r="G124" i="47" s="1"/>
  <c r="I124" i="47" s="1"/>
  <c r="I36" i="70"/>
  <c r="Z12" i="70" s="1"/>
  <c r="S57" i="47"/>
  <c r="G125" i="47" s="1"/>
  <c r="I125" i="47" s="1"/>
  <c r="U44" i="37"/>
  <c r="V47" i="37"/>
  <c r="I50" i="37" s="1"/>
  <c r="Z13" i="37" s="1"/>
  <c r="U48" i="37"/>
  <c r="U31" i="37"/>
  <c r="U35" i="37"/>
  <c r="U46" i="37"/>
  <c r="I37" i="37"/>
  <c r="Z14" i="37" s="1"/>
  <c r="U34" i="37"/>
  <c r="U33" i="37"/>
  <c r="N15" i="49"/>
  <c r="J27" i="48" s="1"/>
  <c r="J29" i="48" s="1"/>
  <c r="N16" i="49"/>
  <c r="J34" i="48" s="1"/>
  <c r="J36" i="48" s="1"/>
  <c r="F11" i="11"/>
  <c r="H17" i="12"/>
  <c r="I11" i="11"/>
  <c r="E11" i="11"/>
  <c r="I17" i="12"/>
  <c r="H11" i="11"/>
  <c r="F16" i="48"/>
  <c r="F17" i="12"/>
  <c r="E17" i="12"/>
  <c r="E16" i="48"/>
  <c r="I49" i="37" l="1"/>
  <c r="Z11" i="37" s="1"/>
  <c r="I36" i="37"/>
  <c r="Z12" i="37" s="1"/>
  <c r="H129" i="47"/>
  <c r="I129" i="47"/>
  <c r="G129" i="47"/>
  <c r="J43" i="48" s="1"/>
  <c r="J16" i="48"/>
  <c r="J19" i="48" s="1"/>
  <c r="J41" i="48" s="1"/>
  <c r="J17" i="12"/>
  <c r="J20" i="12" s="1"/>
  <c r="J11" i="11"/>
  <c r="J14" i="11" s="1"/>
  <c r="G11" i="11"/>
  <c r="J13" i="11" s="1"/>
  <c r="G17" i="12"/>
  <c r="J19" i="12" s="1"/>
  <c r="J22" i="12" s="1"/>
  <c r="J23" i="12" s="1"/>
  <c r="G16" i="48"/>
  <c r="J18" i="48" s="1"/>
  <c r="J15" i="11" l="1"/>
  <c r="J20"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new macro</author>
  </authors>
  <commentList>
    <comment ref="K10" authorId="0" shapeId="0" xr:uid="{00000000-0006-0000-0100-000001000000}">
      <text>
        <r>
          <rPr>
            <sz val="10"/>
            <color indexed="81"/>
            <rFont val="Arial"/>
            <family val="2"/>
          </rPr>
          <t>Projects with non-default gender ratio must provide a narrative and supporting documentation (such as trend data forecasting forward or documentation of the code-required plumbing fixture counts per gender) in the LEED credit form to confirm that the alternate ratio applies for the life of the building.</t>
        </r>
      </text>
    </comment>
    <comment ref="I16" authorId="1" shapeId="0" xr:uid="{00000000-0006-0000-0100-000002000000}">
      <text>
        <r>
          <rPr>
            <sz val="10"/>
            <color indexed="81"/>
            <rFont val="Arial"/>
            <family val="2"/>
          </rPr>
          <t>To determine the percent of males expected to use restrooms with urinals, check the project floor plans to determine whether urinals are present in all male restrooms and in all gender-neutral/ADA restrooms. Enter 100% if all male and gender-neutral/ADA restrooms have urinals. Enter 0% if the project contains no urinals.  
If the project includes separate all-gender/ADA restrooms without urinals, enter the default value of 95%, or a project-specific estimate based on the project's restroom layout and anticipated usage patterns or weighted fixture counts.</t>
        </r>
        <r>
          <rPr>
            <sz val="9"/>
            <color indexed="81"/>
            <rFont val="Tahoma"/>
            <family val="2"/>
          </rPr>
          <t xml:space="preserve">
</t>
        </r>
      </text>
    </comment>
    <comment ref="I29" authorId="1" shapeId="0" xr:uid="{00000000-0006-0000-0100-000003000000}">
      <text>
        <r>
          <rPr>
            <sz val="10"/>
            <color indexed="81"/>
            <rFont val="Arial"/>
            <family val="2"/>
          </rPr>
          <t xml:space="preserve">If all fixtures within same fixture family have the same type and flush rate, then the percent of occupants value for that fixture is 100%.
If the project has a mix of fixtures with different flush rates within the same fixture family, then the percent of occupants value assigned to each of those fixtures may vary, but the sum for the fixture family must be 100%. For gender-neutral or ADA restrooms with different flush rates, the default percent of occupants that use these restrooms is 5% of males and 5% of females.
Do not reduce the percent of Occupants for urinals if the project includes separate gender-neutral or ADA restrooms without urinals. The calculator will account for urinal usage based on the Percent of males expected to use restrooms with urinals entered above.
</t>
        </r>
      </text>
    </comment>
    <comment ref="S30" authorId="0" shapeId="0" xr:uid="{00000000-0006-0000-0100-000004000000}">
      <text>
        <r>
          <rPr>
            <sz val="10"/>
            <color indexed="81"/>
            <rFont val="Arial"/>
            <family val="2"/>
          </rPr>
          <t>The default use value may be modified for special circumstances.  Provide a narrative and supporting documentation/calculations to justify any modifications.</t>
        </r>
      </text>
    </comment>
    <comment ref="I42" authorId="1" shapeId="0" xr:uid="{00000000-0006-0000-0100-000005000000}">
      <text>
        <r>
          <rPr>
            <sz val="10"/>
            <color indexed="81"/>
            <rFont val="Arial"/>
            <family val="2"/>
          </rPr>
          <t xml:space="preserve">If all fixtures within same fixture family have the same type and flow rate, then the percent of occupants value for that fixture is 100%.
If the project has a mix of fixtures with different flow rates within the same fixture family, then the percent of occupants value assigned to each of those fixtures may vary, but the sum for the fixture family must be 100%. For gender-neutral or ADA restrooms with different flow rates, the default percent of occupants that use these restrooms is 5% of males and 5% of females.
</t>
        </r>
      </text>
    </comment>
    <comment ref="F43" authorId="0" shapeId="0" xr:uid="{00000000-0006-0000-0100-000006000000}">
      <text>
        <r>
          <rPr>
            <sz val="10"/>
            <color indexed="81"/>
            <rFont val="Arial"/>
            <family val="2"/>
          </rPr>
          <t xml:space="preserve">The default duration value may be modified for special circumstances.  Provide a narrative and supporting documentation/calculations to justify any modifications.
Note: The default duration lavatory faucets may be modified for special circumstances if there is published data or studies justifying an alternate usage duration. This value may not be modified for durations specified by a manufacturer, which may be preset to any duration, as the manufacturer’s duration setting may not reflect typical usage given variability in occupant behavior.
</t>
        </r>
      </text>
    </comment>
    <comment ref="S43" authorId="0" shapeId="0" xr:uid="{00000000-0006-0000-0100-000007000000}">
      <text>
        <r>
          <rPr>
            <sz val="10"/>
            <color indexed="81"/>
            <rFont val="Arial"/>
            <family val="2"/>
          </rPr>
          <t>The default use value may be modified for special circumstances.  Provide a narrative and supporting documentation/calculations to justify any modifications.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USGBC</author>
    <author>new macro</author>
  </authors>
  <commentList>
    <comment ref="K10" authorId="0" shapeId="0" xr:uid="{00000000-0006-0000-0200-000001000000}">
      <text>
        <r>
          <rPr>
            <sz val="10"/>
            <color indexed="81"/>
            <rFont val="Arial"/>
            <family val="2"/>
          </rPr>
          <t>Projects with non-default gender ratio must provide a narrative and supporting documentation (such as trend data forecasting forward or documentation of the code-required plumbing fixture counts per gender) in the LEED credit form to confirm that the alternate ratio applies for the life of the building.</t>
        </r>
      </text>
    </comment>
    <comment ref="I16" authorId="1" shapeId="0" xr:uid="{00000000-0006-0000-0200-000002000000}">
      <text>
        <r>
          <rPr>
            <sz val="10"/>
            <color indexed="81"/>
            <rFont val="Arial"/>
            <family val="2"/>
          </rPr>
          <t>To determine the percent of males expected to use restrooms with urinals, check the project floor plans to determine whether urinals are present in all male restrooms and in all gender-neutral/ADA restrooms. Enter 100% if all male and gender-neutral/ADA restrooms have urinals. Enter 0% if the project contains no urinals.  
If the project includes separate all-gender/ADA restrooms without urinals, enter the default value of 95%, or a project-specific estimate based on the project's restroom layout and anticipated usage patterns or weighted fixture counts.</t>
        </r>
        <r>
          <rPr>
            <sz val="9"/>
            <color indexed="81"/>
            <rFont val="Tahoma"/>
            <family val="2"/>
          </rPr>
          <t xml:space="preserve">
</t>
        </r>
      </text>
    </comment>
    <comment ref="I29" authorId="1" shapeId="0" xr:uid="{00000000-0006-0000-0200-000003000000}">
      <text>
        <r>
          <rPr>
            <sz val="10"/>
            <color indexed="81"/>
            <rFont val="Arial"/>
            <family val="2"/>
          </rPr>
          <t xml:space="preserve">If all fixtures within same fixture family have the same type and flush rate, then the percent of occupants value for that fixture is 100%.
If the project has a mix of fixtures with different flush rates within the same fixture family, then the percent of occupants value assigned to each of those fixtures may vary, but the sum for the fixture family must be 100%. For gender-neutral or ADA restrooms with different flush rates, the default percent of occupants that use these restrooms is 5% of males and 5% of females.
Do not reduce the percent of Occupants for urinals if the project includes separate gender-neutral or ADA restrooms without urinals. The calculator will account for urinal usage based on the Percent of males expected to use restrooms with urinals entered above.
</t>
        </r>
      </text>
    </comment>
    <comment ref="S30" authorId="0" shapeId="0" xr:uid="{00000000-0006-0000-0200-000004000000}">
      <text>
        <r>
          <rPr>
            <sz val="10"/>
            <color indexed="81"/>
            <rFont val="Arial"/>
            <family val="2"/>
          </rPr>
          <t>The default use value may be modified for special circumstances.  Provide a narrative and supporting documentation/calculations to justify any modifications.</t>
        </r>
      </text>
    </comment>
    <comment ref="I42" authorId="1" shapeId="0" xr:uid="{00000000-0006-0000-0200-000005000000}">
      <text>
        <r>
          <rPr>
            <sz val="10"/>
            <color indexed="81"/>
            <rFont val="Arial"/>
            <family val="2"/>
          </rPr>
          <t xml:space="preserve">If all fixtures within same fixture family have the same type and flow rate, then the percent of occupants value for that fixture is 100%.
If the project has a mix of fixtures with different flow rates within the same fixture family, then the percent of occupants value assigned to each of those fixtures may vary, but the sum for the fixture family must be 100%. For gender-neutral or ADA restrooms with different flow rates, the default percent of occupants that use these restrooms is 5% of males and 5% of females.
</t>
        </r>
      </text>
    </comment>
    <comment ref="F43" authorId="0" shapeId="0" xr:uid="{00000000-0006-0000-0200-000006000000}">
      <text>
        <r>
          <rPr>
            <sz val="10"/>
            <color indexed="81"/>
            <rFont val="Arial"/>
            <family val="2"/>
          </rPr>
          <t xml:space="preserve">The default duration value may be modified for special circumstances.  Provide a narrative and supporting documentation/calculations to justify any modifications.
Note: The default duration lavatory faucets may be modified for special circumstances if there is published data or studies justifying an alternate usage duration. This value may not be modified for durations specified by a manufacturer, which may be preset to any duration, as the manufacturer’s duration setting may not reflect typical usage given variability in occupant behavior.
</t>
        </r>
      </text>
    </comment>
    <comment ref="S43" authorId="0" shapeId="0" xr:uid="{00000000-0006-0000-0200-000007000000}">
      <text>
        <r>
          <rPr>
            <sz val="10"/>
            <color indexed="81"/>
            <rFont val="Arial"/>
            <family val="2"/>
          </rPr>
          <t>The default use value may be modified for special circumstances.  Provide a narrative and supporting documentation/calculations to justify any modifications.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E8" authorId="0" shapeId="0" xr:uid="{00000000-0006-0000-0300-000001000000}">
      <text>
        <r>
          <rPr>
            <sz val="10"/>
            <color indexed="81"/>
            <rFont val="Arial"/>
            <family val="2"/>
          </rPr>
          <t>Must be less than 1.5 gpm (5.6 lpm) for 1 point, 1 gpm (3.7 lpm) for 2 points</t>
        </r>
      </text>
    </comment>
    <comment ref="H8" authorId="0" shapeId="0" xr:uid="{00000000-0006-0000-0300-000002000000}">
      <text>
        <r>
          <rPr>
            <sz val="10"/>
            <color indexed="81"/>
            <rFont val="Arial"/>
            <family val="2"/>
          </rPr>
          <t>Must be less than 1.75 gpm (6.6 lpm) for 1 point, 1.5 gpm (5.6 lpm) for 2 points</t>
        </r>
      </text>
    </comment>
    <comment ref="K8" authorId="0" shapeId="0" xr:uid="{00000000-0006-0000-0300-000003000000}">
      <text>
        <r>
          <rPr>
            <sz val="10"/>
            <color indexed="81"/>
            <rFont val="Arial"/>
            <family val="2"/>
          </rPr>
          <t>Must be less than 1.1 gpf (4.1 lpf) for 1 point</t>
        </r>
      </text>
    </comment>
  </commentList>
</comments>
</file>

<file path=xl/sharedStrings.xml><?xml version="1.0" encoding="utf-8"?>
<sst xmlns="http://schemas.openxmlformats.org/spreadsheetml/2006/main" count="497" uniqueCount="236">
  <si>
    <r>
      <rPr>
        <sz val="16"/>
        <rFont val="Arial Black"/>
        <family val="2"/>
      </rPr>
      <t xml:space="preserve">Indoor Water Use Reduction Calculator
</t>
    </r>
    <r>
      <rPr>
        <sz val="9"/>
        <rFont val="Arial"/>
        <family val="2"/>
      </rPr>
      <t>LEED v4 and v4.1 for D+C and v4 for O+M - WE Prerequisite/Credit Indoor Water Use Reduction 
LEED v4 for ND - GIB Prerequisite/Credit Indoor Water Use Reduction and GIB Credit Wastewater Management</t>
    </r>
  </si>
  <si>
    <r>
      <rPr>
        <b/>
        <sz val="10"/>
        <rFont val="Arial"/>
        <family val="2"/>
      </rPr>
      <t>Step 1.</t>
    </r>
    <r>
      <rPr>
        <sz val="10"/>
        <rFont val="Arial"/>
        <family val="2"/>
      </rPr>
      <t xml:space="preserve"> </t>
    </r>
  </si>
  <si>
    <t>Enable macros.</t>
  </si>
  <si>
    <t>Note: This calculator is for use with Excel for Mac 2011 and Excel 2007 or later.  If you are experiencing a problem with this calculator, please refer to the help center instructions below.</t>
  </si>
  <si>
    <t>Help Center Instructions</t>
  </si>
  <si>
    <r>
      <rPr>
        <b/>
        <sz val="10"/>
        <rFont val="Arial"/>
        <family val="2"/>
      </rPr>
      <t>Step 2.</t>
    </r>
    <r>
      <rPr>
        <sz val="10"/>
        <rFont val="Arial"/>
        <family val="2"/>
      </rPr>
      <t xml:space="preserve"> </t>
    </r>
  </si>
  <si>
    <t>Unit of measurement</t>
  </si>
  <si>
    <t>IP units</t>
  </si>
  <si>
    <t>Note: This selection must match the unit of measurement chosen during project registration.</t>
  </si>
  <si>
    <r>
      <rPr>
        <b/>
        <sz val="10"/>
        <rFont val="Arial"/>
        <family val="2"/>
      </rPr>
      <t>Step 3.</t>
    </r>
    <r>
      <rPr>
        <sz val="10"/>
        <rFont val="Arial"/>
        <family val="2"/>
      </rPr>
      <t xml:space="preserve"> </t>
    </r>
  </si>
  <si>
    <t>The project is LEED for Neighborhood Development</t>
  </si>
  <si>
    <t>No</t>
  </si>
  <si>
    <t>Note: This selection must match the rating system chosen during project registration.</t>
  </si>
  <si>
    <t xml:space="preserve">Step 4. </t>
  </si>
  <si>
    <t>For projects pursuing GIB Prerequisite/Credit Indoor Water Use Reduction</t>
  </si>
  <si>
    <r>
      <t xml:space="preserve">Nonresidential, mixed-use, and multifamily residential buildings four stories or more
</t>
    </r>
    <r>
      <rPr>
        <sz val="10"/>
        <rFont val="Arial"/>
        <family val="2"/>
      </rPr>
      <t>Complete the Flush and/or Flow tables on the Group tab(s) for all new/major renovations nonresidential, mixed-use, and multifamily residential buildings four stories or more.</t>
    </r>
  </si>
  <si>
    <t>Note: If actual occupancy is not known, use the default (residents = number of bedrooms + 1) for each dwelling unit.  All residential units can be included in one group.</t>
  </si>
  <si>
    <r>
      <rPr>
        <b/>
        <sz val="10"/>
        <rFont val="Arial"/>
        <family val="2"/>
      </rPr>
      <t>Single-family residential and multiunit residential buildings three stories or fewer</t>
    </r>
    <r>
      <rPr>
        <sz val="10"/>
        <rFont val="Arial"/>
        <family val="2"/>
      </rPr>
      <t xml:space="preserve">
Complete the Lowrise Indoor Water Use tab for all new single-family residential and multiunit residential buildings three stories or fewer.</t>
    </r>
  </si>
  <si>
    <t xml:space="preserve">Step 5. </t>
  </si>
  <si>
    <t>For projects pursuing GIB Credit Wastewater Management</t>
  </si>
  <si>
    <t>Complete the Lowrise Wastewater Use tab for all new single-family residential and multiunit residential buildings three stories or more.</t>
  </si>
  <si>
    <t>Note: The calculations performed for GIB Prerequisite/Credit Indoor Water Use Reduction are sufficient for documenting nonresidential, mixed-use, and multifamily residential buildings four stories or more.</t>
  </si>
  <si>
    <t>Step 4.</t>
  </si>
  <si>
    <t>Complete the Flush and/or Flow tables on the Group tab.</t>
  </si>
  <si>
    <t xml:space="preserve">Note: Projects with extremely complex occupancy and/or fixture usage patterns (such as where different types of occupants have different annual days of operation and use fixtures with differing flush and flow rates within the building) may complete a separate calculator tab to represent the usage for complex scenarios. </t>
  </si>
  <si>
    <t>Upload the completed spreadsheet to LEED Online.  Complete any related summary fields in the LEED credit form with the results of the calculator.</t>
  </si>
  <si>
    <t>Note: Include in the prerequisite calculations all fixtures within the LEED project boundary.  Include in the credit calculations all fixtures and fittings necessary to meet the needs of the occupants; some of these fittings and fixtures may be outside the tenant space (for Commercial Interiors) or project boundary (for New Construction).  Upload a separate calculator for the credit as necessary.</t>
  </si>
  <si>
    <t>Assumptions</t>
  </si>
  <si>
    <t>Fixture Type</t>
  </si>
  <si>
    <t>Maximum Installed Flush/Flow Rate</t>
  </si>
  <si>
    <t>Duration
(sec)</t>
  </si>
  <si>
    <t>Default Uses per Day</t>
  </si>
  <si>
    <t>IP</t>
  </si>
  <si>
    <t>SI</t>
  </si>
  <si>
    <t>Employees
(FTE)</t>
  </si>
  <si>
    <t>Visitors</t>
  </si>
  <si>
    <t>Retail Customers</t>
  </si>
  <si>
    <t>Students
(K-12)</t>
  </si>
  <si>
    <t>Residential</t>
  </si>
  <si>
    <t>Toilet (male)</t>
  </si>
  <si>
    <t>gpf</t>
  </si>
  <si>
    <t>lpf</t>
  </si>
  <si>
    <t>n/a</t>
  </si>
  <si>
    <t>Toilet (female)</t>
  </si>
  <si>
    <t>Urinal</t>
  </si>
  <si>
    <t>Public lavatory (restroom) faucet</t>
  </si>
  <si>
    <t>gpm</t>
  </si>
  <si>
    <t>lpm</t>
  </si>
  <si>
    <t>Private (residential) lavatory faucet</t>
  </si>
  <si>
    <t>Kitchen faucet</t>
  </si>
  <si>
    <t>Residential kitchen faucet</t>
  </si>
  <si>
    <t>Showerhead</t>
  </si>
  <si>
    <t>Residential showerhead</t>
  </si>
  <si>
    <t>V05.1</t>
  </si>
  <si>
    <t>UOM</t>
  </si>
  <si>
    <t>RS</t>
  </si>
  <si>
    <r>
      <t xml:space="preserve">Copyright </t>
    </r>
    <r>
      <rPr>
        <sz val="9"/>
        <color theme="0" tint="-0.499984740745262"/>
        <rFont val="Arial"/>
        <family val="2"/>
      </rPr>
      <t>©</t>
    </r>
    <r>
      <rPr>
        <sz val="8"/>
        <color theme="0" tint="-0.499984740745262"/>
        <rFont val="Arial"/>
        <family val="2"/>
      </rPr>
      <t xml:space="preserve"> 2012</t>
    </r>
  </si>
  <si>
    <t>1 = IP, 2 = SI</t>
  </si>
  <si>
    <t>U.S. Green Building Council</t>
  </si>
  <si>
    <t>ND = 1, nonND =2</t>
  </si>
  <si>
    <t>All Rights Reserved</t>
  </si>
  <si>
    <t>Toilet</t>
  </si>
  <si>
    <t>Last Updated 08/18/2022</t>
  </si>
  <si>
    <t>Conventional Water Closet</t>
  </si>
  <si>
    <t>Conventional Urinal</t>
  </si>
  <si>
    <t>Low-Flow Water Closet</t>
  </si>
  <si>
    <t>Low-Flow Urinal</t>
  </si>
  <si>
    <t>Dual-Flush Water Closet</t>
  </si>
  <si>
    <t>Non-Water Urinal</t>
  </si>
  <si>
    <t>Composting Toilet</t>
  </si>
  <si>
    <t>Group name</t>
  </si>
  <si>
    <t>Group 1</t>
  </si>
  <si>
    <t>Table: Project Information</t>
  </si>
  <si>
    <t xml:space="preserve">Enter project occupancy information.  This information should be consistent with occupancy numbers used in other LEED credits. </t>
  </si>
  <si>
    <r>
      <rPr>
        <b/>
        <sz val="10"/>
        <color theme="1"/>
        <rFont val="Arial"/>
        <family val="2"/>
      </rPr>
      <t>Non-default gender mix</t>
    </r>
    <r>
      <rPr>
        <sz val="10"/>
        <color theme="1"/>
        <rFont val="Arial"/>
        <family val="2"/>
      </rPr>
      <t xml:space="preserve">
The default gender mix is half male and half female.  If necessary, modify the Male and Female occupant type columns for non-default gender mix if the project is specifically designed for an alternative gender ratio or the project is expected to have alternative gender usage rates for the life of the building.</t>
    </r>
  </si>
  <si>
    <t>Non-default gender mix</t>
  </si>
  <si>
    <r>
      <rPr>
        <b/>
        <sz val="10"/>
        <color theme="1"/>
        <rFont val="Arial"/>
        <family val="2"/>
      </rPr>
      <t xml:space="preserve">The project includes ADA and/or gender-neutral bathrooms          </t>
    </r>
    <r>
      <rPr>
        <sz val="10"/>
        <color theme="1"/>
        <rFont val="Arial"/>
        <family val="2"/>
      </rPr>
      <t xml:space="preserve">
If the project includes separate gender neutral and/or ADA restrooms without urinals, the LEED default assumption is that 5% of male occupants and 5% of female occupants use these restrooms. Enter 95% into the percent of males expected to use restrooms with urinals below. Alternately, the project team can estimate this percentage based on the project's restroom layout/anticipated usage patterns or weighted fixture counts.</t>
    </r>
  </si>
  <si>
    <t>Occupancy Type</t>
  </si>
  <si>
    <t>Employees
 (FTE)</t>
  </si>
  <si>
    <r>
      <t xml:space="preserve">Other </t>
    </r>
    <r>
      <rPr>
        <i/>
        <sz val="10"/>
        <rFont val="Arial"/>
        <family val="2"/>
      </rPr>
      <t>(specify)</t>
    </r>
  </si>
  <si>
    <t>Gender 
Ratio
(%)</t>
  </si>
  <si>
    <t>Nondefault values</t>
  </si>
  <si>
    <t>Total</t>
  </si>
  <si>
    <t>Baseline</t>
  </si>
  <si>
    <t>Flow</t>
  </si>
  <si>
    <t>Male</t>
  </si>
  <si>
    <t>Flush</t>
  </si>
  <si>
    <t>Female</t>
  </si>
  <si>
    <t>Design</t>
  </si>
  <si>
    <t>Default values</t>
  </si>
  <si>
    <t>Determine the percent of males expected to use urinals (enter 100% if all male restrooms have urinals, 0% if the project contains no urinals, etc)</t>
  </si>
  <si>
    <t xml:space="preserve">Percent of males expected to use restrooms with urinals </t>
  </si>
  <si>
    <t>Enter the number of days the project is accessible to employees or FTE.</t>
  </si>
  <si>
    <t xml:space="preserve">Annual days of operation </t>
  </si>
  <si>
    <t>For projects with dual-flush toilets</t>
  </si>
  <si>
    <t>Enter the resulting flush rate into the design case flush rate section below.</t>
  </si>
  <si>
    <t>Table: Flush Fixtures</t>
  </si>
  <si>
    <r>
      <t xml:space="preserve">1. Indicate the </t>
    </r>
    <r>
      <rPr>
        <b/>
        <sz val="10"/>
        <rFont val="Arial"/>
        <family val="2"/>
      </rPr>
      <t>Fixture ID</t>
    </r>
    <r>
      <rPr>
        <sz val="10"/>
        <rFont val="Arial"/>
        <family val="2"/>
      </rPr>
      <t xml:space="preserve"> that matches the information provided in the plumbing schedule.
2. Select the</t>
    </r>
    <r>
      <rPr>
        <b/>
        <sz val="10"/>
        <rFont val="Arial"/>
        <family val="2"/>
      </rPr>
      <t xml:space="preserve"> Fixture Family</t>
    </r>
    <r>
      <rPr>
        <sz val="10"/>
        <rFont val="Arial"/>
        <family val="2"/>
      </rPr>
      <t xml:space="preserve"> and</t>
    </r>
    <r>
      <rPr>
        <b/>
        <sz val="10"/>
        <rFont val="Arial"/>
        <family val="2"/>
      </rPr>
      <t xml:space="preserve"> Fixture Type</t>
    </r>
    <r>
      <rPr>
        <sz val="10"/>
        <rFont val="Arial"/>
        <family val="2"/>
      </rPr>
      <t xml:space="preserve"> installed on the project.
3. Enter the </t>
    </r>
    <r>
      <rPr>
        <b/>
        <sz val="10"/>
        <rFont val="Arial"/>
        <family val="2"/>
      </rPr>
      <t>Design</t>
    </r>
    <r>
      <rPr>
        <sz val="10"/>
        <rFont val="Arial"/>
        <family val="2"/>
      </rPr>
      <t xml:space="preserve"> </t>
    </r>
    <r>
      <rPr>
        <b/>
        <sz val="10"/>
        <rFont val="Arial"/>
        <family val="2"/>
      </rPr>
      <t>Flush Rate</t>
    </r>
    <r>
      <rPr>
        <sz val="10"/>
        <rFont val="Arial"/>
        <family val="2"/>
      </rPr>
      <t xml:space="preserve"> identified by the manufacturer - for dual flush toilets, use the dual flush calculator to determine average flush rate.
4. Enter </t>
    </r>
    <r>
      <rPr>
        <b/>
        <sz val="10"/>
        <rFont val="Arial"/>
        <family val="2"/>
      </rPr>
      <t>Percent of Occupants</t>
    </r>
    <r>
      <rPr>
        <sz val="10"/>
        <rFont val="Arial"/>
        <family val="2"/>
      </rPr>
      <t xml:space="preserve"> with access to the fixture. If the fixture is installed in all restrooms, use 100%. 
5. If necessary, modify the </t>
    </r>
    <r>
      <rPr>
        <b/>
        <sz val="10"/>
        <rFont val="Arial"/>
        <family val="2"/>
      </rPr>
      <t>Total Uses per Day</t>
    </r>
    <r>
      <rPr>
        <sz val="10"/>
        <rFont val="Arial"/>
        <family val="2"/>
      </rPr>
      <t xml:space="preserve"> column for non-default uses.</t>
    </r>
  </si>
  <si>
    <t>Fixture Information</t>
  </si>
  <si>
    <t>Flush Rate</t>
  </si>
  <si>
    <t>Percent of Occupants
(%)</t>
  </si>
  <si>
    <t>Uses per Day</t>
  </si>
  <si>
    <t>Total Daily Uses</t>
  </si>
  <si>
    <t>Total Daily Water Use</t>
  </si>
  <si>
    <t>Fixture 
ID</t>
  </si>
  <si>
    <t>Fixture Family</t>
  </si>
  <si>
    <t>Default</t>
  </si>
  <si>
    <t>Non-default
(Optional)</t>
  </si>
  <si>
    <t>Helper column</t>
  </si>
  <si>
    <t>A</t>
  </si>
  <si>
    <t>Table: Flow Fixtures</t>
  </si>
  <si>
    <r>
      <t xml:space="preserve">1. Indicate the </t>
    </r>
    <r>
      <rPr>
        <b/>
        <sz val="10"/>
        <rFont val="Arial"/>
        <family val="2"/>
      </rPr>
      <t>Fixture ID</t>
    </r>
    <r>
      <rPr>
        <sz val="10"/>
        <rFont val="Arial"/>
        <family val="2"/>
      </rPr>
      <t xml:space="preserve"> that matches the information provided in the plumbing schedule.
2. Select the </t>
    </r>
    <r>
      <rPr>
        <b/>
        <sz val="10"/>
        <rFont val="Arial"/>
        <family val="2"/>
      </rPr>
      <t>Fixture Type</t>
    </r>
    <r>
      <rPr>
        <sz val="10"/>
        <rFont val="Arial"/>
        <family val="2"/>
      </rPr>
      <t xml:space="preserve"> installed on the project.
3. If necessary, modify the</t>
    </r>
    <r>
      <rPr>
        <b/>
        <sz val="10"/>
        <rFont val="Arial"/>
        <family val="2"/>
      </rPr>
      <t xml:space="preserve"> Duration</t>
    </r>
    <r>
      <rPr>
        <sz val="10"/>
        <rFont val="Arial"/>
        <family val="2"/>
      </rPr>
      <t xml:space="preserve"> column for non-default values.
4. Enter the </t>
    </r>
    <r>
      <rPr>
        <b/>
        <sz val="10"/>
        <rFont val="Arial"/>
        <family val="2"/>
      </rPr>
      <t>Design</t>
    </r>
    <r>
      <rPr>
        <sz val="10"/>
        <rFont val="Arial"/>
        <family val="2"/>
      </rPr>
      <t xml:space="preserve"> </t>
    </r>
    <r>
      <rPr>
        <b/>
        <sz val="10"/>
        <rFont val="Arial"/>
        <family val="2"/>
      </rPr>
      <t>Flow Rate</t>
    </r>
    <r>
      <rPr>
        <sz val="10"/>
        <rFont val="Arial"/>
        <family val="2"/>
      </rPr>
      <t xml:space="preserve"> identified by the manufacturer.
5. Enter </t>
    </r>
    <r>
      <rPr>
        <b/>
        <sz val="10"/>
        <rFont val="Arial"/>
        <family val="2"/>
      </rPr>
      <t>Percent of Occupants</t>
    </r>
    <r>
      <rPr>
        <sz val="10"/>
        <rFont val="Arial"/>
        <family val="2"/>
      </rPr>
      <t xml:space="preserve"> with access to the fixture. If the fixture is installed in all restrooms, use 100%.
6. If necessary, modify the </t>
    </r>
    <r>
      <rPr>
        <b/>
        <sz val="10"/>
        <rFont val="Arial"/>
        <family val="2"/>
      </rPr>
      <t>Total Uses per Day</t>
    </r>
    <r>
      <rPr>
        <sz val="10"/>
        <rFont val="Arial"/>
        <family val="2"/>
      </rPr>
      <t xml:space="preserve"> column for non-default uses.</t>
    </r>
  </si>
  <si>
    <t>Duration</t>
  </si>
  <si>
    <t>Flow Rate</t>
  </si>
  <si>
    <t>Default
(sec)</t>
  </si>
  <si>
    <t>Non-default
(sec)
(Optional)</t>
  </si>
  <si>
    <t>B</t>
  </si>
  <si>
    <t>For ND projects with new single-family residential and multiunit residential buildings three stories or fewer</t>
  </si>
  <si>
    <t>Complete the table for all new single-family residential and new multiunit residential buildings three stories or fewer.</t>
  </si>
  <si>
    <t>Building ID</t>
  </si>
  <si>
    <t>Lavatory Faucet</t>
  </si>
  <si>
    <t>Showerheads</t>
  </si>
  <si>
    <t>Toilets</t>
  </si>
  <si>
    <t>Clothes Washers</t>
  </si>
  <si>
    <t>Total 
WE Credit Indoor Water Use
Points</t>
  </si>
  <si>
    <t>WaterSense 
or equivalent
labeled</t>
  </si>
  <si>
    <t>Points</t>
  </si>
  <si>
    <t>ENERGY 
STAR qualified or equivalent</t>
  </si>
  <si>
    <t>Total number of new single-family residential buildings and new multiunit residential buildings three stories or fewer</t>
  </si>
  <si>
    <t>Total number of residential buildings that would earn at least 2 points under LEED v4 for Homes WE Credit Indoor Water Use</t>
  </si>
  <si>
    <r>
      <rPr>
        <i/>
        <sz val="10"/>
        <color theme="1"/>
        <rFont val="Arial"/>
        <family val="2"/>
      </rPr>
      <t xml:space="preserve">For project pursuing GIB Credit Indoor Water Use: </t>
    </r>
    <r>
      <rPr>
        <sz val="10"/>
        <color theme="1"/>
        <rFont val="Arial"/>
        <family val="2"/>
      </rPr>
      <t>Total number of residential buildings that would earn at least 4 points under LEED v4 for Homes WE Credit Indoor Water Use</t>
    </r>
  </si>
  <si>
    <t>Lowrise Wastewater Use</t>
  </si>
  <si>
    <t>For ND projects with new single-family residential and multiunit residential buildings three stories or fewer and pursuing GIB Credit Wastewater Management</t>
  </si>
  <si>
    <t>Complete the tables below for all single-family residential and multiunit residential buildings three stories or more.</t>
  </si>
  <si>
    <t>Unit Information</t>
  </si>
  <si>
    <t>List the number of each type of unit for the building. This information is used to double check your entries for each fixture type.  For new single family homes, put  '1' by the number of bedrooms.</t>
  </si>
  <si>
    <t>Unit Type</t>
  </si>
  <si>
    <t>Number of 
Units</t>
  </si>
  <si>
    <t>Occupants</t>
  </si>
  <si>
    <t>Number of Bedrooms</t>
  </si>
  <si>
    <t>All units</t>
  </si>
  <si>
    <t>Efficiency</t>
  </si>
  <si>
    <t>1 Bedroom</t>
  </si>
  <si>
    <t>2 Bedrooms</t>
  </si>
  <si>
    <t>3 Bedrooms</t>
  </si>
  <si>
    <t>4 Bedrooms</t>
  </si>
  <si>
    <t>5 Bedrooms</t>
  </si>
  <si>
    <t>6 Bedrooms</t>
  </si>
  <si>
    <t>Totals</t>
  </si>
  <si>
    <t>Indoor Water Use</t>
  </si>
  <si>
    <t>This section determines the average flow rate of each fixture, for each unique unit type which is used to calculate the average indoor water use for each unit's occupants.</t>
  </si>
  <si>
    <t>Fixture Use for Showers</t>
  </si>
  <si>
    <t>Enter the flow rate and a brief description for each type of fixture.</t>
  </si>
  <si>
    <t>Fixture ID</t>
  </si>
  <si>
    <t>Complete one row for each unique set of units and enter each fixture's information. This will calculate the average water use of the occupant of each unit type. If the fixture is the same throughout the building, select 'All units' under 'Unit Type' and select the appropriate fixture in Fixture 1.</t>
  </si>
  <si>
    <t>Unit 
Description</t>
  </si>
  <si>
    <t>Fixture 1</t>
  </si>
  <si>
    <t>Fixture 2</t>
  </si>
  <si>
    <t>Fixture 3</t>
  </si>
  <si>
    <t>Fixture 4</t>
  </si>
  <si>
    <t>Estimated Fixture Usage
(minutes)</t>
  </si>
  <si>
    <t>Fixture 1 
ID</t>
  </si>
  <si>
    <t>Fixture 2
ID</t>
  </si>
  <si>
    <t>Fixture 3
ID</t>
  </si>
  <si>
    <t>Fixture 4
ID</t>
  </si>
  <si>
    <t>Totals for showers</t>
  </si>
  <si>
    <t>Fixture Use for Lavatories and Kitchen Faucets</t>
  </si>
  <si>
    <t>C</t>
  </si>
  <si>
    <t>Totals for lavs and kitchen faucets</t>
  </si>
  <si>
    <t>Fixture Use for Toilets</t>
  </si>
  <si>
    <r>
      <rPr>
        <i/>
        <sz val="10"/>
        <rFont val="Arial"/>
        <family val="2"/>
      </rPr>
      <t>For projects with dual-flush toilets</t>
    </r>
    <r>
      <rPr>
        <sz val="10"/>
        <rFont val="Arial"/>
        <family val="2"/>
      </rPr>
      <t xml:space="preserve">
Calculate the average flush rate below and enter the resulting flush rate into the design case flush rate section for toilet.</t>
    </r>
  </si>
  <si>
    <t>Estimated Fixture Usage
(flushes)</t>
  </si>
  <si>
    <t>D</t>
  </si>
  <si>
    <t>Totals for toilets</t>
  </si>
  <si>
    <t>Fixture Use for Clothes Washers</t>
  </si>
  <si>
    <t>Enter the flow rate and a brief description for each type of fixture.  If no clothes washer is installed in the project, enter 'Baseline' under 'Fixture ID' and '9.5' under 'Flow Rate.'</t>
  </si>
  <si>
    <t>Flow Rate
(water factor)</t>
  </si>
  <si>
    <t>Average 
Flow Rate
(water factor)</t>
  </si>
  <si>
    <t>Fixture 1
Flow Rate
(water factor)</t>
  </si>
  <si>
    <t>Fixture 2
Flow Rate
(water factor)</t>
  </si>
  <si>
    <t>Fixture 3
Flow Rate
(water factor)</t>
  </si>
  <si>
    <t>Fixture 4
Flow Rate
(water factor)</t>
  </si>
  <si>
    <t>E</t>
  </si>
  <si>
    <t>Totals for clothes washers</t>
  </si>
  <si>
    <t>Fixture Use for Dishwashers</t>
  </si>
  <si>
    <t>Estimated Fixture Usage
(cycles)</t>
  </si>
  <si>
    <t>F</t>
  </si>
  <si>
    <t>Totals for dishwashers</t>
  </si>
  <si>
    <t>Indoor Water Use Summary</t>
  </si>
  <si>
    <t>Showers</t>
  </si>
  <si>
    <t>Lavatories and kitchen faucets</t>
  </si>
  <si>
    <t>Clothes washers</t>
  </si>
  <si>
    <t>Dishwashers</t>
  </si>
  <si>
    <t>Fixture</t>
  </si>
  <si>
    <t>Estimated 
Fixture Usage</t>
  </si>
  <si>
    <t>Baseline 
Flush or Flow Rate</t>
  </si>
  <si>
    <t>Estimated 
Water Usage</t>
  </si>
  <si>
    <t>IP
(gallons per person)</t>
  </si>
  <si>
    <t>SI
(liters per person)</t>
  </si>
  <si>
    <t>Shower</t>
  </si>
  <si>
    <t>minutes</t>
  </si>
  <si>
    <t>Lavatory or kitchen faucet</t>
  </si>
  <si>
    <t>flushes</t>
  </si>
  <si>
    <t>Clothes washer</t>
  </si>
  <si>
    <t>at 3.5 cu ft (0.1 cu m)</t>
  </si>
  <si>
    <t>WF</t>
  </si>
  <si>
    <t>Dishwasher</t>
  </si>
  <si>
    <t>cycles</t>
  </si>
  <si>
    <t>gpc</t>
  </si>
  <si>
    <t>lpc</t>
  </si>
  <si>
    <t>Summary for Design and Construction Rating Systems</t>
  </si>
  <si>
    <t xml:space="preserve">Note: All information on this tab is READ-ONLY. To edit, see the previous tab(s). </t>
  </si>
  <si>
    <t>Group Name</t>
  </si>
  <si>
    <t>Baseline Case</t>
  </si>
  <si>
    <t>Design Case</t>
  </si>
  <si>
    <t>Annual 
Flush 
Volume</t>
  </si>
  <si>
    <t>Annual 
Flow 
Volume</t>
  </si>
  <si>
    <t>Annual
Consumption</t>
  </si>
  <si>
    <t>Annual 
Consumption</t>
  </si>
  <si>
    <t>Percent water use reduction (%)</t>
  </si>
  <si>
    <t>Summary for Operations and Maintenance Rating Systems</t>
  </si>
  <si>
    <t xml:space="preserve">Note: Baseline and design volumes are READ-ONLY. To edit, see the previous tab(s). </t>
  </si>
  <si>
    <t>Unrenovated percentage of fixtures installed before 1995 (%)</t>
  </si>
  <si>
    <t>Renovated percentage of fixtures installed in 1995 or later (%)</t>
  </si>
  <si>
    <t>Baseline multiplier (%)</t>
  </si>
  <si>
    <t>Percentage below water consumption maximum (%)</t>
  </si>
  <si>
    <t>Summary for Neighborhood Development Rating Systems</t>
  </si>
  <si>
    <t>GIB Prerequisite/Credit Indoor Water Use Reduction</t>
  </si>
  <si>
    <t>Nonresidential buildings, mixed-use buildings, and multifamily residential buildings four stories or more</t>
  </si>
  <si>
    <t>Percent water use reduction for nonresidential and midrise buildings (%)</t>
  </si>
  <si>
    <t>New single-family residential buildings and new multiunit residential buildings three stories or fewer</t>
  </si>
  <si>
    <t>Percentage of new residential buildings that would earn at least 2 points under LEED v4 for Homes WE Credit Indoor Water Use (%)</t>
  </si>
  <si>
    <t>For projects pursuing GIB Credit Indoor Water Use Reduction</t>
  </si>
  <si>
    <t>Total number of residential buildings that would earn at least 4 points under LEED v4 for Homes WE Credit Indoor Water Use</t>
  </si>
  <si>
    <t>Percentage of new residential buildings that would earn at least 4 points under LEED v4 for Homes WE Credit Indoor Water Use (%)</t>
  </si>
  <si>
    <t>GIB Credit Wastewater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</si>
</sst>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0.0"/>
    <numFmt numFmtId="165" formatCode="0.0"/>
  </numFmts>
  <fonts count="52"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color rgb="FF000000"/>
      <name val="Arial"/>
      <family val="2"/>
    </font>
    <font>
      <sz val="10"/>
      <color rgb="FF000000"/>
      <name val="Arial"/>
      <family val="2"/>
    </font>
    <font>
      <sz val="10"/>
      <color theme="1"/>
      <name val="Times New Roman"/>
      <family val="1"/>
    </font>
    <font>
      <sz val="9"/>
      <color rgb="FF000000"/>
      <name val="Arial"/>
      <family val="2"/>
    </font>
    <font>
      <sz val="11"/>
      <color theme="1"/>
      <name val="Calibri"/>
      <family val="2"/>
      <scheme val="minor"/>
    </font>
    <font>
      <sz val="10"/>
      <color theme="0"/>
      <name val="Arial"/>
      <family val="2"/>
    </font>
    <font>
      <b/>
      <sz val="10"/>
      <color theme="0"/>
      <name val="Arial"/>
      <family val="2"/>
    </font>
    <font>
      <sz val="12"/>
      <name val="Arial"/>
      <family val="2"/>
    </font>
    <font>
      <b/>
      <sz val="9"/>
      <color theme="1"/>
      <name val="Arial"/>
      <family val="2"/>
    </font>
    <font>
      <sz val="10"/>
      <name val="Arial"/>
      <family val="2"/>
    </font>
    <font>
      <sz val="9"/>
      <name val="Arial"/>
      <family val="2"/>
    </font>
    <font>
      <b/>
      <sz val="10"/>
      <name val="Arial"/>
      <family val="2"/>
    </font>
    <font>
      <sz val="9"/>
      <color theme="1"/>
      <name val="Arial"/>
      <family val="2"/>
    </font>
    <font>
      <b/>
      <sz val="9"/>
      <color rgb="FF000000"/>
      <name val="Arial"/>
      <family val="2"/>
    </font>
    <font>
      <b/>
      <sz val="10"/>
      <color theme="1"/>
      <name val="Arial"/>
      <family val="2"/>
    </font>
    <font>
      <sz val="10"/>
      <color theme="0" tint="-0.34998626667073579"/>
      <name val="Arial"/>
      <family val="2"/>
    </font>
    <font>
      <sz val="10"/>
      <color theme="0" tint="-0.499984740745262"/>
      <name val="Arial"/>
      <family val="2"/>
    </font>
    <font>
      <sz val="8"/>
      <name val="Arial"/>
      <family val="2"/>
    </font>
    <font>
      <i/>
      <sz val="10"/>
      <name val="Arial"/>
      <family val="2"/>
    </font>
    <font>
      <b/>
      <sz val="16"/>
      <name val="Arial"/>
      <family val="2"/>
    </font>
    <font>
      <sz val="10"/>
      <color rgb="FF777777"/>
      <name val="Arial"/>
      <family val="2"/>
    </font>
    <font>
      <b/>
      <sz val="9"/>
      <name val="Arial"/>
      <family val="2"/>
    </font>
    <font>
      <sz val="10"/>
      <name val="Arial"/>
      <family val="2"/>
    </font>
    <font>
      <sz val="10"/>
      <color rgb="FFFF0000"/>
      <name val="Arial"/>
      <family val="2"/>
    </font>
    <font>
      <sz val="9"/>
      <color theme="1"/>
      <name val="Tahoma"/>
      <family val="2"/>
    </font>
    <font>
      <sz val="16"/>
      <color theme="0"/>
      <name val="Arial Black"/>
      <family val="2"/>
    </font>
    <font>
      <sz val="16"/>
      <name val="Arial Black"/>
      <family val="2"/>
    </font>
    <font>
      <sz val="11"/>
      <name val="Calibri"/>
      <family val="2"/>
      <scheme val="minor"/>
    </font>
    <font>
      <b/>
      <i/>
      <sz val="10"/>
      <color theme="1"/>
      <name val="Arial"/>
      <family val="2"/>
    </font>
    <font>
      <sz val="9"/>
      <color theme="0" tint="-0.34998626667073579"/>
      <name val="Arial"/>
      <family val="2"/>
    </font>
    <font>
      <sz val="9"/>
      <color theme="0" tint="-0.499984740745262"/>
      <name val="Arial"/>
      <family val="2"/>
    </font>
    <font>
      <sz val="8"/>
      <color theme="0" tint="-0.499984740745262"/>
      <name val="Arial"/>
      <family val="2"/>
    </font>
    <font>
      <sz val="10"/>
      <color theme="0" tint="-0.24994659260841701"/>
      <name val="Arial"/>
      <family val="2"/>
    </font>
    <font>
      <sz val="10"/>
      <color indexed="81"/>
      <name val="Arial"/>
      <family val="2"/>
    </font>
    <font>
      <b/>
      <sz val="10"/>
      <color theme="0" tint="-0.499984740745262"/>
      <name val="Arial"/>
      <family val="2"/>
    </font>
    <font>
      <b/>
      <sz val="18"/>
      <color theme="0"/>
      <name val="Arial Black"/>
      <family val="2"/>
    </font>
    <font>
      <b/>
      <sz val="12"/>
      <name val="Arial"/>
      <family val="2"/>
    </font>
    <font>
      <u/>
      <sz val="10"/>
      <name val="Arial"/>
      <family val="2"/>
    </font>
    <font>
      <sz val="11"/>
      <color theme="1"/>
      <name val="Arial"/>
      <family val="2"/>
    </font>
    <font>
      <sz val="11"/>
      <color theme="0"/>
      <name val="Arial"/>
      <family val="2"/>
    </font>
    <font>
      <b/>
      <i/>
      <sz val="10"/>
      <name val="Arial"/>
      <family val="2"/>
    </font>
    <font>
      <i/>
      <sz val="10"/>
      <color theme="0"/>
      <name val="Arial"/>
      <family val="2"/>
    </font>
    <font>
      <i/>
      <sz val="10"/>
      <color theme="1"/>
      <name val="Arial"/>
      <family val="2"/>
    </font>
    <font>
      <sz val="9"/>
      <color theme="1"/>
      <name val="Calibri"/>
      <family val="2"/>
      <scheme val="minor"/>
    </font>
    <font>
      <sz val="9"/>
      <color indexed="81"/>
      <name val="Tahoma"/>
      <family val="2"/>
    </font>
    <font>
      <u/>
      <sz val="11"/>
      <color theme="10"/>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5BBBB7"/>
        <bgColor indexed="64"/>
      </patternFill>
    </fill>
    <fill>
      <patternFill patternType="solid">
        <fgColor theme="0" tint="-0.14996795556505021"/>
        <bgColor indexed="64"/>
      </patternFill>
    </fill>
    <fill>
      <patternFill patternType="solid">
        <fgColor indexed="65"/>
        <bgColor indexed="64"/>
      </patternFill>
    </fill>
  </fills>
  <borders count="92">
    <border>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right style="thin">
        <color theme="0" tint="-0.499984740745262"/>
      </right>
      <top style="thin">
        <color theme="0" tint="-0.499984740745262"/>
      </top>
      <bottom style="thin">
        <color theme="0" tint="-0.24994659260841701"/>
      </bottom>
      <diagonal/>
    </border>
    <border>
      <left/>
      <right style="thin">
        <color theme="0" tint="-0.499984740745262"/>
      </right>
      <top style="thin">
        <color theme="0" tint="-0.24994659260841701"/>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right style="thin">
        <color theme="0" tint="-0.24994659260841701"/>
      </right>
      <top style="thin">
        <color theme="0" tint="-0.499984740745262"/>
      </top>
      <bottom/>
      <diagonal/>
    </border>
    <border>
      <left/>
      <right/>
      <top style="thin">
        <color theme="0" tint="-0.24994659260841701"/>
      </top>
      <bottom style="thin">
        <color theme="0" tint="-0.24994659260841701"/>
      </bottom>
      <diagonal/>
    </border>
    <border>
      <left/>
      <right/>
      <top style="thin">
        <color theme="0" tint="-0.24994659260841701"/>
      </top>
      <bottom style="thin">
        <color theme="0" tint="-0.499984740745262"/>
      </bottom>
      <diagonal/>
    </border>
    <border>
      <left/>
      <right/>
      <top style="thin">
        <color theme="0" tint="-0.499984740745262"/>
      </top>
      <bottom style="thin">
        <color theme="0" tint="-0.24994659260841701"/>
      </bottom>
      <diagonal/>
    </border>
    <border>
      <left/>
      <right style="thin">
        <color theme="0" tint="-0.24994659260841701"/>
      </right>
      <top/>
      <bottom/>
      <diagonal/>
    </border>
    <border>
      <left style="thin">
        <color theme="0" tint="-0.499984740745262"/>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249977111117893"/>
      </bottom>
      <diagonal/>
    </border>
    <border>
      <left/>
      <right/>
      <top style="thin">
        <color theme="0" tint="-0.499984740745262"/>
      </top>
      <bottom style="thin">
        <color theme="0" tint="-0.249977111117893"/>
      </bottom>
      <diagonal/>
    </border>
    <border>
      <left style="thin">
        <color theme="0" tint="-0.499984740745262"/>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499984740745262"/>
      </left>
      <right/>
      <top style="thin">
        <color theme="0" tint="-0.249977111117893"/>
      </top>
      <bottom style="thin">
        <color theme="0" tint="-0.499984740745262"/>
      </bottom>
      <diagonal/>
    </border>
    <border>
      <left/>
      <right/>
      <top style="thin">
        <color theme="0" tint="-0.249977111117893"/>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thin">
        <color theme="0" tint="-0.499984740745262"/>
      </right>
      <top/>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24994659260841701"/>
      </left>
      <right/>
      <top/>
      <bottom style="thin">
        <color theme="0" tint="-0.24994659260841701"/>
      </bottom>
      <diagonal/>
    </border>
    <border>
      <left style="thin">
        <color theme="0" tint="-0.249977111117893"/>
      </left>
      <right style="thin">
        <color theme="0" tint="-0.499984740745262"/>
      </right>
      <top style="thin">
        <color theme="0" tint="-0.499984740745262"/>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499984740745262"/>
      </bottom>
      <diagonal/>
    </border>
    <border>
      <left style="thin">
        <color theme="0" tint="-0.24994659260841701"/>
      </left>
      <right/>
      <top/>
      <bottom/>
      <diagonal/>
    </border>
    <border>
      <left/>
      <right style="thin">
        <color theme="0" tint="-0.24994659260841701"/>
      </right>
      <top/>
      <bottom style="thin">
        <color theme="0" tint="-0.499984740745262"/>
      </bottom>
      <diagonal/>
    </border>
    <border>
      <left style="thin">
        <color theme="0" tint="-0.24994659260841701"/>
      </left>
      <right/>
      <top/>
      <bottom style="thin">
        <color theme="0" tint="-0.499984740745262"/>
      </bottom>
      <diagonal/>
    </border>
    <border>
      <left style="thin">
        <color theme="0" tint="-0.24994659260841701"/>
      </left>
      <right/>
      <top style="thin">
        <color theme="0" tint="-0.499984740745262"/>
      </top>
      <bottom/>
      <diagonal/>
    </border>
    <border>
      <left style="thin">
        <color theme="0" tint="-0.499984740745262"/>
      </left>
      <right style="thin">
        <color theme="0" tint="-0.249977111117893"/>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499984740745262"/>
      </top>
      <bottom style="thin">
        <color theme="0" tint="-0.499984740745262"/>
      </bottom>
      <diagonal/>
    </border>
    <border>
      <left style="thin">
        <color theme="0" tint="-0.249977111117893"/>
      </left>
      <right style="thin">
        <color theme="0" tint="-0.499984740745262"/>
      </right>
      <top style="thin">
        <color theme="0" tint="-0.499984740745262"/>
      </top>
      <bottom style="thin">
        <color theme="0" tint="-0.499984740745262"/>
      </bottom>
      <diagonal/>
    </border>
    <border>
      <left/>
      <right style="thin">
        <color theme="0" tint="-0.249977111117893"/>
      </right>
      <top style="thin">
        <color theme="0" tint="-0.499984740745262"/>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499984740745262"/>
      </bottom>
      <diagonal/>
    </border>
    <border>
      <left/>
      <right/>
      <top style="thin">
        <color theme="0" tint="-0.24994659260841701"/>
      </top>
      <bottom/>
      <diagonal/>
    </border>
  </borders>
  <cellStyleXfs count="15">
    <xf numFmtId="0" fontId="0" fillId="0" borderId="0"/>
    <xf numFmtId="0" fontId="10" fillId="0" borderId="0"/>
    <xf numFmtId="0" fontId="15" fillId="0" borderId="0"/>
    <xf numFmtId="9" fontId="15" fillId="0" borderId="0" applyFont="0" applyFill="0" applyBorder="0" applyAlignment="0" applyProtection="0"/>
    <xf numFmtId="0" fontId="15" fillId="0" borderId="0"/>
    <xf numFmtId="0" fontId="28" fillId="0" borderId="0"/>
    <xf numFmtId="0" fontId="15" fillId="0" borderId="0"/>
    <xf numFmtId="0" fontId="15" fillId="0" borderId="0"/>
    <xf numFmtId="0" fontId="15" fillId="0" borderId="0"/>
    <xf numFmtId="0" fontId="5" fillId="0" borderId="0"/>
    <xf numFmtId="0" fontId="5" fillId="0" borderId="0"/>
    <xf numFmtId="43" fontId="10" fillId="0" borderId="0" applyFont="0" applyFill="0" applyBorder="0" applyAlignment="0" applyProtection="0"/>
    <xf numFmtId="0" fontId="10" fillId="0" borderId="0"/>
    <xf numFmtId="0" fontId="2" fillId="0" borderId="0"/>
    <xf numFmtId="0" fontId="51" fillId="0" borderId="0" applyNumberFormat="0" applyFill="0" applyBorder="0" applyAlignment="0" applyProtection="0"/>
  </cellStyleXfs>
  <cellXfs count="805">
    <xf numFmtId="0" fontId="0" fillId="0" borderId="0" xfId="0"/>
    <xf numFmtId="0" fontId="15" fillId="4" borderId="1" xfId="5" applyFont="1" applyFill="1" applyBorder="1" applyAlignment="1" applyProtection="1">
      <alignment vertical="center"/>
      <protection hidden="1"/>
    </xf>
    <xf numFmtId="0" fontId="15" fillId="4" borderId="2" xfId="5" applyFont="1" applyFill="1" applyBorder="1" applyAlignment="1" applyProtection="1">
      <alignment vertical="center"/>
      <protection hidden="1"/>
    </xf>
    <xf numFmtId="0" fontId="15" fillId="4" borderId="3" xfId="5" applyFont="1" applyFill="1" applyBorder="1" applyAlignment="1" applyProtection="1">
      <alignment vertical="center"/>
      <protection hidden="1"/>
    </xf>
    <xf numFmtId="0" fontId="15" fillId="3" borderId="0" xfId="5" applyFont="1" applyFill="1" applyAlignment="1" applyProtection="1">
      <alignment vertical="center"/>
      <protection hidden="1"/>
    </xf>
    <xf numFmtId="0" fontId="15" fillId="4" borderId="4" xfId="5" applyFont="1" applyFill="1" applyBorder="1" applyAlignment="1" applyProtection="1">
      <alignment vertical="center"/>
      <protection hidden="1"/>
    </xf>
    <xf numFmtId="0" fontId="15" fillId="4" borderId="0" xfId="5" applyFont="1" applyFill="1" applyAlignment="1" applyProtection="1">
      <alignment vertical="center"/>
      <protection hidden="1"/>
    </xf>
    <xf numFmtId="0" fontId="25" fillId="4" borderId="0" xfId="5" applyFont="1" applyFill="1" applyAlignment="1" applyProtection="1">
      <alignment horizontal="left" vertical="center"/>
      <protection hidden="1"/>
    </xf>
    <xf numFmtId="0" fontId="17" fillId="4" borderId="0" xfId="5" applyFont="1" applyFill="1" applyAlignment="1" applyProtection="1">
      <alignment vertical="center"/>
      <protection hidden="1"/>
    </xf>
    <xf numFmtId="0" fontId="17" fillId="4" borderId="5" xfId="5" applyFont="1" applyFill="1" applyBorder="1" applyAlignment="1" applyProtection="1">
      <alignment vertical="center"/>
      <protection hidden="1"/>
    </xf>
    <xf numFmtId="49" fontId="23" fillId="4" borderId="0" xfId="5" applyNumberFormat="1" applyFont="1" applyFill="1" applyAlignment="1" applyProtection="1">
      <alignment vertical="center"/>
      <protection hidden="1"/>
    </xf>
    <xf numFmtId="49" fontId="24" fillId="4" borderId="0" xfId="5" applyNumberFormat="1" applyFont="1" applyFill="1" applyAlignment="1" applyProtection="1">
      <alignment vertical="center"/>
      <protection hidden="1"/>
    </xf>
    <xf numFmtId="0" fontId="15" fillId="4" borderId="5" xfId="5" applyFont="1" applyFill="1" applyBorder="1" applyAlignment="1" applyProtection="1">
      <alignment vertical="center"/>
      <protection hidden="1"/>
    </xf>
    <xf numFmtId="49" fontId="24" fillId="4" borderId="5" xfId="5" applyNumberFormat="1" applyFont="1" applyFill="1" applyBorder="1" applyAlignment="1" applyProtection="1">
      <alignment vertical="center"/>
      <protection hidden="1"/>
    </xf>
    <xf numFmtId="49" fontId="15" fillId="4" borderId="0" xfId="5" applyNumberFormat="1" applyFont="1" applyFill="1" applyAlignment="1" applyProtection="1">
      <alignment vertical="center"/>
      <protection hidden="1"/>
    </xf>
    <xf numFmtId="4" fontId="15" fillId="4" borderId="0" xfId="5" applyNumberFormat="1" applyFont="1" applyFill="1" applyAlignment="1" applyProtection="1">
      <alignment horizontal="right" vertical="center"/>
      <protection hidden="1"/>
    </xf>
    <xf numFmtId="4" fontId="15" fillId="4" borderId="0" xfId="3" applyNumberFormat="1" applyFont="1" applyFill="1" applyBorder="1" applyAlignment="1" applyProtection="1">
      <alignment horizontal="right" vertical="center"/>
      <protection hidden="1"/>
    </xf>
    <xf numFmtId="0" fontId="11" fillId="4" borderId="4" xfId="5" applyFont="1" applyFill="1" applyBorder="1" applyAlignment="1" applyProtection="1">
      <alignment vertical="center"/>
      <protection hidden="1"/>
    </xf>
    <xf numFmtId="0" fontId="15" fillId="4" borderId="7" xfId="5" applyFont="1" applyFill="1" applyBorder="1" applyAlignment="1" applyProtection="1">
      <alignment vertical="center"/>
      <protection hidden="1"/>
    </xf>
    <xf numFmtId="0" fontId="15" fillId="4" borderId="8" xfId="5" applyFont="1" applyFill="1" applyBorder="1" applyAlignment="1" applyProtection="1">
      <alignment vertical="center"/>
      <protection hidden="1"/>
    </xf>
    <xf numFmtId="49" fontId="26" fillId="4" borderId="8" xfId="5" applyNumberFormat="1" applyFont="1" applyFill="1" applyBorder="1" applyAlignment="1" applyProtection="1">
      <alignment vertical="top"/>
      <protection hidden="1"/>
    </xf>
    <xf numFmtId="49" fontId="26" fillId="4" borderId="8" xfId="5" applyNumberFormat="1" applyFont="1" applyFill="1" applyBorder="1" applyAlignment="1" applyProtection="1">
      <alignment vertical="top" wrapText="1"/>
      <protection hidden="1"/>
    </xf>
    <xf numFmtId="0" fontId="15" fillId="4" borderId="9" xfId="5" applyFont="1" applyFill="1" applyBorder="1" applyAlignment="1" applyProtection="1">
      <alignment vertical="center"/>
      <protection hidden="1"/>
    </xf>
    <xf numFmtId="0" fontId="15" fillId="3" borderId="0" xfId="5" applyFont="1" applyFill="1" applyProtection="1">
      <protection hidden="1"/>
    </xf>
    <xf numFmtId="0" fontId="23" fillId="3" borderId="0" xfId="5" applyFont="1" applyFill="1" applyAlignment="1" applyProtection="1">
      <alignment vertical="top" wrapText="1"/>
      <protection hidden="1"/>
    </xf>
    <xf numFmtId="49" fontId="15" fillId="3" borderId="0" xfId="5" applyNumberFormat="1" applyFont="1" applyFill="1" applyAlignment="1" applyProtection="1">
      <alignment vertical="center"/>
      <protection hidden="1"/>
    </xf>
    <xf numFmtId="49" fontId="15" fillId="3" borderId="0" xfId="5" applyNumberFormat="1" applyFont="1" applyFill="1" applyProtection="1">
      <protection hidden="1"/>
    </xf>
    <xf numFmtId="49" fontId="15" fillId="3" borderId="0" xfId="5" applyNumberFormat="1" applyFont="1" applyFill="1" applyAlignment="1" applyProtection="1">
      <alignment vertical="top" wrapText="1"/>
      <protection hidden="1"/>
    </xf>
    <xf numFmtId="44" fontId="15" fillId="3" borderId="0" xfId="5" applyNumberFormat="1" applyFont="1" applyFill="1" applyAlignment="1" applyProtection="1">
      <alignment vertical="center"/>
      <protection hidden="1"/>
    </xf>
    <xf numFmtId="49" fontId="23" fillId="4" borderId="19" xfId="5" applyNumberFormat="1" applyFont="1" applyFill="1" applyBorder="1" applyAlignment="1" applyProtection="1">
      <alignment vertical="center"/>
      <protection hidden="1"/>
    </xf>
    <xf numFmtId="0" fontId="15" fillId="4" borderId="19" xfId="5" applyFont="1" applyFill="1" applyBorder="1" applyAlignment="1" applyProtection="1">
      <alignment vertical="center"/>
      <protection hidden="1"/>
    </xf>
    <xf numFmtId="49" fontId="24" fillId="4" borderId="19" xfId="5" applyNumberFormat="1" applyFont="1" applyFill="1" applyBorder="1" applyAlignment="1" applyProtection="1">
      <alignment vertical="center"/>
      <protection hidden="1"/>
    </xf>
    <xf numFmtId="0" fontId="17" fillId="4" borderId="19" xfId="5" applyFont="1" applyFill="1" applyBorder="1" applyAlignment="1" applyProtection="1">
      <alignment vertical="center"/>
      <protection hidden="1"/>
    </xf>
    <xf numFmtId="0" fontId="15" fillId="4" borderId="23" xfId="5" applyFont="1" applyFill="1" applyBorder="1" applyAlignment="1" applyProtection="1">
      <alignment vertical="center"/>
      <protection hidden="1"/>
    </xf>
    <xf numFmtId="49" fontId="24" fillId="4" borderId="23" xfId="5" applyNumberFormat="1" applyFont="1" applyFill="1" applyBorder="1" applyAlignment="1" applyProtection="1">
      <alignment vertical="center"/>
      <protection hidden="1"/>
    </xf>
    <xf numFmtId="0" fontId="17" fillId="4" borderId="23" xfId="5" applyFont="1" applyFill="1" applyBorder="1" applyAlignment="1" applyProtection="1">
      <alignment vertical="center"/>
      <protection hidden="1"/>
    </xf>
    <xf numFmtId="0" fontId="11" fillId="5" borderId="0" xfId="0" applyFont="1" applyFill="1" applyAlignment="1" applyProtection="1">
      <alignment vertical="center"/>
      <protection hidden="1"/>
    </xf>
    <xf numFmtId="0" fontId="16" fillId="3" borderId="12" xfId="2" applyFont="1" applyFill="1" applyBorder="1" applyAlignment="1">
      <alignment vertical="top" wrapText="1"/>
    </xf>
    <xf numFmtId="0" fontId="17" fillId="7" borderId="2" xfId="2" applyFont="1" applyFill="1" applyBorder="1" applyAlignment="1">
      <alignment vertical="top"/>
    </xf>
    <xf numFmtId="0" fontId="15" fillId="7" borderId="2" xfId="2" applyFill="1" applyBorder="1" applyAlignment="1">
      <alignment vertical="top" wrapText="1"/>
    </xf>
    <xf numFmtId="0" fontId="17" fillId="7" borderId="0" xfId="2" applyFont="1" applyFill="1" applyAlignment="1">
      <alignment vertical="top"/>
    </xf>
    <xf numFmtId="0" fontId="15" fillId="7" borderId="0" xfId="2" applyFill="1" applyAlignment="1">
      <alignment vertical="top" wrapText="1"/>
    </xf>
    <xf numFmtId="0" fontId="15" fillId="2" borderId="28" xfId="0" applyFont="1" applyFill="1" applyBorder="1" applyAlignment="1" applyProtection="1">
      <alignment horizontal="center" vertical="center" wrapText="1"/>
      <protection hidden="1"/>
    </xf>
    <xf numFmtId="0" fontId="10" fillId="3" borderId="0" xfId="1" applyFill="1"/>
    <xf numFmtId="0" fontId="0" fillId="3" borderId="0" xfId="0" applyFill="1"/>
    <xf numFmtId="0" fontId="0" fillId="3" borderId="0" xfId="0" applyFill="1" applyAlignment="1">
      <alignment horizontal="left"/>
    </xf>
    <xf numFmtId="0" fontId="12" fillId="4" borderId="2" xfId="0" applyFont="1" applyFill="1" applyBorder="1"/>
    <xf numFmtId="0" fontId="0" fillId="4" borderId="2" xfId="0" applyFill="1" applyBorder="1"/>
    <xf numFmtId="0" fontId="12" fillId="4" borderId="3" xfId="0" applyFont="1" applyFill="1" applyBorder="1"/>
    <xf numFmtId="0" fontId="10" fillId="4" borderId="4" xfId="1" applyFill="1" applyBorder="1"/>
    <xf numFmtId="0" fontId="10" fillId="4" borderId="0" xfId="1" applyFill="1"/>
    <xf numFmtId="0" fontId="0" fillId="4" borderId="0" xfId="0" applyFill="1"/>
    <xf numFmtId="0" fontId="10" fillId="4" borderId="5" xfId="1" applyFill="1" applyBorder="1"/>
    <xf numFmtId="0" fontId="14" fillId="4" borderId="0" xfId="1" applyFont="1" applyFill="1" applyAlignment="1">
      <alignment horizontal="left" vertical="top"/>
    </xf>
    <xf numFmtId="0" fontId="16" fillId="4" borderId="0" xfId="2" applyFont="1" applyFill="1" applyAlignment="1">
      <alignment vertical="top" wrapText="1"/>
    </xf>
    <xf numFmtId="0" fontId="0" fillId="4" borderId="0" xfId="0" applyFill="1" applyAlignment="1">
      <alignment horizontal="left"/>
    </xf>
    <xf numFmtId="0" fontId="10" fillId="3" borderId="0" xfId="1" applyFill="1" applyAlignment="1">
      <alignment horizontal="left"/>
    </xf>
    <xf numFmtId="0" fontId="15" fillId="4" borderId="0" xfId="2" applyFill="1" applyAlignment="1">
      <alignment horizontal="left" vertical="top" wrapText="1"/>
    </xf>
    <xf numFmtId="0" fontId="0" fillId="4" borderId="0" xfId="1" applyFont="1" applyFill="1" applyAlignment="1">
      <alignment horizontal="left"/>
    </xf>
    <xf numFmtId="0" fontId="10" fillId="4" borderId="0" xfId="1" applyFill="1" applyAlignment="1">
      <alignment horizontal="left"/>
    </xf>
    <xf numFmtId="0" fontId="10" fillId="4" borderId="7" xfId="1" applyFill="1" applyBorder="1"/>
    <xf numFmtId="0" fontId="18" fillId="4" borderId="8" xfId="1" applyFont="1" applyFill="1" applyBorder="1"/>
    <xf numFmtId="0" fontId="16" fillId="4" borderId="8" xfId="2" applyFont="1" applyFill="1" applyBorder="1" applyAlignment="1">
      <alignment vertical="top" wrapText="1"/>
    </xf>
    <xf numFmtId="0" fontId="10" fillId="4" borderId="8" xfId="1" applyFill="1" applyBorder="1"/>
    <xf numFmtId="0" fontId="10" fillId="4" borderId="9" xfId="1" applyFill="1" applyBorder="1"/>
    <xf numFmtId="0" fontId="33" fillId="3" borderId="0" xfId="1" applyFont="1" applyFill="1"/>
    <xf numFmtId="0" fontId="33" fillId="3" borderId="12" xfId="1" applyFont="1" applyFill="1" applyBorder="1"/>
    <xf numFmtId="0" fontId="27" fillId="3" borderId="12" xfId="1" applyFont="1" applyFill="1" applyBorder="1" applyAlignment="1">
      <alignment horizontal="left" vertical="top"/>
    </xf>
    <xf numFmtId="0" fontId="15" fillId="3" borderId="12" xfId="0" applyFont="1" applyFill="1" applyBorder="1"/>
    <xf numFmtId="0" fontId="15" fillId="3" borderId="0" xfId="0" applyFont="1" applyFill="1" applyAlignment="1">
      <alignment horizontal="left"/>
    </xf>
    <xf numFmtId="0" fontId="15" fillId="3" borderId="0" xfId="0" applyFont="1" applyFill="1"/>
    <xf numFmtId="0" fontId="33" fillId="7" borderId="1" xfId="1" applyFont="1" applyFill="1" applyBorder="1"/>
    <xf numFmtId="0" fontId="15" fillId="7" borderId="2" xfId="0" applyFont="1" applyFill="1" applyBorder="1"/>
    <xf numFmtId="0" fontId="33" fillId="7" borderId="2" xfId="1" applyFont="1" applyFill="1" applyBorder="1"/>
    <xf numFmtId="0" fontId="33" fillId="7" borderId="3" xfId="1" applyFont="1" applyFill="1" applyBorder="1"/>
    <xf numFmtId="0" fontId="0" fillId="3" borderId="0" xfId="0" applyFill="1" applyAlignment="1">
      <alignment horizontal="center"/>
    </xf>
    <xf numFmtId="0" fontId="33" fillId="7" borderId="4" xfId="1" applyFont="1" applyFill="1" applyBorder="1"/>
    <xf numFmtId="0" fontId="15" fillId="7" borderId="0" xfId="0" applyFont="1" applyFill="1"/>
    <xf numFmtId="0" fontId="33" fillId="7" borderId="0" xfId="1" applyFont="1" applyFill="1"/>
    <xf numFmtId="0" fontId="33" fillId="4" borderId="0" xfId="1" applyFont="1" applyFill="1"/>
    <xf numFmtId="0" fontId="33" fillId="7" borderId="5" xfId="1" applyFont="1" applyFill="1" applyBorder="1"/>
    <xf numFmtId="0" fontId="0" fillId="4" borderId="4" xfId="0" applyFill="1" applyBorder="1"/>
    <xf numFmtId="0" fontId="9" fillId="6" borderId="29" xfId="0" applyFont="1" applyFill="1" applyBorder="1" applyAlignment="1">
      <alignment horizontal="center" vertical="center" wrapText="1"/>
    </xf>
    <xf numFmtId="0" fontId="30" fillId="6" borderId="27" xfId="0" applyFont="1" applyFill="1" applyBorder="1" applyAlignment="1">
      <alignment horizontal="center" vertical="center" wrapText="1"/>
    </xf>
    <xf numFmtId="0" fontId="30" fillId="6" borderId="28" xfId="0" applyFont="1" applyFill="1" applyBorder="1" applyAlignment="1">
      <alignment horizontal="center" vertical="center" wrapText="1"/>
    </xf>
    <xf numFmtId="0" fontId="0" fillId="4" borderId="4" xfId="0" applyFill="1" applyBorder="1" applyAlignment="1">
      <alignment vertical="center"/>
    </xf>
    <xf numFmtId="2" fontId="18" fillId="4" borderId="32" xfId="0" applyNumberFormat="1" applyFont="1" applyFill="1" applyBorder="1" applyAlignment="1">
      <alignment vertical="center" wrapText="1"/>
    </xf>
    <xf numFmtId="0" fontId="18" fillId="0" borderId="33" xfId="0" applyFont="1" applyBorder="1" applyAlignment="1">
      <alignment vertical="center" wrapText="1"/>
    </xf>
    <xf numFmtId="0" fontId="0" fillId="4" borderId="0" xfId="0" applyFill="1" applyAlignment="1">
      <alignment vertical="center"/>
    </xf>
    <xf numFmtId="0" fontId="9" fillId="4" borderId="24" xfId="0" applyFont="1" applyFill="1" applyBorder="1" applyAlignment="1">
      <alignment horizontal="center" vertical="center" wrapText="1"/>
    </xf>
    <xf numFmtId="0" fontId="9" fillId="4" borderId="25" xfId="0" applyFont="1" applyFill="1" applyBorder="1" applyAlignment="1">
      <alignment horizontal="center" vertical="center" wrapText="1"/>
    </xf>
    <xf numFmtId="0" fontId="9" fillId="4" borderId="26" xfId="0" applyFont="1" applyFill="1" applyBorder="1" applyAlignment="1">
      <alignment horizontal="center" vertical="center" wrapText="1"/>
    </xf>
    <xf numFmtId="0" fontId="0" fillId="3" borderId="0" xfId="0" applyFill="1" applyAlignment="1">
      <alignment vertical="center"/>
    </xf>
    <xf numFmtId="2" fontId="18" fillId="4" borderId="16" xfId="0" applyNumberFormat="1" applyFont="1" applyFill="1" applyBorder="1" applyAlignment="1">
      <alignment vertical="center" wrapText="1"/>
    </xf>
    <xf numFmtId="0" fontId="18" fillId="0" borderId="17" xfId="0" applyFont="1" applyBorder="1" applyAlignment="1">
      <alignment vertical="center" wrapText="1"/>
    </xf>
    <xf numFmtId="0" fontId="9" fillId="4" borderId="30"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9" fillId="4" borderId="31" xfId="0" applyFont="1" applyFill="1" applyBorder="1" applyAlignment="1">
      <alignment horizontal="center" vertical="center" wrapText="1"/>
    </xf>
    <xf numFmtId="2" fontId="18" fillId="4" borderId="34" xfId="0" applyNumberFormat="1" applyFont="1" applyFill="1" applyBorder="1" applyAlignment="1">
      <alignment vertical="center" wrapText="1"/>
    </xf>
    <xf numFmtId="0" fontId="18" fillId="0" borderId="35" xfId="0" applyFont="1" applyBorder="1" applyAlignment="1">
      <alignment vertical="center" wrapText="1"/>
    </xf>
    <xf numFmtId="0" fontId="9" fillId="4" borderId="28" xfId="0" applyFont="1" applyFill="1" applyBorder="1" applyAlignment="1">
      <alignment horizontal="center" vertical="center" wrapText="1"/>
    </xf>
    <xf numFmtId="0" fontId="9" fillId="4" borderId="29" xfId="0" applyFont="1" applyFill="1" applyBorder="1" applyAlignment="1">
      <alignment horizontal="center" vertical="center" wrapText="1"/>
    </xf>
    <xf numFmtId="0" fontId="9" fillId="4" borderId="27" xfId="0" applyFont="1" applyFill="1" applyBorder="1" applyAlignment="1">
      <alignment horizontal="center" vertical="center" wrapText="1"/>
    </xf>
    <xf numFmtId="0" fontId="0" fillId="4" borderId="7" xfId="0" applyFill="1" applyBorder="1"/>
    <xf numFmtId="0" fontId="0" fillId="4" borderId="8" xfId="0" applyFill="1" applyBorder="1"/>
    <xf numFmtId="0" fontId="33" fillId="7" borderId="9" xfId="1" applyFont="1" applyFill="1" applyBorder="1"/>
    <xf numFmtId="0" fontId="0" fillId="3" borderId="20" xfId="0" applyFill="1" applyBorder="1" applyAlignment="1">
      <alignment horizontal="center" vertical="center"/>
    </xf>
    <xf numFmtId="0" fontId="0" fillId="3" borderId="20" xfId="0" applyFill="1" applyBorder="1"/>
    <xf numFmtId="0" fontId="19" fillId="3" borderId="20" xfId="0" applyFont="1" applyFill="1" applyBorder="1" applyAlignment="1">
      <alignment horizontal="left" vertical="top"/>
    </xf>
    <xf numFmtId="0" fontId="19" fillId="3" borderId="20" xfId="0" applyFont="1" applyFill="1" applyBorder="1" applyAlignment="1">
      <alignment horizontal="left" wrapText="1"/>
    </xf>
    <xf numFmtId="0" fontId="9" fillId="3" borderId="20" xfId="0" applyFont="1" applyFill="1" applyBorder="1" applyAlignment="1">
      <alignment horizontal="left" wrapText="1"/>
    </xf>
    <xf numFmtId="0" fontId="18" fillId="4" borderId="20" xfId="0" applyFont="1" applyFill="1" applyBorder="1" applyAlignment="1">
      <alignment horizontal="left" vertical="center" wrapText="1"/>
    </xf>
    <xf numFmtId="0" fontId="6" fillId="3" borderId="0" xfId="0" applyFont="1" applyFill="1"/>
    <xf numFmtId="0" fontId="7" fillId="3" borderId="0" xfId="0" applyFont="1" applyFill="1" applyAlignment="1">
      <alignment vertical="top" wrapText="1"/>
    </xf>
    <xf numFmtId="0" fontId="8" fillId="3" borderId="0" xfId="0" applyFont="1" applyFill="1" applyAlignment="1">
      <alignment vertical="top" wrapText="1"/>
    </xf>
    <xf numFmtId="0" fontId="18" fillId="3" borderId="0" xfId="0" applyFont="1" applyFill="1"/>
    <xf numFmtId="0" fontId="18" fillId="3" borderId="22" xfId="0" applyFont="1" applyFill="1" applyBorder="1" applyAlignment="1">
      <alignment horizontal="left" vertical="center" wrapText="1"/>
    </xf>
    <xf numFmtId="0" fontId="0" fillId="4" borderId="10" xfId="0" applyFill="1" applyBorder="1" applyAlignment="1" applyProtection="1">
      <alignment horizontal="center" vertical="center"/>
      <protection locked="0"/>
    </xf>
    <xf numFmtId="0" fontId="18" fillId="3" borderId="30" xfId="0" applyFont="1" applyFill="1" applyBorder="1" applyAlignment="1" applyProtection="1">
      <alignment horizontal="left" vertical="center"/>
      <protection locked="0"/>
    </xf>
    <xf numFmtId="0" fontId="18" fillId="3" borderId="10" xfId="0" applyFont="1" applyFill="1" applyBorder="1" applyAlignment="1" applyProtection="1">
      <alignment vertical="center"/>
      <protection locked="0"/>
    </xf>
    <xf numFmtId="1" fontId="18" fillId="3" borderId="31" xfId="0" applyNumberFormat="1" applyFont="1" applyFill="1" applyBorder="1" applyAlignment="1" applyProtection="1">
      <alignment vertical="center"/>
      <protection locked="0"/>
    </xf>
    <xf numFmtId="0" fontId="18" fillId="3" borderId="27" xfId="0" applyFont="1" applyFill="1" applyBorder="1" applyAlignment="1" applyProtection="1">
      <alignment horizontal="left" vertical="center"/>
      <protection locked="0"/>
    </xf>
    <xf numFmtId="0" fontId="18" fillId="3" borderId="28" xfId="0" applyFont="1" applyFill="1" applyBorder="1" applyAlignment="1" applyProtection="1">
      <alignment vertical="center"/>
      <protection locked="0"/>
    </xf>
    <xf numFmtId="1" fontId="18" fillId="3" borderId="29" xfId="0" applyNumberFormat="1" applyFont="1" applyFill="1" applyBorder="1" applyAlignment="1" applyProtection="1">
      <alignment vertical="center"/>
      <protection locked="0"/>
    </xf>
    <xf numFmtId="10" fontId="16" fillId="3" borderId="20" xfId="5" applyNumberFormat="1" applyFont="1" applyFill="1" applyBorder="1" applyAlignment="1" applyProtection="1">
      <alignment vertical="center"/>
      <protection locked="0"/>
    </xf>
    <xf numFmtId="0" fontId="11" fillId="0" borderId="0" xfId="0" applyFont="1" applyAlignment="1" applyProtection="1">
      <alignment vertical="center"/>
      <protection hidden="1"/>
    </xf>
    <xf numFmtId="0" fontId="36" fillId="0" borderId="26" xfId="0" applyFont="1" applyBorder="1" applyAlignment="1">
      <alignment horizontal="center" vertical="center" wrapText="1"/>
    </xf>
    <xf numFmtId="0" fontId="36" fillId="0" borderId="31" xfId="0" applyFont="1" applyBorder="1" applyAlignment="1">
      <alignment horizontal="center" vertical="center" wrapText="1"/>
    </xf>
    <xf numFmtId="0" fontId="15" fillId="4" borderId="0" xfId="2" applyFill="1" applyAlignment="1">
      <alignment horizontal="left" vertical="top"/>
    </xf>
    <xf numFmtId="0" fontId="3" fillId="3" borderId="0" xfId="6" applyFont="1" applyFill="1" applyAlignment="1">
      <alignment vertical="center"/>
    </xf>
    <xf numFmtId="0" fontId="20" fillId="4" borderId="0" xfId="6" applyFont="1" applyFill="1" applyAlignment="1">
      <alignment horizontal="left" vertical="center"/>
    </xf>
    <xf numFmtId="0" fontId="15" fillId="4" borderId="0" xfId="2" applyFill="1" applyAlignment="1">
      <alignment vertical="center" wrapText="1"/>
    </xf>
    <xf numFmtId="0" fontId="16" fillId="3" borderId="6" xfId="2" applyFont="1" applyFill="1" applyBorder="1" applyAlignment="1" applyProtection="1">
      <alignment horizontal="left" vertical="center" indent="1"/>
      <protection locked="0"/>
    </xf>
    <xf numFmtId="0" fontId="15" fillId="3" borderId="41" xfId="0" applyFont="1" applyFill="1" applyBorder="1" applyAlignment="1" applyProtection="1">
      <alignment horizontal="center" vertical="center" wrapText="1"/>
      <protection locked="0"/>
    </xf>
    <xf numFmtId="0" fontId="37" fillId="3" borderId="0" xfId="12" applyFont="1" applyFill="1" applyAlignment="1">
      <alignment horizontal="right" vertical="center"/>
    </xf>
    <xf numFmtId="0" fontId="37" fillId="3" borderId="0" xfId="2" applyFont="1" applyFill="1" applyAlignment="1">
      <alignment horizontal="right" vertical="center"/>
    </xf>
    <xf numFmtId="0" fontId="16" fillId="3" borderId="30" xfId="0" applyFont="1" applyFill="1" applyBorder="1" applyAlignment="1" applyProtection="1">
      <alignment horizontal="left" vertical="center"/>
      <protection locked="0"/>
    </xf>
    <xf numFmtId="0" fontId="16" fillId="3" borderId="27" xfId="0" applyFont="1" applyFill="1" applyBorder="1" applyAlignment="1" applyProtection="1">
      <alignment horizontal="left" vertical="center"/>
      <protection locked="0"/>
    </xf>
    <xf numFmtId="0" fontId="4" fillId="0" borderId="0" xfId="0" applyFont="1" applyAlignment="1">
      <alignment vertical="center"/>
    </xf>
    <xf numFmtId="0" fontId="31" fillId="5" borderId="0" xfId="0" applyFont="1" applyFill="1" applyAlignment="1">
      <alignment vertical="center"/>
    </xf>
    <xf numFmtId="0" fontId="11" fillId="5" borderId="0" xfId="0" applyFont="1" applyFill="1" applyAlignment="1">
      <alignment vertical="center" wrapText="1"/>
    </xf>
    <xf numFmtId="0" fontId="20" fillId="0" borderId="0" xfId="0" applyFont="1"/>
    <xf numFmtId="0" fontId="29" fillId="0" borderId="0" xfId="0" applyFont="1" applyAlignment="1">
      <alignment horizontal="left" vertical="center"/>
    </xf>
    <xf numFmtId="0" fontId="29" fillId="0" borderId="0" xfId="0" applyFont="1" applyAlignment="1">
      <alignment vertical="center"/>
    </xf>
    <xf numFmtId="0" fontId="15" fillId="0" borderId="0" xfId="2" applyAlignment="1">
      <alignment vertical="center"/>
    </xf>
    <xf numFmtId="0" fontId="17" fillId="0" borderId="0" xfId="2" applyFont="1" applyAlignment="1">
      <alignment horizontal="left" vertical="center"/>
    </xf>
    <xf numFmtId="0" fontId="17" fillId="0" borderId="0" xfId="2" applyFont="1" applyAlignment="1">
      <alignment vertical="center"/>
    </xf>
    <xf numFmtId="0" fontId="15" fillId="0" borderId="0" xfId="2" applyAlignment="1">
      <alignment horizontal="left" vertical="center"/>
    </xf>
    <xf numFmtId="49" fontId="15" fillId="0" borderId="0" xfId="2" applyNumberFormat="1" applyAlignment="1">
      <alignment vertical="center"/>
    </xf>
    <xf numFmtId="49" fontId="15" fillId="0" borderId="0" xfId="2" applyNumberFormat="1" applyAlignment="1">
      <alignment horizontal="left" vertical="center"/>
    </xf>
    <xf numFmtId="4" fontId="15" fillId="0" borderId="0" xfId="2" applyNumberFormat="1" applyAlignment="1">
      <alignment horizontal="right" vertical="center"/>
    </xf>
    <xf numFmtId="4" fontId="15" fillId="0" borderId="0" xfId="2" applyNumberFormat="1" applyAlignment="1">
      <alignment horizontal="center" vertical="center"/>
    </xf>
    <xf numFmtId="49" fontId="26" fillId="0" borderId="0" xfId="2" applyNumberFormat="1" applyFont="1" applyAlignment="1">
      <alignment vertical="center"/>
    </xf>
    <xf numFmtId="49" fontId="26" fillId="0" borderId="0" xfId="2" applyNumberFormat="1" applyFont="1" applyAlignment="1">
      <alignment vertical="center" wrapText="1"/>
    </xf>
    <xf numFmtId="9" fontId="20" fillId="0" borderId="0" xfId="0" applyNumberFormat="1" applyFont="1" applyAlignment="1">
      <alignment horizontal="center" vertical="center"/>
    </xf>
    <xf numFmtId="0" fontId="29" fillId="4" borderId="0" xfId="5" applyFont="1" applyFill="1" applyAlignment="1" applyProtection="1">
      <alignment vertical="center"/>
      <protection hidden="1"/>
    </xf>
    <xf numFmtId="0" fontId="15" fillId="0" borderId="0" xfId="5" applyFont="1" applyAlignment="1" applyProtection="1">
      <alignment vertical="center"/>
      <protection hidden="1"/>
    </xf>
    <xf numFmtId="0" fontId="15" fillId="2" borderId="27" xfId="0" applyFont="1" applyFill="1" applyBorder="1" applyAlignment="1" applyProtection="1">
      <alignment horizontal="center" vertical="center" wrapText="1"/>
      <protection hidden="1"/>
    </xf>
    <xf numFmtId="4" fontId="16" fillId="0" borderId="30" xfId="0" applyNumberFormat="1" applyFont="1" applyBorder="1" applyAlignment="1">
      <alignment vertical="center"/>
    </xf>
    <xf numFmtId="4" fontId="18" fillId="0" borderId="26" xfId="0" applyNumberFormat="1" applyFont="1" applyBorder="1" applyAlignment="1">
      <alignment vertical="center"/>
    </xf>
    <xf numFmtId="4" fontId="18" fillId="0" borderId="29" xfId="0" applyNumberFormat="1" applyFont="1" applyBorder="1" applyAlignment="1">
      <alignment vertical="center"/>
    </xf>
    <xf numFmtId="4" fontId="16" fillId="0" borderId="27" xfId="0" applyNumberFormat="1" applyFont="1" applyBorder="1" applyAlignment="1">
      <alignment vertical="center"/>
    </xf>
    <xf numFmtId="2" fontId="18" fillId="0" borderId="0" xfId="0" applyNumberFormat="1" applyFont="1" applyAlignment="1">
      <alignment horizontal="right" vertical="center" wrapText="1"/>
    </xf>
    <xf numFmtId="0" fontId="18" fillId="3" borderId="31" xfId="0" applyFont="1" applyFill="1" applyBorder="1" applyAlignment="1" applyProtection="1">
      <alignment horizontal="right" vertical="center" wrapText="1"/>
      <protection locked="0"/>
    </xf>
    <xf numFmtId="2" fontId="18" fillId="0" borderId="29" xfId="0" applyNumberFormat="1" applyFont="1" applyBorder="1" applyAlignment="1">
      <alignment horizontal="right" vertical="center" wrapText="1"/>
    </xf>
    <xf numFmtId="164" fontId="16" fillId="0" borderId="30" xfId="0" applyNumberFormat="1" applyFont="1" applyBorder="1" applyAlignment="1">
      <alignment horizontal="center" vertical="center"/>
    </xf>
    <xf numFmtId="164" fontId="16" fillId="0" borderId="27" xfId="0" applyNumberFormat="1" applyFont="1" applyBorder="1" applyAlignment="1">
      <alignment horizontal="center" vertical="center"/>
    </xf>
    <xf numFmtId="4" fontId="18" fillId="0" borderId="10" xfId="0" applyNumberFormat="1" applyFont="1" applyBorder="1" applyAlignment="1">
      <alignment horizontal="right" vertical="center"/>
    </xf>
    <xf numFmtId="4" fontId="18" fillId="0" borderId="28" xfId="0" applyNumberFormat="1" applyFont="1" applyBorder="1" applyAlignment="1">
      <alignment horizontal="right" vertical="center"/>
    </xf>
    <xf numFmtId="0" fontId="11" fillId="0" borderId="0" xfId="0" applyFont="1" applyAlignment="1" applyProtection="1">
      <alignment horizontal="center" vertical="center" wrapText="1"/>
      <protection hidden="1"/>
    </xf>
    <xf numFmtId="0" fontId="18" fillId="3" borderId="43" xfId="0" applyFont="1" applyFill="1" applyBorder="1" applyAlignment="1" applyProtection="1">
      <alignment horizontal="right" vertical="center"/>
      <protection locked="0"/>
    </xf>
    <xf numFmtId="0" fontId="11" fillId="5" borderId="0" xfId="0" applyFont="1" applyFill="1" applyAlignment="1">
      <alignment horizontal="left" vertical="center" wrapText="1"/>
    </xf>
    <xf numFmtId="0" fontId="4" fillId="0" borderId="0" xfId="0" applyFont="1" applyAlignment="1">
      <alignment vertical="center" wrapText="1"/>
    </xf>
    <xf numFmtId="0" fontId="21" fillId="0" borderId="10" xfId="0" applyFont="1" applyBorder="1" applyAlignment="1">
      <alignment horizontal="left" vertical="center" wrapText="1"/>
    </xf>
    <xf numFmtId="4" fontId="21" fillId="0" borderId="10" xfId="0" applyNumberFormat="1" applyFont="1" applyBorder="1" applyAlignment="1">
      <alignment horizontal="right" vertical="center"/>
    </xf>
    <xf numFmtId="4" fontId="21" fillId="0" borderId="10" xfId="0" applyNumberFormat="1" applyFont="1" applyBorder="1" applyAlignment="1">
      <alignment horizontal="right" vertical="center" wrapText="1"/>
    </xf>
    <xf numFmtId="0" fontId="21" fillId="0" borderId="0" xfId="0" applyFont="1" applyAlignment="1">
      <alignment vertical="center" wrapText="1"/>
    </xf>
    <xf numFmtId="0" fontId="18" fillId="0" borderId="0" xfId="0" applyFont="1" applyAlignment="1">
      <alignment vertical="center"/>
    </xf>
    <xf numFmtId="0" fontId="22" fillId="0" borderId="0" xfId="0" applyFont="1" applyAlignment="1">
      <alignment horizontal="left" vertical="center"/>
    </xf>
    <xf numFmtId="0" fontId="34" fillId="0" borderId="0" xfId="0" applyFont="1" applyAlignment="1">
      <alignment vertical="center"/>
    </xf>
    <xf numFmtId="0" fontId="20" fillId="0" borderId="0" xfId="0" applyFont="1" applyAlignment="1">
      <alignment vertical="center"/>
    </xf>
    <xf numFmtId="0" fontId="22" fillId="0" borderId="0" xfId="0" applyFont="1" applyAlignment="1">
      <alignment vertical="center" wrapText="1"/>
    </xf>
    <xf numFmtId="0" fontId="15" fillId="0" borderId="0" xfId="0" applyFont="1" applyAlignment="1">
      <alignment vertical="top" wrapText="1"/>
    </xf>
    <xf numFmtId="0" fontId="20" fillId="6" borderId="13" xfId="0" applyFont="1" applyFill="1" applyBorder="1" applyAlignment="1">
      <alignment horizontal="center" vertical="center"/>
    </xf>
    <xf numFmtId="0" fontId="20" fillId="6" borderId="3" xfId="0" applyFont="1" applyFill="1" applyBorder="1" applyAlignment="1">
      <alignment horizontal="center" vertical="center"/>
    </xf>
    <xf numFmtId="0" fontId="4" fillId="0" borderId="0" xfId="0" applyFont="1" applyAlignment="1">
      <alignment horizontal="center" vertical="center" wrapText="1"/>
    </xf>
    <xf numFmtId="0" fontId="15" fillId="6" borderId="18"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21" fillId="0" borderId="0" xfId="0" applyFont="1" applyAlignment="1">
      <alignment horizontal="center" vertical="center" wrapText="1"/>
    </xf>
    <xf numFmtId="4" fontId="16" fillId="6" borderId="18" xfId="0" applyNumberFormat="1" applyFont="1" applyFill="1" applyBorder="1" applyAlignment="1">
      <alignment vertical="center"/>
    </xf>
    <xf numFmtId="4" fontId="16" fillId="6" borderId="5" xfId="0" applyNumberFormat="1" applyFont="1" applyFill="1" applyBorder="1" applyAlignment="1">
      <alignment vertical="center"/>
    </xf>
    <xf numFmtId="0" fontId="21" fillId="0" borderId="0" xfId="0" applyFont="1" applyAlignment="1">
      <alignment vertical="center"/>
    </xf>
    <xf numFmtId="4" fontId="18" fillId="2" borderId="18" xfId="0" applyNumberFormat="1" applyFont="1" applyFill="1" applyBorder="1" applyAlignment="1">
      <alignment vertical="center"/>
    </xf>
    <xf numFmtId="4" fontId="18" fillId="2" borderId="5" xfId="0" applyNumberFormat="1" applyFont="1" applyFill="1" applyBorder="1" applyAlignment="1">
      <alignment vertical="center"/>
    </xf>
    <xf numFmtId="0" fontId="20" fillId="0" borderId="0" xfId="0" applyFont="1" applyAlignment="1">
      <alignment vertical="top"/>
    </xf>
    <xf numFmtId="0" fontId="15" fillId="0" borderId="8" xfId="0" applyFont="1" applyBorder="1" applyAlignment="1">
      <alignment vertical="top" wrapText="1"/>
    </xf>
    <xf numFmtId="0" fontId="35" fillId="6" borderId="5" xfId="0" applyFont="1" applyFill="1" applyBorder="1" applyAlignment="1">
      <alignment vertical="center"/>
    </xf>
    <xf numFmtId="1" fontId="18" fillId="2" borderId="4" xfId="0" applyNumberFormat="1" applyFont="1" applyFill="1" applyBorder="1" applyAlignment="1">
      <alignment vertical="center"/>
    </xf>
    <xf numFmtId="9" fontId="20" fillId="0" borderId="0" xfId="0" applyNumberFormat="1" applyFont="1" applyAlignment="1">
      <alignment vertical="center"/>
    </xf>
    <xf numFmtId="0" fontId="11" fillId="0" borderId="0" xfId="0" applyFont="1" applyAlignment="1" applyProtection="1">
      <alignment vertical="center" wrapText="1"/>
      <protection hidden="1"/>
    </xf>
    <xf numFmtId="0" fontId="12" fillId="0" borderId="0" xfId="0" applyFont="1" applyAlignment="1" applyProtection="1">
      <alignment vertical="center"/>
      <protection hidden="1"/>
    </xf>
    <xf numFmtId="164" fontId="16" fillId="3" borderId="31" xfId="0" applyNumberFormat="1" applyFont="1" applyFill="1" applyBorder="1" applyAlignment="1" applyProtection="1">
      <alignment horizontal="center" vertical="center"/>
      <protection locked="0"/>
    </xf>
    <xf numFmtId="164" fontId="16" fillId="3" borderId="29" xfId="0" applyNumberFormat="1" applyFont="1" applyFill="1" applyBorder="1" applyAlignment="1" applyProtection="1">
      <alignment horizontal="center" vertical="center"/>
      <protection locked="0"/>
    </xf>
    <xf numFmtId="0" fontId="15" fillId="2" borderId="29" xfId="0" applyFont="1" applyFill="1" applyBorder="1" applyAlignment="1" applyProtection="1">
      <alignment horizontal="center" vertical="center" wrapText="1"/>
      <protection hidden="1"/>
    </xf>
    <xf numFmtId="0" fontId="15" fillId="2" borderId="53" xfId="0" applyFont="1" applyFill="1" applyBorder="1" applyAlignment="1" applyProtection="1">
      <alignment horizontal="left" vertical="center" indent="1"/>
      <protection hidden="1"/>
    </xf>
    <xf numFmtId="0" fontId="15" fillId="2" borderId="49" xfId="0" applyFont="1" applyFill="1" applyBorder="1" applyAlignment="1" applyProtection="1">
      <alignment horizontal="left" vertical="center" indent="1"/>
      <protection hidden="1"/>
    </xf>
    <xf numFmtId="0" fontId="15" fillId="2" borderId="51" xfId="0" applyFont="1" applyFill="1" applyBorder="1" applyAlignment="1" applyProtection="1">
      <alignment horizontal="left" vertical="center" indent="1"/>
      <protection hidden="1"/>
    </xf>
    <xf numFmtId="0" fontId="15" fillId="2" borderId="47" xfId="0" applyFont="1" applyFill="1" applyBorder="1" applyAlignment="1" applyProtection="1">
      <alignment horizontal="left" vertical="center" indent="1"/>
      <protection hidden="1"/>
    </xf>
    <xf numFmtId="0" fontId="15" fillId="2" borderId="52" xfId="0" applyFont="1" applyFill="1" applyBorder="1" applyAlignment="1" applyProtection="1">
      <alignment horizontal="left" vertical="center" indent="1"/>
      <protection hidden="1"/>
    </xf>
    <xf numFmtId="0" fontId="15" fillId="2" borderId="48" xfId="0" applyFont="1" applyFill="1" applyBorder="1" applyAlignment="1" applyProtection="1">
      <alignment horizontal="left" vertical="center" indent="1"/>
      <protection hidden="1"/>
    </xf>
    <xf numFmtId="4" fontId="16" fillId="4" borderId="26" xfId="3" applyNumberFormat="1" applyFont="1" applyFill="1" applyBorder="1" applyAlignment="1" applyProtection="1">
      <alignment horizontal="right" vertical="center"/>
    </xf>
    <xf numFmtId="4" fontId="16" fillId="4" borderId="31" xfId="3" applyNumberFormat="1" applyFont="1" applyFill="1" applyBorder="1" applyAlignment="1" applyProtection="1">
      <alignment horizontal="right" vertical="center"/>
    </xf>
    <xf numFmtId="10" fontId="27" fillId="4" borderId="29" xfId="3" applyNumberFormat="1" applyFont="1" applyFill="1" applyBorder="1" applyAlignment="1" applyProtection="1">
      <alignment horizontal="center" vertical="center"/>
    </xf>
    <xf numFmtId="10" fontId="16" fillId="4" borderId="31" xfId="3" applyNumberFormat="1" applyFont="1" applyFill="1" applyBorder="1" applyAlignment="1" applyProtection="1">
      <alignment horizontal="center" vertical="center"/>
    </xf>
    <xf numFmtId="0" fontId="15" fillId="2" borderId="49" xfId="0" applyFont="1" applyFill="1" applyBorder="1" applyAlignment="1" applyProtection="1">
      <alignment vertical="center"/>
      <protection hidden="1"/>
    </xf>
    <xf numFmtId="0" fontId="15" fillId="2" borderId="33" xfId="0" applyFont="1" applyFill="1" applyBorder="1" applyAlignment="1" applyProtection="1">
      <alignment vertical="center"/>
      <protection hidden="1"/>
    </xf>
    <xf numFmtId="0" fontId="15" fillId="2" borderId="47" xfId="0" applyFont="1" applyFill="1" applyBorder="1" applyAlignment="1" applyProtection="1">
      <alignment vertical="center"/>
      <protection hidden="1"/>
    </xf>
    <xf numFmtId="0" fontId="15" fillId="2" borderId="17" xfId="0" applyFont="1" applyFill="1" applyBorder="1" applyAlignment="1" applyProtection="1">
      <alignment vertical="center"/>
      <protection hidden="1"/>
    </xf>
    <xf numFmtId="0" fontId="15" fillId="2" borderId="48" xfId="0" applyFont="1" applyFill="1" applyBorder="1" applyAlignment="1" applyProtection="1">
      <alignment vertical="center"/>
      <protection hidden="1"/>
    </xf>
    <xf numFmtId="0" fontId="15" fillId="2" borderId="35" xfId="0" applyFont="1" applyFill="1" applyBorder="1" applyAlignment="1" applyProtection="1">
      <alignment vertical="center"/>
      <protection hidden="1"/>
    </xf>
    <xf numFmtId="4" fontId="16" fillId="4" borderId="10" xfId="5" applyNumberFormat="1" applyFont="1" applyFill="1" applyBorder="1" applyAlignment="1" applyProtection="1">
      <alignment horizontal="right" vertical="center" wrapText="1"/>
      <protection hidden="1"/>
    </xf>
    <xf numFmtId="0" fontId="16" fillId="4" borderId="10" xfId="5" applyFont="1" applyFill="1" applyBorder="1" applyAlignment="1" applyProtection="1">
      <alignment vertical="center"/>
      <protection hidden="1"/>
    </xf>
    <xf numFmtId="4" fontId="16" fillId="4" borderId="10" xfId="5" applyNumberFormat="1" applyFont="1" applyFill="1" applyBorder="1" applyAlignment="1" applyProtection="1">
      <alignment horizontal="right" vertical="center"/>
      <protection hidden="1"/>
    </xf>
    <xf numFmtId="4" fontId="16" fillId="4" borderId="10" xfId="3" applyNumberFormat="1" applyFont="1" applyFill="1" applyBorder="1" applyAlignment="1" applyProtection="1">
      <alignment horizontal="right" vertical="center"/>
    </xf>
    <xf numFmtId="0" fontId="21" fillId="0" borderId="21" xfId="0" applyFont="1" applyBorder="1" applyAlignment="1">
      <alignment vertical="center" wrapText="1"/>
    </xf>
    <xf numFmtId="0" fontId="21" fillId="0" borderId="21" xfId="0" applyFont="1" applyBorder="1" applyAlignment="1">
      <alignment vertical="center"/>
    </xf>
    <xf numFmtId="0" fontId="21" fillId="0" borderId="10" xfId="0" applyFont="1" applyBorder="1" applyAlignment="1">
      <alignment vertical="center" wrapText="1"/>
    </xf>
    <xf numFmtId="0" fontId="35" fillId="6" borderId="18" xfId="0" applyFont="1" applyFill="1" applyBorder="1" applyAlignment="1">
      <alignment vertical="center"/>
    </xf>
    <xf numFmtId="1" fontId="18" fillId="2" borderId="18" xfId="0" applyNumberFormat="1" applyFont="1" applyFill="1" applyBorder="1" applyAlignment="1">
      <alignment vertical="center"/>
    </xf>
    <xf numFmtId="0" fontId="38" fillId="0" borderId="10" xfId="0" applyFont="1" applyBorder="1" applyAlignment="1">
      <alignment vertical="center" wrapText="1"/>
    </xf>
    <xf numFmtId="0" fontId="38" fillId="0" borderId="10" xfId="0" applyFont="1" applyBorder="1" applyAlignment="1" applyProtection="1">
      <alignment vertical="center"/>
      <protection locked="0"/>
    </xf>
    <xf numFmtId="0" fontId="22" fillId="0" borderId="10" xfId="0" applyFont="1" applyBorder="1" applyAlignment="1">
      <alignment vertical="center"/>
    </xf>
    <xf numFmtId="0" fontId="22" fillId="0" borderId="10" xfId="0" applyFont="1" applyBorder="1" applyAlignment="1">
      <alignment horizontal="center" vertical="center" wrapText="1"/>
    </xf>
    <xf numFmtId="164" fontId="18" fillId="0" borderId="30" xfId="0" applyNumberFormat="1" applyFont="1" applyBorder="1" applyAlignment="1">
      <alignment horizontal="center" vertical="center"/>
    </xf>
    <xf numFmtId="164" fontId="16" fillId="0" borderId="10" xfId="0" applyNumberFormat="1" applyFont="1" applyBorder="1" applyAlignment="1">
      <alignment horizontal="center" vertical="center"/>
    </xf>
    <xf numFmtId="3" fontId="36" fillId="0" borderId="10" xfId="11" applyNumberFormat="1" applyFont="1" applyFill="1" applyBorder="1" applyAlignment="1" applyProtection="1">
      <alignment horizontal="center" vertical="center"/>
    </xf>
    <xf numFmtId="3" fontId="36" fillId="4" borderId="10" xfId="11" applyNumberFormat="1" applyFont="1" applyFill="1" applyBorder="1" applyAlignment="1" applyProtection="1">
      <alignment horizontal="center" vertical="center"/>
    </xf>
    <xf numFmtId="0" fontId="40" fillId="0" borderId="0" xfId="0" applyFont="1"/>
    <xf numFmtId="0" fontId="15" fillId="3" borderId="43" xfId="2" applyFill="1" applyBorder="1" applyAlignment="1" applyProtection="1">
      <alignment vertical="center"/>
      <protection locked="0"/>
    </xf>
    <xf numFmtId="9" fontId="18" fillId="3" borderId="43" xfId="0" applyNumberFormat="1" applyFont="1" applyFill="1" applyBorder="1" applyAlignment="1" applyProtection="1">
      <alignment horizontal="center" vertical="center"/>
      <protection locked="0"/>
    </xf>
    <xf numFmtId="9" fontId="18" fillId="0" borderId="59" xfId="0" applyNumberFormat="1" applyFont="1" applyBorder="1" applyAlignment="1">
      <alignment horizontal="center" vertical="center" wrapText="1"/>
    </xf>
    <xf numFmtId="0" fontId="18" fillId="3" borderId="26" xfId="0" applyFont="1" applyFill="1" applyBorder="1" applyAlignment="1" applyProtection="1">
      <alignment horizontal="right" vertical="center" wrapText="1"/>
      <protection locked="0"/>
    </xf>
    <xf numFmtId="0" fontId="29" fillId="0" borderId="0" xfId="0" applyFont="1" applyAlignment="1">
      <alignment horizontal="left" vertical="center" indent="1"/>
    </xf>
    <xf numFmtId="0" fontId="15" fillId="6" borderId="29" xfId="0" applyFont="1" applyFill="1" applyBorder="1" applyAlignment="1">
      <alignment horizontal="center" vertical="center" wrapText="1"/>
    </xf>
    <xf numFmtId="0" fontId="15" fillId="6" borderId="27" xfId="0" applyFont="1" applyFill="1" applyBorder="1" applyAlignment="1">
      <alignment horizontal="center" vertical="center" wrapText="1"/>
    </xf>
    <xf numFmtId="0" fontId="20" fillId="6" borderId="53" xfId="0" applyFont="1" applyFill="1" applyBorder="1" applyAlignment="1">
      <alignment horizontal="left" vertical="center" indent="1"/>
    </xf>
    <xf numFmtId="0" fontId="20" fillId="6" borderId="49" xfId="0" applyFont="1" applyFill="1" applyBorder="1" applyAlignment="1">
      <alignment horizontal="left" vertical="center" indent="1"/>
    </xf>
    <xf numFmtId="0" fontId="20" fillId="6" borderId="36" xfId="0" applyFont="1" applyFill="1" applyBorder="1" applyAlignment="1">
      <alignment horizontal="left" vertical="center" indent="1"/>
    </xf>
    <xf numFmtId="0" fontId="20" fillId="6" borderId="24" xfId="0" applyFont="1" applyFill="1" applyBorder="1" applyAlignment="1">
      <alignment horizontal="left" vertical="center" indent="1"/>
    </xf>
    <xf numFmtId="0" fontId="20" fillId="6" borderId="26" xfId="0" applyFont="1" applyFill="1" applyBorder="1" applyAlignment="1">
      <alignment horizontal="left" vertical="center" indent="1"/>
    </xf>
    <xf numFmtId="0" fontId="20" fillId="6" borderId="49" xfId="0" applyFont="1" applyFill="1" applyBorder="1" applyAlignment="1">
      <alignment horizontal="left" vertical="center" wrapText="1" indent="1"/>
    </xf>
    <xf numFmtId="0" fontId="20" fillId="6" borderId="36" xfId="0" applyFont="1" applyFill="1" applyBorder="1" applyAlignment="1">
      <alignment horizontal="left" vertical="center" wrapText="1" indent="1"/>
    </xf>
    <xf numFmtId="0" fontId="16" fillId="3" borderId="24" xfId="0" applyFont="1" applyFill="1" applyBorder="1" applyAlignment="1" applyProtection="1">
      <alignment horizontal="left" vertical="center"/>
      <protection locked="0"/>
    </xf>
    <xf numFmtId="0" fontId="16" fillId="0" borderId="25" xfId="0" applyFont="1" applyBorder="1" applyAlignment="1">
      <alignment horizontal="right" vertical="center"/>
    </xf>
    <xf numFmtId="0" fontId="16" fillId="3" borderId="25" xfId="0" applyFont="1" applyFill="1" applyBorder="1" applyAlignment="1" applyProtection="1">
      <alignment horizontal="right" vertical="center"/>
      <protection locked="0"/>
    </xf>
    <xf numFmtId="4" fontId="16" fillId="0" borderId="25" xfId="0" applyNumberFormat="1" applyFont="1" applyBorder="1" applyAlignment="1">
      <alignment horizontal="right" vertical="center"/>
    </xf>
    <xf numFmtId="1" fontId="18" fillId="3" borderId="26" xfId="0" applyNumberFormat="1" applyFont="1" applyFill="1" applyBorder="1" applyAlignment="1" applyProtection="1">
      <alignment horizontal="right" vertical="center"/>
      <protection locked="0"/>
    </xf>
    <xf numFmtId="0" fontId="16" fillId="0" borderId="10" xfId="0" applyFont="1" applyBorder="1" applyAlignment="1">
      <alignment horizontal="right" vertical="center"/>
    </xf>
    <xf numFmtId="0" fontId="16" fillId="3" borderId="10" xfId="0" applyFont="1" applyFill="1" applyBorder="1" applyAlignment="1" applyProtection="1">
      <alignment horizontal="right" vertical="center"/>
      <protection locked="0"/>
    </xf>
    <xf numFmtId="4" fontId="16" fillId="0" borderId="10" xfId="0" applyNumberFormat="1" applyFont="1" applyBorder="1" applyAlignment="1">
      <alignment horizontal="right" vertical="center"/>
    </xf>
    <xf numFmtId="1" fontId="18" fillId="3" borderId="31" xfId="0" applyNumberFormat="1" applyFont="1" applyFill="1" applyBorder="1" applyAlignment="1" applyProtection="1">
      <alignment horizontal="right" vertical="center"/>
      <protection locked="0"/>
    </xf>
    <xf numFmtId="0" fontId="16" fillId="0" borderId="28" xfId="0" applyFont="1" applyBorder="1" applyAlignment="1">
      <alignment horizontal="right" vertical="center"/>
    </xf>
    <xf numFmtId="0" fontId="16" fillId="3" borderId="28" xfId="0" applyFont="1" applyFill="1" applyBorder="1" applyAlignment="1" applyProtection="1">
      <alignment horizontal="right" vertical="center"/>
      <protection locked="0"/>
    </xf>
    <xf numFmtId="4" fontId="16" fillId="0" borderId="28" xfId="0" applyNumberFormat="1" applyFont="1" applyBorder="1" applyAlignment="1">
      <alignment horizontal="right" vertical="center"/>
    </xf>
    <xf numFmtId="1" fontId="18" fillId="3" borderId="29" xfId="0" applyNumberFormat="1" applyFont="1" applyFill="1" applyBorder="1" applyAlignment="1" applyProtection="1">
      <alignment horizontal="right" vertical="center"/>
      <protection locked="0"/>
    </xf>
    <xf numFmtId="164" fontId="16" fillId="0" borderId="24" xfId="0" applyNumberFormat="1" applyFont="1" applyBorder="1" applyAlignment="1">
      <alignment horizontal="center" vertical="center"/>
    </xf>
    <xf numFmtId="164" fontId="16" fillId="0" borderId="25" xfId="0" applyNumberFormat="1" applyFont="1" applyBorder="1" applyAlignment="1">
      <alignment horizontal="center" vertical="center"/>
    </xf>
    <xf numFmtId="164" fontId="16" fillId="3" borderId="26" xfId="0" applyNumberFormat="1" applyFont="1" applyFill="1" applyBorder="1" applyAlignment="1" applyProtection="1">
      <alignment horizontal="center" vertical="center"/>
      <protection locked="0"/>
    </xf>
    <xf numFmtId="164" fontId="16" fillId="0" borderId="28" xfId="0" applyNumberFormat="1" applyFont="1" applyBorder="1" applyAlignment="1">
      <alignment horizontal="center" vertical="center"/>
    </xf>
    <xf numFmtId="4" fontId="16" fillId="0" borderId="24" xfId="0" applyNumberFormat="1" applyFont="1" applyBorder="1" applyAlignment="1">
      <alignment vertical="center"/>
    </xf>
    <xf numFmtId="0" fontId="18" fillId="3" borderId="24" xfId="0" applyFont="1" applyFill="1" applyBorder="1" applyAlignment="1" applyProtection="1">
      <alignment horizontal="left" vertical="center"/>
      <protection locked="0"/>
    </xf>
    <xf numFmtId="0" fontId="18" fillId="3" borderId="25" xfId="0" applyFont="1" applyFill="1" applyBorder="1" applyAlignment="1" applyProtection="1">
      <alignment vertical="center"/>
      <protection locked="0"/>
    </xf>
    <xf numFmtId="4" fontId="18" fillId="0" borderId="25" xfId="0" applyNumberFormat="1" applyFont="1" applyBorder="1" applyAlignment="1">
      <alignment horizontal="right" vertical="center"/>
    </xf>
    <xf numFmtId="1" fontId="18" fillId="3" borderId="26" xfId="0" applyNumberFormat="1" applyFont="1" applyFill="1" applyBorder="1" applyAlignment="1" applyProtection="1">
      <alignment vertical="center"/>
      <protection locked="0"/>
    </xf>
    <xf numFmtId="164" fontId="18" fillId="0" borderId="24" xfId="0" applyNumberFormat="1" applyFont="1" applyBorder="1" applyAlignment="1">
      <alignment horizontal="center" vertical="center"/>
    </xf>
    <xf numFmtId="164" fontId="18" fillId="0" borderId="27" xfId="0" applyNumberFormat="1" applyFont="1" applyBorder="1" applyAlignment="1">
      <alignment horizontal="center" vertical="center"/>
    </xf>
    <xf numFmtId="0" fontId="40" fillId="0" borderId="0" xfId="0" applyFont="1" applyAlignment="1">
      <alignment wrapText="1"/>
    </xf>
    <xf numFmtId="9" fontId="16" fillId="0" borderId="60" xfId="0" applyNumberFormat="1" applyFont="1" applyBorder="1" applyAlignment="1">
      <alignment horizontal="center" vertical="center"/>
    </xf>
    <xf numFmtId="9" fontId="16" fillId="0" borderId="61" xfId="0" applyNumberFormat="1" applyFont="1" applyBorder="1" applyAlignment="1">
      <alignment horizontal="center" vertical="center"/>
    </xf>
    <xf numFmtId="3" fontId="18" fillId="0" borderId="33" xfId="11" applyNumberFormat="1" applyFont="1" applyFill="1" applyBorder="1" applyAlignment="1" applyProtection="1">
      <alignment horizontal="center" vertical="center"/>
      <protection locked="0"/>
    </xf>
    <xf numFmtId="3" fontId="18" fillId="0" borderId="25" xfId="11" applyNumberFormat="1" applyFont="1" applyFill="1" applyBorder="1" applyAlignment="1" applyProtection="1">
      <alignment horizontal="center" vertical="center"/>
      <protection locked="0"/>
    </xf>
    <xf numFmtId="3" fontId="18" fillId="0" borderId="26" xfId="11" applyNumberFormat="1" applyFont="1" applyFill="1" applyBorder="1" applyAlignment="1" applyProtection="1">
      <alignment horizontal="center" vertical="center"/>
      <protection locked="0"/>
    </xf>
    <xf numFmtId="3" fontId="18" fillId="4" borderId="17" xfId="11" applyNumberFormat="1" applyFont="1" applyFill="1" applyBorder="1" applyAlignment="1" applyProtection="1">
      <alignment horizontal="center" vertical="center"/>
    </xf>
    <xf numFmtId="3" fontId="18" fillId="4" borderId="38" xfId="11" applyNumberFormat="1" applyFont="1" applyFill="1" applyBorder="1" applyAlignment="1" applyProtection="1">
      <alignment horizontal="center" vertical="center"/>
    </xf>
    <xf numFmtId="3" fontId="18" fillId="4" borderId="35" xfId="11" applyNumberFormat="1" applyFont="1" applyFill="1" applyBorder="1" applyAlignment="1" applyProtection="1">
      <alignment horizontal="center" vertical="center"/>
    </xf>
    <xf numFmtId="3" fontId="18" fillId="4" borderId="37" xfId="11" applyNumberFormat="1" applyFont="1" applyFill="1" applyBorder="1" applyAlignment="1" applyProtection="1">
      <alignment horizontal="center" vertical="center"/>
    </xf>
    <xf numFmtId="4" fontId="16" fillId="0" borderId="25" xfId="0" applyNumberFormat="1" applyFont="1" applyBorder="1" applyAlignment="1">
      <alignment horizontal="center" vertical="center"/>
    </xf>
    <xf numFmtId="4" fontId="16" fillId="0" borderId="10" xfId="0" applyNumberFormat="1" applyFont="1" applyBorder="1" applyAlignment="1">
      <alignment horizontal="center" vertical="center"/>
    </xf>
    <xf numFmtId="4" fontId="16" fillId="0" borderId="28" xfId="0" applyNumberFormat="1" applyFont="1" applyBorder="1" applyAlignment="1">
      <alignment horizontal="center" vertical="center"/>
    </xf>
    <xf numFmtId="0" fontId="17" fillId="4" borderId="0" xfId="2" applyFont="1" applyFill="1" applyAlignment="1">
      <alignment horizontal="left" vertical="top"/>
    </xf>
    <xf numFmtId="0" fontId="11" fillId="5" borderId="0" xfId="12" applyFont="1" applyFill="1" applyAlignment="1" applyProtection="1">
      <alignment horizontal="center" vertical="center"/>
      <protection hidden="1"/>
    </xf>
    <xf numFmtId="0" fontId="15" fillId="5" borderId="0" xfId="12" applyFont="1" applyFill="1"/>
    <xf numFmtId="0" fontId="15" fillId="5" borderId="0" xfId="12" applyFont="1" applyFill="1" applyAlignment="1">
      <alignment vertical="center"/>
    </xf>
    <xf numFmtId="0" fontId="15" fillId="0" borderId="0" xfId="12" applyFont="1"/>
    <xf numFmtId="0" fontId="41" fillId="5" borderId="0" xfId="12" applyFont="1" applyFill="1" applyAlignment="1">
      <alignment vertical="center"/>
    </xf>
    <xf numFmtId="0" fontId="11" fillId="0" borderId="0" xfId="12" applyFont="1" applyAlignment="1" applyProtection="1">
      <alignment horizontal="center" vertical="center"/>
      <protection hidden="1"/>
    </xf>
    <xf numFmtId="0" fontId="15" fillId="0" borderId="0" xfId="12" applyFont="1" applyAlignment="1">
      <alignment vertical="top" wrapText="1"/>
    </xf>
    <xf numFmtId="0" fontId="15" fillId="0" borderId="0" xfId="12" applyFont="1" applyAlignment="1">
      <alignment horizontal="left" vertical="top" wrapText="1"/>
    </xf>
    <xf numFmtId="0" fontId="11" fillId="4" borderId="0" xfId="12" applyFont="1" applyFill="1" applyAlignment="1" applyProtection="1">
      <alignment horizontal="center" vertical="center"/>
      <protection hidden="1"/>
    </xf>
    <xf numFmtId="0" fontId="15" fillId="4" borderId="0" xfId="12" applyFont="1" applyFill="1"/>
    <xf numFmtId="0" fontId="15" fillId="4" borderId="0" xfId="12" applyFont="1" applyFill="1" applyAlignment="1">
      <alignment vertical="top" wrapText="1"/>
    </xf>
    <xf numFmtId="0" fontId="15" fillId="0" borderId="0" xfId="12" applyFont="1" applyAlignment="1">
      <alignment vertical="center"/>
    </xf>
    <xf numFmtId="0" fontId="42" fillId="4" borderId="0" xfId="12" applyFont="1" applyFill="1" applyAlignment="1">
      <alignment vertical="top"/>
    </xf>
    <xf numFmtId="0" fontId="15" fillId="0" borderId="0" xfId="12" applyFont="1" applyAlignment="1">
      <alignment vertical="center" wrapText="1"/>
    </xf>
    <xf numFmtId="0" fontId="15" fillId="2" borderId="42" xfId="12" applyFont="1" applyFill="1" applyBorder="1" applyAlignment="1">
      <alignment horizontal="center" vertical="center"/>
    </xf>
    <xf numFmtId="0" fontId="15" fillId="2" borderId="58" xfId="12" applyFont="1" applyFill="1" applyBorder="1" applyAlignment="1">
      <alignment horizontal="center" vertical="center" wrapText="1"/>
    </xf>
    <xf numFmtId="0" fontId="15" fillId="2" borderId="43" xfId="12" applyFont="1" applyFill="1" applyBorder="1" applyAlignment="1">
      <alignment horizontal="center" vertical="center" wrapText="1"/>
    </xf>
    <xf numFmtId="0" fontId="15" fillId="0" borderId="10" xfId="12" applyFont="1" applyBorder="1" applyAlignment="1">
      <alignment horizontal="center" vertical="center" wrapText="1"/>
    </xf>
    <xf numFmtId="0" fontId="15" fillId="0" borderId="0" xfId="12" applyFont="1" applyAlignment="1">
      <alignment horizontal="left" vertical="center" indent="1"/>
    </xf>
    <xf numFmtId="49" fontId="15" fillId="0" borderId="24" xfId="12" applyNumberFormat="1" applyFont="1" applyBorder="1" applyAlignment="1">
      <alignment horizontal="left" vertical="center" indent="1"/>
    </xf>
    <xf numFmtId="3" fontId="15" fillId="3" borderId="25" xfId="12" applyNumberFormat="1" applyFont="1" applyFill="1" applyBorder="1" applyAlignment="1" applyProtection="1">
      <alignment horizontal="right" vertical="center"/>
      <protection locked="0"/>
    </xf>
    <xf numFmtId="3" fontId="15" fillId="0" borderId="26" xfId="12" applyNumberFormat="1" applyFont="1" applyBorder="1" applyAlignment="1">
      <alignment horizontal="right" vertical="center"/>
    </xf>
    <xf numFmtId="0" fontId="15" fillId="0" borderId="10" xfId="12" applyFont="1" applyBorder="1" applyAlignment="1">
      <alignment horizontal="right" vertical="center"/>
    </xf>
    <xf numFmtId="49" fontId="15" fillId="0" borderId="30" xfId="12" applyNumberFormat="1" applyFont="1" applyBorder="1" applyAlignment="1">
      <alignment horizontal="left" vertical="center" indent="1"/>
    </xf>
    <xf numFmtId="3" fontId="15" fillId="3" borderId="10" xfId="12" applyNumberFormat="1" applyFont="1" applyFill="1" applyBorder="1" applyAlignment="1" applyProtection="1">
      <alignment horizontal="right" vertical="center"/>
      <protection locked="0"/>
    </xf>
    <xf numFmtId="3" fontId="15" fillId="0" borderId="31" xfId="12" applyNumberFormat="1" applyFont="1" applyBorder="1" applyAlignment="1">
      <alignment horizontal="right" vertical="center"/>
    </xf>
    <xf numFmtId="49" fontId="15" fillId="0" borderId="68" xfId="12" applyNumberFormat="1" applyFont="1" applyBorder="1" applyAlignment="1">
      <alignment horizontal="left" vertical="center" indent="1"/>
    </xf>
    <xf numFmtId="3" fontId="15" fillId="3" borderId="21" xfId="12" applyNumberFormat="1" applyFont="1" applyFill="1" applyBorder="1" applyAlignment="1" applyProtection="1">
      <alignment horizontal="right" vertical="center"/>
      <protection locked="0"/>
    </xf>
    <xf numFmtId="3" fontId="15" fillId="0" borderId="69" xfId="12" applyNumberFormat="1" applyFont="1" applyBorder="1" applyAlignment="1">
      <alignment horizontal="right" vertical="center"/>
    </xf>
    <xf numFmtId="0" fontId="15" fillId="2" borderId="11" xfId="12" applyFont="1" applyFill="1" applyBorder="1" applyAlignment="1">
      <alignment horizontal="left" vertical="center" indent="1"/>
    </xf>
    <xf numFmtId="3" fontId="15" fillId="0" borderId="43" xfId="12" applyNumberFormat="1" applyFont="1" applyBorder="1" applyAlignment="1">
      <alignment horizontal="right" vertical="center"/>
    </xf>
    <xf numFmtId="0" fontId="11" fillId="0" borderId="0" xfId="13" applyFont="1" applyAlignment="1" applyProtection="1">
      <alignment horizontal="center" vertical="center"/>
      <protection hidden="1"/>
    </xf>
    <xf numFmtId="0" fontId="42" fillId="0" borderId="0" xfId="12" applyFont="1" applyAlignment="1">
      <alignment vertical="top"/>
    </xf>
    <xf numFmtId="0" fontId="15" fillId="0" borderId="0" xfId="12" applyFont="1" applyAlignment="1">
      <alignment horizontal="left" vertical="center" wrapText="1"/>
    </xf>
    <xf numFmtId="0" fontId="17" fillId="0" borderId="0" xfId="12" applyFont="1" applyAlignment="1">
      <alignment vertical="top"/>
    </xf>
    <xf numFmtId="0" fontId="43" fillId="0" borderId="0" xfId="12" applyFont="1"/>
    <xf numFmtId="0" fontId="43" fillId="0" borderId="0" xfId="12" applyFont="1" applyAlignment="1">
      <alignment vertical="center"/>
    </xf>
    <xf numFmtId="0" fontId="15" fillId="6" borderId="42" xfId="12" applyFont="1" applyFill="1" applyBorder="1" applyAlignment="1">
      <alignment horizontal="center" vertical="center"/>
    </xf>
    <xf numFmtId="0" fontId="15" fillId="3" borderId="44" xfId="12" applyFont="1" applyFill="1" applyBorder="1" applyAlignment="1" applyProtection="1">
      <alignment vertical="center"/>
      <protection locked="0"/>
    </xf>
    <xf numFmtId="4" fontId="15" fillId="3" borderId="57" xfId="12" applyNumberFormat="1" applyFont="1" applyFill="1" applyBorder="1" applyAlignment="1" applyProtection="1">
      <alignment horizontal="right" vertical="center"/>
      <protection locked="0"/>
    </xf>
    <xf numFmtId="0" fontId="15" fillId="3" borderId="30" xfId="12" applyFont="1" applyFill="1" applyBorder="1" applyAlignment="1" applyProtection="1">
      <alignment vertical="center"/>
      <protection locked="0"/>
    </xf>
    <xf numFmtId="4" fontId="15" fillId="3" borderId="38" xfId="12" applyNumberFormat="1" applyFont="1" applyFill="1" applyBorder="1" applyAlignment="1" applyProtection="1">
      <alignment horizontal="right" vertical="center"/>
      <protection locked="0"/>
    </xf>
    <xf numFmtId="49" fontId="15" fillId="3" borderId="27" xfId="12" applyNumberFormat="1" applyFont="1" applyFill="1" applyBorder="1" applyAlignment="1" applyProtection="1">
      <alignment vertical="center"/>
      <protection locked="0"/>
    </xf>
    <xf numFmtId="4" fontId="15" fillId="3" borderId="37" xfId="12" applyNumberFormat="1" applyFont="1" applyFill="1" applyBorder="1" applyAlignment="1" applyProtection="1">
      <alignment horizontal="right" vertical="center"/>
      <protection locked="0"/>
    </xf>
    <xf numFmtId="0" fontId="12" fillId="0" borderId="0" xfId="12" applyFont="1" applyAlignment="1" applyProtection="1">
      <alignment horizontal="left" vertical="center" indent="1"/>
      <protection hidden="1"/>
    </xf>
    <xf numFmtId="0" fontId="17" fillId="2" borderId="11" xfId="12" applyFont="1" applyFill="1" applyBorder="1" applyAlignment="1">
      <alignment horizontal="left" vertical="center" wrapText="1" indent="1"/>
    </xf>
    <xf numFmtId="0" fontId="17" fillId="2" borderId="12" xfId="12" applyFont="1" applyFill="1" applyBorder="1" applyAlignment="1">
      <alignment horizontal="left" vertical="center" wrapText="1" indent="1"/>
    </xf>
    <xf numFmtId="0" fontId="17" fillId="2" borderId="70" xfId="12" applyFont="1" applyFill="1" applyBorder="1" applyAlignment="1">
      <alignment horizontal="left" vertical="center" wrapText="1" indent="1"/>
    </xf>
    <xf numFmtId="0" fontId="17" fillId="0" borderId="0" xfId="12" applyFont="1" applyAlignment="1">
      <alignment horizontal="left" indent="1"/>
    </xf>
    <xf numFmtId="0" fontId="15" fillId="2" borderId="27" xfId="12" applyFont="1" applyFill="1" applyBorder="1" applyAlignment="1">
      <alignment horizontal="center" vertical="center" wrapText="1"/>
    </xf>
    <xf numFmtId="0" fontId="15" fillId="2" borderId="29" xfId="12" applyFont="1" applyFill="1" applyBorder="1" applyAlignment="1">
      <alignment horizontal="center" vertical="center" wrapText="1"/>
    </xf>
    <xf numFmtId="0" fontId="15" fillId="3" borderId="24" xfId="12" applyFont="1" applyFill="1" applyBorder="1" applyAlignment="1" applyProtection="1">
      <alignment vertical="center"/>
      <protection locked="0"/>
    </xf>
    <xf numFmtId="3" fontId="15" fillId="3" borderId="32" xfId="12" applyNumberFormat="1" applyFont="1" applyFill="1" applyBorder="1" applyAlignment="1" applyProtection="1">
      <alignment horizontal="left" vertical="center"/>
      <protection locked="0"/>
    </xf>
    <xf numFmtId="0" fontId="15" fillId="0" borderId="26" xfId="12" applyFont="1" applyBorder="1" applyAlignment="1">
      <alignment horizontal="right" vertical="center"/>
    </xf>
    <xf numFmtId="4" fontId="15" fillId="0" borderId="25" xfId="12" applyNumberFormat="1" applyFont="1" applyBorder="1" applyAlignment="1">
      <alignment vertical="center"/>
    </xf>
    <xf numFmtId="0" fontId="15" fillId="3" borderId="25" xfId="12" applyFont="1" applyFill="1" applyBorder="1" applyAlignment="1" applyProtection="1">
      <alignment vertical="center"/>
      <protection locked="0"/>
    </xf>
    <xf numFmtId="4" fontId="15" fillId="0" borderId="25" xfId="12" applyNumberFormat="1" applyFont="1" applyBorder="1" applyAlignment="1">
      <alignment horizontal="right" vertical="center"/>
    </xf>
    <xf numFmtId="164" fontId="15" fillId="0" borderId="26" xfId="12" applyNumberFormat="1" applyFont="1" applyBorder="1" applyAlignment="1">
      <alignment horizontal="right" vertical="center"/>
    </xf>
    <xf numFmtId="0" fontId="15" fillId="0" borderId="44" xfId="12" applyFont="1" applyBorder="1" applyAlignment="1">
      <alignment horizontal="right" vertical="center"/>
    </xf>
    <xf numFmtId="4" fontId="15" fillId="0" borderId="15" xfId="12" applyNumberFormat="1" applyFont="1" applyBorder="1" applyAlignment="1">
      <alignment horizontal="right" vertical="center"/>
    </xf>
    <xf numFmtId="164" fontId="15" fillId="0" borderId="77" xfId="12" applyNumberFormat="1" applyFont="1" applyBorder="1" applyAlignment="1">
      <alignment horizontal="right" vertical="center"/>
    </xf>
    <xf numFmtId="4" fontId="15" fillId="0" borderId="24" xfId="12" applyNumberFormat="1" applyFont="1" applyBorder="1" applyAlignment="1">
      <alignment vertical="center"/>
    </xf>
    <xf numFmtId="4" fontId="15" fillId="0" borderId="26" xfId="12" applyNumberFormat="1" applyFont="1" applyBorder="1" applyAlignment="1">
      <alignment horizontal="right" vertical="center"/>
    </xf>
    <xf numFmtId="3" fontId="15" fillId="3" borderId="16" xfId="12" applyNumberFormat="1" applyFont="1" applyFill="1" applyBorder="1" applyAlignment="1" applyProtection="1">
      <alignment horizontal="left" vertical="center"/>
      <protection locked="0"/>
    </xf>
    <xf numFmtId="0" fontId="15" fillId="0" borderId="31" xfId="12" applyFont="1" applyBorder="1" applyAlignment="1">
      <alignment horizontal="right" vertical="center"/>
    </xf>
    <xf numFmtId="4" fontId="15" fillId="0" borderId="10" xfId="12" applyNumberFormat="1" applyFont="1" applyBorder="1" applyAlignment="1">
      <alignment vertical="center"/>
    </xf>
    <xf numFmtId="0" fontId="15" fillId="3" borderId="10" xfId="12" applyFont="1" applyFill="1" applyBorder="1" applyAlignment="1" applyProtection="1">
      <alignment vertical="center"/>
      <protection locked="0"/>
    </xf>
    <xf numFmtId="4" fontId="15" fillId="0" borderId="10" xfId="12" applyNumberFormat="1" applyFont="1" applyBorder="1" applyAlignment="1">
      <alignment horizontal="right" vertical="center"/>
    </xf>
    <xf numFmtId="164" fontId="15" fillId="0" borderId="31" xfId="12" applyNumberFormat="1" applyFont="1" applyBorder="1" applyAlignment="1">
      <alignment horizontal="right" vertical="center"/>
    </xf>
    <xf numFmtId="0" fontId="15" fillId="0" borderId="30" xfId="12" applyFont="1" applyBorder="1" applyAlignment="1">
      <alignment horizontal="right" vertical="center"/>
    </xf>
    <xf numFmtId="164" fontId="15" fillId="0" borderId="16" xfId="12" applyNumberFormat="1" applyFont="1" applyBorder="1" applyAlignment="1">
      <alignment horizontal="right" vertical="center"/>
    </xf>
    <xf numFmtId="4" fontId="15" fillId="0" borderId="30" xfId="12" applyNumberFormat="1" applyFont="1" applyBorder="1" applyAlignment="1">
      <alignment vertical="center"/>
    </xf>
    <xf numFmtId="4" fontId="15" fillId="0" borderId="31" xfId="12" applyNumberFormat="1" applyFont="1" applyBorder="1" applyAlignment="1">
      <alignment horizontal="right" vertical="center"/>
    </xf>
    <xf numFmtId="49" fontId="15" fillId="3" borderId="30" xfId="12" applyNumberFormat="1" applyFont="1" applyFill="1" applyBorder="1" applyAlignment="1" applyProtection="1">
      <alignment vertical="center"/>
      <protection locked="0"/>
    </xf>
    <xf numFmtId="3" fontId="15" fillId="3" borderId="34" xfId="12" applyNumberFormat="1" applyFont="1" applyFill="1" applyBorder="1" applyAlignment="1" applyProtection="1">
      <alignment horizontal="left" vertical="center"/>
      <protection locked="0"/>
    </xf>
    <xf numFmtId="3" fontId="15" fillId="3" borderId="28" xfId="12" applyNumberFormat="1" applyFont="1" applyFill="1" applyBorder="1" applyAlignment="1" applyProtection="1">
      <alignment horizontal="right" vertical="center"/>
      <protection locked="0"/>
    </xf>
    <xf numFmtId="0" fontId="15" fillId="0" borderId="29" xfId="12" applyFont="1" applyBorder="1" applyAlignment="1">
      <alignment horizontal="right" vertical="center"/>
    </xf>
    <xf numFmtId="0" fontId="15" fillId="3" borderId="27" xfId="12" applyFont="1" applyFill="1" applyBorder="1" applyAlignment="1" applyProtection="1">
      <alignment vertical="center"/>
      <protection locked="0"/>
    </xf>
    <xf numFmtId="4" fontId="15" fillId="0" borderId="28" xfId="12" applyNumberFormat="1" applyFont="1" applyBorder="1" applyAlignment="1">
      <alignment vertical="center"/>
    </xf>
    <xf numFmtId="0" fontId="15" fillId="3" borderId="28" xfId="12" applyFont="1" applyFill="1" applyBorder="1" applyAlignment="1" applyProtection="1">
      <alignment vertical="center"/>
      <protection locked="0"/>
    </xf>
    <xf numFmtId="4" fontId="15" fillId="0" borderId="28" xfId="12" applyNumberFormat="1" applyFont="1" applyBorder="1" applyAlignment="1">
      <alignment horizontal="right" vertical="center"/>
    </xf>
    <xf numFmtId="164" fontId="15" fillId="0" borderId="29" xfId="12" applyNumberFormat="1" applyFont="1" applyBorder="1" applyAlignment="1">
      <alignment horizontal="right" vertical="center"/>
    </xf>
    <xf numFmtId="0" fontId="15" fillId="0" borderId="27" xfId="12" applyFont="1" applyBorder="1" applyAlignment="1">
      <alignment horizontal="right" vertical="center"/>
    </xf>
    <xf numFmtId="164" fontId="15" fillId="0" borderId="34" xfId="12" applyNumberFormat="1" applyFont="1" applyBorder="1" applyAlignment="1">
      <alignment horizontal="right" vertical="center"/>
    </xf>
    <xf numFmtId="4" fontId="15" fillId="0" borderId="68" xfId="12" applyNumberFormat="1" applyFont="1" applyBorder="1" applyAlignment="1">
      <alignment vertical="center"/>
    </xf>
    <xf numFmtId="4" fontId="15" fillId="0" borderId="69" xfId="12" applyNumberFormat="1" applyFont="1" applyBorder="1" applyAlignment="1">
      <alignment horizontal="right" vertical="center"/>
    </xf>
    <xf numFmtId="0" fontId="15" fillId="2" borderId="7" xfId="12" applyFont="1" applyFill="1" applyBorder="1" applyAlignment="1">
      <alignment horizontal="left" vertical="center" indent="1"/>
    </xf>
    <xf numFmtId="0" fontId="15" fillId="2" borderId="8" xfId="12" applyFont="1" applyFill="1" applyBorder="1" applyAlignment="1">
      <alignment horizontal="left" vertical="center" indent="1"/>
    </xf>
    <xf numFmtId="3" fontId="15" fillId="0" borderId="58" xfId="12" applyNumberFormat="1" applyFont="1" applyBorder="1" applyAlignment="1">
      <alignment horizontal="right" vertical="center"/>
    </xf>
    <xf numFmtId="0" fontId="15" fillId="2" borderId="12" xfId="12" applyFont="1" applyFill="1" applyBorder="1" applyAlignment="1">
      <alignment horizontal="left" indent="1"/>
    </xf>
    <xf numFmtId="0" fontId="15" fillId="2" borderId="12" xfId="12" applyFont="1" applyFill="1" applyBorder="1" applyAlignment="1">
      <alignment horizontal="left" vertical="center" indent="1"/>
    </xf>
    <xf numFmtId="4" fontId="15" fillId="0" borderId="58" xfId="12" applyNumberFormat="1" applyFont="1" applyBorder="1" applyAlignment="1">
      <alignment vertical="center"/>
    </xf>
    <xf numFmtId="4" fontId="15" fillId="0" borderId="43" xfId="12" applyNumberFormat="1" applyFont="1" applyBorder="1" applyAlignment="1">
      <alignment vertical="center"/>
    </xf>
    <xf numFmtId="0" fontId="11" fillId="0" borderId="0" xfId="13" applyFont="1" applyProtection="1">
      <protection hidden="1"/>
    </xf>
    <xf numFmtId="0" fontId="43" fillId="0" borderId="0" xfId="12" applyFont="1" applyAlignment="1">
      <alignment vertical="top"/>
    </xf>
    <xf numFmtId="0" fontId="15" fillId="0" borderId="24" xfId="12" applyFont="1" applyBorder="1" applyAlignment="1">
      <alignment horizontal="right" vertical="center"/>
    </xf>
    <xf numFmtId="4" fontId="15" fillId="0" borderId="27" xfId="12" applyNumberFormat="1" applyFont="1" applyBorder="1" applyAlignment="1">
      <alignment vertical="center"/>
    </xf>
    <xf numFmtId="4" fontId="15" fillId="0" borderId="29" xfId="12" applyNumberFormat="1" applyFont="1" applyBorder="1" applyAlignment="1">
      <alignment horizontal="right" vertical="center"/>
    </xf>
    <xf numFmtId="0" fontId="15" fillId="2" borderId="62" xfId="12" applyFont="1" applyFill="1" applyBorder="1" applyAlignment="1">
      <alignment horizontal="left" vertical="center" indent="1"/>
    </xf>
    <xf numFmtId="0" fontId="15" fillId="2" borderId="63" xfId="12" applyFont="1" applyFill="1" applyBorder="1" applyAlignment="1">
      <alignment horizontal="left" vertical="center" indent="1"/>
    </xf>
    <xf numFmtId="4" fontId="15" fillId="3" borderId="78" xfId="12" applyNumberFormat="1" applyFont="1" applyFill="1" applyBorder="1" applyAlignment="1" applyProtection="1">
      <alignment horizontal="right" vertical="center"/>
      <protection locked="0"/>
    </xf>
    <xf numFmtId="0" fontId="15" fillId="2" borderId="64" xfId="12" applyFont="1" applyFill="1" applyBorder="1" applyAlignment="1">
      <alignment horizontal="left" vertical="center" indent="1"/>
    </xf>
    <xf numFmtId="0" fontId="15" fillId="2" borderId="65" xfId="12" applyFont="1" applyFill="1" applyBorder="1" applyAlignment="1">
      <alignment horizontal="left" vertical="center" indent="1"/>
    </xf>
    <xf numFmtId="4" fontId="15" fillId="3" borderId="79" xfId="12" applyNumberFormat="1" applyFont="1" applyFill="1" applyBorder="1" applyAlignment="1" applyProtection="1">
      <alignment horizontal="right" vertical="center"/>
      <protection locked="0"/>
    </xf>
    <xf numFmtId="0" fontId="15" fillId="2" borderId="66" xfId="12" applyFont="1" applyFill="1" applyBorder="1" applyAlignment="1">
      <alignment horizontal="left" vertical="center" indent="1"/>
    </xf>
    <xf numFmtId="0" fontId="15" fillId="2" borderId="67" xfId="12" applyFont="1" applyFill="1" applyBorder="1" applyAlignment="1">
      <alignment horizontal="left" vertical="center" indent="1"/>
    </xf>
    <xf numFmtId="4" fontId="15" fillId="0" borderId="80" xfId="12" applyNumberFormat="1" applyFont="1" applyBorder="1" applyAlignment="1">
      <alignment horizontal="right" vertical="center"/>
    </xf>
    <xf numFmtId="4" fontId="15" fillId="0" borderId="0" xfId="12" applyNumberFormat="1" applyFont="1" applyAlignment="1">
      <alignment horizontal="right" vertical="center"/>
    </xf>
    <xf numFmtId="4" fontId="15" fillId="0" borderId="24" xfId="12" applyNumberFormat="1" applyFont="1" applyBorder="1" applyAlignment="1">
      <alignment horizontal="right" vertical="center"/>
    </xf>
    <xf numFmtId="4" fontId="15" fillId="0" borderId="26" xfId="12" applyNumberFormat="1" applyFont="1" applyBorder="1" applyAlignment="1">
      <alignment vertical="center"/>
    </xf>
    <xf numFmtId="4" fontId="15" fillId="0" borderId="30" xfId="12" applyNumberFormat="1" applyFont="1" applyBorder="1" applyAlignment="1">
      <alignment horizontal="right" vertical="center"/>
    </xf>
    <xf numFmtId="4" fontId="15" fillId="0" borderId="31" xfId="12" applyNumberFormat="1" applyFont="1" applyBorder="1" applyAlignment="1">
      <alignment vertical="center"/>
    </xf>
    <xf numFmtId="4" fontId="15" fillId="0" borderId="27" xfId="12" applyNumberFormat="1" applyFont="1" applyBorder="1" applyAlignment="1">
      <alignment horizontal="right" vertical="center"/>
    </xf>
    <xf numFmtId="4" fontId="15" fillId="0" borderId="29" xfId="12" applyNumberFormat="1" applyFont="1" applyBorder="1" applyAlignment="1">
      <alignment vertical="center"/>
    </xf>
    <xf numFmtId="0" fontId="17" fillId="6" borderId="12" xfId="12" applyFont="1" applyFill="1" applyBorder="1" applyAlignment="1">
      <alignment vertical="center"/>
    </xf>
    <xf numFmtId="0" fontId="17" fillId="6" borderId="70" xfId="12" applyFont="1" applyFill="1" applyBorder="1" applyAlignment="1">
      <alignment vertical="center"/>
    </xf>
    <xf numFmtId="164" fontId="15" fillId="0" borderId="32" xfId="12" applyNumberFormat="1" applyFont="1" applyBorder="1" applyAlignment="1">
      <alignment horizontal="right" vertical="center"/>
    </xf>
    <xf numFmtId="0" fontId="2" fillId="0" borderId="0" xfId="12" applyFont="1" applyAlignment="1">
      <alignment horizontal="center" vertical="center" wrapText="1"/>
    </xf>
    <xf numFmtId="0" fontId="2" fillId="0" borderId="0" xfId="12" applyFont="1" applyAlignment="1">
      <alignment vertical="center"/>
    </xf>
    <xf numFmtId="0" fontId="44" fillId="2" borderId="12" xfId="12" applyFont="1" applyFill="1" applyBorder="1" applyAlignment="1">
      <alignment horizontal="left" vertical="center" indent="2"/>
    </xf>
    <xf numFmtId="0" fontId="45" fillId="0" borderId="0" xfId="12" applyFont="1" applyAlignment="1" applyProtection="1">
      <alignment horizontal="center" vertical="center"/>
      <protection hidden="1"/>
    </xf>
    <xf numFmtId="0" fontId="44" fillId="0" borderId="0" xfId="12" applyFont="1"/>
    <xf numFmtId="0" fontId="2" fillId="0" borderId="0" xfId="13"/>
    <xf numFmtId="0" fontId="2" fillId="0" borderId="0" xfId="13" applyAlignment="1">
      <alignment wrapText="1"/>
    </xf>
    <xf numFmtId="0" fontId="44" fillId="0" borderId="38" xfId="12" applyFont="1" applyBorder="1" applyAlignment="1">
      <alignment horizontal="left" vertical="center"/>
    </xf>
    <xf numFmtId="0" fontId="11" fillId="5" borderId="0" xfId="13" applyFont="1" applyFill="1" applyAlignment="1" applyProtection="1">
      <alignment vertical="center"/>
      <protection hidden="1"/>
    </xf>
    <xf numFmtId="0" fontId="2" fillId="5" borderId="0" xfId="13" applyFill="1" applyAlignment="1">
      <alignment vertical="center"/>
    </xf>
    <xf numFmtId="0" fontId="31" fillId="5" borderId="0" xfId="13" applyFont="1" applyFill="1" applyAlignment="1">
      <alignment vertical="center"/>
    </xf>
    <xf numFmtId="0" fontId="11" fillId="0" borderId="0" xfId="13" applyFont="1" applyAlignment="1" applyProtection="1">
      <alignment vertical="center"/>
      <protection hidden="1"/>
    </xf>
    <xf numFmtId="0" fontId="20" fillId="0" borderId="0" xfId="13" applyFont="1"/>
    <xf numFmtId="0" fontId="11" fillId="0" borderId="0" xfId="13" applyFont="1"/>
    <xf numFmtId="0" fontId="2" fillId="0" borderId="0" xfId="13" applyAlignment="1">
      <alignment vertical="top"/>
    </xf>
    <xf numFmtId="0" fontId="2" fillId="0" borderId="0" xfId="13" applyAlignment="1">
      <alignment vertical="center"/>
    </xf>
    <xf numFmtId="0" fontId="2" fillId="2" borderId="27" xfId="13" applyFill="1" applyBorder="1" applyAlignment="1">
      <alignment horizontal="center" vertical="center" wrapText="1"/>
    </xf>
    <xf numFmtId="0" fontId="2" fillId="2" borderId="28" xfId="13" applyFill="1" applyBorder="1" applyAlignment="1">
      <alignment horizontal="center" vertical="center" wrapText="1"/>
    </xf>
    <xf numFmtId="0" fontId="2" fillId="2" borderId="29" xfId="13" applyFill="1" applyBorder="1" applyAlignment="1">
      <alignment horizontal="center" vertical="center" wrapText="1"/>
    </xf>
    <xf numFmtId="0" fontId="2" fillId="2" borderId="34" xfId="13" applyFill="1" applyBorder="1" applyAlignment="1">
      <alignment horizontal="center" vertical="center" wrapText="1"/>
    </xf>
    <xf numFmtId="0" fontId="2" fillId="2" borderId="48" xfId="13" applyFill="1" applyBorder="1" applyAlignment="1">
      <alignment horizontal="center" vertical="center" wrapText="1"/>
    </xf>
    <xf numFmtId="0" fontId="15" fillId="0" borderId="1" xfId="5" applyFont="1" applyBorder="1" applyAlignment="1" applyProtection="1">
      <alignment vertical="center"/>
      <protection hidden="1"/>
    </xf>
    <xf numFmtId="0" fontId="15" fillId="0" borderId="2" xfId="5" applyFont="1" applyBorder="1" applyAlignment="1" applyProtection="1">
      <alignment vertical="center"/>
      <protection hidden="1"/>
    </xf>
    <xf numFmtId="0" fontId="42" fillId="0" borderId="2" xfId="5" applyFont="1" applyBorder="1" applyProtection="1">
      <protection hidden="1"/>
    </xf>
    <xf numFmtId="49" fontId="24" fillId="0" borderId="2" xfId="5" applyNumberFormat="1" applyFont="1" applyBorder="1" applyAlignment="1" applyProtection="1">
      <alignment vertical="center"/>
      <protection hidden="1"/>
    </xf>
    <xf numFmtId="0" fontId="17" fillId="0" borderId="2" xfId="5" applyFont="1" applyBorder="1" applyAlignment="1" applyProtection="1">
      <alignment vertical="center"/>
      <protection hidden="1"/>
    </xf>
    <xf numFmtId="49" fontId="24" fillId="0" borderId="3" xfId="5" applyNumberFormat="1" applyFont="1" applyBorder="1" applyAlignment="1" applyProtection="1">
      <alignment vertical="center"/>
      <protection hidden="1"/>
    </xf>
    <xf numFmtId="0" fontId="15" fillId="0" borderId="4" xfId="5" applyFont="1" applyBorder="1" applyAlignment="1" applyProtection="1">
      <alignment vertical="center"/>
      <protection hidden="1"/>
    </xf>
    <xf numFmtId="0" fontId="42" fillId="0" borderId="0" xfId="5" applyFont="1" applyAlignment="1" applyProtection="1">
      <alignment vertical="center"/>
      <protection hidden="1"/>
    </xf>
    <xf numFmtId="49" fontId="24" fillId="0" borderId="0" xfId="5" applyNumberFormat="1" applyFont="1" applyAlignment="1" applyProtection="1">
      <alignment vertical="center"/>
      <protection hidden="1"/>
    </xf>
    <xf numFmtId="0" fontId="17" fillId="0" borderId="0" xfId="5" applyFont="1" applyAlignment="1" applyProtection="1">
      <alignment vertical="center"/>
      <protection hidden="1"/>
    </xf>
    <xf numFmtId="49" fontId="24" fillId="0" borderId="5" xfId="5" applyNumberFormat="1" applyFont="1" applyBorder="1" applyAlignment="1" applyProtection="1">
      <alignment vertical="center"/>
      <protection hidden="1"/>
    </xf>
    <xf numFmtId="49" fontId="15" fillId="0" borderId="0" xfId="5" applyNumberFormat="1" applyFont="1" applyAlignment="1" applyProtection="1">
      <alignment vertical="center"/>
      <protection hidden="1"/>
    </xf>
    <xf numFmtId="0" fontId="17" fillId="0" borderId="5" xfId="5" applyFont="1" applyBorder="1" applyAlignment="1" applyProtection="1">
      <alignment vertical="center"/>
      <protection hidden="1"/>
    </xf>
    <xf numFmtId="0" fontId="15" fillId="0" borderId="5" xfId="5" applyFont="1" applyBorder="1" applyAlignment="1" applyProtection="1">
      <alignment vertical="center"/>
      <protection hidden="1"/>
    </xf>
    <xf numFmtId="0" fontId="16" fillId="0" borderId="10" xfId="5" applyFont="1" applyBorder="1" applyAlignment="1" applyProtection="1">
      <alignment vertical="center"/>
      <protection hidden="1"/>
    </xf>
    <xf numFmtId="4" fontId="16" fillId="0" borderId="10" xfId="5" applyNumberFormat="1" applyFont="1" applyBorder="1" applyAlignment="1" applyProtection="1">
      <alignment horizontal="right" vertical="center"/>
      <protection hidden="1"/>
    </xf>
    <xf numFmtId="4" fontId="16" fillId="0" borderId="10" xfId="5" applyNumberFormat="1" applyFont="1" applyBorder="1" applyAlignment="1" applyProtection="1">
      <alignment horizontal="right" vertical="center" wrapText="1"/>
      <protection hidden="1"/>
    </xf>
    <xf numFmtId="4" fontId="16" fillId="0" borderId="10" xfId="3" applyNumberFormat="1" applyFont="1" applyFill="1" applyBorder="1" applyAlignment="1" applyProtection="1">
      <alignment horizontal="right" vertical="center"/>
    </xf>
    <xf numFmtId="4" fontId="15" fillId="0" borderId="0" xfId="5" applyNumberFormat="1" applyFont="1" applyAlignment="1" applyProtection="1">
      <alignment horizontal="right" vertical="center"/>
      <protection hidden="1"/>
    </xf>
    <xf numFmtId="4" fontId="15" fillId="0" borderId="0" xfId="3" applyNumberFormat="1" applyFont="1" applyFill="1" applyBorder="1" applyAlignment="1" applyProtection="1">
      <alignment horizontal="right" vertical="center"/>
      <protection hidden="1"/>
    </xf>
    <xf numFmtId="0" fontId="11" fillId="0" borderId="4" xfId="5" applyFont="1" applyBorder="1" applyAlignment="1" applyProtection="1">
      <alignment vertical="center"/>
      <protection hidden="1"/>
    </xf>
    <xf numFmtId="4" fontId="16" fillId="0" borderId="26" xfId="3" applyNumberFormat="1" applyFont="1" applyFill="1" applyBorder="1" applyAlignment="1" applyProtection="1">
      <alignment horizontal="right" vertical="center"/>
    </xf>
    <xf numFmtId="4" fontId="16" fillId="0" borderId="31" xfId="3" applyNumberFormat="1" applyFont="1" applyFill="1" applyBorder="1" applyAlignment="1" applyProtection="1">
      <alignment horizontal="right" vertical="center"/>
    </xf>
    <xf numFmtId="10" fontId="27" fillId="0" borderId="29" xfId="3" applyNumberFormat="1" applyFont="1" applyFill="1" applyBorder="1" applyAlignment="1" applyProtection="1">
      <alignment horizontal="center" vertical="center"/>
    </xf>
    <xf numFmtId="0" fontId="15" fillId="0" borderId="8" xfId="5" applyFont="1" applyBorder="1" applyAlignment="1" applyProtection="1">
      <alignment vertical="center"/>
      <protection hidden="1"/>
    </xf>
    <xf numFmtId="0" fontId="15" fillId="0" borderId="7" xfId="5" applyFont="1" applyBorder="1" applyAlignment="1" applyProtection="1">
      <alignment vertical="center"/>
      <protection hidden="1"/>
    </xf>
    <xf numFmtId="0" fontId="15" fillId="0" borderId="9" xfId="5" applyFont="1" applyBorder="1" applyAlignment="1" applyProtection="1">
      <alignment vertical="center"/>
      <protection hidden="1"/>
    </xf>
    <xf numFmtId="4" fontId="15" fillId="0" borderId="0" xfId="5" applyNumberFormat="1" applyFont="1" applyAlignment="1" applyProtection="1">
      <alignment vertical="center"/>
      <protection hidden="1"/>
    </xf>
    <xf numFmtId="49" fontId="23" fillId="4" borderId="8" xfId="5" applyNumberFormat="1" applyFont="1" applyFill="1" applyBorder="1" applyAlignment="1" applyProtection="1">
      <alignment vertical="center"/>
      <protection hidden="1"/>
    </xf>
    <xf numFmtId="49" fontId="24" fillId="4" borderId="8" xfId="5" applyNumberFormat="1" applyFont="1" applyFill="1" applyBorder="1" applyAlignment="1" applyProtection="1">
      <alignment vertical="center"/>
      <protection hidden="1"/>
    </xf>
    <xf numFmtId="0" fontId="17" fillId="4" borderId="8" xfId="5" applyFont="1" applyFill="1" applyBorder="1" applyAlignment="1" applyProtection="1">
      <alignment vertical="center"/>
      <protection hidden="1"/>
    </xf>
    <xf numFmtId="49" fontId="15" fillId="0" borderId="2" xfId="5" applyNumberFormat="1" applyFont="1" applyBorder="1" applyAlignment="1" applyProtection="1">
      <alignment vertical="top" wrapText="1"/>
      <protection hidden="1"/>
    </xf>
    <xf numFmtId="44" fontId="15" fillId="0" borderId="2" xfId="5" applyNumberFormat="1" applyFont="1" applyBorder="1" applyAlignment="1" applyProtection="1">
      <alignment vertical="center"/>
      <protection hidden="1"/>
    </xf>
    <xf numFmtId="49" fontId="15" fillId="0" borderId="3" xfId="5" applyNumberFormat="1" applyFont="1" applyBorder="1" applyAlignment="1" applyProtection="1">
      <alignment vertical="top" wrapText="1"/>
      <protection hidden="1"/>
    </xf>
    <xf numFmtId="4" fontId="16" fillId="0" borderId="2" xfId="5" applyNumberFormat="1" applyFont="1" applyBorder="1" applyAlignment="1" applyProtection="1">
      <alignment horizontal="right" vertical="center"/>
      <protection hidden="1"/>
    </xf>
    <xf numFmtId="0" fontId="15" fillId="3" borderId="1" xfId="5" applyFont="1" applyFill="1" applyBorder="1" applyAlignment="1" applyProtection="1">
      <alignment vertical="center"/>
      <protection hidden="1"/>
    </xf>
    <xf numFmtId="0" fontId="15" fillId="3" borderId="2" xfId="5" applyFont="1" applyFill="1" applyBorder="1" applyAlignment="1" applyProtection="1">
      <alignment vertical="center"/>
      <protection hidden="1"/>
    </xf>
    <xf numFmtId="0" fontId="15" fillId="3" borderId="3" xfId="5" applyFont="1" applyFill="1" applyBorder="1" applyAlignment="1" applyProtection="1">
      <alignment vertical="center"/>
      <protection hidden="1"/>
    </xf>
    <xf numFmtId="0" fontId="15" fillId="3" borderId="4" xfId="5" applyFont="1" applyFill="1" applyBorder="1" applyAlignment="1" applyProtection="1">
      <alignment vertical="center"/>
      <protection hidden="1"/>
    </xf>
    <xf numFmtId="0" fontId="15" fillId="3" borderId="5" xfId="5" applyFont="1" applyFill="1" applyBorder="1" applyAlignment="1" applyProtection="1">
      <alignment vertical="center"/>
      <protection hidden="1"/>
    </xf>
    <xf numFmtId="0" fontId="15" fillId="3" borderId="7" xfId="5" applyFont="1" applyFill="1" applyBorder="1" applyAlignment="1" applyProtection="1">
      <alignment vertical="center"/>
      <protection hidden="1"/>
    </xf>
    <xf numFmtId="0" fontId="15" fillId="3" borderId="8" xfId="5" applyFont="1" applyFill="1" applyBorder="1" applyAlignment="1" applyProtection="1">
      <alignment vertical="center"/>
      <protection hidden="1"/>
    </xf>
    <xf numFmtId="0" fontId="15" fillId="3" borderId="9" xfId="5" applyFont="1" applyFill="1" applyBorder="1" applyAlignment="1" applyProtection="1">
      <alignment vertical="center"/>
      <protection hidden="1"/>
    </xf>
    <xf numFmtId="0" fontId="46" fillId="3" borderId="0" xfId="5" applyFont="1" applyFill="1" applyAlignment="1" applyProtection="1">
      <alignment vertical="center"/>
      <protection hidden="1"/>
    </xf>
    <xf numFmtId="0" fontId="47" fillId="5" borderId="0" xfId="12" applyFont="1" applyFill="1" applyAlignment="1">
      <alignment vertical="center"/>
    </xf>
    <xf numFmtId="0" fontId="15" fillId="2" borderId="42" xfId="12" applyFont="1" applyFill="1" applyBorder="1" applyAlignment="1">
      <alignment horizontal="left" vertical="center" indent="1"/>
    </xf>
    <xf numFmtId="0" fontId="10" fillId="3" borderId="0" xfId="1" applyFill="1" applyAlignment="1">
      <alignment vertical="center"/>
    </xf>
    <xf numFmtId="0" fontId="10" fillId="4" borderId="4" xfId="1" applyFill="1" applyBorder="1" applyAlignment="1">
      <alignment vertical="center"/>
    </xf>
    <xf numFmtId="0" fontId="14" fillId="4" borderId="0" xfId="1" applyFont="1" applyFill="1" applyAlignment="1">
      <alignment horizontal="left" vertical="center"/>
    </xf>
    <xf numFmtId="0" fontId="16" fillId="4" borderId="0" xfId="2" applyFont="1" applyFill="1" applyAlignment="1">
      <alignment vertical="center" wrapText="1"/>
    </xf>
    <xf numFmtId="0" fontId="10" fillId="4" borderId="5" xfId="1" applyFill="1" applyBorder="1" applyAlignment="1">
      <alignment vertical="center"/>
    </xf>
    <xf numFmtId="0" fontId="10" fillId="3" borderId="0" xfId="1" applyFill="1" applyAlignment="1">
      <alignment horizontal="left" vertical="center"/>
    </xf>
    <xf numFmtId="0" fontId="2" fillId="3" borderId="53" xfId="13" applyFill="1" applyBorder="1" applyAlignment="1" applyProtection="1">
      <alignment horizontal="left" vertical="center"/>
      <protection locked="0"/>
    </xf>
    <xf numFmtId="0" fontId="2" fillId="3" borderId="24" xfId="13" applyFill="1" applyBorder="1" applyAlignment="1" applyProtection="1">
      <alignment horizontal="center" vertical="center"/>
      <protection locked="0"/>
    </xf>
    <xf numFmtId="4" fontId="2" fillId="3" borderId="25" xfId="13" applyNumberFormat="1" applyFill="1" applyBorder="1" applyAlignment="1" applyProtection="1">
      <alignment horizontal="right" vertical="center"/>
      <protection locked="0"/>
    </xf>
    <xf numFmtId="0" fontId="2" fillId="0" borderId="26" xfId="13" applyBorder="1" applyAlignment="1">
      <alignment horizontal="center" vertical="center"/>
    </xf>
    <xf numFmtId="0" fontId="2" fillId="3" borderId="33" xfId="13" applyFill="1" applyBorder="1" applyAlignment="1" applyProtection="1">
      <alignment horizontal="center" vertical="center"/>
      <protection locked="0"/>
    </xf>
    <xf numFmtId="0" fontId="2" fillId="3" borderId="49" xfId="13" applyFill="1" applyBorder="1" applyAlignment="1" applyProtection="1">
      <alignment horizontal="center" vertical="center"/>
      <protection locked="0"/>
    </xf>
    <xf numFmtId="0" fontId="2" fillId="0" borderId="59" xfId="13" applyBorder="1" applyAlignment="1">
      <alignment horizontal="center" vertical="center"/>
    </xf>
    <xf numFmtId="0" fontId="2" fillId="3" borderId="51" xfId="13" applyFill="1" applyBorder="1" applyAlignment="1" applyProtection="1">
      <alignment horizontal="left" vertical="center"/>
      <protection locked="0"/>
    </xf>
    <xf numFmtId="0" fontId="2" fillId="3" borderId="30" xfId="13" applyFill="1" applyBorder="1" applyAlignment="1" applyProtection="1">
      <alignment horizontal="center" vertical="center"/>
      <protection locked="0"/>
    </xf>
    <xf numFmtId="4" fontId="2" fillId="3" borderId="10" xfId="13" applyNumberFormat="1" applyFill="1" applyBorder="1" applyAlignment="1" applyProtection="1">
      <alignment horizontal="right" vertical="center"/>
      <protection locked="0"/>
    </xf>
    <xf numFmtId="0" fontId="2" fillId="0" borderId="31" xfId="13" applyBorder="1" applyAlignment="1">
      <alignment horizontal="center" vertical="center"/>
    </xf>
    <xf numFmtId="0" fontId="2" fillId="3" borderId="17" xfId="13" applyFill="1" applyBorder="1" applyAlignment="1" applyProtection="1">
      <alignment horizontal="center" vertical="center"/>
      <protection locked="0"/>
    </xf>
    <xf numFmtId="0" fontId="2" fillId="0" borderId="16" xfId="13" applyBorder="1" applyAlignment="1">
      <alignment horizontal="center" vertical="center"/>
    </xf>
    <xf numFmtId="0" fontId="2" fillId="3" borderId="47" xfId="13" applyFill="1" applyBorder="1" applyAlignment="1" applyProtection="1">
      <alignment horizontal="center" vertical="center"/>
      <protection locked="0"/>
    </xf>
    <xf numFmtId="0" fontId="2" fillId="0" borderId="60" xfId="13" applyBorder="1" applyAlignment="1">
      <alignment horizontal="center" vertical="center"/>
    </xf>
    <xf numFmtId="0" fontId="2" fillId="3" borderId="52" xfId="13" applyFill="1" applyBorder="1" applyAlignment="1" applyProtection="1">
      <alignment horizontal="left" vertical="center"/>
      <protection locked="0"/>
    </xf>
    <xf numFmtId="0" fontId="2" fillId="3" borderId="27" xfId="13" applyFill="1" applyBorder="1" applyAlignment="1" applyProtection="1">
      <alignment horizontal="center" vertical="center"/>
      <protection locked="0"/>
    </xf>
    <xf numFmtId="4" fontId="2" fillId="3" borderId="28" xfId="13" applyNumberFormat="1" applyFill="1" applyBorder="1" applyAlignment="1" applyProtection="1">
      <alignment horizontal="right" vertical="center"/>
      <protection locked="0"/>
    </xf>
    <xf numFmtId="0" fontId="2" fillId="0" borderId="29" xfId="13" applyBorder="1" applyAlignment="1">
      <alignment horizontal="center" vertical="center"/>
    </xf>
    <xf numFmtId="0" fontId="2" fillId="3" borderId="35" xfId="13" applyFill="1" applyBorder="1" applyAlignment="1" applyProtection="1">
      <alignment horizontal="center" vertical="center"/>
      <protection locked="0"/>
    </xf>
    <xf numFmtId="0" fontId="2" fillId="0" borderId="34" xfId="13" applyBorder="1" applyAlignment="1">
      <alignment horizontal="center" vertical="center"/>
    </xf>
    <xf numFmtId="0" fontId="2" fillId="3" borderId="48" xfId="13" applyFill="1" applyBorder="1" applyAlignment="1" applyProtection="1">
      <alignment horizontal="center" vertical="center"/>
      <protection locked="0"/>
    </xf>
    <xf numFmtId="0" fontId="2" fillId="0" borderId="61" xfId="13" applyBorder="1" applyAlignment="1">
      <alignment horizontal="center" vertical="center"/>
    </xf>
    <xf numFmtId="3" fontId="15" fillId="0" borderId="26" xfId="2" applyNumberFormat="1" applyBorder="1" applyAlignment="1">
      <alignment horizontal="right" vertical="center" indent="1"/>
    </xf>
    <xf numFmtId="3" fontId="2" fillId="0" borderId="31" xfId="13" applyNumberFormat="1" applyBorder="1" applyAlignment="1">
      <alignment horizontal="right" vertical="center" indent="1"/>
    </xf>
    <xf numFmtId="3" fontId="2" fillId="0" borderId="29" xfId="13" applyNumberFormat="1" applyBorder="1" applyAlignment="1">
      <alignment horizontal="right" vertical="center" indent="1"/>
    </xf>
    <xf numFmtId="0" fontId="10" fillId="3" borderId="0" xfId="2" applyFont="1" applyFill="1"/>
    <xf numFmtId="0" fontId="10" fillId="4" borderId="4" xfId="2" applyFont="1" applyFill="1" applyBorder="1"/>
    <xf numFmtId="0" fontId="14" fillId="4" borderId="0" xfId="2" applyFont="1" applyFill="1" applyAlignment="1">
      <alignment horizontal="left" vertical="top"/>
    </xf>
    <xf numFmtId="0" fontId="15" fillId="4" borderId="91" xfId="2" applyFill="1" applyBorder="1" applyAlignment="1">
      <alignment horizontal="left" vertical="top" wrapText="1"/>
    </xf>
    <xf numFmtId="0" fontId="15" fillId="4" borderId="91" xfId="2" applyFill="1" applyBorder="1" applyAlignment="1">
      <alignment vertical="top" wrapText="1"/>
    </xf>
    <xf numFmtId="0" fontId="10" fillId="4" borderId="5" xfId="2" applyFont="1" applyFill="1" applyBorder="1"/>
    <xf numFmtId="0" fontId="10" fillId="3" borderId="0" xfId="2" applyFont="1" applyFill="1" applyAlignment="1">
      <alignment horizontal="left"/>
    </xf>
    <xf numFmtId="0" fontId="49" fillId="3" borderId="0" xfId="0" applyFont="1" applyFill="1"/>
    <xf numFmtId="0" fontId="49" fillId="3" borderId="0" xfId="0" applyFont="1" applyFill="1" applyAlignment="1">
      <alignment horizontal="left" vertical="center"/>
    </xf>
    <xf numFmtId="0" fontId="15" fillId="0" borderId="8" xfId="5" applyFont="1" applyBorder="1" applyAlignment="1">
      <alignment vertical="center"/>
    </xf>
    <xf numFmtId="0" fontId="15" fillId="0" borderId="0" xfId="5" applyFont="1" applyAlignment="1">
      <alignment vertical="center"/>
    </xf>
    <xf numFmtId="3" fontId="16" fillId="0" borderId="6" xfId="5" applyNumberFormat="1" applyFont="1" applyBorder="1" applyAlignment="1">
      <alignment horizontal="right" vertical="center"/>
    </xf>
    <xf numFmtId="3" fontId="15" fillId="0" borderId="0" xfId="5" applyNumberFormat="1" applyFont="1" applyAlignment="1">
      <alignment horizontal="right" vertical="center"/>
    </xf>
    <xf numFmtId="10" fontId="15" fillId="0" borderId="0" xfId="5" applyNumberFormat="1" applyFont="1" applyAlignment="1">
      <alignment vertical="center"/>
    </xf>
    <xf numFmtId="10" fontId="16" fillId="0" borderId="6" xfId="5" applyNumberFormat="1" applyFont="1" applyBorder="1" applyAlignment="1">
      <alignment horizontal="center" vertical="center"/>
    </xf>
    <xf numFmtId="0" fontId="15" fillId="3" borderId="2" xfId="5" applyFont="1" applyFill="1" applyBorder="1" applyAlignment="1">
      <alignment vertical="center"/>
    </xf>
    <xf numFmtId="0" fontId="15" fillId="3" borderId="0" xfId="5" applyFont="1" applyFill="1" applyAlignment="1">
      <alignment vertical="center"/>
    </xf>
    <xf numFmtId="10" fontId="15" fillId="3" borderId="0" xfId="5" applyNumberFormat="1" applyFont="1" applyFill="1" applyAlignment="1">
      <alignment vertical="center"/>
    </xf>
    <xf numFmtId="0" fontId="15" fillId="3" borderId="8" xfId="5" applyFont="1" applyFill="1" applyBorder="1" applyAlignment="1">
      <alignment vertical="center"/>
    </xf>
    <xf numFmtId="0" fontId="15" fillId="3" borderId="0" xfId="5" applyFont="1" applyFill="1"/>
    <xf numFmtId="0" fontId="15" fillId="0" borderId="2" xfId="5" applyFont="1" applyBorder="1"/>
    <xf numFmtId="4" fontId="16" fillId="0" borderId="6" xfId="5" applyNumberFormat="1" applyFont="1" applyBorder="1" applyAlignment="1">
      <alignment horizontal="right" vertical="center"/>
    </xf>
    <xf numFmtId="0" fontId="16" fillId="0" borderId="26" xfId="0" applyFont="1" applyBorder="1" applyAlignment="1">
      <alignment vertical="center"/>
    </xf>
    <xf numFmtId="0" fontId="16" fillId="0" borderId="31" xfId="0" applyFont="1" applyBorder="1" applyAlignment="1">
      <alignment vertical="center"/>
    </xf>
    <xf numFmtId="0" fontId="16" fillId="0" borderId="29" xfId="0" applyFont="1" applyBorder="1" applyAlignment="1">
      <alignment vertical="center"/>
    </xf>
    <xf numFmtId="0" fontId="18" fillId="3" borderId="25" xfId="0" applyFont="1" applyFill="1" applyBorder="1" applyAlignment="1" applyProtection="1">
      <alignment horizontal="right" vertical="center"/>
      <protection locked="0"/>
    </xf>
    <xf numFmtId="0" fontId="18" fillId="3" borderId="10" xfId="0" applyFont="1" applyFill="1" applyBorder="1" applyAlignment="1" applyProtection="1">
      <alignment horizontal="right" vertical="center"/>
      <protection locked="0"/>
    </xf>
    <xf numFmtId="0" fontId="18" fillId="3" borderId="28" xfId="0" applyFont="1" applyFill="1" applyBorder="1" applyAlignment="1" applyProtection="1">
      <alignment horizontal="right" vertical="center"/>
      <protection locked="0"/>
    </xf>
    <xf numFmtId="4" fontId="16" fillId="0" borderId="24" xfId="0" applyNumberFormat="1" applyFont="1" applyBorder="1" applyAlignment="1">
      <alignment horizontal="center" vertical="center"/>
    </xf>
    <xf numFmtId="4" fontId="16" fillId="0" borderId="30" xfId="0" applyNumberFormat="1" applyFont="1" applyBorder="1" applyAlignment="1">
      <alignment horizontal="center" vertical="center"/>
    </xf>
    <xf numFmtId="4" fontId="16" fillId="0" borderId="27" xfId="0" applyNumberFormat="1" applyFont="1" applyBorder="1" applyAlignment="1">
      <alignment horizontal="center" vertical="center"/>
    </xf>
    <xf numFmtId="4" fontId="16" fillId="0" borderId="26" xfId="0" applyNumberFormat="1" applyFont="1" applyBorder="1" applyAlignment="1">
      <alignment vertical="center"/>
    </xf>
    <xf numFmtId="4" fontId="16" fillId="0" borderId="31" xfId="0" applyNumberFormat="1" applyFont="1" applyBorder="1" applyAlignment="1">
      <alignment vertical="center"/>
    </xf>
    <xf numFmtId="4" fontId="16" fillId="0" borderId="29" xfId="0" applyNumberFormat="1" applyFont="1" applyBorder="1" applyAlignment="1">
      <alignment vertical="center"/>
    </xf>
    <xf numFmtId="0" fontId="10" fillId="3" borderId="0" xfId="1" applyFill="1" applyAlignment="1">
      <alignment vertical="top"/>
    </xf>
    <xf numFmtId="0" fontId="10" fillId="4" borderId="4" xfId="1" applyFill="1" applyBorder="1" applyAlignment="1">
      <alignment vertical="top"/>
    </xf>
    <xf numFmtId="0" fontId="10" fillId="4" borderId="5" xfId="1" applyFill="1" applyBorder="1" applyAlignment="1">
      <alignment vertical="top"/>
    </xf>
    <xf numFmtId="0" fontId="10" fillId="3" borderId="0" xfId="1" applyFill="1" applyAlignment="1">
      <alignment horizontal="left" vertical="top"/>
    </xf>
    <xf numFmtId="0" fontId="51" fillId="4" borderId="0" xfId="14" applyNumberFormat="1" applyFill="1" applyBorder="1" applyAlignment="1" applyProtection="1">
      <alignment horizontal="left" vertical="top"/>
    </xf>
    <xf numFmtId="0" fontId="1" fillId="4" borderId="1" xfId="0" applyFont="1" applyFill="1" applyBorder="1"/>
    <xf numFmtId="0" fontId="1" fillId="4" borderId="4" xfId="6" applyFont="1" applyFill="1" applyBorder="1" applyAlignment="1">
      <alignment vertical="center"/>
    </xf>
    <xf numFmtId="0" fontId="1" fillId="4" borderId="5" xfId="6" applyFont="1" applyFill="1" applyBorder="1" applyAlignment="1">
      <alignment vertical="center"/>
    </xf>
    <xf numFmtId="0" fontId="1" fillId="3" borderId="0" xfId="6" applyFont="1" applyFill="1" applyAlignment="1">
      <alignment vertical="center"/>
    </xf>
    <xf numFmtId="0" fontId="1" fillId="0" borderId="5" xfId="6" applyFont="1" applyBorder="1" applyAlignment="1">
      <alignment vertical="center"/>
    </xf>
    <xf numFmtId="0" fontId="1" fillId="4" borderId="91" xfId="1" applyFont="1" applyFill="1" applyBorder="1" applyAlignment="1">
      <alignment horizontal="center" vertical="center"/>
    </xf>
    <xf numFmtId="0" fontId="1" fillId="5" borderId="0" xfId="0" applyFont="1" applyFill="1" applyAlignment="1">
      <alignment vertical="center"/>
    </xf>
    <xf numFmtId="0" fontId="1" fillId="5" borderId="0" xfId="0" applyFont="1" applyFill="1" applyAlignment="1">
      <alignment horizontal="left" vertical="center"/>
    </xf>
    <xf numFmtId="0" fontId="1" fillId="0" borderId="0" xfId="0" applyFont="1" applyAlignment="1">
      <alignment vertical="center"/>
    </xf>
    <xf numFmtId="0" fontId="1" fillId="0" borderId="0" xfId="0" applyFont="1" applyAlignment="1">
      <alignment vertical="center" wrapText="1"/>
    </xf>
    <xf numFmtId="0" fontId="1" fillId="2" borderId="46" xfId="0" applyFont="1" applyFill="1" applyBorder="1" applyAlignment="1">
      <alignment horizontal="center" vertical="center" wrapText="1"/>
    </xf>
    <xf numFmtId="0" fontId="1" fillId="2" borderId="40" xfId="0" applyFont="1" applyFill="1" applyBorder="1" applyAlignment="1">
      <alignment horizontal="center" vertical="center" wrapText="1"/>
    </xf>
    <xf numFmtId="0" fontId="1" fillId="0" borderId="18" xfId="0" applyFont="1" applyBorder="1" applyAlignment="1">
      <alignment vertical="center" wrapText="1"/>
    </xf>
    <xf numFmtId="0" fontId="1" fillId="2" borderId="13" xfId="0" applyFont="1" applyFill="1" applyBorder="1" applyAlignment="1">
      <alignment horizontal="center" vertical="center" wrapText="1"/>
    </xf>
    <xf numFmtId="0" fontId="1" fillId="0" borderId="53" xfId="0" applyFont="1" applyBorder="1" applyAlignment="1">
      <alignment horizontal="left" vertical="center" indent="1"/>
    </xf>
    <xf numFmtId="0" fontId="1" fillId="0" borderId="33" xfId="0" applyFont="1" applyBorder="1" applyAlignment="1">
      <alignment horizontal="left" vertical="center" indent="1"/>
    </xf>
    <xf numFmtId="0" fontId="1" fillId="0" borderId="51" xfId="0" applyFont="1" applyBorder="1" applyAlignment="1">
      <alignment horizontal="left" vertical="center" indent="1"/>
    </xf>
    <xf numFmtId="0" fontId="1" fillId="0" borderId="17" xfId="0" applyFont="1" applyBorder="1" applyAlignment="1">
      <alignment horizontal="left" vertical="center" indent="1"/>
    </xf>
    <xf numFmtId="3" fontId="1" fillId="0" borderId="0" xfId="0" applyNumberFormat="1" applyFont="1" applyAlignment="1">
      <alignment vertical="center"/>
    </xf>
    <xf numFmtId="9" fontId="1" fillId="0" borderId="0" xfId="0" applyNumberFormat="1" applyFont="1" applyAlignment="1">
      <alignment vertical="center"/>
    </xf>
    <xf numFmtId="0" fontId="1" fillId="0" borderId="52" xfId="0" applyFont="1" applyBorder="1" applyAlignment="1">
      <alignment horizontal="left" vertical="center" indent="1"/>
    </xf>
    <xf numFmtId="0" fontId="1" fillId="0" borderId="35" xfId="0" applyFont="1" applyBorder="1" applyAlignment="1">
      <alignment horizontal="left" vertical="center" indent="1"/>
    </xf>
    <xf numFmtId="0" fontId="1" fillId="0" borderId="50" xfId="0" applyFont="1" applyBorder="1" applyAlignment="1">
      <alignment vertical="center"/>
    </xf>
    <xf numFmtId="0" fontId="1" fillId="6" borderId="11" xfId="0" applyFont="1" applyFill="1" applyBorder="1" applyAlignment="1">
      <alignment horizontal="left" vertical="center" indent="1"/>
    </xf>
    <xf numFmtId="0" fontId="1" fillId="6" borderId="12" xfId="0" applyFont="1" applyFill="1" applyBorder="1" applyAlignment="1">
      <alignment vertical="center"/>
    </xf>
    <xf numFmtId="0" fontId="1" fillId="0" borderId="4" xfId="0" applyFont="1" applyBorder="1" applyAlignment="1">
      <alignment vertical="center"/>
    </xf>
    <xf numFmtId="0" fontId="1" fillId="0" borderId="2" xfId="0" applyFont="1" applyBorder="1"/>
    <xf numFmtId="0" fontId="1" fillId="0" borderId="8" xfId="0" applyFont="1" applyBorder="1" applyAlignment="1">
      <alignment horizontal="left" vertical="top"/>
    </xf>
    <xf numFmtId="0" fontId="1" fillId="6" borderId="53" xfId="0" applyFont="1" applyFill="1" applyBorder="1" applyAlignment="1">
      <alignment horizontal="left" vertical="center" indent="1"/>
    </xf>
    <xf numFmtId="0" fontId="1" fillId="6" borderId="49" xfId="0" applyFont="1" applyFill="1" applyBorder="1" applyAlignment="1">
      <alignment horizontal="left" vertical="center" indent="1"/>
    </xf>
    <xf numFmtId="0" fontId="1" fillId="6" borderId="33" xfId="0" applyFont="1" applyFill="1" applyBorder="1" applyAlignment="1">
      <alignment horizontal="left" vertical="center" indent="1"/>
    </xf>
    <xf numFmtId="0" fontId="1" fillId="6" borderId="51" xfId="0" applyFont="1" applyFill="1" applyBorder="1" applyAlignment="1">
      <alignment horizontal="left" vertical="center" indent="1"/>
    </xf>
    <xf numFmtId="0" fontId="1" fillId="6" borderId="47" xfId="0" applyFont="1" applyFill="1" applyBorder="1" applyAlignment="1">
      <alignment horizontal="left" vertical="center" indent="1"/>
    </xf>
    <xf numFmtId="0" fontId="1" fillId="6" borderId="17" xfId="0" applyFont="1" applyFill="1" applyBorder="1" applyAlignment="1">
      <alignment horizontal="left" vertical="center" indent="1"/>
    </xf>
    <xf numFmtId="0" fontId="1" fillId="6" borderId="52" xfId="0" applyFont="1" applyFill="1" applyBorder="1" applyAlignment="1">
      <alignment horizontal="left" vertical="center" indent="1"/>
    </xf>
    <xf numFmtId="0" fontId="1" fillId="6" borderId="48" xfId="0" applyFont="1" applyFill="1" applyBorder="1" applyAlignment="1">
      <alignment horizontal="left" vertical="center" indent="1"/>
    </xf>
    <xf numFmtId="0" fontId="1" fillId="6" borderId="35" xfId="0" applyFont="1" applyFill="1" applyBorder="1" applyAlignment="1">
      <alignment horizontal="left" vertical="center" indent="1"/>
    </xf>
    <xf numFmtId="0" fontId="1" fillId="6" borderId="27" xfId="0" applyFont="1" applyFill="1" applyBorder="1" applyAlignment="1">
      <alignment horizontal="center" vertical="center" wrapText="1"/>
    </xf>
    <xf numFmtId="0" fontId="1" fillId="6" borderId="28" xfId="0" applyFont="1" applyFill="1" applyBorder="1" applyAlignment="1">
      <alignment horizontal="center" vertical="center" wrapText="1"/>
    </xf>
    <xf numFmtId="0" fontId="1" fillId="6" borderId="34" xfId="0" applyFont="1" applyFill="1" applyBorder="1" applyAlignment="1">
      <alignment horizontal="center" vertical="center" wrapText="1"/>
    </xf>
    <xf numFmtId="0" fontId="1" fillId="6" borderId="29" xfId="0" applyFont="1" applyFill="1" applyBorder="1" applyAlignment="1">
      <alignment horizontal="center" vertical="center" wrapText="1"/>
    </xf>
    <xf numFmtId="0" fontId="1" fillId="0" borderId="0" xfId="0" applyFont="1" applyAlignment="1">
      <alignment horizontal="center" vertical="center" wrapText="1"/>
    </xf>
    <xf numFmtId="0" fontId="1" fillId="6" borderId="49" xfId="0" applyFont="1" applyFill="1" applyBorder="1" applyAlignment="1">
      <alignment vertical="center"/>
    </xf>
    <xf numFmtId="0" fontId="1" fillId="6" borderId="18" xfId="0" applyFont="1" applyFill="1" applyBorder="1" applyAlignment="1">
      <alignment vertical="center"/>
    </xf>
    <xf numFmtId="0" fontId="1" fillId="6" borderId="53" xfId="0" applyFont="1" applyFill="1" applyBorder="1" applyAlignment="1">
      <alignment vertical="center"/>
    </xf>
    <xf numFmtId="0" fontId="1" fillId="6" borderId="36" xfId="0" applyFont="1" applyFill="1" applyBorder="1" applyAlignment="1">
      <alignment vertical="center"/>
    </xf>
    <xf numFmtId="0" fontId="1" fillId="6" borderId="48" xfId="0" applyFont="1" applyFill="1" applyBorder="1" applyAlignment="1">
      <alignment vertical="center"/>
    </xf>
    <xf numFmtId="0" fontId="1" fillId="6" borderId="14" xfId="0" applyFont="1" applyFill="1" applyBorder="1" applyAlignment="1">
      <alignment vertical="center"/>
    </xf>
    <xf numFmtId="0" fontId="1" fillId="6" borderId="52" xfId="0" applyFont="1" applyFill="1" applyBorder="1" applyAlignment="1">
      <alignment vertical="center"/>
    </xf>
    <xf numFmtId="0" fontId="1" fillId="6" borderId="37" xfId="0" applyFont="1" applyFill="1" applyBorder="1" applyAlignment="1">
      <alignment vertical="center"/>
    </xf>
    <xf numFmtId="0" fontId="1" fillId="0" borderId="0" xfId="0" applyFont="1" applyAlignment="1">
      <alignment horizontal="right" vertical="center"/>
    </xf>
    <xf numFmtId="0" fontId="1" fillId="6" borderId="13" xfId="0" applyFont="1" applyFill="1" applyBorder="1" applyAlignment="1">
      <alignment horizontal="center" vertical="center"/>
    </xf>
    <xf numFmtId="3" fontId="1" fillId="0" borderId="0" xfId="0" applyNumberFormat="1" applyFont="1" applyAlignment="1">
      <alignment horizontal="right" vertical="center"/>
    </xf>
    <xf numFmtId="0" fontId="1" fillId="2" borderId="86" xfId="12" applyFont="1" applyFill="1" applyBorder="1" applyAlignment="1">
      <alignment horizontal="center" vertical="center" wrapText="1"/>
    </xf>
    <xf numFmtId="0" fontId="1" fillId="2" borderId="87" xfId="12" applyFont="1" applyFill="1" applyBorder="1" applyAlignment="1">
      <alignment horizontal="center" vertical="center" wrapText="1"/>
    </xf>
    <xf numFmtId="4" fontId="1" fillId="0" borderId="25" xfId="12" applyNumberFormat="1" applyFont="1" applyBorder="1" applyAlignment="1">
      <alignment horizontal="right" vertical="center"/>
    </xf>
    <xf numFmtId="4" fontId="1" fillId="0" borderId="33" xfId="12" applyNumberFormat="1" applyFont="1" applyBorder="1" applyAlignment="1">
      <alignment horizontal="right" vertical="center"/>
    </xf>
    <xf numFmtId="4" fontId="1" fillId="0" borderId="26" xfId="12" applyNumberFormat="1" applyFont="1" applyBorder="1" applyAlignment="1">
      <alignment horizontal="right" vertical="center"/>
    </xf>
    <xf numFmtId="4" fontId="1" fillId="0" borderId="10" xfId="12" applyNumberFormat="1" applyFont="1" applyBorder="1" applyAlignment="1">
      <alignment horizontal="right" vertical="center"/>
    </xf>
    <xf numFmtId="4" fontId="1" fillId="0" borderId="17" xfId="12" applyNumberFormat="1" applyFont="1" applyBorder="1" applyAlignment="1">
      <alignment horizontal="right" vertical="center"/>
    </xf>
    <xf numFmtId="4" fontId="1" fillId="0" borderId="31" xfId="12" applyNumberFormat="1" applyFont="1" applyBorder="1" applyAlignment="1">
      <alignment horizontal="right" vertical="center"/>
    </xf>
    <xf numFmtId="4" fontId="1" fillId="0" borderId="28" xfId="12" applyNumberFormat="1" applyFont="1" applyBorder="1" applyAlignment="1">
      <alignment horizontal="right" vertical="center"/>
    </xf>
    <xf numFmtId="4" fontId="1" fillId="0" borderId="35" xfId="12" applyNumberFormat="1" applyFont="1" applyBorder="1" applyAlignment="1">
      <alignment horizontal="right" vertical="center"/>
    </xf>
    <xf numFmtId="4" fontId="1" fillId="0" borderId="29" xfId="12" applyNumberFormat="1" applyFont="1" applyBorder="1" applyAlignment="1">
      <alignment horizontal="right" vertical="center"/>
    </xf>
    <xf numFmtId="0" fontId="1" fillId="2" borderId="11" xfId="12" applyFont="1" applyFill="1" applyBorder="1" applyAlignment="1">
      <alignment horizontal="left" vertical="center" indent="1"/>
    </xf>
    <xf numFmtId="4" fontId="1" fillId="0" borderId="54" xfId="12" applyNumberFormat="1" applyFont="1" applyBorder="1" applyAlignment="1">
      <alignment horizontal="right" vertical="center"/>
    </xf>
    <xf numFmtId="4" fontId="1" fillId="0" borderId="43" xfId="12" applyNumberFormat="1" applyFont="1" applyBorder="1" applyAlignment="1">
      <alignment horizontal="right" vertical="center"/>
    </xf>
    <xf numFmtId="0" fontId="1" fillId="0" borderId="0" xfId="12" applyFont="1" applyAlignment="1">
      <alignment horizontal="center" vertical="center" wrapText="1"/>
    </xf>
    <xf numFmtId="0" fontId="1" fillId="2" borderId="29" xfId="12" applyFont="1" applyFill="1" applyBorder="1" applyAlignment="1">
      <alignment horizontal="center" vertical="center" wrapText="1"/>
    </xf>
    <xf numFmtId="0" fontId="1" fillId="2" borderId="35" xfId="12" applyFont="1" applyFill="1" applyBorder="1" applyAlignment="1">
      <alignment horizontal="center" vertical="center" wrapText="1"/>
    </xf>
    <xf numFmtId="0" fontId="1" fillId="0" borderId="0" xfId="12" applyFont="1" applyAlignment="1">
      <alignment vertical="center"/>
    </xf>
    <xf numFmtId="0" fontId="1" fillId="0" borderId="55" xfId="12" applyFont="1" applyBorder="1" applyAlignment="1">
      <alignment horizontal="left" vertical="center" indent="1"/>
    </xf>
    <xf numFmtId="0" fontId="1" fillId="0" borderId="55" xfId="12" applyFont="1" applyBorder="1" applyAlignment="1">
      <alignment horizontal="right" vertical="center"/>
    </xf>
    <xf numFmtId="0" fontId="1" fillId="0" borderId="49" xfId="12" applyFont="1" applyBorder="1" applyAlignment="1">
      <alignment horizontal="left" vertical="center"/>
    </xf>
    <xf numFmtId="0" fontId="1" fillId="0" borderId="57" xfId="12" applyFont="1" applyBorder="1" applyAlignment="1">
      <alignment horizontal="left" vertical="center"/>
    </xf>
    <xf numFmtId="0" fontId="1" fillId="0" borderId="53" xfId="12" applyFont="1" applyBorder="1" applyAlignment="1">
      <alignment horizontal="right" vertical="center"/>
    </xf>
    <xf numFmtId="0" fontId="1" fillId="0" borderId="33" xfId="12" applyFont="1" applyBorder="1" applyAlignment="1">
      <alignment horizontal="left" vertical="center"/>
    </xf>
    <xf numFmtId="0" fontId="1" fillId="0" borderId="32" xfId="12" applyFont="1" applyBorder="1" applyAlignment="1">
      <alignment vertical="center"/>
    </xf>
    <xf numFmtId="0" fontId="1" fillId="0" borderId="36" xfId="12" applyFont="1" applyBorder="1" applyAlignment="1">
      <alignment horizontal="left" vertical="center"/>
    </xf>
    <xf numFmtId="164" fontId="1" fillId="0" borderId="24" xfId="12" applyNumberFormat="1" applyFont="1" applyBorder="1" applyAlignment="1">
      <alignment horizontal="right" vertical="center"/>
    </xf>
    <xf numFmtId="165" fontId="1" fillId="0" borderId="26" xfId="12" applyNumberFormat="1" applyFont="1" applyBorder="1" applyAlignment="1">
      <alignment vertical="center"/>
    </xf>
    <xf numFmtId="0" fontId="1" fillId="0" borderId="51" xfId="12" applyFont="1" applyBorder="1" applyAlignment="1">
      <alignment horizontal="left" vertical="center" indent="1"/>
    </xf>
    <xf numFmtId="0" fontId="1" fillId="0" borderId="51" xfId="12" applyFont="1" applyBorder="1" applyAlignment="1">
      <alignment horizontal="right" vertical="center"/>
    </xf>
    <xf numFmtId="0" fontId="1" fillId="0" borderId="47" xfId="12" applyFont="1" applyBorder="1" applyAlignment="1">
      <alignment horizontal="left" vertical="center"/>
    </xf>
    <xf numFmtId="0" fontId="1" fillId="0" borderId="38" xfId="12" applyFont="1" applyBorder="1" applyAlignment="1">
      <alignment horizontal="left" vertical="center"/>
    </xf>
    <xf numFmtId="0" fontId="1" fillId="0" borderId="17" xfId="12" applyFont="1" applyBorder="1" applyAlignment="1">
      <alignment horizontal="left" vertical="center"/>
    </xf>
    <xf numFmtId="0" fontId="1" fillId="0" borderId="16" xfId="12" applyFont="1" applyBorder="1" applyAlignment="1">
      <alignment vertical="center"/>
    </xf>
    <xf numFmtId="165" fontId="1" fillId="0" borderId="30" xfId="12" applyNumberFormat="1" applyFont="1" applyBorder="1" applyAlignment="1">
      <alignment horizontal="right" vertical="center"/>
    </xf>
    <xf numFmtId="165" fontId="1" fillId="0" borderId="31" xfId="12" applyNumberFormat="1" applyFont="1" applyBorder="1" applyAlignment="1">
      <alignment vertical="center"/>
    </xf>
    <xf numFmtId="164" fontId="1" fillId="0" borderId="30" xfId="12" applyNumberFormat="1" applyFont="1" applyBorder="1" applyAlignment="1">
      <alignment horizontal="right" vertical="center"/>
    </xf>
    <xf numFmtId="0" fontId="1" fillId="0" borderId="52" xfId="12" applyFont="1" applyBorder="1" applyAlignment="1">
      <alignment horizontal="left" vertical="center" indent="1"/>
    </xf>
    <xf numFmtId="0" fontId="1" fillId="0" borderId="52" xfId="12" applyFont="1" applyBorder="1" applyAlignment="1">
      <alignment horizontal="right" vertical="center"/>
    </xf>
    <xf numFmtId="0" fontId="1" fillId="0" borderId="48" xfId="12" applyFont="1" applyBorder="1" applyAlignment="1">
      <alignment horizontal="left" vertical="center"/>
    </xf>
    <xf numFmtId="0" fontId="1" fillId="0" borderId="37" xfId="12" applyFont="1" applyBorder="1" applyAlignment="1">
      <alignment horizontal="left" vertical="center"/>
    </xf>
    <xf numFmtId="0" fontId="1" fillId="0" borderId="35" xfId="12" applyFont="1" applyBorder="1" applyAlignment="1">
      <alignment horizontal="left" vertical="center"/>
    </xf>
    <xf numFmtId="0" fontId="1" fillId="0" borderId="34" xfId="12" applyFont="1" applyBorder="1" applyAlignment="1">
      <alignment vertical="center"/>
    </xf>
    <xf numFmtId="164" fontId="1" fillId="0" borderId="27" xfId="12" applyNumberFormat="1" applyFont="1" applyBorder="1" applyAlignment="1">
      <alignment horizontal="right" vertical="center"/>
    </xf>
    <xf numFmtId="0" fontId="1" fillId="0" borderId="29" xfId="12" applyFont="1" applyBorder="1" applyAlignment="1">
      <alignment vertical="center"/>
    </xf>
    <xf numFmtId="0" fontId="9" fillId="4" borderId="27" xfId="0" applyFont="1" applyFill="1" applyBorder="1" applyAlignment="1">
      <alignment horizontal="left" vertical="center" wrapText="1" indent="1"/>
    </xf>
    <xf numFmtId="0" fontId="9" fillId="4" borderId="28" xfId="0" applyFont="1" applyFill="1" applyBorder="1" applyAlignment="1">
      <alignment horizontal="left" vertical="center" wrapText="1" indent="1"/>
    </xf>
    <xf numFmtId="0" fontId="9" fillId="4" borderId="30" xfId="0" applyFont="1" applyFill="1" applyBorder="1" applyAlignment="1">
      <alignment horizontal="left" vertical="center" wrapText="1" indent="1"/>
    </xf>
    <xf numFmtId="0" fontId="9" fillId="4" borderId="10" xfId="0" applyFont="1" applyFill="1" applyBorder="1" applyAlignment="1">
      <alignment horizontal="left" vertical="center" wrapText="1" indent="1"/>
    </xf>
    <xf numFmtId="0" fontId="9" fillId="6" borderId="24" xfId="0" applyFont="1" applyFill="1" applyBorder="1" applyAlignment="1">
      <alignment horizontal="center" vertical="center" wrapText="1"/>
    </xf>
    <xf numFmtId="0" fontId="9" fillId="6" borderId="25" xfId="0" applyFont="1" applyFill="1" applyBorder="1" applyAlignment="1">
      <alignment horizontal="center" vertical="center" wrapText="1"/>
    </xf>
    <xf numFmtId="0" fontId="9" fillId="6" borderId="26" xfId="0" applyFont="1" applyFill="1" applyBorder="1" applyAlignment="1">
      <alignment horizontal="center" vertical="center" wrapText="1"/>
    </xf>
    <xf numFmtId="0" fontId="18" fillId="6" borderId="24" xfId="0" applyFont="1" applyFill="1" applyBorder="1" applyAlignment="1">
      <alignment horizontal="center" vertical="center"/>
    </xf>
    <xf numFmtId="0" fontId="18" fillId="6" borderId="25" xfId="0" applyFont="1" applyFill="1" applyBorder="1" applyAlignment="1">
      <alignment horizontal="center" vertical="center"/>
    </xf>
    <xf numFmtId="0" fontId="18" fillId="6" borderId="26" xfId="0" applyFont="1" applyFill="1" applyBorder="1" applyAlignment="1">
      <alignment horizontal="center" vertical="center"/>
    </xf>
    <xf numFmtId="0" fontId="15" fillId="6" borderId="27" xfId="0" applyFont="1" applyFill="1" applyBorder="1" applyAlignment="1">
      <alignment horizontal="center" vertical="center" wrapText="1"/>
    </xf>
    <xf numFmtId="0" fontId="15" fillId="6" borderId="28" xfId="0" applyFont="1" applyFill="1" applyBorder="1" applyAlignment="1">
      <alignment horizontal="center" vertical="center" wrapText="1"/>
    </xf>
    <xf numFmtId="0" fontId="15" fillId="6" borderId="29" xfId="0" applyFont="1" applyFill="1" applyBorder="1" applyAlignment="1">
      <alignment horizontal="center" vertical="center" wrapText="1"/>
    </xf>
    <xf numFmtId="0" fontId="9" fillId="6" borderId="13" xfId="0" applyFont="1" applyFill="1" applyBorder="1" applyAlignment="1">
      <alignment horizontal="center" vertical="center" wrapText="1"/>
    </xf>
    <xf numFmtId="0" fontId="9" fillId="6" borderId="14" xfId="0" applyFont="1" applyFill="1" applyBorder="1" applyAlignment="1">
      <alignment horizontal="center" vertical="center" wrapText="1"/>
    </xf>
    <xf numFmtId="0" fontId="19" fillId="6" borderId="1" xfId="0" applyFont="1" applyFill="1" applyBorder="1" applyAlignment="1">
      <alignment horizontal="center" vertical="center" wrapText="1"/>
    </xf>
    <xf numFmtId="0" fontId="19" fillId="6" borderId="2" xfId="0" applyFont="1" applyFill="1" applyBorder="1" applyAlignment="1">
      <alignment horizontal="center" vertical="center" wrapText="1"/>
    </xf>
    <xf numFmtId="0" fontId="19" fillId="6" borderId="3" xfId="0" applyFont="1" applyFill="1" applyBorder="1" applyAlignment="1">
      <alignment horizontal="center" vertical="center" wrapText="1"/>
    </xf>
    <xf numFmtId="0" fontId="19" fillId="6" borderId="7" xfId="0" applyFont="1" applyFill="1" applyBorder="1" applyAlignment="1">
      <alignment horizontal="center" vertical="center" wrapText="1"/>
    </xf>
    <xf numFmtId="0" fontId="19" fillId="6" borderId="8" xfId="0" applyFont="1" applyFill="1" applyBorder="1" applyAlignment="1">
      <alignment horizontal="center" vertical="center" wrapText="1"/>
    </xf>
    <xf numFmtId="0" fontId="19" fillId="6" borderId="9" xfId="0" applyFont="1" applyFill="1" applyBorder="1" applyAlignment="1">
      <alignment horizontal="center" vertical="center" wrapText="1"/>
    </xf>
    <xf numFmtId="0" fontId="9" fillId="4" borderId="24" xfId="0" applyFont="1" applyFill="1" applyBorder="1" applyAlignment="1">
      <alignment horizontal="left" vertical="center" wrapText="1" indent="1"/>
    </xf>
    <xf numFmtId="0" fontId="9" fillId="4" borderId="25" xfId="0" applyFont="1" applyFill="1" applyBorder="1" applyAlignment="1">
      <alignment horizontal="left" vertical="center" wrapText="1" indent="1"/>
    </xf>
    <xf numFmtId="0" fontId="16" fillId="4" borderId="0" xfId="2" applyFont="1" applyFill="1" applyAlignment="1">
      <alignment horizontal="left" vertical="center"/>
    </xf>
    <xf numFmtId="0" fontId="15" fillId="4" borderId="0" xfId="2" applyFill="1" applyAlignment="1">
      <alignment horizontal="left" vertical="top" wrapText="1"/>
    </xf>
    <xf numFmtId="0" fontId="15" fillId="4" borderId="0" xfId="2" applyFill="1" applyAlignment="1">
      <alignment horizontal="left" vertical="top"/>
    </xf>
    <xf numFmtId="0" fontId="13" fillId="4" borderId="0" xfId="0" applyFont="1" applyFill="1" applyAlignment="1">
      <alignment horizontal="left" vertical="top" wrapText="1"/>
    </xf>
    <xf numFmtId="0" fontId="16" fillId="4" borderId="0" xfId="2" applyFont="1" applyFill="1" applyAlignment="1">
      <alignment horizontal="left" vertical="center" wrapText="1"/>
    </xf>
    <xf numFmtId="0" fontId="16" fillId="4" borderId="0" xfId="2" applyFont="1" applyFill="1" applyAlignment="1">
      <alignment horizontal="left" vertical="top" wrapText="1"/>
    </xf>
    <xf numFmtId="0" fontId="15" fillId="4" borderId="0" xfId="2" applyFill="1" applyAlignment="1">
      <alignment horizontal="left" vertical="center"/>
    </xf>
    <xf numFmtId="0" fontId="24" fillId="4" borderId="0" xfId="2" applyFont="1" applyFill="1" applyAlignment="1">
      <alignment horizontal="left" vertical="center" wrapText="1"/>
    </xf>
    <xf numFmtId="0" fontId="15" fillId="4" borderId="0" xfId="2" applyFill="1" applyAlignment="1">
      <alignment horizontal="left" vertical="center" wrapText="1"/>
    </xf>
    <xf numFmtId="0" fontId="17" fillId="4" borderId="0" xfId="2" applyFont="1" applyFill="1" applyAlignment="1">
      <alignment horizontal="left" vertical="center" wrapText="1"/>
    </xf>
    <xf numFmtId="0" fontId="16" fillId="3" borderId="10" xfId="0" applyFont="1" applyFill="1" applyBorder="1" applyAlignment="1" applyProtection="1">
      <alignment horizontal="left" vertical="center"/>
      <protection locked="0"/>
    </xf>
    <xf numFmtId="0" fontId="16" fillId="3" borderId="28" xfId="0" applyFont="1" applyFill="1" applyBorder="1" applyAlignment="1" applyProtection="1">
      <alignment horizontal="left" vertical="center"/>
      <protection locked="0"/>
    </xf>
    <xf numFmtId="0" fontId="15" fillId="0" borderId="8" xfId="0" applyFont="1" applyBorder="1" applyAlignment="1">
      <alignment horizontal="left" vertical="top" wrapText="1"/>
    </xf>
    <xf numFmtId="0" fontId="1" fillId="6" borderId="3" xfId="0" applyFont="1" applyFill="1" applyBorder="1" applyAlignment="1">
      <alignment horizontal="center" vertical="center" wrapText="1"/>
    </xf>
    <xf numFmtId="0" fontId="1" fillId="6" borderId="9" xfId="0" applyFont="1" applyFill="1" applyBorder="1" applyAlignment="1">
      <alignment horizontal="center" vertical="center" wrapText="1"/>
    </xf>
    <xf numFmtId="0" fontId="1" fillId="6" borderId="34" xfId="0" applyFont="1" applyFill="1" applyBorder="1" applyAlignment="1">
      <alignment horizontal="center" vertical="center" wrapText="1"/>
    </xf>
    <xf numFmtId="0" fontId="1" fillId="6" borderId="48" xfId="0" applyFont="1" applyFill="1" applyBorder="1" applyAlignment="1">
      <alignment horizontal="center" vertical="center" wrapText="1"/>
    </xf>
    <xf numFmtId="0" fontId="16" fillId="3" borderId="25" xfId="0" applyFont="1" applyFill="1" applyBorder="1" applyAlignment="1" applyProtection="1">
      <alignment horizontal="left" vertical="center"/>
      <protection locked="0"/>
    </xf>
    <xf numFmtId="0" fontId="1" fillId="2" borderId="42" xfId="0" applyFont="1" applyFill="1" applyBorder="1" applyAlignment="1">
      <alignment horizontal="left" vertical="center" indent="1"/>
    </xf>
    <xf numFmtId="0" fontId="1" fillId="2" borderId="58" xfId="0" applyFont="1" applyFill="1" applyBorder="1" applyAlignment="1">
      <alignment horizontal="left" vertical="center" indent="1"/>
    </xf>
    <xf numFmtId="0" fontId="1" fillId="0" borderId="0" xfId="0" applyFont="1" applyAlignment="1">
      <alignment horizontal="left" vertical="center" wrapText="1"/>
    </xf>
    <xf numFmtId="0" fontId="1" fillId="0" borderId="0" xfId="0" applyFont="1" applyAlignment="1">
      <alignment horizontal="left" vertical="top" wrapText="1" indent="3"/>
    </xf>
    <xf numFmtId="0" fontId="1" fillId="2" borderId="11" xfId="0" applyFont="1" applyFill="1" applyBorder="1" applyAlignment="1">
      <alignment horizontal="center" vertical="center"/>
    </xf>
    <xf numFmtId="0" fontId="1" fillId="2" borderId="54" xfId="0" applyFont="1" applyFill="1" applyBorder="1" applyAlignment="1">
      <alignment horizontal="center" vertical="center"/>
    </xf>
    <xf numFmtId="0" fontId="1" fillId="0" borderId="0" xfId="0" applyFont="1" applyAlignment="1">
      <alignment horizontal="left" vertical="top" wrapText="1"/>
    </xf>
    <xf numFmtId="0" fontId="1" fillId="6" borderId="13" xfId="0" applyFont="1" applyFill="1" applyBorder="1" applyAlignment="1">
      <alignment horizontal="center" vertical="center" wrapText="1"/>
    </xf>
    <xf numFmtId="0" fontId="1" fillId="6" borderId="14" xfId="0" applyFont="1" applyFill="1" applyBorder="1" applyAlignment="1">
      <alignment horizontal="center" vertical="center" wrapText="1"/>
    </xf>
    <xf numFmtId="0" fontId="1" fillId="6" borderId="34" xfId="0" applyFont="1" applyFill="1" applyBorder="1" applyAlignment="1">
      <alignment horizontal="center" vertical="center"/>
    </xf>
    <xf numFmtId="0" fontId="1" fillId="6" borderId="48" xfId="0" applyFont="1" applyFill="1" applyBorder="1" applyAlignment="1">
      <alignment horizontal="center" vertical="center"/>
    </xf>
    <xf numFmtId="0" fontId="2" fillId="2" borderId="59" xfId="13" applyFill="1" applyBorder="1" applyAlignment="1">
      <alignment horizontal="center" vertical="center" wrapText="1"/>
    </xf>
    <xf numFmtId="0" fontId="2" fillId="2" borderId="61" xfId="13" applyFill="1" applyBorder="1" applyAlignment="1">
      <alignment horizontal="center" vertical="center" wrapText="1"/>
    </xf>
    <xf numFmtId="0" fontId="2" fillId="2" borderId="53" xfId="13" applyFill="1" applyBorder="1" applyAlignment="1">
      <alignment horizontal="left" vertical="center" indent="1"/>
    </xf>
    <xf numFmtId="0" fontId="2" fillId="2" borderId="49" xfId="13" applyFill="1" applyBorder="1" applyAlignment="1">
      <alignment horizontal="left" vertical="center" indent="1"/>
    </xf>
    <xf numFmtId="0" fontId="2" fillId="2" borderId="33" xfId="13" applyFill="1" applyBorder="1" applyAlignment="1">
      <alignment horizontal="left" vertical="center" indent="1"/>
    </xf>
    <xf numFmtId="0" fontId="2" fillId="2" borderId="51" xfId="13" applyFill="1" applyBorder="1" applyAlignment="1">
      <alignment horizontal="left" vertical="center" indent="1"/>
    </xf>
    <xf numFmtId="0" fontId="2" fillId="2" borderId="47" xfId="13" applyFill="1" applyBorder="1" applyAlignment="1">
      <alignment horizontal="left" vertical="center" indent="1"/>
    </xf>
    <xf numFmtId="0" fontId="2" fillId="2" borderId="17" xfId="13" applyFill="1" applyBorder="1" applyAlignment="1">
      <alignment horizontal="left" vertical="center" indent="1"/>
    </xf>
    <xf numFmtId="0" fontId="2" fillId="2" borderId="52" xfId="13" applyFill="1" applyBorder="1" applyAlignment="1">
      <alignment horizontal="left" vertical="center" indent="1"/>
    </xf>
    <xf numFmtId="0" fontId="2" fillId="2" borderId="48" xfId="13" applyFill="1" applyBorder="1" applyAlignment="1">
      <alignment horizontal="left" vertical="center" indent="1"/>
    </xf>
    <xf numFmtId="0" fontId="2" fillId="2" borderId="35" xfId="13" applyFill="1" applyBorder="1" applyAlignment="1">
      <alignment horizontal="left" vertical="center" indent="1"/>
    </xf>
    <xf numFmtId="0" fontId="2" fillId="2" borderId="1" xfId="13" applyFill="1" applyBorder="1" applyAlignment="1">
      <alignment horizontal="center" vertical="center"/>
    </xf>
    <xf numFmtId="0" fontId="2" fillId="2" borderId="7" xfId="13" applyFill="1" applyBorder="1" applyAlignment="1">
      <alignment horizontal="center" vertical="center"/>
    </xf>
    <xf numFmtId="0" fontId="20" fillId="2" borderId="24" xfId="13" applyFont="1" applyFill="1" applyBorder="1" applyAlignment="1">
      <alignment horizontal="center" vertical="center"/>
    </xf>
    <xf numFmtId="0" fontId="20" fillId="2" borderId="25" xfId="13" applyFont="1" applyFill="1" applyBorder="1" applyAlignment="1">
      <alignment horizontal="center" vertical="center"/>
    </xf>
    <xf numFmtId="0" fontId="20" fillId="2" borderId="26" xfId="13" applyFont="1" applyFill="1" applyBorder="1" applyAlignment="1">
      <alignment horizontal="center" vertical="center"/>
    </xf>
    <xf numFmtId="0" fontId="20" fillId="2" borderId="33" xfId="13" applyFont="1" applyFill="1" applyBorder="1" applyAlignment="1">
      <alignment horizontal="center" vertical="center"/>
    </xf>
    <xf numFmtId="0" fontId="20" fillId="2" borderId="32" xfId="13" applyFont="1" applyFill="1" applyBorder="1" applyAlignment="1">
      <alignment horizontal="center" vertical="center"/>
    </xf>
    <xf numFmtId="0" fontId="20" fillId="2" borderId="53" xfId="13" applyFont="1" applyFill="1" applyBorder="1" applyAlignment="1">
      <alignment horizontal="center" vertical="center"/>
    </xf>
    <xf numFmtId="0" fontId="20" fillId="2" borderId="36" xfId="13" applyFont="1" applyFill="1" applyBorder="1" applyAlignment="1">
      <alignment horizontal="center" vertical="center"/>
    </xf>
    <xf numFmtId="0" fontId="1" fillId="2" borderId="33" xfId="12" applyFont="1" applyFill="1" applyBorder="1" applyAlignment="1">
      <alignment horizontal="center" vertical="center" wrapText="1"/>
    </xf>
    <xf numFmtId="0" fontId="1" fillId="2" borderId="26" xfId="12" applyFont="1" applyFill="1" applyBorder="1" applyAlignment="1">
      <alignment horizontal="center" vertical="center" wrapText="1"/>
    </xf>
    <xf numFmtId="0" fontId="44" fillId="2" borderId="27" xfId="12" applyFont="1" applyFill="1" applyBorder="1" applyAlignment="1">
      <alignment horizontal="center" vertical="center" wrapText="1"/>
    </xf>
    <xf numFmtId="0" fontId="44" fillId="2" borderId="28" xfId="12" applyFont="1" applyFill="1" applyBorder="1" applyAlignment="1">
      <alignment horizontal="center" vertical="center" wrapText="1"/>
    </xf>
    <xf numFmtId="0" fontId="44" fillId="2" borderId="29" xfId="12" applyFont="1" applyFill="1" applyBorder="1" applyAlignment="1">
      <alignment horizontal="center" vertical="center" wrapText="1"/>
    </xf>
    <xf numFmtId="0" fontId="1" fillId="2" borderId="53" xfId="12" applyFont="1" applyFill="1" applyBorder="1" applyAlignment="1">
      <alignment horizontal="center" vertical="center" wrapText="1"/>
    </xf>
    <xf numFmtId="0" fontId="1" fillId="2" borderId="52" xfId="12" applyFont="1" applyFill="1" applyBorder="1" applyAlignment="1">
      <alignment horizontal="center" vertical="center" wrapText="1"/>
    </xf>
    <xf numFmtId="0" fontId="1" fillId="2" borderId="24" xfId="12" applyFont="1" applyFill="1" applyBorder="1" applyAlignment="1">
      <alignment horizontal="center" vertical="center" wrapText="1"/>
    </xf>
    <xf numFmtId="0" fontId="1" fillId="2" borderId="49" xfId="12" applyFont="1" applyFill="1" applyBorder="1" applyAlignment="1">
      <alignment horizontal="center" vertical="center" wrapText="1"/>
    </xf>
    <xf numFmtId="0" fontId="1" fillId="2" borderId="27" xfId="12" applyFont="1" applyFill="1" applyBorder="1" applyAlignment="1">
      <alignment horizontal="center" vertical="center" wrapText="1"/>
    </xf>
    <xf numFmtId="0" fontId="1" fillId="2" borderId="48" xfId="12" applyFont="1" applyFill="1" applyBorder="1" applyAlignment="1">
      <alignment horizontal="center" vertical="center" wrapText="1"/>
    </xf>
    <xf numFmtId="0" fontId="1" fillId="2" borderId="29" xfId="12" applyFont="1" applyFill="1" applyBorder="1" applyAlignment="1">
      <alignment horizontal="center" vertical="center" wrapText="1"/>
    </xf>
    <xf numFmtId="0" fontId="1" fillId="2" borderId="25" xfId="12" applyFont="1" applyFill="1" applyBorder="1" applyAlignment="1">
      <alignment horizontal="center" vertical="center" wrapText="1"/>
    </xf>
    <xf numFmtId="0" fontId="1" fillId="0" borderId="64" xfId="12" applyFont="1" applyBorder="1" applyAlignment="1">
      <alignment horizontal="left" vertical="center" indent="1"/>
    </xf>
    <xf numFmtId="0" fontId="1" fillId="0" borderId="65" xfId="12" applyFont="1" applyBorder="1" applyAlignment="1">
      <alignment horizontal="left" vertical="center" indent="1"/>
    </xf>
    <xf numFmtId="0" fontId="1" fillId="0" borderId="89" xfId="12" applyFont="1" applyBorder="1" applyAlignment="1">
      <alignment horizontal="left" vertical="center" indent="1"/>
    </xf>
    <xf numFmtId="0" fontId="1" fillId="0" borderId="66" xfId="12" applyFont="1" applyBorder="1" applyAlignment="1">
      <alignment horizontal="left" vertical="center" indent="1"/>
    </xf>
    <xf numFmtId="0" fontId="1" fillId="0" borderId="67" xfId="12" applyFont="1" applyBorder="1" applyAlignment="1">
      <alignment horizontal="left" vertical="center" indent="1"/>
    </xf>
    <xf numFmtId="0" fontId="1" fillId="0" borderId="90" xfId="12" applyFont="1" applyBorder="1" applyAlignment="1">
      <alignment horizontal="left" vertical="center" indent="1"/>
    </xf>
    <xf numFmtId="0" fontId="15" fillId="2" borderId="31" xfId="12" applyFont="1" applyFill="1" applyBorder="1" applyAlignment="1">
      <alignment horizontal="center" vertical="center" wrapText="1"/>
    </xf>
    <xf numFmtId="0" fontId="15" fillId="2" borderId="29" xfId="12" applyFont="1" applyFill="1" applyBorder="1" applyAlignment="1">
      <alignment horizontal="center" vertical="center" wrapText="1"/>
    </xf>
    <xf numFmtId="0" fontId="15" fillId="2" borderId="17" xfId="12" applyFont="1" applyFill="1" applyBorder="1" applyAlignment="1">
      <alignment horizontal="center" vertical="center" wrapText="1"/>
    </xf>
    <xf numFmtId="0" fontId="15" fillId="2" borderId="35" xfId="12" applyFont="1" applyFill="1" applyBorder="1" applyAlignment="1">
      <alignment horizontal="center" vertical="center" wrapText="1"/>
    </xf>
    <xf numFmtId="0" fontId="15" fillId="0" borderId="10" xfId="12" applyFont="1" applyBorder="1" applyAlignment="1">
      <alignment horizontal="center" vertical="center" wrapText="1"/>
    </xf>
    <xf numFmtId="0" fontId="1" fillId="2" borderId="85" xfId="12" applyFont="1" applyFill="1" applyBorder="1" applyAlignment="1">
      <alignment horizontal="center" vertical="center"/>
    </xf>
    <xf numFmtId="0" fontId="1" fillId="2" borderId="86" xfId="12" applyFont="1" applyFill="1" applyBorder="1" applyAlignment="1">
      <alignment horizontal="center" vertical="center"/>
    </xf>
    <xf numFmtId="0" fontId="1" fillId="0" borderId="62" xfId="12" applyFont="1" applyBorder="1" applyAlignment="1">
      <alignment horizontal="left" vertical="center" indent="1"/>
    </xf>
    <xf numFmtId="0" fontId="1" fillId="0" borderId="63" xfId="12" applyFont="1" applyBorder="1" applyAlignment="1">
      <alignment horizontal="left" vertical="center" indent="1"/>
    </xf>
    <xf numFmtId="0" fontId="1" fillId="0" borderId="88" xfId="12" applyFont="1" applyBorder="1" applyAlignment="1">
      <alignment horizontal="left" vertical="center" indent="1"/>
    </xf>
    <xf numFmtId="0" fontId="15" fillId="2" borderId="55" xfId="12" applyFont="1" applyFill="1" applyBorder="1" applyAlignment="1">
      <alignment horizontal="center" vertical="center" wrapText="1"/>
    </xf>
    <xf numFmtId="0" fontId="15" fillId="2" borderId="57" xfId="12" applyFont="1" applyFill="1" applyBorder="1" applyAlignment="1">
      <alignment horizontal="center" vertical="center" wrapText="1"/>
    </xf>
    <xf numFmtId="0" fontId="15" fillId="2" borderId="39" xfId="12" applyFont="1" applyFill="1" applyBorder="1" applyAlignment="1">
      <alignment horizontal="center" vertical="center" wrapText="1"/>
    </xf>
    <xf numFmtId="0" fontId="15" fillId="2" borderId="74" xfId="12" applyFont="1" applyFill="1" applyBorder="1" applyAlignment="1">
      <alignment horizontal="center" vertical="center" wrapText="1"/>
    </xf>
    <xf numFmtId="0" fontId="15" fillId="2" borderId="84" xfId="12" applyFont="1" applyFill="1" applyBorder="1" applyAlignment="1">
      <alignment horizontal="center" vertical="center" wrapText="1"/>
    </xf>
    <xf numFmtId="0" fontId="15" fillId="2" borderId="83" xfId="12" applyFont="1" applyFill="1" applyBorder="1" applyAlignment="1">
      <alignment horizontal="center" vertical="center" wrapText="1"/>
    </xf>
    <xf numFmtId="0" fontId="15" fillId="2" borderId="30" xfId="12" applyFont="1" applyFill="1" applyBorder="1" applyAlignment="1">
      <alignment horizontal="center" vertical="center" wrapText="1"/>
    </xf>
    <xf numFmtId="0" fontId="15" fillId="2" borderId="27" xfId="12" applyFont="1" applyFill="1" applyBorder="1" applyAlignment="1">
      <alignment horizontal="center" vertical="center" wrapText="1"/>
    </xf>
    <xf numFmtId="0" fontId="15" fillId="2" borderId="10" xfId="12" applyFont="1" applyFill="1" applyBorder="1" applyAlignment="1">
      <alignment horizontal="center" vertical="center" wrapText="1"/>
    </xf>
    <xf numFmtId="0" fontId="15" fillId="2" borderId="28" xfId="12" applyFont="1" applyFill="1" applyBorder="1" applyAlignment="1">
      <alignment horizontal="center" vertical="center" wrapText="1"/>
    </xf>
    <xf numFmtId="0" fontId="15" fillId="6" borderId="71" xfId="12" applyFont="1" applyFill="1" applyBorder="1" applyAlignment="1">
      <alignment horizontal="center" vertical="center"/>
    </xf>
    <xf numFmtId="0" fontId="15" fillId="6" borderId="74" xfId="12" applyFont="1" applyFill="1" applyBorder="1" applyAlignment="1">
      <alignment horizontal="center" vertical="center"/>
    </xf>
    <xf numFmtId="0" fontId="15" fillId="2" borderId="21" xfId="12" applyFont="1" applyFill="1" applyBorder="1" applyAlignment="1">
      <alignment horizontal="center" vertical="center" wrapText="1"/>
    </xf>
    <xf numFmtId="0" fontId="15" fillId="2" borderId="75" xfId="12" applyFont="1" applyFill="1" applyBorder="1" applyAlignment="1">
      <alignment horizontal="center" vertical="center" wrapText="1"/>
    </xf>
    <xf numFmtId="0" fontId="15" fillId="2" borderId="72" xfId="12" applyFont="1" applyFill="1" applyBorder="1" applyAlignment="1">
      <alignment horizontal="center" vertical="center" wrapText="1"/>
    </xf>
    <xf numFmtId="0" fontId="15" fillId="6" borderId="73" xfId="12" applyFont="1" applyFill="1" applyBorder="1" applyAlignment="1">
      <alignment horizontal="center" vertical="center"/>
    </xf>
    <xf numFmtId="0" fontId="15" fillId="6" borderId="76" xfId="12" applyFont="1" applyFill="1" applyBorder="1" applyAlignment="1">
      <alignment horizontal="center" vertical="center"/>
    </xf>
    <xf numFmtId="0" fontId="15" fillId="0" borderId="8" xfId="12" applyFont="1" applyBorder="1" applyAlignment="1">
      <alignment horizontal="left" vertical="top" wrapText="1"/>
    </xf>
    <xf numFmtId="0" fontId="17" fillId="6" borderId="53" xfId="12" applyFont="1" applyFill="1" applyBorder="1" applyAlignment="1">
      <alignment horizontal="left" vertical="center" indent="1"/>
    </xf>
    <xf numFmtId="0" fontId="17" fillId="6" borderId="49" xfId="12" applyFont="1" applyFill="1" applyBorder="1" applyAlignment="1">
      <alignment horizontal="left" vertical="center" indent="1"/>
    </xf>
    <xf numFmtId="0" fontId="17" fillId="6" borderId="33" xfId="12" applyFont="1" applyFill="1" applyBorder="1" applyAlignment="1">
      <alignment horizontal="left" vertical="center" indent="1"/>
    </xf>
    <xf numFmtId="0" fontId="17" fillId="2" borderId="24" xfId="12" applyFont="1" applyFill="1" applyBorder="1" applyAlignment="1">
      <alignment horizontal="left" vertical="center" wrapText="1" indent="1"/>
    </xf>
    <xf numFmtId="0" fontId="17" fillId="2" borderId="25" xfId="12" applyFont="1" applyFill="1" applyBorder="1" applyAlignment="1">
      <alignment horizontal="left" vertical="center" wrapText="1" indent="1"/>
    </xf>
    <xf numFmtId="0" fontId="17" fillId="2" borderId="26" xfId="12" applyFont="1" applyFill="1" applyBorder="1" applyAlignment="1">
      <alignment horizontal="left" vertical="center" wrapText="1" indent="1"/>
    </xf>
    <xf numFmtId="0" fontId="17" fillId="2" borderId="33" xfId="12" applyFont="1" applyFill="1" applyBorder="1" applyAlignment="1">
      <alignment horizontal="left" vertical="center" wrapText="1" indent="1"/>
    </xf>
    <xf numFmtId="0" fontId="15" fillId="2" borderId="50" xfId="12" applyFont="1" applyFill="1" applyBorder="1" applyAlignment="1">
      <alignment horizontal="center" vertical="center" wrapText="1"/>
    </xf>
    <xf numFmtId="0" fontId="15" fillId="2" borderId="82" xfId="12" applyFont="1" applyFill="1" applyBorder="1" applyAlignment="1">
      <alignment horizontal="center" vertical="center" wrapText="1"/>
    </xf>
    <xf numFmtId="0" fontId="15" fillId="2" borderId="81" xfId="12" applyFont="1" applyFill="1" applyBorder="1" applyAlignment="1">
      <alignment horizontal="center" vertical="center" wrapText="1"/>
    </xf>
    <xf numFmtId="0" fontId="15" fillId="2" borderId="69" xfId="12" applyFont="1" applyFill="1" applyBorder="1" applyAlignment="1">
      <alignment horizontal="center" vertical="center" wrapText="1"/>
    </xf>
    <xf numFmtId="0" fontId="15" fillId="2" borderId="76" xfId="12" applyFont="1" applyFill="1" applyBorder="1" applyAlignment="1">
      <alignment horizontal="center" vertical="center" wrapText="1"/>
    </xf>
    <xf numFmtId="0" fontId="15" fillId="2" borderId="68" xfId="12" applyFont="1" applyFill="1" applyBorder="1" applyAlignment="1">
      <alignment horizontal="center" vertical="center" wrapText="1"/>
    </xf>
    <xf numFmtId="0" fontId="15" fillId="2" borderId="53" xfId="12" applyFont="1" applyFill="1" applyBorder="1" applyAlignment="1">
      <alignment horizontal="center" vertical="center" wrapText="1"/>
    </xf>
    <xf numFmtId="0" fontId="15" fillId="2" borderId="36" xfId="12" applyFont="1" applyFill="1" applyBorder="1" applyAlignment="1">
      <alignment horizontal="center" vertical="center" wrapText="1"/>
    </xf>
    <xf numFmtId="0" fontId="15" fillId="2" borderId="41" xfId="12" applyFont="1" applyFill="1" applyBorder="1" applyAlignment="1">
      <alignment horizontal="center" vertical="center" wrapText="1"/>
    </xf>
    <xf numFmtId="0" fontId="17" fillId="2" borderId="53" xfId="12" applyFont="1" applyFill="1" applyBorder="1" applyAlignment="1">
      <alignment horizontal="left" vertical="center" wrapText="1" indent="1"/>
    </xf>
    <xf numFmtId="0" fontId="17" fillId="2" borderId="49" xfId="12" applyFont="1" applyFill="1" applyBorder="1" applyAlignment="1">
      <alignment horizontal="left" vertical="center" wrapText="1" indent="1"/>
    </xf>
    <xf numFmtId="0" fontId="17" fillId="2" borderId="36" xfId="12" applyFont="1" applyFill="1" applyBorder="1" applyAlignment="1">
      <alignment horizontal="left" vertical="center" wrapText="1" indent="1"/>
    </xf>
    <xf numFmtId="0" fontId="17" fillId="2" borderId="11" xfId="12" applyFont="1" applyFill="1" applyBorder="1" applyAlignment="1">
      <alignment horizontal="left" vertical="center" wrapText="1" indent="1"/>
    </xf>
    <xf numFmtId="0" fontId="17" fillId="2" borderId="12" xfId="12" applyFont="1" applyFill="1" applyBorder="1" applyAlignment="1">
      <alignment horizontal="left" vertical="center" wrapText="1" indent="1"/>
    </xf>
    <xf numFmtId="0" fontId="17" fillId="2" borderId="70" xfId="12" applyFont="1" applyFill="1" applyBorder="1" applyAlignment="1">
      <alignment horizontal="left" vertical="center" wrapText="1" indent="1"/>
    </xf>
    <xf numFmtId="0" fontId="15" fillId="0" borderId="0" xfId="12" applyFont="1" applyAlignment="1">
      <alignment horizontal="left" vertical="top" wrapText="1"/>
    </xf>
    <xf numFmtId="0" fontId="15" fillId="0" borderId="0" xfId="12" applyFont="1" applyAlignment="1" applyProtection="1">
      <alignment horizontal="left" vertical="top" wrapText="1"/>
      <protection locked="0"/>
    </xf>
    <xf numFmtId="0" fontId="15" fillId="2" borderId="1" xfId="0" applyFont="1" applyFill="1" applyBorder="1" applyAlignment="1" applyProtection="1">
      <alignment horizontal="center" wrapText="1"/>
      <protection hidden="1"/>
    </xf>
    <xf numFmtId="0" fontId="15" fillId="2" borderId="2" xfId="0" applyFont="1" applyFill="1" applyBorder="1" applyAlignment="1" applyProtection="1">
      <alignment horizontal="center" wrapText="1"/>
      <protection hidden="1"/>
    </xf>
    <xf numFmtId="0" fontId="15" fillId="2" borderId="3" xfId="0" applyFont="1" applyFill="1" applyBorder="1" applyAlignment="1" applyProtection="1">
      <alignment horizontal="center" wrapText="1"/>
      <protection hidden="1"/>
    </xf>
    <xf numFmtId="0" fontId="15" fillId="2" borderId="55" xfId="0" applyFont="1" applyFill="1" applyBorder="1" applyAlignment="1" applyProtection="1">
      <alignment horizontal="center" vertical="center" wrapText="1"/>
      <protection hidden="1"/>
    </xf>
    <xf numFmtId="0" fontId="15" fillId="2" borderId="56" xfId="0" applyFont="1" applyFill="1" applyBorder="1" applyAlignment="1" applyProtection="1">
      <alignment horizontal="center" vertical="center" wrapText="1"/>
      <protection hidden="1"/>
    </xf>
    <xf numFmtId="0" fontId="15" fillId="2" borderId="57" xfId="0" applyFont="1" applyFill="1" applyBorder="1" applyAlignment="1" applyProtection="1">
      <alignment horizontal="center" vertical="center" wrapText="1"/>
      <protection hidden="1"/>
    </xf>
    <xf numFmtId="0" fontId="15" fillId="2" borderId="13" xfId="0" applyFont="1" applyFill="1" applyBorder="1" applyAlignment="1" applyProtection="1">
      <alignment horizontal="center" vertical="center" wrapText="1"/>
      <protection hidden="1"/>
    </xf>
    <xf numFmtId="0" fontId="15" fillId="2" borderId="18" xfId="0" applyFont="1" applyFill="1" applyBorder="1" applyAlignment="1" applyProtection="1">
      <alignment horizontal="center" vertical="center" wrapText="1"/>
      <protection hidden="1"/>
    </xf>
    <xf numFmtId="0" fontId="15" fillId="2" borderId="14" xfId="0" applyFont="1" applyFill="1" applyBorder="1" applyAlignment="1" applyProtection="1">
      <alignment horizontal="center" vertical="center" wrapText="1"/>
      <protection hidden="1"/>
    </xf>
    <xf numFmtId="0" fontId="15" fillId="2" borderId="24" xfId="0" applyFont="1" applyFill="1" applyBorder="1" applyAlignment="1" applyProtection="1">
      <alignment horizontal="center" vertical="center" wrapText="1"/>
      <protection hidden="1"/>
    </xf>
    <xf numFmtId="0" fontId="15" fillId="2" borderId="30" xfId="0" applyFont="1" applyFill="1" applyBorder="1" applyAlignment="1" applyProtection="1">
      <alignment horizontal="center" vertical="center" wrapText="1"/>
      <protection hidden="1"/>
    </xf>
    <xf numFmtId="0" fontId="15" fillId="2" borderId="27" xfId="0" applyFont="1" applyFill="1" applyBorder="1" applyAlignment="1" applyProtection="1">
      <alignment horizontal="center" vertical="center" wrapText="1"/>
      <protection hidden="1"/>
    </xf>
    <xf numFmtId="0" fontId="15" fillId="2" borderId="39" xfId="0" applyFont="1" applyFill="1" applyBorder="1" applyAlignment="1" applyProtection="1">
      <alignment horizontal="center" wrapText="1"/>
      <protection hidden="1"/>
    </xf>
    <xf numFmtId="0" fontId="15" fillId="2" borderId="40" xfId="0" applyFont="1" applyFill="1" applyBorder="1" applyAlignment="1" applyProtection="1">
      <alignment horizontal="center" wrapText="1"/>
      <protection hidden="1"/>
    </xf>
    <xf numFmtId="0" fontId="15" fillId="2" borderId="41" xfId="0" applyFont="1" applyFill="1" applyBorder="1" applyAlignment="1" applyProtection="1">
      <alignment horizontal="center" wrapText="1"/>
      <protection hidden="1"/>
    </xf>
    <xf numFmtId="0" fontId="15" fillId="2" borderId="44" xfId="0" applyFont="1" applyFill="1" applyBorder="1" applyAlignment="1" applyProtection="1">
      <alignment horizontal="center" vertical="center" wrapText="1"/>
      <protection hidden="1"/>
    </xf>
    <xf numFmtId="0" fontId="15" fillId="2" borderId="15" xfId="0" applyFont="1" applyFill="1" applyBorder="1" applyAlignment="1" applyProtection="1">
      <alignment horizontal="center" vertical="center" wrapText="1"/>
      <protection hidden="1"/>
    </xf>
    <xf numFmtId="0" fontId="15" fillId="2" borderId="45" xfId="0" applyFont="1" applyFill="1" applyBorder="1" applyAlignment="1" applyProtection="1">
      <alignment horizontal="center" vertical="center" wrapText="1"/>
      <protection hidden="1"/>
    </xf>
    <xf numFmtId="0" fontId="15" fillId="0" borderId="0" xfId="5" applyFont="1" applyAlignment="1" applyProtection="1">
      <alignment horizontal="left" vertical="center" wrapText="1"/>
      <protection hidden="1"/>
    </xf>
  </cellXfs>
  <cellStyles count="15">
    <cellStyle name="Comma" xfId="11" builtinId="3"/>
    <cellStyle name="Hyperlink" xfId="14" builtinId="8"/>
    <cellStyle name="Normal" xfId="0" builtinId="0"/>
    <cellStyle name="Normal 2" xfId="1" xr:uid="{00000000-0005-0000-0000-000002000000}"/>
    <cellStyle name="Normal 2 2" xfId="2" xr:uid="{00000000-0005-0000-0000-000003000000}"/>
    <cellStyle name="Normal 2 2 2" xfId="12" xr:uid="{00000000-0005-0000-0000-000004000000}"/>
    <cellStyle name="Normal 2 3" xfId="6" xr:uid="{00000000-0005-0000-0000-000005000000}"/>
    <cellStyle name="Normal 2 4" xfId="8" xr:uid="{00000000-0005-0000-0000-000006000000}"/>
    <cellStyle name="Normal 3" xfId="4" xr:uid="{00000000-0005-0000-0000-000007000000}"/>
    <cellStyle name="Normal 3 2" xfId="9" xr:uid="{00000000-0005-0000-0000-000008000000}"/>
    <cellStyle name="Normal 3 3" xfId="10" xr:uid="{00000000-0005-0000-0000-000009000000}"/>
    <cellStyle name="Normal 4" xfId="5" xr:uid="{00000000-0005-0000-0000-00000A000000}"/>
    <cellStyle name="Normal 5" xfId="13" xr:uid="{00000000-0005-0000-0000-00000B000000}"/>
    <cellStyle name="Normal 6" xfId="7" xr:uid="{00000000-0005-0000-0000-00000C000000}"/>
    <cellStyle name="Percent 2" xfId="3" xr:uid="{00000000-0005-0000-0000-00000D000000}"/>
  </cellStyles>
  <dxfs count="6">
    <dxf>
      <fill>
        <patternFill>
          <bgColor theme="0"/>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Z$8"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Z$8"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15523</xdr:colOff>
      <xdr:row>1</xdr:row>
      <xdr:rowOff>17641</xdr:rowOff>
    </xdr:from>
    <xdr:to>
      <xdr:col>4</xdr:col>
      <xdr:colOff>15787</xdr:colOff>
      <xdr:row>2</xdr:row>
      <xdr:rowOff>589617</xdr:rowOff>
    </xdr:to>
    <xdr:pic>
      <xdr:nvPicPr>
        <xdr:cNvPr id="2" name="Picture 1" descr="WE_color_lg.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74273" y="208141"/>
          <a:ext cx="773906" cy="7739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0</xdr:colOff>
          <xdr:row>33</xdr:row>
          <xdr:rowOff>7620</xdr:rowOff>
        </xdr:from>
        <xdr:to>
          <xdr:col>4</xdr:col>
          <xdr:colOff>1386840</xdr:colOff>
          <xdr:row>33</xdr:row>
          <xdr:rowOff>285750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1478280</xdr:colOff>
          <xdr:row>33</xdr:row>
          <xdr:rowOff>7620</xdr:rowOff>
        </xdr:from>
        <xdr:to>
          <xdr:col>5</xdr:col>
          <xdr:colOff>396240</xdr:colOff>
          <xdr:row>33</xdr:row>
          <xdr:rowOff>285750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Delete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7620</xdr:rowOff>
        </xdr:from>
        <xdr:to>
          <xdr:col>4</xdr:col>
          <xdr:colOff>1386840</xdr:colOff>
          <xdr:row>30</xdr:row>
          <xdr:rowOff>76200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1478280</xdr:colOff>
          <xdr:row>20</xdr:row>
          <xdr:rowOff>7620</xdr:rowOff>
        </xdr:from>
        <xdr:to>
          <xdr:col>5</xdr:col>
          <xdr:colOff>396240</xdr:colOff>
          <xdr:row>30</xdr:row>
          <xdr:rowOff>76200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Delete Group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50</xdr:row>
          <xdr:rowOff>152400</xdr:rowOff>
        </xdr:from>
        <xdr:to>
          <xdr:col>2</xdr:col>
          <xdr:colOff>670560</xdr:colOff>
          <xdr:row>50</xdr:row>
          <xdr:rowOff>411480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0100-0000013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754380</xdr:colOff>
          <xdr:row>50</xdr:row>
          <xdr:rowOff>160020</xdr:rowOff>
        </xdr:from>
        <xdr:to>
          <xdr:col>3</xdr:col>
          <xdr:colOff>487680</xdr:colOff>
          <xdr:row>50</xdr:row>
          <xdr:rowOff>419100</xdr:rowOff>
        </xdr:to>
        <xdr:sp macro="" textlink="">
          <xdr:nvSpPr>
            <xdr:cNvPr id="144386" name="Button 2" hidden="1">
              <a:extLst>
                <a:ext uri="{63B3BB69-23CF-44E3-9099-C40C66FF867C}">
                  <a14:compatExt spid="_x0000_s144386"/>
                </a:ext>
                <a:ext uri="{FF2B5EF4-FFF2-40B4-BE49-F238E27FC236}">
                  <a16:creationId xmlns:a16="http://schemas.microsoft.com/office/drawing/2014/main" id="{00000000-0008-0000-0100-0000023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37</xdr:row>
          <xdr:rowOff>152400</xdr:rowOff>
        </xdr:from>
        <xdr:to>
          <xdr:col>2</xdr:col>
          <xdr:colOff>670560</xdr:colOff>
          <xdr:row>37</xdr:row>
          <xdr:rowOff>411480</xdr:rowOff>
        </xdr:to>
        <xdr:sp macro="" textlink="">
          <xdr:nvSpPr>
            <xdr:cNvPr id="144387" name="Button 3" hidden="1">
              <a:extLst>
                <a:ext uri="{63B3BB69-23CF-44E3-9099-C40C66FF867C}">
                  <a14:compatExt spid="_x0000_s144387"/>
                </a:ext>
                <a:ext uri="{FF2B5EF4-FFF2-40B4-BE49-F238E27FC236}">
                  <a16:creationId xmlns:a16="http://schemas.microsoft.com/office/drawing/2014/main" id="{00000000-0008-0000-0100-0000033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754380</xdr:colOff>
          <xdr:row>37</xdr:row>
          <xdr:rowOff>144780</xdr:rowOff>
        </xdr:from>
        <xdr:to>
          <xdr:col>3</xdr:col>
          <xdr:colOff>487680</xdr:colOff>
          <xdr:row>37</xdr:row>
          <xdr:rowOff>411480</xdr:rowOff>
        </xdr:to>
        <xdr:sp macro="" textlink="">
          <xdr:nvSpPr>
            <xdr:cNvPr id="144388" name="Button 4" hidden="1">
              <a:extLst>
                <a:ext uri="{63B3BB69-23CF-44E3-9099-C40C66FF867C}">
                  <a14:compatExt spid="_x0000_s144388"/>
                </a:ext>
                <a:ext uri="{FF2B5EF4-FFF2-40B4-BE49-F238E27FC236}">
                  <a16:creationId xmlns:a16="http://schemas.microsoft.com/office/drawing/2014/main" id="{00000000-0008-0000-0100-0000043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266700</xdr:rowOff>
        </xdr:from>
        <xdr:to>
          <xdr:col>1</xdr:col>
          <xdr:colOff>670560</xdr:colOff>
          <xdr:row>7</xdr:row>
          <xdr:rowOff>190500</xdr:rowOff>
        </xdr:to>
        <xdr:sp macro="" textlink="">
          <xdr:nvSpPr>
            <xdr:cNvPr id="144389" name="Check Box 5" hidden="1">
              <a:extLst>
                <a:ext uri="{63B3BB69-23CF-44E3-9099-C40C66FF867C}">
                  <a14:compatExt spid="_x0000_s144389"/>
                </a:ext>
                <a:ext uri="{FF2B5EF4-FFF2-40B4-BE49-F238E27FC236}">
                  <a16:creationId xmlns:a16="http://schemas.microsoft.com/office/drawing/2014/main" id="{00000000-0008-0000-0100-00000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670560</xdr:colOff>
          <xdr:row>8</xdr:row>
          <xdr:rowOff>213360</xdr:rowOff>
        </xdr:to>
        <xdr:sp macro="" textlink="">
          <xdr:nvSpPr>
            <xdr:cNvPr id="144390" name="Check Box 6" hidden="1">
              <a:extLst>
                <a:ext uri="{63B3BB69-23CF-44E3-9099-C40C66FF867C}">
                  <a14:compatExt spid="_x0000_s144390"/>
                </a:ext>
                <a:ext uri="{FF2B5EF4-FFF2-40B4-BE49-F238E27FC236}">
                  <a16:creationId xmlns:a16="http://schemas.microsoft.com/office/drawing/2014/main" id="{00000000-0008-0000-0100-00000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50</xdr:row>
          <xdr:rowOff>152400</xdr:rowOff>
        </xdr:from>
        <xdr:to>
          <xdr:col>2</xdr:col>
          <xdr:colOff>670560</xdr:colOff>
          <xdr:row>50</xdr:row>
          <xdr:rowOff>411480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2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754380</xdr:colOff>
          <xdr:row>50</xdr:row>
          <xdr:rowOff>160020</xdr:rowOff>
        </xdr:from>
        <xdr:to>
          <xdr:col>3</xdr:col>
          <xdr:colOff>487680</xdr:colOff>
          <xdr:row>50</xdr:row>
          <xdr:rowOff>419100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2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37</xdr:row>
          <xdr:rowOff>152400</xdr:rowOff>
        </xdr:from>
        <xdr:to>
          <xdr:col>2</xdr:col>
          <xdr:colOff>670560</xdr:colOff>
          <xdr:row>37</xdr:row>
          <xdr:rowOff>411480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2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754380</xdr:colOff>
          <xdr:row>37</xdr:row>
          <xdr:rowOff>144780</xdr:rowOff>
        </xdr:from>
        <xdr:to>
          <xdr:col>3</xdr:col>
          <xdr:colOff>487680</xdr:colOff>
          <xdr:row>37</xdr:row>
          <xdr:rowOff>411480</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200-000004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266700</xdr:rowOff>
        </xdr:from>
        <xdr:to>
          <xdr:col>1</xdr:col>
          <xdr:colOff>670560</xdr:colOff>
          <xdr:row>7</xdr:row>
          <xdr:rowOff>190500</xdr:rowOff>
        </xdr:to>
        <xdr:sp macro="" textlink="">
          <xdr:nvSpPr>
            <xdr:cNvPr id="60426" name="Check Box 10" hidden="1">
              <a:extLst>
                <a:ext uri="{63B3BB69-23CF-44E3-9099-C40C66FF867C}">
                  <a14:compatExt spid="_x0000_s60426"/>
                </a:ext>
                <a:ext uri="{FF2B5EF4-FFF2-40B4-BE49-F238E27FC236}">
                  <a16:creationId xmlns:a16="http://schemas.microsoft.com/office/drawing/2014/main" id="{00000000-0008-0000-0200-00000A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670560</xdr:colOff>
          <xdr:row>8</xdr:row>
          <xdr:rowOff>213360</xdr:rowOff>
        </xdr:to>
        <xdr:sp macro="" textlink="">
          <xdr:nvSpPr>
            <xdr:cNvPr id="60445" name="Check Box 29" hidden="1">
              <a:extLst>
                <a:ext uri="{63B3BB69-23CF-44E3-9099-C40C66FF867C}">
                  <a14:compatExt spid="_x0000_s60445"/>
                </a:ext>
                <a:ext uri="{FF2B5EF4-FFF2-40B4-BE49-F238E27FC236}">
                  <a16:creationId xmlns:a16="http://schemas.microsoft.com/office/drawing/2014/main" id="{00000000-0008-0000-0200-00001D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xdr:colOff>
          <xdr:row>16</xdr:row>
          <xdr:rowOff>152400</xdr:rowOff>
        </xdr:from>
        <xdr:to>
          <xdr:col>1</xdr:col>
          <xdr:colOff>1402080</xdr:colOff>
          <xdr:row>17</xdr:row>
          <xdr:rowOff>60960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0300-000001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1470660</xdr:colOff>
          <xdr:row>16</xdr:row>
          <xdr:rowOff>144780</xdr:rowOff>
        </xdr:from>
        <xdr:to>
          <xdr:col>3</xdr:col>
          <xdr:colOff>144780</xdr:colOff>
          <xdr:row>17</xdr:row>
          <xdr:rowOff>45720</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0300-000002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xdr:colOff>
          <xdr:row>39</xdr:row>
          <xdr:rowOff>152400</xdr:rowOff>
        </xdr:from>
        <xdr:to>
          <xdr:col>1</xdr:col>
          <xdr:colOff>1402080</xdr:colOff>
          <xdr:row>39</xdr:row>
          <xdr:rowOff>419100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400-000001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1554480</xdr:colOff>
          <xdr:row>39</xdr:row>
          <xdr:rowOff>152400</xdr:rowOff>
        </xdr:from>
        <xdr:to>
          <xdr:col>2</xdr:col>
          <xdr:colOff>731520</xdr:colOff>
          <xdr:row>39</xdr:row>
          <xdr:rowOff>419100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400-000002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57</xdr:row>
          <xdr:rowOff>152400</xdr:rowOff>
        </xdr:from>
        <xdr:to>
          <xdr:col>1</xdr:col>
          <xdr:colOff>1402080</xdr:colOff>
          <xdr:row>57</xdr:row>
          <xdr:rowOff>419100</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400-000003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1554480</xdr:colOff>
          <xdr:row>57</xdr:row>
          <xdr:rowOff>152400</xdr:rowOff>
        </xdr:from>
        <xdr:to>
          <xdr:col>2</xdr:col>
          <xdr:colOff>731520</xdr:colOff>
          <xdr:row>57</xdr:row>
          <xdr:rowOff>419100</xdr:rowOff>
        </xdr:to>
        <xdr:sp macro="" textlink="">
          <xdr:nvSpPr>
            <xdr:cNvPr id="91140" name="Button 4" hidden="1">
              <a:extLst>
                <a:ext uri="{63B3BB69-23CF-44E3-9099-C40C66FF867C}">
                  <a14:compatExt spid="_x0000_s91140"/>
                </a:ext>
                <a:ext uri="{FF2B5EF4-FFF2-40B4-BE49-F238E27FC236}">
                  <a16:creationId xmlns:a16="http://schemas.microsoft.com/office/drawing/2014/main" id="{00000000-0008-0000-0400-000004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81</xdr:row>
          <xdr:rowOff>152400</xdr:rowOff>
        </xdr:from>
        <xdr:to>
          <xdr:col>1</xdr:col>
          <xdr:colOff>1402080</xdr:colOff>
          <xdr:row>81</xdr:row>
          <xdr:rowOff>419100</xdr:rowOff>
        </xdr:to>
        <xdr:sp macro="" textlink="">
          <xdr:nvSpPr>
            <xdr:cNvPr id="91141" name="Button 5" hidden="1">
              <a:extLst>
                <a:ext uri="{63B3BB69-23CF-44E3-9099-C40C66FF867C}">
                  <a14:compatExt spid="_x0000_s91141"/>
                </a:ext>
                <a:ext uri="{FF2B5EF4-FFF2-40B4-BE49-F238E27FC236}">
                  <a16:creationId xmlns:a16="http://schemas.microsoft.com/office/drawing/2014/main" id="{00000000-0008-0000-0400-000005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1554480</xdr:colOff>
          <xdr:row>81</xdr:row>
          <xdr:rowOff>152400</xdr:rowOff>
        </xdr:from>
        <xdr:to>
          <xdr:col>2</xdr:col>
          <xdr:colOff>731520</xdr:colOff>
          <xdr:row>81</xdr:row>
          <xdr:rowOff>419100</xdr:rowOff>
        </xdr:to>
        <xdr:sp macro="" textlink="">
          <xdr:nvSpPr>
            <xdr:cNvPr id="91142" name="Button 6" hidden="1">
              <a:extLst>
                <a:ext uri="{63B3BB69-23CF-44E3-9099-C40C66FF867C}">
                  <a14:compatExt spid="_x0000_s91142"/>
                </a:ext>
                <a:ext uri="{FF2B5EF4-FFF2-40B4-BE49-F238E27FC236}">
                  <a16:creationId xmlns:a16="http://schemas.microsoft.com/office/drawing/2014/main" id="{00000000-0008-0000-0400-000006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100</xdr:row>
          <xdr:rowOff>152400</xdr:rowOff>
        </xdr:from>
        <xdr:to>
          <xdr:col>1</xdr:col>
          <xdr:colOff>1402080</xdr:colOff>
          <xdr:row>100</xdr:row>
          <xdr:rowOff>419100</xdr:rowOff>
        </xdr:to>
        <xdr:sp macro="" textlink="">
          <xdr:nvSpPr>
            <xdr:cNvPr id="91143" name="Button 7" hidden="1">
              <a:extLst>
                <a:ext uri="{63B3BB69-23CF-44E3-9099-C40C66FF867C}">
                  <a14:compatExt spid="_x0000_s91143"/>
                </a:ext>
                <a:ext uri="{FF2B5EF4-FFF2-40B4-BE49-F238E27FC236}">
                  <a16:creationId xmlns:a16="http://schemas.microsoft.com/office/drawing/2014/main" id="{00000000-0008-0000-0400-000007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1554480</xdr:colOff>
          <xdr:row>100</xdr:row>
          <xdr:rowOff>152400</xdr:rowOff>
        </xdr:from>
        <xdr:to>
          <xdr:col>2</xdr:col>
          <xdr:colOff>731520</xdr:colOff>
          <xdr:row>100</xdr:row>
          <xdr:rowOff>419100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0400-000008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119</xdr:row>
          <xdr:rowOff>152400</xdr:rowOff>
        </xdr:from>
        <xdr:to>
          <xdr:col>1</xdr:col>
          <xdr:colOff>1402080</xdr:colOff>
          <xdr:row>119</xdr:row>
          <xdr:rowOff>419100</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0400-000009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1554480</xdr:colOff>
          <xdr:row>119</xdr:row>
          <xdr:rowOff>152400</xdr:rowOff>
        </xdr:from>
        <xdr:to>
          <xdr:col>2</xdr:col>
          <xdr:colOff>731520</xdr:colOff>
          <xdr:row>119</xdr:row>
          <xdr:rowOff>419100</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0400-00000A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4</xdr:row>
          <xdr:rowOff>137160</xdr:rowOff>
        </xdr:from>
        <xdr:to>
          <xdr:col>3</xdr:col>
          <xdr:colOff>1417320</xdr:colOff>
          <xdr:row>6</xdr:row>
          <xdr:rowOff>22860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Groups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10</xdr:row>
          <xdr:rowOff>251460</xdr:rowOff>
        </xdr:from>
        <xdr:to>
          <xdr:col>3</xdr:col>
          <xdr:colOff>1417320</xdr:colOff>
          <xdr:row>11</xdr:row>
          <xdr:rowOff>160020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Groups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9</xdr:row>
          <xdr:rowOff>137160</xdr:rowOff>
        </xdr:from>
        <xdr:to>
          <xdr:col>3</xdr:col>
          <xdr:colOff>1417320</xdr:colOff>
          <xdr:row>11</xdr:row>
          <xdr:rowOff>22860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Groups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support.usgbc.org/hc/en-us/articles/4404512648979-Documenting-certification-compliance"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omments" Target="../comments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omments" Target="../comments2.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3" Type="http://schemas.openxmlformats.org/officeDocument/2006/relationships/vmlDrawing" Target="../drawings/vmlDrawing5.vml"/><Relationship Id="rId7" Type="http://schemas.openxmlformats.org/officeDocument/2006/relationships/ctrlProp" Target="../ctrlProps/ctrlProp22.xml"/><Relationship Id="rId12" Type="http://schemas.openxmlformats.org/officeDocument/2006/relationships/ctrlProp" Target="../ctrlProps/ctrlProp27.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63"/>
  <sheetViews>
    <sheetView showGridLines="0" tabSelected="1" zoomScale="90" zoomScaleNormal="90" zoomScalePageLayoutView="90" workbookViewId="0">
      <selection activeCell="K14" sqref="K14"/>
    </sheetView>
  </sheetViews>
  <sheetFormatPr defaultColWidth="9.109375" defaultRowHeight="15" customHeight="1" x14ac:dyDescent="0.3"/>
  <cols>
    <col min="1" max="2" width="2.44140625" style="44" customWidth="1"/>
    <col min="3" max="3" width="7" style="44" customWidth="1"/>
    <col min="4" max="4" width="2.44140625" style="44" customWidth="1"/>
    <col min="5" max="5" width="36.6640625" style="44" customWidth="1"/>
    <col min="6" max="6" width="12.6640625" style="44" customWidth="1"/>
    <col min="7" max="7" width="7.88671875" style="44" customWidth="1"/>
    <col min="8" max="8" width="6.6640625" style="44" customWidth="1"/>
    <col min="9" max="9" width="7.5546875" style="44" customWidth="1"/>
    <col min="10" max="10" width="6.6640625" style="44" customWidth="1"/>
    <col min="11" max="11" width="12.6640625" style="44" customWidth="1"/>
    <col min="12" max="12" width="2.6640625" style="44" customWidth="1"/>
    <col min="13" max="17" width="12.6640625" style="44" customWidth="1"/>
    <col min="18" max="18" width="2.6640625" style="44" customWidth="1"/>
    <col min="19" max="19" width="12.6640625" style="44" customWidth="1"/>
    <col min="20" max="22" width="12.6640625" style="44" hidden="1" customWidth="1"/>
    <col min="23" max="24" width="12.6640625" style="44" customWidth="1"/>
    <col min="25" max="25" width="9.109375" style="44" customWidth="1"/>
    <col min="26" max="16384" width="9.109375" style="44"/>
  </cols>
  <sheetData>
    <row r="1" spans="2:15" ht="14.4" x14ac:dyDescent="0.3">
      <c r="B1" s="43"/>
      <c r="C1" s="43"/>
      <c r="D1" s="43"/>
      <c r="F1" s="43"/>
      <c r="G1" s="43"/>
      <c r="H1" s="43"/>
      <c r="I1" s="43"/>
      <c r="J1" s="45"/>
      <c r="K1" s="45"/>
      <c r="L1" s="45"/>
      <c r="M1" s="45"/>
      <c r="N1" s="45"/>
      <c r="O1" s="45"/>
    </row>
    <row r="2" spans="2:15" ht="14.4" x14ac:dyDescent="0.3">
      <c r="B2" s="545"/>
      <c r="C2" s="46"/>
      <c r="D2" s="47"/>
      <c r="E2" s="46"/>
      <c r="F2" s="46"/>
      <c r="G2" s="46"/>
      <c r="H2" s="46"/>
      <c r="I2" s="46"/>
      <c r="J2" s="46"/>
      <c r="K2" s="46"/>
      <c r="L2" s="48"/>
      <c r="M2" s="45"/>
      <c r="N2" s="45"/>
      <c r="O2" s="45"/>
    </row>
    <row r="3" spans="2:15" ht="51.75" customHeight="1" x14ac:dyDescent="0.3">
      <c r="B3" s="49"/>
      <c r="C3" s="50"/>
      <c r="D3" s="51"/>
      <c r="E3" s="669" t="s">
        <v>0</v>
      </c>
      <c r="F3" s="669"/>
      <c r="G3" s="669"/>
      <c r="H3" s="669"/>
      <c r="I3" s="669"/>
      <c r="J3" s="669"/>
      <c r="K3" s="669"/>
      <c r="L3" s="52"/>
      <c r="M3" s="45"/>
      <c r="N3" s="45"/>
      <c r="O3" s="45"/>
    </row>
    <row r="4" spans="2:15" ht="24" customHeight="1" x14ac:dyDescent="0.3">
      <c r="B4" s="49"/>
      <c r="C4" s="53"/>
      <c r="D4" s="51"/>
      <c r="E4" s="54"/>
      <c r="F4" s="50"/>
      <c r="G4" s="50"/>
      <c r="H4" s="51"/>
      <c r="I4" s="51"/>
      <c r="J4" s="55"/>
      <c r="K4" s="55"/>
      <c r="L4" s="52"/>
      <c r="M4" s="45"/>
      <c r="N4" s="45"/>
      <c r="O4" s="45"/>
    </row>
    <row r="5" spans="2:15" ht="14.4" x14ac:dyDescent="0.3">
      <c r="B5" s="49"/>
      <c r="C5" s="53"/>
      <c r="D5" s="51"/>
      <c r="E5" s="128" t="s">
        <v>1</v>
      </c>
      <c r="F5" s="50"/>
      <c r="G5" s="50"/>
      <c r="H5" s="51"/>
      <c r="I5" s="51"/>
      <c r="J5" s="55"/>
      <c r="K5" s="55"/>
      <c r="L5" s="52"/>
      <c r="M5" s="45"/>
      <c r="N5" s="45"/>
      <c r="O5" s="45"/>
    </row>
    <row r="6" spans="2:15" s="43" customFormat="1" ht="15" customHeight="1" x14ac:dyDescent="0.3">
      <c r="B6" s="49"/>
      <c r="C6" s="53"/>
      <c r="D6" s="54"/>
      <c r="E6" s="668" t="s">
        <v>2</v>
      </c>
      <c r="F6" s="668"/>
      <c r="G6" s="668"/>
      <c r="H6" s="668"/>
      <c r="I6" s="668"/>
      <c r="J6" s="668"/>
      <c r="K6" s="668"/>
      <c r="L6" s="52"/>
      <c r="M6" s="56"/>
      <c r="N6" s="56"/>
      <c r="O6" s="56"/>
    </row>
    <row r="7" spans="2:15" s="129" customFormat="1" ht="30.6" customHeight="1" x14ac:dyDescent="0.3">
      <c r="B7" s="546"/>
      <c r="C7" s="130"/>
      <c r="D7" s="131"/>
      <c r="E7" s="670" t="s">
        <v>3</v>
      </c>
      <c r="F7" s="670"/>
      <c r="G7" s="670"/>
      <c r="H7" s="670"/>
      <c r="I7" s="670"/>
      <c r="J7" s="670"/>
      <c r="K7" s="670"/>
      <c r="L7" s="547"/>
      <c r="M7" s="548"/>
      <c r="N7" s="548"/>
      <c r="O7" s="548"/>
    </row>
    <row r="8" spans="2:15" s="43" customFormat="1" ht="28.2" customHeight="1" x14ac:dyDescent="0.3">
      <c r="B8" s="49"/>
      <c r="C8" s="53"/>
      <c r="D8" s="54"/>
      <c r="E8" s="544" t="s">
        <v>4</v>
      </c>
      <c r="F8" s="57"/>
      <c r="G8" s="50"/>
      <c r="H8" s="50"/>
      <c r="I8" s="50"/>
      <c r="J8" s="58"/>
      <c r="K8" s="59"/>
      <c r="L8" s="52"/>
      <c r="M8" s="56"/>
      <c r="N8" s="56"/>
      <c r="O8" s="56"/>
    </row>
    <row r="9" spans="2:15" ht="14.4" x14ac:dyDescent="0.3">
      <c r="B9" s="49"/>
      <c r="C9" s="53"/>
      <c r="D9" s="51"/>
      <c r="E9" s="128" t="s">
        <v>5</v>
      </c>
      <c r="F9" s="50"/>
      <c r="G9" s="50"/>
      <c r="H9" s="51"/>
      <c r="I9" s="51"/>
      <c r="J9" s="55"/>
      <c r="K9" s="55"/>
      <c r="L9" s="52"/>
      <c r="M9" s="45"/>
      <c r="N9" s="45"/>
      <c r="O9" s="45"/>
    </row>
    <row r="10" spans="2:15" s="43" customFormat="1" ht="15" customHeight="1" x14ac:dyDescent="0.3">
      <c r="B10" s="49"/>
      <c r="C10" s="53"/>
      <c r="D10" s="54"/>
      <c r="E10" s="672" t="s">
        <v>6</v>
      </c>
      <c r="F10" s="672"/>
      <c r="G10" s="672"/>
      <c r="H10" s="672"/>
      <c r="I10" s="672"/>
      <c r="J10" s="672"/>
      <c r="K10" s="132" t="s">
        <v>7</v>
      </c>
      <c r="L10" s="52"/>
      <c r="M10" s="56"/>
      <c r="N10" s="56"/>
      <c r="O10" s="56"/>
    </row>
    <row r="11" spans="2:15" s="129" customFormat="1" ht="21" customHeight="1" x14ac:dyDescent="0.3">
      <c r="B11" s="546"/>
      <c r="C11" s="130"/>
      <c r="D11" s="131"/>
      <c r="E11" s="666" t="s">
        <v>8</v>
      </c>
      <c r="F11" s="666"/>
      <c r="G11" s="666"/>
      <c r="H11" s="666"/>
      <c r="I11" s="666"/>
      <c r="J11" s="666"/>
      <c r="K11" s="666"/>
      <c r="L11" s="549"/>
      <c r="M11" s="548"/>
      <c r="N11" s="548"/>
      <c r="O11" s="548"/>
    </row>
    <row r="12" spans="2:15" s="43" customFormat="1" ht="14.25" customHeight="1" x14ac:dyDescent="0.3">
      <c r="B12" s="49"/>
      <c r="C12" s="53"/>
      <c r="D12" s="54"/>
      <c r="E12" s="128"/>
      <c r="F12" s="57"/>
      <c r="G12" s="50"/>
      <c r="H12" s="50"/>
      <c r="I12" s="50"/>
      <c r="J12" s="58"/>
      <c r="K12" s="59"/>
      <c r="L12" s="52"/>
      <c r="M12" s="56"/>
      <c r="N12" s="56"/>
      <c r="O12" s="56"/>
    </row>
    <row r="13" spans="2:15" ht="14.4" x14ac:dyDescent="0.3">
      <c r="B13" s="49"/>
      <c r="C13" s="53"/>
      <c r="D13" s="51"/>
      <c r="E13" s="128" t="s">
        <v>9</v>
      </c>
      <c r="F13" s="50"/>
      <c r="G13" s="50"/>
      <c r="H13" s="51"/>
      <c r="I13" s="51"/>
      <c r="J13" s="55"/>
      <c r="K13" s="55"/>
      <c r="L13" s="52"/>
      <c r="M13" s="45"/>
      <c r="N13" s="45"/>
      <c r="O13" s="45"/>
    </row>
    <row r="14" spans="2:15" s="43" customFormat="1" ht="15" customHeight="1" x14ac:dyDescent="0.3">
      <c r="B14" s="49"/>
      <c r="C14" s="53"/>
      <c r="D14" s="54"/>
      <c r="E14" s="672" t="s">
        <v>10</v>
      </c>
      <c r="F14" s="672"/>
      <c r="G14" s="672"/>
      <c r="H14" s="672"/>
      <c r="I14" s="672"/>
      <c r="J14" s="672"/>
      <c r="K14" s="132" t="s">
        <v>11</v>
      </c>
      <c r="L14" s="52"/>
      <c r="M14" s="56"/>
      <c r="N14" s="56"/>
      <c r="O14" s="56"/>
    </row>
    <row r="15" spans="2:15" s="129" customFormat="1" ht="21" customHeight="1" x14ac:dyDescent="0.3">
      <c r="B15" s="546"/>
      <c r="C15" s="130"/>
      <c r="D15" s="131"/>
      <c r="E15" s="666" t="s">
        <v>12</v>
      </c>
      <c r="F15" s="666"/>
      <c r="G15" s="666"/>
      <c r="H15" s="666"/>
      <c r="I15" s="666"/>
      <c r="J15" s="666"/>
      <c r="K15" s="666"/>
      <c r="L15" s="549"/>
      <c r="M15" s="548"/>
      <c r="N15" s="548"/>
      <c r="O15" s="548"/>
    </row>
    <row r="16" spans="2:15" s="43" customFormat="1" ht="14.25" customHeight="1" x14ac:dyDescent="0.3">
      <c r="B16" s="49"/>
      <c r="C16" s="53"/>
      <c r="D16" s="54"/>
      <c r="E16" s="128"/>
      <c r="F16" s="57"/>
      <c r="G16" s="50"/>
      <c r="H16" s="50"/>
      <c r="I16" s="50"/>
      <c r="J16" s="58"/>
      <c r="K16" s="59"/>
      <c r="L16" s="52"/>
      <c r="M16" s="56"/>
      <c r="N16" s="56"/>
      <c r="O16" s="56"/>
    </row>
    <row r="17" spans="2:15" ht="14.4" hidden="1" x14ac:dyDescent="0.3">
      <c r="B17" s="49"/>
      <c r="C17" s="53"/>
      <c r="D17" s="51"/>
      <c r="E17" s="289" t="s">
        <v>13</v>
      </c>
      <c r="F17" s="50"/>
      <c r="G17" s="50"/>
      <c r="H17" s="51"/>
      <c r="I17" s="51"/>
      <c r="J17" s="55"/>
      <c r="K17" s="55"/>
      <c r="L17" s="52"/>
      <c r="M17" s="45"/>
      <c r="N17" s="45"/>
      <c r="O17" s="45"/>
    </row>
    <row r="18" spans="2:15" s="43" customFormat="1" ht="21" hidden="1" customHeight="1" x14ac:dyDescent="0.3">
      <c r="B18" s="49"/>
      <c r="C18" s="53"/>
      <c r="D18" s="54"/>
      <c r="E18" s="673" t="s">
        <v>14</v>
      </c>
      <c r="F18" s="674"/>
      <c r="G18" s="674"/>
      <c r="H18" s="674"/>
      <c r="I18" s="674"/>
      <c r="J18" s="674"/>
      <c r="K18" s="674"/>
      <c r="L18" s="52"/>
      <c r="M18" s="56"/>
      <c r="N18" s="56"/>
      <c r="O18" s="56"/>
    </row>
    <row r="19" spans="2:15" s="474" customFormat="1" ht="50.25" hidden="1" customHeight="1" x14ac:dyDescent="0.3">
      <c r="B19" s="475"/>
      <c r="C19" s="476"/>
      <c r="D19" s="477"/>
      <c r="E19" s="675" t="s">
        <v>15</v>
      </c>
      <c r="F19" s="675"/>
      <c r="G19" s="675"/>
      <c r="H19" s="675"/>
      <c r="I19" s="675"/>
      <c r="J19" s="675"/>
      <c r="K19" s="675"/>
      <c r="L19" s="478"/>
      <c r="M19" s="479"/>
      <c r="N19" s="479"/>
      <c r="O19" s="479"/>
    </row>
    <row r="20" spans="2:15" s="43" customFormat="1" ht="35.25" hidden="1" customHeight="1" x14ac:dyDescent="0.3">
      <c r="B20" s="49"/>
      <c r="C20" s="53"/>
      <c r="D20" s="54"/>
      <c r="E20" s="671" t="s">
        <v>16</v>
      </c>
      <c r="F20" s="671"/>
      <c r="G20" s="671"/>
      <c r="H20" s="671"/>
      <c r="I20" s="671"/>
      <c r="J20" s="671"/>
      <c r="K20" s="671"/>
      <c r="L20" s="52"/>
      <c r="M20" s="56"/>
      <c r="N20" s="56"/>
      <c r="O20" s="56"/>
    </row>
    <row r="21" spans="2:15" s="43" customFormat="1" ht="33" hidden="1" customHeight="1" x14ac:dyDescent="0.3">
      <c r="B21" s="49"/>
      <c r="C21" s="53"/>
      <c r="D21" s="54"/>
      <c r="E21" s="57"/>
      <c r="F21" s="57"/>
      <c r="G21" s="57"/>
      <c r="H21" s="50"/>
      <c r="I21" s="50"/>
      <c r="J21" s="58"/>
      <c r="K21" s="59"/>
      <c r="L21" s="52"/>
      <c r="M21" s="56"/>
      <c r="N21" s="56"/>
      <c r="O21" s="56"/>
    </row>
    <row r="22" spans="2:15" s="506" customFormat="1" ht="9.75" hidden="1" customHeight="1" x14ac:dyDescent="0.3">
      <c r="B22" s="507"/>
      <c r="C22" s="508"/>
      <c r="D22" s="54"/>
      <c r="E22" s="509"/>
      <c r="F22" s="509"/>
      <c r="G22" s="510"/>
      <c r="H22" s="550"/>
      <c r="I22" s="550"/>
      <c r="J22" s="550"/>
      <c r="K22" s="550"/>
      <c r="L22" s="511"/>
      <c r="M22" s="512"/>
      <c r="N22" s="512"/>
      <c r="O22" s="512"/>
    </row>
    <row r="23" spans="2:15" s="43" customFormat="1" ht="40.5" hidden="1" customHeight="1" x14ac:dyDescent="0.3">
      <c r="B23" s="49"/>
      <c r="C23" s="53"/>
      <c r="D23" s="54"/>
      <c r="E23" s="667" t="s">
        <v>17</v>
      </c>
      <c r="F23" s="667"/>
      <c r="G23" s="667"/>
      <c r="H23" s="667"/>
      <c r="I23" s="667"/>
      <c r="J23" s="667"/>
      <c r="K23" s="667"/>
      <c r="L23" s="52"/>
      <c r="M23" s="56"/>
      <c r="N23" s="56"/>
      <c r="O23" s="56"/>
    </row>
    <row r="24" spans="2:15" s="43" customFormat="1" ht="15" hidden="1" customHeight="1" x14ac:dyDescent="0.3">
      <c r="B24" s="49"/>
      <c r="C24" s="53"/>
      <c r="D24" s="54"/>
      <c r="E24" s="57"/>
      <c r="F24" s="57"/>
      <c r="G24" s="57"/>
      <c r="H24" s="50"/>
      <c r="I24" s="50"/>
      <c r="J24" s="58"/>
      <c r="K24" s="59"/>
      <c r="L24" s="52"/>
      <c r="M24" s="56"/>
      <c r="N24" s="56"/>
      <c r="O24" s="56"/>
    </row>
    <row r="25" spans="2:15" ht="14.4" hidden="1" x14ac:dyDescent="0.3">
      <c r="B25" s="49"/>
      <c r="C25" s="53"/>
      <c r="D25" s="51"/>
      <c r="E25" s="289" t="s">
        <v>18</v>
      </c>
      <c r="F25" s="50"/>
      <c r="G25" s="50"/>
      <c r="H25" s="51"/>
      <c r="I25" s="51"/>
      <c r="J25" s="55"/>
      <c r="K25" s="55"/>
      <c r="L25" s="52"/>
      <c r="M25" s="45"/>
      <c r="N25" s="45"/>
      <c r="O25" s="45"/>
    </row>
    <row r="26" spans="2:15" s="43" customFormat="1" ht="21" hidden="1" customHeight="1" x14ac:dyDescent="0.3">
      <c r="B26" s="49"/>
      <c r="C26" s="53"/>
      <c r="D26" s="54"/>
      <c r="E26" s="673" t="s">
        <v>19</v>
      </c>
      <c r="F26" s="673"/>
      <c r="G26" s="673"/>
      <c r="H26" s="673"/>
      <c r="I26" s="673"/>
      <c r="J26" s="673"/>
      <c r="K26" s="673"/>
      <c r="L26" s="52"/>
      <c r="M26" s="56"/>
      <c r="N26" s="56"/>
      <c r="O26" s="56"/>
    </row>
    <row r="27" spans="2:15" s="43" customFormat="1" ht="33" hidden="1" customHeight="1" x14ac:dyDescent="0.3">
      <c r="B27" s="49"/>
      <c r="C27" s="53"/>
      <c r="D27" s="54"/>
      <c r="E27" s="667" t="s">
        <v>20</v>
      </c>
      <c r="F27" s="667"/>
      <c r="G27" s="667"/>
      <c r="H27" s="667"/>
      <c r="I27" s="667"/>
      <c r="J27" s="667"/>
      <c r="K27" s="667"/>
      <c r="L27" s="52"/>
      <c r="M27" s="56"/>
      <c r="N27" s="56"/>
      <c r="O27" s="56"/>
    </row>
    <row r="28" spans="2:15" s="43" customFormat="1" ht="27" hidden="1" customHeight="1" x14ac:dyDescent="0.3">
      <c r="B28" s="49"/>
      <c r="C28" s="53"/>
      <c r="D28" s="54"/>
      <c r="E28" s="671" t="s">
        <v>21</v>
      </c>
      <c r="F28" s="671"/>
      <c r="G28" s="671"/>
      <c r="H28" s="671"/>
      <c r="I28" s="671"/>
      <c r="J28" s="671"/>
      <c r="K28" s="671"/>
      <c r="L28" s="52"/>
      <c r="M28" s="56"/>
      <c r="N28" s="56"/>
      <c r="O28" s="56"/>
    </row>
    <row r="29" spans="2:15" s="43" customFormat="1" ht="15" hidden="1" customHeight="1" x14ac:dyDescent="0.3">
      <c r="B29" s="49"/>
      <c r="C29" s="53"/>
      <c r="D29" s="54"/>
      <c r="E29" s="57"/>
      <c r="F29" s="57"/>
      <c r="G29" s="57"/>
      <c r="H29" s="50"/>
      <c r="I29" s="50"/>
      <c r="J29" s="58"/>
      <c r="K29" s="59"/>
      <c r="L29" s="52"/>
      <c r="M29" s="56"/>
      <c r="N29" s="56"/>
      <c r="O29" s="56"/>
    </row>
    <row r="30" spans="2:15" ht="14.4" x14ac:dyDescent="0.3">
      <c r="B30" s="49"/>
      <c r="C30" s="53"/>
      <c r="D30" s="51"/>
      <c r="E30" s="289" t="s">
        <v>22</v>
      </c>
      <c r="F30" s="50"/>
      <c r="G30" s="50"/>
      <c r="H30" s="51"/>
      <c r="I30" s="51"/>
      <c r="J30" s="55"/>
      <c r="K30" s="55"/>
      <c r="L30" s="52"/>
      <c r="M30" s="45"/>
      <c r="N30" s="45"/>
      <c r="O30" s="45"/>
    </row>
    <row r="31" spans="2:15" s="43" customFormat="1" ht="15" customHeight="1" x14ac:dyDescent="0.3">
      <c r="B31" s="49"/>
      <c r="C31" s="53"/>
      <c r="D31" s="54"/>
      <c r="E31" s="668" t="s">
        <v>23</v>
      </c>
      <c r="F31" s="668"/>
      <c r="G31" s="668"/>
      <c r="H31" s="668"/>
      <c r="I31" s="668"/>
      <c r="J31" s="668"/>
      <c r="K31" s="668"/>
      <c r="L31" s="52"/>
      <c r="M31" s="56"/>
      <c r="N31" s="56"/>
      <c r="O31" s="56"/>
    </row>
    <row r="32" spans="2:15" s="43" customFormat="1" ht="9" customHeight="1" x14ac:dyDescent="0.3">
      <c r="B32" s="49"/>
      <c r="C32" s="53"/>
      <c r="D32" s="54"/>
      <c r="E32" s="128"/>
      <c r="F32" s="128"/>
      <c r="G32" s="128"/>
      <c r="H32" s="50"/>
      <c r="I32" s="50"/>
      <c r="J32" s="58"/>
      <c r="K32" s="59"/>
      <c r="L32" s="52"/>
      <c r="M32" s="56"/>
      <c r="N32" s="56"/>
      <c r="O32" s="56"/>
    </row>
    <row r="33" spans="1:24" s="43" customFormat="1" ht="42" customHeight="1" x14ac:dyDescent="0.3">
      <c r="B33" s="49"/>
      <c r="C33" s="53"/>
      <c r="D33" s="54"/>
      <c r="E33" s="671" t="s">
        <v>24</v>
      </c>
      <c r="F33" s="671"/>
      <c r="G33" s="671"/>
      <c r="H33" s="671"/>
      <c r="I33" s="671"/>
      <c r="J33" s="671"/>
      <c r="K33" s="671"/>
      <c r="L33" s="52"/>
      <c r="M33" s="56"/>
      <c r="N33" s="56"/>
      <c r="O33" s="56"/>
    </row>
    <row r="34" spans="1:24" s="43" customFormat="1" ht="33" customHeight="1" x14ac:dyDescent="0.3">
      <c r="B34" s="49"/>
      <c r="C34" s="53"/>
      <c r="D34" s="54"/>
      <c r="E34" s="57"/>
      <c r="F34" s="57"/>
      <c r="G34" s="57"/>
      <c r="H34" s="50"/>
      <c r="I34" s="50"/>
      <c r="J34" s="58"/>
      <c r="K34" s="59"/>
      <c r="L34" s="52"/>
      <c r="M34" s="56"/>
      <c r="N34" s="56"/>
      <c r="O34" s="56"/>
    </row>
    <row r="35" spans="1:24" s="43" customFormat="1" ht="15" customHeight="1" x14ac:dyDescent="0.3">
      <c r="B35" s="49"/>
      <c r="C35" s="53"/>
      <c r="D35" s="54"/>
      <c r="E35" s="57"/>
      <c r="F35" s="57"/>
      <c r="G35" s="57"/>
      <c r="H35" s="50"/>
      <c r="I35" s="50"/>
      <c r="J35" s="58"/>
      <c r="K35" s="59"/>
      <c r="L35" s="52"/>
      <c r="M35" s="56"/>
      <c r="N35" s="56"/>
      <c r="O35" s="56"/>
    </row>
    <row r="36" spans="1:24" ht="14.4" x14ac:dyDescent="0.3">
      <c r="B36" s="49"/>
      <c r="C36" s="53"/>
      <c r="D36" s="51"/>
      <c r="E36" s="289" t="str">
        <f>IF(NDrs = 1,"Step 6.","Step 5.")</f>
        <v>Step 5.</v>
      </c>
      <c r="F36" s="50"/>
      <c r="G36" s="50"/>
      <c r="H36" s="51"/>
      <c r="I36" s="51"/>
      <c r="J36" s="55"/>
      <c r="K36" s="55"/>
      <c r="L36" s="52"/>
      <c r="M36" s="45"/>
      <c r="N36" s="45"/>
      <c r="O36" s="45"/>
    </row>
    <row r="37" spans="1:24" ht="37.200000000000003" customHeight="1" x14ac:dyDescent="0.3">
      <c r="B37" s="49"/>
      <c r="C37" s="53"/>
      <c r="D37" s="51"/>
      <c r="E37" s="667" t="s">
        <v>25</v>
      </c>
      <c r="F37" s="667"/>
      <c r="G37" s="667"/>
      <c r="H37" s="667"/>
      <c r="I37" s="667"/>
      <c r="J37" s="667"/>
      <c r="K37" s="667"/>
      <c r="L37" s="52"/>
      <c r="M37" s="45"/>
      <c r="N37" s="45"/>
      <c r="O37" s="45"/>
    </row>
    <row r="38" spans="1:24" s="540" customFormat="1" ht="58.95" customHeight="1" x14ac:dyDescent="0.3">
      <c r="B38" s="541"/>
      <c r="C38" s="53"/>
      <c r="D38" s="54"/>
      <c r="E38" s="671" t="s">
        <v>26</v>
      </c>
      <c r="F38" s="667"/>
      <c r="G38" s="667"/>
      <c r="H38" s="667"/>
      <c r="I38" s="667"/>
      <c r="J38" s="667"/>
      <c r="K38" s="667"/>
      <c r="L38" s="542"/>
      <c r="M38" s="543"/>
      <c r="N38" s="543"/>
      <c r="O38" s="543"/>
    </row>
    <row r="39" spans="1:24" s="43" customFormat="1" ht="24" customHeight="1" x14ac:dyDescent="0.3">
      <c r="B39" s="60"/>
      <c r="C39" s="61"/>
      <c r="D39" s="62"/>
      <c r="E39" s="62"/>
      <c r="F39" s="63"/>
      <c r="G39" s="63"/>
      <c r="H39" s="63"/>
      <c r="I39" s="63"/>
      <c r="J39" s="63"/>
      <c r="K39" s="63"/>
      <c r="L39" s="64"/>
      <c r="M39" s="56"/>
      <c r="N39" s="56"/>
      <c r="O39" s="56"/>
    </row>
    <row r="40" spans="1:24" ht="24" customHeight="1" x14ac:dyDescent="0.3">
      <c r="A40" s="65"/>
      <c r="B40" s="66"/>
      <c r="C40" s="67"/>
      <c r="D40" s="68"/>
      <c r="E40" s="37"/>
      <c r="F40" s="66"/>
      <c r="G40" s="66"/>
      <c r="H40" s="66"/>
      <c r="I40" s="69"/>
      <c r="J40" s="69"/>
      <c r="K40" s="69"/>
      <c r="L40" s="69"/>
      <c r="M40" s="70"/>
      <c r="N40" s="70"/>
      <c r="O40" s="70"/>
      <c r="P40" s="70"/>
      <c r="Q40" s="70"/>
    </row>
    <row r="41" spans="1:24" s="75" customFormat="1" ht="18" customHeight="1" x14ac:dyDescent="0.3">
      <c r="A41" s="65"/>
      <c r="B41" s="71"/>
      <c r="C41" s="38"/>
      <c r="D41" s="72"/>
      <c r="E41" s="39"/>
      <c r="F41" s="39"/>
      <c r="G41" s="73"/>
      <c r="H41" s="73"/>
      <c r="I41" s="73"/>
      <c r="J41" s="73"/>
      <c r="K41" s="73"/>
      <c r="L41" s="73"/>
      <c r="M41" s="73"/>
      <c r="N41" s="73"/>
      <c r="O41" s="73"/>
      <c r="P41" s="73"/>
      <c r="Q41" s="73"/>
      <c r="R41" s="74"/>
    </row>
    <row r="42" spans="1:24" s="75" customFormat="1" ht="23.25" customHeight="1" x14ac:dyDescent="0.3">
      <c r="A42" s="65"/>
      <c r="B42" s="76"/>
      <c r="C42" s="40" t="s">
        <v>27</v>
      </c>
      <c r="D42" s="77"/>
      <c r="E42" s="41"/>
      <c r="F42" s="41"/>
      <c r="G42" s="78"/>
      <c r="H42" s="78"/>
      <c r="I42" s="78"/>
      <c r="J42" s="78"/>
      <c r="K42" s="78"/>
      <c r="L42" s="79"/>
      <c r="M42" s="78"/>
      <c r="N42" s="78"/>
      <c r="O42" s="78"/>
      <c r="P42" s="78"/>
      <c r="Q42" s="78"/>
      <c r="R42" s="80"/>
    </row>
    <row r="43" spans="1:24" ht="24.75" customHeight="1" x14ac:dyDescent="0.3">
      <c r="B43" s="81"/>
      <c r="C43" s="658" t="s">
        <v>28</v>
      </c>
      <c r="D43" s="659"/>
      <c r="E43" s="659"/>
      <c r="F43" s="660"/>
      <c r="G43" s="650" t="s">
        <v>29</v>
      </c>
      <c r="H43" s="651"/>
      <c r="I43" s="651"/>
      <c r="J43" s="652"/>
      <c r="K43" s="656" t="s">
        <v>30</v>
      </c>
      <c r="L43" s="51"/>
      <c r="M43" s="647" t="s">
        <v>31</v>
      </c>
      <c r="N43" s="648"/>
      <c r="O43" s="648"/>
      <c r="P43" s="648"/>
      <c r="Q43" s="649"/>
      <c r="R43" s="80"/>
      <c r="T43" s="75"/>
      <c r="U43" s="75"/>
      <c r="V43" s="75"/>
      <c r="W43" s="75"/>
      <c r="X43" s="75"/>
    </row>
    <row r="44" spans="1:24" ht="39" customHeight="1" x14ac:dyDescent="0.3">
      <c r="B44" s="81"/>
      <c r="C44" s="661"/>
      <c r="D44" s="662"/>
      <c r="E44" s="662"/>
      <c r="F44" s="663"/>
      <c r="G44" s="653" t="s">
        <v>32</v>
      </c>
      <c r="H44" s="654"/>
      <c r="I44" s="654" t="s">
        <v>33</v>
      </c>
      <c r="J44" s="655"/>
      <c r="K44" s="657"/>
      <c r="L44" s="51"/>
      <c r="M44" s="83" t="s">
        <v>34</v>
      </c>
      <c r="N44" s="84" t="s">
        <v>35</v>
      </c>
      <c r="O44" s="84" t="s">
        <v>36</v>
      </c>
      <c r="P44" s="84" t="s">
        <v>37</v>
      </c>
      <c r="Q44" s="82" t="s">
        <v>38</v>
      </c>
      <c r="R44" s="80"/>
      <c r="T44" s="75"/>
      <c r="U44" s="75"/>
      <c r="V44" s="75"/>
      <c r="W44" s="75"/>
      <c r="X44" s="75"/>
    </row>
    <row r="45" spans="1:24" s="92" customFormat="1" ht="18" customHeight="1" x14ac:dyDescent="0.3">
      <c r="A45" s="44"/>
      <c r="B45" s="85"/>
      <c r="C45" s="664" t="s">
        <v>39</v>
      </c>
      <c r="D45" s="665"/>
      <c r="E45" s="665"/>
      <c r="F45" s="665"/>
      <c r="G45" s="86">
        <v>1.6</v>
      </c>
      <c r="H45" s="87" t="s">
        <v>40</v>
      </c>
      <c r="I45" s="86">
        <v>6</v>
      </c>
      <c r="J45" s="87" t="s">
        <v>41</v>
      </c>
      <c r="K45" s="126" t="s">
        <v>42</v>
      </c>
      <c r="L45" s="88"/>
      <c r="M45" s="89">
        <v>1</v>
      </c>
      <c r="N45" s="90">
        <v>0.1</v>
      </c>
      <c r="O45" s="90">
        <v>0.1</v>
      </c>
      <c r="P45" s="90">
        <v>1</v>
      </c>
      <c r="Q45" s="91">
        <v>5</v>
      </c>
      <c r="R45" s="80"/>
      <c r="T45" s="75"/>
      <c r="U45" s="75"/>
      <c r="V45" s="75"/>
      <c r="W45" s="75"/>
      <c r="X45" s="75"/>
    </row>
    <row r="46" spans="1:24" s="92" customFormat="1" ht="18" customHeight="1" x14ac:dyDescent="0.3">
      <c r="A46" s="44"/>
      <c r="B46" s="85"/>
      <c r="C46" s="645" t="s">
        <v>43</v>
      </c>
      <c r="D46" s="646"/>
      <c r="E46" s="646"/>
      <c r="F46" s="646"/>
      <c r="G46" s="93">
        <v>1.6</v>
      </c>
      <c r="H46" s="94" t="s">
        <v>40</v>
      </c>
      <c r="I46" s="93">
        <v>6</v>
      </c>
      <c r="J46" s="94" t="s">
        <v>41</v>
      </c>
      <c r="K46" s="127" t="s">
        <v>42</v>
      </c>
      <c r="L46" s="88"/>
      <c r="M46" s="95">
        <v>3</v>
      </c>
      <c r="N46" s="96">
        <v>0.5</v>
      </c>
      <c r="O46" s="96">
        <v>0.2</v>
      </c>
      <c r="P46" s="96">
        <v>3</v>
      </c>
      <c r="Q46" s="97">
        <v>5</v>
      </c>
      <c r="R46" s="80"/>
      <c r="T46" s="75"/>
      <c r="U46" s="75"/>
      <c r="V46" s="75"/>
      <c r="W46" s="75"/>
      <c r="X46" s="75"/>
    </row>
    <row r="47" spans="1:24" s="92" customFormat="1" ht="18" customHeight="1" x14ac:dyDescent="0.3">
      <c r="A47" s="44"/>
      <c r="B47" s="85"/>
      <c r="C47" s="645" t="s">
        <v>44</v>
      </c>
      <c r="D47" s="646"/>
      <c r="E47" s="646"/>
      <c r="F47" s="646"/>
      <c r="G47" s="93">
        <v>1</v>
      </c>
      <c r="H47" s="94" t="s">
        <v>40</v>
      </c>
      <c r="I47" s="93">
        <v>3.8</v>
      </c>
      <c r="J47" s="94" t="s">
        <v>41</v>
      </c>
      <c r="K47" s="127" t="s">
        <v>42</v>
      </c>
      <c r="L47" s="88"/>
      <c r="M47" s="95">
        <v>2</v>
      </c>
      <c r="N47" s="96">
        <v>0.4</v>
      </c>
      <c r="O47" s="96">
        <v>0.1</v>
      </c>
      <c r="P47" s="96">
        <v>2</v>
      </c>
      <c r="Q47" s="97">
        <v>0</v>
      </c>
      <c r="R47" s="80"/>
      <c r="T47" s="75"/>
      <c r="U47" s="75"/>
      <c r="V47" s="75"/>
      <c r="W47" s="75"/>
      <c r="X47" s="75"/>
    </row>
    <row r="48" spans="1:24" s="92" customFormat="1" ht="18" customHeight="1" x14ac:dyDescent="0.3">
      <c r="B48" s="85"/>
      <c r="C48" s="645" t="s">
        <v>45</v>
      </c>
      <c r="D48" s="646"/>
      <c r="E48" s="646"/>
      <c r="F48" s="646"/>
      <c r="G48" s="93">
        <v>0.5</v>
      </c>
      <c r="H48" s="94" t="s">
        <v>46</v>
      </c>
      <c r="I48" s="93">
        <v>1.9</v>
      </c>
      <c r="J48" s="94" t="s">
        <v>47</v>
      </c>
      <c r="K48" s="97">
        <v>30</v>
      </c>
      <c r="L48" s="88"/>
      <c r="M48" s="95">
        <v>3</v>
      </c>
      <c r="N48" s="96">
        <v>0.5</v>
      </c>
      <c r="O48" s="96">
        <v>0.2</v>
      </c>
      <c r="P48" s="96">
        <v>3</v>
      </c>
      <c r="Q48" s="97">
        <v>0</v>
      </c>
      <c r="R48" s="80"/>
      <c r="T48" s="75"/>
      <c r="U48" s="75"/>
      <c r="V48" s="75"/>
      <c r="W48" s="75"/>
      <c r="X48" s="75"/>
    </row>
    <row r="49" spans="2:24" s="92" customFormat="1" ht="18" customHeight="1" x14ac:dyDescent="0.3">
      <c r="B49" s="85"/>
      <c r="C49" s="645" t="s">
        <v>48</v>
      </c>
      <c r="D49" s="646"/>
      <c r="E49" s="646"/>
      <c r="F49" s="646"/>
      <c r="G49" s="93">
        <v>2.2000000000000002</v>
      </c>
      <c r="H49" s="94" t="s">
        <v>46</v>
      </c>
      <c r="I49" s="93">
        <v>8.3000000000000007</v>
      </c>
      <c r="J49" s="94" t="s">
        <v>47</v>
      </c>
      <c r="K49" s="97">
        <v>60</v>
      </c>
      <c r="L49" s="88"/>
      <c r="M49" s="95">
        <v>0</v>
      </c>
      <c r="N49" s="96">
        <v>0</v>
      </c>
      <c r="O49" s="96">
        <v>0</v>
      </c>
      <c r="P49" s="96">
        <v>0</v>
      </c>
      <c r="Q49" s="97">
        <v>5</v>
      </c>
      <c r="R49" s="80"/>
      <c r="T49" s="75"/>
      <c r="U49" s="75"/>
      <c r="V49" s="75"/>
      <c r="W49" s="75"/>
      <c r="X49" s="75"/>
    </row>
    <row r="50" spans="2:24" s="92" customFormat="1" ht="18" customHeight="1" x14ac:dyDescent="0.3">
      <c r="B50" s="85"/>
      <c r="C50" s="645" t="s">
        <v>49</v>
      </c>
      <c r="D50" s="646"/>
      <c r="E50" s="646"/>
      <c r="F50" s="646"/>
      <c r="G50" s="93">
        <v>2.2000000000000002</v>
      </c>
      <c r="H50" s="94" t="s">
        <v>46</v>
      </c>
      <c r="I50" s="93">
        <v>8.3000000000000007</v>
      </c>
      <c r="J50" s="94" t="s">
        <v>47</v>
      </c>
      <c r="K50" s="97">
        <v>15</v>
      </c>
      <c r="L50" s="88"/>
      <c r="M50" s="95">
        <v>1</v>
      </c>
      <c r="N50" s="96">
        <v>0</v>
      </c>
      <c r="O50" s="96">
        <v>0</v>
      </c>
      <c r="P50" s="96">
        <v>0</v>
      </c>
      <c r="Q50" s="97">
        <v>0</v>
      </c>
      <c r="R50" s="80"/>
      <c r="T50" s="75"/>
      <c r="U50" s="75"/>
      <c r="V50" s="75"/>
      <c r="W50" s="75"/>
      <c r="X50" s="75"/>
    </row>
    <row r="51" spans="2:24" s="92" customFormat="1" ht="18" customHeight="1" x14ac:dyDescent="0.3">
      <c r="B51" s="85"/>
      <c r="C51" s="645" t="s">
        <v>50</v>
      </c>
      <c r="D51" s="646"/>
      <c r="E51" s="646"/>
      <c r="F51" s="646"/>
      <c r="G51" s="93">
        <v>2.2000000000000002</v>
      </c>
      <c r="H51" s="94" t="s">
        <v>46</v>
      </c>
      <c r="I51" s="93">
        <v>8.3000000000000007</v>
      </c>
      <c r="J51" s="94" t="s">
        <v>47</v>
      </c>
      <c r="K51" s="97">
        <v>60</v>
      </c>
      <c r="L51" s="88"/>
      <c r="M51" s="95">
        <v>0</v>
      </c>
      <c r="N51" s="96">
        <v>0</v>
      </c>
      <c r="O51" s="96">
        <v>0</v>
      </c>
      <c r="P51" s="96">
        <v>0</v>
      </c>
      <c r="Q51" s="97">
        <v>4</v>
      </c>
      <c r="R51" s="80"/>
      <c r="T51" s="75"/>
      <c r="U51" s="75"/>
      <c r="V51" s="75"/>
      <c r="W51" s="75"/>
      <c r="X51" s="75"/>
    </row>
    <row r="52" spans="2:24" s="92" customFormat="1" ht="18" customHeight="1" x14ac:dyDescent="0.3">
      <c r="B52" s="85"/>
      <c r="C52" s="645" t="s">
        <v>51</v>
      </c>
      <c r="D52" s="646"/>
      <c r="E52" s="646"/>
      <c r="F52" s="646"/>
      <c r="G52" s="93">
        <v>2.5</v>
      </c>
      <c r="H52" s="94" t="s">
        <v>46</v>
      </c>
      <c r="I52" s="93">
        <v>9.5</v>
      </c>
      <c r="J52" s="94" t="s">
        <v>47</v>
      </c>
      <c r="K52" s="97">
        <v>300</v>
      </c>
      <c r="L52" s="88"/>
      <c r="M52" s="95">
        <v>0.1</v>
      </c>
      <c r="N52" s="96">
        <v>0</v>
      </c>
      <c r="O52" s="96">
        <v>0</v>
      </c>
      <c r="P52" s="96">
        <v>0</v>
      </c>
      <c r="Q52" s="97">
        <v>0</v>
      </c>
      <c r="R52" s="80"/>
      <c r="T52" s="75"/>
      <c r="U52" s="75"/>
      <c r="V52" s="75"/>
      <c r="W52" s="75"/>
      <c r="X52" s="75"/>
    </row>
    <row r="53" spans="2:24" s="92" customFormat="1" ht="18" customHeight="1" x14ac:dyDescent="0.3">
      <c r="B53" s="85"/>
      <c r="C53" s="643" t="s">
        <v>52</v>
      </c>
      <c r="D53" s="644"/>
      <c r="E53" s="644"/>
      <c r="F53" s="644"/>
      <c r="G53" s="98">
        <v>2.5</v>
      </c>
      <c r="H53" s="99" t="s">
        <v>46</v>
      </c>
      <c r="I53" s="98">
        <v>9.5</v>
      </c>
      <c r="J53" s="99" t="s">
        <v>47</v>
      </c>
      <c r="K53" s="101">
        <v>480</v>
      </c>
      <c r="L53" s="88"/>
      <c r="M53" s="102">
        <v>0</v>
      </c>
      <c r="N53" s="100">
        <v>0</v>
      </c>
      <c r="O53" s="100">
        <v>0</v>
      </c>
      <c r="P53" s="100">
        <v>0</v>
      </c>
      <c r="Q53" s="101">
        <v>1</v>
      </c>
      <c r="R53" s="80"/>
      <c r="T53" s="75"/>
      <c r="U53" s="75"/>
      <c r="V53" s="75"/>
      <c r="W53" s="75"/>
      <c r="X53" s="75"/>
    </row>
    <row r="54" spans="2:24" ht="21" customHeight="1" x14ac:dyDescent="0.3">
      <c r="B54" s="103"/>
      <c r="C54" s="104"/>
      <c r="D54" s="104"/>
      <c r="E54" s="104"/>
      <c r="F54" s="104"/>
      <c r="G54" s="104"/>
      <c r="H54" s="104"/>
      <c r="I54" s="104"/>
      <c r="J54" s="104"/>
      <c r="K54" s="104"/>
      <c r="L54" s="104"/>
      <c r="M54" s="104"/>
      <c r="N54" s="104"/>
      <c r="O54" s="104"/>
      <c r="P54" s="104"/>
      <c r="Q54" s="104"/>
      <c r="R54" s="105"/>
      <c r="T54" s="75"/>
      <c r="U54" s="75"/>
      <c r="V54" s="75"/>
      <c r="W54" s="75"/>
      <c r="X54" s="75"/>
    </row>
    <row r="55" spans="2:24" ht="9" customHeight="1" x14ac:dyDescent="0.3"/>
    <row r="56" spans="2:24" ht="12" customHeight="1" x14ac:dyDescent="0.3">
      <c r="R56" s="134" t="s">
        <v>53</v>
      </c>
      <c r="T56" s="106" t="s">
        <v>54</v>
      </c>
      <c r="V56" s="106" t="s">
        <v>55</v>
      </c>
    </row>
    <row r="57" spans="2:24" ht="12" customHeight="1" x14ac:dyDescent="0.3">
      <c r="R57" s="134" t="s">
        <v>56</v>
      </c>
      <c r="T57" s="117">
        <f>IF(K10="IP units",1,2)</f>
        <v>1</v>
      </c>
      <c r="U57" s="514" t="s">
        <v>57</v>
      </c>
      <c r="V57" s="117">
        <f>IF(K14="Yes",1,2)</f>
        <v>2</v>
      </c>
    </row>
    <row r="58" spans="2:24" ht="12" customHeight="1" x14ac:dyDescent="0.3">
      <c r="R58" s="135" t="s">
        <v>58</v>
      </c>
      <c r="V58" s="513" t="s">
        <v>59</v>
      </c>
    </row>
    <row r="59" spans="2:24" ht="14.4" x14ac:dyDescent="0.3">
      <c r="R59" s="135" t="s">
        <v>60</v>
      </c>
      <c r="T59" s="107"/>
      <c r="U59" s="108" t="s">
        <v>61</v>
      </c>
      <c r="V59" s="109" t="s">
        <v>44</v>
      </c>
    </row>
    <row r="60" spans="2:24" ht="13.2" customHeight="1" x14ac:dyDescent="0.3">
      <c r="R60" s="135" t="s">
        <v>62</v>
      </c>
      <c r="T60" s="110" t="s">
        <v>61</v>
      </c>
      <c r="U60" s="111" t="s">
        <v>63</v>
      </c>
      <c r="V60" s="111" t="s">
        <v>64</v>
      </c>
    </row>
    <row r="61" spans="2:24" ht="22.8" x14ac:dyDescent="0.3">
      <c r="J61" s="112"/>
      <c r="K61" s="112"/>
      <c r="L61" s="112"/>
      <c r="M61" s="112"/>
      <c r="N61" s="112"/>
      <c r="O61" s="112"/>
      <c r="P61" s="113"/>
      <c r="Q61" s="114"/>
      <c r="R61" s="113"/>
      <c r="S61" s="114"/>
      <c r="T61" s="110" t="s">
        <v>44</v>
      </c>
      <c r="U61" s="111" t="s">
        <v>65</v>
      </c>
      <c r="V61" s="111" t="s">
        <v>66</v>
      </c>
    </row>
    <row r="62" spans="2:24" ht="22.8" x14ac:dyDescent="0.3">
      <c r="T62" s="115"/>
      <c r="U62" s="111" t="s">
        <v>67</v>
      </c>
      <c r="V62" s="111" t="s">
        <v>68</v>
      </c>
    </row>
    <row r="63" spans="2:24" ht="22.8" x14ac:dyDescent="0.3">
      <c r="T63" s="115"/>
      <c r="U63" s="111" t="s">
        <v>69</v>
      </c>
      <c r="V63" s="116"/>
    </row>
  </sheetData>
  <sheetProtection algorithmName="SHA-512" hashValue="KXIIijpq3+nXztEcKIlJ4cMHnz4ERgXx2tgsxwvem28uedXdXtA8EDmKm45i3JWJyzrKb1j1q0dmuhltNyiC3g==" saltValue="IkSuPDB6/vCBWZffAOBzGw==" spinCount="100000" sheet="1" objects="1" scenarios="1"/>
  <mergeCells count="33">
    <mergeCell ref="E6:K6"/>
    <mergeCell ref="E3:K3"/>
    <mergeCell ref="E11:K11"/>
    <mergeCell ref="E7:K7"/>
    <mergeCell ref="E38:K38"/>
    <mergeCell ref="E33:K33"/>
    <mergeCell ref="E31:K31"/>
    <mergeCell ref="E10:J10"/>
    <mergeCell ref="E18:K18"/>
    <mergeCell ref="E23:K23"/>
    <mergeCell ref="E26:K26"/>
    <mergeCell ref="E27:K27"/>
    <mergeCell ref="E28:K28"/>
    <mergeCell ref="E20:K20"/>
    <mergeCell ref="E19:K19"/>
    <mergeCell ref="E14:J14"/>
    <mergeCell ref="E15:K15"/>
    <mergeCell ref="C49:F49"/>
    <mergeCell ref="C50:F50"/>
    <mergeCell ref="C51:F51"/>
    <mergeCell ref="C52:F52"/>
    <mergeCell ref="E37:K37"/>
    <mergeCell ref="C53:F53"/>
    <mergeCell ref="C48:F48"/>
    <mergeCell ref="M43:Q43"/>
    <mergeCell ref="G43:J43"/>
    <mergeCell ref="G44:H44"/>
    <mergeCell ref="I44:J44"/>
    <mergeCell ref="K43:K44"/>
    <mergeCell ref="C43:F44"/>
    <mergeCell ref="C45:F45"/>
    <mergeCell ref="C46:F46"/>
    <mergeCell ref="C47:F47"/>
  </mergeCells>
  <dataValidations count="2">
    <dataValidation type="list" allowBlank="1" showInputMessage="1" showErrorMessage="1" sqref="K10" xr:uid="{00000000-0002-0000-0000-000000000000}">
      <formula1>"IP units, SI units"</formula1>
    </dataValidation>
    <dataValidation type="list" allowBlank="1" showInputMessage="1" showErrorMessage="1" sqref="K14" xr:uid="{00000000-0002-0000-0000-000001000000}">
      <formula1>"Yes,No"</formula1>
    </dataValidation>
  </dataValidations>
  <hyperlinks>
    <hyperlink ref="E8" r:id="rId1" location="calculator" xr:uid="{80EF1C6C-ED85-462B-8EE9-B096FAA1C9D9}"/>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2" r:id="rId5" name="Button 4">
              <controlPr defaultSize="0" print="0" autoFill="0" autoPict="0" macro="[0]!add_sht">
                <anchor moveWithCells="1">
                  <from>
                    <xdr:col>4</xdr:col>
                    <xdr:colOff>0</xdr:colOff>
                    <xdr:row>33</xdr:row>
                    <xdr:rowOff>7620</xdr:rowOff>
                  </from>
                  <to>
                    <xdr:col>4</xdr:col>
                    <xdr:colOff>1394460</xdr:colOff>
                    <xdr:row>33</xdr:row>
                    <xdr:rowOff>274320</xdr:rowOff>
                  </to>
                </anchor>
              </controlPr>
            </control>
          </mc:Choice>
        </mc:AlternateContent>
        <mc:AlternateContent xmlns:mc="http://schemas.openxmlformats.org/markup-compatibility/2006">
          <mc:Choice Requires="x14">
            <control shapeId="2061" r:id="rId6" name="Button 13">
              <controlPr defaultSize="0" print="0" autoFill="0" autoPict="0" macro="[0]!Go_to_WS">
                <anchor moveWithCells="1">
                  <from>
                    <xdr:col>4</xdr:col>
                    <xdr:colOff>1478280</xdr:colOff>
                    <xdr:row>33</xdr:row>
                    <xdr:rowOff>7620</xdr:rowOff>
                  </from>
                  <to>
                    <xdr:col>5</xdr:col>
                    <xdr:colOff>403860</xdr:colOff>
                    <xdr:row>33</xdr:row>
                    <xdr:rowOff>274320</xdr:rowOff>
                  </to>
                </anchor>
              </controlPr>
            </control>
          </mc:Choice>
        </mc:AlternateContent>
        <mc:AlternateContent xmlns:mc="http://schemas.openxmlformats.org/markup-compatibility/2006">
          <mc:Choice Requires="x14">
            <control shapeId="2065" r:id="rId7" name="Button 17">
              <controlPr defaultSize="0" print="0" autoFill="0" autoPict="0" macro="[0]!add_sht">
                <anchor moveWithCells="1">
                  <from>
                    <xdr:col>4</xdr:col>
                    <xdr:colOff>0</xdr:colOff>
                    <xdr:row>20</xdr:row>
                    <xdr:rowOff>7620</xdr:rowOff>
                  </from>
                  <to>
                    <xdr:col>4</xdr:col>
                    <xdr:colOff>1394460</xdr:colOff>
                    <xdr:row>30</xdr:row>
                    <xdr:rowOff>76200</xdr:rowOff>
                  </to>
                </anchor>
              </controlPr>
            </control>
          </mc:Choice>
        </mc:AlternateContent>
        <mc:AlternateContent xmlns:mc="http://schemas.openxmlformats.org/markup-compatibility/2006">
          <mc:Choice Requires="x14">
            <control shapeId="2066" r:id="rId8" name="Button 18">
              <controlPr defaultSize="0" print="0" autoFill="0" autoPict="0" macro="[0]!Go_to_WS">
                <anchor moveWithCells="1">
                  <from>
                    <xdr:col>4</xdr:col>
                    <xdr:colOff>1478280</xdr:colOff>
                    <xdr:row>20</xdr:row>
                    <xdr:rowOff>7620</xdr:rowOff>
                  </from>
                  <to>
                    <xdr:col>5</xdr:col>
                    <xdr:colOff>403860</xdr:colOff>
                    <xdr:row>30</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AG78"/>
  <sheetViews>
    <sheetView showGridLines="0" topLeftCell="B1" zoomScale="80" zoomScaleNormal="80" zoomScalePageLayoutView="80" workbookViewId="0">
      <selection activeCell="J62" sqref="J62:K62"/>
    </sheetView>
  </sheetViews>
  <sheetFormatPr defaultColWidth="9.109375" defaultRowHeight="13.2" x14ac:dyDescent="0.3"/>
  <cols>
    <col min="1" max="1" width="2.44140625" style="125" customWidth="1"/>
    <col min="2" max="2" width="10.88671875" style="138" customWidth="1"/>
    <col min="3" max="3" width="24.5546875" style="138" customWidth="1"/>
    <col min="4" max="8" width="12.6640625" style="138" customWidth="1"/>
    <col min="9" max="9" width="12.44140625" style="138" customWidth="1"/>
    <col min="10" max="10" width="2.6640625" style="138" customWidth="1"/>
    <col min="11" max="16" width="12.6640625" style="138" customWidth="1"/>
    <col min="17" max="17" width="2.6640625" style="138" customWidth="1"/>
    <col min="18" max="19" width="12.6640625" style="138" customWidth="1"/>
    <col min="20" max="20" width="2.6640625" style="138" customWidth="1"/>
    <col min="21" max="23" width="12.6640625" style="138" customWidth="1"/>
    <col min="24" max="27" width="12.6640625" style="138" hidden="1" customWidth="1"/>
    <col min="28" max="33" width="8.6640625" style="138" hidden="1" customWidth="1"/>
    <col min="34" max="16384" width="9.109375" style="138"/>
  </cols>
  <sheetData>
    <row r="1" spans="1:33" ht="15" customHeight="1" x14ac:dyDescent="0.3">
      <c r="A1" s="36"/>
      <c r="B1" s="551"/>
      <c r="C1" s="552"/>
      <c r="D1" s="551"/>
      <c r="E1" s="551"/>
      <c r="F1" s="551"/>
      <c r="G1" s="551"/>
      <c r="H1" s="551"/>
      <c r="I1" s="551"/>
      <c r="J1" s="551"/>
      <c r="K1" s="551"/>
      <c r="L1" s="551"/>
      <c r="M1" s="551"/>
      <c r="N1" s="551"/>
      <c r="O1" s="551"/>
      <c r="P1" s="551"/>
      <c r="Q1" s="551"/>
      <c r="R1" s="551"/>
      <c r="S1" s="551"/>
      <c r="T1" s="551"/>
      <c r="U1" s="551"/>
      <c r="V1" s="551"/>
      <c r="W1" s="553"/>
      <c r="X1" s="553"/>
      <c r="Y1" s="553"/>
      <c r="Z1" s="553"/>
      <c r="AA1" s="553"/>
      <c r="AB1" s="553"/>
      <c r="AC1" s="553"/>
      <c r="AD1" s="553"/>
      <c r="AE1" s="553"/>
      <c r="AF1" s="553"/>
      <c r="AG1" s="553"/>
    </row>
    <row r="2" spans="1:33" ht="25.2" x14ac:dyDescent="0.3">
      <c r="A2" s="36"/>
      <c r="B2" s="139" t="str">
        <f ca="1">REPLACE(CELL("filename",A1),1,FIND("]",CELL("filename",A1)),"")</f>
        <v>Group 1</v>
      </c>
      <c r="C2" s="140"/>
      <c r="D2" s="140"/>
      <c r="E2" s="171"/>
      <c r="F2" s="140"/>
      <c r="G2" s="140"/>
      <c r="H2" s="140"/>
      <c r="I2" s="140"/>
      <c r="J2" s="140"/>
      <c r="K2" s="140"/>
      <c r="L2" s="140"/>
      <c r="M2" s="140"/>
      <c r="N2" s="140"/>
      <c r="O2" s="140"/>
      <c r="P2" s="140"/>
      <c r="Q2" s="140"/>
      <c r="R2" s="140"/>
      <c r="S2" s="140"/>
      <c r="T2" s="140"/>
      <c r="U2" s="140"/>
      <c r="V2" s="140"/>
      <c r="W2" s="553"/>
      <c r="X2" s="553"/>
      <c r="Y2" s="553"/>
      <c r="Z2" s="553"/>
      <c r="AA2" s="553"/>
      <c r="AB2" s="553"/>
      <c r="AC2" s="553"/>
      <c r="AD2" s="553"/>
      <c r="AE2" s="553"/>
      <c r="AF2" s="553"/>
      <c r="AG2" s="553"/>
    </row>
    <row r="3" spans="1:33" ht="15" customHeight="1" x14ac:dyDescent="0.3">
      <c r="A3" s="36"/>
      <c r="B3" s="551"/>
      <c r="C3" s="552"/>
      <c r="D3" s="551"/>
      <c r="E3" s="551"/>
      <c r="F3" s="551"/>
      <c r="G3" s="551"/>
      <c r="H3" s="551"/>
      <c r="I3" s="551"/>
      <c r="J3" s="551"/>
      <c r="K3" s="551"/>
      <c r="L3" s="551"/>
      <c r="M3" s="551"/>
      <c r="N3" s="551"/>
      <c r="O3" s="551"/>
      <c r="P3" s="551"/>
      <c r="Q3" s="551"/>
      <c r="R3" s="551"/>
      <c r="S3" s="551"/>
      <c r="T3" s="551"/>
      <c r="U3" s="551"/>
      <c r="V3" s="551"/>
      <c r="W3" s="553"/>
      <c r="X3" s="553"/>
      <c r="Y3" s="553"/>
      <c r="Z3" s="553"/>
      <c r="AA3" s="553"/>
      <c r="AB3" s="553"/>
      <c r="AC3" s="553"/>
      <c r="AD3" s="553"/>
      <c r="AE3" s="553"/>
      <c r="AF3" s="553"/>
      <c r="AG3" s="553"/>
    </row>
    <row r="4" spans="1:33" ht="30.75" customHeight="1" x14ac:dyDescent="0.25">
      <c r="B4" s="141"/>
      <c r="C4" s="553"/>
      <c r="D4" s="553"/>
      <c r="E4" s="553"/>
      <c r="F4" s="553"/>
      <c r="G4" s="553"/>
      <c r="H4" s="553"/>
      <c r="I4" s="553"/>
      <c r="J4" s="553"/>
      <c r="K4" s="553"/>
      <c r="L4" s="553"/>
      <c r="M4" s="553"/>
      <c r="N4" s="553"/>
      <c r="O4" s="553"/>
      <c r="P4" s="553"/>
      <c r="Q4" s="553"/>
      <c r="R4" s="553"/>
      <c r="S4" s="553"/>
      <c r="T4" s="553"/>
      <c r="U4" s="553"/>
      <c r="V4" s="553"/>
      <c r="W4" s="553"/>
      <c r="X4" s="553"/>
      <c r="Y4" s="553"/>
      <c r="Z4" s="553"/>
      <c r="AA4" s="553"/>
      <c r="AB4" s="553"/>
      <c r="AC4" s="553"/>
      <c r="AD4" s="553"/>
      <c r="AE4" s="553"/>
      <c r="AF4" s="553"/>
      <c r="AG4" s="553"/>
    </row>
    <row r="5" spans="1:33" ht="24" customHeight="1" x14ac:dyDescent="0.3">
      <c r="B5" s="684" t="s">
        <v>70</v>
      </c>
      <c r="C5" s="685"/>
      <c r="D5" s="238" t="s">
        <v>71</v>
      </c>
      <c r="E5" s="553"/>
      <c r="F5" s="553"/>
      <c r="G5" s="553"/>
      <c r="H5" s="553"/>
      <c r="I5" s="553"/>
      <c r="J5" s="553"/>
      <c r="K5" s="553"/>
      <c r="L5" s="553"/>
      <c r="M5" s="553"/>
      <c r="N5" s="553"/>
      <c r="O5" s="553"/>
      <c r="P5" s="553"/>
      <c r="Q5" s="553"/>
      <c r="R5" s="553"/>
      <c r="S5" s="553"/>
      <c r="T5" s="553"/>
      <c r="U5" s="553"/>
      <c r="V5" s="553"/>
      <c r="W5" s="553"/>
      <c r="X5" s="553"/>
      <c r="Y5" s="553"/>
      <c r="Z5" s="553"/>
      <c r="AA5" s="553"/>
      <c r="AB5" s="553"/>
      <c r="AC5" s="553"/>
      <c r="AD5" s="553"/>
      <c r="AE5" s="553"/>
      <c r="AF5" s="553"/>
      <c r="AG5" s="553"/>
    </row>
    <row r="6" spans="1:33" ht="30.75" customHeight="1" x14ac:dyDescent="0.25">
      <c r="B6" s="141" t="s">
        <v>72</v>
      </c>
      <c r="C6" s="553"/>
      <c r="D6" s="553"/>
      <c r="E6" s="553"/>
      <c r="F6" s="553"/>
      <c r="G6" s="553"/>
      <c r="H6" s="553"/>
      <c r="I6" s="553"/>
      <c r="J6" s="553"/>
      <c r="K6" s="553"/>
      <c r="L6" s="553"/>
      <c r="M6" s="553"/>
      <c r="N6" s="553"/>
      <c r="O6" s="553"/>
      <c r="P6" s="553"/>
      <c r="Q6" s="553"/>
      <c r="R6" s="553"/>
      <c r="S6" s="553"/>
      <c r="T6" s="553"/>
      <c r="U6" s="553"/>
      <c r="V6" s="553"/>
      <c r="W6" s="553"/>
      <c r="X6" s="553"/>
      <c r="Y6" s="553"/>
      <c r="Z6" s="553"/>
      <c r="AA6" s="553"/>
      <c r="AB6" s="553"/>
      <c r="AC6" s="553"/>
      <c r="AD6" s="553"/>
      <c r="AE6" s="553"/>
      <c r="AF6" s="553"/>
      <c r="AG6" s="553"/>
    </row>
    <row r="7" spans="1:33" ht="23.25" customHeight="1" x14ac:dyDescent="0.3">
      <c r="B7" s="686" t="s">
        <v>73</v>
      </c>
      <c r="C7" s="686"/>
      <c r="D7" s="686"/>
      <c r="E7" s="686"/>
      <c r="F7" s="686"/>
      <c r="G7" s="686"/>
      <c r="H7" s="686"/>
      <c r="I7" s="686"/>
      <c r="J7" s="686"/>
      <c r="K7" s="554"/>
      <c r="L7" s="554"/>
      <c r="M7" s="554"/>
      <c r="N7" s="554"/>
      <c r="O7" s="554"/>
      <c r="P7" s="554"/>
      <c r="Q7" s="554"/>
      <c r="R7" s="553"/>
      <c r="S7" s="553"/>
      <c r="T7" s="553"/>
      <c r="U7" s="553"/>
      <c r="V7" s="553"/>
      <c r="W7" s="553"/>
      <c r="X7" s="553"/>
      <c r="Y7" s="553"/>
      <c r="Z7" s="553"/>
      <c r="AA7" s="553"/>
      <c r="AB7" s="553"/>
      <c r="AC7" s="553"/>
      <c r="AD7" s="553"/>
      <c r="AE7" s="553"/>
      <c r="AF7" s="553"/>
      <c r="AG7" s="553"/>
    </row>
    <row r="8" spans="1:33" ht="69.75" customHeight="1" x14ac:dyDescent="0.3">
      <c r="B8" s="687" t="s">
        <v>74</v>
      </c>
      <c r="C8" s="687"/>
      <c r="D8" s="687"/>
      <c r="E8" s="687"/>
      <c r="F8" s="687"/>
      <c r="G8" s="687"/>
      <c r="H8" s="687"/>
      <c r="I8" s="687"/>
      <c r="J8" s="687"/>
      <c r="K8" s="687"/>
      <c r="L8" s="554"/>
      <c r="M8" s="554"/>
      <c r="N8" s="554"/>
      <c r="O8" s="554"/>
      <c r="P8" s="554"/>
      <c r="Q8" s="554"/>
      <c r="R8" s="553"/>
      <c r="S8" s="553"/>
      <c r="T8" s="553"/>
      <c r="U8" s="553"/>
      <c r="V8" s="553"/>
      <c r="W8" s="553"/>
      <c r="X8" s="553"/>
      <c r="Y8" s="229" t="s">
        <v>75</v>
      </c>
      <c r="Z8" s="230" t="b">
        <v>0</v>
      </c>
      <c r="AA8" s="553"/>
      <c r="AB8" s="553"/>
      <c r="AC8" s="553"/>
      <c r="AD8" s="553"/>
      <c r="AE8" s="553"/>
      <c r="AF8" s="553"/>
      <c r="AG8" s="553"/>
    </row>
    <row r="9" spans="1:33" ht="78" customHeight="1" x14ac:dyDescent="0.3">
      <c r="B9" s="687" t="s">
        <v>76</v>
      </c>
      <c r="C9" s="687"/>
      <c r="D9" s="687"/>
      <c r="E9" s="687"/>
      <c r="F9" s="687"/>
      <c r="G9" s="687"/>
      <c r="H9" s="687"/>
      <c r="I9" s="687"/>
      <c r="J9" s="687"/>
      <c r="K9" s="687"/>
      <c r="L9" s="554"/>
      <c r="M9" s="554"/>
      <c r="N9" s="554"/>
      <c r="O9" s="554"/>
      <c r="P9" s="554"/>
      <c r="Q9" s="554"/>
      <c r="R9" s="553"/>
      <c r="S9" s="553"/>
      <c r="T9" s="553"/>
      <c r="U9" s="553"/>
      <c r="V9" s="553"/>
      <c r="W9" s="553"/>
      <c r="X9" s="553"/>
      <c r="Y9" s="229" t="s">
        <v>75</v>
      </c>
      <c r="Z9" s="230" t="b">
        <v>1</v>
      </c>
      <c r="AA9" s="553"/>
      <c r="AB9" s="553"/>
      <c r="AC9" s="553"/>
      <c r="AD9" s="553"/>
      <c r="AE9" s="553"/>
      <c r="AF9" s="553"/>
      <c r="AG9" s="553"/>
    </row>
    <row r="10" spans="1:33" s="172" customFormat="1" ht="50.25" customHeight="1" x14ac:dyDescent="0.25">
      <c r="A10" s="199"/>
      <c r="B10" s="688" t="s">
        <v>77</v>
      </c>
      <c r="C10" s="689"/>
      <c r="D10" s="555" t="s">
        <v>78</v>
      </c>
      <c r="E10" s="556" t="s">
        <v>35</v>
      </c>
      <c r="F10" s="556" t="s">
        <v>36</v>
      </c>
      <c r="G10" s="556" t="s">
        <v>37</v>
      </c>
      <c r="H10" s="556" t="s">
        <v>38</v>
      </c>
      <c r="I10" s="133" t="s">
        <v>79</v>
      </c>
      <c r="J10" s="557"/>
      <c r="K10" s="558" t="s">
        <v>80</v>
      </c>
      <c r="L10" s="554"/>
      <c r="M10" s="554"/>
      <c r="N10" s="554"/>
      <c r="O10" s="554"/>
      <c r="P10" s="554"/>
      <c r="Q10" s="554"/>
      <c r="R10" s="554"/>
      <c r="S10" s="554"/>
      <c r="T10" s="554"/>
      <c r="U10" s="554"/>
      <c r="V10" s="554"/>
      <c r="W10" s="554"/>
      <c r="X10" s="554"/>
      <c r="Y10" s="554"/>
      <c r="Z10" s="554"/>
      <c r="AA10" s="276"/>
      <c r="AB10" s="237" t="s">
        <v>81</v>
      </c>
      <c r="AC10" s="553"/>
      <c r="AD10" s="554"/>
      <c r="AE10" s="554"/>
      <c r="AF10" s="554"/>
      <c r="AG10" s="554"/>
    </row>
    <row r="11" spans="1:33" ht="15" customHeight="1" x14ac:dyDescent="0.3">
      <c r="B11" s="559" t="s">
        <v>82</v>
      </c>
      <c r="C11" s="560"/>
      <c r="D11" s="279"/>
      <c r="E11" s="280"/>
      <c r="F11" s="280"/>
      <c r="G11" s="280"/>
      <c r="H11" s="280"/>
      <c r="I11" s="281"/>
      <c r="J11" s="553"/>
      <c r="K11" s="240">
        <f>SUM(K12:K13)</f>
        <v>0</v>
      </c>
      <c r="L11" s="242"/>
      <c r="M11" s="554"/>
      <c r="N11" s="553"/>
      <c r="O11" s="553"/>
      <c r="P11" s="553"/>
      <c r="Q11" s="553"/>
      <c r="R11" s="553"/>
      <c r="S11" s="553"/>
      <c r="T11" s="553"/>
      <c r="U11" s="553"/>
      <c r="V11" s="553"/>
      <c r="W11" s="553"/>
      <c r="X11" s="225" t="s">
        <v>83</v>
      </c>
      <c r="Y11" s="173" t="s">
        <v>84</v>
      </c>
      <c r="Z11" s="174">
        <f>I49</f>
        <v>0</v>
      </c>
      <c r="AA11" s="553"/>
      <c r="AB11" s="235">
        <f t="shared" ref="AB11:AG11" si="0">AB12+AB13</f>
        <v>0</v>
      </c>
      <c r="AC11" s="235">
        <f t="shared" si="0"/>
        <v>0</v>
      </c>
      <c r="AD11" s="235">
        <f t="shared" si="0"/>
        <v>0</v>
      </c>
      <c r="AE11" s="235">
        <f t="shared" si="0"/>
        <v>0</v>
      </c>
      <c r="AF11" s="235">
        <f t="shared" si="0"/>
        <v>0</v>
      </c>
      <c r="AG11" s="235">
        <f t="shared" si="0"/>
        <v>0</v>
      </c>
    </row>
    <row r="12" spans="1:33" ht="15" customHeight="1" x14ac:dyDescent="0.3">
      <c r="B12" s="561" t="s">
        <v>85</v>
      </c>
      <c r="C12" s="562"/>
      <c r="D12" s="282">
        <f t="shared" ref="D12:I12" si="1">IF(ISODD(D$11)=TRUE,INT(D$11/2)+1,D$11/2)</f>
        <v>0</v>
      </c>
      <c r="E12" s="282">
        <f t="shared" si="1"/>
        <v>0</v>
      </c>
      <c r="F12" s="282">
        <f t="shared" si="1"/>
        <v>0</v>
      </c>
      <c r="G12" s="282">
        <f t="shared" si="1"/>
        <v>0</v>
      </c>
      <c r="H12" s="282">
        <f t="shared" si="1"/>
        <v>0</v>
      </c>
      <c r="I12" s="283">
        <f t="shared" si="1"/>
        <v>0</v>
      </c>
      <c r="J12" s="553"/>
      <c r="K12" s="277">
        <f>IFERROR(SUM($D$12:$I$12) / SUM(Total2),0)</f>
        <v>0</v>
      </c>
      <c r="L12" s="553"/>
      <c r="M12" s="554"/>
      <c r="N12" s="563"/>
      <c r="O12" s="564"/>
      <c r="P12" s="553"/>
      <c r="Q12" s="553"/>
      <c r="R12" s="553"/>
      <c r="S12" s="553"/>
      <c r="T12" s="553"/>
      <c r="U12" s="553"/>
      <c r="V12" s="553"/>
      <c r="W12" s="553"/>
      <c r="X12" s="225" t="s">
        <v>83</v>
      </c>
      <c r="Y12" s="173" t="s">
        <v>86</v>
      </c>
      <c r="Z12" s="174">
        <f>I36</f>
        <v>0</v>
      </c>
      <c r="AA12" s="553"/>
      <c r="AB12" s="236"/>
      <c r="AC12" s="236"/>
      <c r="AD12" s="236"/>
      <c r="AE12" s="236"/>
      <c r="AF12" s="236"/>
      <c r="AG12" s="236"/>
    </row>
    <row r="13" spans="1:33" ht="15" customHeight="1" x14ac:dyDescent="0.3">
      <c r="B13" s="565" t="s">
        <v>87</v>
      </c>
      <c r="C13" s="566"/>
      <c r="D13" s="284">
        <f t="shared" ref="D13:I13" si="2">INT(D$11/2)</f>
        <v>0</v>
      </c>
      <c r="E13" s="284">
        <f t="shared" si="2"/>
        <v>0</v>
      </c>
      <c r="F13" s="284">
        <f t="shared" si="2"/>
        <v>0</v>
      </c>
      <c r="G13" s="284">
        <f t="shared" si="2"/>
        <v>0</v>
      </c>
      <c r="H13" s="284">
        <f t="shared" si="2"/>
        <v>0</v>
      </c>
      <c r="I13" s="285">
        <f t="shared" si="2"/>
        <v>0</v>
      </c>
      <c r="J13" s="553"/>
      <c r="K13" s="278">
        <f>IFERROR(SUM($D$13:$I$13)/SUM(Total2),0)</f>
        <v>0</v>
      </c>
      <c r="L13" s="553"/>
      <c r="M13" s="554"/>
      <c r="N13" s="563"/>
      <c r="O13" s="564"/>
      <c r="P13" s="553"/>
      <c r="Q13" s="553"/>
      <c r="R13" s="553"/>
      <c r="S13" s="553"/>
      <c r="T13" s="553"/>
      <c r="U13" s="553"/>
      <c r="V13" s="553"/>
      <c r="W13" s="553"/>
      <c r="X13" s="224" t="s">
        <v>88</v>
      </c>
      <c r="Y13" s="173" t="s">
        <v>84</v>
      </c>
      <c r="Z13" s="175">
        <f>I50</f>
        <v>0</v>
      </c>
      <c r="AA13" s="553"/>
      <c r="AB13" s="236"/>
      <c r="AC13" s="236"/>
      <c r="AD13" s="236"/>
      <c r="AE13" s="236"/>
      <c r="AF13" s="236"/>
      <c r="AG13" s="236"/>
    </row>
    <row r="14" spans="1:33" ht="21" customHeight="1" x14ac:dyDescent="0.25">
      <c r="B14" s="553"/>
      <c r="C14" s="553"/>
      <c r="D14" s="553"/>
      <c r="E14" s="553"/>
      <c r="F14" s="553"/>
      <c r="G14" s="553"/>
      <c r="H14" s="553"/>
      <c r="I14" s="553"/>
      <c r="J14" s="553"/>
      <c r="K14" s="553"/>
      <c r="L14" s="553"/>
      <c r="M14" s="553"/>
      <c r="N14" s="553"/>
      <c r="O14" s="553"/>
      <c r="P14" s="553"/>
      <c r="Q14" s="553"/>
      <c r="R14" s="553"/>
      <c r="S14" s="553"/>
      <c r="T14" s="553"/>
      <c r="U14" s="553"/>
      <c r="V14" s="553"/>
      <c r="W14" s="567"/>
      <c r="X14" s="226" t="s">
        <v>88</v>
      </c>
      <c r="Y14" s="173" t="s">
        <v>86</v>
      </c>
      <c r="Z14" s="175">
        <f>I37</f>
        <v>0</v>
      </c>
      <c r="AA14" s="553"/>
      <c r="AB14" s="237" t="s">
        <v>89</v>
      </c>
      <c r="AC14" s="553"/>
      <c r="AD14" s="553"/>
      <c r="AE14" s="553"/>
      <c r="AF14" s="553"/>
      <c r="AG14" s="553"/>
    </row>
    <row r="15" spans="1:33" ht="27" customHeight="1" x14ac:dyDescent="0.3">
      <c r="B15" s="690" t="s">
        <v>90</v>
      </c>
      <c r="C15" s="690"/>
      <c r="D15" s="690"/>
      <c r="E15" s="690"/>
      <c r="F15" s="690"/>
      <c r="G15" s="690"/>
      <c r="H15" s="690"/>
      <c r="I15" s="690"/>
      <c r="J15" s="690"/>
      <c r="K15" s="690"/>
      <c r="L15" s="553"/>
      <c r="M15" s="553"/>
      <c r="N15" s="553"/>
      <c r="O15" s="553"/>
      <c r="P15" s="553"/>
      <c r="Q15" s="553"/>
      <c r="R15" s="553"/>
      <c r="S15" s="553"/>
      <c r="T15" s="553"/>
      <c r="U15" s="553"/>
      <c r="V15" s="553"/>
      <c r="W15" s="176"/>
      <c r="X15" s="553"/>
      <c r="Y15" s="553"/>
      <c r="Z15" s="553"/>
      <c r="AA15" s="553"/>
      <c r="AB15" s="235"/>
      <c r="AC15" s="235"/>
      <c r="AD15" s="235"/>
      <c r="AE15" s="235"/>
      <c r="AF15" s="235"/>
      <c r="AG15" s="235"/>
    </row>
    <row r="16" spans="1:33" ht="23.25" customHeight="1" x14ac:dyDescent="0.3">
      <c r="B16" s="568" t="s">
        <v>91</v>
      </c>
      <c r="C16" s="569"/>
      <c r="D16" s="569"/>
      <c r="E16" s="569"/>
      <c r="F16" s="569"/>
      <c r="G16" s="569"/>
      <c r="H16" s="569"/>
      <c r="I16" s="239">
        <v>1</v>
      </c>
      <c r="J16" s="570"/>
      <c r="K16" s="553"/>
      <c r="L16" s="177"/>
      <c r="M16" s="178"/>
      <c r="N16" s="178"/>
      <c r="O16" s="178"/>
      <c r="P16" s="178"/>
      <c r="Q16" s="178"/>
      <c r="R16" s="553"/>
      <c r="S16" s="553"/>
      <c r="T16" s="553"/>
      <c r="U16" s="553"/>
      <c r="V16" s="553"/>
      <c r="W16" s="553"/>
      <c r="X16" s="553"/>
      <c r="Y16" s="553"/>
      <c r="Z16" s="553"/>
      <c r="AA16" s="553"/>
      <c r="AB16" s="236">
        <f t="shared" ref="AB16:AG16" si="3">IF(ISODD(AB$11)=TRUE,INT(AB$11/2)+1,AB$11/2)</f>
        <v>0</v>
      </c>
      <c r="AC16" s="236">
        <f t="shared" si="3"/>
        <v>0</v>
      </c>
      <c r="AD16" s="236">
        <f t="shared" si="3"/>
        <v>0</v>
      </c>
      <c r="AE16" s="236">
        <f t="shared" si="3"/>
        <v>0</v>
      </c>
      <c r="AF16" s="236">
        <f t="shared" si="3"/>
        <v>0</v>
      </c>
      <c r="AG16" s="236">
        <f t="shared" si="3"/>
        <v>0</v>
      </c>
    </row>
    <row r="17" spans="1:33" ht="21" customHeight="1" x14ac:dyDescent="0.25">
      <c r="B17" s="571"/>
      <c r="C17" s="571"/>
      <c r="D17" s="571"/>
      <c r="E17" s="571"/>
      <c r="F17" s="571"/>
      <c r="G17" s="571"/>
      <c r="H17" s="571"/>
      <c r="I17" s="571"/>
      <c r="J17" s="553"/>
      <c r="K17" s="553"/>
      <c r="L17" s="553"/>
      <c r="M17" s="553"/>
      <c r="N17" s="553"/>
      <c r="O17" s="553"/>
      <c r="P17" s="553"/>
      <c r="Q17" s="553"/>
      <c r="R17" s="553"/>
      <c r="S17" s="553"/>
      <c r="T17" s="553"/>
      <c r="U17" s="553"/>
      <c r="V17" s="553"/>
      <c r="W17" s="553"/>
      <c r="X17" s="553"/>
      <c r="Y17" s="553"/>
      <c r="Z17" s="553"/>
      <c r="AA17" s="553"/>
      <c r="AB17" s="236">
        <f t="shared" ref="AB17:AG17" si="4">INT(AB$11/2)</f>
        <v>0</v>
      </c>
      <c r="AC17" s="236">
        <f t="shared" si="4"/>
        <v>0</v>
      </c>
      <c r="AD17" s="236">
        <f t="shared" si="4"/>
        <v>0</v>
      </c>
      <c r="AE17" s="236">
        <f t="shared" si="4"/>
        <v>0</v>
      </c>
      <c r="AF17" s="236">
        <f t="shared" si="4"/>
        <v>0</v>
      </c>
      <c r="AG17" s="236">
        <f t="shared" si="4"/>
        <v>0</v>
      </c>
    </row>
    <row r="18" spans="1:33" ht="21" customHeight="1" x14ac:dyDescent="0.3">
      <c r="B18" s="572" t="s">
        <v>92</v>
      </c>
      <c r="C18" s="572"/>
      <c r="D18" s="572"/>
      <c r="E18" s="572"/>
      <c r="F18" s="572"/>
      <c r="G18" s="572"/>
      <c r="H18" s="572"/>
      <c r="I18" s="572"/>
      <c r="J18" s="553"/>
      <c r="K18" s="553"/>
      <c r="L18" s="553"/>
      <c r="M18" s="553"/>
      <c r="N18" s="553"/>
      <c r="O18" s="553"/>
      <c r="P18" s="553"/>
      <c r="Q18" s="553"/>
      <c r="R18" s="553"/>
      <c r="S18" s="553"/>
      <c r="T18" s="553"/>
      <c r="U18" s="553"/>
      <c r="V18" s="553"/>
      <c r="W18" s="553"/>
      <c r="X18" s="553"/>
      <c r="Y18" s="553"/>
      <c r="Z18" s="553"/>
      <c r="AA18" s="553"/>
      <c r="AB18" s="553"/>
      <c r="AC18" s="553"/>
      <c r="AD18" s="553"/>
      <c r="AE18" s="553"/>
      <c r="AF18" s="553"/>
      <c r="AG18" s="553"/>
    </row>
    <row r="19" spans="1:33" ht="24" customHeight="1" x14ac:dyDescent="0.3">
      <c r="B19" s="568" t="s">
        <v>93</v>
      </c>
      <c r="C19" s="569"/>
      <c r="D19" s="569"/>
      <c r="E19" s="569"/>
      <c r="F19" s="569"/>
      <c r="G19" s="569"/>
      <c r="H19" s="569"/>
      <c r="I19" s="170">
        <v>365</v>
      </c>
      <c r="J19" s="553"/>
      <c r="K19" s="553"/>
      <c r="L19" s="553"/>
      <c r="M19" s="178"/>
      <c r="N19" s="178"/>
      <c r="O19" s="178"/>
      <c r="P19" s="178"/>
      <c r="Q19" s="178"/>
      <c r="R19" s="553"/>
      <c r="S19" s="553"/>
      <c r="T19" s="553"/>
      <c r="U19" s="553"/>
      <c r="V19" s="553"/>
      <c r="W19" s="553"/>
      <c r="X19" s="553"/>
      <c r="Y19" s="553"/>
      <c r="Z19" s="553"/>
      <c r="AA19" s="553"/>
      <c r="AB19" s="553"/>
      <c r="AC19" s="553"/>
      <c r="AD19" s="553"/>
      <c r="AE19" s="553"/>
      <c r="AF19" s="553"/>
      <c r="AG19" s="553"/>
    </row>
    <row r="20" spans="1:33" ht="24" customHeight="1" x14ac:dyDescent="0.3">
      <c r="B20" s="143" t="str">
        <f>IF(I19&gt;365,"Annual days of operation must be between 1 and 365.","")</f>
        <v/>
      </c>
      <c r="C20" s="553"/>
      <c r="D20" s="553"/>
      <c r="E20" s="553"/>
      <c r="F20" s="553"/>
      <c r="G20" s="553"/>
      <c r="H20" s="553"/>
      <c r="I20" s="553"/>
      <c r="J20" s="553"/>
      <c r="K20" s="553"/>
      <c r="L20" s="553"/>
      <c r="M20" s="553"/>
      <c r="N20" s="553"/>
      <c r="O20" s="553"/>
      <c r="P20" s="553"/>
      <c r="Q20" s="553"/>
      <c r="R20" s="553"/>
      <c r="S20" s="553"/>
      <c r="T20" s="553"/>
      <c r="U20" s="553"/>
      <c r="V20" s="553"/>
      <c r="W20" s="553"/>
      <c r="X20" s="553"/>
      <c r="Y20" s="553"/>
      <c r="Z20" s="553"/>
      <c r="AA20" s="553"/>
      <c r="AB20" s="553"/>
      <c r="AC20" s="553"/>
      <c r="AD20" s="553"/>
      <c r="AE20" s="553"/>
      <c r="AF20" s="553"/>
      <c r="AG20" s="553"/>
    </row>
    <row r="21" spans="1:33" ht="21" customHeight="1" x14ac:dyDescent="0.3">
      <c r="B21" s="179" t="s">
        <v>94</v>
      </c>
      <c r="C21" s="553"/>
      <c r="D21" s="553"/>
      <c r="E21" s="553"/>
      <c r="F21" s="553"/>
      <c r="G21" s="553"/>
      <c r="H21" s="553"/>
      <c r="I21" s="553"/>
      <c r="J21" s="553"/>
      <c r="K21" s="553"/>
      <c r="L21" s="553"/>
      <c r="M21" s="553"/>
      <c r="N21" s="553"/>
      <c r="O21" s="563"/>
      <c r="P21" s="553"/>
      <c r="Q21" s="553"/>
      <c r="R21" s="553"/>
      <c r="S21" s="553"/>
      <c r="T21" s="553"/>
      <c r="U21" s="553"/>
      <c r="V21" s="553"/>
      <c r="W21" s="553"/>
      <c r="X21" s="553"/>
      <c r="Y21" s="553"/>
      <c r="Z21" s="553"/>
      <c r="AA21" s="553"/>
      <c r="AB21" s="553"/>
      <c r="AC21" s="553"/>
      <c r="AD21" s="553"/>
      <c r="AE21" s="553"/>
      <c r="AF21" s="553"/>
      <c r="AG21" s="553"/>
    </row>
    <row r="22" spans="1:33" ht="21" customHeight="1" x14ac:dyDescent="0.3">
      <c r="B22" s="553" t="s">
        <v>95</v>
      </c>
      <c r="C22" s="553"/>
      <c r="D22" s="553"/>
      <c r="E22" s="553"/>
      <c r="F22" s="553"/>
      <c r="G22" s="553"/>
      <c r="H22" s="553"/>
      <c r="I22" s="553"/>
      <c r="J22" s="553"/>
      <c r="K22" s="553"/>
      <c r="L22" s="553"/>
      <c r="M22" s="553"/>
      <c r="N22" s="553"/>
      <c r="O22" s="563"/>
      <c r="P22" s="553"/>
      <c r="Q22" s="553"/>
      <c r="R22" s="553"/>
      <c r="S22" s="553"/>
      <c r="T22" s="553"/>
      <c r="U22" s="553"/>
      <c r="V22" s="553"/>
      <c r="W22" s="553"/>
      <c r="X22" s="553"/>
      <c r="Y22" s="553"/>
      <c r="Z22" s="553"/>
      <c r="AA22" s="553"/>
      <c r="AB22" s="553"/>
      <c r="AC22" s="553"/>
      <c r="AD22" s="553"/>
      <c r="AE22" s="553"/>
      <c r="AF22" s="553"/>
      <c r="AG22" s="553"/>
    </row>
    <row r="23" spans="1:33" ht="18" customHeight="1" x14ac:dyDescent="0.3">
      <c r="B23" s="573" t="str">
        <f>CONCATENATE("Low flush ",IF(Instructions!$T$57=1,"(gpf)","(lpf)"))</f>
        <v>Low flush (gpf)</v>
      </c>
      <c r="C23" s="574"/>
      <c r="D23" s="575"/>
      <c r="E23" s="241"/>
      <c r="F23" s="553"/>
      <c r="G23" s="553"/>
      <c r="H23" s="553"/>
      <c r="I23" s="553"/>
      <c r="J23" s="553"/>
      <c r="K23" s="553"/>
      <c r="L23" s="553"/>
      <c r="M23" s="553"/>
      <c r="N23" s="553"/>
      <c r="O23" s="563"/>
      <c r="P23" s="553"/>
      <c r="Q23" s="553"/>
      <c r="R23" s="553"/>
      <c r="S23" s="553"/>
      <c r="T23" s="553"/>
      <c r="U23" s="553"/>
      <c r="V23" s="553"/>
      <c r="W23" s="553"/>
      <c r="X23" s="553"/>
      <c r="Y23" s="553"/>
      <c r="Z23" s="553"/>
      <c r="AA23" s="553"/>
      <c r="AB23" s="553"/>
      <c r="AC23" s="553"/>
      <c r="AD23" s="553"/>
      <c r="AE23" s="553"/>
      <c r="AF23" s="553"/>
      <c r="AG23" s="553"/>
    </row>
    <row r="24" spans="1:33" ht="18" customHeight="1" x14ac:dyDescent="0.3">
      <c r="B24" s="576" t="str">
        <f>CONCATENATE("Full flush ",IF(Instructions!$T$57=1,"(gpf)","(lpf)"))</f>
        <v>Full flush (gpf)</v>
      </c>
      <c r="C24" s="577"/>
      <c r="D24" s="578"/>
      <c r="E24" s="163"/>
      <c r="F24" s="553"/>
      <c r="G24" s="553"/>
      <c r="H24" s="553"/>
      <c r="I24" s="553"/>
      <c r="J24" s="553"/>
      <c r="K24" s="553"/>
      <c r="L24" s="553"/>
      <c r="M24" s="553"/>
      <c r="N24" s="553"/>
      <c r="O24" s="553"/>
      <c r="P24" s="553"/>
      <c r="Q24" s="553"/>
      <c r="R24" s="553"/>
      <c r="S24" s="553"/>
      <c r="T24" s="553"/>
      <c r="U24" s="553"/>
      <c r="V24" s="553"/>
      <c r="W24" s="553"/>
      <c r="X24" s="553"/>
      <c r="Y24" s="553"/>
      <c r="Z24" s="553"/>
      <c r="AA24" s="553"/>
      <c r="AB24" s="553"/>
      <c r="AC24" s="553"/>
      <c r="AD24" s="553"/>
      <c r="AE24" s="553"/>
      <c r="AF24" s="553"/>
      <c r="AG24" s="553"/>
    </row>
    <row r="25" spans="1:33" ht="18" customHeight="1" x14ac:dyDescent="0.3">
      <c r="B25" s="579" t="str">
        <f>CONCATENATE("LEED weighted average flush rate ",IF(Instructions!$T$57=1,"(gpf)","(lpf)"))</f>
        <v>LEED weighted average flush rate (gpf)</v>
      </c>
      <c r="C25" s="580"/>
      <c r="D25" s="581"/>
      <c r="E25" s="164">
        <f>IFERROR(((K12*E23* (2-(I16*2)) )+(K13*2*E23)+(K12*E24)+(K13*E24))/((K12*(1+ (2-(I16*2)) )+(K13*(1+2)))),0)</f>
        <v>0</v>
      </c>
      <c r="F25" s="162"/>
      <c r="G25" s="553"/>
      <c r="H25" s="553"/>
      <c r="I25" s="553"/>
      <c r="J25" s="553"/>
      <c r="K25" s="553"/>
      <c r="L25" s="553"/>
      <c r="M25" s="553"/>
      <c r="N25" s="553"/>
      <c r="O25" s="553"/>
      <c r="P25" s="553"/>
      <c r="Q25" s="553"/>
      <c r="R25" s="553"/>
      <c r="S25" s="553"/>
      <c r="T25" s="553"/>
      <c r="U25" s="553"/>
      <c r="V25" s="553"/>
      <c r="W25" s="553"/>
      <c r="X25" s="553"/>
      <c r="Y25" s="553"/>
      <c r="Z25" s="553"/>
      <c r="AA25" s="553"/>
      <c r="AB25" s="553"/>
      <c r="AC25" s="553"/>
      <c r="AD25" s="553"/>
      <c r="AE25" s="553"/>
      <c r="AF25" s="553"/>
      <c r="AG25" s="553"/>
    </row>
    <row r="26" spans="1:33" ht="21" customHeight="1" x14ac:dyDescent="0.3">
      <c r="B26" s="553"/>
      <c r="C26" s="553"/>
      <c r="D26" s="553"/>
      <c r="E26" s="553"/>
      <c r="F26" s="553"/>
      <c r="G26" s="553"/>
      <c r="H26" s="553"/>
      <c r="I26" s="553"/>
      <c r="J26" s="553"/>
      <c r="K26" s="553"/>
      <c r="L26" s="553"/>
      <c r="M26" s="553"/>
      <c r="N26" s="553"/>
      <c r="O26" s="563"/>
      <c r="P26" s="553"/>
      <c r="Q26" s="553"/>
      <c r="R26" s="553"/>
      <c r="S26" s="553"/>
      <c r="T26" s="553"/>
      <c r="U26" s="553"/>
      <c r="V26" s="553"/>
      <c r="W26" s="553"/>
      <c r="X26" s="553"/>
      <c r="Y26" s="553"/>
      <c r="Z26" s="553"/>
      <c r="AA26" s="553"/>
      <c r="AB26" s="553"/>
      <c r="AC26" s="553"/>
      <c r="AD26" s="553"/>
      <c r="AE26" s="553"/>
      <c r="AF26" s="553"/>
      <c r="AG26" s="553"/>
    </row>
    <row r="27" spans="1:33" ht="24" customHeight="1" x14ac:dyDescent="0.3">
      <c r="B27" s="180" t="s">
        <v>96</v>
      </c>
      <c r="C27" s="553"/>
      <c r="D27" s="553"/>
      <c r="E27" s="181"/>
      <c r="F27" s="181"/>
      <c r="G27" s="181"/>
      <c r="H27" s="181"/>
      <c r="I27" s="181"/>
      <c r="J27" s="181"/>
      <c r="K27" s="181"/>
      <c r="L27" s="181"/>
      <c r="M27" s="181"/>
      <c r="N27" s="181"/>
      <c r="O27" s="181"/>
      <c r="P27" s="181"/>
      <c r="Q27" s="181"/>
      <c r="R27" s="553"/>
      <c r="S27" s="553"/>
      <c r="T27" s="553"/>
      <c r="U27" s="553"/>
      <c r="V27" s="553"/>
      <c r="W27" s="553"/>
      <c r="X27" s="553"/>
      <c r="Y27" s="553"/>
      <c r="Z27" s="553"/>
      <c r="AA27" s="553"/>
      <c r="AB27" s="553"/>
      <c r="AC27" s="553"/>
      <c r="AD27" s="553"/>
      <c r="AE27" s="553"/>
      <c r="AF27" s="553"/>
      <c r="AG27" s="553"/>
    </row>
    <row r="28" spans="1:33" ht="92.25" customHeight="1" x14ac:dyDescent="0.3">
      <c r="B28" s="678" t="s">
        <v>97</v>
      </c>
      <c r="C28" s="678"/>
      <c r="D28" s="678"/>
      <c r="E28" s="678"/>
      <c r="F28" s="678"/>
      <c r="G28" s="678"/>
      <c r="H28" s="678"/>
      <c r="I28" s="678"/>
      <c r="J28" s="678"/>
      <c r="K28" s="195"/>
      <c r="L28" s="182"/>
      <c r="M28" s="182"/>
      <c r="N28" s="182"/>
      <c r="O28" s="182"/>
      <c r="P28" s="182"/>
      <c r="Q28" s="182"/>
      <c r="R28" s="182"/>
      <c r="S28" s="182"/>
      <c r="T28" s="182"/>
      <c r="U28" s="182"/>
      <c r="V28" s="182"/>
      <c r="W28" s="553"/>
      <c r="X28" s="553"/>
      <c r="Y28" s="553"/>
      <c r="Z28" s="553"/>
      <c r="AA28" s="553"/>
      <c r="AB28" s="553"/>
      <c r="AC28" s="553"/>
      <c r="AD28" s="553"/>
      <c r="AE28" s="553"/>
      <c r="AF28" s="553"/>
      <c r="AG28" s="553"/>
    </row>
    <row r="29" spans="1:33" s="180" customFormat="1" ht="31.5" customHeight="1" x14ac:dyDescent="0.3">
      <c r="A29" s="200"/>
      <c r="B29" s="245" t="s">
        <v>98</v>
      </c>
      <c r="C29" s="246"/>
      <c r="D29" s="246"/>
      <c r="E29" s="246"/>
      <c r="F29" s="246"/>
      <c r="G29" s="245" t="s">
        <v>99</v>
      </c>
      <c r="H29" s="247"/>
      <c r="I29" s="691" t="s">
        <v>100</v>
      </c>
      <c r="J29" s="183"/>
      <c r="K29" s="245" t="s">
        <v>101</v>
      </c>
      <c r="L29" s="250"/>
      <c r="M29" s="250"/>
      <c r="N29" s="250"/>
      <c r="O29" s="250"/>
      <c r="P29" s="251"/>
      <c r="Q29" s="183"/>
      <c r="R29" s="245" t="s">
        <v>102</v>
      </c>
      <c r="S29" s="247"/>
      <c r="T29" s="184"/>
      <c r="U29" s="248" t="s">
        <v>103</v>
      </c>
      <c r="V29" s="249"/>
      <c r="X29" s="553"/>
    </row>
    <row r="30" spans="1:33" s="185" customFormat="1" ht="69" customHeight="1" x14ac:dyDescent="0.3">
      <c r="A30" s="169"/>
      <c r="B30" s="582" t="s">
        <v>104</v>
      </c>
      <c r="C30" s="583" t="s">
        <v>105</v>
      </c>
      <c r="D30" s="693" t="s">
        <v>28</v>
      </c>
      <c r="E30" s="694"/>
      <c r="F30" s="694"/>
      <c r="G30" s="582" t="str">
        <f>CONCATENATE("Baseline 
Flush Rate",IF(Instructions!T57=1,"
(gpf)","
(lpf)"))</f>
        <v>Baseline 
Flush Rate
(gpf)</v>
      </c>
      <c r="H30" s="584" t="str">
        <f>CONCATENATE("Design 
Flush Rate",IF(Instructions!T57=1,"
(gpf)","
(lpf)"))</f>
        <v>Design 
Flush Rate
(gpf)</v>
      </c>
      <c r="I30" s="692"/>
      <c r="J30" s="186"/>
      <c r="K30" s="582" t="s">
        <v>34</v>
      </c>
      <c r="L30" s="583" t="s">
        <v>35</v>
      </c>
      <c r="M30" s="583" t="s">
        <v>36</v>
      </c>
      <c r="N30" s="583" t="s">
        <v>37</v>
      </c>
      <c r="O30" s="583" t="s">
        <v>38</v>
      </c>
      <c r="P30" s="583" t="str">
        <f>IF($I$10="Other (specify)","Other",$I$10)</f>
        <v>Other</v>
      </c>
      <c r="Q30" s="186"/>
      <c r="R30" s="582" t="s">
        <v>106</v>
      </c>
      <c r="S30" s="585" t="s">
        <v>107</v>
      </c>
      <c r="T30" s="187"/>
      <c r="U30" s="244" t="str">
        <f>CONCATENATE("Baseline
",IF(Instructions!$T$57=1,"(gallons)","(liters)"))</f>
        <v>Baseline
(gallons)</v>
      </c>
      <c r="V30" s="243" t="str">
        <f>CONCATENATE("Design 
",IF(Instructions!$T$57=1,"(gallons)","(liters)"))</f>
        <v>Design 
(gallons)</v>
      </c>
      <c r="W30" s="188"/>
      <c r="X30" s="232" t="s">
        <v>108</v>
      </c>
      <c r="Y30" s="586"/>
      <c r="Z30" s="586"/>
      <c r="AA30" s="586"/>
      <c r="AB30" s="586"/>
      <c r="AC30" s="586"/>
      <c r="AD30" s="586"/>
      <c r="AE30" s="586"/>
      <c r="AF30" s="586"/>
      <c r="AG30" s="586"/>
    </row>
    <row r="31" spans="1:33" ht="15" customHeight="1" x14ac:dyDescent="0.3">
      <c r="A31" s="125">
        <f>IF(B31&gt;0,0,0)</f>
        <v>0</v>
      </c>
      <c r="B31" s="270"/>
      <c r="C31" s="271"/>
      <c r="D31" s="683"/>
      <c r="E31" s="683"/>
      <c r="F31" s="683"/>
      <c r="G31" s="272" t="str">
        <f>IFERROR(IF(Instructions!$T$57=1,VLOOKUP(C31,Instructions!$C$45:$J$47,5,TRUE),VLOOKUP(C31,Instructions!$C$45:$J$47,7,TRUE)),"")</f>
        <v/>
      </c>
      <c r="H31" s="271"/>
      <c r="I31" s="273"/>
      <c r="J31" s="189"/>
      <c r="K31" s="274">
        <f>IF($D$11&gt;0,IF($C31="Toilet (male)",1+(2*(1-$I$16)),IF($C31="Toilet (female)",Instructions!$M$46,IF($C31="Urinal",2*$I$16,0))),0)</f>
        <v>0</v>
      </c>
      <c r="L31" s="266">
        <f>IF($E$11&gt;0,IF($C31="Toilet (male)",0.1+(0.4*(1-$I$16)),IF($C31="Toilet (female)",Instructions!$N$46,IF($C31="Urinal",0.4*$I$16,0))),0)</f>
        <v>0</v>
      </c>
      <c r="M31" s="286">
        <f>IF($F$11&gt;0,IF($C31="Toilet (male)",0.1+(0.1*(1-$I$16)),IF($C31="Toilet (female)",Instructions!$O$46,IF($C31="Urinal",0.1*$I$16,0))),0)</f>
        <v>0</v>
      </c>
      <c r="N31" s="266">
        <f>IF($G$11&gt;0,IF($C31="Toilet (male)",1+(2*(1-$I$16)),IF($C31="Toilet (female)",Instructions!$P$46,IF($C31="Urinal",2*$I$16,0))),0)</f>
        <v>0</v>
      </c>
      <c r="O31" s="266">
        <f>IF($H$11&gt;0,IF($C31="Toilet (male)",Instructions!$Q$45,IF($C31="Toilet (female)",Instructions!$Q$46,IF($C31="Urinal",Instructions!$Q$47,0))),0)</f>
        <v>0</v>
      </c>
      <c r="P31" s="267"/>
      <c r="Q31" s="189"/>
      <c r="R31" s="265">
        <f>IFERROR(IF(C31="Toilet (female)",(($D$13*K31)+($E$13*L31)+($F$13*M31)+($G$13*N31)+($H$13*O31)+($I$13*P31)),(($D$12*K31)+($E$12*L31)+($F$12*M31)+($G$12*N31)+($H$12*O31)+($I$12*P31))),0)</f>
        <v>0</v>
      </c>
      <c r="S31" s="267"/>
      <c r="T31" s="190"/>
      <c r="U31" s="269">
        <f>IFERROR(IF($S31&gt;0,G31*(S31*(I31/100)),G31*(R31*(I31/100))),0)</f>
        <v>0</v>
      </c>
      <c r="V31" s="528">
        <f>IFERROR(IF($S31&gt;0,H31*(S31*(I31/100)),H31*(R31*(I31/100))),0)</f>
        <v>0</v>
      </c>
      <c r="W31" s="191"/>
      <c r="X31" s="231" t="str">
        <f>IF(OR(C31="Toilet (male)",C31="Toilet (female)"),"Toilet",IF(C31="Urinal","Urinal",""))</f>
        <v/>
      </c>
      <c r="Y31" s="553"/>
      <c r="Z31" s="553"/>
      <c r="AA31" s="553"/>
      <c r="AB31" s="553"/>
      <c r="AC31" s="553"/>
      <c r="AD31" s="553"/>
      <c r="AE31" s="553"/>
      <c r="AF31" s="553"/>
      <c r="AG31" s="553"/>
    </row>
    <row r="32" spans="1:33" ht="15" customHeight="1" x14ac:dyDescent="0.3">
      <c r="A32" s="125">
        <f>IF(B32&gt;0,0,0)</f>
        <v>0</v>
      </c>
      <c r="B32" s="118"/>
      <c r="C32" s="119"/>
      <c r="D32" s="676"/>
      <c r="E32" s="676"/>
      <c r="F32" s="676"/>
      <c r="G32" s="167" t="str">
        <f>IFERROR(IF(Instructions!$T$57=1,VLOOKUP(C32,Instructions!$C$45:$J$47,5,TRUE),VLOOKUP(C32,Instructions!$C$45:$J$47,7,TRUE)),"")</f>
        <v/>
      </c>
      <c r="H32" s="119"/>
      <c r="I32" s="120"/>
      <c r="J32" s="189"/>
      <c r="K32" s="233">
        <f>IF($D$11&gt;0,IF($C32="Toilet (male)",1+(2*(1-$I$16)),IF($C32="Toilet (female)",Instructions!$M$46,IF($C32="Urinal",2*$I$16,0))),0)</f>
        <v>0</v>
      </c>
      <c r="L32" s="234">
        <f>IF($E$11&gt;0,IF($C32="Toilet (male)",0.1+(0.4*(1-$I$16)),IF($C32="Toilet (female)",Instructions!$N$46,IF($C32="Urinal",0.4*$I$16,0))),0)</f>
        <v>0</v>
      </c>
      <c r="M32" s="287">
        <f>IF($F$11&gt;0,IF($C32="Toilet (male)",0.1+(0.1*(1-$I$16)),IF($C32="Toilet (female)",Instructions!$O$46,IF($C32="Urinal",0.1*$I$16,0))),0)</f>
        <v>0</v>
      </c>
      <c r="N32" s="234">
        <f>IF($G$11&gt;0,IF($C32="Toilet (male)",1+(2*(1-$I$16)),IF($C32="Toilet (female)",Instructions!$P$46,IF($C32="Urinal",2*$I$16,0))),0)</f>
        <v>0</v>
      </c>
      <c r="O32" s="234">
        <f>IF($H$11&gt;0,IF($C32="Toilet (male)",Instructions!$Q$45,IF($C32="Toilet (female)",Instructions!$Q$46,IF($C32="Urinal",Instructions!$Q$47,0))),0)</f>
        <v>0</v>
      </c>
      <c r="P32" s="201"/>
      <c r="Q32" s="189"/>
      <c r="R32" s="165">
        <f>IFERROR(IF(C32="Toilet (female)",(($D$13*K32)+($E$13*L32)+($F$13*M32)+($G$13*N32)+($H$13*O32)+($I$13*P32)),(($D$12*K32)+($E$12*L32)+($F$12*M32)+($G$12*N32)+($H$12*O32)+($I$12*P32))),0)</f>
        <v>0</v>
      </c>
      <c r="S32" s="201"/>
      <c r="T32" s="190"/>
      <c r="U32" s="158">
        <f>IFERROR(IF($S32&gt;0,G32*(S32*(I32/100)),G32*(R32*(I32/100))),0)</f>
        <v>0</v>
      </c>
      <c r="V32" s="529">
        <f>IFERROR(IF($S32&gt;0,H32*(S32*(I32/100)),H32*(R32*(I32/100))),0)</f>
        <v>0</v>
      </c>
      <c r="W32" s="191"/>
      <c r="X32" s="231" t="str">
        <f>IF(OR(C32="Toilet (male)",C32="Toilet (female)"),"Toilet",IF(C32="Urinal","Urinal",""))</f>
        <v/>
      </c>
      <c r="Y32" s="553"/>
      <c r="Z32" s="553"/>
      <c r="AA32" s="553"/>
      <c r="AB32" s="553"/>
      <c r="AC32" s="553"/>
      <c r="AD32" s="553"/>
      <c r="AE32" s="553"/>
      <c r="AF32" s="553"/>
      <c r="AG32" s="553"/>
    </row>
    <row r="33" spans="1:24" ht="15" customHeight="1" x14ac:dyDescent="0.3">
      <c r="A33" s="125">
        <f t="shared" ref="A33" si="5">IF(B33&gt;0,0,0)</f>
        <v>0</v>
      </c>
      <c r="B33" s="118"/>
      <c r="C33" s="119"/>
      <c r="D33" s="676"/>
      <c r="E33" s="676"/>
      <c r="F33" s="676"/>
      <c r="G33" s="167" t="str">
        <f>IFERROR(IF(Instructions!$T$57=1,VLOOKUP(C33,Instructions!$C$45:$J$47,5,TRUE),VLOOKUP(C33,Instructions!$C$45:$J$47,7,TRUE)),"")</f>
        <v/>
      </c>
      <c r="H33" s="119"/>
      <c r="I33" s="120"/>
      <c r="J33" s="189"/>
      <c r="K33" s="233">
        <f>IF($D$11&gt;0,IF($C33="Toilet (male)",1+(2*(1-$I$16)),IF($C33="Toilet (female)",Instructions!$M$46,IF($C33="Urinal",2*$I$16,0))),0)</f>
        <v>0</v>
      </c>
      <c r="L33" s="234">
        <f>IF($E$11&gt;0,IF($C33="Toilet (male)",0.1+(0.4*(1-$I$16)),IF($C33="Toilet (female)",Instructions!$N$46,IF($C33="Urinal",0.4*$I$16,0))),0)</f>
        <v>0</v>
      </c>
      <c r="M33" s="287">
        <f>IF($F$11&gt;0,IF($C33="Toilet (male)",0.1+(0.1*(1-$I$16)),IF($C33="Toilet (female)",Instructions!$O$46,IF($C33="Urinal",0.1*$I$16,0))),0)</f>
        <v>0</v>
      </c>
      <c r="N33" s="234">
        <f>IF($G$11&gt;0,IF($C33="Toilet (male)",1+(2*(1-$I$16)),IF($C33="Toilet (female)",Instructions!$P$46,IF($C33="Urinal",2*$I$16,0))),0)</f>
        <v>0</v>
      </c>
      <c r="O33" s="234">
        <f>IF($H$11&gt;0,IF($C33="Toilet (male)",Instructions!$Q$45,IF($C33="Toilet (female)",Instructions!$Q$46,IF($C33="Urinal",Instructions!$Q$47,0))),0)</f>
        <v>0</v>
      </c>
      <c r="P33" s="201"/>
      <c r="Q33" s="189"/>
      <c r="R33" s="165">
        <f>IFERROR(IF(C33="Toilet (female)",(($D$13*K33)+($E$13*L33)+($F$13*M33)+($G$13*N33)+($H$13*O33)+($I$13*P33)),(($D$12*K33)+($E$12*L33)+($F$12*M33)+($G$12*N33)+($H$12*O33)+($I$12*P33))),0)</f>
        <v>0</v>
      </c>
      <c r="S33" s="201"/>
      <c r="T33" s="190"/>
      <c r="U33" s="158">
        <f>IFERROR(IF($S33&gt;0,G33*(S33*(I33/100)),G33*(R33*(I33/100))),0)</f>
        <v>0</v>
      </c>
      <c r="V33" s="529">
        <f>IFERROR(IF($S33&gt;0,H33*(S33*(I33/100)),H33*(R33*(I33/100))),0)</f>
        <v>0</v>
      </c>
      <c r="W33" s="191"/>
      <c r="X33" s="231" t="str">
        <f>IF(OR(C33="Toilet (male)",C33="Toilet (female)"),"Toilet",IF(C33="Urinal","Urinal",""))</f>
        <v/>
      </c>
    </row>
    <row r="34" spans="1:24" ht="15" customHeight="1" x14ac:dyDescent="0.3">
      <c r="B34" s="118"/>
      <c r="C34" s="119"/>
      <c r="D34" s="676"/>
      <c r="E34" s="676"/>
      <c r="F34" s="676"/>
      <c r="G34" s="167" t="str">
        <f>IFERROR(IF(Instructions!$T$57=1,VLOOKUP(C34,Instructions!$C$45:$J$47,5,TRUE),VLOOKUP(C34,Instructions!$C$45:$J$47,7,TRUE)),"")</f>
        <v/>
      </c>
      <c r="H34" s="119"/>
      <c r="I34" s="120"/>
      <c r="J34" s="189"/>
      <c r="K34" s="233">
        <f>IF($D$11&gt;0,IF($C34="Toilet (male)",1+(2*(1-$I$16)),IF($C34="Toilet (female)",Instructions!$M$46,IF($C34="Urinal",2*$I$16,0))),0)</f>
        <v>0</v>
      </c>
      <c r="L34" s="234">
        <f>IF($E$11&gt;0,IF($C34="Toilet (male)",0.1+(0.4*(1-$I$16)),IF($C34="Toilet (female)",Instructions!$N$46,IF($C34="Urinal",0.4*$I$16,0))),0)</f>
        <v>0</v>
      </c>
      <c r="M34" s="287">
        <f>IF($F$11&gt;0,IF($C34="Toilet (male)",0.1+(0.1*(1-$I$16)),IF($C34="Toilet (female)",Instructions!$O$46,IF($C34="Urinal",0.1*$I$16,0))),0)</f>
        <v>0</v>
      </c>
      <c r="N34" s="234">
        <f>IF($G$11&gt;0,IF($C34="Toilet (male)",1+(2*(1-$I$16)),IF($C34="Toilet (female)",Instructions!$P$46,IF($C34="Urinal",2*$I$16,0))),0)</f>
        <v>0</v>
      </c>
      <c r="O34" s="234">
        <f>IF($H$11&gt;0,IF($C34="Toilet (male)",Instructions!$Q$45,IF($C34="Toilet (female)",Instructions!$Q$46,IF($C34="Urinal",Instructions!$Q$47,0))),0)</f>
        <v>0</v>
      </c>
      <c r="P34" s="201"/>
      <c r="Q34" s="189"/>
      <c r="R34" s="165">
        <f>IFERROR(IF(C34="Toilet (female)",(($D$13*K34)+($E$13*L34)+($F$13*M34)+($G$13*N34)+($H$13*O34)+($I$13*P34)),(($D$12*K34)+($E$12*L34)+($F$12*M34)+($G$12*N34)+($H$12*O34)+($I$12*P34))),0)</f>
        <v>0</v>
      </c>
      <c r="S34" s="201"/>
      <c r="T34" s="190"/>
      <c r="U34" s="158">
        <f>IFERROR(IF($S34&gt;0,G34*(S34*(I34/100)),G34*(R34*(I34/100))),0)</f>
        <v>0</v>
      </c>
      <c r="V34" s="529">
        <f>IFERROR(IF($S34&gt;0,H34*(S34*(I34/100)),H34*(R34*(I34/100))),0)</f>
        <v>0</v>
      </c>
      <c r="W34" s="191"/>
      <c r="X34" s="231" t="str">
        <f>IF(OR(C34="Toilet (male)",C34="Toilet (female)"),"Toilet",IF(C34="Urinal","Urinal",""))</f>
        <v/>
      </c>
    </row>
    <row r="35" spans="1:24" ht="15" customHeight="1" x14ac:dyDescent="0.3">
      <c r="B35" s="121"/>
      <c r="C35" s="122"/>
      <c r="D35" s="677"/>
      <c r="E35" s="677"/>
      <c r="F35" s="677"/>
      <c r="G35" s="168" t="str">
        <f>IFERROR(IF(Instructions!$T$57=1,VLOOKUP(C35,Instructions!$C$45:$J$47,5,TRUE),VLOOKUP(C35,Instructions!$C$45:$J$47,7,TRUE)),"")</f>
        <v/>
      </c>
      <c r="H35" s="122"/>
      <c r="I35" s="123"/>
      <c r="J35" s="192"/>
      <c r="K35" s="275">
        <f>IF($D$11&gt;0,IF($C35="Toilet (male)",1+(2*(1-$I$16)),IF($C35="Toilet (female)",Instructions!$M$46,IF($C35="Urinal",2*$I$16,0))),0)</f>
        <v>0</v>
      </c>
      <c r="L35" s="268">
        <f>IF($E$11&gt;0,IF($C35="Toilet (male)",0.1+(0.4*(1-$I$16)),IF($C35="Toilet (female)",Instructions!$N$46,IF($C35="Urinal",0.4*$I$16,0))),0)</f>
        <v>0</v>
      </c>
      <c r="M35" s="288">
        <f>IF($F$11&gt;0,IF($C35="Toilet (male)",0.1+(0.1*(1-$I$16)),IF($C35="Toilet (female)",Instructions!$O$46,IF($C35="Urinal",0.1*$I$16,0))),0)</f>
        <v>0</v>
      </c>
      <c r="N35" s="268">
        <f>IF($G$11&gt;0,IF($C35="Toilet (male)",1+(2*(1-$I$16)),IF($C35="Toilet (female)",Instructions!$P$46,IF($C35="Urinal",2*$I$16,0))),0)</f>
        <v>0</v>
      </c>
      <c r="O35" s="268">
        <f>IF($H$11&gt;0,IF($C35="Toilet (male)",Instructions!$Q$45,IF($C35="Toilet (female)",Instructions!$Q$46,IF($C35="Urinal",Instructions!$Q$47,0))),0)</f>
        <v>0</v>
      </c>
      <c r="P35" s="202"/>
      <c r="Q35" s="192"/>
      <c r="R35" s="166">
        <f>IFERROR(IF(C35="Toilet (female)",(($D$13*K35)+($E$13*L35)+($F$13*M35)+($G$13*N35)+($H$13*O35)+($I$13*P35)),(($D$12*K35)+($E$12*L35)+($F$12*M35)+($G$12*N35)+($H$12*O35)+($I$12*P35))),0)</f>
        <v>0</v>
      </c>
      <c r="S35" s="202"/>
      <c r="T35" s="193"/>
      <c r="U35" s="161">
        <f>IFERROR(IF($S35&gt;0,G35*(S35*(I35/100)),G35*(R35*(I35/100))),0)</f>
        <v>0</v>
      </c>
      <c r="V35" s="530">
        <f>IFERROR(IF($S35&gt;0,H35*(S35*(I35/100)),H35*(R35*(I35/100))),0)</f>
        <v>0</v>
      </c>
      <c r="W35" s="553"/>
      <c r="X35" s="231" t="str">
        <f>IF(OR(C35="Toilet (male)",C35="Toilet (female)"),"Toilet",IF(C35="Urinal","Urinal",""))</f>
        <v/>
      </c>
    </row>
    <row r="36" spans="1:24" ht="21" customHeight="1" x14ac:dyDescent="0.3">
      <c r="A36" s="125" t="s">
        <v>109</v>
      </c>
      <c r="B36" s="573" t="str">
        <f>CONCATENATE("Baseline case annual flush volume ",IF(Instructions!$T$57=1,"(gallons/year)","(liters/year)"))</f>
        <v>Baseline case annual flush volume (gallons/year)</v>
      </c>
      <c r="C36" s="587"/>
      <c r="D36" s="587"/>
      <c r="E36" s="587"/>
      <c r="F36" s="587"/>
      <c r="G36" s="587"/>
      <c r="H36" s="587"/>
      <c r="I36" s="159">
        <f>(SUM(U31:U35)*$I$19)</f>
        <v>0</v>
      </c>
      <c r="J36" s="588"/>
      <c r="K36" s="589"/>
      <c r="L36" s="587"/>
      <c r="M36" s="587"/>
      <c r="N36" s="587"/>
      <c r="O36" s="587"/>
      <c r="P36" s="587"/>
      <c r="Q36" s="588"/>
      <c r="R36" s="589"/>
      <c r="S36" s="590"/>
      <c r="T36" s="588"/>
      <c r="U36" s="589"/>
      <c r="V36" s="590"/>
      <c r="W36" s="553"/>
      <c r="X36" s="553"/>
    </row>
    <row r="37" spans="1:24" ht="21" customHeight="1" x14ac:dyDescent="0.3">
      <c r="B37" s="579" t="str">
        <f>CONCATENATE("Design case annual flush volume ",IF(Instructions!$T$57=1,"(gallons/year)","(liters/year)"))</f>
        <v>Design case annual flush volume (gallons/year)</v>
      </c>
      <c r="C37" s="591"/>
      <c r="D37" s="591"/>
      <c r="E37" s="591"/>
      <c r="F37" s="591"/>
      <c r="G37" s="591"/>
      <c r="H37" s="591"/>
      <c r="I37" s="160">
        <f>(SUM(V31:V35)*$I$19)</f>
        <v>0</v>
      </c>
      <c r="J37" s="592"/>
      <c r="K37" s="593"/>
      <c r="L37" s="591"/>
      <c r="M37" s="591"/>
      <c r="N37" s="591"/>
      <c r="O37" s="591"/>
      <c r="P37" s="591"/>
      <c r="Q37" s="592"/>
      <c r="R37" s="593"/>
      <c r="S37" s="594"/>
      <c r="T37" s="592"/>
      <c r="U37" s="593"/>
      <c r="V37" s="594"/>
      <c r="W37" s="553"/>
      <c r="X37" s="553"/>
    </row>
    <row r="38" spans="1:24" ht="39.75" customHeight="1" x14ac:dyDescent="0.3">
      <c r="B38" s="142"/>
      <c r="C38" s="553"/>
      <c r="D38" s="553"/>
      <c r="E38" s="553"/>
      <c r="F38" s="553"/>
      <c r="G38" s="553"/>
      <c r="H38" s="553"/>
      <c r="I38" s="595"/>
      <c r="J38" s="595"/>
      <c r="K38" s="595"/>
      <c r="L38" s="553"/>
      <c r="M38" s="553"/>
      <c r="N38" s="553"/>
      <c r="O38" s="563"/>
      <c r="P38" s="553"/>
      <c r="Q38" s="553"/>
      <c r="R38" s="553"/>
      <c r="S38" s="553"/>
      <c r="T38" s="553"/>
      <c r="U38" s="553"/>
      <c r="V38" s="553"/>
      <c r="W38" s="553"/>
      <c r="X38" s="553"/>
    </row>
    <row r="39" spans="1:24" ht="24" customHeight="1" x14ac:dyDescent="0.3">
      <c r="B39" s="553"/>
      <c r="C39" s="553"/>
      <c r="D39" s="553"/>
      <c r="E39" s="553"/>
      <c r="F39" s="553"/>
      <c r="G39" s="553"/>
      <c r="H39" s="553"/>
      <c r="I39" s="553"/>
      <c r="J39" s="553"/>
      <c r="K39" s="553"/>
      <c r="L39" s="553"/>
      <c r="M39" s="553"/>
      <c r="N39" s="553"/>
      <c r="O39" s="563"/>
      <c r="P39" s="553"/>
      <c r="Q39" s="553"/>
      <c r="R39" s="553"/>
      <c r="S39" s="553"/>
      <c r="T39" s="553"/>
      <c r="U39" s="553"/>
      <c r="V39" s="553"/>
      <c r="W39" s="553"/>
      <c r="X39" s="553"/>
    </row>
    <row r="40" spans="1:24" ht="24.75" customHeight="1" x14ac:dyDescent="0.3">
      <c r="B40" s="194" t="s">
        <v>110</v>
      </c>
      <c r="C40" s="553"/>
      <c r="D40" s="553"/>
      <c r="E40" s="553"/>
      <c r="F40" s="553"/>
      <c r="G40" s="553"/>
      <c r="H40" s="553"/>
      <c r="I40" s="553"/>
      <c r="J40" s="553"/>
      <c r="K40" s="553"/>
      <c r="L40" s="553"/>
      <c r="M40" s="553"/>
      <c r="N40" s="553"/>
      <c r="O40" s="553"/>
      <c r="P40" s="553"/>
      <c r="Q40" s="553"/>
      <c r="R40" s="553"/>
      <c r="S40" s="553"/>
      <c r="T40" s="553"/>
      <c r="U40" s="553"/>
      <c r="V40" s="553"/>
      <c r="W40" s="553"/>
      <c r="X40" s="553"/>
    </row>
    <row r="41" spans="1:24" ht="90" customHeight="1" x14ac:dyDescent="0.3">
      <c r="B41" s="678" t="s">
        <v>111</v>
      </c>
      <c r="C41" s="678"/>
      <c r="D41" s="678"/>
      <c r="E41" s="678"/>
      <c r="F41" s="678"/>
      <c r="G41" s="678"/>
      <c r="H41" s="678"/>
      <c r="I41" s="678"/>
      <c r="J41" s="678"/>
      <c r="K41" s="678"/>
      <c r="L41" s="195"/>
      <c r="M41" s="195"/>
      <c r="N41" s="195"/>
      <c r="O41" s="195"/>
      <c r="P41" s="195"/>
      <c r="Q41" s="195"/>
      <c r="R41" s="195"/>
      <c r="S41" s="195"/>
      <c r="T41" s="195"/>
      <c r="U41" s="195"/>
      <c r="V41" s="195"/>
      <c r="W41" s="182"/>
      <c r="X41" s="553"/>
    </row>
    <row r="42" spans="1:24" ht="33" customHeight="1" x14ac:dyDescent="0.3">
      <c r="B42" s="245" t="s">
        <v>98</v>
      </c>
      <c r="C42" s="246"/>
      <c r="D42" s="246"/>
      <c r="E42" s="245" t="s">
        <v>112</v>
      </c>
      <c r="F42" s="246"/>
      <c r="G42" s="245" t="s">
        <v>113</v>
      </c>
      <c r="H42" s="247"/>
      <c r="I42" s="679" t="s">
        <v>100</v>
      </c>
      <c r="J42" s="183"/>
      <c r="K42" s="245" t="s">
        <v>101</v>
      </c>
      <c r="L42" s="250"/>
      <c r="M42" s="250"/>
      <c r="N42" s="250"/>
      <c r="O42" s="250"/>
      <c r="P42" s="251"/>
      <c r="Q42" s="596"/>
      <c r="R42" s="245" t="s">
        <v>102</v>
      </c>
      <c r="S42" s="247"/>
      <c r="T42" s="596"/>
      <c r="U42" s="248" t="s">
        <v>103</v>
      </c>
      <c r="V42" s="249"/>
      <c r="W42" s="570"/>
      <c r="X42" s="553"/>
    </row>
    <row r="43" spans="1:24" ht="69.75" customHeight="1" x14ac:dyDescent="0.3">
      <c r="B43" s="582" t="s">
        <v>104</v>
      </c>
      <c r="C43" s="681" t="s">
        <v>28</v>
      </c>
      <c r="D43" s="682"/>
      <c r="E43" s="582" t="s">
        <v>114</v>
      </c>
      <c r="F43" s="584" t="s">
        <v>115</v>
      </c>
      <c r="G43" s="582" t="str">
        <f>CONCATENATE("Baseline 
Flow Rate",IF(Instructions!$T$57=1,"
(gpm)","
(lpm)"))</f>
        <v>Baseline 
Flow Rate
(gpm)</v>
      </c>
      <c r="H43" s="585" t="str">
        <f>CONCATENATE("Design 
Flow Rate",IF(Instructions!$T$57=1,"
(gpm)","
(lpm)"))</f>
        <v>Design 
Flow Rate
(gpm)</v>
      </c>
      <c r="I43" s="680"/>
      <c r="J43" s="186"/>
      <c r="K43" s="582" t="s">
        <v>34</v>
      </c>
      <c r="L43" s="583" t="s">
        <v>35</v>
      </c>
      <c r="M43" s="583" t="s">
        <v>36</v>
      </c>
      <c r="N43" s="583" t="s">
        <v>37</v>
      </c>
      <c r="O43" s="583" t="s">
        <v>38</v>
      </c>
      <c r="P43" s="583" t="str">
        <f>IF($I$10="Other (specify)","Other",$I$10)</f>
        <v>Other</v>
      </c>
      <c r="Q43" s="186"/>
      <c r="R43" s="582" t="s">
        <v>106</v>
      </c>
      <c r="S43" s="585" t="s">
        <v>107</v>
      </c>
      <c r="T43" s="186"/>
      <c r="U43" s="244" t="str">
        <f>CONCATENATE("Baseline
",IF(Instructions!$T$57=1,"(gallons)","(liters)"))</f>
        <v>Baseline
(gallons)</v>
      </c>
      <c r="V43" s="243" t="str">
        <f>CONCATENATE("Design 
",IF(Instructions!$T$57=1,"(gallons)","(liters)"))</f>
        <v>Design 
(gallons)</v>
      </c>
      <c r="W43" s="188"/>
      <c r="X43" s="553"/>
    </row>
    <row r="44" spans="1:24" ht="15" customHeight="1" x14ac:dyDescent="0.3">
      <c r="A44" s="125">
        <f>IF(B44&gt;0,1,1)</f>
        <v>1</v>
      </c>
      <c r="B44" s="252"/>
      <c r="C44" s="683"/>
      <c r="D44" s="683"/>
      <c r="E44" s="253" t="str">
        <f>IFERROR(VLOOKUP(C44,Instructions!$C$45:$K$53,9,FALSE),"")</f>
        <v/>
      </c>
      <c r="F44" s="254"/>
      <c r="G44" s="255" t="str">
        <f>IFERROR(IF(Instructions!$T$57=1,VLOOKUP(C44,Instructions!$C$45:$K$53,5,FALSE),VLOOKUP(C44,Instructions!$C$45:$K$53,7,FALSE)),"")</f>
        <v/>
      </c>
      <c r="H44" s="531"/>
      <c r="I44" s="256"/>
      <c r="J44" s="189"/>
      <c r="K44" s="265">
        <f>IF($D$11&gt;0,IFERROR(VLOOKUP($C44,Instructions!$C$45:$Q$53,11,FALSE),0),0)</f>
        <v>0</v>
      </c>
      <c r="L44" s="266">
        <f>IF($E$11&gt;0,IFERROR(VLOOKUP($C44,Instructions!$C$45:$Q$53,12,FALSE),0),0)</f>
        <v>0</v>
      </c>
      <c r="M44" s="266">
        <f>IF($F$11&gt;0,IFERROR(VLOOKUP($C44,Instructions!$C$45:$Q$53,13,FALSE),0),0)</f>
        <v>0</v>
      </c>
      <c r="N44" s="266">
        <f>IF($G$11&gt;0,IFERROR(VLOOKUP($C44,Instructions!$C$45:$Q$53,14,FALSE),0),0)</f>
        <v>0</v>
      </c>
      <c r="O44" s="266">
        <f>IF($H$11&gt;0,IFERROR(VLOOKUP($C44,Instructions!$C$45:$Q$53,15,FALSE),0),0)</f>
        <v>0</v>
      </c>
      <c r="P44" s="267"/>
      <c r="Q44" s="227"/>
      <c r="R44" s="265">
        <f>IFERROR(($D$11*K44)+($E$11*L44)+($F$11*M44)+($G$11*N44)+($H$11*O44)+($I$11*P44),0)</f>
        <v>0</v>
      </c>
      <c r="S44" s="267"/>
      <c r="T44" s="196"/>
      <c r="U44" s="534">
        <f>IFERROR(IF(S44&gt;0,
   IF(E44="n/a",G44*(S44*(I44/100))*(60/60),
       IF(F44&gt;0,G44*(S44*(I44/100))*(F44/60), G44*(S44*(I44/100))*(E44/60))),
   IF(E44="n/a",G44*(R44*(I44/100))*(60/60),
       IF(F44&lt;0,G44*(R44*(I44/100))*(F44/60), G44*(R44*(I44/100))*(E44/60)))
),0)</f>
        <v>0</v>
      </c>
      <c r="V44" s="537">
        <f>IFERROR(IF(S44&gt;0,
   IF(E44="n/a",H44*(S44*(I44/100))*(60/60),
       IF(F44&gt;0,H44*(S44*(I44/100))*(F44/60), H44*(S44*(I44/100))*(E44/60))),
   IF(E44="n/a",H44*(R44*(I44/100))*(60/60),
       IF(F44&gt;0,H44*(R44*(I44/100))*(F44/60), H44*(R44*(I44/100))*(E44/60)))
),0)</f>
        <v>0</v>
      </c>
      <c r="W44" s="191"/>
      <c r="X44" s="553"/>
    </row>
    <row r="45" spans="1:24" ht="15" customHeight="1" x14ac:dyDescent="0.3">
      <c r="A45" s="125">
        <f>IF(B45&gt;0,1,1)</f>
        <v>1</v>
      </c>
      <c r="B45" s="136"/>
      <c r="C45" s="676"/>
      <c r="D45" s="676"/>
      <c r="E45" s="257" t="str">
        <f>IFERROR(VLOOKUP(C45,Instructions!$C$45:$K$53,9,FALSE),"")</f>
        <v/>
      </c>
      <c r="F45" s="258"/>
      <c r="G45" s="259" t="str">
        <f>IFERROR(IF(Instructions!$T$57=1,VLOOKUP(C45,Instructions!$C$45:$K$53,5,FALSE),VLOOKUP(C45,Instructions!$C$45:$K$53,7,FALSE)),"")</f>
        <v/>
      </c>
      <c r="H45" s="532"/>
      <c r="I45" s="260"/>
      <c r="J45" s="189"/>
      <c r="K45" s="165">
        <f>IF($D$11&gt;0,IFERROR(VLOOKUP($C45,Instructions!$C$45:$Q$53,11,FALSE),0),0)</f>
        <v>0</v>
      </c>
      <c r="L45" s="234">
        <f>IF($E$11&gt;0,IFERROR(VLOOKUP($C45,Instructions!$C$45:$Q$53,12,FALSE),0),0)</f>
        <v>0</v>
      </c>
      <c r="M45" s="234">
        <f>IF($F$11&gt;0,IFERROR(VLOOKUP($C45,Instructions!$C$45:$Q$53,13,FALSE),0),0)</f>
        <v>0</v>
      </c>
      <c r="N45" s="234">
        <f>IF($G$11&gt;0,IFERROR(VLOOKUP($C45,Instructions!$C$45:$Q$53,14,FALSE),0),0)</f>
        <v>0</v>
      </c>
      <c r="O45" s="234">
        <f>IF($H$11&gt;0,IFERROR(VLOOKUP($C45,Instructions!$C$45:$Q$53,15,FALSE),0),0)</f>
        <v>0</v>
      </c>
      <c r="P45" s="201"/>
      <c r="Q45" s="227"/>
      <c r="R45" s="165">
        <f>IFERROR(($D$11*K45)+($E$11*L45)+($F$11*M45)+($G$11*N45)+($H$11*O45)+($I$11*P45),0)</f>
        <v>0</v>
      </c>
      <c r="S45" s="201"/>
      <c r="T45" s="196"/>
      <c r="U45" s="535">
        <f>IFERROR(IF(S45&gt;0,
   IF(E45="n/a",G45*(S45*(I45/100))*(60/60),
       IF(F45&gt;0,G45*(S45*(I45/100))*(F45/60), G45*(S45*(I45/100))*(E45/60))),
   IF(E45="n/a",G45*(R45*(I45/100))*(60/60),
       IF(F45&lt;0,G45*(R45*(I45/100))*(F45/60), G45*(R45*(I45/100))*(E45/60)))
),0)</f>
        <v>0</v>
      </c>
      <c r="V45" s="538">
        <f>IFERROR(IF(S45&gt;0,
   IF(E45="n/a",H45*(S45*(I45/100))*(60/60),
       IF(F45&gt;0,H45*(S45*(I45/100))*(F45/60), H45*(S45*(I45/100))*(E45/60))),
   IF(E45="n/a",H45*(R45*(I45/100))*(60/60),
       IF(F45&gt;0,H45*(R45*(I45/100))*(F45/60), H45*(R45*(I45/100))*(E45/60)))
),0)</f>
        <v>0</v>
      </c>
      <c r="W45" s="191"/>
      <c r="X45" s="553"/>
    </row>
    <row r="46" spans="1:24" ht="15" customHeight="1" x14ac:dyDescent="0.3">
      <c r="A46" s="125">
        <f t="shared" ref="A46" si="6">IF(B46&gt;0,1,1)</f>
        <v>1</v>
      </c>
      <c r="B46" s="136"/>
      <c r="C46" s="676"/>
      <c r="D46" s="676"/>
      <c r="E46" s="257" t="str">
        <f>IFERROR(VLOOKUP(C46,Instructions!$C$45:$K$53,9,FALSE),"")</f>
        <v/>
      </c>
      <c r="F46" s="258"/>
      <c r="G46" s="259" t="str">
        <f>IFERROR(IF(Instructions!$T$57=1,VLOOKUP(C46,Instructions!$C$45:$K$53,5,FALSE),VLOOKUP(C46,Instructions!$C$45:$K$53,7,FALSE)),"")</f>
        <v/>
      </c>
      <c r="H46" s="532"/>
      <c r="I46" s="260"/>
      <c r="J46" s="189"/>
      <c r="K46" s="165">
        <f>IF($D$11&gt;0,IFERROR(VLOOKUP($C46,Instructions!$C$45:$Q$53,11,FALSE),0),0)</f>
        <v>0</v>
      </c>
      <c r="L46" s="234">
        <f>IF($E$11&gt;0,IFERROR(VLOOKUP($C46,Instructions!$C$45:$Q$53,12,FALSE),0),0)</f>
        <v>0</v>
      </c>
      <c r="M46" s="234">
        <f>IF($F$11&gt;0,IFERROR(VLOOKUP($C46,Instructions!$C$45:$Q$53,13,FALSE),0),0)</f>
        <v>0</v>
      </c>
      <c r="N46" s="234">
        <f>IF($G$11&gt;0,IFERROR(VLOOKUP($C46,Instructions!$C$45:$Q$53,14,FALSE),0),0)</f>
        <v>0</v>
      </c>
      <c r="O46" s="234">
        <f>IF($H$11&gt;0,IFERROR(VLOOKUP($C46,Instructions!$C$45:$Q$53,15,FALSE),0),0)</f>
        <v>0</v>
      </c>
      <c r="P46" s="201"/>
      <c r="Q46" s="227"/>
      <c r="R46" s="165">
        <f>IFERROR(($D$11*K46)+($E$11*L46)+($F$11*M46)+($G$11*N46)+($H$11*O46)+($I$11*P46),0)</f>
        <v>0</v>
      </c>
      <c r="S46" s="201"/>
      <c r="T46" s="196"/>
      <c r="U46" s="535">
        <f>IFERROR(IF(S46&gt;0,
   IF(E46="n/a",G46*(S46*(I46/100))*(60/60),
       IF(F46&gt;0,G46*(S46*(I46/100))*(F46/60), G46*(S46*(I46/100))*(E46/60))),
   IF(E46="n/a",G46*(R46*(I46/100))*(60/60),
       IF(F46&lt;0,G46*(R46*(I46/100))*(F46/60), G46*(R46*(I46/100))*(E46/60)))
),0)</f>
        <v>0</v>
      </c>
      <c r="V46" s="538">
        <f>IFERROR(IF(S46&gt;0,
   IF(E46="n/a",H46*(S46*(I46/100))*(60/60),
       IF(F46&gt;0,H46*(S46*(I46/100))*(F46/60), H46*(S46*(I46/100))*(E46/60))),
   IF(E46="n/a",H46*(R46*(I46/100))*(60/60),
       IF(F46&gt;0,H46*(R46*(I46/100))*(F46/60), H46*(R46*(I46/100))*(E46/60)))
),0)</f>
        <v>0</v>
      </c>
      <c r="W46" s="191"/>
      <c r="X46" s="553"/>
    </row>
    <row r="47" spans="1:24" ht="15" customHeight="1" x14ac:dyDescent="0.3">
      <c r="B47" s="136"/>
      <c r="C47" s="676"/>
      <c r="D47" s="676"/>
      <c r="E47" s="257" t="str">
        <f>IFERROR(VLOOKUP(C47,Instructions!$C$45:$K$53,9,FALSE),"")</f>
        <v/>
      </c>
      <c r="F47" s="258"/>
      <c r="G47" s="259" t="str">
        <f>IFERROR(IF(Instructions!$T$57=1,VLOOKUP(C47,Instructions!$C$45:$K$53,5,FALSE),VLOOKUP(C47,Instructions!$C$45:$K$53,7,FALSE)),"")</f>
        <v/>
      </c>
      <c r="H47" s="532"/>
      <c r="I47" s="260"/>
      <c r="J47" s="189"/>
      <c r="K47" s="165">
        <f>IF($D$11&gt;0,IFERROR(VLOOKUP($C47,Instructions!$C$45:$Q$53,11,FALSE),0),0)</f>
        <v>0</v>
      </c>
      <c r="L47" s="234">
        <f>IF($E$11&gt;0,IFERROR(VLOOKUP($C47,Instructions!$C$45:$Q$53,12,FALSE),0),0)</f>
        <v>0</v>
      </c>
      <c r="M47" s="234">
        <f>IF($F$11&gt;0,IFERROR(VLOOKUP($C47,Instructions!$C$45:$Q$53,13,FALSE),0),0)</f>
        <v>0</v>
      </c>
      <c r="N47" s="234">
        <f>IF($G$11&gt;0,IFERROR(VLOOKUP($C47,Instructions!$C$45:$Q$53,14,FALSE),0),0)</f>
        <v>0</v>
      </c>
      <c r="O47" s="234">
        <f>IF($H$11&gt;0,IFERROR(VLOOKUP($C47,Instructions!$C$45:$Q$53,15,FALSE),0),0)</f>
        <v>0</v>
      </c>
      <c r="P47" s="201"/>
      <c r="Q47" s="227"/>
      <c r="R47" s="165">
        <f>IFERROR(($D$11*K47)+($E$11*L47)+($F$11*M47)+($G$11*N47)+($H$11*O47)+($I$11*P47),0)</f>
        <v>0</v>
      </c>
      <c r="S47" s="201"/>
      <c r="T47" s="196"/>
      <c r="U47" s="535">
        <f>IFERROR(IF(S47&gt;0,
   IF(E47="n/a",G47*(S47*(I47/100))*(60/60),
       IF(F47&gt;0,G47*(S47*(I47/100))*(F47/60), G47*(S47*(I47/100))*(E47/60))),
   IF(E47="n/a",G47*(R47*(I47/100))*(60/60),
       IF(F47&lt;0,G47*(R47*(I47/100))*(F47/60), G47*(R47*(I47/100))*(E47/60)))
),0)</f>
        <v>0</v>
      </c>
      <c r="V47" s="538">
        <f>IFERROR(IF(S47&gt;0,
   IF(E47="n/a",H47*(S47*(I47/100))*(60/60),
       IF(F47&gt;0,H47*(S47*(I47/100))*(F47/60), H47*(S47*(I47/100))*(E47/60))),
   IF(E47="n/a",H47*(R47*(I47/100))*(60/60),
       IF(F47&gt;0,H47*(R47*(I47/100))*(F47/60), H47*(R47*(I47/100))*(E47/60)))
),0)</f>
        <v>0</v>
      </c>
      <c r="W47" s="191"/>
      <c r="X47" s="553"/>
    </row>
    <row r="48" spans="1:24" ht="15" customHeight="1" x14ac:dyDescent="0.3">
      <c r="B48" s="137"/>
      <c r="C48" s="677"/>
      <c r="D48" s="677"/>
      <c r="E48" s="261" t="str">
        <f>IFERROR(VLOOKUP(C48,Instructions!$C$45:$K$53,9,FALSE),"")</f>
        <v/>
      </c>
      <c r="F48" s="262"/>
      <c r="G48" s="263" t="str">
        <f>IFERROR(IF(Instructions!$T$57=1,VLOOKUP(C48,Instructions!$C$45:$K$53,5,FALSE),VLOOKUP(C48,Instructions!$C$45:$K$53,7,FALSE)),"")</f>
        <v/>
      </c>
      <c r="H48" s="533"/>
      <c r="I48" s="264"/>
      <c r="J48" s="192"/>
      <c r="K48" s="166">
        <f>IF($D$11&gt;0,IFERROR(VLOOKUP($C48,Instructions!$C$45:$Q$53,11,FALSE),0),0)</f>
        <v>0</v>
      </c>
      <c r="L48" s="268">
        <f>IF($E$11&gt;0,IFERROR(VLOOKUP($C48,Instructions!$C$45:$Q$53,12,FALSE),0),0)</f>
        <v>0</v>
      </c>
      <c r="M48" s="268">
        <f>IF($F$11&gt;0,IFERROR(VLOOKUP($C48,Instructions!$C$45:$Q$53,13,FALSE),0),0)</f>
        <v>0</v>
      </c>
      <c r="N48" s="268">
        <f>IF($G$11&gt;0,IFERROR(VLOOKUP($C48,Instructions!$C$45:$Q$53,14,FALSE),0),0)</f>
        <v>0</v>
      </c>
      <c r="O48" s="268">
        <f>IF($H$11&gt;0,IFERROR(VLOOKUP($C48,Instructions!$C$45:$Q$53,15,FALSE),0),0)</f>
        <v>0</v>
      </c>
      <c r="P48" s="202"/>
      <c r="Q48" s="228"/>
      <c r="R48" s="166">
        <f>IFERROR(($D$11*K48)+($E$11*L48)+($F$11*M48)+($G$11*N48)+($H$11*O48)+($I$11*P48),0)</f>
        <v>0</v>
      </c>
      <c r="S48" s="202"/>
      <c r="T48" s="197"/>
      <c r="U48" s="536">
        <f>IFERROR(IF(S48&gt;0,
   IF(E48="n/a",G48*(S48*(I48/100))*(60/60),
       IF(F48&gt;0,G48*(S48*(I48/100))*(F48/60), G48*(S48*(I48/100))*(E48/60))),
   IF(E48="n/a",G48*(R48*(I48/100))*(60/60),
       IF(F48&lt;0,G48*(R48*(I48/100))*(F48/60), G48*(R48*(I48/100))*(E48/60)))
),0)</f>
        <v>0</v>
      </c>
      <c r="V48" s="539">
        <f>IFERROR(IF(S48&gt;0,
   IF(E48="n/a",H48*(S48*(I48/100))*(60/60),
       IF(F48&gt;0,H48*(S48*(I48/100))*(F48/60), H48*(S48*(I48/100))*(E48/60))),
   IF(E48="n/a",H48*(R48*(I48/100))*(60/60),
       IF(F48&gt;0,H48*(R48*(I48/100))*(F48/60), H48*(R48*(I48/100))*(E48/60)))
),0)</f>
        <v>0</v>
      </c>
      <c r="W48" s="191"/>
      <c r="X48" s="553"/>
    </row>
    <row r="49" spans="1:24" ht="21" customHeight="1" x14ac:dyDescent="0.3">
      <c r="A49" s="125" t="s">
        <v>116</v>
      </c>
      <c r="B49" s="573" t="str">
        <f>CONCATENATE("Baseline case annual flow volume ",IF(Instructions!$T$57=1,"(gallons/year)","(liters/year)"))</f>
        <v>Baseline case annual flow volume (gallons/year)</v>
      </c>
      <c r="C49" s="587"/>
      <c r="D49" s="587"/>
      <c r="E49" s="587"/>
      <c r="F49" s="587"/>
      <c r="G49" s="587"/>
      <c r="H49" s="587"/>
      <c r="I49" s="159">
        <f>SUM(U44:U48)*$I$19</f>
        <v>0</v>
      </c>
      <c r="J49" s="588"/>
      <c r="K49" s="589"/>
      <c r="L49" s="587"/>
      <c r="M49" s="587"/>
      <c r="N49" s="587"/>
      <c r="O49" s="587"/>
      <c r="P49" s="587"/>
      <c r="Q49" s="588"/>
      <c r="R49" s="589"/>
      <c r="S49" s="590"/>
      <c r="T49" s="588"/>
      <c r="U49" s="589"/>
      <c r="V49" s="590"/>
      <c r="W49" s="553"/>
      <c r="X49" s="553"/>
    </row>
    <row r="50" spans="1:24" ht="21" customHeight="1" x14ac:dyDescent="0.3">
      <c r="B50" s="579" t="str">
        <f>CONCATENATE("Design case annual flow volume ",IF(Instructions!$T$57=1,"(gallons/year)","(liters/year)"))</f>
        <v>Design case annual flow volume (gallons/year)</v>
      </c>
      <c r="C50" s="591"/>
      <c r="D50" s="591"/>
      <c r="E50" s="591"/>
      <c r="F50" s="591"/>
      <c r="G50" s="591"/>
      <c r="H50" s="591"/>
      <c r="I50" s="160">
        <f>SUM(V44:V48)*$I$19</f>
        <v>0</v>
      </c>
      <c r="J50" s="592"/>
      <c r="K50" s="593"/>
      <c r="L50" s="591"/>
      <c r="M50" s="591"/>
      <c r="N50" s="591"/>
      <c r="O50" s="591"/>
      <c r="P50" s="591"/>
      <c r="Q50" s="592"/>
      <c r="R50" s="593"/>
      <c r="S50" s="594"/>
      <c r="T50" s="592"/>
      <c r="U50" s="593"/>
      <c r="V50" s="594"/>
      <c r="W50" s="553"/>
      <c r="X50" s="553"/>
    </row>
    <row r="51" spans="1:24" ht="39.75" customHeight="1" x14ac:dyDescent="0.3">
      <c r="B51" s="142"/>
      <c r="C51" s="553"/>
      <c r="D51" s="553"/>
      <c r="E51" s="553"/>
      <c r="F51" s="553"/>
      <c r="G51" s="553"/>
      <c r="H51" s="553"/>
      <c r="I51" s="595"/>
      <c r="J51" s="595"/>
      <c r="K51" s="595"/>
      <c r="L51" s="553"/>
      <c r="M51" s="553"/>
      <c r="N51" s="553"/>
      <c r="O51" s="563"/>
      <c r="P51" s="553"/>
      <c r="Q51" s="553"/>
      <c r="R51" s="553"/>
      <c r="S51" s="553"/>
      <c r="T51" s="553"/>
      <c r="U51" s="553"/>
      <c r="V51" s="553"/>
      <c r="W51" s="553"/>
      <c r="X51" s="553"/>
    </row>
    <row r="52" spans="1:24" ht="24.75" customHeight="1" x14ac:dyDescent="0.3">
      <c r="B52" s="143"/>
      <c r="C52" s="553"/>
      <c r="D52" s="553"/>
      <c r="E52" s="553"/>
      <c r="F52" s="553"/>
      <c r="G52" s="553"/>
      <c r="H52" s="553"/>
      <c r="I52" s="595"/>
      <c r="J52" s="595"/>
      <c r="K52" s="595"/>
      <c r="L52" s="553"/>
      <c r="M52" s="553"/>
      <c r="N52" s="553"/>
      <c r="O52" s="563"/>
      <c r="P52" s="553"/>
      <c r="Q52" s="553"/>
      <c r="R52" s="553"/>
      <c r="S52" s="553"/>
      <c r="T52" s="553"/>
      <c r="U52" s="553"/>
      <c r="V52" s="553"/>
      <c r="W52" s="553"/>
      <c r="X52" s="553"/>
    </row>
    <row r="53" spans="1:24" ht="24.75" customHeight="1" x14ac:dyDescent="0.3">
      <c r="B53" s="143"/>
      <c r="C53" s="553"/>
      <c r="D53" s="553"/>
      <c r="E53" s="553"/>
      <c r="F53" s="553"/>
      <c r="G53" s="553"/>
      <c r="H53" s="553"/>
      <c r="I53" s="595"/>
      <c r="J53" s="595"/>
      <c r="K53" s="595"/>
      <c r="L53" s="553"/>
      <c r="M53" s="553"/>
      <c r="N53" s="553"/>
      <c r="O53" s="563"/>
      <c r="P53" s="553"/>
      <c r="Q53" s="553"/>
      <c r="R53" s="553"/>
      <c r="S53" s="553"/>
      <c r="T53" s="553"/>
      <c r="U53" s="553"/>
      <c r="V53" s="553"/>
      <c r="W53" s="553"/>
      <c r="X53" s="553"/>
    </row>
    <row r="54" spans="1:24" ht="24.75" customHeight="1" x14ac:dyDescent="0.3">
      <c r="B54" s="553"/>
      <c r="C54" s="553"/>
      <c r="D54" s="553"/>
      <c r="E54" s="553"/>
      <c r="F54" s="553"/>
      <c r="G54" s="553"/>
      <c r="H54" s="553"/>
      <c r="I54" s="553"/>
      <c r="J54" s="553"/>
      <c r="K54" s="553"/>
      <c r="L54" s="553"/>
      <c r="M54" s="553"/>
      <c r="N54" s="553"/>
      <c r="O54" s="553"/>
      <c r="P54" s="553"/>
      <c r="Q54" s="553"/>
      <c r="R54" s="553"/>
      <c r="S54" s="553"/>
      <c r="T54" s="553"/>
      <c r="U54" s="553"/>
      <c r="V54" s="553"/>
      <c r="W54" s="553"/>
      <c r="X54" s="553"/>
    </row>
    <row r="55" spans="1:24" ht="24" customHeight="1" x14ac:dyDescent="0.3">
      <c r="B55" s="553"/>
      <c r="C55" s="553"/>
      <c r="D55" s="553"/>
      <c r="E55" s="553"/>
      <c r="F55" s="553"/>
      <c r="G55" s="553"/>
      <c r="H55" s="553"/>
      <c r="I55" s="553"/>
      <c r="J55" s="553"/>
      <c r="K55" s="553"/>
      <c r="L55" s="553"/>
      <c r="M55" s="553"/>
      <c r="N55" s="553"/>
      <c r="O55" s="553"/>
      <c r="P55" s="553"/>
      <c r="Q55" s="553"/>
      <c r="R55" s="553"/>
      <c r="S55" s="553"/>
      <c r="T55" s="553"/>
      <c r="U55" s="553"/>
      <c r="V55" s="553"/>
      <c r="W55" s="553"/>
      <c r="X55" s="553"/>
    </row>
    <row r="56" spans="1:24" ht="18" customHeight="1" x14ac:dyDescent="0.3">
      <c r="B56" s="144"/>
      <c r="C56" s="144"/>
      <c r="D56" s="144"/>
      <c r="E56" s="144"/>
      <c r="F56" s="144"/>
      <c r="G56" s="144"/>
      <c r="H56" s="144"/>
      <c r="I56" s="144"/>
      <c r="J56" s="144"/>
      <c r="K56" s="144"/>
      <c r="L56" s="144"/>
      <c r="M56" s="553"/>
      <c r="N56" s="553"/>
      <c r="O56" s="553"/>
      <c r="P56" s="553"/>
      <c r="Q56" s="553"/>
      <c r="R56" s="553"/>
      <c r="S56" s="553"/>
      <c r="T56" s="553"/>
      <c r="U56" s="553"/>
      <c r="V56" s="553"/>
      <c r="W56" s="553"/>
      <c r="X56" s="553"/>
    </row>
    <row r="57" spans="1:24" ht="18" customHeight="1" x14ac:dyDescent="0.3">
      <c r="B57" s="145"/>
      <c r="C57" s="553"/>
      <c r="D57" s="144"/>
      <c r="E57" s="144"/>
      <c r="F57" s="553"/>
      <c r="G57" s="553"/>
      <c r="H57" s="553"/>
      <c r="I57" s="146"/>
      <c r="J57" s="146"/>
      <c r="K57" s="146"/>
      <c r="L57" s="146"/>
      <c r="M57" s="553"/>
      <c r="N57" s="553"/>
      <c r="O57" s="553"/>
      <c r="P57" s="553"/>
      <c r="Q57" s="553"/>
      <c r="R57" s="553"/>
      <c r="S57" s="553"/>
      <c r="T57" s="553"/>
      <c r="U57" s="553"/>
      <c r="V57" s="553"/>
      <c r="W57" s="553"/>
      <c r="X57" s="553"/>
    </row>
    <row r="58" spans="1:24" ht="18" customHeight="1" x14ac:dyDescent="0.3">
      <c r="B58" s="147"/>
      <c r="C58" s="148"/>
      <c r="D58" s="144"/>
      <c r="E58" s="144"/>
      <c r="F58" s="553"/>
      <c r="G58" s="553"/>
      <c r="H58" s="553"/>
      <c r="I58" s="144"/>
      <c r="J58" s="144"/>
      <c r="K58" s="144"/>
      <c r="L58" s="144"/>
      <c r="M58" s="553"/>
      <c r="N58" s="553"/>
      <c r="O58" s="553"/>
      <c r="P58" s="553"/>
      <c r="Q58" s="553"/>
      <c r="R58" s="553"/>
      <c r="S58" s="553"/>
      <c r="T58" s="553"/>
      <c r="U58" s="553"/>
      <c r="V58" s="553"/>
      <c r="W58" s="553"/>
      <c r="X58" s="553"/>
    </row>
    <row r="59" spans="1:24" ht="24" customHeight="1" x14ac:dyDescent="0.3">
      <c r="B59" s="145"/>
      <c r="C59" s="148"/>
      <c r="D59" s="148"/>
      <c r="E59" s="148"/>
      <c r="F59" s="148"/>
      <c r="G59" s="148"/>
      <c r="H59" s="148"/>
      <c r="I59" s="144"/>
      <c r="J59" s="144"/>
      <c r="K59" s="144"/>
      <c r="L59" s="144"/>
      <c r="M59" s="553"/>
      <c r="N59" s="553"/>
      <c r="O59" s="553"/>
      <c r="P59" s="553"/>
      <c r="Q59" s="553"/>
      <c r="R59" s="553"/>
      <c r="S59" s="553"/>
      <c r="T59" s="553"/>
      <c r="U59" s="553"/>
      <c r="V59" s="553"/>
      <c r="W59" s="553"/>
      <c r="X59" s="553"/>
    </row>
    <row r="60" spans="1:24" ht="15" customHeight="1" x14ac:dyDescent="0.3">
      <c r="B60" s="145"/>
      <c r="C60" s="553"/>
      <c r="D60" s="148"/>
      <c r="E60" s="148"/>
      <c r="F60" s="553"/>
      <c r="G60" s="553"/>
      <c r="H60" s="553"/>
      <c r="I60" s="144"/>
      <c r="J60" s="144"/>
      <c r="K60" s="144"/>
      <c r="L60" s="144"/>
      <c r="M60" s="553"/>
      <c r="N60" s="553"/>
      <c r="O60" s="553"/>
      <c r="P60" s="553"/>
      <c r="Q60" s="553"/>
      <c r="R60" s="553"/>
      <c r="S60" s="553"/>
      <c r="T60" s="553"/>
      <c r="U60" s="553"/>
      <c r="V60" s="553"/>
      <c r="W60" s="191"/>
      <c r="X60" s="191"/>
    </row>
    <row r="61" spans="1:24" ht="15" customHeight="1" x14ac:dyDescent="0.3">
      <c r="B61" s="149"/>
      <c r="C61" s="553"/>
      <c r="D61" s="148"/>
      <c r="E61" s="144"/>
      <c r="F61" s="553"/>
      <c r="G61" s="553"/>
      <c r="H61" s="553"/>
      <c r="I61" s="597"/>
      <c r="J61" s="597"/>
      <c r="K61" s="597"/>
      <c r="L61" s="144"/>
      <c r="M61" s="553"/>
      <c r="N61" s="553"/>
      <c r="O61" s="553"/>
      <c r="P61" s="553"/>
      <c r="Q61" s="553"/>
      <c r="R61" s="553"/>
      <c r="S61" s="553"/>
      <c r="T61" s="553"/>
      <c r="U61" s="553"/>
      <c r="V61" s="553"/>
      <c r="W61" s="553"/>
      <c r="X61" s="191"/>
    </row>
    <row r="62" spans="1:24" ht="15" customHeight="1" x14ac:dyDescent="0.3">
      <c r="B62" s="149"/>
      <c r="C62" s="553"/>
      <c r="D62" s="148"/>
      <c r="E62" s="144"/>
      <c r="F62" s="553"/>
      <c r="G62" s="553"/>
      <c r="H62" s="553"/>
      <c r="I62" s="150"/>
      <c r="J62" s="150"/>
      <c r="K62" s="150"/>
      <c r="L62" s="144"/>
      <c r="M62" s="553"/>
      <c r="N62" s="553"/>
      <c r="O62" s="553"/>
      <c r="P62" s="553"/>
      <c r="Q62" s="553"/>
      <c r="R62" s="553"/>
      <c r="S62" s="553"/>
      <c r="T62" s="553"/>
      <c r="U62" s="553"/>
      <c r="V62" s="553"/>
      <c r="W62" s="553"/>
      <c r="X62" s="553"/>
    </row>
    <row r="63" spans="1:24" ht="15" customHeight="1" x14ac:dyDescent="0.3">
      <c r="B63" s="149"/>
      <c r="C63" s="553"/>
      <c r="D63" s="148"/>
      <c r="E63" s="144"/>
      <c r="F63" s="553"/>
      <c r="G63" s="553"/>
      <c r="H63" s="553"/>
      <c r="I63" s="597"/>
      <c r="J63" s="597"/>
      <c r="K63" s="597"/>
      <c r="L63" s="144"/>
      <c r="M63" s="553"/>
      <c r="N63" s="553"/>
      <c r="O63" s="553"/>
      <c r="P63" s="553"/>
      <c r="Q63" s="553"/>
      <c r="R63" s="553"/>
      <c r="S63" s="553"/>
      <c r="T63" s="553"/>
      <c r="U63" s="553"/>
      <c r="V63" s="553"/>
      <c r="W63" s="553"/>
      <c r="X63" s="553"/>
    </row>
    <row r="64" spans="1:24" ht="15" customHeight="1" x14ac:dyDescent="0.3">
      <c r="B64" s="149"/>
      <c r="C64" s="553"/>
      <c r="D64" s="148"/>
      <c r="E64" s="144"/>
      <c r="F64" s="553"/>
      <c r="G64" s="553"/>
      <c r="H64" s="553"/>
      <c r="I64" s="151"/>
      <c r="J64" s="151"/>
      <c r="K64" s="151"/>
      <c r="L64" s="144"/>
      <c r="M64" s="553"/>
      <c r="N64" s="553"/>
      <c r="O64" s="553"/>
      <c r="P64" s="553"/>
      <c r="Q64" s="553"/>
      <c r="R64" s="553"/>
      <c r="S64" s="553"/>
      <c r="T64" s="553"/>
      <c r="U64" s="553"/>
      <c r="V64" s="553"/>
      <c r="W64" s="553"/>
      <c r="X64" s="553"/>
    </row>
    <row r="65" spans="2:15" ht="15" customHeight="1" x14ac:dyDescent="0.3">
      <c r="B65" s="149"/>
      <c r="C65" s="553"/>
      <c r="D65" s="148"/>
      <c r="E65" s="144"/>
      <c r="F65" s="553"/>
      <c r="G65" s="553"/>
      <c r="H65" s="553"/>
      <c r="I65" s="597"/>
      <c r="J65" s="597"/>
      <c r="K65" s="597"/>
      <c r="L65" s="144"/>
      <c r="M65" s="553"/>
      <c r="N65" s="553"/>
      <c r="O65" s="553"/>
    </row>
    <row r="66" spans="2:15" ht="15" customHeight="1" x14ac:dyDescent="0.3">
      <c r="B66" s="147"/>
      <c r="C66" s="152"/>
      <c r="D66" s="152"/>
      <c r="E66" s="144"/>
      <c r="F66" s="553"/>
      <c r="G66" s="553"/>
      <c r="H66" s="553"/>
      <c r="I66" s="153"/>
      <c r="J66" s="153"/>
      <c r="K66" s="153"/>
      <c r="L66" s="144"/>
      <c r="M66" s="553"/>
      <c r="N66" s="553"/>
      <c r="O66" s="553"/>
    </row>
    <row r="67" spans="2:15" ht="24" customHeight="1" x14ac:dyDescent="0.3">
      <c r="B67" s="145"/>
      <c r="C67" s="148"/>
      <c r="D67" s="148"/>
      <c r="E67" s="148"/>
      <c r="F67" s="148"/>
      <c r="G67" s="148"/>
      <c r="H67" s="148"/>
      <c r="I67" s="144"/>
      <c r="J67" s="144"/>
      <c r="K67" s="144"/>
      <c r="L67" s="144"/>
      <c r="M67" s="553"/>
      <c r="N67" s="553"/>
      <c r="O67" s="553"/>
    </row>
    <row r="68" spans="2:15" ht="15" customHeight="1" x14ac:dyDescent="0.3">
      <c r="B68" s="145"/>
      <c r="C68" s="553"/>
      <c r="D68" s="148"/>
      <c r="E68" s="148"/>
      <c r="F68" s="553"/>
      <c r="G68" s="553"/>
      <c r="H68" s="553"/>
      <c r="I68" s="144"/>
      <c r="J68" s="144"/>
      <c r="K68" s="144"/>
      <c r="L68" s="144"/>
      <c r="M68" s="553"/>
      <c r="N68" s="553"/>
      <c r="O68" s="553"/>
    </row>
    <row r="69" spans="2:15" ht="15" customHeight="1" x14ac:dyDescent="0.3">
      <c r="B69" s="149"/>
      <c r="C69" s="553"/>
      <c r="D69" s="148"/>
      <c r="E69" s="144"/>
      <c r="F69" s="553"/>
      <c r="G69" s="553"/>
      <c r="H69" s="553"/>
      <c r="I69" s="597"/>
      <c r="J69" s="597"/>
      <c r="K69" s="597"/>
      <c r="L69" s="144"/>
      <c r="M69" s="553"/>
      <c r="N69" s="553"/>
      <c r="O69" s="553"/>
    </row>
    <row r="70" spans="2:15" ht="15" customHeight="1" x14ac:dyDescent="0.3">
      <c r="B70" s="149"/>
      <c r="C70" s="553"/>
      <c r="D70" s="148"/>
      <c r="E70" s="144"/>
      <c r="F70" s="553"/>
      <c r="G70" s="553"/>
      <c r="H70" s="553"/>
      <c r="I70" s="144"/>
      <c r="J70" s="144"/>
      <c r="K70" s="144"/>
      <c r="L70" s="144"/>
      <c r="M70" s="553"/>
      <c r="N70" s="553"/>
      <c r="O70" s="553"/>
    </row>
    <row r="71" spans="2:15" ht="15" customHeight="1" x14ac:dyDescent="0.3">
      <c r="B71" s="149"/>
      <c r="C71" s="553"/>
      <c r="D71" s="148"/>
      <c r="E71" s="144"/>
      <c r="F71" s="553"/>
      <c r="G71" s="553"/>
      <c r="H71" s="553"/>
      <c r="I71" s="597"/>
      <c r="J71" s="597"/>
      <c r="K71" s="597"/>
      <c r="L71" s="144"/>
      <c r="M71" s="553"/>
      <c r="N71" s="553"/>
      <c r="O71" s="553"/>
    </row>
    <row r="72" spans="2:15" ht="15" customHeight="1" x14ac:dyDescent="0.3">
      <c r="B72" s="149"/>
      <c r="C72" s="553"/>
      <c r="D72" s="148"/>
      <c r="E72" s="144"/>
      <c r="F72" s="553"/>
      <c r="G72" s="553"/>
      <c r="H72" s="553"/>
      <c r="I72" s="144"/>
      <c r="J72" s="144"/>
      <c r="K72" s="144"/>
      <c r="L72" s="144"/>
      <c r="M72" s="553"/>
      <c r="N72" s="553"/>
      <c r="O72" s="553"/>
    </row>
    <row r="73" spans="2:15" ht="15" customHeight="1" x14ac:dyDescent="0.3">
      <c r="B73" s="149"/>
      <c r="C73" s="553"/>
      <c r="D73" s="148"/>
      <c r="E73" s="144"/>
      <c r="F73" s="553"/>
      <c r="G73" s="553"/>
      <c r="H73" s="553"/>
      <c r="I73" s="597"/>
      <c r="J73" s="597"/>
      <c r="K73" s="597"/>
      <c r="L73" s="144"/>
      <c r="M73" s="553"/>
      <c r="N73" s="553"/>
      <c r="O73" s="553"/>
    </row>
    <row r="74" spans="2:15" ht="15" customHeight="1" x14ac:dyDescent="0.3">
      <c r="B74" s="147"/>
      <c r="C74" s="152"/>
      <c r="D74" s="152"/>
      <c r="E74" s="144"/>
      <c r="F74" s="553"/>
      <c r="G74" s="553"/>
      <c r="H74" s="553"/>
      <c r="I74" s="153"/>
      <c r="J74" s="153"/>
      <c r="K74" s="153"/>
      <c r="L74" s="144"/>
      <c r="M74" s="553"/>
      <c r="N74" s="553"/>
      <c r="O74" s="553"/>
    </row>
    <row r="75" spans="2:15" ht="15" customHeight="1" x14ac:dyDescent="0.3">
      <c r="B75" s="145"/>
      <c r="C75" s="146"/>
      <c r="D75" s="148"/>
      <c r="E75" s="148"/>
      <c r="F75" s="148"/>
      <c r="G75" s="148"/>
      <c r="H75" s="148"/>
      <c r="I75" s="144"/>
      <c r="J75" s="144"/>
      <c r="K75" s="144"/>
      <c r="L75" s="144"/>
      <c r="M75" s="553"/>
      <c r="N75" s="553"/>
      <c r="O75" s="553"/>
    </row>
    <row r="76" spans="2:15" ht="15" customHeight="1" x14ac:dyDescent="0.3">
      <c r="B76" s="149"/>
      <c r="C76" s="553"/>
      <c r="D76" s="148"/>
      <c r="E76" s="144"/>
      <c r="F76" s="553"/>
      <c r="G76" s="553"/>
      <c r="H76" s="553"/>
      <c r="I76" s="154"/>
      <c r="J76" s="154"/>
      <c r="K76" s="154"/>
      <c r="L76" s="198"/>
      <c r="M76" s="553"/>
      <c r="N76" s="553"/>
      <c r="O76" s="553"/>
    </row>
    <row r="77" spans="2:15" ht="24.75" customHeight="1" x14ac:dyDescent="0.3">
      <c r="B77" s="144"/>
      <c r="C77" s="152"/>
      <c r="D77" s="153"/>
      <c r="E77" s="144"/>
      <c r="F77" s="144"/>
      <c r="G77" s="144"/>
      <c r="H77" s="144"/>
      <c r="I77" s="153"/>
      <c r="J77" s="153"/>
      <c r="K77" s="153"/>
      <c r="L77" s="144"/>
      <c r="M77" s="553"/>
      <c r="N77" s="553"/>
      <c r="O77" s="553"/>
    </row>
    <row r="78" spans="2:15" x14ac:dyDescent="0.3">
      <c r="B78" s="553"/>
      <c r="C78" s="553"/>
      <c r="D78" s="553"/>
      <c r="E78" s="553"/>
      <c r="F78" s="553"/>
      <c r="G78" s="553"/>
      <c r="H78" s="553"/>
      <c r="I78" s="553"/>
      <c r="J78" s="553"/>
      <c r="K78" s="553"/>
      <c r="L78" s="553"/>
      <c r="M78" s="553"/>
      <c r="N78" s="553"/>
      <c r="O78" s="553"/>
    </row>
  </sheetData>
  <sheetProtection algorithmName="SHA-512" hashValue="4fU/g2mzWGi3wdo8cDXaS0uFtywzBGeaA/oHp+YCm/JPeCAgtsyuws//xsovQPo7nKdCiEJTPTBRT/oCEIJUkQ==" saltValue="tzulRJm8yifsCzhNTNbTHA==" spinCount="100000" sheet="1" objects="1" scenarios="1"/>
  <mergeCells count="22">
    <mergeCell ref="D33:F33"/>
    <mergeCell ref="B5:C5"/>
    <mergeCell ref="B7:J7"/>
    <mergeCell ref="B8:K8"/>
    <mergeCell ref="B9:K9"/>
    <mergeCell ref="B10:C10"/>
    <mergeCell ref="B15:K15"/>
    <mergeCell ref="B28:J28"/>
    <mergeCell ref="I29:I30"/>
    <mergeCell ref="D30:F30"/>
    <mergeCell ref="D31:F31"/>
    <mergeCell ref="D32:F32"/>
    <mergeCell ref="C45:D45"/>
    <mergeCell ref="C46:D46"/>
    <mergeCell ref="C47:D47"/>
    <mergeCell ref="C48:D48"/>
    <mergeCell ref="D34:F34"/>
    <mergeCell ref="D35:F35"/>
    <mergeCell ref="B41:K41"/>
    <mergeCell ref="I42:I43"/>
    <mergeCell ref="C43:D43"/>
    <mergeCell ref="C44:D44"/>
  </mergeCells>
  <conditionalFormatting sqref="D12:I13">
    <cfRule type="expression" dxfId="5" priority="3">
      <formula>IF($Z$8=TRUE,TRUE,FALSE)</formula>
    </cfRule>
  </conditionalFormatting>
  <conditionalFormatting sqref="D11:I11">
    <cfRule type="expression" dxfId="4" priority="2">
      <formula>IF($Z$8=TRUE,FALSE,TRUE)</formula>
    </cfRule>
  </conditionalFormatting>
  <conditionalFormatting sqref="F44:F48">
    <cfRule type="expression" dxfId="3" priority="1">
      <formula>IF($E44="n/a",TRUE,FALSE)</formula>
    </cfRule>
  </conditionalFormatting>
  <dataValidations count="4">
    <dataValidation type="list" allowBlank="1" showInputMessage="1" showErrorMessage="1" sqref="D31:D35" xr:uid="{00000000-0002-0000-0100-000000000000}">
      <formula1>INDIRECT(SUBSTITUTE($X31," ",""))</formula1>
    </dataValidation>
    <dataValidation type="list" allowBlank="1" showInputMessage="1" showErrorMessage="1" sqref="C31:C35" xr:uid="{00000000-0002-0000-0100-000001000000}">
      <formula1>FlushFixture</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5" xr:uid="{00000000-0002-0000-0100-000002000000}">
      <formula1>31</formula1>
    </dataValidation>
    <dataValidation type="list" allowBlank="1" showInputMessage="1" showErrorMessage="1" sqref="C44:C48" xr:uid="{00000000-0002-0000-0100-000003000000}">
      <formula1>FlowFixture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FlowAdd">
                <anchor moveWithCells="1">
                  <from>
                    <xdr:col>1</xdr:col>
                    <xdr:colOff>7620</xdr:colOff>
                    <xdr:row>50</xdr:row>
                    <xdr:rowOff>152400</xdr:rowOff>
                  </from>
                  <to>
                    <xdr:col>2</xdr:col>
                    <xdr:colOff>670560</xdr:colOff>
                    <xdr:row>50</xdr:row>
                    <xdr:rowOff>411480</xdr:rowOff>
                  </to>
                </anchor>
              </controlPr>
            </control>
          </mc:Choice>
        </mc:AlternateContent>
        <mc:AlternateContent xmlns:mc="http://schemas.openxmlformats.org/markup-compatibility/2006">
          <mc:Choice Requires="x14">
            <control shapeId="144386" r:id="rId5" name="Button 2">
              <controlPr defaultSize="0" print="0" autoFill="0" autoPict="0" macro="[0]!deleteB">
                <anchor moveWithCells="1">
                  <from>
                    <xdr:col>2</xdr:col>
                    <xdr:colOff>754380</xdr:colOff>
                    <xdr:row>50</xdr:row>
                    <xdr:rowOff>160020</xdr:rowOff>
                  </from>
                  <to>
                    <xdr:col>3</xdr:col>
                    <xdr:colOff>487680</xdr:colOff>
                    <xdr:row>50</xdr:row>
                    <xdr:rowOff>419100</xdr:rowOff>
                  </to>
                </anchor>
              </controlPr>
            </control>
          </mc:Choice>
        </mc:AlternateContent>
        <mc:AlternateContent xmlns:mc="http://schemas.openxmlformats.org/markup-compatibility/2006">
          <mc:Choice Requires="x14">
            <control shapeId="144387" r:id="rId6" name="Button 3">
              <controlPr defaultSize="0" print="0" autoFill="0" autoPict="0" macro="[0]!FlushAdd">
                <anchor moveWithCells="1">
                  <from>
                    <xdr:col>1</xdr:col>
                    <xdr:colOff>7620</xdr:colOff>
                    <xdr:row>37</xdr:row>
                    <xdr:rowOff>152400</xdr:rowOff>
                  </from>
                  <to>
                    <xdr:col>2</xdr:col>
                    <xdr:colOff>670560</xdr:colOff>
                    <xdr:row>37</xdr:row>
                    <xdr:rowOff>411480</xdr:rowOff>
                  </to>
                </anchor>
              </controlPr>
            </control>
          </mc:Choice>
        </mc:AlternateContent>
        <mc:AlternateContent xmlns:mc="http://schemas.openxmlformats.org/markup-compatibility/2006">
          <mc:Choice Requires="x14">
            <control shapeId="144388" r:id="rId7" name="Button 4">
              <controlPr defaultSize="0" print="0" autoFill="0" autoPict="0" macro="[0]!DeleteA">
                <anchor moveWithCells="1">
                  <from>
                    <xdr:col>2</xdr:col>
                    <xdr:colOff>754380</xdr:colOff>
                    <xdr:row>37</xdr:row>
                    <xdr:rowOff>144780</xdr:rowOff>
                  </from>
                  <to>
                    <xdr:col>3</xdr:col>
                    <xdr:colOff>487680</xdr:colOff>
                    <xdr:row>37</xdr:row>
                    <xdr:rowOff>411480</xdr:rowOff>
                  </to>
                </anchor>
              </controlPr>
            </control>
          </mc:Choice>
        </mc:AlternateContent>
        <mc:AlternateContent xmlns:mc="http://schemas.openxmlformats.org/markup-compatibility/2006">
          <mc:Choice Requires="x14">
            <control shapeId="144389" r:id="rId8" name="Check Box 5">
              <controlPr defaultSize="0" autoFill="0" autoLine="0" autoPict="0" macro="[0]!DefaultGender">
                <anchor moveWithCells="1">
                  <from>
                    <xdr:col>1</xdr:col>
                    <xdr:colOff>0</xdr:colOff>
                    <xdr:row>6</xdr:row>
                    <xdr:rowOff>266700</xdr:rowOff>
                  </from>
                  <to>
                    <xdr:col>1</xdr:col>
                    <xdr:colOff>670560</xdr:colOff>
                    <xdr:row>7</xdr:row>
                    <xdr:rowOff>190500</xdr:rowOff>
                  </to>
                </anchor>
              </controlPr>
            </control>
          </mc:Choice>
        </mc:AlternateContent>
        <mc:AlternateContent xmlns:mc="http://schemas.openxmlformats.org/markup-compatibility/2006">
          <mc:Choice Requires="x14">
            <control shapeId="144390" r:id="rId9" name="Check Box 6">
              <controlPr defaultSize="0" autoFill="0" autoLine="0" autoPict="0">
                <anchor moveWithCells="1">
                  <from>
                    <xdr:col>1</xdr:col>
                    <xdr:colOff>0</xdr:colOff>
                    <xdr:row>8</xdr:row>
                    <xdr:rowOff>0</xdr:rowOff>
                  </from>
                  <to>
                    <xdr:col>1</xdr:col>
                    <xdr:colOff>670560</xdr:colOff>
                    <xdr:row>8</xdr:row>
                    <xdr:rowOff>213360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G78"/>
  <sheetViews>
    <sheetView showGridLines="0" topLeftCell="A5" zoomScale="80" zoomScaleNormal="80" zoomScalePageLayoutView="80" workbookViewId="0">
      <selection activeCell="I29" sqref="I29:I30"/>
    </sheetView>
  </sheetViews>
  <sheetFormatPr defaultColWidth="9.109375" defaultRowHeight="13.2" x14ac:dyDescent="0.3"/>
  <cols>
    <col min="1" max="1" width="2.44140625" style="125" customWidth="1"/>
    <col min="2" max="2" width="10.88671875" style="138" customWidth="1"/>
    <col min="3" max="3" width="24.5546875" style="138" customWidth="1"/>
    <col min="4" max="8" width="12.6640625" style="138" customWidth="1"/>
    <col min="9" max="9" width="12.44140625" style="138" customWidth="1"/>
    <col min="10" max="10" width="2.6640625" style="138" customWidth="1"/>
    <col min="11" max="16" width="12.6640625" style="138" customWidth="1"/>
    <col min="17" max="17" width="2.6640625" style="138" customWidth="1"/>
    <col min="18" max="19" width="12.6640625" style="138" customWidth="1"/>
    <col min="20" max="20" width="2.6640625" style="138" customWidth="1"/>
    <col min="21" max="23" width="12.6640625" style="138" customWidth="1"/>
    <col min="24" max="27" width="12.6640625" style="138" hidden="1" customWidth="1"/>
    <col min="28" max="33" width="8.6640625" style="138" hidden="1" customWidth="1"/>
    <col min="34" max="16384" width="9.109375" style="138"/>
  </cols>
  <sheetData>
    <row r="1" spans="1:33" ht="15" customHeight="1" x14ac:dyDescent="0.3">
      <c r="A1" s="36"/>
      <c r="B1" s="551"/>
      <c r="C1" s="552"/>
      <c r="D1" s="551"/>
      <c r="E1" s="551"/>
      <c r="F1" s="551"/>
      <c r="G1" s="551"/>
      <c r="H1" s="551"/>
      <c r="I1" s="551"/>
      <c r="J1" s="551"/>
      <c r="K1" s="551"/>
      <c r="L1" s="551"/>
      <c r="M1" s="551"/>
      <c r="N1" s="551"/>
      <c r="O1" s="551"/>
      <c r="P1" s="551"/>
      <c r="Q1" s="551"/>
      <c r="R1" s="551"/>
      <c r="S1" s="551"/>
      <c r="T1" s="551"/>
      <c r="U1" s="551"/>
      <c r="V1" s="551"/>
      <c r="W1" s="553"/>
      <c r="X1" s="553"/>
      <c r="Y1" s="553"/>
      <c r="Z1" s="553"/>
      <c r="AA1" s="553"/>
      <c r="AB1" s="553"/>
      <c r="AC1" s="553"/>
      <c r="AD1" s="553"/>
      <c r="AE1" s="553"/>
      <c r="AF1" s="553"/>
      <c r="AG1" s="553"/>
    </row>
    <row r="2" spans="1:33" ht="25.2" x14ac:dyDescent="0.3">
      <c r="A2" s="36"/>
      <c r="B2" s="139" t="str">
        <f ca="1">REPLACE(CELL("filename",A1),1,FIND("]",CELL("filename",A1)),"")</f>
        <v>Base Calc</v>
      </c>
      <c r="C2" s="140"/>
      <c r="D2" s="140"/>
      <c r="E2" s="171"/>
      <c r="F2" s="140"/>
      <c r="G2" s="140"/>
      <c r="H2" s="140"/>
      <c r="I2" s="140"/>
      <c r="J2" s="140"/>
      <c r="K2" s="140"/>
      <c r="L2" s="140"/>
      <c r="M2" s="140"/>
      <c r="N2" s="140"/>
      <c r="O2" s="140"/>
      <c r="P2" s="140"/>
      <c r="Q2" s="140"/>
      <c r="R2" s="140"/>
      <c r="S2" s="140"/>
      <c r="T2" s="140"/>
      <c r="U2" s="140"/>
      <c r="V2" s="140"/>
      <c r="W2" s="553"/>
      <c r="X2" s="553"/>
      <c r="Y2" s="553"/>
      <c r="Z2" s="553"/>
      <c r="AA2" s="553"/>
      <c r="AB2" s="553"/>
      <c r="AC2" s="553"/>
      <c r="AD2" s="553"/>
      <c r="AE2" s="553"/>
      <c r="AF2" s="553"/>
      <c r="AG2" s="553"/>
    </row>
    <row r="3" spans="1:33" ht="15" customHeight="1" x14ac:dyDescent="0.3">
      <c r="A3" s="36"/>
      <c r="B3" s="551"/>
      <c r="C3" s="552"/>
      <c r="D3" s="551"/>
      <c r="E3" s="551"/>
      <c r="F3" s="551"/>
      <c r="G3" s="551"/>
      <c r="H3" s="551"/>
      <c r="I3" s="551"/>
      <c r="J3" s="551"/>
      <c r="K3" s="551"/>
      <c r="L3" s="551"/>
      <c r="M3" s="551"/>
      <c r="N3" s="551"/>
      <c r="O3" s="551"/>
      <c r="P3" s="551"/>
      <c r="Q3" s="551"/>
      <c r="R3" s="551"/>
      <c r="S3" s="551"/>
      <c r="T3" s="551"/>
      <c r="U3" s="551"/>
      <c r="V3" s="551"/>
      <c r="W3" s="553"/>
      <c r="X3" s="553"/>
      <c r="Y3" s="553"/>
      <c r="Z3" s="553"/>
      <c r="AA3" s="553"/>
      <c r="AB3" s="553"/>
      <c r="AC3" s="553"/>
      <c r="AD3" s="553"/>
      <c r="AE3" s="553"/>
      <c r="AF3" s="553"/>
      <c r="AG3" s="553"/>
    </row>
    <row r="4" spans="1:33" ht="30.75" customHeight="1" x14ac:dyDescent="0.25">
      <c r="B4" s="141"/>
      <c r="C4" s="553"/>
      <c r="D4" s="553"/>
      <c r="E4" s="553"/>
      <c r="F4" s="553"/>
      <c r="G4" s="553"/>
      <c r="H4" s="553"/>
      <c r="I4" s="553"/>
      <c r="J4" s="553"/>
      <c r="K4" s="553"/>
      <c r="L4" s="553"/>
      <c r="M4" s="553"/>
      <c r="N4" s="553"/>
      <c r="O4" s="553"/>
      <c r="P4" s="553"/>
      <c r="Q4" s="553"/>
      <c r="R4" s="553"/>
      <c r="S4" s="553"/>
      <c r="T4" s="553"/>
      <c r="U4" s="553"/>
      <c r="V4" s="553"/>
      <c r="W4" s="553"/>
      <c r="X4" s="553"/>
      <c r="Y4" s="553"/>
      <c r="Z4" s="553"/>
      <c r="AA4" s="553"/>
      <c r="AB4" s="553"/>
      <c r="AC4" s="553"/>
      <c r="AD4" s="553"/>
      <c r="AE4" s="553"/>
      <c r="AF4" s="553"/>
      <c r="AG4" s="553"/>
    </row>
    <row r="5" spans="1:33" ht="24" customHeight="1" x14ac:dyDescent="0.3">
      <c r="B5" s="684" t="s">
        <v>70</v>
      </c>
      <c r="C5" s="685"/>
      <c r="D5" s="238" t="str">
        <f ca="1">B2</f>
        <v>Base Calc</v>
      </c>
      <c r="E5" s="553"/>
      <c r="F5" s="553"/>
      <c r="G5" s="553"/>
      <c r="H5" s="553"/>
      <c r="I5" s="553"/>
      <c r="J5" s="553"/>
      <c r="K5" s="553"/>
      <c r="L5" s="553"/>
      <c r="M5" s="553"/>
      <c r="N5" s="553"/>
      <c r="O5" s="553"/>
      <c r="P5" s="553"/>
      <c r="Q5" s="553"/>
      <c r="R5" s="553"/>
      <c r="S5" s="553"/>
      <c r="T5" s="553"/>
      <c r="U5" s="553"/>
      <c r="V5" s="553"/>
      <c r="W5" s="553"/>
      <c r="X5" s="553"/>
      <c r="Y5" s="553"/>
      <c r="Z5" s="553"/>
      <c r="AA5" s="553"/>
      <c r="AB5" s="553"/>
      <c r="AC5" s="553"/>
      <c r="AD5" s="553"/>
      <c r="AE5" s="553"/>
      <c r="AF5" s="553"/>
      <c r="AG5" s="553"/>
    </row>
    <row r="6" spans="1:33" ht="30.75" customHeight="1" x14ac:dyDescent="0.25">
      <c r="B6" s="141" t="s">
        <v>72</v>
      </c>
      <c r="C6" s="553"/>
      <c r="D6" s="553"/>
      <c r="E6" s="553"/>
      <c r="F6" s="553"/>
      <c r="G6" s="553"/>
      <c r="H6" s="553"/>
      <c r="I6" s="553"/>
      <c r="J6" s="553"/>
      <c r="K6" s="553"/>
      <c r="L6" s="553"/>
      <c r="M6" s="553"/>
      <c r="N6" s="553"/>
      <c r="O6" s="553"/>
      <c r="P6" s="553"/>
      <c r="Q6" s="553"/>
      <c r="R6" s="553"/>
      <c r="S6" s="553"/>
      <c r="T6" s="553"/>
      <c r="U6" s="553"/>
      <c r="V6" s="553"/>
      <c r="W6" s="553"/>
      <c r="X6" s="553"/>
      <c r="Y6" s="553"/>
      <c r="Z6" s="553"/>
      <c r="AA6" s="553"/>
      <c r="AB6" s="553"/>
      <c r="AC6" s="553"/>
      <c r="AD6" s="553"/>
      <c r="AE6" s="553"/>
      <c r="AF6" s="553"/>
      <c r="AG6" s="553"/>
    </row>
    <row r="7" spans="1:33" ht="23.25" customHeight="1" x14ac:dyDescent="0.3">
      <c r="B7" s="686" t="s">
        <v>73</v>
      </c>
      <c r="C7" s="686"/>
      <c r="D7" s="686"/>
      <c r="E7" s="686"/>
      <c r="F7" s="686"/>
      <c r="G7" s="686"/>
      <c r="H7" s="686"/>
      <c r="I7" s="686"/>
      <c r="J7" s="686"/>
      <c r="K7" s="554"/>
      <c r="L7" s="554"/>
      <c r="M7" s="554"/>
      <c r="N7" s="554"/>
      <c r="O7" s="554"/>
      <c r="P7" s="554"/>
      <c r="Q7" s="554"/>
      <c r="R7" s="553"/>
      <c r="S7" s="553"/>
      <c r="T7" s="553"/>
      <c r="U7" s="553"/>
      <c r="V7" s="553"/>
      <c r="W7" s="553"/>
      <c r="X7" s="553"/>
      <c r="Y7" s="553"/>
      <c r="Z7" s="553"/>
      <c r="AA7" s="553"/>
      <c r="AB7" s="553"/>
      <c r="AC7" s="553"/>
      <c r="AD7" s="553"/>
      <c r="AE7" s="553"/>
      <c r="AF7" s="553"/>
      <c r="AG7" s="553"/>
    </row>
    <row r="8" spans="1:33" ht="69.75" customHeight="1" x14ac:dyDescent="0.3">
      <c r="B8" s="687" t="s">
        <v>74</v>
      </c>
      <c r="C8" s="687"/>
      <c r="D8" s="687"/>
      <c r="E8" s="687"/>
      <c r="F8" s="687"/>
      <c r="G8" s="687"/>
      <c r="H8" s="687"/>
      <c r="I8" s="687"/>
      <c r="J8" s="687"/>
      <c r="K8" s="687"/>
      <c r="L8" s="554"/>
      <c r="M8" s="554"/>
      <c r="N8" s="554"/>
      <c r="O8" s="554"/>
      <c r="P8" s="554"/>
      <c r="Q8" s="554"/>
      <c r="R8" s="553"/>
      <c r="S8" s="553"/>
      <c r="T8" s="553"/>
      <c r="U8" s="553"/>
      <c r="V8" s="553"/>
      <c r="W8" s="553"/>
      <c r="X8" s="553"/>
      <c r="Y8" s="229" t="s">
        <v>75</v>
      </c>
      <c r="Z8" s="230" t="b">
        <v>0</v>
      </c>
      <c r="AA8" s="553"/>
      <c r="AB8" s="553"/>
      <c r="AC8" s="553"/>
      <c r="AD8" s="553"/>
      <c r="AE8" s="553"/>
      <c r="AF8" s="553"/>
      <c r="AG8" s="553"/>
    </row>
    <row r="9" spans="1:33" ht="78" customHeight="1" x14ac:dyDescent="0.3">
      <c r="B9" s="687" t="s">
        <v>76</v>
      </c>
      <c r="C9" s="687"/>
      <c r="D9" s="687"/>
      <c r="E9" s="687"/>
      <c r="F9" s="687"/>
      <c r="G9" s="687"/>
      <c r="H9" s="687"/>
      <c r="I9" s="687"/>
      <c r="J9" s="687"/>
      <c r="K9" s="687"/>
      <c r="L9" s="554"/>
      <c r="M9" s="554"/>
      <c r="N9" s="554"/>
      <c r="O9" s="554"/>
      <c r="P9" s="554"/>
      <c r="Q9" s="554"/>
      <c r="R9" s="553"/>
      <c r="S9" s="553"/>
      <c r="T9" s="553"/>
      <c r="U9" s="553"/>
      <c r="V9" s="553"/>
      <c r="W9" s="553"/>
      <c r="X9" s="553"/>
      <c r="Y9" s="229" t="s">
        <v>75</v>
      </c>
      <c r="Z9" s="230" t="b">
        <v>1</v>
      </c>
      <c r="AA9" s="553"/>
      <c r="AB9" s="553"/>
      <c r="AC9" s="553"/>
      <c r="AD9" s="553"/>
      <c r="AE9" s="553"/>
      <c r="AF9" s="553"/>
      <c r="AG9" s="553"/>
    </row>
    <row r="10" spans="1:33" s="172" customFormat="1" ht="50.25" customHeight="1" x14ac:dyDescent="0.25">
      <c r="A10" s="199"/>
      <c r="B10" s="688" t="s">
        <v>77</v>
      </c>
      <c r="C10" s="689"/>
      <c r="D10" s="555" t="s">
        <v>78</v>
      </c>
      <c r="E10" s="556" t="s">
        <v>35</v>
      </c>
      <c r="F10" s="556" t="s">
        <v>36</v>
      </c>
      <c r="G10" s="556" t="s">
        <v>37</v>
      </c>
      <c r="H10" s="556" t="s">
        <v>38</v>
      </c>
      <c r="I10" s="133" t="s">
        <v>79</v>
      </c>
      <c r="J10" s="557"/>
      <c r="K10" s="558" t="s">
        <v>80</v>
      </c>
      <c r="L10" s="554"/>
      <c r="M10" s="554"/>
      <c r="N10" s="554"/>
      <c r="O10" s="554"/>
      <c r="P10" s="554"/>
      <c r="Q10" s="554"/>
      <c r="R10" s="554"/>
      <c r="S10" s="554"/>
      <c r="T10" s="554"/>
      <c r="U10" s="554"/>
      <c r="V10" s="554"/>
      <c r="W10" s="554"/>
      <c r="X10" s="554"/>
      <c r="Y10" s="554"/>
      <c r="Z10" s="554"/>
      <c r="AA10" s="276"/>
      <c r="AB10" s="237" t="s">
        <v>81</v>
      </c>
      <c r="AC10" s="553"/>
      <c r="AD10" s="554"/>
      <c r="AE10" s="554"/>
      <c r="AF10" s="554"/>
      <c r="AG10" s="554"/>
    </row>
    <row r="11" spans="1:33" ht="15" customHeight="1" x14ac:dyDescent="0.3">
      <c r="B11" s="559" t="s">
        <v>82</v>
      </c>
      <c r="C11" s="560"/>
      <c r="D11" s="279"/>
      <c r="E11" s="280"/>
      <c r="F11" s="280"/>
      <c r="G11" s="280"/>
      <c r="H11" s="280"/>
      <c r="I11" s="281"/>
      <c r="J11" s="553"/>
      <c r="K11" s="240">
        <f>SUM(K12:K13)</f>
        <v>0</v>
      </c>
      <c r="L11" s="242"/>
      <c r="M11" s="554"/>
      <c r="N11" s="553"/>
      <c r="O11" s="553"/>
      <c r="P11" s="553"/>
      <c r="Q11" s="553"/>
      <c r="R11" s="553"/>
      <c r="S11" s="553"/>
      <c r="T11" s="553"/>
      <c r="U11" s="553"/>
      <c r="V11" s="553"/>
      <c r="W11" s="553"/>
      <c r="X11" s="225" t="s">
        <v>83</v>
      </c>
      <c r="Y11" s="173" t="s">
        <v>84</v>
      </c>
      <c r="Z11" s="174">
        <f>I49</f>
        <v>0</v>
      </c>
      <c r="AA11" s="553"/>
      <c r="AB11" s="235">
        <f t="shared" ref="AB11:AG11" si="0">AB12+AB13</f>
        <v>0</v>
      </c>
      <c r="AC11" s="235">
        <f t="shared" si="0"/>
        <v>0</v>
      </c>
      <c r="AD11" s="235">
        <f t="shared" si="0"/>
        <v>0</v>
      </c>
      <c r="AE11" s="235">
        <f t="shared" si="0"/>
        <v>0</v>
      </c>
      <c r="AF11" s="235">
        <f t="shared" si="0"/>
        <v>0</v>
      </c>
      <c r="AG11" s="235">
        <f t="shared" si="0"/>
        <v>0</v>
      </c>
    </row>
    <row r="12" spans="1:33" ht="15" customHeight="1" x14ac:dyDescent="0.3">
      <c r="B12" s="561" t="s">
        <v>85</v>
      </c>
      <c r="C12" s="562"/>
      <c r="D12" s="282">
        <f t="shared" ref="D12:I12" si="1">IF(ISODD(D$11)=TRUE,INT(D$11/2)+1,D$11/2)</f>
        <v>0</v>
      </c>
      <c r="E12" s="282">
        <f t="shared" si="1"/>
        <v>0</v>
      </c>
      <c r="F12" s="282">
        <f t="shared" si="1"/>
        <v>0</v>
      </c>
      <c r="G12" s="282">
        <f t="shared" si="1"/>
        <v>0</v>
      </c>
      <c r="H12" s="282">
        <f t="shared" si="1"/>
        <v>0</v>
      </c>
      <c r="I12" s="283">
        <f t="shared" si="1"/>
        <v>0</v>
      </c>
      <c r="J12" s="553"/>
      <c r="K12" s="277">
        <f>IFERROR(SUM($D$12:$I$12) / SUM(Total2),0)</f>
        <v>0</v>
      </c>
      <c r="L12" s="553"/>
      <c r="M12" s="554"/>
      <c r="N12" s="563"/>
      <c r="O12" s="564"/>
      <c r="P12" s="553"/>
      <c r="Q12" s="553"/>
      <c r="R12" s="553"/>
      <c r="S12" s="553"/>
      <c r="T12" s="553"/>
      <c r="U12" s="553"/>
      <c r="V12" s="553"/>
      <c r="W12" s="553"/>
      <c r="X12" s="225" t="s">
        <v>83</v>
      </c>
      <c r="Y12" s="173" t="s">
        <v>86</v>
      </c>
      <c r="Z12" s="174">
        <f>I36</f>
        <v>0</v>
      </c>
      <c r="AA12" s="553"/>
      <c r="AB12" s="236"/>
      <c r="AC12" s="236"/>
      <c r="AD12" s="236"/>
      <c r="AE12" s="236"/>
      <c r="AF12" s="236"/>
      <c r="AG12" s="236"/>
    </row>
    <row r="13" spans="1:33" ht="15" customHeight="1" x14ac:dyDescent="0.3">
      <c r="B13" s="565" t="s">
        <v>87</v>
      </c>
      <c r="C13" s="566"/>
      <c r="D13" s="284">
        <f t="shared" ref="D13:I13" si="2">INT(D$11/2)</f>
        <v>0</v>
      </c>
      <c r="E13" s="284">
        <f t="shared" si="2"/>
        <v>0</v>
      </c>
      <c r="F13" s="284">
        <f t="shared" si="2"/>
        <v>0</v>
      </c>
      <c r="G13" s="284">
        <f t="shared" si="2"/>
        <v>0</v>
      </c>
      <c r="H13" s="284">
        <f t="shared" si="2"/>
        <v>0</v>
      </c>
      <c r="I13" s="285">
        <f t="shared" si="2"/>
        <v>0</v>
      </c>
      <c r="J13" s="553"/>
      <c r="K13" s="278">
        <f>IFERROR(SUM($D$13:$I$13)/SUM(Total2),0)</f>
        <v>0</v>
      </c>
      <c r="L13" s="553"/>
      <c r="M13" s="554"/>
      <c r="N13" s="563"/>
      <c r="O13" s="564"/>
      <c r="P13" s="553"/>
      <c r="Q13" s="553"/>
      <c r="R13" s="553"/>
      <c r="S13" s="553"/>
      <c r="T13" s="553"/>
      <c r="U13" s="553"/>
      <c r="V13" s="553"/>
      <c r="W13" s="553"/>
      <c r="X13" s="224" t="s">
        <v>88</v>
      </c>
      <c r="Y13" s="173" t="s">
        <v>84</v>
      </c>
      <c r="Z13" s="175">
        <f>I50</f>
        <v>0</v>
      </c>
      <c r="AA13" s="553"/>
      <c r="AB13" s="236"/>
      <c r="AC13" s="236"/>
      <c r="AD13" s="236"/>
      <c r="AE13" s="236"/>
      <c r="AF13" s="236"/>
      <c r="AG13" s="236"/>
    </row>
    <row r="14" spans="1:33" ht="21" customHeight="1" x14ac:dyDescent="0.25">
      <c r="B14" s="553"/>
      <c r="C14" s="553"/>
      <c r="D14" s="553"/>
      <c r="E14" s="553"/>
      <c r="F14" s="553"/>
      <c r="G14" s="553"/>
      <c r="H14" s="553"/>
      <c r="I14" s="553"/>
      <c r="J14" s="553"/>
      <c r="K14" s="553"/>
      <c r="L14" s="553"/>
      <c r="M14" s="553"/>
      <c r="N14" s="553"/>
      <c r="O14" s="553"/>
      <c r="P14" s="553"/>
      <c r="Q14" s="553"/>
      <c r="R14" s="553"/>
      <c r="S14" s="553"/>
      <c r="T14" s="553"/>
      <c r="U14" s="553"/>
      <c r="V14" s="553"/>
      <c r="W14" s="567"/>
      <c r="X14" s="226" t="s">
        <v>88</v>
      </c>
      <c r="Y14" s="173" t="s">
        <v>86</v>
      </c>
      <c r="Z14" s="175">
        <f>I37</f>
        <v>0</v>
      </c>
      <c r="AA14" s="553"/>
      <c r="AB14" s="237" t="s">
        <v>89</v>
      </c>
      <c r="AC14" s="553"/>
      <c r="AD14" s="553"/>
      <c r="AE14" s="553"/>
      <c r="AF14" s="553"/>
      <c r="AG14" s="553"/>
    </row>
    <row r="15" spans="1:33" ht="27" customHeight="1" x14ac:dyDescent="0.3">
      <c r="B15" s="690" t="s">
        <v>90</v>
      </c>
      <c r="C15" s="690"/>
      <c r="D15" s="690"/>
      <c r="E15" s="690"/>
      <c r="F15" s="690"/>
      <c r="G15" s="690"/>
      <c r="H15" s="690"/>
      <c r="I15" s="690"/>
      <c r="J15" s="690"/>
      <c r="K15" s="690"/>
      <c r="L15" s="553"/>
      <c r="M15" s="553"/>
      <c r="N15" s="553"/>
      <c r="O15" s="553"/>
      <c r="P15" s="553"/>
      <c r="Q15" s="553"/>
      <c r="R15" s="553"/>
      <c r="S15" s="553"/>
      <c r="T15" s="553"/>
      <c r="U15" s="553"/>
      <c r="V15" s="553"/>
      <c r="W15" s="176"/>
      <c r="X15" s="553"/>
      <c r="Y15" s="553"/>
      <c r="Z15" s="553"/>
      <c r="AA15" s="553"/>
      <c r="AB15" s="235"/>
      <c r="AC15" s="235"/>
      <c r="AD15" s="235"/>
      <c r="AE15" s="235"/>
      <c r="AF15" s="235"/>
      <c r="AG15" s="235"/>
    </row>
    <row r="16" spans="1:33" ht="23.25" customHeight="1" x14ac:dyDescent="0.3">
      <c r="B16" s="568" t="s">
        <v>91</v>
      </c>
      <c r="C16" s="569"/>
      <c r="D16" s="569"/>
      <c r="E16" s="569"/>
      <c r="F16" s="569"/>
      <c r="G16" s="569"/>
      <c r="H16" s="569"/>
      <c r="I16" s="239">
        <v>1</v>
      </c>
      <c r="J16" s="570"/>
      <c r="K16" s="553"/>
      <c r="L16" s="177"/>
      <c r="M16" s="178"/>
      <c r="N16" s="178"/>
      <c r="O16" s="178"/>
      <c r="P16" s="178"/>
      <c r="Q16" s="178"/>
      <c r="R16" s="553"/>
      <c r="S16" s="553"/>
      <c r="T16" s="553"/>
      <c r="U16" s="553"/>
      <c r="V16" s="553"/>
      <c r="W16" s="553"/>
      <c r="X16" s="553"/>
      <c r="Y16" s="553"/>
      <c r="Z16" s="553"/>
      <c r="AA16" s="553"/>
      <c r="AB16" s="236">
        <f t="shared" ref="AB16:AG16" si="3">IF(ISODD(AB$11)=TRUE,INT(AB$11/2)+1,AB$11/2)</f>
        <v>0</v>
      </c>
      <c r="AC16" s="236">
        <f t="shared" si="3"/>
        <v>0</v>
      </c>
      <c r="AD16" s="236">
        <f t="shared" si="3"/>
        <v>0</v>
      </c>
      <c r="AE16" s="236">
        <f t="shared" si="3"/>
        <v>0</v>
      </c>
      <c r="AF16" s="236">
        <f t="shared" si="3"/>
        <v>0</v>
      </c>
      <c r="AG16" s="236">
        <f t="shared" si="3"/>
        <v>0</v>
      </c>
    </row>
    <row r="17" spans="1:33" ht="21" customHeight="1" x14ac:dyDescent="0.25">
      <c r="B17" s="571"/>
      <c r="C17" s="571"/>
      <c r="D17" s="571"/>
      <c r="E17" s="571"/>
      <c r="F17" s="571"/>
      <c r="G17" s="571"/>
      <c r="H17" s="571"/>
      <c r="I17" s="571"/>
      <c r="J17" s="553"/>
      <c r="K17" s="553"/>
      <c r="L17" s="553"/>
      <c r="M17" s="553"/>
      <c r="N17" s="553"/>
      <c r="O17" s="553"/>
      <c r="P17" s="553"/>
      <c r="Q17" s="553"/>
      <c r="R17" s="553"/>
      <c r="S17" s="553"/>
      <c r="T17" s="553"/>
      <c r="U17" s="553"/>
      <c r="V17" s="553"/>
      <c r="W17" s="553"/>
      <c r="X17" s="553"/>
      <c r="Y17" s="553"/>
      <c r="Z17" s="553"/>
      <c r="AA17" s="553"/>
      <c r="AB17" s="236">
        <f t="shared" ref="AB17:AG17" si="4">INT(AB$11/2)</f>
        <v>0</v>
      </c>
      <c r="AC17" s="236">
        <f t="shared" si="4"/>
        <v>0</v>
      </c>
      <c r="AD17" s="236">
        <f t="shared" si="4"/>
        <v>0</v>
      </c>
      <c r="AE17" s="236">
        <f t="shared" si="4"/>
        <v>0</v>
      </c>
      <c r="AF17" s="236">
        <f t="shared" si="4"/>
        <v>0</v>
      </c>
      <c r="AG17" s="236">
        <f t="shared" si="4"/>
        <v>0</v>
      </c>
    </row>
    <row r="18" spans="1:33" ht="21" customHeight="1" x14ac:dyDescent="0.3">
      <c r="B18" s="572" t="s">
        <v>92</v>
      </c>
      <c r="C18" s="572"/>
      <c r="D18" s="572"/>
      <c r="E18" s="572"/>
      <c r="F18" s="572"/>
      <c r="G18" s="572"/>
      <c r="H18" s="572"/>
      <c r="I18" s="572"/>
      <c r="J18" s="553"/>
      <c r="K18" s="553"/>
      <c r="L18" s="553"/>
      <c r="M18" s="553"/>
      <c r="N18" s="553"/>
      <c r="O18" s="553"/>
      <c r="P18" s="553"/>
      <c r="Q18" s="553"/>
      <c r="R18" s="553"/>
      <c r="S18" s="553"/>
      <c r="T18" s="553"/>
      <c r="U18" s="553"/>
      <c r="V18" s="553"/>
      <c r="W18" s="553"/>
      <c r="X18" s="553"/>
      <c r="Y18" s="553"/>
      <c r="Z18" s="553"/>
      <c r="AA18" s="553"/>
      <c r="AB18" s="553"/>
      <c r="AC18" s="553"/>
      <c r="AD18" s="553"/>
      <c r="AE18" s="553"/>
      <c r="AF18" s="553"/>
      <c r="AG18" s="553"/>
    </row>
    <row r="19" spans="1:33" ht="24" customHeight="1" x14ac:dyDescent="0.3">
      <c r="B19" s="568" t="s">
        <v>93</v>
      </c>
      <c r="C19" s="569"/>
      <c r="D19" s="569"/>
      <c r="E19" s="569"/>
      <c r="F19" s="569"/>
      <c r="G19" s="569"/>
      <c r="H19" s="569"/>
      <c r="I19" s="170">
        <v>365</v>
      </c>
      <c r="J19" s="553"/>
      <c r="K19" s="553"/>
      <c r="L19" s="553"/>
      <c r="M19" s="178"/>
      <c r="N19" s="178"/>
      <c r="O19" s="178"/>
      <c r="P19" s="178"/>
      <c r="Q19" s="178"/>
      <c r="R19" s="553"/>
      <c r="S19" s="553"/>
      <c r="T19" s="553"/>
      <c r="U19" s="553"/>
      <c r="V19" s="553"/>
      <c r="W19" s="553"/>
      <c r="X19" s="553"/>
      <c r="Y19" s="553"/>
      <c r="Z19" s="553"/>
      <c r="AA19" s="553"/>
      <c r="AB19" s="553"/>
      <c r="AC19" s="553"/>
      <c r="AD19" s="553"/>
      <c r="AE19" s="553"/>
      <c r="AF19" s="553"/>
      <c r="AG19" s="553"/>
    </row>
    <row r="20" spans="1:33" ht="24" customHeight="1" x14ac:dyDescent="0.3">
      <c r="B20" s="143" t="str">
        <f>IF(I19&gt;365,"Annual days of operation must be between 1 and 365.","")</f>
        <v/>
      </c>
      <c r="C20" s="553"/>
      <c r="D20" s="553"/>
      <c r="E20" s="553"/>
      <c r="F20" s="553"/>
      <c r="G20" s="553"/>
      <c r="H20" s="553"/>
      <c r="I20" s="553"/>
      <c r="J20" s="553"/>
      <c r="K20" s="553"/>
      <c r="L20" s="553"/>
      <c r="M20" s="553"/>
      <c r="N20" s="553"/>
      <c r="O20" s="553"/>
      <c r="P20" s="553"/>
      <c r="Q20" s="553"/>
      <c r="R20" s="553"/>
      <c r="S20" s="553"/>
      <c r="T20" s="553"/>
      <c r="U20" s="553"/>
      <c r="V20" s="553"/>
      <c r="W20" s="553"/>
      <c r="X20" s="553"/>
      <c r="Y20" s="553"/>
      <c r="Z20" s="553"/>
      <c r="AA20" s="553"/>
      <c r="AB20" s="553"/>
      <c r="AC20" s="553"/>
      <c r="AD20" s="553"/>
      <c r="AE20" s="553"/>
      <c r="AF20" s="553"/>
      <c r="AG20" s="553"/>
    </row>
    <row r="21" spans="1:33" ht="21" customHeight="1" x14ac:dyDescent="0.3">
      <c r="B21" s="179" t="s">
        <v>94</v>
      </c>
      <c r="C21" s="553"/>
      <c r="D21" s="553"/>
      <c r="E21" s="553"/>
      <c r="F21" s="553"/>
      <c r="G21" s="553"/>
      <c r="H21" s="553"/>
      <c r="I21" s="553"/>
      <c r="J21" s="553"/>
      <c r="K21" s="553"/>
      <c r="L21" s="553"/>
      <c r="M21" s="553"/>
      <c r="N21" s="553"/>
      <c r="O21" s="563"/>
      <c r="P21" s="553"/>
      <c r="Q21" s="553"/>
      <c r="R21" s="553"/>
      <c r="S21" s="553"/>
      <c r="T21" s="553"/>
      <c r="U21" s="553"/>
      <c r="V21" s="553"/>
      <c r="W21" s="553"/>
      <c r="X21" s="553"/>
      <c r="Y21" s="553"/>
      <c r="Z21" s="553"/>
      <c r="AA21" s="553"/>
      <c r="AB21" s="553"/>
      <c r="AC21" s="553"/>
      <c r="AD21" s="553"/>
      <c r="AE21" s="553"/>
      <c r="AF21" s="553"/>
      <c r="AG21" s="553"/>
    </row>
    <row r="22" spans="1:33" ht="21" customHeight="1" x14ac:dyDescent="0.3">
      <c r="B22" s="553" t="s">
        <v>95</v>
      </c>
      <c r="C22" s="553"/>
      <c r="D22" s="553"/>
      <c r="E22" s="553"/>
      <c r="F22" s="553"/>
      <c r="G22" s="553"/>
      <c r="H22" s="553"/>
      <c r="I22" s="553"/>
      <c r="J22" s="553"/>
      <c r="K22" s="553"/>
      <c r="L22" s="553"/>
      <c r="M22" s="553"/>
      <c r="N22" s="553"/>
      <c r="O22" s="563"/>
      <c r="P22" s="553"/>
      <c r="Q22" s="553"/>
      <c r="R22" s="553"/>
      <c r="S22" s="553"/>
      <c r="T22" s="553"/>
      <c r="U22" s="553"/>
      <c r="V22" s="553"/>
      <c r="W22" s="553"/>
      <c r="X22" s="553"/>
      <c r="Y22" s="553"/>
      <c r="Z22" s="553"/>
      <c r="AA22" s="553"/>
      <c r="AB22" s="553"/>
      <c r="AC22" s="553"/>
      <c r="AD22" s="553"/>
      <c r="AE22" s="553"/>
      <c r="AF22" s="553"/>
      <c r="AG22" s="553"/>
    </row>
    <row r="23" spans="1:33" ht="18" customHeight="1" x14ac:dyDescent="0.3">
      <c r="B23" s="573" t="str">
        <f>CONCATENATE("Low flush ",IF(Instructions!$T$57=1,"(gpf)","(lpf)"))</f>
        <v>Low flush (gpf)</v>
      </c>
      <c r="C23" s="574"/>
      <c r="D23" s="575"/>
      <c r="E23" s="241"/>
      <c r="F23" s="553"/>
      <c r="G23" s="553"/>
      <c r="H23" s="553"/>
      <c r="I23" s="553"/>
      <c r="J23" s="553"/>
      <c r="K23" s="553"/>
      <c r="L23" s="553"/>
      <c r="M23" s="553"/>
      <c r="N23" s="553"/>
      <c r="O23" s="563"/>
      <c r="P23" s="553"/>
      <c r="Q23" s="553"/>
      <c r="R23" s="553"/>
      <c r="S23" s="553"/>
      <c r="T23" s="553"/>
      <c r="U23" s="553"/>
      <c r="V23" s="553"/>
      <c r="W23" s="553"/>
      <c r="X23" s="553"/>
      <c r="Y23" s="553"/>
      <c r="Z23" s="553"/>
      <c r="AA23" s="553"/>
      <c r="AB23" s="553"/>
      <c r="AC23" s="553"/>
      <c r="AD23" s="553"/>
      <c r="AE23" s="553"/>
      <c r="AF23" s="553"/>
      <c r="AG23" s="553"/>
    </row>
    <row r="24" spans="1:33" ht="18" customHeight="1" x14ac:dyDescent="0.3">
      <c r="B24" s="576" t="str">
        <f>CONCATENATE("Full flush ",IF(Instructions!$T$57=1,"(gpf)","(lpf)"))</f>
        <v>Full flush (gpf)</v>
      </c>
      <c r="C24" s="577"/>
      <c r="D24" s="578"/>
      <c r="E24" s="163"/>
      <c r="F24" s="553"/>
      <c r="G24" s="553"/>
      <c r="H24" s="553"/>
      <c r="I24" s="553"/>
      <c r="J24" s="553"/>
      <c r="K24" s="553"/>
      <c r="L24" s="553"/>
      <c r="M24" s="553"/>
      <c r="N24" s="553"/>
      <c r="O24" s="553"/>
      <c r="P24" s="553"/>
      <c r="Q24" s="553"/>
      <c r="R24" s="553"/>
      <c r="S24" s="553"/>
      <c r="T24" s="553"/>
      <c r="U24" s="553"/>
      <c r="V24" s="553"/>
      <c r="W24" s="553"/>
      <c r="X24" s="553"/>
      <c r="Y24" s="553"/>
      <c r="Z24" s="553"/>
      <c r="AA24" s="553"/>
      <c r="AB24" s="553"/>
      <c r="AC24" s="553"/>
      <c r="AD24" s="553"/>
      <c r="AE24" s="553"/>
      <c r="AF24" s="553"/>
      <c r="AG24" s="553"/>
    </row>
    <row r="25" spans="1:33" ht="18" customHeight="1" x14ac:dyDescent="0.3">
      <c r="B25" s="579" t="str">
        <f>CONCATENATE("LEED weighted average flush rate ",IF(Instructions!$T$57=1,"(gpf)","(lpf)"))</f>
        <v>LEED weighted average flush rate (gpf)</v>
      </c>
      <c r="C25" s="580"/>
      <c r="D25" s="581"/>
      <c r="E25" s="164">
        <f>IFERROR(((K12*E23* (2-(I16*2)) )+(K13*2*E23)+(K12*E24)+(K13*E24))/((K12*(1+ (2-(I16*2)) )+(K13*(1+2)))),0)</f>
        <v>0</v>
      </c>
      <c r="F25" s="162"/>
      <c r="G25" s="553"/>
      <c r="H25" s="553"/>
      <c r="I25" s="553"/>
      <c r="J25" s="553"/>
      <c r="K25" s="553"/>
      <c r="L25" s="553"/>
      <c r="M25" s="553"/>
      <c r="N25" s="553"/>
      <c r="O25" s="553"/>
      <c r="P25" s="553"/>
      <c r="Q25" s="553"/>
      <c r="R25" s="553"/>
      <c r="S25" s="553"/>
      <c r="T25" s="553"/>
      <c r="U25" s="553"/>
      <c r="V25" s="553"/>
      <c r="W25" s="553"/>
      <c r="X25" s="553"/>
      <c r="Y25" s="553"/>
      <c r="Z25" s="553"/>
      <c r="AA25" s="553"/>
      <c r="AB25" s="553"/>
      <c r="AC25" s="553"/>
      <c r="AD25" s="553"/>
      <c r="AE25" s="553"/>
      <c r="AF25" s="553"/>
      <c r="AG25" s="553"/>
    </row>
    <row r="26" spans="1:33" ht="21" customHeight="1" x14ac:dyDescent="0.3">
      <c r="B26" s="553"/>
      <c r="C26" s="553"/>
      <c r="D26" s="553"/>
      <c r="E26" s="553"/>
      <c r="F26" s="553"/>
      <c r="G26" s="553"/>
      <c r="H26" s="553"/>
      <c r="I26" s="553"/>
      <c r="J26" s="553"/>
      <c r="K26" s="553"/>
      <c r="L26" s="553"/>
      <c r="M26" s="553"/>
      <c r="N26" s="553"/>
      <c r="O26" s="563"/>
      <c r="P26" s="553"/>
      <c r="Q26" s="553"/>
      <c r="R26" s="553"/>
      <c r="S26" s="553"/>
      <c r="T26" s="553"/>
      <c r="U26" s="553"/>
      <c r="V26" s="553"/>
      <c r="W26" s="553"/>
      <c r="X26" s="553"/>
      <c r="Y26" s="553"/>
      <c r="Z26" s="553"/>
      <c r="AA26" s="553"/>
      <c r="AB26" s="553"/>
      <c r="AC26" s="553"/>
      <c r="AD26" s="553"/>
      <c r="AE26" s="553"/>
      <c r="AF26" s="553"/>
      <c r="AG26" s="553"/>
    </row>
    <row r="27" spans="1:33" ht="24" customHeight="1" x14ac:dyDescent="0.3">
      <c r="B27" s="180" t="s">
        <v>96</v>
      </c>
      <c r="C27" s="553"/>
      <c r="D27" s="553"/>
      <c r="E27" s="181"/>
      <c r="F27" s="181"/>
      <c r="G27" s="181"/>
      <c r="H27" s="181"/>
      <c r="I27" s="181"/>
      <c r="J27" s="181"/>
      <c r="K27" s="181"/>
      <c r="L27" s="181"/>
      <c r="M27" s="181"/>
      <c r="N27" s="181"/>
      <c r="O27" s="181"/>
      <c r="P27" s="181"/>
      <c r="Q27" s="181"/>
      <c r="R27" s="553"/>
      <c r="S27" s="553"/>
      <c r="T27" s="553"/>
      <c r="U27" s="553"/>
      <c r="V27" s="553"/>
      <c r="W27" s="553"/>
      <c r="X27" s="553"/>
      <c r="Y27" s="553"/>
      <c r="Z27" s="553"/>
      <c r="AA27" s="553"/>
      <c r="AB27" s="553"/>
      <c r="AC27" s="553"/>
      <c r="AD27" s="553"/>
      <c r="AE27" s="553"/>
      <c r="AF27" s="553"/>
      <c r="AG27" s="553"/>
    </row>
    <row r="28" spans="1:33" ht="92.25" customHeight="1" x14ac:dyDescent="0.3">
      <c r="B28" s="678" t="s">
        <v>97</v>
      </c>
      <c r="C28" s="678"/>
      <c r="D28" s="678"/>
      <c r="E28" s="678"/>
      <c r="F28" s="678"/>
      <c r="G28" s="678"/>
      <c r="H28" s="678"/>
      <c r="I28" s="678"/>
      <c r="J28" s="678"/>
      <c r="K28" s="195"/>
      <c r="L28" s="182"/>
      <c r="M28" s="182"/>
      <c r="N28" s="182"/>
      <c r="O28" s="182"/>
      <c r="P28" s="182"/>
      <c r="Q28" s="182"/>
      <c r="R28" s="182"/>
      <c r="S28" s="182"/>
      <c r="T28" s="182"/>
      <c r="U28" s="182"/>
      <c r="V28" s="182"/>
      <c r="W28" s="553"/>
      <c r="X28" s="553"/>
      <c r="Y28" s="553"/>
      <c r="Z28" s="553"/>
      <c r="AA28" s="553"/>
      <c r="AB28" s="553"/>
      <c r="AC28" s="553"/>
      <c r="AD28" s="553"/>
      <c r="AE28" s="553"/>
      <c r="AF28" s="553"/>
      <c r="AG28" s="553"/>
    </row>
    <row r="29" spans="1:33" s="180" customFormat="1" ht="31.5" customHeight="1" x14ac:dyDescent="0.3">
      <c r="A29" s="200"/>
      <c r="B29" s="245" t="s">
        <v>98</v>
      </c>
      <c r="C29" s="246"/>
      <c r="D29" s="246"/>
      <c r="E29" s="246"/>
      <c r="F29" s="246"/>
      <c r="G29" s="245" t="s">
        <v>99</v>
      </c>
      <c r="H29" s="247"/>
      <c r="I29" s="691" t="s">
        <v>100</v>
      </c>
      <c r="J29" s="183"/>
      <c r="K29" s="245" t="s">
        <v>101</v>
      </c>
      <c r="L29" s="250"/>
      <c r="M29" s="250"/>
      <c r="N29" s="250"/>
      <c r="O29" s="250"/>
      <c r="P29" s="251"/>
      <c r="Q29" s="183"/>
      <c r="R29" s="245" t="s">
        <v>102</v>
      </c>
      <c r="S29" s="247"/>
      <c r="T29" s="184"/>
      <c r="U29" s="248" t="s">
        <v>103</v>
      </c>
      <c r="V29" s="249"/>
      <c r="X29" s="553"/>
    </row>
    <row r="30" spans="1:33" s="185" customFormat="1" ht="69" customHeight="1" x14ac:dyDescent="0.3">
      <c r="A30" s="169"/>
      <c r="B30" s="582" t="s">
        <v>104</v>
      </c>
      <c r="C30" s="583" t="s">
        <v>105</v>
      </c>
      <c r="D30" s="693" t="s">
        <v>28</v>
      </c>
      <c r="E30" s="694"/>
      <c r="F30" s="694"/>
      <c r="G30" s="582" t="str">
        <f>CONCATENATE("Baseline 
Flush Rate",IF(Instructions!T57=1,"
(gpf)","
(lpf)"))</f>
        <v>Baseline 
Flush Rate
(gpf)</v>
      </c>
      <c r="H30" s="584" t="str">
        <f>CONCATENATE("Design 
Flush Rate",IF(Instructions!T57=1,"
(gpf)","
(lpf)"))</f>
        <v>Design 
Flush Rate
(gpf)</v>
      </c>
      <c r="I30" s="692"/>
      <c r="J30" s="186"/>
      <c r="K30" s="582" t="s">
        <v>34</v>
      </c>
      <c r="L30" s="583" t="s">
        <v>35</v>
      </c>
      <c r="M30" s="583" t="s">
        <v>36</v>
      </c>
      <c r="N30" s="583" t="s">
        <v>37</v>
      </c>
      <c r="O30" s="583" t="s">
        <v>38</v>
      </c>
      <c r="P30" s="583" t="str">
        <f>IF($I$10="Other (specify)","Other",$I$10)</f>
        <v>Other</v>
      </c>
      <c r="Q30" s="186"/>
      <c r="R30" s="582" t="s">
        <v>106</v>
      </c>
      <c r="S30" s="585" t="s">
        <v>107</v>
      </c>
      <c r="T30" s="187"/>
      <c r="U30" s="244" t="str">
        <f>CONCATENATE("Baseline
",IF(Instructions!$T$57=1,"(gallons)","(liters)"))</f>
        <v>Baseline
(gallons)</v>
      </c>
      <c r="V30" s="243" t="str">
        <f>CONCATENATE("Design 
",IF(Instructions!$T$57=1,"(gallons)","(liters)"))</f>
        <v>Design 
(gallons)</v>
      </c>
      <c r="W30" s="188"/>
      <c r="X30" s="232" t="s">
        <v>108</v>
      </c>
      <c r="Y30" s="586"/>
      <c r="Z30" s="586"/>
      <c r="AA30" s="586"/>
      <c r="AB30" s="586"/>
      <c r="AC30" s="586"/>
      <c r="AD30" s="586"/>
      <c r="AE30" s="586"/>
      <c r="AF30" s="586"/>
      <c r="AG30" s="586"/>
    </row>
    <row r="31" spans="1:33" ht="15" customHeight="1" x14ac:dyDescent="0.3">
      <c r="A31" s="125">
        <f>IF(B31&gt;0,0,0)</f>
        <v>0</v>
      </c>
      <c r="B31" s="270"/>
      <c r="C31" s="271"/>
      <c r="D31" s="683"/>
      <c r="E31" s="683"/>
      <c r="F31" s="683"/>
      <c r="G31" s="272" t="str">
        <f>IFERROR(IF(Instructions!$T$57=1,VLOOKUP(C31,Instructions!$C$45:$J$47,5,TRUE),VLOOKUP(C31,Instructions!$C$45:$J$47,7,TRUE)),"")</f>
        <v/>
      </c>
      <c r="H31" s="271"/>
      <c r="I31" s="273"/>
      <c r="J31" s="189"/>
      <c r="K31" s="274">
        <f>IF($D$11&gt;0,IF($C31="Toilet (male)",1+(2*(1-$I$16)),IF($C31="Toilet (female)",Instructions!$M$46,IF($C31="Urinal",2*$I$16,0))),0)</f>
        <v>0</v>
      </c>
      <c r="L31" s="266">
        <f>IF($E$11&gt;0,IF($C31="Toilet (male)",0.1+(0.4*(1-$I$16)),IF($C31="Toilet (female)",Instructions!$N$46,IF($C31="Urinal",0.4*$I$16,0))),0)</f>
        <v>0</v>
      </c>
      <c r="M31" s="286">
        <f>IF($F$11&gt;0,IF($C31="Toilet (male)",0.1+(0.1*(1-$I$16)),IF($C31="Toilet (female)",Instructions!$O$46,IF($C31="Urinal",0.1*$I$16,0))),0)</f>
        <v>0</v>
      </c>
      <c r="N31" s="266">
        <f>IF($G$11&gt;0,IF($C31="Toilet (male)",1+(2*(1-$I$16)),IF($C31="Toilet (female)",Instructions!$P$46,IF($C31="Urinal",2*$I$16,0))),0)</f>
        <v>0</v>
      </c>
      <c r="O31" s="266">
        <f>IF($H$11&gt;0,IF($C31="Toilet (male)",Instructions!$Q$45,IF($C31="Toilet (female)",Instructions!$Q$46,IF($C31="Urinal",Instructions!$Q$47,0))),0)</f>
        <v>0</v>
      </c>
      <c r="P31" s="267"/>
      <c r="Q31" s="189"/>
      <c r="R31" s="265">
        <f>IFERROR(IF(C31="Toilet (female)",(($D$13*K31)+($E$13*L31)+($F$13*M31)+($G$13*N31)+($H$13*O31)+($I$13*P31)),(($D$12*K31)+($E$12*L31)+($F$12*M31)+($G$12*N31)+($H$12*O31)+($I$12*P31))),0)</f>
        <v>0</v>
      </c>
      <c r="S31" s="267"/>
      <c r="T31" s="190"/>
      <c r="U31" s="269">
        <f>IFERROR(IF($S31&gt;0,G31*(S31*(I31/100)),G31*(R31*(I31/100))),0)</f>
        <v>0</v>
      </c>
      <c r="V31" s="528">
        <f>IFERROR(IF($S31&gt;0,H31*(S31*(I31/100)),H31*(R31*(I31/100))),0)</f>
        <v>0</v>
      </c>
      <c r="W31" s="191"/>
      <c r="X31" s="231" t="str">
        <f>IF(OR(C31="Toilet (male)",C31="Toilet (female)"),"Toilet",IF(C31="Urinal","Urinal",""))</f>
        <v/>
      </c>
      <c r="Y31" s="553"/>
      <c r="Z31" s="553"/>
      <c r="AA31" s="553"/>
      <c r="AB31" s="553"/>
      <c r="AC31" s="553"/>
      <c r="AD31" s="553"/>
      <c r="AE31" s="553"/>
      <c r="AF31" s="553"/>
      <c r="AG31" s="553"/>
    </row>
    <row r="32" spans="1:33" ht="15" customHeight="1" x14ac:dyDescent="0.3">
      <c r="A32" s="125">
        <f>IF(B32&gt;0,0,0)</f>
        <v>0</v>
      </c>
      <c r="B32" s="118"/>
      <c r="C32" s="119"/>
      <c r="D32" s="676"/>
      <c r="E32" s="676"/>
      <c r="F32" s="676"/>
      <c r="G32" s="167" t="str">
        <f>IFERROR(IF(Instructions!$T$57=1,VLOOKUP(C32,Instructions!$C$45:$J$47,5,TRUE),VLOOKUP(C32,Instructions!$C$45:$J$47,7,TRUE)),"")</f>
        <v/>
      </c>
      <c r="H32" s="119"/>
      <c r="I32" s="120"/>
      <c r="J32" s="189"/>
      <c r="K32" s="233">
        <f>IF($D$11&gt;0,IF($C32="Toilet (male)",1+(2*(1-$I$16)),IF($C32="Toilet (female)",Instructions!$M$46,IF($C32="Urinal",2*$I$16,0))),0)</f>
        <v>0</v>
      </c>
      <c r="L32" s="234">
        <f>IF($E$11&gt;0,IF($C32="Toilet (male)",0.1+(0.4*(1-$I$16)),IF($C32="Toilet (female)",Instructions!$N$46,IF($C32="Urinal",0.4*$I$16,0))),0)</f>
        <v>0</v>
      </c>
      <c r="M32" s="287">
        <f>IF($F$11&gt;0,IF($C32="Toilet (male)",0.1+(0.1*(1-$I$16)),IF($C32="Toilet (female)",Instructions!$O$46,IF($C32="Urinal",0.1*$I$16,0))),0)</f>
        <v>0</v>
      </c>
      <c r="N32" s="234">
        <f>IF($G$11&gt;0,IF($C32="Toilet (male)",1+(2*(1-$I$16)),IF($C32="Toilet (female)",Instructions!$P$46,IF($C32="Urinal",2*$I$16,0))),0)</f>
        <v>0</v>
      </c>
      <c r="O32" s="234">
        <f>IF($H$11&gt;0,IF($C32="Toilet (male)",Instructions!$Q$45,IF($C32="Toilet (female)",Instructions!$Q$46,IF($C32="Urinal",Instructions!$Q$47,0))),0)</f>
        <v>0</v>
      </c>
      <c r="P32" s="201"/>
      <c r="Q32" s="189"/>
      <c r="R32" s="165">
        <f>IFERROR(IF(C32="Toilet (female)",(($D$13*K32)+($E$13*L32)+($F$13*M32)+($G$13*N32)+($H$13*O32)+($I$13*P32)),(($D$12*K32)+($E$12*L32)+($F$12*M32)+($G$12*N32)+($H$12*O32)+($I$12*P32))),0)</f>
        <v>0</v>
      </c>
      <c r="S32" s="201"/>
      <c r="T32" s="190"/>
      <c r="U32" s="158">
        <f>IFERROR(IF($S32&gt;0,G32*(S32*(I32/100)),G32*(R32*(I32/100))),0)</f>
        <v>0</v>
      </c>
      <c r="V32" s="529">
        <f>IFERROR(IF($S32&gt;0,H32*(S32*(I32/100)),H32*(R32*(I32/100))),0)</f>
        <v>0</v>
      </c>
      <c r="W32" s="191"/>
      <c r="X32" s="231" t="str">
        <f>IF(OR(C32="Toilet (male)",C32="Toilet (female)"),"Toilet",IF(C32="Urinal","Urinal",""))</f>
        <v/>
      </c>
      <c r="Y32" s="553"/>
      <c r="Z32" s="553"/>
      <c r="AA32" s="553"/>
      <c r="AB32" s="553"/>
      <c r="AC32" s="553"/>
      <c r="AD32" s="553"/>
      <c r="AE32" s="553"/>
      <c r="AF32" s="553"/>
      <c r="AG32" s="553"/>
    </row>
    <row r="33" spans="1:24" ht="15" customHeight="1" x14ac:dyDescent="0.3">
      <c r="A33" s="125">
        <f t="shared" ref="A33" si="5">IF(B33&gt;0,0,0)</f>
        <v>0</v>
      </c>
      <c r="B33" s="118"/>
      <c r="C33" s="119"/>
      <c r="D33" s="676"/>
      <c r="E33" s="676"/>
      <c r="F33" s="676"/>
      <c r="G33" s="167" t="str">
        <f>IFERROR(IF(Instructions!$T$57=1,VLOOKUP(C33,Instructions!$C$45:$J$47,5,TRUE),VLOOKUP(C33,Instructions!$C$45:$J$47,7,TRUE)),"")</f>
        <v/>
      </c>
      <c r="H33" s="119"/>
      <c r="I33" s="120"/>
      <c r="J33" s="189"/>
      <c r="K33" s="233">
        <f>IF($D$11&gt;0,IF($C33="Toilet (male)",1+(2*(1-$I$16)),IF($C33="Toilet (female)",Instructions!$M$46,IF($C33="Urinal",2*$I$16,0))),0)</f>
        <v>0</v>
      </c>
      <c r="L33" s="234">
        <f>IF($E$11&gt;0,IF($C33="Toilet (male)",0.1+(0.4*(1-$I$16)),IF($C33="Toilet (female)",Instructions!$N$46,IF($C33="Urinal",0.4*$I$16,0))),0)</f>
        <v>0</v>
      </c>
      <c r="M33" s="287">
        <f>IF($F$11&gt;0,IF($C33="Toilet (male)",0.1+(0.1*(1-$I$16)),IF($C33="Toilet (female)",Instructions!$O$46,IF($C33="Urinal",0.1*$I$16,0))),0)</f>
        <v>0</v>
      </c>
      <c r="N33" s="234">
        <f>IF($G$11&gt;0,IF($C33="Toilet (male)",1+(2*(1-$I$16)),IF($C33="Toilet (female)",Instructions!$P$46,IF($C33="Urinal",2*$I$16,0))),0)</f>
        <v>0</v>
      </c>
      <c r="O33" s="234">
        <f>IF($H$11&gt;0,IF($C33="Toilet (male)",Instructions!$Q$45,IF($C33="Toilet (female)",Instructions!$Q$46,IF($C33="Urinal",Instructions!$Q$47,0))),0)</f>
        <v>0</v>
      </c>
      <c r="P33" s="201"/>
      <c r="Q33" s="189"/>
      <c r="R33" s="165">
        <f>IFERROR(IF(C33="Toilet (female)",(($D$13*K33)+($E$13*L33)+($F$13*M33)+($G$13*N33)+($H$13*O33)+($I$13*P33)),(($D$12*K33)+($E$12*L33)+($F$12*M33)+($G$12*N33)+($H$12*O33)+($I$12*P33))),0)</f>
        <v>0</v>
      </c>
      <c r="S33" s="201"/>
      <c r="T33" s="190"/>
      <c r="U33" s="158">
        <f>IFERROR(IF($S33&gt;0,G33*(S33*(I33/100)),G33*(R33*(I33/100))),0)</f>
        <v>0</v>
      </c>
      <c r="V33" s="529">
        <f>IFERROR(IF($S33&gt;0,H33*(S33*(I33/100)),H33*(R33*(I33/100))),0)</f>
        <v>0</v>
      </c>
      <c r="W33" s="191"/>
      <c r="X33" s="231" t="str">
        <f>IF(OR(C33="Toilet (male)",C33="Toilet (female)"),"Toilet",IF(C33="Urinal","Urinal",""))</f>
        <v/>
      </c>
    </row>
    <row r="34" spans="1:24" ht="15" customHeight="1" x14ac:dyDescent="0.3">
      <c r="B34" s="118"/>
      <c r="C34" s="119"/>
      <c r="D34" s="676"/>
      <c r="E34" s="676"/>
      <c r="F34" s="676"/>
      <c r="G34" s="167" t="str">
        <f>IFERROR(IF(Instructions!$T$57=1,VLOOKUP(C34,Instructions!$C$45:$J$47,5,TRUE),VLOOKUP(C34,Instructions!$C$45:$J$47,7,TRUE)),"")</f>
        <v/>
      </c>
      <c r="H34" s="119"/>
      <c r="I34" s="120"/>
      <c r="J34" s="189"/>
      <c r="K34" s="233">
        <f>IF($D$11&gt;0,IF($C34="Toilet (male)",1+(2*(1-$I$16)),IF($C34="Toilet (female)",Instructions!$M$46,IF($C34="Urinal",2*$I$16,0))),0)</f>
        <v>0</v>
      </c>
      <c r="L34" s="234">
        <f>IF($E$11&gt;0,IF($C34="Toilet (male)",0.1+(0.4*(1-$I$16)),IF($C34="Toilet (female)",Instructions!$N$46,IF($C34="Urinal",0.4*$I$16,0))),0)</f>
        <v>0</v>
      </c>
      <c r="M34" s="287">
        <f>IF($F$11&gt;0,IF($C34="Toilet (male)",0.1+(0.1*(1-$I$16)),IF($C34="Toilet (female)",Instructions!$O$46,IF($C34="Urinal",0.1*$I$16,0))),0)</f>
        <v>0</v>
      </c>
      <c r="N34" s="234">
        <f>IF($G$11&gt;0,IF($C34="Toilet (male)",1+(2*(1-$I$16)),IF($C34="Toilet (female)",Instructions!$P$46,IF($C34="Urinal",2*$I$16,0))),0)</f>
        <v>0</v>
      </c>
      <c r="O34" s="234">
        <f>IF($H$11&gt;0,IF($C34="Toilet (male)",Instructions!$Q$45,IF($C34="Toilet (female)",Instructions!$Q$46,IF($C34="Urinal",Instructions!$Q$47,0))),0)</f>
        <v>0</v>
      </c>
      <c r="P34" s="201"/>
      <c r="Q34" s="189"/>
      <c r="R34" s="165">
        <f>IFERROR(IF(C34="Toilet (female)",(($D$13*K34)+($E$13*L34)+($F$13*M34)+($G$13*N34)+($H$13*O34)+($I$13*P34)),(($D$12*K34)+($E$12*L34)+($F$12*M34)+($G$12*N34)+($H$12*O34)+($I$12*P34))),0)</f>
        <v>0</v>
      </c>
      <c r="S34" s="201"/>
      <c r="T34" s="190"/>
      <c r="U34" s="158">
        <f>IFERROR(IF($S34&gt;0,G34*(S34*(I34/100)),G34*(R34*(I34/100))),0)</f>
        <v>0</v>
      </c>
      <c r="V34" s="529">
        <f>IFERROR(IF($S34&gt;0,H34*(S34*(I34/100)),H34*(R34*(I34/100))),0)</f>
        <v>0</v>
      </c>
      <c r="W34" s="191"/>
      <c r="X34" s="231" t="str">
        <f>IF(OR(C34="Toilet (male)",C34="Toilet (female)"),"Toilet",IF(C34="Urinal","Urinal",""))</f>
        <v/>
      </c>
    </row>
    <row r="35" spans="1:24" ht="15" customHeight="1" x14ac:dyDescent="0.3">
      <c r="B35" s="121"/>
      <c r="C35" s="122"/>
      <c r="D35" s="677"/>
      <c r="E35" s="677"/>
      <c r="F35" s="677"/>
      <c r="G35" s="168" t="str">
        <f>IFERROR(IF(Instructions!$T$57=1,VLOOKUP(C35,Instructions!$C$45:$J$47,5,TRUE),VLOOKUP(C35,Instructions!$C$45:$J$47,7,TRUE)),"")</f>
        <v/>
      </c>
      <c r="H35" s="122"/>
      <c r="I35" s="123"/>
      <c r="J35" s="192"/>
      <c r="K35" s="275">
        <f>IF($D$11&gt;0,IF($C35="Toilet (male)",1+(2*(1-$I$16)),IF($C35="Toilet (female)",Instructions!$M$46,IF($C35="Urinal",2*$I$16,0))),0)</f>
        <v>0</v>
      </c>
      <c r="L35" s="268">
        <f>IF($E$11&gt;0,IF($C35="Toilet (male)",0.1+(0.4*(1-$I$16)),IF($C35="Toilet (female)",Instructions!$N$46,IF($C35="Urinal",0.4*$I$16,0))),0)</f>
        <v>0</v>
      </c>
      <c r="M35" s="288">
        <f>IF($F$11&gt;0,IF($C35="Toilet (male)",0.1+(0.1*(1-$I$16)),IF($C35="Toilet (female)",Instructions!$O$46,IF($C35="Urinal",0.1*$I$16,0))),0)</f>
        <v>0</v>
      </c>
      <c r="N35" s="268">
        <f>IF($G$11&gt;0,IF($C35="Toilet (male)",1+(2*(1-$I$16)),IF($C35="Toilet (female)",Instructions!$P$46,IF($C35="Urinal",2*$I$16,0))),0)</f>
        <v>0</v>
      </c>
      <c r="O35" s="268">
        <f>IF($H$11&gt;0,IF($C35="Toilet (male)",Instructions!$Q$45,IF($C35="Toilet (female)",Instructions!$Q$46,IF($C35="Urinal",Instructions!$Q$47,0))),0)</f>
        <v>0</v>
      </c>
      <c r="P35" s="202"/>
      <c r="Q35" s="192"/>
      <c r="R35" s="166">
        <f>IFERROR(IF(C35="Toilet (female)",(($D$13*K35)+($E$13*L35)+($F$13*M35)+($G$13*N35)+($H$13*O35)+($I$13*P35)),(($D$12*K35)+($E$12*L35)+($F$12*M35)+($G$12*N35)+($H$12*O35)+($I$12*P35))),0)</f>
        <v>0</v>
      </c>
      <c r="S35" s="202"/>
      <c r="T35" s="193"/>
      <c r="U35" s="161">
        <f>IFERROR(IF($S35&gt;0,G35*(S35*(I35/100)),G35*(R35*(I35/100))),0)</f>
        <v>0</v>
      </c>
      <c r="V35" s="530">
        <f>IFERROR(IF($S35&gt;0,H35*(S35*(I35/100)),H35*(R35*(I35/100))),0)</f>
        <v>0</v>
      </c>
      <c r="W35" s="553"/>
      <c r="X35" s="231" t="str">
        <f>IF(OR(C35="Toilet (male)",C35="Toilet (female)"),"Toilet",IF(C35="Urinal","Urinal",""))</f>
        <v/>
      </c>
    </row>
    <row r="36" spans="1:24" ht="21" customHeight="1" x14ac:dyDescent="0.3">
      <c r="A36" s="125" t="s">
        <v>109</v>
      </c>
      <c r="B36" s="573" t="str">
        <f>CONCATENATE("Baseline case annual flush volume ",IF(Instructions!$T$57=1,"(gallons/year)","(liters/year)"))</f>
        <v>Baseline case annual flush volume (gallons/year)</v>
      </c>
      <c r="C36" s="587"/>
      <c r="D36" s="587"/>
      <c r="E36" s="587"/>
      <c r="F36" s="587"/>
      <c r="G36" s="587"/>
      <c r="H36" s="587"/>
      <c r="I36" s="159">
        <f>(SUM(U31:U35)*$I$19)</f>
        <v>0</v>
      </c>
      <c r="J36" s="588"/>
      <c r="K36" s="589"/>
      <c r="L36" s="587"/>
      <c r="M36" s="587"/>
      <c r="N36" s="587"/>
      <c r="O36" s="587"/>
      <c r="P36" s="587"/>
      <c r="Q36" s="588"/>
      <c r="R36" s="589"/>
      <c r="S36" s="590"/>
      <c r="T36" s="588"/>
      <c r="U36" s="589"/>
      <c r="V36" s="590"/>
      <c r="W36" s="553"/>
      <c r="X36" s="553"/>
    </row>
    <row r="37" spans="1:24" ht="21" customHeight="1" x14ac:dyDescent="0.3">
      <c r="B37" s="579" t="str">
        <f>CONCATENATE("Design case annual flush volume ",IF(Instructions!$T$57=1,"(gallons/year)","(liters/year)"))</f>
        <v>Design case annual flush volume (gallons/year)</v>
      </c>
      <c r="C37" s="591"/>
      <c r="D37" s="591"/>
      <c r="E37" s="591"/>
      <c r="F37" s="591"/>
      <c r="G37" s="591"/>
      <c r="H37" s="591"/>
      <c r="I37" s="160">
        <f>(SUM(V31:V35)*$I$19)</f>
        <v>0</v>
      </c>
      <c r="J37" s="592"/>
      <c r="K37" s="593"/>
      <c r="L37" s="591"/>
      <c r="M37" s="591"/>
      <c r="N37" s="591"/>
      <c r="O37" s="591"/>
      <c r="P37" s="591"/>
      <c r="Q37" s="592"/>
      <c r="R37" s="593"/>
      <c r="S37" s="594"/>
      <c r="T37" s="592"/>
      <c r="U37" s="593"/>
      <c r="V37" s="594"/>
      <c r="W37" s="553"/>
      <c r="X37" s="553"/>
    </row>
    <row r="38" spans="1:24" ht="39.75" customHeight="1" x14ac:dyDescent="0.3">
      <c r="B38" s="142"/>
      <c r="C38" s="553"/>
      <c r="D38" s="553"/>
      <c r="E38" s="553"/>
      <c r="F38" s="553"/>
      <c r="G38" s="553"/>
      <c r="H38" s="553"/>
      <c r="I38" s="595"/>
      <c r="J38" s="595"/>
      <c r="K38" s="595"/>
      <c r="L38" s="553"/>
      <c r="M38" s="553"/>
      <c r="N38" s="553"/>
      <c r="O38" s="563"/>
      <c r="P38" s="553"/>
      <c r="Q38" s="553"/>
      <c r="R38" s="553"/>
      <c r="S38" s="553"/>
      <c r="T38" s="553"/>
      <c r="U38" s="553"/>
      <c r="V38" s="553"/>
      <c r="W38" s="553"/>
      <c r="X38" s="553"/>
    </row>
    <row r="39" spans="1:24" ht="24" customHeight="1" x14ac:dyDescent="0.3">
      <c r="B39" s="553"/>
      <c r="C39" s="553"/>
      <c r="D39" s="553"/>
      <c r="E39" s="553"/>
      <c r="F39" s="553"/>
      <c r="G39" s="553"/>
      <c r="H39" s="553"/>
      <c r="I39" s="553"/>
      <c r="J39" s="553"/>
      <c r="K39" s="553"/>
      <c r="L39" s="553"/>
      <c r="M39" s="553"/>
      <c r="N39" s="553"/>
      <c r="O39" s="563"/>
      <c r="P39" s="553"/>
      <c r="Q39" s="553"/>
      <c r="R39" s="553"/>
      <c r="S39" s="553"/>
      <c r="T39" s="553"/>
      <c r="U39" s="553"/>
      <c r="V39" s="553"/>
      <c r="W39" s="553"/>
      <c r="X39" s="553"/>
    </row>
    <row r="40" spans="1:24" ht="24.75" customHeight="1" x14ac:dyDescent="0.3">
      <c r="B40" s="194" t="s">
        <v>110</v>
      </c>
      <c r="C40" s="553"/>
      <c r="D40" s="553"/>
      <c r="E40" s="553"/>
      <c r="F40" s="553"/>
      <c r="G40" s="553"/>
      <c r="H40" s="553"/>
      <c r="I40" s="553"/>
      <c r="J40" s="553"/>
      <c r="K40" s="553"/>
      <c r="L40" s="553"/>
      <c r="M40" s="553"/>
      <c r="N40" s="553"/>
      <c r="O40" s="553"/>
      <c r="P40" s="553"/>
      <c r="Q40" s="553"/>
      <c r="R40" s="553"/>
      <c r="S40" s="553"/>
      <c r="T40" s="553"/>
      <c r="U40" s="553"/>
      <c r="V40" s="553"/>
      <c r="W40" s="553"/>
      <c r="X40" s="553"/>
    </row>
    <row r="41" spans="1:24" ht="90" customHeight="1" x14ac:dyDescent="0.3">
      <c r="B41" s="678" t="s">
        <v>111</v>
      </c>
      <c r="C41" s="678"/>
      <c r="D41" s="678"/>
      <c r="E41" s="678"/>
      <c r="F41" s="678"/>
      <c r="G41" s="678"/>
      <c r="H41" s="678"/>
      <c r="I41" s="678"/>
      <c r="J41" s="678"/>
      <c r="K41" s="678"/>
      <c r="L41" s="195"/>
      <c r="M41" s="195"/>
      <c r="N41" s="195"/>
      <c r="O41" s="195"/>
      <c r="P41" s="195"/>
      <c r="Q41" s="195"/>
      <c r="R41" s="195"/>
      <c r="S41" s="195"/>
      <c r="T41" s="195"/>
      <c r="U41" s="195"/>
      <c r="V41" s="195"/>
      <c r="W41" s="182"/>
      <c r="X41" s="553"/>
    </row>
    <row r="42" spans="1:24" ht="33" customHeight="1" x14ac:dyDescent="0.3">
      <c r="B42" s="245" t="s">
        <v>98</v>
      </c>
      <c r="C42" s="246"/>
      <c r="D42" s="246"/>
      <c r="E42" s="245" t="s">
        <v>112</v>
      </c>
      <c r="F42" s="246"/>
      <c r="G42" s="245" t="s">
        <v>113</v>
      </c>
      <c r="H42" s="247"/>
      <c r="I42" s="679" t="s">
        <v>100</v>
      </c>
      <c r="J42" s="183"/>
      <c r="K42" s="245" t="s">
        <v>101</v>
      </c>
      <c r="L42" s="250"/>
      <c r="M42" s="250"/>
      <c r="N42" s="250"/>
      <c r="O42" s="250"/>
      <c r="P42" s="251"/>
      <c r="Q42" s="596"/>
      <c r="R42" s="245" t="s">
        <v>102</v>
      </c>
      <c r="S42" s="247"/>
      <c r="T42" s="596"/>
      <c r="U42" s="248" t="s">
        <v>103</v>
      </c>
      <c r="V42" s="249"/>
      <c r="W42" s="570"/>
      <c r="X42" s="553"/>
    </row>
    <row r="43" spans="1:24" ht="69.75" customHeight="1" x14ac:dyDescent="0.3">
      <c r="B43" s="582" t="s">
        <v>104</v>
      </c>
      <c r="C43" s="681" t="s">
        <v>28</v>
      </c>
      <c r="D43" s="682"/>
      <c r="E43" s="582" t="s">
        <v>114</v>
      </c>
      <c r="F43" s="584" t="s">
        <v>115</v>
      </c>
      <c r="G43" s="582" t="str">
        <f>CONCATENATE("Baseline 
Flow Rate",IF(Instructions!$T$57=1,"
(gpm)","
(lpm)"))</f>
        <v>Baseline 
Flow Rate
(gpm)</v>
      </c>
      <c r="H43" s="585" t="str">
        <f>CONCATENATE("Design 
Flow Rate",IF(Instructions!$T$57=1,"
(gpm)","
(lpm)"))</f>
        <v>Design 
Flow Rate
(gpm)</v>
      </c>
      <c r="I43" s="680"/>
      <c r="J43" s="186"/>
      <c r="K43" s="582" t="s">
        <v>34</v>
      </c>
      <c r="L43" s="583" t="s">
        <v>35</v>
      </c>
      <c r="M43" s="583" t="s">
        <v>36</v>
      </c>
      <c r="N43" s="583" t="s">
        <v>37</v>
      </c>
      <c r="O43" s="583" t="s">
        <v>38</v>
      </c>
      <c r="P43" s="583" t="str">
        <f>IF($I$10="Other (specify)","Other",$I$10)</f>
        <v>Other</v>
      </c>
      <c r="Q43" s="186"/>
      <c r="R43" s="582" t="s">
        <v>106</v>
      </c>
      <c r="S43" s="585" t="s">
        <v>107</v>
      </c>
      <c r="T43" s="186"/>
      <c r="U43" s="244" t="str">
        <f>CONCATENATE("Baseline
",IF(Instructions!$T$57=1,"(gallons)","(liters)"))</f>
        <v>Baseline
(gallons)</v>
      </c>
      <c r="V43" s="243" t="str">
        <f>CONCATENATE("Design 
",IF(Instructions!$T$57=1,"(gallons)","(liters)"))</f>
        <v>Design 
(gallons)</v>
      </c>
      <c r="W43" s="188"/>
      <c r="X43" s="553"/>
    </row>
    <row r="44" spans="1:24" ht="15" customHeight="1" x14ac:dyDescent="0.3">
      <c r="A44" s="125">
        <f>IF(B44&gt;0,1,1)</f>
        <v>1</v>
      </c>
      <c r="B44" s="252"/>
      <c r="C44" s="683"/>
      <c r="D44" s="683"/>
      <c r="E44" s="253" t="str">
        <f>IFERROR(VLOOKUP(C44,Instructions!$C$45:$K$53,9,FALSE),"")</f>
        <v/>
      </c>
      <c r="F44" s="254"/>
      <c r="G44" s="255" t="str">
        <f>IFERROR(IF(Instructions!$T$57=1,VLOOKUP(C44,Instructions!$C$45:$K$53,5,FALSE),VLOOKUP(C44,Instructions!$C$45:$K$53,7,FALSE)),"")</f>
        <v/>
      </c>
      <c r="H44" s="531"/>
      <c r="I44" s="256"/>
      <c r="J44" s="189"/>
      <c r="K44" s="265">
        <f>IF($D$11&gt;0,IFERROR(VLOOKUP($C44,Instructions!$C$45:$Q$53,11,FALSE),0),0)</f>
        <v>0</v>
      </c>
      <c r="L44" s="266">
        <f>IF($E$11&gt;0,IFERROR(VLOOKUP($C44,Instructions!$C$45:$Q$53,12,FALSE),0),0)</f>
        <v>0</v>
      </c>
      <c r="M44" s="266">
        <f>IF($F$11&gt;0,IFERROR(VLOOKUP($C44,Instructions!$C$45:$Q$53,13,FALSE),0),0)</f>
        <v>0</v>
      </c>
      <c r="N44" s="266">
        <f>IF($G$11&gt;0,IFERROR(VLOOKUP($C44,Instructions!$C$45:$Q$53,14,FALSE),0),0)</f>
        <v>0</v>
      </c>
      <c r="O44" s="266">
        <f>IF($H$11&gt;0,IFERROR(VLOOKUP($C44,Instructions!$C$45:$Q$53,15,FALSE),0),0)</f>
        <v>0</v>
      </c>
      <c r="P44" s="267"/>
      <c r="Q44" s="227"/>
      <c r="R44" s="265">
        <f>IFERROR(($D$11*K44)+($E$11*L44)+($F$11*M44)+($G$11*N44)+($H$11*O44)+($I$11*P44),0)</f>
        <v>0</v>
      </c>
      <c r="S44" s="267"/>
      <c r="T44" s="196"/>
      <c r="U44" s="534">
        <f>IFERROR(IF(S44&gt;0,
   IF(E44="n/a",G44*(S44*(I44/100))*(60/60),
       IF(F44&gt;0,G44*(S44*(I44/100))*(F44/60), G44*(S44*(I44/100))*(E44/60))),
   IF(E44="n/a",G44*(R44*(I44/100))*(60/60),
       IF(F44&lt;0,G44*(R44*(I44/100))*(F44/60), G44*(R44*(I44/100))*(E44/60)))
),0)</f>
        <v>0</v>
      </c>
      <c r="V44" s="537">
        <f>IFERROR(IF(S44&gt;0,
   IF(E44="n/a",H44*(S44*(I44/100))*(60/60),
       IF(F44&gt;0,H44*(S44*(I44/100))*(F44/60), H44*(S44*(I44/100))*(E44/60))),
   IF(E44="n/a",H44*(R44*(I44/100))*(60/60),
       IF(F44&gt;0,H44*(R44*(I44/100))*(F44/60), H44*(R44*(I44/100))*(E44/60)))
),0)</f>
        <v>0</v>
      </c>
      <c r="W44" s="191"/>
      <c r="X44" s="553"/>
    </row>
    <row r="45" spans="1:24" ht="15" customHeight="1" x14ac:dyDescent="0.3">
      <c r="A45" s="125">
        <f>IF(B45&gt;0,1,1)</f>
        <v>1</v>
      </c>
      <c r="B45" s="136"/>
      <c r="C45" s="676"/>
      <c r="D45" s="676"/>
      <c r="E45" s="257" t="str">
        <f>IFERROR(VLOOKUP(C45,Instructions!$C$45:$K$53,9,FALSE),"")</f>
        <v/>
      </c>
      <c r="F45" s="258"/>
      <c r="G45" s="259" t="str">
        <f>IFERROR(IF(Instructions!$T$57=1,VLOOKUP(C45,Instructions!$C$45:$K$53,5,FALSE),VLOOKUP(C45,Instructions!$C$45:$K$53,7,FALSE)),"")</f>
        <v/>
      </c>
      <c r="H45" s="532"/>
      <c r="I45" s="260"/>
      <c r="J45" s="189"/>
      <c r="K45" s="165">
        <f>IF($D$11&gt;0,IFERROR(VLOOKUP($C45,Instructions!$C$45:$Q$53,11,FALSE),0),0)</f>
        <v>0</v>
      </c>
      <c r="L45" s="234">
        <f>IF($E$11&gt;0,IFERROR(VLOOKUP($C45,Instructions!$C$45:$Q$53,12,FALSE),0),0)</f>
        <v>0</v>
      </c>
      <c r="M45" s="234">
        <f>IF($F$11&gt;0,IFERROR(VLOOKUP($C45,Instructions!$C$45:$Q$53,13,FALSE),0),0)</f>
        <v>0</v>
      </c>
      <c r="N45" s="234">
        <f>IF($G$11&gt;0,IFERROR(VLOOKUP($C45,Instructions!$C$45:$Q$53,14,FALSE),0),0)</f>
        <v>0</v>
      </c>
      <c r="O45" s="234">
        <f>IF($H$11&gt;0,IFERROR(VLOOKUP($C45,Instructions!$C$45:$Q$53,15,FALSE),0),0)</f>
        <v>0</v>
      </c>
      <c r="P45" s="201"/>
      <c r="Q45" s="227"/>
      <c r="R45" s="165">
        <f>IFERROR(($D$11*K45)+($E$11*L45)+($F$11*M45)+($G$11*N45)+($H$11*O45)+($I$11*P45),0)</f>
        <v>0</v>
      </c>
      <c r="S45" s="201"/>
      <c r="T45" s="196"/>
      <c r="U45" s="535">
        <f>IFERROR(IF(S45&gt;0,
   IF(E45="n/a",G45*(S45*(I45/100))*(60/60),
       IF(F45&gt;0,G45*(S45*(I45/100))*(F45/60), G45*(S45*(I45/100))*(E45/60))),
   IF(E45="n/a",G45*(R45*(I45/100))*(60/60),
       IF(F45&lt;0,G45*(R45*(I45/100))*(F45/60), G45*(R45*(I45/100))*(E45/60)))
),0)</f>
        <v>0</v>
      </c>
      <c r="V45" s="538">
        <f>IFERROR(IF(S45&gt;0,
   IF(E45="n/a",H45*(S45*(I45/100))*(60/60),
       IF(F45&gt;0,H45*(S45*(I45/100))*(F45/60), H45*(S45*(I45/100))*(E45/60))),
   IF(E45="n/a",H45*(R45*(I45/100))*(60/60),
       IF(F45&gt;0,H45*(R45*(I45/100))*(F45/60), H45*(R45*(I45/100))*(E45/60)))
),0)</f>
        <v>0</v>
      </c>
      <c r="W45" s="191"/>
      <c r="X45" s="553"/>
    </row>
    <row r="46" spans="1:24" ht="15" customHeight="1" x14ac:dyDescent="0.3">
      <c r="A46" s="125">
        <f t="shared" ref="A46" si="6">IF(B46&gt;0,1,1)</f>
        <v>1</v>
      </c>
      <c r="B46" s="136"/>
      <c r="C46" s="676"/>
      <c r="D46" s="676"/>
      <c r="E46" s="257" t="str">
        <f>IFERROR(VLOOKUP(C46,Instructions!$C$45:$K$53,9,FALSE),"")</f>
        <v/>
      </c>
      <c r="F46" s="258"/>
      <c r="G46" s="259" t="str">
        <f>IFERROR(IF(Instructions!$T$57=1,VLOOKUP(C46,Instructions!$C$45:$K$53,5,FALSE),VLOOKUP(C46,Instructions!$C$45:$K$53,7,FALSE)),"")</f>
        <v/>
      </c>
      <c r="H46" s="532"/>
      <c r="I46" s="260"/>
      <c r="J46" s="189"/>
      <c r="K46" s="165">
        <f>IF($D$11&gt;0,IFERROR(VLOOKUP($C46,Instructions!$C$45:$Q$53,11,FALSE),0),0)</f>
        <v>0</v>
      </c>
      <c r="L46" s="234">
        <f>IF($E$11&gt;0,IFERROR(VLOOKUP($C46,Instructions!$C$45:$Q$53,12,FALSE),0),0)</f>
        <v>0</v>
      </c>
      <c r="M46" s="234">
        <f>IF($F$11&gt;0,IFERROR(VLOOKUP($C46,Instructions!$C$45:$Q$53,13,FALSE),0),0)</f>
        <v>0</v>
      </c>
      <c r="N46" s="234">
        <f>IF($G$11&gt;0,IFERROR(VLOOKUP($C46,Instructions!$C$45:$Q$53,14,FALSE),0),0)</f>
        <v>0</v>
      </c>
      <c r="O46" s="234">
        <f>IF($H$11&gt;0,IFERROR(VLOOKUP($C46,Instructions!$C$45:$Q$53,15,FALSE),0),0)</f>
        <v>0</v>
      </c>
      <c r="P46" s="201"/>
      <c r="Q46" s="227"/>
      <c r="R46" s="165">
        <f>IFERROR(($D$11*K46)+($E$11*L46)+($F$11*M46)+($G$11*N46)+($H$11*O46)+($I$11*P46),0)</f>
        <v>0</v>
      </c>
      <c r="S46" s="201"/>
      <c r="T46" s="196"/>
      <c r="U46" s="535">
        <f>IFERROR(IF(S46&gt;0,
   IF(E46="n/a",G46*(S46*(I46/100))*(60/60),
       IF(F46&gt;0,G46*(S46*(I46/100))*(F46/60), G46*(S46*(I46/100))*(E46/60))),
   IF(E46="n/a",G46*(R46*(I46/100))*(60/60),
       IF(F46&lt;0,G46*(R46*(I46/100))*(F46/60), G46*(R46*(I46/100))*(E46/60)))
),0)</f>
        <v>0</v>
      </c>
      <c r="V46" s="538">
        <f>IFERROR(IF(S46&gt;0,
   IF(E46="n/a",H46*(S46*(I46/100))*(60/60),
       IF(F46&gt;0,H46*(S46*(I46/100))*(F46/60), H46*(S46*(I46/100))*(E46/60))),
   IF(E46="n/a",H46*(R46*(I46/100))*(60/60),
       IF(F46&gt;0,H46*(R46*(I46/100))*(F46/60), H46*(R46*(I46/100))*(E46/60)))
),0)</f>
        <v>0</v>
      </c>
      <c r="W46" s="191"/>
      <c r="X46" s="553"/>
    </row>
    <row r="47" spans="1:24" ht="15" customHeight="1" x14ac:dyDescent="0.3">
      <c r="B47" s="136"/>
      <c r="C47" s="676"/>
      <c r="D47" s="676"/>
      <c r="E47" s="257" t="str">
        <f>IFERROR(VLOOKUP(C47,Instructions!$C$45:$K$53,9,FALSE),"")</f>
        <v/>
      </c>
      <c r="F47" s="258"/>
      <c r="G47" s="259" t="str">
        <f>IFERROR(IF(Instructions!$T$57=1,VLOOKUP(C47,Instructions!$C$45:$K$53,5,FALSE),VLOOKUP(C47,Instructions!$C$45:$K$53,7,FALSE)),"")</f>
        <v/>
      </c>
      <c r="H47" s="532"/>
      <c r="I47" s="260"/>
      <c r="J47" s="189"/>
      <c r="K47" s="165">
        <f>IF($D$11&gt;0,IFERROR(VLOOKUP($C47,Instructions!$C$45:$Q$53,11,FALSE),0),0)</f>
        <v>0</v>
      </c>
      <c r="L47" s="234">
        <f>IF($E$11&gt;0,IFERROR(VLOOKUP($C47,Instructions!$C$45:$Q$53,12,FALSE),0),0)</f>
        <v>0</v>
      </c>
      <c r="M47" s="234">
        <f>IF($F$11&gt;0,IFERROR(VLOOKUP($C47,Instructions!$C$45:$Q$53,13,FALSE),0),0)</f>
        <v>0</v>
      </c>
      <c r="N47" s="234">
        <f>IF($G$11&gt;0,IFERROR(VLOOKUP($C47,Instructions!$C$45:$Q$53,14,FALSE),0),0)</f>
        <v>0</v>
      </c>
      <c r="O47" s="234">
        <f>IF($H$11&gt;0,IFERROR(VLOOKUP($C47,Instructions!$C$45:$Q$53,15,FALSE),0),0)</f>
        <v>0</v>
      </c>
      <c r="P47" s="201"/>
      <c r="Q47" s="227"/>
      <c r="R47" s="165">
        <f>IFERROR(($D$11*K47)+($E$11*L47)+($F$11*M47)+($G$11*N47)+($H$11*O47)+($I$11*P47),0)</f>
        <v>0</v>
      </c>
      <c r="S47" s="201"/>
      <c r="T47" s="196"/>
      <c r="U47" s="535">
        <f>IFERROR(IF(S47&gt;0,
   IF(E47="n/a",G47*(S47*(I47/100))*(60/60),
       IF(F47&gt;0,G47*(S47*(I47/100))*(F47/60), G47*(S47*(I47/100))*(E47/60))),
   IF(E47="n/a",G47*(R47*(I47/100))*(60/60),
       IF(F47&lt;0,G47*(R47*(I47/100))*(F47/60), G47*(R47*(I47/100))*(E47/60)))
),0)</f>
        <v>0</v>
      </c>
      <c r="V47" s="538">
        <f>IFERROR(IF(S47&gt;0,
   IF(E47="n/a",H47*(S47*(I47/100))*(60/60),
       IF(F47&gt;0,H47*(S47*(I47/100))*(F47/60), H47*(S47*(I47/100))*(E47/60))),
   IF(E47="n/a",H47*(R47*(I47/100))*(60/60),
       IF(F47&gt;0,H47*(R47*(I47/100))*(F47/60), H47*(R47*(I47/100))*(E47/60)))
),0)</f>
        <v>0</v>
      </c>
      <c r="W47" s="191"/>
      <c r="X47" s="553"/>
    </row>
    <row r="48" spans="1:24" ht="15" customHeight="1" x14ac:dyDescent="0.3">
      <c r="B48" s="137"/>
      <c r="C48" s="677"/>
      <c r="D48" s="677"/>
      <c r="E48" s="261" t="str">
        <f>IFERROR(VLOOKUP(C48,Instructions!$C$45:$K$53,9,FALSE),"")</f>
        <v/>
      </c>
      <c r="F48" s="262"/>
      <c r="G48" s="263" t="str">
        <f>IFERROR(IF(Instructions!$T$57=1,VLOOKUP(C48,Instructions!$C$45:$K$53,5,FALSE),VLOOKUP(C48,Instructions!$C$45:$K$53,7,FALSE)),"")</f>
        <v/>
      </c>
      <c r="H48" s="533"/>
      <c r="I48" s="264"/>
      <c r="J48" s="192"/>
      <c r="K48" s="166">
        <f>IF($D$11&gt;0,IFERROR(VLOOKUP($C48,Instructions!$C$45:$Q$53,11,FALSE),0),0)</f>
        <v>0</v>
      </c>
      <c r="L48" s="268">
        <f>IF($E$11&gt;0,IFERROR(VLOOKUP($C48,Instructions!$C$45:$Q$53,12,FALSE),0),0)</f>
        <v>0</v>
      </c>
      <c r="M48" s="268">
        <f>IF($F$11&gt;0,IFERROR(VLOOKUP($C48,Instructions!$C$45:$Q$53,13,FALSE),0),0)</f>
        <v>0</v>
      </c>
      <c r="N48" s="268">
        <f>IF($G$11&gt;0,IFERROR(VLOOKUP($C48,Instructions!$C$45:$Q$53,14,FALSE),0),0)</f>
        <v>0</v>
      </c>
      <c r="O48" s="268">
        <f>IF($H$11&gt;0,IFERROR(VLOOKUP($C48,Instructions!$C$45:$Q$53,15,FALSE),0),0)</f>
        <v>0</v>
      </c>
      <c r="P48" s="202"/>
      <c r="Q48" s="228"/>
      <c r="R48" s="166">
        <f>IFERROR(($D$11*K48)+($E$11*L48)+($F$11*M48)+($G$11*N48)+($H$11*O48)+($I$11*P48),0)</f>
        <v>0</v>
      </c>
      <c r="S48" s="202"/>
      <c r="T48" s="197"/>
      <c r="U48" s="536">
        <f>IFERROR(IF(S48&gt;0,
   IF(E48="n/a",G48*(S48*(I48/100))*(60/60),
       IF(F48&gt;0,G48*(S48*(I48/100))*(F48/60), G48*(S48*(I48/100))*(E48/60))),
   IF(E48="n/a",G48*(R48*(I48/100))*(60/60),
       IF(F48&lt;0,G48*(R48*(I48/100))*(F48/60), G48*(R48*(I48/100))*(E48/60)))
),0)</f>
        <v>0</v>
      </c>
      <c r="V48" s="539">
        <f>IFERROR(IF(S48&gt;0,
   IF(E48="n/a",H48*(S48*(I48/100))*(60/60),
       IF(F48&gt;0,H48*(S48*(I48/100))*(F48/60), H48*(S48*(I48/100))*(E48/60))),
   IF(E48="n/a",H48*(R48*(I48/100))*(60/60),
       IF(F48&gt;0,H48*(R48*(I48/100))*(F48/60), H48*(R48*(I48/100))*(E48/60)))
),0)</f>
        <v>0</v>
      </c>
      <c r="W48" s="191"/>
      <c r="X48" s="553"/>
    </row>
    <row r="49" spans="1:24" ht="21" customHeight="1" x14ac:dyDescent="0.3">
      <c r="A49" s="125" t="s">
        <v>116</v>
      </c>
      <c r="B49" s="573" t="str">
        <f>CONCATENATE("Baseline case annual flow volume ",IF(Instructions!$T$57=1,"(gallons/year)","(liters/year)"))</f>
        <v>Baseline case annual flow volume (gallons/year)</v>
      </c>
      <c r="C49" s="587"/>
      <c r="D49" s="587"/>
      <c r="E49" s="587"/>
      <c r="F49" s="587"/>
      <c r="G49" s="587"/>
      <c r="H49" s="587"/>
      <c r="I49" s="159">
        <f>SUM(U44:U48)*$I$19</f>
        <v>0</v>
      </c>
      <c r="J49" s="588"/>
      <c r="K49" s="589"/>
      <c r="L49" s="587"/>
      <c r="M49" s="587"/>
      <c r="N49" s="587"/>
      <c r="O49" s="587"/>
      <c r="P49" s="587"/>
      <c r="Q49" s="588"/>
      <c r="R49" s="589"/>
      <c r="S49" s="590"/>
      <c r="T49" s="588"/>
      <c r="U49" s="589"/>
      <c r="V49" s="590"/>
      <c r="W49" s="553"/>
      <c r="X49" s="553"/>
    </row>
    <row r="50" spans="1:24" ht="21" customHeight="1" x14ac:dyDescent="0.3">
      <c r="B50" s="579" t="str">
        <f>CONCATENATE("Design case annual flow volume ",IF(Instructions!$T$57=1,"(gallons/year)","(liters/year)"))</f>
        <v>Design case annual flow volume (gallons/year)</v>
      </c>
      <c r="C50" s="591"/>
      <c r="D50" s="591"/>
      <c r="E50" s="591"/>
      <c r="F50" s="591"/>
      <c r="G50" s="591"/>
      <c r="H50" s="591"/>
      <c r="I50" s="160">
        <f>SUM(V44:V48)*$I$19</f>
        <v>0</v>
      </c>
      <c r="J50" s="592"/>
      <c r="K50" s="593"/>
      <c r="L50" s="591"/>
      <c r="M50" s="591"/>
      <c r="N50" s="591"/>
      <c r="O50" s="591"/>
      <c r="P50" s="591"/>
      <c r="Q50" s="592"/>
      <c r="R50" s="593"/>
      <c r="S50" s="594"/>
      <c r="T50" s="592"/>
      <c r="U50" s="593"/>
      <c r="V50" s="594"/>
      <c r="W50" s="553"/>
      <c r="X50" s="553"/>
    </row>
    <row r="51" spans="1:24" ht="39.75" customHeight="1" x14ac:dyDescent="0.3">
      <c r="B51" s="142"/>
      <c r="C51" s="553"/>
      <c r="D51" s="553"/>
      <c r="E51" s="553"/>
      <c r="F51" s="553"/>
      <c r="G51" s="553"/>
      <c r="H51" s="553"/>
      <c r="I51" s="595"/>
      <c r="J51" s="595"/>
      <c r="K51" s="595"/>
      <c r="L51" s="553"/>
      <c r="M51" s="553"/>
      <c r="N51" s="553"/>
      <c r="O51" s="563"/>
      <c r="P51" s="553"/>
      <c r="Q51" s="553"/>
      <c r="R51" s="553"/>
      <c r="S51" s="553"/>
      <c r="T51" s="553"/>
      <c r="U51" s="553"/>
      <c r="V51" s="553"/>
      <c r="W51" s="553"/>
      <c r="X51" s="553"/>
    </row>
    <row r="52" spans="1:24" ht="24.75" customHeight="1" x14ac:dyDescent="0.3">
      <c r="B52" s="143"/>
      <c r="C52" s="553"/>
      <c r="D52" s="553"/>
      <c r="E52" s="553"/>
      <c r="F52" s="553"/>
      <c r="G52" s="553"/>
      <c r="H52" s="553"/>
      <c r="I52" s="595"/>
      <c r="J52" s="595"/>
      <c r="K52" s="595"/>
      <c r="L52" s="553"/>
      <c r="M52" s="553"/>
      <c r="N52" s="553"/>
      <c r="O52" s="563"/>
      <c r="P52" s="553"/>
      <c r="Q52" s="553"/>
      <c r="R52" s="553"/>
      <c r="S52" s="553"/>
      <c r="T52" s="553"/>
      <c r="U52" s="553"/>
      <c r="V52" s="553"/>
      <c r="W52" s="553"/>
      <c r="X52" s="553"/>
    </row>
    <row r="53" spans="1:24" ht="24.75" customHeight="1" x14ac:dyDescent="0.3">
      <c r="B53" s="143"/>
      <c r="C53" s="553"/>
      <c r="D53" s="553"/>
      <c r="E53" s="553"/>
      <c r="F53" s="553"/>
      <c r="G53" s="553"/>
      <c r="H53" s="553"/>
      <c r="I53" s="595"/>
      <c r="J53" s="595"/>
      <c r="K53" s="595"/>
      <c r="L53" s="553"/>
      <c r="M53" s="553"/>
      <c r="N53" s="553"/>
      <c r="O53" s="563"/>
      <c r="P53" s="553"/>
      <c r="Q53" s="553"/>
      <c r="R53" s="553"/>
      <c r="S53" s="553"/>
      <c r="T53" s="553"/>
      <c r="U53" s="553"/>
      <c r="V53" s="553"/>
      <c r="W53" s="553"/>
      <c r="X53" s="553"/>
    </row>
    <row r="54" spans="1:24" ht="24.75" customHeight="1" x14ac:dyDescent="0.3">
      <c r="B54" s="553"/>
      <c r="C54" s="553"/>
      <c r="D54" s="553"/>
      <c r="E54" s="553"/>
      <c r="F54" s="553"/>
      <c r="G54" s="553"/>
      <c r="H54" s="553"/>
      <c r="I54" s="553"/>
      <c r="J54" s="553"/>
      <c r="K54" s="553"/>
      <c r="L54" s="553"/>
      <c r="M54" s="553"/>
      <c r="N54" s="553"/>
      <c r="O54" s="553"/>
      <c r="P54" s="553"/>
      <c r="Q54" s="553"/>
      <c r="R54" s="553"/>
      <c r="S54" s="553"/>
      <c r="T54" s="553"/>
      <c r="U54" s="553"/>
      <c r="V54" s="553"/>
      <c r="W54" s="553"/>
      <c r="X54" s="553"/>
    </row>
    <row r="55" spans="1:24" ht="24" customHeight="1" x14ac:dyDescent="0.3">
      <c r="B55" s="553"/>
      <c r="C55" s="553"/>
      <c r="D55" s="553"/>
      <c r="E55" s="553"/>
      <c r="F55" s="553"/>
      <c r="G55" s="553"/>
      <c r="H55" s="553"/>
      <c r="I55" s="553"/>
      <c r="J55" s="553"/>
      <c r="K55" s="553"/>
      <c r="L55" s="553"/>
      <c r="M55" s="553"/>
      <c r="N55" s="553"/>
      <c r="O55" s="553"/>
      <c r="P55" s="553"/>
      <c r="Q55" s="553"/>
      <c r="R55" s="553"/>
      <c r="S55" s="553"/>
      <c r="T55" s="553"/>
      <c r="U55" s="553"/>
      <c r="V55" s="553"/>
      <c r="W55" s="553"/>
      <c r="X55" s="553"/>
    </row>
    <row r="56" spans="1:24" ht="18" customHeight="1" x14ac:dyDescent="0.3">
      <c r="B56" s="144"/>
      <c r="C56" s="144"/>
      <c r="D56" s="144"/>
      <c r="E56" s="144"/>
      <c r="F56" s="144"/>
      <c r="G56" s="144"/>
      <c r="H56" s="144"/>
      <c r="I56" s="144"/>
      <c r="J56" s="144"/>
      <c r="K56" s="144"/>
      <c r="L56" s="144"/>
      <c r="M56" s="553"/>
      <c r="N56" s="553"/>
      <c r="O56" s="553"/>
      <c r="P56" s="553"/>
      <c r="Q56" s="553"/>
      <c r="R56" s="553"/>
      <c r="S56" s="553"/>
      <c r="T56" s="553"/>
      <c r="U56" s="553"/>
      <c r="V56" s="553"/>
      <c r="W56" s="553"/>
      <c r="X56" s="553"/>
    </row>
    <row r="57" spans="1:24" ht="18" customHeight="1" x14ac:dyDescent="0.3">
      <c r="B57" s="145"/>
      <c r="C57" s="553"/>
      <c r="D57" s="144"/>
      <c r="E57" s="144"/>
      <c r="F57" s="553"/>
      <c r="G57" s="553"/>
      <c r="H57" s="553"/>
      <c r="I57" s="146"/>
      <c r="J57" s="146"/>
      <c r="K57" s="146"/>
      <c r="L57" s="146"/>
      <c r="M57" s="553"/>
      <c r="N57" s="553"/>
      <c r="O57" s="553"/>
      <c r="P57" s="553"/>
      <c r="Q57" s="553"/>
      <c r="R57" s="553"/>
      <c r="S57" s="553"/>
      <c r="T57" s="553"/>
      <c r="U57" s="553"/>
      <c r="V57" s="553"/>
      <c r="W57" s="553"/>
      <c r="X57" s="553"/>
    </row>
    <row r="58" spans="1:24" ht="18" customHeight="1" x14ac:dyDescent="0.3">
      <c r="B58" s="147"/>
      <c r="C58" s="148"/>
      <c r="D58" s="144"/>
      <c r="E58" s="144"/>
      <c r="F58" s="553"/>
      <c r="G58" s="553"/>
      <c r="H58" s="553"/>
      <c r="I58" s="144"/>
      <c r="J58" s="144"/>
      <c r="K58" s="144"/>
      <c r="L58" s="144"/>
      <c r="M58" s="553"/>
      <c r="N58" s="553"/>
      <c r="O58" s="553"/>
      <c r="P58" s="553"/>
      <c r="Q58" s="553"/>
      <c r="R58" s="553"/>
      <c r="S58" s="553"/>
      <c r="T58" s="553"/>
      <c r="U58" s="553"/>
      <c r="V58" s="553"/>
      <c r="W58" s="553"/>
      <c r="X58" s="553"/>
    </row>
    <row r="59" spans="1:24" ht="24" customHeight="1" x14ac:dyDescent="0.3">
      <c r="B59" s="145"/>
      <c r="C59" s="148"/>
      <c r="D59" s="148"/>
      <c r="E59" s="148"/>
      <c r="F59" s="148"/>
      <c r="G59" s="148"/>
      <c r="H59" s="148"/>
      <c r="I59" s="144"/>
      <c r="J59" s="144"/>
      <c r="K59" s="144"/>
      <c r="L59" s="144"/>
      <c r="M59" s="553"/>
      <c r="N59" s="553"/>
      <c r="O59" s="553"/>
      <c r="P59" s="553"/>
      <c r="Q59" s="553"/>
      <c r="R59" s="553"/>
      <c r="S59" s="553"/>
      <c r="T59" s="553"/>
      <c r="U59" s="553"/>
      <c r="V59" s="553"/>
      <c r="W59" s="553"/>
      <c r="X59" s="553"/>
    </row>
    <row r="60" spans="1:24" ht="15" customHeight="1" x14ac:dyDescent="0.3">
      <c r="B60" s="145"/>
      <c r="C60" s="553"/>
      <c r="D60" s="148"/>
      <c r="E60" s="148"/>
      <c r="F60" s="553"/>
      <c r="G60" s="553"/>
      <c r="H60" s="553"/>
      <c r="I60" s="144"/>
      <c r="J60" s="144"/>
      <c r="K60" s="144"/>
      <c r="L60" s="144"/>
      <c r="M60" s="553"/>
      <c r="N60" s="553"/>
      <c r="O60" s="553"/>
      <c r="P60" s="553"/>
      <c r="Q60" s="553"/>
      <c r="R60" s="553"/>
      <c r="S60" s="553"/>
      <c r="T60" s="553"/>
      <c r="U60" s="553"/>
      <c r="V60" s="553"/>
      <c r="W60" s="191"/>
      <c r="X60" s="191"/>
    </row>
    <row r="61" spans="1:24" ht="15" customHeight="1" x14ac:dyDescent="0.3">
      <c r="B61" s="149"/>
      <c r="C61" s="553"/>
      <c r="D61" s="148"/>
      <c r="E61" s="144"/>
      <c r="F61" s="553"/>
      <c r="G61" s="553"/>
      <c r="H61" s="553"/>
      <c r="I61" s="597"/>
      <c r="J61" s="597"/>
      <c r="K61" s="597"/>
      <c r="L61" s="144"/>
      <c r="M61" s="553"/>
      <c r="N61" s="553"/>
      <c r="O61" s="553"/>
      <c r="P61" s="553"/>
      <c r="Q61" s="553"/>
      <c r="R61" s="553"/>
      <c r="S61" s="553"/>
      <c r="T61" s="553"/>
      <c r="U61" s="553"/>
      <c r="V61" s="553"/>
      <c r="W61" s="553"/>
      <c r="X61" s="191"/>
    </row>
    <row r="62" spans="1:24" ht="15" customHeight="1" x14ac:dyDescent="0.3">
      <c r="B62" s="149"/>
      <c r="C62" s="553"/>
      <c r="D62" s="148"/>
      <c r="E62" s="144"/>
      <c r="F62" s="553"/>
      <c r="G62" s="553"/>
      <c r="H62" s="553"/>
      <c r="I62" s="150"/>
      <c r="J62" s="150"/>
      <c r="K62" s="150"/>
      <c r="L62" s="144"/>
      <c r="M62" s="553"/>
      <c r="N62" s="553"/>
      <c r="O62" s="553"/>
      <c r="P62" s="553"/>
      <c r="Q62" s="553"/>
      <c r="R62" s="553"/>
      <c r="S62" s="553"/>
      <c r="T62" s="553"/>
      <c r="U62" s="553"/>
      <c r="V62" s="553"/>
      <c r="W62" s="553"/>
      <c r="X62" s="553"/>
    </row>
    <row r="63" spans="1:24" ht="15" customHeight="1" x14ac:dyDescent="0.3">
      <c r="B63" s="149"/>
      <c r="C63" s="553"/>
      <c r="D63" s="148"/>
      <c r="E63" s="144"/>
      <c r="F63" s="553"/>
      <c r="G63" s="553"/>
      <c r="H63" s="553"/>
      <c r="I63" s="597"/>
      <c r="J63" s="597"/>
      <c r="K63" s="597"/>
      <c r="L63" s="144"/>
      <c r="M63" s="553"/>
      <c r="N63" s="553"/>
      <c r="O63" s="553"/>
      <c r="P63" s="553"/>
      <c r="Q63" s="553"/>
      <c r="R63" s="553"/>
      <c r="S63" s="553"/>
      <c r="T63" s="553"/>
      <c r="U63" s="553"/>
      <c r="V63" s="553"/>
      <c r="W63" s="553"/>
      <c r="X63" s="553"/>
    </row>
    <row r="64" spans="1:24" ht="15" customHeight="1" x14ac:dyDescent="0.3">
      <c r="B64" s="149"/>
      <c r="C64" s="553"/>
      <c r="D64" s="148"/>
      <c r="E64" s="144"/>
      <c r="F64" s="553"/>
      <c r="G64" s="553"/>
      <c r="H64" s="553"/>
      <c r="I64" s="151"/>
      <c r="J64" s="151"/>
      <c r="K64" s="151"/>
      <c r="L64" s="144"/>
      <c r="M64" s="553"/>
      <c r="N64" s="553"/>
      <c r="O64" s="553"/>
      <c r="P64" s="553"/>
      <c r="Q64" s="553"/>
      <c r="R64" s="553"/>
      <c r="S64" s="553"/>
      <c r="T64" s="553"/>
      <c r="U64" s="553"/>
      <c r="V64" s="553"/>
      <c r="W64" s="553"/>
      <c r="X64" s="553"/>
    </row>
    <row r="65" spans="2:15" ht="15" customHeight="1" x14ac:dyDescent="0.3">
      <c r="B65" s="149"/>
      <c r="C65" s="553"/>
      <c r="D65" s="148"/>
      <c r="E65" s="144"/>
      <c r="F65" s="553"/>
      <c r="G65" s="553"/>
      <c r="H65" s="553"/>
      <c r="I65" s="597"/>
      <c r="J65" s="597"/>
      <c r="K65" s="597"/>
      <c r="L65" s="144"/>
      <c r="M65" s="553"/>
      <c r="N65" s="553"/>
      <c r="O65" s="553"/>
    </row>
    <row r="66" spans="2:15" ht="15" customHeight="1" x14ac:dyDescent="0.3">
      <c r="B66" s="147"/>
      <c r="C66" s="152"/>
      <c r="D66" s="152"/>
      <c r="E66" s="144"/>
      <c r="F66" s="553"/>
      <c r="G66" s="553"/>
      <c r="H66" s="553"/>
      <c r="I66" s="153"/>
      <c r="J66" s="153"/>
      <c r="K66" s="153"/>
      <c r="L66" s="144"/>
      <c r="M66" s="553"/>
      <c r="N66" s="553"/>
      <c r="O66" s="553"/>
    </row>
    <row r="67" spans="2:15" ht="24" customHeight="1" x14ac:dyDescent="0.3">
      <c r="B67" s="145"/>
      <c r="C67" s="148"/>
      <c r="D67" s="148"/>
      <c r="E67" s="148"/>
      <c r="F67" s="148"/>
      <c r="G67" s="148"/>
      <c r="H67" s="148"/>
      <c r="I67" s="144"/>
      <c r="J67" s="144"/>
      <c r="K67" s="144"/>
      <c r="L67" s="144"/>
      <c r="M67" s="553"/>
      <c r="N67" s="553"/>
      <c r="O67" s="553"/>
    </row>
    <row r="68" spans="2:15" ht="15" customHeight="1" x14ac:dyDescent="0.3">
      <c r="B68" s="145"/>
      <c r="C68" s="553"/>
      <c r="D68" s="148"/>
      <c r="E68" s="148"/>
      <c r="F68" s="553"/>
      <c r="G68" s="553"/>
      <c r="H68" s="553"/>
      <c r="I68" s="144"/>
      <c r="J68" s="144"/>
      <c r="K68" s="144"/>
      <c r="L68" s="144"/>
      <c r="M68" s="553"/>
      <c r="N68" s="553"/>
      <c r="O68" s="553"/>
    </row>
    <row r="69" spans="2:15" ht="15" customHeight="1" x14ac:dyDescent="0.3">
      <c r="B69" s="149"/>
      <c r="C69" s="553"/>
      <c r="D69" s="148"/>
      <c r="E69" s="144"/>
      <c r="F69" s="553"/>
      <c r="G69" s="553"/>
      <c r="H69" s="553"/>
      <c r="I69" s="597"/>
      <c r="J69" s="597"/>
      <c r="K69" s="597"/>
      <c r="L69" s="144"/>
      <c r="M69" s="553"/>
      <c r="N69" s="553"/>
      <c r="O69" s="553"/>
    </row>
    <row r="70" spans="2:15" ht="15" customHeight="1" x14ac:dyDescent="0.3">
      <c r="B70" s="149"/>
      <c r="C70" s="553"/>
      <c r="D70" s="148"/>
      <c r="E70" s="144"/>
      <c r="F70" s="553"/>
      <c r="G70" s="553"/>
      <c r="H70" s="553"/>
      <c r="I70" s="144"/>
      <c r="J70" s="144"/>
      <c r="K70" s="144"/>
      <c r="L70" s="144"/>
      <c r="M70" s="553"/>
      <c r="N70" s="553"/>
      <c r="O70" s="553"/>
    </row>
    <row r="71" spans="2:15" ht="15" customHeight="1" x14ac:dyDescent="0.3">
      <c r="B71" s="149"/>
      <c r="C71" s="553"/>
      <c r="D71" s="148"/>
      <c r="E71" s="144"/>
      <c r="F71" s="553"/>
      <c r="G71" s="553"/>
      <c r="H71" s="553"/>
      <c r="I71" s="597"/>
      <c r="J71" s="597"/>
      <c r="K71" s="597"/>
      <c r="L71" s="144"/>
      <c r="M71" s="553"/>
      <c r="N71" s="553"/>
      <c r="O71" s="553"/>
    </row>
    <row r="72" spans="2:15" ht="15" customHeight="1" x14ac:dyDescent="0.3">
      <c r="B72" s="149"/>
      <c r="C72" s="553"/>
      <c r="D72" s="148"/>
      <c r="E72" s="144"/>
      <c r="F72" s="553"/>
      <c r="G72" s="553"/>
      <c r="H72" s="553"/>
      <c r="I72" s="144"/>
      <c r="J72" s="144"/>
      <c r="K72" s="144"/>
      <c r="L72" s="144"/>
      <c r="M72" s="553"/>
      <c r="N72" s="553"/>
      <c r="O72" s="553"/>
    </row>
    <row r="73" spans="2:15" ht="15" customHeight="1" x14ac:dyDescent="0.3">
      <c r="B73" s="149"/>
      <c r="C73" s="553"/>
      <c r="D73" s="148"/>
      <c r="E73" s="144"/>
      <c r="F73" s="553"/>
      <c r="G73" s="553"/>
      <c r="H73" s="553"/>
      <c r="I73" s="597"/>
      <c r="J73" s="597"/>
      <c r="K73" s="597"/>
      <c r="L73" s="144"/>
      <c r="M73" s="553"/>
      <c r="N73" s="553"/>
      <c r="O73" s="553"/>
    </row>
    <row r="74" spans="2:15" ht="15" customHeight="1" x14ac:dyDescent="0.3">
      <c r="B74" s="147"/>
      <c r="C74" s="152"/>
      <c r="D74" s="152"/>
      <c r="E74" s="144"/>
      <c r="F74" s="553"/>
      <c r="G74" s="553"/>
      <c r="H74" s="553"/>
      <c r="I74" s="153"/>
      <c r="J74" s="153"/>
      <c r="K74" s="153"/>
      <c r="L74" s="144"/>
      <c r="M74" s="553"/>
      <c r="N74" s="553"/>
      <c r="O74" s="553"/>
    </row>
    <row r="75" spans="2:15" ht="15" customHeight="1" x14ac:dyDescent="0.3">
      <c r="B75" s="145"/>
      <c r="C75" s="146"/>
      <c r="D75" s="148"/>
      <c r="E75" s="148"/>
      <c r="F75" s="148"/>
      <c r="G75" s="148"/>
      <c r="H75" s="148"/>
      <c r="I75" s="144"/>
      <c r="J75" s="144"/>
      <c r="K75" s="144"/>
      <c r="L75" s="144"/>
      <c r="M75" s="553"/>
      <c r="N75" s="553"/>
      <c r="O75" s="553"/>
    </row>
    <row r="76" spans="2:15" ht="15" customHeight="1" x14ac:dyDescent="0.3">
      <c r="B76" s="149"/>
      <c r="C76" s="553"/>
      <c r="D76" s="148"/>
      <c r="E76" s="144"/>
      <c r="F76" s="553"/>
      <c r="G76" s="553"/>
      <c r="H76" s="553"/>
      <c r="I76" s="154"/>
      <c r="J76" s="154"/>
      <c r="K76" s="154"/>
      <c r="L76" s="198"/>
      <c r="M76" s="553"/>
      <c r="N76" s="553"/>
      <c r="O76" s="553"/>
    </row>
    <row r="77" spans="2:15" ht="24.75" customHeight="1" x14ac:dyDescent="0.3">
      <c r="B77" s="144"/>
      <c r="C77" s="152"/>
      <c r="D77" s="153"/>
      <c r="E77" s="144"/>
      <c r="F77" s="144"/>
      <c r="G77" s="144"/>
      <c r="H77" s="144"/>
      <c r="I77" s="153"/>
      <c r="J77" s="153"/>
      <c r="K77" s="153"/>
      <c r="L77" s="144"/>
      <c r="M77" s="553"/>
      <c r="N77" s="553"/>
      <c r="O77" s="553"/>
    </row>
    <row r="78" spans="2:15" x14ac:dyDescent="0.3">
      <c r="B78" s="553"/>
      <c r="C78" s="553"/>
      <c r="D78" s="553"/>
      <c r="E78" s="553"/>
      <c r="F78" s="553"/>
      <c r="G78" s="553"/>
      <c r="H78" s="553"/>
      <c r="I78" s="553"/>
      <c r="J78" s="553"/>
      <c r="K78" s="553"/>
      <c r="L78" s="553"/>
      <c r="M78" s="553"/>
      <c r="N78" s="553"/>
      <c r="O78" s="553"/>
    </row>
  </sheetData>
  <sheetProtection formatColumns="0" formatRows="0"/>
  <mergeCells count="22">
    <mergeCell ref="C48:D48"/>
    <mergeCell ref="D30:F30"/>
    <mergeCell ref="D31:F31"/>
    <mergeCell ref="D32:F32"/>
    <mergeCell ref="D33:F33"/>
    <mergeCell ref="D34:F34"/>
    <mergeCell ref="D35:F35"/>
    <mergeCell ref="B41:K41"/>
    <mergeCell ref="C43:D43"/>
    <mergeCell ref="C44:D44"/>
    <mergeCell ref="C45:D45"/>
    <mergeCell ref="C46:D46"/>
    <mergeCell ref="C47:D47"/>
    <mergeCell ref="I42:I43"/>
    <mergeCell ref="I29:I30"/>
    <mergeCell ref="B9:K9"/>
    <mergeCell ref="B15:K15"/>
    <mergeCell ref="B28:J28"/>
    <mergeCell ref="B7:J7"/>
    <mergeCell ref="B5:C5"/>
    <mergeCell ref="B10:C10"/>
    <mergeCell ref="B8:K8"/>
  </mergeCells>
  <conditionalFormatting sqref="D12:I13">
    <cfRule type="expression" dxfId="2" priority="10">
      <formula>IF($Z$8=TRUE,TRUE,FALSE)</formula>
    </cfRule>
  </conditionalFormatting>
  <conditionalFormatting sqref="D11:I11">
    <cfRule type="expression" dxfId="1" priority="8">
      <formula>IF($Z$8=TRUE,FALSE,TRUE)</formula>
    </cfRule>
  </conditionalFormatting>
  <conditionalFormatting sqref="F44:F48">
    <cfRule type="expression" dxfId="0" priority="1">
      <formula>IF($E44="n/a",TRUE,FALSE)</formula>
    </cfRule>
  </conditionalFormatting>
  <dataValidations count="4">
    <dataValidation type="list" allowBlank="1" showInputMessage="1" showErrorMessage="1" sqref="C44:C48" xr:uid="{00000000-0002-0000-0200-000000000000}">
      <formula1>FlowFixture</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5" xr:uid="{00000000-0002-0000-0200-000001000000}">
      <formula1>31</formula1>
    </dataValidation>
    <dataValidation type="list" allowBlank="1" showInputMessage="1" showErrorMessage="1" sqref="C31:C35" xr:uid="{00000000-0002-0000-0200-000002000000}">
      <formula1>FlushFixture</formula1>
    </dataValidation>
    <dataValidation type="list" allowBlank="1" showInputMessage="1" showErrorMessage="1" sqref="D31:D35" xr:uid="{00000000-0002-0000-0200-000003000000}">
      <formula1>INDIRECT(SUBSTITUTE($X31," ",""))</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FlowAdd">
                <anchor moveWithCells="1">
                  <from>
                    <xdr:col>1</xdr:col>
                    <xdr:colOff>7620</xdr:colOff>
                    <xdr:row>50</xdr:row>
                    <xdr:rowOff>152400</xdr:rowOff>
                  </from>
                  <to>
                    <xdr:col>2</xdr:col>
                    <xdr:colOff>670560</xdr:colOff>
                    <xdr:row>50</xdr:row>
                    <xdr:rowOff>411480</xdr:rowOff>
                  </to>
                </anchor>
              </controlPr>
            </control>
          </mc:Choice>
        </mc:AlternateContent>
        <mc:AlternateContent xmlns:mc="http://schemas.openxmlformats.org/markup-compatibility/2006">
          <mc:Choice Requires="x14">
            <control shapeId="60418" r:id="rId5" name="Button 2">
              <controlPr defaultSize="0" print="0" autoFill="0" autoPict="0" macro="[0]!deleteB">
                <anchor moveWithCells="1">
                  <from>
                    <xdr:col>2</xdr:col>
                    <xdr:colOff>754380</xdr:colOff>
                    <xdr:row>50</xdr:row>
                    <xdr:rowOff>160020</xdr:rowOff>
                  </from>
                  <to>
                    <xdr:col>3</xdr:col>
                    <xdr:colOff>487680</xdr:colOff>
                    <xdr:row>50</xdr:row>
                    <xdr:rowOff>419100</xdr:rowOff>
                  </to>
                </anchor>
              </controlPr>
            </control>
          </mc:Choice>
        </mc:AlternateContent>
        <mc:AlternateContent xmlns:mc="http://schemas.openxmlformats.org/markup-compatibility/2006">
          <mc:Choice Requires="x14">
            <control shapeId="60419" r:id="rId6" name="Button 3">
              <controlPr defaultSize="0" print="0" autoFill="0" autoPict="0" macro="[0]!FlushAdd">
                <anchor moveWithCells="1">
                  <from>
                    <xdr:col>1</xdr:col>
                    <xdr:colOff>7620</xdr:colOff>
                    <xdr:row>37</xdr:row>
                    <xdr:rowOff>152400</xdr:rowOff>
                  </from>
                  <to>
                    <xdr:col>2</xdr:col>
                    <xdr:colOff>670560</xdr:colOff>
                    <xdr:row>37</xdr:row>
                    <xdr:rowOff>411480</xdr:rowOff>
                  </to>
                </anchor>
              </controlPr>
            </control>
          </mc:Choice>
        </mc:AlternateContent>
        <mc:AlternateContent xmlns:mc="http://schemas.openxmlformats.org/markup-compatibility/2006">
          <mc:Choice Requires="x14">
            <control shapeId="60420" r:id="rId7" name="Button 4">
              <controlPr defaultSize="0" print="0" autoFill="0" autoPict="0" macro="[0]!DeleteA">
                <anchor moveWithCells="1">
                  <from>
                    <xdr:col>2</xdr:col>
                    <xdr:colOff>754380</xdr:colOff>
                    <xdr:row>37</xdr:row>
                    <xdr:rowOff>144780</xdr:rowOff>
                  </from>
                  <to>
                    <xdr:col>3</xdr:col>
                    <xdr:colOff>487680</xdr:colOff>
                    <xdr:row>37</xdr:row>
                    <xdr:rowOff>411480</xdr:rowOff>
                  </to>
                </anchor>
              </controlPr>
            </control>
          </mc:Choice>
        </mc:AlternateContent>
        <mc:AlternateContent xmlns:mc="http://schemas.openxmlformats.org/markup-compatibility/2006">
          <mc:Choice Requires="x14">
            <control shapeId="60426" r:id="rId8" name="Check Box 10">
              <controlPr defaultSize="0" autoFill="0" autoLine="0" autoPict="0" macro="[0]!DefaultGender">
                <anchor moveWithCells="1">
                  <from>
                    <xdr:col>1</xdr:col>
                    <xdr:colOff>0</xdr:colOff>
                    <xdr:row>6</xdr:row>
                    <xdr:rowOff>266700</xdr:rowOff>
                  </from>
                  <to>
                    <xdr:col>1</xdr:col>
                    <xdr:colOff>670560</xdr:colOff>
                    <xdr:row>7</xdr:row>
                    <xdr:rowOff>190500</xdr:rowOff>
                  </to>
                </anchor>
              </controlPr>
            </control>
          </mc:Choice>
        </mc:AlternateContent>
        <mc:AlternateContent xmlns:mc="http://schemas.openxmlformats.org/markup-compatibility/2006">
          <mc:Choice Requires="x14">
            <control shapeId="60445" r:id="rId9" name="Check Box 29">
              <controlPr defaultSize="0" autoFill="0" autoLine="0" autoPict="0">
                <anchor moveWithCells="1">
                  <from>
                    <xdr:col>1</xdr:col>
                    <xdr:colOff>0</xdr:colOff>
                    <xdr:row>8</xdr:row>
                    <xdr:rowOff>0</xdr:rowOff>
                  </from>
                  <to>
                    <xdr:col>1</xdr:col>
                    <xdr:colOff>670560</xdr:colOff>
                    <xdr:row>8</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T17"/>
  <sheetViews>
    <sheetView showGridLines="0" zoomScale="80" zoomScaleNormal="80" workbookViewId="0"/>
  </sheetViews>
  <sheetFormatPr defaultColWidth="9.109375" defaultRowHeight="13.2" x14ac:dyDescent="0.25"/>
  <cols>
    <col min="1" max="1" width="2.6640625" style="412" customWidth="1"/>
    <col min="2" max="2" width="25.6640625" style="412" customWidth="1"/>
    <col min="3" max="4" width="14.6640625" style="412" customWidth="1"/>
    <col min="5" max="5" width="10.6640625" style="412" customWidth="1"/>
    <col min="6" max="7" width="14.6640625" style="412" customWidth="1"/>
    <col min="8" max="8" width="10.6640625" style="412" customWidth="1"/>
    <col min="9" max="10" width="14.6640625" style="412" customWidth="1"/>
    <col min="11" max="11" width="10.6640625" style="412" customWidth="1"/>
    <col min="12" max="12" width="14.6640625" style="412" customWidth="1"/>
    <col min="13" max="13" width="10.6640625" style="412" customWidth="1"/>
    <col min="14" max="14" width="14.6640625" style="412" customWidth="1"/>
    <col min="15" max="16384" width="9.109375" style="412"/>
  </cols>
  <sheetData>
    <row r="1" spans="1:20" x14ac:dyDescent="0.25">
      <c r="A1" s="415"/>
      <c r="B1" s="416"/>
      <c r="C1" s="415"/>
      <c r="D1" s="415"/>
      <c r="E1" s="415"/>
      <c r="F1" s="415"/>
      <c r="G1" s="415"/>
      <c r="H1" s="415"/>
      <c r="I1" s="415"/>
      <c r="J1" s="415"/>
      <c r="K1" s="415"/>
      <c r="L1" s="415"/>
      <c r="M1" s="415"/>
      <c r="N1" s="415"/>
    </row>
    <row r="2" spans="1:20" ht="25.2" x14ac:dyDescent="0.25">
      <c r="A2" s="415"/>
      <c r="B2" s="417" t="str">
        <f ca="1">REPLACE(CELL("filename",A1),1,FIND("]",CELL("filename",A1)),"")</f>
        <v>Lowrise Indoor Water Use</v>
      </c>
      <c r="C2" s="415"/>
      <c r="D2" s="415"/>
      <c r="E2" s="415"/>
      <c r="F2" s="415"/>
      <c r="G2" s="415"/>
      <c r="H2" s="415"/>
      <c r="I2" s="415"/>
      <c r="J2" s="415"/>
      <c r="K2" s="415"/>
      <c r="L2" s="415"/>
      <c r="M2" s="415"/>
      <c r="N2" s="415"/>
    </row>
    <row r="3" spans="1:20" s="293" customFormat="1" ht="25.5" customHeight="1" x14ac:dyDescent="0.25">
      <c r="A3" s="290"/>
      <c r="B3" s="472" t="s">
        <v>117</v>
      </c>
      <c r="C3" s="291"/>
      <c r="D3" s="291"/>
      <c r="E3" s="291"/>
      <c r="F3" s="291"/>
      <c r="G3" s="292"/>
      <c r="H3" s="292"/>
      <c r="I3" s="292"/>
      <c r="J3" s="292"/>
      <c r="K3" s="292"/>
      <c r="L3" s="292"/>
      <c r="M3" s="292"/>
      <c r="N3" s="292"/>
      <c r="O3" s="412"/>
      <c r="P3" s="412"/>
      <c r="Q3" s="412"/>
      <c r="R3" s="412"/>
      <c r="S3" s="412"/>
      <c r="T3" s="412"/>
    </row>
    <row r="4" spans="1:20" x14ac:dyDescent="0.25">
      <c r="A4" s="415"/>
      <c r="B4" s="416"/>
      <c r="C4" s="415"/>
      <c r="D4" s="415"/>
      <c r="E4" s="415"/>
      <c r="F4" s="415"/>
      <c r="G4" s="415"/>
      <c r="H4" s="415"/>
      <c r="I4" s="415"/>
      <c r="J4" s="415"/>
      <c r="K4" s="415"/>
      <c r="L4" s="415"/>
      <c r="M4" s="415"/>
      <c r="N4" s="415"/>
    </row>
    <row r="5" spans="1:20" ht="30.75" customHeight="1" x14ac:dyDescent="0.25">
      <c r="A5" s="418"/>
      <c r="B5" s="419"/>
    </row>
    <row r="6" spans="1:20" ht="21.75" customHeight="1" x14ac:dyDescent="0.25">
      <c r="B6" s="421" t="s">
        <v>118</v>
      </c>
    </row>
    <row r="7" spans="1:20" s="422" customFormat="1" ht="24.75" customHeight="1" x14ac:dyDescent="0.3">
      <c r="B7" s="706" t="s">
        <v>119</v>
      </c>
      <c r="C7" s="708" t="s">
        <v>120</v>
      </c>
      <c r="D7" s="709"/>
      <c r="E7" s="710"/>
      <c r="F7" s="711" t="s">
        <v>121</v>
      </c>
      <c r="G7" s="709"/>
      <c r="H7" s="712"/>
      <c r="I7" s="708" t="s">
        <v>122</v>
      </c>
      <c r="J7" s="709"/>
      <c r="K7" s="710"/>
      <c r="L7" s="713" t="s">
        <v>123</v>
      </c>
      <c r="M7" s="714"/>
      <c r="N7" s="695" t="s">
        <v>124</v>
      </c>
    </row>
    <row r="8" spans="1:20" ht="75" customHeight="1" x14ac:dyDescent="0.25">
      <c r="B8" s="707"/>
      <c r="C8" s="423" t="s">
        <v>125</v>
      </c>
      <c r="D8" s="424" t="str">
        <f>CONCATENATE("Average rated flow volume
",IF(UOM=1," (gpm)"," (lpm)"))</f>
        <v>Average rated flow volume
 (gpm)</v>
      </c>
      <c r="E8" s="425" t="s">
        <v>126</v>
      </c>
      <c r="F8" s="423" t="s">
        <v>125</v>
      </c>
      <c r="G8" s="424" t="str">
        <f>CONCATENATE("Average rated flow volume
",IF(UOM=1," (gpm)"," (lpm)"))</f>
        <v>Average rated flow volume
 (gpm)</v>
      </c>
      <c r="H8" s="426" t="s">
        <v>126</v>
      </c>
      <c r="I8" s="423" t="s">
        <v>125</v>
      </c>
      <c r="J8" s="424" t="str">
        <f>CONCATENATE("Average rated flush volume
",IF(UOM=1," (gpf)"," (lpf)"))</f>
        <v>Average rated flush volume
 (gpf)</v>
      </c>
      <c r="K8" s="425" t="s">
        <v>126</v>
      </c>
      <c r="L8" s="427" t="s">
        <v>127</v>
      </c>
      <c r="M8" s="425" t="s">
        <v>126</v>
      </c>
      <c r="N8" s="696"/>
    </row>
    <row r="9" spans="1:20" ht="15" customHeight="1" x14ac:dyDescent="0.25">
      <c r="A9" s="420">
        <f>IF(B9&gt;0,0,0)</f>
        <v>0</v>
      </c>
      <c r="B9" s="480"/>
      <c r="C9" s="481"/>
      <c r="D9" s="482"/>
      <c r="E9" s="483">
        <f t="shared" ref="E9:E13" si="0">IF(C9="Yes",IF(UOM=2,IF(AND(D9&gt;0,D9&lt;=3.7),2,IF(AND(D9&gt;0,D9&lt;=5.6),1,0)),IF(AND(D9&gt;0,D9&lt;=1),2,IF(AND(D9&gt;0,D9&lt;=1.5),1,0))),0)</f>
        <v>0</v>
      </c>
      <c r="F9" s="484"/>
      <c r="G9" s="482"/>
      <c r="H9" s="483">
        <f t="shared" ref="H9:H13" si="1">IF(F9="Yes",IF(UOM=2,IF(AND(G9&gt;0,G9&lt;=5.6),2,IF(AND(G9&gt;0,G9&lt;=6.6),1,0)),IF(AND(G9&gt;0,G9&lt;=1.5),2,IF(AND(G9&gt;0,G9&lt;=1.75),1,0))),0)</f>
        <v>0</v>
      </c>
      <c r="I9" s="481"/>
      <c r="J9" s="482"/>
      <c r="K9" s="483">
        <f t="shared" ref="K9:K13" si="2">IF(I9="Yes",IF(UOM=2,IF(AND(J9&gt;0,J9&lt;=4.1),1,0),IF(AND(J9&gt;0,J9&lt;=1.1),1,0)),0)</f>
        <v>0</v>
      </c>
      <c r="L9" s="485"/>
      <c r="M9" s="483">
        <f>IF(L9="Yes",1,0)</f>
        <v>0</v>
      </c>
      <c r="N9" s="486">
        <f>SUM(E9,H9,K9,M9)</f>
        <v>0</v>
      </c>
    </row>
    <row r="10" spans="1:20" ht="15" customHeight="1" x14ac:dyDescent="0.25">
      <c r="A10" s="420">
        <f t="shared" ref="A10:A11" si="3">IF(B10&gt;0,0,0)</f>
        <v>0</v>
      </c>
      <c r="B10" s="487"/>
      <c r="C10" s="488"/>
      <c r="D10" s="489"/>
      <c r="E10" s="490">
        <f t="shared" si="0"/>
        <v>0</v>
      </c>
      <c r="F10" s="491"/>
      <c r="G10" s="489"/>
      <c r="H10" s="492">
        <f t="shared" si="1"/>
        <v>0</v>
      </c>
      <c r="I10" s="488"/>
      <c r="J10" s="489"/>
      <c r="K10" s="490">
        <f t="shared" si="2"/>
        <v>0</v>
      </c>
      <c r="L10" s="493"/>
      <c r="M10" s="490">
        <f t="shared" ref="M10:M13" si="4">IF(L10="Yes",1,0)</f>
        <v>0</v>
      </c>
      <c r="N10" s="494">
        <f t="shared" ref="N10:N13" si="5">SUM(E10,H10,K10,M10)</f>
        <v>0</v>
      </c>
    </row>
    <row r="11" spans="1:20" ht="15" customHeight="1" x14ac:dyDescent="0.25">
      <c r="A11" s="420">
        <f t="shared" si="3"/>
        <v>0</v>
      </c>
      <c r="B11" s="487"/>
      <c r="C11" s="488"/>
      <c r="D11" s="489"/>
      <c r="E11" s="490">
        <f t="shared" si="0"/>
        <v>0</v>
      </c>
      <c r="F11" s="491"/>
      <c r="G11" s="489"/>
      <c r="H11" s="492">
        <f t="shared" si="1"/>
        <v>0</v>
      </c>
      <c r="I11" s="488"/>
      <c r="J11" s="489"/>
      <c r="K11" s="490">
        <f t="shared" si="2"/>
        <v>0</v>
      </c>
      <c r="L11" s="493"/>
      <c r="M11" s="490">
        <f t="shared" si="4"/>
        <v>0</v>
      </c>
      <c r="N11" s="494">
        <f t="shared" si="5"/>
        <v>0</v>
      </c>
    </row>
    <row r="12" spans="1:20" ht="15" customHeight="1" x14ac:dyDescent="0.25">
      <c r="A12" s="420"/>
      <c r="B12" s="487"/>
      <c r="C12" s="488"/>
      <c r="D12" s="489"/>
      <c r="E12" s="490">
        <f t="shared" si="0"/>
        <v>0</v>
      </c>
      <c r="F12" s="491"/>
      <c r="G12" s="489"/>
      <c r="H12" s="492">
        <f t="shared" si="1"/>
        <v>0</v>
      </c>
      <c r="I12" s="488"/>
      <c r="J12" s="489"/>
      <c r="K12" s="490">
        <f t="shared" si="2"/>
        <v>0</v>
      </c>
      <c r="L12" s="493"/>
      <c r="M12" s="490">
        <f t="shared" si="4"/>
        <v>0</v>
      </c>
      <c r="N12" s="494">
        <f t="shared" si="5"/>
        <v>0</v>
      </c>
    </row>
    <row r="13" spans="1:20" ht="15" customHeight="1" x14ac:dyDescent="0.25">
      <c r="A13" s="420"/>
      <c r="B13" s="495"/>
      <c r="C13" s="496"/>
      <c r="D13" s="497"/>
      <c r="E13" s="498">
        <f t="shared" si="0"/>
        <v>0</v>
      </c>
      <c r="F13" s="499"/>
      <c r="G13" s="497"/>
      <c r="H13" s="500">
        <f t="shared" si="1"/>
        <v>0</v>
      </c>
      <c r="I13" s="496"/>
      <c r="J13" s="497"/>
      <c r="K13" s="498">
        <f t="shared" si="2"/>
        <v>0</v>
      </c>
      <c r="L13" s="501"/>
      <c r="M13" s="498">
        <f t="shared" si="4"/>
        <v>0</v>
      </c>
      <c r="N13" s="502">
        <f t="shared" si="5"/>
        <v>0</v>
      </c>
    </row>
    <row r="14" spans="1:20" ht="21" customHeight="1" x14ac:dyDescent="0.25">
      <c r="A14" s="420" t="s">
        <v>109</v>
      </c>
      <c r="B14" s="697" t="s">
        <v>128</v>
      </c>
      <c r="C14" s="698"/>
      <c r="D14" s="698"/>
      <c r="E14" s="698"/>
      <c r="F14" s="698"/>
      <c r="G14" s="698"/>
      <c r="H14" s="698"/>
      <c r="I14" s="698"/>
      <c r="J14" s="698"/>
      <c r="K14" s="698"/>
      <c r="L14" s="698"/>
      <c r="M14" s="699"/>
      <c r="N14" s="503">
        <f>COUNTA(B9:B13)</f>
        <v>0</v>
      </c>
    </row>
    <row r="15" spans="1:20" ht="21" customHeight="1" x14ac:dyDescent="0.25">
      <c r="B15" s="700" t="s">
        <v>129</v>
      </c>
      <c r="C15" s="701"/>
      <c r="D15" s="701"/>
      <c r="E15" s="701"/>
      <c r="F15" s="701"/>
      <c r="G15" s="701"/>
      <c r="H15" s="701"/>
      <c r="I15" s="701"/>
      <c r="J15" s="701"/>
      <c r="K15" s="701"/>
      <c r="L15" s="701"/>
      <c r="M15" s="702"/>
      <c r="N15" s="504">
        <f>COUNTIF(N9:N13,"&gt;=2")</f>
        <v>0</v>
      </c>
    </row>
    <row r="16" spans="1:20" ht="21" customHeight="1" x14ac:dyDescent="0.25">
      <c r="B16" s="703" t="s">
        <v>130</v>
      </c>
      <c r="C16" s="704"/>
      <c r="D16" s="704"/>
      <c r="E16" s="704"/>
      <c r="F16" s="704"/>
      <c r="G16" s="704"/>
      <c r="H16" s="704"/>
      <c r="I16" s="704"/>
      <c r="J16" s="704"/>
      <c r="K16" s="704"/>
      <c r="L16" s="704"/>
      <c r="M16" s="705"/>
      <c r="N16" s="505">
        <f>COUNTIF(N9:N13,"&gt;=4")</f>
        <v>0</v>
      </c>
    </row>
    <row r="17" ht="28.5" customHeight="1" x14ac:dyDescent="0.25"/>
  </sheetData>
  <sheetProtection formatColumns="0" formatRows="0"/>
  <mergeCells count="9">
    <mergeCell ref="N7:N8"/>
    <mergeCell ref="B14:M14"/>
    <mergeCell ref="B15:M15"/>
    <mergeCell ref="B16:M16"/>
    <mergeCell ref="B7:B8"/>
    <mergeCell ref="C7:E7"/>
    <mergeCell ref="F7:H7"/>
    <mergeCell ref="I7:K7"/>
    <mergeCell ref="L7:M7"/>
  </mergeCells>
  <dataValidations count="2">
    <dataValidation type="list" allowBlank="1" showInputMessage="1" showErrorMessage="1" sqref="F9:F13 I9:I13 C9:C13" xr:uid="{00000000-0002-0000-0300-000000000000}">
      <formula1>"Yes, No"</formula1>
    </dataValidation>
    <dataValidation type="list" allowBlank="1" showInputMessage="1" showErrorMessage="1" sqref="L9:L13" xr:uid="{00000000-0002-0000-0300-000001000000}">
      <formula1>"Yes, No,n/a"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addA">
                <anchor moveWithCells="1">
                  <from>
                    <xdr:col>1</xdr:col>
                    <xdr:colOff>30480</xdr:colOff>
                    <xdr:row>16</xdr:row>
                    <xdr:rowOff>152400</xdr:rowOff>
                  </from>
                  <to>
                    <xdr:col>1</xdr:col>
                    <xdr:colOff>1402080</xdr:colOff>
                    <xdr:row>17</xdr:row>
                    <xdr:rowOff>60960</xdr:rowOff>
                  </to>
                </anchor>
              </controlPr>
            </control>
          </mc:Choice>
        </mc:AlternateContent>
        <mc:AlternateContent xmlns:mc="http://schemas.openxmlformats.org/markup-compatibility/2006">
          <mc:Choice Requires="x14">
            <control shapeId="93186" r:id="rId5" name="Button 2">
              <controlPr defaultSize="0" print="0" autoFill="0" autoPict="0" macro="[0]!DeleteA">
                <anchor moveWithCells="1">
                  <from>
                    <xdr:col>1</xdr:col>
                    <xdr:colOff>1470660</xdr:colOff>
                    <xdr:row>16</xdr:row>
                    <xdr:rowOff>144780</xdr:rowOff>
                  </from>
                  <to>
                    <xdr:col>3</xdr:col>
                    <xdr:colOff>144780</xdr:colOff>
                    <xdr:row>17</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Z139"/>
  <sheetViews>
    <sheetView showGridLines="0" zoomScale="80" zoomScaleNormal="80" zoomScalePageLayoutView="80" workbookViewId="0"/>
  </sheetViews>
  <sheetFormatPr defaultColWidth="9.109375" defaultRowHeight="13.2" x14ac:dyDescent="0.25"/>
  <cols>
    <col min="1" max="1" width="2.6640625" style="295" customWidth="1"/>
    <col min="2" max="2" width="32.88671875" style="293" customWidth="1"/>
    <col min="3" max="6" width="14.6640625" style="293" customWidth="1"/>
    <col min="7" max="7" width="14.6640625" style="301" customWidth="1"/>
    <col min="8" max="8" width="14.5546875" style="293" customWidth="1"/>
    <col min="9" max="20" width="14.6640625" style="293" customWidth="1"/>
    <col min="21" max="21" width="9.109375" style="293"/>
    <col min="22" max="22" width="14.6640625" style="293" hidden="1" customWidth="1"/>
    <col min="23" max="23" width="9.109375" style="293" hidden="1" customWidth="1"/>
    <col min="24" max="16384" width="9.109375" style="293"/>
  </cols>
  <sheetData>
    <row r="1" spans="1:23" ht="15" customHeight="1" x14ac:dyDescent="0.25">
      <c r="A1" s="290"/>
      <c r="B1" s="291"/>
      <c r="C1" s="291"/>
      <c r="D1" s="291"/>
      <c r="E1" s="291"/>
      <c r="F1" s="291"/>
      <c r="G1" s="292"/>
      <c r="H1" s="292"/>
      <c r="I1" s="292"/>
      <c r="J1" s="292"/>
      <c r="K1" s="292"/>
      <c r="L1" s="292"/>
      <c r="M1" s="292"/>
      <c r="N1" s="292"/>
      <c r="O1" s="292"/>
      <c r="P1" s="292"/>
      <c r="Q1" s="292"/>
      <c r="R1" s="292"/>
      <c r="S1" s="292"/>
      <c r="T1" s="292"/>
    </row>
    <row r="2" spans="1:23" ht="25.5" customHeight="1" x14ac:dyDescent="0.25">
      <c r="A2" s="290"/>
      <c r="B2" s="294" t="s">
        <v>131</v>
      </c>
      <c r="C2" s="291"/>
      <c r="D2" s="291"/>
      <c r="E2" s="291"/>
      <c r="F2" s="291"/>
      <c r="G2" s="292"/>
      <c r="H2" s="292"/>
      <c r="I2" s="292"/>
      <c r="J2" s="292"/>
      <c r="K2" s="292"/>
      <c r="L2" s="292"/>
      <c r="M2" s="292"/>
      <c r="N2" s="292"/>
      <c r="O2" s="292"/>
      <c r="P2" s="292"/>
      <c r="Q2" s="292"/>
      <c r="R2" s="292"/>
      <c r="S2" s="292"/>
      <c r="T2" s="292"/>
    </row>
    <row r="3" spans="1:23" ht="25.5" customHeight="1" x14ac:dyDescent="0.25">
      <c r="A3" s="290"/>
      <c r="B3" s="472" t="s">
        <v>132</v>
      </c>
      <c r="C3" s="291"/>
      <c r="D3" s="291"/>
      <c r="E3" s="291"/>
      <c r="F3" s="291"/>
      <c r="G3" s="292"/>
      <c r="H3" s="292"/>
      <c r="I3" s="292"/>
      <c r="J3" s="292"/>
      <c r="K3" s="292"/>
      <c r="L3" s="292"/>
      <c r="M3" s="292"/>
      <c r="N3" s="292"/>
      <c r="O3" s="292"/>
      <c r="P3" s="292"/>
      <c r="Q3" s="292"/>
      <c r="R3" s="292"/>
      <c r="S3" s="292"/>
      <c r="T3" s="292"/>
    </row>
    <row r="4" spans="1:23" ht="15" customHeight="1" x14ac:dyDescent="0.25">
      <c r="A4" s="290"/>
      <c r="B4" s="291"/>
      <c r="C4" s="291"/>
      <c r="D4" s="291"/>
      <c r="E4" s="291"/>
      <c r="F4" s="291"/>
      <c r="G4" s="292"/>
      <c r="H4" s="292"/>
      <c r="I4" s="292"/>
      <c r="J4" s="292"/>
      <c r="K4" s="292"/>
      <c r="L4" s="292"/>
      <c r="M4" s="292"/>
      <c r="N4" s="292"/>
      <c r="O4" s="292"/>
      <c r="P4" s="292"/>
      <c r="Q4" s="292"/>
      <c r="R4" s="292"/>
      <c r="S4" s="292"/>
      <c r="T4" s="292"/>
    </row>
    <row r="5" spans="1:23" s="411" customFormat="1" ht="21" customHeight="1" x14ac:dyDescent="0.25">
      <c r="A5" s="410"/>
    </row>
    <row r="6" spans="1:23" ht="21" customHeight="1" x14ac:dyDescent="0.25">
      <c r="B6" s="784" t="s">
        <v>133</v>
      </c>
      <c r="C6" s="784"/>
      <c r="D6" s="784"/>
      <c r="E6" s="784"/>
      <c r="F6" s="784"/>
      <c r="G6" s="784"/>
      <c r="H6" s="784"/>
      <c r="I6" s="784"/>
      <c r="J6" s="296"/>
      <c r="K6" s="296"/>
      <c r="L6" s="296"/>
    </row>
    <row r="7" spans="1:23" ht="20.25" customHeight="1" x14ac:dyDescent="0.25">
      <c r="B7" s="297"/>
      <c r="C7" s="297"/>
      <c r="D7" s="297"/>
      <c r="E7" s="297"/>
      <c r="F7" s="297"/>
      <c r="G7" s="297"/>
      <c r="H7" s="296"/>
      <c r="I7" s="296"/>
      <c r="J7" s="296"/>
    </row>
    <row r="8" spans="1:23" s="299" customFormat="1" ht="21" customHeight="1" x14ac:dyDescent="0.25">
      <c r="A8" s="298"/>
      <c r="B8" s="302" t="s">
        <v>134</v>
      </c>
      <c r="C8" s="296"/>
      <c r="D8" s="296"/>
      <c r="E8" s="296"/>
      <c r="F8" s="296"/>
      <c r="G8" s="303"/>
      <c r="H8" s="296"/>
      <c r="I8" s="300"/>
      <c r="J8" s="300"/>
    </row>
    <row r="9" spans="1:23" s="299" customFormat="1" ht="48.75" customHeight="1" x14ac:dyDescent="0.25">
      <c r="A9" s="298"/>
      <c r="B9" s="761" t="s">
        <v>135</v>
      </c>
      <c r="C9" s="761"/>
      <c r="D9" s="761"/>
      <c r="E9" s="296"/>
      <c r="F9" s="296"/>
      <c r="G9" s="303"/>
      <c r="H9" s="296"/>
      <c r="I9" s="300"/>
      <c r="J9" s="300"/>
    </row>
    <row r="10" spans="1:23" s="299" customFormat="1" ht="48" customHeight="1" x14ac:dyDescent="0.25">
      <c r="A10" s="298"/>
      <c r="B10" s="304" t="s">
        <v>136</v>
      </c>
      <c r="C10" s="305" t="s">
        <v>137</v>
      </c>
      <c r="D10" s="306" t="s">
        <v>138</v>
      </c>
      <c r="J10" s="300"/>
      <c r="V10" s="307" t="s">
        <v>139</v>
      </c>
      <c r="W10" s="308" t="s">
        <v>140</v>
      </c>
    </row>
    <row r="11" spans="1:23" s="301" customFormat="1" ht="15" customHeight="1" x14ac:dyDescent="0.3">
      <c r="A11" s="295">
        <f>IF(B11&gt;0,0,0)</f>
        <v>0</v>
      </c>
      <c r="B11" s="309" t="s">
        <v>141</v>
      </c>
      <c r="C11" s="310"/>
      <c r="D11" s="311">
        <f>(1+1)*C11</f>
        <v>0</v>
      </c>
      <c r="J11" s="300"/>
      <c r="V11" s="312">
        <v>1</v>
      </c>
      <c r="W11" s="308" t="s">
        <v>141</v>
      </c>
    </row>
    <row r="12" spans="1:23" s="301" customFormat="1" ht="15" customHeight="1" x14ac:dyDescent="0.3">
      <c r="A12" s="295">
        <f>IF(B12&gt;0,0,0)</f>
        <v>0</v>
      </c>
      <c r="B12" s="313" t="s">
        <v>142</v>
      </c>
      <c r="C12" s="314"/>
      <c r="D12" s="315">
        <f>(1+1)*C12</f>
        <v>0</v>
      </c>
      <c r="J12" s="300"/>
      <c r="V12" s="312">
        <v>1</v>
      </c>
      <c r="W12" s="308" t="s">
        <v>142</v>
      </c>
    </row>
    <row r="13" spans="1:23" s="301" customFormat="1" ht="15" customHeight="1" x14ac:dyDescent="0.3">
      <c r="A13" s="295">
        <f>IF(B13&gt;0,0,0)</f>
        <v>0</v>
      </c>
      <c r="B13" s="313" t="s">
        <v>143</v>
      </c>
      <c r="C13" s="314"/>
      <c r="D13" s="315">
        <f>(2+1)*C13</f>
        <v>0</v>
      </c>
      <c r="J13" s="300"/>
      <c r="V13" s="312">
        <v>2</v>
      </c>
      <c r="W13" s="308" t="s">
        <v>143</v>
      </c>
    </row>
    <row r="14" spans="1:23" s="301" customFormat="1" ht="15" customHeight="1" x14ac:dyDescent="0.3">
      <c r="A14" s="295">
        <f t="shared" ref="A14:A15" si="0">IF(B14&gt;0,0,0)</f>
        <v>0</v>
      </c>
      <c r="B14" s="313" t="s">
        <v>144</v>
      </c>
      <c r="C14" s="314"/>
      <c r="D14" s="315">
        <f>(3+1)*C14</f>
        <v>0</v>
      </c>
      <c r="J14" s="300"/>
      <c r="V14" s="312">
        <v>3</v>
      </c>
      <c r="W14" s="308" t="s">
        <v>144</v>
      </c>
    </row>
    <row r="15" spans="1:23" s="301" customFormat="1" ht="15" customHeight="1" x14ac:dyDescent="0.3">
      <c r="A15" s="295">
        <f t="shared" si="0"/>
        <v>0</v>
      </c>
      <c r="B15" s="313" t="s">
        <v>145</v>
      </c>
      <c r="C15" s="314"/>
      <c r="D15" s="315">
        <f>(4+1)*C15</f>
        <v>0</v>
      </c>
      <c r="J15" s="300"/>
      <c r="V15" s="312">
        <v>4</v>
      </c>
      <c r="W15" s="308" t="s">
        <v>145</v>
      </c>
    </row>
    <row r="16" spans="1:23" s="301" customFormat="1" ht="15" customHeight="1" x14ac:dyDescent="0.3">
      <c r="A16" s="295"/>
      <c r="B16" s="313" t="s">
        <v>146</v>
      </c>
      <c r="C16" s="314"/>
      <c r="D16" s="315">
        <f>(5+1)*C16</f>
        <v>0</v>
      </c>
      <c r="J16" s="300"/>
      <c r="V16" s="312">
        <v>5</v>
      </c>
      <c r="W16" s="308" t="s">
        <v>146</v>
      </c>
    </row>
    <row r="17" spans="1:23" s="301" customFormat="1" ht="15" customHeight="1" x14ac:dyDescent="0.3">
      <c r="A17" s="295"/>
      <c r="B17" s="316" t="s">
        <v>147</v>
      </c>
      <c r="C17" s="317"/>
      <c r="D17" s="318">
        <f>(6+1)*C17</f>
        <v>0</v>
      </c>
      <c r="J17" s="300"/>
      <c r="V17" s="312">
        <v>6</v>
      </c>
      <c r="W17" s="308" t="s">
        <v>147</v>
      </c>
    </row>
    <row r="18" spans="1:23" s="301" customFormat="1" ht="21" customHeight="1" x14ac:dyDescent="0.3">
      <c r="A18" s="295"/>
      <c r="B18" s="473" t="s">
        <v>148</v>
      </c>
      <c r="C18" s="378">
        <f>SUM(C11:C17)</f>
        <v>0</v>
      </c>
      <c r="D18" s="320">
        <f>SUM(D11:D17)</f>
        <v>0</v>
      </c>
      <c r="J18" s="300"/>
    </row>
    <row r="19" spans="1:23" s="412" customFormat="1" ht="24" customHeight="1" x14ac:dyDescent="0.25">
      <c r="A19" s="321" t="s">
        <v>109</v>
      </c>
    </row>
    <row r="20" spans="1:23" ht="27" customHeight="1" x14ac:dyDescent="0.25">
      <c r="B20" s="322" t="s">
        <v>149</v>
      </c>
      <c r="C20" s="297"/>
      <c r="D20" s="297"/>
      <c r="E20" s="297"/>
      <c r="F20" s="297"/>
      <c r="G20" s="323"/>
      <c r="H20" s="297"/>
      <c r="I20" s="297"/>
      <c r="J20" s="300"/>
    </row>
    <row r="21" spans="1:23" ht="51.75" customHeight="1" x14ac:dyDescent="0.25">
      <c r="B21" s="784" t="s">
        <v>150</v>
      </c>
      <c r="C21" s="784"/>
      <c r="D21" s="784"/>
      <c r="E21" s="296"/>
      <c r="F21" s="296"/>
      <c r="G21" s="296"/>
      <c r="H21" s="297"/>
      <c r="I21" s="297"/>
      <c r="J21" s="300"/>
    </row>
    <row r="22" spans="1:23" ht="21" customHeight="1" x14ac:dyDescent="0.25">
      <c r="B22" s="324" t="s">
        <v>151</v>
      </c>
      <c r="C22" s="325"/>
      <c r="D22" s="325"/>
      <c r="E22" s="325"/>
      <c r="G22" s="326"/>
    </row>
    <row r="23" spans="1:23" s="299" customFormat="1" ht="35.25" customHeight="1" x14ac:dyDescent="0.25">
      <c r="A23" s="298"/>
      <c r="B23" s="761" t="s">
        <v>152</v>
      </c>
      <c r="C23" s="761"/>
      <c r="D23" s="296"/>
      <c r="E23" s="296"/>
      <c r="F23" s="296"/>
      <c r="G23" s="303"/>
      <c r="H23" s="296"/>
      <c r="I23" s="300"/>
      <c r="J23" s="300"/>
    </row>
    <row r="24" spans="1:23" ht="57.75" customHeight="1" x14ac:dyDescent="0.25">
      <c r="B24" s="327" t="s">
        <v>153</v>
      </c>
      <c r="C24" s="306" t="str">
        <f>CONCATENATE("Flow Rate
",IF(UOM=1,"(gpm)","(lpm)"))</f>
        <v>Flow Rate
(gpm)</v>
      </c>
      <c r="D24" s="325"/>
      <c r="E24" s="325"/>
      <c r="G24" s="326"/>
    </row>
    <row r="25" spans="1:23" ht="15" customHeight="1" x14ac:dyDescent="0.25">
      <c r="A25" s="295">
        <f>IF(B25&gt;0,0,0)</f>
        <v>0</v>
      </c>
      <c r="B25" s="328"/>
      <c r="C25" s="329"/>
      <c r="D25" s="325"/>
      <c r="E25" s="325"/>
      <c r="G25" s="326"/>
    </row>
    <row r="26" spans="1:23" ht="15" customHeight="1" x14ac:dyDescent="0.25">
      <c r="A26" s="295">
        <f>IF(B26&gt;0,0,0)</f>
        <v>0</v>
      </c>
      <c r="B26" s="330"/>
      <c r="C26" s="331"/>
      <c r="D26" s="325"/>
      <c r="E26" s="325"/>
      <c r="G26" s="326"/>
    </row>
    <row r="27" spans="1:23" ht="15" customHeight="1" x14ac:dyDescent="0.25">
      <c r="A27" s="295">
        <f>IF(B27&gt;0,0,0)</f>
        <v>0</v>
      </c>
      <c r="B27" s="330"/>
      <c r="C27" s="331"/>
      <c r="D27" s="325"/>
      <c r="E27" s="325"/>
      <c r="G27" s="326"/>
    </row>
    <row r="28" spans="1:23" ht="15" customHeight="1" x14ac:dyDescent="0.25">
      <c r="B28" s="332"/>
      <c r="C28" s="333"/>
      <c r="D28" s="325"/>
      <c r="E28" s="325"/>
      <c r="G28" s="326"/>
    </row>
    <row r="29" spans="1:23" s="412" customFormat="1" ht="21" customHeight="1" x14ac:dyDescent="0.25">
      <c r="E29" s="325"/>
      <c r="F29" s="293"/>
      <c r="G29" s="326"/>
      <c r="H29" s="293"/>
      <c r="I29" s="293"/>
      <c r="J29" s="293"/>
      <c r="K29" s="293"/>
      <c r="L29" s="293"/>
      <c r="M29" s="293"/>
    </row>
    <row r="30" spans="1:23" ht="65.25" customHeight="1" x14ac:dyDescent="0.25">
      <c r="B30" s="785" t="s">
        <v>154</v>
      </c>
      <c r="C30" s="785"/>
      <c r="D30" s="785"/>
      <c r="E30" s="785"/>
      <c r="F30" s="413"/>
      <c r="G30" s="413"/>
      <c r="H30" s="413"/>
      <c r="I30" s="413"/>
      <c r="J30" s="413"/>
    </row>
    <row r="31" spans="1:23" s="338" customFormat="1" ht="24" customHeight="1" x14ac:dyDescent="0.25">
      <c r="A31" s="334"/>
      <c r="B31" s="762" t="s">
        <v>134</v>
      </c>
      <c r="C31" s="763"/>
      <c r="D31" s="763"/>
      <c r="E31" s="764"/>
      <c r="F31" s="335" t="s">
        <v>88</v>
      </c>
      <c r="G31" s="336"/>
      <c r="H31" s="336"/>
      <c r="I31" s="336"/>
      <c r="J31" s="336"/>
      <c r="K31" s="336"/>
      <c r="L31" s="336"/>
      <c r="M31" s="336"/>
      <c r="N31" s="336"/>
      <c r="O31" s="337"/>
      <c r="P31" s="778" t="s">
        <v>83</v>
      </c>
      <c r="Q31" s="779"/>
      <c r="R31" s="780"/>
      <c r="S31" s="778" t="s">
        <v>148</v>
      </c>
      <c r="T31" s="780"/>
    </row>
    <row r="32" spans="1:23" s="338" customFormat="1" ht="20.25" customHeight="1" x14ac:dyDescent="0.25">
      <c r="A32" s="334"/>
      <c r="B32" s="754" t="s">
        <v>136</v>
      </c>
      <c r="C32" s="756" t="s">
        <v>155</v>
      </c>
      <c r="D32" s="758" t="s">
        <v>137</v>
      </c>
      <c r="E32" s="759" t="s">
        <v>138</v>
      </c>
      <c r="F32" s="775" t="s">
        <v>156</v>
      </c>
      <c r="G32" s="776"/>
      <c r="H32" s="775" t="s">
        <v>157</v>
      </c>
      <c r="I32" s="776"/>
      <c r="J32" s="775" t="s">
        <v>158</v>
      </c>
      <c r="K32" s="776"/>
      <c r="L32" s="775" t="s">
        <v>159</v>
      </c>
      <c r="M32" s="776"/>
      <c r="N32" s="746" t="str">
        <f>CONCATENATE("Average 
Flow Rate
",IF(UOM=1,"(gpm)","(lpm)"))</f>
        <v>Average 
Flow Rate
(gpm)</v>
      </c>
      <c r="O32" s="777" t="str">
        <f>CONCATENATE("Calculated
Water Usage
",IF(UOM=1," (gallons)"," (liters)"))</f>
        <v>Calculated
Water Usage
 (gallons)</v>
      </c>
      <c r="P32" s="774" t="s">
        <v>160</v>
      </c>
      <c r="Q32" s="756" t="str">
        <f>CONCATENATE("Flow Rate
",IF(UOM=1,"(gpm)","(lpm)"))</f>
        <v>Flow Rate
(gpm)</v>
      </c>
      <c r="R32" s="772" t="str">
        <f>CONCATENATE("Estimated
Water Usage
",IF(UOM=1," (gallons)"," (liters)"))</f>
        <v>Estimated
Water Usage
 (gallons)</v>
      </c>
      <c r="S32" s="774" t="str">
        <f>CONCATENATE("Design 
Monthly 
Water Use
",IF(UOM=1," (gal/month)"," (l/month)"))</f>
        <v>Design 
Monthly 
Water Use
 (gal/month)</v>
      </c>
      <c r="T32" s="772" t="str">
        <f>CONCATENATE("Baseline Monthly 
Water Use
",IF(UOM=1," (gal/month)"," (l/month)"))</f>
        <v>Baseline Monthly 
Water Use
 (gal/month)</v>
      </c>
      <c r="V32" s="738" t="s">
        <v>139</v>
      </c>
    </row>
    <row r="33" spans="1:22" ht="65.25" customHeight="1" x14ac:dyDescent="0.25">
      <c r="B33" s="755"/>
      <c r="C33" s="757"/>
      <c r="D33" s="757"/>
      <c r="E33" s="760"/>
      <c r="F33" s="339" t="s">
        <v>161</v>
      </c>
      <c r="G33" s="340" t="str">
        <f>CONCATENATE("Fixture 1 
Flow Rate
",IF(UOM=1,"(gpm)","(lpm)"))</f>
        <v>Fixture 1 
Flow Rate
(gpm)</v>
      </c>
      <c r="H33" s="339" t="s">
        <v>162</v>
      </c>
      <c r="I33" s="340" t="str">
        <f>CONCATENATE("Fixture 2 
Flow Rate
",IF(UOM=1,"(gpm)","(lpm)"))</f>
        <v>Fixture 2 
Flow Rate
(gpm)</v>
      </c>
      <c r="J33" s="339" t="s">
        <v>163</v>
      </c>
      <c r="K33" s="340" t="str">
        <f>CONCATENATE("Fixture 3 
Flow Rate
",IF(UOM=1,"(gpm)","(lpm)"))</f>
        <v>Fixture 3 
Flow Rate
(gpm)</v>
      </c>
      <c r="L33" s="339" t="s">
        <v>164</v>
      </c>
      <c r="M33" s="340" t="str">
        <f>CONCATENATE("Fixture 4 
Flow Rate
",IF(UOM=1,"(gpm)","(lpm)"))</f>
        <v>Fixture 4 
Flow Rate
(gpm)</v>
      </c>
      <c r="N33" s="747"/>
      <c r="O33" s="773"/>
      <c r="P33" s="747"/>
      <c r="Q33" s="757"/>
      <c r="R33" s="773"/>
      <c r="S33" s="747"/>
      <c r="T33" s="773"/>
      <c r="V33" s="738"/>
    </row>
    <row r="34" spans="1:22" s="301" customFormat="1" ht="15" customHeight="1" x14ac:dyDescent="0.3">
      <c r="A34" s="295">
        <f>IF(B34&gt;0,0,0)</f>
        <v>0</v>
      </c>
      <c r="B34" s="341"/>
      <c r="C34" s="342"/>
      <c r="D34" s="310"/>
      <c r="E34" s="343">
        <f>IFERROR(IF(B34="All units",$D$18,(V34+1)*D34),0)</f>
        <v>0</v>
      </c>
      <c r="F34" s="341"/>
      <c r="G34" s="344" t="str">
        <f>IFERROR(VLOOKUP(F34,$B$25:$C$28,2,FALSE),"")</f>
        <v/>
      </c>
      <c r="H34" s="345"/>
      <c r="I34" s="344" t="str">
        <f>IFERROR(VLOOKUP(H34,$B$25:$C$28,2,FALSE),"")</f>
        <v/>
      </c>
      <c r="J34" s="345"/>
      <c r="K34" s="344" t="str">
        <f>IFERROR(VLOOKUP(J34,$B$25:$C$28,2,FALSE),"")</f>
        <v/>
      </c>
      <c r="L34" s="345"/>
      <c r="M34" s="344" t="str">
        <f>IFERROR(VLOOKUP(L34,$B$25:$C$28,2,FALSE),"")</f>
        <v/>
      </c>
      <c r="N34" s="346" t="str">
        <f>IFERROR(SUM(G34,I34,K34,M34)/COUNTA(F34,H34,J34,L34),"")</f>
        <v/>
      </c>
      <c r="O34" s="347" t="str">
        <f>IFERROR(N34*$P34,"")</f>
        <v/>
      </c>
      <c r="P34" s="348" t="str">
        <f>IF(B34&lt;&gt;"",$C$134,"")</f>
        <v/>
      </c>
      <c r="Q34" s="349" t="str">
        <f>IF(B34&lt;&gt;"",IF(UOM=1,$F$134,$H$134),"")</f>
        <v/>
      </c>
      <c r="R34" s="350" t="str">
        <f>IF(B34&lt;&gt;"",IF(UOM=1,$J$134,$K$134),"")</f>
        <v/>
      </c>
      <c r="S34" s="351" t="str">
        <f>IFERROR(O34*30*$E34,"")</f>
        <v/>
      </c>
      <c r="T34" s="352" t="str">
        <f>IFERROR(R34*30*$E34,"")</f>
        <v/>
      </c>
      <c r="V34" s="312" t="str">
        <f>IFERROR(VLOOKUP(B34,$B$11:$V$17,21,FALSE),"")</f>
        <v/>
      </c>
    </row>
    <row r="35" spans="1:22" s="301" customFormat="1" ht="15" customHeight="1" x14ac:dyDescent="0.3">
      <c r="A35" s="295">
        <f>IF(B35&gt;0,0,0)</f>
        <v>0</v>
      </c>
      <c r="B35" s="330"/>
      <c r="C35" s="353"/>
      <c r="D35" s="314"/>
      <c r="E35" s="354">
        <f>IFERROR(IF(B35="All units",$D$18,(V35+1)*D35),0)</f>
        <v>0</v>
      </c>
      <c r="F35" s="330"/>
      <c r="G35" s="355" t="str">
        <f t="shared" ref="G35:I38" si="1">IFERROR(VLOOKUP(F35,$B$25:$C$28,2,FALSE),"")</f>
        <v/>
      </c>
      <c r="H35" s="356"/>
      <c r="I35" s="355" t="str">
        <f t="shared" si="1"/>
        <v/>
      </c>
      <c r="J35" s="356"/>
      <c r="K35" s="355" t="str">
        <f t="shared" ref="K35:K38" si="2">IFERROR(VLOOKUP(J35,$B$25:$C$28,2,FALSE),"")</f>
        <v/>
      </c>
      <c r="L35" s="356"/>
      <c r="M35" s="355" t="str">
        <f t="shared" ref="M35:M38" si="3">IFERROR(VLOOKUP(L35,$B$25:$C$28,2,FALSE),"")</f>
        <v/>
      </c>
      <c r="N35" s="357" t="str">
        <f t="shared" ref="N35:N38" si="4">IFERROR(SUM(G35,I35,K35,M35)/COUNTA(F35,H35,J35,L35),"")</f>
        <v/>
      </c>
      <c r="O35" s="358" t="str">
        <f>IFERROR(N35*$P35,"")</f>
        <v/>
      </c>
      <c r="P35" s="359" t="str">
        <f>IF(B35&lt;&gt;"",$C$134,"")</f>
        <v/>
      </c>
      <c r="Q35" s="357" t="str">
        <f>IF(B35&lt;&gt;"",IF(UOM=1,$F$134,$H$134),"")</f>
        <v/>
      </c>
      <c r="R35" s="360" t="str">
        <f>IF(B35&lt;&gt;"",IF(UOM=1,$J$134,$K$134),"")</f>
        <v/>
      </c>
      <c r="S35" s="361" t="str">
        <f>IFERROR(O35*30*$E35,"")</f>
        <v/>
      </c>
      <c r="T35" s="362" t="str">
        <f>IFERROR(R35*30*$E35,"")</f>
        <v/>
      </c>
      <c r="V35" s="312" t="str">
        <f>IFERROR(VLOOKUP(B35,$B$11:$V$17,21,FALSE),"")</f>
        <v/>
      </c>
    </row>
    <row r="36" spans="1:22" s="301" customFormat="1" ht="15" customHeight="1" x14ac:dyDescent="0.3">
      <c r="A36" s="295">
        <f>IF(B36&gt;0,0,0)</f>
        <v>0</v>
      </c>
      <c r="B36" s="330"/>
      <c r="C36" s="353"/>
      <c r="D36" s="314"/>
      <c r="E36" s="354">
        <f>IFERROR(IF(B36="All units",$D$18,(V36+1)*D36),0)</f>
        <v>0</v>
      </c>
      <c r="F36" s="330"/>
      <c r="G36" s="355" t="str">
        <f t="shared" si="1"/>
        <v/>
      </c>
      <c r="H36" s="356"/>
      <c r="I36" s="355" t="str">
        <f t="shared" si="1"/>
        <v/>
      </c>
      <c r="J36" s="356"/>
      <c r="K36" s="355" t="str">
        <f t="shared" si="2"/>
        <v/>
      </c>
      <c r="L36" s="356"/>
      <c r="M36" s="355" t="str">
        <f t="shared" si="3"/>
        <v/>
      </c>
      <c r="N36" s="357" t="str">
        <f t="shared" si="4"/>
        <v/>
      </c>
      <c r="O36" s="358" t="str">
        <f>IFERROR(N36*$P36,"")</f>
        <v/>
      </c>
      <c r="P36" s="359" t="str">
        <f>IF(B36&lt;&gt;"",$C$134,"")</f>
        <v/>
      </c>
      <c r="Q36" s="357" t="str">
        <f>IF(B36&lt;&gt;"",IF(UOM=1,$F$134,$H$134),"")</f>
        <v/>
      </c>
      <c r="R36" s="360" t="str">
        <f>IF(B36&lt;&gt;"",IF(UOM=1,$J$134,$K$134),"")</f>
        <v/>
      </c>
      <c r="S36" s="361" t="str">
        <f>IFERROR(O36*30*$E36,"")</f>
        <v/>
      </c>
      <c r="T36" s="362" t="str">
        <f>IFERROR(R36*30*$E36,"")</f>
        <v/>
      </c>
      <c r="V36" s="312" t="str">
        <f>IFERROR(VLOOKUP(B36,$B$11:$V$17,21,FALSE),"")</f>
        <v/>
      </c>
    </row>
    <row r="37" spans="1:22" s="301" customFormat="1" ht="15" customHeight="1" x14ac:dyDescent="0.3">
      <c r="A37" s="295"/>
      <c r="B37" s="363"/>
      <c r="C37" s="353"/>
      <c r="D37" s="314"/>
      <c r="E37" s="354">
        <f>IFERROR(IF(B37="All units",$D$18,(V37+1)*D37),0)</f>
        <v>0</v>
      </c>
      <c r="F37" s="330"/>
      <c r="G37" s="355" t="str">
        <f t="shared" si="1"/>
        <v/>
      </c>
      <c r="H37" s="356"/>
      <c r="I37" s="355" t="str">
        <f t="shared" si="1"/>
        <v/>
      </c>
      <c r="J37" s="356"/>
      <c r="K37" s="355" t="str">
        <f t="shared" si="2"/>
        <v/>
      </c>
      <c r="L37" s="356"/>
      <c r="M37" s="355" t="str">
        <f t="shared" si="3"/>
        <v/>
      </c>
      <c r="N37" s="357" t="str">
        <f t="shared" si="4"/>
        <v/>
      </c>
      <c r="O37" s="358" t="str">
        <f>IFERROR(N37*$P37,"")</f>
        <v/>
      </c>
      <c r="P37" s="359" t="str">
        <f>IF(B37&lt;&gt;"",$C$134,"")</f>
        <v/>
      </c>
      <c r="Q37" s="357" t="str">
        <f>IF(B37&lt;&gt;"",IF(UOM=1,$F$134,$H$134),"")</f>
        <v/>
      </c>
      <c r="R37" s="360" t="str">
        <f>IF(B37&lt;&gt;"",IF(UOM=1,$J$134,$K$134),"")</f>
        <v/>
      </c>
      <c r="S37" s="361" t="str">
        <f>IFERROR(O37*30*$E37,"")</f>
        <v/>
      </c>
      <c r="T37" s="362" t="str">
        <f>IFERROR(R37*30*$E37,"")</f>
        <v/>
      </c>
      <c r="V37" s="312" t="str">
        <f>IFERROR(VLOOKUP(B37,$B$11:$V$17,21,FALSE),"")</f>
        <v/>
      </c>
    </row>
    <row r="38" spans="1:22" s="301" customFormat="1" ht="15" customHeight="1" x14ac:dyDescent="0.3">
      <c r="A38" s="295"/>
      <c r="B38" s="332"/>
      <c r="C38" s="364"/>
      <c r="D38" s="365"/>
      <c r="E38" s="366">
        <f>IFERROR(IF(B38="All units",$D$18,(V38+1)*D38),0)</f>
        <v>0</v>
      </c>
      <c r="F38" s="367"/>
      <c r="G38" s="368" t="str">
        <f t="shared" si="1"/>
        <v/>
      </c>
      <c r="H38" s="369"/>
      <c r="I38" s="368" t="str">
        <f t="shared" si="1"/>
        <v/>
      </c>
      <c r="J38" s="369"/>
      <c r="K38" s="368" t="str">
        <f t="shared" si="2"/>
        <v/>
      </c>
      <c r="L38" s="369"/>
      <c r="M38" s="368" t="str">
        <f t="shared" si="3"/>
        <v/>
      </c>
      <c r="N38" s="370" t="str">
        <f t="shared" si="4"/>
        <v/>
      </c>
      <c r="O38" s="371" t="str">
        <f>IFERROR(N38*$P38,"")</f>
        <v/>
      </c>
      <c r="P38" s="372" t="str">
        <f>IF(B38&lt;&gt;"",$C$134,"")</f>
        <v/>
      </c>
      <c r="Q38" s="370" t="str">
        <f>IF(B38&lt;&gt;"",IF(UOM=1,$F$134,$H$134),"")</f>
        <v/>
      </c>
      <c r="R38" s="373" t="str">
        <f>IF(B38&lt;&gt;"",IF(UOM=1,$J$134,$K$134),"")</f>
        <v/>
      </c>
      <c r="S38" s="374" t="str">
        <f>IFERROR(O38*30*$E38,"")</f>
        <v/>
      </c>
      <c r="T38" s="375" t="str">
        <f>IFERROR(R38*30*$E38,"")</f>
        <v/>
      </c>
      <c r="V38" s="312" t="str">
        <f>IFERROR(VLOOKUP(B38,$B$11:$V$17,21,FALSE),"")</f>
        <v/>
      </c>
    </row>
    <row r="39" spans="1:22" ht="21" customHeight="1" x14ac:dyDescent="0.25">
      <c r="A39" s="321" t="s">
        <v>116</v>
      </c>
      <c r="B39" s="376" t="s">
        <v>165</v>
      </c>
      <c r="C39" s="377"/>
      <c r="D39" s="378">
        <f>SUM(D34:D38)</f>
        <v>0</v>
      </c>
      <c r="E39" s="378">
        <f>SUM(E34:E38)</f>
        <v>0</v>
      </c>
      <c r="F39" s="377"/>
      <c r="G39" s="377"/>
      <c r="H39" s="377"/>
      <c r="I39" s="377"/>
      <c r="J39" s="377"/>
      <c r="K39" s="377"/>
      <c r="L39" s="377"/>
      <c r="M39" s="377"/>
      <c r="N39" s="379"/>
      <c r="O39" s="380"/>
      <c r="P39" s="380"/>
      <c r="Q39" s="380"/>
      <c r="R39" s="380"/>
      <c r="S39" s="381">
        <f>SUM(S34:S38)</f>
        <v>0</v>
      </c>
      <c r="T39" s="382">
        <f>SUM(T34:T38)</f>
        <v>0</v>
      </c>
    </row>
    <row r="40" spans="1:22" s="412" customFormat="1" ht="42" customHeight="1" x14ac:dyDescent="0.25">
      <c r="A40" s="383"/>
    </row>
    <row r="41" spans="1:22" ht="21" customHeight="1" x14ac:dyDescent="0.25">
      <c r="B41" s="384"/>
    </row>
    <row r="42" spans="1:22" ht="21" customHeight="1" x14ac:dyDescent="0.25">
      <c r="B42" s="324" t="s">
        <v>166</v>
      </c>
      <c r="C42" s="325"/>
      <c r="D42" s="325"/>
      <c r="E42" s="325"/>
      <c r="G42" s="326"/>
    </row>
    <row r="43" spans="1:22" ht="57.75" customHeight="1" x14ac:dyDescent="0.25">
      <c r="B43" s="327" t="s">
        <v>153</v>
      </c>
      <c r="C43" s="306" t="str">
        <f>CONCATENATE("Flow Rate
",IF(UOM=1,"(gpm)","(lpm)"))</f>
        <v>Flow Rate
(gpm)</v>
      </c>
      <c r="D43" s="325"/>
      <c r="E43" s="325"/>
      <c r="G43" s="326"/>
    </row>
    <row r="44" spans="1:22" ht="15" customHeight="1" x14ac:dyDescent="0.25">
      <c r="A44" s="295">
        <f>IF(B44&gt;0,0,0)</f>
        <v>0</v>
      </c>
      <c r="B44" s="328"/>
      <c r="C44" s="329"/>
      <c r="D44" s="325"/>
      <c r="E44" s="325"/>
      <c r="G44" s="326"/>
    </row>
    <row r="45" spans="1:22" ht="15" customHeight="1" x14ac:dyDescent="0.25">
      <c r="A45" s="295">
        <f>IF(B45&gt;0,0,0)</f>
        <v>0</v>
      </c>
      <c r="B45" s="330"/>
      <c r="C45" s="331"/>
      <c r="D45" s="325"/>
      <c r="E45" s="325"/>
      <c r="G45" s="326"/>
    </row>
    <row r="46" spans="1:22" ht="15" customHeight="1" x14ac:dyDescent="0.25">
      <c r="A46" s="295">
        <f>IF(B46&gt;0,0,0)</f>
        <v>0</v>
      </c>
      <c r="B46" s="330"/>
      <c r="C46" s="331"/>
      <c r="D46" s="325"/>
      <c r="E46" s="325"/>
      <c r="G46" s="326"/>
    </row>
    <row r="47" spans="1:22" ht="15" customHeight="1" x14ac:dyDescent="0.25">
      <c r="B47" s="332"/>
      <c r="C47" s="333"/>
      <c r="D47" s="325"/>
      <c r="E47" s="325"/>
      <c r="G47" s="326"/>
    </row>
    <row r="48" spans="1:22" s="412" customFormat="1" ht="21" customHeight="1" x14ac:dyDescent="0.25">
      <c r="E48" s="325"/>
      <c r="F48" s="293"/>
      <c r="G48" s="326"/>
      <c r="H48" s="293"/>
      <c r="I48" s="293"/>
      <c r="J48" s="293"/>
      <c r="K48" s="293"/>
      <c r="L48" s="293"/>
      <c r="M48" s="293"/>
      <c r="Q48" s="293"/>
      <c r="R48" s="293"/>
      <c r="S48" s="293"/>
      <c r="T48" s="293"/>
    </row>
    <row r="49" spans="1:26" s="338" customFormat="1" ht="26.25" customHeight="1" x14ac:dyDescent="0.25">
      <c r="A49" s="334"/>
      <c r="B49" s="762" t="s">
        <v>134</v>
      </c>
      <c r="C49" s="763"/>
      <c r="D49" s="763"/>
      <c r="E49" s="764"/>
      <c r="F49" s="781" t="s">
        <v>88</v>
      </c>
      <c r="G49" s="782"/>
      <c r="H49" s="782"/>
      <c r="I49" s="782"/>
      <c r="J49" s="782"/>
      <c r="K49" s="782"/>
      <c r="L49" s="782"/>
      <c r="M49" s="782"/>
      <c r="N49" s="782"/>
      <c r="O49" s="783"/>
      <c r="P49" s="778" t="s">
        <v>83</v>
      </c>
      <c r="Q49" s="779"/>
      <c r="R49" s="780"/>
      <c r="S49" s="778" t="s">
        <v>148</v>
      </c>
      <c r="T49" s="780"/>
      <c r="V49" s="293"/>
      <c r="W49" s="293"/>
      <c r="X49" s="293"/>
      <c r="Y49" s="293"/>
      <c r="Z49" s="293"/>
    </row>
    <row r="50" spans="1:26" s="338" customFormat="1" ht="26.25" customHeight="1" x14ac:dyDescent="0.25">
      <c r="A50" s="334"/>
      <c r="B50" s="754" t="s">
        <v>136</v>
      </c>
      <c r="C50" s="756" t="s">
        <v>155</v>
      </c>
      <c r="D50" s="758" t="s">
        <v>137</v>
      </c>
      <c r="E50" s="759" t="s">
        <v>138</v>
      </c>
      <c r="F50" s="775" t="s">
        <v>156</v>
      </c>
      <c r="G50" s="776"/>
      <c r="H50" s="775" t="s">
        <v>157</v>
      </c>
      <c r="I50" s="776"/>
      <c r="J50" s="775" t="s">
        <v>158</v>
      </c>
      <c r="K50" s="776"/>
      <c r="L50" s="775" t="s">
        <v>159</v>
      </c>
      <c r="M50" s="776"/>
      <c r="N50" s="746" t="str">
        <f>CONCATENATE("Average 
Flow Rate
",IF(UOM=1,"(gpm)","(lpm)"))</f>
        <v>Average 
Flow Rate
(gpm)</v>
      </c>
      <c r="O50" s="777" t="str">
        <f>CONCATENATE("Calculated
Water Usage
",IF(UOM=1," (gallons)"," (liters)"))</f>
        <v>Calculated
Water Usage
 (gallons)</v>
      </c>
      <c r="P50" s="774" t="s">
        <v>160</v>
      </c>
      <c r="Q50" s="756" t="str">
        <f>CONCATENATE("Flow Rate
",IF(UOM=1,"(gpm)","(lpm)"))</f>
        <v>Flow Rate
(gpm)</v>
      </c>
      <c r="R50" s="772" t="str">
        <f>CONCATENATE("Estimated
Water Usage
",IF(UOM=1," (gallons)"," (liters)"))</f>
        <v>Estimated
Water Usage
 (gallons)</v>
      </c>
      <c r="S50" s="774" t="str">
        <f>CONCATENATE("Design
Monthly 
Water Use
",IF(UOM=1," (gal/month)"," (l/month)"))</f>
        <v>Design
Monthly 
Water Use
 (gal/month)</v>
      </c>
      <c r="T50" s="772" t="str">
        <f>CONCATENATE("Baseline Monthly 
Water Use
",IF(UOM=1," (gal/month)"," (l/month)"))</f>
        <v>Baseline Monthly 
Water Use
 (gal/month)</v>
      </c>
      <c r="V50" s="738" t="s">
        <v>139</v>
      </c>
      <c r="W50" s="412"/>
      <c r="X50" s="412"/>
      <c r="Y50" s="412"/>
      <c r="Z50" s="412"/>
    </row>
    <row r="51" spans="1:26" ht="57.75" customHeight="1" x14ac:dyDescent="0.25">
      <c r="B51" s="755"/>
      <c r="C51" s="757"/>
      <c r="D51" s="757"/>
      <c r="E51" s="760"/>
      <c r="F51" s="339" t="s">
        <v>161</v>
      </c>
      <c r="G51" s="340" t="str">
        <f>CONCATENATE("Fixture 1 
Flow Rate
",IF(UOM=1,"(gpm)","(lpm)"))</f>
        <v>Fixture 1 
Flow Rate
(gpm)</v>
      </c>
      <c r="H51" s="339" t="s">
        <v>162</v>
      </c>
      <c r="I51" s="340" t="str">
        <f>CONCATENATE("Fixture 2 
Flow Rate
",IF(UOM=1,"(gpm)","(lpm)"))</f>
        <v>Fixture 2 
Flow Rate
(gpm)</v>
      </c>
      <c r="J51" s="339" t="s">
        <v>163</v>
      </c>
      <c r="K51" s="340" t="str">
        <f>CONCATENATE("Fixture 3 
Flow Rate
",IF(UOM=1,"(gpm)","(lpm)"))</f>
        <v>Fixture 3 
Flow Rate
(gpm)</v>
      </c>
      <c r="L51" s="339" t="s">
        <v>164</v>
      </c>
      <c r="M51" s="340" t="str">
        <f>CONCATENATE("Fixture 4 
Flow Rate
",IF(UOM=1,"(gpm)","(lpm)"))</f>
        <v>Fixture 4 
Flow Rate
(gpm)</v>
      </c>
      <c r="N51" s="747"/>
      <c r="O51" s="773"/>
      <c r="P51" s="747"/>
      <c r="Q51" s="757"/>
      <c r="R51" s="773"/>
      <c r="S51" s="747"/>
      <c r="T51" s="773"/>
      <c r="V51" s="738"/>
    </row>
    <row r="52" spans="1:26" s="301" customFormat="1" ht="15" customHeight="1" x14ac:dyDescent="0.3">
      <c r="A52" s="295">
        <f>IF(B52&gt;0,0,0)</f>
        <v>0</v>
      </c>
      <c r="B52" s="341"/>
      <c r="C52" s="342"/>
      <c r="D52" s="310"/>
      <c r="E52" s="343">
        <f>IFERROR(IF(B52="All units",$D$18,(V52+1)*D52),0)</f>
        <v>0</v>
      </c>
      <c r="F52" s="341"/>
      <c r="G52" s="344" t="str">
        <f>IFERROR(VLOOKUP(F52,$B$44:$C$47,2,FALSE),"")</f>
        <v/>
      </c>
      <c r="H52" s="345"/>
      <c r="I52" s="344" t="str">
        <f>IFERROR(VLOOKUP(H52,$B$44:$C$47,2,FALSE),"")</f>
        <v/>
      </c>
      <c r="J52" s="345"/>
      <c r="K52" s="344" t="str">
        <f>IFERROR(VLOOKUP(J52,$B$44:$C$47,2,FALSE),"")</f>
        <v/>
      </c>
      <c r="L52" s="345"/>
      <c r="M52" s="344" t="str">
        <f>IFERROR(VLOOKUP(L52,$B$44:$C$47,2,FALSE),"")</f>
        <v/>
      </c>
      <c r="N52" s="346" t="str">
        <f>IFERROR(SUM(G52,I52,K52,M52)/COUNTA(F52,H52,J52,L52),"")</f>
        <v/>
      </c>
      <c r="O52" s="347" t="str">
        <f>IFERROR(N52*$P52,"")</f>
        <v/>
      </c>
      <c r="P52" s="385" t="str">
        <f>IF(B52&lt;&gt;"",$C$135,"")</f>
        <v/>
      </c>
      <c r="Q52" s="346" t="str">
        <f>IF(B52&lt;&gt;"",IF(UOM=1,$F$135,$H$135),"")</f>
        <v/>
      </c>
      <c r="R52" s="347" t="str">
        <f>IF(B52&lt;&gt;"",IF(UOM=1,$J$135,$K$135),"")</f>
        <v/>
      </c>
      <c r="S52" s="351" t="str">
        <f>IFERROR(O52*30*$E52,"")</f>
        <v/>
      </c>
      <c r="T52" s="352" t="str">
        <f>IFERROR(R52*30*$E52,"")</f>
        <v/>
      </c>
      <c r="V52" s="312" t="str">
        <f>IFERROR(VLOOKUP(B52,$B$11:$V$17,21,FALSE),"")</f>
        <v/>
      </c>
    </row>
    <row r="53" spans="1:26" s="301" customFormat="1" ht="15" customHeight="1" x14ac:dyDescent="0.3">
      <c r="A53" s="295">
        <f>IF(B53&gt;0,0,0)</f>
        <v>0</v>
      </c>
      <c r="B53" s="330"/>
      <c r="C53" s="353"/>
      <c r="D53" s="314"/>
      <c r="E53" s="354">
        <f>IFERROR(IF(B53="All units",$D$18,(V53+1)*D53),0)</f>
        <v>0</v>
      </c>
      <c r="F53" s="330"/>
      <c r="G53" s="355" t="str">
        <f t="shared" ref="G53:I56" si="5">IFERROR(VLOOKUP(F53,$B$44:$C$47,2,FALSE),"")</f>
        <v/>
      </c>
      <c r="H53" s="356"/>
      <c r="I53" s="355" t="str">
        <f t="shared" si="5"/>
        <v/>
      </c>
      <c r="J53" s="356"/>
      <c r="K53" s="355" t="str">
        <f t="shared" ref="K53:K56" si="6">IFERROR(VLOOKUP(J53,$B$44:$C$47,2,FALSE),"")</f>
        <v/>
      </c>
      <c r="L53" s="356"/>
      <c r="M53" s="355" t="str">
        <f t="shared" ref="M53:M56" si="7">IFERROR(VLOOKUP(L53,$B$44:$C$47,2,FALSE),"")</f>
        <v/>
      </c>
      <c r="N53" s="357" t="str">
        <f t="shared" ref="N53:N56" si="8">IFERROR(SUM(G53,I53,K53,M53)/COUNTA(F53,H53,J53,L53),"")</f>
        <v/>
      </c>
      <c r="O53" s="358" t="str">
        <f>IFERROR(N53*$P53,"")</f>
        <v/>
      </c>
      <c r="P53" s="359" t="str">
        <f>IF(B53&lt;&gt;"",$C$135,"")</f>
        <v/>
      </c>
      <c r="Q53" s="357" t="str">
        <f>IF(B53&lt;&gt;"",IF(UOM=1,$F$135,$H$135),"")</f>
        <v/>
      </c>
      <c r="R53" s="358" t="str">
        <f>IF(B53&lt;&gt;"",IF(UOM=1,$J$135,$K$135),"")</f>
        <v/>
      </c>
      <c r="S53" s="361" t="str">
        <f>IFERROR(O53*30*$E53,"")</f>
        <v/>
      </c>
      <c r="T53" s="362" t="str">
        <f>IFERROR(R53*30*$E53,"")</f>
        <v/>
      </c>
      <c r="V53" s="312" t="str">
        <f>IFERROR(VLOOKUP(B53,$B$11:$V$17,21,FALSE),"")</f>
        <v/>
      </c>
    </row>
    <row r="54" spans="1:26" s="301" customFormat="1" ht="15" customHeight="1" x14ac:dyDescent="0.3">
      <c r="A54" s="295">
        <f>IF(B54&gt;0,0,0)</f>
        <v>0</v>
      </c>
      <c r="B54" s="330"/>
      <c r="C54" s="353"/>
      <c r="D54" s="314"/>
      <c r="E54" s="354">
        <f>IFERROR(IF(B54="All units",$D$18,(V54+1)*D54),0)</f>
        <v>0</v>
      </c>
      <c r="F54" s="330"/>
      <c r="G54" s="355" t="str">
        <f t="shared" si="5"/>
        <v/>
      </c>
      <c r="H54" s="356"/>
      <c r="I54" s="355" t="str">
        <f t="shared" si="5"/>
        <v/>
      </c>
      <c r="J54" s="356"/>
      <c r="K54" s="355" t="str">
        <f t="shared" si="6"/>
        <v/>
      </c>
      <c r="L54" s="356"/>
      <c r="M54" s="355" t="str">
        <f t="shared" si="7"/>
        <v/>
      </c>
      <c r="N54" s="357" t="str">
        <f t="shared" si="8"/>
        <v/>
      </c>
      <c r="O54" s="358" t="str">
        <f>IFERROR(N54*$P54,"")</f>
        <v/>
      </c>
      <c r="P54" s="359" t="str">
        <f>IF(B54&lt;&gt;"",$C$135,"")</f>
        <v/>
      </c>
      <c r="Q54" s="357" t="str">
        <f>IF(B54&lt;&gt;"",IF(UOM=1,$F$135,$H$135),"")</f>
        <v/>
      </c>
      <c r="R54" s="358" t="str">
        <f>IF(B54&lt;&gt;"",IF(UOM=1,$J$135,$K$135),"")</f>
        <v/>
      </c>
      <c r="S54" s="361" t="str">
        <f>IFERROR(O54*30*$E54,"")</f>
        <v/>
      </c>
      <c r="T54" s="362" t="str">
        <f>IFERROR(R54*30*$E54,"")</f>
        <v/>
      </c>
      <c r="V54" s="312" t="str">
        <f>IFERROR(VLOOKUP(B54,$B$11:$V$17,21,FALSE),"")</f>
        <v/>
      </c>
    </row>
    <row r="55" spans="1:26" s="301" customFormat="1" ht="15" customHeight="1" x14ac:dyDescent="0.3">
      <c r="A55" s="295"/>
      <c r="B55" s="363"/>
      <c r="C55" s="353"/>
      <c r="D55" s="314"/>
      <c r="E55" s="354">
        <f>IFERROR(IF(B55="All units",$D$18,(V55+1)*D55),0)</f>
        <v>0</v>
      </c>
      <c r="F55" s="330"/>
      <c r="G55" s="355" t="str">
        <f t="shared" si="5"/>
        <v/>
      </c>
      <c r="H55" s="356"/>
      <c r="I55" s="355" t="str">
        <f t="shared" si="5"/>
        <v/>
      </c>
      <c r="J55" s="356"/>
      <c r="K55" s="355" t="str">
        <f t="shared" si="6"/>
        <v/>
      </c>
      <c r="L55" s="356"/>
      <c r="M55" s="355" t="str">
        <f t="shared" si="7"/>
        <v/>
      </c>
      <c r="N55" s="357" t="str">
        <f t="shared" si="8"/>
        <v/>
      </c>
      <c r="O55" s="358" t="str">
        <f>IFERROR(N55*$P55,"")</f>
        <v/>
      </c>
      <c r="P55" s="359" t="str">
        <f>IF(B55&lt;&gt;"",$C$135,"")</f>
        <v/>
      </c>
      <c r="Q55" s="357" t="str">
        <f>IF(B55&lt;&gt;"",IF(UOM=1,$F$135,$H$135),"")</f>
        <v/>
      </c>
      <c r="R55" s="358" t="str">
        <f>IF(B55&lt;&gt;"",IF(UOM=1,$J$135,$K$135),"")</f>
        <v/>
      </c>
      <c r="S55" s="361" t="str">
        <f>IFERROR(O55*30*$E55,"")</f>
        <v/>
      </c>
      <c r="T55" s="362" t="str">
        <f>IFERROR(R55*30*$E55,"")</f>
        <v/>
      </c>
      <c r="V55" s="312" t="str">
        <f>IFERROR(VLOOKUP(B55,$B$11:$V$17,21,FALSE),"")</f>
        <v/>
      </c>
    </row>
    <row r="56" spans="1:26" s="301" customFormat="1" ht="15" customHeight="1" x14ac:dyDescent="0.3">
      <c r="A56" s="295"/>
      <c r="B56" s="332"/>
      <c r="C56" s="364"/>
      <c r="D56" s="365"/>
      <c r="E56" s="366">
        <f>IFERROR(IF(B56="All units",$D$18,(V56+1)*D56),0)</f>
        <v>0</v>
      </c>
      <c r="F56" s="367"/>
      <c r="G56" s="368" t="str">
        <f t="shared" si="5"/>
        <v/>
      </c>
      <c r="H56" s="369"/>
      <c r="I56" s="368" t="str">
        <f t="shared" si="5"/>
        <v/>
      </c>
      <c r="J56" s="369"/>
      <c r="K56" s="368" t="str">
        <f t="shared" si="6"/>
        <v/>
      </c>
      <c r="L56" s="369"/>
      <c r="M56" s="368" t="str">
        <f t="shared" si="7"/>
        <v/>
      </c>
      <c r="N56" s="370" t="str">
        <f t="shared" si="8"/>
        <v/>
      </c>
      <c r="O56" s="371" t="str">
        <f>IFERROR(N56*$P56,"")</f>
        <v/>
      </c>
      <c r="P56" s="372" t="str">
        <f>IF(B56&lt;&gt;"",$C$135,"")</f>
        <v/>
      </c>
      <c r="Q56" s="370" t="str">
        <f>IF(B56&lt;&gt;"",IF(UOM=1,$F$135,$H$135),"")</f>
        <v/>
      </c>
      <c r="R56" s="371" t="str">
        <f>IF(B56&lt;&gt;"",IF(UOM=1,$J$135,$K$135),"")</f>
        <v/>
      </c>
      <c r="S56" s="386" t="str">
        <f>IFERROR(O56*30*$E56,"")</f>
        <v/>
      </c>
      <c r="T56" s="387" t="str">
        <f>IFERROR(R56*30*$E56,"")</f>
        <v/>
      </c>
      <c r="V56" s="312" t="str">
        <f>IFERROR(VLOOKUP(B56,$B$11:$V$17,21,FALSE),"")</f>
        <v/>
      </c>
    </row>
    <row r="57" spans="1:26" ht="21" customHeight="1" x14ac:dyDescent="0.25">
      <c r="A57" s="321" t="s">
        <v>167</v>
      </c>
      <c r="B57" s="376" t="s">
        <v>168</v>
      </c>
      <c r="C57" s="377"/>
      <c r="D57" s="378">
        <f>SUM(D52:D56)</f>
        <v>0</v>
      </c>
      <c r="E57" s="378">
        <f>SUM(E52:E56)</f>
        <v>0</v>
      </c>
      <c r="F57" s="377"/>
      <c r="G57" s="377"/>
      <c r="H57" s="377"/>
      <c r="I57" s="377"/>
      <c r="J57" s="377"/>
      <c r="K57" s="377"/>
      <c r="L57" s="377"/>
      <c r="M57" s="377"/>
      <c r="N57" s="379"/>
      <c r="O57" s="380"/>
      <c r="P57" s="380"/>
      <c r="Q57" s="380"/>
      <c r="R57" s="380"/>
      <c r="S57" s="381">
        <f>SUM(S52:S56)</f>
        <v>0</v>
      </c>
      <c r="T57" s="382">
        <f>SUM(T52:T56)</f>
        <v>0</v>
      </c>
    </row>
    <row r="58" spans="1:26" s="412" customFormat="1" ht="42" customHeight="1" x14ac:dyDescent="0.25">
      <c r="A58" s="383"/>
      <c r="M58" s="293"/>
    </row>
    <row r="59" spans="1:26" ht="21" customHeight="1" x14ac:dyDescent="0.25">
      <c r="B59" s="384"/>
    </row>
    <row r="60" spans="1:26" ht="21" customHeight="1" x14ac:dyDescent="0.25">
      <c r="B60" s="324" t="s">
        <v>169</v>
      </c>
      <c r="C60" s="325"/>
      <c r="D60" s="325"/>
      <c r="E60" s="325"/>
      <c r="G60" s="326"/>
    </row>
    <row r="61" spans="1:26" ht="9" customHeight="1" x14ac:dyDescent="0.25">
      <c r="B61" s="297"/>
      <c r="C61" s="297"/>
      <c r="D61" s="297"/>
      <c r="E61" s="297"/>
      <c r="F61" s="297"/>
      <c r="G61" s="297"/>
      <c r="H61" s="297"/>
      <c r="I61" s="297"/>
      <c r="J61" s="297"/>
    </row>
    <row r="62" spans="1:26" ht="48" customHeight="1" x14ac:dyDescent="0.25">
      <c r="B62" s="761" t="s">
        <v>170</v>
      </c>
      <c r="C62" s="761"/>
      <c r="D62" s="761"/>
      <c r="E62" s="761"/>
      <c r="F62" s="296"/>
      <c r="G62" s="326"/>
    </row>
    <row r="63" spans="1:26" ht="18" customHeight="1" x14ac:dyDescent="0.25">
      <c r="B63" s="388" t="str">
        <f>CONCATENATE("High flush rate",IF(UOM=1," (gpf)"," (lpf)"))</f>
        <v>High flush rate (gpf)</v>
      </c>
      <c r="C63" s="389"/>
      <c r="D63" s="389"/>
      <c r="E63" s="390"/>
      <c r="G63" s="326"/>
    </row>
    <row r="64" spans="1:26" ht="18" customHeight="1" x14ac:dyDescent="0.25">
      <c r="B64" s="391" t="str">
        <f>CONCATENATE("Low flush rate",IF(UOM=1," (gpf)"," (lpf)"))</f>
        <v>Low flush rate (gpf)</v>
      </c>
      <c r="C64" s="392"/>
      <c r="D64" s="392"/>
      <c r="E64" s="393"/>
      <c r="G64" s="326"/>
    </row>
    <row r="65" spans="1:22" ht="18" customHeight="1" x14ac:dyDescent="0.25">
      <c r="B65" s="394" t="str">
        <f>CONCATENATE("Average flush rate",IF(UOM=1," (gpf)"," (lpf)"))</f>
        <v>Average flush rate (gpf)</v>
      </c>
      <c r="C65" s="395"/>
      <c r="D65" s="395"/>
      <c r="E65" s="396">
        <f>IFERROR((2*E64+E63)/3,0)</f>
        <v>0</v>
      </c>
      <c r="G65" s="326"/>
      <c r="J65" s="397"/>
    </row>
    <row r="66" spans="1:22" ht="15" customHeight="1" x14ac:dyDescent="0.25">
      <c r="B66" s="297"/>
      <c r="C66" s="297"/>
      <c r="D66" s="297"/>
      <c r="E66" s="297"/>
      <c r="F66" s="297"/>
      <c r="G66" s="297"/>
      <c r="H66" s="297"/>
      <c r="I66" s="297"/>
      <c r="J66" s="297"/>
    </row>
    <row r="67" spans="1:22" ht="57.75" customHeight="1" x14ac:dyDescent="0.25">
      <c r="B67" s="327" t="s">
        <v>153</v>
      </c>
      <c r="C67" s="306" t="str">
        <f>CONCATENATE("Flush Rate
",IF(UOM=1,"(gpf)","(lpf)"))</f>
        <v>Flush Rate
(gpf)</v>
      </c>
      <c r="D67" s="297"/>
      <c r="E67" s="325"/>
      <c r="G67" s="326"/>
    </row>
    <row r="68" spans="1:22" ht="15" customHeight="1" x14ac:dyDescent="0.25">
      <c r="A68" s="295">
        <f>IF(B68&gt;0,0,0)</f>
        <v>0</v>
      </c>
      <c r="B68" s="328"/>
      <c r="C68" s="329"/>
      <c r="D68" s="297"/>
      <c r="E68" s="325"/>
      <c r="G68" s="326"/>
    </row>
    <row r="69" spans="1:22" ht="15" customHeight="1" x14ac:dyDescent="0.25">
      <c r="A69" s="295">
        <f>IF(B69&gt;0,0,0)</f>
        <v>0</v>
      </c>
      <c r="B69" s="330"/>
      <c r="C69" s="331"/>
      <c r="D69" s="297"/>
      <c r="E69" s="325"/>
      <c r="G69" s="326"/>
    </row>
    <row r="70" spans="1:22" ht="15" customHeight="1" x14ac:dyDescent="0.25">
      <c r="A70" s="295">
        <f>IF(B70&gt;0,0,0)</f>
        <v>0</v>
      </c>
      <c r="B70" s="330"/>
      <c r="C70" s="331"/>
      <c r="D70" s="297"/>
      <c r="E70" s="325"/>
      <c r="G70" s="326"/>
    </row>
    <row r="71" spans="1:22" ht="15" customHeight="1" x14ac:dyDescent="0.25">
      <c r="B71" s="332"/>
      <c r="C71" s="333"/>
      <c r="D71" s="297"/>
      <c r="E71" s="325"/>
      <c r="G71" s="326"/>
    </row>
    <row r="72" spans="1:22" s="412" customFormat="1" ht="21" customHeight="1" x14ac:dyDescent="0.25">
      <c r="E72" s="325"/>
      <c r="F72" s="293"/>
      <c r="G72" s="326"/>
      <c r="H72" s="293"/>
      <c r="I72" s="293"/>
      <c r="J72" s="293"/>
      <c r="K72" s="293"/>
      <c r="L72" s="293"/>
      <c r="M72" s="293"/>
      <c r="Q72" s="293"/>
      <c r="R72" s="293"/>
      <c r="S72" s="293"/>
      <c r="T72" s="293"/>
    </row>
    <row r="73" spans="1:22" s="338" customFormat="1" ht="26.25" customHeight="1" x14ac:dyDescent="0.25">
      <c r="A73" s="334"/>
      <c r="B73" s="762" t="s">
        <v>134</v>
      </c>
      <c r="C73" s="763"/>
      <c r="D73" s="763"/>
      <c r="E73" s="764"/>
      <c r="F73" s="335" t="s">
        <v>88</v>
      </c>
      <c r="G73" s="336"/>
      <c r="H73" s="336"/>
      <c r="I73" s="336"/>
      <c r="J73" s="336"/>
      <c r="K73" s="336"/>
      <c r="L73" s="336"/>
      <c r="M73" s="336"/>
      <c r="N73" s="336"/>
      <c r="O73" s="337"/>
      <c r="P73" s="778" t="s">
        <v>83</v>
      </c>
      <c r="Q73" s="779"/>
      <c r="R73" s="780"/>
      <c r="S73" s="778" t="s">
        <v>148</v>
      </c>
      <c r="T73" s="780"/>
      <c r="U73" s="412"/>
    </row>
    <row r="74" spans="1:22" s="338" customFormat="1" ht="26.25" customHeight="1" x14ac:dyDescent="0.25">
      <c r="A74" s="334"/>
      <c r="B74" s="754" t="s">
        <v>136</v>
      </c>
      <c r="C74" s="756" t="s">
        <v>155</v>
      </c>
      <c r="D74" s="758" t="s">
        <v>137</v>
      </c>
      <c r="E74" s="759" t="s">
        <v>138</v>
      </c>
      <c r="F74" s="775" t="s">
        <v>156</v>
      </c>
      <c r="G74" s="776"/>
      <c r="H74" s="775" t="s">
        <v>157</v>
      </c>
      <c r="I74" s="776"/>
      <c r="J74" s="775" t="s">
        <v>158</v>
      </c>
      <c r="K74" s="776"/>
      <c r="L74" s="775" t="s">
        <v>159</v>
      </c>
      <c r="M74" s="776"/>
      <c r="N74" s="746" t="str">
        <f>CONCATENATE("Average
Flush Rate
",IF(UOM=1,"(gpf)","(lpf)"))</f>
        <v>Average
Flush Rate
(gpf)</v>
      </c>
      <c r="O74" s="777" t="str">
        <f>CONCATENATE("Calculated
Water Usage
",IF(UOM=1," (gallons)"," (liters)"))</f>
        <v>Calculated
Water Usage
 (gallons)</v>
      </c>
      <c r="P74" s="774" t="s">
        <v>171</v>
      </c>
      <c r="Q74" s="756" t="str">
        <f>CONCATENATE("Flush Rate
",IF(UOM=1,"(gpf)","(lpf)"))</f>
        <v>Flush Rate
(gpf)</v>
      </c>
      <c r="R74" s="772" t="str">
        <f>CONCATENATE("Estimated
Water Usage
",IF(UOM=1," (gallons)"," (liters)"))</f>
        <v>Estimated
Water Usage
 (gallons)</v>
      </c>
      <c r="S74" s="774" t="str">
        <f>CONCATENATE("Design
Monthly 
Water Use
",IF(UOM=1," (gal/month)"," (l/month)"))</f>
        <v>Design
Monthly 
Water Use
 (gal/month)</v>
      </c>
      <c r="T74" s="772" t="str">
        <f>CONCATENATE("Baseline Monthly 
Water Use
",IF(UOM=1," (gal/month)"," (l/month)"))</f>
        <v>Baseline Monthly 
Water Use
 (gal/month)</v>
      </c>
      <c r="U74" s="412"/>
      <c r="V74" s="738" t="s">
        <v>139</v>
      </c>
    </row>
    <row r="75" spans="1:22" ht="57.75" customHeight="1" x14ac:dyDescent="0.25">
      <c r="B75" s="755"/>
      <c r="C75" s="757"/>
      <c r="D75" s="757"/>
      <c r="E75" s="760"/>
      <c r="F75" s="339" t="s">
        <v>161</v>
      </c>
      <c r="G75" s="340" t="str">
        <f>CONCATENATE("Fixture 1
Flush Rate
",IF(UOM=1,"(gpf)","(lpf)"))</f>
        <v>Fixture 1
Flush Rate
(gpf)</v>
      </c>
      <c r="H75" s="339" t="s">
        <v>162</v>
      </c>
      <c r="I75" s="340" t="str">
        <f>CONCATENATE("Fixture 2
Flush Rate
",IF(UOM=1,"(gpf)","(lpf)"))</f>
        <v>Fixture 2
Flush Rate
(gpf)</v>
      </c>
      <c r="J75" s="339" t="s">
        <v>163</v>
      </c>
      <c r="K75" s="340" t="str">
        <f>CONCATENATE("Fixture 3
Flush Rate
",IF(UOM=1,"(gpf)","(lpf)"))</f>
        <v>Fixture 3
Flush Rate
(gpf)</v>
      </c>
      <c r="L75" s="339" t="s">
        <v>164</v>
      </c>
      <c r="M75" s="340" t="str">
        <f>CONCATENATE("Fixture 4
Flush Rate
",IF(UOM=1,"(gpf)","(lpf)"))</f>
        <v>Fixture 4
Flush Rate
(gpf)</v>
      </c>
      <c r="N75" s="747"/>
      <c r="O75" s="773"/>
      <c r="P75" s="747"/>
      <c r="Q75" s="757"/>
      <c r="R75" s="773"/>
      <c r="S75" s="747"/>
      <c r="T75" s="773"/>
      <c r="V75" s="738"/>
    </row>
    <row r="76" spans="1:22" s="301" customFormat="1" ht="15" customHeight="1" x14ac:dyDescent="0.3">
      <c r="A76" s="295">
        <f>IF(B76&gt;0,0,0)</f>
        <v>0</v>
      </c>
      <c r="B76" s="341"/>
      <c r="C76" s="342"/>
      <c r="D76" s="310"/>
      <c r="E76" s="343">
        <f>IFERROR(IF(B76="All units",$D$18,(V76+1)*D76),0)</f>
        <v>0</v>
      </c>
      <c r="F76" s="341"/>
      <c r="G76" s="355" t="str">
        <f t="shared" ref="G76:I80" si="9">IFERROR(VLOOKUP(F76,$B$68:$C$71,2,FALSE),"")</f>
        <v/>
      </c>
      <c r="H76" s="345"/>
      <c r="I76" s="344" t="str">
        <f>IFERROR(VLOOKUP(H76,$B$68:$C$71,2,FALSE),"")</f>
        <v/>
      </c>
      <c r="J76" s="345"/>
      <c r="K76" s="344" t="str">
        <f>IFERROR(VLOOKUP(J76,$B$68:$C$71,2,FALSE),"")</f>
        <v/>
      </c>
      <c r="L76" s="345"/>
      <c r="M76" s="344" t="str">
        <f>IFERROR(VLOOKUP(L76,$B$68:$C$71,2,FALSE),"")</f>
        <v/>
      </c>
      <c r="N76" s="346" t="str">
        <f>IFERROR(SUM(G76,I76,K76,M76)/COUNTA(F76,H76,J76,L76),"")</f>
        <v/>
      </c>
      <c r="O76" s="347" t="str">
        <f>IFERROR(N76*$P76,"")</f>
        <v/>
      </c>
      <c r="P76" s="385" t="str">
        <f>IF(B76&lt;&gt;"",$C$136,"")</f>
        <v/>
      </c>
      <c r="Q76" s="346" t="str">
        <f>IF(B76&lt;&gt;"",IF(UOM=1,$F$136,$H$136),"")</f>
        <v/>
      </c>
      <c r="R76" s="347" t="str">
        <f>IF(B76&lt;&gt;"",IF(UOM=1,$J$136,$K$136),"")</f>
        <v/>
      </c>
      <c r="S76" s="398" t="str">
        <f>IFERROR(O76*30*$E76,"")</f>
        <v/>
      </c>
      <c r="T76" s="399" t="str">
        <f>IFERROR(R76*30*$E76,"")</f>
        <v/>
      </c>
      <c r="V76" s="312" t="str">
        <f>IFERROR(VLOOKUP(B76,$B$11:$V$17,21,FALSE),"")</f>
        <v/>
      </c>
    </row>
    <row r="77" spans="1:22" s="301" customFormat="1" ht="15" customHeight="1" x14ac:dyDescent="0.3">
      <c r="A77" s="295">
        <f>IF(B77&gt;0,0,0)</f>
        <v>0</v>
      </c>
      <c r="B77" s="330"/>
      <c r="C77" s="353"/>
      <c r="D77" s="314"/>
      <c r="E77" s="354">
        <f>IFERROR(IF(B77="All units",$D$18,(V77+1)*D77),0)</f>
        <v>0</v>
      </c>
      <c r="F77" s="330"/>
      <c r="G77" s="355" t="str">
        <f t="shared" si="9"/>
        <v/>
      </c>
      <c r="H77" s="356"/>
      <c r="I77" s="355" t="str">
        <f t="shared" si="9"/>
        <v/>
      </c>
      <c r="J77" s="356"/>
      <c r="K77" s="355" t="str">
        <f t="shared" ref="K77:K80" si="10">IFERROR(VLOOKUP(J77,$B$68:$C$71,2,FALSE),"")</f>
        <v/>
      </c>
      <c r="L77" s="356"/>
      <c r="M77" s="355" t="str">
        <f t="shared" ref="M77:M80" si="11">IFERROR(VLOOKUP(L77,$B$68:$C$71,2,FALSE),"")</f>
        <v/>
      </c>
      <c r="N77" s="357" t="str">
        <f t="shared" ref="N77:N80" si="12">IFERROR(SUM(G77,I77,K77,M77)/COUNTA(F77,H77,J77,L77),"")</f>
        <v/>
      </c>
      <c r="O77" s="358" t="str">
        <f>IFERROR(N77*$P77,"")</f>
        <v/>
      </c>
      <c r="P77" s="359" t="str">
        <f>IF(B77&lt;&gt;"",$C$136,"")</f>
        <v/>
      </c>
      <c r="Q77" s="357" t="str">
        <f>IF(B77&lt;&gt;"",IF(UOM=1,$F$136,$H$136),"")</f>
        <v/>
      </c>
      <c r="R77" s="358" t="str">
        <f>IF(B77&lt;&gt;"",IF(UOM=1,$J$136,$K$136),"")</f>
        <v/>
      </c>
      <c r="S77" s="400" t="str">
        <f>IFERROR(O77*30*$E77,"")</f>
        <v/>
      </c>
      <c r="T77" s="401" t="str">
        <f>IFERROR(R77*30*$E77,"")</f>
        <v/>
      </c>
      <c r="V77" s="312" t="str">
        <f>IFERROR(VLOOKUP(B77,$B$11:$V$17,21,FALSE),"")</f>
        <v/>
      </c>
    </row>
    <row r="78" spans="1:22" s="301" customFormat="1" ht="15" customHeight="1" x14ac:dyDescent="0.3">
      <c r="A78" s="295">
        <f>IF(B78&gt;0,0,0)</f>
        <v>0</v>
      </c>
      <c r="B78" s="330"/>
      <c r="C78" s="353"/>
      <c r="D78" s="314"/>
      <c r="E78" s="354">
        <f>IFERROR(IF(B78="All units",$D$18,(V78+1)*D78),0)</f>
        <v>0</v>
      </c>
      <c r="F78" s="330"/>
      <c r="G78" s="355" t="str">
        <f t="shared" si="9"/>
        <v/>
      </c>
      <c r="H78" s="356"/>
      <c r="I78" s="355" t="str">
        <f t="shared" si="9"/>
        <v/>
      </c>
      <c r="J78" s="356"/>
      <c r="K78" s="355" t="str">
        <f t="shared" si="10"/>
        <v/>
      </c>
      <c r="L78" s="356"/>
      <c r="M78" s="355" t="str">
        <f t="shared" si="11"/>
        <v/>
      </c>
      <c r="N78" s="357" t="str">
        <f t="shared" si="12"/>
        <v/>
      </c>
      <c r="O78" s="358" t="str">
        <f>IFERROR(N78*$P78,"")</f>
        <v/>
      </c>
      <c r="P78" s="359" t="str">
        <f>IF(B78&lt;&gt;"",$C$136,"")</f>
        <v/>
      </c>
      <c r="Q78" s="357" t="str">
        <f>IF(B78&lt;&gt;"",IF(UOM=1,$F$136,$H$136),"")</f>
        <v/>
      </c>
      <c r="R78" s="358" t="str">
        <f>IF(B78&lt;&gt;"",IF(UOM=1,$J$136,$K$136),"")</f>
        <v/>
      </c>
      <c r="S78" s="400" t="str">
        <f>IFERROR(O78*30*$E78,"")</f>
        <v/>
      </c>
      <c r="T78" s="401" t="str">
        <f>IFERROR(R78*30*$E78,"")</f>
        <v/>
      </c>
      <c r="V78" s="312" t="str">
        <f>IFERROR(VLOOKUP(B78,$B$11:$V$17,21,FALSE),"")</f>
        <v/>
      </c>
    </row>
    <row r="79" spans="1:22" s="301" customFormat="1" ht="15" customHeight="1" x14ac:dyDescent="0.3">
      <c r="A79" s="295"/>
      <c r="B79" s="363"/>
      <c r="C79" s="353"/>
      <c r="D79" s="314"/>
      <c r="E79" s="354">
        <f>IFERROR(IF(B79="All units",$D$18,(V79+1)*D79),0)</f>
        <v>0</v>
      </c>
      <c r="F79" s="330"/>
      <c r="G79" s="355" t="str">
        <f t="shared" si="9"/>
        <v/>
      </c>
      <c r="H79" s="356"/>
      <c r="I79" s="355" t="str">
        <f t="shared" si="9"/>
        <v/>
      </c>
      <c r="J79" s="356"/>
      <c r="K79" s="355" t="str">
        <f t="shared" si="10"/>
        <v/>
      </c>
      <c r="L79" s="356"/>
      <c r="M79" s="355" t="str">
        <f t="shared" si="11"/>
        <v/>
      </c>
      <c r="N79" s="357" t="str">
        <f t="shared" si="12"/>
        <v/>
      </c>
      <c r="O79" s="358" t="str">
        <f>IFERROR(N79*$P79,"")</f>
        <v/>
      </c>
      <c r="P79" s="359" t="str">
        <f>IF(B79&lt;&gt;"",$C$136,"")</f>
        <v/>
      </c>
      <c r="Q79" s="357" t="str">
        <f>IF(B79&lt;&gt;"",IF(UOM=1,$F$136,$H$136),"")</f>
        <v/>
      </c>
      <c r="R79" s="358" t="str">
        <f>IF(B79&lt;&gt;"",IF(UOM=1,$J$136,$K$136),"")</f>
        <v/>
      </c>
      <c r="S79" s="400" t="str">
        <f>IFERROR(O79*30*$E79,"")</f>
        <v/>
      </c>
      <c r="T79" s="401" t="str">
        <f>IFERROR(R79*30*$E79,"")</f>
        <v/>
      </c>
      <c r="V79" s="312" t="str">
        <f>IFERROR(VLOOKUP(B79,$B$11:$V$17,21,FALSE),"")</f>
        <v/>
      </c>
    </row>
    <row r="80" spans="1:22" s="301" customFormat="1" ht="15" customHeight="1" x14ac:dyDescent="0.3">
      <c r="A80" s="295"/>
      <c r="B80" s="332"/>
      <c r="C80" s="364"/>
      <c r="D80" s="365"/>
      <c r="E80" s="366">
        <f>IFERROR(IF(B80="All units",$D$18,(V80+1)*D80),0)</f>
        <v>0</v>
      </c>
      <c r="F80" s="367"/>
      <c r="G80" s="368" t="str">
        <f t="shared" si="9"/>
        <v/>
      </c>
      <c r="H80" s="369"/>
      <c r="I80" s="368" t="str">
        <f t="shared" si="9"/>
        <v/>
      </c>
      <c r="J80" s="369"/>
      <c r="K80" s="368" t="str">
        <f t="shared" si="10"/>
        <v/>
      </c>
      <c r="L80" s="369"/>
      <c r="M80" s="368" t="str">
        <f t="shared" si="11"/>
        <v/>
      </c>
      <c r="N80" s="370" t="str">
        <f t="shared" si="12"/>
        <v/>
      </c>
      <c r="O80" s="371" t="str">
        <f>IFERROR(N80*$P80,"")</f>
        <v/>
      </c>
      <c r="P80" s="372" t="str">
        <f>IF(B80&lt;&gt;"",$C$136,"")</f>
        <v/>
      </c>
      <c r="Q80" s="370" t="str">
        <f>IF(B80&lt;&gt;"",IF(UOM=1,$F$136,$H$136),"")</f>
        <v/>
      </c>
      <c r="R80" s="371" t="str">
        <f>IF(B80&lt;&gt;"",IF(UOM=1,$J$136,$K$136),"")</f>
        <v/>
      </c>
      <c r="S80" s="402" t="str">
        <f>IFERROR(O80*30*$E80,"")</f>
        <v/>
      </c>
      <c r="T80" s="403" t="str">
        <f>IFERROR(R80*30*$E80,"")</f>
        <v/>
      </c>
      <c r="V80" s="312" t="str">
        <f>IFERROR(VLOOKUP(B80,$B$11:$V$17,21,FALSE),"")</f>
        <v/>
      </c>
    </row>
    <row r="81" spans="1:22" ht="21" customHeight="1" x14ac:dyDescent="0.25">
      <c r="A81" s="321" t="s">
        <v>172</v>
      </c>
      <c r="B81" s="376" t="s">
        <v>173</v>
      </c>
      <c r="C81" s="377"/>
      <c r="D81" s="378">
        <f>SUM(D76:D80)</f>
        <v>0</v>
      </c>
      <c r="E81" s="378">
        <f>SUM(E76:E80)</f>
        <v>0</v>
      </c>
      <c r="F81" s="377"/>
      <c r="G81" s="377"/>
      <c r="H81" s="377"/>
      <c r="I81" s="377"/>
      <c r="J81" s="377"/>
      <c r="K81" s="377"/>
      <c r="L81" s="377"/>
      <c r="M81" s="377"/>
      <c r="N81" s="379"/>
      <c r="O81" s="380"/>
      <c r="P81" s="380"/>
      <c r="Q81" s="380"/>
      <c r="R81" s="380"/>
      <c r="S81" s="381">
        <f>SUM(S76:S80)</f>
        <v>0</v>
      </c>
      <c r="T81" s="382">
        <f>SUM(T76:T80)</f>
        <v>0</v>
      </c>
    </row>
    <row r="82" spans="1:22" s="412" customFormat="1" ht="42" customHeight="1" x14ac:dyDescent="0.25">
      <c r="A82" s="383"/>
    </row>
    <row r="83" spans="1:22" ht="21" customHeight="1" x14ac:dyDescent="0.25">
      <c r="B83" s="384"/>
    </row>
    <row r="84" spans="1:22" ht="21" customHeight="1" x14ac:dyDescent="0.25">
      <c r="B84" s="324" t="s">
        <v>174</v>
      </c>
      <c r="C84" s="325"/>
      <c r="D84" s="325"/>
      <c r="E84" s="325"/>
      <c r="G84" s="326"/>
    </row>
    <row r="85" spans="1:22" s="299" customFormat="1" ht="64.5" customHeight="1" x14ac:dyDescent="0.25">
      <c r="A85" s="298"/>
      <c r="B85" s="761" t="s">
        <v>175</v>
      </c>
      <c r="C85" s="761"/>
      <c r="D85" s="296"/>
      <c r="E85" s="296"/>
      <c r="F85" s="296"/>
      <c r="G85" s="303"/>
      <c r="H85" s="296"/>
      <c r="I85" s="300"/>
      <c r="J85" s="300"/>
    </row>
    <row r="86" spans="1:22" ht="57.75" customHeight="1" x14ac:dyDescent="0.25">
      <c r="B86" s="327" t="s">
        <v>153</v>
      </c>
      <c r="C86" s="306" t="s">
        <v>176</v>
      </c>
      <c r="D86" s="325"/>
      <c r="E86" s="325"/>
      <c r="G86" s="326"/>
    </row>
    <row r="87" spans="1:22" ht="15" customHeight="1" x14ac:dyDescent="0.25">
      <c r="A87" s="295">
        <f>IF(B87&gt;0,0,0)</f>
        <v>0</v>
      </c>
      <c r="B87" s="328"/>
      <c r="C87" s="329"/>
      <c r="D87" s="325"/>
      <c r="E87" s="325"/>
      <c r="G87" s="326"/>
    </row>
    <row r="88" spans="1:22" ht="15" customHeight="1" x14ac:dyDescent="0.25">
      <c r="A88" s="295">
        <f>IF(B88&gt;0,0,0)</f>
        <v>0</v>
      </c>
      <c r="B88" s="330"/>
      <c r="C88" s="331"/>
      <c r="D88" s="325"/>
      <c r="E88" s="325"/>
      <c r="G88" s="326"/>
    </row>
    <row r="89" spans="1:22" ht="15" customHeight="1" x14ac:dyDescent="0.25">
      <c r="A89" s="295">
        <f>IF(B89&gt;0,0,0)</f>
        <v>0</v>
      </c>
      <c r="B89" s="330"/>
      <c r="C89" s="331"/>
      <c r="D89" s="325"/>
      <c r="E89" s="325"/>
      <c r="G89" s="326"/>
    </row>
    <row r="90" spans="1:22" ht="15" customHeight="1" x14ac:dyDescent="0.25">
      <c r="B90" s="332"/>
      <c r="C90" s="333"/>
      <c r="D90" s="325"/>
      <c r="E90" s="325"/>
      <c r="G90" s="326"/>
    </row>
    <row r="91" spans="1:22" s="412" customFormat="1" ht="21" customHeight="1" x14ac:dyDescent="0.25">
      <c r="E91" s="325"/>
      <c r="F91" s="293"/>
      <c r="G91" s="326"/>
      <c r="H91" s="293"/>
      <c r="I91" s="293"/>
      <c r="J91" s="293"/>
      <c r="K91" s="293"/>
      <c r="L91" s="293"/>
      <c r="M91" s="293"/>
      <c r="Q91" s="293"/>
      <c r="R91" s="293"/>
      <c r="S91" s="293"/>
      <c r="T91" s="293"/>
    </row>
    <row r="92" spans="1:22" s="338" customFormat="1" ht="26.25" customHeight="1" x14ac:dyDescent="0.25">
      <c r="A92" s="334"/>
      <c r="B92" s="762" t="s">
        <v>134</v>
      </c>
      <c r="C92" s="763"/>
      <c r="D92" s="763"/>
      <c r="E92" s="764"/>
      <c r="F92" s="335" t="s">
        <v>88</v>
      </c>
      <c r="G92" s="336"/>
      <c r="H92" s="336"/>
      <c r="I92" s="336"/>
      <c r="J92" s="336"/>
      <c r="K92" s="336"/>
      <c r="L92" s="336"/>
      <c r="M92" s="336"/>
      <c r="N92" s="404"/>
      <c r="O92" s="405"/>
      <c r="P92" s="765" t="s">
        <v>83</v>
      </c>
      <c r="Q92" s="766"/>
      <c r="R92" s="767"/>
      <c r="S92" s="765" t="s">
        <v>148</v>
      </c>
      <c r="T92" s="767"/>
    </row>
    <row r="93" spans="1:22" s="338" customFormat="1" ht="26.25" customHeight="1" x14ac:dyDescent="0.25">
      <c r="A93" s="334"/>
      <c r="B93" s="754" t="s">
        <v>136</v>
      </c>
      <c r="C93" s="756" t="s">
        <v>155</v>
      </c>
      <c r="D93" s="758" t="s">
        <v>137</v>
      </c>
      <c r="E93" s="759" t="s">
        <v>138</v>
      </c>
      <c r="F93" s="744" t="s">
        <v>156</v>
      </c>
      <c r="G93" s="745"/>
      <c r="H93" s="744" t="s">
        <v>157</v>
      </c>
      <c r="I93" s="745"/>
      <c r="J93" s="744" t="s">
        <v>158</v>
      </c>
      <c r="K93" s="745"/>
      <c r="L93" s="744" t="s">
        <v>159</v>
      </c>
      <c r="M93" s="745"/>
      <c r="N93" s="769" t="s">
        <v>177</v>
      </c>
      <c r="O93" s="771" t="str">
        <f>CONCATENATE("Calculated
Water Usage
",IF(UOM=1," (gallons)"," (liters)"))</f>
        <v>Calculated
Water Usage
 (gallons)</v>
      </c>
      <c r="P93" s="750" t="str">
        <f>CONCATENATE("Estimated Fixture Usage
(cycles ",IF(UOM=1,"at 3.5 cu ft)","at 0.1 cu m)"))</f>
        <v>Estimated Fixture Usage
(cycles at 3.5 cu ft)</v>
      </c>
      <c r="Q93" s="752" t="s">
        <v>176</v>
      </c>
      <c r="R93" s="734" t="str">
        <f>CONCATENATE("Estimated
Water Usage
",IF(UOM=1," (gallons)"," (liters)"))</f>
        <v>Estimated
Water Usage
 (gallons)</v>
      </c>
      <c r="S93" s="750" t="str">
        <f>CONCATENATE("Design
Monthly 
Water Use
",IF(UOM=1," (gal/month)"," (l/month)"))</f>
        <v>Design
Monthly 
Water Use
 (gal/month)</v>
      </c>
      <c r="T93" s="734" t="str">
        <f>CONCATENATE("Baseline
Monthly 
Water Use
",IF(UOM=1," (gal/month)"," (l/month)"))</f>
        <v>Baseline
Monthly 
Water Use
 (gal/month)</v>
      </c>
      <c r="V93" s="738" t="s">
        <v>139</v>
      </c>
    </row>
    <row r="94" spans="1:22" ht="57.75" customHeight="1" x14ac:dyDescent="0.25">
      <c r="B94" s="755"/>
      <c r="C94" s="757"/>
      <c r="D94" s="757"/>
      <c r="E94" s="760"/>
      <c r="F94" s="339" t="s">
        <v>161</v>
      </c>
      <c r="G94" s="340" t="s">
        <v>178</v>
      </c>
      <c r="H94" s="339" t="s">
        <v>162</v>
      </c>
      <c r="I94" s="340" t="s">
        <v>179</v>
      </c>
      <c r="J94" s="339" t="s">
        <v>163</v>
      </c>
      <c r="K94" s="340" t="s">
        <v>180</v>
      </c>
      <c r="L94" s="339" t="s">
        <v>164</v>
      </c>
      <c r="M94" s="340" t="s">
        <v>181</v>
      </c>
      <c r="N94" s="770"/>
      <c r="O94" s="749"/>
      <c r="P94" s="751"/>
      <c r="Q94" s="753"/>
      <c r="R94" s="735"/>
      <c r="S94" s="751"/>
      <c r="T94" s="735"/>
      <c r="V94" s="738"/>
    </row>
    <row r="95" spans="1:22" s="301" customFormat="1" ht="15" customHeight="1" x14ac:dyDescent="0.3">
      <c r="A95" s="295">
        <f>IF(B95&gt;0,0,0)</f>
        <v>0</v>
      </c>
      <c r="B95" s="341"/>
      <c r="C95" s="342"/>
      <c r="D95" s="310"/>
      <c r="E95" s="343">
        <f>IFERROR(IF(B95="All units",$D$18,(V95+1)*D95),0)</f>
        <v>0</v>
      </c>
      <c r="F95" s="341"/>
      <c r="G95" s="344" t="str">
        <f>IFERROR(VLOOKUP(F95,$B$87:$C$90,2,FALSE),"")</f>
        <v/>
      </c>
      <c r="H95" s="345"/>
      <c r="I95" s="344" t="str">
        <f>IFERROR(VLOOKUP(H95,$B$87:$C$90,2,FALSE),"")</f>
        <v/>
      </c>
      <c r="J95" s="345"/>
      <c r="K95" s="344" t="str">
        <f>IFERROR(VLOOKUP(J95,$B$87:$C$90,2,FALSE),"")</f>
        <v/>
      </c>
      <c r="L95" s="345"/>
      <c r="M95" s="344" t="str">
        <f>IFERROR(VLOOKUP(L95,$B$87:$C$90,2,FALSE),"")</f>
        <v/>
      </c>
      <c r="N95" s="346" t="str">
        <f>IFERROR(SUM(G95,I95,K95,M95)/COUNTA(F95,H95,J95,L95),"")</f>
        <v/>
      </c>
      <c r="O95" s="347" t="str">
        <f>IFERROR(IF(N95="","",IF(UOM=1,(P95*N95*3.5)*1.23,((P95*N95*3.5)*1.23)*3.78)),"")</f>
        <v/>
      </c>
      <c r="P95" s="385" t="str">
        <f>IF(B95&lt;&gt;"",$C$137,"")</f>
        <v/>
      </c>
      <c r="Q95" s="346" t="str">
        <f>IF(B95&lt;&gt;"",$F$137,"")</f>
        <v/>
      </c>
      <c r="R95" s="347" t="str">
        <f>IF(B95&lt;&gt;"",IF(UOM=1,$J$137,$K$137),"")</f>
        <v/>
      </c>
      <c r="S95" s="351" t="str">
        <f>IFERROR(O95*30*$E95,"")</f>
        <v/>
      </c>
      <c r="T95" s="352" t="str">
        <f>IFERROR(R95*30*$E95,"")</f>
        <v/>
      </c>
      <c r="V95" s="312" t="str">
        <f>IFERROR(VLOOKUP(B95,$B$11:$V$17,21,FALSE),"")</f>
        <v/>
      </c>
    </row>
    <row r="96" spans="1:22" s="301" customFormat="1" ht="15" customHeight="1" x14ac:dyDescent="0.3">
      <c r="A96" s="295">
        <f>IF(B96&gt;0,0,0)</f>
        <v>0</v>
      </c>
      <c r="B96" s="330"/>
      <c r="C96" s="353"/>
      <c r="D96" s="314"/>
      <c r="E96" s="354">
        <f>IFERROR(IF(B96="All units",$D$18,(V96+1)*D96),0)</f>
        <v>0</v>
      </c>
      <c r="F96" s="330"/>
      <c r="G96" s="355" t="str">
        <f t="shared" ref="G96:I99" si="13">IFERROR(VLOOKUP(F96,$B$87:$C$90,2,FALSE),"")</f>
        <v/>
      </c>
      <c r="H96" s="356"/>
      <c r="I96" s="355" t="str">
        <f t="shared" si="13"/>
        <v/>
      </c>
      <c r="J96" s="356"/>
      <c r="K96" s="355" t="str">
        <f t="shared" ref="K96:K99" si="14">IFERROR(VLOOKUP(J96,$B$87:$C$90,2,FALSE),"")</f>
        <v/>
      </c>
      <c r="L96" s="356"/>
      <c r="M96" s="355" t="str">
        <f t="shared" ref="M96:M99" si="15">IFERROR(VLOOKUP(L96,$B$87:$C$90,2,FALSE),"")</f>
        <v/>
      </c>
      <c r="N96" s="357" t="str">
        <f t="shared" ref="N96:N99" si="16">IFERROR(SUM(G96,I96,K96,M96)/COUNTA(F96,H96,J96,L96),"")</f>
        <v/>
      </c>
      <c r="O96" s="358" t="str">
        <f>IFERROR(IF(N96="","",IF(UOM=1,(P96*N96*3.5)*1.23,((P96*N96*3.5)*1.23)*3.78)),"")</f>
        <v/>
      </c>
      <c r="P96" s="359" t="str">
        <f>IF(B96&lt;&gt;"",$C$137,"")</f>
        <v/>
      </c>
      <c r="Q96" s="357" t="str">
        <f>IF(B96&lt;&gt;"",$F$137,"")</f>
        <v/>
      </c>
      <c r="R96" s="358" t="str">
        <f>IF(B96&lt;&gt;"",IF(UOM=1,$J$137,$K$137),"")</f>
        <v/>
      </c>
      <c r="S96" s="361" t="str">
        <f t="shared" ref="S96:S99" si="17">IFERROR(O96*30*$E96,"")</f>
        <v/>
      </c>
      <c r="T96" s="362" t="str">
        <f t="shared" ref="T96:T99" si="18">IFERROR(R96*30*$E96,"")</f>
        <v/>
      </c>
      <c r="V96" s="312" t="str">
        <f>IFERROR(VLOOKUP(B96,$B$11:$V$17,21,FALSE),"")</f>
        <v/>
      </c>
    </row>
    <row r="97" spans="1:22" s="301" customFormat="1" ht="15" customHeight="1" x14ac:dyDescent="0.3">
      <c r="A97" s="295">
        <f>IF(B97&gt;0,0,0)</f>
        <v>0</v>
      </c>
      <c r="B97" s="330"/>
      <c r="C97" s="353"/>
      <c r="D97" s="314"/>
      <c r="E97" s="354">
        <f>IFERROR(IF(B97="All units",$D$18,(V97+1)*D97),0)</f>
        <v>0</v>
      </c>
      <c r="F97" s="330"/>
      <c r="G97" s="355" t="str">
        <f t="shared" si="13"/>
        <v/>
      </c>
      <c r="H97" s="356"/>
      <c r="I97" s="355" t="str">
        <f t="shared" si="13"/>
        <v/>
      </c>
      <c r="J97" s="356"/>
      <c r="K97" s="355" t="str">
        <f t="shared" si="14"/>
        <v/>
      </c>
      <c r="L97" s="356"/>
      <c r="M97" s="355" t="str">
        <f t="shared" si="15"/>
        <v/>
      </c>
      <c r="N97" s="357" t="str">
        <f t="shared" si="16"/>
        <v/>
      </c>
      <c r="O97" s="358" t="str">
        <f>IFERROR(IF(N97="","",IF(UOM=1,(P97*N97*3.5)*1.23,((P97*N97*3.5)*1.23)*3.78)),"")</f>
        <v/>
      </c>
      <c r="P97" s="359" t="str">
        <f>IF(B97&lt;&gt;"",$C$137,"")</f>
        <v/>
      </c>
      <c r="Q97" s="357" t="str">
        <f>IF(B97&lt;&gt;"",$F$137,"")</f>
        <v/>
      </c>
      <c r="R97" s="358" t="str">
        <f>IF(B97&lt;&gt;"",IF(UOM=1,$J$137,$K$137),"")</f>
        <v/>
      </c>
      <c r="S97" s="361" t="str">
        <f t="shared" si="17"/>
        <v/>
      </c>
      <c r="T97" s="362" t="str">
        <f t="shared" si="18"/>
        <v/>
      </c>
      <c r="V97" s="312" t="str">
        <f>IFERROR(VLOOKUP(B97,$B$11:$V$17,21,FALSE),"")</f>
        <v/>
      </c>
    </row>
    <row r="98" spans="1:22" s="301" customFormat="1" ht="15" customHeight="1" x14ac:dyDescent="0.3">
      <c r="A98" s="295"/>
      <c r="B98" s="363"/>
      <c r="C98" s="353"/>
      <c r="D98" s="314"/>
      <c r="E98" s="354">
        <f>IFERROR(IF(B98="All units",$D$18,(V98+1)*D98),0)</f>
        <v>0</v>
      </c>
      <c r="F98" s="330"/>
      <c r="G98" s="355" t="str">
        <f t="shared" si="13"/>
        <v/>
      </c>
      <c r="H98" s="356"/>
      <c r="I98" s="355" t="str">
        <f t="shared" si="13"/>
        <v/>
      </c>
      <c r="J98" s="356"/>
      <c r="K98" s="355" t="str">
        <f t="shared" si="14"/>
        <v/>
      </c>
      <c r="L98" s="356"/>
      <c r="M98" s="355" t="str">
        <f t="shared" si="15"/>
        <v/>
      </c>
      <c r="N98" s="357" t="str">
        <f t="shared" si="16"/>
        <v/>
      </c>
      <c r="O98" s="358" t="str">
        <f>IFERROR(IF(N98="","",IF(UOM=1,(P98*N98*3.5)*1.23,((P98*N98*3.5)*1.23)*3.78)),"")</f>
        <v/>
      </c>
      <c r="P98" s="359" t="str">
        <f>IF(B98&lt;&gt;"",$C$137,"")</f>
        <v/>
      </c>
      <c r="Q98" s="357" t="str">
        <f>IF(B98&lt;&gt;"",$F$137,"")</f>
        <v/>
      </c>
      <c r="R98" s="358" t="str">
        <f>IF(B98&lt;&gt;"",IF(UOM=1,$J$137,$K$137),"")</f>
        <v/>
      </c>
      <c r="S98" s="361" t="str">
        <f t="shared" si="17"/>
        <v/>
      </c>
      <c r="T98" s="362" t="str">
        <f t="shared" si="18"/>
        <v/>
      </c>
      <c r="V98" s="312" t="str">
        <f>IFERROR(VLOOKUP(B98,$B$11:$V$17,21,FALSE),"")</f>
        <v/>
      </c>
    </row>
    <row r="99" spans="1:22" s="301" customFormat="1" ht="15" customHeight="1" x14ac:dyDescent="0.3">
      <c r="A99" s="295"/>
      <c r="B99" s="332"/>
      <c r="C99" s="364"/>
      <c r="D99" s="365"/>
      <c r="E99" s="366">
        <f>IFERROR(IF(B99="All units",$D$18,(V99+1)*D99),0)</f>
        <v>0</v>
      </c>
      <c r="F99" s="367"/>
      <c r="G99" s="368" t="str">
        <f t="shared" si="13"/>
        <v/>
      </c>
      <c r="H99" s="369"/>
      <c r="I99" s="368" t="str">
        <f t="shared" si="13"/>
        <v/>
      </c>
      <c r="J99" s="369"/>
      <c r="K99" s="368" t="str">
        <f t="shared" si="14"/>
        <v/>
      </c>
      <c r="L99" s="369"/>
      <c r="M99" s="368" t="str">
        <f t="shared" si="15"/>
        <v/>
      </c>
      <c r="N99" s="370" t="str">
        <f t="shared" si="16"/>
        <v/>
      </c>
      <c r="O99" s="371" t="str">
        <f>IFERROR(IF(N99="","",IF(UOM=1,(P99*N99*3.5)*1.23,((P99*N99*3.5)*1.23)*3.78)),"")</f>
        <v/>
      </c>
      <c r="P99" s="372" t="str">
        <f>IF(B99&lt;&gt;"",$C$137,"")</f>
        <v/>
      </c>
      <c r="Q99" s="370" t="str">
        <f>IF(B99&lt;&gt;"",$F$137,"")</f>
        <v/>
      </c>
      <c r="R99" s="371" t="str">
        <f>IF(B99&lt;&gt;"",IF(UOM=1,$J$137,$K$137),"")</f>
        <v/>
      </c>
      <c r="S99" s="386" t="str">
        <f t="shared" si="17"/>
        <v/>
      </c>
      <c r="T99" s="387" t="str">
        <f t="shared" si="18"/>
        <v/>
      </c>
      <c r="V99" s="312" t="str">
        <f>IFERROR(VLOOKUP(B99,$B$11:$V$17,21,FALSE),"")</f>
        <v/>
      </c>
    </row>
    <row r="100" spans="1:22" ht="21" customHeight="1" x14ac:dyDescent="0.25">
      <c r="A100" s="321" t="s">
        <v>182</v>
      </c>
      <c r="B100" s="376" t="s">
        <v>183</v>
      </c>
      <c r="C100" s="377"/>
      <c r="D100" s="378">
        <f>SUM(D95:D99)</f>
        <v>0</v>
      </c>
      <c r="E100" s="378">
        <f>SUM(E95:E99)</f>
        <v>0</v>
      </c>
      <c r="F100" s="377"/>
      <c r="G100" s="377"/>
      <c r="H100" s="377"/>
      <c r="I100" s="377"/>
      <c r="J100" s="377"/>
      <c r="K100" s="377"/>
      <c r="L100" s="377"/>
      <c r="M100" s="377"/>
      <c r="N100" s="377"/>
      <c r="O100" s="377"/>
      <c r="P100" s="377"/>
      <c r="Q100" s="377"/>
      <c r="R100" s="377"/>
      <c r="S100" s="381">
        <f>SUM(S95:S99)</f>
        <v>0</v>
      </c>
      <c r="T100" s="382">
        <f>SUM(T95:T99)</f>
        <v>0</v>
      </c>
    </row>
    <row r="101" spans="1:22" s="412" customFormat="1" ht="42" customHeight="1" x14ac:dyDescent="0.25">
      <c r="A101" s="383"/>
    </row>
    <row r="102" spans="1:22" ht="21" customHeight="1" x14ac:dyDescent="0.25">
      <c r="B102" s="384"/>
    </row>
    <row r="103" spans="1:22" ht="21" customHeight="1" x14ac:dyDescent="0.25">
      <c r="B103" s="324" t="s">
        <v>184</v>
      </c>
      <c r="C103" s="325"/>
      <c r="D103" s="325"/>
      <c r="E103" s="325"/>
      <c r="G103" s="326"/>
    </row>
    <row r="104" spans="1:22" s="299" customFormat="1" ht="64.5" customHeight="1" x14ac:dyDescent="0.25">
      <c r="A104" s="298"/>
      <c r="B104" s="761" t="str">
        <f>CONCATENATE("Enter the flow rate and a brief description for each type of fixture. If no dishwasher is installed in the project, enter 'Baseline' under 'Fixture ID', and '",IF(UOM=1,"'6.5' under 'Flow Rate'.","3 under 'Flow Rate'."))</f>
        <v>Enter the flow rate and a brief description for each type of fixture. If no dishwasher is installed in the project, enter 'Baseline' under 'Fixture ID', and ''6.5' under 'Flow Rate'.</v>
      </c>
      <c r="C104" s="761"/>
      <c r="D104" s="296"/>
      <c r="E104" s="296"/>
      <c r="F104" s="296"/>
      <c r="G104" s="303"/>
      <c r="H104" s="296"/>
      <c r="I104" s="300"/>
      <c r="J104" s="300"/>
    </row>
    <row r="105" spans="1:22" ht="57.75" customHeight="1" x14ac:dyDescent="0.25">
      <c r="B105" s="327" t="s">
        <v>153</v>
      </c>
      <c r="C105" s="306" t="str">
        <f>CONCATENATE("Flow Rate
",IF(UOM=1,"(gpc)","(lpc)"))</f>
        <v>Flow Rate
(gpc)</v>
      </c>
      <c r="D105" s="325"/>
      <c r="E105" s="325"/>
      <c r="G105" s="326"/>
    </row>
    <row r="106" spans="1:22" ht="15" customHeight="1" x14ac:dyDescent="0.25">
      <c r="A106" s="295">
        <f>IF(B106&gt;0,0,0)</f>
        <v>0</v>
      </c>
      <c r="B106" s="328"/>
      <c r="C106" s="329"/>
      <c r="D106" s="325"/>
      <c r="E106" s="325"/>
      <c r="G106" s="326"/>
    </row>
    <row r="107" spans="1:22" ht="15" customHeight="1" x14ac:dyDescent="0.25">
      <c r="A107" s="295">
        <f>IF(B107&gt;0,0,0)</f>
        <v>0</v>
      </c>
      <c r="B107" s="330"/>
      <c r="C107" s="331"/>
      <c r="D107" s="325"/>
      <c r="E107" s="325"/>
      <c r="G107" s="326"/>
    </row>
    <row r="108" spans="1:22" ht="15" customHeight="1" x14ac:dyDescent="0.25">
      <c r="A108" s="295">
        <f>IF(B108&gt;0,0,0)</f>
        <v>0</v>
      </c>
      <c r="B108" s="330"/>
      <c r="C108" s="331"/>
      <c r="D108" s="325"/>
      <c r="E108" s="325"/>
      <c r="G108" s="326"/>
    </row>
    <row r="109" spans="1:22" ht="15" customHeight="1" x14ac:dyDescent="0.25">
      <c r="B109" s="332"/>
      <c r="C109" s="333"/>
      <c r="D109" s="325"/>
      <c r="E109" s="325"/>
      <c r="G109" s="326"/>
    </row>
    <row r="110" spans="1:22" s="412" customFormat="1" ht="21" customHeight="1" x14ac:dyDescent="0.25">
      <c r="E110" s="325"/>
      <c r="F110" s="293"/>
      <c r="G110" s="326"/>
      <c r="H110" s="293"/>
      <c r="I110" s="293"/>
      <c r="J110" s="293"/>
      <c r="K110" s="293"/>
      <c r="L110" s="293"/>
      <c r="M110" s="293"/>
      <c r="Q110" s="293"/>
      <c r="R110" s="293"/>
      <c r="S110" s="293"/>
      <c r="T110" s="293"/>
    </row>
    <row r="111" spans="1:22" s="338" customFormat="1" ht="26.25" customHeight="1" x14ac:dyDescent="0.25">
      <c r="A111" s="334"/>
      <c r="B111" s="762" t="s">
        <v>134</v>
      </c>
      <c r="C111" s="763"/>
      <c r="D111" s="763"/>
      <c r="E111" s="764"/>
      <c r="F111" s="335" t="s">
        <v>88</v>
      </c>
      <c r="G111" s="336"/>
      <c r="H111" s="336"/>
      <c r="I111" s="336"/>
      <c r="J111" s="336"/>
      <c r="K111" s="336"/>
      <c r="L111" s="336"/>
      <c r="M111" s="336"/>
      <c r="N111" s="336"/>
      <c r="O111" s="336"/>
      <c r="P111" s="765" t="s">
        <v>83</v>
      </c>
      <c r="Q111" s="766"/>
      <c r="R111" s="767"/>
      <c r="S111" s="768" t="s">
        <v>148</v>
      </c>
      <c r="T111" s="767"/>
    </row>
    <row r="112" spans="1:22" s="338" customFormat="1" ht="26.25" customHeight="1" x14ac:dyDescent="0.25">
      <c r="A112" s="334"/>
      <c r="B112" s="754" t="s">
        <v>136</v>
      </c>
      <c r="C112" s="756" t="s">
        <v>155</v>
      </c>
      <c r="D112" s="758" t="s">
        <v>137</v>
      </c>
      <c r="E112" s="759" t="s">
        <v>138</v>
      </c>
      <c r="F112" s="744" t="s">
        <v>156</v>
      </c>
      <c r="G112" s="745"/>
      <c r="H112" s="744" t="s">
        <v>157</v>
      </c>
      <c r="I112" s="745"/>
      <c r="J112" s="744" t="s">
        <v>158</v>
      </c>
      <c r="K112" s="745"/>
      <c r="L112" s="744" t="s">
        <v>159</v>
      </c>
      <c r="M112" s="745"/>
      <c r="N112" s="746" t="str">
        <f>CONCATENATE("Average 
Flow Rate
",IF(UOM=1,"(gpc)","(lpc)"))</f>
        <v>Average 
Flow Rate
(gpc)</v>
      </c>
      <c r="O112" s="748" t="str">
        <f>CONCATENATE("Calculated
Water Usage
",IF(UOM=1," (gallons)"," (liters)"))</f>
        <v>Calculated
Water Usage
 (gallons)</v>
      </c>
      <c r="P112" s="750" t="s">
        <v>185</v>
      </c>
      <c r="Q112" s="752" t="str">
        <f>CONCATENATE("Flow Rate
",IF(UOM=1,"(gpc)","(lpc)"))</f>
        <v>Flow Rate
(gpc)</v>
      </c>
      <c r="R112" s="734" t="str">
        <f>CONCATENATE("Estimated
Water Usage
",IF(UOM=1," (gallons)"," (liters)"))</f>
        <v>Estimated
Water Usage
 (gallons)</v>
      </c>
      <c r="S112" s="736" t="str">
        <f>CONCATENATE("Design
Monthly 
Water Use
",IF(UOM=1," (gal/month)"," (l/month)"))</f>
        <v>Design
Monthly 
Water Use
 (gal/month)</v>
      </c>
      <c r="T112" s="734" t="str">
        <f>CONCATENATE("Baseline
Monthly 
Water Use
",IF(UOM=1," (gal/month)"," (l/month)"))</f>
        <v>Baseline
Monthly 
Water Use
 (gal/month)</v>
      </c>
      <c r="V112" s="738" t="s">
        <v>139</v>
      </c>
    </row>
    <row r="113" spans="1:22" ht="57.75" customHeight="1" x14ac:dyDescent="0.25">
      <c r="B113" s="755"/>
      <c r="C113" s="757"/>
      <c r="D113" s="757"/>
      <c r="E113" s="760"/>
      <c r="F113" s="339" t="s">
        <v>161</v>
      </c>
      <c r="G113" s="340" t="str">
        <f>CONCATENATE("Fixture 1
Flow Rate
",IF(UOM=1,"(gpc)","(lpc)"))</f>
        <v>Fixture 1
Flow Rate
(gpc)</v>
      </c>
      <c r="H113" s="339" t="s">
        <v>162</v>
      </c>
      <c r="I113" s="340" t="str">
        <f>CONCATENATE("Fixture 2
Flow Rate
",IF(UOM=1,"(gpc)","(lpc)"))</f>
        <v>Fixture 2
Flow Rate
(gpc)</v>
      </c>
      <c r="J113" s="339" t="s">
        <v>163</v>
      </c>
      <c r="K113" s="340" t="str">
        <f>CONCATENATE("Fixture 3
Flow Rate
",IF(UOM=1,"(gpc)","(lpc)"))</f>
        <v>Fixture 3
Flow Rate
(gpc)</v>
      </c>
      <c r="L113" s="339" t="s">
        <v>164</v>
      </c>
      <c r="M113" s="340" t="str">
        <f>CONCATENATE("Fixture 4
Flow Rate
",IF(UOM=1,"(gpc)","(lpc)"))</f>
        <v>Fixture 4
Flow Rate
(gpc)</v>
      </c>
      <c r="N113" s="747"/>
      <c r="O113" s="749"/>
      <c r="P113" s="751"/>
      <c r="Q113" s="753"/>
      <c r="R113" s="735"/>
      <c r="S113" s="737"/>
      <c r="T113" s="735"/>
      <c r="V113" s="738"/>
    </row>
    <row r="114" spans="1:22" s="301" customFormat="1" ht="15" customHeight="1" x14ac:dyDescent="0.3">
      <c r="A114" s="295">
        <f>IF(B114&gt;0,0,0)</f>
        <v>0</v>
      </c>
      <c r="B114" s="341"/>
      <c r="C114" s="342"/>
      <c r="D114" s="310"/>
      <c r="E114" s="343">
        <f>IFERROR(IF(B114="All units",$D$18,(V114+1)*D114),0)</f>
        <v>0</v>
      </c>
      <c r="F114" s="341"/>
      <c r="G114" s="344" t="str">
        <f>IFERROR(VLOOKUP(F114,$B$106:$C$109,2,FALSE),"")</f>
        <v/>
      </c>
      <c r="H114" s="345"/>
      <c r="I114" s="344" t="str">
        <f>IFERROR(VLOOKUP(H114,$B$106:$C$109,2,FALSE),"")</f>
        <v/>
      </c>
      <c r="J114" s="345"/>
      <c r="K114" s="344" t="str">
        <f>IFERROR(VLOOKUP(J114,$B$106:$C$109,2,FALSE),"")</f>
        <v/>
      </c>
      <c r="L114" s="345"/>
      <c r="M114" s="344" t="str">
        <f>IFERROR(VLOOKUP(L114,$B$106:$C$109,2,FALSE),"")</f>
        <v/>
      </c>
      <c r="N114" s="346" t="str">
        <f>IFERROR(SUM(G114,I114,K114,M114)/COUNTA(F114,H114,J114,L114),"")</f>
        <v/>
      </c>
      <c r="O114" s="406" t="str">
        <f>IFERROR(N114*$P114,"")</f>
        <v/>
      </c>
      <c r="P114" s="385" t="str">
        <f>IF(B114&lt;&gt;"",$C$138,"")</f>
        <v/>
      </c>
      <c r="Q114" s="346" t="str">
        <f>IF(B114&lt;&gt;"",IF(UOM=1,$F$138,$H$138),"")</f>
        <v/>
      </c>
      <c r="R114" s="347" t="str">
        <f>IF(B114&lt;&gt;"",IF(UOM=1,$J$138,$K$138),"")</f>
        <v/>
      </c>
      <c r="S114" s="351" t="str">
        <f>IFERROR(O114*30*$E114,"")</f>
        <v/>
      </c>
      <c r="T114" s="352" t="str">
        <f>IFERROR(R114*30*$E114,"")</f>
        <v/>
      </c>
      <c r="V114" s="312" t="str">
        <f>IFERROR(VLOOKUP(B114,$B$11:$V$17,21,FALSE),"")</f>
        <v/>
      </c>
    </row>
    <row r="115" spans="1:22" s="301" customFormat="1" ht="15" customHeight="1" x14ac:dyDescent="0.3">
      <c r="A115" s="295">
        <f>IF(B115&gt;0,0,0)</f>
        <v>0</v>
      </c>
      <c r="B115" s="330"/>
      <c r="C115" s="353"/>
      <c r="D115" s="314"/>
      <c r="E115" s="354">
        <f>IFERROR(IF(B115="All units",$D$18,(V115+1)*D115),0)</f>
        <v>0</v>
      </c>
      <c r="F115" s="330"/>
      <c r="G115" s="355" t="str">
        <f t="shared" ref="G115:I118" si="19">IFERROR(VLOOKUP(F115,$B$106:$C$109,2,FALSE),"")</f>
        <v/>
      </c>
      <c r="H115" s="356"/>
      <c r="I115" s="355" t="str">
        <f t="shared" si="19"/>
        <v/>
      </c>
      <c r="J115" s="356"/>
      <c r="K115" s="355" t="str">
        <f t="shared" ref="K115:K118" si="20">IFERROR(VLOOKUP(J115,$B$106:$C$109,2,FALSE),"")</f>
        <v/>
      </c>
      <c r="L115" s="356"/>
      <c r="M115" s="355" t="str">
        <f t="shared" ref="M115:M118" si="21">IFERROR(VLOOKUP(L115,$B$106:$C$109,2,FALSE),"")</f>
        <v/>
      </c>
      <c r="N115" s="357" t="str">
        <f t="shared" ref="N115:N118" si="22">IFERROR(SUM(G115,I115,K115,M115)/COUNTA(F115,H115,J115,L115),"")</f>
        <v/>
      </c>
      <c r="O115" s="360" t="str">
        <f>IFERROR(N115*$P115,"")</f>
        <v/>
      </c>
      <c r="P115" s="359" t="str">
        <f>IF(B115&lt;&gt;"",$C$138,"")</f>
        <v/>
      </c>
      <c r="Q115" s="357" t="str">
        <f>IF(B115&lt;&gt;"",IF(UOM=1,$F$138,$H$138),"")</f>
        <v/>
      </c>
      <c r="R115" s="358" t="str">
        <f>IF(B115&lt;&gt;"",IF(UOM=1,$J$138,$K$138),"")</f>
        <v/>
      </c>
      <c r="S115" s="361" t="str">
        <f t="shared" ref="S115:S118" si="23">IFERROR(O115*30*$E115,"")</f>
        <v/>
      </c>
      <c r="T115" s="362" t="str">
        <f t="shared" ref="T115:T118" si="24">IFERROR(R115*30*$E115,"")</f>
        <v/>
      </c>
      <c r="V115" s="312" t="str">
        <f>IFERROR(VLOOKUP(B115,$B$11:$V$17,21,FALSE),"")</f>
        <v/>
      </c>
    </row>
    <row r="116" spans="1:22" s="301" customFormat="1" ht="15" customHeight="1" x14ac:dyDescent="0.3">
      <c r="A116" s="295">
        <f>IF(B116&gt;0,0,0)</f>
        <v>0</v>
      </c>
      <c r="B116" s="330"/>
      <c r="C116" s="353"/>
      <c r="D116" s="314"/>
      <c r="E116" s="354">
        <f>IFERROR(IF(B116="All units",$D$18,(V116+1)*D116),0)</f>
        <v>0</v>
      </c>
      <c r="F116" s="330"/>
      <c r="G116" s="355" t="str">
        <f t="shared" si="19"/>
        <v/>
      </c>
      <c r="H116" s="356"/>
      <c r="I116" s="355" t="str">
        <f t="shared" si="19"/>
        <v/>
      </c>
      <c r="J116" s="356"/>
      <c r="K116" s="355" t="str">
        <f t="shared" si="20"/>
        <v/>
      </c>
      <c r="L116" s="356"/>
      <c r="M116" s="355" t="str">
        <f t="shared" si="21"/>
        <v/>
      </c>
      <c r="N116" s="357" t="str">
        <f t="shared" si="22"/>
        <v/>
      </c>
      <c r="O116" s="360" t="str">
        <f>IFERROR(N116*$P116,"")</f>
        <v/>
      </c>
      <c r="P116" s="359" t="str">
        <f>IF(B116&lt;&gt;"",$C$138,"")</f>
        <v/>
      </c>
      <c r="Q116" s="357" t="str">
        <f>IF(B116&lt;&gt;"",IF(UOM=1,$F$138,$H$138),"")</f>
        <v/>
      </c>
      <c r="R116" s="358" t="str">
        <f>IF(B116&lt;&gt;"",IF(UOM=1,$J$138,$K$138),"")</f>
        <v/>
      </c>
      <c r="S116" s="361" t="str">
        <f t="shared" si="23"/>
        <v/>
      </c>
      <c r="T116" s="362" t="str">
        <f t="shared" si="24"/>
        <v/>
      </c>
      <c r="V116" s="312" t="str">
        <f>IFERROR(VLOOKUP(B116,$B$11:$V$17,21,FALSE),"")</f>
        <v/>
      </c>
    </row>
    <row r="117" spans="1:22" s="301" customFormat="1" ht="15" customHeight="1" x14ac:dyDescent="0.3">
      <c r="A117" s="295"/>
      <c r="B117" s="363"/>
      <c r="C117" s="353"/>
      <c r="D117" s="314"/>
      <c r="E117" s="354">
        <f>IFERROR(IF(B117="All units",$D$18,(V117+1)*D117),0)</f>
        <v>0</v>
      </c>
      <c r="F117" s="330"/>
      <c r="G117" s="355" t="str">
        <f t="shared" si="19"/>
        <v/>
      </c>
      <c r="H117" s="356"/>
      <c r="I117" s="355" t="str">
        <f t="shared" si="19"/>
        <v/>
      </c>
      <c r="J117" s="356"/>
      <c r="K117" s="355" t="str">
        <f t="shared" si="20"/>
        <v/>
      </c>
      <c r="L117" s="356"/>
      <c r="M117" s="355" t="str">
        <f t="shared" si="21"/>
        <v/>
      </c>
      <c r="N117" s="357" t="str">
        <f t="shared" si="22"/>
        <v/>
      </c>
      <c r="O117" s="360" t="str">
        <f>IFERROR(N117*$P117,"")</f>
        <v/>
      </c>
      <c r="P117" s="359" t="str">
        <f>IF(B117&lt;&gt;"",$C$138,"")</f>
        <v/>
      </c>
      <c r="Q117" s="357" t="str">
        <f>IF(B117&lt;&gt;"",IF(UOM=1,$F$138,$H$138),"")</f>
        <v/>
      </c>
      <c r="R117" s="358" t="str">
        <f>IF(B117&lt;&gt;"",IF(UOM=1,$J$138,$K$138),"")</f>
        <v/>
      </c>
      <c r="S117" s="361" t="str">
        <f t="shared" si="23"/>
        <v/>
      </c>
      <c r="T117" s="362" t="str">
        <f t="shared" si="24"/>
        <v/>
      </c>
      <c r="V117" s="312" t="str">
        <f>IFERROR(VLOOKUP(B117,$B$11:$V$17,21,FALSE),"")</f>
        <v/>
      </c>
    </row>
    <row r="118" spans="1:22" s="301" customFormat="1" ht="15" customHeight="1" x14ac:dyDescent="0.3">
      <c r="A118" s="295"/>
      <c r="B118" s="332"/>
      <c r="C118" s="364"/>
      <c r="D118" s="365"/>
      <c r="E118" s="366">
        <f>IFERROR(IF(B118="All units",$D$18,(V118+1)*D118),0)</f>
        <v>0</v>
      </c>
      <c r="F118" s="367"/>
      <c r="G118" s="368" t="str">
        <f t="shared" si="19"/>
        <v/>
      </c>
      <c r="H118" s="369"/>
      <c r="I118" s="368" t="str">
        <f t="shared" si="19"/>
        <v/>
      </c>
      <c r="J118" s="369"/>
      <c r="K118" s="368" t="str">
        <f t="shared" si="20"/>
        <v/>
      </c>
      <c r="L118" s="369"/>
      <c r="M118" s="368" t="str">
        <f t="shared" si="21"/>
        <v/>
      </c>
      <c r="N118" s="370" t="str">
        <f t="shared" si="22"/>
        <v/>
      </c>
      <c r="O118" s="373" t="str">
        <f>IFERROR(N118*$P118,"")</f>
        <v/>
      </c>
      <c r="P118" s="372" t="str">
        <f>IF(B118&lt;&gt;"",$C$138,"")</f>
        <v/>
      </c>
      <c r="Q118" s="370" t="str">
        <f>IF(B118&lt;&gt;"",IF(UOM=1,$F$138,$H$138),"")</f>
        <v/>
      </c>
      <c r="R118" s="371" t="str">
        <f>IF(B118&lt;&gt;"",IF(UOM=1,$J$138,$K$138),"")</f>
        <v/>
      </c>
      <c r="S118" s="386" t="str">
        <f t="shared" si="23"/>
        <v/>
      </c>
      <c r="T118" s="387" t="str">
        <f t="shared" si="24"/>
        <v/>
      </c>
      <c r="V118" s="312" t="str">
        <f>IFERROR(VLOOKUP(B118,$B$11:$V$17,21,FALSE),"")</f>
        <v/>
      </c>
    </row>
    <row r="119" spans="1:22" ht="21" customHeight="1" x14ac:dyDescent="0.25">
      <c r="A119" s="321" t="s">
        <v>186</v>
      </c>
      <c r="B119" s="319" t="s">
        <v>187</v>
      </c>
      <c r="C119" s="377"/>
      <c r="D119" s="378">
        <f>SUM(D114:D118)</f>
        <v>0</v>
      </c>
      <c r="E119" s="378">
        <f>SUM(E114:E118)</f>
        <v>0</v>
      </c>
      <c r="F119" s="380"/>
      <c r="G119" s="380"/>
      <c r="H119" s="380"/>
      <c r="I119" s="380"/>
      <c r="J119" s="380"/>
      <c r="K119" s="380"/>
      <c r="L119" s="380"/>
      <c r="M119" s="380"/>
      <c r="N119" s="380"/>
      <c r="O119" s="380"/>
      <c r="P119" s="380"/>
      <c r="Q119" s="380"/>
      <c r="R119" s="380"/>
      <c r="S119" s="381">
        <f>SUM(S114:S118)</f>
        <v>0</v>
      </c>
      <c r="T119" s="382">
        <f>SUM(T114:T118)</f>
        <v>0</v>
      </c>
    </row>
    <row r="120" spans="1:22" s="412" customFormat="1" ht="42" customHeight="1" x14ac:dyDescent="0.25">
      <c r="A120" s="383"/>
    </row>
    <row r="121" spans="1:22" s="412" customFormat="1" ht="15" customHeight="1" x14ac:dyDescent="0.25">
      <c r="A121" s="321"/>
    </row>
    <row r="122" spans="1:22" ht="21.75" customHeight="1" x14ac:dyDescent="0.25">
      <c r="B122" s="322" t="s">
        <v>188</v>
      </c>
      <c r="C122" s="325"/>
      <c r="D122" s="325"/>
      <c r="E122" s="325"/>
      <c r="G122" s="326"/>
    </row>
    <row r="123" spans="1:22" ht="57.75" customHeight="1" x14ac:dyDescent="0.25">
      <c r="B123" s="739" t="s">
        <v>28</v>
      </c>
      <c r="C123" s="740"/>
      <c r="D123" s="740"/>
      <c r="E123" s="740"/>
      <c r="F123" s="740"/>
      <c r="G123" s="598" t="str">
        <f>CONCATENATE("Design
Water Use
",IF(UOM=1," (gal/month)"," (l/month)"))</f>
        <v>Design
Water Use
 (gal/month)</v>
      </c>
      <c r="H123" s="598" t="str">
        <f>CONCATENATE("Baseline
Water Use
",IF(UOM=1," (gal/month)"," (l/month)"))</f>
        <v>Baseline
Water Use
 (gal/month)</v>
      </c>
      <c r="I123" s="599" t="str">
        <f>CONCATENATE("Savings
",IF(UOM=1," (gal/month)"," (l/month)"))</f>
        <v>Savings
 (gal/month)</v>
      </c>
    </row>
    <row r="124" spans="1:22" ht="17.100000000000001" customHeight="1" x14ac:dyDescent="0.25">
      <c r="B124" s="741" t="s">
        <v>189</v>
      </c>
      <c r="C124" s="742"/>
      <c r="D124" s="742"/>
      <c r="E124" s="742"/>
      <c r="F124" s="743"/>
      <c r="G124" s="600">
        <f>S39</f>
        <v>0</v>
      </c>
      <c r="H124" s="601">
        <f>T39</f>
        <v>0</v>
      </c>
      <c r="I124" s="602">
        <f>IF(G124=0,0,H124-G124)</f>
        <v>0</v>
      </c>
    </row>
    <row r="125" spans="1:22" ht="17.100000000000001" customHeight="1" x14ac:dyDescent="0.25">
      <c r="B125" s="728" t="s">
        <v>190</v>
      </c>
      <c r="C125" s="729"/>
      <c r="D125" s="729"/>
      <c r="E125" s="729"/>
      <c r="F125" s="730"/>
      <c r="G125" s="603">
        <f>S57</f>
        <v>0</v>
      </c>
      <c r="H125" s="604">
        <f>T57</f>
        <v>0</v>
      </c>
      <c r="I125" s="605">
        <f>IF(G125=0,0,H125-G125)</f>
        <v>0</v>
      </c>
    </row>
    <row r="126" spans="1:22" ht="17.100000000000001" customHeight="1" x14ac:dyDescent="0.25">
      <c r="B126" s="728" t="s">
        <v>122</v>
      </c>
      <c r="C126" s="729"/>
      <c r="D126" s="729"/>
      <c r="E126" s="729"/>
      <c r="F126" s="730"/>
      <c r="G126" s="603">
        <f>S81</f>
        <v>0</v>
      </c>
      <c r="H126" s="604">
        <f>T81</f>
        <v>0</v>
      </c>
      <c r="I126" s="605">
        <f>IF(G126=0,0,H126-G126)</f>
        <v>0</v>
      </c>
    </row>
    <row r="127" spans="1:22" ht="17.100000000000001" customHeight="1" x14ac:dyDescent="0.25">
      <c r="B127" s="728" t="s">
        <v>191</v>
      </c>
      <c r="C127" s="729"/>
      <c r="D127" s="729"/>
      <c r="E127" s="729"/>
      <c r="F127" s="730"/>
      <c r="G127" s="603">
        <f>S100</f>
        <v>0</v>
      </c>
      <c r="H127" s="604">
        <f>T100</f>
        <v>0</v>
      </c>
      <c r="I127" s="605">
        <f>IF(G127=0,0,H127-G127)</f>
        <v>0</v>
      </c>
    </row>
    <row r="128" spans="1:22" ht="17.100000000000001" customHeight="1" x14ac:dyDescent="0.25">
      <c r="B128" s="731" t="s">
        <v>192</v>
      </c>
      <c r="C128" s="732"/>
      <c r="D128" s="732"/>
      <c r="E128" s="732"/>
      <c r="F128" s="733"/>
      <c r="G128" s="606">
        <f>S119</f>
        <v>0</v>
      </c>
      <c r="H128" s="607">
        <f>T119</f>
        <v>0</v>
      </c>
      <c r="I128" s="608">
        <f>IF(G128=0,0,H128-G128)</f>
        <v>0</v>
      </c>
    </row>
    <row r="129" spans="1:11" ht="21" customHeight="1" x14ac:dyDescent="0.25">
      <c r="B129" s="609" t="s">
        <v>148</v>
      </c>
      <c r="C129" s="409"/>
      <c r="D129" s="409"/>
      <c r="E129" s="409"/>
      <c r="F129" s="409"/>
      <c r="G129" s="610">
        <f>SUM(G124:G128)</f>
        <v>0</v>
      </c>
      <c r="H129" s="610">
        <f>SUM(H124:H128)</f>
        <v>0</v>
      </c>
      <c r="I129" s="611">
        <f>SUM(I124:I128)</f>
        <v>0</v>
      </c>
    </row>
    <row r="130" spans="1:11" ht="33.9" customHeight="1" x14ac:dyDescent="0.25"/>
    <row r="131" spans="1:11" ht="21.75" customHeight="1" x14ac:dyDescent="0.25">
      <c r="A131" s="293"/>
      <c r="B131" s="322" t="s">
        <v>27</v>
      </c>
      <c r="C131" s="297"/>
      <c r="D131" s="297"/>
      <c r="E131" s="297"/>
      <c r="F131" s="323"/>
      <c r="G131" s="297"/>
      <c r="H131" s="297"/>
    </row>
    <row r="132" spans="1:11" s="407" customFormat="1" ht="33" customHeight="1" x14ac:dyDescent="0.3">
      <c r="A132" s="612"/>
      <c r="B132" s="720" t="s">
        <v>193</v>
      </c>
      <c r="C132" s="722" t="s">
        <v>194</v>
      </c>
      <c r="D132" s="723"/>
      <c r="E132" s="716"/>
      <c r="F132" s="722" t="s">
        <v>195</v>
      </c>
      <c r="G132" s="727"/>
      <c r="H132" s="727"/>
      <c r="I132" s="716"/>
      <c r="J132" s="715" t="s">
        <v>196</v>
      </c>
      <c r="K132" s="716"/>
    </row>
    <row r="133" spans="1:11" s="407" customFormat="1" ht="52.5" customHeight="1" x14ac:dyDescent="0.3">
      <c r="A133" s="612"/>
      <c r="B133" s="721"/>
      <c r="C133" s="724"/>
      <c r="D133" s="725"/>
      <c r="E133" s="726"/>
      <c r="F133" s="717" t="s">
        <v>32</v>
      </c>
      <c r="G133" s="718"/>
      <c r="H133" s="718" t="s">
        <v>33</v>
      </c>
      <c r="I133" s="719"/>
      <c r="J133" s="614" t="s">
        <v>197</v>
      </c>
      <c r="K133" s="613" t="s">
        <v>198</v>
      </c>
    </row>
    <row r="134" spans="1:11" s="408" customFormat="1" ht="18" customHeight="1" x14ac:dyDescent="0.3">
      <c r="A134" s="615"/>
      <c r="B134" s="616" t="s">
        <v>199</v>
      </c>
      <c r="C134" s="617">
        <f>8.2*0.75</f>
        <v>6.15</v>
      </c>
      <c r="D134" s="618" t="s">
        <v>200</v>
      </c>
      <c r="E134" s="619"/>
      <c r="F134" s="620">
        <v>2.5</v>
      </c>
      <c r="G134" s="621" t="s">
        <v>46</v>
      </c>
      <c r="H134" s="622">
        <v>9.5</v>
      </c>
      <c r="I134" s="623" t="s">
        <v>47</v>
      </c>
      <c r="J134" s="624">
        <f>F134*C134</f>
        <v>15.4</v>
      </c>
      <c r="K134" s="625">
        <f>H134*C134</f>
        <v>58.4</v>
      </c>
    </row>
    <row r="135" spans="1:11" s="408" customFormat="1" ht="18" customHeight="1" x14ac:dyDescent="0.3">
      <c r="A135" s="615"/>
      <c r="B135" s="626" t="s">
        <v>201</v>
      </c>
      <c r="C135" s="627">
        <v>5</v>
      </c>
      <c r="D135" s="628" t="s">
        <v>200</v>
      </c>
      <c r="E135" s="629"/>
      <c r="F135" s="627">
        <v>2.2000000000000002</v>
      </c>
      <c r="G135" s="630" t="s">
        <v>46</v>
      </c>
      <c r="H135" s="631">
        <v>8.3000000000000007</v>
      </c>
      <c r="I135" s="629" t="s">
        <v>47</v>
      </c>
      <c r="J135" s="632">
        <f>F135*C135</f>
        <v>11</v>
      </c>
      <c r="K135" s="633">
        <f>H135*C135</f>
        <v>41.5</v>
      </c>
    </row>
    <row r="136" spans="1:11" s="408" customFormat="1" ht="18" customHeight="1" x14ac:dyDescent="0.3">
      <c r="A136" s="615"/>
      <c r="B136" s="626" t="s">
        <v>61</v>
      </c>
      <c r="C136" s="627">
        <v>5.05</v>
      </c>
      <c r="D136" s="628" t="s">
        <v>202</v>
      </c>
      <c r="E136" s="629"/>
      <c r="F136" s="627">
        <v>1.6</v>
      </c>
      <c r="G136" s="630" t="s">
        <v>40</v>
      </c>
      <c r="H136" s="631">
        <v>6</v>
      </c>
      <c r="I136" s="629" t="s">
        <v>41</v>
      </c>
      <c r="J136" s="632">
        <f>F136*C136</f>
        <v>8.1</v>
      </c>
      <c r="K136" s="633">
        <f>H136*C136</f>
        <v>30.3</v>
      </c>
    </row>
    <row r="137" spans="1:11" s="408" customFormat="1" ht="18" customHeight="1" x14ac:dyDescent="0.3">
      <c r="A137" s="615"/>
      <c r="B137" s="626" t="s">
        <v>203</v>
      </c>
      <c r="C137" s="627">
        <v>0.37</v>
      </c>
      <c r="D137" s="628" t="s">
        <v>204</v>
      </c>
      <c r="E137" s="414"/>
      <c r="F137" s="627">
        <v>9.5</v>
      </c>
      <c r="G137" s="630" t="s">
        <v>205</v>
      </c>
      <c r="H137" s="631">
        <v>9.5</v>
      </c>
      <c r="I137" s="629" t="s">
        <v>205</v>
      </c>
      <c r="J137" s="634">
        <f>(C137*F137*3.5)*1.23</f>
        <v>15.1</v>
      </c>
      <c r="K137" s="633">
        <f>((C137*F137*3.5)*1.23)*3.78</f>
        <v>57.2</v>
      </c>
    </row>
    <row r="138" spans="1:11" s="408" customFormat="1" ht="18" customHeight="1" x14ac:dyDescent="0.3">
      <c r="A138" s="615"/>
      <c r="B138" s="635" t="s">
        <v>206</v>
      </c>
      <c r="C138" s="636">
        <v>0.1</v>
      </c>
      <c r="D138" s="637" t="s">
        <v>207</v>
      </c>
      <c r="E138" s="638"/>
      <c r="F138" s="636">
        <v>6.5</v>
      </c>
      <c r="G138" s="639" t="s">
        <v>208</v>
      </c>
      <c r="H138" s="640">
        <v>24</v>
      </c>
      <c r="I138" s="638" t="s">
        <v>209</v>
      </c>
      <c r="J138" s="641">
        <f>F138*C138</f>
        <v>0.7</v>
      </c>
      <c r="K138" s="642">
        <f>H138*C138</f>
        <v>2.4</v>
      </c>
    </row>
    <row r="139" spans="1:11" ht="15" customHeight="1" x14ac:dyDescent="0.25">
      <c r="A139" s="293"/>
      <c r="F139" s="301"/>
      <c r="G139" s="293"/>
    </row>
  </sheetData>
  <sheetProtection formatColumns="0" formatRows="0"/>
  <mergeCells count="116">
    <mergeCell ref="B21:D21"/>
    <mergeCell ref="B23:C23"/>
    <mergeCell ref="B30:E30"/>
    <mergeCell ref="B31:E31"/>
    <mergeCell ref="P31:R31"/>
    <mergeCell ref="S31:T31"/>
    <mergeCell ref="B6:I6"/>
    <mergeCell ref="B9:D9"/>
    <mergeCell ref="R32:R33"/>
    <mergeCell ref="S32:S33"/>
    <mergeCell ref="T32:T33"/>
    <mergeCell ref="V32:V33"/>
    <mergeCell ref="B49:E49"/>
    <mergeCell ref="F49:O49"/>
    <mergeCell ref="P49:R49"/>
    <mergeCell ref="S49:T49"/>
    <mergeCell ref="J32:K32"/>
    <mergeCell ref="L32:M32"/>
    <mergeCell ref="N32:N33"/>
    <mergeCell ref="O32:O33"/>
    <mergeCell ref="P32:P33"/>
    <mergeCell ref="Q32:Q33"/>
    <mergeCell ref="B32:B33"/>
    <mergeCell ref="C32:C33"/>
    <mergeCell ref="D32:D33"/>
    <mergeCell ref="E32:E33"/>
    <mergeCell ref="F32:G32"/>
    <mergeCell ref="H32:I32"/>
    <mergeCell ref="R50:R51"/>
    <mergeCell ref="S50:S51"/>
    <mergeCell ref="T50:T51"/>
    <mergeCell ref="V50:V51"/>
    <mergeCell ref="B62:E62"/>
    <mergeCell ref="B73:E73"/>
    <mergeCell ref="P73:R73"/>
    <mergeCell ref="S73:T73"/>
    <mergeCell ref="J50:K50"/>
    <mergeCell ref="L50:M50"/>
    <mergeCell ref="N50:N51"/>
    <mergeCell ref="O50:O51"/>
    <mergeCell ref="P50:P51"/>
    <mergeCell ref="Q50:Q51"/>
    <mergeCell ref="B50:B51"/>
    <mergeCell ref="C50:C51"/>
    <mergeCell ref="D50:D51"/>
    <mergeCell ref="E50:E51"/>
    <mergeCell ref="F50:G50"/>
    <mergeCell ref="H50:I50"/>
    <mergeCell ref="R74:R75"/>
    <mergeCell ref="S74:S75"/>
    <mergeCell ref="T74:T75"/>
    <mergeCell ref="V74:V75"/>
    <mergeCell ref="B85:C85"/>
    <mergeCell ref="B92:E92"/>
    <mergeCell ref="P92:R92"/>
    <mergeCell ref="S92:T92"/>
    <mergeCell ref="J74:K74"/>
    <mergeCell ref="L74:M74"/>
    <mergeCell ref="N74:N75"/>
    <mergeCell ref="O74:O75"/>
    <mergeCell ref="P74:P75"/>
    <mergeCell ref="Q74:Q75"/>
    <mergeCell ref="B74:B75"/>
    <mergeCell ref="C74:C75"/>
    <mergeCell ref="D74:D75"/>
    <mergeCell ref="E74:E75"/>
    <mergeCell ref="F74:G74"/>
    <mergeCell ref="H74:I74"/>
    <mergeCell ref="R93:R94"/>
    <mergeCell ref="S93:S94"/>
    <mergeCell ref="T93:T94"/>
    <mergeCell ref="V93:V94"/>
    <mergeCell ref="B104:C104"/>
    <mergeCell ref="B111:E111"/>
    <mergeCell ref="P111:R111"/>
    <mergeCell ref="S111:T111"/>
    <mergeCell ref="J93:K93"/>
    <mergeCell ref="L93:M93"/>
    <mergeCell ref="N93:N94"/>
    <mergeCell ref="O93:O94"/>
    <mergeCell ref="P93:P94"/>
    <mergeCell ref="Q93:Q94"/>
    <mergeCell ref="B93:B94"/>
    <mergeCell ref="C93:C94"/>
    <mergeCell ref="D93:D94"/>
    <mergeCell ref="E93:E94"/>
    <mergeCell ref="F93:G93"/>
    <mergeCell ref="H93:I93"/>
    <mergeCell ref="R112:R113"/>
    <mergeCell ref="S112:S113"/>
    <mergeCell ref="T112:T113"/>
    <mergeCell ref="V112:V113"/>
    <mergeCell ref="B123:F123"/>
    <mergeCell ref="B124:F124"/>
    <mergeCell ref="J112:K112"/>
    <mergeCell ref="L112:M112"/>
    <mergeCell ref="N112:N113"/>
    <mergeCell ref="O112:O113"/>
    <mergeCell ref="P112:P113"/>
    <mergeCell ref="Q112:Q113"/>
    <mergeCell ref="B112:B113"/>
    <mergeCell ref="C112:C113"/>
    <mergeCell ref="D112:D113"/>
    <mergeCell ref="E112:E113"/>
    <mergeCell ref="F112:G112"/>
    <mergeCell ref="H112:I112"/>
    <mergeCell ref="J132:K132"/>
    <mergeCell ref="F133:G133"/>
    <mergeCell ref="H133:I133"/>
    <mergeCell ref="B132:B133"/>
    <mergeCell ref="C132:E133"/>
    <mergeCell ref="F132:I132"/>
    <mergeCell ref="B125:F125"/>
    <mergeCell ref="B126:F126"/>
    <mergeCell ref="B127:F127"/>
    <mergeCell ref="B128:F128"/>
  </mergeCells>
  <dataValidations count="7">
    <dataValidation type="list" allowBlank="1" showInputMessage="1" showErrorMessage="1" sqref="B34:B38 B52:B56 B76:B80 B95:B99 B114:B118" xr:uid="{00000000-0002-0000-0400-000000000000}">
      <formula1>_unitType</formula1>
    </dataValidation>
    <dataValidation type="list" allowBlank="1" showInputMessage="1" showErrorMessage="1" sqref="F114:F118 H114:H118 J114:J118 L114:L118" xr:uid="{00000000-0002-0000-0400-000001000000}">
      <formula1>$B$106:$B$109</formula1>
    </dataValidation>
    <dataValidation type="list" allowBlank="1" showInputMessage="1" showErrorMessage="1" sqref="F95:F99 L95:L99 J95:J99 H95:H99" xr:uid="{00000000-0002-0000-0400-000002000000}">
      <formula1>$B$87:$B$90</formula1>
    </dataValidation>
    <dataValidation type="list" allowBlank="1" showInputMessage="1" showErrorMessage="1" sqref="F76:F80 H76:H80 J76:J80 L76:L80" xr:uid="{00000000-0002-0000-0400-000003000000}">
      <formula1>$B$68:$B$71</formula1>
    </dataValidation>
    <dataValidation type="list" allowBlank="1" showInputMessage="1" showErrorMessage="1" sqref="F52:F56 H52:H56 J52:J56 L52:L56" xr:uid="{00000000-0002-0000-0400-000004000000}">
      <formula1>$B$44:$B$47</formula1>
    </dataValidation>
    <dataValidation type="list" allowBlank="1" showInputMessage="1" showErrorMessage="1" sqref="F34:F38 H34:H38 J34:J38 L34:L38" xr:uid="{00000000-0002-0000-0400-000005000000}">
      <formula1>$B$25:$B$28</formula1>
    </dataValidation>
    <dataValidation type="list" allowBlank="1" showInputMessage="1" showErrorMessage="1" sqref="B19" xr:uid="{00000000-0002-0000-0400-000006000000}">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locked="0" defaultSize="0" print="0" autoFill="0" autoPict="0" macro="[0]!AddB">
                <anchor moveWithCells="1">
                  <from>
                    <xdr:col>1</xdr:col>
                    <xdr:colOff>30480</xdr:colOff>
                    <xdr:row>39</xdr:row>
                    <xdr:rowOff>152400</xdr:rowOff>
                  </from>
                  <to>
                    <xdr:col>1</xdr:col>
                    <xdr:colOff>1402080</xdr:colOff>
                    <xdr:row>39</xdr:row>
                    <xdr:rowOff>419100</xdr:rowOff>
                  </to>
                </anchor>
              </controlPr>
            </control>
          </mc:Choice>
        </mc:AlternateContent>
        <mc:AlternateContent xmlns:mc="http://schemas.openxmlformats.org/markup-compatibility/2006">
          <mc:Choice Requires="x14">
            <control shapeId="91138" r:id="rId5" name="Button 2">
              <controlPr locked="0" defaultSize="0" print="0" autoFill="0" autoPict="0" macro="[0]!deleteB">
                <anchor moveWithCells="1">
                  <from>
                    <xdr:col>1</xdr:col>
                    <xdr:colOff>1554480</xdr:colOff>
                    <xdr:row>39</xdr:row>
                    <xdr:rowOff>152400</xdr:rowOff>
                  </from>
                  <to>
                    <xdr:col>2</xdr:col>
                    <xdr:colOff>731520</xdr:colOff>
                    <xdr:row>39</xdr:row>
                    <xdr:rowOff>419100</xdr:rowOff>
                  </to>
                </anchor>
              </controlPr>
            </control>
          </mc:Choice>
        </mc:AlternateContent>
        <mc:AlternateContent xmlns:mc="http://schemas.openxmlformats.org/markup-compatibility/2006">
          <mc:Choice Requires="x14">
            <control shapeId="91139" r:id="rId6" name="Button 3">
              <controlPr locked="0" defaultSize="0" print="0" autoFill="0" autoPict="0" macro="[0]!AddC">
                <anchor moveWithCells="1">
                  <from>
                    <xdr:col>1</xdr:col>
                    <xdr:colOff>30480</xdr:colOff>
                    <xdr:row>57</xdr:row>
                    <xdr:rowOff>152400</xdr:rowOff>
                  </from>
                  <to>
                    <xdr:col>1</xdr:col>
                    <xdr:colOff>1402080</xdr:colOff>
                    <xdr:row>57</xdr:row>
                    <xdr:rowOff>419100</xdr:rowOff>
                  </to>
                </anchor>
              </controlPr>
            </control>
          </mc:Choice>
        </mc:AlternateContent>
        <mc:AlternateContent xmlns:mc="http://schemas.openxmlformats.org/markup-compatibility/2006">
          <mc:Choice Requires="x14">
            <control shapeId="91140" r:id="rId7" name="Button 4">
              <controlPr locked="0" defaultSize="0" print="0" autoFill="0" autoPict="0" macro="[0]!deleteB">
                <anchor moveWithCells="1">
                  <from>
                    <xdr:col>1</xdr:col>
                    <xdr:colOff>1554480</xdr:colOff>
                    <xdr:row>57</xdr:row>
                    <xdr:rowOff>152400</xdr:rowOff>
                  </from>
                  <to>
                    <xdr:col>2</xdr:col>
                    <xdr:colOff>731520</xdr:colOff>
                    <xdr:row>57</xdr:row>
                    <xdr:rowOff>419100</xdr:rowOff>
                  </to>
                </anchor>
              </controlPr>
            </control>
          </mc:Choice>
        </mc:AlternateContent>
        <mc:AlternateContent xmlns:mc="http://schemas.openxmlformats.org/markup-compatibility/2006">
          <mc:Choice Requires="x14">
            <control shapeId="91141" r:id="rId8" name="Button 5">
              <controlPr locked="0" defaultSize="0" print="0" autoFill="0" autoPict="0" macro="[0]!AddD">
                <anchor moveWithCells="1">
                  <from>
                    <xdr:col>1</xdr:col>
                    <xdr:colOff>30480</xdr:colOff>
                    <xdr:row>81</xdr:row>
                    <xdr:rowOff>152400</xdr:rowOff>
                  </from>
                  <to>
                    <xdr:col>1</xdr:col>
                    <xdr:colOff>1402080</xdr:colOff>
                    <xdr:row>81</xdr:row>
                    <xdr:rowOff>419100</xdr:rowOff>
                  </to>
                </anchor>
              </controlPr>
            </control>
          </mc:Choice>
        </mc:AlternateContent>
        <mc:AlternateContent xmlns:mc="http://schemas.openxmlformats.org/markup-compatibility/2006">
          <mc:Choice Requires="x14">
            <control shapeId="91142" r:id="rId9" name="Button 6">
              <controlPr locked="0" defaultSize="0" print="0" autoFill="0" autoPict="0" macro="[0]!deleteB">
                <anchor moveWithCells="1">
                  <from>
                    <xdr:col>1</xdr:col>
                    <xdr:colOff>1554480</xdr:colOff>
                    <xdr:row>81</xdr:row>
                    <xdr:rowOff>152400</xdr:rowOff>
                  </from>
                  <to>
                    <xdr:col>2</xdr:col>
                    <xdr:colOff>731520</xdr:colOff>
                    <xdr:row>81</xdr:row>
                    <xdr:rowOff>419100</xdr:rowOff>
                  </to>
                </anchor>
              </controlPr>
            </control>
          </mc:Choice>
        </mc:AlternateContent>
        <mc:AlternateContent xmlns:mc="http://schemas.openxmlformats.org/markup-compatibility/2006">
          <mc:Choice Requires="x14">
            <control shapeId="91143" r:id="rId10" name="Button 7">
              <controlPr locked="0" defaultSize="0" print="0" autoFill="0" autoPict="0" macro="[0]!AddE">
                <anchor moveWithCells="1">
                  <from>
                    <xdr:col>1</xdr:col>
                    <xdr:colOff>30480</xdr:colOff>
                    <xdr:row>100</xdr:row>
                    <xdr:rowOff>152400</xdr:rowOff>
                  </from>
                  <to>
                    <xdr:col>1</xdr:col>
                    <xdr:colOff>1402080</xdr:colOff>
                    <xdr:row>100</xdr:row>
                    <xdr:rowOff>419100</xdr:rowOff>
                  </to>
                </anchor>
              </controlPr>
            </control>
          </mc:Choice>
        </mc:AlternateContent>
        <mc:AlternateContent xmlns:mc="http://schemas.openxmlformats.org/markup-compatibility/2006">
          <mc:Choice Requires="x14">
            <control shapeId="91144" r:id="rId11" name="Button 8">
              <controlPr locked="0" defaultSize="0" print="0" autoFill="0" autoPict="0" macro="[0]!deleteB">
                <anchor moveWithCells="1">
                  <from>
                    <xdr:col>1</xdr:col>
                    <xdr:colOff>1554480</xdr:colOff>
                    <xdr:row>100</xdr:row>
                    <xdr:rowOff>152400</xdr:rowOff>
                  </from>
                  <to>
                    <xdr:col>2</xdr:col>
                    <xdr:colOff>731520</xdr:colOff>
                    <xdr:row>100</xdr:row>
                    <xdr:rowOff>419100</xdr:rowOff>
                  </to>
                </anchor>
              </controlPr>
            </control>
          </mc:Choice>
        </mc:AlternateContent>
        <mc:AlternateContent xmlns:mc="http://schemas.openxmlformats.org/markup-compatibility/2006">
          <mc:Choice Requires="x14">
            <control shapeId="91145" r:id="rId12" name="Button 9">
              <controlPr locked="0" defaultSize="0" print="0" autoFill="0" autoPict="0" macro="[0]!AddF">
                <anchor moveWithCells="1">
                  <from>
                    <xdr:col>1</xdr:col>
                    <xdr:colOff>30480</xdr:colOff>
                    <xdr:row>119</xdr:row>
                    <xdr:rowOff>152400</xdr:rowOff>
                  </from>
                  <to>
                    <xdr:col>1</xdr:col>
                    <xdr:colOff>1402080</xdr:colOff>
                    <xdr:row>119</xdr:row>
                    <xdr:rowOff>419100</xdr:rowOff>
                  </to>
                </anchor>
              </controlPr>
            </control>
          </mc:Choice>
        </mc:AlternateContent>
        <mc:AlternateContent xmlns:mc="http://schemas.openxmlformats.org/markup-compatibility/2006">
          <mc:Choice Requires="x14">
            <control shapeId="91146" r:id="rId13" name="Button 10">
              <controlPr locked="0" defaultSize="0" print="0" autoFill="0" autoPict="0" macro="[0]!deleteB">
                <anchor moveWithCells="1">
                  <from>
                    <xdr:col>1</xdr:col>
                    <xdr:colOff>1554480</xdr:colOff>
                    <xdr:row>119</xdr:row>
                    <xdr:rowOff>152400</xdr:rowOff>
                  </from>
                  <to>
                    <xdr:col>2</xdr:col>
                    <xdr:colOff>731520</xdr:colOff>
                    <xdr:row>119</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K20"/>
  <sheetViews>
    <sheetView showGridLines="0" zoomScale="90" zoomScaleNormal="90" zoomScalePageLayoutView="80" workbookViewId="0"/>
  </sheetViews>
  <sheetFormatPr defaultColWidth="8.88671875" defaultRowHeight="15" customHeight="1" x14ac:dyDescent="0.3"/>
  <cols>
    <col min="1" max="1" width="2.6640625" style="4" customWidth="1"/>
    <col min="2" max="2" width="2.44140625" style="4" customWidth="1"/>
    <col min="3" max="3" width="2.44140625" style="4" hidden="1" customWidth="1"/>
    <col min="4" max="4" width="42.6640625" style="4" customWidth="1"/>
    <col min="5" max="10" width="14.6640625" style="4" customWidth="1"/>
    <col min="11" max="11" width="2.6640625" style="4" customWidth="1"/>
    <col min="12" max="246" width="8.88671875" style="4"/>
    <col min="247" max="248" width="2.6640625" style="4" customWidth="1"/>
    <col min="249" max="249" width="7" style="4" customWidth="1"/>
    <col min="250" max="250" width="2.44140625" style="4" customWidth="1"/>
    <col min="251" max="251" width="5.6640625" style="4" customWidth="1"/>
    <col min="252" max="252" width="68.6640625" style="4" customWidth="1"/>
    <col min="253" max="253" width="2.6640625" style="4" customWidth="1"/>
    <col min="254" max="254" width="14.6640625" style="4" customWidth="1"/>
    <col min="255" max="255" width="2.6640625" style="4" customWidth="1"/>
    <col min="256" max="256" width="2.44140625" style="4" customWidth="1"/>
    <col min="257" max="257" width="28.6640625" style="4" customWidth="1"/>
    <col min="258" max="502" width="8.88671875" style="4"/>
    <col min="503" max="504" width="2.6640625" style="4" customWidth="1"/>
    <col min="505" max="505" width="7" style="4" customWidth="1"/>
    <col min="506" max="506" width="2.44140625" style="4" customWidth="1"/>
    <col min="507" max="507" width="5.6640625" style="4" customWidth="1"/>
    <col min="508" max="508" width="68.6640625" style="4" customWidth="1"/>
    <col min="509" max="509" width="2.6640625" style="4" customWidth="1"/>
    <col min="510" max="510" width="14.6640625" style="4" customWidth="1"/>
    <col min="511" max="511" width="2.6640625" style="4" customWidth="1"/>
    <col min="512" max="512" width="2.44140625" style="4" customWidth="1"/>
    <col min="513" max="513" width="28.6640625" style="4" customWidth="1"/>
    <col min="514" max="758" width="8.88671875" style="4"/>
    <col min="759" max="760" width="2.6640625" style="4" customWidth="1"/>
    <col min="761" max="761" width="7" style="4" customWidth="1"/>
    <col min="762" max="762" width="2.44140625" style="4" customWidth="1"/>
    <col min="763" max="763" width="5.6640625" style="4" customWidth="1"/>
    <col min="764" max="764" width="68.6640625" style="4" customWidth="1"/>
    <col min="765" max="765" width="2.6640625" style="4" customWidth="1"/>
    <col min="766" max="766" width="14.6640625" style="4" customWidth="1"/>
    <col min="767" max="767" width="2.6640625" style="4" customWidth="1"/>
    <col min="768" max="768" width="2.44140625" style="4" customWidth="1"/>
    <col min="769" max="769" width="28.6640625" style="4" customWidth="1"/>
    <col min="770" max="1014" width="8.88671875" style="4"/>
    <col min="1015" max="1016" width="2.6640625" style="4" customWidth="1"/>
    <col min="1017" max="1017" width="7" style="4" customWidth="1"/>
    <col min="1018" max="1018" width="2.44140625" style="4" customWidth="1"/>
    <col min="1019" max="1019" width="5.6640625" style="4" customWidth="1"/>
    <col min="1020" max="1020" width="68.6640625" style="4" customWidth="1"/>
    <col min="1021" max="1021" width="2.6640625" style="4" customWidth="1"/>
    <col min="1022" max="1022" width="14.6640625" style="4" customWidth="1"/>
    <col min="1023" max="1023" width="2.6640625" style="4" customWidth="1"/>
    <col min="1024" max="1024" width="2.44140625" style="4" customWidth="1"/>
    <col min="1025" max="1025" width="28.6640625" style="4" customWidth="1"/>
    <col min="1026" max="1270" width="8.88671875" style="4"/>
    <col min="1271" max="1272" width="2.6640625" style="4" customWidth="1"/>
    <col min="1273" max="1273" width="7" style="4" customWidth="1"/>
    <col min="1274" max="1274" width="2.44140625" style="4" customWidth="1"/>
    <col min="1275" max="1275" width="5.6640625" style="4" customWidth="1"/>
    <col min="1276" max="1276" width="68.6640625" style="4" customWidth="1"/>
    <col min="1277" max="1277" width="2.6640625" style="4" customWidth="1"/>
    <col min="1278" max="1278" width="14.6640625" style="4" customWidth="1"/>
    <col min="1279" max="1279" width="2.6640625" style="4" customWidth="1"/>
    <col min="1280" max="1280" width="2.44140625" style="4" customWidth="1"/>
    <col min="1281" max="1281" width="28.6640625" style="4" customWidth="1"/>
    <col min="1282" max="1526" width="8.88671875" style="4"/>
    <col min="1527" max="1528" width="2.6640625" style="4" customWidth="1"/>
    <col min="1529" max="1529" width="7" style="4" customWidth="1"/>
    <col min="1530" max="1530" width="2.44140625" style="4" customWidth="1"/>
    <col min="1531" max="1531" width="5.6640625" style="4" customWidth="1"/>
    <col min="1532" max="1532" width="68.6640625" style="4" customWidth="1"/>
    <col min="1533" max="1533" width="2.6640625" style="4" customWidth="1"/>
    <col min="1534" max="1534" width="14.6640625" style="4" customWidth="1"/>
    <col min="1535" max="1535" width="2.6640625" style="4" customWidth="1"/>
    <col min="1536" max="1536" width="2.44140625" style="4" customWidth="1"/>
    <col min="1537" max="1537" width="28.6640625" style="4" customWidth="1"/>
    <col min="1538" max="1782" width="8.88671875" style="4"/>
    <col min="1783" max="1784" width="2.6640625" style="4" customWidth="1"/>
    <col min="1785" max="1785" width="7" style="4" customWidth="1"/>
    <col min="1786" max="1786" width="2.44140625" style="4" customWidth="1"/>
    <col min="1787" max="1787" width="5.6640625" style="4" customWidth="1"/>
    <col min="1788" max="1788" width="68.6640625" style="4" customWidth="1"/>
    <col min="1789" max="1789" width="2.6640625" style="4" customWidth="1"/>
    <col min="1790" max="1790" width="14.6640625" style="4" customWidth="1"/>
    <col min="1791" max="1791" width="2.6640625" style="4" customWidth="1"/>
    <col min="1792" max="1792" width="2.44140625" style="4" customWidth="1"/>
    <col min="1793" max="1793" width="28.6640625" style="4" customWidth="1"/>
    <col min="1794" max="2038" width="8.88671875" style="4"/>
    <col min="2039" max="2040" width="2.6640625" style="4" customWidth="1"/>
    <col min="2041" max="2041" width="7" style="4" customWidth="1"/>
    <col min="2042" max="2042" width="2.44140625" style="4" customWidth="1"/>
    <col min="2043" max="2043" width="5.6640625" style="4" customWidth="1"/>
    <col min="2044" max="2044" width="68.6640625" style="4" customWidth="1"/>
    <col min="2045" max="2045" width="2.6640625" style="4" customWidth="1"/>
    <col min="2046" max="2046" width="14.6640625" style="4" customWidth="1"/>
    <col min="2047" max="2047" width="2.6640625" style="4" customWidth="1"/>
    <col min="2048" max="2048" width="2.44140625" style="4" customWidth="1"/>
    <col min="2049" max="2049" width="28.6640625" style="4" customWidth="1"/>
    <col min="2050" max="2294" width="8.88671875" style="4"/>
    <col min="2295" max="2296" width="2.6640625" style="4" customWidth="1"/>
    <col min="2297" max="2297" width="7" style="4" customWidth="1"/>
    <col min="2298" max="2298" width="2.44140625" style="4" customWidth="1"/>
    <col min="2299" max="2299" width="5.6640625" style="4" customWidth="1"/>
    <col min="2300" max="2300" width="68.6640625" style="4" customWidth="1"/>
    <col min="2301" max="2301" width="2.6640625" style="4" customWidth="1"/>
    <col min="2302" max="2302" width="14.6640625" style="4" customWidth="1"/>
    <col min="2303" max="2303" width="2.6640625" style="4" customWidth="1"/>
    <col min="2304" max="2304" width="2.44140625" style="4" customWidth="1"/>
    <col min="2305" max="2305" width="28.6640625" style="4" customWidth="1"/>
    <col min="2306" max="2550" width="8.88671875" style="4"/>
    <col min="2551" max="2552" width="2.6640625" style="4" customWidth="1"/>
    <col min="2553" max="2553" width="7" style="4" customWidth="1"/>
    <col min="2554" max="2554" width="2.44140625" style="4" customWidth="1"/>
    <col min="2555" max="2555" width="5.6640625" style="4" customWidth="1"/>
    <col min="2556" max="2556" width="68.6640625" style="4" customWidth="1"/>
    <col min="2557" max="2557" width="2.6640625" style="4" customWidth="1"/>
    <col min="2558" max="2558" width="14.6640625" style="4" customWidth="1"/>
    <col min="2559" max="2559" width="2.6640625" style="4" customWidth="1"/>
    <col min="2560" max="2560" width="2.44140625" style="4" customWidth="1"/>
    <col min="2561" max="2561" width="28.6640625" style="4" customWidth="1"/>
    <col min="2562" max="2806" width="8.88671875" style="4"/>
    <col min="2807" max="2808" width="2.6640625" style="4" customWidth="1"/>
    <col min="2809" max="2809" width="7" style="4" customWidth="1"/>
    <col min="2810" max="2810" width="2.44140625" style="4" customWidth="1"/>
    <col min="2811" max="2811" width="5.6640625" style="4" customWidth="1"/>
    <col min="2812" max="2812" width="68.6640625" style="4" customWidth="1"/>
    <col min="2813" max="2813" width="2.6640625" style="4" customWidth="1"/>
    <col min="2814" max="2814" width="14.6640625" style="4" customWidth="1"/>
    <col min="2815" max="2815" width="2.6640625" style="4" customWidth="1"/>
    <col min="2816" max="2816" width="2.44140625" style="4" customWidth="1"/>
    <col min="2817" max="2817" width="28.6640625" style="4" customWidth="1"/>
    <col min="2818" max="3062" width="8.88671875" style="4"/>
    <col min="3063" max="3064" width="2.6640625" style="4" customWidth="1"/>
    <col min="3065" max="3065" width="7" style="4" customWidth="1"/>
    <col min="3066" max="3066" width="2.44140625" style="4" customWidth="1"/>
    <col min="3067" max="3067" width="5.6640625" style="4" customWidth="1"/>
    <col min="3068" max="3068" width="68.6640625" style="4" customWidth="1"/>
    <col min="3069" max="3069" width="2.6640625" style="4" customWidth="1"/>
    <col min="3070" max="3070" width="14.6640625" style="4" customWidth="1"/>
    <col min="3071" max="3071" width="2.6640625" style="4" customWidth="1"/>
    <col min="3072" max="3072" width="2.44140625" style="4" customWidth="1"/>
    <col min="3073" max="3073" width="28.6640625" style="4" customWidth="1"/>
    <col min="3074" max="3318" width="8.88671875" style="4"/>
    <col min="3319" max="3320" width="2.6640625" style="4" customWidth="1"/>
    <col min="3321" max="3321" width="7" style="4" customWidth="1"/>
    <col min="3322" max="3322" width="2.44140625" style="4" customWidth="1"/>
    <col min="3323" max="3323" width="5.6640625" style="4" customWidth="1"/>
    <col min="3324" max="3324" width="68.6640625" style="4" customWidth="1"/>
    <col min="3325" max="3325" width="2.6640625" style="4" customWidth="1"/>
    <col min="3326" max="3326" width="14.6640625" style="4" customWidth="1"/>
    <col min="3327" max="3327" width="2.6640625" style="4" customWidth="1"/>
    <col min="3328" max="3328" width="2.44140625" style="4" customWidth="1"/>
    <col min="3329" max="3329" width="28.6640625" style="4" customWidth="1"/>
    <col min="3330" max="3574" width="8.88671875" style="4"/>
    <col min="3575" max="3576" width="2.6640625" style="4" customWidth="1"/>
    <col min="3577" max="3577" width="7" style="4" customWidth="1"/>
    <col min="3578" max="3578" width="2.44140625" style="4" customWidth="1"/>
    <col min="3579" max="3579" width="5.6640625" style="4" customWidth="1"/>
    <col min="3580" max="3580" width="68.6640625" style="4" customWidth="1"/>
    <col min="3581" max="3581" width="2.6640625" style="4" customWidth="1"/>
    <col min="3582" max="3582" width="14.6640625" style="4" customWidth="1"/>
    <col min="3583" max="3583" width="2.6640625" style="4" customWidth="1"/>
    <col min="3584" max="3584" width="2.44140625" style="4" customWidth="1"/>
    <col min="3585" max="3585" width="28.6640625" style="4" customWidth="1"/>
    <col min="3586" max="3830" width="8.88671875" style="4"/>
    <col min="3831" max="3832" width="2.6640625" style="4" customWidth="1"/>
    <col min="3833" max="3833" width="7" style="4" customWidth="1"/>
    <col min="3834" max="3834" width="2.44140625" style="4" customWidth="1"/>
    <col min="3835" max="3835" width="5.6640625" style="4" customWidth="1"/>
    <col min="3836" max="3836" width="68.6640625" style="4" customWidth="1"/>
    <col min="3837" max="3837" width="2.6640625" style="4" customWidth="1"/>
    <col min="3838" max="3838" width="14.6640625" style="4" customWidth="1"/>
    <col min="3839" max="3839" width="2.6640625" style="4" customWidth="1"/>
    <col min="3840" max="3840" width="2.44140625" style="4" customWidth="1"/>
    <col min="3841" max="3841" width="28.6640625" style="4" customWidth="1"/>
    <col min="3842" max="4086" width="8.88671875" style="4"/>
    <col min="4087" max="4088" width="2.6640625" style="4" customWidth="1"/>
    <col min="4089" max="4089" width="7" style="4" customWidth="1"/>
    <col min="4090" max="4090" width="2.44140625" style="4" customWidth="1"/>
    <col min="4091" max="4091" width="5.6640625" style="4" customWidth="1"/>
    <col min="4092" max="4092" width="68.6640625" style="4" customWidth="1"/>
    <col min="4093" max="4093" width="2.6640625" style="4" customWidth="1"/>
    <col min="4094" max="4094" width="14.6640625" style="4" customWidth="1"/>
    <col min="4095" max="4095" width="2.6640625" style="4" customWidth="1"/>
    <col min="4096" max="4096" width="2.44140625" style="4" customWidth="1"/>
    <col min="4097" max="4097" width="28.6640625" style="4" customWidth="1"/>
    <col min="4098" max="4342" width="8.88671875" style="4"/>
    <col min="4343" max="4344" width="2.6640625" style="4" customWidth="1"/>
    <col min="4345" max="4345" width="7" style="4" customWidth="1"/>
    <col min="4346" max="4346" width="2.44140625" style="4" customWidth="1"/>
    <col min="4347" max="4347" width="5.6640625" style="4" customWidth="1"/>
    <col min="4348" max="4348" width="68.6640625" style="4" customWidth="1"/>
    <col min="4349" max="4349" width="2.6640625" style="4" customWidth="1"/>
    <col min="4350" max="4350" width="14.6640625" style="4" customWidth="1"/>
    <col min="4351" max="4351" width="2.6640625" style="4" customWidth="1"/>
    <col min="4352" max="4352" width="2.44140625" style="4" customWidth="1"/>
    <col min="4353" max="4353" width="28.6640625" style="4" customWidth="1"/>
    <col min="4354" max="4598" width="8.88671875" style="4"/>
    <col min="4599" max="4600" width="2.6640625" style="4" customWidth="1"/>
    <col min="4601" max="4601" width="7" style="4" customWidth="1"/>
    <col min="4602" max="4602" width="2.44140625" style="4" customWidth="1"/>
    <col min="4603" max="4603" width="5.6640625" style="4" customWidth="1"/>
    <col min="4604" max="4604" width="68.6640625" style="4" customWidth="1"/>
    <col min="4605" max="4605" width="2.6640625" style="4" customWidth="1"/>
    <col min="4606" max="4606" width="14.6640625" style="4" customWidth="1"/>
    <col min="4607" max="4607" width="2.6640625" style="4" customWidth="1"/>
    <col min="4608" max="4608" width="2.44140625" style="4" customWidth="1"/>
    <col min="4609" max="4609" width="28.6640625" style="4" customWidth="1"/>
    <col min="4610" max="4854" width="8.88671875" style="4"/>
    <col min="4855" max="4856" width="2.6640625" style="4" customWidth="1"/>
    <col min="4857" max="4857" width="7" style="4" customWidth="1"/>
    <col min="4858" max="4858" width="2.44140625" style="4" customWidth="1"/>
    <col min="4859" max="4859" width="5.6640625" style="4" customWidth="1"/>
    <col min="4860" max="4860" width="68.6640625" style="4" customWidth="1"/>
    <col min="4861" max="4861" width="2.6640625" style="4" customWidth="1"/>
    <col min="4862" max="4862" width="14.6640625" style="4" customWidth="1"/>
    <col min="4863" max="4863" width="2.6640625" style="4" customWidth="1"/>
    <col min="4864" max="4864" width="2.44140625" style="4" customWidth="1"/>
    <col min="4865" max="4865" width="28.6640625" style="4" customWidth="1"/>
    <col min="4866" max="5110" width="8.88671875" style="4"/>
    <col min="5111" max="5112" width="2.6640625" style="4" customWidth="1"/>
    <col min="5113" max="5113" width="7" style="4" customWidth="1"/>
    <col min="5114" max="5114" width="2.44140625" style="4" customWidth="1"/>
    <col min="5115" max="5115" width="5.6640625" style="4" customWidth="1"/>
    <col min="5116" max="5116" width="68.6640625" style="4" customWidth="1"/>
    <col min="5117" max="5117" width="2.6640625" style="4" customWidth="1"/>
    <col min="5118" max="5118" width="14.6640625" style="4" customWidth="1"/>
    <col min="5119" max="5119" width="2.6640625" style="4" customWidth="1"/>
    <col min="5120" max="5120" width="2.44140625" style="4" customWidth="1"/>
    <col min="5121" max="5121" width="28.6640625" style="4" customWidth="1"/>
    <col min="5122" max="5366" width="8.88671875" style="4"/>
    <col min="5367" max="5368" width="2.6640625" style="4" customWidth="1"/>
    <col min="5369" max="5369" width="7" style="4" customWidth="1"/>
    <col min="5370" max="5370" width="2.44140625" style="4" customWidth="1"/>
    <col min="5371" max="5371" width="5.6640625" style="4" customWidth="1"/>
    <col min="5372" max="5372" width="68.6640625" style="4" customWidth="1"/>
    <col min="5373" max="5373" width="2.6640625" style="4" customWidth="1"/>
    <col min="5374" max="5374" width="14.6640625" style="4" customWidth="1"/>
    <col min="5375" max="5375" width="2.6640625" style="4" customWidth="1"/>
    <col min="5376" max="5376" width="2.44140625" style="4" customWidth="1"/>
    <col min="5377" max="5377" width="28.6640625" style="4" customWidth="1"/>
    <col min="5378" max="5622" width="8.88671875" style="4"/>
    <col min="5623" max="5624" width="2.6640625" style="4" customWidth="1"/>
    <col min="5625" max="5625" width="7" style="4" customWidth="1"/>
    <col min="5626" max="5626" width="2.44140625" style="4" customWidth="1"/>
    <col min="5627" max="5627" width="5.6640625" style="4" customWidth="1"/>
    <col min="5628" max="5628" width="68.6640625" style="4" customWidth="1"/>
    <col min="5629" max="5629" width="2.6640625" style="4" customWidth="1"/>
    <col min="5630" max="5630" width="14.6640625" style="4" customWidth="1"/>
    <col min="5631" max="5631" width="2.6640625" style="4" customWidth="1"/>
    <col min="5632" max="5632" width="2.44140625" style="4" customWidth="1"/>
    <col min="5633" max="5633" width="28.6640625" style="4" customWidth="1"/>
    <col min="5634" max="5878" width="8.88671875" style="4"/>
    <col min="5879" max="5880" width="2.6640625" style="4" customWidth="1"/>
    <col min="5881" max="5881" width="7" style="4" customWidth="1"/>
    <col min="5882" max="5882" width="2.44140625" style="4" customWidth="1"/>
    <col min="5883" max="5883" width="5.6640625" style="4" customWidth="1"/>
    <col min="5884" max="5884" width="68.6640625" style="4" customWidth="1"/>
    <col min="5885" max="5885" width="2.6640625" style="4" customWidth="1"/>
    <col min="5886" max="5886" width="14.6640625" style="4" customWidth="1"/>
    <col min="5887" max="5887" width="2.6640625" style="4" customWidth="1"/>
    <col min="5888" max="5888" width="2.44140625" style="4" customWidth="1"/>
    <col min="5889" max="5889" width="28.6640625" style="4" customWidth="1"/>
    <col min="5890" max="6134" width="8.88671875" style="4"/>
    <col min="6135" max="6136" width="2.6640625" style="4" customWidth="1"/>
    <col min="6137" max="6137" width="7" style="4" customWidth="1"/>
    <col min="6138" max="6138" width="2.44140625" style="4" customWidth="1"/>
    <col min="6139" max="6139" width="5.6640625" style="4" customWidth="1"/>
    <col min="6140" max="6140" width="68.6640625" style="4" customWidth="1"/>
    <col min="6141" max="6141" width="2.6640625" style="4" customWidth="1"/>
    <col min="6142" max="6142" width="14.6640625" style="4" customWidth="1"/>
    <col min="6143" max="6143" width="2.6640625" style="4" customWidth="1"/>
    <col min="6144" max="6144" width="2.44140625" style="4" customWidth="1"/>
    <col min="6145" max="6145" width="28.6640625" style="4" customWidth="1"/>
    <col min="6146" max="6390" width="8.88671875" style="4"/>
    <col min="6391" max="6392" width="2.6640625" style="4" customWidth="1"/>
    <col min="6393" max="6393" width="7" style="4" customWidth="1"/>
    <col min="6394" max="6394" width="2.44140625" style="4" customWidth="1"/>
    <col min="6395" max="6395" width="5.6640625" style="4" customWidth="1"/>
    <col min="6396" max="6396" width="68.6640625" style="4" customWidth="1"/>
    <col min="6397" max="6397" width="2.6640625" style="4" customWidth="1"/>
    <col min="6398" max="6398" width="14.6640625" style="4" customWidth="1"/>
    <col min="6399" max="6399" width="2.6640625" style="4" customWidth="1"/>
    <col min="6400" max="6400" width="2.44140625" style="4" customWidth="1"/>
    <col min="6401" max="6401" width="28.6640625" style="4" customWidth="1"/>
    <col min="6402" max="6646" width="8.88671875" style="4"/>
    <col min="6647" max="6648" width="2.6640625" style="4" customWidth="1"/>
    <col min="6649" max="6649" width="7" style="4" customWidth="1"/>
    <col min="6650" max="6650" width="2.44140625" style="4" customWidth="1"/>
    <col min="6651" max="6651" width="5.6640625" style="4" customWidth="1"/>
    <col min="6652" max="6652" width="68.6640625" style="4" customWidth="1"/>
    <col min="6653" max="6653" width="2.6640625" style="4" customWidth="1"/>
    <col min="6654" max="6654" width="14.6640625" style="4" customWidth="1"/>
    <col min="6655" max="6655" width="2.6640625" style="4" customWidth="1"/>
    <col min="6656" max="6656" width="2.44140625" style="4" customWidth="1"/>
    <col min="6657" max="6657" width="28.6640625" style="4" customWidth="1"/>
    <col min="6658" max="6902" width="8.88671875" style="4"/>
    <col min="6903" max="6904" width="2.6640625" style="4" customWidth="1"/>
    <col min="6905" max="6905" width="7" style="4" customWidth="1"/>
    <col min="6906" max="6906" width="2.44140625" style="4" customWidth="1"/>
    <col min="6907" max="6907" width="5.6640625" style="4" customWidth="1"/>
    <col min="6908" max="6908" width="68.6640625" style="4" customWidth="1"/>
    <col min="6909" max="6909" width="2.6640625" style="4" customWidth="1"/>
    <col min="6910" max="6910" width="14.6640625" style="4" customWidth="1"/>
    <col min="6911" max="6911" width="2.6640625" style="4" customWidth="1"/>
    <col min="6912" max="6912" width="2.44140625" style="4" customWidth="1"/>
    <col min="6913" max="6913" width="28.6640625" style="4" customWidth="1"/>
    <col min="6914" max="7158" width="8.88671875" style="4"/>
    <col min="7159" max="7160" width="2.6640625" style="4" customWidth="1"/>
    <col min="7161" max="7161" width="7" style="4" customWidth="1"/>
    <col min="7162" max="7162" width="2.44140625" style="4" customWidth="1"/>
    <col min="7163" max="7163" width="5.6640625" style="4" customWidth="1"/>
    <col min="7164" max="7164" width="68.6640625" style="4" customWidth="1"/>
    <col min="7165" max="7165" width="2.6640625" style="4" customWidth="1"/>
    <col min="7166" max="7166" width="14.6640625" style="4" customWidth="1"/>
    <col min="7167" max="7167" width="2.6640625" style="4" customWidth="1"/>
    <col min="7168" max="7168" width="2.44140625" style="4" customWidth="1"/>
    <col min="7169" max="7169" width="28.6640625" style="4" customWidth="1"/>
    <col min="7170" max="7414" width="8.88671875" style="4"/>
    <col min="7415" max="7416" width="2.6640625" style="4" customWidth="1"/>
    <col min="7417" max="7417" width="7" style="4" customWidth="1"/>
    <col min="7418" max="7418" width="2.44140625" style="4" customWidth="1"/>
    <col min="7419" max="7419" width="5.6640625" style="4" customWidth="1"/>
    <col min="7420" max="7420" width="68.6640625" style="4" customWidth="1"/>
    <col min="7421" max="7421" width="2.6640625" style="4" customWidth="1"/>
    <col min="7422" max="7422" width="14.6640625" style="4" customWidth="1"/>
    <col min="7423" max="7423" width="2.6640625" style="4" customWidth="1"/>
    <col min="7424" max="7424" width="2.44140625" style="4" customWidth="1"/>
    <col min="7425" max="7425" width="28.6640625" style="4" customWidth="1"/>
    <col min="7426" max="7670" width="8.88671875" style="4"/>
    <col min="7671" max="7672" width="2.6640625" style="4" customWidth="1"/>
    <col min="7673" max="7673" width="7" style="4" customWidth="1"/>
    <col min="7674" max="7674" width="2.44140625" style="4" customWidth="1"/>
    <col min="7675" max="7675" width="5.6640625" style="4" customWidth="1"/>
    <col min="7676" max="7676" width="68.6640625" style="4" customWidth="1"/>
    <col min="7677" max="7677" width="2.6640625" style="4" customWidth="1"/>
    <col min="7678" max="7678" width="14.6640625" style="4" customWidth="1"/>
    <col min="7679" max="7679" width="2.6640625" style="4" customWidth="1"/>
    <col min="7680" max="7680" width="2.44140625" style="4" customWidth="1"/>
    <col min="7681" max="7681" width="28.6640625" style="4" customWidth="1"/>
    <col min="7682" max="7926" width="8.88671875" style="4"/>
    <col min="7927" max="7928" width="2.6640625" style="4" customWidth="1"/>
    <col min="7929" max="7929" width="7" style="4" customWidth="1"/>
    <col min="7930" max="7930" width="2.44140625" style="4" customWidth="1"/>
    <col min="7931" max="7931" width="5.6640625" style="4" customWidth="1"/>
    <col min="7932" max="7932" width="68.6640625" style="4" customWidth="1"/>
    <col min="7933" max="7933" width="2.6640625" style="4" customWidth="1"/>
    <col min="7934" max="7934" width="14.6640625" style="4" customWidth="1"/>
    <col min="7935" max="7935" width="2.6640625" style="4" customWidth="1"/>
    <col min="7936" max="7936" width="2.44140625" style="4" customWidth="1"/>
    <col min="7937" max="7937" width="28.6640625" style="4" customWidth="1"/>
    <col min="7938" max="8182" width="8.88671875" style="4"/>
    <col min="8183" max="8184" width="2.6640625" style="4" customWidth="1"/>
    <col min="8185" max="8185" width="7" style="4" customWidth="1"/>
    <col min="8186" max="8186" width="2.44140625" style="4" customWidth="1"/>
    <col min="8187" max="8187" width="5.6640625" style="4" customWidth="1"/>
    <col min="8188" max="8188" width="68.6640625" style="4" customWidth="1"/>
    <col min="8189" max="8189" width="2.6640625" style="4" customWidth="1"/>
    <col min="8190" max="8190" width="14.6640625" style="4" customWidth="1"/>
    <col min="8191" max="8191" width="2.6640625" style="4" customWidth="1"/>
    <col min="8192" max="8192" width="2.44140625" style="4" customWidth="1"/>
    <col min="8193" max="8193" width="28.6640625" style="4" customWidth="1"/>
    <col min="8194" max="8438" width="8.88671875" style="4"/>
    <col min="8439" max="8440" width="2.6640625" style="4" customWidth="1"/>
    <col min="8441" max="8441" width="7" style="4" customWidth="1"/>
    <col min="8442" max="8442" width="2.44140625" style="4" customWidth="1"/>
    <col min="8443" max="8443" width="5.6640625" style="4" customWidth="1"/>
    <col min="8444" max="8444" width="68.6640625" style="4" customWidth="1"/>
    <col min="8445" max="8445" width="2.6640625" style="4" customWidth="1"/>
    <col min="8446" max="8446" width="14.6640625" style="4" customWidth="1"/>
    <col min="8447" max="8447" width="2.6640625" style="4" customWidth="1"/>
    <col min="8448" max="8448" width="2.44140625" style="4" customWidth="1"/>
    <col min="8449" max="8449" width="28.6640625" style="4" customWidth="1"/>
    <col min="8450" max="8694" width="8.88671875" style="4"/>
    <col min="8695" max="8696" width="2.6640625" style="4" customWidth="1"/>
    <col min="8697" max="8697" width="7" style="4" customWidth="1"/>
    <col min="8698" max="8698" width="2.44140625" style="4" customWidth="1"/>
    <col min="8699" max="8699" width="5.6640625" style="4" customWidth="1"/>
    <col min="8700" max="8700" width="68.6640625" style="4" customWidth="1"/>
    <col min="8701" max="8701" width="2.6640625" style="4" customWidth="1"/>
    <col min="8702" max="8702" width="14.6640625" style="4" customWidth="1"/>
    <col min="8703" max="8703" width="2.6640625" style="4" customWidth="1"/>
    <col min="8704" max="8704" width="2.44140625" style="4" customWidth="1"/>
    <col min="8705" max="8705" width="28.6640625" style="4" customWidth="1"/>
    <col min="8706" max="8950" width="8.88671875" style="4"/>
    <col min="8951" max="8952" width="2.6640625" style="4" customWidth="1"/>
    <col min="8953" max="8953" width="7" style="4" customWidth="1"/>
    <col min="8954" max="8954" width="2.44140625" style="4" customWidth="1"/>
    <col min="8955" max="8955" width="5.6640625" style="4" customWidth="1"/>
    <col min="8956" max="8956" width="68.6640625" style="4" customWidth="1"/>
    <col min="8957" max="8957" width="2.6640625" style="4" customWidth="1"/>
    <col min="8958" max="8958" width="14.6640625" style="4" customWidth="1"/>
    <col min="8959" max="8959" width="2.6640625" style="4" customWidth="1"/>
    <col min="8960" max="8960" width="2.44140625" style="4" customWidth="1"/>
    <col min="8961" max="8961" width="28.6640625" style="4" customWidth="1"/>
    <col min="8962" max="9206" width="8.88671875" style="4"/>
    <col min="9207" max="9208" width="2.6640625" style="4" customWidth="1"/>
    <col min="9209" max="9209" width="7" style="4" customWidth="1"/>
    <col min="9210" max="9210" width="2.44140625" style="4" customWidth="1"/>
    <col min="9211" max="9211" width="5.6640625" style="4" customWidth="1"/>
    <col min="9212" max="9212" width="68.6640625" style="4" customWidth="1"/>
    <col min="9213" max="9213" width="2.6640625" style="4" customWidth="1"/>
    <col min="9214" max="9214" width="14.6640625" style="4" customWidth="1"/>
    <col min="9215" max="9215" width="2.6640625" style="4" customWidth="1"/>
    <col min="9216" max="9216" width="2.44140625" style="4" customWidth="1"/>
    <col min="9217" max="9217" width="28.6640625" style="4" customWidth="1"/>
    <col min="9218" max="9462" width="8.88671875" style="4"/>
    <col min="9463" max="9464" width="2.6640625" style="4" customWidth="1"/>
    <col min="9465" max="9465" width="7" style="4" customWidth="1"/>
    <col min="9466" max="9466" width="2.44140625" style="4" customWidth="1"/>
    <col min="9467" max="9467" width="5.6640625" style="4" customWidth="1"/>
    <col min="9468" max="9468" width="68.6640625" style="4" customWidth="1"/>
    <col min="9469" max="9469" width="2.6640625" style="4" customWidth="1"/>
    <col min="9470" max="9470" width="14.6640625" style="4" customWidth="1"/>
    <col min="9471" max="9471" width="2.6640625" style="4" customWidth="1"/>
    <col min="9472" max="9472" width="2.44140625" style="4" customWidth="1"/>
    <col min="9473" max="9473" width="28.6640625" style="4" customWidth="1"/>
    <col min="9474" max="9718" width="8.88671875" style="4"/>
    <col min="9719" max="9720" width="2.6640625" style="4" customWidth="1"/>
    <col min="9721" max="9721" width="7" style="4" customWidth="1"/>
    <col min="9722" max="9722" width="2.44140625" style="4" customWidth="1"/>
    <col min="9723" max="9723" width="5.6640625" style="4" customWidth="1"/>
    <col min="9724" max="9724" width="68.6640625" style="4" customWidth="1"/>
    <col min="9725" max="9725" width="2.6640625" style="4" customWidth="1"/>
    <col min="9726" max="9726" width="14.6640625" style="4" customWidth="1"/>
    <col min="9727" max="9727" width="2.6640625" style="4" customWidth="1"/>
    <col min="9728" max="9728" width="2.44140625" style="4" customWidth="1"/>
    <col min="9729" max="9729" width="28.6640625" style="4" customWidth="1"/>
    <col min="9730" max="9974" width="8.88671875" style="4"/>
    <col min="9975" max="9976" width="2.6640625" style="4" customWidth="1"/>
    <col min="9977" max="9977" width="7" style="4" customWidth="1"/>
    <col min="9978" max="9978" width="2.44140625" style="4" customWidth="1"/>
    <col min="9979" max="9979" width="5.6640625" style="4" customWidth="1"/>
    <col min="9980" max="9980" width="68.6640625" style="4" customWidth="1"/>
    <col min="9981" max="9981" width="2.6640625" style="4" customWidth="1"/>
    <col min="9982" max="9982" width="14.6640625" style="4" customWidth="1"/>
    <col min="9983" max="9983" width="2.6640625" style="4" customWidth="1"/>
    <col min="9984" max="9984" width="2.44140625" style="4" customWidth="1"/>
    <col min="9985" max="9985" width="28.6640625" style="4" customWidth="1"/>
    <col min="9986" max="10230" width="8.88671875" style="4"/>
    <col min="10231" max="10232" width="2.6640625" style="4" customWidth="1"/>
    <col min="10233" max="10233" width="7" style="4" customWidth="1"/>
    <col min="10234" max="10234" width="2.44140625" style="4" customWidth="1"/>
    <col min="10235" max="10235" width="5.6640625" style="4" customWidth="1"/>
    <col min="10236" max="10236" width="68.6640625" style="4" customWidth="1"/>
    <col min="10237" max="10237" width="2.6640625" style="4" customWidth="1"/>
    <col min="10238" max="10238" width="14.6640625" style="4" customWidth="1"/>
    <col min="10239" max="10239" width="2.6640625" style="4" customWidth="1"/>
    <col min="10240" max="10240" width="2.44140625" style="4" customWidth="1"/>
    <col min="10241" max="10241" width="28.6640625" style="4" customWidth="1"/>
    <col min="10242" max="10486" width="8.88671875" style="4"/>
    <col min="10487" max="10488" width="2.6640625" style="4" customWidth="1"/>
    <col min="10489" max="10489" width="7" style="4" customWidth="1"/>
    <col min="10490" max="10490" width="2.44140625" style="4" customWidth="1"/>
    <col min="10491" max="10491" width="5.6640625" style="4" customWidth="1"/>
    <col min="10492" max="10492" width="68.6640625" style="4" customWidth="1"/>
    <col min="10493" max="10493" width="2.6640625" style="4" customWidth="1"/>
    <col min="10494" max="10494" width="14.6640625" style="4" customWidth="1"/>
    <col min="10495" max="10495" width="2.6640625" style="4" customWidth="1"/>
    <col min="10496" max="10496" width="2.44140625" style="4" customWidth="1"/>
    <col min="10497" max="10497" width="28.6640625" style="4" customWidth="1"/>
    <col min="10498" max="10742" width="8.88671875" style="4"/>
    <col min="10743" max="10744" width="2.6640625" style="4" customWidth="1"/>
    <col min="10745" max="10745" width="7" style="4" customWidth="1"/>
    <col min="10746" max="10746" width="2.44140625" style="4" customWidth="1"/>
    <col min="10747" max="10747" width="5.6640625" style="4" customWidth="1"/>
    <col min="10748" max="10748" width="68.6640625" style="4" customWidth="1"/>
    <col min="10749" max="10749" width="2.6640625" style="4" customWidth="1"/>
    <col min="10750" max="10750" width="14.6640625" style="4" customWidth="1"/>
    <col min="10751" max="10751" width="2.6640625" style="4" customWidth="1"/>
    <col min="10752" max="10752" width="2.44140625" style="4" customWidth="1"/>
    <col min="10753" max="10753" width="28.6640625" style="4" customWidth="1"/>
    <col min="10754" max="10998" width="8.88671875" style="4"/>
    <col min="10999" max="11000" width="2.6640625" style="4" customWidth="1"/>
    <col min="11001" max="11001" width="7" style="4" customWidth="1"/>
    <col min="11002" max="11002" width="2.44140625" style="4" customWidth="1"/>
    <col min="11003" max="11003" width="5.6640625" style="4" customWidth="1"/>
    <col min="11004" max="11004" width="68.6640625" style="4" customWidth="1"/>
    <col min="11005" max="11005" width="2.6640625" style="4" customWidth="1"/>
    <col min="11006" max="11006" width="14.6640625" style="4" customWidth="1"/>
    <col min="11007" max="11007" width="2.6640625" style="4" customWidth="1"/>
    <col min="11008" max="11008" width="2.44140625" style="4" customWidth="1"/>
    <col min="11009" max="11009" width="28.6640625" style="4" customWidth="1"/>
    <col min="11010" max="11254" width="8.88671875" style="4"/>
    <col min="11255" max="11256" width="2.6640625" style="4" customWidth="1"/>
    <col min="11257" max="11257" width="7" style="4" customWidth="1"/>
    <col min="11258" max="11258" width="2.44140625" style="4" customWidth="1"/>
    <col min="11259" max="11259" width="5.6640625" style="4" customWidth="1"/>
    <col min="11260" max="11260" width="68.6640625" style="4" customWidth="1"/>
    <col min="11261" max="11261" width="2.6640625" style="4" customWidth="1"/>
    <col min="11262" max="11262" width="14.6640625" style="4" customWidth="1"/>
    <col min="11263" max="11263" width="2.6640625" style="4" customWidth="1"/>
    <col min="11264" max="11264" width="2.44140625" style="4" customWidth="1"/>
    <col min="11265" max="11265" width="28.6640625" style="4" customWidth="1"/>
    <col min="11266" max="11510" width="8.88671875" style="4"/>
    <col min="11511" max="11512" width="2.6640625" style="4" customWidth="1"/>
    <col min="11513" max="11513" width="7" style="4" customWidth="1"/>
    <col min="11514" max="11514" width="2.44140625" style="4" customWidth="1"/>
    <col min="11515" max="11515" width="5.6640625" style="4" customWidth="1"/>
    <col min="11516" max="11516" width="68.6640625" style="4" customWidth="1"/>
    <col min="11517" max="11517" width="2.6640625" style="4" customWidth="1"/>
    <col min="11518" max="11518" width="14.6640625" style="4" customWidth="1"/>
    <col min="11519" max="11519" width="2.6640625" style="4" customWidth="1"/>
    <col min="11520" max="11520" width="2.44140625" style="4" customWidth="1"/>
    <col min="11521" max="11521" width="28.6640625" style="4" customWidth="1"/>
    <col min="11522" max="11766" width="8.88671875" style="4"/>
    <col min="11767" max="11768" width="2.6640625" style="4" customWidth="1"/>
    <col min="11769" max="11769" width="7" style="4" customWidth="1"/>
    <col min="11770" max="11770" width="2.44140625" style="4" customWidth="1"/>
    <col min="11771" max="11771" width="5.6640625" style="4" customWidth="1"/>
    <col min="11772" max="11772" width="68.6640625" style="4" customWidth="1"/>
    <col min="11773" max="11773" width="2.6640625" style="4" customWidth="1"/>
    <col min="11774" max="11774" width="14.6640625" style="4" customWidth="1"/>
    <col min="11775" max="11775" width="2.6640625" style="4" customWidth="1"/>
    <col min="11776" max="11776" width="2.44140625" style="4" customWidth="1"/>
    <col min="11777" max="11777" width="28.6640625" style="4" customWidth="1"/>
    <col min="11778" max="12022" width="8.88671875" style="4"/>
    <col min="12023" max="12024" width="2.6640625" style="4" customWidth="1"/>
    <col min="12025" max="12025" width="7" style="4" customWidth="1"/>
    <col min="12026" max="12026" width="2.44140625" style="4" customWidth="1"/>
    <col min="12027" max="12027" width="5.6640625" style="4" customWidth="1"/>
    <col min="12028" max="12028" width="68.6640625" style="4" customWidth="1"/>
    <col min="12029" max="12029" width="2.6640625" style="4" customWidth="1"/>
    <col min="12030" max="12030" width="14.6640625" style="4" customWidth="1"/>
    <col min="12031" max="12031" width="2.6640625" style="4" customWidth="1"/>
    <col min="12032" max="12032" width="2.44140625" style="4" customWidth="1"/>
    <col min="12033" max="12033" width="28.6640625" style="4" customWidth="1"/>
    <col min="12034" max="12278" width="8.88671875" style="4"/>
    <col min="12279" max="12280" width="2.6640625" style="4" customWidth="1"/>
    <col min="12281" max="12281" width="7" style="4" customWidth="1"/>
    <col min="12282" max="12282" width="2.44140625" style="4" customWidth="1"/>
    <col min="12283" max="12283" width="5.6640625" style="4" customWidth="1"/>
    <col min="12284" max="12284" width="68.6640625" style="4" customWidth="1"/>
    <col min="12285" max="12285" width="2.6640625" style="4" customWidth="1"/>
    <col min="12286" max="12286" width="14.6640625" style="4" customWidth="1"/>
    <col min="12287" max="12287" width="2.6640625" style="4" customWidth="1"/>
    <col min="12288" max="12288" width="2.44140625" style="4" customWidth="1"/>
    <col min="12289" max="12289" width="28.6640625" style="4" customWidth="1"/>
    <col min="12290" max="12534" width="8.88671875" style="4"/>
    <col min="12535" max="12536" width="2.6640625" style="4" customWidth="1"/>
    <col min="12537" max="12537" width="7" style="4" customWidth="1"/>
    <col min="12538" max="12538" width="2.44140625" style="4" customWidth="1"/>
    <col min="12539" max="12539" width="5.6640625" style="4" customWidth="1"/>
    <col min="12540" max="12540" width="68.6640625" style="4" customWidth="1"/>
    <col min="12541" max="12541" width="2.6640625" style="4" customWidth="1"/>
    <col min="12542" max="12542" width="14.6640625" style="4" customWidth="1"/>
    <col min="12543" max="12543" width="2.6640625" style="4" customWidth="1"/>
    <col min="12544" max="12544" width="2.44140625" style="4" customWidth="1"/>
    <col min="12545" max="12545" width="28.6640625" style="4" customWidth="1"/>
    <col min="12546" max="12790" width="8.88671875" style="4"/>
    <col min="12791" max="12792" width="2.6640625" style="4" customWidth="1"/>
    <col min="12793" max="12793" width="7" style="4" customWidth="1"/>
    <col min="12794" max="12794" width="2.44140625" style="4" customWidth="1"/>
    <col min="12795" max="12795" width="5.6640625" style="4" customWidth="1"/>
    <col min="12796" max="12796" width="68.6640625" style="4" customWidth="1"/>
    <col min="12797" max="12797" width="2.6640625" style="4" customWidth="1"/>
    <col min="12798" max="12798" width="14.6640625" style="4" customWidth="1"/>
    <col min="12799" max="12799" width="2.6640625" style="4" customWidth="1"/>
    <col min="12800" max="12800" width="2.44140625" style="4" customWidth="1"/>
    <col min="12801" max="12801" width="28.6640625" style="4" customWidth="1"/>
    <col min="12802" max="13046" width="8.88671875" style="4"/>
    <col min="13047" max="13048" width="2.6640625" style="4" customWidth="1"/>
    <col min="13049" max="13049" width="7" style="4" customWidth="1"/>
    <col min="13050" max="13050" width="2.44140625" style="4" customWidth="1"/>
    <col min="13051" max="13051" width="5.6640625" style="4" customWidth="1"/>
    <col min="13052" max="13052" width="68.6640625" style="4" customWidth="1"/>
    <col min="13053" max="13053" width="2.6640625" style="4" customWidth="1"/>
    <col min="13054" max="13054" width="14.6640625" style="4" customWidth="1"/>
    <col min="13055" max="13055" width="2.6640625" style="4" customWidth="1"/>
    <col min="13056" max="13056" width="2.44140625" style="4" customWidth="1"/>
    <col min="13057" max="13057" width="28.6640625" style="4" customWidth="1"/>
    <col min="13058" max="13302" width="8.88671875" style="4"/>
    <col min="13303" max="13304" width="2.6640625" style="4" customWidth="1"/>
    <col min="13305" max="13305" width="7" style="4" customWidth="1"/>
    <col min="13306" max="13306" width="2.44140625" style="4" customWidth="1"/>
    <col min="13307" max="13307" width="5.6640625" style="4" customWidth="1"/>
    <col min="13308" max="13308" width="68.6640625" style="4" customWidth="1"/>
    <col min="13309" max="13309" width="2.6640625" style="4" customWidth="1"/>
    <col min="13310" max="13310" width="14.6640625" style="4" customWidth="1"/>
    <col min="13311" max="13311" width="2.6640625" style="4" customWidth="1"/>
    <col min="13312" max="13312" width="2.44140625" style="4" customWidth="1"/>
    <col min="13313" max="13313" width="28.6640625" style="4" customWidth="1"/>
    <col min="13314" max="13558" width="8.88671875" style="4"/>
    <col min="13559" max="13560" width="2.6640625" style="4" customWidth="1"/>
    <col min="13561" max="13561" width="7" style="4" customWidth="1"/>
    <col min="13562" max="13562" width="2.44140625" style="4" customWidth="1"/>
    <col min="13563" max="13563" width="5.6640625" style="4" customWidth="1"/>
    <col min="13564" max="13564" width="68.6640625" style="4" customWidth="1"/>
    <col min="13565" max="13565" width="2.6640625" style="4" customWidth="1"/>
    <col min="13566" max="13566" width="14.6640625" style="4" customWidth="1"/>
    <col min="13567" max="13567" width="2.6640625" style="4" customWidth="1"/>
    <col min="13568" max="13568" width="2.44140625" style="4" customWidth="1"/>
    <col min="13569" max="13569" width="28.6640625" style="4" customWidth="1"/>
    <col min="13570" max="13814" width="8.88671875" style="4"/>
    <col min="13815" max="13816" width="2.6640625" style="4" customWidth="1"/>
    <col min="13817" max="13817" width="7" style="4" customWidth="1"/>
    <col min="13818" max="13818" width="2.44140625" style="4" customWidth="1"/>
    <col min="13819" max="13819" width="5.6640625" style="4" customWidth="1"/>
    <col min="13820" max="13820" width="68.6640625" style="4" customWidth="1"/>
    <col min="13821" max="13821" width="2.6640625" style="4" customWidth="1"/>
    <col min="13822" max="13822" width="14.6640625" style="4" customWidth="1"/>
    <col min="13823" max="13823" width="2.6640625" style="4" customWidth="1"/>
    <col min="13824" max="13824" width="2.44140625" style="4" customWidth="1"/>
    <col min="13825" max="13825" width="28.6640625" style="4" customWidth="1"/>
    <col min="13826" max="14070" width="8.88671875" style="4"/>
    <col min="14071" max="14072" width="2.6640625" style="4" customWidth="1"/>
    <col min="14073" max="14073" width="7" style="4" customWidth="1"/>
    <col min="14074" max="14074" width="2.44140625" style="4" customWidth="1"/>
    <col min="14075" max="14075" width="5.6640625" style="4" customWidth="1"/>
    <col min="14076" max="14076" width="68.6640625" style="4" customWidth="1"/>
    <col min="14077" max="14077" width="2.6640625" style="4" customWidth="1"/>
    <col min="14078" max="14078" width="14.6640625" style="4" customWidth="1"/>
    <col min="14079" max="14079" width="2.6640625" style="4" customWidth="1"/>
    <col min="14080" max="14080" width="2.44140625" style="4" customWidth="1"/>
    <col min="14081" max="14081" width="28.6640625" style="4" customWidth="1"/>
    <col min="14082" max="14326" width="8.88671875" style="4"/>
    <col min="14327" max="14328" width="2.6640625" style="4" customWidth="1"/>
    <col min="14329" max="14329" width="7" style="4" customWidth="1"/>
    <col min="14330" max="14330" width="2.44140625" style="4" customWidth="1"/>
    <col min="14331" max="14331" width="5.6640625" style="4" customWidth="1"/>
    <col min="14332" max="14332" width="68.6640625" style="4" customWidth="1"/>
    <col min="14333" max="14333" width="2.6640625" style="4" customWidth="1"/>
    <col min="14334" max="14334" width="14.6640625" style="4" customWidth="1"/>
    <col min="14335" max="14335" width="2.6640625" style="4" customWidth="1"/>
    <col min="14336" max="14336" width="2.44140625" style="4" customWidth="1"/>
    <col min="14337" max="14337" width="28.6640625" style="4" customWidth="1"/>
    <col min="14338" max="14582" width="8.88671875" style="4"/>
    <col min="14583" max="14584" width="2.6640625" style="4" customWidth="1"/>
    <col min="14585" max="14585" width="7" style="4" customWidth="1"/>
    <col min="14586" max="14586" width="2.44140625" style="4" customWidth="1"/>
    <col min="14587" max="14587" width="5.6640625" style="4" customWidth="1"/>
    <col min="14588" max="14588" width="68.6640625" style="4" customWidth="1"/>
    <col min="14589" max="14589" width="2.6640625" style="4" customWidth="1"/>
    <col min="14590" max="14590" width="14.6640625" style="4" customWidth="1"/>
    <col min="14591" max="14591" width="2.6640625" style="4" customWidth="1"/>
    <col min="14592" max="14592" width="2.44140625" style="4" customWidth="1"/>
    <col min="14593" max="14593" width="28.6640625" style="4" customWidth="1"/>
    <col min="14594" max="14838" width="8.88671875" style="4"/>
    <col min="14839" max="14840" width="2.6640625" style="4" customWidth="1"/>
    <col min="14841" max="14841" width="7" style="4" customWidth="1"/>
    <col min="14842" max="14842" width="2.44140625" style="4" customWidth="1"/>
    <col min="14843" max="14843" width="5.6640625" style="4" customWidth="1"/>
    <col min="14844" max="14844" width="68.6640625" style="4" customWidth="1"/>
    <col min="14845" max="14845" width="2.6640625" style="4" customWidth="1"/>
    <col min="14846" max="14846" width="14.6640625" style="4" customWidth="1"/>
    <col min="14847" max="14847" width="2.6640625" style="4" customWidth="1"/>
    <col min="14848" max="14848" width="2.44140625" style="4" customWidth="1"/>
    <col min="14849" max="14849" width="28.6640625" style="4" customWidth="1"/>
    <col min="14850" max="15094" width="8.88671875" style="4"/>
    <col min="15095" max="15096" width="2.6640625" style="4" customWidth="1"/>
    <col min="15097" max="15097" width="7" style="4" customWidth="1"/>
    <col min="15098" max="15098" width="2.44140625" style="4" customWidth="1"/>
    <col min="15099" max="15099" width="5.6640625" style="4" customWidth="1"/>
    <col min="15100" max="15100" width="68.6640625" style="4" customWidth="1"/>
    <col min="15101" max="15101" width="2.6640625" style="4" customWidth="1"/>
    <col min="15102" max="15102" width="14.6640625" style="4" customWidth="1"/>
    <col min="15103" max="15103" width="2.6640625" style="4" customWidth="1"/>
    <col min="15104" max="15104" width="2.44140625" style="4" customWidth="1"/>
    <col min="15105" max="15105" width="28.6640625" style="4" customWidth="1"/>
    <col min="15106" max="15350" width="8.88671875" style="4"/>
    <col min="15351" max="15352" width="2.6640625" style="4" customWidth="1"/>
    <col min="15353" max="15353" width="7" style="4" customWidth="1"/>
    <col min="15354" max="15354" width="2.44140625" style="4" customWidth="1"/>
    <col min="15355" max="15355" width="5.6640625" style="4" customWidth="1"/>
    <col min="15356" max="15356" width="68.6640625" style="4" customWidth="1"/>
    <col min="15357" max="15357" width="2.6640625" style="4" customWidth="1"/>
    <col min="15358" max="15358" width="14.6640625" style="4" customWidth="1"/>
    <col min="15359" max="15359" width="2.6640625" style="4" customWidth="1"/>
    <col min="15360" max="15360" width="2.44140625" style="4" customWidth="1"/>
    <col min="15361" max="15361" width="28.6640625" style="4" customWidth="1"/>
    <col min="15362" max="15606" width="8.88671875" style="4"/>
    <col min="15607" max="15608" width="2.6640625" style="4" customWidth="1"/>
    <col min="15609" max="15609" width="7" style="4" customWidth="1"/>
    <col min="15610" max="15610" width="2.44140625" style="4" customWidth="1"/>
    <col min="15611" max="15611" width="5.6640625" style="4" customWidth="1"/>
    <col min="15612" max="15612" width="68.6640625" style="4" customWidth="1"/>
    <col min="15613" max="15613" width="2.6640625" style="4" customWidth="1"/>
    <col min="15614" max="15614" width="14.6640625" style="4" customWidth="1"/>
    <col min="15615" max="15615" width="2.6640625" style="4" customWidth="1"/>
    <col min="15616" max="15616" width="2.44140625" style="4" customWidth="1"/>
    <col min="15617" max="15617" width="28.6640625" style="4" customWidth="1"/>
    <col min="15618" max="15862" width="8.88671875" style="4"/>
    <col min="15863" max="15864" width="2.6640625" style="4" customWidth="1"/>
    <col min="15865" max="15865" width="7" style="4" customWidth="1"/>
    <col min="15866" max="15866" width="2.44140625" style="4" customWidth="1"/>
    <col min="15867" max="15867" width="5.6640625" style="4" customWidth="1"/>
    <col min="15868" max="15868" width="68.6640625" style="4" customWidth="1"/>
    <col min="15869" max="15869" width="2.6640625" style="4" customWidth="1"/>
    <col min="15870" max="15870" width="14.6640625" style="4" customWidth="1"/>
    <col min="15871" max="15871" width="2.6640625" style="4" customWidth="1"/>
    <col min="15872" max="15872" width="2.44140625" style="4" customWidth="1"/>
    <col min="15873" max="15873" width="28.6640625" style="4" customWidth="1"/>
    <col min="15874" max="16118" width="8.88671875" style="4"/>
    <col min="16119" max="16120" width="2.6640625" style="4" customWidth="1"/>
    <col min="16121" max="16121" width="7" style="4" customWidth="1"/>
    <col min="16122" max="16122" width="2.44140625" style="4" customWidth="1"/>
    <col min="16123" max="16123" width="5.6640625" style="4" customWidth="1"/>
    <col min="16124" max="16124" width="68.6640625" style="4" customWidth="1"/>
    <col min="16125" max="16125" width="2.6640625" style="4" customWidth="1"/>
    <col min="16126" max="16126" width="14.6640625" style="4" customWidth="1"/>
    <col min="16127" max="16127" width="2.6640625" style="4" customWidth="1"/>
    <col min="16128" max="16128" width="2.44140625" style="4" customWidth="1"/>
    <col min="16129" max="16129" width="28.6640625" style="4" customWidth="1"/>
    <col min="16130" max="16384" width="8.88671875" style="4"/>
  </cols>
  <sheetData>
    <row r="2" spans="2:11" ht="15" customHeight="1" x14ac:dyDescent="0.3">
      <c r="B2" s="1"/>
      <c r="C2" s="2">
        <v>1</v>
      </c>
      <c r="D2" s="2"/>
      <c r="E2" s="2"/>
      <c r="F2" s="2"/>
      <c r="G2" s="2"/>
      <c r="H2" s="2"/>
      <c r="I2" s="2"/>
      <c r="J2" s="2"/>
      <c r="K2" s="3"/>
    </row>
    <row r="3" spans="2:11" ht="24.75" customHeight="1" x14ac:dyDescent="0.3">
      <c r="B3" s="5"/>
      <c r="C3" s="6">
        <v>1</v>
      </c>
      <c r="D3" s="7" t="s">
        <v>210</v>
      </c>
      <c r="E3" s="6"/>
      <c r="F3" s="8"/>
      <c r="G3" s="8"/>
      <c r="H3" s="8"/>
      <c r="I3" s="8"/>
      <c r="J3" s="8"/>
      <c r="K3" s="9"/>
    </row>
    <row r="4" spans="2:11" ht="15" customHeight="1" x14ac:dyDescent="0.3">
      <c r="B4" s="5"/>
      <c r="C4" s="6">
        <v>1</v>
      </c>
      <c r="D4" s="10" t="s">
        <v>211</v>
      </c>
      <c r="E4" s="6"/>
      <c r="F4" s="11"/>
      <c r="G4" s="8"/>
      <c r="H4" s="8"/>
      <c r="I4" s="8"/>
      <c r="J4" s="8"/>
      <c r="K4" s="12"/>
    </row>
    <row r="5" spans="2:11" ht="15" customHeight="1" x14ac:dyDescent="0.3">
      <c r="B5" s="5"/>
      <c r="C5" s="6">
        <v>1</v>
      </c>
      <c r="D5" s="6"/>
      <c r="E5" s="11"/>
      <c r="F5" s="11"/>
      <c r="G5" s="8"/>
      <c r="H5" s="8"/>
      <c r="I5" s="8"/>
      <c r="J5" s="8"/>
      <c r="K5" s="13"/>
    </row>
    <row r="6" spans="2:11" ht="15" customHeight="1" x14ac:dyDescent="0.3">
      <c r="B6" s="5"/>
      <c r="C6" s="6">
        <v>1</v>
      </c>
      <c r="D6" s="14"/>
      <c r="E6" s="8"/>
      <c r="F6" s="8"/>
      <c r="G6" s="8"/>
      <c r="H6" s="8"/>
      <c r="I6" s="8"/>
      <c r="J6" s="8"/>
      <c r="K6" s="9"/>
    </row>
    <row r="7" spans="2:11" ht="15" customHeight="1" x14ac:dyDescent="0.3">
      <c r="B7" s="5"/>
      <c r="C7" s="6">
        <v>1</v>
      </c>
      <c r="D7" s="14"/>
      <c r="E7" s="8"/>
      <c r="F7" s="8"/>
      <c r="G7" s="8"/>
      <c r="H7" s="8"/>
      <c r="I7" s="8"/>
      <c r="J7" s="8"/>
      <c r="K7" s="9"/>
    </row>
    <row r="8" spans="2:11" ht="21" customHeight="1" x14ac:dyDescent="0.25">
      <c r="B8" s="5"/>
      <c r="C8" s="6">
        <v>1</v>
      </c>
      <c r="D8" s="792" t="s">
        <v>212</v>
      </c>
      <c r="E8" s="786" t="s">
        <v>213</v>
      </c>
      <c r="F8" s="787"/>
      <c r="G8" s="788"/>
      <c r="H8" s="786" t="s">
        <v>214</v>
      </c>
      <c r="I8" s="787"/>
      <c r="J8" s="788"/>
      <c r="K8" s="12"/>
    </row>
    <row r="9" spans="2:11" ht="21" customHeight="1" x14ac:dyDescent="0.3">
      <c r="B9" s="5"/>
      <c r="C9" s="6"/>
      <c r="D9" s="793"/>
      <c r="E9" s="789" t="str">
        <f>IF(Instructions!T57=1,"(gallons/year)","(liters/year)")</f>
        <v>(gallons/year)</v>
      </c>
      <c r="F9" s="790"/>
      <c r="G9" s="791"/>
      <c r="H9" s="789" t="str">
        <f>IF(Instructions!T57=1,"(gallons/year)","(liters/year)")</f>
        <v>(gallons/year)</v>
      </c>
      <c r="I9" s="790"/>
      <c r="J9" s="791"/>
      <c r="K9" s="12"/>
    </row>
    <row r="10" spans="2:11" ht="57" customHeight="1" x14ac:dyDescent="0.3">
      <c r="B10" s="5"/>
      <c r="C10" s="6">
        <v>1</v>
      </c>
      <c r="D10" s="794"/>
      <c r="E10" s="157" t="s">
        <v>215</v>
      </c>
      <c r="F10" s="42" t="s">
        <v>216</v>
      </c>
      <c r="G10" s="203" t="s">
        <v>217</v>
      </c>
      <c r="H10" s="157" t="s">
        <v>215</v>
      </c>
      <c r="I10" s="42" t="s">
        <v>216</v>
      </c>
      <c r="J10" s="203" t="s">
        <v>218</v>
      </c>
      <c r="K10" s="12"/>
    </row>
    <row r="11" spans="2:11" ht="15.75" customHeight="1" x14ac:dyDescent="0.3">
      <c r="B11" s="5"/>
      <c r="C11" s="6">
        <f t="shared" ref="C11" ca="1" si="0">IF(OR(D11="Instructions",D11="Base Calc",D11="Lowrise Indoor Water Use",D11="Lowrise Wastewater Use",D11="Summary D+C",D11="Summary O+M",D11="Summary ND",D11="",D11=0),0,1)</f>
        <v>1</v>
      </c>
      <c r="D11" s="221" t="str">
        <f ca="1">IFERROR(INDEX(MID(Sheets,FIND("]",Sheets)+1,255),ROW(A2),1),"")</f>
        <v>Group 1</v>
      </c>
      <c r="E11" s="222">
        <f ca="1">INDIRECT("'"&amp;D11&amp;"'!$Z$12")</f>
        <v>0</v>
      </c>
      <c r="F11" s="220">
        <f ca="1">INDIRECT("'"&amp;$D11&amp;"'!$Z$11")</f>
        <v>0</v>
      </c>
      <c r="G11" s="223">
        <f t="shared" ref="G11" ca="1" si="1">E11+F11</f>
        <v>0</v>
      </c>
      <c r="H11" s="220">
        <f ca="1">INDIRECT("'"&amp;$D11&amp;"'!$Z$14")</f>
        <v>0</v>
      </c>
      <c r="I11" s="220">
        <f ca="1">INDIRECT("'"&amp;$D11&amp;"'!$Z$13")</f>
        <v>0</v>
      </c>
      <c r="J11" s="223">
        <f t="shared" ref="J11" ca="1" si="2">H11+I11</f>
        <v>0</v>
      </c>
      <c r="K11" s="12"/>
    </row>
    <row r="12" spans="2:11" ht="13.5" customHeight="1" x14ac:dyDescent="0.3">
      <c r="B12" s="5"/>
      <c r="C12" s="6">
        <v>1</v>
      </c>
      <c r="D12" s="6"/>
      <c r="E12" s="15"/>
      <c r="F12" s="15"/>
      <c r="G12" s="16"/>
      <c r="H12" s="15"/>
      <c r="I12" s="15"/>
      <c r="J12" s="16"/>
      <c r="K12" s="12"/>
    </row>
    <row r="13" spans="2:11" ht="21" customHeight="1" x14ac:dyDescent="0.3">
      <c r="B13" s="17" t="s">
        <v>109</v>
      </c>
      <c r="C13" s="6">
        <v>1</v>
      </c>
      <c r="D13" s="204" t="str">
        <f>IF(Instructions!T57=1,"Annual baseline water consumption (gallons/year)","Annual baseline water consumption (liters/year)")</f>
        <v>Annual baseline water consumption (gallons/year)</v>
      </c>
      <c r="E13" s="205"/>
      <c r="F13" s="205"/>
      <c r="G13" s="205"/>
      <c r="H13" s="205"/>
      <c r="I13" s="205"/>
      <c r="J13" s="210">
        <f ca="1">SUM(G11:G12)</f>
        <v>0</v>
      </c>
      <c r="K13" s="12"/>
    </row>
    <row r="14" spans="2:11" ht="21" customHeight="1" x14ac:dyDescent="0.3">
      <c r="B14" s="5"/>
      <c r="C14" s="6">
        <v>1</v>
      </c>
      <c r="D14" s="206" t="str">
        <f>IF(Instructions!T57=1,"Annual design water consumption (gallons/year)","Annual design water consumption (liters/year)")</f>
        <v>Annual design water consumption (gallons/year)</v>
      </c>
      <c r="E14" s="207"/>
      <c r="F14" s="207"/>
      <c r="G14" s="207"/>
      <c r="H14" s="207"/>
      <c r="I14" s="207"/>
      <c r="J14" s="211">
        <f ca="1">SUM(J11:J12)</f>
        <v>0</v>
      </c>
      <c r="K14" s="12"/>
    </row>
    <row r="15" spans="2:11" ht="21" customHeight="1" x14ac:dyDescent="0.3">
      <c r="B15" s="5"/>
      <c r="C15" s="6">
        <v>1</v>
      </c>
      <c r="D15" s="208" t="s">
        <v>219</v>
      </c>
      <c r="E15" s="209"/>
      <c r="F15" s="209"/>
      <c r="G15" s="209"/>
      <c r="H15" s="209"/>
      <c r="I15" s="209"/>
      <c r="J15" s="212">
        <f ca="1">IF(J14=0,0,(J13-J14)/J13)</f>
        <v>0</v>
      </c>
      <c r="K15" s="12"/>
    </row>
    <row r="16" spans="2:11" ht="20.25" customHeight="1" x14ac:dyDescent="0.3">
      <c r="B16" s="18"/>
      <c r="C16" s="19">
        <v>1</v>
      </c>
      <c r="D16" s="19"/>
      <c r="E16" s="19"/>
      <c r="F16" s="19"/>
      <c r="G16" s="19"/>
      <c r="H16" s="19"/>
      <c r="I16" s="19"/>
      <c r="J16" s="19"/>
      <c r="K16" s="22"/>
    </row>
    <row r="17" spans="5:11" ht="15" customHeight="1" x14ac:dyDescent="0.25">
      <c r="J17" s="23"/>
      <c r="K17" s="24"/>
    </row>
    <row r="18" spans="5:11" ht="15" customHeight="1" x14ac:dyDescent="0.25">
      <c r="E18" s="25"/>
      <c r="F18" s="25"/>
      <c r="J18" s="23"/>
      <c r="K18" s="26"/>
    </row>
    <row r="19" spans="5:11" ht="15" customHeight="1" x14ac:dyDescent="0.25">
      <c r="E19" s="27"/>
      <c r="F19" s="27"/>
      <c r="G19" s="28"/>
      <c r="J19" s="23"/>
      <c r="K19" s="27"/>
    </row>
    <row r="20" spans="5:11" ht="15" customHeight="1" x14ac:dyDescent="0.3">
      <c r="F20" s="4" t="str">
        <f ca="1">IFERROR(INDEX(MID(Sheets,FIND("]",Sheets)+1,255),ROW(#REF!),1),"")</f>
        <v/>
      </c>
    </row>
  </sheetData>
  <sheetProtection algorithmName="SHA-512" hashValue="qrsCGhSd4W6G44wZWlFMFBNnO06AUmxw17EjckDk7uXVMBTJ/x3nRbmviBVKFSeco/HAdT5gQGnBDXYk04Q1iw==" saltValue="/WpXaN+5D3tJfRSQJGMvVA==" spinCount="100000" sheet="1" objects="1" scenarios="1" formatColumns="0" formatRows="0"/>
  <mergeCells count="5">
    <mergeCell ref="E8:G8"/>
    <mergeCell ref="E9:G9"/>
    <mergeCell ref="D8:D10"/>
    <mergeCell ref="H9:J9"/>
    <mergeCell ref="H8:J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Summary">
                <anchor moveWithCells="1" sizeWithCells="1">
                  <from>
                    <xdr:col>3</xdr:col>
                    <xdr:colOff>45720</xdr:colOff>
                    <xdr:row>4</xdr:row>
                    <xdr:rowOff>137160</xdr:rowOff>
                  </from>
                  <to>
                    <xdr:col>3</xdr:col>
                    <xdr:colOff>1417320</xdr:colOff>
                    <xdr:row>6</xdr:row>
                    <xdr:rowOff>22860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K28"/>
  <sheetViews>
    <sheetView showGridLines="0" zoomScale="90" zoomScaleNormal="90" zoomScalePageLayoutView="80" workbookViewId="0"/>
  </sheetViews>
  <sheetFormatPr defaultColWidth="8.88671875" defaultRowHeight="15" customHeight="1" x14ac:dyDescent="0.3"/>
  <cols>
    <col min="1" max="1" width="2.6640625" style="4" customWidth="1"/>
    <col min="2" max="2" width="2.44140625" style="4" customWidth="1"/>
    <col min="3" max="3" width="2.44140625" style="4" hidden="1" customWidth="1"/>
    <col min="4" max="4" width="42.6640625" style="4" customWidth="1"/>
    <col min="5" max="10" width="14.6640625" style="4" customWidth="1"/>
    <col min="11" max="11" width="2.6640625" style="4" customWidth="1"/>
    <col min="12" max="246" width="8.88671875" style="4"/>
    <col min="247" max="248" width="2.6640625" style="4" customWidth="1"/>
    <col min="249" max="249" width="7" style="4" customWidth="1"/>
    <col min="250" max="250" width="2.44140625" style="4" customWidth="1"/>
    <col min="251" max="251" width="5.6640625" style="4" customWidth="1"/>
    <col min="252" max="252" width="68.6640625" style="4" customWidth="1"/>
    <col min="253" max="253" width="2.6640625" style="4" customWidth="1"/>
    <col min="254" max="254" width="14.6640625" style="4" customWidth="1"/>
    <col min="255" max="255" width="2.6640625" style="4" customWidth="1"/>
    <col min="256" max="256" width="2.44140625" style="4" customWidth="1"/>
    <col min="257" max="257" width="28.6640625" style="4" customWidth="1"/>
    <col min="258" max="502" width="8.88671875" style="4"/>
    <col min="503" max="504" width="2.6640625" style="4" customWidth="1"/>
    <col min="505" max="505" width="7" style="4" customWidth="1"/>
    <col min="506" max="506" width="2.44140625" style="4" customWidth="1"/>
    <col min="507" max="507" width="5.6640625" style="4" customWidth="1"/>
    <col min="508" max="508" width="68.6640625" style="4" customWidth="1"/>
    <col min="509" max="509" width="2.6640625" style="4" customWidth="1"/>
    <col min="510" max="510" width="14.6640625" style="4" customWidth="1"/>
    <col min="511" max="511" width="2.6640625" style="4" customWidth="1"/>
    <col min="512" max="512" width="2.44140625" style="4" customWidth="1"/>
    <col min="513" max="513" width="28.6640625" style="4" customWidth="1"/>
    <col min="514" max="758" width="8.88671875" style="4"/>
    <col min="759" max="760" width="2.6640625" style="4" customWidth="1"/>
    <col min="761" max="761" width="7" style="4" customWidth="1"/>
    <col min="762" max="762" width="2.44140625" style="4" customWidth="1"/>
    <col min="763" max="763" width="5.6640625" style="4" customWidth="1"/>
    <col min="764" max="764" width="68.6640625" style="4" customWidth="1"/>
    <col min="765" max="765" width="2.6640625" style="4" customWidth="1"/>
    <col min="766" max="766" width="14.6640625" style="4" customWidth="1"/>
    <col min="767" max="767" width="2.6640625" style="4" customWidth="1"/>
    <col min="768" max="768" width="2.44140625" style="4" customWidth="1"/>
    <col min="769" max="769" width="28.6640625" style="4" customWidth="1"/>
    <col min="770" max="1014" width="8.88671875" style="4"/>
    <col min="1015" max="1016" width="2.6640625" style="4" customWidth="1"/>
    <col min="1017" max="1017" width="7" style="4" customWidth="1"/>
    <col min="1018" max="1018" width="2.44140625" style="4" customWidth="1"/>
    <col min="1019" max="1019" width="5.6640625" style="4" customWidth="1"/>
    <col min="1020" max="1020" width="68.6640625" style="4" customWidth="1"/>
    <col min="1021" max="1021" width="2.6640625" style="4" customWidth="1"/>
    <col min="1022" max="1022" width="14.6640625" style="4" customWidth="1"/>
    <col min="1023" max="1023" width="2.6640625" style="4" customWidth="1"/>
    <col min="1024" max="1024" width="2.44140625" style="4" customWidth="1"/>
    <col min="1025" max="1025" width="28.6640625" style="4" customWidth="1"/>
    <col min="1026" max="1270" width="8.88671875" style="4"/>
    <col min="1271" max="1272" width="2.6640625" style="4" customWidth="1"/>
    <col min="1273" max="1273" width="7" style="4" customWidth="1"/>
    <col min="1274" max="1274" width="2.44140625" style="4" customWidth="1"/>
    <col min="1275" max="1275" width="5.6640625" style="4" customWidth="1"/>
    <col min="1276" max="1276" width="68.6640625" style="4" customWidth="1"/>
    <col min="1277" max="1277" width="2.6640625" style="4" customWidth="1"/>
    <col min="1278" max="1278" width="14.6640625" style="4" customWidth="1"/>
    <col min="1279" max="1279" width="2.6640625" style="4" customWidth="1"/>
    <col min="1280" max="1280" width="2.44140625" style="4" customWidth="1"/>
    <col min="1281" max="1281" width="28.6640625" style="4" customWidth="1"/>
    <col min="1282" max="1526" width="8.88671875" style="4"/>
    <col min="1527" max="1528" width="2.6640625" style="4" customWidth="1"/>
    <col min="1529" max="1529" width="7" style="4" customWidth="1"/>
    <col min="1530" max="1530" width="2.44140625" style="4" customWidth="1"/>
    <col min="1531" max="1531" width="5.6640625" style="4" customWidth="1"/>
    <col min="1532" max="1532" width="68.6640625" style="4" customWidth="1"/>
    <col min="1533" max="1533" width="2.6640625" style="4" customWidth="1"/>
    <col min="1534" max="1534" width="14.6640625" style="4" customWidth="1"/>
    <col min="1535" max="1535" width="2.6640625" style="4" customWidth="1"/>
    <col min="1536" max="1536" width="2.44140625" style="4" customWidth="1"/>
    <col min="1537" max="1537" width="28.6640625" style="4" customWidth="1"/>
    <col min="1538" max="1782" width="8.88671875" style="4"/>
    <col min="1783" max="1784" width="2.6640625" style="4" customWidth="1"/>
    <col min="1785" max="1785" width="7" style="4" customWidth="1"/>
    <col min="1786" max="1786" width="2.44140625" style="4" customWidth="1"/>
    <col min="1787" max="1787" width="5.6640625" style="4" customWidth="1"/>
    <col min="1788" max="1788" width="68.6640625" style="4" customWidth="1"/>
    <col min="1789" max="1789" width="2.6640625" style="4" customWidth="1"/>
    <col min="1790" max="1790" width="14.6640625" style="4" customWidth="1"/>
    <col min="1791" max="1791" width="2.6640625" style="4" customWidth="1"/>
    <col min="1792" max="1792" width="2.44140625" style="4" customWidth="1"/>
    <col min="1793" max="1793" width="28.6640625" style="4" customWidth="1"/>
    <col min="1794" max="2038" width="8.88671875" style="4"/>
    <col min="2039" max="2040" width="2.6640625" style="4" customWidth="1"/>
    <col min="2041" max="2041" width="7" style="4" customWidth="1"/>
    <col min="2042" max="2042" width="2.44140625" style="4" customWidth="1"/>
    <col min="2043" max="2043" width="5.6640625" style="4" customWidth="1"/>
    <col min="2044" max="2044" width="68.6640625" style="4" customWidth="1"/>
    <col min="2045" max="2045" width="2.6640625" style="4" customWidth="1"/>
    <col min="2046" max="2046" width="14.6640625" style="4" customWidth="1"/>
    <col min="2047" max="2047" width="2.6640625" style="4" customWidth="1"/>
    <col min="2048" max="2048" width="2.44140625" style="4" customWidth="1"/>
    <col min="2049" max="2049" width="28.6640625" style="4" customWidth="1"/>
    <col min="2050" max="2294" width="8.88671875" style="4"/>
    <col min="2295" max="2296" width="2.6640625" style="4" customWidth="1"/>
    <col min="2297" max="2297" width="7" style="4" customWidth="1"/>
    <col min="2298" max="2298" width="2.44140625" style="4" customWidth="1"/>
    <col min="2299" max="2299" width="5.6640625" style="4" customWidth="1"/>
    <col min="2300" max="2300" width="68.6640625" style="4" customWidth="1"/>
    <col min="2301" max="2301" width="2.6640625" style="4" customWidth="1"/>
    <col min="2302" max="2302" width="14.6640625" style="4" customWidth="1"/>
    <col min="2303" max="2303" width="2.6640625" style="4" customWidth="1"/>
    <col min="2304" max="2304" width="2.44140625" style="4" customWidth="1"/>
    <col min="2305" max="2305" width="28.6640625" style="4" customWidth="1"/>
    <col min="2306" max="2550" width="8.88671875" style="4"/>
    <col min="2551" max="2552" width="2.6640625" style="4" customWidth="1"/>
    <col min="2553" max="2553" width="7" style="4" customWidth="1"/>
    <col min="2554" max="2554" width="2.44140625" style="4" customWidth="1"/>
    <col min="2555" max="2555" width="5.6640625" style="4" customWidth="1"/>
    <col min="2556" max="2556" width="68.6640625" style="4" customWidth="1"/>
    <col min="2557" max="2557" width="2.6640625" style="4" customWidth="1"/>
    <col min="2558" max="2558" width="14.6640625" style="4" customWidth="1"/>
    <col min="2559" max="2559" width="2.6640625" style="4" customWidth="1"/>
    <col min="2560" max="2560" width="2.44140625" style="4" customWidth="1"/>
    <col min="2561" max="2561" width="28.6640625" style="4" customWidth="1"/>
    <col min="2562" max="2806" width="8.88671875" style="4"/>
    <col min="2807" max="2808" width="2.6640625" style="4" customWidth="1"/>
    <col min="2809" max="2809" width="7" style="4" customWidth="1"/>
    <col min="2810" max="2810" width="2.44140625" style="4" customWidth="1"/>
    <col min="2811" max="2811" width="5.6640625" style="4" customWidth="1"/>
    <col min="2812" max="2812" width="68.6640625" style="4" customWidth="1"/>
    <col min="2813" max="2813" width="2.6640625" style="4" customWidth="1"/>
    <col min="2814" max="2814" width="14.6640625" style="4" customWidth="1"/>
    <col min="2815" max="2815" width="2.6640625" style="4" customWidth="1"/>
    <col min="2816" max="2816" width="2.44140625" style="4" customWidth="1"/>
    <col min="2817" max="2817" width="28.6640625" style="4" customWidth="1"/>
    <col min="2818" max="3062" width="8.88671875" style="4"/>
    <col min="3063" max="3064" width="2.6640625" style="4" customWidth="1"/>
    <col min="3065" max="3065" width="7" style="4" customWidth="1"/>
    <col min="3066" max="3066" width="2.44140625" style="4" customWidth="1"/>
    <col min="3067" max="3067" width="5.6640625" style="4" customWidth="1"/>
    <col min="3068" max="3068" width="68.6640625" style="4" customWidth="1"/>
    <col min="3069" max="3069" width="2.6640625" style="4" customWidth="1"/>
    <col min="3070" max="3070" width="14.6640625" style="4" customWidth="1"/>
    <col min="3071" max="3071" width="2.6640625" style="4" customWidth="1"/>
    <col min="3072" max="3072" width="2.44140625" style="4" customWidth="1"/>
    <col min="3073" max="3073" width="28.6640625" style="4" customWidth="1"/>
    <col min="3074" max="3318" width="8.88671875" style="4"/>
    <col min="3319" max="3320" width="2.6640625" style="4" customWidth="1"/>
    <col min="3321" max="3321" width="7" style="4" customWidth="1"/>
    <col min="3322" max="3322" width="2.44140625" style="4" customWidth="1"/>
    <col min="3323" max="3323" width="5.6640625" style="4" customWidth="1"/>
    <col min="3324" max="3324" width="68.6640625" style="4" customWidth="1"/>
    <col min="3325" max="3325" width="2.6640625" style="4" customWidth="1"/>
    <col min="3326" max="3326" width="14.6640625" style="4" customWidth="1"/>
    <col min="3327" max="3327" width="2.6640625" style="4" customWidth="1"/>
    <col min="3328" max="3328" width="2.44140625" style="4" customWidth="1"/>
    <col min="3329" max="3329" width="28.6640625" style="4" customWidth="1"/>
    <col min="3330" max="3574" width="8.88671875" style="4"/>
    <col min="3575" max="3576" width="2.6640625" style="4" customWidth="1"/>
    <col min="3577" max="3577" width="7" style="4" customWidth="1"/>
    <col min="3578" max="3578" width="2.44140625" style="4" customWidth="1"/>
    <col min="3579" max="3579" width="5.6640625" style="4" customWidth="1"/>
    <col min="3580" max="3580" width="68.6640625" style="4" customWidth="1"/>
    <col min="3581" max="3581" width="2.6640625" style="4" customWidth="1"/>
    <col min="3582" max="3582" width="14.6640625" style="4" customWidth="1"/>
    <col min="3583" max="3583" width="2.6640625" style="4" customWidth="1"/>
    <col min="3584" max="3584" width="2.44140625" style="4" customWidth="1"/>
    <col min="3585" max="3585" width="28.6640625" style="4" customWidth="1"/>
    <col min="3586" max="3830" width="8.88671875" style="4"/>
    <col min="3831" max="3832" width="2.6640625" style="4" customWidth="1"/>
    <col min="3833" max="3833" width="7" style="4" customWidth="1"/>
    <col min="3834" max="3834" width="2.44140625" style="4" customWidth="1"/>
    <col min="3835" max="3835" width="5.6640625" style="4" customWidth="1"/>
    <col min="3836" max="3836" width="68.6640625" style="4" customWidth="1"/>
    <col min="3837" max="3837" width="2.6640625" style="4" customWidth="1"/>
    <col min="3838" max="3838" width="14.6640625" style="4" customWidth="1"/>
    <col min="3839" max="3839" width="2.6640625" style="4" customWidth="1"/>
    <col min="3840" max="3840" width="2.44140625" style="4" customWidth="1"/>
    <col min="3841" max="3841" width="28.6640625" style="4" customWidth="1"/>
    <col min="3842" max="4086" width="8.88671875" style="4"/>
    <col min="4087" max="4088" width="2.6640625" style="4" customWidth="1"/>
    <col min="4089" max="4089" width="7" style="4" customWidth="1"/>
    <col min="4090" max="4090" width="2.44140625" style="4" customWidth="1"/>
    <col min="4091" max="4091" width="5.6640625" style="4" customWidth="1"/>
    <col min="4092" max="4092" width="68.6640625" style="4" customWidth="1"/>
    <col min="4093" max="4093" width="2.6640625" style="4" customWidth="1"/>
    <col min="4094" max="4094" width="14.6640625" style="4" customWidth="1"/>
    <col min="4095" max="4095" width="2.6640625" style="4" customWidth="1"/>
    <col min="4096" max="4096" width="2.44140625" style="4" customWidth="1"/>
    <col min="4097" max="4097" width="28.6640625" style="4" customWidth="1"/>
    <col min="4098" max="4342" width="8.88671875" style="4"/>
    <col min="4343" max="4344" width="2.6640625" style="4" customWidth="1"/>
    <col min="4345" max="4345" width="7" style="4" customWidth="1"/>
    <col min="4346" max="4346" width="2.44140625" style="4" customWidth="1"/>
    <col min="4347" max="4347" width="5.6640625" style="4" customWidth="1"/>
    <col min="4348" max="4348" width="68.6640625" style="4" customWidth="1"/>
    <col min="4349" max="4349" width="2.6640625" style="4" customWidth="1"/>
    <col min="4350" max="4350" width="14.6640625" style="4" customWidth="1"/>
    <col min="4351" max="4351" width="2.6640625" style="4" customWidth="1"/>
    <col min="4352" max="4352" width="2.44140625" style="4" customWidth="1"/>
    <col min="4353" max="4353" width="28.6640625" style="4" customWidth="1"/>
    <col min="4354" max="4598" width="8.88671875" style="4"/>
    <col min="4599" max="4600" width="2.6640625" style="4" customWidth="1"/>
    <col min="4601" max="4601" width="7" style="4" customWidth="1"/>
    <col min="4602" max="4602" width="2.44140625" style="4" customWidth="1"/>
    <col min="4603" max="4603" width="5.6640625" style="4" customWidth="1"/>
    <col min="4604" max="4604" width="68.6640625" style="4" customWidth="1"/>
    <col min="4605" max="4605" width="2.6640625" style="4" customWidth="1"/>
    <col min="4606" max="4606" width="14.6640625" style="4" customWidth="1"/>
    <col min="4607" max="4607" width="2.6640625" style="4" customWidth="1"/>
    <col min="4608" max="4608" width="2.44140625" style="4" customWidth="1"/>
    <col min="4609" max="4609" width="28.6640625" style="4" customWidth="1"/>
    <col min="4610" max="4854" width="8.88671875" style="4"/>
    <col min="4855" max="4856" width="2.6640625" style="4" customWidth="1"/>
    <col min="4857" max="4857" width="7" style="4" customWidth="1"/>
    <col min="4858" max="4858" width="2.44140625" style="4" customWidth="1"/>
    <col min="4859" max="4859" width="5.6640625" style="4" customWidth="1"/>
    <col min="4860" max="4860" width="68.6640625" style="4" customWidth="1"/>
    <col min="4861" max="4861" width="2.6640625" style="4" customWidth="1"/>
    <col min="4862" max="4862" width="14.6640625" style="4" customWidth="1"/>
    <col min="4863" max="4863" width="2.6640625" style="4" customWidth="1"/>
    <col min="4864" max="4864" width="2.44140625" style="4" customWidth="1"/>
    <col min="4865" max="4865" width="28.6640625" style="4" customWidth="1"/>
    <col min="4866" max="5110" width="8.88671875" style="4"/>
    <col min="5111" max="5112" width="2.6640625" style="4" customWidth="1"/>
    <col min="5113" max="5113" width="7" style="4" customWidth="1"/>
    <col min="5114" max="5114" width="2.44140625" style="4" customWidth="1"/>
    <col min="5115" max="5115" width="5.6640625" style="4" customWidth="1"/>
    <col min="5116" max="5116" width="68.6640625" style="4" customWidth="1"/>
    <col min="5117" max="5117" width="2.6640625" style="4" customWidth="1"/>
    <col min="5118" max="5118" width="14.6640625" style="4" customWidth="1"/>
    <col min="5119" max="5119" width="2.6640625" style="4" customWidth="1"/>
    <col min="5120" max="5120" width="2.44140625" style="4" customWidth="1"/>
    <col min="5121" max="5121" width="28.6640625" style="4" customWidth="1"/>
    <col min="5122" max="5366" width="8.88671875" style="4"/>
    <col min="5367" max="5368" width="2.6640625" style="4" customWidth="1"/>
    <col min="5369" max="5369" width="7" style="4" customWidth="1"/>
    <col min="5370" max="5370" width="2.44140625" style="4" customWidth="1"/>
    <col min="5371" max="5371" width="5.6640625" style="4" customWidth="1"/>
    <col min="5372" max="5372" width="68.6640625" style="4" customWidth="1"/>
    <col min="5373" max="5373" width="2.6640625" style="4" customWidth="1"/>
    <col min="5374" max="5374" width="14.6640625" style="4" customWidth="1"/>
    <col min="5375" max="5375" width="2.6640625" style="4" customWidth="1"/>
    <col min="5376" max="5376" width="2.44140625" style="4" customWidth="1"/>
    <col min="5377" max="5377" width="28.6640625" style="4" customWidth="1"/>
    <col min="5378" max="5622" width="8.88671875" style="4"/>
    <col min="5623" max="5624" width="2.6640625" style="4" customWidth="1"/>
    <col min="5625" max="5625" width="7" style="4" customWidth="1"/>
    <col min="5626" max="5626" width="2.44140625" style="4" customWidth="1"/>
    <col min="5627" max="5627" width="5.6640625" style="4" customWidth="1"/>
    <col min="5628" max="5628" width="68.6640625" style="4" customWidth="1"/>
    <col min="5629" max="5629" width="2.6640625" style="4" customWidth="1"/>
    <col min="5630" max="5630" width="14.6640625" style="4" customWidth="1"/>
    <col min="5631" max="5631" width="2.6640625" style="4" customWidth="1"/>
    <col min="5632" max="5632" width="2.44140625" style="4" customWidth="1"/>
    <col min="5633" max="5633" width="28.6640625" style="4" customWidth="1"/>
    <col min="5634" max="5878" width="8.88671875" style="4"/>
    <col min="5879" max="5880" width="2.6640625" style="4" customWidth="1"/>
    <col min="5881" max="5881" width="7" style="4" customWidth="1"/>
    <col min="5882" max="5882" width="2.44140625" style="4" customWidth="1"/>
    <col min="5883" max="5883" width="5.6640625" style="4" customWidth="1"/>
    <col min="5884" max="5884" width="68.6640625" style="4" customWidth="1"/>
    <col min="5885" max="5885" width="2.6640625" style="4" customWidth="1"/>
    <col min="5886" max="5886" width="14.6640625" style="4" customWidth="1"/>
    <col min="5887" max="5887" width="2.6640625" style="4" customWidth="1"/>
    <col min="5888" max="5888" width="2.44140625" style="4" customWidth="1"/>
    <col min="5889" max="5889" width="28.6640625" style="4" customWidth="1"/>
    <col min="5890" max="6134" width="8.88671875" style="4"/>
    <col min="6135" max="6136" width="2.6640625" style="4" customWidth="1"/>
    <col min="6137" max="6137" width="7" style="4" customWidth="1"/>
    <col min="6138" max="6138" width="2.44140625" style="4" customWidth="1"/>
    <col min="6139" max="6139" width="5.6640625" style="4" customWidth="1"/>
    <col min="6140" max="6140" width="68.6640625" style="4" customWidth="1"/>
    <col min="6141" max="6141" width="2.6640625" style="4" customWidth="1"/>
    <col min="6142" max="6142" width="14.6640625" style="4" customWidth="1"/>
    <col min="6143" max="6143" width="2.6640625" style="4" customWidth="1"/>
    <col min="6144" max="6144" width="2.44140625" style="4" customWidth="1"/>
    <col min="6145" max="6145" width="28.6640625" style="4" customWidth="1"/>
    <col min="6146" max="6390" width="8.88671875" style="4"/>
    <col min="6391" max="6392" width="2.6640625" style="4" customWidth="1"/>
    <col min="6393" max="6393" width="7" style="4" customWidth="1"/>
    <col min="6394" max="6394" width="2.44140625" style="4" customWidth="1"/>
    <col min="6395" max="6395" width="5.6640625" style="4" customWidth="1"/>
    <col min="6396" max="6396" width="68.6640625" style="4" customWidth="1"/>
    <col min="6397" max="6397" width="2.6640625" style="4" customWidth="1"/>
    <col min="6398" max="6398" width="14.6640625" style="4" customWidth="1"/>
    <col min="6399" max="6399" width="2.6640625" style="4" customWidth="1"/>
    <col min="6400" max="6400" width="2.44140625" style="4" customWidth="1"/>
    <col min="6401" max="6401" width="28.6640625" style="4" customWidth="1"/>
    <col min="6402" max="6646" width="8.88671875" style="4"/>
    <col min="6647" max="6648" width="2.6640625" style="4" customWidth="1"/>
    <col min="6649" max="6649" width="7" style="4" customWidth="1"/>
    <col min="6650" max="6650" width="2.44140625" style="4" customWidth="1"/>
    <col min="6651" max="6651" width="5.6640625" style="4" customWidth="1"/>
    <col min="6652" max="6652" width="68.6640625" style="4" customWidth="1"/>
    <col min="6653" max="6653" width="2.6640625" style="4" customWidth="1"/>
    <col min="6654" max="6654" width="14.6640625" style="4" customWidth="1"/>
    <col min="6655" max="6655" width="2.6640625" style="4" customWidth="1"/>
    <col min="6656" max="6656" width="2.44140625" style="4" customWidth="1"/>
    <col min="6657" max="6657" width="28.6640625" style="4" customWidth="1"/>
    <col min="6658" max="6902" width="8.88671875" style="4"/>
    <col min="6903" max="6904" width="2.6640625" style="4" customWidth="1"/>
    <col min="6905" max="6905" width="7" style="4" customWidth="1"/>
    <col min="6906" max="6906" width="2.44140625" style="4" customWidth="1"/>
    <col min="6907" max="6907" width="5.6640625" style="4" customWidth="1"/>
    <col min="6908" max="6908" width="68.6640625" style="4" customWidth="1"/>
    <col min="6909" max="6909" width="2.6640625" style="4" customWidth="1"/>
    <col min="6910" max="6910" width="14.6640625" style="4" customWidth="1"/>
    <col min="6911" max="6911" width="2.6640625" style="4" customWidth="1"/>
    <col min="6912" max="6912" width="2.44140625" style="4" customWidth="1"/>
    <col min="6913" max="6913" width="28.6640625" style="4" customWidth="1"/>
    <col min="6914" max="7158" width="8.88671875" style="4"/>
    <col min="7159" max="7160" width="2.6640625" style="4" customWidth="1"/>
    <col min="7161" max="7161" width="7" style="4" customWidth="1"/>
    <col min="7162" max="7162" width="2.44140625" style="4" customWidth="1"/>
    <col min="7163" max="7163" width="5.6640625" style="4" customWidth="1"/>
    <col min="7164" max="7164" width="68.6640625" style="4" customWidth="1"/>
    <col min="7165" max="7165" width="2.6640625" style="4" customWidth="1"/>
    <col min="7166" max="7166" width="14.6640625" style="4" customWidth="1"/>
    <col min="7167" max="7167" width="2.6640625" style="4" customWidth="1"/>
    <col min="7168" max="7168" width="2.44140625" style="4" customWidth="1"/>
    <col min="7169" max="7169" width="28.6640625" style="4" customWidth="1"/>
    <col min="7170" max="7414" width="8.88671875" style="4"/>
    <col min="7415" max="7416" width="2.6640625" style="4" customWidth="1"/>
    <col min="7417" max="7417" width="7" style="4" customWidth="1"/>
    <col min="7418" max="7418" width="2.44140625" style="4" customWidth="1"/>
    <col min="7419" max="7419" width="5.6640625" style="4" customWidth="1"/>
    <col min="7420" max="7420" width="68.6640625" style="4" customWidth="1"/>
    <col min="7421" max="7421" width="2.6640625" style="4" customWidth="1"/>
    <col min="7422" max="7422" width="14.6640625" style="4" customWidth="1"/>
    <col min="7423" max="7423" width="2.6640625" style="4" customWidth="1"/>
    <col min="7424" max="7424" width="2.44140625" style="4" customWidth="1"/>
    <col min="7425" max="7425" width="28.6640625" style="4" customWidth="1"/>
    <col min="7426" max="7670" width="8.88671875" style="4"/>
    <col min="7671" max="7672" width="2.6640625" style="4" customWidth="1"/>
    <col min="7673" max="7673" width="7" style="4" customWidth="1"/>
    <col min="7674" max="7674" width="2.44140625" style="4" customWidth="1"/>
    <col min="7675" max="7675" width="5.6640625" style="4" customWidth="1"/>
    <col min="7676" max="7676" width="68.6640625" style="4" customWidth="1"/>
    <col min="7677" max="7677" width="2.6640625" style="4" customWidth="1"/>
    <col min="7678" max="7678" width="14.6640625" style="4" customWidth="1"/>
    <col min="7679" max="7679" width="2.6640625" style="4" customWidth="1"/>
    <col min="7680" max="7680" width="2.44140625" style="4" customWidth="1"/>
    <col min="7681" max="7681" width="28.6640625" style="4" customWidth="1"/>
    <col min="7682" max="7926" width="8.88671875" style="4"/>
    <col min="7927" max="7928" width="2.6640625" style="4" customWidth="1"/>
    <col min="7929" max="7929" width="7" style="4" customWidth="1"/>
    <col min="7930" max="7930" width="2.44140625" style="4" customWidth="1"/>
    <col min="7931" max="7931" width="5.6640625" style="4" customWidth="1"/>
    <col min="7932" max="7932" width="68.6640625" style="4" customWidth="1"/>
    <col min="7933" max="7933" width="2.6640625" style="4" customWidth="1"/>
    <col min="7934" max="7934" width="14.6640625" style="4" customWidth="1"/>
    <col min="7935" max="7935" width="2.6640625" style="4" customWidth="1"/>
    <col min="7936" max="7936" width="2.44140625" style="4" customWidth="1"/>
    <col min="7937" max="7937" width="28.6640625" style="4" customWidth="1"/>
    <col min="7938" max="8182" width="8.88671875" style="4"/>
    <col min="8183" max="8184" width="2.6640625" style="4" customWidth="1"/>
    <col min="8185" max="8185" width="7" style="4" customWidth="1"/>
    <col min="8186" max="8186" width="2.44140625" style="4" customWidth="1"/>
    <col min="8187" max="8187" width="5.6640625" style="4" customWidth="1"/>
    <col min="8188" max="8188" width="68.6640625" style="4" customWidth="1"/>
    <col min="8189" max="8189" width="2.6640625" style="4" customWidth="1"/>
    <col min="8190" max="8190" width="14.6640625" style="4" customWidth="1"/>
    <col min="8191" max="8191" width="2.6640625" style="4" customWidth="1"/>
    <col min="8192" max="8192" width="2.44140625" style="4" customWidth="1"/>
    <col min="8193" max="8193" width="28.6640625" style="4" customWidth="1"/>
    <col min="8194" max="8438" width="8.88671875" style="4"/>
    <col min="8439" max="8440" width="2.6640625" style="4" customWidth="1"/>
    <col min="8441" max="8441" width="7" style="4" customWidth="1"/>
    <col min="8442" max="8442" width="2.44140625" style="4" customWidth="1"/>
    <col min="8443" max="8443" width="5.6640625" style="4" customWidth="1"/>
    <col min="8444" max="8444" width="68.6640625" style="4" customWidth="1"/>
    <col min="8445" max="8445" width="2.6640625" style="4" customWidth="1"/>
    <col min="8446" max="8446" width="14.6640625" style="4" customWidth="1"/>
    <col min="8447" max="8447" width="2.6640625" style="4" customWidth="1"/>
    <col min="8448" max="8448" width="2.44140625" style="4" customWidth="1"/>
    <col min="8449" max="8449" width="28.6640625" style="4" customWidth="1"/>
    <col min="8450" max="8694" width="8.88671875" style="4"/>
    <col min="8695" max="8696" width="2.6640625" style="4" customWidth="1"/>
    <col min="8697" max="8697" width="7" style="4" customWidth="1"/>
    <col min="8698" max="8698" width="2.44140625" style="4" customWidth="1"/>
    <col min="8699" max="8699" width="5.6640625" style="4" customWidth="1"/>
    <col min="8700" max="8700" width="68.6640625" style="4" customWidth="1"/>
    <col min="8701" max="8701" width="2.6640625" style="4" customWidth="1"/>
    <col min="8702" max="8702" width="14.6640625" style="4" customWidth="1"/>
    <col min="8703" max="8703" width="2.6640625" style="4" customWidth="1"/>
    <col min="8704" max="8704" width="2.44140625" style="4" customWidth="1"/>
    <col min="8705" max="8705" width="28.6640625" style="4" customWidth="1"/>
    <col min="8706" max="8950" width="8.88671875" style="4"/>
    <col min="8951" max="8952" width="2.6640625" style="4" customWidth="1"/>
    <col min="8953" max="8953" width="7" style="4" customWidth="1"/>
    <col min="8954" max="8954" width="2.44140625" style="4" customWidth="1"/>
    <col min="8955" max="8955" width="5.6640625" style="4" customWidth="1"/>
    <col min="8956" max="8956" width="68.6640625" style="4" customWidth="1"/>
    <col min="8957" max="8957" width="2.6640625" style="4" customWidth="1"/>
    <col min="8958" max="8958" width="14.6640625" style="4" customWidth="1"/>
    <col min="8959" max="8959" width="2.6640625" style="4" customWidth="1"/>
    <col min="8960" max="8960" width="2.44140625" style="4" customWidth="1"/>
    <col min="8961" max="8961" width="28.6640625" style="4" customWidth="1"/>
    <col min="8962" max="9206" width="8.88671875" style="4"/>
    <col min="9207" max="9208" width="2.6640625" style="4" customWidth="1"/>
    <col min="9209" max="9209" width="7" style="4" customWidth="1"/>
    <col min="9210" max="9210" width="2.44140625" style="4" customWidth="1"/>
    <col min="9211" max="9211" width="5.6640625" style="4" customWidth="1"/>
    <col min="9212" max="9212" width="68.6640625" style="4" customWidth="1"/>
    <col min="9213" max="9213" width="2.6640625" style="4" customWidth="1"/>
    <col min="9214" max="9214" width="14.6640625" style="4" customWidth="1"/>
    <col min="9215" max="9215" width="2.6640625" style="4" customWidth="1"/>
    <col min="9216" max="9216" width="2.44140625" style="4" customWidth="1"/>
    <col min="9217" max="9217" width="28.6640625" style="4" customWidth="1"/>
    <col min="9218" max="9462" width="8.88671875" style="4"/>
    <col min="9463" max="9464" width="2.6640625" style="4" customWidth="1"/>
    <col min="9465" max="9465" width="7" style="4" customWidth="1"/>
    <col min="9466" max="9466" width="2.44140625" style="4" customWidth="1"/>
    <col min="9467" max="9467" width="5.6640625" style="4" customWidth="1"/>
    <col min="9468" max="9468" width="68.6640625" style="4" customWidth="1"/>
    <col min="9469" max="9469" width="2.6640625" style="4" customWidth="1"/>
    <col min="9470" max="9470" width="14.6640625" style="4" customWidth="1"/>
    <col min="9471" max="9471" width="2.6640625" style="4" customWidth="1"/>
    <col min="9472" max="9472" width="2.44140625" style="4" customWidth="1"/>
    <col min="9473" max="9473" width="28.6640625" style="4" customWidth="1"/>
    <col min="9474" max="9718" width="8.88671875" style="4"/>
    <col min="9719" max="9720" width="2.6640625" style="4" customWidth="1"/>
    <col min="9721" max="9721" width="7" style="4" customWidth="1"/>
    <col min="9722" max="9722" width="2.44140625" style="4" customWidth="1"/>
    <col min="9723" max="9723" width="5.6640625" style="4" customWidth="1"/>
    <col min="9724" max="9724" width="68.6640625" style="4" customWidth="1"/>
    <col min="9725" max="9725" width="2.6640625" style="4" customWidth="1"/>
    <col min="9726" max="9726" width="14.6640625" style="4" customWidth="1"/>
    <col min="9727" max="9727" width="2.6640625" style="4" customWidth="1"/>
    <col min="9728" max="9728" width="2.44140625" style="4" customWidth="1"/>
    <col min="9729" max="9729" width="28.6640625" style="4" customWidth="1"/>
    <col min="9730" max="9974" width="8.88671875" style="4"/>
    <col min="9975" max="9976" width="2.6640625" style="4" customWidth="1"/>
    <col min="9977" max="9977" width="7" style="4" customWidth="1"/>
    <col min="9978" max="9978" width="2.44140625" style="4" customWidth="1"/>
    <col min="9979" max="9979" width="5.6640625" style="4" customWidth="1"/>
    <col min="9980" max="9980" width="68.6640625" style="4" customWidth="1"/>
    <col min="9981" max="9981" width="2.6640625" style="4" customWidth="1"/>
    <col min="9982" max="9982" width="14.6640625" style="4" customWidth="1"/>
    <col min="9983" max="9983" width="2.6640625" style="4" customWidth="1"/>
    <col min="9984" max="9984" width="2.44140625" style="4" customWidth="1"/>
    <col min="9985" max="9985" width="28.6640625" style="4" customWidth="1"/>
    <col min="9986" max="10230" width="8.88671875" style="4"/>
    <col min="10231" max="10232" width="2.6640625" style="4" customWidth="1"/>
    <col min="10233" max="10233" width="7" style="4" customWidth="1"/>
    <col min="10234" max="10234" width="2.44140625" style="4" customWidth="1"/>
    <col min="10235" max="10235" width="5.6640625" style="4" customWidth="1"/>
    <col min="10236" max="10236" width="68.6640625" style="4" customWidth="1"/>
    <col min="10237" max="10237" width="2.6640625" style="4" customWidth="1"/>
    <col min="10238" max="10238" width="14.6640625" style="4" customWidth="1"/>
    <col min="10239" max="10239" width="2.6640625" style="4" customWidth="1"/>
    <col min="10240" max="10240" width="2.44140625" style="4" customWidth="1"/>
    <col min="10241" max="10241" width="28.6640625" style="4" customWidth="1"/>
    <col min="10242" max="10486" width="8.88671875" style="4"/>
    <col min="10487" max="10488" width="2.6640625" style="4" customWidth="1"/>
    <col min="10489" max="10489" width="7" style="4" customWidth="1"/>
    <col min="10490" max="10490" width="2.44140625" style="4" customWidth="1"/>
    <col min="10491" max="10491" width="5.6640625" style="4" customWidth="1"/>
    <col min="10492" max="10492" width="68.6640625" style="4" customWidth="1"/>
    <col min="10493" max="10493" width="2.6640625" style="4" customWidth="1"/>
    <col min="10494" max="10494" width="14.6640625" style="4" customWidth="1"/>
    <col min="10495" max="10495" width="2.6640625" style="4" customWidth="1"/>
    <col min="10496" max="10496" width="2.44140625" style="4" customWidth="1"/>
    <col min="10497" max="10497" width="28.6640625" style="4" customWidth="1"/>
    <col min="10498" max="10742" width="8.88671875" style="4"/>
    <col min="10743" max="10744" width="2.6640625" style="4" customWidth="1"/>
    <col min="10745" max="10745" width="7" style="4" customWidth="1"/>
    <col min="10746" max="10746" width="2.44140625" style="4" customWidth="1"/>
    <col min="10747" max="10747" width="5.6640625" style="4" customWidth="1"/>
    <col min="10748" max="10748" width="68.6640625" style="4" customWidth="1"/>
    <col min="10749" max="10749" width="2.6640625" style="4" customWidth="1"/>
    <col min="10750" max="10750" width="14.6640625" style="4" customWidth="1"/>
    <col min="10751" max="10751" width="2.6640625" style="4" customWidth="1"/>
    <col min="10752" max="10752" width="2.44140625" style="4" customWidth="1"/>
    <col min="10753" max="10753" width="28.6640625" style="4" customWidth="1"/>
    <col min="10754" max="10998" width="8.88671875" style="4"/>
    <col min="10999" max="11000" width="2.6640625" style="4" customWidth="1"/>
    <col min="11001" max="11001" width="7" style="4" customWidth="1"/>
    <col min="11002" max="11002" width="2.44140625" style="4" customWidth="1"/>
    <col min="11003" max="11003" width="5.6640625" style="4" customWidth="1"/>
    <col min="11004" max="11004" width="68.6640625" style="4" customWidth="1"/>
    <col min="11005" max="11005" width="2.6640625" style="4" customWidth="1"/>
    <col min="11006" max="11006" width="14.6640625" style="4" customWidth="1"/>
    <col min="11007" max="11007" width="2.6640625" style="4" customWidth="1"/>
    <col min="11008" max="11008" width="2.44140625" style="4" customWidth="1"/>
    <col min="11009" max="11009" width="28.6640625" style="4" customWidth="1"/>
    <col min="11010" max="11254" width="8.88671875" style="4"/>
    <col min="11255" max="11256" width="2.6640625" style="4" customWidth="1"/>
    <col min="11257" max="11257" width="7" style="4" customWidth="1"/>
    <col min="11258" max="11258" width="2.44140625" style="4" customWidth="1"/>
    <col min="11259" max="11259" width="5.6640625" style="4" customWidth="1"/>
    <col min="11260" max="11260" width="68.6640625" style="4" customWidth="1"/>
    <col min="11261" max="11261" width="2.6640625" style="4" customWidth="1"/>
    <col min="11262" max="11262" width="14.6640625" style="4" customWidth="1"/>
    <col min="11263" max="11263" width="2.6640625" style="4" customWidth="1"/>
    <col min="11264" max="11264" width="2.44140625" style="4" customWidth="1"/>
    <col min="11265" max="11265" width="28.6640625" style="4" customWidth="1"/>
    <col min="11266" max="11510" width="8.88671875" style="4"/>
    <col min="11511" max="11512" width="2.6640625" style="4" customWidth="1"/>
    <col min="11513" max="11513" width="7" style="4" customWidth="1"/>
    <col min="11514" max="11514" width="2.44140625" style="4" customWidth="1"/>
    <col min="11515" max="11515" width="5.6640625" style="4" customWidth="1"/>
    <col min="11516" max="11516" width="68.6640625" style="4" customWidth="1"/>
    <col min="11517" max="11517" width="2.6640625" style="4" customWidth="1"/>
    <col min="11518" max="11518" width="14.6640625" style="4" customWidth="1"/>
    <col min="11519" max="11519" width="2.6640625" style="4" customWidth="1"/>
    <col min="11520" max="11520" width="2.44140625" style="4" customWidth="1"/>
    <col min="11521" max="11521" width="28.6640625" style="4" customWidth="1"/>
    <col min="11522" max="11766" width="8.88671875" style="4"/>
    <col min="11767" max="11768" width="2.6640625" style="4" customWidth="1"/>
    <col min="11769" max="11769" width="7" style="4" customWidth="1"/>
    <col min="11770" max="11770" width="2.44140625" style="4" customWidth="1"/>
    <col min="11771" max="11771" width="5.6640625" style="4" customWidth="1"/>
    <col min="11772" max="11772" width="68.6640625" style="4" customWidth="1"/>
    <col min="11773" max="11773" width="2.6640625" style="4" customWidth="1"/>
    <col min="11774" max="11774" width="14.6640625" style="4" customWidth="1"/>
    <col min="11775" max="11775" width="2.6640625" style="4" customWidth="1"/>
    <col min="11776" max="11776" width="2.44140625" style="4" customWidth="1"/>
    <col min="11777" max="11777" width="28.6640625" style="4" customWidth="1"/>
    <col min="11778" max="12022" width="8.88671875" style="4"/>
    <col min="12023" max="12024" width="2.6640625" style="4" customWidth="1"/>
    <col min="12025" max="12025" width="7" style="4" customWidth="1"/>
    <col min="12026" max="12026" width="2.44140625" style="4" customWidth="1"/>
    <col min="12027" max="12027" width="5.6640625" style="4" customWidth="1"/>
    <col min="12028" max="12028" width="68.6640625" style="4" customWidth="1"/>
    <col min="12029" max="12029" width="2.6640625" style="4" customWidth="1"/>
    <col min="12030" max="12030" width="14.6640625" style="4" customWidth="1"/>
    <col min="12031" max="12031" width="2.6640625" style="4" customWidth="1"/>
    <col min="12032" max="12032" width="2.44140625" style="4" customWidth="1"/>
    <col min="12033" max="12033" width="28.6640625" style="4" customWidth="1"/>
    <col min="12034" max="12278" width="8.88671875" style="4"/>
    <col min="12279" max="12280" width="2.6640625" style="4" customWidth="1"/>
    <col min="12281" max="12281" width="7" style="4" customWidth="1"/>
    <col min="12282" max="12282" width="2.44140625" style="4" customWidth="1"/>
    <col min="12283" max="12283" width="5.6640625" style="4" customWidth="1"/>
    <col min="12284" max="12284" width="68.6640625" style="4" customWidth="1"/>
    <col min="12285" max="12285" width="2.6640625" style="4" customWidth="1"/>
    <col min="12286" max="12286" width="14.6640625" style="4" customWidth="1"/>
    <col min="12287" max="12287" width="2.6640625" style="4" customWidth="1"/>
    <col min="12288" max="12288" width="2.44140625" style="4" customWidth="1"/>
    <col min="12289" max="12289" width="28.6640625" style="4" customWidth="1"/>
    <col min="12290" max="12534" width="8.88671875" style="4"/>
    <col min="12535" max="12536" width="2.6640625" style="4" customWidth="1"/>
    <col min="12537" max="12537" width="7" style="4" customWidth="1"/>
    <col min="12538" max="12538" width="2.44140625" style="4" customWidth="1"/>
    <col min="12539" max="12539" width="5.6640625" style="4" customWidth="1"/>
    <col min="12540" max="12540" width="68.6640625" style="4" customWidth="1"/>
    <col min="12541" max="12541" width="2.6640625" style="4" customWidth="1"/>
    <col min="12542" max="12542" width="14.6640625" style="4" customWidth="1"/>
    <col min="12543" max="12543" width="2.6640625" style="4" customWidth="1"/>
    <col min="12544" max="12544" width="2.44140625" style="4" customWidth="1"/>
    <col min="12545" max="12545" width="28.6640625" style="4" customWidth="1"/>
    <col min="12546" max="12790" width="8.88671875" style="4"/>
    <col min="12791" max="12792" width="2.6640625" style="4" customWidth="1"/>
    <col min="12793" max="12793" width="7" style="4" customWidth="1"/>
    <col min="12794" max="12794" width="2.44140625" style="4" customWidth="1"/>
    <col min="12795" max="12795" width="5.6640625" style="4" customWidth="1"/>
    <col min="12796" max="12796" width="68.6640625" style="4" customWidth="1"/>
    <col min="12797" max="12797" width="2.6640625" style="4" customWidth="1"/>
    <col min="12798" max="12798" width="14.6640625" style="4" customWidth="1"/>
    <col min="12799" max="12799" width="2.6640625" style="4" customWidth="1"/>
    <col min="12800" max="12800" width="2.44140625" style="4" customWidth="1"/>
    <col min="12801" max="12801" width="28.6640625" style="4" customWidth="1"/>
    <col min="12802" max="13046" width="8.88671875" style="4"/>
    <col min="13047" max="13048" width="2.6640625" style="4" customWidth="1"/>
    <col min="13049" max="13049" width="7" style="4" customWidth="1"/>
    <col min="13050" max="13050" width="2.44140625" style="4" customWidth="1"/>
    <col min="13051" max="13051" width="5.6640625" style="4" customWidth="1"/>
    <col min="13052" max="13052" width="68.6640625" style="4" customWidth="1"/>
    <col min="13053" max="13053" width="2.6640625" style="4" customWidth="1"/>
    <col min="13054" max="13054" width="14.6640625" style="4" customWidth="1"/>
    <col min="13055" max="13055" width="2.6640625" style="4" customWidth="1"/>
    <col min="13056" max="13056" width="2.44140625" style="4" customWidth="1"/>
    <col min="13057" max="13057" width="28.6640625" style="4" customWidth="1"/>
    <col min="13058" max="13302" width="8.88671875" style="4"/>
    <col min="13303" max="13304" width="2.6640625" style="4" customWidth="1"/>
    <col min="13305" max="13305" width="7" style="4" customWidth="1"/>
    <col min="13306" max="13306" width="2.44140625" style="4" customWidth="1"/>
    <col min="13307" max="13307" width="5.6640625" style="4" customWidth="1"/>
    <col min="13308" max="13308" width="68.6640625" style="4" customWidth="1"/>
    <col min="13309" max="13309" width="2.6640625" style="4" customWidth="1"/>
    <col min="13310" max="13310" width="14.6640625" style="4" customWidth="1"/>
    <col min="13311" max="13311" width="2.6640625" style="4" customWidth="1"/>
    <col min="13312" max="13312" width="2.44140625" style="4" customWidth="1"/>
    <col min="13313" max="13313" width="28.6640625" style="4" customWidth="1"/>
    <col min="13314" max="13558" width="8.88671875" style="4"/>
    <col min="13559" max="13560" width="2.6640625" style="4" customWidth="1"/>
    <col min="13561" max="13561" width="7" style="4" customWidth="1"/>
    <col min="13562" max="13562" width="2.44140625" style="4" customWidth="1"/>
    <col min="13563" max="13563" width="5.6640625" style="4" customWidth="1"/>
    <col min="13564" max="13564" width="68.6640625" style="4" customWidth="1"/>
    <col min="13565" max="13565" width="2.6640625" style="4" customWidth="1"/>
    <col min="13566" max="13566" width="14.6640625" style="4" customWidth="1"/>
    <col min="13567" max="13567" width="2.6640625" style="4" customWidth="1"/>
    <col min="13568" max="13568" width="2.44140625" style="4" customWidth="1"/>
    <col min="13569" max="13569" width="28.6640625" style="4" customWidth="1"/>
    <col min="13570" max="13814" width="8.88671875" style="4"/>
    <col min="13815" max="13816" width="2.6640625" style="4" customWidth="1"/>
    <col min="13817" max="13817" width="7" style="4" customWidth="1"/>
    <col min="13818" max="13818" width="2.44140625" style="4" customWidth="1"/>
    <col min="13819" max="13819" width="5.6640625" style="4" customWidth="1"/>
    <col min="13820" max="13820" width="68.6640625" style="4" customWidth="1"/>
    <col min="13821" max="13821" width="2.6640625" style="4" customWidth="1"/>
    <col min="13822" max="13822" width="14.6640625" style="4" customWidth="1"/>
    <col min="13823" max="13823" width="2.6640625" style="4" customWidth="1"/>
    <col min="13824" max="13824" width="2.44140625" style="4" customWidth="1"/>
    <col min="13825" max="13825" width="28.6640625" style="4" customWidth="1"/>
    <col min="13826" max="14070" width="8.88671875" style="4"/>
    <col min="14071" max="14072" width="2.6640625" style="4" customWidth="1"/>
    <col min="14073" max="14073" width="7" style="4" customWidth="1"/>
    <col min="14074" max="14074" width="2.44140625" style="4" customWidth="1"/>
    <col min="14075" max="14075" width="5.6640625" style="4" customWidth="1"/>
    <col min="14076" max="14076" width="68.6640625" style="4" customWidth="1"/>
    <col min="14077" max="14077" width="2.6640625" style="4" customWidth="1"/>
    <col min="14078" max="14078" width="14.6640625" style="4" customWidth="1"/>
    <col min="14079" max="14079" width="2.6640625" style="4" customWidth="1"/>
    <col min="14080" max="14080" width="2.44140625" style="4" customWidth="1"/>
    <col min="14081" max="14081" width="28.6640625" style="4" customWidth="1"/>
    <col min="14082" max="14326" width="8.88671875" style="4"/>
    <col min="14327" max="14328" width="2.6640625" style="4" customWidth="1"/>
    <col min="14329" max="14329" width="7" style="4" customWidth="1"/>
    <col min="14330" max="14330" width="2.44140625" style="4" customWidth="1"/>
    <col min="14331" max="14331" width="5.6640625" style="4" customWidth="1"/>
    <col min="14332" max="14332" width="68.6640625" style="4" customWidth="1"/>
    <col min="14333" max="14333" width="2.6640625" style="4" customWidth="1"/>
    <col min="14334" max="14334" width="14.6640625" style="4" customWidth="1"/>
    <col min="14335" max="14335" width="2.6640625" style="4" customWidth="1"/>
    <col min="14336" max="14336" width="2.44140625" style="4" customWidth="1"/>
    <col min="14337" max="14337" width="28.6640625" style="4" customWidth="1"/>
    <col min="14338" max="14582" width="8.88671875" style="4"/>
    <col min="14583" max="14584" width="2.6640625" style="4" customWidth="1"/>
    <col min="14585" max="14585" width="7" style="4" customWidth="1"/>
    <col min="14586" max="14586" width="2.44140625" style="4" customWidth="1"/>
    <col min="14587" max="14587" width="5.6640625" style="4" customWidth="1"/>
    <col min="14588" max="14588" width="68.6640625" style="4" customWidth="1"/>
    <col min="14589" max="14589" width="2.6640625" style="4" customWidth="1"/>
    <col min="14590" max="14590" width="14.6640625" style="4" customWidth="1"/>
    <col min="14591" max="14591" width="2.6640625" style="4" customWidth="1"/>
    <col min="14592" max="14592" width="2.44140625" style="4" customWidth="1"/>
    <col min="14593" max="14593" width="28.6640625" style="4" customWidth="1"/>
    <col min="14594" max="14838" width="8.88671875" style="4"/>
    <col min="14839" max="14840" width="2.6640625" style="4" customWidth="1"/>
    <col min="14841" max="14841" width="7" style="4" customWidth="1"/>
    <col min="14842" max="14842" width="2.44140625" style="4" customWidth="1"/>
    <col min="14843" max="14843" width="5.6640625" style="4" customWidth="1"/>
    <col min="14844" max="14844" width="68.6640625" style="4" customWidth="1"/>
    <col min="14845" max="14845" width="2.6640625" style="4" customWidth="1"/>
    <col min="14846" max="14846" width="14.6640625" style="4" customWidth="1"/>
    <col min="14847" max="14847" width="2.6640625" style="4" customWidth="1"/>
    <col min="14848" max="14848" width="2.44140625" style="4" customWidth="1"/>
    <col min="14849" max="14849" width="28.6640625" style="4" customWidth="1"/>
    <col min="14850" max="15094" width="8.88671875" style="4"/>
    <col min="15095" max="15096" width="2.6640625" style="4" customWidth="1"/>
    <col min="15097" max="15097" width="7" style="4" customWidth="1"/>
    <col min="15098" max="15098" width="2.44140625" style="4" customWidth="1"/>
    <col min="15099" max="15099" width="5.6640625" style="4" customWidth="1"/>
    <col min="15100" max="15100" width="68.6640625" style="4" customWidth="1"/>
    <col min="15101" max="15101" width="2.6640625" style="4" customWidth="1"/>
    <col min="15102" max="15102" width="14.6640625" style="4" customWidth="1"/>
    <col min="15103" max="15103" width="2.6640625" style="4" customWidth="1"/>
    <col min="15104" max="15104" width="2.44140625" style="4" customWidth="1"/>
    <col min="15105" max="15105" width="28.6640625" style="4" customWidth="1"/>
    <col min="15106" max="15350" width="8.88671875" style="4"/>
    <col min="15351" max="15352" width="2.6640625" style="4" customWidth="1"/>
    <col min="15353" max="15353" width="7" style="4" customWidth="1"/>
    <col min="15354" max="15354" width="2.44140625" style="4" customWidth="1"/>
    <col min="15355" max="15355" width="5.6640625" style="4" customWidth="1"/>
    <col min="15356" max="15356" width="68.6640625" style="4" customWidth="1"/>
    <col min="15357" max="15357" width="2.6640625" style="4" customWidth="1"/>
    <col min="15358" max="15358" width="14.6640625" style="4" customWidth="1"/>
    <col min="15359" max="15359" width="2.6640625" style="4" customWidth="1"/>
    <col min="15360" max="15360" width="2.44140625" style="4" customWidth="1"/>
    <col min="15361" max="15361" width="28.6640625" style="4" customWidth="1"/>
    <col min="15362" max="15606" width="8.88671875" style="4"/>
    <col min="15607" max="15608" width="2.6640625" style="4" customWidth="1"/>
    <col min="15609" max="15609" width="7" style="4" customWidth="1"/>
    <col min="15610" max="15610" width="2.44140625" style="4" customWidth="1"/>
    <col min="15611" max="15611" width="5.6640625" style="4" customWidth="1"/>
    <col min="15612" max="15612" width="68.6640625" style="4" customWidth="1"/>
    <col min="15613" max="15613" width="2.6640625" style="4" customWidth="1"/>
    <col min="15614" max="15614" width="14.6640625" style="4" customWidth="1"/>
    <col min="15615" max="15615" width="2.6640625" style="4" customWidth="1"/>
    <col min="15616" max="15616" width="2.44140625" style="4" customWidth="1"/>
    <col min="15617" max="15617" width="28.6640625" style="4" customWidth="1"/>
    <col min="15618" max="15862" width="8.88671875" style="4"/>
    <col min="15863" max="15864" width="2.6640625" style="4" customWidth="1"/>
    <col min="15865" max="15865" width="7" style="4" customWidth="1"/>
    <col min="15866" max="15866" width="2.44140625" style="4" customWidth="1"/>
    <col min="15867" max="15867" width="5.6640625" style="4" customWidth="1"/>
    <col min="15868" max="15868" width="68.6640625" style="4" customWidth="1"/>
    <col min="15869" max="15869" width="2.6640625" style="4" customWidth="1"/>
    <col min="15870" max="15870" width="14.6640625" style="4" customWidth="1"/>
    <col min="15871" max="15871" width="2.6640625" style="4" customWidth="1"/>
    <col min="15872" max="15872" width="2.44140625" style="4" customWidth="1"/>
    <col min="15873" max="15873" width="28.6640625" style="4" customWidth="1"/>
    <col min="15874" max="16118" width="8.88671875" style="4"/>
    <col min="16119" max="16120" width="2.6640625" style="4" customWidth="1"/>
    <col min="16121" max="16121" width="7" style="4" customWidth="1"/>
    <col min="16122" max="16122" width="2.44140625" style="4" customWidth="1"/>
    <col min="16123" max="16123" width="5.6640625" style="4" customWidth="1"/>
    <col min="16124" max="16124" width="68.6640625" style="4" customWidth="1"/>
    <col min="16125" max="16125" width="2.6640625" style="4" customWidth="1"/>
    <col min="16126" max="16126" width="14.6640625" style="4" customWidth="1"/>
    <col min="16127" max="16127" width="2.6640625" style="4" customWidth="1"/>
    <col min="16128" max="16128" width="2.44140625" style="4" customWidth="1"/>
    <col min="16129" max="16129" width="28.6640625" style="4" customWidth="1"/>
    <col min="16130" max="16384" width="8.88671875" style="4"/>
  </cols>
  <sheetData>
    <row r="2" spans="2:11" ht="15" customHeight="1" x14ac:dyDescent="0.3">
      <c r="B2" s="1"/>
      <c r="C2" s="2">
        <v>1</v>
      </c>
      <c r="D2" s="2"/>
      <c r="E2" s="2"/>
      <c r="F2" s="2"/>
      <c r="G2" s="2"/>
      <c r="H2" s="2"/>
      <c r="I2" s="2"/>
      <c r="J2" s="2"/>
      <c r="K2" s="3"/>
    </row>
    <row r="3" spans="2:11" ht="24.75" customHeight="1" x14ac:dyDescent="0.3">
      <c r="B3" s="5"/>
      <c r="C3" s="6">
        <v>1</v>
      </c>
      <c r="D3" s="7" t="s">
        <v>220</v>
      </c>
      <c r="E3" s="6"/>
      <c r="F3" s="8"/>
      <c r="G3" s="8"/>
      <c r="H3" s="8"/>
      <c r="I3" s="8"/>
      <c r="J3" s="8"/>
      <c r="K3" s="9"/>
    </row>
    <row r="4" spans="2:11" ht="15" customHeight="1" x14ac:dyDescent="0.3">
      <c r="B4" s="5"/>
      <c r="C4" s="6">
        <v>1</v>
      </c>
      <c r="D4" s="10" t="s">
        <v>221</v>
      </c>
      <c r="E4" s="6"/>
      <c r="F4" s="11"/>
      <c r="G4" s="8"/>
      <c r="H4" s="8"/>
      <c r="I4" s="8"/>
      <c r="J4" s="8"/>
      <c r="K4" s="12"/>
    </row>
    <row r="5" spans="2:11" ht="15" customHeight="1" x14ac:dyDescent="0.3">
      <c r="B5" s="5"/>
      <c r="C5" s="6">
        <v>1</v>
      </c>
      <c r="D5" s="10"/>
      <c r="E5" s="6"/>
      <c r="F5" s="11"/>
      <c r="G5" s="8"/>
      <c r="H5" s="8"/>
      <c r="I5" s="8"/>
      <c r="J5" s="8"/>
      <c r="K5" s="12"/>
    </row>
    <row r="6" spans="2:11" ht="14.25" customHeight="1" x14ac:dyDescent="0.3">
      <c r="B6" s="5"/>
      <c r="C6" s="6">
        <v>1</v>
      </c>
      <c r="D6" s="33"/>
      <c r="E6" s="34"/>
      <c r="F6" s="34"/>
      <c r="G6" s="35"/>
      <c r="H6" s="35"/>
      <c r="I6" s="35"/>
      <c r="J6" s="35"/>
      <c r="K6" s="13"/>
    </row>
    <row r="7" spans="2:11" ht="15" customHeight="1" x14ac:dyDescent="0.3">
      <c r="B7" s="5"/>
      <c r="C7" s="6">
        <v>1</v>
      </c>
      <c r="D7" s="14" t="s">
        <v>222</v>
      </c>
      <c r="E7" s="6"/>
      <c r="F7" s="156"/>
      <c r="G7" s="124"/>
      <c r="H7" s="155"/>
      <c r="I7" s="155"/>
      <c r="J7" s="155"/>
      <c r="K7" s="12"/>
    </row>
    <row r="8" spans="2:11" ht="9" customHeight="1" x14ac:dyDescent="0.3">
      <c r="B8" s="5"/>
      <c r="C8" s="6">
        <v>1</v>
      </c>
      <c r="D8" s="10"/>
      <c r="E8" s="6"/>
      <c r="F8" s="156"/>
      <c r="G8" s="11"/>
      <c r="H8" s="8"/>
      <c r="I8" s="8"/>
      <c r="J8" s="8"/>
      <c r="K8" s="12"/>
    </row>
    <row r="9" spans="2:11" ht="15" customHeight="1" x14ac:dyDescent="0.3">
      <c r="B9" s="5"/>
      <c r="C9" s="6">
        <v>1</v>
      </c>
      <c r="D9" s="14" t="s">
        <v>223</v>
      </c>
      <c r="E9" s="6"/>
      <c r="F9" s="156"/>
      <c r="G9" s="124"/>
      <c r="H9" s="8"/>
      <c r="I9" s="8"/>
      <c r="J9" s="8"/>
      <c r="K9" s="12"/>
    </row>
    <row r="10" spans="2:11" ht="15" customHeight="1" x14ac:dyDescent="0.3">
      <c r="B10" s="5"/>
      <c r="C10" s="6">
        <v>1</v>
      </c>
      <c r="D10" s="29"/>
      <c r="E10" s="30"/>
      <c r="F10" s="31"/>
      <c r="G10" s="32"/>
      <c r="H10" s="32"/>
      <c r="I10" s="32"/>
      <c r="J10" s="32"/>
      <c r="K10" s="12"/>
    </row>
    <row r="11" spans="2:11" ht="27.75" customHeight="1" x14ac:dyDescent="0.3">
      <c r="B11" s="5"/>
      <c r="C11" s="6">
        <v>1</v>
      </c>
      <c r="D11" s="6"/>
      <c r="E11" s="11"/>
      <c r="F11" s="11"/>
      <c r="G11" s="8"/>
      <c r="H11" s="8"/>
      <c r="I11" s="8"/>
      <c r="J11" s="8"/>
      <c r="K11" s="13"/>
    </row>
    <row r="12" spans="2:11" ht="15" customHeight="1" x14ac:dyDescent="0.3">
      <c r="B12" s="5"/>
      <c r="C12" s="6">
        <v>1</v>
      </c>
      <c r="D12" s="14"/>
      <c r="E12" s="8"/>
      <c r="F12" s="8"/>
      <c r="G12" s="8"/>
      <c r="H12" s="8"/>
      <c r="I12" s="8"/>
      <c r="J12" s="8"/>
      <c r="K12" s="9"/>
    </row>
    <row r="13" spans="2:11" ht="15" customHeight="1" x14ac:dyDescent="0.3">
      <c r="B13" s="5"/>
      <c r="C13" s="6">
        <v>1</v>
      </c>
      <c r="D13" s="14"/>
      <c r="E13" s="8"/>
      <c r="F13" s="8"/>
      <c r="G13" s="8"/>
      <c r="H13" s="8"/>
      <c r="I13" s="8"/>
      <c r="J13" s="8"/>
      <c r="K13" s="9"/>
    </row>
    <row r="14" spans="2:11" ht="21" customHeight="1" x14ac:dyDescent="0.25">
      <c r="B14" s="5"/>
      <c r="C14" s="6">
        <v>1</v>
      </c>
      <c r="D14" s="795" t="s">
        <v>212</v>
      </c>
      <c r="E14" s="798" t="s">
        <v>213</v>
      </c>
      <c r="F14" s="799"/>
      <c r="G14" s="800"/>
      <c r="H14" s="798" t="s">
        <v>214</v>
      </c>
      <c r="I14" s="799"/>
      <c r="J14" s="800"/>
      <c r="K14" s="12"/>
    </row>
    <row r="15" spans="2:11" ht="21" customHeight="1" x14ac:dyDescent="0.3">
      <c r="B15" s="5"/>
      <c r="C15" s="6"/>
      <c r="D15" s="796"/>
      <c r="E15" s="801" t="str">
        <f>IF(Instructions!T57=1,"(gallons/year)","(liters/year)")</f>
        <v>(gallons/year)</v>
      </c>
      <c r="F15" s="802"/>
      <c r="G15" s="803"/>
      <c r="H15" s="801" t="str">
        <f>IF(Instructions!T57=1,"(gallons/year)","(liters/year)")</f>
        <v>(gallons/year)</v>
      </c>
      <c r="I15" s="802"/>
      <c r="J15" s="803"/>
      <c r="K15" s="12"/>
    </row>
    <row r="16" spans="2:11" ht="57" customHeight="1" x14ac:dyDescent="0.3">
      <c r="B16" s="5"/>
      <c r="C16" s="6">
        <v>1</v>
      </c>
      <c r="D16" s="797"/>
      <c r="E16" s="157" t="s">
        <v>215</v>
      </c>
      <c r="F16" s="42" t="s">
        <v>216</v>
      </c>
      <c r="G16" s="203" t="s">
        <v>217</v>
      </c>
      <c r="H16" s="157" t="s">
        <v>215</v>
      </c>
      <c r="I16" s="42" t="s">
        <v>216</v>
      </c>
      <c r="J16" s="203" t="s">
        <v>217</v>
      </c>
      <c r="K16" s="12"/>
    </row>
    <row r="17" spans="2:11" ht="15.75" customHeight="1" x14ac:dyDescent="0.3">
      <c r="B17" s="5"/>
      <c r="C17" s="6">
        <f t="shared" ref="C17" ca="1" si="0">IF(OR(D17="Instructions",D17="Base Calc",D17="Lowrise Indoor Water Use",D17="Lowrise Wastewater Use",D17="Summary D+C",D17="Summary O+M",D17="Summary ND",D17="",D17=0),0,1)</f>
        <v>1</v>
      </c>
      <c r="D17" s="221" t="str">
        <f ca="1">IFERROR(INDEX(MID(Sheets,FIND("]",Sheets)+1,255),ROW(A2),1),"")</f>
        <v>Group 1</v>
      </c>
      <c r="E17" s="222">
        <f ca="1">INDIRECT("'"&amp;D17&amp;"'!$Z$12")</f>
        <v>0</v>
      </c>
      <c r="F17" s="220">
        <f ca="1">INDIRECT("'"&amp;$D17&amp;"'!$Z$11")</f>
        <v>0</v>
      </c>
      <c r="G17" s="223">
        <f t="shared" ref="G17" ca="1" si="1">E17+F17</f>
        <v>0</v>
      </c>
      <c r="H17" s="220">
        <f ca="1">INDIRECT("'"&amp;$D17&amp;"'!$Z$14")</f>
        <v>0</v>
      </c>
      <c r="I17" s="220">
        <f ca="1">INDIRECT("'"&amp;$D17&amp;"'!$Z$13")</f>
        <v>0</v>
      </c>
      <c r="J17" s="223">
        <f t="shared" ref="J17" ca="1" si="2">H17+I17</f>
        <v>0</v>
      </c>
      <c r="K17" s="12"/>
    </row>
    <row r="18" spans="2:11" ht="13.5" customHeight="1" x14ac:dyDescent="0.3">
      <c r="B18" s="5"/>
      <c r="C18" s="6">
        <v>1</v>
      </c>
      <c r="D18" s="6"/>
      <c r="E18" s="15"/>
      <c r="F18" s="15"/>
      <c r="G18" s="16"/>
      <c r="H18" s="15"/>
      <c r="I18" s="15"/>
      <c r="J18" s="16"/>
      <c r="K18" s="12"/>
    </row>
    <row r="19" spans="2:11" ht="21" customHeight="1" x14ac:dyDescent="0.3">
      <c r="B19" s="17" t="s">
        <v>109</v>
      </c>
      <c r="C19" s="6">
        <v>1</v>
      </c>
      <c r="D19" s="204" t="str">
        <f>IF(Instructions!T57=1,"Annual baseline water consumption (gallons/year)","Annual baseline water consumption (liters/year)")</f>
        <v>Annual baseline water consumption (gallons/year)</v>
      </c>
      <c r="E19" s="214"/>
      <c r="F19" s="214"/>
      <c r="G19" s="214"/>
      <c r="H19" s="214"/>
      <c r="I19" s="215"/>
      <c r="J19" s="210">
        <f ca="1">SUM(G17:G18)</f>
        <v>0</v>
      </c>
      <c r="K19" s="12"/>
    </row>
    <row r="20" spans="2:11" ht="21" customHeight="1" x14ac:dyDescent="0.3">
      <c r="B20" s="5"/>
      <c r="C20" s="6">
        <v>1</v>
      </c>
      <c r="D20" s="206" t="str">
        <f>IF(Instructions!T57=1,"Annual design water consumption (gallons/year)","Annual design water consumption (liters/year)")</f>
        <v>Annual design water consumption (gallons/year)</v>
      </c>
      <c r="E20" s="216"/>
      <c r="F20" s="216"/>
      <c r="G20" s="216"/>
      <c r="H20" s="216"/>
      <c r="I20" s="217"/>
      <c r="J20" s="211">
        <f ca="1">SUM(J17:J18)</f>
        <v>0</v>
      </c>
      <c r="K20" s="12"/>
    </row>
    <row r="21" spans="2:11" ht="21" customHeight="1" x14ac:dyDescent="0.3">
      <c r="B21" s="5"/>
      <c r="C21" s="6">
        <v>1</v>
      </c>
      <c r="D21" s="206" t="s">
        <v>224</v>
      </c>
      <c r="E21" s="216"/>
      <c r="F21" s="216"/>
      <c r="G21" s="216"/>
      <c r="H21" s="216"/>
      <c r="I21" s="217"/>
      <c r="J21" s="213">
        <f>((G7*150%)+(G9*120%))</f>
        <v>0</v>
      </c>
      <c r="K21" s="12"/>
    </row>
    <row r="22" spans="2:11" ht="21" customHeight="1" x14ac:dyDescent="0.3">
      <c r="B22" s="5"/>
      <c r="C22" s="6">
        <v>1</v>
      </c>
      <c r="D22" s="206" t="str">
        <f>IF(Instructions!T57=1,"Water consumption maximum (gallons/year)","Water consumption maximum (liters/year)")</f>
        <v>Water consumption maximum (gallons/year)</v>
      </c>
      <c r="E22" s="216"/>
      <c r="F22" s="216"/>
      <c r="G22" s="216"/>
      <c r="H22" s="216"/>
      <c r="I22" s="217"/>
      <c r="J22" s="211">
        <f ca="1">J19*J21</f>
        <v>0</v>
      </c>
      <c r="K22" s="12"/>
    </row>
    <row r="23" spans="2:11" ht="21" customHeight="1" x14ac:dyDescent="0.3">
      <c r="B23" s="5"/>
      <c r="C23" s="6">
        <v>1</v>
      </c>
      <c r="D23" s="208" t="s">
        <v>225</v>
      </c>
      <c r="E23" s="218"/>
      <c r="F23" s="218"/>
      <c r="G23" s="218"/>
      <c r="H23" s="218"/>
      <c r="I23" s="219"/>
      <c r="J23" s="212">
        <f ca="1">IF(J22=0,0,(J22-J20)/J22)</f>
        <v>0</v>
      </c>
      <c r="K23" s="12"/>
    </row>
    <row r="24" spans="2:11" ht="20.25" customHeight="1" x14ac:dyDescent="0.3">
      <c r="B24" s="18"/>
      <c r="C24" s="19">
        <v>1</v>
      </c>
      <c r="D24" s="20"/>
      <c r="E24" s="19"/>
      <c r="F24" s="21"/>
      <c r="G24" s="19"/>
      <c r="H24" s="21"/>
      <c r="I24" s="19"/>
      <c r="J24" s="19"/>
      <c r="K24" s="22"/>
    </row>
    <row r="25" spans="2:11" ht="15" customHeight="1" x14ac:dyDescent="0.25">
      <c r="J25" s="23"/>
      <c r="K25" s="24"/>
    </row>
    <row r="26" spans="2:11" ht="15" customHeight="1" x14ac:dyDescent="0.25">
      <c r="E26" s="25"/>
      <c r="F26" s="25"/>
      <c r="J26" s="23"/>
      <c r="K26" s="26"/>
    </row>
    <row r="27" spans="2:11" ht="15" customHeight="1" x14ac:dyDescent="0.25">
      <c r="E27" s="27"/>
      <c r="F27" s="27"/>
      <c r="G27" s="28"/>
      <c r="J27" s="23"/>
      <c r="K27" s="27"/>
    </row>
    <row r="28" spans="2:11" ht="15" customHeight="1" x14ac:dyDescent="0.3">
      <c r="F28" s="4" t="str">
        <f ca="1">IFERROR(INDEX(MID(Sheets,FIND("]",Sheets)+1,255),ROW(#REF!),1),"")</f>
        <v/>
      </c>
    </row>
  </sheetData>
  <sheetProtection algorithmName="SHA-512" hashValue="VYsYB+FH+ilcjzJtzU2aX7LoS48+3VdOW5lIVQWTgY4LlU0jjDQ2Z9lZe35gu3LDa8tw0bU6NVVoxMmWXvAdOg==" saltValue="uJigrT2RmJJkF26ubCAnNg==" spinCount="100000" sheet="1" objects="1" scenarios="1" formatColumns="0" formatRows="0"/>
  <mergeCells count="5">
    <mergeCell ref="D14:D16"/>
    <mergeCell ref="E14:G14"/>
    <mergeCell ref="H14:J14"/>
    <mergeCell ref="E15:G15"/>
    <mergeCell ref="H15:J1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refreshSummary">
                <anchor moveWithCells="1" sizeWithCells="1">
                  <from>
                    <xdr:col>3</xdr:col>
                    <xdr:colOff>45720</xdr:colOff>
                    <xdr:row>10</xdr:row>
                    <xdr:rowOff>251460</xdr:rowOff>
                  </from>
                  <to>
                    <xdr:col>3</xdr:col>
                    <xdr:colOff>1417320</xdr:colOff>
                    <xdr:row>11</xdr:row>
                    <xdr:rowOff>160020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2:K45"/>
  <sheetViews>
    <sheetView showGridLines="0" topLeftCell="A4" zoomScale="90" zoomScaleNormal="90" zoomScalePageLayoutView="80" workbookViewId="0">
      <selection activeCell="M10" sqref="M10"/>
    </sheetView>
  </sheetViews>
  <sheetFormatPr defaultColWidth="8.88671875" defaultRowHeight="15" customHeight="1" x14ac:dyDescent="0.3"/>
  <cols>
    <col min="1" max="1" width="2.6640625" style="4" customWidth="1"/>
    <col min="2" max="2" width="2.44140625" style="4" customWidth="1"/>
    <col min="3" max="3" width="2.44140625" style="4" hidden="1" customWidth="1"/>
    <col min="4" max="4" width="42.6640625" style="4" customWidth="1"/>
    <col min="5" max="10" width="14.6640625" style="4" customWidth="1"/>
    <col min="11" max="11" width="2.6640625" style="4" customWidth="1"/>
    <col min="12" max="246" width="8.88671875" style="4"/>
    <col min="247" max="248" width="2.6640625" style="4" customWidth="1"/>
    <col min="249" max="249" width="7" style="4" customWidth="1"/>
    <col min="250" max="250" width="2.44140625" style="4" customWidth="1"/>
    <col min="251" max="251" width="5.6640625" style="4" customWidth="1"/>
    <col min="252" max="252" width="68.6640625" style="4" customWidth="1"/>
    <col min="253" max="253" width="2.6640625" style="4" customWidth="1"/>
    <col min="254" max="254" width="14.6640625" style="4" customWidth="1"/>
    <col min="255" max="255" width="2.6640625" style="4" customWidth="1"/>
    <col min="256" max="256" width="2.44140625" style="4" customWidth="1"/>
    <col min="257" max="257" width="28.6640625" style="4" customWidth="1"/>
    <col min="258" max="502" width="8.88671875" style="4"/>
    <col min="503" max="504" width="2.6640625" style="4" customWidth="1"/>
    <col min="505" max="505" width="7" style="4" customWidth="1"/>
    <col min="506" max="506" width="2.44140625" style="4" customWidth="1"/>
    <col min="507" max="507" width="5.6640625" style="4" customWidth="1"/>
    <col min="508" max="508" width="68.6640625" style="4" customWidth="1"/>
    <col min="509" max="509" width="2.6640625" style="4" customWidth="1"/>
    <col min="510" max="510" width="14.6640625" style="4" customWidth="1"/>
    <col min="511" max="511" width="2.6640625" style="4" customWidth="1"/>
    <col min="512" max="512" width="2.44140625" style="4" customWidth="1"/>
    <col min="513" max="513" width="28.6640625" style="4" customWidth="1"/>
    <col min="514" max="758" width="8.88671875" style="4"/>
    <col min="759" max="760" width="2.6640625" style="4" customWidth="1"/>
    <col min="761" max="761" width="7" style="4" customWidth="1"/>
    <col min="762" max="762" width="2.44140625" style="4" customWidth="1"/>
    <col min="763" max="763" width="5.6640625" style="4" customWidth="1"/>
    <col min="764" max="764" width="68.6640625" style="4" customWidth="1"/>
    <col min="765" max="765" width="2.6640625" style="4" customWidth="1"/>
    <col min="766" max="766" width="14.6640625" style="4" customWidth="1"/>
    <col min="767" max="767" width="2.6640625" style="4" customWidth="1"/>
    <col min="768" max="768" width="2.44140625" style="4" customWidth="1"/>
    <col min="769" max="769" width="28.6640625" style="4" customWidth="1"/>
    <col min="770" max="1014" width="8.88671875" style="4"/>
    <col min="1015" max="1016" width="2.6640625" style="4" customWidth="1"/>
    <col min="1017" max="1017" width="7" style="4" customWidth="1"/>
    <col min="1018" max="1018" width="2.44140625" style="4" customWidth="1"/>
    <col min="1019" max="1019" width="5.6640625" style="4" customWidth="1"/>
    <col min="1020" max="1020" width="68.6640625" style="4" customWidth="1"/>
    <col min="1021" max="1021" width="2.6640625" style="4" customWidth="1"/>
    <col min="1022" max="1022" width="14.6640625" style="4" customWidth="1"/>
    <col min="1023" max="1023" width="2.6640625" style="4" customWidth="1"/>
    <col min="1024" max="1024" width="2.44140625" style="4" customWidth="1"/>
    <col min="1025" max="1025" width="28.6640625" style="4" customWidth="1"/>
    <col min="1026" max="1270" width="8.88671875" style="4"/>
    <col min="1271" max="1272" width="2.6640625" style="4" customWidth="1"/>
    <col min="1273" max="1273" width="7" style="4" customWidth="1"/>
    <col min="1274" max="1274" width="2.44140625" style="4" customWidth="1"/>
    <col min="1275" max="1275" width="5.6640625" style="4" customWidth="1"/>
    <col min="1276" max="1276" width="68.6640625" style="4" customWidth="1"/>
    <col min="1277" max="1277" width="2.6640625" style="4" customWidth="1"/>
    <col min="1278" max="1278" width="14.6640625" style="4" customWidth="1"/>
    <col min="1279" max="1279" width="2.6640625" style="4" customWidth="1"/>
    <col min="1280" max="1280" width="2.44140625" style="4" customWidth="1"/>
    <col min="1281" max="1281" width="28.6640625" style="4" customWidth="1"/>
    <col min="1282" max="1526" width="8.88671875" style="4"/>
    <col min="1527" max="1528" width="2.6640625" style="4" customWidth="1"/>
    <col min="1529" max="1529" width="7" style="4" customWidth="1"/>
    <col min="1530" max="1530" width="2.44140625" style="4" customWidth="1"/>
    <col min="1531" max="1531" width="5.6640625" style="4" customWidth="1"/>
    <col min="1532" max="1532" width="68.6640625" style="4" customWidth="1"/>
    <col min="1533" max="1533" width="2.6640625" style="4" customWidth="1"/>
    <col min="1534" max="1534" width="14.6640625" style="4" customWidth="1"/>
    <col min="1535" max="1535" width="2.6640625" style="4" customWidth="1"/>
    <col min="1536" max="1536" width="2.44140625" style="4" customWidth="1"/>
    <col min="1537" max="1537" width="28.6640625" style="4" customWidth="1"/>
    <col min="1538" max="1782" width="8.88671875" style="4"/>
    <col min="1783" max="1784" width="2.6640625" style="4" customWidth="1"/>
    <col min="1785" max="1785" width="7" style="4" customWidth="1"/>
    <col min="1786" max="1786" width="2.44140625" style="4" customWidth="1"/>
    <col min="1787" max="1787" width="5.6640625" style="4" customWidth="1"/>
    <col min="1788" max="1788" width="68.6640625" style="4" customWidth="1"/>
    <col min="1789" max="1789" width="2.6640625" style="4" customWidth="1"/>
    <col min="1790" max="1790" width="14.6640625" style="4" customWidth="1"/>
    <col min="1791" max="1791" width="2.6640625" style="4" customWidth="1"/>
    <col min="1792" max="1792" width="2.44140625" style="4" customWidth="1"/>
    <col min="1793" max="1793" width="28.6640625" style="4" customWidth="1"/>
    <col min="1794" max="2038" width="8.88671875" style="4"/>
    <col min="2039" max="2040" width="2.6640625" style="4" customWidth="1"/>
    <col min="2041" max="2041" width="7" style="4" customWidth="1"/>
    <col min="2042" max="2042" width="2.44140625" style="4" customWidth="1"/>
    <col min="2043" max="2043" width="5.6640625" style="4" customWidth="1"/>
    <col min="2044" max="2044" width="68.6640625" style="4" customWidth="1"/>
    <col min="2045" max="2045" width="2.6640625" style="4" customWidth="1"/>
    <col min="2046" max="2046" width="14.6640625" style="4" customWidth="1"/>
    <col min="2047" max="2047" width="2.6640625" style="4" customWidth="1"/>
    <col min="2048" max="2048" width="2.44140625" style="4" customWidth="1"/>
    <col min="2049" max="2049" width="28.6640625" style="4" customWidth="1"/>
    <col min="2050" max="2294" width="8.88671875" style="4"/>
    <col min="2295" max="2296" width="2.6640625" style="4" customWidth="1"/>
    <col min="2297" max="2297" width="7" style="4" customWidth="1"/>
    <col min="2298" max="2298" width="2.44140625" style="4" customWidth="1"/>
    <col min="2299" max="2299" width="5.6640625" style="4" customWidth="1"/>
    <col min="2300" max="2300" width="68.6640625" style="4" customWidth="1"/>
    <col min="2301" max="2301" width="2.6640625" style="4" customWidth="1"/>
    <col min="2302" max="2302" width="14.6640625" style="4" customWidth="1"/>
    <col min="2303" max="2303" width="2.6640625" style="4" customWidth="1"/>
    <col min="2304" max="2304" width="2.44140625" style="4" customWidth="1"/>
    <col min="2305" max="2305" width="28.6640625" style="4" customWidth="1"/>
    <col min="2306" max="2550" width="8.88671875" style="4"/>
    <col min="2551" max="2552" width="2.6640625" style="4" customWidth="1"/>
    <col min="2553" max="2553" width="7" style="4" customWidth="1"/>
    <col min="2554" max="2554" width="2.44140625" style="4" customWidth="1"/>
    <col min="2555" max="2555" width="5.6640625" style="4" customWidth="1"/>
    <col min="2556" max="2556" width="68.6640625" style="4" customWidth="1"/>
    <col min="2557" max="2557" width="2.6640625" style="4" customWidth="1"/>
    <col min="2558" max="2558" width="14.6640625" style="4" customWidth="1"/>
    <col min="2559" max="2559" width="2.6640625" style="4" customWidth="1"/>
    <col min="2560" max="2560" width="2.44140625" style="4" customWidth="1"/>
    <col min="2561" max="2561" width="28.6640625" style="4" customWidth="1"/>
    <col min="2562" max="2806" width="8.88671875" style="4"/>
    <col min="2807" max="2808" width="2.6640625" style="4" customWidth="1"/>
    <col min="2809" max="2809" width="7" style="4" customWidth="1"/>
    <col min="2810" max="2810" width="2.44140625" style="4" customWidth="1"/>
    <col min="2811" max="2811" width="5.6640625" style="4" customWidth="1"/>
    <col min="2812" max="2812" width="68.6640625" style="4" customWidth="1"/>
    <col min="2813" max="2813" width="2.6640625" style="4" customWidth="1"/>
    <col min="2814" max="2814" width="14.6640625" style="4" customWidth="1"/>
    <col min="2815" max="2815" width="2.6640625" style="4" customWidth="1"/>
    <col min="2816" max="2816" width="2.44140625" style="4" customWidth="1"/>
    <col min="2817" max="2817" width="28.6640625" style="4" customWidth="1"/>
    <col min="2818" max="3062" width="8.88671875" style="4"/>
    <col min="3063" max="3064" width="2.6640625" style="4" customWidth="1"/>
    <col min="3065" max="3065" width="7" style="4" customWidth="1"/>
    <col min="3066" max="3066" width="2.44140625" style="4" customWidth="1"/>
    <col min="3067" max="3067" width="5.6640625" style="4" customWidth="1"/>
    <col min="3068" max="3068" width="68.6640625" style="4" customWidth="1"/>
    <col min="3069" max="3069" width="2.6640625" style="4" customWidth="1"/>
    <col min="3070" max="3070" width="14.6640625" style="4" customWidth="1"/>
    <col min="3071" max="3071" width="2.6640625" style="4" customWidth="1"/>
    <col min="3072" max="3072" width="2.44140625" style="4" customWidth="1"/>
    <col min="3073" max="3073" width="28.6640625" style="4" customWidth="1"/>
    <col min="3074" max="3318" width="8.88671875" style="4"/>
    <col min="3319" max="3320" width="2.6640625" style="4" customWidth="1"/>
    <col min="3321" max="3321" width="7" style="4" customWidth="1"/>
    <col min="3322" max="3322" width="2.44140625" style="4" customWidth="1"/>
    <col min="3323" max="3323" width="5.6640625" style="4" customWidth="1"/>
    <col min="3324" max="3324" width="68.6640625" style="4" customWidth="1"/>
    <col min="3325" max="3325" width="2.6640625" style="4" customWidth="1"/>
    <col min="3326" max="3326" width="14.6640625" style="4" customWidth="1"/>
    <col min="3327" max="3327" width="2.6640625" style="4" customWidth="1"/>
    <col min="3328" max="3328" width="2.44140625" style="4" customWidth="1"/>
    <col min="3329" max="3329" width="28.6640625" style="4" customWidth="1"/>
    <col min="3330" max="3574" width="8.88671875" style="4"/>
    <col min="3575" max="3576" width="2.6640625" style="4" customWidth="1"/>
    <col min="3577" max="3577" width="7" style="4" customWidth="1"/>
    <col min="3578" max="3578" width="2.44140625" style="4" customWidth="1"/>
    <col min="3579" max="3579" width="5.6640625" style="4" customWidth="1"/>
    <col min="3580" max="3580" width="68.6640625" style="4" customWidth="1"/>
    <col min="3581" max="3581" width="2.6640625" style="4" customWidth="1"/>
    <col min="3582" max="3582" width="14.6640625" style="4" customWidth="1"/>
    <col min="3583" max="3583" width="2.6640625" style="4" customWidth="1"/>
    <col min="3584" max="3584" width="2.44140625" style="4" customWidth="1"/>
    <col min="3585" max="3585" width="28.6640625" style="4" customWidth="1"/>
    <col min="3586" max="3830" width="8.88671875" style="4"/>
    <col min="3831" max="3832" width="2.6640625" style="4" customWidth="1"/>
    <col min="3833" max="3833" width="7" style="4" customWidth="1"/>
    <col min="3834" max="3834" width="2.44140625" style="4" customWidth="1"/>
    <col min="3835" max="3835" width="5.6640625" style="4" customWidth="1"/>
    <col min="3836" max="3836" width="68.6640625" style="4" customWidth="1"/>
    <col min="3837" max="3837" width="2.6640625" style="4" customWidth="1"/>
    <col min="3838" max="3838" width="14.6640625" style="4" customWidth="1"/>
    <col min="3839" max="3839" width="2.6640625" style="4" customWidth="1"/>
    <col min="3840" max="3840" width="2.44140625" style="4" customWidth="1"/>
    <col min="3841" max="3841" width="28.6640625" style="4" customWidth="1"/>
    <col min="3842" max="4086" width="8.88671875" style="4"/>
    <col min="4087" max="4088" width="2.6640625" style="4" customWidth="1"/>
    <col min="4089" max="4089" width="7" style="4" customWidth="1"/>
    <col min="4090" max="4090" width="2.44140625" style="4" customWidth="1"/>
    <col min="4091" max="4091" width="5.6640625" style="4" customWidth="1"/>
    <col min="4092" max="4092" width="68.6640625" style="4" customWidth="1"/>
    <col min="4093" max="4093" width="2.6640625" style="4" customWidth="1"/>
    <col min="4094" max="4094" width="14.6640625" style="4" customWidth="1"/>
    <col min="4095" max="4095" width="2.6640625" style="4" customWidth="1"/>
    <col min="4096" max="4096" width="2.44140625" style="4" customWidth="1"/>
    <col min="4097" max="4097" width="28.6640625" style="4" customWidth="1"/>
    <col min="4098" max="4342" width="8.88671875" style="4"/>
    <col min="4343" max="4344" width="2.6640625" style="4" customWidth="1"/>
    <col min="4345" max="4345" width="7" style="4" customWidth="1"/>
    <col min="4346" max="4346" width="2.44140625" style="4" customWidth="1"/>
    <col min="4347" max="4347" width="5.6640625" style="4" customWidth="1"/>
    <col min="4348" max="4348" width="68.6640625" style="4" customWidth="1"/>
    <col min="4349" max="4349" width="2.6640625" style="4" customWidth="1"/>
    <col min="4350" max="4350" width="14.6640625" style="4" customWidth="1"/>
    <col min="4351" max="4351" width="2.6640625" style="4" customWidth="1"/>
    <col min="4352" max="4352" width="2.44140625" style="4" customWidth="1"/>
    <col min="4353" max="4353" width="28.6640625" style="4" customWidth="1"/>
    <col min="4354" max="4598" width="8.88671875" style="4"/>
    <col min="4599" max="4600" width="2.6640625" style="4" customWidth="1"/>
    <col min="4601" max="4601" width="7" style="4" customWidth="1"/>
    <col min="4602" max="4602" width="2.44140625" style="4" customWidth="1"/>
    <col min="4603" max="4603" width="5.6640625" style="4" customWidth="1"/>
    <col min="4604" max="4604" width="68.6640625" style="4" customWidth="1"/>
    <col min="4605" max="4605" width="2.6640625" style="4" customWidth="1"/>
    <col min="4606" max="4606" width="14.6640625" style="4" customWidth="1"/>
    <col min="4607" max="4607" width="2.6640625" style="4" customWidth="1"/>
    <col min="4608" max="4608" width="2.44140625" style="4" customWidth="1"/>
    <col min="4609" max="4609" width="28.6640625" style="4" customWidth="1"/>
    <col min="4610" max="4854" width="8.88671875" style="4"/>
    <col min="4855" max="4856" width="2.6640625" style="4" customWidth="1"/>
    <col min="4857" max="4857" width="7" style="4" customWidth="1"/>
    <col min="4858" max="4858" width="2.44140625" style="4" customWidth="1"/>
    <col min="4859" max="4859" width="5.6640625" style="4" customWidth="1"/>
    <col min="4860" max="4860" width="68.6640625" style="4" customWidth="1"/>
    <col min="4861" max="4861" width="2.6640625" style="4" customWidth="1"/>
    <col min="4862" max="4862" width="14.6640625" style="4" customWidth="1"/>
    <col min="4863" max="4863" width="2.6640625" style="4" customWidth="1"/>
    <col min="4864" max="4864" width="2.44140625" style="4" customWidth="1"/>
    <col min="4865" max="4865" width="28.6640625" style="4" customWidth="1"/>
    <col min="4866" max="5110" width="8.88671875" style="4"/>
    <col min="5111" max="5112" width="2.6640625" style="4" customWidth="1"/>
    <col min="5113" max="5113" width="7" style="4" customWidth="1"/>
    <col min="5114" max="5114" width="2.44140625" style="4" customWidth="1"/>
    <col min="5115" max="5115" width="5.6640625" style="4" customWidth="1"/>
    <col min="5116" max="5116" width="68.6640625" style="4" customWidth="1"/>
    <col min="5117" max="5117" width="2.6640625" style="4" customWidth="1"/>
    <col min="5118" max="5118" width="14.6640625" style="4" customWidth="1"/>
    <col min="5119" max="5119" width="2.6640625" style="4" customWidth="1"/>
    <col min="5120" max="5120" width="2.44140625" style="4" customWidth="1"/>
    <col min="5121" max="5121" width="28.6640625" style="4" customWidth="1"/>
    <col min="5122" max="5366" width="8.88671875" style="4"/>
    <col min="5367" max="5368" width="2.6640625" style="4" customWidth="1"/>
    <col min="5369" max="5369" width="7" style="4" customWidth="1"/>
    <col min="5370" max="5370" width="2.44140625" style="4" customWidth="1"/>
    <col min="5371" max="5371" width="5.6640625" style="4" customWidth="1"/>
    <col min="5372" max="5372" width="68.6640625" style="4" customWidth="1"/>
    <col min="5373" max="5373" width="2.6640625" style="4" customWidth="1"/>
    <col min="5374" max="5374" width="14.6640625" style="4" customWidth="1"/>
    <col min="5375" max="5375" width="2.6640625" style="4" customWidth="1"/>
    <col min="5376" max="5376" width="2.44140625" style="4" customWidth="1"/>
    <col min="5377" max="5377" width="28.6640625" style="4" customWidth="1"/>
    <col min="5378" max="5622" width="8.88671875" style="4"/>
    <col min="5623" max="5624" width="2.6640625" style="4" customWidth="1"/>
    <col min="5625" max="5625" width="7" style="4" customWidth="1"/>
    <col min="5626" max="5626" width="2.44140625" style="4" customWidth="1"/>
    <col min="5627" max="5627" width="5.6640625" style="4" customWidth="1"/>
    <col min="5628" max="5628" width="68.6640625" style="4" customWidth="1"/>
    <col min="5629" max="5629" width="2.6640625" style="4" customWidth="1"/>
    <col min="5630" max="5630" width="14.6640625" style="4" customWidth="1"/>
    <col min="5631" max="5631" width="2.6640625" style="4" customWidth="1"/>
    <col min="5632" max="5632" width="2.44140625" style="4" customWidth="1"/>
    <col min="5633" max="5633" width="28.6640625" style="4" customWidth="1"/>
    <col min="5634" max="5878" width="8.88671875" style="4"/>
    <col min="5879" max="5880" width="2.6640625" style="4" customWidth="1"/>
    <col min="5881" max="5881" width="7" style="4" customWidth="1"/>
    <col min="5882" max="5882" width="2.44140625" style="4" customWidth="1"/>
    <col min="5883" max="5883" width="5.6640625" style="4" customWidth="1"/>
    <col min="5884" max="5884" width="68.6640625" style="4" customWidth="1"/>
    <col min="5885" max="5885" width="2.6640625" style="4" customWidth="1"/>
    <col min="5886" max="5886" width="14.6640625" style="4" customWidth="1"/>
    <col min="5887" max="5887" width="2.6640625" style="4" customWidth="1"/>
    <col min="5888" max="5888" width="2.44140625" style="4" customWidth="1"/>
    <col min="5889" max="5889" width="28.6640625" style="4" customWidth="1"/>
    <col min="5890" max="6134" width="8.88671875" style="4"/>
    <col min="6135" max="6136" width="2.6640625" style="4" customWidth="1"/>
    <col min="6137" max="6137" width="7" style="4" customWidth="1"/>
    <col min="6138" max="6138" width="2.44140625" style="4" customWidth="1"/>
    <col min="6139" max="6139" width="5.6640625" style="4" customWidth="1"/>
    <col min="6140" max="6140" width="68.6640625" style="4" customWidth="1"/>
    <col min="6141" max="6141" width="2.6640625" style="4" customWidth="1"/>
    <col min="6142" max="6142" width="14.6640625" style="4" customWidth="1"/>
    <col min="6143" max="6143" width="2.6640625" style="4" customWidth="1"/>
    <col min="6144" max="6144" width="2.44140625" style="4" customWidth="1"/>
    <col min="6145" max="6145" width="28.6640625" style="4" customWidth="1"/>
    <col min="6146" max="6390" width="8.88671875" style="4"/>
    <col min="6391" max="6392" width="2.6640625" style="4" customWidth="1"/>
    <col min="6393" max="6393" width="7" style="4" customWidth="1"/>
    <col min="6394" max="6394" width="2.44140625" style="4" customWidth="1"/>
    <col min="6395" max="6395" width="5.6640625" style="4" customWidth="1"/>
    <col min="6396" max="6396" width="68.6640625" style="4" customWidth="1"/>
    <col min="6397" max="6397" width="2.6640625" style="4" customWidth="1"/>
    <col min="6398" max="6398" width="14.6640625" style="4" customWidth="1"/>
    <col min="6399" max="6399" width="2.6640625" style="4" customWidth="1"/>
    <col min="6400" max="6400" width="2.44140625" style="4" customWidth="1"/>
    <col min="6401" max="6401" width="28.6640625" style="4" customWidth="1"/>
    <col min="6402" max="6646" width="8.88671875" style="4"/>
    <col min="6647" max="6648" width="2.6640625" style="4" customWidth="1"/>
    <col min="6649" max="6649" width="7" style="4" customWidth="1"/>
    <col min="6650" max="6650" width="2.44140625" style="4" customWidth="1"/>
    <col min="6651" max="6651" width="5.6640625" style="4" customWidth="1"/>
    <col min="6652" max="6652" width="68.6640625" style="4" customWidth="1"/>
    <col min="6653" max="6653" width="2.6640625" style="4" customWidth="1"/>
    <col min="6654" max="6654" width="14.6640625" style="4" customWidth="1"/>
    <col min="6655" max="6655" width="2.6640625" style="4" customWidth="1"/>
    <col min="6656" max="6656" width="2.44140625" style="4" customWidth="1"/>
    <col min="6657" max="6657" width="28.6640625" style="4" customWidth="1"/>
    <col min="6658" max="6902" width="8.88671875" style="4"/>
    <col min="6903" max="6904" width="2.6640625" style="4" customWidth="1"/>
    <col min="6905" max="6905" width="7" style="4" customWidth="1"/>
    <col min="6906" max="6906" width="2.44140625" style="4" customWidth="1"/>
    <col min="6907" max="6907" width="5.6640625" style="4" customWidth="1"/>
    <col min="6908" max="6908" width="68.6640625" style="4" customWidth="1"/>
    <col min="6909" max="6909" width="2.6640625" style="4" customWidth="1"/>
    <col min="6910" max="6910" width="14.6640625" style="4" customWidth="1"/>
    <col min="6911" max="6911" width="2.6640625" style="4" customWidth="1"/>
    <col min="6912" max="6912" width="2.44140625" style="4" customWidth="1"/>
    <col min="6913" max="6913" width="28.6640625" style="4" customWidth="1"/>
    <col min="6914" max="7158" width="8.88671875" style="4"/>
    <col min="7159" max="7160" width="2.6640625" style="4" customWidth="1"/>
    <col min="7161" max="7161" width="7" style="4" customWidth="1"/>
    <col min="7162" max="7162" width="2.44140625" style="4" customWidth="1"/>
    <col min="7163" max="7163" width="5.6640625" style="4" customWidth="1"/>
    <col min="7164" max="7164" width="68.6640625" style="4" customWidth="1"/>
    <col min="7165" max="7165" width="2.6640625" style="4" customWidth="1"/>
    <col min="7166" max="7166" width="14.6640625" style="4" customWidth="1"/>
    <col min="7167" max="7167" width="2.6640625" style="4" customWidth="1"/>
    <col min="7168" max="7168" width="2.44140625" style="4" customWidth="1"/>
    <col min="7169" max="7169" width="28.6640625" style="4" customWidth="1"/>
    <col min="7170" max="7414" width="8.88671875" style="4"/>
    <col min="7415" max="7416" width="2.6640625" style="4" customWidth="1"/>
    <col min="7417" max="7417" width="7" style="4" customWidth="1"/>
    <col min="7418" max="7418" width="2.44140625" style="4" customWidth="1"/>
    <col min="7419" max="7419" width="5.6640625" style="4" customWidth="1"/>
    <col min="7420" max="7420" width="68.6640625" style="4" customWidth="1"/>
    <col min="7421" max="7421" width="2.6640625" style="4" customWidth="1"/>
    <col min="7422" max="7422" width="14.6640625" style="4" customWidth="1"/>
    <col min="7423" max="7423" width="2.6640625" style="4" customWidth="1"/>
    <col min="7424" max="7424" width="2.44140625" style="4" customWidth="1"/>
    <col min="7425" max="7425" width="28.6640625" style="4" customWidth="1"/>
    <col min="7426" max="7670" width="8.88671875" style="4"/>
    <col min="7671" max="7672" width="2.6640625" style="4" customWidth="1"/>
    <col min="7673" max="7673" width="7" style="4" customWidth="1"/>
    <col min="7674" max="7674" width="2.44140625" style="4" customWidth="1"/>
    <col min="7675" max="7675" width="5.6640625" style="4" customWidth="1"/>
    <col min="7676" max="7676" width="68.6640625" style="4" customWidth="1"/>
    <col min="7677" max="7677" width="2.6640625" style="4" customWidth="1"/>
    <col min="7678" max="7678" width="14.6640625" style="4" customWidth="1"/>
    <col min="7679" max="7679" width="2.6640625" style="4" customWidth="1"/>
    <col min="7680" max="7680" width="2.44140625" style="4" customWidth="1"/>
    <col min="7681" max="7681" width="28.6640625" style="4" customWidth="1"/>
    <col min="7682" max="7926" width="8.88671875" style="4"/>
    <col min="7927" max="7928" width="2.6640625" style="4" customWidth="1"/>
    <col min="7929" max="7929" width="7" style="4" customWidth="1"/>
    <col min="7930" max="7930" width="2.44140625" style="4" customWidth="1"/>
    <col min="7931" max="7931" width="5.6640625" style="4" customWidth="1"/>
    <col min="7932" max="7932" width="68.6640625" style="4" customWidth="1"/>
    <col min="7933" max="7933" width="2.6640625" style="4" customWidth="1"/>
    <col min="7934" max="7934" width="14.6640625" style="4" customWidth="1"/>
    <col min="7935" max="7935" width="2.6640625" style="4" customWidth="1"/>
    <col min="7936" max="7936" width="2.44140625" style="4" customWidth="1"/>
    <col min="7937" max="7937" width="28.6640625" style="4" customWidth="1"/>
    <col min="7938" max="8182" width="8.88671875" style="4"/>
    <col min="8183" max="8184" width="2.6640625" style="4" customWidth="1"/>
    <col min="8185" max="8185" width="7" style="4" customWidth="1"/>
    <col min="8186" max="8186" width="2.44140625" style="4" customWidth="1"/>
    <col min="8187" max="8187" width="5.6640625" style="4" customWidth="1"/>
    <col min="8188" max="8188" width="68.6640625" style="4" customWidth="1"/>
    <col min="8189" max="8189" width="2.6640625" style="4" customWidth="1"/>
    <col min="8190" max="8190" width="14.6640625" style="4" customWidth="1"/>
    <col min="8191" max="8191" width="2.6640625" style="4" customWidth="1"/>
    <col min="8192" max="8192" width="2.44140625" style="4" customWidth="1"/>
    <col min="8193" max="8193" width="28.6640625" style="4" customWidth="1"/>
    <col min="8194" max="8438" width="8.88671875" style="4"/>
    <col min="8439" max="8440" width="2.6640625" style="4" customWidth="1"/>
    <col min="8441" max="8441" width="7" style="4" customWidth="1"/>
    <col min="8442" max="8442" width="2.44140625" style="4" customWidth="1"/>
    <col min="8443" max="8443" width="5.6640625" style="4" customWidth="1"/>
    <col min="8444" max="8444" width="68.6640625" style="4" customWidth="1"/>
    <col min="8445" max="8445" width="2.6640625" style="4" customWidth="1"/>
    <col min="8446" max="8446" width="14.6640625" style="4" customWidth="1"/>
    <col min="8447" max="8447" width="2.6640625" style="4" customWidth="1"/>
    <col min="8448" max="8448" width="2.44140625" style="4" customWidth="1"/>
    <col min="8449" max="8449" width="28.6640625" style="4" customWidth="1"/>
    <col min="8450" max="8694" width="8.88671875" style="4"/>
    <col min="8695" max="8696" width="2.6640625" style="4" customWidth="1"/>
    <col min="8697" max="8697" width="7" style="4" customWidth="1"/>
    <col min="8698" max="8698" width="2.44140625" style="4" customWidth="1"/>
    <col min="8699" max="8699" width="5.6640625" style="4" customWidth="1"/>
    <col min="8700" max="8700" width="68.6640625" style="4" customWidth="1"/>
    <col min="8701" max="8701" width="2.6640625" style="4" customWidth="1"/>
    <col min="8702" max="8702" width="14.6640625" style="4" customWidth="1"/>
    <col min="8703" max="8703" width="2.6640625" style="4" customWidth="1"/>
    <col min="8704" max="8704" width="2.44140625" style="4" customWidth="1"/>
    <col min="8705" max="8705" width="28.6640625" style="4" customWidth="1"/>
    <col min="8706" max="8950" width="8.88671875" style="4"/>
    <col min="8951" max="8952" width="2.6640625" style="4" customWidth="1"/>
    <col min="8953" max="8953" width="7" style="4" customWidth="1"/>
    <col min="8954" max="8954" width="2.44140625" style="4" customWidth="1"/>
    <col min="8955" max="8955" width="5.6640625" style="4" customWidth="1"/>
    <col min="8956" max="8956" width="68.6640625" style="4" customWidth="1"/>
    <col min="8957" max="8957" width="2.6640625" style="4" customWidth="1"/>
    <col min="8958" max="8958" width="14.6640625" style="4" customWidth="1"/>
    <col min="8959" max="8959" width="2.6640625" style="4" customWidth="1"/>
    <col min="8960" max="8960" width="2.44140625" style="4" customWidth="1"/>
    <col min="8961" max="8961" width="28.6640625" style="4" customWidth="1"/>
    <col min="8962" max="9206" width="8.88671875" style="4"/>
    <col min="9207" max="9208" width="2.6640625" style="4" customWidth="1"/>
    <col min="9209" max="9209" width="7" style="4" customWidth="1"/>
    <col min="9210" max="9210" width="2.44140625" style="4" customWidth="1"/>
    <col min="9211" max="9211" width="5.6640625" style="4" customWidth="1"/>
    <col min="9212" max="9212" width="68.6640625" style="4" customWidth="1"/>
    <col min="9213" max="9213" width="2.6640625" style="4" customWidth="1"/>
    <col min="9214" max="9214" width="14.6640625" style="4" customWidth="1"/>
    <col min="9215" max="9215" width="2.6640625" style="4" customWidth="1"/>
    <col min="9216" max="9216" width="2.44140625" style="4" customWidth="1"/>
    <col min="9217" max="9217" width="28.6640625" style="4" customWidth="1"/>
    <col min="9218" max="9462" width="8.88671875" style="4"/>
    <col min="9463" max="9464" width="2.6640625" style="4" customWidth="1"/>
    <col min="9465" max="9465" width="7" style="4" customWidth="1"/>
    <col min="9466" max="9466" width="2.44140625" style="4" customWidth="1"/>
    <col min="9467" max="9467" width="5.6640625" style="4" customWidth="1"/>
    <col min="9468" max="9468" width="68.6640625" style="4" customWidth="1"/>
    <col min="9469" max="9469" width="2.6640625" style="4" customWidth="1"/>
    <col min="9470" max="9470" width="14.6640625" style="4" customWidth="1"/>
    <col min="9471" max="9471" width="2.6640625" style="4" customWidth="1"/>
    <col min="9472" max="9472" width="2.44140625" style="4" customWidth="1"/>
    <col min="9473" max="9473" width="28.6640625" style="4" customWidth="1"/>
    <col min="9474" max="9718" width="8.88671875" style="4"/>
    <col min="9719" max="9720" width="2.6640625" style="4" customWidth="1"/>
    <col min="9721" max="9721" width="7" style="4" customWidth="1"/>
    <col min="9722" max="9722" width="2.44140625" style="4" customWidth="1"/>
    <col min="9723" max="9723" width="5.6640625" style="4" customWidth="1"/>
    <col min="9724" max="9724" width="68.6640625" style="4" customWidth="1"/>
    <col min="9725" max="9725" width="2.6640625" style="4" customWidth="1"/>
    <col min="9726" max="9726" width="14.6640625" style="4" customWidth="1"/>
    <col min="9727" max="9727" width="2.6640625" style="4" customWidth="1"/>
    <col min="9728" max="9728" width="2.44140625" style="4" customWidth="1"/>
    <col min="9729" max="9729" width="28.6640625" style="4" customWidth="1"/>
    <col min="9730" max="9974" width="8.88671875" style="4"/>
    <col min="9975" max="9976" width="2.6640625" style="4" customWidth="1"/>
    <col min="9977" max="9977" width="7" style="4" customWidth="1"/>
    <col min="9978" max="9978" width="2.44140625" style="4" customWidth="1"/>
    <col min="9979" max="9979" width="5.6640625" style="4" customWidth="1"/>
    <col min="9980" max="9980" width="68.6640625" style="4" customWidth="1"/>
    <col min="9981" max="9981" width="2.6640625" style="4" customWidth="1"/>
    <col min="9982" max="9982" width="14.6640625" style="4" customWidth="1"/>
    <col min="9983" max="9983" width="2.6640625" style="4" customWidth="1"/>
    <col min="9984" max="9984" width="2.44140625" style="4" customWidth="1"/>
    <col min="9985" max="9985" width="28.6640625" style="4" customWidth="1"/>
    <col min="9986" max="10230" width="8.88671875" style="4"/>
    <col min="10231" max="10232" width="2.6640625" style="4" customWidth="1"/>
    <col min="10233" max="10233" width="7" style="4" customWidth="1"/>
    <col min="10234" max="10234" width="2.44140625" style="4" customWidth="1"/>
    <col min="10235" max="10235" width="5.6640625" style="4" customWidth="1"/>
    <col min="10236" max="10236" width="68.6640625" style="4" customWidth="1"/>
    <col min="10237" max="10237" width="2.6640625" style="4" customWidth="1"/>
    <col min="10238" max="10238" width="14.6640625" style="4" customWidth="1"/>
    <col min="10239" max="10239" width="2.6640625" style="4" customWidth="1"/>
    <col min="10240" max="10240" width="2.44140625" style="4" customWidth="1"/>
    <col min="10241" max="10241" width="28.6640625" style="4" customWidth="1"/>
    <col min="10242" max="10486" width="8.88671875" style="4"/>
    <col min="10487" max="10488" width="2.6640625" style="4" customWidth="1"/>
    <col min="10489" max="10489" width="7" style="4" customWidth="1"/>
    <col min="10490" max="10490" width="2.44140625" style="4" customWidth="1"/>
    <col min="10491" max="10491" width="5.6640625" style="4" customWidth="1"/>
    <col min="10492" max="10492" width="68.6640625" style="4" customWidth="1"/>
    <col min="10493" max="10493" width="2.6640625" style="4" customWidth="1"/>
    <col min="10494" max="10494" width="14.6640625" style="4" customWidth="1"/>
    <col min="10495" max="10495" width="2.6640625" style="4" customWidth="1"/>
    <col min="10496" max="10496" width="2.44140625" style="4" customWidth="1"/>
    <col min="10497" max="10497" width="28.6640625" style="4" customWidth="1"/>
    <col min="10498" max="10742" width="8.88671875" style="4"/>
    <col min="10743" max="10744" width="2.6640625" style="4" customWidth="1"/>
    <col min="10745" max="10745" width="7" style="4" customWidth="1"/>
    <col min="10746" max="10746" width="2.44140625" style="4" customWidth="1"/>
    <col min="10747" max="10747" width="5.6640625" style="4" customWidth="1"/>
    <col min="10748" max="10748" width="68.6640625" style="4" customWidth="1"/>
    <col min="10749" max="10749" width="2.6640625" style="4" customWidth="1"/>
    <col min="10750" max="10750" width="14.6640625" style="4" customWidth="1"/>
    <col min="10751" max="10751" width="2.6640625" style="4" customWidth="1"/>
    <col min="10752" max="10752" width="2.44140625" style="4" customWidth="1"/>
    <col min="10753" max="10753" width="28.6640625" style="4" customWidth="1"/>
    <col min="10754" max="10998" width="8.88671875" style="4"/>
    <col min="10999" max="11000" width="2.6640625" style="4" customWidth="1"/>
    <col min="11001" max="11001" width="7" style="4" customWidth="1"/>
    <col min="11002" max="11002" width="2.44140625" style="4" customWidth="1"/>
    <col min="11003" max="11003" width="5.6640625" style="4" customWidth="1"/>
    <col min="11004" max="11004" width="68.6640625" style="4" customWidth="1"/>
    <col min="11005" max="11005" width="2.6640625" style="4" customWidth="1"/>
    <col min="11006" max="11006" width="14.6640625" style="4" customWidth="1"/>
    <col min="11007" max="11007" width="2.6640625" style="4" customWidth="1"/>
    <col min="11008" max="11008" width="2.44140625" style="4" customWidth="1"/>
    <col min="11009" max="11009" width="28.6640625" style="4" customWidth="1"/>
    <col min="11010" max="11254" width="8.88671875" style="4"/>
    <col min="11255" max="11256" width="2.6640625" style="4" customWidth="1"/>
    <col min="11257" max="11257" width="7" style="4" customWidth="1"/>
    <col min="11258" max="11258" width="2.44140625" style="4" customWidth="1"/>
    <col min="11259" max="11259" width="5.6640625" style="4" customWidth="1"/>
    <col min="11260" max="11260" width="68.6640625" style="4" customWidth="1"/>
    <col min="11261" max="11261" width="2.6640625" style="4" customWidth="1"/>
    <col min="11262" max="11262" width="14.6640625" style="4" customWidth="1"/>
    <col min="11263" max="11263" width="2.6640625" style="4" customWidth="1"/>
    <col min="11264" max="11264" width="2.44140625" style="4" customWidth="1"/>
    <col min="11265" max="11265" width="28.6640625" style="4" customWidth="1"/>
    <col min="11266" max="11510" width="8.88671875" style="4"/>
    <col min="11511" max="11512" width="2.6640625" style="4" customWidth="1"/>
    <col min="11513" max="11513" width="7" style="4" customWidth="1"/>
    <col min="11514" max="11514" width="2.44140625" style="4" customWidth="1"/>
    <col min="11515" max="11515" width="5.6640625" style="4" customWidth="1"/>
    <col min="11516" max="11516" width="68.6640625" style="4" customWidth="1"/>
    <col min="11517" max="11517" width="2.6640625" style="4" customWidth="1"/>
    <col min="11518" max="11518" width="14.6640625" style="4" customWidth="1"/>
    <col min="11519" max="11519" width="2.6640625" style="4" customWidth="1"/>
    <col min="11520" max="11520" width="2.44140625" style="4" customWidth="1"/>
    <col min="11521" max="11521" width="28.6640625" style="4" customWidth="1"/>
    <col min="11522" max="11766" width="8.88671875" style="4"/>
    <col min="11767" max="11768" width="2.6640625" style="4" customWidth="1"/>
    <col min="11769" max="11769" width="7" style="4" customWidth="1"/>
    <col min="11770" max="11770" width="2.44140625" style="4" customWidth="1"/>
    <col min="11771" max="11771" width="5.6640625" style="4" customWidth="1"/>
    <col min="11772" max="11772" width="68.6640625" style="4" customWidth="1"/>
    <col min="11773" max="11773" width="2.6640625" style="4" customWidth="1"/>
    <col min="11774" max="11774" width="14.6640625" style="4" customWidth="1"/>
    <col min="11775" max="11775" width="2.6640625" style="4" customWidth="1"/>
    <col min="11776" max="11776" width="2.44140625" style="4" customWidth="1"/>
    <col min="11777" max="11777" width="28.6640625" style="4" customWidth="1"/>
    <col min="11778" max="12022" width="8.88671875" style="4"/>
    <col min="12023" max="12024" width="2.6640625" style="4" customWidth="1"/>
    <col min="12025" max="12025" width="7" style="4" customWidth="1"/>
    <col min="12026" max="12026" width="2.44140625" style="4" customWidth="1"/>
    <col min="12027" max="12027" width="5.6640625" style="4" customWidth="1"/>
    <col min="12028" max="12028" width="68.6640625" style="4" customWidth="1"/>
    <col min="12029" max="12029" width="2.6640625" style="4" customWidth="1"/>
    <col min="12030" max="12030" width="14.6640625" style="4" customWidth="1"/>
    <col min="12031" max="12031" width="2.6640625" style="4" customWidth="1"/>
    <col min="12032" max="12032" width="2.44140625" style="4" customWidth="1"/>
    <col min="12033" max="12033" width="28.6640625" style="4" customWidth="1"/>
    <col min="12034" max="12278" width="8.88671875" style="4"/>
    <col min="12279" max="12280" width="2.6640625" style="4" customWidth="1"/>
    <col min="12281" max="12281" width="7" style="4" customWidth="1"/>
    <col min="12282" max="12282" width="2.44140625" style="4" customWidth="1"/>
    <col min="12283" max="12283" width="5.6640625" style="4" customWidth="1"/>
    <col min="12284" max="12284" width="68.6640625" style="4" customWidth="1"/>
    <col min="12285" max="12285" width="2.6640625" style="4" customWidth="1"/>
    <col min="12286" max="12286" width="14.6640625" style="4" customWidth="1"/>
    <col min="12287" max="12287" width="2.6640625" style="4" customWidth="1"/>
    <col min="12288" max="12288" width="2.44140625" style="4" customWidth="1"/>
    <col min="12289" max="12289" width="28.6640625" style="4" customWidth="1"/>
    <col min="12290" max="12534" width="8.88671875" style="4"/>
    <col min="12535" max="12536" width="2.6640625" style="4" customWidth="1"/>
    <col min="12537" max="12537" width="7" style="4" customWidth="1"/>
    <col min="12538" max="12538" width="2.44140625" style="4" customWidth="1"/>
    <col min="12539" max="12539" width="5.6640625" style="4" customWidth="1"/>
    <col min="12540" max="12540" width="68.6640625" style="4" customWidth="1"/>
    <col min="12541" max="12541" width="2.6640625" style="4" customWidth="1"/>
    <col min="12542" max="12542" width="14.6640625" style="4" customWidth="1"/>
    <col min="12543" max="12543" width="2.6640625" style="4" customWidth="1"/>
    <col min="12544" max="12544" width="2.44140625" style="4" customWidth="1"/>
    <col min="12545" max="12545" width="28.6640625" style="4" customWidth="1"/>
    <col min="12546" max="12790" width="8.88671875" style="4"/>
    <col min="12791" max="12792" width="2.6640625" style="4" customWidth="1"/>
    <col min="12793" max="12793" width="7" style="4" customWidth="1"/>
    <col min="12794" max="12794" width="2.44140625" style="4" customWidth="1"/>
    <col min="12795" max="12795" width="5.6640625" style="4" customWidth="1"/>
    <col min="12796" max="12796" width="68.6640625" style="4" customWidth="1"/>
    <col min="12797" max="12797" width="2.6640625" style="4" customWidth="1"/>
    <col min="12798" max="12798" width="14.6640625" style="4" customWidth="1"/>
    <col min="12799" max="12799" width="2.6640625" style="4" customWidth="1"/>
    <col min="12800" max="12800" width="2.44140625" style="4" customWidth="1"/>
    <col min="12801" max="12801" width="28.6640625" style="4" customWidth="1"/>
    <col min="12802" max="13046" width="8.88671875" style="4"/>
    <col min="13047" max="13048" width="2.6640625" style="4" customWidth="1"/>
    <col min="13049" max="13049" width="7" style="4" customWidth="1"/>
    <col min="13050" max="13050" width="2.44140625" style="4" customWidth="1"/>
    <col min="13051" max="13051" width="5.6640625" style="4" customWidth="1"/>
    <col min="13052" max="13052" width="68.6640625" style="4" customWidth="1"/>
    <col min="13053" max="13053" width="2.6640625" style="4" customWidth="1"/>
    <col min="13054" max="13054" width="14.6640625" style="4" customWidth="1"/>
    <col min="13055" max="13055" width="2.6640625" style="4" customWidth="1"/>
    <col min="13056" max="13056" width="2.44140625" style="4" customWidth="1"/>
    <col min="13057" max="13057" width="28.6640625" style="4" customWidth="1"/>
    <col min="13058" max="13302" width="8.88671875" style="4"/>
    <col min="13303" max="13304" width="2.6640625" style="4" customWidth="1"/>
    <col min="13305" max="13305" width="7" style="4" customWidth="1"/>
    <col min="13306" max="13306" width="2.44140625" style="4" customWidth="1"/>
    <col min="13307" max="13307" width="5.6640625" style="4" customWidth="1"/>
    <col min="13308" max="13308" width="68.6640625" style="4" customWidth="1"/>
    <col min="13309" max="13309" width="2.6640625" style="4" customWidth="1"/>
    <col min="13310" max="13310" width="14.6640625" style="4" customWidth="1"/>
    <col min="13311" max="13311" width="2.6640625" style="4" customWidth="1"/>
    <col min="13312" max="13312" width="2.44140625" style="4" customWidth="1"/>
    <col min="13313" max="13313" width="28.6640625" style="4" customWidth="1"/>
    <col min="13314" max="13558" width="8.88671875" style="4"/>
    <col min="13559" max="13560" width="2.6640625" style="4" customWidth="1"/>
    <col min="13561" max="13561" width="7" style="4" customWidth="1"/>
    <col min="13562" max="13562" width="2.44140625" style="4" customWidth="1"/>
    <col min="13563" max="13563" width="5.6640625" style="4" customWidth="1"/>
    <col min="13564" max="13564" width="68.6640625" style="4" customWidth="1"/>
    <col min="13565" max="13565" width="2.6640625" style="4" customWidth="1"/>
    <col min="13566" max="13566" width="14.6640625" style="4" customWidth="1"/>
    <col min="13567" max="13567" width="2.6640625" style="4" customWidth="1"/>
    <col min="13568" max="13568" width="2.44140625" style="4" customWidth="1"/>
    <col min="13569" max="13569" width="28.6640625" style="4" customWidth="1"/>
    <col min="13570" max="13814" width="8.88671875" style="4"/>
    <col min="13815" max="13816" width="2.6640625" style="4" customWidth="1"/>
    <col min="13817" max="13817" width="7" style="4" customWidth="1"/>
    <col min="13818" max="13818" width="2.44140625" style="4" customWidth="1"/>
    <col min="13819" max="13819" width="5.6640625" style="4" customWidth="1"/>
    <col min="13820" max="13820" width="68.6640625" style="4" customWidth="1"/>
    <col min="13821" max="13821" width="2.6640625" style="4" customWidth="1"/>
    <col min="13822" max="13822" width="14.6640625" style="4" customWidth="1"/>
    <col min="13823" max="13823" width="2.6640625" style="4" customWidth="1"/>
    <col min="13824" max="13824" width="2.44140625" style="4" customWidth="1"/>
    <col min="13825" max="13825" width="28.6640625" style="4" customWidth="1"/>
    <col min="13826" max="14070" width="8.88671875" style="4"/>
    <col min="14071" max="14072" width="2.6640625" style="4" customWidth="1"/>
    <col min="14073" max="14073" width="7" style="4" customWidth="1"/>
    <col min="14074" max="14074" width="2.44140625" style="4" customWidth="1"/>
    <col min="14075" max="14075" width="5.6640625" style="4" customWidth="1"/>
    <col min="14076" max="14076" width="68.6640625" style="4" customWidth="1"/>
    <col min="14077" max="14077" width="2.6640625" style="4" customWidth="1"/>
    <col min="14078" max="14078" width="14.6640625" style="4" customWidth="1"/>
    <col min="14079" max="14079" width="2.6640625" style="4" customWidth="1"/>
    <col min="14080" max="14080" width="2.44140625" style="4" customWidth="1"/>
    <col min="14081" max="14081" width="28.6640625" style="4" customWidth="1"/>
    <col min="14082" max="14326" width="8.88671875" style="4"/>
    <col min="14327" max="14328" width="2.6640625" style="4" customWidth="1"/>
    <col min="14329" max="14329" width="7" style="4" customWidth="1"/>
    <col min="14330" max="14330" width="2.44140625" style="4" customWidth="1"/>
    <col min="14331" max="14331" width="5.6640625" style="4" customWidth="1"/>
    <col min="14332" max="14332" width="68.6640625" style="4" customWidth="1"/>
    <col min="14333" max="14333" width="2.6640625" style="4" customWidth="1"/>
    <col min="14334" max="14334" width="14.6640625" style="4" customWidth="1"/>
    <col min="14335" max="14335" width="2.6640625" style="4" customWidth="1"/>
    <col min="14336" max="14336" width="2.44140625" style="4" customWidth="1"/>
    <col min="14337" max="14337" width="28.6640625" style="4" customWidth="1"/>
    <col min="14338" max="14582" width="8.88671875" style="4"/>
    <col min="14583" max="14584" width="2.6640625" style="4" customWidth="1"/>
    <col min="14585" max="14585" width="7" style="4" customWidth="1"/>
    <col min="14586" max="14586" width="2.44140625" style="4" customWidth="1"/>
    <col min="14587" max="14587" width="5.6640625" style="4" customWidth="1"/>
    <col min="14588" max="14588" width="68.6640625" style="4" customWidth="1"/>
    <col min="14589" max="14589" width="2.6640625" style="4" customWidth="1"/>
    <col min="14590" max="14590" width="14.6640625" style="4" customWidth="1"/>
    <col min="14591" max="14591" width="2.6640625" style="4" customWidth="1"/>
    <col min="14592" max="14592" width="2.44140625" style="4" customWidth="1"/>
    <col min="14593" max="14593" width="28.6640625" style="4" customWidth="1"/>
    <col min="14594" max="14838" width="8.88671875" style="4"/>
    <col min="14839" max="14840" width="2.6640625" style="4" customWidth="1"/>
    <col min="14841" max="14841" width="7" style="4" customWidth="1"/>
    <col min="14842" max="14842" width="2.44140625" style="4" customWidth="1"/>
    <col min="14843" max="14843" width="5.6640625" style="4" customWidth="1"/>
    <col min="14844" max="14844" width="68.6640625" style="4" customWidth="1"/>
    <col min="14845" max="14845" width="2.6640625" style="4" customWidth="1"/>
    <col min="14846" max="14846" width="14.6640625" style="4" customWidth="1"/>
    <col min="14847" max="14847" width="2.6640625" style="4" customWidth="1"/>
    <col min="14848" max="14848" width="2.44140625" style="4" customWidth="1"/>
    <col min="14849" max="14849" width="28.6640625" style="4" customWidth="1"/>
    <col min="14850" max="15094" width="8.88671875" style="4"/>
    <col min="15095" max="15096" width="2.6640625" style="4" customWidth="1"/>
    <col min="15097" max="15097" width="7" style="4" customWidth="1"/>
    <col min="15098" max="15098" width="2.44140625" style="4" customWidth="1"/>
    <col min="15099" max="15099" width="5.6640625" style="4" customWidth="1"/>
    <col min="15100" max="15100" width="68.6640625" style="4" customWidth="1"/>
    <col min="15101" max="15101" width="2.6640625" style="4" customWidth="1"/>
    <col min="15102" max="15102" width="14.6640625" style="4" customWidth="1"/>
    <col min="15103" max="15103" width="2.6640625" style="4" customWidth="1"/>
    <col min="15104" max="15104" width="2.44140625" style="4" customWidth="1"/>
    <col min="15105" max="15105" width="28.6640625" style="4" customWidth="1"/>
    <col min="15106" max="15350" width="8.88671875" style="4"/>
    <col min="15351" max="15352" width="2.6640625" style="4" customWidth="1"/>
    <col min="15353" max="15353" width="7" style="4" customWidth="1"/>
    <col min="15354" max="15354" width="2.44140625" style="4" customWidth="1"/>
    <col min="15355" max="15355" width="5.6640625" style="4" customWidth="1"/>
    <col min="15356" max="15356" width="68.6640625" style="4" customWidth="1"/>
    <col min="15357" max="15357" width="2.6640625" style="4" customWidth="1"/>
    <col min="15358" max="15358" width="14.6640625" style="4" customWidth="1"/>
    <col min="15359" max="15359" width="2.6640625" style="4" customWidth="1"/>
    <col min="15360" max="15360" width="2.44140625" style="4" customWidth="1"/>
    <col min="15361" max="15361" width="28.6640625" style="4" customWidth="1"/>
    <col min="15362" max="15606" width="8.88671875" style="4"/>
    <col min="15607" max="15608" width="2.6640625" style="4" customWidth="1"/>
    <col min="15609" max="15609" width="7" style="4" customWidth="1"/>
    <col min="15610" max="15610" width="2.44140625" style="4" customWidth="1"/>
    <col min="15611" max="15611" width="5.6640625" style="4" customWidth="1"/>
    <col min="15612" max="15612" width="68.6640625" style="4" customWidth="1"/>
    <col min="15613" max="15613" width="2.6640625" style="4" customWidth="1"/>
    <col min="15614" max="15614" width="14.6640625" style="4" customWidth="1"/>
    <col min="15615" max="15615" width="2.6640625" style="4" customWidth="1"/>
    <col min="15616" max="15616" width="2.44140625" style="4" customWidth="1"/>
    <col min="15617" max="15617" width="28.6640625" style="4" customWidth="1"/>
    <col min="15618" max="15862" width="8.88671875" style="4"/>
    <col min="15863" max="15864" width="2.6640625" style="4" customWidth="1"/>
    <col min="15865" max="15865" width="7" style="4" customWidth="1"/>
    <col min="15866" max="15866" width="2.44140625" style="4" customWidth="1"/>
    <col min="15867" max="15867" width="5.6640625" style="4" customWidth="1"/>
    <col min="15868" max="15868" width="68.6640625" style="4" customWidth="1"/>
    <col min="15869" max="15869" width="2.6640625" style="4" customWidth="1"/>
    <col min="15870" max="15870" width="14.6640625" style="4" customWidth="1"/>
    <col min="15871" max="15871" width="2.6640625" style="4" customWidth="1"/>
    <col min="15872" max="15872" width="2.44140625" style="4" customWidth="1"/>
    <col min="15873" max="15873" width="28.6640625" style="4" customWidth="1"/>
    <col min="15874" max="16118" width="8.88671875" style="4"/>
    <col min="16119" max="16120" width="2.6640625" style="4" customWidth="1"/>
    <col min="16121" max="16121" width="7" style="4" customWidth="1"/>
    <col min="16122" max="16122" width="2.44140625" style="4" customWidth="1"/>
    <col min="16123" max="16123" width="5.6640625" style="4" customWidth="1"/>
    <col min="16124" max="16124" width="68.6640625" style="4" customWidth="1"/>
    <col min="16125" max="16125" width="2.6640625" style="4" customWidth="1"/>
    <col min="16126" max="16126" width="14.6640625" style="4" customWidth="1"/>
    <col min="16127" max="16127" width="2.6640625" style="4" customWidth="1"/>
    <col min="16128" max="16128" width="2.44140625" style="4" customWidth="1"/>
    <col min="16129" max="16129" width="28.6640625" style="4" customWidth="1"/>
    <col min="16130" max="16384" width="8.88671875" style="4"/>
  </cols>
  <sheetData>
    <row r="2" spans="2:11" ht="15" customHeight="1" x14ac:dyDescent="0.3">
      <c r="B2" s="1"/>
      <c r="C2" s="2">
        <v>1</v>
      </c>
      <c r="D2" s="2"/>
      <c r="E2" s="2"/>
      <c r="F2" s="2"/>
      <c r="G2" s="2"/>
      <c r="H2" s="2"/>
      <c r="I2" s="2"/>
      <c r="J2" s="2"/>
      <c r="K2" s="3"/>
    </row>
    <row r="3" spans="2:11" ht="24.75" customHeight="1" x14ac:dyDescent="0.3">
      <c r="B3" s="5"/>
      <c r="C3" s="6">
        <v>1</v>
      </c>
      <c r="D3" s="7" t="s">
        <v>226</v>
      </c>
      <c r="E3" s="6"/>
      <c r="F3" s="8"/>
      <c r="G3" s="8"/>
      <c r="H3" s="8"/>
      <c r="I3" s="8"/>
      <c r="J3" s="8"/>
      <c r="K3" s="9"/>
    </row>
    <row r="4" spans="2:11" ht="15" customHeight="1" x14ac:dyDescent="0.3">
      <c r="B4" s="5"/>
      <c r="C4" s="6">
        <v>1</v>
      </c>
      <c r="D4" s="10" t="s">
        <v>211</v>
      </c>
      <c r="E4" s="6"/>
      <c r="F4" s="11"/>
      <c r="G4" s="8"/>
      <c r="H4" s="8"/>
      <c r="I4" s="8"/>
      <c r="J4" s="8"/>
      <c r="K4" s="12"/>
    </row>
    <row r="5" spans="2:11" ht="15" customHeight="1" x14ac:dyDescent="0.3">
      <c r="B5" s="18"/>
      <c r="C5" s="19">
        <v>1</v>
      </c>
      <c r="D5" s="456"/>
      <c r="E5" s="19"/>
      <c r="F5" s="457"/>
      <c r="G5" s="458"/>
      <c r="H5" s="458"/>
      <c r="I5" s="458"/>
      <c r="J5" s="458"/>
      <c r="K5" s="22"/>
    </row>
    <row r="6" spans="2:11" ht="15" customHeight="1" x14ac:dyDescent="0.25">
      <c r="C6" s="4">
        <v>1</v>
      </c>
      <c r="J6" s="23"/>
      <c r="K6" s="24"/>
    </row>
    <row r="7" spans="2:11" ht="33.75" customHeight="1" x14ac:dyDescent="0.3">
      <c r="B7" s="428"/>
      <c r="C7" s="429">
        <v>1</v>
      </c>
      <c r="D7" s="430" t="s">
        <v>227</v>
      </c>
      <c r="E7" s="431"/>
      <c r="F7" s="431"/>
      <c r="G7" s="432"/>
      <c r="H7" s="432"/>
      <c r="I7" s="432"/>
      <c r="J7" s="432"/>
      <c r="K7" s="433"/>
    </row>
    <row r="8" spans="2:11" ht="15" customHeight="1" x14ac:dyDescent="0.3">
      <c r="B8" s="434"/>
      <c r="C8" s="156">
        <v>1</v>
      </c>
      <c r="D8" s="435"/>
      <c r="E8" s="436"/>
      <c r="F8" s="436"/>
      <c r="G8" s="437"/>
      <c r="H8" s="437"/>
      <c r="I8" s="437"/>
      <c r="J8" s="437"/>
      <c r="K8" s="438"/>
    </row>
    <row r="9" spans="2:11" ht="15" customHeight="1" x14ac:dyDescent="0.3">
      <c r="B9" s="434"/>
      <c r="C9" s="156">
        <v>1</v>
      </c>
      <c r="D9" s="437" t="s">
        <v>228</v>
      </c>
      <c r="E9" s="436"/>
      <c r="F9" s="436"/>
      <c r="G9" s="437"/>
      <c r="H9" s="437"/>
      <c r="I9" s="437"/>
      <c r="J9" s="437"/>
      <c r="K9" s="438"/>
    </row>
    <row r="10" spans="2:11" ht="15" customHeight="1" x14ac:dyDescent="0.3">
      <c r="B10" s="434"/>
      <c r="C10" s="156">
        <v>1</v>
      </c>
      <c r="D10" s="156"/>
      <c r="E10" s="436"/>
      <c r="F10" s="436"/>
      <c r="G10" s="437"/>
      <c r="H10" s="437"/>
      <c r="I10" s="437"/>
      <c r="J10" s="437"/>
      <c r="K10" s="438"/>
    </row>
    <row r="11" spans="2:11" ht="15" customHeight="1" x14ac:dyDescent="0.3">
      <c r="B11" s="434"/>
      <c r="C11" s="156">
        <v>1</v>
      </c>
      <c r="D11" s="439"/>
      <c r="E11" s="437"/>
      <c r="F11" s="437"/>
      <c r="G11" s="437"/>
      <c r="H11" s="437"/>
      <c r="I11" s="437"/>
      <c r="J11" s="437"/>
      <c r="K11" s="440"/>
    </row>
    <row r="12" spans="2:11" ht="15" customHeight="1" x14ac:dyDescent="0.3">
      <c r="B12" s="434"/>
      <c r="C12" s="156">
        <v>1</v>
      </c>
      <c r="D12" s="439"/>
      <c r="E12" s="437"/>
      <c r="F12" s="437"/>
      <c r="G12" s="437"/>
      <c r="H12" s="437"/>
      <c r="I12" s="437"/>
      <c r="J12" s="437"/>
      <c r="K12" s="440"/>
    </row>
    <row r="13" spans="2:11" ht="21" customHeight="1" x14ac:dyDescent="0.25">
      <c r="B13" s="434"/>
      <c r="C13" s="156">
        <v>1</v>
      </c>
      <c r="D13" s="792" t="s">
        <v>212</v>
      </c>
      <c r="E13" s="786" t="s">
        <v>213</v>
      </c>
      <c r="F13" s="787"/>
      <c r="G13" s="788"/>
      <c r="H13" s="786" t="s">
        <v>214</v>
      </c>
      <c r="I13" s="787"/>
      <c r="J13" s="788"/>
      <c r="K13" s="441"/>
    </row>
    <row r="14" spans="2:11" ht="21" customHeight="1" x14ac:dyDescent="0.3">
      <c r="B14" s="434"/>
      <c r="C14" s="156"/>
      <c r="D14" s="793"/>
      <c r="E14" s="789" t="str">
        <f>IF(Instructions!T57=1,"(gallons/year)","(liters/year)")</f>
        <v>(gallons/year)</v>
      </c>
      <c r="F14" s="790"/>
      <c r="G14" s="791"/>
      <c r="H14" s="789" t="str">
        <f>IF(Instructions!T57=1,"(gallons/year)","(liters/year)")</f>
        <v>(gallons/year)</v>
      </c>
      <c r="I14" s="790"/>
      <c r="J14" s="791"/>
      <c r="K14" s="441"/>
    </row>
    <row r="15" spans="2:11" ht="57" customHeight="1" x14ac:dyDescent="0.3">
      <c r="B15" s="434"/>
      <c r="C15" s="156">
        <v>1</v>
      </c>
      <c r="D15" s="794"/>
      <c r="E15" s="157" t="s">
        <v>215</v>
      </c>
      <c r="F15" s="42" t="s">
        <v>216</v>
      </c>
      <c r="G15" s="203" t="s">
        <v>217</v>
      </c>
      <c r="H15" s="157" t="s">
        <v>215</v>
      </c>
      <c r="I15" s="42" t="s">
        <v>216</v>
      </c>
      <c r="J15" s="203" t="s">
        <v>218</v>
      </c>
      <c r="K15" s="441"/>
    </row>
    <row r="16" spans="2:11" ht="15.75" customHeight="1" x14ac:dyDescent="0.3">
      <c r="B16" s="434"/>
      <c r="C16" s="6">
        <f t="shared" ref="C16" ca="1" si="0">IF(OR(D16="Instructions",D16="Base Calc",D16="Lowrise Indoor Water Use",D16="Lowrise Wastewater Use",D16="Summary D+C",D16="Summary O+M",D16="Summary ND",D16="",D16=0),0,1)</f>
        <v>1</v>
      </c>
      <c r="D16" s="442" t="str">
        <f ca="1">IFERROR(INDEX(MID(Sheets,FIND("]",Sheets)+1,255),ROW(A2),1),"")</f>
        <v>Group 1</v>
      </c>
      <c r="E16" s="443">
        <f ca="1">INDIRECT("'"&amp;D16&amp;"'!$Z$12")</f>
        <v>0</v>
      </c>
      <c r="F16" s="444">
        <f ca="1">INDIRECT("'"&amp;$D16&amp;"'!$Z$11")</f>
        <v>0</v>
      </c>
      <c r="G16" s="445">
        <f t="shared" ref="G16" ca="1" si="1">E16+F16</f>
        <v>0</v>
      </c>
      <c r="H16" s="444">
        <f ca="1">INDIRECT("'"&amp;$D16&amp;"'!$Z$14")</f>
        <v>0</v>
      </c>
      <c r="I16" s="444">
        <f ca="1">INDIRECT("'"&amp;$D16&amp;"'!$Z$13")</f>
        <v>0</v>
      </c>
      <c r="J16" s="445">
        <f t="shared" ref="J16" ca="1" si="2">H16+I16</f>
        <v>0</v>
      </c>
      <c r="K16" s="441"/>
    </row>
    <row r="17" spans="2:11" ht="13.5" customHeight="1" x14ac:dyDescent="0.3">
      <c r="B17" s="434"/>
      <c r="C17" s="156">
        <v>1</v>
      </c>
      <c r="D17" s="156"/>
      <c r="E17" s="446"/>
      <c r="F17" s="446"/>
      <c r="G17" s="447"/>
      <c r="H17" s="446"/>
      <c r="I17" s="446"/>
      <c r="J17" s="447"/>
      <c r="K17" s="441"/>
    </row>
    <row r="18" spans="2:11" ht="21" customHeight="1" x14ac:dyDescent="0.3">
      <c r="B18" s="448" t="s">
        <v>109</v>
      </c>
      <c r="C18" s="156">
        <v>1</v>
      </c>
      <c r="D18" s="204" t="str">
        <f>IF(Instructions!T57=1,"Annual baseline water consumption (gallons/year)","Annual baseline water consumption (liters/year)")</f>
        <v>Annual baseline water consumption (gallons/year)</v>
      </c>
      <c r="E18" s="205"/>
      <c r="F18" s="205"/>
      <c r="G18" s="205"/>
      <c r="H18" s="205"/>
      <c r="I18" s="205"/>
      <c r="J18" s="449">
        <f ca="1">SUM(G16:G17)</f>
        <v>0</v>
      </c>
      <c r="K18" s="441"/>
    </row>
    <row r="19" spans="2:11" ht="21" customHeight="1" x14ac:dyDescent="0.3">
      <c r="B19" s="434"/>
      <c r="C19" s="156">
        <v>1</v>
      </c>
      <c r="D19" s="206" t="str">
        <f>IF(Instructions!T57=1,"Annual design water consumption (gallons/year)","Annual design water consumption (liters/year)")</f>
        <v>Annual design water consumption (gallons/year)</v>
      </c>
      <c r="E19" s="207"/>
      <c r="F19" s="207"/>
      <c r="G19" s="207"/>
      <c r="H19" s="207"/>
      <c r="I19" s="207"/>
      <c r="J19" s="450">
        <f ca="1">SUM(J16:J17)</f>
        <v>0</v>
      </c>
      <c r="K19" s="441"/>
    </row>
    <row r="20" spans="2:11" ht="21" customHeight="1" x14ac:dyDescent="0.3">
      <c r="B20" s="434"/>
      <c r="C20" s="156">
        <v>1</v>
      </c>
      <c r="D20" s="208" t="s">
        <v>229</v>
      </c>
      <c r="E20" s="209"/>
      <c r="F20" s="209"/>
      <c r="G20" s="209"/>
      <c r="H20" s="209"/>
      <c r="I20" s="209"/>
      <c r="J20" s="451">
        <f ca="1">IF(J19=0,0,(J18-J19)/J18)</f>
        <v>0</v>
      </c>
      <c r="K20" s="441"/>
    </row>
    <row r="21" spans="2:11" ht="20.25" customHeight="1" x14ac:dyDescent="0.3">
      <c r="B21" s="434"/>
      <c r="C21" s="156">
        <v>1</v>
      </c>
      <c r="D21" s="452"/>
      <c r="E21" s="452"/>
      <c r="F21" s="452"/>
      <c r="G21" s="452"/>
      <c r="H21" s="452"/>
      <c r="I21" s="452"/>
      <c r="J21" s="515"/>
      <c r="K21" s="441"/>
    </row>
    <row r="22" spans="2:11" ht="15" customHeight="1" x14ac:dyDescent="0.3">
      <c r="B22" s="434"/>
      <c r="C22" s="156">
        <v>1</v>
      </c>
      <c r="D22" s="156"/>
      <c r="E22" s="156"/>
      <c r="F22" s="156"/>
      <c r="G22" s="156"/>
      <c r="H22" s="156"/>
      <c r="I22" s="156"/>
      <c r="J22" s="516"/>
      <c r="K22" s="441"/>
    </row>
    <row r="23" spans="2:11" ht="20.25" customHeight="1" x14ac:dyDescent="0.3">
      <c r="B23" s="434"/>
      <c r="C23" s="156">
        <v>1</v>
      </c>
      <c r="D23" s="437" t="s">
        <v>230</v>
      </c>
      <c r="E23" s="156"/>
      <c r="F23" s="156"/>
      <c r="G23" s="156"/>
      <c r="H23" s="156"/>
      <c r="I23" s="156"/>
      <c r="J23" s="516"/>
      <c r="K23" s="441"/>
    </row>
    <row r="24" spans="2:11" ht="15" customHeight="1" x14ac:dyDescent="0.3">
      <c r="B24" s="434"/>
      <c r="C24" s="156">
        <v>1</v>
      </c>
      <c r="D24" s="156"/>
      <c r="E24" s="156"/>
      <c r="F24" s="156"/>
      <c r="G24" s="156"/>
      <c r="H24" s="156"/>
      <c r="I24" s="156"/>
      <c r="J24" s="516"/>
      <c r="K24" s="441"/>
    </row>
    <row r="25" spans="2:11" ht="18" customHeight="1" x14ac:dyDescent="0.3">
      <c r="B25" s="434"/>
      <c r="C25" s="156">
        <v>1</v>
      </c>
      <c r="D25" s="156" t="s">
        <v>128</v>
      </c>
      <c r="E25" s="156"/>
      <c r="F25" s="156"/>
      <c r="G25" s="156"/>
      <c r="H25" s="156"/>
      <c r="I25" s="156"/>
      <c r="J25" s="517">
        <f>'Lowrise Indoor Water Use'!N14</f>
        <v>0</v>
      </c>
      <c r="K25" s="441"/>
    </row>
    <row r="26" spans="2:11" ht="9" customHeight="1" x14ac:dyDescent="0.3">
      <c r="B26" s="434"/>
      <c r="C26" s="156">
        <v>1</v>
      </c>
      <c r="D26" s="156"/>
      <c r="E26" s="156"/>
      <c r="F26" s="156"/>
      <c r="G26" s="156"/>
      <c r="H26" s="156"/>
      <c r="I26" s="156"/>
      <c r="J26" s="518"/>
      <c r="K26" s="441"/>
    </row>
    <row r="27" spans="2:11" ht="18" customHeight="1" x14ac:dyDescent="0.3">
      <c r="B27" s="434"/>
      <c r="C27" s="156">
        <v>1</v>
      </c>
      <c r="D27" s="156" t="s">
        <v>129</v>
      </c>
      <c r="E27" s="156"/>
      <c r="F27" s="156"/>
      <c r="G27" s="156"/>
      <c r="H27" s="156"/>
      <c r="I27" s="156"/>
      <c r="J27" s="517">
        <f>'Lowrise Indoor Water Use'!N15</f>
        <v>0</v>
      </c>
      <c r="K27" s="441"/>
    </row>
    <row r="28" spans="2:11" ht="9" customHeight="1" x14ac:dyDescent="0.3">
      <c r="B28" s="434"/>
      <c r="C28" s="156">
        <v>1</v>
      </c>
      <c r="D28" s="156"/>
      <c r="E28" s="156"/>
      <c r="F28" s="156"/>
      <c r="G28" s="156"/>
      <c r="H28" s="156"/>
      <c r="I28" s="156"/>
      <c r="J28" s="519"/>
      <c r="K28" s="441"/>
    </row>
    <row r="29" spans="2:11" ht="18" customHeight="1" x14ac:dyDescent="0.3">
      <c r="B29" s="434"/>
      <c r="C29" s="156">
        <v>1</v>
      </c>
      <c r="D29" s="156" t="s">
        <v>231</v>
      </c>
      <c r="E29" s="156"/>
      <c r="F29" s="156"/>
      <c r="G29" s="156"/>
      <c r="H29" s="156"/>
      <c r="I29" s="156"/>
      <c r="J29" s="520">
        <f>IFERROR(J27/J25,0)</f>
        <v>0</v>
      </c>
      <c r="K29" s="441"/>
    </row>
    <row r="30" spans="2:11" ht="20.25" customHeight="1" x14ac:dyDescent="0.3">
      <c r="B30" s="453"/>
      <c r="C30" s="452">
        <v>1</v>
      </c>
      <c r="D30" s="452"/>
      <c r="E30" s="452"/>
      <c r="F30" s="452"/>
      <c r="G30" s="452"/>
      <c r="H30" s="452"/>
      <c r="I30" s="452"/>
      <c r="J30" s="515"/>
      <c r="K30" s="454"/>
    </row>
    <row r="31" spans="2:11" ht="15" customHeight="1" x14ac:dyDescent="0.3">
      <c r="B31" s="463"/>
      <c r="C31" s="464">
        <v>1</v>
      </c>
      <c r="D31" s="464"/>
      <c r="E31" s="464"/>
      <c r="F31" s="464"/>
      <c r="G31" s="464"/>
      <c r="H31" s="464"/>
      <c r="I31" s="464"/>
      <c r="J31" s="521"/>
      <c r="K31" s="465"/>
    </row>
    <row r="32" spans="2:11" ht="20.25" customHeight="1" x14ac:dyDescent="0.3">
      <c r="B32" s="466"/>
      <c r="C32" s="4">
        <v>1</v>
      </c>
      <c r="D32" s="471" t="s">
        <v>232</v>
      </c>
      <c r="J32" s="522"/>
      <c r="K32" s="467"/>
    </row>
    <row r="33" spans="2:11" ht="15" customHeight="1" x14ac:dyDescent="0.3">
      <c r="B33" s="466"/>
      <c r="C33" s="4">
        <v>1</v>
      </c>
      <c r="J33" s="522"/>
      <c r="K33" s="467"/>
    </row>
    <row r="34" spans="2:11" ht="18" customHeight="1" x14ac:dyDescent="0.3">
      <c r="B34" s="466"/>
      <c r="C34" s="4">
        <v>1</v>
      </c>
      <c r="D34" s="4" t="s">
        <v>233</v>
      </c>
      <c r="J34" s="517">
        <f>'Lowrise Indoor Water Use'!N16</f>
        <v>0</v>
      </c>
      <c r="K34" s="467"/>
    </row>
    <row r="35" spans="2:11" ht="9" customHeight="1" x14ac:dyDescent="0.3">
      <c r="B35" s="466"/>
      <c r="C35" s="4">
        <v>1</v>
      </c>
      <c r="J35" s="523"/>
      <c r="K35" s="467"/>
    </row>
    <row r="36" spans="2:11" ht="18" customHeight="1" x14ac:dyDescent="0.3">
      <c r="B36" s="466"/>
      <c r="C36" s="4">
        <v>1</v>
      </c>
      <c r="D36" s="4" t="s">
        <v>234</v>
      </c>
      <c r="J36" s="520">
        <f>IFERROR(J34/J25,0)</f>
        <v>0</v>
      </c>
      <c r="K36" s="467"/>
    </row>
    <row r="37" spans="2:11" ht="20.25" customHeight="1" x14ac:dyDescent="0.3">
      <c r="B37" s="468"/>
      <c r="C37" s="469">
        <v>1</v>
      </c>
      <c r="D37" s="469"/>
      <c r="E37" s="469"/>
      <c r="F37" s="469"/>
      <c r="G37" s="469"/>
      <c r="H37" s="469"/>
      <c r="I37" s="469"/>
      <c r="J37" s="524"/>
      <c r="K37" s="470"/>
    </row>
    <row r="38" spans="2:11" ht="15" customHeight="1" x14ac:dyDescent="0.25">
      <c r="C38" s="4">
        <v>1</v>
      </c>
      <c r="J38" s="525"/>
      <c r="K38" s="24"/>
    </row>
    <row r="39" spans="2:11" ht="33" customHeight="1" x14ac:dyDescent="0.3">
      <c r="B39" s="428"/>
      <c r="C39" s="429">
        <v>1</v>
      </c>
      <c r="D39" s="430" t="s">
        <v>235</v>
      </c>
      <c r="E39" s="459"/>
      <c r="F39" s="459"/>
      <c r="G39" s="460"/>
      <c r="H39" s="429"/>
      <c r="I39" s="429"/>
      <c r="J39" s="526"/>
      <c r="K39" s="461"/>
    </row>
    <row r="40" spans="2:11" ht="15" customHeight="1" x14ac:dyDescent="0.3">
      <c r="B40" s="434"/>
      <c r="C40" s="156">
        <v>1</v>
      </c>
      <c r="D40" s="156"/>
      <c r="E40" s="156"/>
      <c r="F40" s="156" t="str">
        <f ca="1">IFERROR(INDEX(MID(Sheets,FIND("]",Sheets)+1,255),ROW(#REF!),1),"")</f>
        <v/>
      </c>
      <c r="G40" s="156"/>
      <c r="H40" s="156"/>
      <c r="I40" s="156"/>
      <c r="J40" s="516"/>
      <c r="K40" s="441"/>
    </row>
    <row r="41" spans="2:11" ht="15" customHeight="1" x14ac:dyDescent="0.3">
      <c r="B41" s="434"/>
      <c r="C41" s="156">
        <v>1</v>
      </c>
      <c r="D41" s="156" t="str">
        <f>CONCATENATE("Annual wastewater flow for nonresidential buildings and multiunit residential buildings four stories or more ",IF(UOM=1,"(gallons/year)","(liters/year)"))</f>
        <v>Annual wastewater flow for nonresidential buildings and multiunit residential buildings four stories or more (gallons/year)</v>
      </c>
      <c r="E41" s="156"/>
      <c r="F41" s="156"/>
      <c r="G41" s="156"/>
      <c r="H41" s="156"/>
      <c r="I41" s="156"/>
      <c r="J41" s="527">
        <f ca="1">J19</f>
        <v>0</v>
      </c>
      <c r="K41" s="441"/>
    </row>
    <row r="42" spans="2:11" ht="9" customHeight="1" x14ac:dyDescent="0.3">
      <c r="B42" s="434"/>
      <c r="C42" s="156">
        <v>1</v>
      </c>
      <c r="D42" s="156"/>
      <c r="E42" s="156"/>
      <c r="F42" s="455"/>
      <c r="G42" s="156"/>
      <c r="H42" s="156"/>
      <c r="I42" s="156"/>
      <c r="J42" s="516"/>
      <c r="K42" s="441"/>
    </row>
    <row r="43" spans="2:11" ht="15" customHeight="1" x14ac:dyDescent="0.3">
      <c r="B43" s="434"/>
      <c r="C43" s="156">
        <v>1</v>
      </c>
      <c r="D43" s="804" t="str">
        <f>CONCATENATE("Annual wastewater flow for single-family residential buildings and multiunit residential buildings three stories or fewer ",IF(UOM=1,"(gallons/year)","(liters/year)"))</f>
        <v>Annual wastewater flow for single-family residential buildings and multiunit residential buildings three stories or fewer (gallons/year)</v>
      </c>
      <c r="E43" s="804"/>
      <c r="F43" s="804"/>
      <c r="G43" s="804"/>
      <c r="H43" s="804"/>
      <c r="I43" s="804"/>
      <c r="J43" s="527">
        <f>'Lowrise Wastewater Use'!G129</f>
        <v>0</v>
      </c>
      <c r="K43" s="441"/>
    </row>
    <row r="44" spans="2:11" ht="15" customHeight="1" x14ac:dyDescent="0.3">
      <c r="B44" s="434"/>
      <c r="C44" s="156"/>
      <c r="D44" s="804"/>
      <c r="E44" s="804"/>
      <c r="F44" s="804"/>
      <c r="G44" s="804"/>
      <c r="H44" s="804"/>
      <c r="I44" s="804"/>
      <c r="J44" s="462"/>
      <c r="K44" s="441"/>
    </row>
    <row r="45" spans="2:11" ht="15" customHeight="1" x14ac:dyDescent="0.3">
      <c r="B45" s="453"/>
      <c r="C45" s="452">
        <v>1</v>
      </c>
      <c r="D45" s="452"/>
      <c r="E45" s="452"/>
      <c r="F45" s="452"/>
      <c r="G45" s="452"/>
      <c r="H45" s="452"/>
      <c r="I45" s="452"/>
      <c r="J45" s="452"/>
      <c r="K45" s="454"/>
    </row>
  </sheetData>
  <sheetProtection formatColumns="0" formatRows="0"/>
  <mergeCells count="6">
    <mergeCell ref="D43:I44"/>
    <mergeCell ref="D13:D15"/>
    <mergeCell ref="E13:G13"/>
    <mergeCell ref="H13:J13"/>
    <mergeCell ref="E14:G14"/>
    <mergeCell ref="H14:J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refreshSummary">
                <anchor moveWithCells="1" sizeWithCells="1">
                  <from>
                    <xdr:col>3</xdr:col>
                    <xdr:colOff>45720</xdr:colOff>
                    <xdr:row>9</xdr:row>
                    <xdr:rowOff>137160</xdr:rowOff>
                  </from>
                  <to>
                    <xdr:col>3</xdr:col>
                    <xdr:colOff>1417320</xdr:colOff>
                    <xdr:row>11</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23</vt:i4>
      </vt:variant>
    </vt:vector>
  </HeadingPairs>
  <TitlesOfParts>
    <vt:vector size="31" baseType="lpstr">
      <vt:lpstr>Instructions</vt:lpstr>
      <vt:lpstr>Group 1</vt:lpstr>
      <vt:lpstr>Base Calc</vt:lpstr>
      <vt:lpstr>Lowrise Indoor Water Use</vt:lpstr>
      <vt:lpstr>Lowrise Wastewater Use</vt:lpstr>
      <vt:lpstr>Summary D+C</vt:lpstr>
      <vt:lpstr>Summary O+M</vt:lpstr>
      <vt:lpstr>Summary ND</vt:lpstr>
      <vt:lpstr>_unitType</vt:lpstr>
      <vt:lpstr>'Group 1'!Default</vt:lpstr>
      <vt:lpstr>Default</vt:lpstr>
      <vt:lpstr>FlowFixture</vt:lpstr>
      <vt:lpstr>FlushFixture</vt:lpstr>
      <vt:lpstr>NDrs</vt:lpstr>
      <vt:lpstr>NDsteps</vt:lpstr>
      <vt:lpstr>'Group 1'!Nondefault</vt:lpstr>
      <vt:lpstr>Nondefault</vt:lpstr>
      <vt:lpstr>nonNDsteps</vt:lpstr>
      <vt:lpstr>'Group 1'!Ratio1</vt:lpstr>
      <vt:lpstr>Ratio1</vt:lpstr>
      <vt:lpstr>'Group 1'!Ratio2</vt:lpstr>
      <vt:lpstr>Ratio2</vt:lpstr>
      <vt:lpstr>'Group 1'!Table</vt:lpstr>
      <vt:lpstr>Table</vt:lpstr>
      <vt:lpstr>Toilet</vt:lpstr>
      <vt:lpstr>'Group 1'!Total1</vt:lpstr>
      <vt:lpstr>Total1</vt:lpstr>
      <vt:lpstr>'Group 1'!Total2</vt:lpstr>
      <vt:lpstr>Total2</vt:lpstr>
      <vt:lpstr>UOM</vt:lpstr>
      <vt:lpstr>Urinal</vt:lpstr>
    </vt:vector>
  </TitlesOfParts>
  <Manager/>
  <Company>US Green Building Council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USGBC</dc:creator>
  <cp:keywords/>
  <dc:description/>
  <cp:lastModifiedBy>Christine Davis</cp:lastModifiedBy>
  <cp:revision/>
  <dcterms:created xsi:type="dcterms:W3CDTF">2012-09-07T14:06:36Z</dcterms:created>
  <dcterms:modified xsi:type="dcterms:W3CDTF">2022-08-22T13:24:17Z</dcterms:modified>
  <cp:category/>
  <cp:contentStatus/>
</cp:coreProperties>
</file>