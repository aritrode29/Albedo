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BC58C6B1-8752-B0C3-C2C4-DFD462C6FBCC}"/>
  <workbookPr codeName="ThisWorkbook" autoCompressPictures="0" defaultThemeVersion="124226"/>
  <mc:AlternateContent xmlns:mc="http://schemas.openxmlformats.org/markup-compatibility/2006">
    <mc:Choice Requires="x15">
      <x15ac:absPath xmlns:x15ac="http://schemas.microsoft.com/office/spreadsheetml/2010/11/ac" url="C:\Users\mikieffer\Dropbox (USGBC)\LEED\LEED\Technical Development\LEED v4.1\Form &amp; Calculator Updates\MR\"/>
    </mc:Choice>
  </mc:AlternateContent>
  <xr:revisionPtr revIDLastSave="0" documentId="13_ncr:1_{C1405389-A0D6-4B9E-A63B-938262D65773}" xr6:coauthVersionLast="47" xr6:coauthVersionMax="47" xr10:uidLastSave="{00000000-0000-0000-0000-000000000000}"/>
  <bookViews>
    <workbookView xWindow="-108" yWindow="-108" windowWidth="23256" windowHeight="12576" tabRatio="685" xr2:uid="{00000000-000D-0000-FFFF-FFFF00000000}"/>
  </bookViews>
  <sheets>
    <sheet name="Instructions" sheetId="16" r:id="rId1"/>
    <sheet name="Calculator" sheetId="13" r:id="rId2"/>
    <sheet name="DETAILED RECORDS" sheetId="19" r:id="rId3"/>
    <sheet name="Summary D+C" sheetId="17" r:id="rId4"/>
    <sheet name="Summary ND" sheetId="18" r:id="rId5"/>
  </sheets>
  <definedNames>
    <definedName name="list">Instructions!$L$94:$L$96</definedName>
    <definedName name="list2">Instructions!#REF!</definedName>
    <definedName name="Materials">Instructions!$J$73:$J$87</definedName>
    <definedName name="UOM">Instructions!$J$65:$J$70</definedName>
    <definedName name="Waste">Instructions!$J$93:$J$96</definedName>
    <definedName name="waste2">Instructions!$K$94:$K$96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28" i="13" l="1"/>
  <c r="B27" i="13"/>
  <c r="B24" i="13"/>
  <c r="C17" i="17"/>
  <c r="C15" i="17"/>
  <c r="C9" i="17"/>
  <c r="C7" i="17"/>
  <c r="F9" i="13"/>
  <c r="C16" i="18"/>
  <c r="C8" i="18"/>
  <c r="C6" i="18"/>
  <c r="B26" i="13" l="1"/>
  <c r="B25" i="13"/>
  <c r="B23" i="13"/>
  <c r="B22" i="13"/>
  <c r="L9" i="13" l="1"/>
  <c r="J9" i="13"/>
  <c r="C5" i="13"/>
  <c r="J11" i="13"/>
  <c r="L11" i="13" s="1"/>
  <c r="K11" i="13" l="1"/>
  <c r="L24" i="13"/>
  <c r="H7" i="17" l="1"/>
  <c r="H6" i="18"/>
  <c r="J13" i="13"/>
  <c r="L28" i="13" l="1"/>
  <c r="N42" i="13" s="1"/>
  <c r="H21" i="17" s="1"/>
  <c r="B30" i="13"/>
  <c r="B29" i="13" l="1"/>
  <c r="J12" i="13" l="1"/>
  <c r="J14" i="13"/>
  <c r="J15" i="13"/>
  <c r="J16" i="13"/>
  <c r="J17" i="13"/>
  <c r="J18" i="13"/>
  <c r="J19" i="13"/>
  <c r="J20" i="13"/>
  <c r="J21" i="13"/>
  <c r="J10" i="13"/>
  <c r="L23" i="13" l="1"/>
  <c r="L26" i="13"/>
  <c r="L30" i="13"/>
  <c r="G86" i="19"/>
  <c r="E86" i="19"/>
  <c r="E59" i="19"/>
  <c r="G35" i="19"/>
  <c r="H63" i="19"/>
  <c r="H36" i="19"/>
  <c r="G37" i="19"/>
  <c r="H37" i="19" s="1"/>
  <c r="G38" i="19"/>
  <c r="H38" i="19" s="1"/>
  <c r="G39" i="19"/>
  <c r="G40" i="19"/>
  <c r="H40" i="19" s="1"/>
  <c r="G41" i="19"/>
  <c r="G42" i="19"/>
  <c r="H42" i="19" s="1"/>
  <c r="G43" i="19"/>
  <c r="G44" i="19"/>
  <c r="H44" i="19" s="1"/>
  <c r="G45" i="19"/>
  <c r="H45" i="19" s="1"/>
  <c r="G46" i="19"/>
  <c r="H46" i="19" s="1"/>
  <c r="G47" i="19"/>
  <c r="H47" i="19" s="1"/>
  <c r="G48" i="19"/>
  <c r="H48" i="19" s="1"/>
  <c r="G49" i="19"/>
  <c r="H49" i="19" s="1"/>
  <c r="G50" i="19"/>
  <c r="H50" i="19" s="1"/>
  <c r="G51" i="19"/>
  <c r="H51" i="19" s="1"/>
  <c r="G52" i="19"/>
  <c r="G53" i="19"/>
  <c r="H53" i="19" s="1"/>
  <c r="G54" i="19"/>
  <c r="H54" i="19" s="1"/>
  <c r="G55" i="19"/>
  <c r="H55" i="19" s="1"/>
  <c r="G56" i="19"/>
  <c r="G57" i="19"/>
  <c r="H57" i="19" s="1"/>
  <c r="G58" i="19"/>
  <c r="H58" i="19" s="1"/>
  <c r="G36" i="19"/>
  <c r="H85" i="19"/>
  <c r="H84" i="19"/>
  <c r="H83" i="19"/>
  <c r="A83" i="19"/>
  <c r="H82" i="19"/>
  <c r="A82" i="19"/>
  <c r="H81" i="19"/>
  <c r="H80" i="19"/>
  <c r="H79" i="19"/>
  <c r="H78" i="19"/>
  <c r="A78" i="19"/>
  <c r="H77" i="19"/>
  <c r="A77" i="19"/>
  <c r="H76" i="19"/>
  <c r="A76" i="19"/>
  <c r="H75" i="19"/>
  <c r="A75" i="19"/>
  <c r="H74" i="19"/>
  <c r="H73" i="19"/>
  <c r="H72" i="19"/>
  <c r="H71" i="19"/>
  <c r="H70" i="19"/>
  <c r="H69" i="19"/>
  <c r="H68" i="19"/>
  <c r="H67" i="19"/>
  <c r="A67" i="19"/>
  <c r="H66" i="19"/>
  <c r="A66" i="19"/>
  <c r="H65" i="19"/>
  <c r="A65" i="19"/>
  <c r="H64" i="19"/>
  <c r="A64" i="19"/>
  <c r="A63" i="19"/>
  <c r="H62" i="19"/>
  <c r="G62" i="19"/>
  <c r="H56" i="19"/>
  <c r="A56" i="19"/>
  <c r="A55" i="19"/>
  <c r="H52" i="19"/>
  <c r="A51" i="19"/>
  <c r="A50" i="19"/>
  <c r="A49" i="19"/>
  <c r="A48" i="19"/>
  <c r="H43" i="19"/>
  <c r="H41" i="19"/>
  <c r="A40" i="19"/>
  <c r="H39" i="19"/>
  <c r="A39" i="19"/>
  <c r="A38" i="19"/>
  <c r="A37" i="19"/>
  <c r="A36" i="19"/>
  <c r="H35" i="19"/>
  <c r="G25" i="19"/>
  <c r="H25" i="19" s="1"/>
  <c r="G26" i="19"/>
  <c r="H26" i="19" s="1"/>
  <c r="G27" i="19"/>
  <c r="H27" i="19" s="1"/>
  <c r="G14" i="19"/>
  <c r="H14" i="19" s="1"/>
  <c r="G15" i="19"/>
  <c r="H15" i="19" s="1"/>
  <c r="G16" i="19"/>
  <c r="H16" i="19" s="1"/>
  <c r="G17" i="19"/>
  <c r="H17" i="19" s="1"/>
  <c r="G18" i="19"/>
  <c r="H18" i="19" s="1"/>
  <c r="G19" i="19"/>
  <c r="H19" i="19" s="1"/>
  <c r="G20" i="19"/>
  <c r="H20" i="19" s="1"/>
  <c r="G21" i="19"/>
  <c r="H21" i="19" s="1"/>
  <c r="G8" i="19"/>
  <c r="E32" i="19"/>
  <c r="G10" i="19"/>
  <c r="H10" i="19" s="1"/>
  <c r="G11" i="19"/>
  <c r="H11" i="19" s="1"/>
  <c r="G12" i="19"/>
  <c r="H12" i="19" s="1"/>
  <c r="G13" i="19"/>
  <c r="H13" i="19" s="1"/>
  <c r="G22" i="19"/>
  <c r="H22" i="19" s="1"/>
  <c r="G23" i="19"/>
  <c r="G24" i="19"/>
  <c r="H24" i="19" s="1"/>
  <c r="G28" i="19"/>
  <c r="H28" i="19" s="1"/>
  <c r="G29" i="19"/>
  <c r="G30" i="19"/>
  <c r="H30" i="19" s="1"/>
  <c r="G31" i="19"/>
  <c r="H31" i="19" s="1"/>
  <c r="G9" i="19"/>
  <c r="A29" i="19"/>
  <c r="A28" i="19"/>
  <c r="A24" i="19"/>
  <c r="A23" i="19"/>
  <c r="A22" i="19"/>
  <c r="A21" i="19"/>
  <c r="A13" i="19"/>
  <c r="A12" i="19"/>
  <c r="A11" i="19"/>
  <c r="A10" i="19"/>
  <c r="A9" i="19"/>
  <c r="H8" i="19"/>
  <c r="G59" i="19" l="1"/>
  <c r="H86" i="19"/>
  <c r="H59" i="19"/>
  <c r="H17" i="17"/>
  <c r="G32" i="19"/>
  <c r="H9" i="19"/>
  <c r="H23" i="19"/>
  <c r="H29" i="19"/>
  <c r="H32" i="19" l="1"/>
  <c r="C22" i="17" l="1"/>
  <c r="J100" i="16"/>
  <c r="C21" i="17" s="1"/>
  <c r="E20" i="16" l="1"/>
  <c r="B5" i="13"/>
  <c r="E12" i="16"/>
  <c r="A18" i="13"/>
  <c r="K18" i="13"/>
  <c r="A19" i="13"/>
  <c r="K19" i="13"/>
  <c r="L19" i="13" l="1"/>
  <c r="L18" i="13"/>
  <c r="A17" i="13"/>
  <c r="K17" i="13"/>
  <c r="L10" i="13"/>
  <c r="L17" i="13" l="1"/>
  <c r="L31" i="13" l="1"/>
  <c r="C33" i="13" l="1"/>
  <c r="A12" i="13" l="1"/>
  <c r="A13" i="13"/>
  <c r="A14" i="13"/>
  <c r="A15" i="13"/>
  <c r="A16" i="13"/>
  <c r="A10" i="13"/>
  <c r="L13" i="13" l="1"/>
  <c r="L14" i="13"/>
  <c r="L15" i="13"/>
  <c r="L16" i="13"/>
  <c r="L20" i="13"/>
  <c r="L21" i="13"/>
  <c r="L32" i="13"/>
  <c r="L25" i="13" l="1"/>
  <c r="L29" i="13"/>
  <c r="L12" i="13"/>
  <c r="L22" i="13" s="1"/>
  <c r="K16" i="13"/>
  <c r="L27" i="13" l="1"/>
  <c r="H15" i="17" s="1"/>
  <c r="H19" i="17" s="1"/>
  <c r="K14" i="13"/>
  <c r="K13" i="13"/>
  <c r="K21" i="13"/>
  <c r="K12" i="13"/>
  <c r="K20" i="13"/>
  <c r="K15" i="13"/>
  <c r="K10" i="13"/>
  <c r="C14" i="18" l="1"/>
  <c r="L33" i="13" l="1"/>
  <c r="H14" i="18" s="1"/>
  <c r="H9" i="17" l="1"/>
  <c r="H11" i="17" s="1"/>
  <c r="H8" i="18"/>
  <c r="H16" i="18" s="1"/>
  <c r="H18" i="18" s="1"/>
  <c r="H10"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new macro</author>
    <author>Christine Snyder</author>
  </authors>
  <commentList>
    <comment ref="B9" authorId="0" shapeId="0" xr:uid="{00000000-0006-0000-0100-000001000000}">
      <text>
        <r>
          <rPr>
            <sz val="9"/>
            <color rgb="FF000000"/>
            <rFont val="Arial"/>
            <family val="2"/>
          </rPr>
          <t xml:space="preserve">Provide a brief description of the material and its source. Examples: “concrete from demolition”, “clean wood scraps”, or “mixed material recycling bin”.
</t>
        </r>
        <r>
          <rPr>
            <sz val="9"/>
            <color rgb="FF000000"/>
            <rFont val="Arial"/>
            <family val="2"/>
          </rPr>
          <t xml:space="preserve">
</t>
        </r>
        <r>
          <rPr>
            <sz val="9"/>
            <color rgb="FF000000"/>
            <rFont val="Arial"/>
            <family val="2"/>
          </rPr>
          <t>Include all materials generated for the project, including materials that are landfilled, incinerated, or diverted.</t>
        </r>
        <r>
          <rPr>
            <sz val="9"/>
            <color rgb="FF000000"/>
            <rFont val="Tahoma"/>
            <family val="2"/>
          </rPr>
          <t xml:space="preserve">
</t>
        </r>
      </text>
    </comment>
    <comment ref="C9" authorId="0" shapeId="0" xr:uid="{00000000-0006-0000-0100-000002000000}">
      <text>
        <r>
          <rPr>
            <sz val="9"/>
            <color rgb="FF000000"/>
            <rFont val="Arial"/>
            <family val="2"/>
          </rPr>
          <t xml:space="preserve">Choose the material type from the drop down menu. Choose “other” if the material type is not listed and provide a short description in column B.
</t>
        </r>
      </text>
    </comment>
    <comment ref="E9" authorId="0" shapeId="0" xr:uid="{00000000-0006-0000-0100-000003000000}">
      <text>
        <r>
          <rPr>
            <sz val="9"/>
            <color rgb="FF000000"/>
            <rFont val="Arial"/>
            <family val="2"/>
          </rPr>
          <t xml:space="preserve">Select the appropriate option from the drop down menu. Reference Step 5 in the Instructions Tab for more information.
Tip: material streams do not need to be all of the material in that category if collection of all the material is not possible. Material streams are recommended to represent 5% of the total materials generated by the project as a guideline but may be lower if project conditions or quantities make 5% not possible.
</t>
        </r>
      </text>
    </comment>
    <comment ref="F9" authorId="1" shapeId="0" xr:uid="{4BE8CC99-DFA5-4792-90A7-FAE04E06E2AA}">
      <text>
        <r>
          <rPr>
            <sz val="9"/>
            <color indexed="81"/>
            <rFont val="Tahoma"/>
            <family val="2"/>
          </rPr>
          <t xml:space="preserve">Total waste generated includes all waste materials that are both diverted (single material, mixed materials, and on-site reuse) and not diverted (landfill and incineration). See Step 5 of the Instructions tab for more information and for exclusions. </t>
        </r>
      </text>
    </comment>
    <comment ref="G9" authorId="0" shapeId="0" xr:uid="{5D69C23D-6C64-4BD0-9931-2F7559DEC949}">
      <text>
        <r>
          <rPr>
            <sz val="9"/>
            <color indexed="81"/>
            <rFont val="Arial"/>
            <family val="2"/>
          </rPr>
          <t>Enter the facility average recycling rate for commingled materials sent for mixed-waste processing. Include residual materials categorized as Alternative Daily Cover (ADC) in this number, if any. 
This rate is not required for calculating diversion but is rather included here for clarity if facilities provide rates both with and without ADC.</t>
        </r>
        <r>
          <rPr>
            <sz val="9"/>
            <color indexed="81"/>
            <rFont val="Tahoma"/>
            <family val="2"/>
          </rPr>
          <t xml:space="preserve">
</t>
        </r>
      </text>
    </comment>
    <comment ref="H9" authorId="0" shapeId="0" xr:uid="{00000000-0006-0000-0100-000005000000}">
      <text>
        <r>
          <rPr>
            <sz val="9"/>
            <color indexed="81"/>
            <rFont val="Arial"/>
            <family val="2"/>
          </rPr>
          <t xml:space="preserve">Enter the facility average recycling rate MINUS the percentage of recycling processing residuals that are destined to be deposited in a landfill and/or are categorized as Alternative Daily Cover (ADC). This recycling rate minus ADC must be provided by the recycling facility </t>
        </r>
        <r>
          <rPr>
            <b/>
            <sz val="9"/>
            <color indexed="81"/>
            <rFont val="Arial"/>
            <family val="2"/>
          </rPr>
          <t>and submitted for backup documentation.</t>
        </r>
        <r>
          <rPr>
            <sz val="9"/>
            <color indexed="81"/>
            <rFont val="Tahoma"/>
            <family val="2"/>
          </rPr>
          <t xml:space="preserve">
</t>
        </r>
      </text>
    </comment>
    <comment ref="I9" authorId="0" shapeId="0" xr:uid="{00000000-0006-0000-0100-000006000000}">
      <text>
        <r>
          <rPr>
            <sz val="9"/>
            <color rgb="FF000000"/>
            <rFont val="Arial"/>
            <family val="2"/>
          </rPr>
          <t xml:space="preserve">This column is for commingled materials sent for recycling at a mixed-material processing facility. Indicate if the facility’s recycling rate has been third party verified. 
</t>
        </r>
        <r>
          <rPr>
            <sz val="9"/>
            <color rgb="FF000000"/>
            <rFont val="Arial"/>
            <family val="2"/>
          </rPr>
          <t xml:space="preserve">Eligible facilities are those certified by the Recycling Certification Institute or an approved equivalent. See the LEED v4.1 Reference Guide for more information.
</t>
        </r>
      </text>
    </comment>
    <comment ref="J9" authorId="0" shapeId="0" xr:uid="{00000000-0006-0000-0100-000007000000}">
      <text>
        <r>
          <rPr>
            <sz val="9"/>
            <color rgb="FF000000"/>
            <rFont val="Arial"/>
            <family val="2"/>
          </rPr>
          <t xml:space="preserve">This column calculates the amount of waste diverted from landfill and incineration.
</t>
        </r>
      </text>
    </comment>
  </commentList>
</comments>
</file>

<file path=xl/sharedStrings.xml><?xml version="1.0" encoding="utf-8"?>
<sst xmlns="http://schemas.openxmlformats.org/spreadsheetml/2006/main" count="174" uniqueCount="147">
  <si>
    <t>Asphalt</t>
  </si>
  <si>
    <t>cubic meters</t>
  </si>
  <si>
    <t>tons</t>
  </si>
  <si>
    <t>tonnes</t>
  </si>
  <si>
    <t>Step 1.</t>
  </si>
  <si>
    <t>Step 2.</t>
  </si>
  <si>
    <t>Wood</t>
  </si>
  <si>
    <t>Metals</t>
  </si>
  <si>
    <t>Masonry</t>
  </si>
  <si>
    <t>Concrete</t>
  </si>
  <si>
    <t>Enable macros.</t>
  </si>
  <si>
    <t>UOM</t>
  </si>
  <si>
    <t>Other (specify)</t>
  </si>
  <si>
    <t>Calculator</t>
  </si>
  <si>
    <t>Step 3.</t>
  </si>
  <si>
    <t>Step 4.</t>
  </si>
  <si>
    <t>A</t>
  </si>
  <si>
    <t xml:space="preserve">Note: All information on this tab is READ-ONLY. To edit, see the previous tab. </t>
  </si>
  <si>
    <t>Material 
Type</t>
  </si>
  <si>
    <t>Material Type</t>
  </si>
  <si>
    <t>Donated</t>
  </si>
  <si>
    <t>Salvaged</t>
  </si>
  <si>
    <t>Material Description</t>
  </si>
  <si>
    <t>kilograms</t>
  </si>
  <si>
    <t>Percent Diverted
(%)</t>
  </si>
  <si>
    <t>cubic yards</t>
  </si>
  <si>
    <t>U.S. Green Building Council</t>
  </si>
  <si>
    <t>All Rights Reserved</t>
  </si>
  <si>
    <t>For ND projects</t>
  </si>
  <si>
    <t>Summary for Neighborhood Development Rating Systems</t>
  </si>
  <si>
    <t>Summary for Design and Construction Rating Systems</t>
  </si>
  <si>
    <t>For D+C projects</t>
  </si>
  <si>
    <t>Must be less than 75%</t>
  </si>
  <si>
    <t>ABC diverted waste as a percentage of total diverted waste (%)</t>
  </si>
  <si>
    <t>For projects with asphalt, brick, and concrete waste</t>
  </si>
  <si>
    <t>Waste / Trash</t>
  </si>
  <si>
    <t>Material Stream</t>
  </si>
  <si>
    <t>Commingled Recycling</t>
  </si>
  <si>
    <t xml:space="preserve">
Certified Commingled Recycling Facility? 
</t>
  </si>
  <si>
    <t>Yes</t>
  </si>
  <si>
    <t>No</t>
  </si>
  <si>
    <t>Cardboard and paper</t>
  </si>
  <si>
    <t>Carpet</t>
  </si>
  <si>
    <t>Exterior finishes</t>
  </si>
  <si>
    <t>Insulation</t>
  </si>
  <si>
    <t>Interior finishes</t>
  </si>
  <si>
    <t>Mixed materials</t>
  </si>
  <si>
    <t>Plastics</t>
  </si>
  <si>
    <t>Roofing</t>
  </si>
  <si>
    <t>Return to manufacturer</t>
  </si>
  <si>
    <t>Recycled - single material (source separated)</t>
  </si>
  <si>
    <t>Recycled - mixed processing (commingled)</t>
  </si>
  <si>
    <t>Waste prevention</t>
  </si>
  <si>
    <t>Incineration / waste-to-energy</t>
  </si>
  <si>
    <t>Landfill / trash / waste</t>
  </si>
  <si>
    <t>Additional material stream if all commingled materials are processed by certified recycling facilities</t>
  </si>
  <si>
    <r>
      <rPr>
        <sz val="16"/>
        <rFont val="Arial Black"/>
        <family val="2"/>
      </rPr>
      <t xml:space="preserve">Construction and Demolition Waste Calculator
</t>
    </r>
    <r>
      <rPr>
        <sz val="9"/>
        <rFont val="Arial"/>
        <family val="2"/>
      </rPr>
      <t>LEED v4.1 for D+C - MR Credit Construction and Demolition Waste Management
LEED v4.1 for ND - GIB Credit Solid Waste Management</t>
    </r>
  </si>
  <si>
    <r>
      <t xml:space="preserve">Copyright </t>
    </r>
    <r>
      <rPr>
        <sz val="9"/>
        <color theme="0" tint="-0.499984740745262"/>
        <rFont val="Arial"/>
        <family val="2"/>
      </rPr>
      <t>©</t>
    </r>
    <r>
      <rPr>
        <sz val="8"/>
        <color theme="0" tint="-0.499984740745262"/>
        <rFont val="Arial"/>
        <family val="2"/>
      </rPr>
      <t xml:space="preserve"> 2019</t>
    </r>
  </si>
  <si>
    <t>Total number of diverted material streams</t>
  </si>
  <si>
    <t>Reused - Offsite</t>
  </si>
  <si>
    <t>Reused - Onsite</t>
  </si>
  <si>
    <t>Demo or Construction?</t>
  </si>
  <si>
    <t>Commingled waste: Collect average diversion rate</t>
  </si>
  <si>
    <t>Is the project using commingled recycling for diversion?</t>
  </si>
  <si>
    <t>If yes, ensure the average diversion rate without ADC is provided by the recycling facility. Include this documentation in your submission.</t>
  </si>
  <si>
    <t>Step 5.</t>
  </si>
  <si>
    <t>Diverted or Not Diverted?</t>
  </si>
  <si>
    <t>Returned to manufacturer</t>
  </si>
  <si>
    <t>Waste-to-energy**</t>
  </si>
  <si>
    <t>Landfill / Trash</t>
  </si>
  <si>
    <t>Land clearing debris and soil</t>
  </si>
  <si>
    <t>Wood-derived fuel, also known as biomass: The combustion of wood materials resulting from recycling processing is considered diversion for LEED reporting purposes.</t>
  </si>
  <si>
    <t>**Waste-to-energy: Incineration of some C&amp;D materials may be considered diversion only for international projects where reuse and recycling methods are not readily available in the project's location. See ACP guidelines below if considering the international ACP for waste-to-energy.</t>
  </si>
  <si>
    <t>Alternative Compliance Path for International Projects: Waste-to-Energy</t>
  </si>
  <si>
    <t>● EN 303-1—1999/A1—2003, Heating boilers with forced draught burners</t>
  </si>
  <si>
    <t>● EN 303-2—1998/A1—2003, Heating boilers with forced draught burners</t>
  </si>
  <si>
    <t>● EN 303-3—1998/AC—2006, Gas-fired central heating boilers</t>
  </si>
  <si>
    <t>● EN 303-4—1999, Heating boilers with forced draught burners</t>
  </si>
  <si>
    <t>● EN 303-5—2012, Heating boilers for solid fuels</t>
  </si>
  <si>
    <t>● EN 303-6—2000, Heating boilers with forced draught burners</t>
  </si>
  <si>
    <t>● EN 303-7—2006, Gas-fired central heating boilers equipped with a forced draught burner</t>
  </si>
  <si>
    <t>If using the ACP for International Projects, Waste-to-Energy, please check this box:</t>
  </si>
  <si>
    <t>Excluded from waste calculations 
(i.e., track separately, do not report in this calculator)</t>
  </si>
  <si>
    <t>Old list (delete if no longer needed)</t>
  </si>
  <si>
    <t>Not Diverted</t>
  </si>
  <si>
    <t>1 = IP, 2 = SI</t>
  </si>
  <si>
    <t>Convert for waste prevention</t>
  </si>
  <si>
    <t>1=IP=lbs, 2=SI=kg</t>
  </si>
  <si>
    <t>Note: The waste prevention metric can only be calculated when waste is reported in weight. If waste is reported in volume, then project teams must complete volume-to-weight conversions separately using conversion factors developed by reputable local agencies or organizations. See LEED v4.1 Beta Guide (MR Credit: Construction and Demolition Waste Management) for more information.</t>
  </si>
  <si>
    <t>Help Center Instructions</t>
  </si>
  <si>
    <t>Note: This calculator is for use with Excel for Mac 2011 and Excel 2007 or later.  If you are experiencing a problem with this calculator, please refer to the help center instructions below.</t>
  </si>
  <si>
    <t>Waste unit of measurement</t>
  </si>
  <si>
    <t>Demolition or Construction Phase?</t>
  </si>
  <si>
    <t>Demolition</t>
  </si>
  <si>
    <t>Construction</t>
  </si>
  <si>
    <t>Detailed Records</t>
  </si>
  <si>
    <t>Date</t>
  </si>
  <si>
    <t>Ticket #</t>
  </si>
  <si>
    <t>Hauler</t>
  </si>
  <si>
    <t>Total Weight</t>
  </si>
  <si>
    <t>Notes</t>
  </si>
  <si>
    <t>Subtotals</t>
  </si>
  <si>
    <t>Certified Commingled?</t>
  </si>
  <si>
    <t>Key:</t>
  </si>
  <si>
    <t>User Entered</t>
  </si>
  <si>
    <t>Calculated (read-only)</t>
  </si>
  <si>
    <t>Title / Summary</t>
  </si>
  <si>
    <t>Diverted - Single Materials (Source Separated)</t>
  </si>
  <si>
    <t>Not Diverted (Landfill)</t>
  </si>
  <si>
    <t>Hazardous waste</t>
  </si>
  <si>
    <t>Option 1: Diversion</t>
  </si>
  <si>
    <t xml:space="preserve">Upload the completed spreadsheet to LEED Online.  Upload backup documentation for average recycling rates from commingled recycling haulers. Complete any related summary fields in the LEED credit form with the results of the calculator. </t>
  </si>
  <si>
    <t>Using Commingled?</t>
  </si>
  <si>
    <t>Certified Commingled Recycling Facilities</t>
  </si>
  <si>
    <t>Reuse*: this includes on-site reuse (e.g., reusing or salvaging materials from demolition phase in new construction phase of the same project) and off-site reuse (e.g., donating materials saved from demolition to another project or company)</t>
  </si>
  <si>
    <t>Diverted - on-site reuse</t>
  </si>
  <si>
    <t xml:space="preserve">Projects can earn exemplary performance by achieving Option 1 and utilizing certified recycling facilities for all commingled waste. Qualified third-party organizations who certify facility average recycling rates must include the minimum program requirements noted in the v4.1 Beta Guide. Presently, the Recycling Certification Institute's Certification of Real Rates (CORR) protocol meets the above requirements. Find facilities at: </t>
  </si>
  <si>
    <t>https://www.recyclingcertification.org/certified-facilities/</t>
  </si>
  <si>
    <t>International projects that cannot meet diversion requirements via reuse and recycling methods may
consider waste-to-energy as diversion if the European Commission Waste Framework Directive
2008/98/EC and Waste Incineration Directive 2000/76/EC are followed. Furthermore, waste-to-energy
facilities must meet applicable European Committee for Standardization (CEN) EN 303 standards. Project teams pursuing this compliance option must demonstrate that reuse and recycling strategies
were exhausted before sending material to waste-to-energy facilities.</t>
  </si>
  <si>
    <t>v02</t>
  </si>
  <si>
    <t>Complete the Calculator tab for all demolition and construction materials generated from the project. See below for what is considered diverted, not-diverted, and excluded.</t>
  </si>
  <si>
    <t>Diverted - mixed materials (commingled)</t>
  </si>
  <si>
    <t>Diverted - single material (source separated)</t>
  </si>
  <si>
    <r>
      <t xml:space="preserve">Diverted - mixed materials (commingled)
(Calculator requires average rate without ADC, see </t>
    </r>
    <r>
      <rPr>
        <i/>
        <sz val="10"/>
        <rFont val="Arial"/>
        <family val="2"/>
      </rPr>
      <t>Step 3</t>
    </r>
    <r>
      <rPr>
        <sz val="10"/>
        <rFont val="Arial"/>
        <family val="2"/>
      </rPr>
      <t>)</t>
    </r>
  </si>
  <si>
    <t>Alternative daily cover (ADC), which is sometimes reported with commingled recycling rates</t>
  </si>
  <si>
    <t>*On-site reuse excluded</t>
  </si>
  <si>
    <t>Recycling: single material (AKA source separated)</t>
  </si>
  <si>
    <t>Diverted - Mixed Materials (Commingled)</t>
  </si>
  <si>
    <t xml:space="preserve"> Average recycling rate of the sorting facility NOT including ADC
(%)</t>
  </si>
  <si>
    <t xml:space="preserve"> Average recycling rate of the sorting facility including ADC
(%) </t>
  </si>
  <si>
    <t>Ensure this value is consistent with the Details Tab in LEED Online or provide a clarifying narrative.</t>
  </si>
  <si>
    <t>Step 6.</t>
  </si>
  <si>
    <t>Option 2: Waste Prevention</t>
  </si>
  <si>
    <r>
      <t>*Note: Option 2, Waste Prevention calculates the project's total waste generated from the project and</t>
    </r>
    <r>
      <rPr>
        <b/>
        <sz val="9"/>
        <rFont val="Arial"/>
        <family val="2"/>
      </rPr>
      <t xml:space="preserve"> sent off-site</t>
    </r>
    <r>
      <rPr>
        <sz val="9"/>
        <rFont val="Arial"/>
        <family val="2"/>
      </rPr>
      <t xml:space="preserve"> for recycling, diversion, landfill, incineration, or any other uses. Therefore, on-site reuse is included for Diversion but is excluded from the waste generation metric in Option 2, Waste Prevention.</t>
    </r>
  </si>
  <si>
    <t xml:space="preserve">This tab is optional and included here to help projects record their individual tickets prior to summarizing in the Calculator tab. This DETAILED RECORDS tab is unlocked so that project teams may adjust to what best suits their needs. </t>
  </si>
  <si>
    <t>Percentage of waste diverted from landfill (%)</t>
  </si>
  <si>
    <r>
      <t xml:space="preserve">Credit Pathways:
Option 1: Diversion
Divert 50% of all construction and demolition materials. (1 point)
Option 2: Waste Prevention
Divert at least 50% of all demolition materials, if any. 
AND
</t>
    </r>
    <r>
      <rPr>
        <i/>
        <sz val="8"/>
        <rFont val="Arial"/>
        <family val="2"/>
      </rPr>
      <t xml:space="preserve">BD+C: </t>
    </r>
    <r>
      <rPr>
        <sz val="8"/>
        <rFont val="Arial"/>
        <family val="2"/>
      </rPr>
      <t xml:space="preserve">Generate less than 10 lbs/ft2 (50 kg/m2) of waste materials from all new construction activities. (2 points)
</t>
    </r>
    <r>
      <rPr>
        <i/>
        <sz val="8"/>
        <rFont val="Arial"/>
        <family val="2"/>
      </rPr>
      <t>ID+C:</t>
    </r>
    <r>
      <rPr>
        <sz val="8"/>
        <rFont val="Arial"/>
        <family val="2"/>
      </rPr>
      <t xml:space="preserve"> Generate less than 7.5 lbs/ft2 (37.5 kg/m2) of waste materials from all new construction activities. (2 points)
</t>
    </r>
  </si>
  <si>
    <t>Percentage of Construction &amp; Demolition waste diverted (%)</t>
  </si>
  <si>
    <t>Percentage of Demolition waste diverted (%)</t>
  </si>
  <si>
    <r>
      <t xml:space="preserve">For any commingled waste, projects must use an average diversion rate for the facility that corresponds to the time materials were generated on the project and sent to a recovery facility. The average recycling rate for the facility must exclude ADC (ADC is considered waste, but not diversion). See below for more information and definitions. Skip to Step 4 if no commingled recycling is used for diversion.
</t>
    </r>
    <r>
      <rPr>
        <u/>
        <sz val="9"/>
        <rFont val="Arial"/>
        <family val="2"/>
      </rPr>
      <t>Commingled Waste</t>
    </r>
    <r>
      <rPr>
        <sz val="9"/>
        <rFont val="Arial"/>
        <family val="2"/>
      </rPr>
      <t xml:space="preserve"> (also known as single-stream recycling, commingled recycling, or mixed-waste recovery) occurs when demolition and/or construction waste (e.g., metal, wood, cardboard, etc) are combined on the project site and hauled away for sorting into recyclable streams at a processing facility.
</t>
    </r>
    <r>
      <rPr>
        <u/>
        <sz val="9"/>
        <rFont val="Arial"/>
        <family val="2"/>
      </rPr>
      <t>Alternative Daily Cover (ADC)</t>
    </r>
    <r>
      <rPr>
        <sz val="9"/>
        <rFont val="Arial"/>
        <family val="2"/>
      </rPr>
      <t xml:space="preserve"> is defined as material other than earthen material placed on the surface of the active face of a municipal solid waste landfill at the end of each operating day to control vectors, fires, odors, blowing litter, and scavenging. Generally these materials much be processed so they do not allow gaps in the exposed landfill face.</t>
    </r>
  </si>
  <si>
    <r>
      <t xml:space="preserve">Diverted - single material (source separated)
(Calculator assumes 100% diversion)
</t>
    </r>
    <r>
      <rPr>
        <i/>
        <sz val="10"/>
        <rFont val="Arial"/>
        <family val="2"/>
      </rPr>
      <t>Single diverted materials are separated on-site and sent to a specific recycler of that material type, without contamination from other mixed materials or trash. Examples: broken concrete, scrap metal, clean dimensional lumber, new sheetrock scraps, etc.</t>
    </r>
  </si>
  <si>
    <t>Recycling: mixed materials (also known as commingled recycling, single-stream recycling, or mixed-waste recovery)</t>
  </si>
  <si>
    <t>Not Diverted
(Calculator assumes 100% not diverted)</t>
  </si>
  <si>
    <t>Drywall / Gypsum board</t>
  </si>
  <si>
    <t>Glass / Fenestration</t>
  </si>
  <si>
    <t>Furniture</t>
  </si>
  <si>
    <t>Last Updated 06/14/2023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</si>
</sst>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_);\(0.00\)"/>
  </numFmts>
  <fonts count="45" x14ac:knownFonts="1">
    <font>
      <sz val="11"/>
      <color theme="1"/>
      <name val="Calibri"/>
      <family val="2"/>
      <scheme val="minor"/>
    </font>
    <font>
      <sz val="10"/>
      <color theme="1"/>
      <name val="Arial"/>
      <family val="2"/>
    </font>
    <font>
      <sz val="11"/>
      <color theme="1"/>
      <name val="Arial"/>
      <family val="2"/>
    </font>
    <font>
      <sz val="9"/>
      <color theme="1"/>
      <name val="Arial"/>
      <family val="2"/>
    </font>
    <font>
      <sz val="10"/>
      <color theme="1"/>
      <name val="Arial"/>
      <family val="2"/>
    </font>
    <font>
      <b/>
      <sz val="11"/>
      <color theme="1"/>
      <name val="Arial"/>
      <family val="2"/>
    </font>
    <font>
      <sz val="10"/>
      <name val="Arial"/>
      <family val="2"/>
    </font>
    <font>
      <sz val="9"/>
      <name val="Arial"/>
      <family val="2"/>
    </font>
    <font>
      <sz val="18"/>
      <color theme="0"/>
      <name val="Gotham Bold"/>
      <family val="3"/>
    </font>
    <font>
      <sz val="10"/>
      <color theme="0"/>
      <name val="Arial"/>
      <family val="2"/>
    </font>
    <font>
      <b/>
      <sz val="10"/>
      <color theme="0"/>
      <name val="Arial"/>
      <family val="2"/>
    </font>
    <font>
      <b/>
      <sz val="10"/>
      <color rgb="FF814119"/>
      <name val="Arial"/>
      <family val="2"/>
    </font>
    <font>
      <sz val="11"/>
      <color theme="1"/>
      <name val="Calibri"/>
      <family val="2"/>
      <scheme val="minor"/>
    </font>
    <font>
      <b/>
      <sz val="9"/>
      <color theme="1"/>
      <name val="Arial"/>
      <family val="2"/>
    </font>
    <font>
      <b/>
      <sz val="12"/>
      <name val="Gotham Book"/>
      <family val="3"/>
    </font>
    <font>
      <sz val="11"/>
      <color theme="0"/>
      <name val="Calibri"/>
      <family val="2"/>
      <scheme val="minor"/>
    </font>
    <font>
      <b/>
      <sz val="10"/>
      <name val="Arial"/>
      <family val="2"/>
    </font>
    <font>
      <b/>
      <sz val="16"/>
      <name val="Arial"/>
      <family val="2"/>
    </font>
    <font>
      <sz val="8"/>
      <name val="Arial"/>
      <family val="2"/>
    </font>
    <font>
      <i/>
      <sz val="10"/>
      <name val="Arial"/>
      <family val="2"/>
    </font>
    <font>
      <b/>
      <sz val="10"/>
      <color rgb="FFFF0000"/>
      <name val="Arial"/>
      <family val="2"/>
    </font>
    <font>
      <sz val="10"/>
      <color rgb="FFFF0000"/>
      <name val="Arial"/>
      <family val="2"/>
    </font>
    <font>
      <sz val="10"/>
      <color rgb="FF777777"/>
      <name val="Arial"/>
      <family val="2"/>
    </font>
    <font>
      <u/>
      <sz val="11"/>
      <color theme="10"/>
      <name val="Calibri"/>
      <family val="2"/>
      <scheme val="minor"/>
    </font>
    <font>
      <u/>
      <sz val="11"/>
      <color theme="11"/>
      <name val="Calibri"/>
      <family val="2"/>
      <scheme val="minor"/>
    </font>
    <font>
      <sz val="16"/>
      <color theme="0"/>
      <name val="Arial Black"/>
      <family val="2"/>
    </font>
    <font>
      <sz val="10"/>
      <color rgb="FF000000"/>
      <name val="Arial"/>
      <family val="2"/>
    </font>
    <font>
      <sz val="16"/>
      <name val="Arial Black"/>
      <family val="2"/>
    </font>
    <font>
      <sz val="12"/>
      <name val="Gotham Book"/>
      <family val="3"/>
    </font>
    <font>
      <b/>
      <sz val="10"/>
      <color theme="1"/>
      <name val="Arial"/>
      <family val="2"/>
    </font>
    <font>
      <sz val="8"/>
      <color theme="0" tint="-0.499984740745262"/>
      <name val="Arial"/>
      <family val="2"/>
    </font>
    <font>
      <sz val="9"/>
      <color theme="0" tint="-0.499984740745262"/>
      <name val="Arial"/>
      <family val="2"/>
    </font>
    <font>
      <b/>
      <i/>
      <sz val="9"/>
      <name val="Arial"/>
      <family val="2"/>
    </font>
    <font>
      <b/>
      <sz val="11"/>
      <color theme="0"/>
      <name val="Calibri"/>
      <family val="2"/>
      <scheme val="minor"/>
    </font>
    <font>
      <sz val="9"/>
      <color indexed="81"/>
      <name val="Tahoma"/>
      <family val="2"/>
    </font>
    <font>
      <sz val="9"/>
      <color indexed="81"/>
      <name val="Arial"/>
      <family val="2"/>
    </font>
    <font>
      <sz val="8"/>
      <color theme="1"/>
      <name val="Arial"/>
      <family val="2"/>
    </font>
    <font>
      <i/>
      <sz val="9"/>
      <color theme="1"/>
      <name val="Arial"/>
      <family val="2"/>
    </font>
    <font>
      <sz val="9"/>
      <color rgb="FF000000"/>
      <name val="Arial"/>
      <family val="2"/>
    </font>
    <font>
      <sz val="9"/>
      <color rgb="FF000000"/>
      <name val="Tahoma"/>
      <family val="2"/>
    </font>
    <font>
      <b/>
      <sz val="9"/>
      <color indexed="81"/>
      <name val="Arial"/>
      <family val="2"/>
    </font>
    <font>
      <u/>
      <sz val="11"/>
      <color theme="1"/>
      <name val="Calibri"/>
      <family val="2"/>
      <scheme val="minor"/>
    </font>
    <font>
      <u/>
      <sz val="9"/>
      <name val="Arial"/>
      <family val="2"/>
    </font>
    <font>
      <b/>
      <sz val="9"/>
      <name val="Arial"/>
      <family val="2"/>
    </font>
    <font>
      <i/>
      <sz val="8"/>
      <name val="Arial"/>
      <family val="2"/>
    </font>
  </fonts>
  <fills count="9">
    <fill>
      <patternFill patternType="none"/>
    </fill>
    <fill>
      <patternFill patternType="gray125"/>
    </fill>
    <fill>
      <patternFill patternType="solid">
        <fgColor theme="0"/>
        <bgColor indexed="64"/>
      </patternFill>
    </fill>
    <fill>
      <patternFill patternType="solid">
        <fgColor rgb="FF7DBA00"/>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rgb="FFF0F0F0"/>
        <bgColor indexed="64"/>
      </patternFill>
    </fill>
    <fill>
      <patternFill patternType="solid">
        <fgColor rgb="FFF7F8FF"/>
        <bgColor indexed="64"/>
      </patternFill>
    </fill>
  </fills>
  <borders count="73">
    <border>
      <left/>
      <right/>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34998626667073579"/>
      </top>
      <bottom/>
      <diagonal/>
    </border>
    <border>
      <left style="thin">
        <color theme="0" tint="-0.24994659260841701"/>
      </left>
      <right style="thin">
        <color theme="0" tint="-0.24994659260841701"/>
      </right>
      <top style="thin">
        <color theme="0" tint="-0.24994659260841701"/>
      </top>
      <bottom/>
      <diagonal/>
    </border>
    <border>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bottom style="thin">
        <color theme="0" tint="-0.49998474074526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right/>
      <top/>
      <bottom style="thin">
        <color theme="0" tint="-0.34998626667073579"/>
      </bottom>
      <diagonal/>
    </border>
    <border>
      <left/>
      <right/>
      <top/>
      <bottom style="thin">
        <color theme="0" tint="-0.24994659260841701"/>
      </bottom>
      <diagonal/>
    </border>
    <border>
      <left style="thin">
        <color theme="0" tint="-0.499984740745262"/>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theme="0" tint="-0.249977111117893"/>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77111117893"/>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77111117893"/>
      </top>
      <bottom style="thin">
        <color theme="0" tint="-0.499984740745262"/>
      </bottom>
      <diagonal/>
    </border>
    <border>
      <left/>
      <right/>
      <top/>
      <bottom style="thin">
        <color theme="0" tint="-0.249977111117893"/>
      </bottom>
      <diagonal/>
    </border>
    <border>
      <left style="thin">
        <color theme="0" tint="-0.499984740745262"/>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bottom style="thin">
        <color indexed="64"/>
      </bottom>
      <diagonal/>
    </border>
    <border>
      <left style="thin">
        <color theme="0" tint="-0.24994659260841701"/>
      </left>
      <right style="thin">
        <color theme="0" tint="-0.499984740745262"/>
      </right>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indexed="64"/>
      </left>
      <right style="thin">
        <color theme="0" tint="-0.249977111117893"/>
      </right>
      <top style="thin">
        <color indexed="64"/>
      </top>
      <bottom/>
      <diagonal/>
    </border>
    <border>
      <left style="thin">
        <color theme="0" tint="-0.249977111117893"/>
      </left>
      <right style="thin">
        <color theme="0" tint="-0.249977111117893"/>
      </right>
      <top style="thin">
        <color indexed="64"/>
      </top>
      <bottom/>
      <diagonal/>
    </border>
    <border>
      <left style="thin">
        <color theme="0" tint="-0.249977111117893"/>
      </left>
      <right style="thin">
        <color theme="0" tint="-0.249977111117893"/>
      </right>
      <top style="thin">
        <color indexed="64"/>
      </top>
      <bottom style="thin">
        <color theme="0" tint="-0.249977111117893"/>
      </bottom>
      <diagonal/>
    </border>
    <border>
      <left/>
      <right/>
      <top style="thin">
        <color indexed="64"/>
      </top>
      <bottom/>
      <diagonal/>
    </border>
    <border>
      <left/>
      <right style="thin">
        <color indexed="64"/>
      </right>
      <top style="thin">
        <color indexed="64"/>
      </top>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theme="0" tint="-0.499984740745262"/>
      </bottom>
      <diagonal/>
    </border>
    <border>
      <left style="thin">
        <color indexed="64"/>
      </left>
      <right/>
      <top/>
      <bottom style="thin">
        <color theme="0" tint="-0.24994659260841701"/>
      </bottom>
      <diagonal/>
    </border>
    <border>
      <left style="thin">
        <color theme="0" tint="-0.24994659260841701"/>
      </left>
      <right style="thin">
        <color indexed="64"/>
      </right>
      <top style="thin">
        <color theme="0" tint="-0.499984740745262"/>
      </top>
      <bottom style="thin">
        <color theme="0" tint="-0.24994659260841701"/>
      </bottom>
      <diagonal/>
    </border>
    <border>
      <left style="thin">
        <color indexed="64"/>
      </left>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top/>
      <bottom style="thin">
        <color theme="0" tint="-0.499984740745262"/>
      </bottom>
      <diagonal/>
    </border>
    <border>
      <left style="thin">
        <color indexed="64"/>
      </left>
      <right style="thin">
        <color theme="0" tint="-0.24994659260841701"/>
      </right>
      <top style="thin">
        <color theme="0" tint="-0.499984740745262"/>
      </top>
      <bottom/>
      <diagonal/>
    </border>
    <border>
      <left style="thin">
        <color theme="0" tint="-0.24994659260841701"/>
      </left>
      <right style="thin">
        <color indexed="64"/>
      </right>
      <top/>
      <bottom style="thin">
        <color theme="0" tint="-0.499984740745262"/>
      </bottom>
      <diagonal/>
    </border>
    <border>
      <left style="thin">
        <color indexed="64"/>
      </left>
      <right style="thin">
        <color theme="0" tint="-0.24994659260841701"/>
      </right>
      <top/>
      <bottom style="thin">
        <color theme="0" tint="-0.499984740745262"/>
      </bottom>
      <diagonal/>
    </border>
    <border>
      <left style="thin">
        <color indexed="64"/>
      </left>
      <right style="thin">
        <color theme="0" tint="-0.24994659260841701"/>
      </right>
      <top style="thin">
        <color theme="0" tint="-0.499984740745262"/>
      </top>
      <bottom style="thin">
        <color indexed="64"/>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theme="0" tint="-0.499984740745262"/>
      </top>
      <bottom style="thin">
        <color theme="0" tint="-0.499984740745262"/>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4">
    <xf numFmtId="0" fontId="0" fillId="0" borderId="0"/>
    <xf numFmtId="0" fontId="12" fillId="0" borderId="0"/>
    <xf numFmtId="0" fontId="6" fillId="0" borderId="0"/>
    <xf numFmtId="44" fontId="6" fillId="0" borderId="0" applyFont="0" applyFill="0" applyBorder="0" applyAlignment="0" applyProtection="0"/>
    <xf numFmtId="0" fontId="6" fillId="0" borderId="0"/>
    <xf numFmtId="9"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12" fillId="0" borderId="0"/>
    <xf numFmtId="0" fontId="12" fillId="0" borderId="0"/>
    <xf numFmtId="9" fontId="12" fillId="0" borderId="0" applyFont="0" applyFill="0" applyBorder="0" applyAlignment="0" applyProtection="0"/>
    <xf numFmtId="0" fontId="23" fillId="0" borderId="0" applyNumberFormat="0" applyFill="0" applyBorder="0" applyAlignment="0" applyProtection="0"/>
  </cellStyleXfs>
  <cellXfs count="281">
    <xf numFmtId="0" fontId="0" fillId="0" borderId="0" xfId="0"/>
    <xf numFmtId="0" fontId="4" fillId="3" borderId="0" xfId="0" applyFont="1" applyFill="1" applyProtection="1">
      <protection hidden="1"/>
    </xf>
    <xf numFmtId="0" fontId="4" fillId="0" borderId="0" xfId="0" applyFont="1" applyProtection="1">
      <protection hidden="1"/>
    </xf>
    <xf numFmtId="0" fontId="4" fillId="0" borderId="0" xfId="0" applyFont="1" applyAlignment="1" applyProtection="1">
      <alignment vertical="center"/>
      <protection hidden="1"/>
    </xf>
    <xf numFmtId="0" fontId="9" fillId="3" borderId="0" xfId="0" applyFont="1" applyFill="1" applyProtection="1">
      <protection hidden="1"/>
    </xf>
    <xf numFmtId="0" fontId="8" fillId="0" borderId="0" xfId="0" applyFont="1" applyAlignment="1" applyProtection="1">
      <alignment vertical="center" wrapText="1"/>
      <protection hidden="1"/>
    </xf>
    <xf numFmtId="0" fontId="11" fillId="0" borderId="0" xfId="0" applyFont="1" applyAlignment="1" applyProtection="1">
      <alignment wrapText="1"/>
      <protection hidden="1"/>
    </xf>
    <xf numFmtId="0" fontId="0" fillId="0" borderId="0" xfId="0" applyProtection="1">
      <protection hidden="1"/>
    </xf>
    <xf numFmtId="0" fontId="4" fillId="0" borderId="0" xfId="0" applyFont="1" applyAlignment="1" applyProtection="1">
      <alignment vertical="top" wrapText="1"/>
      <protection hidden="1"/>
    </xf>
    <xf numFmtId="0" fontId="5" fillId="0" borderId="0" xfId="0" applyFont="1" applyAlignment="1" applyProtection="1">
      <alignment horizontal="left" vertical="center"/>
      <protection hidden="1"/>
    </xf>
    <xf numFmtId="0" fontId="2" fillId="0" borderId="0" xfId="0" applyFont="1" applyAlignment="1" applyProtection="1">
      <alignment horizontal="left" wrapText="1"/>
      <protection hidden="1"/>
    </xf>
    <xf numFmtId="0" fontId="6" fillId="0" borderId="0" xfId="0" applyFont="1" applyAlignment="1" applyProtection="1">
      <alignment horizontal="left" vertical="center"/>
      <protection hidden="1"/>
    </xf>
    <xf numFmtId="0" fontId="6" fillId="2" borderId="1" xfId="2" applyFill="1" applyBorder="1" applyAlignment="1" applyProtection="1">
      <alignment vertical="center"/>
      <protection hidden="1"/>
    </xf>
    <xf numFmtId="0" fontId="6" fillId="2" borderId="2" xfId="2" applyFill="1" applyBorder="1" applyAlignment="1" applyProtection="1">
      <alignment vertical="center"/>
      <protection hidden="1"/>
    </xf>
    <xf numFmtId="0" fontId="6" fillId="2" borderId="3" xfId="2" applyFill="1" applyBorder="1" applyAlignment="1" applyProtection="1">
      <alignment vertical="center"/>
      <protection hidden="1"/>
    </xf>
    <xf numFmtId="0" fontId="6" fillId="4" borderId="0" xfId="2" applyFill="1" applyAlignment="1" applyProtection="1">
      <alignment vertical="center"/>
      <protection hidden="1"/>
    </xf>
    <xf numFmtId="0" fontId="6" fillId="2" borderId="4" xfId="2" applyFill="1" applyBorder="1" applyAlignment="1" applyProtection="1">
      <alignment vertical="center"/>
      <protection hidden="1"/>
    </xf>
    <xf numFmtId="0" fontId="17" fillId="2" borderId="0" xfId="2" applyFont="1" applyFill="1" applyAlignment="1" applyProtection="1">
      <alignment horizontal="left" vertical="center"/>
      <protection hidden="1"/>
    </xf>
    <xf numFmtId="0" fontId="6" fillId="2" borderId="0" xfId="2" applyFill="1" applyAlignment="1" applyProtection="1">
      <alignment vertical="center"/>
      <protection hidden="1"/>
    </xf>
    <xf numFmtId="0" fontId="16" fillId="2" borderId="0" xfId="2" applyFont="1" applyFill="1" applyAlignment="1" applyProtection="1">
      <alignment vertical="center"/>
      <protection hidden="1"/>
    </xf>
    <xf numFmtId="0" fontId="16" fillId="2" borderId="5" xfId="2" applyFont="1" applyFill="1" applyBorder="1" applyAlignment="1" applyProtection="1">
      <alignment vertical="center"/>
      <protection hidden="1"/>
    </xf>
    <xf numFmtId="0" fontId="16" fillId="4" borderId="0" xfId="2" applyFont="1" applyFill="1" applyAlignment="1" applyProtection="1">
      <alignment vertical="center"/>
      <protection hidden="1"/>
    </xf>
    <xf numFmtId="49" fontId="18" fillId="2" borderId="0" xfId="2" applyNumberFormat="1" applyFont="1" applyFill="1" applyAlignment="1" applyProtection="1">
      <alignment vertical="center"/>
      <protection hidden="1"/>
    </xf>
    <xf numFmtId="49" fontId="19" fillId="2" borderId="0" xfId="2" applyNumberFormat="1" applyFont="1" applyFill="1" applyAlignment="1" applyProtection="1">
      <alignment vertical="center"/>
      <protection hidden="1"/>
    </xf>
    <xf numFmtId="0" fontId="6" fillId="2" borderId="5" xfId="2" applyFill="1" applyBorder="1" applyAlignment="1" applyProtection="1">
      <alignment vertical="center"/>
      <protection hidden="1"/>
    </xf>
    <xf numFmtId="0" fontId="20" fillId="4" borderId="0" xfId="2" applyFont="1" applyFill="1" applyAlignment="1" applyProtection="1">
      <alignment vertical="center" wrapText="1"/>
      <protection hidden="1"/>
    </xf>
    <xf numFmtId="49" fontId="19" fillId="2" borderId="0" xfId="2" applyNumberFormat="1" applyFont="1" applyFill="1" applyAlignment="1" applyProtection="1">
      <alignment vertical="center" wrapText="1"/>
      <protection hidden="1"/>
    </xf>
    <xf numFmtId="49" fontId="6" fillId="2" borderId="0" xfId="2" applyNumberFormat="1" applyFill="1" applyAlignment="1" applyProtection="1">
      <alignment vertical="center"/>
      <protection hidden="1"/>
    </xf>
    <xf numFmtId="0" fontId="6" fillId="2" borderId="5" xfId="2" applyFill="1" applyBorder="1" applyAlignment="1" applyProtection="1">
      <alignment horizontal="left" vertical="center" wrapText="1"/>
      <protection hidden="1"/>
    </xf>
    <xf numFmtId="49" fontId="21" fillId="4" borderId="0" xfId="2" applyNumberFormat="1" applyFont="1" applyFill="1" applyAlignment="1" applyProtection="1">
      <alignment vertical="center" wrapText="1"/>
      <protection hidden="1"/>
    </xf>
    <xf numFmtId="0" fontId="18" fillId="4" borderId="0" xfId="2" applyFont="1" applyFill="1" applyAlignment="1" applyProtection="1">
      <alignment horizontal="left" vertical="center" wrapText="1"/>
      <protection hidden="1"/>
    </xf>
    <xf numFmtId="0" fontId="6" fillId="2" borderId="7" xfId="2" applyFill="1" applyBorder="1" applyAlignment="1" applyProtection="1">
      <alignment vertical="center"/>
      <protection hidden="1"/>
    </xf>
    <xf numFmtId="0" fontId="6" fillId="2" borderId="9" xfId="2" applyFill="1" applyBorder="1" applyAlignment="1" applyProtection="1">
      <alignment vertical="center"/>
      <protection hidden="1"/>
    </xf>
    <xf numFmtId="0" fontId="18" fillId="4" borderId="0" xfId="2" applyFont="1" applyFill="1" applyAlignment="1" applyProtection="1">
      <alignment vertical="top" wrapText="1"/>
      <protection hidden="1"/>
    </xf>
    <xf numFmtId="49" fontId="6" fillId="4" borderId="0" xfId="2" applyNumberFormat="1" applyFill="1" applyAlignment="1" applyProtection="1">
      <alignment vertical="center"/>
      <protection hidden="1"/>
    </xf>
    <xf numFmtId="0" fontId="6" fillId="4" borderId="0" xfId="2" applyFill="1" applyProtection="1">
      <protection hidden="1"/>
    </xf>
    <xf numFmtId="49" fontId="6" fillId="4" borderId="0" xfId="2" applyNumberFormat="1" applyFill="1" applyProtection="1">
      <protection hidden="1"/>
    </xf>
    <xf numFmtId="44" fontId="6" fillId="4" borderId="0" xfId="2" applyNumberFormat="1" applyFill="1" applyAlignment="1" applyProtection="1">
      <alignment vertical="center"/>
      <protection hidden="1"/>
    </xf>
    <xf numFmtId="49" fontId="6" fillId="4" borderId="0" xfId="2" applyNumberFormat="1" applyFill="1" applyAlignment="1" applyProtection="1">
      <alignment vertical="center" wrapText="1"/>
      <protection hidden="1"/>
    </xf>
    <xf numFmtId="10" fontId="6" fillId="4" borderId="0" xfId="5" applyNumberFormat="1" applyFont="1" applyFill="1" applyBorder="1" applyAlignment="1" applyProtection="1">
      <alignment vertical="center"/>
      <protection hidden="1"/>
    </xf>
    <xf numFmtId="0" fontId="15" fillId="0" borderId="0" xfId="0" applyFont="1" applyProtection="1">
      <protection hidden="1"/>
    </xf>
    <xf numFmtId="0" fontId="12" fillId="4" borderId="0" xfId="2" applyFont="1" applyFill="1" applyProtection="1">
      <protection hidden="1"/>
    </xf>
    <xf numFmtId="0" fontId="0" fillId="4" borderId="0" xfId="0" applyFill="1" applyProtection="1">
      <protection hidden="1"/>
    </xf>
    <xf numFmtId="0" fontId="9" fillId="4" borderId="0" xfId="0" applyFont="1" applyFill="1" applyProtection="1">
      <protection hidden="1"/>
    </xf>
    <xf numFmtId="0" fontId="4" fillId="0" borderId="1" xfId="0" applyFont="1" applyBorder="1" applyProtection="1">
      <protection hidden="1"/>
    </xf>
    <xf numFmtId="0" fontId="10" fillId="0" borderId="2" xfId="0" applyFont="1" applyBorder="1" applyProtection="1">
      <protection hidden="1"/>
    </xf>
    <xf numFmtId="0" fontId="0" fillId="0" borderId="2" xfId="0" applyBorder="1" applyProtection="1">
      <protection hidden="1"/>
    </xf>
    <xf numFmtId="0" fontId="10" fillId="0" borderId="3" xfId="0" applyFont="1" applyBorder="1" applyProtection="1">
      <protection hidden="1"/>
    </xf>
    <xf numFmtId="0" fontId="12" fillId="0" borderId="4" xfId="2" applyFont="1" applyBorder="1" applyProtection="1">
      <protection hidden="1"/>
    </xf>
    <xf numFmtId="0" fontId="12" fillId="0" borderId="0" xfId="2" applyFont="1" applyProtection="1">
      <protection hidden="1"/>
    </xf>
    <xf numFmtId="0" fontId="12" fillId="0" borderId="5" xfId="2" applyFont="1" applyBorder="1" applyProtection="1">
      <protection hidden="1"/>
    </xf>
    <xf numFmtId="0" fontId="14" fillId="0" borderId="0" xfId="0" applyFont="1" applyAlignment="1" applyProtection="1">
      <alignment horizontal="left" vertical="top" wrapText="1"/>
      <protection hidden="1"/>
    </xf>
    <xf numFmtId="0" fontId="13" fillId="0" borderId="0" xfId="2" applyFont="1" applyAlignment="1" applyProtection="1">
      <alignment horizontal="left" vertical="top"/>
      <protection hidden="1"/>
    </xf>
    <xf numFmtId="0" fontId="16" fillId="0" borderId="0" xfId="2" applyFont="1" applyAlignment="1" applyProtection="1">
      <alignment vertical="top"/>
      <protection hidden="1"/>
    </xf>
    <xf numFmtId="0" fontId="7" fillId="0" borderId="0" xfId="2" applyFont="1" applyAlignment="1" applyProtection="1">
      <alignment vertical="top" wrapText="1"/>
      <protection hidden="1"/>
    </xf>
    <xf numFmtId="0" fontId="3" fillId="0" borderId="0" xfId="2" applyFont="1" applyProtection="1">
      <protection hidden="1"/>
    </xf>
    <xf numFmtId="0" fontId="6" fillId="0" borderId="0" xfId="2" applyAlignment="1" applyProtection="1">
      <alignment vertical="top" wrapText="1"/>
      <protection hidden="1"/>
    </xf>
    <xf numFmtId="0" fontId="13" fillId="0" borderId="0" xfId="2" applyFont="1" applyAlignment="1" applyProtection="1">
      <alignment horizontal="left" vertical="center"/>
      <protection hidden="1"/>
    </xf>
    <xf numFmtId="0" fontId="12" fillId="0" borderId="7" xfId="2" applyFont="1" applyBorder="1" applyProtection="1">
      <protection hidden="1"/>
    </xf>
    <xf numFmtId="0" fontId="3" fillId="0" borderId="8" xfId="2" applyFont="1" applyBorder="1" applyProtection="1">
      <protection hidden="1"/>
    </xf>
    <xf numFmtId="0" fontId="7" fillId="0" borderId="8" xfId="2" applyFont="1" applyBorder="1" applyAlignment="1" applyProtection="1">
      <alignment vertical="top" wrapText="1"/>
      <protection hidden="1"/>
    </xf>
    <xf numFmtId="0" fontId="12" fillId="0" borderId="8" xfId="2" applyFont="1" applyBorder="1" applyProtection="1">
      <protection hidden="1"/>
    </xf>
    <xf numFmtId="0" fontId="12" fillId="0" borderId="9" xfId="2" applyFont="1" applyBorder="1" applyProtection="1">
      <protection hidden="1"/>
    </xf>
    <xf numFmtId="0" fontId="0" fillId="4" borderId="0" xfId="0" applyFill="1" applyAlignment="1" applyProtection="1">
      <alignment vertical="top" wrapText="1"/>
      <protection hidden="1"/>
    </xf>
    <xf numFmtId="0" fontId="25" fillId="3" borderId="0" xfId="0" applyFont="1" applyFill="1" applyAlignment="1" applyProtection="1">
      <alignment vertical="center" wrapText="1"/>
      <protection hidden="1"/>
    </xf>
    <xf numFmtId="0" fontId="25" fillId="3" borderId="0" xfId="0" applyFont="1" applyFill="1" applyAlignment="1" applyProtection="1">
      <alignment horizontal="left" vertical="center"/>
      <protection hidden="1"/>
    </xf>
    <xf numFmtId="39" fontId="7" fillId="2" borderId="6" xfId="2" applyNumberFormat="1" applyFont="1" applyFill="1" applyBorder="1" applyAlignment="1">
      <alignment vertical="center"/>
    </xf>
    <xf numFmtId="10" fontId="7" fillId="2" borderId="6" xfId="2" applyNumberFormat="1" applyFont="1" applyFill="1" applyBorder="1" applyAlignment="1">
      <alignment horizontal="center" vertical="center"/>
    </xf>
    <xf numFmtId="0" fontId="7" fillId="4" borderId="6" xfId="2" applyFont="1" applyFill="1" applyBorder="1" applyAlignment="1" applyProtection="1">
      <alignment horizontal="left" vertical="center" wrapText="1" indent="1"/>
      <protection locked="0"/>
    </xf>
    <xf numFmtId="0" fontId="3" fillId="4" borderId="0" xfId="0" applyFont="1" applyFill="1" applyProtection="1">
      <protection hidden="1"/>
    </xf>
    <xf numFmtId="0" fontId="3" fillId="4" borderId="0" xfId="2" applyFont="1" applyFill="1" applyProtection="1">
      <protection hidden="1"/>
    </xf>
    <xf numFmtId="0" fontId="3" fillId="4" borderId="0" xfId="0" applyFont="1" applyFill="1" applyAlignment="1" applyProtection="1">
      <alignment vertical="top" wrapText="1"/>
      <protection hidden="1"/>
    </xf>
    <xf numFmtId="0" fontId="6" fillId="0" borderId="0" xfId="2" applyAlignment="1" applyProtection="1">
      <alignment horizontal="left" vertical="top" wrapText="1"/>
      <protection hidden="1"/>
    </xf>
    <xf numFmtId="0" fontId="1" fillId="4" borderId="0" xfId="20" applyFont="1" applyFill="1" applyAlignment="1">
      <alignment vertical="center"/>
    </xf>
    <xf numFmtId="0" fontId="1" fillId="2" borderId="4" xfId="20" applyFont="1" applyFill="1" applyBorder="1" applyAlignment="1">
      <alignment vertical="center"/>
    </xf>
    <xf numFmtId="0" fontId="29" fillId="2" borderId="0" xfId="20" applyFont="1" applyFill="1" applyAlignment="1">
      <alignment horizontal="left" vertical="center"/>
    </xf>
    <xf numFmtId="0" fontId="6" fillId="2" borderId="0" xfId="2" applyFill="1" applyAlignment="1">
      <alignment vertical="center" wrapText="1"/>
    </xf>
    <xf numFmtId="0" fontId="1" fillId="2" borderId="5" xfId="20" applyFont="1" applyFill="1" applyBorder="1" applyAlignment="1">
      <alignment vertical="center"/>
    </xf>
    <xf numFmtId="0" fontId="1" fillId="4" borderId="0" xfId="0" applyFont="1" applyFill="1" applyAlignment="1">
      <alignment vertical="center"/>
    </xf>
    <xf numFmtId="49" fontId="6" fillId="4" borderId="0" xfId="2" applyNumberFormat="1" applyFill="1" applyAlignment="1" applyProtection="1">
      <alignment wrapText="1"/>
      <protection hidden="1"/>
    </xf>
    <xf numFmtId="49" fontId="22" fillId="4" borderId="0" xfId="2" applyNumberFormat="1" applyFont="1" applyFill="1" applyAlignment="1" applyProtection="1">
      <alignment horizontal="left" vertical="top" wrapText="1"/>
      <protection hidden="1"/>
    </xf>
    <xf numFmtId="0" fontId="30" fillId="4" borderId="0" xfId="21" applyFont="1" applyFill="1" applyAlignment="1">
      <alignment horizontal="right" vertical="center"/>
    </xf>
    <xf numFmtId="0" fontId="30" fillId="4" borderId="0" xfId="2" applyFont="1" applyFill="1" applyAlignment="1">
      <alignment horizontal="right" vertical="center"/>
    </xf>
    <xf numFmtId="10" fontId="7" fillId="2" borderId="0" xfId="2" applyNumberFormat="1" applyFont="1" applyFill="1" applyAlignment="1">
      <alignment horizontal="center" vertical="center"/>
    </xf>
    <xf numFmtId="49" fontId="19" fillId="2" borderId="2" xfId="2" applyNumberFormat="1" applyFont="1" applyFill="1" applyBorder="1" applyAlignment="1" applyProtection="1">
      <alignment vertical="center" wrapText="1"/>
      <protection hidden="1"/>
    </xf>
    <xf numFmtId="49" fontId="19" fillId="2" borderId="2" xfId="2" applyNumberFormat="1" applyFont="1" applyFill="1" applyBorder="1" applyAlignment="1" applyProtection="1">
      <alignment vertical="center"/>
      <protection hidden="1"/>
    </xf>
    <xf numFmtId="0" fontId="6" fillId="4" borderId="0" xfId="2" applyFill="1" applyAlignment="1">
      <alignment vertical="center"/>
    </xf>
    <xf numFmtId="0" fontId="6" fillId="7" borderId="1" xfId="2" applyFill="1" applyBorder="1" applyAlignment="1">
      <alignment vertical="center"/>
    </xf>
    <xf numFmtId="49" fontId="32" fillId="7" borderId="2" xfId="2" applyNumberFormat="1" applyFont="1" applyFill="1" applyBorder="1"/>
    <xf numFmtId="49" fontId="6" fillId="7" borderId="2" xfId="2" applyNumberFormat="1" applyFill="1" applyBorder="1" applyAlignment="1">
      <alignment vertical="center"/>
    </xf>
    <xf numFmtId="0" fontId="6" fillId="7" borderId="2" xfId="2" applyFill="1" applyBorder="1" applyAlignment="1">
      <alignment vertical="center"/>
    </xf>
    <xf numFmtId="0" fontId="6" fillId="7" borderId="3" xfId="2" applyFill="1" applyBorder="1" applyAlignment="1">
      <alignment vertical="center"/>
    </xf>
    <xf numFmtId="0" fontId="18" fillId="4" borderId="0" xfId="2" applyFont="1" applyFill="1" applyAlignment="1">
      <alignment horizontal="left" vertical="center" wrapText="1"/>
    </xf>
    <xf numFmtId="0" fontId="6" fillId="7" borderId="4" xfId="2" applyFill="1" applyBorder="1" applyAlignment="1">
      <alignment vertical="center"/>
    </xf>
    <xf numFmtId="49" fontId="6" fillId="7" borderId="0" xfId="2" applyNumberFormat="1" applyFill="1" applyAlignment="1">
      <alignment vertical="center"/>
    </xf>
    <xf numFmtId="0" fontId="6" fillId="7" borderId="0" xfId="2" applyFill="1" applyAlignment="1">
      <alignment vertical="center"/>
    </xf>
    <xf numFmtId="0" fontId="6" fillId="7" borderId="5" xfId="2" applyFill="1" applyBorder="1" applyAlignment="1">
      <alignment vertical="center"/>
    </xf>
    <xf numFmtId="0" fontId="6" fillId="4" borderId="4" xfId="2" applyFill="1" applyBorder="1" applyAlignment="1" applyProtection="1">
      <alignment vertical="center"/>
      <protection hidden="1"/>
    </xf>
    <xf numFmtId="49" fontId="19" fillId="4" borderId="0" xfId="2" applyNumberFormat="1" applyFont="1" applyFill="1" applyAlignment="1" applyProtection="1">
      <alignment vertical="center" wrapText="1"/>
      <protection hidden="1"/>
    </xf>
    <xf numFmtId="49" fontId="19" fillId="4" borderId="0" xfId="2" applyNumberFormat="1" applyFont="1" applyFill="1" applyAlignment="1" applyProtection="1">
      <alignment vertical="center"/>
      <protection hidden="1"/>
    </xf>
    <xf numFmtId="0" fontId="6" fillId="4" borderId="7" xfId="2" applyFill="1" applyBorder="1" applyAlignment="1" applyProtection="1">
      <alignment vertical="center"/>
      <protection hidden="1"/>
    </xf>
    <xf numFmtId="0" fontId="6" fillId="4" borderId="8" xfId="2" applyFill="1" applyBorder="1" applyAlignment="1" applyProtection="1">
      <alignment vertical="center"/>
      <protection hidden="1"/>
    </xf>
    <xf numFmtId="0" fontId="6" fillId="4" borderId="5" xfId="2" applyFill="1" applyBorder="1" applyAlignment="1" applyProtection="1">
      <alignment horizontal="left" vertical="center" wrapText="1"/>
      <protection hidden="1"/>
    </xf>
    <xf numFmtId="0" fontId="6" fillId="4" borderId="5" xfId="2" applyFill="1" applyBorder="1" applyAlignment="1" applyProtection="1">
      <alignment vertical="center"/>
      <protection hidden="1"/>
    </xf>
    <xf numFmtId="0" fontId="6" fillId="4" borderId="9" xfId="2" applyFill="1" applyBorder="1" applyAlignment="1" applyProtection="1">
      <alignment vertical="center"/>
      <protection hidden="1"/>
    </xf>
    <xf numFmtId="0" fontId="12" fillId="4" borderId="0" xfId="2" applyFont="1" applyFill="1" applyAlignment="1" applyProtection="1">
      <alignment wrapText="1"/>
      <protection hidden="1"/>
    </xf>
    <xf numFmtId="0" fontId="12" fillId="0" borderId="4" xfId="2" applyFont="1" applyBorder="1" applyAlignment="1" applyProtection="1">
      <alignment wrapText="1"/>
      <protection hidden="1"/>
    </xf>
    <xf numFmtId="0" fontId="13" fillId="0" borderId="0" xfId="2" applyFont="1" applyAlignment="1" applyProtection="1">
      <alignment horizontal="left" vertical="top" wrapText="1"/>
      <protection hidden="1"/>
    </xf>
    <xf numFmtId="0" fontId="12" fillId="0" borderId="5" xfId="2" applyFont="1" applyBorder="1" applyAlignment="1" applyProtection="1">
      <alignment wrapText="1"/>
      <protection hidden="1"/>
    </xf>
    <xf numFmtId="0" fontId="3" fillId="4" borderId="0" xfId="2" applyFont="1" applyFill="1" applyAlignment="1" applyProtection="1">
      <alignment wrapText="1"/>
      <protection hidden="1"/>
    </xf>
    <xf numFmtId="0" fontId="3" fillId="4" borderId="11" xfId="0" applyFont="1" applyFill="1" applyBorder="1" applyAlignment="1" applyProtection="1">
      <alignment wrapText="1"/>
      <protection hidden="1"/>
    </xf>
    <xf numFmtId="0" fontId="3" fillId="4" borderId="0" xfId="0" applyFont="1" applyFill="1" applyAlignment="1" applyProtection="1">
      <alignment vertical="top"/>
      <protection hidden="1"/>
    </xf>
    <xf numFmtId="0" fontId="3" fillId="4" borderId="11" xfId="0" applyFont="1" applyFill="1" applyBorder="1" applyProtection="1">
      <protection hidden="1"/>
    </xf>
    <xf numFmtId="0" fontId="3" fillId="2" borderId="10" xfId="0" applyFont="1" applyFill="1" applyBorder="1" applyProtection="1">
      <protection hidden="1"/>
    </xf>
    <xf numFmtId="0" fontId="0" fillId="0" borderId="18" xfId="0" applyBorder="1" applyProtection="1">
      <protection hidden="1"/>
    </xf>
    <xf numFmtId="0" fontId="4" fillId="3" borderId="0" xfId="0" applyFont="1" applyFill="1" applyAlignment="1" applyProtection="1">
      <alignment wrapText="1"/>
      <protection hidden="1"/>
    </xf>
    <xf numFmtId="0" fontId="0" fillId="0" borderId="0" xfId="0" applyAlignment="1" applyProtection="1">
      <alignment wrapText="1"/>
      <protection hidden="1"/>
    </xf>
    <xf numFmtId="0" fontId="3" fillId="8" borderId="10" xfId="0" applyFont="1" applyFill="1" applyBorder="1" applyProtection="1">
      <protection hidden="1"/>
    </xf>
    <xf numFmtId="0" fontId="33" fillId="0" borderId="0" xfId="0" applyFont="1" applyProtection="1">
      <protection hidden="1"/>
    </xf>
    <xf numFmtId="0" fontId="0" fillId="0" borderId="0" xfId="0" applyAlignment="1" applyProtection="1">
      <alignment horizontal="left" wrapText="1"/>
      <protection hidden="1"/>
    </xf>
    <xf numFmtId="0" fontId="3" fillId="2" borderId="0" xfId="0" applyFont="1" applyFill="1" applyAlignment="1" applyProtection="1">
      <alignment vertical="center" wrapText="1"/>
      <protection hidden="1"/>
    </xf>
    <xf numFmtId="0" fontId="3" fillId="5" borderId="22" xfId="0" applyFont="1" applyFill="1" applyBorder="1" applyAlignment="1" applyProtection="1">
      <alignment horizontal="center" vertical="center" wrapText="1"/>
      <protection hidden="1"/>
    </xf>
    <xf numFmtId="4" fontId="3" fillId="4" borderId="16" xfId="0" applyNumberFormat="1" applyFont="1" applyFill="1" applyBorder="1" applyAlignment="1" applyProtection="1">
      <alignment horizontal="right" vertical="center" wrapText="1"/>
      <protection locked="0"/>
    </xf>
    <xf numFmtId="10" fontId="3" fillId="4" borderId="16" xfId="22" applyNumberFormat="1" applyFont="1" applyFill="1" applyBorder="1" applyAlignment="1" applyProtection="1">
      <alignment horizontal="left" vertical="center" wrapText="1"/>
      <protection locked="0"/>
    </xf>
    <xf numFmtId="10" fontId="3" fillId="4" borderId="16" xfId="0" applyNumberFormat="1" applyFont="1" applyFill="1" applyBorder="1" applyAlignment="1" applyProtection="1">
      <alignment horizontal="left" vertical="center" wrapText="1"/>
      <protection locked="0"/>
    </xf>
    <xf numFmtId="0" fontId="3" fillId="4" borderId="16" xfId="0" applyFont="1" applyFill="1" applyBorder="1" applyAlignment="1" applyProtection="1">
      <alignment horizontal="left" vertical="center" wrapText="1"/>
      <protection locked="0"/>
    </xf>
    <xf numFmtId="4" fontId="3" fillId="2" borderId="16" xfId="0" applyNumberFormat="1" applyFont="1" applyFill="1" applyBorder="1" applyAlignment="1" applyProtection="1">
      <alignment horizontal="right" vertical="center" wrapText="1"/>
      <protection locked="0"/>
    </xf>
    <xf numFmtId="10" fontId="3" fillId="0" borderId="16" xfId="0" applyNumberFormat="1" applyFont="1" applyBorder="1" applyAlignment="1">
      <alignment horizontal="right" vertical="center" wrapText="1"/>
    </xf>
    <xf numFmtId="4" fontId="3" fillId="0" borderId="17" xfId="0" applyNumberFormat="1" applyFont="1" applyBorder="1" applyAlignment="1">
      <alignment horizontal="right" vertical="center"/>
    </xf>
    <xf numFmtId="0" fontId="3" fillId="5" borderId="19" xfId="0" applyFont="1" applyFill="1" applyBorder="1" applyAlignment="1" applyProtection="1">
      <alignment vertical="center"/>
      <protection hidden="1"/>
    </xf>
    <xf numFmtId="0" fontId="3" fillId="5" borderId="13" xfId="0" applyFont="1" applyFill="1" applyBorder="1" applyAlignment="1" applyProtection="1">
      <alignment vertical="center"/>
      <protection hidden="1"/>
    </xf>
    <xf numFmtId="0" fontId="3" fillId="5" borderId="14" xfId="0" applyFont="1" applyFill="1" applyBorder="1" applyAlignment="1" applyProtection="1">
      <alignment vertical="center"/>
      <protection hidden="1"/>
    </xf>
    <xf numFmtId="0" fontId="3" fillId="5" borderId="8" xfId="0" applyFont="1" applyFill="1" applyBorder="1" applyAlignment="1" applyProtection="1">
      <alignment horizontal="left" vertical="center" indent="1"/>
      <protection hidden="1"/>
    </xf>
    <xf numFmtId="0" fontId="3" fillId="5" borderId="8" xfId="0" applyFont="1" applyFill="1" applyBorder="1" applyAlignment="1" applyProtection="1">
      <alignment vertical="center" wrapText="1"/>
      <protection hidden="1"/>
    </xf>
    <xf numFmtId="0" fontId="3" fillId="5" borderId="8" xfId="0" applyFont="1" applyFill="1" applyBorder="1" applyAlignment="1" applyProtection="1">
      <alignment vertical="center"/>
      <protection hidden="1"/>
    </xf>
    <xf numFmtId="0" fontId="3" fillId="5" borderId="15" xfId="0" applyFont="1" applyFill="1" applyBorder="1" applyAlignment="1" applyProtection="1">
      <alignment vertical="center"/>
      <protection hidden="1"/>
    </xf>
    <xf numFmtId="0" fontId="3" fillId="6" borderId="8" xfId="0" applyFont="1" applyFill="1" applyBorder="1" applyAlignment="1" applyProtection="1">
      <alignment horizontal="left" vertical="center" indent="1"/>
      <protection hidden="1"/>
    </xf>
    <xf numFmtId="0" fontId="3" fillId="6" borderId="8" xfId="0" applyFont="1" applyFill="1" applyBorder="1" applyAlignment="1" applyProtection="1">
      <alignment vertical="center" wrapText="1"/>
      <protection hidden="1"/>
    </xf>
    <xf numFmtId="0" fontId="3" fillId="6" borderId="8" xfId="0" applyFont="1" applyFill="1" applyBorder="1" applyAlignment="1" applyProtection="1">
      <alignment vertical="center"/>
      <protection hidden="1"/>
    </xf>
    <xf numFmtId="0" fontId="3" fillId="5" borderId="23" xfId="0" applyFont="1" applyFill="1" applyBorder="1" applyAlignment="1" applyProtection="1">
      <alignment vertical="center"/>
      <protection hidden="1"/>
    </xf>
    <xf numFmtId="0" fontId="3" fillId="5" borderId="23" xfId="0" applyFont="1" applyFill="1" applyBorder="1" applyAlignment="1" applyProtection="1">
      <alignment vertical="center" wrapText="1"/>
      <protection hidden="1"/>
    </xf>
    <xf numFmtId="0" fontId="3" fillId="5" borderId="24" xfId="0" applyFont="1" applyFill="1" applyBorder="1" applyAlignment="1" applyProtection="1">
      <alignment vertical="center"/>
      <protection hidden="1"/>
    </xf>
    <xf numFmtId="0" fontId="9" fillId="0" borderId="0" xfId="0" applyFont="1" applyProtection="1">
      <protection hidden="1"/>
    </xf>
    <xf numFmtId="0" fontId="4" fillId="0" borderId="0" xfId="0" applyFont="1" applyAlignment="1" applyProtection="1">
      <alignment wrapText="1"/>
      <protection hidden="1"/>
    </xf>
    <xf numFmtId="0" fontId="1" fillId="0" borderId="0" xfId="0" applyFont="1" applyProtection="1">
      <protection hidden="1"/>
    </xf>
    <xf numFmtId="0" fontId="1" fillId="0" borderId="0" xfId="0" applyFont="1" applyAlignment="1" applyProtection="1">
      <alignment vertical="top" wrapText="1"/>
      <protection hidden="1"/>
    </xf>
    <xf numFmtId="0" fontId="41" fillId="0" borderId="0" xfId="0" applyFont="1" applyProtection="1">
      <protection hidden="1"/>
    </xf>
    <xf numFmtId="0" fontId="6" fillId="0" borderId="0" xfId="2" applyAlignment="1" applyProtection="1">
      <alignment horizontal="left" vertical="center" wrapText="1"/>
      <protection hidden="1"/>
    </xf>
    <xf numFmtId="0" fontId="7" fillId="0" borderId="0" xfId="2" applyFont="1" applyAlignment="1" applyProtection="1">
      <alignment horizontal="left" vertical="center" wrapText="1"/>
      <protection hidden="1"/>
    </xf>
    <xf numFmtId="0" fontId="3" fillId="5" borderId="0" xfId="0" applyFont="1" applyFill="1" applyAlignment="1" applyProtection="1">
      <alignment horizontal="left" vertical="center" indent="1"/>
      <protection hidden="1"/>
    </xf>
    <xf numFmtId="0" fontId="3" fillId="5" borderId="0" xfId="0" applyFont="1" applyFill="1" applyAlignment="1" applyProtection="1">
      <alignment vertical="center" wrapText="1"/>
      <protection hidden="1"/>
    </xf>
    <xf numFmtId="0" fontId="3" fillId="5" borderId="0" xfId="0" applyFont="1" applyFill="1" applyAlignment="1" applyProtection="1">
      <alignment vertical="center"/>
      <protection hidden="1"/>
    </xf>
    <xf numFmtId="4" fontId="3" fillId="2" borderId="0" xfId="0" applyNumberFormat="1" applyFont="1" applyFill="1" applyAlignment="1">
      <alignment horizontal="right" vertical="center" wrapText="1"/>
    </xf>
    <xf numFmtId="0" fontId="3" fillId="5" borderId="25" xfId="0" applyFont="1" applyFill="1" applyBorder="1" applyAlignment="1" applyProtection="1">
      <alignment horizontal="center" vertical="center" wrapText="1"/>
      <protection hidden="1"/>
    </xf>
    <xf numFmtId="0" fontId="3" fillId="5" borderId="27" xfId="0" applyFont="1" applyFill="1" applyBorder="1" applyAlignment="1" applyProtection="1">
      <alignment horizontal="center" vertical="center" wrapText="1"/>
      <protection hidden="1"/>
    </xf>
    <xf numFmtId="0" fontId="3" fillId="5" borderId="26" xfId="0" applyFont="1" applyFill="1" applyBorder="1" applyAlignment="1" applyProtection="1">
      <alignment horizontal="center" vertical="center" wrapText="1"/>
      <protection hidden="1"/>
    </xf>
    <xf numFmtId="0" fontId="6" fillId="0" borderId="0" xfId="2" applyAlignment="1" applyProtection="1">
      <alignment horizontal="center" vertical="center" wrapText="1"/>
      <protection hidden="1"/>
    </xf>
    <xf numFmtId="0" fontId="6" fillId="0" borderId="0" xfId="2" applyAlignment="1" applyProtection="1">
      <alignment vertical="center" wrapText="1"/>
      <protection hidden="1"/>
    </xf>
    <xf numFmtId="0" fontId="6" fillId="2" borderId="0" xfId="2" applyFill="1" applyAlignment="1" applyProtection="1">
      <alignment horizontal="left" vertical="center" wrapText="1" indent="2"/>
      <protection hidden="1"/>
    </xf>
    <xf numFmtId="0" fontId="6" fillId="0" borderId="0" xfId="2" applyAlignment="1" applyProtection="1">
      <alignment horizontal="left" vertical="center" wrapText="1" indent="2"/>
      <protection hidden="1"/>
    </xf>
    <xf numFmtId="0" fontId="3" fillId="2" borderId="28" xfId="0" applyFont="1" applyFill="1" applyBorder="1" applyProtection="1">
      <protection hidden="1"/>
    </xf>
    <xf numFmtId="0" fontId="3" fillId="4" borderId="28" xfId="0" applyFont="1" applyFill="1" applyBorder="1" applyAlignment="1" applyProtection="1">
      <alignment horizontal="left"/>
      <protection hidden="1"/>
    </xf>
    <xf numFmtId="0" fontId="6" fillId="4" borderId="0" xfId="2" applyFill="1" applyAlignment="1" applyProtection="1">
      <alignment vertical="center" wrapText="1"/>
      <protection hidden="1"/>
    </xf>
    <xf numFmtId="0" fontId="23" fillId="2" borderId="0" xfId="23" applyFill="1" applyAlignment="1">
      <alignment horizontal="left" vertical="center" wrapText="1"/>
    </xf>
    <xf numFmtId="0" fontId="7" fillId="2" borderId="0" xfId="2" applyFont="1" applyFill="1" applyAlignment="1">
      <alignment horizontal="left" vertical="center" wrapText="1"/>
    </xf>
    <xf numFmtId="0" fontId="3" fillId="4" borderId="35" xfId="0" applyFont="1" applyFill="1" applyBorder="1" applyAlignment="1" applyProtection="1">
      <alignment horizontal="left" vertical="center" wrapText="1"/>
      <protection locked="0"/>
    </xf>
    <xf numFmtId="0" fontId="3" fillId="4" borderId="36" xfId="0" applyFont="1" applyFill="1" applyBorder="1" applyAlignment="1" applyProtection="1">
      <alignment horizontal="left" vertical="center" wrapText="1"/>
      <protection locked="0"/>
    </xf>
    <xf numFmtId="0" fontId="3" fillId="4" borderId="37" xfId="0" applyFont="1" applyFill="1" applyBorder="1" applyAlignment="1" applyProtection="1">
      <alignment horizontal="left" vertical="center" wrapText="1"/>
      <protection locked="0"/>
    </xf>
    <xf numFmtId="0" fontId="3" fillId="4" borderId="38" xfId="0" applyFont="1" applyFill="1" applyBorder="1" applyAlignment="1" applyProtection="1">
      <alignment horizontal="left" vertical="center" wrapText="1"/>
      <protection locked="0"/>
    </xf>
    <xf numFmtId="0" fontId="3" fillId="5" borderId="19" xfId="0" applyFont="1" applyFill="1" applyBorder="1" applyAlignment="1" applyProtection="1">
      <alignment vertical="center" wrapText="1"/>
      <protection hidden="1"/>
    </xf>
    <xf numFmtId="0" fontId="3" fillId="4" borderId="39" xfId="0" applyFont="1" applyFill="1" applyBorder="1" applyAlignment="1" applyProtection="1">
      <alignment horizontal="left" vertical="center" wrapText="1"/>
      <protection locked="0"/>
    </xf>
    <xf numFmtId="0" fontId="3" fillId="5" borderId="21" xfId="0" applyFont="1" applyFill="1" applyBorder="1" applyAlignment="1" applyProtection="1">
      <alignment vertical="center"/>
      <protection hidden="1"/>
    </xf>
    <xf numFmtId="0" fontId="3" fillId="2" borderId="0" xfId="0" applyFont="1" applyFill="1" applyAlignment="1" applyProtection="1">
      <alignment horizontal="center" vertical="center" wrapText="1"/>
      <protection hidden="1"/>
    </xf>
    <xf numFmtId="0" fontId="13" fillId="5" borderId="20" xfId="0" applyFont="1" applyFill="1" applyBorder="1" applyAlignment="1" applyProtection="1">
      <alignment horizontal="left" vertical="center" indent="1"/>
      <protection hidden="1"/>
    </xf>
    <xf numFmtId="4" fontId="13" fillId="2" borderId="34" xfId="0" applyNumberFormat="1" applyFont="1" applyFill="1" applyBorder="1" applyAlignment="1">
      <alignment horizontal="right" vertical="center" wrapText="1"/>
    </xf>
    <xf numFmtId="0" fontId="3" fillId="4" borderId="41" xfId="0" applyFont="1" applyFill="1" applyBorder="1" applyAlignment="1" applyProtection="1">
      <alignment horizontal="left" vertical="center" wrapText="1"/>
      <protection locked="0"/>
    </xf>
    <xf numFmtId="0" fontId="3" fillId="4" borderId="42" xfId="0" applyFont="1" applyFill="1" applyBorder="1" applyAlignment="1" applyProtection="1">
      <alignment horizontal="left" vertical="center" wrapText="1"/>
      <protection locked="0"/>
    </xf>
    <xf numFmtId="4" fontId="3" fillId="4" borderId="42" xfId="0" applyNumberFormat="1" applyFont="1" applyFill="1" applyBorder="1" applyAlignment="1" applyProtection="1">
      <alignment horizontal="right" vertical="center" wrapText="1"/>
      <protection locked="0"/>
    </xf>
    <xf numFmtId="10" fontId="3" fillId="4" borderId="42" xfId="0" applyNumberFormat="1" applyFont="1" applyFill="1" applyBorder="1" applyAlignment="1" applyProtection="1">
      <alignment horizontal="left" vertical="center" wrapText="1"/>
      <protection locked="0"/>
    </xf>
    <xf numFmtId="4" fontId="3" fillId="2" borderId="42" xfId="0" applyNumberFormat="1" applyFont="1" applyFill="1" applyBorder="1" applyAlignment="1" applyProtection="1">
      <alignment horizontal="right" vertical="center" wrapText="1"/>
      <protection locked="0"/>
    </xf>
    <xf numFmtId="4" fontId="3" fillId="0" borderId="43" xfId="0" applyNumberFormat="1" applyFont="1" applyBorder="1" applyAlignment="1">
      <alignment horizontal="right" vertical="center"/>
    </xf>
    <xf numFmtId="0" fontId="1" fillId="0" borderId="0" xfId="0" applyFont="1" applyAlignment="1">
      <alignment horizontal="center"/>
    </xf>
    <xf numFmtId="0" fontId="0" fillId="0" borderId="0" xfId="0" applyAlignment="1" applyProtection="1">
      <alignment vertical="top" wrapText="1"/>
      <protection hidden="1"/>
    </xf>
    <xf numFmtId="0" fontId="3" fillId="6" borderId="22" xfId="0" applyFont="1" applyFill="1" applyBorder="1" applyAlignment="1" applyProtection="1">
      <alignment horizontal="center" vertical="center" wrapText="1"/>
      <protection hidden="1"/>
    </xf>
    <xf numFmtId="10" fontId="3" fillId="6" borderId="16" xfId="0" applyNumberFormat="1" applyFont="1" applyFill="1" applyBorder="1" applyAlignment="1" applyProtection="1">
      <alignment horizontal="left" vertical="center" wrapText="1"/>
      <protection locked="0"/>
    </xf>
    <xf numFmtId="10" fontId="3" fillId="6" borderId="42" xfId="0" applyNumberFormat="1" applyFont="1" applyFill="1" applyBorder="1" applyAlignment="1" applyProtection="1">
      <alignment horizontal="left" vertical="center" wrapText="1"/>
      <protection locked="0"/>
    </xf>
    <xf numFmtId="0" fontId="3" fillId="6" borderId="25" xfId="0" applyFont="1" applyFill="1" applyBorder="1" applyAlignment="1" applyProtection="1">
      <alignment horizontal="center" vertical="center" wrapText="1"/>
      <protection hidden="1"/>
    </xf>
    <xf numFmtId="0" fontId="3" fillId="6" borderId="16" xfId="0" applyFont="1" applyFill="1" applyBorder="1" applyAlignment="1" applyProtection="1">
      <alignment horizontal="left" vertical="center" wrapText="1"/>
      <protection locked="0"/>
    </xf>
    <xf numFmtId="0" fontId="3" fillId="6" borderId="41" xfId="0" applyFont="1" applyFill="1" applyBorder="1" applyAlignment="1" applyProtection="1">
      <alignment horizontal="left" vertical="center" wrapText="1"/>
      <protection locked="0"/>
    </xf>
    <xf numFmtId="4" fontId="3" fillId="2" borderId="44" xfId="0" applyNumberFormat="1" applyFont="1" applyFill="1" applyBorder="1" applyAlignment="1" applyProtection="1">
      <alignment horizontal="right" vertical="center" wrapText="1"/>
      <protection locked="0"/>
    </xf>
    <xf numFmtId="0" fontId="3" fillId="5" borderId="28" xfId="0" applyFont="1" applyFill="1" applyBorder="1" applyAlignment="1" applyProtection="1">
      <alignment horizontal="center" vertical="center" wrapText="1"/>
      <protection hidden="1"/>
    </xf>
    <xf numFmtId="0" fontId="3" fillId="5" borderId="45" xfId="0" applyFont="1" applyFill="1" applyBorder="1" applyAlignment="1" applyProtection="1">
      <alignment horizontal="center" vertical="center" wrapText="1"/>
      <protection hidden="1"/>
    </xf>
    <xf numFmtId="0" fontId="3" fillId="5" borderId="46" xfId="0" applyFont="1" applyFill="1" applyBorder="1" applyAlignment="1" applyProtection="1">
      <alignment horizontal="center" vertical="center" wrapText="1"/>
      <protection hidden="1"/>
    </xf>
    <xf numFmtId="0" fontId="3" fillId="5" borderId="47" xfId="0" applyFont="1" applyFill="1" applyBorder="1" applyAlignment="1" applyProtection="1">
      <alignment horizontal="center" vertical="center" wrapText="1"/>
      <protection hidden="1"/>
    </xf>
    <xf numFmtId="0" fontId="3" fillId="5" borderId="48" xfId="0" applyFont="1" applyFill="1" applyBorder="1" applyAlignment="1" applyProtection="1">
      <alignment horizontal="center" vertical="center" wrapText="1"/>
      <protection hidden="1"/>
    </xf>
    <xf numFmtId="0" fontId="3" fillId="5" borderId="49" xfId="0" applyFont="1" applyFill="1" applyBorder="1" applyAlignment="1" applyProtection="1">
      <alignment horizontal="center" vertical="center" wrapText="1"/>
      <protection hidden="1"/>
    </xf>
    <xf numFmtId="0" fontId="3" fillId="4" borderId="50" xfId="0" applyFont="1" applyFill="1" applyBorder="1" applyAlignment="1" applyProtection="1">
      <alignment horizontal="left" vertical="center" wrapText="1"/>
      <protection locked="0"/>
    </xf>
    <xf numFmtId="0" fontId="3" fillId="4" borderId="52" xfId="0" applyFont="1" applyFill="1" applyBorder="1" applyAlignment="1" applyProtection="1">
      <alignment horizontal="left" vertical="center" wrapText="1"/>
      <protection locked="0"/>
    </xf>
    <xf numFmtId="0" fontId="3" fillId="4" borderId="53" xfId="0" applyFont="1" applyFill="1" applyBorder="1" applyAlignment="1" applyProtection="1">
      <alignment horizontal="left" vertical="center" wrapText="1"/>
      <protection locked="0"/>
    </xf>
    <xf numFmtId="0" fontId="3" fillId="5" borderId="54" xfId="0" applyFont="1" applyFill="1" applyBorder="1" applyAlignment="1" applyProtection="1">
      <alignment horizontal="left" vertical="center" indent="1"/>
      <protection hidden="1"/>
    </xf>
    <xf numFmtId="0" fontId="3" fillId="5" borderId="56" xfId="0" applyFont="1" applyFill="1" applyBorder="1" applyAlignment="1" applyProtection="1">
      <alignment horizontal="left" vertical="center" indent="1"/>
      <protection hidden="1"/>
    </xf>
    <xf numFmtId="0" fontId="3" fillId="5" borderId="58" xfId="0" applyFont="1" applyFill="1" applyBorder="1" applyAlignment="1" applyProtection="1">
      <alignment horizontal="left" vertical="center" indent="1"/>
      <protection hidden="1"/>
    </xf>
    <xf numFmtId="1" fontId="3" fillId="0" borderId="60" xfId="0" applyNumberFormat="1" applyFont="1" applyBorder="1" applyAlignment="1">
      <alignment horizontal="right" vertical="center"/>
    </xf>
    <xf numFmtId="0" fontId="37" fillId="6" borderId="62" xfId="0" applyFont="1" applyFill="1" applyBorder="1" applyAlignment="1" applyProtection="1">
      <alignment horizontal="center" vertical="center"/>
      <protection hidden="1"/>
    </xf>
    <xf numFmtId="0" fontId="3" fillId="5" borderId="63" xfId="0" applyFont="1" applyFill="1" applyBorder="1" applyAlignment="1" applyProtection="1">
      <alignment horizontal="left" vertical="center" indent="1"/>
      <protection hidden="1"/>
    </xf>
    <xf numFmtId="0" fontId="3" fillId="5" borderId="64" xfId="0" applyFont="1" applyFill="1" applyBorder="1" applyAlignment="1" applyProtection="1">
      <alignment horizontal="left" vertical="center" indent="1"/>
      <protection hidden="1"/>
    </xf>
    <xf numFmtId="0" fontId="3" fillId="5" borderId="64" xfId="0" applyFont="1" applyFill="1" applyBorder="1" applyAlignment="1" applyProtection="1">
      <alignment vertical="center" wrapText="1"/>
      <protection hidden="1"/>
    </xf>
    <xf numFmtId="0" fontId="3" fillId="5" borderId="64" xfId="0" applyFont="1" applyFill="1" applyBorder="1" applyAlignment="1" applyProtection="1">
      <alignment vertical="center"/>
      <protection hidden="1"/>
    </xf>
    <xf numFmtId="0" fontId="3" fillId="5" borderId="65" xfId="0" applyFont="1" applyFill="1" applyBorder="1" applyAlignment="1" applyProtection="1">
      <alignment vertical="center"/>
      <protection hidden="1"/>
    </xf>
    <xf numFmtId="4" fontId="3" fillId="2" borderId="66" xfId="0" applyNumberFormat="1" applyFont="1" applyFill="1" applyBorder="1" applyAlignment="1">
      <alignment horizontal="right" vertical="center" wrapText="1"/>
    </xf>
    <xf numFmtId="0" fontId="13" fillId="0" borderId="68" xfId="2" applyFont="1" applyBorder="1" applyAlignment="1" applyProtection="1">
      <alignment horizontal="left" vertical="center"/>
      <protection hidden="1"/>
    </xf>
    <xf numFmtId="0" fontId="7" fillId="0" borderId="68" xfId="2" applyFont="1" applyBorder="1" applyAlignment="1" applyProtection="1">
      <alignment vertical="top" wrapText="1"/>
      <protection hidden="1"/>
    </xf>
    <xf numFmtId="0" fontId="6" fillId="2" borderId="68" xfId="2" applyFill="1" applyBorder="1" applyAlignment="1" applyProtection="1">
      <alignment horizontal="left" vertical="center" wrapText="1"/>
      <protection hidden="1"/>
    </xf>
    <xf numFmtId="0" fontId="6" fillId="0" borderId="68" xfId="2" applyBorder="1" applyAlignment="1" applyProtection="1">
      <alignment horizontal="left" vertical="center" wrapText="1"/>
      <protection hidden="1"/>
    </xf>
    <xf numFmtId="0" fontId="6" fillId="0" borderId="68" xfId="2" applyBorder="1" applyAlignment="1" applyProtection="1">
      <alignment horizontal="left" vertical="center" wrapText="1" indent="2"/>
      <protection hidden="1"/>
    </xf>
    <xf numFmtId="164" fontId="3" fillId="2" borderId="6" xfId="0" applyNumberFormat="1" applyFont="1" applyFill="1" applyBorder="1" applyAlignment="1">
      <alignment horizontal="center" vertical="center" wrapText="1"/>
    </xf>
    <xf numFmtId="39" fontId="3" fillId="4" borderId="16" xfId="0" applyNumberFormat="1" applyFont="1" applyFill="1" applyBorder="1" applyAlignment="1" applyProtection="1">
      <alignment horizontal="right" vertical="center" wrapText="1"/>
      <protection locked="0"/>
    </xf>
    <xf numFmtId="39" fontId="3" fillId="4" borderId="10" xfId="0" applyNumberFormat="1" applyFont="1" applyFill="1" applyBorder="1" applyAlignment="1" applyProtection="1">
      <alignment horizontal="right" vertical="center" wrapText="1"/>
      <protection locked="0"/>
    </xf>
    <xf numFmtId="39" fontId="3" fillId="4" borderId="12" xfId="0" applyNumberFormat="1" applyFont="1" applyFill="1" applyBorder="1" applyAlignment="1" applyProtection="1">
      <alignment horizontal="right" vertical="center" wrapText="1"/>
      <protection locked="0"/>
    </xf>
    <xf numFmtId="39" fontId="3" fillId="0" borderId="51" xfId="0" applyNumberFormat="1" applyFont="1" applyBorder="1" applyAlignment="1">
      <alignment horizontal="right" vertical="center"/>
    </xf>
    <xf numFmtId="39" fontId="3" fillId="2" borderId="55" xfId="0" applyNumberFormat="1" applyFont="1" applyFill="1" applyBorder="1" applyAlignment="1">
      <alignment horizontal="right" vertical="center" wrapText="1"/>
    </xf>
    <xf numFmtId="39" fontId="3" fillId="2" borderId="51" xfId="0" applyNumberFormat="1" applyFont="1" applyFill="1" applyBorder="1" applyAlignment="1">
      <alignment horizontal="right" vertical="center" wrapText="1"/>
    </xf>
    <xf numFmtId="39" fontId="3" fillId="2" borderId="57" xfId="0" applyNumberFormat="1" applyFont="1" applyFill="1" applyBorder="1" applyAlignment="1">
      <alignment horizontal="right" vertical="center" wrapText="1"/>
    </xf>
    <xf numFmtId="0" fontId="6" fillId="0" borderId="28" xfId="2" applyBorder="1" applyAlignment="1" applyProtection="1">
      <alignment horizontal="center" vertical="center" wrapText="1"/>
      <protection hidden="1"/>
    </xf>
    <xf numFmtId="0" fontId="3" fillId="6" borderId="47" xfId="0" applyFont="1" applyFill="1" applyBorder="1" applyAlignment="1" applyProtection="1">
      <alignment horizontal="center" vertical="center" wrapText="1"/>
      <protection hidden="1"/>
    </xf>
    <xf numFmtId="10" fontId="7" fillId="2" borderId="69" xfId="2" applyNumberFormat="1" applyFont="1" applyFill="1" applyBorder="1" applyAlignment="1">
      <alignment horizontal="center" vertical="center"/>
    </xf>
    <xf numFmtId="49" fontId="36" fillId="4" borderId="0" xfId="2" applyNumberFormat="1" applyFont="1" applyFill="1" applyAlignment="1" applyProtection="1">
      <alignment vertical="top" wrapText="1"/>
      <protection hidden="1"/>
    </xf>
    <xf numFmtId="0" fontId="3" fillId="5" borderId="23" xfId="0" applyFont="1" applyFill="1" applyBorder="1" applyAlignment="1" applyProtection="1">
      <alignment horizontal="left" vertical="center" indent="1"/>
      <protection hidden="1"/>
    </xf>
    <xf numFmtId="0" fontId="3" fillId="5" borderId="24" xfId="0" applyFont="1" applyFill="1" applyBorder="1" applyAlignment="1" applyProtection="1">
      <alignment horizontal="left" vertical="center" indent="1"/>
      <protection hidden="1"/>
    </xf>
    <xf numFmtId="0" fontId="37" fillId="6" borderId="0" xfId="0" applyFont="1" applyFill="1" applyAlignment="1" applyProtection="1">
      <alignment horizontal="left" vertical="center"/>
      <protection hidden="1"/>
    </xf>
    <xf numFmtId="0" fontId="7" fillId="4" borderId="28" xfId="2" applyFont="1" applyFill="1" applyBorder="1" applyAlignment="1" applyProtection="1">
      <alignment horizontal="left" vertical="center" wrapText="1"/>
      <protection locked="0"/>
    </xf>
    <xf numFmtId="0" fontId="6" fillId="4" borderId="28" xfId="2" applyFill="1" applyBorder="1" applyAlignment="1" applyProtection="1">
      <alignment vertical="center" wrapText="1"/>
      <protection locked="0"/>
    </xf>
    <xf numFmtId="39" fontId="3" fillId="2" borderId="16" xfId="0" applyNumberFormat="1" applyFont="1" applyFill="1" applyBorder="1" applyAlignment="1">
      <alignment horizontal="right" vertical="center" wrapText="1"/>
    </xf>
    <xf numFmtId="0" fontId="3" fillId="2" borderId="28" xfId="0" applyFont="1" applyFill="1" applyBorder="1" applyAlignment="1">
      <alignment horizontal="center" vertical="center" wrapText="1"/>
    </xf>
    <xf numFmtId="0" fontId="0" fillId="0" borderId="0" xfId="0" applyAlignment="1" applyProtection="1">
      <alignment horizontal="left" vertical="top" wrapText="1"/>
      <protection hidden="1"/>
    </xf>
    <xf numFmtId="0" fontId="7" fillId="0" borderId="0" xfId="2" applyFont="1" applyAlignment="1" applyProtection="1">
      <alignment horizontal="left" vertical="center" wrapText="1"/>
      <protection hidden="1"/>
    </xf>
    <xf numFmtId="0" fontId="7" fillId="0" borderId="0" xfId="2" applyFont="1" applyAlignment="1" applyProtection="1">
      <alignment horizontal="center" vertical="center" wrapText="1"/>
      <protection hidden="1"/>
    </xf>
    <xf numFmtId="0" fontId="7" fillId="0" borderId="0" xfId="2" applyFont="1" applyAlignment="1" applyProtection="1">
      <alignment horizontal="right" vertical="center" wrapText="1"/>
      <protection hidden="1"/>
    </xf>
    <xf numFmtId="0" fontId="7" fillId="0" borderId="29" xfId="2" applyFont="1" applyBorder="1" applyAlignment="1" applyProtection="1">
      <alignment horizontal="right" vertical="center" wrapText="1"/>
      <protection hidden="1"/>
    </xf>
    <xf numFmtId="0" fontId="6" fillId="0" borderId="28" xfId="2" applyBorder="1" applyAlignment="1" applyProtection="1">
      <alignment horizontal="center" vertical="center" wrapText="1"/>
      <protection hidden="1"/>
    </xf>
    <xf numFmtId="0" fontId="6" fillId="0" borderId="0" xfId="2" applyAlignment="1" applyProtection="1">
      <alignment horizontal="left" vertical="center" wrapText="1"/>
      <protection hidden="1"/>
    </xf>
    <xf numFmtId="0" fontId="6" fillId="0" borderId="29" xfId="2" applyBorder="1" applyAlignment="1" applyProtection="1">
      <alignment horizontal="left" vertical="center" wrapText="1"/>
      <protection hidden="1"/>
    </xf>
    <xf numFmtId="0" fontId="28" fillId="0" borderId="0" xfId="0" applyFont="1" applyAlignment="1" applyProtection="1">
      <alignment horizontal="left" vertical="center" wrapText="1"/>
      <protection hidden="1"/>
    </xf>
    <xf numFmtId="0" fontId="14" fillId="0" borderId="0" xfId="0" applyFont="1" applyAlignment="1" applyProtection="1">
      <alignment horizontal="left" vertical="center" wrapText="1"/>
      <protection hidden="1"/>
    </xf>
    <xf numFmtId="0" fontId="6" fillId="0" borderId="0" xfId="2" applyAlignment="1" applyProtection="1">
      <alignment horizontal="left" vertical="top" wrapText="1"/>
      <protection hidden="1"/>
    </xf>
    <xf numFmtId="0" fontId="7" fillId="2" borderId="0" xfId="2" applyFont="1" applyFill="1" applyAlignment="1">
      <alignment horizontal="left" vertical="center" wrapText="1"/>
    </xf>
    <xf numFmtId="0" fontId="6" fillId="0" borderId="0" xfId="2" applyAlignment="1" applyProtection="1">
      <alignment horizontal="right" vertical="top" wrapText="1"/>
      <protection hidden="1"/>
    </xf>
    <xf numFmtId="0" fontId="6" fillId="2" borderId="0" xfId="2" applyFill="1" applyAlignment="1" applyProtection="1">
      <alignment horizontal="left" vertical="center" wrapText="1" indent="2"/>
      <protection hidden="1"/>
    </xf>
    <xf numFmtId="0" fontId="6" fillId="0" borderId="70" xfId="2" applyBorder="1" applyAlignment="1" applyProtection="1">
      <alignment horizontal="center" vertical="center" wrapText="1"/>
      <protection hidden="1"/>
    </xf>
    <xf numFmtId="0" fontId="6" fillId="0" borderId="49" xfId="2" applyBorder="1" applyAlignment="1" applyProtection="1">
      <alignment horizontal="center" vertical="center" wrapText="1"/>
      <protection hidden="1"/>
    </xf>
    <xf numFmtId="0" fontId="6" fillId="0" borderId="71" xfId="2" applyBorder="1" applyAlignment="1" applyProtection="1">
      <alignment horizontal="center" vertical="center" wrapText="1"/>
      <protection hidden="1"/>
    </xf>
    <xf numFmtId="0" fontId="6" fillId="0" borderId="72" xfId="2" applyBorder="1" applyAlignment="1" applyProtection="1">
      <alignment horizontal="center" vertical="center" wrapText="1"/>
      <protection hidden="1"/>
    </xf>
    <xf numFmtId="0" fontId="16" fillId="2" borderId="0" xfId="2" applyFont="1" applyFill="1" applyAlignment="1" applyProtection="1">
      <alignment horizontal="left" vertical="center" wrapText="1"/>
      <protection hidden="1"/>
    </xf>
    <xf numFmtId="0" fontId="6" fillId="2" borderId="0" xfId="2" applyFill="1" applyAlignment="1" applyProtection="1">
      <alignment horizontal="left" vertical="center" wrapText="1"/>
      <protection hidden="1"/>
    </xf>
    <xf numFmtId="0" fontId="23" fillId="0" borderId="0" xfId="23" applyNumberFormat="1" applyFill="1" applyBorder="1" applyAlignment="1" applyProtection="1">
      <alignment horizontal="left" vertical="center" wrapText="1"/>
      <protection hidden="1"/>
    </xf>
    <xf numFmtId="0" fontId="3" fillId="4" borderId="0" xfId="2" applyFont="1" applyFill="1" applyAlignment="1" applyProtection="1">
      <alignment horizontal="center" wrapText="1"/>
      <protection hidden="1"/>
    </xf>
    <xf numFmtId="0" fontId="6" fillId="0" borderId="32" xfId="2" applyBorder="1" applyAlignment="1" applyProtection="1">
      <alignment horizontal="center" vertical="center" wrapText="1"/>
      <protection hidden="1"/>
    </xf>
    <xf numFmtId="0" fontId="6" fillId="0" borderId="33" xfId="2" applyBorder="1" applyAlignment="1" applyProtection="1">
      <alignment horizontal="center" vertical="center" wrapText="1"/>
      <protection hidden="1"/>
    </xf>
    <xf numFmtId="0" fontId="6" fillId="0" borderId="34" xfId="2" applyBorder="1" applyAlignment="1" applyProtection="1">
      <alignment horizontal="center" vertical="center" wrapText="1"/>
      <protection hidden="1"/>
    </xf>
    <xf numFmtId="0" fontId="16" fillId="0" borderId="48" xfId="2" applyFont="1" applyBorder="1" applyAlignment="1" applyProtection="1">
      <alignment horizontal="left" vertical="center" wrapText="1"/>
      <protection hidden="1"/>
    </xf>
    <xf numFmtId="0" fontId="6" fillId="4" borderId="28" xfId="2" applyFill="1" applyBorder="1" applyAlignment="1" applyProtection="1">
      <alignment horizontal="left" vertical="center" wrapText="1"/>
      <protection hidden="1"/>
    </xf>
    <xf numFmtId="0" fontId="6" fillId="0" borderId="30" xfId="2" applyBorder="1" applyAlignment="1" applyProtection="1">
      <alignment horizontal="center" vertical="center" wrapText="1"/>
      <protection hidden="1"/>
    </xf>
    <xf numFmtId="0" fontId="6" fillId="0" borderId="31" xfId="2" applyBorder="1" applyAlignment="1" applyProtection="1">
      <alignment horizontal="center" vertical="center" wrapText="1"/>
      <protection hidden="1"/>
    </xf>
    <xf numFmtId="0" fontId="3" fillId="2" borderId="0" xfId="0" applyFont="1" applyFill="1" applyAlignment="1" applyProtection="1">
      <alignment horizontal="center" vertical="center" wrapText="1"/>
      <protection hidden="1"/>
    </xf>
    <xf numFmtId="0" fontId="3" fillId="5" borderId="30" xfId="0" applyFont="1" applyFill="1" applyBorder="1" applyAlignment="1" applyProtection="1">
      <alignment horizontal="center" vertical="center" wrapText="1"/>
      <protection hidden="1"/>
    </xf>
    <xf numFmtId="0" fontId="3" fillId="5" borderId="67" xfId="0" applyFont="1" applyFill="1" applyBorder="1" applyAlignment="1" applyProtection="1">
      <alignment horizontal="center" vertical="center" wrapText="1"/>
      <protection hidden="1"/>
    </xf>
    <xf numFmtId="0" fontId="3" fillId="5" borderId="31" xfId="0" applyFont="1" applyFill="1" applyBorder="1" applyAlignment="1" applyProtection="1">
      <alignment horizontal="center" vertical="center" wrapText="1"/>
      <protection hidden="1"/>
    </xf>
    <xf numFmtId="0" fontId="37" fillId="6" borderId="59" xfId="0" applyFont="1" applyFill="1" applyBorder="1" applyAlignment="1" applyProtection="1">
      <alignment horizontal="center" vertical="center"/>
      <protection hidden="1"/>
    </xf>
    <xf numFmtId="0" fontId="37" fillId="6" borderId="61" xfId="0" applyFont="1" applyFill="1" applyBorder="1" applyAlignment="1" applyProtection="1">
      <alignment horizontal="center" vertical="center"/>
      <protection hidden="1"/>
    </xf>
    <xf numFmtId="0" fontId="29" fillId="0" borderId="28" xfId="0" applyFont="1" applyBorder="1" applyAlignment="1">
      <alignment horizontal="center"/>
    </xf>
    <xf numFmtId="0" fontId="1" fillId="6" borderId="28" xfId="0" applyFont="1" applyFill="1" applyBorder="1" applyAlignment="1">
      <alignment horizontal="center"/>
    </xf>
    <xf numFmtId="0" fontId="1" fillId="4" borderId="28" xfId="0" applyFont="1" applyFill="1" applyBorder="1" applyAlignment="1">
      <alignment horizontal="center"/>
    </xf>
    <xf numFmtId="0" fontId="1" fillId="0" borderId="28" xfId="0" applyFont="1" applyBorder="1" applyAlignment="1">
      <alignment horizontal="center"/>
    </xf>
    <xf numFmtId="0" fontId="13" fillId="5" borderId="40" xfId="0" applyFont="1" applyFill="1" applyBorder="1" applyAlignment="1" applyProtection="1">
      <alignment horizontal="center" vertical="center" wrapText="1"/>
      <protection hidden="1"/>
    </xf>
    <xf numFmtId="0" fontId="1" fillId="0" borderId="0" xfId="0" applyFont="1" applyAlignment="1" applyProtection="1">
      <alignment horizontal="center" wrapText="1"/>
      <protection hidden="1"/>
    </xf>
    <xf numFmtId="49" fontId="6" fillId="4" borderId="0" xfId="2" applyNumberFormat="1" applyFill="1" applyAlignment="1" applyProtection="1">
      <alignment horizontal="left" vertical="top" wrapText="1"/>
      <protection hidden="1"/>
    </xf>
    <xf numFmtId="49" fontId="6" fillId="4" borderId="0" xfId="2" applyNumberFormat="1" applyFill="1" applyAlignment="1" applyProtection="1">
      <alignment wrapText="1"/>
      <protection hidden="1"/>
    </xf>
    <xf numFmtId="49" fontId="22" fillId="4" borderId="0" xfId="2" applyNumberFormat="1" applyFont="1" applyFill="1" applyAlignment="1" applyProtection="1">
      <alignment horizontal="left" vertical="top" wrapText="1"/>
      <protection hidden="1"/>
    </xf>
    <xf numFmtId="0" fontId="21" fillId="2" borderId="8" xfId="2" applyFont="1" applyFill="1" applyBorder="1" applyAlignment="1" applyProtection="1">
      <alignment horizontal="center" vertical="center" wrapText="1"/>
      <protection hidden="1"/>
    </xf>
    <xf numFmtId="0" fontId="18" fillId="4" borderId="0" xfId="2" applyFont="1" applyFill="1" applyAlignment="1" applyProtection="1">
      <alignment horizontal="left" vertical="center" wrapText="1"/>
      <protection hidden="1"/>
    </xf>
    <xf numFmtId="49" fontId="6" fillId="4" borderId="0" xfId="2" applyNumberFormat="1" applyFill="1" applyAlignment="1" applyProtection="1">
      <alignment vertical="top" wrapText="1"/>
      <protection hidden="1"/>
    </xf>
  </cellXfs>
  <cellStyles count="24">
    <cellStyle name="Currency 2" xfId="3" xr:uid="{00000000-0005-0000-0000-000000000000}"/>
    <cellStyle name="Currency 2 2" xfId="6" xr:uid="{00000000-0005-0000-0000-000001000000}"/>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3" builtinId="8"/>
    <cellStyle name="Normal" xfId="0" builtinId="0"/>
    <cellStyle name="Normal 2" xfId="1" xr:uid="{00000000-0005-0000-0000-00000F000000}"/>
    <cellStyle name="Normal 2 2" xfId="2" xr:uid="{00000000-0005-0000-0000-000010000000}"/>
    <cellStyle name="Normal 2 2 2" xfId="21" xr:uid="{00000000-0005-0000-0000-000011000000}"/>
    <cellStyle name="Normal 2 3" xfId="20" xr:uid="{00000000-0005-0000-0000-000012000000}"/>
    <cellStyle name="Normal 3" xfId="4" xr:uid="{00000000-0005-0000-0000-000013000000}"/>
    <cellStyle name="Percent" xfId="22" builtinId="5"/>
    <cellStyle name="Percent 2" xfId="5" xr:uid="{00000000-0005-0000-0000-000015000000}"/>
    <cellStyle name="Percent 2 2" xfId="7" xr:uid="{00000000-0005-0000-0000-000016000000}"/>
  </cellStyles>
  <dxfs count="19">
    <dxf>
      <fill>
        <patternFill>
          <bgColor rgb="FFFF0000"/>
        </patternFill>
      </fill>
    </dxf>
    <dxf>
      <fill>
        <patternFill>
          <bgColor theme="0"/>
        </patternFill>
      </fill>
    </dxf>
    <dxf>
      <fill>
        <patternFill>
          <bgColor rgb="FFFF0000"/>
        </patternFill>
      </fill>
    </dxf>
    <dxf>
      <fill>
        <patternFill>
          <bgColor theme="0"/>
        </patternFill>
      </fill>
    </dxf>
    <dxf>
      <fill>
        <patternFill patternType="none">
          <bgColor auto="1"/>
        </patternFill>
      </fill>
    </dxf>
    <dxf>
      <fill>
        <patternFill>
          <bgColor theme="0"/>
        </patternFill>
      </fill>
    </dxf>
    <dxf>
      <fill>
        <patternFill>
          <bgColor rgb="FFFF0000"/>
        </patternFill>
      </fill>
    </dxf>
    <dxf>
      <fill>
        <patternFill>
          <bgColor theme="0"/>
        </patternFill>
      </fill>
    </dxf>
    <dxf>
      <fill>
        <patternFill patternType="none">
          <bgColor auto="1"/>
        </patternFill>
      </fill>
    </dxf>
    <dxf>
      <fill>
        <patternFill>
          <bgColor theme="0"/>
        </patternFill>
      </fill>
    </dxf>
    <dxf>
      <fill>
        <patternFill>
          <bgColor rgb="FFFF0000"/>
        </patternFill>
      </fill>
    </dxf>
    <dxf>
      <fill>
        <patternFill>
          <bgColor theme="0"/>
        </patternFill>
      </fill>
    </dxf>
    <dxf>
      <fill>
        <patternFill patternType="none">
          <bgColor auto="1"/>
        </patternFill>
      </fill>
    </dxf>
    <dxf>
      <fill>
        <patternFill>
          <bgColor theme="0"/>
        </patternFill>
      </fill>
    </dxf>
    <dxf>
      <fill>
        <patternFill>
          <bgColor rgb="FFFF0000"/>
        </patternFill>
      </fill>
    </dxf>
    <dxf>
      <fill>
        <patternFill>
          <bgColor theme="0"/>
        </patternFill>
      </fill>
    </dxf>
    <dxf>
      <fill>
        <patternFill>
          <bgColor theme="0"/>
        </patternFill>
      </fill>
    </dxf>
    <dxf>
      <fill>
        <patternFill patternType="none">
          <bgColor auto="1"/>
        </patternFill>
      </fill>
    </dxf>
    <dxf>
      <font>
        <strike val="0"/>
        <color rgb="FFFF0000"/>
      </font>
    </dxf>
  </dxfs>
  <tableStyles count="0" defaultTableStyle="TableStyleMedium9" defaultPivotStyle="PivotStyleLight16"/>
  <colors>
    <mruColors>
      <color rgb="FFFFFFCC"/>
      <color rgb="FFF7F8FF"/>
      <color rgb="FF7DBA00"/>
      <color rgb="FFFFFF99"/>
      <color rgb="FFEAB200"/>
      <color rgb="FF66CCFF"/>
      <color rgb="FF814119"/>
      <color rgb="FF5E9BB6"/>
      <color rgb="FFA7C46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Instructions!E13"/><Relationship Id="rId5" Type="http://schemas.openxmlformats.org/officeDocument/2006/relationships/hyperlink" Target="#Instructions!E56"/><Relationship Id="rId4" Type="http://schemas.openxmlformats.org/officeDocument/2006/relationships/hyperlink" Target="#Instructions!E23"/></Relationships>
</file>

<file path=xl/drawings/drawing1.xml><?xml version="1.0" encoding="utf-8"?>
<xdr:wsDr xmlns:xdr="http://schemas.openxmlformats.org/drawingml/2006/spreadsheetDrawing" xmlns:a="http://schemas.openxmlformats.org/drawingml/2006/main">
  <xdr:twoCellAnchor editAs="oneCell">
    <xdr:from>
      <xdr:col>1</xdr:col>
      <xdr:colOff>49390</xdr:colOff>
      <xdr:row>1</xdr:row>
      <xdr:rowOff>74261</xdr:rowOff>
    </xdr:from>
    <xdr:to>
      <xdr:col>3</xdr:col>
      <xdr:colOff>170093</xdr:colOff>
      <xdr:row>3</xdr:row>
      <xdr:rowOff>53359</xdr:rowOff>
    </xdr:to>
    <xdr:pic>
      <xdr:nvPicPr>
        <xdr:cNvPr id="2" name="Picture 3" descr="logo_black.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bwMode="auto">
        <a:xfrm>
          <a:off x="229307" y="264761"/>
          <a:ext cx="773906" cy="773906"/>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xdr:col>
          <xdr:colOff>2080260</xdr:colOff>
          <xdr:row>53</xdr:row>
          <xdr:rowOff>22860</xdr:rowOff>
        </xdr:from>
        <xdr:to>
          <xdr:col>5</xdr:col>
          <xdr:colOff>2324100</xdr:colOff>
          <xdr:row>53</xdr:row>
          <xdr:rowOff>243840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35</xdr:row>
          <xdr:rowOff>53340</xdr:rowOff>
        </xdr:from>
        <xdr:to>
          <xdr:col>1</xdr:col>
          <xdr:colOff>1394460</xdr:colOff>
          <xdr:row>36</xdr:row>
          <xdr:rowOff>129540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100-000002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1539240</xdr:colOff>
          <xdr:row>35</xdr:row>
          <xdr:rowOff>60960</xdr:rowOff>
        </xdr:from>
        <xdr:to>
          <xdr:col>2</xdr:col>
          <xdr:colOff>967740</xdr:colOff>
          <xdr:row>36</xdr:row>
          <xdr:rowOff>137160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100-000005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twoCellAnchor editAs="oneCell">
    <xdr:from>
      <xdr:col>8</xdr:col>
      <xdr:colOff>28575</xdr:colOff>
      <xdr:row>7</xdr:row>
      <xdr:rowOff>9525</xdr:rowOff>
    </xdr:from>
    <xdr:to>
      <xdr:col>8</xdr:col>
      <xdr:colOff>300990</xdr:colOff>
      <xdr:row>7</xdr:row>
      <xdr:rowOff>304800</xdr:rowOff>
    </xdr:to>
    <xdr:pic>
      <xdr:nvPicPr>
        <xdr:cNvPr id="5" name="Graphic 4" descr="Badge Question Mark with solid fill">
          <a:hlinkClick xmlns:r="http://schemas.openxmlformats.org/officeDocument/2006/relationships" r:id="rId1"/>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9401175" y="1609725"/>
          <a:ext cx="272415" cy="295275"/>
        </a:xfrm>
        <a:prstGeom prst="rect">
          <a:avLst/>
        </a:prstGeom>
      </xdr:spPr>
    </xdr:pic>
    <xdr:clientData/>
  </xdr:twoCellAnchor>
  <xdr:twoCellAnchor editAs="oneCell">
    <xdr:from>
      <xdr:col>4</xdr:col>
      <xdr:colOff>967740</xdr:colOff>
      <xdr:row>8</xdr:row>
      <xdr:rowOff>830580</xdr:rowOff>
    </xdr:from>
    <xdr:to>
      <xdr:col>4</xdr:col>
      <xdr:colOff>1236345</xdr:colOff>
      <xdr:row>8</xdr:row>
      <xdr:rowOff>1120140</xdr:rowOff>
    </xdr:to>
    <xdr:pic>
      <xdr:nvPicPr>
        <xdr:cNvPr id="6" name="Graphic 5" descr="Badge Question Mark with solid fill">
          <a:hlinkClick xmlns:r="http://schemas.openxmlformats.org/officeDocument/2006/relationships" r:id="rId4"/>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227320" y="2430780"/>
          <a:ext cx="281940" cy="281940"/>
        </a:xfrm>
        <a:prstGeom prst="rect">
          <a:avLst/>
        </a:prstGeom>
      </xdr:spPr>
    </xdr:pic>
    <xdr:clientData/>
  </xdr:twoCellAnchor>
  <xdr:twoCellAnchor editAs="oneCell">
    <xdr:from>
      <xdr:col>8</xdr:col>
      <xdr:colOff>240453</xdr:colOff>
      <xdr:row>8</xdr:row>
      <xdr:rowOff>1082040</xdr:rowOff>
    </xdr:from>
    <xdr:to>
      <xdr:col>8</xdr:col>
      <xdr:colOff>518583</xdr:colOff>
      <xdr:row>8</xdr:row>
      <xdr:rowOff>1350645</xdr:rowOff>
    </xdr:to>
    <xdr:pic>
      <xdr:nvPicPr>
        <xdr:cNvPr id="7" name="Graphic 6" descr="Badge Question Mark with solid fill">
          <a:hlinkClick xmlns:r="http://schemas.openxmlformats.org/officeDocument/2006/relationships" r:id="rId5"/>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9604586" y="2809240"/>
          <a:ext cx="278130" cy="268605"/>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recyclingcertification.org/certified-facilities/" TargetMode="External"/><Relationship Id="rId1" Type="http://schemas.openxmlformats.org/officeDocument/2006/relationships/hyperlink" Target="https://support.usgbc.org/hc/en-us/articles/4404512648979-Documenting-certification-compliance"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26"/>
  <sheetViews>
    <sheetView showGridLines="0" tabSelected="1" zoomScale="110" zoomScaleNormal="110" zoomScalePageLayoutView="90" workbookViewId="0">
      <selection activeCell="H67" sqref="H67"/>
    </sheetView>
  </sheetViews>
  <sheetFormatPr defaultColWidth="8.77734375" defaultRowHeight="14.4" x14ac:dyDescent="0.3"/>
  <cols>
    <col min="1" max="2" width="2.6640625" style="42" customWidth="1"/>
    <col min="3" max="3" width="7" style="42" customWidth="1"/>
    <col min="4" max="4" width="2.6640625" style="42" customWidth="1"/>
    <col min="5" max="5" width="37.77734375" style="42" customWidth="1"/>
    <col min="6" max="6" width="35.6640625" style="42" customWidth="1"/>
    <col min="7" max="7" width="15.6640625" style="42" customWidth="1"/>
    <col min="8" max="8" width="2.6640625" style="42" customWidth="1"/>
    <col min="9" max="9" width="6.44140625" style="42" customWidth="1"/>
    <col min="10" max="10" width="49.44140625" style="69" hidden="1" customWidth="1"/>
    <col min="11" max="11" width="18.33203125" style="69" hidden="1" customWidth="1"/>
    <col min="12" max="12" width="27.77734375" style="69" hidden="1" customWidth="1"/>
    <col min="13" max="18" width="8.77734375" style="42" customWidth="1"/>
    <col min="19" max="16384" width="8.77734375" style="42"/>
  </cols>
  <sheetData>
    <row r="1" spans="1:12" x14ac:dyDescent="0.3">
      <c r="A1" s="41"/>
      <c r="B1" s="41"/>
      <c r="C1" s="41"/>
      <c r="E1" s="41"/>
      <c r="F1" s="41"/>
      <c r="G1" s="41"/>
      <c r="H1" s="41"/>
    </row>
    <row r="2" spans="1:12" ht="15" customHeight="1" x14ac:dyDescent="0.3">
      <c r="A2" s="43"/>
      <c r="B2" s="44"/>
      <c r="C2" s="45"/>
      <c r="D2" s="46"/>
      <c r="E2" s="45"/>
      <c r="F2" s="45"/>
      <c r="G2" s="45"/>
      <c r="H2" s="47"/>
    </row>
    <row r="3" spans="1:12" ht="48" customHeight="1" x14ac:dyDescent="0.3">
      <c r="A3" s="41"/>
      <c r="B3" s="48"/>
      <c r="C3" s="49"/>
      <c r="D3" s="7"/>
      <c r="E3" s="242" t="s">
        <v>56</v>
      </c>
      <c r="F3" s="243"/>
      <c r="G3" s="243"/>
      <c r="H3" s="50"/>
    </row>
    <row r="4" spans="1:12" ht="20.25" customHeight="1" x14ac:dyDescent="0.3">
      <c r="A4" s="41"/>
      <c r="B4" s="48"/>
      <c r="C4" s="49"/>
      <c r="D4" s="7"/>
      <c r="E4" s="51"/>
      <c r="F4" s="51"/>
      <c r="G4" s="51"/>
      <c r="H4" s="50"/>
    </row>
    <row r="5" spans="1:12" x14ac:dyDescent="0.3">
      <c r="A5" s="41"/>
      <c r="B5" s="48"/>
      <c r="C5" s="52"/>
      <c r="D5" s="7"/>
      <c r="E5" s="53" t="s">
        <v>4</v>
      </c>
      <c r="F5" s="49"/>
      <c r="G5" s="49"/>
      <c r="H5" s="50"/>
    </row>
    <row r="6" spans="1:12" s="41" customFormat="1" ht="15" customHeight="1" x14ac:dyDescent="0.3">
      <c r="B6" s="48"/>
      <c r="C6" s="52"/>
      <c r="D6" s="54"/>
      <c r="E6" s="244" t="s">
        <v>10</v>
      </c>
      <c r="F6" s="244"/>
      <c r="G6" s="244"/>
      <c r="H6" s="50"/>
      <c r="J6" s="70"/>
      <c r="K6" s="70"/>
      <c r="L6" s="70"/>
    </row>
    <row r="7" spans="1:12" s="73" customFormat="1" ht="31.2" customHeight="1" x14ac:dyDescent="0.3">
      <c r="B7" s="74"/>
      <c r="C7" s="75"/>
      <c r="D7" s="76"/>
      <c r="E7" s="245" t="s">
        <v>90</v>
      </c>
      <c r="F7" s="245"/>
      <c r="G7" s="245"/>
      <c r="H7" s="77"/>
      <c r="J7" s="78"/>
    </row>
    <row r="8" spans="1:12" s="73" customFormat="1" ht="17.55" customHeight="1" x14ac:dyDescent="0.3">
      <c r="B8" s="74"/>
      <c r="C8" s="75"/>
      <c r="D8" s="76"/>
      <c r="E8" s="163" t="s">
        <v>89</v>
      </c>
      <c r="F8" s="164"/>
      <c r="G8" s="164"/>
      <c r="H8" s="77"/>
      <c r="J8" s="78"/>
    </row>
    <row r="9" spans="1:12" s="41" customFormat="1" ht="15" customHeight="1" x14ac:dyDescent="0.3">
      <c r="B9" s="48"/>
      <c r="C9" s="55"/>
      <c r="D9" s="54"/>
      <c r="E9" s="54"/>
      <c r="F9" s="49"/>
      <c r="G9" s="49"/>
      <c r="H9" s="50"/>
      <c r="J9" s="70"/>
      <c r="K9" s="70"/>
      <c r="L9" s="70"/>
    </row>
    <row r="10" spans="1:12" x14ac:dyDescent="0.3">
      <c r="A10" s="41"/>
      <c r="B10" s="48"/>
      <c r="C10" s="52"/>
      <c r="D10" s="7"/>
      <c r="E10" s="53" t="s">
        <v>5</v>
      </c>
      <c r="F10" s="49"/>
      <c r="G10" s="49"/>
      <c r="H10" s="50"/>
    </row>
    <row r="11" spans="1:12" s="41" customFormat="1" ht="15" customHeight="1" x14ac:dyDescent="0.3">
      <c r="B11" s="48"/>
      <c r="C11" s="52"/>
      <c r="D11" s="54"/>
      <c r="E11" s="72" t="s">
        <v>91</v>
      </c>
      <c r="F11" s="56"/>
      <c r="G11" s="68"/>
      <c r="H11" s="50"/>
      <c r="I11" s="70"/>
      <c r="K11" s="70"/>
      <c r="L11" s="70"/>
    </row>
    <row r="12" spans="1:12" s="41" customFormat="1" ht="15" customHeight="1" x14ac:dyDescent="0.3">
      <c r="B12" s="48"/>
      <c r="C12" s="52"/>
      <c r="D12" s="54"/>
      <c r="E12" s="246" t="str">
        <f>IF(G11="tons", "NOTE: A ton is defined here as 2000 lbs.", IF(G11="tonnes", "NOTE: A tonne is defined here as a metric ton, equivalent to 1000 kg."," "))</f>
        <v xml:space="preserve"> </v>
      </c>
      <c r="F12" s="246"/>
      <c r="G12" s="246"/>
      <c r="H12" s="50"/>
      <c r="J12" s="70"/>
      <c r="K12" s="70"/>
      <c r="L12" s="70"/>
    </row>
    <row r="13" spans="1:12" x14ac:dyDescent="0.3">
      <c r="A13" s="41"/>
      <c r="B13" s="48"/>
      <c r="C13" s="52"/>
      <c r="D13" s="7"/>
      <c r="E13" s="53" t="s">
        <v>14</v>
      </c>
      <c r="F13" s="49"/>
      <c r="G13" s="49"/>
      <c r="H13" s="50"/>
    </row>
    <row r="14" spans="1:12" s="41" customFormat="1" ht="15" customHeight="1" x14ac:dyDescent="0.3">
      <c r="B14" s="48"/>
      <c r="C14" s="52"/>
      <c r="D14" s="54"/>
      <c r="E14" s="240" t="s">
        <v>62</v>
      </c>
      <c r="F14" s="240"/>
      <c r="G14" s="240"/>
      <c r="H14" s="50"/>
      <c r="J14" s="70"/>
      <c r="K14" s="70"/>
      <c r="L14" s="70"/>
    </row>
    <row r="15" spans="1:12" s="105" customFormat="1" ht="154.80000000000001" customHeight="1" x14ac:dyDescent="0.3">
      <c r="B15" s="106"/>
      <c r="C15" s="107"/>
      <c r="D15" s="54"/>
      <c r="E15" s="235" t="s">
        <v>139</v>
      </c>
      <c r="F15" s="235"/>
      <c r="G15" s="235"/>
      <c r="H15" s="108"/>
      <c r="J15" s="109"/>
      <c r="K15" s="109"/>
      <c r="L15" s="109"/>
    </row>
    <row r="16" spans="1:12" s="105" customFormat="1" ht="22.8" customHeight="1" x14ac:dyDescent="0.3">
      <c r="B16" s="106"/>
      <c r="C16" s="107"/>
      <c r="D16" s="54"/>
      <c r="E16" s="237" t="s">
        <v>63</v>
      </c>
      <c r="F16" s="238"/>
      <c r="G16" s="230" t="s">
        <v>40</v>
      </c>
      <c r="H16" s="108"/>
      <c r="J16" s="109"/>
      <c r="K16" s="109"/>
      <c r="L16" s="109"/>
    </row>
    <row r="17" spans="1:12" s="105" customFormat="1" ht="22.8" customHeight="1" x14ac:dyDescent="0.3">
      <c r="B17" s="106"/>
      <c r="C17" s="107"/>
      <c r="D17" s="54"/>
      <c r="E17" s="236" t="s">
        <v>64</v>
      </c>
      <c r="F17" s="236"/>
      <c r="G17" s="236"/>
      <c r="H17" s="108"/>
      <c r="J17" s="109"/>
      <c r="K17" s="109"/>
      <c r="L17" s="109"/>
    </row>
    <row r="18" spans="1:12" s="105" customFormat="1" ht="21" customHeight="1" x14ac:dyDescent="0.3">
      <c r="B18" s="106"/>
      <c r="C18" s="107"/>
      <c r="D18" s="54"/>
      <c r="E18" s="148"/>
      <c r="F18" s="148"/>
      <c r="G18" s="148"/>
      <c r="H18" s="108"/>
      <c r="J18" s="109"/>
      <c r="K18" s="109"/>
      <c r="L18" s="109"/>
    </row>
    <row r="19" spans="1:12" x14ac:dyDescent="0.3">
      <c r="A19" s="41"/>
      <c r="B19" s="48"/>
      <c r="C19" s="52"/>
      <c r="D19" s="7"/>
      <c r="E19" s="53" t="s">
        <v>15</v>
      </c>
      <c r="F19" s="49"/>
      <c r="G19" s="49"/>
      <c r="H19" s="50"/>
    </row>
    <row r="20" spans="1:12" s="41" customFormat="1" ht="17.55" customHeight="1" x14ac:dyDescent="0.3">
      <c r="B20" s="48"/>
      <c r="C20" s="52"/>
      <c r="D20" s="54"/>
      <c r="E20" s="240" t="str">
        <f>CONCATENATE("Provide project gross floor area ",IF(J100=1,"(ft2)","(m2)"))</f>
        <v>Provide project gross floor area (m2)</v>
      </c>
      <c r="F20" s="241"/>
      <c r="G20" s="231"/>
      <c r="H20" s="50"/>
      <c r="J20" s="70"/>
      <c r="K20" s="70"/>
      <c r="L20" s="70"/>
    </row>
    <row r="21" spans="1:12" s="41" customFormat="1" ht="17.55" customHeight="1" x14ac:dyDescent="0.3">
      <c r="B21" s="48"/>
      <c r="C21" s="52"/>
      <c r="D21" s="54"/>
      <c r="E21" s="235" t="s">
        <v>130</v>
      </c>
      <c r="F21" s="235"/>
      <c r="G21" s="235"/>
      <c r="H21" s="50"/>
      <c r="J21" s="70"/>
      <c r="K21" s="70"/>
      <c r="L21" s="70"/>
    </row>
    <row r="22" spans="1:12" s="41" customFormat="1" ht="27.45" customHeight="1" x14ac:dyDescent="0.3">
      <c r="B22" s="48"/>
      <c r="C22" s="52"/>
      <c r="D22" s="54"/>
      <c r="E22" s="147"/>
      <c r="F22" s="147"/>
      <c r="G22" s="147"/>
      <c r="H22" s="50"/>
      <c r="J22" s="70"/>
      <c r="K22" s="70"/>
      <c r="L22" s="70"/>
    </row>
    <row r="23" spans="1:12" x14ac:dyDescent="0.3">
      <c r="A23" s="41"/>
      <c r="B23" s="48"/>
      <c r="C23" s="52"/>
      <c r="D23" s="7"/>
      <c r="E23" s="53" t="s">
        <v>65</v>
      </c>
      <c r="F23" s="49"/>
      <c r="G23" s="49"/>
      <c r="H23" s="50"/>
    </row>
    <row r="24" spans="1:12" s="41" customFormat="1" ht="27.45" customHeight="1" x14ac:dyDescent="0.3">
      <c r="B24" s="48"/>
      <c r="C24" s="52"/>
      <c r="D24" s="54"/>
      <c r="E24" s="240" t="s">
        <v>120</v>
      </c>
      <c r="F24" s="240"/>
      <c r="G24" s="240"/>
      <c r="H24" s="50"/>
      <c r="J24" s="70"/>
      <c r="K24" s="70"/>
      <c r="L24" s="70"/>
    </row>
    <row r="25" spans="1:12" s="41" customFormat="1" ht="15.45" customHeight="1" x14ac:dyDescent="0.3">
      <c r="B25" s="48"/>
      <c r="C25" s="52"/>
      <c r="D25" s="54"/>
      <c r="E25" s="157"/>
      <c r="F25" s="157"/>
      <c r="G25" s="157"/>
      <c r="H25" s="50"/>
      <c r="J25" s="70"/>
      <c r="K25" s="70"/>
      <c r="L25" s="70"/>
    </row>
    <row r="26" spans="1:12" s="41" customFormat="1" ht="27.45" customHeight="1" x14ac:dyDescent="0.3">
      <c r="B26" s="48"/>
      <c r="C26" s="52"/>
      <c r="D26" s="54"/>
      <c r="E26" s="239" t="s">
        <v>140</v>
      </c>
      <c r="F26" s="239" t="s">
        <v>126</v>
      </c>
      <c r="G26" s="239"/>
      <c r="H26" s="50"/>
      <c r="J26" s="70"/>
      <c r="K26" s="70"/>
      <c r="L26" s="70"/>
    </row>
    <row r="27" spans="1:12" s="41" customFormat="1" ht="70.8" customHeight="1" x14ac:dyDescent="0.3">
      <c r="B27" s="48"/>
      <c r="C27" s="52"/>
      <c r="D27" s="54"/>
      <c r="E27" s="239"/>
      <c r="F27" s="239" t="s">
        <v>114</v>
      </c>
      <c r="G27" s="239"/>
      <c r="H27" s="50"/>
      <c r="J27" s="255"/>
      <c r="K27" s="70"/>
      <c r="L27" s="70"/>
    </row>
    <row r="28" spans="1:12" s="41" customFormat="1" ht="40.200000000000003" customHeight="1" x14ac:dyDescent="0.3">
      <c r="B28" s="48"/>
      <c r="C28" s="52"/>
      <c r="D28" s="54"/>
      <c r="E28" s="239"/>
      <c r="F28" s="239" t="s">
        <v>67</v>
      </c>
      <c r="G28" s="239"/>
      <c r="H28" s="50"/>
      <c r="J28" s="255"/>
      <c r="K28" s="70"/>
      <c r="L28" s="70"/>
    </row>
    <row r="29" spans="1:12" s="41" customFormat="1" ht="40.200000000000003" customHeight="1" x14ac:dyDescent="0.3">
      <c r="B29" s="48"/>
      <c r="C29" s="52"/>
      <c r="D29" s="54"/>
      <c r="E29" s="239"/>
      <c r="F29" s="239" t="s">
        <v>71</v>
      </c>
      <c r="G29" s="239"/>
      <c r="H29" s="50"/>
      <c r="J29" s="109"/>
      <c r="K29" s="70"/>
      <c r="L29" s="70"/>
    </row>
    <row r="30" spans="1:12" s="41" customFormat="1" ht="58.2" customHeight="1" x14ac:dyDescent="0.3">
      <c r="B30" s="48"/>
      <c r="C30" s="52"/>
      <c r="D30" s="54"/>
      <c r="E30" s="223" t="s">
        <v>123</v>
      </c>
      <c r="F30" s="261" t="s">
        <v>141</v>
      </c>
      <c r="G30" s="262"/>
      <c r="H30" s="50"/>
      <c r="J30" s="109"/>
      <c r="K30" s="70"/>
      <c r="L30" s="70"/>
    </row>
    <row r="31" spans="1:12" s="41" customFormat="1" ht="40.200000000000003" customHeight="1" x14ac:dyDescent="0.3">
      <c r="B31" s="48"/>
      <c r="C31" s="52"/>
      <c r="D31" s="54"/>
      <c r="E31" s="256" t="s">
        <v>142</v>
      </c>
      <c r="F31" s="239" t="s">
        <v>68</v>
      </c>
      <c r="G31" s="239"/>
      <c r="H31" s="50"/>
      <c r="J31" s="109"/>
      <c r="K31" s="70"/>
      <c r="L31" s="70"/>
    </row>
    <row r="32" spans="1:12" s="41" customFormat="1" ht="40.200000000000003" customHeight="1" x14ac:dyDescent="0.3">
      <c r="B32" s="48"/>
      <c r="C32" s="52"/>
      <c r="D32" s="54"/>
      <c r="E32" s="257"/>
      <c r="F32" s="239" t="s">
        <v>69</v>
      </c>
      <c r="G32" s="239"/>
      <c r="H32" s="50"/>
      <c r="J32" s="109"/>
      <c r="K32" s="70"/>
      <c r="L32" s="70"/>
    </row>
    <row r="33" spans="1:12" s="41" customFormat="1" ht="40.200000000000003" customHeight="1" x14ac:dyDescent="0.3">
      <c r="B33" s="48"/>
      <c r="C33" s="52"/>
      <c r="D33" s="54"/>
      <c r="E33" s="258"/>
      <c r="F33" s="239" t="s">
        <v>124</v>
      </c>
      <c r="G33" s="239"/>
      <c r="H33" s="50"/>
      <c r="J33" s="109"/>
      <c r="K33" s="70"/>
      <c r="L33" s="70"/>
    </row>
    <row r="34" spans="1:12" s="41" customFormat="1" ht="35.549999999999997" customHeight="1" x14ac:dyDescent="0.3">
      <c r="B34" s="48"/>
      <c r="C34" s="52"/>
      <c r="D34" s="54"/>
      <c r="E34" s="256" t="s">
        <v>82</v>
      </c>
      <c r="F34" s="248" t="s">
        <v>109</v>
      </c>
      <c r="G34" s="249"/>
      <c r="H34" s="50"/>
      <c r="J34" s="109"/>
      <c r="K34" s="70"/>
      <c r="L34" s="70"/>
    </row>
    <row r="35" spans="1:12" s="41" customFormat="1" ht="7.8" customHeight="1" x14ac:dyDescent="0.3">
      <c r="B35" s="48"/>
      <c r="C35" s="52"/>
      <c r="D35" s="54"/>
      <c r="E35" s="257"/>
      <c r="F35" s="250"/>
      <c r="G35" s="251"/>
      <c r="H35" s="50"/>
      <c r="J35" s="109"/>
      <c r="K35" s="70"/>
      <c r="L35" s="70"/>
    </row>
    <row r="36" spans="1:12" s="41" customFormat="1" ht="40.200000000000003" customHeight="1" x14ac:dyDescent="0.3">
      <c r="B36" s="48"/>
      <c r="C36" s="52"/>
      <c r="D36" s="54"/>
      <c r="E36" s="258"/>
      <c r="F36" s="239" t="s">
        <v>70</v>
      </c>
      <c r="G36" s="239"/>
      <c r="H36" s="50"/>
      <c r="J36" s="109"/>
      <c r="K36" s="70"/>
      <c r="L36" s="70"/>
    </row>
    <row r="37" spans="1:12" s="41" customFormat="1" ht="13.2" customHeight="1" x14ac:dyDescent="0.3">
      <c r="B37" s="48"/>
      <c r="C37" s="52"/>
      <c r="D37" s="54"/>
      <c r="E37" s="147"/>
      <c r="F37" s="156"/>
      <c r="G37" s="156"/>
      <c r="H37" s="50"/>
      <c r="J37" s="70"/>
      <c r="K37" s="70"/>
      <c r="L37" s="70"/>
    </row>
    <row r="38" spans="1:12" s="41" customFormat="1" ht="48.45" customHeight="1" x14ac:dyDescent="0.3">
      <c r="B38" s="48"/>
      <c r="C38" s="52"/>
      <c r="D38" s="54"/>
      <c r="E38" s="235" t="s">
        <v>133</v>
      </c>
      <c r="F38" s="235"/>
      <c r="G38" s="235"/>
      <c r="H38" s="50"/>
      <c r="J38" s="70"/>
      <c r="K38" s="70"/>
      <c r="L38" s="70"/>
    </row>
    <row r="39" spans="1:12" s="41" customFormat="1" ht="42" customHeight="1" x14ac:dyDescent="0.3">
      <c r="B39" s="48"/>
      <c r="C39" s="52"/>
      <c r="D39" s="54"/>
      <c r="E39" s="235" t="s">
        <v>72</v>
      </c>
      <c r="F39" s="235"/>
      <c r="G39" s="235"/>
      <c r="H39" s="50"/>
      <c r="J39" s="70"/>
      <c r="K39" s="70"/>
      <c r="L39" s="70"/>
    </row>
    <row r="40" spans="1:12" s="41" customFormat="1" ht="15" customHeight="1" x14ac:dyDescent="0.3">
      <c r="B40" s="48"/>
      <c r="C40" s="55"/>
      <c r="D40" s="54"/>
      <c r="E40" s="54"/>
      <c r="F40" s="49"/>
      <c r="G40" s="49"/>
      <c r="H40" s="50"/>
      <c r="J40" s="70"/>
      <c r="K40" s="70"/>
      <c r="L40" s="70"/>
    </row>
    <row r="41" spans="1:12" x14ac:dyDescent="0.3">
      <c r="A41" s="41"/>
      <c r="B41" s="48"/>
      <c r="C41" s="52"/>
      <c r="D41" s="7"/>
      <c r="E41" s="53" t="s">
        <v>131</v>
      </c>
      <c r="F41" s="49"/>
      <c r="G41" s="49"/>
      <c r="H41" s="50"/>
    </row>
    <row r="42" spans="1:12" s="41" customFormat="1" ht="45" customHeight="1" x14ac:dyDescent="0.3">
      <c r="B42" s="48"/>
      <c r="C42" s="57"/>
      <c r="D42" s="54"/>
      <c r="E42" s="253" t="s">
        <v>111</v>
      </c>
      <c r="F42" s="253"/>
      <c r="G42" s="253"/>
      <c r="H42" s="50"/>
      <c r="J42" s="70"/>
      <c r="K42" s="70"/>
      <c r="L42" s="70"/>
    </row>
    <row r="43" spans="1:12" s="41" customFormat="1" ht="23.55" customHeight="1" x14ac:dyDescent="0.3">
      <c r="B43" s="48"/>
      <c r="C43" s="210"/>
      <c r="D43" s="211"/>
      <c r="E43" s="212"/>
      <c r="F43" s="212"/>
      <c r="G43" s="212"/>
      <c r="H43" s="50"/>
      <c r="J43" s="70"/>
      <c r="K43" s="70"/>
      <c r="L43" s="70"/>
    </row>
    <row r="44" spans="1:12" s="41" customFormat="1" x14ac:dyDescent="0.3">
      <c r="B44" s="48"/>
      <c r="C44" s="57"/>
      <c r="D44" s="54"/>
      <c r="E44" s="252" t="s">
        <v>73</v>
      </c>
      <c r="F44" s="252"/>
      <c r="G44" s="252"/>
      <c r="H44" s="50"/>
      <c r="J44" s="70"/>
      <c r="K44" s="70"/>
      <c r="L44" s="70"/>
    </row>
    <row r="45" spans="1:12" s="41" customFormat="1" ht="82.2" customHeight="1" x14ac:dyDescent="0.3">
      <c r="B45" s="48"/>
      <c r="C45" s="57"/>
      <c r="D45" s="54"/>
      <c r="E45" s="253" t="s">
        <v>118</v>
      </c>
      <c r="F45" s="252"/>
      <c r="G45" s="252"/>
      <c r="H45" s="50"/>
      <c r="J45" s="70"/>
      <c r="K45" s="70"/>
      <c r="L45" s="70"/>
    </row>
    <row r="46" spans="1:12" s="41" customFormat="1" ht="21" customHeight="1" x14ac:dyDescent="0.3">
      <c r="B46" s="48"/>
      <c r="C46" s="57"/>
      <c r="D46" s="54"/>
      <c r="E46" s="247" t="s">
        <v>74</v>
      </c>
      <c r="F46" s="247"/>
      <c r="G46" s="247"/>
      <c r="H46" s="50"/>
      <c r="J46" s="70"/>
      <c r="K46" s="70"/>
      <c r="L46" s="70"/>
    </row>
    <row r="47" spans="1:12" s="41" customFormat="1" ht="21" customHeight="1" x14ac:dyDescent="0.3">
      <c r="B47" s="48"/>
      <c r="C47" s="57"/>
      <c r="D47" s="54"/>
      <c r="E47" s="247" t="s">
        <v>75</v>
      </c>
      <c r="F47" s="247"/>
      <c r="G47" s="247"/>
      <c r="H47" s="50"/>
      <c r="J47" s="70"/>
      <c r="K47" s="70"/>
      <c r="L47" s="70"/>
    </row>
    <row r="48" spans="1:12" s="41" customFormat="1" ht="21" customHeight="1" x14ac:dyDescent="0.3">
      <c r="B48" s="48"/>
      <c r="C48" s="57"/>
      <c r="D48" s="54"/>
      <c r="E48" s="247" t="s">
        <v>76</v>
      </c>
      <c r="F48" s="247"/>
      <c r="G48" s="247"/>
      <c r="H48" s="50"/>
      <c r="J48" s="70"/>
      <c r="K48" s="70"/>
      <c r="L48" s="70"/>
    </row>
    <row r="49" spans="2:12" s="41" customFormat="1" ht="21" customHeight="1" x14ac:dyDescent="0.3">
      <c r="B49" s="48"/>
      <c r="C49" s="57"/>
      <c r="D49" s="54"/>
      <c r="E49" s="247" t="s">
        <v>77</v>
      </c>
      <c r="F49" s="247"/>
      <c r="G49" s="247"/>
      <c r="H49" s="50"/>
      <c r="J49" s="70"/>
      <c r="K49" s="70"/>
      <c r="L49" s="70"/>
    </row>
    <row r="50" spans="2:12" s="41" customFormat="1" ht="21" customHeight="1" x14ac:dyDescent="0.3">
      <c r="B50" s="48"/>
      <c r="C50" s="57"/>
      <c r="D50" s="54"/>
      <c r="E50" s="247" t="s">
        <v>78</v>
      </c>
      <c r="F50" s="247"/>
      <c r="G50" s="247"/>
      <c r="H50" s="50"/>
      <c r="J50" s="70"/>
      <c r="K50" s="70"/>
      <c r="L50" s="70"/>
    </row>
    <row r="51" spans="2:12" s="41" customFormat="1" ht="21" customHeight="1" x14ac:dyDescent="0.3">
      <c r="B51" s="48"/>
      <c r="C51" s="57"/>
      <c r="D51" s="54"/>
      <c r="E51" s="247" t="s">
        <v>79</v>
      </c>
      <c r="F51" s="247"/>
      <c r="G51" s="247"/>
      <c r="H51" s="50"/>
      <c r="J51" s="70"/>
      <c r="K51" s="70"/>
      <c r="L51" s="70"/>
    </row>
    <row r="52" spans="2:12" s="41" customFormat="1" ht="21" customHeight="1" x14ac:dyDescent="0.3">
      <c r="B52" s="48"/>
      <c r="C52" s="57"/>
      <c r="D52" s="54"/>
      <c r="E52" s="247" t="s">
        <v>80</v>
      </c>
      <c r="F52" s="247"/>
      <c r="G52" s="247"/>
      <c r="H52" s="50"/>
      <c r="J52" s="70"/>
      <c r="K52" s="70"/>
      <c r="L52" s="70"/>
    </row>
    <row r="53" spans="2:12" s="41" customFormat="1" ht="9.4499999999999993" customHeight="1" x14ac:dyDescent="0.3">
      <c r="B53" s="48"/>
      <c r="C53" s="57"/>
      <c r="D53" s="54"/>
      <c r="E53" s="158"/>
      <c r="F53" s="158"/>
      <c r="G53" s="158"/>
      <c r="H53" s="50"/>
      <c r="J53" s="70"/>
      <c r="K53" s="70"/>
      <c r="L53" s="70"/>
    </row>
    <row r="54" spans="2:12" s="41" customFormat="1" ht="21" customHeight="1" x14ac:dyDescent="0.3">
      <c r="B54" s="48"/>
      <c r="C54" s="57"/>
      <c r="D54" s="54"/>
      <c r="E54" s="260" t="s">
        <v>81</v>
      </c>
      <c r="F54" s="260"/>
      <c r="G54" s="159"/>
      <c r="H54" s="50"/>
      <c r="J54" s="70"/>
      <c r="K54" s="70"/>
      <c r="L54" s="70"/>
    </row>
    <row r="55" spans="2:12" s="41" customFormat="1" ht="21" customHeight="1" x14ac:dyDescent="0.3">
      <c r="B55" s="48"/>
      <c r="C55" s="210"/>
      <c r="D55" s="211"/>
      <c r="E55" s="213"/>
      <c r="F55" s="213"/>
      <c r="G55" s="214"/>
      <c r="H55" s="50"/>
      <c r="J55" s="70"/>
      <c r="K55" s="70"/>
      <c r="L55" s="70"/>
    </row>
    <row r="56" spans="2:12" s="41" customFormat="1" ht="21" customHeight="1" x14ac:dyDescent="0.3">
      <c r="B56" s="48"/>
      <c r="C56" s="57"/>
      <c r="D56" s="54"/>
      <c r="E56" s="259" t="s">
        <v>113</v>
      </c>
      <c r="F56" s="259"/>
      <c r="G56" s="159"/>
      <c r="H56" s="50"/>
      <c r="J56" s="70"/>
      <c r="K56" s="70"/>
      <c r="L56" s="70"/>
    </row>
    <row r="57" spans="2:12" s="41" customFormat="1" ht="21" customHeight="1" x14ac:dyDescent="0.3">
      <c r="B57" s="48"/>
      <c r="C57" s="57"/>
      <c r="D57" s="54"/>
      <c r="E57" s="240" t="s">
        <v>116</v>
      </c>
      <c r="F57" s="240"/>
      <c r="G57" s="240"/>
      <c r="H57" s="50"/>
      <c r="J57" s="70"/>
      <c r="K57" s="70"/>
      <c r="L57" s="70"/>
    </row>
    <row r="58" spans="2:12" s="41" customFormat="1" ht="21" customHeight="1" x14ac:dyDescent="0.3">
      <c r="B58" s="48"/>
      <c r="C58" s="57"/>
      <c r="D58" s="54"/>
      <c r="E58" s="240"/>
      <c r="F58" s="240"/>
      <c r="G58" s="240"/>
      <c r="H58" s="50"/>
      <c r="J58" s="70"/>
      <c r="K58" s="70"/>
      <c r="L58" s="70"/>
    </row>
    <row r="59" spans="2:12" s="41" customFormat="1" ht="27.45" customHeight="1" x14ac:dyDescent="0.3">
      <c r="B59" s="48"/>
      <c r="C59" s="57"/>
      <c r="D59" s="54"/>
      <c r="E59" s="240"/>
      <c r="F59" s="240"/>
      <c r="G59" s="240"/>
      <c r="H59" s="50"/>
      <c r="J59" s="70"/>
      <c r="K59" s="70"/>
      <c r="L59" s="70"/>
    </row>
    <row r="60" spans="2:12" s="41" customFormat="1" ht="21" customHeight="1" x14ac:dyDescent="0.3">
      <c r="B60" s="48"/>
      <c r="C60" s="57"/>
      <c r="D60" s="54"/>
      <c r="E60" s="254" t="s">
        <v>117</v>
      </c>
      <c r="F60" s="240"/>
      <c r="G60" s="159"/>
      <c r="H60" s="50"/>
      <c r="J60" s="70"/>
      <c r="K60" s="70"/>
      <c r="L60" s="70"/>
    </row>
    <row r="61" spans="2:12" s="41" customFormat="1" ht="21" customHeight="1" x14ac:dyDescent="0.3">
      <c r="B61" s="58"/>
      <c r="C61" s="59"/>
      <c r="D61" s="60"/>
      <c r="E61" s="60"/>
      <c r="F61" s="61"/>
      <c r="G61" s="61"/>
      <c r="H61" s="62"/>
      <c r="J61" s="70"/>
      <c r="K61" s="70"/>
      <c r="L61" s="70"/>
    </row>
    <row r="62" spans="2:12" ht="9" customHeight="1" x14ac:dyDescent="0.3">
      <c r="C62" s="63"/>
      <c r="D62" s="63"/>
      <c r="E62" s="63"/>
      <c r="F62" s="63"/>
      <c r="G62" s="63"/>
      <c r="I62" s="63"/>
      <c r="J62" s="111"/>
      <c r="K62" s="71"/>
    </row>
    <row r="63" spans="2:12" ht="12" customHeight="1" x14ac:dyDescent="0.3">
      <c r="C63" s="63"/>
      <c r="D63" s="63"/>
      <c r="E63" s="63"/>
      <c r="F63" s="63"/>
      <c r="G63" s="63"/>
      <c r="H63" s="81" t="s">
        <v>119</v>
      </c>
      <c r="I63" s="63"/>
      <c r="J63" s="111"/>
      <c r="K63" s="71"/>
    </row>
    <row r="64" spans="2:12" ht="12" customHeight="1" x14ac:dyDescent="0.3">
      <c r="H64" s="81" t="s">
        <v>57</v>
      </c>
      <c r="J64" s="112" t="s">
        <v>11</v>
      </c>
    </row>
    <row r="65" spans="8:10" ht="12" customHeight="1" x14ac:dyDescent="0.3">
      <c r="H65" s="82" t="s">
        <v>26</v>
      </c>
      <c r="J65" s="113" t="s">
        <v>1</v>
      </c>
    </row>
    <row r="66" spans="8:10" ht="12" customHeight="1" x14ac:dyDescent="0.3">
      <c r="H66" s="82" t="s">
        <v>27</v>
      </c>
      <c r="J66" s="113" t="s">
        <v>25</v>
      </c>
    </row>
    <row r="67" spans="8:10" x14ac:dyDescent="0.3">
      <c r="H67" s="82" t="s">
        <v>146</v>
      </c>
      <c r="J67" s="113" t="s">
        <v>23</v>
      </c>
    </row>
    <row r="68" spans="8:10" x14ac:dyDescent="0.3">
      <c r="J68" s="113" t="s">
        <v>2</v>
      </c>
    </row>
    <row r="69" spans="8:10" x14ac:dyDescent="0.3">
      <c r="J69" s="113" t="s">
        <v>3</v>
      </c>
    </row>
    <row r="70" spans="8:10" x14ac:dyDescent="0.3">
      <c r="J70" s="113" t="s">
        <v>12</v>
      </c>
    </row>
    <row r="72" spans="8:10" x14ac:dyDescent="0.3">
      <c r="J72" s="112" t="s">
        <v>19</v>
      </c>
    </row>
    <row r="73" spans="8:10" x14ac:dyDescent="0.3">
      <c r="J73" s="117" t="s">
        <v>0</v>
      </c>
    </row>
    <row r="74" spans="8:10" x14ac:dyDescent="0.3">
      <c r="J74" s="117" t="s">
        <v>41</v>
      </c>
    </row>
    <row r="75" spans="8:10" x14ac:dyDescent="0.3">
      <c r="J75" s="117" t="s">
        <v>42</v>
      </c>
    </row>
    <row r="76" spans="8:10" x14ac:dyDescent="0.3">
      <c r="J76" s="117" t="s">
        <v>9</v>
      </c>
    </row>
    <row r="77" spans="8:10" x14ac:dyDescent="0.3">
      <c r="J77" s="117" t="s">
        <v>43</v>
      </c>
    </row>
    <row r="78" spans="8:10" x14ac:dyDescent="0.3">
      <c r="J78" s="117" t="s">
        <v>44</v>
      </c>
    </row>
    <row r="79" spans="8:10" x14ac:dyDescent="0.3">
      <c r="J79" s="117" t="s">
        <v>45</v>
      </c>
    </row>
    <row r="80" spans="8:10" x14ac:dyDescent="0.3">
      <c r="J80" s="117" t="s">
        <v>144</v>
      </c>
    </row>
    <row r="81" spans="10:12" x14ac:dyDescent="0.3">
      <c r="J81" s="117" t="s">
        <v>143</v>
      </c>
    </row>
    <row r="82" spans="10:12" x14ac:dyDescent="0.3">
      <c r="J82" s="117" t="s">
        <v>8</v>
      </c>
    </row>
    <row r="83" spans="10:12" x14ac:dyDescent="0.3">
      <c r="J83" s="117" t="s">
        <v>7</v>
      </c>
    </row>
    <row r="84" spans="10:12" x14ac:dyDescent="0.3">
      <c r="J84" s="117" t="s">
        <v>46</v>
      </c>
    </row>
    <row r="85" spans="10:12" x14ac:dyDescent="0.3">
      <c r="J85" s="117" t="s">
        <v>47</v>
      </c>
    </row>
    <row r="86" spans="10:12" x14ac:dyDescent="0.3">
      <c r="J86" s="117" t="s">
        <v>48</v>
      </c>
    </row>
    <row r="87" spans="10:12" x14ac:dyDescent="0.3">
      <c r="J87" s="117" t="s">
        <v>6</v>
      </c>
    </row>
    <row r="88" spans="10:12" x14ac:dyDescent="0.3">
      <c r="J88" s="117" t="s">
        <v>145</v>
      </c>
    </row>
    <row r="89" spans="10:12" x14ac:dyDescent="0.3">
      <c r="J89" s="117" t="s">
        <v>35</v>
      </c>
    </row>
    <row r="90" spans="10:12" x14ac:dyDescent="0.3">
      <c r="J90" s="117" t="s">
        <v>12</v>
      </c>
    </row>
    <row r="92" spans="10:12" x14ac:dyDescent="0.3">
      <c r="J92" s="110" t="s">
        <v>36</v>
      </c>
    </row>
    <row r="93" spans="10:12" x14ac:dyDescent="0.3">
      <c r="J93" s="117" t="s">
        <v>122</v>
      </c>
    </row>
    <row r="94" spans="10:12" x14ac:dyDescent="0.3">
      <c r="J94" s="117" t="s">
        <v>121</v>
      </c>
      <c r="K94" s="113" t="s">
        <v>20</v>
      </c>
      <c r="L94" s="69" t="s">
        <v>39</v>
      </c>
    </row>
    <row r="95" spans="10:12" x14ac:dyDescent="0.3">
      <c r="J95" s="117" t="s">
        <v>115</v>
      </c>
      <c r="K95" s="113"/>
    </row>
    <row r="96" spans="10:12" x14ac:dyDescent="0.3">
      <c r="J96" s="117" t="s">
        <v>84</v>
      </c>
      <c r="K96" s="113"/>
    </row>
    <row r="97" spans="10:10" x14ac:dyDescent="0.3">
      <c r="J97" s="42"/>
    </row>
    <row r="99" spans="10:10" x14ac:dyDescent="0.3">
      <c r="J99" s="160" t="s">
        <v>11</v>
      </c>
    </row>
    <row r="100" spans="10:10" x14ac:dyDescent="0.3">
      <c r="J100" s="161">
        <f>IF(OR(G11="cubic yards",G11="tons"),1,2)</f>
        <v>2</v>
      </c>
    </row>
    <row r="101" spans="10:10" x14ac:dyDescent="0.3">
      <c r="J101" s="69" t="s">
        <v>85</v>
      </c>
    </row>
    <row r="103" spans="10:10" x14ac:dyDescent="0.3">
      <c r="J103" s="110" t="s">
        <v>61</v>
      </c>
    </row>
    <row r="104" spans="10:10" x14ac:dyDescent="0.3">
      <c r="J104" s="117" t="s">
        <v>93</v>
      </c>
    </row>
    <row r="105" spans="10:10" x14ac:dyDescent="0.3">
      <c r="J105" s="117" t="s">
        <v>94</v>
      </c>
    </row>
    <row r="107" spans="10:10" x14ac:dyDescent="0.3">
      <c r="J107" s="69" t="s">
        <v>83</v>
      </c>
    </row>
    <row r="108" spans="10:10" x14ac:dyDescent="0.3">
      <c r="J108" s="117" t="s">
        <v>20</v>
      </c>
    </row>
    <row r="109" spans="10:10" x14ac:dyDescent="0.3">
      <c r="J109" s="117" t="s">
        <v>59</v>
      </c>
    </row>
    <row r="110" spans="10:10" x14ac:dyDescent="0.3">
      <c r="J110" s="117" t="s">
        <v>60</v>
      </c>
    </row>
    <row r="111" spans="10:10" x14ac:dyDescent="0.3">
      <c r="J111" s="117" t="s">
        <v>49</v>
      </c>
    </row>
    <row r="112" spans="10:10" x14ac:dyDescent="0.3">
      <c r="J112" s="117" t="s">
        <v>21</v>
      </c>
    </row>
    <row r="113" spans="10:10" x14ac:dyDescent="0.3">
      <c r="J113" s="117" t="s">
        <v>50</v>
      </c>
    </row>
    <row r="114" spans="10:10" x14ac:dyDescent="0.3">
      <c r="J114" s="117" t="s">
        <v>51</v>
      </c>
    </row>
    <row r="115" spans="10:10" x14ac:dyDescent="0.3">
      <c r="J115" s="117" t="s">
        <v>52</v>
      </c>
    </row>
    <row r="116" spans="10:10" x14ac:dyDescent="0.3">
      <c r="J116" s="117" t="s">
        <v>53</v>
      </c>
    </row>
    <row r="117" spans="10:10" x14ac:dyDescent="0.3">
      <c r="J117" s="117" t="s">
        <v>54</v>
      </c>
    </row>
    <row r="118" spans="10:10" x14ac:dyDescent="0.3">
      <c r="J118" s="117" t="s">
        <v>12</v>
      </c>
    </row>
    <row r="120" spans="10:10" x14ac:dyDescent="0.3">
      <c r="J120" s="110" t="s">
        <v>102</v>
      </c>
    </row>
    <row r="121" spans="10:10" x14ac:dyDescent="0.3">
      <c r="J121" s="117" t="s">
        <v>39</v>
      </c>
    </row>
    <row r="122" spans="10:10" x14ac:dyDescent="0.3">
      <c r="J122" s="117" t="s">
        <v>40</v>
      </c>
    </row>
    <row r="124" spans="10:10" x14ac:dyDescent="0.3">
      <c r="J124" s="110" t="s">
        <v>112</v>
      </c>
    </row>
    <row r="125" spans="10:10" x14ac:dyDescent="0.3">
      <c r="J125" s="117" t="s">
        <v>39</v>
      </c>
    </row>
    <row r="126" spans="10:10" x14ac:dyDescent="0.3">
      <c r="J126" s="117" t="s">
        <v>40</v>
      </c>
    </row>
  </sheetData>
  <sheetProtection algorithmName="SHA-512" hashValue="x8OzwjCguG5WhTat4GYlnoZwuc+bOLTtdH4ScU2V7TtrHIgFX0izLAkjo6lyboZx2VNYtIT/VExz5YCjE/sScA==" saltValue="EMVXqJG2sRDz5SeU4GeZ0A==" spinCount="100000" sheet="1" objects="1" scenarios="1"/>
  <mergeCells count="41">
    <mergeCell ref="E60:F60"/>
    <mergeCell ref="E57:G59"/>
    <mergeCell ref="J27:J28"/>
    <mergeCell ref="E34:E36"/>
    <mergeCell ref="E56:F56"/>
    <mergeCell ref="E54:F54"/>
    <mergeCell ref="E52:G52"/>
    <mergeCell ref="F36:G36"/>
    <mergeCell ref="E42:G42"/>
    <mergeCell ref="F31:G31"/>
    <mergeCell ref="F32:G32"/>
    <mergeCell ref="E38:G38"/>
    <mergeCell ref="F29:G29"/>
    <mergeCell ref="F30:G30"/>
    <mergeCell ref="F33:G33"/>
    <mergeCell ref="E31:E33"/>
    <mergeCell ref="E48:G48"/>
    <mergeCell ref="E49:G49"/>
    <mergeCell ref="E50:G50"/>
    <mergeCell ref="F34:G35"/>
    <mergeCell ref="E51:G51"/>
    <mergeCell ref="E39:G39"/>
    <mergeCell ref="E44:G44"/>
    <mergeCell ref="E45:G45"/>
    <mergeCell ref="E46:G46"/>
    <mergeCell ref="E47:G47"/>
    <mergeCell ref="E3:G3"/>
    <mergeCell ref="E6:G6"/>
    <mergeCell ref="E7:G7"/>
    <mergeCell ref="E12:G12"/>
    <mergeCell ref="E14:G14"/>
    <mergeCell ref="E15:G15"/>
    <mergeCell ref="E17:G17"/>
    <mergeCell ref="E16:F16"/>
    <mergeCell ref="F26:G26"/>
    <mergeCell ref="F28:G28"/>
    <mergeCell ref="F27:G27"/>
    <mergeCell ref="E26:E29"/>
    <mergeCell ref="E20:F20"/>
    <mergeCell ref="E21:G21"/>
    <mergeCell ref="E24:G24"/>
  </mergeCells>
  <conditionalFormatting sqref="E17:G17">
    <cfRule type="expression" dxfId="18" priority="1">
      <formula>$G$16="yes"</formula>
    </cfRule>
  </conditionalFormatting>
  <dataValidations count="2">
    <dataValidation type="list" allowBlank="1" showInputMessage="1" sqref="G11" xr:uid="{00000000-0002-0000-0000-000000000000}">
      <formula1>$J$65:$J$69</formula1>
    </dataValidation>
    <dataValidation type="list" allowBlank="1" showInputMessage="1" showErrorMessage="1" sqref="G16" xr:uid="{2A42B204-8596-408C-AA24-C629EC9523FE}">
      <formula1>$J$125:$J$126</formula1>
    </dataValidation>
  </dataValidations>
  <hyperlinks>
    <hyperlink ref="E8" r:id="rId1" location="calculator" xr:uid="{EE2CEB40-EAD6-4066-901C-4AAEC45F59B9}"/>
    <hyperlink ref="E60" r:id="rId2" xr:uid="{5A4D91A8-2CAA-4DDA-AA89-4FC423A75880}"/>
  </hyperlinks>
  <pageMargins left="0.7" right="0.7" top="0.75" bottom="0.75" header="0.3" footer="0.3"/>
  <pageSetup orientation="portrait" horizontalDpi="1200" verticalDpi="1200" r:id="rId3"/>
  <drawing r:id="rId4"/>
  <legacyDrawing r:id="rId5"/>
  <mc:AlternateContent xmlns:mc="http://schemas.openxmlformats.org/markup-compatibility/2006">
    <mc:Choice Requires="x14">
      <controls>
        <mc:AlternateContent xmlns:mc="http://schemas.openxmlformats.org/markup-compatibility/2006">
          <mc:Choice Requires="x14">
            <control shapeId="1031" r:id="rId6" name="Check Box 7">
              <controlPr defaultSize="0" autoFill="0" autoLine="0" autoPict="0">
                <anchor moveWithCells="1">
                  <from>
                    <xdr:col>5</xdr:col>
                    <xdr:colOff>2080260</xdr:colOff>
                    <xdr:row>53</xdr:row>
                    <xdr:rowOff>22860</xdr:rowOff>
                  </from>
                  <to>
                    <xdr:col>5</xdr:col>
                    <xdr:colOff>2324100</xdr:colOff>
                    <xdr:row>53</xdr:row>
                    <xdr:rowOff>243840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T54"/>
  <sheetViews>
    <sheetView showGridLines="0" topLeftCell="A14" zoomScale="90" zoomScaleNormal="90" zoomScalePageLayoutView="80" workbookViewId="0">
      <selection activeCell="H35" sqref="H35"/>
    </sheetView>
  </sheetViews>
  <sheetFormatPr defaultColWidth="8.77734375" defaultRowHeight="14.4" x14ac:dyDescent="0.3"/>
  <cols>
    <col min="1" max="1" width="3.6640625" style="40" customWidth="1"/>
    <col min="2" max="2" width="29.109375" style="7" customWidth="1"/>
    <col min="3" max="4" width="14.6640625" style="7" customWidth="1"/>
    <col min="5" max="5" width="33" style="116" bestFit="1" customWidth="1"/>
    <col min="6" max="6" width="10.77734375" style="7" customWidth="1"/>
    <col min="7" max="8" width="15.33203125" style="7" customWidth="1"/>
    <col min="9" max="9" width="11.109375" style="7" customWidth="1"/>
    <col min="10" max="10" width="13" style="7" customWidth="1"/>
    <col min="11" max="11" width="8.33203125" style="7" customWidth="1"/>
    <col min="12" max="12" width="10.44140625" style="7" customWidth="1"/>
    <col min="13" max="13" width="5.77734375" style="7" customWidth="1"/>
    <col min="14" max="14" width="44.109375" style="7" hidden="1" customWidth="1"/>
    <col min="15" max="15" width="19.6640625" style="7" customWidth="1"/>
    <col min="16" max="16384" width="8.77734375" style="7"/>
  </cols>
  <sheetData>
    <row r="1" spans="1:20" s="2" customFormat="1" ht="16.5" customHeight="1" x14ac:dyDescent="0.25">
      <c r="A1" s="4"/>
      <c r="B1" s="1"/>
      <c r="C1" s="1"/>
      <c r="D1" s="1"/>
      <c r="E1" s="115"/>
      <c r="F1" s="1"/>
      <c r="G1" s="1"/>
      <c r="H1" s="1"/>
      <c r="I1" s="1"/>
      <c r="J1" s="1"/>
      <c r="K1" s="1"/>
      <c r="L1" s="1"/>
      <c r="T1" s="3"/>
    </row>
    <row r="2" spans="1:20" s="2" customFormat="1" ht="21" customHeight="1" x14ac:dyDescent="0.25">
      <c r="A2" s="4"/>
      <c r="B2" s="65" t="s">
        <v>13</v>
      </c>
      <c r="C2" s="64"/>
      <c r="D2" s="64"/>
      <c r="E2" s="64"/>
      <c r="F2" s="64"/>
      <c r="G2" s="64"/>
      <c r="H2" s="64"/>
      <c r="I2" s="64"/>
      <c r="J2" s="64"/>
      <c r="K2" s="64"/>
      <c r="L2" s="64"/>
      <c r="M2" s="5"/>
      <c r="N2" s="5"/>
      <c r="O2" s="5"/>
      <c r="P2" s="5"/>
      <c r="Q2" s="5"/>
      <c r="R2" s="5"/>
      <c r="S2" s="5"/>
      <c r="T2" s="6"/>
    </row>
    <row r="3" spans="1:20" s="2" customFormat="1" ht="15" customHeight="1" x14ac:dyDescent="0.25">
      <c r="A3" s="4"/>
      <c r="B3" s="1"/>
      <c r="C3" s="1"/>
      <c r="D3" s="1"/>
      <c r="E3" s="115"/>
      <c r="F3" s="1"/>
      <c r="G3" s="1"/>
      <c r="H3" s="1"/>
      <c r="I3" s="1"/>
      <c r="J3" s="1"/>
      <c r="K3" s="1"/>
      <c r="L3" s="1"/>
      <c r="N3" s="3"/>
    </row>
    <row r="4" spans="1:20" s="2" customFormat="1" ht="15" customHeight="1" x14ac:dyDescent="0.25">
      <c r="A4" s="142"/>
      <c r="B4" s="144"/>
      <c r="E4" s="143"/>
      <c r="K4" s="269" t="s">
        <v>103</v>
      </c>
      <c r="L4" s="269"/>
      <c r="N4" s="3"/>
    </row>
    <row r="5" spans="1:20" s="2" customFormat="1" ht="13.2" x14ac:dyDescent="0.25">
      <c r="A5" s="142"/>
      <c r="B5" s="190" t="str">
        <f>CONCATENATE("Project gross floor area ",IF(Instructions!J100=1,"(ft2):","(m2):"))</f>
        <v>Project gross floor area (m2):</v>
      </c>
      <c r="C5" s="233">
        <f>Instructions!G20</f>
        <v>0</v>
      </c>
      <c r="E5" s="143"/>
      <c r="K5" s="270" t="s">
        <v>106</v>
      </c>
      <c r="L5" s="270"/>
      <c r="N5" s="3"/>
    </row>
    <row r="6" spans="1:20" ht="13.8" customHeight="1" x14ac:dyDescent="0.3">
      <c r="B6" s="145"/>
      <c r="C6" s="8"/>
      <c r="D6" s="8"/>
      <c r="F6" s="8"/>
      <c r="G6" s="2"/>
      <c r="H6" s="2"/>
      <c r="I6" s="2"/>
      <c r="J6" s="8"/>
      <c r="K6" s="271" t="s">
        <v>104</v>
      </c>
      <c r="L6" s="271"/>
    </row>
    <row r="7" spans="1:20" x14ac:dyDescent="0.3">
      <c r="A7" s="118"/>
      <c r="B7" s="263"/>
      <c r="C7" s="263"/>
      <c r="D7" s="263"/>
      <c r="E7" s="263"/>
      <c r="F7" s="2"/>
      <c r="G7" s="2"/>
      <c r="H7" s="2"/>
      <c r="I7" s="2"/>
      <c r="J7" s="120"/>
      <c r="K7" s="272" t="s">
        <v>105</v>
      </c>
      <c r="L7" s="272"/>
    </row>
    <row r="8" spans="1:20" ht="25.8" customHeight="1" x14ac:dyDescent="0.3">
      <c r="A8" s="118"/>
      <c r="B8" s="172"/>
      <c r="C8" s="172"/>
      <c r="D8" s="172"/>
      <c r="E8" s="172"/>
      <c r="F8" s="120"/>
      <c r="G8" s="264" t="s">
        <v>37</v>
      </c>
      <c r="H8" s="265"/>
      <c r="I8" s="266"/>
      <c r="J8" s="120"/>
      <c r="K8" s="181"/>
      <c r="L8" s="181"/>
    </row>
    <row r="9" spans="1:20" ht="120" customHeight="1" x14ac:dyDescent="0.3">
      <c r="A9" s="118"/>
      <c r="B9" s="191" t="s">
        <v>22</v>
      </c>
      <c r="C9" s="192" t="s">
        <v>18</v>
      </c>
      <c r="D9" s="192" t="s">
        <v>92</v>
      </c>
      <c r="E9" s="192" t="s">
        <v>66</v>
      </c>
      <c r="F9" s="192" t="str">
        <f>CONCATENATE("Total Waste Generated (Diverted &amp; Not Diverted)
","("&amp;Instructions!$G$11&amp;")")</f>
        <v>Total Waste Generated (Diverted &amp; Not Diverted)
()</v>
      </c>
      <c r="G9" s="224" t="s">
        <v>129</v>
      </c>
      <c r="H9" s="193" t="s">
        <v>128</v>
      </c>
      <c r="I9" s="194" t="s">
        <v>38</v>
      </c>
      <c r="J9" s="194" t="str">
        <f>CONCATENATE("Total Waste Diverted
","("&amp;Instructions!$G$11&amp;")")</f>
        <v>Total Waste Diverted
()</v>
      </c>
      <c r="K9" s="194" t="s">
        <v>24</v>
      </c>
      <c r="L9" s="195" t="str">
        <f>CONCATENATE("Total Waste Not Diverted
","("&amp;Instructions!$G$11&amp;")")</f>
        <v>Total Waste Not Diverted
()</v>
      </c>
      <c r="N9" s="146"/>
    </row>
    <row r="10" spans="1:20" ht="22.8" customHeight="1" x14ac:dyDescent="0.3">
      <c r="A10" s="40">
        <f>IF(F10&gt;=0,0,0)</f>
        <v>0</v>
      </c>
      <c r="B10" s="196"/>
      <c r="C10" s="166"/>
      <c r="D10" s="166"/>
      <c r="E10" s="166"/>
      <c r="F10" s="216"/>
      <c r="G10" s="123"/>
      <c r="H10" s="124"/>
      <c r="I10" s="125"/>
      <c r="J10" s="232">
        <f>IF(OR($E10=Instructions!$J$96,$E10=""),0,IF($E10=Instructions!$J$94, ($H10*$F10),$F10))</f>
        <v>0</v>
      </c>
      <c r="K10" s="127">
        <f>IFERROR(J10/F10,0)</f>
        <v>0</v>
      </c>
      <c r="L10" s="219">
        <f>F10-J10</f>
        <v>0</v>
      </c>
      <c r="N10" s="234"/>
    </row>
    <row r="11" spans="1:20" ht="22.8" customHeight="1" x14ac:dyDescent="0.3">
      <c r="B11" s="196"/>
      <c r="C11" s="166"/>
      <c r="D11" s="166"/>
      <c r="E11" s="166"/>
      <c r="F11" s="216"/>
      <c r="G11" s="123"/>
      <c r="H11" s="124"/>
      <c r="I11" s="125"/>
      <c r="J11" s="232">
        <f>IF(OR($E11=Instructions!$J$96,$E11=""),0,IF($E11=Instructions!$J$94, ($H11*$F11),$F11))</f>
        <v>0</v>
      </c>
      <c r="K11" s="127">
        <f>IFERROR(J11/F11,0)</f>
        <v>0</v>
      </c>
      <c r="L11" s="219">
        <f>F11-J11</f>
        <v>0</v>
      </c>
      <c r="N11" s="234"/>
    </row>
    <row r="12" spans="1:20" ht="15" customHeight="1" x14ac:dyDescent="0.3">
      <c r="A12" s="40">
        <f t="shared" ref="A12:A16" si="0">IF(F12&gt;=0,0,0)</f>
        <v>0</v>
      </c>
      <c r="B12" s="197"/>
      <c r="C12" s="168"/>
      <c r="D12" s="166"/>
      <c r="E12" s="168"/>
      <c r="F12" s="217"/>
      <c r="G12" s="123"/>
      <c r="H12" s="124"/>
      <c r="I12" s="125"/>
      <c r="J12" s="232">
        <f>IF(OR($E12=Instructions!$J$96,$E12=""),0,IF($E12=Instructions!$J$94, ($H12*$F12),$F12))</f>
        <v>0</v>
      </c>
      <c r="K12" s="127">
        <f t="shared" ref="K12:K21" si="1">IFERROR(J12/F12,0)</f>
        <v>0</v>
      </c>
      <c r="L12" s="219">
        <f t="shared" ref="L12:L21" si="2">F12-J12</f>
        <v>0</v>
      </c>
      <c r="N12" s="234"/>
    </row>
    <row r="13" spans="1:20" ht="40.799999999999997" customHeight="1" x14ac:dyDescent="0.3">
      <c r="A13" s="40">
        <f t="shared" si="0"/>
        <v>0</v>
      </c>
      <c r="B13" s="197"/>
      <c r="C13" s="168"/>
      <c r="D13" s="166"/>
      <c r="E13" s="168"/>
      <c r="F13" s="217"/>
      <c r="G13" s="123"/>
      <c r="H13" s="124"/>
      <c r="I13" s="125"/>
      <c r="J13" s="232">
        <f>IF(OR($E13=Instructions!$J$96,$E13=""),0,IF($E13=Instructions!$J$94, ($H13*$F13),$F13))</f>
        <v>0</v>
      </c>
      <c r="K13" s="127">
        <f t="shared" si="1"/>
        <v>0</v>
      </c>
      <c r="L13" s="219">
        <f t="shared" si="2"/>
        <v>0</v>
      </c>
      <c r="N13" s="234"/>
    </row>
    <row r="14" spans="1:20" ht="48.45" customHeight="1" x14ac:dyDescent="0.3">
      <c r="A14" s="40">
        <f t="shared" si="0"/>
        <v>0</v>
      </c>
      <c r="B14" s="197"/>
      <c r="C14" s="168"/>
      <c r="D14" s="166"/>
      <c r="E14" s="168"/>
      <c r="F14" s="217"/>
      <c r="G14" s="123"/>
      <c r="H14" s="124"/>
      <c r="I14" s="125"/>
      <c r="J14" s="232">
        <f>IF(OR($E14=Instructions!$J$96,$E14=""),0,IF($E14=Instructions!$J$94, ($H14*$F14),$F14))</f>
        <v>0</v>
      </c>
      <c r="K14" s="127">
        <f t="shared" si="1"/>
        <v>0</v>
      </c>
      <c r="L14" s="219">
        <f t="shared" si="2"/>
        <v>0</v>
      </c>
      <c r="N14" s="234"/>
    </row>
    <row r="15" spans="1:20" ht="15" customHeight="1" x14ac:dyDescent="0.3">
      <c r="A15" s="40">
        <f t="shared" si="0"/>
        <v>0</v>
      </c>
      <c r="B15" s="197"/>
      <c r="C15" s="168"/>
      <c r="D15" s="166"/>
      <c r="E15" s="168"/>
      <c r="F15" s="217"/>
      <c r="G15" s="123"/>
      <c r="H15" s="124"/>
      <c r="I15" s="125"/>
      <c r="J15" s="232">
        <f>IF(OR($E15=Instructions!$J$96,$E15=""),0,IF($E15=Instructions!$J$94, ($H15*$F15),$F15))</f>
        <v>0</v>
      </c>
      <c r="K15" s="127">
        <f t="shared" si="1"/>
        <v>0</v>
      </c>
      <c r="L15" s="219">
        <f t="shared" si="2"/>
        <v>0</v>
      </c>
      <c r="N15" s="234"/>
    </row>
    <row r="16" spans="1:20" ht="15" customHeight="1" x14ac:dyDescent="0.3">
      <c r="A16" s="40">
        <f t="shared" si="0"/>
        <v>0</v>
      </c>
      <c r="B16" s="197"/>
      <c r="C16" s="168"/>
      <c r="D16" s="166"/>
      <c r="E16" s="168"/>
      <c r="F16" s="217"/>
      <c r="G16" s="123"/>
      <c r="H16" s="124"/>
      <c r="I16" s="125"/>
      <c r="J16" s="232">
        <f>IF(OR($E16=Instructions!$J$96,$E16=""),0,IF($E16=Instructions!$J$94, ($H16*$F16),$F16))</f>
        <v>0</v>
      </c>
      <c r="K16" s="127">
        <f t="shared" si="1"/>
        <v>0</v>
      </c>
      <c r="L16" s="219">
        <f t="shared" si="2"/>
        <v>0</v>
      </c>
      <c r="N16" s="234"/>
    </row>
    <row r="17" spans="1:14" ht="39" customHeight="1" x14ac:dyDescent="0.3">
      <c r="A17" s="40">
        <f t="shared" ref="A17" si="3">IF(F17&gt;=0,0,0)</f>
        <v>0</v>
      </c>
      <c r="B17" s="197"/>
      <c r="C17" s="168"/>
      <c r="D17" s="166"/>
      <c r="E17" s="168"/>
      <c r="F17" s="217"/>
      <c r="G17" s="123"/>
      <c r="H17" s="124"/>
      <c r="I17" s="125"/>
      <c r="J17" s="232">
        <f>IF(OR($E17=Instructions!$J$96,$E17=""),0,IF($E17=Instructions!$J$94, ($H17*$F17),$F17))</f>
        <v>0</v>
      </c>
      <c r="K17" s="127">
        <f t="shared" ref="K17" si="4">IFERROR(J17/F17,0)</f>
        <v>0</v>
      </c>
      <c r="L17" s="219">
        <f t="shared" ref="L17" si="5">F17-J17</f>
        <v>0</v>
      </c>
      <c r="N17" s="234"/>
    </row>
    <row r="18" spans="1:14" ht="15" customHeight="1" x14ac:dyDescent="0.3">
      <c r="A18" s="40">
        <f t="shared" ref="A18:A19" si="6">IF(F18&gt;=0,0,0)</f>
        <v>0</v>
      </c>
      <c r="B18" s="197"/>
      <c r="C18" s="168"/>
      <c r="D18" s="166"/>
      <c r="E18" s="168"/>
      <c r="F18" s="217"/>
      <c r="G18" s="123"/>
      <c r="H18" s="124"/>
      <c r="I18" s="125"/>
      <c r="J18" s="232">
        <f>IF(OR($E18=Instructions!$J$96,$E18=""),0,IF($E18=Instructions!$J$94, ($H18*$F18),$F18))</f>
        <v>0</v>
      </c>
      <c r="K18" s="127">
        <f t="shared" ref="K18:K19" si="7">IFERROR(J18/F18,0)</f>
        <v>0</v>
      </c>
      <c r="L18" s="219">
        <f t="shared" ref="L18:L19" si="8">F18-J18</f>
        <v>0</v>
      </c>
      <c r="N18" s="234"/>
    </row>
    <row r="19" spans="1:14" ht="15" customHeight="1" x14ac:dyDescent="0.3">
      <c r="A19" s="40">
        <f t="shared" si="6"/>
        <v>0</v>
      </c>
      <c r="B19" s="197"/>
      <c r="C19" s="168"/>
      <c r="D19" s="166"/>
      <c r="E19" s="168"/>
      <c r="F19" s="217"/>
      <c r="G19" s="123"/>
      <c r="H19" s="124"/>
      <c r="I19" s="125"/>
      <c r="J19" s="232">
        <f>IF(OR($E19=Instructions!$J$96,$E19=""),0,IF($E19=Instructions!$J$94, ($H19*$F19),$F19))</f>
        <v>0</v>
      </c>
      <c r="K19" s="127">
        <f t="shared" si="7"/>
        <v>0</v>
      </c>
      <c r="L19" s="219">
        <f t="shared" si="8"/>
        <v>0</v>
      </c>
      <c r="N19" s="234"/>
    </row>
    <row r="20" spans="1:14" ht="15" customHeight="1" x14ac:dyDescent="0.3">
      <c r="B20" s="197"/>
      <c r="C20" s="168"/>
      <c r="D20" s="166"/>
      <c r="E20" s="168"/>
      <c r="F20" s="217"/>
      <c r="G20" s="123"/>
      <c r="H20" s="124"/>
      <c r="I20" s="125"/>
      <c r="J20" s="232">
        <f>IF(OR($E20=Instructions!$J$96,$E20=""),0,IF($E20=Instructions!$J$94, ($H20*$F20),$F20))</f>
        <v>0</v>
      </c>
      <c r="K20" s="127">
        <f t="shared" si="1"/>
        <v>0</v>
      </c>
      <c r="L20" s="219">
        <f t="shared" si="2"/>
        <v>0</v>
      </c>
      <c r="N20" s="234"/>
    </row>
    <row r="21" spans="1:14" ht="15" customHeight="1" x14ac:dyDescent="0.3">
      <c r="B21" s="198"/>
      <c r="C21" s="170"/>
      <c r="D21" s="170"/>
      <c r="E21" s="170"/>
      <c r="F21" s="218"/>
      <c r="G21" s="123"/>
      <c r="H21" s="124"/>
      <c r="I21" s="125"/>
      <c r="J21" s="232">
        <f>IF(OR($E21=Instructions!$J$96,$E21=""),0,IF($E21=Instructions!$J$94, ($H21*$F21),$F21))</f>
        <v>0</v>
      </c>
      <c r="K21" s="127">
        <f t="shared" si="1"/>
        <v>0</v>
      </c>
      <c r="L21" s="219">
        <f t="shared" si="2"/>
        <v>0</v>
      </c>
      <c r="N21" s="234"/>
    </row>
    <row r="22" spans="1:14" ht="21" customHeight="1" x14ac:dyDescent="0.3">
      <c r="A22" s="40" t="s">
        <v>16</v>
      </c>
      <c r="B22" s="199" t="str">
        <f>"Option 1: Total waste not diverted, Demolition &amp; Construction ("&amp;Instructions!G11&amp;")"</f>
        <v>Option 1: Total waste not diverted, Demolition &amp; Construction ()</v>
      </c>
      <c r="C22" s="129"/>
      <c r="D22" s="129"/>
      <c r="E22" s="169"/>
      <c r="F22" s="130"/>
      <c r="G22" s="130"/>
      <c r="H22" s="130"/>
      <c r="I22" s="130"/>
      <c r="J22" s="130"/>
      <c r="K22" s="131"/>
      <c r="L22" s="220">
        <f>SUM(L10:L21)</f>
        <v>0</v>
      </c>
    </row>
    <row r="23" spans="1:14" ht="21" customHeight="1" x14ac:dyDescent="0.3">
      <c r="B23" s="200" t="str">
        <f>"Option 1: Total waste diverted, Demolition &amp; Construction ("&amp;Instructions!G11&amp;")"</f>
        <v>Option 1: Total waste diverted, Demolition &amp; Construction ()</v>
      </c>
      <c r="C23" s="139"/>
      <c r="D23" s="139"/>
      <c r="E23" s="140"/>
      <c r="F23" s="139"/>
      <c r="G23" s="139"/>
      <c r="H23" s="139"/>
      <c r="I23" s="139"/>
      <c r="J23" s="139"/>
      <c r="K23" s="141"/>
      <c r="L23" s="222">
        <f>SUM(J10:J21)</f>
        <v>0</v>
      </c>
    </row>
    <row r="24" spans="1:14" ht="21" customHeight="1" x14ac:dyDescent="0.3">
      <c r="B24" s="200" t="str">
        <f>"Option 1: Total waste generated (diverted &amp; not diverted), Demolition &amp; Construction ("&amp;Instructions!G11&amp;")"</f>
        <v>Option 1: Total waste generated (diverted &amp; not diverted), Demolition &amp; Construction ()</v>
      </c>
      <c r="C24" s="129"/>
      <c r="D24" s="129"/>
      <c r="E24" s="169"/>
      <c r="F24" s="129"/>
      <c r="G24" s="129"/>
      <c r="H24" s="129"/>
      <c r="I24" s="129"/>
      <c r="J24" s="129"/>
      <c r="K24" s="171"/>
      <c r="L24" s="221">
        <f>SUM(F10:F21)</f>
        <v>0</v>
      </c>
    </row>
    <row r="25" spans="1:14" ht="21" customHeight="1" x14ac:dyDescent="0.3">
      <c r="B25" s="199" t="str">
        <f>"Option 2: Total waste not diverted, Demolition only ("&amp;Instructions!G11&amp;")"</f>
        <v>Option 2: Total waste not diverted, Demolition only ()</v>
      </c>
      <c r="C25" s="129"/>
      <c r="D25" s="129"/>
      <c r="E25" s="169"/>
      <c r="F25" s="129"/>
      <c r="G25" s="129"/>
      <c r="H25" s="129"/>
      <c r="I25" s="129"/>
      <c r="J25" s="129"/>
      <c r="K25" s="171"/>
      <c r="L25" s="221">
        <f>SUMIF($D$10:$D$21, "Demolition", L10:L21)</f>
        <v>0</v>
      </c>
    </row>
    <row r="26" spans="1:14" ht="21" customHeight="1" x14ac:dyDescent="0.3">
      <c r="B26" s="200" t="str">
        <f>"Option 2: Total waste diverted, Demolition only ("&amp;Instructions!G11&amp;")"</f>
        <v>Option 2: Total waste diverted, Demolition only ()</v>
      </c>
      <c r="C26" s="139"/>
      <c r="D26" s="139"/>
      <c r="E26" s="140"/>
      <c r="F26" s="139"/>
      <c r="G26" s="139"/>
      <c r="H26" s="139"/>
      <c r="I26" s="139"/>
      <c r="J26" s="139"/>
      <c r="K26" s="141"/>
      <c r="L26" s="221">
        <f>SUMIF($D$10:$D$21, "Demolition", J10:J21)</f>
        <v>0</v>
      </c>
    </row>
    <row r="27" spans="1:14" ht="21" customHeight="1" x14ac:dyDescent="0.3">
      <c r="B27" s="200" t="str">
        <f>"Option 2: Total waste generated (diverted &amp; not diverted), Demolition only ("&amp;Instructions!G11&amp;")"</f>
        <v>Option 2: Total waste generated (diverted &amp; not diverted), Demolition only ()</v>
      </c>
      <c r="C27" s="200"/>
      <c r="D27" s="227"/>
      <c r="E27" s="227"/>
      <c r="F27" s="227"/>
      <c r="G27" s="227"/>
      <c r="H27" s="227"/>
      <c r="I27" s="227"/>
      <c r="J27" s="227"/>
      <c r="K27" s="228"/>
      <c r="L27" s="221">
        <f>L25+L26</f>
        <v>0</v>
      </c>
    </row>
    <row r="28" spans="1:14" ht="21" customHeight="1" x14ac:dyDescent="0.3">
      <c r="B28" s="201" t="str">
        <f>"Option 2: Total waste generated (diverted &amp; not diverted)*, Construction only ("&amp;Instructions!G11&amp;")"</f>
        <v>Option 2: Total waste generated (diverted &amp; not diverted)*, Construction only ()</v>
      </c>
      <c r="C28" s="134"/>
      <c r="D28" s="134"/>
      <c r="E28" s="133"/>
      <c r="F28" s="134"/>
      <c r="G28" s="134"/>
      <c r="H28" s="134"/>
      <c r="I28" s="134"/>
      <c r="J28" s="134"/>
      <c r="K28" s="135"/>
      <c r="L28" s="221">
        <f>(SUMIFS(F10:F21,D10:D21,"Construction",E10:E21,Instructions!J93))+(SUMIFS(F10:F21,D10:D21,"Construction",E10:E21,Instructions!J94)+SUMIFS(F10:F21,D10:D21,"Construction",E10:E21,Instructions!J96))</f>
        <v>0</v>
      </c>
    </row>
    <row r="29" spans="1:14" ht="21" hidden="1" customHeight="1" x14ac:dyDescent="0.3">
      <c r="B29" s="199" t="str">
        <f>"Total waste generated, Construction only ("&amp;Instructions!G11&amp;")"</f>
        <v>Total waste generated, Construction only ()</v>
      </c>
      <c r="C29" s="129"/>
      <c r="D29" s="129"/>
      <c r="E29" s="169"/>
      <c r="F29" s="129"/>
      <c r="G29" s="129"/>
      <c r="H29" s="129"/>
      <c r="I29" s="129"/>
      <c r="J29" s="129"/>
      <c r="K29" s="171"/>
      <c r="L29" s="221">
        <f>SUMIF(D10:D21, "Construction", L10:L21)</f>
        <v>0</v>
      </c>
    </row>
    <row r="30" spans="1:14" ht="21" hidden="1" customHeight="1" x14ac:dyDescent="0.3">
      <c r="B30" s="200" t="str">
        <f>"Total diverted materials, Construction only ("&amp;Instructions!G11&amp;")"</f>
        <v>Total diverted materials, Construction only ()</v>
      </c>
      <c r="C30" s="139"/>
      <c r="D30" s="139"/>
      <c r="E30" s="140"/>
      <c r="F30" s="139"/>
      <c r="G30" s="139"/>
      <c r="H30" s="139"/>
      <c r="I30" s="139"/>
      <c r="J30" s="139"/>
      <c r="K30" s="141"/>
      <c r="L30" s="221">
        <f>SUMIF($D$10:$D$21, "Construction", J10:J21)</f>
        <v>0</v>
      </c>
    </row>
    <row r="31" spans="1:14" ht="21" hidden="1" customHeight="1" x14ac:dyDescent="0.3">
      <c r="B31" s="267" t="s">
        <v>31</v>
      </c>
      <c r="C31" s="132" t="s">
        <v>58</v>
      </c>
      <c r="D31" s="132"/>
      <c r="E31" s="133"/>
      <c r="F31" s="134"/>
      <c r="G31" s="134"/>
      <c r="H31" s="134"/>
      <c r="I31" s="134"/>
      <c r="J31" s="134"/>
      <c r="K31" s="135"/>
      <c r="L31" s="202">
        <f>COUNTA(E10:E21)-IF(COUNTIF(E10:E21,"Recycled - mixed processing (Commingled) - recycled")&gt;0,(COUNTIF(E10:E21,"Recycled - mixed processing (Commingled) - recycled"))-1,0)-IF(COUNTIF(E10:E21,"Landfill waste")&gt;0,COUNTIF(E10:E21,"Landfill waste"),0)-(COUNTIF(E10:E21,"Landfill / trash / waste"))-(COUNTIF(E10:E21,"Incineration / waste-to-energy"))</f>
        <v>0</v>
      </c>
    </row>
    <row r="32" spans="1:14" ht="21" hidden="1" customHeight="1" x14ac:dyDescent="0.3">
      <c r="B32" s="268"/>
      <c r="C32" s="136" t="s">
        <v>55</v>
      </c>
      <c r="D32" s="136"/>
      <c r="E32" s="137"/>
      <c r="F32" s="138"/>
      <c r="G32" s="138"/>
      <c r="H32" s="134"/>
      <c r="I32" s="134"/>
      <c r="J32" s="134"/>
      <c r="K32" s="135"/>
      <c r="L32" s="202" t="str">
        <f>IF(COUNTIF(I10:I21,"yes"),"1","0")</f>
        <v>0</v>
      </c>
    </row>
    <row r="33" spans="2:14" ht="21" customHeight="1" x14ac:dyDescent="0.3">
      <c r="B33" s="203" t="s">
        <v>28</v>
      </c>
      <c r="C33" s="204" t="str">
        <f>"Total diverted asphalt, brick (masonry), and concrete (ABC) waste ("&amp;Instructions!G11&amp;")"</f>
        <v>Total diverted asphalt, brick (masonry), and concrete (ABC) waste ()</v>
      </c>
      <c r="D33" s="205"/>
      <c r="E33" s="206"/>
      <c r="F33" s="207"/>
      <c r="G33" s="207"/>
      <c r="H33" s="207"/>
      <c r="I33" s="207"/>
      <c r="J33" s="207"/>
      <c r="K33" s="208"/>
      <c r="L33" s="209">
        <f>SUM(SUMIF(C10:C21,"=Concrete",J10:J21),SUMIF(C10:C21,"=Asphalt",J10:J21),SUMIF(C10:C21,"=Masonry",J10:J21))</f>
        <v>0</v>
      </c>
    </row>
    <row r="34" spans="2:14" ht="21" customHeight="1" x14ac:dyDescent="0.3">
      <c r="B34" s="229" t="s">
        <v>125</v>
      </c>
      <c r="C34" s="149"/>
      <c r="D34" s="149"/>
      <c r="E34" s="150"/>
      <c r="F34" s="151"/>
      <c r="G34" s="151"/>
      <c r="H34" s="151"/>
      <c r="I34" s="151"/>
      <c r="J34" s="151"/>
      <c r="K34" s="151"/>
      <c r="L34" s="152"/>
    </row>
    <row r="35" spans="2:14" x14ac:dyDescent="0.3">
      <c r="B35" s="40" t="s">
        <v>16</v>
      </c>
      <c r="C35" s="119"/>
      <c r="D35" s="119"/>
      <c r="F35" s="119"/>
      <c r="J35" s="119"/>
      <c r="K35" s="119"/>
    </row>
    <row r="36" spans="2:14" x14ac:dyDescent="0.3">
      <c r="B36" s="9"/>
      <c r="C36" s="10"/>
      <c r="D36" s="10"/>
      <c r="F36" s="10"/>
      <c r="J36" s="10"/>
      <c r="K36" s="10"/>
    </row>
    <row r="37" spans="2:14" x14ac:dyDescent="0.3">
      <c r="B37" s="9"/>
      <c r="C37" s="10"/>
      <c r="D37" s="10"/>
      <c r="F37" s="10"/>
      <c r="J37" s="10"/>
      <c r="K37" s="10"/>
    </row>
    <row r="40" spans="2:14" x14ac:dyDescent="0.3">
      <c r="B40" s="11"/>
      <c r="C40" s="11"/>
      <c r="D40" s="11"/>
      <c r="F40" s="11"/>
      <c r="J40" s="11"/>
      <c r="K40" s="11"/>
      <c r="L40" s="11"/>
    </row>
    <row r="41" spans="2:14" x14ac:dyDescent="0.3">
      <c r="N41" s="7" t="s">
        <v>86</v>
      </c>
    </row>
    <row r="42" spans="2:14" x14ac:dyDescent="0.3">
      <c r="N42" s="7">
        <f>IF(Instructions!G11="tons",L28*2000,IF(Instructions!G11="tonnes",L28*1000,IF(Instructions!G11="kilograms",L28,0)))</f>
        <v>0</v>
      </c>
    </row>
    <row r="43" spans="2:14" x14ac:dyDescent="0.3">
      <c r="N43" s="7" t="s">
        <v>87</v>
      </c>
    </row>
    <row r="45" spans="2:14" ht="58.2" customHeight="1" x14ac:dyDescent="0.3"/>
    <row r="53" ht="27" customHeight="1" x14ac:dyDescent="0.3"/>
    <row r="54" ht="21" customHeight="1" x14ac:dyDescent="0.3"/>
  </sheetData>
  <sheetProtection algorithmName="SHA-512" hashValue="0wFAmGXVKkExN1XGbYzV1n19ZWLjppSxsnv8kHshq+IXZrxxyVbRe58GMK9nm2d3uVS9tptTfC3jgt6L7VqR1A==" saltValue="yZIjBqgy4n6P8Oxb0lhVJw==" spinCount="100000" sheet="1" objects="1" scenarios="1" formatColumns="0" formatRows="0"/>
  <mergeCells count="7">
    <mergeCell ref="B7:E7"/>
    <mergeCell ref="G8:I8"/>
    <mergeCell ref="B31:B32"/>
    <mergeCell ref="K4:L4"/>
    <mergeCell ref="K5:L5"/>
    <mergeCell ref="K6:L6"/>
    <mergeCell ref="K7:L7"/>
  </mergeCells>
  <conditionalFormatting sqref="J10:J21">
    <cfRule type="expression" dxfId="17" priority="7">
      <formula>IF(E10="Landfill waste",TRUE,FALSE)</formula>
    </cfRule>
  </conditionalFormatting>
  <conditionalFormatting sqref="I10:I21">
    <cfRule type="colorScale" priority="34">
      <colorScale>
        <cfvo type="min"/>
        <cfvo type="max"/>
        <color rgb="FFFF7128"/>
        <color rgb="FFFFEF9C"/>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locked="0" defaultSize="0" print="0" autoFill="0" autoPict="0" macro="[0]!addA">
                <anchor moveWithCells="1">
                  <from>
                    <xdr:col>1</xdr:col>
                    <xdr:colOff>22860</xdr:colOff>
                    <xdr:row>35</xdr:row>
                    <xdr:rowOff>53340</xdr:rowOff>
                  </from>
                  <to>
                    <xdr:col>1</xdr:col>
                    <xdr:colOff>1394460</xdr:colOff>
                    <xdr:row>36</xdr:row>
                    <xdr:rowOff>129540</xdr:rowOff>
                  </to>
                </anchor>
              </controlPr>
            </control>
          </mc:Choice>
        </mc:AlternateContent>
        <mc:AlternateContent xmlns:mc="http://schemas.openxmlformats.org/markup-compatibility/2006">
          <mc:Choice Requires="x14">
            <control shapeId="15365" r:id="rId5" name="Button 5">
              <controlPr defaultSize="0" print="0" autoFill="0" autoPict="0" macro="[0]!DeleteRow">
                <anchor moveWithCells="1">
                  <from>
                    <xdr:col>1</xdr:col>
                    <xdr:colOff>1539240</xdr:colOff>
                    <xdr:row>35</xdr:row>
                    <xdr:rowOff>60960</xdr:rowOff>
                  </from>
                  <to>
                    <xdr:col>2</xdr:col>
                    <xdr:colOff>967740</xdr:colOff>
                    <xdr:row>36</xdr:row>
                    <xdr:rowOff>137160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0000000-000E-0000-0100-000004000000}">
            <xm:f>AND(E10&lt;&gt;Instructions!$J$94, E10&lt;&gt;"")</xm:f>
            <x14:dxf>
              <fill>
                <patternFill>
                  <bgColor theme="0"/>
                </patternFill>
              </fill>
            </x14:dxf>
          </x14:cfRule>
          <xm:sqref>I10:I21</xm:sqref>
        </x14:conditionalFormatting>
        <x14:conditionalFormatting xmlns:xm="http://schemas.microsoft.com/office/excel/2006/main">
          <x14:cfRule type="expression" priority="3" id="{00000000-000E-0000-0100-000003000000}">
            <xm:f>AND(E10&lt;&gt;Instructions!$J$94, E10&lt;&gt;"")</xm:f>
            <x14:dxf>
              <fill>
                <patternFill>
                  <bgColor theme="0"/>
                </patternFill>
              </fill>
            </x14:dxf>
          </x14:cfRule>
          <xm:sqref>G10:G21</xm:sqref>
        </x14:conditionalFormatting>
        <x14:conditionalFormatting xmlns:xm="http://schemas.microsoft.com/office/excel/2006/main">
          <x14:cfRule type="expression" priority="1" id="{00000000-000E-0000-0100-000001000000}">
            <xm:f>AND(E10=Instructions!$J$94, H10&gt;=1)</xm:f>
            <x14:dxf>
              <fill>
                <patternFill>
                  <bgColor rgb="FFFF0000"/>
                </patternFill>
              </fill>
            </x14:dxf>
          </x14:cfRule>
          <x14:cfRule type="expression" priority="2" id="{00000000-000E-0000-0100-000002000000}">
            <xm:f>AND(E10&lt;&gt;Instructions!$J$94, E10&lt;&gt;"")</xm:f>
            <x14:dxf>
              <fill>
                <patternFill>
                  <bgColor theme="0"/>
                </patternFill>
              </fill>
            </x14:dxf>
          </x14:cfRule>
          <xm:sqref>H10:H21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xr:uid="{00000000-0002-0000-0100-000003000000}">
          <x14:formula1>
            <xm:f>Instructions!$J$73:$J$90</xm:f>
          </x14:formula1>
          <xm:sqref>C10:C21</xm:sqref>
        </x14:dataValidation>
        <x14:dataValidation type="list" allowBlank="1" showInputMessage="1" xr:uid="{075E3CE1-7393-4CC8-ABC0-BDF4DE9FD9BB}">
          <x14:formula1>
            <xm:f>Instructions!$J$93:$J$96</xm:f>
          </x14:formula1>
          <xm:sqref>E10:E21</xm:sqref>
        </x14:dataValidation>
        <x14:dataValidation type="list" allowBlank="1" showInputMessage="1" xr:uid="{89BB3FFE-62AA-45C6-BAA0-6E0DFA95447C}">
          <x14:formula1>
            <xm:f>Instructions!$J$104:$J$105</xm:f>
          </x14:formula1>
          <xm:sqref>D10:D21</xm:sqref>
        </x14:dataValidation>
        <x14:dataValidation type="list" allowBlank="1" showInputMessage="1" xr:uid="{5DADE7EB-FF0D-4775-82E3-94C53250677F}">
          <x14:formula1>
            <xm:f>Instructions!$J$121:$J$122</xm:f>
          </x14:formula1>
          <xm:sqref>I10:I21</xm:sqref>
        </x14:dataValidation>
        <x14:dataValidation type="custom" showInputMessage="1" showErrorMessage="1" error="Data can only be entered here if row is noted as &quot;Diverted - mixed materials&quot;" xr:uid="{2EB661A6-18DD-429A-88C6-0D201619910B}">
          <x14:formula1>
            <xm:f>$E10=Instructions!$J$94</xm:f>
          </x14:formula1>
          <xm:sqref>G10:G21</xm:sqref>
        </x14:dataValidation>
        <x14:dataValidation type="custom" allowBlank="1" showInputMessage="1" showErrorMessage="1" error="Data can only be entered here if row is noted as &quot;Diverted - mixed materials&quot;" xr:uid="{94F54041-42F8-409F-9A1D-266295BAE159}">
          <x14:formula1>
            <xm:f>$E10=Instructions!$J$94</xm:f>
          </x14:formula1>
          <xm:sqref>H10:H21</xm:sqref>
        </x14:dataValidation>
      </x14:dataValidation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10372-DD20-403F-A2EA-EEDE07016E99}">
  <sheetPr codeName="Sheet5"/>
  <dimension ref="A1:X94"/>
  <sheetViews>
    <sheetView showGridLines="0" zoomScaleNormal="100" zoomScalePageLayoutView="80" workbookViewId="0">
      <selection activeCell="B9" sqref="B9"/>
    </sheetView>
  </sheetViews>
  <sheetFormatPr defaultColWidth="8.77734375" defaultRowHeight="14.4" x14ac:dyDescent="0.3"/>
  <cols>
    <col min="1" max="1" width="3.6640625" style="40" customWidth="1"/>
    <col min="2" max="2" width="17.6640625" style="7" customWidth="1"/>
    <col min="3" max="3" width="14.6640625" style="7" customWidth="1"/>
    <col min="4" max="4" width="18.77734375" style="7" customWidth="1"/>
    <col min="5" max="5" width="10.77734375" style="7" customWidth="1"/>
    <col min="6" max="6" width="15.33203125" style="7" customWidth="1"/>
    <col min="7" max="7" width="13" style="7" customWidth="1"/>
    <col min="8" max="8" width="10.44140625" style="7" customWidth="1"/>
    <col min="9" max="9" width="11.44140625" style="7" customWidth="1"/>
    <col min="10" max="10" width="41.109375" style="116" customWidth="1"/>
    <col min="11" max="11" width="5.77734375" style="7" customWidth="1"/>
    <col min="12" max="12" width="44.109375" style="7" customWidth="1"/>
    <col min="13" max="13" width="19.6640625" style="7" customWidth="1"/>
    <col min="14" max="16384" width="8.77734375" style="7"/>
  </cols>
  <sheetData>
    <row r="1" spans="1:18" s="2" customFormat="1" ht="16.5" customHeight="1" x14ac:dyDescent="0.25">
      <c r="A1" s="4"/>
      <c r="B1" s="1"/>
      <c r="C1" s="1"/>
      <c r="D1" s="1"/>
      <c r="E1" s="1"/>
      <c r="F1" s="1"/>
      <c r="G1" s="1"/>
      <c r="H1" s="1"/>
      <c r="I1" s="1"/>
      <c r="J1" s="115"/>
      <c r="R1" s="3"/>
    </row>
    <row r="2" spans="1:18" s="2" customFormat="1" ht="21" customHeight="1" x14ac:dyDescent="0.25">
      <c r="A2" s="4"/>
      <c r="B2" s="65" t="s">
        <v>95</v>
      </c>
      <c r="C2" s="64"/>
      <c r="D2" s="64"/>
      <c r="E2" s="64"/>
      <c r="F2" s="64"/>
      <c r="G2" s="64"/>
      <c r="H2" s="64"/>
      <c r="I2" s="64"/>
      <c r="J2" s="64"/>
      <c r="K2" s="5"/>
      <c r="L2" s="5"/>
      <c r="M2" s="5"/>
      <c r="N2" s="5"/>
      <c r="O2" s="5"/>
      <c r="P2" s="5"/>
      <c r="Q2" s="5"/>
      <c r="R2" s="6"/>
    </row>
    <row r="3" spans="1:18" s="2" customFormat="1" ht="15" customHeight="1" x14ac:dyDescent="0.25">
      <c r="A3" s="4"/>
      <c r="B3" s="1"/>
      <c r="C3" s="1"/>
      <c r="D3" s="1"/>
      <c r="E3" s="1"/>
      <c r="F3" s="1"/>
      <c r="G3" s="1"/>
      <c r="H3" s="1"/>
      <c r="I3" s="1"/>
      <c r="J3" s="115"/>
      <c r="L3" s="3"/>
    </row>
    <row r="4" spans="1:18" s="2" customFormat="1" ht="27" customHeight="1" x14ac:dyDescent="0.25">
      <c r="A4" s="142"/>
      <c r="B4" s="274" t="s">
        <v>134</v>
      </c>
      <c r="C4" s="274"/>
      <c r="D4" s="274"/>
      <c r="E4" s="274"/>
      <c r="F4" s="274"/>
      <c r="G4" s="274"/>
      <c r="H4" s="274"/>
      <c r="I4" s="274"/>
      <c r="J4" s="274"/>
      <c r="L4" s="3"/>
    </row>
    <row r="5" spans="1:18" s="2" customFormat="1" ht="19.2" customHeight="1" x14ac:dyDescent="0.25">
      <c r="A5" s="142"/>
      <c r="B5" s="144"/>
      <c r="J5" s="143"/>
      <c r="L5" s="3"/>
    </row>
    <row r="6" spans="1:18" ht="13.8" customHeight="1" x14ac:dyDescent="0.3">
      <c r="B6" s="145"/>
      <c r="C6" s="8"/>
      <c r="D6" s="8"/>
      <c r="E6" s="8"/>
      <c r="F6" s="114"/>
      <c r="G6" s="8"/>
      <c r="H6" s="8"/>
      <c r="I6" s="114"/>
    </row>
    <row r="7" spans="1:18" ht="25.8" customHeight="1" x14ac:dyDescent="0.3">
      <c r="A7" s="118"/>
      <c r="B7" s="273" t="s">
        <v>127</v>
      </c>
      <c r="C7" s="273"/>
      <c r="D7" s="273"/>
      <c r="E7" s="273"/>
      <c r="F7" s="273"/>
      <c r="G7" s="273"/>
      <c r="H7" s="273"/>
      <c r="I7" s="273"/>
      <c r="J7" s="273"/>
    </row>
    <row r="8" spans="1:18" ht="59.55" customHeight="1" x14ac:dyDescent="0.3">
      <c r="A8" s="118"/>
      <c r="B8" s="154" t="s">
        <v>96</v>
      </c>
      <c r="C8" s="155" t="s">
        <v>97</v>
      </c>
      <c r="D8" s="155" t="s">
        <v>98</v>
      </c>
      <c r="E8" s="155" t="s">
        <v>99</v>
      </c>
      <c r="F8" s="121" t="s">
        <v>128</v>
      </c>
      <c r="G8" s="153" t="str">
        <f>CONCATENATE("Diverted 
Materials
","("&amp;Instructions!$G$11&amp;")")</f>
        <v>Diverted 
Materials
()</v>
      </c>
      <c r="H8" s="153" t="str">
        <f>CONCATENATE("Total Waste Generated
","("&amp;Instructions!$G$11&amp;")")</f>
        <v>Total Waste Generated
()</v>
      </c>
      <c r="I8" s="153" t="s">
        <v>38</v>
      </c>
      <c r="J8" s="155" t="s">
        <v>100</v>
      </c>
      <c r="L8" s="146"/>
    </row>
    <row r="9" spans="1:18" x14ac:dyDescent="0.3">
      <c r="A9" s="40">
        <f>IF(E9&gt;=0,0,0)</f>
        <v>0</v>
      </c>
      <c r="B9" s="165"/>
      <c r="C9" s="166"/>
      <c r="D9" s="166"/>
      <c r="E9" s="122"/>
      <c r="F9" s="124"/>
      <c r="G9" s="126">
        <f t="shared" ref="G9:G31" si="0">E9*F9</f>
        <v>0</v>
      </c>
      <c r="H9" s="128">
        <f t="shared" ref="H9:H31" si="1">E9-G9</f>
        <v>0</v>
      </c>
      <c r="I9" s="125"/>
      <c r="J9" s="166"/>
      <c r="L9" s="182"/>
    </row>
    <row r="10" spans="1:18" x14ac:dyDescent="0.3">
      <c r="A10" s="40">
        <f t="shared" ref="A10:A29" si="2">IF(E10&gt;=0,0,0)</f>
        <v>0</v>
      </c>
      <c r="B10" s="165"/>
      <c r="C10" s="166"/>
      <c r="D10" s="166"/>
      <c r="E10" s="122"/>
      <c r="F10" s="124"/>
      <c r="G10" s="126">
        <f t="shared" si="0"/>
        <v>0</v>
      </c>
      <c r="H10" s="128">
        <f t="shared" si="1"/>
        <v>0</v>
      </c>
      <c r="I10" s="125"/>
      <c r="J10" s="166"/>
      <c r="L10" s="182"/>
    </row>
    <row r="11" spans="1:18" ht="15" customHeight="1" x14ac:dyDescent="0.3">
      <c r="A11" s="40">
        <f t="shared" si="2"/>
        <v>0</v>
      </c>
      <c r="B11" s="165"/>
      <c r="C11" s="166"/>
      <c r="D11" s="166"/>
      <c r="E11" s="122"/>
      <c r="F11" s="124"/>
      <c r="G11" s="126">
        <f t="shared" si="0"/>
        <v>0</v>
      </c>
      <c r="H11" s="128">
        <f t="shared" si="1"/>
        <v>0</v>
      </c>
      <c r="I11" s="125"/>
      <c r="J11" s="166"/>
      <c r="L11" s="182"/>
    </row>
    <row r="12" spans="1:18" x14ac:dyDescent="0.3">
      <c r="A12" s="40">
        <f t="shared" si="2"/>
        <v>0</v>
      </c>
      <c r="B12" s="165"/>
      <c r="C12" s="166"/>
      <c r="D12" s="166"/>
      <c r="E12" s="122"/>
      <c r="F12" s="124"/>
      <c r="G12" s="126">
        <f t="shared" si="0"/>
        <v>0</v>
      </c>
      <c r="H12" s="128">
        <f t="shared" si="1"/>
        <v>0</v>
      </c>
      <c r="I12" s="125"/>
      <c r="J12" s="166"/>
      <c r="L12" s="182"/>
    </row>
    <row r="13" spans="1:18" x14ac:dyDescent="0.3">
      <c r="A13" s="40">
        <f t="shared" si="2"/>
        <v>0</v>
      </c>
      <c r="B13" s="165"/>
      <c r="C13" s="166"/>
      <c r="D13" s="166"/>
      <c r="E13" s="122"/>
      <c r="F13" s="124"/>
      <c r="G13" s="126">
        <f t="shared" si="0"/>
        <v>0</v>
      </c>
      <c r="H13" s="128">
        <f t="shared" si="1"/>
        <v>0</v>
      </c>
      <c r="I13" s="125"/>
      <c r="J13" s="166"/>
      <c r="L13" s="182"/>
    </row>
    <row r="14" spans="1:18" x14ac:dyDescent="0.3">
      <c r="B14" s="165"/>
      <c r="C14" s="166"/>
      <c r="D14" s="166"/>
      <c r="E14" s="122"/>
      <c r="F14" s="124"/>
      <c r="G14" s="126">
        <f t="shared" si="0"/>
        <v>0</v>
      </c>
      <c r="H14" s="128">
        <f t="shared" si="1"/>
        <v>0</v>
      </c>
      <c r="I14" s="125"/>
      <c r="J14" s="166"/>
      <c r="L14" s="182"/>
    </row>
    <row r="15" spans="1:18" x14ac:dyDescent="0.3">
      <c r="B15" s="165"/>
      <c r="C15" s="166"/>
      <c r="D15" s="166"/>
      <c r="E15" s="122"/>
      <c r="F15" s="124"/>
      <c r="G15" s="126">
        <f t="shared" si="0"/>
        <v>0</v>
      </c>
      <c r="H15" s="128">
        <f t="shared" si="1"/>
        <v>0</v>
      </c>
      <c r="I15" s="125"/>
      <c r="J15" s="166"/>
      <c r="L15" s="182"/>
    </row>
    <row r="16" spans="1:18" x14ac:dyDescent="0.3">
      <c r="B16" s="165"/>
      <c r="C16" s="166"/>
      <c r="D16" s="166"/>
      <c r="E16" s="122"/>
      <c r="F16" s="124"/>
      <c r="G16" s="126">
        <f t="shared" si="0"/>
        <v>0</v>
      </c>
      <c r="H16" s="128">
        <f t="shared" si="1"/>
        <v>0</v>
      </c>
      <c r="I16" s="125"/>
      <c r="J16" s="166"/>
      <c r="L16" s="182"/>
    </row>
    <row r="17" spans="1:12" x14ac:dyDescent="0.3">
      <c r="B17" s="165"/>
      <c r="C17" s="166"/>
      <c r="D17" s="166"/>
      <c r="E17" s="122"/>
      <c r="F17" s="124"/>
      <c r="G17" s="126">
        <f t="shared" si="0"/>
        <v>0</v>
      </c>
      <c r="H17" s="128">
        <f t="shared" si="1"/>
        <v>0</v>
      </c>
      <c r="I17" s="125"/>
      <c r="J17" s="166"/>
      <c r="L17" s="182"/>
    </row>
    <row r="18" spans="1:12" x14ac:dyDescent="0.3">
      <c r="B18" s="165"/>
      <c r="C18" s="166"/>
      <c r="D18" s="166"/>
      <c r="E18" s="122"/>
      <c r="F18" s="124"/>
      <c r="G18" s="126">
        <f t="shared" si="0"/>
        <v>0</v>
      </c>
      <c r="H18" s="128">
        <f t="shared" si="1"/>
        <v>0</v>
      </c>
      <c r="I18" s="125"/>
      <c r="J18" s="166"/>
      <c r="L18" s="182"/>
    </row>
    <row r="19" spans="1:12" x14ac:dyDescent="0.3">
      <c r="B19" s="165"/>
      <c r="C19" s="166"/>
      <c r="D19" s="166"/>
      <c r="E19" s="122"/>
      <c r="F19" s="124"/>
      <c r="G19" s="126">
        <f t="shared" si="0"/>
        <v>0</v>
      </c>
      <c r="H19" s="128">
        <f t="shared" si="1"/>
        <v>0</v>
      </c>
      <c r="I19" s="125"/>
      <c r="J19" s="166"/>
      <c r="L19" s="182"/>
    </row>
    <row r="20" spans="1:12" x14ac:dyDescent="0.3">
      <c r="B20" s="165"/>
      <c r="C20" s="166"/>
      <c r="D20" s="166"/>
      <c r="E20" s="122"/>
      <c r="F20" s="124"/>
      <c r="G20" s="126">
        <f t="shared" si="0"/>
        <v>0</v>
      </c>
      <c r="H20" s="128">
        <f t="shared" si="1"/>
        <v>0</v>
      </c>
      <c r="I20" s="125"/>
      <c r="J20" s="166"/>
      <c r="L20" s="182"/>
    </row>
    <row r="21" spans="1:12" x14ac:dyDescent="0.3">
      <c r="A21" s="40">
        <f t="shared" si="2"/>
        <v>0</v>
      </c>
      <c r="B21" s="165"/>
      <c r="C21" s="166"/>
      <c r="D21" s="166"/>
      <c r="E21" s="122"/>
      <c r="F21" s="124"/>
      <c r="G21" s="126">
        <f t="shared" si="0"/>
        <v>0</v>
      </c>
      <c r="H21" s="128">
        <f t="shared" si="1"/>
        <v>0</v>
      </c>
      <c r="I21" s="125"/>
      <c r="J21" s="166"/>
      <c r="L21" s="182"/>
    </row>
    <row r="22" spans="1:12" ht="15" customHeight="1" x14ac:dyDescent="0.3">
      <c r="A22" s="40">
        <f t="shared" si="2"/>
        <v>0</v>
      </c>
      <c r="B22" s="165"/>
      <c r="C22" s="166"/>
      <c r="D22" s="166"/>
      <c r="E22" s="122"/>
      <c r="F22" s="124"/>
      <c r="G22" s="126">
        <f t="shared" si="0"/>
        <v>0</v>
      </c>
      <c r="H22" s="128">
        <f t="shared" si="1"/>
        <v>0</v>
      </c>
      <c r="I22" s="125"/>
      <c r="J22" s="166"/>
      <c r="L22" s="182"/>
    </row>
    <row r="23" spans="1:12" ht="15" customHeight="1" x14ac:dyDescent="0.3">
      <c r="A23" s="40">
        <f t="shared" si="2"/>
        <v>0</v>
      </c>
      <c r="B23" s="165"/>
      <c r="C23" s="166"/>
      <c r="D23" s="166"/>
      <c r="E23" s="122"/>
      <c r="F23" s="124"/>
      <c r="G23" s="126">
        <f t="shared" si="0"/>
        <v>0</v>
      </c>
      <c r="H23" s="128">
        <f t="shared" si="1"/>
        <v>0</v>
      </c>
      <c r="I23" s="125"/>
      <c r="J23" s="166"/>
      <c r="L23" s="182"/>
    </row>
    <row r="24" spans="1:12" x14ac:dyDescent="0.3">
      <c r="A24" s="40">
        <f t="shared" si="2"/>
        <v>0</v>
      </c>
      <c r="B24" s="165"/>
      <c r="C24" s="166"/>
      <c r="D24" s="166"/>
      <c r="E24" s="122"/>
      <c r="F24" s="124"/>
      <c r="G24" s="126">
        <f t="shared" si="0"/>
        <v>0</v>
      </c>
      <c r="H24" s="128">
        <f t="shared" si="1"/>
        <v>0</v>
      </c>
      <c r="I24" s="125"/>
      <c r="J24" s="166"/>
      <c r="L24" s="182"/>
    </row>
    <row r="25" spans="1:12" x14ac:dyDescent="0.3">
      <c r="B25" s="165"/>
      <c r="C25" s="166"/>
      <c r="D25" s="166"/>
      <c r="E25" s="122"/>
      <c r="F25" s="124"/>
      <c r="G25" s="126">
        <f t="shared" si="0"/>
        <v>0</v>
      </c>
      <c r="H25" s="128">
        <f t="shared" si="1"/>
        <v>0</v>
      </c>
      <c r="I25" s="125"/>
      <c r="J25" s="166"/>
      <c r="L25" s="182"/>
    </row>
    <row r="26" spans="1:12" x14ac:dyDescent="0.3">
      <c r="B26" s="165"/>
      <c r="C26" s="166"/>
      <c r="D26" s="166"/>
      <c r="E26" s="122"/>
      <c r="F26" s="124"/>
      <c r="G26" s="126">
        <f t="shared" si="0"/>
        <v>0</v>
      </c>
      <c r="H26" s="128">
        <f t="shared" si="1"/>
        <v>0</v>
      </c>
      <c r="I26" s="125"/>
      <c r="J26" s="166"/>
      <c r="L26" s="182"/>
    </row>
    <row r="27" spans="1:12" x14ac:dyDescent="0.3">
      <c r="B27" s="165"/>
      <c r="C27" s="166"/>
      <c r="D27" s="166"/>
      <c r="E27" s="122"/>
      <c r="F27" s="124"/>
      <c r="G27" s="126">
        <f t="shared" si="0"/>
        <v>0</v>
      </c>
      <c r="H27" s="128">
        <f t="shared" si="1"/>
        <v>0</v>
      </c>
      <c r="I27" s="125"/>
      <c r="J27" s="166"/>
      <c r="L27" s="182"/>
    </row>
    <row r="28" spans="1:12" ht="15" customHeight="1" x14ac:dyDescent="0.3">
      <c r="A28" s="40">
        <f t="shared" si="2"/>
        <v>0</v>
      </c>
      <c r="B28" s="165"/>
      <c r="C28" s="166"/>
      <c r="D28" s="166"/>
      <c r="E28" s="122"/>
      <c r="F28" s="124"/>
      <c r="G28" s="126">
        <f t="shared" si="0"/>
        <v>0</v>
      </c>
      <c r="H28" s="128">
        <f t="shared" si="1"/>
        <v>0</v>
      </c>
      <c r="I28" s="125"/>
      <c r="J28" s="166"/>
      <c r="L28" s="182"/>
    </row>
    <row r="29" spans="1:12" ht="15" customHeight="1" x14ac:dyDescent="0.3">
      <c r="A29" s="40">
        <f t="shared" si="2"/>
        <v>0</v>
      </c>
      <c r="B29" s="165"/>
      <c r="C29" s="166"/>
      <c r="D29" s="166"/>
      <c r="E29" s="122"/>
      <c r="F29" s="124"/>
      <c r="G29" s="126">
        <f t="shared" si="0"/>
        <v>0</v>
      </c>
      <c r="H29" s="128">
        <f t="shared" si="1"/>
        <v>0</v>
      </c>
      <c r="I29" s="125"/>
      <c r="J29" s="166"/>
      <c r="L29" s="182"/>
    </row>
    <row r="30" spans="1:12" ht="15" customHeight="1" x14ac:dyDescent="0.3">
      <c r="B30" s="167"/>
      <c r="C30" s="166"/>
      <c r="D30" s="166"/>
      <c r="E30" s="122"/>
      <c r="F30" s="124"/>
      <c r="G30" s="126">
        <f t="shared" si="0"/>
        <v>0</v>
      </c>
      <c r="H30" s="128">
        <f t="shared" si="1"/>
        <v>0</v>
      </c>
      <c r="I30" s="125"/>
      <c r="J30" s="166"/>
      <c r="L30" s="182"/>
    </row>
    <row r="31" spans="1:12" ht="15" customHeight="1" x14ac:dyDescent="0.3">
      <c r="B31" s="175"/>
      <c r="C31" s="176"/>
      <c r="D31" s="176"/>
      <c r="E31" s="177"/>
      <c r="F31" s="178"/>
      <c r="G31" s="179">
        <f t="shared" si="0"/>
        <v>0</v>
      </c>
      <c r="H31" s="180">
        <f t="shared" si="1"/>
        <v>0</v>
      </c>
      <c r="I31" s="175"/>
      <c r="J31" s="176"/>
      <c r="L31" s="182"/>
    </row>
    <row r="32" spans="1:12" ht="21" customHeight="1" x14ac:dyDescent="0.3">
      <c r="A32" s="40" t="s">
        <v>16</v>
      </c>
      <c r="B32" s="173" t="s">
        <v>101</v>
      </c>
      <c r="C32" s="129"/>
      <c r="D32" s="129"/>
      <c r="E32" s="174">
        <f>SUM(E9:E31)</f>
        <v>0</v>
      </c>
      <c r="F32" s="129"/>
      <c r="G32" s="174">
        <f>SUM(G9:G31)</f>
        <v>0</v>
      </c>
      <c r="H32" s="174">
        <f>SUM(H9:H31)</f>
        <v>0</v>
      </c>
      <c r="I32" s="129"/>
      <c r="J32" s="169"/>
    </row>
    <row r="34" spans="1:12" ht="25.8" customHeight="1" x14ac:dyDescent="0.3">
      <c r="A34" s="118"/>
      <c r="B34" s="273" t="s">
        <v>107</v>
      </c>
      <c r="C34" s="273"/>
      <c r="D34" s="273"/>
      <c r="E34" s="273"/>
      <c r="F34" s="273"/>
      <c r="G34" s="273"/>
      <c r="H34" s="273"/>
      <c r="I34" s="273"/>
      <c r="J34" s="273"/>
    </row>
    <row r="35" spans="1:12" ht="59.55" customHeight="1" x14ac:dyDescent="0.3">
      <c r="A35" s="118"/>
      <c r="B35" s="154" t="s">
        <v>96</v>
      </c>
      <c r="C35" s="155" t="s">
        <v>97</v>
      </c>
      <c r="D35" s="155" t="s">
        <v>98</v>
      </c>
      <c r="E35" s="155" t="s">
        <v>99</v>
      </c>
      <c r="F35" s="183"/>
      <c r="G35" s="153" t="str">
        <f>CONCATENATE("Diverted 
Materials
","("&amp;Instructions!$G$11&amp;")")</f>
        <v>Diverted 
Materials
()</v>
      </c>
      <c r="H35" s="153" t="str">
        <f>CONCATENATE("Total Waste Generated
","("&amp;Instructions!$G$11&amp;")")</f>
        <v>Total Waste Generated
()</v>
      </c>
      <c r="I35" s="186"/>
      <c r="J35" s="155" t="s">
        <v>100</v>
      </c>
      <c r="L35" s="146"/>
    </row>
    <row r="36" spans="1:12" x14ac:dyDescent="0.3">
      <c r="A36" s="40">
        <f>IF(E36&gt;=0,0,0)</f>
        <v>0</v>
      </c>
      <c r="B36" s="165"/>
      <c r="C36" s="166"/>
      <c r="D36" s="166"/>
      <c r="E36" s="122"/>
      <c r="F36" s="184"/>
      <c r="G36" s="126">
        <f t="shared" ref="G36:G58" si="3">E36</f>
        <v>0</v>
      </c>
      <c r="H36" s="128">
        <f t="shared" ref="H36:H58" si="4">E36-G36</f>
        <v>0</v>
      </c>
      <c r="I36" s="187"/>
      <c r="J36" s="166"/>
      <c r="L36" s="182"/>
    </row>
    <row r="37" spans="1:12" x14ac:dyDescent="0.3">
      <c r="A37" s="40">
        <f t="shared" ref="A37:A40" si="5">IF(E37&gt;=0,0,0)</f>
        <v>0</v>
      </c>
      <c r="B37" s="165"/>
      <c r="C37" s="166"/>
      <c r="D37" s="166"/>
      <c r="E37" s="122"/>
      <c r="F37" s="184"/>
      <c r="G37" s="126">
        <f t="shared" si="3"/>
        <v>0</v>
      </c>
      <c r="H37" s="128">
        <f t="shared" si="4"/>
        <v>0</v>
      </c>
      <c r="I37" s="187"/>
      <c r="J37" s="166"/>
      <c r="L37" s="182"/>
    </row>
    <row r="38" spans="1:12" ht="15" customHeight="1" x14ac:dyDescent="0.3">
      <c r="A38" s="40">
        <f t="shared" si="5"/>
        <v>0</v>
      </c>
      <c r="B38" s="165"/>
      <c r="C38" s="166"/>
      <c r="D38" s="166"/>
      <c r="E38" s="122"/>
      <c r="F38" s="184"/>
      <c r="G38" s="126">
        <f t="shared" si="3"/>
        <v>0</v>
      </c>
      <c r="H38" s="128">
        <f t="shared" si="4"/>
        <v>0</v>
      </c>
      <c r="I38" s="187"/>
      <c r="J38" s="166"/>
      <c r="L38" s="182"/>
    </row>
    <row r="39" spans="1:12" x14ac:dyDescent="0.3">
      <c r="A39" s="40">
        <f t="shared" si="5"/>
        <v>0</v>
      </c>
      <c r="B39" s="165"/>
      <c r="C39" s="166"/>
      <c r="D39" s="166"/>
      <c r="E39" s="122"/>
      <c r="F39" s="184"/>
      <c r="G39" s="126">
        <f t="shared" si="3"/>
        <v>0</v>
      </c>
      <c r="H39" s="128">
        <f t="shared" si="4"/>
        <v>0</v>
      </c>
      <c r="I39" s="187"/>
      <c r="J39" s="166"/>
      <c r="L39" s="182"/>
    </row>
    <row r="40" spans="1:12" x14ac:dyDescent="0.3">
      <c r="A40" s="40">
        <f t="shared" si="5"/>
        <v>0</v>
      </c>
      <c r="B40" s="165"/>
      <c r="C40" s="166"/>
      <c r="D40" s="166"/>
      <c r="E40" s="122"/>
      <c r="F40" s="184"/>
      <c r="G40" s="126">
        <f t="shared" si="3"/>
        <v>0</v>
      </c>
      <c r="H40" s="128">
        <f t="shared" si="4"/>
        <v>0</v>
      </c>
      <c r="I40" s="187"/>
      <c r="J40" s="166"/>
      <c r="L40" s="182"/>
    </row>
    <row r="41" spans="1:12" x14ac:dyDescent="0.3">
      <c r="B41" s="165"/>
      <c r="C41" s="166"/>
      <c r="D41" s="166"/>
      <c r="E41" s="122"/>
      <c r="F41" s="184"/>
      <c r="G41" s="126">
        <f t="shared" si="3"/>
        <v>0</v>
      </c>
      <c r="H41" s="128">
        <f t="shared" si="4"/>
        <v>0</v>
      </c>
      <c r="I41" s="187"/>
      <c r="J41" s="166"/>
      <c r="L41" s="182"/>
    </row>
    <row r="42" spans="1:12" x14ac:dyDescent="0.3">
      <c r="B42" s="165"/>
      <c r="C42" s="166"/>
      <c r="D42" s="166"/>
      <c r="E42" s="122"/>
      <c r="F42" s="184"/>
      <c r="G42" s="126">
        <f t="shared" si="3"/>
        <v>0</v>
      </c>
      <c r="H42" s="128">
        <f t="shared" si="4"/>
        <v>0</v>
      </c>
      <c r="I42" s="187"/>
      <c r="J42" s="166"/>
      <c r="L42" s="182"/>
    </row>
    <row r="43" spans="1:12" x14ac:dyDescent="0.3">
      <c r="B43" s="165"/>
      <c r="C43" s="166"/>
      <c r="D43" s="166"/>
      <c r="E43" s="122"/>
      <c r="F43" s="184"/>
      <c r="G43" s="126">
        <f t="shared" si="3"/>
        <v>0</v>
      </c>
      <c r="H43" s="128">
        <f t="shared" si="4"/>
        <v>0</v>
      </c>
      <c r="I43" s="187"/>
      <c r="J43" s="166"/>
      <c r="L43" s="182"/>
    </row>
    <row r="44" spans="1:12" x14ac:dyDescent="0.3">
      <c r="B44" s="165"/>
      <c r="C44" s="166"/>
      <c r="D44" s="166"/>
      <c r="E44" s="122"/>
      <c r="F44" s="184"/>
      <c r="G44" s="126">
        <f t="shared" si="3"/>
        <v>0</v>
      </c>
      <c r="H44" s="128">
        <f t="shared" si="4"/>
        <v>0</v>
      </c>
      <c r="I44" s="187"/>
      <c r="J44" s="166"/>
      <c r="L44" s="182"/>
    </row>
    <row r="45" spans="1:12" x14ac:dyDescent="0.3">
      <c r="B45" s="165"/>
      <c r="C45" s="166"/>
      <c r="D45" s="166"/>
      <c r="E45" s="122"/>
      <c r="F45" s="184"/>
      <c r="G45" s="126">
        <f t="shared" si="3"/>
        <v>0</v>
      </c>
      <c r="H45" s="128">
        <f t="shared" si="4"/>
        <v>0</v>
      </c>
      <c r="I45" s="187"/>
      <c r="J45" s="166"/>
      <c r="L45" s="182"/>
    </row>
    <row r="46" spans="1:12" x14ac:dyDescent="0.3">
      <c r="B46" s="165"/>
      <c r="C46" s="166"/>
      <c r="D46" s="166"/>
      <c r="E46" s="122"/>
      <c r="F46" s="184"/>
      <c r="G46" s="126">
        <f t="shared" si="3"/>
        <v>0</v>
      </c>
      <c r="H46" s="128">
        <f t="shared" si="4"/>
        <v>0</v>
      </c>
      <c r="I46" s="187"/>
      <c r="J46" s="166"/>
      <c r="L46" s="182"/>
    </row>
    <row r="47" spans="1:12" x14ac:dyDescent="0.3">
      <c r="B47" s="165"/>
      <c r="C47" s="166"/>
      <c r="D47" s="166"/>
      <c r="E47" s="122"/>
      <c r="F47" s="184"/>
      <c r="G47" s="126">
        <f t="shared" si="3"/>
        <v>0</v>
      </c>
      <c r="H47" s="128">
        <f t="shared" si="4"/>
        <v>0</v>
      </c>
      <c r="I47" s="187"/>
      <c r="J47" s="166"/>
      <c r="L47" s="182"/>
    </row>
    <row r="48" spans="1:12" x14ac:dyDescent="0.3">
      <c r="A48" s="40">
        <f t="shared" ref="A48:A51" si="6">IF(E48&gt;=0,0,0)</f>
        <v>0</v>
      </c>
      <c r="B48" s="165"/>
      <c r="C48" s="166"/>
      <c r="D48" s="166"/>
      <c r="E48" s="122"/>
      <c r="F48" s="184"/>
      <c r="G48" s="126">
        <f t="shared" si="3"/>
        <v>0</v>
      </c>
      <c r="H48" s="128">
        <f t="shared" si="4"/>
        <v>0</v>
      </c>
      <c r="I48" s="187"/>
      <c r="J48" s="166"/>
      <c r="L48" s="182"/>
    </row>
    <row r="49" spans="1:12" ht="15" customHeight="1" x14ac:dyDescent="0.3">
      <c r="A49" s="40">
        <f t="shared" si="6"/>
        <v>0</v>
      </c>
      <c r="B49" s="165"/>
      <c r="C49" s="166"/>
      <c r="D49" s="166"/>
      <c r="E49" s="122"/>
      <c r="F49" s="184"/>
      <c r="G49" s="126">
        <f t="shared" si="3"/>
        <v>0</v>
      </c>
      <c r="H49" s="128">
        <f t="shared" si="4"/>
        <v>0</v>
      </c>
      <c r="I49" s="187"/>
      <c r="J49" s="166"/>
      <c r="L49" s="182"/>
    </row>
    <row r="50" spans="1:12" ht="15" customHeight="1" x14ac:dyDescent="0.3">
      <c r="A50" s="40">
        <f t="shared" si="6"/>
        <v>0</v>
      </c>
      <c r="B50" s="165"/>
      <c r="C50" s="166"/>
      <c r="D50" s="166"/>
      <c r="E50" s="122"/>
      <c r="F50" s="184"/>
      <c r="G50" s="126">
        <f t="shared" si="3"/>
        <v>0</v>
      </c>
      <c r="H50" s="128">
        <f t="shared" si="4"/>
        <v>0</v>
      </c>
      <c r="I50" s="187"/>
      <c r="J50" s="166"/>
      <c r="L50" s="182"/>
    </row>
    <row r="51" spans="1:12" x14ac:dyDescent="0.3">
      <c r="A51" s="40">
        <f t="shared" si="6"/>
        <v>0</v>
      </c>
      <c r="B51" s="165"/>
      <c r="C51" s="166"/>
      <c r="D51" s="166"/>
      <c r="E51" s="122"/>
      <c r="F51" s="184"/>
      <c r="G51" s="126">
        <f t="shared" si="3"/>
        <v>0</v>
      </c>
      <c r="H51" s="128">
        <f t="shared" si="4"/>
        <v>0</v>
      </c>
      <c r="I51" s="187"/>
      <c r="J51" s="166"/>
      <c r="L51" s="182"/>
    </row>
    <row r="52" spans="1:12" x14ac:dyDescent="0.3">
      <c r="B52" s="165"/>
      <c r="C52" s="166"/>
      <c r="D52" s="166"/>
      <c r="E52" s="122"/>
      <c r="F52" s="184"/>
      <c r="G52" s="126">
        <f t="shared" si="3"/>
        <v>0</v>
      </c>
      <c r="H52" s="128">
        <f t="shared" si="4"/>
        <v>0</v>
      </c>
      <c r="I52" s="187"/>
      <c r="J52" s="166"/>
      <c r="L52" s="182"/>
    </row>
    <row r="53" spans="1:12" x14ac:dyDescent="0.3">
      <c r="B53" s="165"/>
      <c r="C53" s="166"/>
      <c r="D53" s="166"/>
      <c r="E53" s="122"/>
      <c r="F53" s="184"/>
      <c r="G53" s="126">
        <f t="shared" si="3"/>
        <v>0</v>
      </c>
      <c r="H53" s="128">
        <f t="shared" si="4"/>
        <v>0</v>
      </c>
      <c r="I53" s="187"/>
      <c r="J53" s="166"/>
      <c r="L53" s="182"/>
    </row>
    <row r="54" spans="1:12" x14ac:dyDescent="0.3">
      <c r="B54" s="165"/>
      <c r="C54" s="166"/>
      <c r="D54" s="166"/>
      <c r="E54" s="122"/>
      <c r="F54" s="184"/>
      <c r="G54" s="126">
        <f t="shared" si="3"/>
        <v>0</v>
      </c>
      <c r="H54" s="128">
        <f t="shared" si="4"/>
        <v>0</v>
      </c>
      <c r="I54" s="187"/>
      <c r="J54" s="166"/>
      <c r="L54" s="182"/>
    </row>
    <row r="55" spans="1:12" ht="15" customHeight="1" x14ac:dyDescent="0.3">
      <c r="A55" s="40">
        <f t="shared" ref="A55:A56" si="7">IF(E55&gt;=0,0,0)</f>
        <v>0</v>
      </c>
      <c r="B55" s="165"/>
      <c r="C55" s="166"/>
      <c r="D55" s="166"/>
      <c r="E55" s="122"/>
      <c r="F55" s="184"/>
      <c r="G55" s="126">
        <f t="shared" si="3"/>
        <v>0</v>
      </c>
      <c r="H55" s="128">
        <f t="shared" si="4"/>
        <v>0</v>
      </c>
      <c r="I55" s="187"/>
      <c r="J55" s="166"/>
      <c r="L55" s="182"/>
    </row>
    <row r="56" spans="1:12" ht="15" customHeight="1" x14ac:dyDescent="0.3">
      <c r="A56" s="40">
        <f t="shared" si="7"/>
        <v>0</v>
      </c>
      <c r="B56" s="165"/>
      <c r="C56" s="166"/>
      <c r="D56" s="166"/>
      <c r="E56" s="122"/>
      <c r="F56" s="184"/>
      <c r="G56" s="126">
        <f t="shared" si="3"/>
        <v>0</v>
      </c>
      <c r="H56" s="128">
        <f t="shared" si="4"/>
        <v>0</v>
      </c>
      <c r="I56" s="187"/>
      <c r="J56" s="166"/>
      <c r="L56" s="182"/>
    </row>
    <row r="57" spans="1:12" ht="15" customHeight="1" x14ac:dyDescent="0.3">
      <c r="B57" s="167"/>
      <c r="C57" s="166"/>
      <c r="D57" s="166"/>
      <c r="E57" s="122"/>
      <c r="F57" s="184"/>
      <c r="G57" s="126">
        <f t="shared" si="3"/>
        <v>0</v>
      </c>
      <c r="H57" s="128">
        <f t="shared" si="4"/>
        <v>0</v>
      </c>
      <c r="I57" s="187"/>
      <c r="J57" s="166"/>
      <c r="L57" s="182"/>
    </row>
    <row r="58" spans="1:12" ht="15" customHeight="1" x14ac:dyDescent="0.3">
      <c r="B58" s="175"/>
      <c r="C58" s="176"/>
      <c r="D58" s="176"/>
      <c r="E58" s="177"/>
      <c r="F58" s="185"/>
      <c r="G58" s="189">
        <f t="shared" si="3"/>
        <v>0</v>
      </c>
      <c r="H58" s="180">
        <f t="shared" si="4"/>
        <v>0</v>
      </c>
      <c r="I58" s="188"/>
      <c r="J58" s="176"/>
      <c r="L58" s="182"/>
    </row>
    <row r="59" spans="1:12" ht="21" customHeight="1" x14ac:dyDescent="0.3">
      <c r="A59" s="40" t="s">
        <v>16</v>
      </c>
      <c r="B59" s="173" t="s">
        <v>101</v>
      </c>
      <c r="C59" s="129"/>
      <c r="D59" s="129"/>
      <c r="E59" s="174">
        <f>SUM(E36:E58)</f>
        <v>0</v>
      </c>
      <c r="F59" s="129"/>
      <c r="G59" s="174">
        <f>SUM(G36:G58)</f>
        <v>0</v>
      </c>
      <c r="H59" s="174">
        <f>SUM(H36:H58)</f>
        <v>0</v>
      </c>
      <c r="I59" s="129"/>
      <c r="J59" s="169"/>
    </row>
    <row r="60" spans="1:12" ht="37.799999999999997" customHeight="1" x14ac:dyDescent="0.3"/>
    <row r="61" spans="1:12" ht="25.8" customHeight="1" x14ac:dyDescent="0.3">
      <c r="A61" s="118"/>
      <c r="B61" s="273" t="s">
        <v>108</v>
      </c>
      <c r="C61" s="273"/>
      <c r="D61" s="273"/>
      <c r="E61" s="273"/>
      <c r="F61" s="273"/>
      <c r="G61" s="273"/>
      <c r="H61" s="273"/>
      <c r="I61" s="273"/>
      <c r="J61" s="273"/>
    </row>
    <row r="62" spans="1:12" ht="59.55" customHeight="1" x14ac:dyDescent="0.3">
      <c r="A62" s="118"/>
      <c r="B62" s="154" t="s">
        <v>96</v>
      </c>
      <c r="C62" s="155" t="s">
        <v>97</v>
      </c>
      <c r="D62" s="155" t="s">
        <v>98</v>
      </c>
      <c r="E62" s="155" t="s">
        <v>99</v>
      </c>
      <c r="F62" s="183"/>
      <c r="G62" s="153" t="str">
        <f>CONCATENATE("Diverted 
Materials
","("&amp;Instructions!$G$11&amp;")")</f>
        <v>Diverted 
Materials
()</v>
      </c>
      <c r="H62" s="153" t="str">
        <f>CONCATENATE("Total Waste Generated
","("&amp;Instructions!$G$11&amp;")")</f>
        <v>Total Waste Generated
()</v>
      </c>
      <c r="I62" s="186"/>
      <c r="J62" s="155" t="s">
        <v>100</v>
      </c>
      <c r="L62" s="146"/>
    </row>
    <row r="63" spans="1:12" x14ac:dyDescent="0.3">
      <c r="A63" s="40">
        <f>IF(E63&gt;=0,0,0)</f>
        <v>0</v>
      </c>
      <c r="B63" s="165"/>
      <c r="C63" s="166"/>
      <c r="D63" s="166"/>
      <c r="E63" s="122"/>
      <c r="F63" s="184"/>
      <c r="G63" s="126">
        <v>0</v>
      </c>
      <c r="H63" s="128">
        <f t="shared" ref="H63:H85" si="8">E63-G63</f>
        <v>0</v>
      </c>
      <c r="I63" s="187"/>
      <c r="J63" s="166"/>
      <c r="L63" s="182"/>
    </row>
    <row r="64" spans="1:12" x14ac:dyDescent="0.3">
      <c r="A64" s="40">
        <f t="shared" ref="A64:A67" si="9">IF(E64&gt;=0,0,0)</f>
        <v>0</v>
      </c>
      <c r="B64" s="165"/>
      <c r="C64" s="166"/>
      <c r="D64" s="166"/>
      <c r="E64" s="122"/>
      <c r="F64" s="184"/>
      <c r="G64" s="126">
        <v>0</v>
      </c>
      <c r="H64" s="128">
        <f t="shared" si="8"/>
        <v>0</v>
      </c>
      <c r="I64" s="187"/>
      <c r="J64" s="166"/>
      <c r="L64" s="182"/>
    </row>
    <row r="65" spans="1:12" ht="15" customHeight="1" x14ac:dyDescent="0.3">
      <c r="A65" s="40">
        <f t="shared" si="9"/>
        <v>0</v>
      </c>
      <c r="B65" s="165"/>
      <c r="C65" s="166"/>
      <c r="D65" s="166"/>
      <c r="E65" s="122"/>
      <c r="F65" s="184"/>
      <c r="G65" s="126">
        <v>0</v>
      </c>
      <c r="H65" s="128">
        <f t="shared" si="8"/>
        <v>0</v>
      </c>
      <c r="I65" s="187"/>
      <c r="J65" s="166"/>
      <c r="L65" s="182"/>
    </row>
    <row r="66" spans="1:12" x14ac:dyDescent="0.3">
      <c r="A66" s="40">
        <f t="shared" si="9"/>
        <v>0</v>
      </c>
      <c r="B66" s="165"/>
      <c r="C66" s="166"/>
      <c r="D66" s="166"/>
      <c r="E66" s="122"/>
      <c r="F66" s="184"/>
      <c r="G66" s="126">
        <v>0</v>
      </c>
      <c r="H66" s="128">
        <f t="shared" si="8"/>
        <v>0</v>
      </c>
      <c r="I66" s="187"/>
      <c r="J66" s="166"/>
      <c r="L66" s="182"/>
    </row>
    <row r="67" spans="1:12" x14ac:dyDescent="0.3">
      <c r="A67" s="40">
        <f t="shared" si="9"/>
        <v>0</v>
      </c>
      <c r="B67" s="165"/>
      <c r="C67" s="166"/>
      <c r="D67" s="166"/>
      <c r="E67" s="122"/>
      <c r="F67" s="184"/>
      <c r="G67" s="126">
        <v>0</v>
      </c>
      <c r="H67" s="128">
        <f t="shared" si="8"/>
        <v>0</v>
      </c>
      <c r="I67" s="187"/>
      <c r="J67" s="166"/>
      <c r="L67" s="182"/>
    </row>
    <row r="68" spans="1:12" x14ac:dyDescent="0.3">
      <c r="B68" s="165"/>
      <c r="C68" s="166"/>
      <c r="D68" s="166"/>
      <c r="E68" s="122"/>
      <c r="F68" s="184"/>
      <c r="G68" s="126">
        <v>0</v>
      </c>
      <c r="H68" s="128">
        <f t="shared" si="8"/>
        <v>0</v>
      </c>
      <c r="I68" s="187"/>
      <c r="J68" s="166"/>
      <c r="L68" s="182"/>
    </row>
    <row r="69" spans="1:12" x14ac:dyDescent="0.3">
      <c r="B69" s="165"/>
      <c r="C69" s="166"/>
      <c r="D69" s="166"/>
      <c r="E69" s="122"/>
      <c r="F69" s="184"/>
      <c r="G69" s="126">
        <v>0</v>
      </c>
      <c r="H69" s="128">
        <f t="shared" si="8"/>
        <v>0</v>
      </c>
      <c r="I69" s="187"/>
      <c r="J69" s="166"/>
      <c r="L69" s="182"/>
    </row>
    <row r="70" spans="1:12" x14ac:dyDescent="0.3">
      <c r="B70" s="165"/>
      <c r="C70" s="166"/>
      <c r="D70" s="166"/>
      <c r="E70" s="122"/>
      <c r="F70" s="184"/>
      <c r="G70" s="126">
        <v>0</v>
      </c>
      <c r="H70" s="128">
        <f t="shared" si="8"/>
        <v>0</v>
      </c>
      <c r="I70" s="187"/>
      <c r="J70" s="166"/>
      <c r="L70" s="182"/>
    </row>
    <row r="71" spans="1:12" x14ac:dyDescent="0.3">
      <c r="B71" s="165"/>
      <c r="C71" s="166"/>
      <c r="D71" s="166"/>
      <c r="E71" s="122"/>
      <c r="F71" s="184"/>
      <c r="G71" s="126">
        <v>0</v>
      </c>
      <c r="H71" s="128">
        <f t="shared" si="8"/>
        <v>0</v>
      </c>
      <c r="I71" s="187"/>
      <c r="J71" s="166"/>
      <c r="L71" s="182"/>
    </row>
    <row r="72" spans="1:12" x14ac:dyDescent="0.3">
      <c r="B72" s="165"/>
      <c r="C72" s="166"/>
      <c r="D72" s="166"/>
      <c r="E72" s="122"/>
      <c r="F72" s="184"/>
      <c r="G72" s="126">
        <v>0</v>
      </c>
      <c r="H72" s="128">
        <f t="shared" si="8"/>
        <v>0</v>
      </c>
      <c r="I72" s="187"/>
      <c r="J72" s="166"/>
      <c r="L72" s="182"/>
    </row>
    <row r="73" spans="1:12" x14ac:dyDescent="0.3">
      <c r="B73" s="165"/>
      <c r="C73" s="166"/>
      <c r="D73" s="166"/>
      <c r="E73" s="122"/>
      <c r="F73" s="184"/>
      <c r="G73" s="126">
        <v>0</v>
      </c>
      <c r="H73" s="128">
        <f t="shared" si="8"/>
        <v>0</v>
      </c>
      <c r="I73" s="187"/>
      <c r="J73" s="166"/>
      <c r="L73" s="182"/>
    </row>
    <row r="74" spans="1:12" x14ac:dyDescent="0.3">
      <c r="B74" s="165"/>
      <c r="C74" s="166"/>
      <c r="D74" s="166"/>
      <c r="E74" s="122"/>
      <c r="F74" s="184"/>
      <c r="G74" s="126">
        <v>0</v>
      </c>
      <c r="H74" s="128">
        <f t="shared" si="8"/>
        <v>0</v>
      </c>
      <c r="I74" s="187"/>
      <c r="J74" s="166"/>
      <c r="L74" s="182"/>
    </row>
    <row r="75" spans="1:12" x14ac:dyDescent="0.3">
      <c r="A75" s="40">
        <f t="shared" ref="A75:A78" si="10">IF(E75&gt;=0,0,0)</f>
        <v>0</v>
      </c>
      <c r="B75" s="165"/>
      <c r="C75" s="166"/>
      <c r="D75" s="166"/>
      <c r="E75" s="122"/>
      <c r="F75" s="184"/>
      <c r="G75" s="126">
        <v>0</v>
      </c>
      <c r="H75" s="128">
        <f t="shared" si="8"/>
        <v>0</v>
      </c>
      <c r="I75" s="187"/>
      <c r="J75" s="166"/>
      <c r="L75" s="182"/>
    </row>
    <row r="76" spans="1:12" ht="15" customHeight="1" x14ac:dyDescent="0.3">
      <c r="A76" s="40">
        <f t="shared" si="10"/>
        <v>0</v>
      </c>
      <c r="B76" s="165"/>
      <c r="C76" s="166"/>
      <c r="D76" s="166"/>
      <c r="E76" s="122"/>
      <c r="F76" s="184"/>
      <c r="G76" s="126">
        <v>0</v>
      </c>
      <c r="H76" s="128">
        <f t="shared" si="8"/>
        <v>0</v>
      </c>
      <c r="I76" s="187"/>
      <c r="J76" s="166"/>
      <c r="L76" s="182"/>
    </row>
    <row r="77" spans="1:12" ht="15" customHeight="1" x14ac:dyDescent="0.3">
      <c r="A77" s="40">
        <f t="shared" si="10"/>
        <v>0</v>
      </c>
      <c r="B77" s="165"/>
      <c r="C77" s="166"/>
      <c r="D77" s="166"/>
      <c r="E77" s="122"/>
      <c r="F77" s="184"/>
      <c r="G77" s="126">
        <v>0</v>
      </c>
      <c r="H77" s="128">
        <f t="shared" si="8"/>
        <v>0</v>
      </c>
      <c r="I77" s="187"/>
      <c r="J77" s="166"/>
      <c r="L77" s="182"/>
    </row>
    <row r="78" spans="1:12" x14ac:dyDescent="0.3">
      <c r="A78" s="40">
        <f t="shared" si="10"/>
        <v>0</v>
      </c>
      <c r="B78" s="165"/>
      <c r="C78" s="166"/>
      <c r="D78" s="166"/>
      <c r="E78" s="122"/>
      <c r="F78" s="184"/>
      <c r="G78" s="126">
        <v>0</v>
      </c>
      <c r="H78" s="128">
        <f t="shared" si="8"/>
        <v>0</v>
      </c>
      <c r="I78" s="187"/>
      <c r="J78" s="166"/>
      <c r="L78" s="182"/>
    </row>
    <row r="79" spans="1:12" x14ac:dyDescent="0.3">
      <c r="B79" s="165"/>
      <c r="C79" s="166"/>
      <c r="D79" s="166"/>
      <c r="E79" s="122"/>
      <c r="F79" s="184"/>
      <c r="G79" s="126">
        <v>0</v>
      </c>
      <c r="H79" s="128">
        <f t="shared" si="8"/>
        <v>0</v>
      </c>
      <c r="I79" s="187"/>
      <c r="J79" s="166"/>
      <c r="L79" s="182"/>
    </row>
    <row r="80" spans="1:12" x14ac:dyDescent="0.3">
      <c r="B80" s="165"/>
      <c r="C80" s="166"/>
      <c r="D80" s="166"/>
      <c r="E80" s="122"/>
      <c r="F80" s="184"/>
      <c r="G80" s="126">
        <v>0</v>
      </c>
      <c r="H80" s="128">
        <f t="shared" si="8"/>
        <v>0</v>
      </c>
      <c r="I80" s="187"/>
      <c r="J80" s="166"/>
      <c r="L80" s="182"/>
    </row>
    <row r="81" spans="1:24" x14ac:dyDescent="0.3">
      <c r="B81" s="165"/>
      <c r="C81" s="166"/>
      <c r="D81" s="166"/>
      <c r="E81" s="122"/>
      <c r="F81" s="184"/>
      <c r="G81" s="126">
        <v>0</v>
      </c>
      <c r="H81" s="128">
        <f t="shared" si="8"/>
        <v>0</v>
      </c>
      <c r="I81" s="187"/>
      <c r="J81" s="166"/>
      <c r="L81" s="182"/>
    </row>
    <row r="82" spans="1:24" ht="15" customHeight="1" x14ac:dyDescent="0.3">
      <c r="A82" s="40">
        <f t="shared" ref="A82:A83" si="11">IF(E82&gt;=0,0,0)</f>
        <v>0</v>
      </c>
      <c r="B82" s="165"/>
      <c r="C82" s="166"/>
      <c r="D82" s="166"/>
      <c r="E82" s="122"/>
      <c r="F82" s="184"/>
      <c r="G82" s="126">
        <v>0</v>
      </c>
      <c r="H82" s="128">
        <f t="shared" si="8"/>
        <v>0</v>
      </c>
      <c r="I82" s="187"/>
      <c r="J82" s="166"/>
      <c r="L82" s="182"/>
    </row>
    <row r="83" spans="1:24" ht="15" customHeight="1" x14ac:dyDescent="0.3">
      <c r="A83" s="40">
        <f t="shared" si="11"/>
        <v>0</v>
      </c>
      <c r="B83" s="165"/>
      <c r="C83" s="166"/>
      <c r="D83" s="166"/>
      <c r="E83" s="122"/>
      <c r="F83" s="184"/>
      <c r="G83" s="126">
        <v>0</v>
      </c>
      <c r="H83" s="128">
        <f t="shared" si="8"/>
        <v>0</v>
      </c>
      <c r="I83" s="187"/>
      <c r="J83" s="166"/>
      <c r="L83" s="182"/>
    </row>
    <row r="84" spans="1:24" ht="15" customHeight="1" x14ac:dyDescent="0.3">
      <c r="B84" s="167"/>
      <c r="C84" s="166"/>
      <c r="D84" s="166"/>
      <c r="E84" s="122"/>
      <c r="F84" s="184"/>
      <c r="G84" s="126">
        <v>0</v>
      </c>
      <c r="H84" s="128">
        <f t="shared" si="8"/>
        <v>0</v>
      </c>
      <c r="I84" s="187"/>
      <c r="J84" s="166"/>
      <c r="L84" s="182"/>
    </row>
    <row r="85" spans="1:24" ht="15" customHeight="1" x14ac:dyDescent="0.3">
      <c r="B85" s="175"/>
      <c r="C85" s="176"/>
      <c r="D85" s="176"/>
      <c r="E85" s="177"/>
      <c r="F85" s="185"/>
      <c r="G85" s="189">
        <v>0</v>
      </c>
      <c r="H85" s="180">
        <f t="shared" si="8"/>
        <v>0</v>
      </c>
      <c r="I85" s="188"/>
      <c r="J85" s="176"/>
      <c r="L85" s="182"/>
    </row>
    <row r="86" spans="1:24" ht="21" customHeight="1" x14ac:dyDescent="0.3">
      <c r="A86" s="40" t="s">
        <v>16</v>
      </c>
      <c r="B86" s="173" t="s">
        <v>101</v>
      </c>
      <c r="C86" s="129"/>
      <c r="D86" s="129"/>
      <c r="E86" s="174">
        <f>SUM(E63:E85)</f>
        <v>0</v>
      </c>
      <c r="F86" s="129"/>
      <c r="G86" s="174">
        <f>SUM(G63:G85)</f>
        <v>0</v>
      </c>
      <c r="H86" s="174">
        <f>SUM(H63:H85)</f>
        <v>0</v>
      </c>
      <c r="I86" s="129"/>
      <c r="J86" s="169"/>
    </row>
    <row r="93" spans="1:24" s="40" customFormat="1" ht="27" customHeight="1" x14ac:dyDescent="0.3">
      <c r="B93" s="7"/>
      <c r="C93" s="7"/>
      <c r="D93" s="7"/>
      <c r="E93" s="7"/>
      <c r="F93" s="7"/>
      <c r="G93" s="7"/>
      <c r="H93" s="7"/>
      <c r="I93" s="7"/>
      <c r="J93" s="116"/>
      <c r="K93" s="7"/>
      <c r="L93" s="7"/>
      <c r="M93" s="7"/>
      <c r="N93" s="7"/>
      <c r="O93" s="7"/>
      <c r="P93" s="7"/>
      <c r="Q93" s="7"/>
      <c r="R93" s="7"/>
      <c r="S93" s="7"/>
      <c r="T93" s="7"/>
      <c r="U93" s="7"/>
      <c r="V93" s="7"/>
      <c r="W93" s="7"/>
      <c r="X93" s="7"/>
    </row>
    <row r="94" spans="1:24" s="40" customFormat="1" ht="21" customHeight="1" x14ac:dyDescent="0.3">
      <c r="B94" s="7"/>
      <c r="C94" s="7"/>
      <c r="D94" s="7"/>
      <c r="E94" s="7"/>
      <c r="F94" s="7"/>
      <c r="G94" s="7"/>
      <c r="H94" s="7"/>
      <c r="I94" s="7"/>
      <c r="J94" s="116"/>
      <c r="K94" s="7"/>
      <c r="L94" s="7"/>
      <c r="M94" s="7"/>
      <c r="N94" s="7"/>
      <c r="O94" s="7"/>
      <c r="P94" s="7"/>
      <c r="Q94" s="7"/>
      <c r="R94" s="7"/>
      <c r="S94" s="7"/>
      <c r="T94" s="7"/>
      <c r="U94" s="7"/>
      <c r="V94" s="7"/>
      <c r="W94" s="7"/>
      <c r="X94" s="7"/>
    </row>
  </sheetData>
  <sheetProtection formatColumns="0" formatRows="0"/>
  <mergeCells count="4">
    <mergeCell ref="B34:J34"/>
    <mergeCell ref="B61:J61"/>
    <mergeCell ref="B7:J7"/>
    <mergeCell ref="B4:J4"/>
  </mergeCells>
  <conditionalFormatting sqref="I9:I31">
    <cfRule type="colorScale" priority="16">
      <colorScale>
        <cfvo type="min"/>
        <cfvo type="max"/>
        <color rgb="FFFF7128"/>
        <color rgb="FFFFEF9C"/>
      </colorScale>
    </cfRule>
  </conditionalFormatting>
  <conditionalFormatting sqref="G9:G31">
    <cfRule type="expression" dxfId="12" priority="21">
      <formula>IF(J9="Landfill waste",TRUE,FALSE)</formula>
    </cfRule>
  </conditionalFormatting>
  <conditionalFormatting sqref="I9:I31">
    <cfRule type="expression" dxfId="11" priority="22">
      <formula>AND(J9&lt;&gt;"Diverted - mixed materials", J9&lt;&gt;"")</formula>
    </cfRule>
  </conditionalFormatting>
  <conditionalFormatting sqref="F9:F31">
    <cfRule type="expression" dxfId="10" priority="24">
      <formula>AND(J9="Recycled - mixed processing (commingled)", OR(F9="",F9&gt;=1))</formula>
    </cfRule>
    <cfRule type="expression" dxfId="9" priority="25">
      <formula>AND(J9&lt;&gt;"Diverted - mixed materials", J9&lt;&gt;"")</formula>
    </cfRule>
  </conditionalFormatting>
  <conditionalFormatting sqref="I36:I58">
    <cfRule type="colorScale" priority="6">
      <colorScale>
        <cfvo type="min"/>
        <cfvo type="max"/>
        <color rgb="FFFF7128"/>
        <color rgb="FFFFEF9C"/>
      </colorScale>
    </cfRule>
  </conditionalFormatting>
  <conditionalFormatting sqref="G36:G58">
    <cfRule type="expression" dxfId="8" priority="7">
      <formula>IF(J36="Landfill waste",TRUE,FALSE)</formula>
    </cfRule>
  </conditionalFormatting>
  <conditionalFormatting sqref="I36:I58">
    <cfRule type="expression" dxfId="7" priority="8">
      <formula>AND(J36&lt;&gt;"Diverted - mixed materials", J36&lt;&gt;"")</formula>
    </cfRule>
  </conditionalFormatting>
  <conditionalFormatting sqref="F36:F58">
    <cfRule type="expression" dxfId="6" priority="9">
      <formula>AND(J36="Recycled - mixed processing (commingled)", OR(F36="",F36&gt;=1))</formula>
    </cfRule>
    <cfRule type="expression" dxfId="5" priority="10">
      <formula>AND(J36&lt;&gt;"Diverted - mixed materials", J36&lt;&gt;"")</formula>
    </cfRule>
  </conditionalFormatting>
  <conditionalFormatting sqref="I63:I85">
    <cfRule type="colorScale" priority="1">
      <colorScale>
        <cfvo type="min"/>
        <cfvo type="max"/>
        <color rgb="FFFF7128"/>
        <color rgb="FFFFEF9C"/>
      </colorScale>
    </cfRule>
  </conditionalFormatting>
  <conditionalFormatting sqref="G63:G85">
    <cfRule type="expression" dxfId="4" priority="2">
      <formula>IF(J63="Landfill waste",TRUE,FALSE)</formula>
    </cfRule>
  </conditionalFormatting>
  <conditionalFormatting sqref="I63:I85">
    <cfRule type="expression" dxfId="3" priority="3">
      <formula>AND(J63&lt;&gt;"Diverted - mixed materials", J63&lt;&gt;"")</formula>
    </cfRule>
  </conditionalFormatting>
  <conditionalFormatting sqref="F63:F85">
    <cfRule type="expression" dxfId="2" priority="4">
      <formula>AND(J63="Recycled - mixed processing (commingled)", OR(F63="",F63&gt;=1))</formula>
    </cfRule>
    <cfRule type="expression" dxfId="1" priority="5">
      <formula>AND(J63&lt;&gt;"Diverted - mixed materials", J63&lt;&gt;"")</formula>
    </cfRule>
  </conditionalFormatting>
  <dataValidations count="2">
    <dataValidation type="custom" allowBlank="1" showInputMessage="1" showErrorMessage="1" sqref="F9:F31 F36:F58 F63:F85" xr:uid="{901BEA9D-213D-4D41-ABE5-2C844A1CBEF0}">
      <formula1>$J9="Recycled - mixed processing (commingled)"</formula1>
    </dataValidation>
    <dataValidation allowBlank="1" showInputMessage="1" sqref="I9:I31 I36:I58 I63:I85" xr:uid="{1826F3A7-B36B-4C11-A7DA-01A1A49CA1E5}"/>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K35"/>
  <sheetViews>
    <sheetView showGridLines="0" topLeftCell="C1" zoomScale="90" zoomScaleNormal="90" zoomScalePageLayoutView="90" workbookViewId="0">
      <selection activeCell="H7" sqref="H7"/>
    </sheetView>
  </sheetViews>
  <sheetFormatPr defaultColWidth="8.77734375" defaultRowHeight="15" customHeight="1" x14ac:dyDescent="0.3"/>
  <cols>
    <col min="1" max="2" width="2.6640625" style="15" customWidth="1"/>
    <col min="3" max="3" width="7" style="15" customWidth="1"/>
    <col min="4" max="4" width="2.44140625" style="15" customWidth="1"/>
    <col min="5" max="5" width="5.6640625" style="15" customWidth="1"/>
    <col min="6" max="6" width="68.6640625" style="15" customWidth="1"/>
    <col min="7" max="7" width="2.6640625" style="15" customWidth="1"/>
    <col min="8" max="8" width="14.6640625" style="15" customWidth="1"/>
    <col min="9" max="9" width="2.6640625" style="15" customWidth="1"/>
    <col min="10" max="10" width="2.44140625" style="15" customWidth="1"/>
    <col min="11" max="11" width="30.109375" style="15" customWidth="1"/>
    <col min="12" max="16384" width="8.77734375" style="15"/>
  </cols>
  <sheetData>
    <row r="2" spans="2:11" ht="15" customHeight="1" x14ac:dyDescent="0.3">
      <c r="B2" s="12"/>
      <c r="C2" s="13"/>
      <c r="D2" s="13"/>
      <c r="E2" s="13"/>
      <c r="F2" s="13"/>
      <c r="G2" s="13"/>
      <c r="H2" s="13"/>
      <c r="I2" s="14"/>
    </row>
    <row r="3" spans="2:11" ht="24.75" customHeight="1" x14ac:dyDescent="0.3">
      <c r="B3" s="16"/>
      <c r="C3" s="17" t="s">
        <v>30</v>
      </c>
      <c r="D3" s="18"/>
      <c r="E3" s="18"/>
      <c r="F3" s="19"/>
      <c r="G3" s="19"/>
      <c r="H3" s="19"/>
      <c r="I3" s="20"/>
      <c r="J3" s="21"/>
      <c r="K3" s="21"/>
    </row>
    <row r="4" spans="2:11" ht="15" customHeight="1" x14ac:dyDescent="0.3">
      <c r="B4" s="16"/>
      <c r="C4" s="22" t="s">
        <v>17</v>
      </c>
      <c r="D4" s="18"/>
      <c r="E4" s="18"/>
      <c r="F4" s="23"/>
      <c r="G4" s="23"/>
      <c r="H4" s="18"/>
      <c r="I4" s="24"/>
      <c r="K4" s="25"/>
    </row>
    <row r="5" spans="2:11" ht="15" customHeight="1" x14ac:dyDescent="0.3">
      <c r="B5" s="16"/>
      <c r="C5" s="19" t="s">
        <v>110</v>
      </c>
      <c r="D5" s="18"/>
      <c r="E5" s="18"/>
      <c r="F5" s="23"/>
      <c r="G5" s="23"/>
      <c r="H5" s="18"/>
      <c r="I5" s="24"/>
      <c r="K5" s="25"/>
    </row>
    <row r="6" spans="2:11" ht="3.45" customHeight="1" x14ac:dyDescent="0.3">
      <c r="B6" s="16"/>
      <c r="C6" s="18"/>
      <c r="D6" s="26"/>
      <c r="E6" s="23"/>
      <c r="F6" s="23"/>
      <c r="G6" s="23"/>
      <c r="H6" s="26"/>
      <c r="I6" s="24"/>
      <c r="K6" s="25"/>
    </row>
    <row r="7" spans="2:11" ht="15" customHeight="1" x14ac:dyDescent="0.3">
      <c r="B7" s="16"/>
      <c r="C7" s="18" t="str">
        <f>"Total waste generated (diverted &amp; not diverted), Construction &amp; Demolition ("&amp;Instructions!G11&amp;")"</f>
        <v>Total waste generated (diverted &amp; not diverted), Construction &amp; Demolition ()</v>
      </c>
      <c r="D7" s="19"/>
      <c r="E7" s="19"/>
      <c r="F7" s="19"/>
      <c r="G7" s="18"/>
      <c r="H7" s="66">
        <f>Calculator!L24</f>
        <v>0</v>
      </c>
      <c r="I7" s="28"/>
    </row>
    <row r="8" spans="2:11" ht="9" customHeight="1" x14ac:dyDescent="0.3">
      <c r="B8" s="16"/>
      <c r="C8" s="18"/>
      <c r="D8" s="26"/>
      <c r="E8" s="23"/>
      <c r="F8" s="23"/>
      <c r="G8" s="23"/>
      <c r="H8" s="26"/>
      <c r="I8" s="24"/>
      <c r="K8" s="279" t="s">
        <v>136</v>
      </c>
    </row>
    <row r="9" spans="2:11" ht="15" customHeight="1" x14ac:dyDescent="0.3">
      <c r="B9" s="16"/>
      <c r="C9" s="18" t="str">
        <f>"Total waste diverted, Construction &amp; Demolition ("&amp;Instructions!G11&amp;")"</f>
        <v>Total waste diverted, Construction &amp; Demolition ()</v>
      </c>
      <c r="D9" s="19"/>
      <c r="E9" s="19"/>
      <c r="F9" s="19"/>
      <c r="G9" s="18"/>
      <c r="H9" s="66">
        <f>Calculator!L23</f>
        <v>0</v>
      </c>
      <c r="I9" s="28"/>
      <c r="K9" s="279"/>
    </row>
    <row r="10" spans="2:11" ht="9" customHeight="1" x14ac:dyDescent="0.3">
      <c r="B10" s="16"/>
      <c r="C10" s="18"/>
      <c r="D10" s="26"/>
      <c r="E10" s="23"/>
      <c r="F10" s="23"/>
      <c r="G10" s="23"/>
      <c r="H10" s="26"/>
      <c r="I10" s="24"/>
      <c r="K10" s="279"/>
    </row>
    <row r="11" spans="2:11" ht="15" customHeight="1" x14ac:dyDescent="0.3">
      <c r="B11" s="16"/>
      <c r="C11" s="27" t="s">
        <v>137</v>
      </c>
      <c r="D11" s="19"/>
      <c r="E11" s="19"/>
      <c r="F11" s="19"/>
      <c r="G11" s="18"/>
      <c r="H11" s="67">
        <f>IFERROR(H9/H7,0)</f>
        <v>0</v>
      </c>
      <c r="I11" s="28"/>
      <c r="K11" s="279"/>
    </row>
    <row r="12" spans="2:11" ht="15" customHeight="1" x14ac:dyDescent="0.3">
      <c r="B12" s="16"/>
      <c r="C12" s="27"/>
      <c r="D12" s="19"/>
      <c r="E12" s="19"/>
      <c r="F12" s="19"/>
      <c r="G12" s="18"/>
      <c r="H12" s="83"/>
      <c r="I12" s="28"/>
      <c r="K12" s="279"/>
    </row>
    <row r="13" spans="2:11" ht="15" customHeight="1" x14ac:dyDescent="0.3">
      <c r="B13" s="12"/>
      <c r="C13" s="13"/>
      <c r="D13" s="84"/>
      <c r="E13" s="85"/>
      <c r="F13" s="85"/>
      <c r="G13" s="85"/>
      <c r="H13" s="84"/>
      <c r="I13" s="14"/>
      <c r="K13" s="279"/>
    </row>
    <row r="14" spans="2:11" ht="15" customHeight="1" x14ac:dyDescent="0.3">
      <c r="B14" s="16"/>
      <c r="C14" s="19" t="s">
        <v>132</v>
      </c>
      <c r="D14" s="18"/>
      <c r="E14" s="18"/>
      <c r="F14" s="23"/>
      <c r="G14" s="23"/>
      <c r="H14" s="18"/>
      <c r="I14" s="24"/>
      <c r="K14" s="279"/>
    </row>
    <row r="15" spans="2:11" ht="15" customHeight="1" x14ac:dyDescent="0.3">
      <c r="B15" s="16"/>
      <c r="C15" s="18" t="str">
        <f>"Total waste generated (diverted &amp; not diverted), Demolition only ("&amp;Instructions!G11&amp;")"</f>
        <v>Total waste generated (diverted &amp; not diverted), Demolition only ()</v>
      </c>
      <c r="D15" s="19"/>
      <c r="E15" s="19"/>
      <c r="F15" s="19"/>
      <c r="G15" s="18"/>
      <c r="H15" s="66">
        <f>Calculator!L27</f>
        <v>0</v>
      </c>
      <c r="I15" s="28"/>
      <c r="K15" s="279"/>
    </row>
    <row r="16" spans="2:11" ht="9" customHeight="1" x14ac:dyDescent="0.3">
      <c r="B16" s="16"/>
      <c r="C16" s="18"/>
      <c r="D16" s="26"/>
      <c r="E16" s="23"/>
      <c r="F16" s="23"/>
      <c r="G16" s="23"/>
      <c r="H16" s="26"/>
      <c r="I16" s="24"/>
      <c r="K16" s="279"/>
    </row>
    <row r="17" spans="2:11" ht="15" customHeight="1" x14ac:dyDescent="0.3">
      <c r="B17" s="16"/>
      <c r="C17" s="18" t="str">
        <f>"Total waste diverted, Demolition only ("&amp;Instructions!G11&amp;")"</f>
        <v>Total waste diverted, Demolition only ()</v>
      </c>
      <c r="D17" s="19"/>
      <c r="E17" s="19"/>
      <c r="F17" s="19"/>
      <c r="G17" s="18"/>
      <c r="H17" s="66">
        <f>Calculator!L26</f>
        <v>0</v>
      </c>
      <c r="I17" s="28"/>
      <c r="K17" s="279"/>
    </row>
    <row r="18" spans="2:11" ht="9" customHeight="1" x14ac:dyDescent="0.3">
      <c r="B18" s="16"/>
      <c r="C18" s="18"/>
      <c r="D18" s="26"/>
      <c r="E18" s="23"/>
      <c r="F18" s="23"/>
      <c r="G18" s="23"/>
      <c r="H18" s="26"/>
      <c r="I18" s="24"/>
      <c r="K18" s="279"/>
    </row>
    <row r="19" spans="2:11" ht="15" customHeight="1" x14ac:dyDescent="0.3">
      <c r="B19" s="16"/>
      <c r="C19" s="27" t="s">
        <v>138</v>
      </c>
      <c r="D19" s="19"/>
      <c r="E19" s="19"/>
      <c r="F19" s="19"/>
      <c r="G19" s="18"/>
      <c r="H19" s="67">
        <f>IFERROR(H17/H15,0)</f>
        <v>0</v>
      </c>
      <c r="I19" s="28"/>
      <c r="K19" s="279"/>
    </row>
    <row r="20" spans="2:11" ht="15" customHeight="1" x14ac:dyDescent="0.3">
      <c r="B20" s="16"/>
      <c r="C20" s="27"/>
      <c r="D20" s="19"/>
      <c r="E20" s="19"/>
      <c r="F20" s="19"/>
      <c r="G20" s="18"/>
      <c r="H20" s="225"/>
      <c r="I20" s="28"/>
      <c r="K20" s="279"/>
    </row>
    <row r="21" spans="2:11" ht="15" customHeight="1" x14ac:dyDescent="0.3">
      <c r="B21" s="16"/>
      <c r="C21" s="18" t="str">
        <f>CONCATENATE("Total Construction waste generated (diverted &amp; not diverted) per gross floor area ",IF(Instructions!J100=1,"(lbs/ft2)","(kg/m2)"))</f>
        <v>Total Construction waste generated (diverted &amp; not diverted) per gross floor area (kg/m2)</v>
      </c>
      <c r="D21" s="19"/>
      <c r="E21" s="19"/>
      <c r="F21" s="19"/>
      <c r="G21" s="18"/>
      <c r="H21" s="215" t="str">
        <f>IFERROR(Calculator!N42/Instructions!G20,"")</f>
        <v/>
      </c>
      <c r="I21" s="28"/>
      <c r="K21" s="279"/>
    </row>
    <row r="22" spans="2:11" ht="58.8" customHeight="1" x14ac:dyDescent="0.3">
      <c r="B22" s="31"/>
      <c r="C22" s="278" t="str">
        <f>IF(OR(Instructions!G11="tons",Instructions!G11="tonnes",Instructions!G11="kilograms"),"",'Summary D+C'!F35)</f>
        <v>Note: The waste prevention metric can only be calculated when waste is reported in weight. If waste is reported in volume, then project teams must complete volume-to-weight conversions separately using conversion factors developed by reputable local agencies or organizations. See LEED v4.1 Beta Guide (MR Credit: Construction and Demolition Waste Management) for more information.</v>
      </c>
      <c r="D22" s="278"/>
      <c r="E22" s="278"/>
      <c r="F22" s="278"/>
      <c r="G22" s="278"/>
      <c r="H22" s="278"/>
      <c r="I22" s="32"/>
      <c r="K22" s="279"/>
    </row>
    <row r="23" spans="2:11" ht="15" customHeight="1" x14ac:dyDescent="0.25">
      <c r="D23" s="34"/>
      <c r="E23" s="34"/>
      <c r="J23" s="35"/>
      <c r="K23" s="226"/>
    </row>
    <row r="24" spans="2:11" ht="15" customHeight="1" x14ac:dyDescent="0.25">
      <c r="D24" s="275"/>
      <c r="E24" s="275"/>
      <c r="F24" s="275"/>
      <c r="G24" s="37"/>
      <c r="J24" s="35"/>
      <c r="K24" s="226"/>
    </row>
    <row r="25" spans="2:11" ht="15" customHeight="1" x14ac:dyDescent="0.25">
      <c r="D25" s="275"/>
      <c r="E25" s="275"/>
      <c r="F25" s="275"/>
      <c r="J25" s="35"/>
      <c r="K25" s="226"/>
    </row>
    <row r="26" spans="2:11" ht="15" customHeight="1" x14ac:dyDescent="0.25">
      <c r="D26" s="276"/>
      <c r="E26" s="276"/>
      <c r="F26" s="38"/>
      <c r="J26" s="35"/>
      <c r="K26" s="226"/>
    </row>
    <row r="27" spans="2:11" ht="15" customHeight="1" x14ac:dyDescent="0.25">
      <c r="D27" s="276"/>
      <c r="E27" s="276"/>
      <c r="F27" s="38"/>
      <c r="G27" s="39"/>
      <c r="J27" s="35"/>
      <c r="K27" s="226"/>
    </row>
    <row r="28" spans="2:11" ht="15" customHeight="1" x14ac:dyDescent="0.25">
      <c r="D28" s="277"/>
      <c r="E28" s="277"/>
      <c r="F28" s="277"/>
      <c r="G28" s="277"/>
      <c r="J28" s="35"/>
      <c r="K28" s="226"/>
    </row>
    <row r="29" spans="2:11" ht="15" customHeight="1" x14ac:dyDescent="0.25">
      <c r="J29" s="35"/>
      <c r="K29" s="226"/>
    </row>
    <row r="30" spans="2:11" ht="15" customHeight="1" x14ac:dyDescent="0.25">
      <c r="J30" s="35"/>
      <c r="K30" s="226"/>
    </row>
    <row r="35" spans="6:6" ht="77.55" hidden="1" customHeight="1" x14ac:dyDescent="0.3">
      <c r="F35" s="162" t="s">
        <v>88</v>
      </c>
    </row>
  </sheetData>
  <sheetProtection algorithmName="SHA-512" hashValue="TSxvwxDcjr+029+4Fo2BZN0c+fjle84056Zux+XdKWPF/NnFGhgL11vKdedJqjnXIyz7uGm4+g4e9dofLPi6zw==" saltValue="gpGNZg3kss31HNYNwPeVqw==" spinCount="100000" sheet="1" objects="1" scenarios="1"/>
  <mergeCells count="5">
    <mergeCell ref="D24:F25"/>
    <mergeCell ref="D26:E27"/>
    <mergeCell ref="D28:G28"/>
    <mergeCell ref="C22:H22"/>
    <mergeCell ref="K8:K22"/>
  </mergeCells>
  <conditionalFormatting sqref="H21">
    <cfRule type="expression" dxfId="0" priority="1">
      <formula>$C$22&lt;&gt;""</formula>
    </cfRule>
  </conditionalFormatting>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K48"/>
  <sheetViews>
    <sheetView showGridLines="0" zoomScale="90" zoomScaleNormal="90" zoomScalePageLayoutView="90" workbookViewId="0">
      <selection activeCell="H6" sqref="H6"/>
    </sheetView>
  </sheetViews>
  <sheetFormatPr defaultColWidth="8.77734375" defaultRowHeight="15" customHeight="1" x14ac:dyDescent="0.3"/>
  <cols>
    <col min="1" max="2" width="2.6640625" style="15" customWidth="1"/>
    <col min="3" max="3" width="7" style="15" customWidth="1"/>
    <col min="4" max="4" width="2.44140625" style="15" customWidth="1"/>
    <col min="5" max="5" width="5.6640625" style="15" customWidth="1"/>
    <col min="6" max="6" width="68.6640625" style="15" customWidth="1"/>
    <col min="7" max="7" width="2.6640625" style="15" customWidth="1"/>
    <col min="8" max="8" width="14.6640625" style="15" customWidth="1"/>
    <col min="9" max="9" width="2.6640625" style="15" customWidth="1"/>
    <col min="10" max="10" width="2.44140625" style="15" customWidth="1"/>
    <col min="11" max="11" width="28.6640625" style="15" customWidth="1"/>
    <col min="12" max="16384" width="8.77734375" style="15"/>
  </cols>
  <sheetData>
    <row r="2" spans="2:11" ht="15" customHeight="1" x14ac:dyDescent="0.3">
      <c r="B2" s="12"/>
      <c r="C2" s="13"/>
      <c r="D2" s="13"/>
      <c r="E2" s="13"/>
      <c r="F2" s="13"/>
      <c r="G2" s="13"/>
      <c r="H2" s="13"/>
      <c r="I2" s="14"/>
    </row>
    <row r="3" spans="2:11" ht="24.75" customHeight="1" x14ac:dyDescent="0.3">
      <c r="B3" s="16"/>
      <c r="C3" s="17" t="s">
        <v>29</v>
      </c>
      <c r="D3" s="18"/>
      <c r="E3" s="18"/>
      <c r="F3" s="19"/>
      <c r="G3" s="19"/>
      <c r="H3" s="19"/>
      <c r="I3" s="20"/>
      <c r="J3" s="21"/>
      <c r="K3" s="21"/>
    </row>
    <row r="4" spans="2:11" ht="15" customHeight="1" x14ac:dyDescent="0.3">
      <c r="B4" s="16"/>
      <c r="C4" s="22" t="s">
        <v>17</v>
      </c>
      <c r="D4" s="18"/>
      <c r="E4" s="18"/>
      <c r="F4" s="23"/>
      <c r="G4" s="23"/>
      <c r="H4" s="18"/>
      <c r="I4" s="24"/>
      <c r="K4" s="25"/>
    </row>
    <row r="5" spans="2:11" ht="15" customHeight="1" x14ac:dyDescent="0.3">
      <c r="B5" s="16"/>
      <c r="C5" s="18"/>
      <c r="D5" s="26"/>
      <c r="E5" s="23"/>
      <c r="F5" s="23"/>
      <c r="G5" s="23"/>
      <c r="H5" s="26"/>
      <c r="I5" s="24"/>
      <c r="K5" s="25"/>
    </row>
    <row r="6" spans="2:11" ht="15" customHeight="1" x14ac:dyDescent="0.3">
      <c r="B6" s="16"/>
      <c r="C6" s="18" t="str">
        <f>"Total waste generated ("&amp;Instructions!G11&amp;")"</f>
        <v>Total waste generated ()</v>
      </c>
      <c r="D6" s="19"/>
      <c r="E6" s="19"/>
      <c r="F6" s="19"/>
      <c r="G6" s="18"/>
      <c r="H6" s="66">
        <f>Calculator!L24</f>
        <v>0</v>
      </c>
      <c r="I6" s="28"/>
      <c r="K6" s="29"/>
    </row>
    <row r="7" spans="2:11" ht="9" customHeight="1" x14ac:dyDescent="0.3">
      <c r="B7" s="16"/>
      <c r="C7" s="18"/>
      <c r="D7" s="26"/>
      <c r="E7" s="23"/>
      <c r="F7" s="23"/>
      <c r="G7" s="23"/>
      <c r="H7" s="26"/>
      <c r="I7" s="24"/>
      <c r="K7" s="25"/>
    </row>
    <row r="8" spans="2:11" ht="15" customHeight="1" x14ac:dyDescent="0.3">
      <c r="B8" s="16"/>
      <c r="C8" s="18" t="str">
        <f>"Total waste diverted ("&amp;Instructions!G11&amp;")"</f>
        <v>Total waste diverted ()</v>
      </c>
      <c r="D8" s="19"/>
      <c r="E8" s="19"/>
      <c r="F8" s="19"/>
      <c r="G8" s="18"/>
      <c r="H8" s="66">
        <f>Calculator!L23</f>
        <v>0</v>
      </c>
      <c r="I8" s="28"/>
      <c r="K8" s="29"/>
    </row>
    <row r="9" spans="2:11" ht="9" customHeight="1" x14ac:dyDescent="0.3">
      <c r="B9" s="16"/>
      <c r="C9" s="18"/>
      <c r="D9" s="26"/>
      <c r="E9" s="23"/>
      <c r="F9" s="23"/>
      <c r="G9" s="23"/>
      <c r="H9" s="26"/>
      <c r="I9" s="24"/>
      <c r="K9" s="25"/>
    </row>
    <row r="10" spans="2:11" ht="15" customHeight="1" x14ac:dyDescent="0.3">
      <c r="B10" s="16"/>
      <c r="C10" s="27" t="s">
        <v>135</v>
      </c>
      <c r="D10" s="19"/>
      <c r="E10" s="19"/>
      <c r="F10" s="19"/>
      <c r="G10" s="18"/>
      <c r="H10" s="67">
        <f>IFERROR(H8/H6,0)</f>
        <v>0</v>
      </c>
      <c r="I10" s="28"/>
      <c r="K10" s="30"/>
    </row>
    <row r="11" spans="2:11" ht="15" customHeight="1" x14ac:dyDescent="0.3">
      <c r="B11" s="16"/>
      <c r="C11" s="27"/>
      <c r="D11" s="19"/>
      <c r="E11" s="19"/>
      <c r="F11" s="19"/>
      <c r="G11" s="18"/>
      <c r="H11" s="83"/>
      <c r="I11" s="28"/>
      <c r="K11" s="30"/>
    </row>
    <row r="12" spans="2:11" s="86" customFormat="1" ht="25.5" customHeight="1" x14ac:dyDescent="0.2">
      <c r="B12" s="87"/>
      <c r="C12" s="88" t="s">
        <v>34</v>
      </c>
      <c r="D12" s="89"/>
      <c r="E12" s="90"/>
      <c r="F12" s="90"/>
      <c r="G12" s="90"/>
      <c r="H12" s="90"/>
      <c r="I12" s="91"/>
      <c r="K12" s="92"/>
    </row>
    <row r="13" spans="2:11" s="86" customFormat="1" ht="15" customHeight="1" x14ac:dyDescent="0.3">
      <c r="B13" s="93"/>
      <c r="C13" s="94"/>
      <c r="D13" s="94"/>
      <c r="E13" s="95"/>
      <c r="F13" s="95"/>
      <c r="G13" s="95"/>
      <c r="H13" s="95"/>
      <c r="I13" s="96"/>
      <c r="K13" s="92"/>
    </row>
    <row r="14" spans="2:11" ht="15" customHeight="1" x14ac:dyDescent="0.3">
      <c r="B14" s="97"/>
      <c r="C14" s="15" t="str">
        <f>"Total diverted asphalt, brick, and concrete (ABC) waste ("&amp;Instructions!G11&amp;")"</f>
        <v>Total diverted asphalt, brick, and concrete (ABC) waste ()</v>
      </c>
      <c r="D14" s="21"/>
      <c r="E14" s="21"/>
      <c r="F14" s="21"/>
      <c r="H14" s="66">
        <f>Calculator!L33</f>
        <v>0</v>
      </c>
      <c r="I14" s="102"/>
      <c r="K14" s="29"/>
    </row>
    <row r="15" spans="2:11" ht="9" customHeight="1" x14ac:dyDescent="0.3">
      <c r="B15" s="97"/>
      <c r="D15" s="98"/>
      <c r="E15" s="99"/>
      <c r="F15" s="99"/>
      <c r="G15" s="99"/>
      <c r="H15" s="98"/>
      <c r="I15" s="103"/>
      <c r="K15" s="25"/>
    </row>
    <row r="16" spans="2:11" ht="15" customHeight="1" x14ac:dyDescent="0.3">
      <c r="B16" s="97"/>
      <c r="C16" s="15" t="str">
        <f>"Total waste diverted ("&amp;Instructions!G11&amp;")"</f>
        <v>Total waste diverted ()</v>
      </c>
      <c r="D16" s="21"/>
      <c r="E16" s="21"/>
      <c r="F16" s="21"/>
      <c r="H16" s="66">
        <f>H8</f>
        <v>0</v>
      </c>
      <c r="I16" s="102"/>
      <c r="K16" s="29"/>
    </row>
    <row r="17" spans="2:11" ht="9" customHeight="1" x14ac:dyDescent="0.3">
      <c r="B17" s="97"/>
      <c r="D17" s="98"/>
      <c r="E17" s="99"/>
      <c r="F17" s="99"/>
      <c r="G17" s="99"/>
      <c r="H17" s="98"/>
      <c r="I17" s="103"/>
      <c r="K17" s="25"/>
    </row>
    <row r="18" spans="2:11" ht="15" customHeight="1" x14ac:dyDescent="0.3">
      <c r="B18" s="97"/>
      <c r="C18" s="34" t="s">
        <v>33</v>
      </c>
      <c r="D18" s="21"/>
      <c r="E18" s="21"/>
      <c r="F18" s="21"/>
      <c r="H18" s="67">
        <f>IFERROR(H14/H16,0)</f>
        <v>0</v>
      </c>
      <c r="I18" s="102"/>
      <c r="K18" s="30" t="s">
        <v>32</v>
      </c>
    </row>
    <row r="19" spans="2:11" ht="21" customHeight="1" x14ac:dyDescent="0.3">
      <c r="B19" s="100"/>
      <c r="C19" s="101"/>
      <c r="D19" s="101"/>
      <c r="E19" s="101"/>
      <c r="F19" s="101"/>
      <c r="G19" s="101"/>
      <c r="H19" s="101"/>
      <c r="I19" s="104"/>
      <c r="K19" s="33"/>
    </row>
    <row r="20" spans="2:11" ht="15" customHeight="1" x14ac:dyDescent="0.25">
      <c r="D20" s="34"/>
      <c r="E20" s="34"/>
      <c r="F20" s="34"/>
      <c r="J20" s="35"/>
      <c r="K20" s="36"/>
    </row>
    <row r="21" spans="2:11" ht="15" customHeight="1" x14ac:dyDescent="0.25">
      <c r="D21" s="275"/>
      <c r="E21" s="275"/>
      <c r="F21" s="275"/>
      <c r="G21" s="37"/>
      <c r="J21" s="35"/>
      <c r="K21" s="280"/>
    </row>
    <row r="22" spans="2:11" ht="15" customHeight="1" x14ac:dyDescent="0.25">
      <c r="D22" s="275"/>
      <c r="E22" s="275"/>
      <c r="F22" s="275"/>
      <c r="J22" s="35"/>
      <c r="K22" s="280"/>
    </row>
    <row r="23" spans="2:11" ht="15" customHeight="1" x14ac:dyDescent="0.25">
      <c r="D23" s="276"/>
      <c r="E23" s="276"/>
      <c r="F23" s="38"/>
      <c r="J23" s="35"/>
      <c r="K23" s="38"/>
    </row>
    <row r="24" spans="2:11" ht="15" customHeight="1" x14ac:dyDescent="0.25">
      <c r="D24" s="276"/>
      <c r="E24" s="276"/>
      <c r="F24" s="38"/>
      <c r="G24" s="39"/>
      <c r="J24" s="35"/>
      <c r="K24" s="36"/>
    </row>
    <row r="25" spans="2:11" ht="15" customHeight="1" x14ac:dyDescent="0.25">
      <c r="D25" s="277"/>
      <c r="E25" s="277"/>
      <c r="F25" s="277"/>
      <c r="G25" s="277"/>
      <c r="J25" s="35"/>
      <c r="K25" s="79"/>
    </row>
    <row r="26" spans="2:11" ht="15" customHeight="1" x14ac:dyDescent="0.25">
      <c r="J26" s="35"/>
      <c r="K26" s="80"/>
    </row>
    <row r="27" spans="2:11" ht="15" customHeight="1" x14ac:dyDescent="0.25">
      <c r="J27" s="35"/>
      <c r="K27" s="35"/>
    </row>
    <row r="33" s="15" customFormat="1" ht="15" customHeight="1" x14ac:dyDescent="0.3"/>
    <row r="34" s="15" customFormat="1" ht="15" customHeight="1" x14ac:dyDescent="0.3"/>
    <row r="35" s="15" customFormat="1" ht="15" customHeight="1" x14ac:dyDescent="0.3"/>
    <row r="36" s="15" customFormat="1" ht="15" customHeight="1" x14ac:dyDescent="0.3"/>
    <row r="37" s="15" customFormat="1" ht="15" customHeight="1" x14ac:dyDescent="0.3"/>
    <row r="38" s="15" customFormat="1" ht="15" customHeight="1" x14ac:dyDescent="0.3"/>
    <row r="39" s="15" customFormat="1" ht="15" customHeight="1" x14ac:dyDescent="0.3"/>
    <row r="40" s="15" customFormat="1" ht="15" customHeight="1" x14ac:dyDescent="0.3"/>
    <row r="41" s="15" customFormat="1" ht="15" customHeight="1" x14ac:dyDescent="0.3"/>
    <row r="42" s="15" customFormat="1" ht="15" customHeight="1" x14ac:dyDescent="0.3"/>
    <row r="43" s="15" customFormat="1" ht="15" customHeight="1" x14ac:dyDescent="0.3"/>
    <row r="44" s="15" customFormat="1" ht="15" customHeight="1" x14ac:dyDescent="0.3"/>
    <row r="45" s="15" customFormat="1" ht="15" customHeight="1" x14ac:dyDescent="0.3"/>
    <row r="46" s="15" customFormat="1" ht="15" customHeight="1" x14ac:dyDescent="0.3"/>
    <row r="47" s="15" customFormat="1" ht="15" customHeight="1" x14ac:dyDescent="0.3"/>
    <row r="48" s="15" customFormat="1" ht="15" customHeight="1" x14ac:dyDescent="0.3"/>
  </sheetData>
  <sheetProtection algorithmName="SHA-512" hashValue="EDD4LntpngjXXfrwTVWqu+1feFJdxm6ymGjp/lDP7YA89rUZTVeVGRHuZYiKJzdzJzqplZqxn7D1sCAqf3XBZw==" saltValue="cMeUtncGUYSr11zrZ7EkEA==" spinCount="100000" sheet="1" objects="1" scenarios="1"/>
  <mergeCells count="4">
    <mergeCell ref="D21:F22"/>
    <mergeCell ref="K21:K22"/>
    <mergeCell ref="D23:E24"/>
    <mergeCell ref="D25:G25"/>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5A613617A7C5B46826CF6D217F037D7" ma:contentTypeVersion="17" ma:contentTypeDescription="Create a new document." ma:contentTypeScope="" ma:versionID="e999bd87669cd8477f7eb10dc20f5d1a">
  <xsd:schema xmlns:xsd="http://www.w3.org/2001/XMLSchema" xmlns:xs="http://www.w3.org/2001/XMLSchema" xmlns:p="http://schemas.microsoft.com/office/2006/metadata/properties" xmlns:ns1="http://schemas.microsoft.com/sharepoint/v3" xmlns:ns3="ce537f1a-68b8-4212-8072-4597f22b4385" xmlns:ns4="ba895b08-f796-4204-acce-b11d769937f4" targetNamespace="http://schemas.microsoft.com/office/2006/metadata/properties" ma:root="true" ma:fieldsID="f67d12b2bba6bf1c9605a5abf410a527" ns1:_="" ns3:_="" ns4:_="">
    <xsd:import namespace="http://schemas.microsoft.com/sharepoint/v3"/>
    <xsd:import namespace="ce537f1a-68b8-4212-8072-4597f22b4385"/>
    <xsd:import namespace="ba895b08-f796-4204-acce-b11d769937f4"/>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EventHashCode" minOccurs="0"/>
                <xsd:element ref="ns4:MediaServiceGenerationTime" minOccurs="0"/>
                <xsd:element ref="ns4:MediaServiceDateTaken" minOccurs="0"/>
                <xsd:element ref="ns4:MediaServiceAutoTags" minOccurs="0"/>
                <xsd:element ref="ns4:MediaServiceOCR" minOccurs="0"/>
                <xsd:element ref="ns4:MediaServiceLocation"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537f1a-68b8-4212-8072-4597f22b438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ba895b08-f796-4204-acce-b11d769937f4"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FC2086FC-2A4B-46A8-804E-A7C95E94ECD4}">
  <ds:schemaRefs>
    <ds:schemaRef ds:uri="http://schemas.microsoft.com/sharepoint/v3/contenttype/forms"/>
  </ds:schemaRefs>
</ds:datastoreItem>
</file>

<file path=customXml/itemProps2.xml><?xml version="1.0" encoding="utf-8"?>
<ds:datastoreItem xmlns:ds="http://schemas.openxmlformats.org/officeDocument/2006/customXml" ds:itemID="{26D83302-5F19-44ED-B17D-BA4D3E8381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e537f1a-68b8-4212-8072-4597f22b4385"/>
    <ds:schemaRef ds:uri="ba895b08-f796-4204-acce-b11d769937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5DC18A6-A79E-4795-A26F-9E5B3B7E3ACE}">
  <ds:schemaRefs>
    <ds:schemaRef ds:uri="http://schemas.microsoft.com/office/2006/metadata/properties"/>
    <ds:schemaRef ds:uri="http://schemas.microsoft.com/office/infopath/2007/PartnerControls"/>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Instructions</vt:lpstr>
      <vt:lpstr>Calculator</vt:lpstr>
      <vt:lpstr>DETAILED RECORDS</vt:lpstr>
      <vt:lpstr>Summary D+C</vt:lpstr>
      <vt:lpstr>Summary ND</vt:lpstr>
      <vt:lpstr>list</vt:lpstr>
      <vt:lpstr>Materials</vt:lpstr>
      <vt:lpstr>UOM</vt:lpstr>
      <vt:lpstr>Waste</vt:lpstr>
      <vt:lpstr>waste2</vt:lpstr>
    </vt:vector>
  </TitlesOfParts>
  <Company>USGBC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USGBC</dc:creator>
  <cp:lastModifiedBy>Mikaela Kieffer</cp:lastModifiedBy>
  <cp:lastPrinted>2012-02-13T20:17:23Z</cp:lastPrinted>
  <dcterms:created xsi:type="dcterms:W3CDTF">2010-10-28T13:36:25Z</dcterms:created>
  <dcterms:modified xsi:type="dcterms:W3CDTF">2023-07-24T20:05:48Z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0x01010025A613617A7C5B46826CF6D217F037D7</vt:lpwstr>
  </property>
</Properties>
</file>